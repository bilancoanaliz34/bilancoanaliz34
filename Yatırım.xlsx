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A4E057D4-0A5D-4923-8919-847C7EB5C9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rtföy" sheetId="3" r:id="rId1"/>
    <sheet name="İşlem Hisse" sheetId="2" r:id="rId2"/>
    <sheet name="İşlem Fon" sheetId="4" r:id="rId3"/>
    <sheet name="İşlem FonA" sheetId="5" r:id="rId4"/>
    <sheet name="Hisse" sheetId="1" r:id="rId5"/>
  </sheets>
  <definedNames>
    <definedName name="_xlnm._FilterDatabase" localSheetId="4" hidden="1">Hisse!$A$2:$W$594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3" l="1"/>
  <c r="AA11" i="3"/>
  <c r="AB11" i="3"/>
  <c r="Y11" i="3"/>
  <c r="R11" i="3"/>
  <c r="T11" i="3" s="1"/>
  <c r="K11" i="3"/>
  <c r="D11" i="3"/>
  <c r="AC11" i="3"/>
  <c r="AB16" i="3"/>
  <c r="AB15" i="3"/>
  <c r="AB14" i="3"/>
  <c r="AB13" i="3"/>
  <c r="AB12" i="3"/>
  <c r="Y10" i="3"/>
  <c r="S11" i="3"/>
  <c r="P20" i="2"/>
  <c r="Q20" i="2" s="1"/>
  <c r="H10" i="5"/>
  <c r="H9" i="5"/>
  <c r="P18" i="2"/>
  <c r="Q18" i="2" s="1"/>
  <c r="Q17" i="2"/>
  <c r="P17" i="2"/>
  <c r="AB10" i="3"/>
  <c r="AC10" i="3" s="1"/>
  <c r="G31" i="2"/>
  <c r="H31" i="2" s="1"/>
  <c r="G30" i="2"/>
  <c r="H30" i="2" s="1"/>
  <c r="P16" i="2"/>
  <c r="Q16" i="2" s="1"/>
  <c r="R16" i="2" s="1"/>
  <c r="G29" i="2"/>
  <c r="H29" i="2" s="1"/>
  <c r="R17" i="2"/>
  <c r="R23" i="2"/>
  <c r="R24" i="2"/>
  <c r="R25" i="2"/>
  <c r="R26" i="2"/>
  <c r="R27" i="2"/>
  <c r="R28" i="2"/>
  <c r="R29" i="2"/>
  <c r="R30" i="2"/>
  <c r="R31" i="2"/>
  <c r="R32" i="2"/>
  <c r="R5" i="2"/>
  <c r="R6" i="2"/>
  <c r="R7" i="2"/>
  <c r="R8" i="2"/>
  <c r="R9" i="2"/>
  <c r="R10" i="2"/>
  <c r="R11" i="2"/>
  <c r="R12" i="2"/>
  <c r="R13" i="2"/>
  <c r="R14" i="2"/>
  <c r="R15" i="2"/>
  <c r="R4" i="2"/>
  <c r="I6" i="2"/>
  <c r="I7" i="2"/>
  <c r="I8" i="2"/>
  <c r="I9" i="2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I175" i="2" s="1"/>
  <c r="I176" i="2" s="1"/>
  <c r="I177" i="2" s="1"/>
  <c r="I178" i="2" s="1"/>
  <c r="I179" i="2" s="1"/>
  <c r="I180" i="2" s="1"/>
  <c r="I181" i="2" s="1"/>
  <c r="I182" i="2" s="1"/>
  <c r="I183" i="2" s="1"/>
  <c r="I184" i="2" s="1"/>
  <c r="I185" i="2" s="1"/>
  <c r="I5" i="2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P3" i="2"/>
  <c r="P4" i="2" s="1"/>
  <c r="P5" i="2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11" i="2"/>
  <c r="H11" i="2" s="1"/>
  <c r="G10" i="2"/>
  <c r="H10" i="2" s="1"/>
  <c r="K41" i="3"/>
  <c r="L41" i="3" s="1"/>
  <c r="K40" i="3"/>
  <c r="L40" i="3" s="1"/>
  <c r="K39" i="3"/>
  <c r="L39" i="3" s="1"/>
  <c r="K38" i="3"/>
  <c r="L38" i="3" s="1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6" i="3"/>
  <c r="E6" i="3"/>
  <c r="AB20" i="3"/>
  <c r="AB19" i="3"/>
  <c r="AB18" i="3"/>
  <c r="AB17" i="3"/>
  <c r="U20" i="3"/>
  <c r="U19" i="3"/>
  <c r="U18" i="3"/>
  <c r="U17" i="3"/>
  <c r="U16" i="3"/>
  <c r="U15" i="3"/>
  <c r="U14" i="3"/>
  <c r="U13" i="3"/>
  <c r="U1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R41" i="3"/>
  <c r="S41" i="3" s="1"/>
  <c r="R40" i="3"/>
  <c r="S40" i="3" s="1"/>
  <c r="R39" i="3"/>
  <c r="S39" i="3" s="1"/>
  <c r="R38" i="3"/>
  <c r="S38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R28" i="3"/>
  <c r="R27" i="3"/>
  <c r="R26" i="3"/>
  <c r="S26" i="3" s="1"/>
  <c r="R25" i="3"/>
  <c r="R24" i="3"/>
  <c r="H8" i="5"/>
  <c r="H7" i="5"/>
  <c r="H6" i="5"/>
  <c r="H5" i="5"/>
  <c r="H4" i="5"/>
  <c r="H3" i="5"/>
  <c r="N20" i="3"/>
  <c r="N19" i="3"/>
  <c r="N18" i="3"/>
  <c r="N17" i="3"/>
  <c r="N16" i="3"/>
  <c r="N15" i="3"/>
  <c r="N14" i="3"/>
  <c r="N13" i="3"/>
  <c r="N12" i="3"/>
  <c r="G20" i="3"/>
  <c r="G19" i="3"/>
  <c r="G18" i="3"/>
  <c r="G17" i="3"/>
  <c r="G16" i="3"/>
  <c r="G15" i="3"/>
  <c r="G14" i="3"/>
  <c r="G13" i="3"/>
  <c r="G12" i="3"/>
  <c r="G3" i="4"/>
  <c r="H3" i="4" s="1"/>
  <c r="K24" i="3"/>
  <c r="D41" i="3"/>
  <c r="E41" i="3" s="1"/>
  <c r="D40" i="3"/>
  <c r="E40" i="3" s="1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K14" i="2"/>
  <c r="K15" i="2" s="1"/>
  <c r="K20" i="2" s="1"/>
  <c r="K21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D24" i="3"/>
  <c r="E1" i="1"/>
  <c r="V601" i="1" s="1"/>
  <c r="V11" i="3" l="1"/>
  <c r="P21" i="2"/>
  <c r="Q21" i="2" s="1"/>
  <c r="P22" i="2" s="1"/>
  <c r="Q22" i="2" s="1"/>
  <c r="R22" i="2" s="1"/>
  <c r="R20" i="2"/>
  <c r="S27" i="3"/>
  <c r="R10" i="3"/>
  <c r="E5" i="3" s="1"/>
  <c r="S28" i="3"/>
  <c r="S29" i="3"/>
  <c r="S25" i="3"/>
  <c r="V25" i="3" s="1"/>
  <c r="U40" i="3"/>
  <c r="S24" i="3"/>
  <c r="V24" i="3" s="1"/>
  <c r="V39" i="3"/>
  <c r="U27" i="3"/>
  <c r="P19" i="2"/>
  <c r="Q19" i="2" s="1"/>
  <c r="R19" i="2" s="1"/>
  <c r="R18" i="2"/>
  <c r="F32" i="3"/>
  <c r="G32" i="3" s="1"/>
  <c r="E37" i="3"/>
  <c r="E38" i="3"/>
  <c r="E39" i="3"/>
  <c r="E36" i="3"/>
  <c r="L34" i="3"/>
  <c r="L25" i="3"/>
  <c r="E35" i="3"/>
  <c r="L27" i="3"/>
  <c r="L33" i="3"/>
  <c r="F36" i="3"/>
  <c r="F40" i="3"/>
  <c r="G40" i="3" s="1"/>
  <c r="M27" i="3"/>
  <c r="N27" i="3" s="1"/>
  <c r="M35" i="3"/>
  <c r="N35" i="3" s="1"/>
  <c r="M28" i="3"/>
  <c r="N28" i="3" s="1"/>
  <c r="M36" i="3"/>
  <c r="F28" i="3"/>
  <c r="G28" i="3" s="1"/>
  <c r="F33" i="3"/>
  <c r="F41" i="3"/>
  <c r="G41" i="3" s="1"/>
  <c r="M29" i="3"/>
  <c r="N29" i="3" s="1"/>
  <c r="M37" i="3"/>
  <c r="N37" i="3" s="1"/>
  <c r="F25" i="3"/>
  <c r="G25" i="3" s="1"/>
  <c r="F29" i="3"/>
  <c r="G29" i="3" s="1"/>
  <c r="F37" i="3"/>
  <c r="G37" i="3" s="1"/>
  <c r="M30" i="3"/>
  <c r="N30" i="3" s="1"/>
  <c r="M38" i="3"/>
  <c r="O38" i="3" s="1"/>
  <c r="F26" i="3"/>
  <c r="G26" i="3" s="1"/>
  <c r="F34" i="3"/>
  <c r="G34" i="3" s="1"/>
  <c r="F38" i="3"/>
  <c r="M31" i="3"/>
  <c r="N31" i="3" s="1"/>
  <c r="M39" i="3"/>
  <c r="N39" i="3" s="1"/>
  <c r="M26" i="3"/>
  <c r="N26" i="3" s="1"/>
  <c r="F30" i="3"/>
  <c r="M24" i="3"/>
  <c r="M32" i="3"/>
  <c r="N32" i="3" s="1"/>
  <c r="M40" i="3"/>
  <c r="N40" i="3" s="1"/>
  <c r="M34" i="3"/>
  <c r="F24" i="3"/>
  <c r="F27" i="3"/>
  <c r="G27" i="3" s="1"/>
  <c r="F31" i="3"/>
  <c r="G31" i="3" s="1"/>
  <c r="F35" i="3"/>
  <c r="G35" i="3" s="1"/>
  <c r="F39" i="3"/>
  <c r="M25" i="3"/>
  <c r="M33" i="3"/>
  <c r="M41" i="3"/>
  <c r="N41" i="3" s="1"/>
  <c r="Q3" i="2"/>
  <c r="Q4" i="2" s="1"/>
  <c r="Q5" i="2" s="1"/>
  <c r="E33" i="3"/>
  <c r="L37" i="3"/>
  <c r="L36" i="3"/>
  <c r="E31" i="3"/>
  <c r="E32" i="3"/>
  <c r="L31" i="3"/>
  <c r="L35" i="3"/>
  <c r="L29" i="3"/>
  <c r="L26" i="3"/>
  <c r="L30" i="3"/>
  <c r="L28" i="3"/>
  <c r="L32" i="3"/>
  <c r="E28" i="3"/>
  <c r="E30" i="3"/>
  <c r="G5" i="3"/>
  <c r="E25" i="3"/>
  <c r="E29" i="3"/>
  <c r="E26" i="3"/>
  <c r="E24" i="3"/>
  <c r="D10" i="3"/>
  <c r="E3" i="3" s="1"/>
  <c r="E27" i="3"/>
  <c r="I6" i="3"/>
  <c r="J6" i="3" s="1"/>
  <c r="K6" i="3"/>
  <c r="L6" i="3" s="1"/>
  <c r="K10" i="3"/>
  <c r="E4" i="3" s="1"/>
  <c r="AA10" i="3"/>
  <c r="U37" i="3"/>
  <c r="V31" i="3"/>
  <c r="V38" i="3"/>
  <c r="V35" i="3"/>
  <c r="V34" i="3"/>
  <c r="U33" i="3"/>
  <c r="U36" i="3"/>
  <c r="U25" i="3"/>
  <c r="U28" i="3"/>
  <c r="U29" i="3"/>
  <c r="V26" i="3"/>
  <c r="V27" i="3"/>
  <c r="V33" i="3"/>
  <c r="V40" i="3"/>
  <c r="U24" i="3"/>
  <c r="V36" i="3"/>
  <c r="V37" i="3"/>
  <c r="V28" i="3"/>
  <c r="V29" i="3"/>
  <c r="U32" i="3"/>
  <c r="V30" i="3"/>
  <c r="V41" i="3"/>
  <c r="U26" i="3"/>
  <c r="U34" i="3"/>
  <c r="U31" i="3"/>
  <c r="U39" i="3"/>
  <c r="U41" i="3"/>
  <c r="U30" i="3"/>
  <c r="V32" i="3"/>
  <c r="U38" i="3"/>
  <c r="U35" i="3"/>
  <c r="L24" i="3"/>
  <c r="E34" i="3"/>
  <c r="P570" i="1"/>
  <c r="P179" i="1"/>
  <c r="P5" i="1"/>
  <c r="P409" i="1"/>
  <c r="P32" i="1"/>
  <c r="P199" i="1"/>
  <c r="P419" i="1"/>
  <c r="P534" i="1"/>
  <c r="P571" i="1"/>
  <c r="P398" i="1"/>
  <c r="P183" i="1"/>
  <c r="P532" i="1"/>
  <c r="P127" i="1"/>
  <c r="P307" i="1"/>
  <c r="P45" i="1"/>
  <c r="P129" i="1"/>
  <c r="P215" i="1"/>
  <c r="P310" i="1"/>
  <c r="P442" i="1"/>
  <c r="P537" i="1"/>
  <c r="P581" i="1"/>
  <c r="P277" i="1"/>
  <c r="P117" i="1"/>
  <c r="P55" i="1"/>
  <c r="P148" i="1"/>
  <c r="P220" i="1"/>
  <c r="P330" i="1"/>
  <c r="P447" i="1"/>
  <c r="P541" i="1"/>
  <c r="P596" i="1"/>
  <c r="P116" i="1"/>
  <c r="P567" i="1"/>
  <c r="P82" i="1"/>
  <c r="P159" i="1"/>
  <c r="P343" i="1"/>
  <c r="P597" i="1"/>
  <c r="P86" i="1"/>
  <c r="R159" i="1"/>
  <c r="P248" i="1"/>
  <c r="P372" i="1"/>
  <c r="P456" i="1"/>
  <c r="P546" i="1"/>
  <c r="P599" i="1"/>
  <c r="P521" i="1"/>
  <c r="P289" i="1"/>
  <c r="P229" i="1"/>
  <c r="P454" i="1"/>
  <c r="P545" i="1"/>
  <c r="P108" i="1"/>
  <c r="P174" i="1"/>
  <c r="P264" i="1"/>
  <c r="P376" i="1"/>
  <c r="P505" i="1"/>
  <c r="P549" i="1"/>
  <c r="P600" i="1"/>
  <c r="R32" i="1"/>
  <c r="R86" i="1"/>
  <c r="R117" i="1"/>
  <c r="O5" i="1"/>
  <c r="O32" i="1"/>
  <c r="O45" i="1"/>
  <c r="O55" i="1"/>
  <c r="O82" i="1"/>
  <c r="O86" i="1"/>
  <c r="O108" i="1"/>
  <c r="O116" i="1"/>
  <c r="O117" i="1"/>
  <c r="O127" i="1"/>
  <c r="O129" i="1"/>
  <c r="O148" i="1"/>
  <c r="O159" i="1"/>
  <c r="O174" i="1"/>
  <c r="O179" i="1"/>
  <c r="O183" i="1"/>
  <c r="O199" i="1"/>
  <c r="O215" i="1"/>
  <c r="O220" i="1"/>
  <c r="O229" i="1"/>
  <c r="O248" i="1"/>
  <c r="O264" i="1"/>
  <c r="O277" i="1"/>
  <c r="O289" i="1"/>
  <c r="O307" i="1"/>
  <c r="O310" i="1"/>
  <c r="O330" i="1"/>
  <c r="O343" i="1"/>
  <c r="O372" i="1"/>
  <c r="O376" i="1"/>
  <c r="O398" i="1"/>
  <c r="O409" i="1"/>
  <c r="O419" i="1"/>
  <c r="O442" i="1"/>
  <c r="O447" i="1"/>
  <c r="O454" i="1"/>
  <c r="O456" i="1"/>
  <c r="O505" i="1"/>
  <c r="O521" i="1"/>
  <c r="O532" i="1"/>
  <c r="O534" i="1"/>
  <c r="O537" i="1"/>
  <c r="O541" i="1"/>
  <c r="O545" i="1"/>
  <c r="O546" i="1"/>
  <c r="O549" i="1"/>
  <c r="O567" i="1"/>
  <c r="O570" i="1"/>
  <c r="O571" i="1"/>
  <c r="O581" i="1"/>
  <c r="O595" i="1"/>
  <c r="O596" i="1"/>
  <c r="O597" i="1"/>
  <c r="O598" i="1"/>
  <c r="O599" i="1"/>
  <c r="O600" i="1"/>
  <c r="O601" i="1"/>
  <c r="P595" i="1"/>
  <c r="P598" i="1"/>
  <c r="P601" i="1"/>
  <c r="Q5" i="1"/>
  <c r="Q32" i="1"/>
  <c r="Q45" i="1"/>
  <c r="Q55" i="1"/>
  <c r="Q82" i="1"/>
  <c r="Q86" i="1"/>
  <c r="Q108" i="1"/>
  <c r="Q116" i="1"/>
  <c r="Q117" i="1"/>
  <c r="Q127" i="1"/>
  <c r="Q129" i="1"/>
  <c r="Q148" i="1"/>
  <c r="Q159" i="1"/>
  <c r="Q174" i="1"/>
  <c r="Q179" i="1"/>
  <c r="Q183" i="1"/>
  <c r="Q199" i="1"/>
  <c r="Q215" i="1"/>
  <c r="Q220" i="1"/>
  <c r="Q229" i="1"/>
  <c r="Q248" i="1"/>
  <c r="Q264" i="1"/>
  <c r="Q277" i="1"/>
  <c r="Q289" i="1"/>
  <c r="Q307" i="1"/>
  <c r="Q310" i="1"/>
  <c r="Q330" i="1"/>
  <c r="Q343" i="1"/>
  <c r="Q372" i="1"/>
  <c r="Q376" i="1"/>
  <c r="Q398" i="1"/>
  <c r="Q409" i="1"/>
  <c r="Q419" i="1"/>
  <c r="Q442" i="1"/>
  <c r="Q447" i="1"/>
  <c r="Q454" i="1"/>
  <c r="Q456" i="1"/>
  <c r="Q505" i="1"/>
  <c r="Q521" i="1"/>
  <c r="Q532" i="1"/>
  <c r="Q534" i="1"/>
  <c r="Q537" i="1"/>
  <c r="Q541" i="1"/>
  <c r="Q545" i="1"/>
  <c r="Q546" i="1"/>
  <c r="Q549" i="1"/>
  <c r="Q567" i="1"/>
  <c r="Q570" i="1"/>
  <c r="Q571" i="1"/>
  <c r="Q581" i="1"/>
  <c r="Q595" i="1"/>
  <c r="Q596" i="1"/>
  <c r="Q597" i="1"/>
  <c r="Q598" i="1"/>
  <c r="Q599" i="1"/>
  <c r="Q600" i="1"/>
  <c r="Q601" i="1"/>
  <c r="R174" i="1"/>
  <c r="R179" i="1"/>
  <c r="R183" i="1"/>
  <c r="R199" i="1"/>
  <c r="R215" i="1"/>
  <c r="R220" i="1"/>
  <c r="R229" i="1"/>
  <c r="R248" i="1"/>
  <c r="R264" i="1"/>
  <c r="R277" i="1"/>
  <c r="R289" i="1"/>
  <c r="R307" i="1"/>
  <c r="R310" i="1"/>
  <c r="R330" i="1"/>
  <c r="R343" i="1"/>
  <c r="R372" i="1"/>
  <c r="R376" i="1"/>
  <c r="R398" i="1"/>
  <c r="R409" i="1"/>
  <c r="R419" i="1"/>
  <c r="R442" i="1"/>
  <c r="R447" i="1"/>
  <c r="R454" i="1"/>
  <c r="R456" i="1"/>
  <c r="R505" i="1"/>
  <c r="R521" i="1"/>
  <c r="R532" i="1"/>
  <c r="R534" i="1"/>
  <c r="R537" i="1"/>
  <c r="R541" i="1"/>
  <c r="R545" i="1"/>
  <c r="R546" i="1"/>
  <c r="R549" i="1"/>
  <c r="R567" i="1"/>
  <c r="R570" i="1"/>
  <c r="R571" i="1"/>
  <c r="R581" i="1"/>
  <c r="R595" i="1"/>
  <c r="R596" i="1"/>
  <c r="R597" i="1"/>
  <c r="R598" i="1"/>
  <c r="R599" i="1"/>
  <c r="R600" i="1"/>
  <c r="R601" i="1"/>
  <c r="R5" i="1"/>
  <c r="R82" i="1"/>
  <c r="R129" i="1"/>
  <c r="S5" i="1"/>
  <c r="S32" i="1"/>
  <c r="S45" i="1"/>
  <c r="S55" i="1"/>
  <c r="S82" i="1"/>
  <c r="S86" i="1"/>
  <c r="S108" i="1"/>
  <c r="S116" i="1"/>
  <c r="S117" i="1"/>
  <c r="S127" i="1"/>
  <c r="S129" i="1"/>
  <c r="S148" i="1"/>
  <c r="S159" i="1"/>
  <c r="S174" i="1"/>
  <c r="S179" i="1"/>
  <c r="S183" i="1"/>
  <c r="S199" i="1"/>
  <c r="S215" i="1"/>
  <c r="S220" i="1"/>
  <c r="S229" i="1"/>
  <c r="S248" i="1"/>
  <c r="S264" i="1"/>
  <c r="S277" i="1"/>
  <c r="S289" i="1"/>
  <c r="S307" i="1"/>
  <c r="S310" i="1"/>
  <c r="S330" i="1"/>
  <c r="S343" i="1"/>
  <c r="S372" i="1"/>
  <c r="S376" i="1"/>
  <c r="S398" i="1"/>
  <c r="S409" i="1"/>
  <c r="S419" i="1"/>
  <c r="S442" i="1"/>
  <c r="S447" i="1"/>
  <c r="S454" i="1"/>
  <c r="S456" i="1"/>
  <c r="S505" i="1"/>
  <c r="S521" i="1"/>
  <c r="S532" i="1"/>
  <c r="S534" i="1"/>
  <c r="S537" i="1"/>
  <c r="S541" i="1"/>
  <c r="S545" i="1"/>
  <c r="S546" i="1"/>
  <c r="S549" i="1"/>
  <c r="S567" i="1"/>
  <c r="S570" i="1"/>
  <c r="S571" i="1"/>
  <c r="S581" i="1"/>
  <c r="S595" i="1"/>
  <c r="S596" i="1"/>
  <c r="S597" i="1"/>
  <c r="S598" i="1"/>
  <c r="S599" i="1"/>
  <c r="S600" i="1"/>
  <c r="S601" i="1"/>
  <c r="R55" i="1"/>
  <c r="R116" i="1"/>
  <c r="R148" i="1"/>
  <c r="T5" i="1"/>
  <c r="T32" i="1"/>
  <c r="T45" i="1"/>
  <c r="T55" i="1"/>
  <c r="T82" i="1"/>
  <c r="T86" i="1"/>
  <c r="T108" i="1"/>
  <c r="T116" i="1"/>
  <c r="T117" i="1"/>
  <c r="T127" i="1"/>
  <c r="T129" i="1"/>
  <c r="T148" i="1"/>
  <c r="T159" i="1"/>
  <c r="T174" i="1"/>
  <c r="T179" i="1"/>
  <c r="T183" i="1"/>
  <c r="T199" i="1"/>
  <c r="T215" i="1"/>
  <c r="T220" i="1"/>
  <c r="T229" i="1"/>
  <c r="T248" i="1"/>
  <c r="T264" i="1"/>
  <c r="T277" i="1"/>
  <c r="T289" i="1"/>
  <c r="T307" i="1"/>
  <c r="T310" i="1"/>
  <c r="T330" i="1"/>
  <c r="T343" i="1"/>
  <c r="T372" i="1"/>
  <c r="T376" i="1"/>
  <c r="T398" i="1"/>
  <c r="T409" i="1"/>
  <c r="T419" i="1"/>
  <c r="T442" i="1"/>
  <c r="T447" i="1"/>
  <c r="T454" i="1"/>
  <c r="T456" i="1"/>
  <c r="T505" i="1"/>
  <c r="T521" i="1"/>
  <c r="T532" i="1"/>
  <c r="T534" i="1"/>
  <c r="T537" i="1"/>
  <c r="T541" i="1"/>
  <c r="T545" i="1"/>
  <c r="T546" i="1"/>
  <c r="T549" i="1"/>
  <c r="T567" i="1"/>
  <c r="T570" i="1"/>
  <c r="T571" i="1"/>
  <c r="T581" i="1"/>
  <c r="T595" i="1"/>
  <c r="T596" i="1"/>
  <c r="T597" i="1"/>
  <c r="T598" i="1"/>
  <c r="T599" i="1"/>
  <c r="T600" i="1"/>
  <c r="T601" i="1"/>
  <c r="R45" i="1"/>
  <c r="R108" i="1"/>
  <c r="R127" i="1"/>
  <c r="U5" i="1"/>
  <c r="U32" i="1"/>
  <c r="U45" i="1"/>
  <c r="U55" i="1"/>
  <c r="U82" i="1"/>
  <c r="U86" i="1"/>
  <c r="U108" i="1"/>
  <c r="U116" i="1"/>
  <c r="U117" i="1"/>
  <c r="U127" i="1"/>
  <c r="U129" i="1"/>
  <c r="U148" i="1"/>
  <c r="U159" i="1"/>
  <c r="U174" i="1"/>
  <c r="U179" i="1"/>
  <c r="U183" i="1"/>
  <c r="U199" i="1"/>
  <c r="U215" i="1"/>
  <c r="U220" i="1"/>
  <c r="U229" i="1"/>
  <c r="U248" i="1"/>
  <c r="U264" i="1"/>
  <c r="U277" i="1"/>
  <c r="U289" i="1"/>
  <c r="U307" i="1"/>
  <c r="U310" i="1"/>
  <c r="U330" i="1"/>
  <c r="U343" i="1"/>
  <c r="U372" i="1"/>
  <c r="U376" i="1"/>
  <c r="U398" i="1"/>
  <c r="U409" i="1"/>
  <c r="U419" i="1"/>
  <c r="U442" i="1"/>
  <c r="U447" i="1"/>
  <c r="U454" i="1"/>
  <c r="U456" i="1"/>
  <c r="U505" i="1"/>
  <c r="U521" i="1"/>
  <c r="U532" i="1"/>
  <c r="U534" i="1"/>
  <c r="U537" i="1"/>
  <c r="U541" i="1"/>
  <c r="U545" i="1"/>
  <c r="U546" i="1"/>
  <c r="U549" i="1"/>
  <c r="U567" i="1"/>
  <c r="U570" i="1"/>
  <c r="U571" i="1"/>
  <c r="U581" i="1"/>
  <c r="U595" i="1"/>
  <c r="U596" i="1"/>
  <c r="U597" i="1"/>
  <c r="U598" i="1"/>
  <c r="U599" i="1"/>
  <c r="U600" i="1"/>
  <c r="U601" i="1"/>
  <c r="V5" i="1"/>
  <c r="V32" i="1"/>
  <c r="V45" i="1"/>
  <c r="V55" i="1"/>
  <c r="V82" i="1"/>
  <c r="V86" i="1"/>
  <c r="V108" i="1"/>
  <c r="V116" i="1"/>
  <c r="V117" i="1"/>
  <c r="V127" i="1"/>
  <c r="V129" i="1"/>
  <c r="V148" i="1"/>
  <c r="V159" i="1"/>
  <c r="V174" i="1"/>
  <c r="V179" i="1"/>
  <c r="V183" i="1"/>
  <c r="V199" i="1"/>
  <c r="V215" i="1"/>
  <c r="V220" i="1"/>
  <c r="V229" i="1"/>
  <c r="V248" i="1"/>
  <c r="V264" i="1"/>
  <c r="V277" i="1"/>
  <c r="V289" i="1"/>
  <c r="V307" i="1"/>
  <c r="V310" i="1"/>
  <c r="V330" i="1"/>
  <c r="V343" i="1"/>
  <c r="V372" i="1"/>
  <c r="V376" i="1"/>
  <c r="V398" i="1"/>
  <c r="V409" i="1"/>
  <c r="V419" i="1"/>
  <c r="V442" i="1"/>
  <c r="V447" i="1"/>
  <c r="V454" i="1"/>
  <c r="V456" i="1"/>
  <c r="V505" i="1"/>
  <c r="V521" i="1"/>
  <c r="V532" i="1"/>
  <c r="V534" i="1"/>
  <c r="V537" i="1"/>
  <c r="V541" i="1"/>
  <c r="V545" i="1"/>
  <c r="V546" i="1"/>
  <c r="V549" i="1"/>
  <c r="V567" i="1"/>
  <c r="V570" i="1"/>
  <c r="V571" i="1"/>
  <c r="V581" i="1"/>
  <c r="V595" i="1"/>
  <c r="V596" i="1"/>
  <c r="V597" i="1"/>
  <c r="V598" i="1"/>
  <c r="V599" i="1"/>
  <c r="V600" i="1"/>
  <c r="L11" i="3" l="1"/>
  <c r="G24" i="3"/>
  <c r="E11" i="3"/>
  <c r="H38" i="3"/>
  <c r="R21" i="2"/>
  <c r="I5" i="3"/>
  <c r="J5" i="3" s="1"/>
  <c r="H32" i="3"/>
  <c r="H39" i="3"/>
  <c r="O34" i="3"/>
  <c r="O25" i="3"/>
  <c r="H36" i="3"/>
  <c r="P6" i="2"/>
  <c r="Q6" i="2" s="1"/>
  <c r="O33" i="3"/>
  <c r="G36" i="3"/>
  <c r="O28" i="3"/>
  <c r="H24" i="3"/>
  <c r="O37" i="3"/>
  <c r="H41" i="3"/>
  <c r="O27" i="3"/>
  <c r="H33" i="3"/>
  <c r="H25" i="3"/>
  <c r="O31" i="3"/>
  <c r="G38" i="3"/>
  <c r="H40" i="3"/>
  <c r="O29" i="3"/>
  <c r="H26" i="3"/>
  <c r="O32" i="3"/>
  <c r="O35" i="3"/>
  <c r="O41" i="3"/>
  <c r="N34" i="3"/>
  <c r="N25" i="3"/>
  <c r="H29" i="3"/>
  <c r="O40" i="3"/>
  <c r="N33" i="3"/>
  <c r="H34" i="3"/>
  <c r="G10" i="3"/>
  <c r="O39" i="3"/>
  <c r="H37" i="3"/>
  <c r="N38" i="3"/>
  <c r="O36" i="3"/>
  <c r="N36" i="3"/>
  <c r="G33" i="3"/>
  <c r="H35" i="3"/>
  <c r="G30" i="3"/>
  <c r="O30" i="3"/>
  <c r="G39" i="3"/>
  <c r="O26" i="3"/>
  <c r="N24" i="3"/>
  <c r="H31" i="3"/>
  <c r="H30" i="3"/>
  <c r="O24" i="3"/>
  <c r="H27" i="3"/>
  <c r="H28" i="3"/>
  <c r="U10" i="3"/>
  <c r="V10" i="3" s="1"/>
  <c r="W310" i="1"/>
  <c r="T10" i="3"/>
  <c r="E2" i="3"/>
  <c r="U42" i="3"/>
  <c r="V42" i="3"/>
  <c r="W567" i="1"/>
  <c r="W45" i="1"/>
  <c r="W521" i="1"/>
  <c r="W541" i="1"/>
  <c r="W447" i="1"/>
  <c r="W330" i="1"/>
  <c r="W220" i="1"/>
  <c r="W264" i="1"/>
  <c r="W549" i="1"/>
  <c r="W398" i="1"/>
  <c r="W277" i="1"/>
  <c r="W108" i="1"/>
  <c r="W581" i="1"/>
  <c r="W127" i="1"/>
  <c r="W505" i="1"/>
  <c r="W32" i="1"/>
  <c r="W174" i="1"/>
  <c r="W215" i="1"/>
  <c r="W86" i="1"/>
  <c r="W376" i="1"/>
  <c r="W419" i="1"/>
  <c r="W456" i="1"/>
  <c r="W159" i="1"/>
  <c r="W129" i="1"/>
  <c r="W570" i="1"/>
  <c r="W532" i="1"/>
  <c r="W409" i="1"/>
  <c r="W289" i="1"/>
  <c r="W183" i="1"/>
  <c r="W116" i="1"/>
  <c r="W545" i="1"/>
  <c r="W454" i="1"/>
  <c r="W343" i="1"/>
  <c r="W229" i="1"/>
  <c r="W148" i="1"/>
  <c r="W55" i="1"/>
  <c r="W117" i="1"/>
  <c r="W372" i="1"/>
  <c r="W179" i="1"/>
  <c r="W571" i="1"/>
  <c r="W5" i="1"/>
  <c r="W307" i="1"/>
  <c r="W248" i="1"/>
  <c r="W534" i="1"/>
  <c r="W546" i="1"/>
  <c r="W82" i="1"/>
  <c r="W199" i="1"/>
  <c r="W537" i="1"/>
  <c r="W442" i="1"/>
  <c r="W595" i="1"/>
  <c r="W596" i="1"/>
  <c r="W601" i="1"/>
  <c r="W600" i="1"/>
  <c r="W597" i="1"/>
  <c r="W599" i="1"/>
  <c r="W598" i="1"/>
  <c r="M11" i="3" l="1"/>
  <c r="N11" i="3"/>
  <c r="O11" i="3" s="1"/>
  <c r="F11" i="3"/>
  <c r="G11" i="3"/>
  <c r="H11" i="3" s="1"/>
  <c r="G4" i="3"/>
  <c r="I4" i="3" s="1"/>
  <c r="J4" i="3" s="1"/>
  <c r="P7" i="2"/>
  <c r="Q7" i="2" s="1"/>
  <c r="P8" i="2" s="1"/>
  <c r="Q8" i="2" s="1"/>
  <c r="P9" i="2" s="1"/>
  <c r="Q9" i="2" s="1"/>
  <c r="P10" i="2" s="1"/>
  <c r="Q10" i="2" s="1"/>
  <c r="P11" i="2" s="1"/>
  <c r="Q11" i="2" s="1"/>
  <c r="P12" i="2" s="1"/>
  <c r="Q12" i="2" s="1"/>
  <c r="P13" i="2" s="1"/>
  <c r="Q13" i="2" s="1"/>
  <c r="P14" i="2" s="1"/>
  <c r="Q14" i="2" s="1"/>
  <c r="P15" i="2" s="1"/>
  <c r="Q15" i="2" s="1"/>
  <c r="M10" i="3"/>
  <c r="N10" i="3"/>
  <c r="O10" i="3" s="1"/>
  <c r="K5" i="3"/>
  <c r="L5" i="3" s="1"/>
  <c r="G3" i="3"/>
  <c r="I3" i="3" s="1"/>
  <c r="J3" i="3" s="1"/>
  <c r="F10" i="3"/>
  <c r="G42" i="3"/>
  <c r="H42" i="3"/>
  <c r="N42" i="3"/>
  <c r="O42" i="3"/>
  <c r="K3" i="3"/>
  <c r="H10" i="3"/>
  <c r="K4" i="3" l="1"/>
  <c r="L4" i="3" s="1"/>
  <c r="G2" i="3"/>
  <c r="I2" i="3" s="1"/>
  <c r="J2" i="3" s="1"/>
  <c r="L3" i="3"/>
  <c r="K2" i="3" l="1"/>
  <c r="L2" i="3" s="1"/>
</calcChain>
</file>

<file path=xl/sharedStrings.xml><?xml version="1.0" encoding="utf-8"?>
<sst xmlns="http://schemas.openxmlformats.org/spreadsheetml/2006/main" count="847" uniqueCount="662">
  <si>
    <t>Şirket</t>
  </si>
  <si>
    <t>Son Fiyat</t>
  </si>
  <si>
    <t>Gün %</t>
  </si>
  <si>
    <t>Hacim</t>
  </si>
  <si>
    <t>Piyasa Değeri</t>
  </si>
  <si>
    <t>1 Hafta %</t>
  </si>
  <si>
    <t>1 Ay %</t>
  </si>
  <si>
    <t>3 Ay %</t>
  </si>
  <si>
    <t>6 Ay %</t>
  </si>
  <si>
    <t>2025 %</t>
  </si>
  <si>
    <t>1 Yıl %</t>
  </si>
  <si>
    <t>3 Yıl %</t>
  </si>
  <si>
    <t>5 Yıl %</t>
  </si>
  <si>
    <t>A1CAP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</si>
  <si>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</si>
  <si>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</si>
  <si>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</si>
  <si>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</si>
  <si>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</si>
  <si>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</si>
  <si>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</si>
  <si>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</si>
  <si>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</si>
  <si>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</si>
  <si>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</si>
  <si>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</si>
  <si>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</si>
  <si>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</si>
  <si>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</si>
  <si>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</si>
  <si>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</si>
  <si>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</si>
  <si>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</si>
  <si>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</si>
  <si>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</si>
  <si>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</si>
  <si>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</si>
  <si>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</si>
  <si>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</si>
  <si>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</si>
  <si>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</si>
  <si>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</si>
  <si>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</si>
  <si>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</si>
  <si>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</si>
  <si>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</si>
  <si>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</si>
  <si>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</si>
  <si>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ALMAD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</si>
  <si>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</si>
  <si>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</si>
  <si>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</si>
  <si>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</si>
  <si>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</si>
  <si>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</si>
  <si>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</si>
  <si>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</si>
  <si>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</si>
  <si>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</si>
  <si>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</si>
  <si>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</si>
  <si>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</si>
  <si>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</si>
  <si>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</si>
  <si>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</si>
  <si>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</si>
  <si>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</si>
  <si>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</si>
  <si>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</si>
  <si>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</si>
  <si>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</si>
  <si>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</si>
  <si>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</si>
  <si>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</si>
  <si>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</si>
  <si>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</si>
  <si>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</si>
  <si>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</si>
  <si>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</si>
  <si>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</si>
  <si>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</si>
  <si>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</si>
  <si>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</si>
  <si>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</si>
  <si>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</si>
  <si>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</si>
  <si>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</si>
  <si>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</si>
  <si>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BANVT</t>
  </si>
  <si>
    <t>BARMA</t>
  </si>
  <si>
    <t>BASCM</t>
  </si>
  <si>
    <t>BASGZ</t>
  </si>
  <si>
    <t>BAYRK</t>
  </si>
  <si>
    <t>BEGYO</t>
  </si>
  <si>
    <t>BERA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</si>
  <si>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</si>
  <si>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</si>
  <si>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</si>
  <si>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</si>
  <si>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</si>
  <si>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</si>
  <si>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</si>
  <si>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</si>
  <si>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</si>
  <si>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</si>
  <si>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</si>
  <si>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</si>
  <si>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</si>
  <si>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</si>
  <si>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</si>
  <si>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</si>
  <si>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</si>
  <si>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</si>
  <si>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</si>
  <si>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</si>
  <si>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</si>
  <si>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</si>
  <si>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</si>
  <si>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</si>
  <si>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</si>
  <si>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</si>
  <si>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</si>
  <si>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</si>
  <si>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</si>
  <si>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</si>
  <si>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</si>
  <si>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</si>
  <si>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</si>
  <si>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</si>
  <si>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</si>
  <si>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</si>
  <si>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</si>
  <si>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</si>
  <si>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</si>
  <si>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</si>
  <si>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</si>
  <si>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</si>
  <si>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</si>
  <si>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</si>
  <si>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</si>
  <si>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</si>
  <si>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</si>
  <si>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</si>
  <si>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</si>
  <si>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</si>
  <si>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</si>
  <si>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</si>
  <si>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</si>
  <si>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</si>
  <si>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</si>
  <si>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DAGHL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</si>
  <si>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</si>
  <si>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</si>
  <si>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</si>
  <si>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</si>
  <si>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</si>
  <si>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</si>
  <si>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</si>
  <si>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</si>
  <si>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</si>
  <si>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</si>
  <si>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</si>
  <si>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</si>
  <si>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</si>
  <si>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</si>
  <si>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</si>
  <si>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DMRGD</t>
  </si>
  <si>
    <t>DMSAS</t>
  </si>
  <si>
    <t>DNISI</t>
  </si>
  <si>
    <t>DOAS</t>
  </si>
  <si>
    <t>DOBUR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</si>
  <si>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</si>
  <si>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</si>
  <si>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</si>
  <si>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</si>
  <si>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</si>
  <si>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</si>
  <si>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</si>
  <si>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</si>
  <si>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</si>
  <si>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</si>
  <si>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</si>
  <si>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</si>
  <si>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</si>
  <si>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</si>
  <si>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</si>
  <si>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EFORC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</si>
  <si>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</si>
  <si>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</si>
  <si>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</si>
  <si>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</si>
  <si>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</si>
  <si>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</si>
  <si>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</si>
  <si>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</si>
  <si>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</si>
  <si>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</si>
  <si>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</si>
  <si>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</si>
  <si>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</si>
  <si>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</si>
  <si>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</si>
  <si>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</si>
  <si>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</si>
  <si>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</si>
  <si>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</si>
  <si>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</si>
  <si>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</si>
  <si>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</si>
  <si>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</si>
  <si>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</si>
  <si>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</si>
  <si>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</si>
  <si>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</si>
  <si>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</si>
  <si>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</si>
  <si>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</si>
  <si>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</si>
  <si>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</si>
  <si>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</si>
  <si>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</si>
  <si>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</si>
  <si>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</si>
  <si>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</si>
  <si>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</si>
  <si>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</si>
  <si>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</si>
  <si>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</si>
  <si>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</si>
  <si>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</si>
  <si>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</si>
  <si>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</si>
  <si>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</si>
  <si>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</si>
  <si>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</si>
  <si>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</si>
  <si>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</si>
  <si>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</si>
  <si>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</si>
  <si>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</si>
  <si>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</si>
  <si>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</si>
  <si>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</si>
  <si>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</si>
  <si>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</si>
  <si>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</si>
  <si>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</si>
  <si>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</si>
  <si>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</si>
  <si>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</si>
  <si>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</si>
  <si>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</si>
  <si>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</si>
  <si>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</si>
  <si>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GRTRK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</si>
  <si>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</si>
  <si>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</si>
  <si>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</si>
  <si>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</si>
  <si>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</si>
  <si>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</si>
  <si>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</si>
  <si>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</si>
  <si>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</si>
  <si>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</si>
  <si>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</si>
  <si>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</si>
  <si>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</si>
  <si>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</si>
  <si>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</si>
  <si>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</si>
  <si>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</si>
  <si>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</si>
  <si>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</si>
  <si>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</si>
  <si>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</si>
  <si>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</si>
  <si>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</si>
  <si>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</si>
  <si>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</si>
  <si>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</si>
  <si>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</si>
  <si>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</si>
  <si>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</si>
  <si>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</si>
  <si>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</si>
  <si>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</si>
  <si>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</si>
  <si>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</si>
  <si>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</si>
  <si>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</si>
  <si>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</si>
  <si>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</si>
  <si>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</si>
  <si>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</si>
  <si>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ISATR</t>
  </si>
  <si>
    <t>ISBIR</t>
  </si>
  <si>
    <t>ISBTR</t>
  </si>
  <si>
    <t>ISCTR</t>
  </si>
  <si>
    <t>ISDMR</t>
  </si>
  <si>
    <t>ISFIN</t>
  </si>
  <si>
    <t>ISGSY</t>
  </si>
  <si>
    <t>ISGYO</t>
  </si>
  <si>
    <t>ISKPL</t>
  </si>
  <si>
    <t>ISKUR</t>
  </si>
  <si>
    <t>ISMEN</t>
  </si>
  <si>
    <t>ISSEN</t>
  </si>
  <si>
    <t>ISYAT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</si>
  <si>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</si>
  <si>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</si>
  <si>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</si>
  <si>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</si>
  <si>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</si>
  <si>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</si>
  <si>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</si>
  <si>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</si>
  <si>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</si>
  <si>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KARYE</t>
  </si>
  <si>
    <t>KATMR</t>
  </si>
  <si>
    <t>KAYSE</t>
  </si>
  <si>
    <t>KBORU</t>
  </si>
  <si>
    <t>KCAER</t>
  </si>
  <si>
    <t>KCHOL</t>
  </si>
  <si>
    <t>KENT</t>
  </si>
  <si>
    <t>KERVN</t>
  </si>
  <si>
    <t>KERVT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</si>
  <si>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</si>
  <si>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</si>
  <si>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</si>
  <si>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</si>
  <si>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</si>
  <si>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</si>
  <si>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</si>
  <si>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</si>
  <si>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</si>
  <si>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</si>
  <si>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</si>
  <si>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</si>
  <si>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</si>
  <si>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</si>
  <si>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</si>
  <si>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</si>
  <si>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</si>
  <si>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</si>
  <si>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</si>
  <si>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</si>
  <si>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</si>
  <si>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</si>
  <si>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</si>
  <si>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</si>
  <si>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</si>
  <si>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</si>
  <si>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</si>
  <si>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</si>
  <si>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</si>
  <si>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</si>
  <si>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</si>
  <si>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</si>
  <si>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</si>
  <si>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</si>
  <si>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</si>
  <si>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</si>
  <si>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</si>
  <si>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</si>
  <si>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</si>
  <si>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</si>
  <si>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</si>
  <si>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</si>
  <si>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</si>
  <si>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</si>
  <si>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</si>
  <si>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</si>
  <si>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</si>
  <si>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</si>
  <si>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</si>
  <si>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</si>
  <si>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</si>
  <si>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</si>
  <si>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</si>
  <si>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</si>
  <si>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</si>
  <si>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</si>
  <si>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</si>
  <si>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</si>
  <si>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</si>
  <si>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</si>
  <si>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</si>
  <si>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</si>
  <si>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</si>
  <si>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</si>
  <si>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</si>
  <si>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</si>
  <si>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</si>
  <si>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</si>
  <si>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</si>
  <si>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</si>
  <si>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</si>
  <si>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</si>
  <si>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</si>
  <si>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</si>
  <si>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</si>
  <si>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</si>
  <si>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</si>
  <si>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</si>
  <si>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</si>
  <si>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</si>
  <si>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</si>
  <si>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</si>
  <si>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</si>
  <si>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</si>
  <si>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</si>
  <si>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</si>
  <si>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</si>
  <si>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</si>
  <si>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</si>
  <si>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</si>
  <si>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</si>
  <si>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</si>
  <si>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</si>
  <si>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</si>
  <si>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</si>
  <si>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</si>
  <si>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</si>
  <si>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</si>
  <si>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</si>
  <si>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</si>
  <si>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</si>
  <si>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</si>
  <si>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</si>
  <si>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</si>
  <si>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</si>
  <si>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</si>
  <si>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</si>
  <si>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</si>
  <si>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</si>
  <si>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</si>
  <si>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</si>
  <si>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</si>
  <si>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</si>
  <si>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</si>
  <si>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</si>
  <si>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</si>
  <si>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</si>
  <si>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</si>
  <si>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</si>
  <si>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</si>
  <si>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</si>
  <si>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</si>
  <si>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</si>
  <si>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PEHOL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</si>
  <si>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</si>
  <si>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</si>
  <si>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</si>
  <si>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</si>
  <si>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</si>
  <si>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</si>
  <si>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</si>
  <si>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</si>
  <si>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</si>
  <si>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</si>
  <si>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</si>
  <si>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</si>
  <si>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</si>
  <si>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</si>
  <si>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</si>
  <si>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</si>
  <si>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</si>
  <si>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</si>
  <si>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</si>
  <si>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</si>
  <si>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QNBFB</t>
  </si>
  <si>
    <t>QNBFK</t>
  </si>
  <si>
    <t>QNBFL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</si>
  <si>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</si>
  <si>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</si>
  <si>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</si>
  <si>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</si>
  <si>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</si>
  <si>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</si>
  <si>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</si>
  <si>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</si>
  <si>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ROYAL</t>
  </si>
  <si>
    <t>RTALB</t>
  </si>
  <si>
    <t>RUBNS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</si>
  <si>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</si>
  <si>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</si>
  <si>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</si>
  <si>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</si>
  <si>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</si>
  <si>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</si>
  <si>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</si>
  <si>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</si>
  <si>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</si>
  <si>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</si>
  <si>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</si>
  <si>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</si>
  <si>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</si>
  <si>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</si>
  <si>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</si>
  <si>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</si>
  <si>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</si>
  <si>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SELGD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</si>
  <si>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</si>
  <si>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</si>
  <si>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</si>
  <si>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</si>
  <si>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</si>
  <si>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</si>
  <si>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</si>
  <si>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</si>
  <si>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</si>
  <si>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</si>
  <si>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</si>
  <si>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</si>
  <si>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</si>
  <si>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</si>
  <si>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</si>
  <si>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</si>
  <si>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</si>
  <si>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</si>
  <si>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</si>
  <si>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</si>
  <si>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</si>
  <si>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</si>
  <si>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</si>
  <si>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</si>
  <si>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</si>
  <si>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</si>
  <si>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</si>
  <si>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</si>
  <si>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</si>
  <si>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</si>
  <si>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</si>
  <si>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</si>
  <si>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</si>
  <si>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</si>
  <si>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</si>
  <si>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</si>
  <si>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TETMT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</si>
  <si>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</si>
  <si>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</si>
  <si>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</si>
  <si>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</si>
  <si>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</si>
  <si>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</si>
  <si>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</si>
  <si>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</si>
  <si>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</si>
  <si>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</si>
  <si>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</si>
  <si>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</si>
  <si>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</si>
  <si>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</si>
  <si>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</si>
  <si>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</si>
  <si>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</si>
  <si>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</si>
  <si>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</si>
  <si>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</si>
  <si>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</si>
  <si>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</si>
  <si>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</si>
  <si>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</si>
  <si>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</si>
  <si>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</si>
  <si>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</si>
  <si>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</si>
  <si>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</si>
  <si>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</si>
  <si>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UMPAS</t>
  </si>
  <si>
    <t>UNLU</t>
  </si>
  <si>
    <t>USAK</t>
  </si>
  <si>
    <t>UZERB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</si>
  <si>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</si>
  <si>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</si>
  <si>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</si>
  <si>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</si>
  <si>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</si>
  <si>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</si>
  <si>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</si>
  <si>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</si>
  <si>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</si>
  <si>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</si>
  <si>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</si>
  <si>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</si>
  <si>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</si>
  <si>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</si>
  <si>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</si>
  <si>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</si>
  <si>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</si>
  <si>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</si>
  <si>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</si>
  <si>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</si>
  <si>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</si>
  <si>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</si>
  <si>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</si>
  <si>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</si>
  <si>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</si>
  <si>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</si>
  <si>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</si>
  <si>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</si>
  <si>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</si>
  <si>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</si>
  <si>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</si>
  <si>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</si>
  <si>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Alış</t>
  </si>
  <si>
    <t>Hisse</t>
  </si>
  <si>
    <t>Durum</t>
  </si>
  <si>
    <t>Adet</t>
  </si>
  <si>
    <t>Fiyat</t>
  </si>
  <si>
    <t>Tutar</t>
  </si>
  <si>
    <t>Tarih</t>
  </si>
  <si>
    <t>HİSSE</t>
  </si>
  <si>
    <t>ADET</t>
  </si>
  <si>
    <t>MALİYET</t>
  </si>
  <si>
    <t>HİSSE FİYATI</t>
  </si>
  <si>
    <t>Portföy</t>
  </si>
  <si>
    <t>Kur</t>
  </si>
  <si>
    <t>TUTAR</t>
  </si>
  <si>
    <t>TOPLAM</t>
  </si>
  <si>
    <t>Portföy Büyüme</t>
  </si>
  <si>
    <t>KAR/ ZARAR</t>
  </si>
  <si>
    <t>Kar Zarar</t>
  </si>
  <si>
    <t>Yatırım</t>
  </si>
  <si>
    <t>BGP</t>
  </si>
  <si>
    <t>FON</t>
  </si>
  <si>
    <t>ADP</t>
  </si>
  <si>
    <t>DLY</t>
  </si>
  <si>
    <t>GGK</t>
  </si>
  <si>
    <t>GO6</t>
  </si>
  <si>
    <t>IST</t>
  </si>
  <si>
    <t>KSA</t>
  </si>
  <si>
    <t>OJK</t>
  </si>
  <si>
    <t>PPN</t>
  </si>
  <si>
    <t>TAU</t>
  </si>
  <si>
    <t>TCA</t>
  </si>
  <si>
    <t>TCB</t>
  </si>
  <si>
    <t>TTA</t>
  </si>
  <si>
    <t>ZJB</t>
  </si>
  <si>
    <t>Fon</t>
  </si>
  <si>
    <t>HEPS</t>
  </si>
  <si>
    <t>QLYD</t>
  </si>
  <si>
    <t>KBWD</t>
  </si>
  <si>
    <t>PFFR</t>
  </si>
  <si>
    <t>SOXL</t>
  </si>
  <si>
    <t>SAVA</t>
  </si>
  <si>
    <t>FİYAT</t>
  </si>
  <si>
    <t>AMERİCAN</t>
  </si>
  <si>
    <t>KRİPTO</t>
  </si>
  <si>
    <t>HİSSE:</t>
  </si>
  <si>
    <t>FON:</t>
  </si>
  <si>
    <t>AMERİKA:</t>
  </si>
  <si>
    <t>KRİPTO:</t>
  </si>
  <si>
    <t>TOPLAM:</t>
  </si>
  <si>
    <t>YATIRIM</t>
  </si>
  <si>
    <t>PORTFÖY</t>
  </si>
  <si>
    <t>KLYPV</t>
  </si>
  <si>
    <t>AMERI.</t>
  </si>
  <si>
    <t>BALSU</t>
  </si>
  <si>
    <t>Satış</t>
  </si>
  <si>
    <t>Kripto</t>
  </si>
  <si>
    <t>BULGS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</si>
</sst>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#,##0.00\ \ &quot;₺&quot;;[Red]#,##0.00\ \ \-&quot;₺&quot;"/>
    <numFmt numFmtId="165" formatCode="_ * #,##0.00_ \ [$$-C0C]_ ;_ * \-#,##0.00\ \ [$$-C0C]_ ;_ * &quot;-&quot;??_ \ [$$-C0C]_ ;_ @_ 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C00000"/>
      <name val="Calibri"/>
      <family val="2"/>
      <charset val="162"/>
      <scheme val="minor"/>
    </font>
    <font>
      <sz val="12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16" fontId="0" fillId="0" borderId="0" xfId="0" applyNumberFormat="1"/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65" fontId="2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" fontId="4" fillId="0" borderId="0" xfId="0" applyNumberFormat="1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3" fillId="0" borderId="0" xfId="0" applyFont="1"/>
    <xf numFmtId="165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2" fillId="5" borderId="2" xfId="0" applyFont="1" applyFill="1" applyBorder="1"/>
    <xf numFmtId="0" fontId="2" fillId="5" borderId="3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/>
    </xf>
    <xf numFmtId="10" fontId="2" fillId="5" borderId="1" xfId="2" applyNumberFormat="1" applyFont="1" applyFill="1" applyBorder="1" applyAlignment="1">
      <alignment horizontal="center"/>
    </xf>
    <xf numFmtId="16" fontId="0" fillId="0" borderId="5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0" fontId="2" fillId="5" borderId="1" xfId="2" applyNumberFormat="1" applyFont="1" applyFill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5" fontId="2" fillId="5" borderId="1" xfId="0" applyNumberFormat="1" applyFont="1" applyFill="1" applyBorder="1" applyAlignment="1">
      <alignment horizontal="center"/>
    </xf>
  </cellXfs>
  <cellStyles count="3">
    <cellStyle name="Normal" xfId="0" builtinId="0"/>
    <cellStyle name="ParaBirimi" xfId="1" builtinId="4"/>
    <cellStyle name="Yüzde" xfId="2" builtinId="5"/>
  </cellStyles>
  <dxfs count="28">
    <dxf>
      <font>
        <color rgb="FFC00000"/>
      </font>
      <fill>
        <patternFill>
          <bgColor rgb="FFFFD9D9"/>
        </patternFill>
      </fill>
    </dxf>
    <dxf>
      <font>
        <color rgb="FFC00000"/>
      </font>
      <fill>
        <patternFill>
          <bgColor rgb="FFFFD9D9"/>
        </patternFill>
      </fill>
    </dxf>
    <dxf>
      <font>
        <color rgb="FF00B050"/>
      </font>
      <fill>
        <patternFill>
          <bgColor theme="6" tint="0.79998168889431442"/>
        </patternFill>
      </fill>
    </dxf>
    <dxf>
      <font>
        <color theme="3"/>
      </font>
      <fill>
        <patternFill>
          <bgColor theme="8" tint="0.79998168889431442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D1D1"/>
        </patternFill>
      </fill>
    </dxf>
    <dxf>
      <font>
        <color rgb="FFC00000"/>
      </font>
      <fill>
        <patternFill>
          <bgColor rgb="FFFF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* #,##0.00_ \ [$$-C0C]_ ;_ * \-#,##0.00\ \ [$$-C0C]_ ;_ * &quot;-&quot;??_ \ [$$-C0C]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6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colors>
    <mruColors>
      <color rgb="FFFFD1D1"/>
      <color rgb="FFFF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236220</xdr:colOff>
      <xdr:row>0</xdr:row>
      <xdr:rowOff>76200</xdr:rowOff>
    </xdr:from>
    <xdr:to>
      <xdr:col>15</xdr:col>
      <xdr:colOff>430931</xdr:colOff>
      <xdr:row>24</xdr:row>
      <xdr:rowOff>8274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13960C40-A277-3561-F5D6-45178382B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0" y="76200"/>
          <a:ext cx="2876951" cy="46869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F2401-4D27-4932-BB2F-EB35B289A7C8}" name="Tablo1" displayName="Tablo1" ref="B2:H31" totalsRowShown="0" headerRowDxfId="27" headerRowCellStyle="ParaBirimi">
  <autoFilter ref="B2:H31" xr:uid="{8DAF2401-4D27-4932-BB2F-EB35B289A7C8}"/>
  <tableColumns count="7">
    <tableColumn id="1" xr3:uid="{A7745DC9-DFE1-45CF-A629-0414A9CED5D0}" name="Tarih" dataDxfId="26"/>
    <tableColumn id="6" xr3:uid="{2570FBD4-32F2-4D36-81F2-0684D9E496B1}" name="Hisse"/>
    <tableColumn id="2" xr3:uid="{DF21DBD5-194B-4F6A-B2A9-432FFC5C8E0E}" name="Durum" dataDxfId="25"/>
    <tableColumn id="3" xr3:uid="{FBDE4C05-E161-4613-8626-E00528F4BA46}" name="Adet" dataDxfId="24"/>
    <tableColumn id="4" xr3:uid="{B257F416-21F0-4852-B1C0-7FCA50861C7D}" name="Fiyat" dataDxfId="23" dataCellStyle="ParaBirimi"/>
    <tableColumn id="7" xr3:uid="{37F2DF29-6D41-414F-A13F-3C2121E7AFD2}" name="Kur" dataDxfId="22" dataCellStyle="ParaBirimi">
      <calculatedColumnFormula>VLOOKUP(Tablo1[[#This Row],[Tarih]],$J$3:$K$460,2,FALSE)</calculatedColumnFormula>
    </tableColumn>
    <tableColumn id="5" xr3:uid="{B6FB3813-B33C-418A-A470-09A4003BF0BD}" name="Tutar" dataDxfId="21" dataCellStyle="ParaBirimi">
      <calculatedColumnFormula>IF(Tablo1[[#This Row],[Durum]]="Alış",Tablo1[[#This Row],[Adet]]*Tablo1[[#This Row],[Fiyat]],(-Tablo1[[#This Row],[Adet]]*Tablo1[[#This Row],[Fiyat]]))/Tablo1[[#This Row],[Kur]]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13F282-8438-4B2A-8AFB-815A6D6366C4}" name="Tablo13" displayName="Tablo13" ref="B2:H16" totalsRowShown="0" headerRowDxfId="20" headerRowCellStyle="ParaBirimi">
  <autoFilter ref="B2:H16" xr:uid="{8DAF2401-4D27-4932-BB2F-EB35B289A7C8}"/>
  <tableColumns count="7">
    <tableColumn id="1" xr3:uid="{FE81BD67-645E-48EF-9521-2B2AD3F5531F}" name="Tarih" dataDxfId="19"/>
    <tableColumn id="6" xr3:uid="{9736CBBF-E570-4329-B118-8B48A5541258}" name="Hisse"/>
    <tableColumn id="2" xr3:uid="{3F8E72A8-A4AE-431C-90DE-43A22EE44E50}" name="Durum" dataDxfId="18"/>
    <tableColumn id="3" xr3:uid="{26A74364-878A-4388-B816-8D0798D7DBD4}" name="Adet" dataDxfId="17"/>
    <tableColumn id="4" xr3:uid="{75F72411-4922-40D9-AF6B-244AF1F90C5B}" name="Fiyat" dataDxfId="16" dataCellStyle="ParaBirimi"/>
    <tableColumn id="7" xr3:uid="{5A5D80AC-1BEF-4302-BEE7-E73CCEA8D9FE}" name="Kur" dataDxfId="15" dataCellStyle="ParaBirimi">
      <calculatedColumnFormula>VLOOKUP(Tablo13[[#This Row],[Tarih]],'İşlem Hisse'!$J$3:$K$460,2,FALSE)</calculatedColumnFormula>
    </tableColumn>
    <tableColumn id="5" xr3:uid="{C15AA472-B4BF-4F3B-A19B-ABEC3BDA42D8}" name="Tutar" dataDxfId="14" dataCellStyle="ParaBirimi">
      <calculatedColumnFormula>IF(Tablo13[[#This Row],[Durum]]="Alış",Tablo13[[#This Row],[Adet]]*Tablo13[[#This Row],[Fiyat]],(-Tablo13[[#This Row],[Adet]]*Tablo13[[#This Row],[Fiyat]]))/Tablo13[[#This Row],[Kur]]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7D874D-4531-461F-8A82-DFA36DD575FE}" name="Tablo134" displayName="Tablo134" ref="B2:H10" totalsRowShown="0" headerRowDxfId="13" headerRowCellStyle="ParaBirimi">
  <autoFilter ref="B2:H10" xr:uid="{8DAF2401-4D27-4932-BB2F-EB35B289A7C8}"/>
  <tableColumns count="7">
    <tableColumn id="1" xr3:uid="{58956F02-48DC-4DAB-BAE8-B7D8890F3A90}" name="Tarih" dataDxfId="12"/>
    <tableColumn id="6" xr3:uid="{051E016D-6395-4916-BC5A-71DA60412769}" name="Hisse"/>
    <tableColumn id="2" xr3:uid="{D3B5F805-FB6C-45BB-8A64-DFCE3BB7BAC3}" name="Durum" dataDxfId="11"/>
    <tableColumn id="3" xr3:uid="{169896C0-3875-4533-A2B6-8C02BB2CE79D}" name="Adet" dataDxfId="10"/>
    <tableColumn id="4" xr3:uid="{47AEAE96-4861-4124-92DD-E48883728AFC}" name="Fiyat" dataDxfId="9" dataCellStyle="ParaBirimi"/>
    <tableColumn id="7" xr3:uid="{1E2662C7-548B-4495-89D0-0D73F1D305E8}" name="Kur" dataDxfId="8" dataCellStyle="ParaBirimi"/>
    <tableColumn id="5" xr3:uid="{2209A60A-33E5-4CD9-B2E9-3A7BE7578175}" name="Tutar" dataDxfId="7" dataCellStyle="ParaBirimi">
      <calculatedColumnFormula>IF(Tablo134[[#This Row],[Durum]]="Alış",Tablo134[[#This Row],[Adet]]*Tablo134[[#This Row],[Fiyat]],(-Tablo134[[#This Row],[Adet]]*Tablo134[[#This Row],[Fiyat]]))/Tablo134[[#This Row],[Kur]]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2775-D8C1-4C5B-A9AC-5323AC0E53F5}">
  <dimension ref="A1:AC50"/>
  <sheetViews>
    <sheetView showGridLines="0" workbookViewId="0">
      <selection activeCell="K4" sqref="K4"/>
    </sheetView>
  </sheetViews>
  <sheetFormatPr defaultRowHeight="15.6" x14ac:dyDescent="0.3"/>
  <cols>
    <col min="1" max="2" width="2" customWidth="1"/>
    <col min="3" max="3" width="7.59765625" customWidth="1"/>
    <col min="4" max="5" width="10.8984375" style="2" bestFit="1" customWidth="1"/>
    <col min="6" max="6" width="8.59765625" style="2" customWidth="1"/>
    <col min="7" max="7" width="10.8984375" style="2" customWidth="1"/>
    <col min="8" max="8" width="9" style="2" bestFit="1" customWidth="1"/>
    <col min="9" max="9" width="0.8984375" customWidth="1"/>
    <col min="10" max="10" width="7.59765625" customWidth="1"/>
    <col min="11" max="11" width="11.5" bestFit="1" customWidth="1"/>
    <col min="13" max="13" width="8.59765625" customWidth="1"/>
    <col min="14" max="14" width="9.69921875" customWidth="1"/>
    <col min="15" max="15" width="8.59765625" customWidth="1"/>
    <col min="16" max="16" width="0.8984375" customWidth="1"/>
    <col min="17" max="17" width="7.59765625" customWidth="1"/>
    <col min="18" max="18" width="10.8984375" bestFit="1" customWidth="1"/>
    <col min="20" max="20" width="8.59765625" customWidth="1"/>
    <col min="21" max="21" width="10.8984375" bestFit="1" customWidth="1"/>
    <col min="22" max="22" width="9.8984375" customWidth="1"/>
    <col min="23" max="23" width="0.8984375" customWidth="1"/>
    <col min="24" max="24" width="7.59765625" customWidth="1"/>
    <col min="25" max="25" width="10.8984375" bestFit="1" customWidth="1"/>
    <col min="27" max="27" width="8.59765625" customWidth="1"/>
    <col min="28" max="28" width="11.5" bestFit="1" customWidth="1"/>
    <col min="29" max="29" width="8.59765625" customWidth="1"/>
  </cols>
  <sheetData>
    <row r="1" spans="1:29" s="15" customFormat="1" ht="31.5" customHeight="1" x14ac:dyDescent="0.3">
      <c r="C1" s="40">
        <v>45717</v>
      </c>
      <c r="D1" s="41"/>
      <c r="E1" s="45" t="s">
        <v>654</v>
      </c>
      <c r="F1" s="45"/>
      <c r="G1" s="45" t="s">
        <v>655</v>
      </c>
      <c r="H1" s="45"/>
      <c r="I1" s="45" t="s">
        <v>620</v>
      </c>
      <c r="J1" s="45"/>
      <c r="K1" s="45" t="s">
        <v>621</v>
      </c>
      <c r="L1" s="45"/>
      <c r="M1" s="16"/>
      <c r="N1" s="16"/>
    </row>
    <row r="2" spans="1:29" s="4" customFormat="1" x14ac:dyDescent="0.3">
      <c r="C2" s="36" t="s">
        <v>653</v>
      </c>
      <c r="D2" s="37"/>
      <c r="E2" s="48">
        <f>SUM(E3:F6)</f>
        <v>9284.4375504759155</v>
      </c>
      <c r="F2" s="48"/>
      <c r="G2" s="48">
        <f ca="1">SUM(G3:H6)</f>
        <v>7478.5199183346276</v>
      </c>
      <c r="H2" s="48"/>
      <c r="I2" s="46">
        <f ca="1">(G2-E2)/E2</f>
        <v>-0.19451018140013418</v>
      </c>
      <c r="J2" s="46" t="e">
        <f t="shared" ref="J2" ca="1" si="0">(I2-H2)/H2</f>
        <v>#DIV/0!</v>
      </c>
      <c r="K2" s="38">
        <f ca="1">SUM(K3:K6)</f>
        <v>-1805.9176321412881</v>
      </c>
      <c r="L2" s="39">
        <f ca="1">+K2/E2</f>
        <v>-0.19451018140013421</v>
      </c>
    </row>
    <row r="3" spans="1:29" x14ac:dyDescent="0.3">
      <c r="C3" s="34" t="s">
        <v>649</v>
      </c>
      <c r="D3" s="35"/>
      <c r="E3" s="47">
        <f>VLOOKUP($C$1,$C$9:$G$20,2,FALSE)</f>
        <v>1050.9253786064974</v>
      </c>
      <c r="F3" s="47"/>
      <c r="G3" s="47">
        <f ca="1">VLOOKUP($C$1,$C$9:$G$20,3,FALSE)</f>
        <v>1016.8739726027395</v>
      </c>
      <c r="H3" s="47"/>
      <c r="I3" s="44">
        <f t="shared" ref="I3:I6" ca="1" si="1">(G3-E3)/E3</f>
        <v>-3.2401354745956581E-2</v>
      </c>
      <c r="J3" s="44" t="e">
        <f t="shared" ref="J3:J6" ca="1" si="2">(I3-H3)/H3</f>
        <v>#DIV/0!</v>
      </c>
      <c r="K3" s="33">
        <f ca="1">VLOOKUP($C$1,$C$9:$G$20,5,FALSE)</f>
        <v>-34.051406003757847</v>
      </c>
      <c r="L3" s="31">
        <f ca="1">+K3/E3</f>
        <v>-3.2401354745956581E-2</v>
      </c>
    </row>
    <row r="4" spans="1:29" x14ac:dyDescent="0.3">
      <c r="C4" s="34" t="s">
        <v>650</v>
      </c>
      <c r="D4" s="35"/>
      <c r="E4" s="47">
        <f>VLOOKUP($C$1,$J$9:$N$20,2,FALSE)</f>
        <v>383.60217186941765</v>
      </c>
      <c r="F4" s="47"/>
      <c r="G4" s="47">
        <f ca="1">VLOOKUP($C$1,$J$9:$N$20,3,FALSE)</f>
        <v>390.84770282191789</v>
      </c>
      <c r="H4" s="47"/>
      <c r="I4" s="44">
        <f t="shared" ca="1" si="1"/>
        <v>1.8888138503466826E-2</v>
      </c>
      <c r="J4" s="44" t="e">
        <f t="shared" ca="1" si="2"/>
        <v>#DIV/0!</v>
      </c>
      <c r="K4" s="33">
        <f ca="1">VLOOKUP($C$1,$J$9:$N$20,5,FALSE)</f>
        <v>7.2455309525002463</v>
      </c>
      <c r="L4" s="31">
        <f ca="1">+K4/E4</f>
        <v>1.8888138503466826E-2</v>
      </c>
    </row>
    <row r="5" spans="1:29" x14ac:dyDescent="0.3">
      <c r="C5" s="34" t="s">
        <v>651</v>
      </c>
      <c r="D5" s="35"/>
      <c r="E5" s="47">
        <f>VLOOKUP($C$1,$Q$9:$U$20,2,FALSE)</f>
        <v>4557.9100000000008</v>
      </c>
      <c r="F5" s="47"/>
      <c r="G5" s="47">
        <f>VLOOKUP($C$1,$Q$9:$U$20,3,FALSE)</f>
        <v>4465.7982429099702</v>
      </c>
      <c r="H5" s="47"/>
      <c r="I5" s="44">
        <f t="shared" si="1"/>
        <v>-2.0209209284525263E-2</v>
      </c>
      <c r="J5" s="44" t="e">
        <f t="shared" si="2"/>
        <v>#DIV/0!</v>
      </c>
      <c r="K5" s="33">
        <f>VLOOKUP($C$1,$Q$9:$U$20,5,FALSE)</f>
        <v>-92.111757090030551</v>
      </c>
      <c r="L5" s="31">
        <f>+K5/E5</f>
        <v>-2.0209209284525263E-2</v>
      </c>
    </row>
    <row r="6" spans="1:29" x14ac:dyDescent="0.3">
      <c r="C6" s="34" t="s">
        <v>652</v>
      </c>
      <c r="D6" s="35"/>
      <c r="E6" s="47">
        <f>VLOOKUP($C$1,$X$9:$AB$20,2,FALSE)</f>
        <v>3292</v>
      </c>
      <c r="F6" s="47"/>
      <c r="G6" s="47">
        <f>VLOOKUP($C$1,$X$9:$AB$20,3,FALSE)</f>
        <v>1605</v>
      </c>
      <c r="H6" s="47"/>
      <c r="I6" s="44">
        <f t="shared" si="1"/>
        <v>-0.51245443499392462</v>
      </c>
      <c r="J6" s="44" t="e">
        <f t="shared" si="2"/>
        <v>#DIV/0!</v>
      </c>
      <c r="K6" s="33">
        <f>VLOOKUP($C$1,$X$9:$AB$20,5,FALSE)</f>
        <v>-1687</v>
      </c>
      <c r="L6" s="31">
        <f>+K6/E6</f>
        <v>-0.51245443499392462</v>
      </c>
    </row>
    <row r="8" spans="1:29" x14ac:dyDescent="0.3">
      <c r="C8" s="32" t="s">
        <v>612</v>
      </c>
      <c r="J8" s="32" t="s">
        <v>625</v>
      </c>
      <c r="Q8" s="32" t="s">
        <v>647</v>
      </c>
      <c r="X8" s="32" t="s">
        <v>648</v>
      </c>
    </row>
    <row r="9" spans="1:29" s="16" customFormat="1" ht="33.75" customHeight="1" x14ac:dyDescent="0.3">
      <c r="C9" s="26"/>
      <c r="D9" s="27" t="s">
        <v>623</v>
      </c>
      <c r="E9" s="27" t="s">
        <v>616</v>
      </c>
      <c r="F9" s="27" t="s">
        <v>620</v>
      </c>
      <c r="G9" s="42" t="s">
        <v>621</v>
      </c>
      <c r="H9" s="43"/>
      <c r="J9" s="26"/>
      <c r="K9" s="27" t="s">
        <v>623</v>
      </c>
      <c r="L9" s="27" t="s">
        <v>616</v>
      </c>
      <c r="M9" s="27" t="s">
        <v>620</v>
      </c>
      <c r="N9" s="42" t="s">
        <v>621</v>
      </c>
      <c r="O9" s="43"/>
      <c r="Q9" s="26"/>
      <c r="R9" s="27" t="s">
        <v>623</v>
      </c>
      <c r="S9" s="27" t="s">
        <v>616</v>
      </c>
      <c r="T9" s="27" t="s">
        <v>620</v>
      </c>
      <c r="U9" s="42" t="s">
        <v>621</v>
      </c>
      <c r="V9" s="43"/>
      <c r="X9" s="26"/>
      <c r="Y9" s="27" t="s">
        <v>623</v>
      </c>
      <c r="Z9" s="27" t="s">
        <v>616</v>
      </c>
      <c r="AA9" s="27" t="s">
        <v>620</v>
      </c>
      <c r="AB9" s="42" t="s">
        <v>621</v>
      </c>
      <c r="AC9" s="43"/>
    </row>
    <row r="10" spans="1:29" x14ac:dyDescent="0.3">
      <c r="A10" s="14">
        <v>45689</v>
      </c>
      <c r="B10" s="14">
        <v>45716</v>
      </c>
      <c r="C10" s="28">
        <v>45689</v>
      </c>
      <c r="D10" s="22">
        <f>SUMIFS(Tablo1[Tutar],Tablo1[Tarih],"&gt;="&amp;$A10,Tablo1[Tarih],"&lt;="&amp;$B10)</f>
        <v>1050.9253786064974</v>
      </c>
      <c r="E10" s="22">
        <v>1016.8739726027395</v>
      </c>
      <c r="F10" s="31">
        <f>(E10-D10)/D10</f>
        <v>-3.2401354745956581E-2</v>
      </c>
      <c r="G10" s="22">
        <f>+E10-D10</f>
        <v>-34.051406003757847</v>
      </c>
      <c r="H10" s="31">
        <f>+G10/D10</f>
        <v>-3.2401354745956581E-2</v>
      </c>
      <c r="J10" s="28">
        <v>45689</v>
      </c>
      <c r="K10" s="22">
        <f>SUMIFS(Tablo13[Tutar],Tablo13[Tarih],"&gt;="&amp;$A10,Tablo13[Tarih],"&lt;="&amp;$B10)</f>
        <v>383.60217186941765</v>
      </c>
      <c r="L10" s="29">
        <v>390.67185361643828</v>
      </c>
      <c r="M10" s="31">
        <f>(L10-K10)/K10</f>
        <v>1.8429722940742983E-2</v>
      </c>
      <c r="N10" s="22">
        <f>+L10-K10</f>
        <v>7.0696817470206383</v>
      </c>
      <c r="O10" s="31">
        <f>+N10/K10</f>
        <v>1.8429722940742983E-2</v>
      </c>
      <c r="Q10" s="28">
        <v>45689</v>
      </c>
      <c r="R10" s="22">
        <f>SUMIFS(Tablo134[Tutar],Tablo134[Tarih],"&gt;="&amp;$A10,Tablo134[Tarih],"&lt;="&amp;$B10)</f>
        <v>4557.9100000000008</v>
      </c>
      <c r="S10" s="29">
        <v>4465.7982429099702</v>
      </c>
      <c r="T10" s="31">
        <f>(S10-R10)/R10</f>
        <v>-2.0209209284525263E-2</v>
      </c>
      <c r="U10" s="22">
        <f>+S10-R10</f>
        <v>-92.111757090030551</v>
      </c>
      <c r="V10" s="31">
        <f>+U10/R10</f>
        <v>-2.0209209284525263E-2</v>
      </c>
      <c r="X10" s="28">
        <v>45689</v>
      </c>
      <c r="Y10" s="22">
        <f>1950</f>
        <v>1950</v>
      </c>
      <c r="Z10" s="29">
        <v>1605</v>
      </c>
      <c r="AA10" s="31">
        <f>(Z10-Y10)/Y10</f>
        <v>-0.17692307692307693</v>
      </c>
      <c r="AB10" s="22">
        <f>+Z10-Y10</f>
        <v>-345</v>
      </c>
      <c r="AC10" s="31">
        <f>+AB10/Y10</f>
        <v>-0.17692307692307693</v>
      </c>
    </row>
    <row r="11" spans="1:29" x14ac:dyDescent="0.3">
      <c r="A11" s="14">
        <v>45717</v>
      </c>
      <c r="B11" s="14">
        <v>45747</v>
      </c>
      <c r="C11" s="28">
        <v>45717</v>
      </c>
      <c r="D11" s="22">
        <f>SUMIFS(Tablo1[Tutar],Tablo1[Tarih],"&gt;="&amp;$A11,Tablo1[Tarih],"&lt;="&amp;$B11)+D10</f>
        <v>1050.9253786064974</v>
      </c>
      <c r="E11" s="22">
        <f ca="1">SUMPRODUCT(F$24:F$41,D$24:D$41)</f>
        <v>1016.8739726027395</v>
      </c>
      <c r="F11" s="31">
        <f ca="1">IFERROR((E11-D11)/D11,"")</f>
        <v>-3.2401354745956581E-2</v>
      </c>
      <c r="G11" s="22">
        <f ca="1">+E11-D11</f>
        <v>-34.051406003757847</v>
      </c>
      <c r="H11" s="31">
        <f ca="1">IFERROR(G11/D11,"")</f>
        <v>-3.2401354745956581E-2</v>
      </c>
      <c r="J11" s="28">
        <v>45717</v>
      </c>
      <c r="K11" s="22">
        <f>SUMIFS(Tablo13[Tutar],Tablo13[Tarih],"&gt;="&amp;$A11,Tablo13[Tarih],"&lt;="&amp;$B11)+K10</f>
        <v>383.60217186941765</v>
      </c>
      <c r="L11" s="29">
        <f ca="1">SUMPRODUCT(M$24:M$41,K$24:K$41)</f>
        <v>390.84770282191789</v>
      </c>
      <c r="M11" s="31">
        <f ca="1">IFERROR((L11-K11)/K11,"")</f>
        <v>1.8888138503466826E-2</v>
      </c>
      <c r="N11" s="22">
        <f ca="1">+L11-K11</f>
        <v>7.2455309525002463</v>
      </c>
      <c r="O11" s="31">
        <f ca="1">IFERROR(N11/K11,"")</f>
        <v>1.8888138503466826E-2</v>
      </c>
      <c r="Q11" s="28">
        <v>45717</v>
      </c>
      <c r="R11" s="22">
        <f>SUMIFS(Tablo134[Tutar],Tablo134[Tarih],"&gt;="&amp;$A11,Tablo134[Tarih],"&lt;="&amp;$B11)+R10</f>
        <v>4557.9100000000008</v>
      </c>
      <c r="S11" s="29">
        <f>SUMPRODUCT(T$24:T$41,R$24:R$41)</f>
        <v>4465.7982429099702</v>
      </c>
      <c r="T11" s="31">
        <f>IFERROR((S11-R11)/R11,"")</f>
        <v>-2.0209209284525263E-2</v>
      </c>
      <c r="U11" s="22">
        <f>+S11-R11</f>
        <v>-92.111757090030551</v>
      </c>
      <c r="V11" s="31">
        <f>IFERROR(U11/R11,"")</f>
        <v>-2.0209209284525263E-2</v>
      </c>
      <c r="X11" s="28">
        <v>45717</v>
      </c>
      <c r="Y11" s="22">
        <f>1342+Y10</f>
        <v>3292</v>
      </c>
      <c r="Z11" s="29">
        <v>1605</v>
      </c>
      <c r="AA11" s="31">
        <f>(Z11-Y11)/Y11</f>
        <v>-0.51245443499392462</v>
      </c>
      <c r="AB11" s="22">
        <f>+Z11-Y11</f>
        <v>-1687</v>
      </c>
      <c r="AC11" s="31">
        <f>+AB11/Y11</f>
        <v>-0.51245443499392462</v>
      </c>
    </row>
    <row r="12" spans="1:29" x14ac:dyDescent="0.3">
      <c r="A12" s="14">
        <v>45748</v>
      </c>
      <c r="B12" s="14">
        <v>45777</v>
      </c>
      <c r="C12" s="28">
        <v>45748</v>
      </c>
      <c r="D12" s="22"/>
      <c r="E12" s="21"/>
      <c r="F12" s="30"/>
      <c r="G12" s="22">
        <f>SUMIFS('İşlem Hisse'!$L$3:$L$460,'İşlem Hisse'!$J$3:$J$460,"&gt;="&amp;$A12,'İşlem Hisse'!$J$3:$J$460,"&lt;="&amp;$B12)</f>
        <v>0</v>
      </c>
      <c r="H12" s="31"/>
      <c r="J12" s="28">
        <v>45748</v>
      </c>
      <c r="K12" s="22"/>
      <c r="L12" s="21"/>
      <c r="M12" s="30"/>
      <c r="N12" s="22">
        <f>SUMIFS('İşlem Hisse'!$M$3:$M$460,'İşlem Hisse'!$J$3:$J$460,"&gt;="&amp;$A12,'İşlem Hisse'!$J$3:$J$460,"&lt;="&amp;$B12)</f>
        <v>0</v>
      </c>
      <c r="O12" s="31"/>
      <c r="Q12" s="28">
        <v>45748</v>
      </c>
      <c r="R12" s="22"/>
      <c r="S12" s="21"/>
      <c r="T12" s="30"/>
      <c r="U12" s="22">
        <f>SUMIFS('İşlem Hisse'!$M$3:$M$460,'İşlem Hisse'!$J$3:$J$460,"&gt;="&amp;$A12,'İşlem Hisse'!$J$3:$J$460,"&lt;="&amp;$B12)</f>
        <v>0</v>
      </c>
      <c r="V12" s="31"/>
      <c r="X12" s="28">
        <v>45748</v>
      </c>
      <c r="Y12" s="22"/>
      <c r="Z12" s="21"/>
      <c r="AA12" s="30"/>
      <c r="AB12" s="22">
        <f t="shared" ref="AB11:AB16" si="3">+Z12-Y12</f>
        <v>0</v>
      </c>
      <c r="AC12" s="31"/>
    </row>
    <row r="13" spans="1:29" x14ac:dyDescent="0.3">
      <c r="A13" s="14">
        <v>45778</v>
      </c>
      <c r="B13" s="14">
        <v>45808</v>
      </c>
      <c r="C13" s="28">
        <v>45778</v>
      </c>
      <c r="D13" s="22"/>
      <c r="E13" s="21"/>
      <c r="F13" s="30"/>
      <c r="G13" s="22">
        <f>SUMIFS('İşlem Hisse'!$L$3:$L$460,'İşlem Hisse'!$J$3:$J$460,"&gt;="&amp;$A13,'İşlem Hisse'!$J$3:$J$460,"&lt;="&amp;$B13)</f>
        <v>0</v>
      </c>
      <c r="H13" s="31"/>
      <c r="J13" s="28">
        <v>45778</v>
      </c>
      <c r="K13" s="22"/>
      <c r="L13" s="21"/>
      <c r="M13" s="30"/>
      <c r="N13" s="22">
        <f>SUMIFS('İşlem Hisse'!$M$3:$M$460,'İşlem Hisse'!$J$3:$J$460,"&gt;="&amp;$A13,'İşlem Hisse'!$J$3:$J$460,"&lt;="&amp;$B13)</f>
        <v>0</v>
      </c>
      <c r="O13" s="31"/>
      <c r="Q13" s="28">
        <v>45778</v>
      </c>
      <c r="R13" s="22"/>
      <c r="S13" s="21"/>
      <c r="T13" s="30"/>
      <c r="U13" s="22">
        <f>SUMIFS('İşlem Hisse'!$M$3:$M$460,'İşlem Hisse'!$J$3:$J$460,"&gt;="&amp;$A13,'İşlem Hisse'!$J$3:$J$460,"&lt;="&amp;$B13)</f>
        <v>0</v>
      </c>
      <c r="V13" s="31"/>
      <c r="X13" s="28">
        <v>45778</v>
      </c>
      <c r="Y13" s="22"/>
      <c r="Z13" s="21"/>
      <c r="AA13" s="30"/>
      <c r="AB13" s="22">
        <f t="shared" si="3"/>
        <v>0</v>
      </c>
      <c r="AC13" s="31"/>
    </row>
    <row r="14" spans="1:29" x14ac:dyDescent="0.3">
      <c r="A14" s="14">
        <v>45809</v>
      </c>
      <c r="B14" s="14">
        <v>45838</v>
      </c>
      <c r="C14" s="28">
        <v>45809</v>
      </c>
      <c r="D14" s="22"/>
      <c r="E14" s="21"/>
      <c r="F14" s="30"/>
      <c r="G14" s="22">
        <f>SUMIFS('İşlem Hisse'!$L$3:$L$460,'İşlem Hisse'!$J$3:$J$460,"&gt;="&amp;$A14,'İşlem Hisse'!$J$3:$J$460,"&lt;="&amp;$B14)</f>
        <v>0</v>
      </c>
      <c r="H14" s="31"/>
      <c r="J14" s="28">
        <v>45809</v>
      </c>
      <c r="K14" s="22"/>
      <c r="L14" s="21"/>
      <c r="M14" s="30"/>
      <c r="N14" s="22">
        <f>SUMIFS('İşlem Hisse'!$M$3:$M$460,'İşlem Hisse'!$J$3:$J$460,"&gt;="&amp;$A14,'İşlem Hisse'!$J$3:$J$460,"&lt;="&amp;$B14)</f>
        <v>0</v>
      </c>
      <c r="O14" s="31"/>
      <c r="Q14" s="28">
        <v>45809</v>
      </c>
      <c r="R14" s="22"/>
      <c r="S14" s="21"/>
      <c r="T14" s="30"/>
      <c r="U14" s="22">
        <f>SUMIFS('İşlem Hisse'!$M$3:$M$460,'İşlem Hisse'!$J$3:$J$460,"&gt;="&amp;$A14,'İşlem Hisse'!$J$3:$J$460,"&lt;="&amp;$B14)</f>
        <v>0</v>
      </c>
      <c r="V14" s="31"/>
      <c r="X14" s="28">
        <v>45809</v>
      </c>
      <c r="Y14" s="22"/>
      <c r="Z14" s="21"/>
      <c r="AA14" s="30"/>
      <c r="AB14" s="22">
        <f t="shared" si="3"/>
        <v>0</v>
      </c>
      <c r="AC14" s="31"/>
    </row>
    <row r="15" spans="1:29" x14ac:dyDescent="0.3">
      <c r="A15" s="14">
        <v>45839</v>
      </c>
      <c r="B15" s="14">
        <v>45869</v>
      </c>
      <c r="C15" s="28">
        <v>45839</v>
      </c>
      <c r="D15" s="22"/>
      <c r="E15" s="21"/>
      <c r="F15" s="30"/>
      <c r="G15" s="22">
        <f>SUMIFS('İşlem Hisse'!$L$3:$L$460,'İşlem Hisse'!$J$3:$J$460,"&gt;="&amp;$A15,'İşlem Hisse'!$J$3:$J$460,"&lt;="&amp;$B15)</f>
        <v>0</v>
      </c>
      <c r="H15" s="31"/>
      <c r="J15" s="28">
        <v>45839</v>
      </c>
      <c r="K15" s="22"/>
      <c r="L15" s="21"/>
      <c r="M15" s="30"/>
      <c r="N15" s="22">
        <f>SUMIFS('İşlem Hisse'!$M$3:$M$460,'İşlem Hisse'!$J$3:$J$460,"&gt;="&amp;$A15,'İşlem Hisse'!$J$3:$J$460,"&lt;="&amp;$B15)</f>
        <v>0</v>
      </c>
      <c r="O15" s="31"/>
      <c r="Q15" s="28">
        <v>45839</v>
      </c>
      <c r="R15" s="22"/>
      <c r="S15" s="21"/>
      <c r="T15" s="30"/>
      <c r="U15" s="22">
        <f>SUMIFS('İşlem Hisse'!$M$3:$M$460,'İşlem Hisse'!$J$3:$J$460,"&gt;="&amp;$A15,'İşlem Hisse'!$J$3:$J$460,"&lt;="&amp;$B15)</f>
        <v>0</v>
      </c>
      <c r="V15" s="31"/>
      <c r="X15" s="28">
        <v>45839</v>
      </c>
      <c r="Y15" s="22"/>
      <c r="Z15" s="21"/>
      <c r="AA15" s="30"/>
      <c r="AB15" s="22">
        <f t="shared" si="3"/>
        <v>0</v>
      </c>
      <c r="AC15" s="31"/>
    </row>
    <row r="16" spans="1:29" x14ac:dyDescent="0.3">
      <c r="A16" s="14">
        <v>45870</v>
      </c>
      <c r="B16" s="14">
        <v>45900</v>
      </c>
      <c r="C16" s="28">
        <v>45870</v>
      </c>
      <c r="D16" s="22"/>
      <c r="E16" s="21"/>
      <c r="F16" s="30"/>
      <c r="G16" s="22">
        <f>SUMIFS('İşlem Hisse'!$L$3:$L$460,'İşlem Hisse'!$J$3:$J$460,"&gt;="&amp;$A16,'İşlem Hisse'!$J$3:$J$460,"&lt;="&amp;$B16)</f>
        <v>0</v>
      </c>
      <c r="H16" s="31"/>
      <c r="J16" s="28">
        <v>45870</v>
      </c>
      <c r="K16" s="22"/>
      <c r="L16" s="21"/>
      <c r="M16" s="30"/>
      <c r="N16" s="22">
        <f>SUMIFS('İşlem Hisse'!$M$3:$M$460,'İşlem Hisse'!$J$3:$J$460,"&gt;="&amp;$A16,'İşlem Hisse'!$J$3:$J$460,"&lt;="&amp;$B16)</f>
        <v>0</v>
      </c>
      <c r="O16" s="31"/>
      <c r="Q16" s="28">
        <v>45870</v>
      </c>
      <c r="R16" s="22"/>
      <c r="S16" s="21"/>
      <c r="T16" s="30"/>
      <c r="U16" s="22">
        <f>SUMIFS('İşlem Hisse'!$M$3:$M$460,'İşlem Hisse'!$J$3:$J$460,"&gt;="&amp;$A16,'İşlem Hisse'!$J$3:$J$460,"&lt;="&amp;$B16)</f>
        <v>0</v>
      </c>
      <c r="V16" s="31"/>
      <c r="X16" s="28">
        <v>45870</v>
      </c>
      <c r="Y16" s="22"/>
      <c r="Z16" s="21"/>
      <c r="AA16" s="30"/>
      <c r="AB16" s="22">
        <f t="shared" si="3"/>
        <v>0</v>
      </c>
      <c r="AC16" s="31"/>
    </row>
    <row r="17" spans="1:29" x14ac:dyDescent="0.3">
      <c r="A17" s="14">
        <v>45901</v>
      </c>
      <c r="B17" s="14">
        <v>45930</v>
      </c>
      <c r="C17" s="28">
        <v>45901</v>
      </c>
      <c r="D17" s="22"/>
      <c r="E17" s="21"/>
      <c r="F17" s="30"/>
      <c r="G17" s="22">
        <f>SUMIFS('İşlem Hisse'!$L$3:$L$460,'İşlem Hisse'!$J$3:$J$460,"&gt;="&amp;$A17,'İşlem Hisse'!$J$3:$J$460,"&lt;="&amp;$B17)</f>
        <v>0</v>
      </c>
      <c r="H17" s="31"/>
      <c r="J17" s="28">
        <v>45901</v>
      </c>
      <c r="K17" s="22"/>
      <c r="L17" s="21"/>
      <c r="M17" s="30"/>
      <c r="N17" s="22">
        <f>SUMIFS('İşlem Hisse'!$M$3:$M$460,'İşlem Hisse'!$J$3:$J$460,"&gt;="&amp;$A17,'İşlem Hisse'!$J$3:$J$460,"&lt;="&amp;$B17)</f>
        <v>0</v>
      </c>
      <c r="O17" s="31"/>
      <c r="Q17" s="28">
        <v>45901</v>
      </c>
      <c r="R17" s="22"/>
      <c r="S17" s="21"/>
      <c r="T17" s="30"/>
      <c r="U17" s="22">
        <f>SUMIFS('İşlem Hisse'!$M$3:$M$460,'İşlem Hisse'!$J$3:$J$460,"&gt;="&amp;$A17,'İşlem Hisse'!$J$3:$J$460,"&lt;="&amp;$B17)</f>
        <v>0</v>
      </c>
      <c r="V17" s="31"/>
      <c r="X17" s="28">
        <v>45901</v>
      </c>
      <c r="Y17" s="22"/>
      <c r="Z17" s="21"/>
      <c r="AA17" s="30"/>
      <c r="AB17" s="22">
        <f>SUMIFS('İşlem Hisse'!$M$3:$M$460,'İşlem Hisse'!$J$3:$J$460,"&gt;="&amp;$A17,'İşlem Hisse'!$J$3:$J$460,"&lt;="&amp;$B17)</f>
        <v>0</v>
      </c>
      <c r="AC17" s="31"/>
    </row>
    <row r="18" spans="1:29" x14ac:dyDescent="0.3">
      <c r="A18" s="14">
        <v>45931</v>
      </c>
      <c r="B18" s="14">
        <v>45961</v>
      </c>
      <c r="C18" s="28">
        <v>45931</v>
      </c>
      <c r="D18" s="22"/>
      <c r="E18" s="21"/>
      <c r="F18" s="30"/>
      <c r="G18" s="22">
        <f>SUMIFS('İşlem Hisse'!$L$3:$L$460,'İşlem Hisse'!$J$3:$J$460,"&gt;="&amp;$A18,'İşlem Hisse'!$J$3:$J$460,"&lt;="&amp;$B18)</f>
        <v>0</v>
      </c>
      <c r="H18" s="31"/>
      <c r="J18" s="28">
        <v>45931</v>
      </c>
      <c r="K18" s="22"/>
      <c r="L18" s="21"/>
      <c r="M18" s="30"/>
      <c r="N18" s="22">
        <f>SUMIFS('İşlem Hisse'!$M$3:$M$460,'İşlem Hisse'!$J$3:$J$460,"&gt;="&amp;$A18,'İşlem Hisse'!$J$3:$J$460,"&lt;="&amp;$B18)</f>
        <v>0</v>
      </c>
      <c r="O18" s="31"/>
      <c r="Q18" s="28">
        <v>45931</v>
      </c>
      <c r="R18" s="22"/>
      <c r="S18" s="21"/>
      <c r="T18" s="30"/>
      <c r="U18" s="22">
        <f>SUMIFS('İşlem Hisse'!$M$3:$M$460,'İşlem Hisse'!$J$3:$J$460,"&gt;="&amp;$A18,'İşlem Hisse'!$J$3:$J$460,"&lt;="&amp;$B18)</f>
        <v>0</v>
      </c>
      <c r="V18" s="31"/>
      <c r="X18" s="28">
        <v>45931</v>
      </c>
      <c r="Y18" s="22"/>
      <c r="Z18" s="21"/>
      <c r="AA18" s="30"/>
      <c r="AB18" s="22">
        <f>SUMIFS('İşlem Hisse'!$M$3:$M$460,'İşlem Hisse'!$J$3:$J$460,"&gt;="&amp;$A18,'İşlem Hisse'!$J$3:$J$460,"&lt;="&amp;$B18)</f>
        <v>0</v>
      </c>
      <c r="AC18" s="31"/>
    </row>
    <row r="19" spans="1:29" x14ac:dyDescent="0.3">
      <c r="A19" s="14">
        <v>45962</v>
      </c>
      <c r="B19" s="14">
        <v>45991</v>
      </c>
      <c r="C19" s="28">
        <v>45962</v>
      </c>
      <c r="D19" s="22"/>
      <c r="E19" s="21"/>
      <c r="F19" s="30"/>
      <c r="G19" s="22">
        <f>SUMIFS('İşlem Hisse'!$L$3:$L$460,'İşlem Hisse'!$J$3:$J$460,"&gt;="&amp;$A19,'İşlem Hisse'!$J$3:$J$460,"&lt;="&amp;$B19)</f>
        <v>0</v>
      </c>
      <c r="H19" s="31"/>
      <c r="J19" s="28">
        <v>45962</v>
      </c>
      <c r="K19" s="22"/>
      <c r="L19" s="21"/>
      <c r="M19" s="30"/>
      <c r="N19" s="22">
        <f>SUMIFS('İşlem Hisse'!$M$3:$M$460,'İşlem Hisse'!$J$3:$J$460,"&gt;="&amp;$A19,'İşlem Hisse'!$J$3:$J$460,"&lt;="&amp;$B19)</f>
        <v>0</v>
      </c>
      <c r="O19" s="31"/>
      <c r="Q19" s="28">
        <v>45962</v>
      </c>
      <c r="R19" s="22"/>
      <c r="S19" s="21"/>
      <c r="T19" s="30"/>
      <c r="U19" s="22">
        <f>SUMIFS('İşlem Hisse'!$M$3:$M$460,'İşlem Hisse'!$J$3:$J$460,"&gt;="&amp;$A19,'İşlem Hisse'!$J$3:$J$460,"&lt;="&amp;$B19)</f>
        <v>0</v>
      </c>
      <c r="V19" s="31"/>
      <c r="X19" s="28">
        <v>45962</v>
      </c>
      <c r="Y19" s="22"/>
      <c r="Z19" s="21"/>
      <c r="AA19" s="30"/>
      <c r="AB19" s="22">
        <f>SUMIFS('İşlem Hisse'!$M$3:$M$460,'İşlem Hisse'!$J$3:$J$460,"&gt;="&amp;$A19,'İşlem Hisse'!$J$3:$J$460,"&lt;="&amp;$B19)</f>
        <v>0</v>
      </c>
      <c r="AC19" s="31"/>
    </row>
    <row r="20" spans="1:29" x14ac:dyDescent="0.3">
      <c r="A20" s="14">
        <v>45992</v>
      </c>
      <c r="B20" s="14">
        <v>46022</v>
      </c>
      <c r="C20" s="28">
        <v>45992</v>
      </c>
      <c r="D20" s="22"/>
      <c r="E20" s="21"/>
      <c r="F20" s="30"/>
      <c r="G20" s="22">
        <f>SUMIFS('İşlem Hisse'!$L$3:$L$460,'İşlem Hisse'!$J$3:$J$460,"&gt;="&amp;$A20,'İşlem Hisse'!$J$3:$J$460,"&lt;="&amp;$B20)</f>
        <v>0</v>
      </c>
      <c r="H20" s="31"/>
      <c r="J20" s="28">
        <v>45992</v>
      </c>
      <c r="K20" s="22"/>
      <c r="L20" s="21"/>
      <c r="M20" s="30"/>
      <c r="N20" s="22">
        <f>SUMIFS('İşlem Hisse'!$M$3:$M$460,'İşlem Hisse'!$J$3:$J$460,"&gt;="&amp;$A20,'İşlem Hisse'!$J$3:$J$460,"&lt;="&amp;$B20)</f>
        <v>0</v>
      </c>
      <c r="O20" s="31"/>
      <c r="Q20" s="28">
        <v>45992</v>
      </c>
      <c r="R20" s="22"/>
      <c r="S20" s="21"/>
      <c r="T20" s="30"/>
      <c r="U20" s="22">
        <f>SUMIFS('İşlem Hisse'!$M$3:$M$460,'İşlem Hisse'!$J$3:$J$460,"&gt;="&amp;$A20,'İşlem Hisse'!$J$3:$J$460,"&lt;="&amp;$B20)</f>
        <v>0</v>
      </c>
      <c r="V20" s="31"/>
      <c r="X20" s="28">
        <v>45992</v>
      </c>
      <c r="Y20" s="22"/>
      <c r="Z20" s="21"/>
      <c r="AA20" s="30"/>
      <c r="AB20" s="22">
        <f>SUMIFS('İşlem Hisse'!$M$3:$M$460,'İşlem Hisse'!$J$3:$J$460,"&gt;="&amp;$A20,'İşlem Hisse'!$J$3:$J$460,"&lt;="&amp;$B20)</f>
        <v>0</v>
      </c>
      <c r="AC20" s="31"/>
    </row>
    <row r="21" spans="1:29" x14ac:dyDescent="0.3">
      <c r="C21" s="11"/>
    </row>
    <row r="22" spans="1:29" x14ac:dyDescent="0.3">
      <c r="C22" s="11"/>
    </row>
    <row r="23" spans="1:29" s="15" customFormat="1" ht="33" customHeight="1" x14ac:dyDescent="0.3">
      <c r="C23" s="18" t="s">
        <v>612</v>
      </c>
      <c r="D23" s="19" t="s">
        <v>613</v>
      </c>
      <c r="E23" s="19" t="s">
        <v>614</v>
      </c>
      <c r="F23" s="19" t="s">
        <v>615</v>
      </c>
      <c r="G23" s="19" t="s">
        <v>618</v>
      </c>
      <c r="H23" s="19" t="s">
        <v>621</v>
      </c>
      <c r="J23" s="18" t="s">
        <v>625</v>
      </c>
      <c r="K23" s="19" t="s">
        <v>613</v>
      </c>
      <c r="L23" s="19" t="s">
        <v>614</v>
      </c>
      <c r="M23" s="19" t="s">
        <v>625</v>
      </c>
      <c r="N23" s="19" t="s">
        <v>618</v>
      </c>
      <c r="O23" s="19" t="s">
        <v>621</v>
      </c>
      <c r="Q23" s="18" t="s">
        <v>657</v>
      </c>
      <c r="R23" s="19" t="s">
        <v>613</v>
      </c>
      <c r="S23" s="19" t="s">
        <v>614</v>
      </c>
      <c r="T23" s="19" t="s">
        <v>646</v>
      </c>
      <c r="U23" s="19" t="s">
        <v>618</v>
      </c>
      <c r="V23" s="19" t="s">
        <v>621</v>
      </c>
    </row>
    <row r="24" spans="1:29" x14ac:dyDescent="0.3">
      <c r="C24" s="20" t="s">
        <v>15</v>
      </c>
      <c r="D24" s="21">
        <f>SUMIFS(Tablo1[Adet],Tablo1[Hisse],C24,Tablo1[Durum],"Alış")-SUMIFS(Tablo1[Adet],Tablo1[Hisse],C24,Tablo1[Durum],"Satış")</f>
        <v>35</v>
      </c>
      <c r="E24" s="22">
        <f>IFERROR(SUMIFS(Tablo1[Tutar],Tablo1[Hisse],C24)/D24,"")</f>
        <v>0.77146776406035666</v>
      </c>
      <c r="F24" s="22">
        <f ca="1">IFERROR(VLOOKUP(C24,Hisse!$A$2:$B$631,2,FALSE)/VLOOKUP(TODAY(),'İşlem Hisse'!$J$3:$K$460,2,FALSE),"")</f>
        <v>0.76657534246575343</v>
      </c>
      <c r="G24" s="22">
        <f ca="1">IFERROR(F24*D24,"")</f>
        <v>26.830136986301369</v>
      </c>
      <c r="H24" s="22">
        <f ca="1">IFERROR((F24-E24)*D24,"")</f>
        <v>-0.17123475581111325</v>
      </c>
      <c r="J24" s="20" t="s">
        <v>624</v>
      </c>
      <c r="K24" s="21">
        <f>SUMIFS(Tablo13[Adet],Tablo13[Hisse],J24,Tablo13[Durum],"Alış")-SUMIFS(Tablo13[Adet],Tablo13[Hisse],J24,Tablo13[Durum],"Satış")</f>
        <v>237</v>
      </c>
      <c r="L24" s="22">
        <f>IFERROR(SUMIFS(Tablo13[Tutar],Tablo13[Hisse],J24)/K24,"")</f>
        <v>9.6066176062204939E-2</v>
      </c>
      <c r="M24" s="22">
        <f ca="1">IFERROR(VLOOKUP(J24,'İşlem Fon'!$J$3:$K$32,2,FALSE)/VLOOKUP(TODAY(),'İşlem Hisse'!$J$3:$K$460,2,FALSE),"")</f>
        <v>9.813367123287671E-2</v>
      </c>
      <c r="N24" s="22">
        <f ca="1">IFERROR(M24*K24,"")</f>
        <v>23.257680082191779</v>
      </c>
      <c r="O24" s="22">
        <f ca="1">IFERROR((M24-L24)*K24,"")</f>
        <v>0.48999635544920972</v>
      </c>
      <c r="Q24" s="20" t="s">
        <v>640</v>
      </c>
      <c r="R24" s="21">
        <f>SUMIFS(Tablo134[Adet],Tablo134[Hisse],Q24,Tablo134[Durum],"Alış")-SUMIFS(Tablo134[Adet],Tablo134[Hisse],Q24,Tablo134[Durum],"Satış")</f>
        <v>1</v>
      </c>
      <c r="S24" s="22">
        <f>IFERROR(SUMIFS(Tablo134[Tutar],Tablo134[Hisse],Q24)/R24,"")</f>
        <v>1.06</v>
      </c>
      <c r="T24" s="22">
        <f>IFERROR(VLOOKUP(Q24,'İşlem FonA'!$J$3:$K$16,2,FALSE),"")</f>
        <v>3.32</v>
      </c>
      <c r="U24" s="22">
        <f>IFERROR(T24*R24,"")</f>
        <v>3.32</v>
      </c>
      <c r="V24" s="22">
        <f>IFERROR((T24-S24)*R24,"")</f>
        <v>2.2599999999999998</v>
      </c>
    </row>
    <row r="25" spans="1:29" x14ac:dyDescent="0.3">
      <c r="C25" s="20" t="s">
        <v>55</v>
      </c>
      <c r="D25" s="21">
        <f>SUMIFS(Tablo1[Adet],Tablo1[Hisse],C25,Tablo1[Durum],"Alış")-SUMIFS(Tablo1[Adet],Tablo1[Hisse],C25,Tablo1[Durum],"Satış")</f>
        <v>50</v>
      </c>
      <c r="E25" s="22">
        <f>IFERROR(SUMIFS(Tablo1[Tutar],Tablo1[Hisse],C25)/D25,"")</f>
        <v>1.2951957789502915</v>
      </c>
      <c r="F25" s="22">
        <f ca="1">IFERROR(VLOOKUP(C25,Hisse!$A$2:$B$631,2,FALSE)/VLOOKUP(TODAY(),'İşlem Hisse'!$J$3:$K$460,2,FALSE),"")</f>
        <v>1.2750684931506848</v>
      </c>
      <c r="G25" s="22">
        <f t="shared" ref="G25:G41" ca="1" si="4">IFERROR(F25*D25,"")</f>
        <v>63.753424657534239</v>
      </c>
      <c r="H25" s="22">
        <f t="shared" ref="H25:H41" ca="1" si="5">IFERROR((F25-E25)*D25,"")</f>
        <v>-1.0063642899803327</v>
      </c>
      <c r="J25" s="20" t="s">
        <v>626</v>
      </c>
      <c r="K25" s="21">
        <f>SUMIFS(Tablo13[Adet],Tablo13[Hisse],J25,Tablo13[Durum],"Alış")-SUMIFS(Tablo13[Adet],Tablo13[Hisse],J25,Tablo13[Durum],"Satış")</f>
        <v>931</v>
      </c>
      <c r="L25" s="22">
        <f>IFERROR(SUMIFS(Tablo13[Tutar],Tablo13[Hisse],J25)/K25,"")</f>
        <v>2.9737008310249311E-2</v>
      </c>
      <c r="M25" s="22">
        <f ca="1">IFERROR(VLOOKUP(J25,'İşlem Fon'!$J$3:$K$32,2,FALSE)/VLOOKUP(TODAY(),'İşlem Hisse'!$J$3:$K$460,2,FALSE),"")</f>
        <v>3.0826109589041098E-2</v>
      </c>
      <c r="N25" s="22">
        <f t="shared" ref="N25:N29" ca="1" si="6">IFERROR(M25*K25,"")</f>
        <v>28.699108027397262</v>
      </c>
      <c r="O25" s="22">
        <f t="shared" ref="O25:O29" ca="1" si="7">IFERROR((M25-L25)*K25,"")</f>
        <v>1.0139532905551536</v>
      </c>
      <c r="Q25" s="20" t="s">
        <v>641</v>
      </c>
      <c r="R25" s="21">
        <f>SUMIFS(Tablo134[Adet],Tablo134[Hisse],Q25,Tablo134[Durum],"Alış")-SUMIFS(Tablo134[Adet],Tablo134[Hisse],Q25,Tablo134[Durum],"Satış")</f>
        <v>60</v>
      </c>
      <c r="S25" s="22">
        <f>IFERROR(SUMIFS(Tablo134[Tutar],Tablo134[Hisse],Q25)/R25,"")</f>
        <v>17.88</v>
      </c>
      <c r="T25" s="22">
        <f>IFERROR(VLOOKUP(Q25,'İşlem FonA'!$J$3:$K$16,2,FALSE),"")</f>
        <v>17.940000000000001</v>
      </c>
      <c r="U25" s="22">
        <f t="shared" ref="U25:U41" si="8">IFERROR(T25*R25,"")</f>
        <v>1076.4000000000001</v>
      </c>
      <c r="V25" s="22">
        <f t="shared" ref="V25:V41" si="9">IFERROR((T25-S25)*R25,"")</f>
        <v>3.6000000000001364</v>
      </c>
    </row>
    <row r="26" spans="1:29" x14ac:dyDescent="0.3">
      <c r="C26" s="20" t="s">
        <v>65</v>
      </c>
      <c r="D26" s="21">
        <f>SUMIFS(Tablo1[Adet],Tablo1[Hisse],C26,Tablo1[Durum],"Alış")-SUMIFS(Tablo1[Adet],Tablo1[Hisse],C26,Tablo1[Durum],"Satış")</f>
        <v>14</v>
      </c>
      <c r="E26" s="22">
        <f>IFERROR(SUMIFS(Tablo1[Tutar],Tablo1[Hisse],C26)/D26,"")</f>
        <v>3.0110803324099722</v>
      </c>
      <c r="F26" s="22">
        <f ca="1">IFERROR(VLOOKUP(C26,Hisse!$A$2:$B$631,2,FALSE)/VLOOKUP(TODAY(),'İşlem Hisse'!$J$3:$K$460,2,FALSE),"")</f>
        <v>2.9945205479452053</v>
      </c>
      <c r="G26" s="22">
        <f t="shared" ca="1" si="4"/>
        <v>41.92328767123287</v>
      </c>
      <c r="H26" s="22">
        <f t="shared" ca="1" si="5"/>
        <v>-0.23183698250673679</v>
      </c>
      <c r="J26" s="20" t="s">
        <v>627</v>
      </c>
      <c r="K26" s="21">
        <f>SUMIFS(Tablo13[Adet],Tablo13[Hisse],J26,Tablo13[Durum],"Alış")-SUMIFS(Tablo13[Adet],Tablo13[Hisse],J26,Tablo13[Durum],"Satış")</f>
        <v>303</v>
      </c>
      <c r="L26" s="22">
        <f>IFERROR(SUMIFS(Tablo13[Tutar],Tablo13[Hisse],J26)/K26,"")</f>
        <v>9.1454568175506817E-2</v>
      </c>
      <c r="M26" s="22">
        <f ca="1">IFERROR(VLOOKUP(J26,'İşlem Fon'!$J$3:$K$32,2,FALSE)/VLOOKUP(TODAY(),'İşlem Hisse'!$J$3:$K$460,2,FALSE),"")</f>
        <v>9.1997068493150674E-2</v>
      </c>
      <c r="N26" s="22">
        <f t="shared" ca="1" si="6"/>
        <v>27.875111753424655</v>
      </c>
      <c r="O26" s="22">
        <f t="shared" ca="1" si="7"/>
        <v>0.16437759624608866</v>
      </c>
      <c r="Q26" s="20" t="s">
        <v>642</v>
      </c>
      <c r="R26" s="21">
        <f>SUMIFS(Tablo134[Adet],Tablo134[Hisse],Q26,Tablo134[Durum],"Alış")-SUMIFS(Tablo134[Adet],Tablo134[Hisse],Q26,Tablo134[Durum],"Satış")</f>
        <v>59.446728729999997</v>
      </c>
      <c r="S26" s="22">
        <f>IFERROR(SUMIFS(Tablo134[Tutar],Tablo134[Hisse],Q26)/R26,"")</f>
        <v>15.135399696870756</v>
      </c>
      <c r="T26" s="22">
        <f>IFERROR(VLOOKUP(Q26,'İşlem FonA'!$J$3:$K$16,2,FALSE),"")</f>
        <v>15.53</v>
      </c>
      <c r="U26" s="22">
        <f t="shared" si="8"/>
        <v>923.20769717689996</v>
      </c>
      <c r="V26" s="22">
        <f t="shared" si="9"/>
        <v>23.457697176899885</v>
      </c>
    </row>
    <row r="27" spans="1:29" x14ac:dyDescent="0.3">
      <c r="C27" s="20" t="s">
        <v>126</v>
      </c>
      <c r="D27" s="21">
        <f>SUMIFS(Tablo1[Adet],Tablo1[Hisse],C27,Tablo1[Durum],"Alış")-SUMIFS(Tablo1[Adet],Tablo1[Hisse],C27,Tablo1[Durum],"Satış")</f>
        <v>15</v>
      </c>
      <c r="E27" s="22">
        <f>IFERROR(SUMIFS(Tablo1[Tutar],Tablo1[Hisse],C27)/D27,"")</f>
        <v>2.8161236885698511</v>
      </c>
      <c r="F27" s="22">
        <f ca="1">IFERROR(VLOOKUP(C27,Hisse!$A$2:$B$631,2,FALSE)/VLOOKUP(TODAY(),'İşlem Hisse'!$J$3:$K$460,2,FALSE),"")</f>
        <v>2.7534246575342465</v>
      </c>
      <c r="G27" s="22">
        <f t="shared" ca="1" si="4"/>
        <v>41.301369863013697</v>
      </c>
      <c r="H27" s="22">
        <f t="shared" ca="1" si="5"/>
        <v>-0.94048546553406887</v>
      </c>
      <c r="J27" s="20" t="s">
        <v>628</v>
      </c>
      <c r="K27" s="21">
        <f>SUMIFS(Tablo13[Adet],Tablo13[Hisse],J27,Tablo13[Durum],"Alış")-SUMIFS(Tablo13[Adet],Tablo13[Hisse],J27,Tablo13[Durum],"Satış")</f>
        <v>136</v>
      </c>
      <c r="L27" s="22">
        <f>IFERROR(SUMIFS(Tablo13[Tutar],Tablo13[Hisse],J27)/K27,"")</f>
        <v>0.20325315789473683</v>
      </c>
      <c r="M27" s="22">
        <f ca="1">IFERROR(VLOOKUP(J27,'İşlem Fon'!$J$3:$K$32,2,FALSE)/VLOOKUP(TODAY(),'İşlem Hisse'!$J$3:$K$460,2,FALSE),"")</f>
        <v>0.20306202739726026</v>
      </c>
      <c r="N27" s="22">
        <f t="shared" ca="1" si="6"/>
        <v>27.616435726027394</v>
      </c>
      <c r="O27" s="22">
        <f t="shared" ca="1" si="7"/>
        <v>-2.5993747656813726E-2</v>
      </c>
      <c r="Q27" s="20" t="s">
        <v>643</v>
      </c>
      <c r="R27" s="21">
        <f>SUMIFS(Tablo134[Adet],Tablo134[Hisse],Q27,Tablo134[Durum],"Alış")-SUMIFS(Tablo134[Adet],Tablo134[Hisse],Q27,Tablo134[Durum],"Satış")</f>
        <v>100.513643659</v>
      </c>
      <c r="S27" s="22">
        <f>IFERROR(SUMIFS(Tablo134[Tutar],Tablo134[Hisse],Q27)/R27,"")</f>
        <v>18.594490578221617</v>
      </c>
      <c r="T27" s="22">
        <f>IFERROR(VLOOKUP(Q27,'İşlem FonA'!$J$3:$K$16,2,FALSE),"")</f>
        <v>18.73</v>
      </c>
      <c r="U27" s="22">
        <f t="shared" si="8"/>
        <v>1882.62054573307</v>
      </c>
      <c r="V27" s="22">
        <f t="shared" si="9"/>
        <v>13.620545733069589</v>
      </c>
    </row>
    <row r="28" spans="1:29" x14ac:dyDescent="0.3">
      <c r="C28" s="20" t="s">
        <v>137</v>
      </c>
      <c r="D28" s="21">
        <f>SUMIFS(Tablo1[Adet],Tablo1[Hisse],C28,Tablo1[Durum],"Alış")-SUMIFS(Tablo1[Adet],Tablo1[Hisse],C28,Tablo1[Durum],"Satış")</f>
        <v>90</v>
      </c>
      <c r="E28" s="22">
        <f>IFERROR(SUMIFS(Tablo1[Tutar],Tablo1[Hisse],C28)/D28,"")</f>
        <v>0.7840268251790885</v>
      </c>
      <c r="F28" s="22">
        <f ca="1">IFERROR(VLOOKUP(C28,Hisse!$A$2:$B$631,2,FALSE)/VLOOKUP(TODAY(),'İşlem Hisse'!$J$3:$K$460,2,FALSE),"")</f>
        <v>0.72986301369863016</v>
      </c>
      <c r="G28" s="22">
        <f t="shared" ca="1" si="4"/>
        <v>65.68767123287671</v>
      </c>
      <c r="H28" s="22">
        <f t="shared" ca="1" si="5"/>
        <v>-4.8747430332412511</v>
      </c>
      <c r="J28" s="20" t="s">
        <v>629</v>
      </c>
      <c r="K28" s="21">
        <f>SUMIFS(Tablo13[Adet],Tablo13[Hisse],J28,Tablo13[Durum],"Alış")-SUMIFS(Tablo13[Adet],Tablo13[Hisse],J28,Tablo13[Durum],"Satış")</f>
        <v>455</v>
      </c>
      <c r="L28" s="22">
        <f>IFERROR(SUMIFS(Tablo13[Tutar],Tablo13[Hisse],J28)/K28,"")</f>
        <v>6.0926187170230496E-2</v>
      </c>
      <c r="M28" s="22">
        <f ca="1">IFERROR(VLOOKUP(J28,'İşlem Fon'!$J$3:$K$32,2,FALSE)/VLOOKUP(TODAY(),'İşlem Hisse'!$J$3:$K$460,2,FALSE),"")</f>
        <v>6.1332465753424659E-2</v>
      </c>
      <c r="N28" s="22">
        <f t="shared" ca="1" si="6"/>
        <v>27.906271917808219</v>
      </c>
      <c r="O28" s="22">
        <f t="shared" ca="1" si="7"/>
        <v>0.18485675535334398</v>
      </c>
      <c r="Q28" s="20" t="s">
        <v>644</v>
      </c>
      <c r="R28" s="21">
        <f>SUMIFS(Tablo134[Adet],Tablo134[Hisse],Q28,Tablo134[Durum],"Alış")-SUMIFS(Tablo134[Adet],Tablo134[Hisse],Q28,Tablo134[Durum],"Satış")</f>
        <v>25</v>
      </c>
      <c r="S28" s="22">
        <f>IFERROR(SUMIFS(Tablo134[Tutar],Tablo134[Hisse],Q28)/R28,"")</f>
        <v>27.72</v>
      </c>
      <c r="T28" s="22">
        <f>IFERROR(VLOOKUP(Q28,'İşlem FonA'!$J$3:$K$16,2,FALSE),"")</f>
        <v>22.73</v>
      </c>
      <c r="U28" s="22">
        <f t="shared" si="8"/>
        <v>568.25</v>
      </c>
      <c r="V28" s="22">
        <f t="shared" si="9"/>
        <v>-124.74999999999996</v>
      </c>
    </row>
    <row r="29" spans="1:29" x14ac:dyDescent="0.3">
      <c r="C29" s="20" t="s">
        <v>158</v>
      </c>
      <c r="D29" s="21">
        <f>SUMIFS(Tablo1[Adet],Tablo1[Hisse],C29,Tablo1[Durum],"Alış")-SUMIFS(Tablo1[Adet],Tablo1[Hisse],C29,Tablo1[Durum],"Satış")</f>
        <v>325</v>
      </c>
      <c r="E29" s="22">
        <f>IFERROR(SUMIFS(Tablo1[Tutar],Tablo1[Hisse],C29)/D29,"")</f>
        <v>0.24773954311836038</v>
      </c>
      <c r="F29" s="22">
        <f ca="1">IFERROR(VLOOKUP(C29,Hisse!$A$2:$B$631,2,FALSE)/VLOOKUP(TODAY(),'İşlem Hisse'!$J$3:$K$460,2,FALSE),"")</f>
        <v>0.24</v>
      </c>
      <c r="G29" s="22">
        <f t="shared" ca="1" si="4"/>
        <v>78</v>
      </c>
      <c r="H29" s="22">
        <f t="shared" ca="1" si="5"/>
        <v>-2.5153515134671274</v>
      </c>
      <c r="J29" s="20" t="s">
        <v>630</v>
      </c>
      <c r="K29" s="21">
        <f>SUMIFS(Tablo13[Adet],Tablo13[Hisse],J29,Tablo13[Durum],"Alış")-SUMIFS(Tablo13[Adet],Tablo13[Hisse],J29,Tablo13[Durum],"Satış")</f>
        <v>9641</v>
      </c>
      <c r="L29" s="22">
        <f>IFERROR(SUMIFS(Tablo13[Tutar],Tablo13[Hisse],J29)/K29,"")</f>
        <v>2.8802832546514861E-3</v>
      </c>
      <c r="M29" s="22">
        <f ca="1">IFERROR(VLOOKUP(J29,'İşlem Fon'!$J$3:$K$32,2,FALSE)/VLOOKUP(TODAY(),'İşlem Hisse'!$J$3:$K$460,2,FALSE),"")</f>
        <v>2.9016164383561644E-3</v>
      </c>
      <c r="N29" s="22">
        <f t="shared" ca="1" si="6"/>
        <v>27.974484082191783</v>
      </c>
      <c r="O29" s="22">
        <f t="shared" ca="1" si="7"/>
        <v>0.20567322409680369</v>
      </c>
      <c r="Q29" s="20" t="s">
        <v>645</v>
      </c>
      <c r="R29" s="21">
        <f>SUMIFS(Tablo134[Adet],Tablo134[Hisse],Q29,Tablo134[Durum],"Alış")-SUMIFS(Tablo134[Adet],Tablo134[Hisse],Q29,Tablo134[Durum],"Satış")</f>
        <v>5</v>
      </c>
      <c r="S29" s="22">
        <f>IFERROR(SUMIFS(Tablo134[Tutar],Tablo134[Hisse],Q29)/R29,"")</f>
        <v>4.46</v>
      </c>
      <c r="T29" s="22">
        <f>IFERROR(VLOOKUP(Q29,'İşlem FonA'!$J$3:$K$16,2,FALSE),"")</f>
        <v>2.4</v>
      </c>
      <c r="U29" s="22">
        <f t="shared" si="8"/>
        <v>12</v>
      </c>
      <c r="V29" s="22">
        <f t="shared" si="9"/>
        <v>-10.3</v>
      </c>
    </row>
    <row r="30" spans="1:29" x14ac:dyDescent="0.3">
      <c r="C30" s="20" t="s">
        <v>184</v>
      </c>
      <c r="D30" s="21">
        <f>SUMIFS(Tablo1[Adet],Tablo1[Hisse],C30,Tablo1[Durum],"Alış")-SUMIFS(Tablo1[Adet],Tablo1[Hisse],C30,Tablo1[Durum],"Satış")</f>
        <v>250</v>
      </c>
      <c r="E30" s="22">
        <f>IFERROR(SUMIFS(Tablo1[Tutar],Tablo1[Hisse],C30)/D30,"")</f>
        <v>0.10570184361190692</v>
      </c>
      <c r="F30" s="22">
        <f ca="1">IFERROR(VLOOKUP(C30,Hisse!$A$2:$B$631,2,FALSE)/VLOOKUP(TODAY(),'İşlem Hisse'!$J$3:$K$460,2,FALSE),"")</f>
        <v>0.11780821917808219</v>
      </c>
      <c r="G30" s="22">
        <f t="shared" ca="1" si="4"/>
        <v>29.452054794520549</v>
      </c>
      <c r="H30" s="22">
        <f t="shared" ca="1" si="5"/>
        <v>3.0265938915438189</v>
      </c>
      <c r="J30" s="20" t="s">
        <v>631</v>
      </c>
      <c r="K30" s="21">
        <f>SUMIFS(Tablo13[Adet],Tablo13[Hisse],J30,Tablo13[Durum],"Alış")-SUMIFS(Tablo13[Adet],Tablo13[Hisse],J30,Tablo13[Durum],"Satış")</f>
        <v>469</v>
      </c>
      <c r="L30" s="22">
        <f>IFERROR(SUMIFS(Tablo13[Tutar],Tablo13[Hisse],J30)/K30,"")</f>
        <v>5.9150680366564845E-2</v>
      </c>
      <c r="M30" s="22">
        <f ca="1">IFERROR(VLOOKUP(J30,'İşlem Fon'!$J$3:$K$32,2,FALSE)/VLOOKUP(TODAY(),'İşlem Hisse'!$J$3:$K$460,2,FALSE),"")</f>
        <v>5.9605342465753421E-2</v>
      </c>
      <c r="N30" s="22">
        <f t="shared" ref="N30:N41" ca="1" si="10">IFERROR(M30*K30,"")</f>
        <v>27.954905616438353</v>
      </c>
      <c r="O30" s="22">
        <f t="shared" ref="O30:O41" ca="1" si="11">IFERROR((M30-L30)*K30,"")</f>
        <v>0.21323652451944192</v>
      </c>
      <c r="Q30" s="20"/>
      <c r="R30" s="21">
        <f>SUMIFS(Tablo134[Adet],Tablo134[Hisse],Q30,Tablo134[Durum],"Alış")-SUMIFS(Tablo134[Adet],Tablo134[Hisse],Q30,Tablo134[Durum],"Satış")</f>
        <v>0</v>
      </c>
      <c r="S30" s="22" t="str">
        <f>IFERROR(SUMIFS(Tablo134[Tutar],Tablo134[Hisse],Q30)/R30,"")</f>
        <v/>
      </c>
      <c r="T30" s="22" t="str">
        <f>IFERROR(VLOOKUP(Q30,'İşlem FonA'!$J$3:$K$16,2,FALSE),"")</f>
        <v/>
      </c>
      <c r="U30" s="22" t="str">
        <f t="shared" si="8"/>
        <v/>
      </c>
      <c r="V30" s="22" t="str">
        <f t="shared" si="9"/>
        <v/>
      </c>
    </row>
    <row r="31" spans="1:29" x14ac:dyDescent="0.3">
      <c r="C31" s="20" t="s">
        <v>340</v>
      </c>
      <c r="D31" s="21">
        <f>SUMIFS(Tablo1[Adet],Tablo1[Hisse],C31,Tablo1[Durum],"Alış")-SUMIFS(Tablo1[Adet],Tablo1[Hisse],C31,Tablo1[Durum],"Satış")</f>
        <v>160</v>
      </c>
      <c r="E31" s="22">
        <f>IFERROR(SUMIFS(Tablo1[Tutar],Tablo1[Hisse],C31)/D31,"")</f>
        <v>0.91983026352167874</v>
      </c>
      <c r="F31" s="22">
        <f ca="1">IFERROR(VLOOKUP(C31,Hisse!$A$2:$B$631,2,FALSE)/VLOOKUP(TODAY(),'İşlem Hisse'!$J$3:$K$460,2,FALSE),"")</f>
        <v>0.82191780821917804</v>
      </c>
      <c r="G31" s="22">
        <f t="shared" ca="1" si="4"/>
        <v>131.50684931506848</v>
      </c>
      <c r="H31" s="22">
        <f t="shared" ca="1" si="5"/>
        <v>-15.665992848400112</v>
      </c>
      <c r="J31" s="20" t="s">
        <v>632</v>
      </c>
      <c r="K31" s="21">
        <f>SUMIFS(Tablo13[Adet],Tablo13[Hisse],J31,Tablo13[Durum],"Alış")-SUMIFS(Tablo13[Adet],Tablo13[Hisse],J31,Tablo13[Durum],"Satış")</f>
        <v>147</v>
      </c>
      <c r="L31" s="22">
        <f>IFERROR(SUMIFS(Tablo13[Tutar],Tablo13[Hisse],J31)/K31,"")</f>
        <v>0.18797058171745154</v>
      </c>
      <c r="M31" s="22">
        <f ca="1">IFERROR(VLOOKUP(J31,'İşlem Fon'!$J$3:$K$32,2,FALSE)/VLOOKUP(TODAY(),'İşlem Hisse'!$J$3:$K$460,2,FALSE),"")</f>
        <v>0.18752531506849315</v>
      </c>
      <c r="N31" s="22">
        <f t="shared" ca="1" si="10"/>
        <v>27.566221315068493</v>
      </c>
      <c r="O31" s="22">
        <f t="shared" ca="1" si="11"/>
        <v>-6.5454197396882852E-2</v>
      </c>
      <c r="Q31" s="20"/>
      <c r="R31" s="21">
        <f>SUMIFS(Tablo134[Adet],Tablo134[Hisse],Q31,Tablo134[Durum],"Alış")-SUMIFS(Tablo134[Adet],Tablo134[Hisse],Q31,Tablo134[Durum],"Satış")</f>
        <v>0</v>
      </c>
      <c r="S31" s="22" t="str">
        <f>IFERROR(SUMIFS(Tablo134[Tutar],Tablo134[Hisse],Q31)/R31,"")</f>
        <v/>
      </c>
      <c r="T31" s="22" t="str">
        <f>IFERROR(VLOOKUP(Q31,'İşlem FonA'!$J$3:$K$16,2,FALSE),"")</f>
        <v/>
      </c>
      <c r="U31" s="22" t="str">
        <f t="shared" si="8"/>
        <v/>
      </c>
      <c r="V31" s="22" t="str">
        <f t="shared" si="9"/>
        <v/>
      </c>
    </row>
    <row r="32" spans="1:29" x14ac:dyDescent="0.3">
      <c r="C32" s="20" t="s">
        <v>382</v>
      </c>
      <c r="D32" s="21">
        <f>SUMIFS(Tablo1[Adet],Tablo1[Hisse],C32,Tablo1[Durum],"Alış")-SUMIFS(Tablo1[Adet],Tablo1[Hisse],C32,Tablo1[Durum],"Satış")</f>
        <v>50</v>
      </c>
      <c r="E32" s="22">
        <f>IFERROR(SUMIFS(Tablo1[Tutar],Tablo1[Hisse],C32)/D32,"")</f>
        <v>1.2042278107062812</v>
      </c>
      <c r="F32" s="22">
        <f ca="1">IFERROR(VLOOKUP(C32,Hisse!$A$2:$B$631,2,FALSE)/VLOOKUP(TODAY(),'İşlem Hisse'!$J$3:$K$460,2,FALSE),"")</f>
        <v>1.2838356164383562</v>
      </c>
      <c r="G32" s="22">
        <f t="shared" ca="1" si="4"/>
        <v>64.191780821917803</v>
      </c>
      <c r="H32" s="22">
        <f t="shared" ca="1" si="5"/>
        <v>3.9803902866037522</v>
      </c>
      <c r="J32" s="20" t="s">
        <v>633</v>
      </c>
      <c r="K32" s="21">
        <f>SUMIFS(Tablo13[Adet],Tablo13[Hisse],J32,Tablo13[Durum],"Alış")-SUMIFS(Tablo13[Adet],Tablo13[Hisse],J32,Tablo13[Durum],"Satış")</f>
        <v>326</v>
      </c>
      <c r="L32" s="22">
        <f>IFERROR(SUMIFS(Tablo13[Tutar],Tablo13[Hisse],J32)/K32,"")</f>
        <v>8.5010247153568461E-2</v>
      </c>
      <c r="M32" s="22">
        <f ca="1">IFERROR(VLOOKUP(J32,'İşlem Fon'!$J$3:$K$32,2,FALSE)/VLOOKUP(TODAY(),'İşlem Hisse'!$J$3:$K$460,2,FALSE),"")</f>
        <v>8.5556164383561645E-2</v>
      </c>
      <c r="N32" s="22">
        <f t="shared" ca="1" si="10"/>
        <v>27.891309589041096</v>
      </c>
      <c r="O32" s="22">
        <f t="shared" ca="1" si="11"/>
        <v>0.17796901697777803</v>
      </c>
      <c r="Q32" s="20"/>
      <c r="R32" s="21">
        <f>SUMIFS(Tablo134[Adet],Tablo134[Hisse],Q32,Tablo134[Durum],"Alış")-SUMIFS(Tablo134[Adet],Tablo134[Hisse],Q32,Tablo134[Durum],"Satış")</f>
        <v>0</v>
      </c>
      <c r="S32" s="22" t="str">
        <f>IFERROR(SUMIFS(Tablo134[Tutar],Tablo134[Hisse],Q32)/R32,"")</f>
        <v/>
      </c>
      <c r="T32" s="22" t="str">
        <f>IFERROR(VLOOKUP(Q32,'İşlem FonA'!$J$3:$K$16,2,FALSE),"")</f>
        <v/>
      </c>
      <c r="U32" s="22" t="str">
        <f t="shared" si="8"/>
        <v/>
      </c>
      <c r="V32" s="22" t="str">
        <f t="shared" si="9"/>
        <v/>
      </c>
    </row>
    <row r="33" spans="3:22" x14ac:dyDescent="0.3">
      <c r="C33" s="20" t="s">
        <v>464</v>
      </c>
      <c r="D33" s="21">
        <f>SUMIFS(Tablo1[Adet],Tablo1[Hisse],C33,Tablo1[Durum],"Alış")-SUMIFS(Tablo1[Adet],Tablo1[Hisse],C33,Tablo1[Durum],"Satış")</f>
        <v>200</v>
      </c>
      <c r="E33" s="22">
        <f>IFERROR(SUMIFS(Tablo1[Tutar],Tablo1[Hisse],C33)/D33,"")</f>
        <v>0.11615195289885637</v>
      </c>
      <c r="F33" s="22">
        <f ca="1">IFERROR(VLOOKUP(C33,Hisse!$A$2:$B$631,2,FALSE)/VLOOKUP(TODAY(),'İşlem Hisse'!$J$3:$K$460,2,FALSE),"")</f>
        <v>0.14082191780821918</v>
      </c>
      <c r="G33" s="22">
        <f t="shared" ca="1" si="4"/>
        <v>28.164383561643834</v>
      </c>
      <c r="H33" s="22">
        <f t="shared" ca="1" si="5"/>
        <v>4.9339929818725619</v>
      </c>
      <c r="J33" s="20" t="s">
        <v>634</v>
      </c>
      <c r="K33" s="21">
        <f>SUMIFS(Tablo13[Adet],Tablo13[Hisse],J33,Tablo13[Durum],"Alış")-SUMIFS(Tablo13[Adet],Tablo13[Hisse],J33,Tablo13[Durum],"Satış")</f>
        <v>1831</v>
      </c>
      <c r="L33" s="22">
        <f>IFERROR(SUMIFS(Tablo13[Tutar],Tablo13[Hisse],J33)/K33,"")</f>
        <v>1.5120664819944597E-2</v>
      </c>
      <c r="M33" s="22">
        <f ca="1">IFERROR(VLOOKUP(J33,'İşlem Fon'!$J$3:$K$32,2,FALSE)/VLOOKUP(TODAY(),'İşlem Hisse'!$J$3:$K$460,2,FALSE),"")</f>
        <v>1.5674794520547947E-2</v>
      </c>
      <c r="N33" s="22">
        <f t="shared" ca="1" si="10"/>
        <v>28.700548767123291</v>
      </c>
      <c r="O33" s="22">
        <f t="shared" ca="1" si="11"/>
        <v>1.014611481804734</v>
      </c>
      <c r="Q33" s="20"/>
      <c r="R33" s="21">
        <f>SUMIFS(Tablo134[Adet],Tablo134[Hisse],Q33,Tablo134[Durum],"Alış")-SUMIFS(Tablo134[Adet],Tablo134[Hisse],Q33,Tablo134[Durum],"Satış")</f>
        <v>0</v>
      </c>
      <c r="S33" s="22" t="str">
        <f>IFERROR(SUMIFS(Tablo134[Tutar],Tablo134[Hisse],Q33)/R33,"")</f>
        <v/>
      </c>
      <c r="T33" s="22" t="str">
        <f>IFERROR(VLOOKUP(Q33,'İşlem FonA'!$J$3:$K$16,2,FALSE),"")</f>
        <v/>
      </c>
      <c r="U33" s="22" t="str">
        <f t="shared" si="8"/>
        <v/>
      </c>
      <c r="V33" s="22" t="str">
        <f t="shared" si="9"/>
        <v/>
      </c>
    </row>
    <row r="34" spans="3:22" x14ac:dyDescent="0.3">
      <c r="C34" s="20" t="s">
        <v>419</v>
      </c>
      <c r="D34" s="21">
        <f>SUMIFS(Tablo1[Adet],Tablo1[Hisse],C34,Tablo1[Durum],"Alış")-SUMIFS(Tablo1[Adet],Tablo1[Hisse],C34,Tablo1[Durum],"Satış")</f>
        <v>70</v>
      </c>
      <c r="E34" s="22">
        <f>IFERROR(SUMIFS(Tablo1[Tutar],Tablo1[Hisse],C34)/D34,"")</f>
        <v>0.8367626886145404</v>
      </c>
      <c r="F34" s="22">
        <f ca="1">IFERROR(VLOOKUP(C34,Hisse!$A$2:$B$631,2,FALSE)/VLOOKUP(TODAY(),'İşlem Hisse'!$J$3:$K$460,2,FALSE),"")</f>
        <v>0.7972602739726028</v>
      </c>
      <c r="G34" s="22">
        <f t="shared" ca="1" si="4"/>
        <v>55.808219178082197</v>
      </c>
      <c r="H34" s="22">
        <f t="shared" ca="1" si="5"/>
        <v>-2.765169024935632</v>
      </c>
      <c r="J34" s="20" t="s">
        <v>635</v>
      </c>
      <c r="K34" s="21">
        <f>SUMIFS(Tablo13[Adet],Tablo13[Hisse],J34,Tablo13[Durum],"Alış")-SUMIFS(Tablo13[Adet],Tablo13[Hisse],J34,Tablo13[Durum],"Satış")</f>
        <v>2000</v>
      </c>
      <c r="L34" s="22">
        <f>IFERROR(SUMIFS(Tablo13[Tutar],Tablo13[Hisse],J34)/K34,"")</f>
        <v>1.2233739612188365E-2</v>
      </c>
      <c r="M34" s="22">
        <f ca="1">IFERROR(VLOOKUP(J34,'İşlem Fon'!$J$3:$K$32,2,FALSE)/VLOOKUP(TODAY(),'İşlem Hisse'!$J$3:$K$460,2,FALSE),"")</f>
        <v>1.2490849315068492E-2</v>
      </c>
      <c r="N34" s="22">
        <f t="shared" ca="1" si="10"/>
        <v>24.981698630136986</v>
      </c>
      <c r="O34" s="22">
        <f t="shared" ca="1" si="11"/>
        <v>0.51421940576025504</v>
      </c>
      <c r="Q34" s="20"/>
      <c r="R34" s="21">
        <f>SUMIFS(Tablo134[Adet],Tablo134[Hisse],Q34,Tablo134[Durum],"Alış")-SUMIFS(Tablo134[Adet],Tablo134[Hisse],Q34,Tablo134[Durum],"Satış")</f>
        <v>0</v>
      </c>
      <c r="S34" s="22" t="str">
        <f>IFERROR(SUMIFS(Tablo134[Tutar],Tablo134[Hisse],Q34)/R34,"")</f>
        <v/>
      </c>
      <c r="T34" s="22" t="str">
        <f>IFERROR(VLOOKUP(Q34,'İşlem FonA'!$J$3:$K$16,2,FALSE),"")</f>
        <v/>
      </c>
      <c r="U34" s="22" t="str">
        <f t="shared" si="8"/>
        <v/>
      </c>
      <c r="V34" s="22" t="str">
        <f t="shared" si="9"/>
        <v/>
      </c>
    </row>
    <row r="35" spans="3:22" x14ac:dyDescent="0.3">
      <c r="C35" s="20" t="s">
        <v>423</v>
      </c>
      <c r="D35" s="21">
        <f>SUMIFS(Tablo1[Adet],Tablo1[Hisse],C35,Tablo1[Durum],"Alış")-SUMIFS(Tablo1[Adet],Tablo1[Hisse],C35,Tablo1[Durum],"Satış")</f>
        <v>22</v>
      </c>
      <c r="E35" s="22">
        <f>IFERROR(SUMIFS(Tablo1[Tutar],Tablo1[Hisse],C35)/D35,"")</f>
        <v>2.6178010471204192</v>
      </c>
      <c r="F35" s="22">
        <f ca="1">IFERROR(VLOOKUP(C35,Hisse!$A$2:$B$631,2,FALSE)/VLOOKUP(TODAY(),'İşlem Hisse'!$J$3:$K$460,2,FALSE),"")</f>
        <v>2.6479452054794521</v>
      </c>
      <c r="G35" s="22">
        <f t="shared" ca="1" si="4"/>
        <v>58.254794520547946</v>
      </c>
      <c r="H35" s="22">
        <f t="shared" ca="1" si="5"/>
        <v>0.66317148389872482</v>
      </c>
      <c r="J35" s="20" t="s">
        <v>636</v>
      </c>
      <c r="K35" s="21">
        <f>SUMIFS(Tablo13[Adet],Tablo13[Hisse],J35,Tablo13[Durum],"Alış")-SUMIFS(Tablo13[Adet],Tablo13[Hisse],J35,Tablo13[Durum],"Satış")</f>
        <v>7901</v>
      </c>
      <c r="L35" s="22">
        <f>IFERROR(SUMIFS(Tablo13[Tutar],Tablo13[Hisse],J35)/K35,"")</f>
        <v>3.5147459039155796E-3</v>
      </c>
      <c r="M35" s="22">
        <f ca="1">IFERROR(VLOOKUP(J35,'İşlem Fon'!$J$3:$K$32,2,FALSE)/VLOOKUP(TODAY(),'İşlem Hisse'!$J$3:$K$460,2,FALSE),"")</f>
        <v>3.5371232876712328E-3</v>
      </c>
      <c r="N35" s="22">
        <f t="shared" ca="1" si="10"/>
        <v>27.946811095890411</v>
      </c>
      <c r="O35" s="22">
        <f t="shared" ca="1" si="11"/>
        <v>0.17680370905341591</v>
      </c>
      <c r="Q35" s="20"/>
      <c r="R35" s="21">
        <f>SUMIFS(Tablo134[Adet],Tablo134[Hisse],Q35,Tablo134[Durum],"Alış")-SUMIFS(Tablo134[Adet],Tablo134[Hisse],Q35,Tablo134[Durum],"Satış")</f>
        <v>0</v>
      </c>
      <c r="S35" s="22" t="str">
        <f>IFERROR(SUMIFS(Tablo134[Tutar],Tablo134[Hisse],Q35)/R35,"")</f>
        <v/>
      </c>
      <c r="T35" s="22" t="str">
        <f>IFERROR(VLOOKUP(Q35,'İşlem FonA'!$J$3:$K$16,2,FALSE),"")</f>
        <v/>
      </c>
      <c r="U35" s="22" t="str">
        <f t="shared" si="8"/>
        <v/>
      </c>
      <c r="V35" s="22" t="str">
        <f t="shared" si="9"/>
        <v/>
      </c>
    </row>
    <row r="36" spans="3:22" x14ac:dyDescent="0.3">
      <c r="C36" s="23" t="s">
        <v>515</v>
      </c>
      <c r="D36" s="21">
        <f>SUMIFS(Tablo1[Adet],Tablo1[Hisse],C36,Tablo1[Durum],"Alış")-SUMIFS(Tablo1[Adet],Tablo1[Hisse],C36,Tablo1[Durum],"Satış")</f>
        <v>410</v>
      </c>
      <c r="E36" s="22">
        <f>IFERROR(SUMIFS(Tablo1[Tutar],Tablo1[Hisse],C36)/D36,"")</f>
        <v>0.13607331296861985</v>
      </c>
      <c r="F36" s="22">
        <f ca="1">IFERROR(VLOOKUP(C36,Hisse!$A$2:$B$631,2,FALSE)/VLOOKUP(TODAY(),'İşlem Hisse'!$J$3:$K$460,2,FALSE),"")</f>
        <v>0.12986301369863015</v>
      </c>
      <c r="G36" s="22">
        <f t="shared" ca="1" si="4"/>
        <v>53.243835616438361</v>
      </c>
      <c r="H36" s="22">
        <f t="shared" ca="1" si="5"/>
        <v>-2.5462227006957767</v>
      </c>
      <c r="J36" s="20" t="s">
        <v>637</v>
      </c>
      <c r="K36" s="21">
        <f>SUMIFS(Tablo13[Adet],Tablo13[Hisse],J36,Tablo13[Durum],"Alış")-SUMIFS(Tablo13[Adet],Tablo13[Hisse],J36,Tablo13[Durum],"Satış")</f>
        <v>2936</v>
      </c>
      <c r="L36" s="22">
        <f>IFERROR(SUMIFS(Tablo13[Tutar],Tablo13[Hisse],J36)/K36,"")</f>
        <v>9.4333795013850415E-3</v>
      </c>
      <c r="M36" s="22">
        <f ca="1">IFERROR(VLOOKUP(J36,'İşlem Fon'!$J$3:$K$32,2,FALSE)/VLOOKUP(TODAY(),'İşlem Hisse'!$J$3:$K$460,2,FALSE),"")</f>
        <v>9.722493150684932E-3</v>
      </c>
      <c r="N36" s="22">
        <f t="shared" ca="1" si="10"/>
        <v>28.545239890410961</v>
      </c>
      <c r="O36" s="22">
        <f t="shared" ca="1" si="11"/>
        <v>0.84883767434447843</v>
      </c>
      <c r="Q36" s="20"/>
      <c r="R36" s="21">
        <f>SUMIFS(Tablo134[Adet],Tablo134[Hisse],Q36,Tablo134[Durum],"Alış")-SUMIFS(Tablo134[Adet],Tablo134[Hisse],Q36,Tablo134[Durum],"Satış")</f>
        <v>0</v>
      </c>
      <c r="S36" s="22" t="str">
        <f>IFERROR(SUMIFS(Tablo134[Tutar],Tablo134[Hisse],Q36)/R36,"")</f>
        <v/>
      </c>
      <c r="T36" s="22" t="str">
        <f>IFERROR(VLOOKUP(Q36,'İşlem FonA'!$J$3:$K$16,2,FALSE),"")</f>
        <v/>
      </c>
      <c r="U36" s="22" t="str">
        <f t="shared" si="8"/>
        <v/>
      </c>
      <c r="V36" s="22" t="str">
        <f t="shared" si="9"/>
        <v/>
      </c>
    </row>
    <row r="37" spans="3:22" x14ac:dyDescent="0.3">
      <c r="C37" s="23" t="s">
        <v>531</v>
      </c>
      <c r="D37" s="21">
        <f>SUMIFS(Tablo1[Adet],Tablo1[Hisse],C37,Tablo1[Durum],"Alış")-SUMIFS(Tablo1[Adet],Tablo1[Hisse],C37,Tablo1[Durum],"Satış")</f>
        <v>25</v>
      </c>
      <c r="E37" s="22">
        <f>IFERROR(SUMIFS(Tablo1[Tutar],Tablo1[Hisse],C37)/D37,"")</f>
        <v>7.1374035356576</v>
      </c>
      <c r="F37" s="22">
        <f ca="1">IFERROR(VLOOKUP(C37,Hisse!$A$2:$B$631,2,FALSE)/VLOOKUP(TODAY(),'İşlem Hisse'!$J$3:$K$460,2,FALSE),"")</f>
        <v>6.8328767123287673</v>
      </c>
      <c r="G37" s="22">
        <f t="shared" ca="1" si="4"/>
        <v>170.82191780821918</v>
      </c>
      <c r="H37" s="22">
        <f t="shared" ca="1" si="5"/>
        <v>-7.6131705832208185</v>
      </c>
      <c r="J37" s="20" t="s">
        <v>638</v>
      </c>
      <c r="K37" s="21">
        <f>SUMIFS(Tablo13[Adet],Tablo13[Hisse],J37,Tablo13[Durum],"Alış")-SUMIFS(Tablo13[Adet],Tablo13[Hisse],J37,Tablo13[Durum],"Satış")</f>
        <v>118</v>
      </c>
      <c r="L37" s="22">
        <f>IFERROR(SUMIFS(Tablo13[Tutar],Tablo13[Hisse],J37)/K37,"")</f>
        <v>0.26779180055401663</v>
      </c>
      <c r="M37" s="22">
        <f ca="1">IFERROR(VLOOKUP(J37,'İşlem Fon'!$J$3:$K$32,2,FALSE)/VLOOKUP(TODAY(),'İşlem Hisse'!$J$3:$K$460,2,FALSE),"")</f>
        <v>0.28755827397260275</v>
      </c>
      <c r="N37" s="22">
        <f t="shared" ca="1" si="10"/>
        <v>33.931876328767125</v>
      </c>
      <c r="O37" s="22">
        <f t="shared" ca="1" si="11"/>
        <v>2.3324438633931619</v>
      </c>
      <c r="Q37" s="20"/>
      <c r="R37" s="21">
        <f>SUMIFS(Tablo134[Adet],Tablo134[Hisse],Q37,Tablo134[Durum],"Alış")-SUMIFS(Tablo134[Adet],Tablo134[Hisse],Q37,Tablo134[Durum],"Satış")</f>
        <v>0</v>
      </c>
      <c r="S37" s="22" t="str">
        <f>IFERROR(SUMIFS(Tablo134[Tutar],Tablo134[Hisse],Q37)/R37,"")</f>
        <v/>
      </c>
      <c r="T37" s="22" t="str">
        <f>IFERROR(VLOOKUP(Q37,'İşlem FonA'!$J$3:$K$16,2,FALSE),"")</f>
        <v/>
      </c>
      <c r="U37" s="22" t="str">
        <f t="shared" si="8"/>
        <v/>
      </c>
      <c r="V37" s="22" t="str">
        <f t="shared" si="9"/>
        <v/>
      </c>
    </row>
    <row r="38" spans="3:22" x14ac:dyDescent="0.3">
      <c r="C38" s="23" t="s">
        <v>547</v>
      </c>
      <c r="D38" s="21">
        <f>SUMIFS(Tablo1[Adet],Tablo1[Hisse],C38,Tablo1[Durum],"Alış")-SUMIFS(Tablo1[Adet],Tablo1[Hisse],C38,Tablo1[Durum],"Satış")</f>
        <v>20</v>
      </c>
      <c r="E38" s="22">
        <f>IFERROR(SUMIFS(Tablo1[Tutar],Tablo1[Hisse],C38)/D38,"")</f>
        <v>1.3137827388998586</v>
      </c>
      <c r="F38" s="22">
        <f ca="1">IFERROR(VLOOKUP(C38,Hisse!$A$2:$B$631,2,FALSE)/VLOOKUP(TODAY(),'İşlem Hisse'!$J$3:$K$460,2,FALSE),"")</f>
        <v>1.3578082191780823</v>
      </c>
      <c r="G38" s="22">
        <f t="shared" ca="1" si="4"/>
        <v>27.156164383561645</v>
      </c>
      <c r="H38" s="22">
        <f t="shared" ca="1" si="5"/>
        <v>0.88050960556447233</v>
      </c>
      <c r="J38" s="23"/>
      <c r="K38" s="21">
        <f>SUMIFS(Tablo13[Adet],Tablo13[Hisse],J38,Tablo13[Durum],"Alış")-SUMIFS(Tablo13[Adet],Tablo13[Hisse],J38,Tablo13[Durum],"Satış")</f>
        <v>0</v>
      </c>
      <c r="L38" s="22" t="str">
        <f>IFERROR(SUMIFS(Tablo13[Tutar],Tablo13[Hisse],J38)/K38,"")</f>
        <v/>
      </c>
      <c r="M38" s="22" t="str">
        <f ca="1">IFERROR(VLOOKUP(J38,'İşlem Fon'!$J$3:$K$32,2,FALSE)/VLOOKUP(TODAY(),'İşlem Hisse'!$J$3:$K$460,2,FALSE),"")</f>
        <v/>
      </c>
      <c r="N38" s="22" t="str">
        <f t="shared" ca="1" si="10"/>
        <v/>
      </c>
      <c r="O38" s="22" t="str">
        <f t="shared" ca="1" si="11"/>
        <v/>
      </c>
      <c r="Q38" s="23"/>
      <c r="R38" s="21">
        <f>SUMIFS(Tablo134[Adet],Tablo134[Hisse],Q38,Tablo134[Durum],"Alış")-SUMIFS(Tablo134[Adet],Tablo134[Hisse],Q38,Tablo134[Durum],"Satış")</f>
        <v>0</v>
      </c>
      <c r="S38" s="22" t="str">
        <f>IFERROR(SUMIFS(Tablo134[Tutar],Tablo134[Hisse],Q38)/R38,"")</f>
        <v/>
      </c>
      <c r="T38" s="22" t="str">
        <f>IFERROR(VLOOKUP(Q38,'İşlem FonA'!$J$3:$K$16,2,FALSE),"")</f>
        <v/>
      </c>
      <c r="U38" s="22" t="str">
        <f t="shared" si="8"/>
        <v/>
      </c>
      <c r="V38" s="22" t="str">
        <f t="shared" si="9"/>
        <v/>
      </c>
    </row>
    <row r="39" spans="3:22" x14ac:dyDescent="0.3">
      <c r="C39" s="23" t="s">
        <v>577</v>
      </c>
      <c r="D39" s="21">
        <f>SUMIFS(Tablo1[Adet],Tablo1[Hisse],C39,Tablo1[Durum],"Alış")-SUMIFS(Tablo1[Adet],Tablo1[Hisse],C39,Tablo1[Durum],"Satış")</f>
        <v>140</v>
      </c>
      <c r="E39" s="22">
        <f>IFERROR(SUMIFS(Tablo1[Tutar],Tablo1[Hisse],C39)/D39,"")</f>
        <v>0.64273982319448986</v>
      </c>
      <c r="F39" s="22">
        <f ca="1">IFERROR(VLOOKUP(C39,Hisse!$A$2:$B$631,2,FALSE)/VLOOKUP(TODAY(),'İşlem Hisse'!$J$3:$K$460,2,FALSE),"")</f>
        <v>0.57698630136986295</v>
      </c>
      <c r="G39" s="22">
        <f t="shared" ca="1" si="4"/>
        <v>80.778082191780811</v>
      </c>
      <c r="H39" s="22">
        <f t="shared" ca="1" si="5"/>
        <v>-9.2054930554477661</v>
      </c>
      <c r="J39" s="23"/>
      <c r="K39" s="21">
        <f>SUMIFS(Tablo13[Adet],Tablo13[Hisse],J39,Tablo13[Durum],"Alış")-SUMIFS(Tablo13[Adet],Tablo13[Hisse],J39,Tablo13[Durum],"Satış")</f>
        <v>0</v>
      </c>
      <c r="L39" s="22" t="str">
        <f>IFERROR(SUMIFS(Tablo13[Tutar],Tablo13[Hisse],J39)/K39,"")</f>
        <v/>
      </c>
      <c r="M39" s="22" t="str">
        <f ca="1">IFERROR(VLOOKUP(J39,'İşlem Fon'!$J$3:$K$32,2,FALSE)/VLOOKUP(TODAY(),'İşlem Hisse'!$J$3:$K$460,2,FALSE),"")</f>
        <v/>
      </c>
      <c r="N39" s="22" t="str">
        <f t="shared" ca="1" si="10"/>
        <v/>
      </c>
      <c r="O39" s="22" t="str">
        <f t="shared" ca="1" si="11"/>
        <v/>
      </c>
      <c r="Q39" s="23"/>
      <c r="R39" s="21">
        <f>SUMIFS(Tablo134[Adet],Tablo134[Hisse],Q39,Tablo134[Durum],"Alış")-SUMIFS(Tablo134[Adet],Tablo134[Hisse],Q39,Tablo134[Durum],"Satış")</f>
        <v>0</v>
      </c>
      <c r="S39" s="22" t="str">
        <f>IFERROR(SUMIFS(Tablo134[Tutar],Tablo134[Hisse],Q39)/R39,"")</f>
        <v/>
      </c>
      <c r="T39" s="22" t="str">
        <f>IFERROR(VLOOKUP(Q39,'İşlem FonA'!$J$3:$K$16,2,FALSE),"")</f>
        <v/>
      </c>
      <c r="U39" s="22" t="str">
        <f t="shared" si="8"/>
        <v/>
      </c>
      <c r="V39" s="22" t="str">
        <f t="shared" si="9"/>
        <v/>
      </c>
    </row>
    <row r="40" spans="3:22" x14ac:dyDescent="0.3">
      <c r="C40" s="23"/>
      <c r="D40" s="21">
        <f>SUMIFS(Tablo1[Adet],Tablo1[Hisse],C40,Tablo1[Durum],"Alış")-SUMIFS(Tablo1[Adet],Tablo1[Hisse],C40,Tablo1[Durum],"Satış")</f>
        <v>0</v>
      </c>
      <c r="E40" s="22" t="str">
        <f>IFERROR(SUMIFS(Tablo1[Tutar],Tablo1[Hisse],C40)/D40,"")</f>
        <v/>
      </c>
      <c r="F40" s="22" t="str">
        <f ca="1">IFERROR(VLOOKUP(C40,Hisse!$A$2:$B$631,2,FALSE)/VLOOKUP(TODAY(),'İşlem Hisse'!$J$3:$K$460,2,FALSE),"")</f>
        <v/>
      </c>
      <c r="G40" s="22" t="str">
        <f t="shared" ca="1" si="4"/>
        <v/>
      </c>
      <c r="H40" s="22" t="str">
        <f t="shared" ca="1" si="5"/>
        <v/>
      </c>
      <c r="J40" s="23"/>
      <c r="K40" s="21">
        <f>SUMIFS(Tablo13[Adet],Tablo13[Hisse],J40,Tablo13[Durum],"Alış")-SUMIFS(Tablo13[Adet],Tablo13[Hisse],J40,Tablo13[Durum],"Satış")</f>
        <v>0</v>
      </c>
      <c r="L40" s="22" t="str">
        <f>IFERROR(SUMIFS(Tablo13[Tutar],Tablo13[Hisse],J40)/K40,"")</f>
        <v/>
      </c>
      <c r="M40" s="22" t="str">
        <f ca="1">IFERROR(VLOOKUP(J40,'İşlem Fon'!$J$3:$K$32,2,FALSE)/VLOOKUP(TODAY(),'İşlem Hisse'!$J$3:$K$460,2,FALSE),"")</f>
        <v/>
      </c>
      <c r="N40" s="22" t="str">
        <f t="shared" ca="1" si="10"/>
        <v/>
      </c>
      <c r="O40" s="22" t="str">
        <f t="shared" ca="1" si="11"/>
        <v/>
      </c>
      <c r="Q40" s="23"/>
      <c r="R40" s="21">
        <f>SUMIFS(Tablo134[Adet],Tablo134[Hisse],Q40,Tablo134[Durum],"Alış")-SUMIFS(Tablo134[Adet],Tablo134[Hisse],Q40,Tablo134[Durum],"Satış")</f>
        <v>0</v>
      </c>
      <c r="S40" s="22" t="str">
        <f>IFERROR(SUMIFS(Tablo134[Tutar],Tablo134[Hisse],Q40)/R40,"")</f>
        <v/>
      </c>
      <c r="T40" s="22" t="str">
        <f>IFERROR(VLOOKUP(Q40,'İşlem FonA'!$J$3:$K$16,2,FALSE),"")</f>
        <v/>
      </c>
      <c r="U40" s="22" t="str">
        <f t="shared" si="8"/>
        <v/>
      </c>
      <c r="V40" s="22" t="str">
        <f t="shared" si="9"/>
        <v/>
      </c>
    </row>
    <row r="41" spans="3:22" x14ac:dyDescent="0.3">
      <c r="C41" s="23"/>
      <c r="D41" s="21">
        <f>SUMIFS(Tablo1[Adet],Tablo1[Hisse],C41,Tablo1[Durum],"Alış")-SUMIFS(Tablo1[Adet],Tablo1[Hisse],C41,Tablo1[Durum],"Satış")</f>
        <v>0</v>
      </c>
      <c r="E41" s="22" t="str">
        <f>IFERROR(SUMIFS(Tablo1[Tutar],Tablo1[Hisse],C41)/D41,"")</f>
        <v/>
      </c>
      <c r="F41" s="22" t="str">
        <f ca="1">IFERROR(VLOOKUP(C41,Hisse!$A$2:$B$631,2,FALSE)/VLOOKUP(TODAY(),'İşlem Hisse'!$J$3:$K$460,2,FALSE),"")</f>
        <v/>
      </c>
      <c r="G41" s="22" t="str">
        <f t="shared" ca="1" si="4"/>
        <v/>
      </c>
      <c r="H41" s="22" t="str">
        <f t="shared" ca="1" si="5"/>
        <v/>
      </c>
      <c r="J41" s="23"/>
      <c r="K41" s="21">
        <f>SUMIFS(Tablo13[Adet],Tablo13[Hisse],J41,Tablo13[Durum],"Alış")-SUMIFS(Tablo13[Adet],Tablo13[Hisse],J41,Tablo13[Durum],"Satış")</f>
        <v>0</v>
      </c>
      <c r="L41" s="22" t="str">
        <f>IFERROR(SUMIFS(Tablo13[Tutar],Tablo13[Hisse],J41)/K41,"")</f>
        <v/>
      </c>
      <c r="M41" s="22" t="str">
        <f ca="1">IFERROR(VLOOKUP(J41,'İşlem Fon'!$J$3:$K$32,2,FALSE)/VLOOKUP(TODAY(),'İşlem Hisse'!$J$3:$K$460,2,FALSE),"")</f>
        <v/>
      </c>
      <c r="N41" s="22" t="str">
        <f t="shared" ca="1" si="10"/>
        <v/>
      </c>
      <c r="O41" s="22" t="str">
        <f t="shared" ca="1" si="11"/>
        <v/>
      </c>
      <c r="Q41" s="23"/>
      <c r="R41" s="21">
        <f>SUMIFS(Tablo134[Adet],Tablo134[Hisse],Q41,Tablo134[Durum],"Alış")-SUMIFS(Tablo134[Adet],Tablo134[Hisse],Q41,Tablo134[Durum],"Satış")</f>
        <v>0</v>
      </c>
      <c r="S41" s="22" t="str">
        <f>IFERROR(SUMIFS(Tablo134[Tutar],Tablo134[Hisse],Q41)/R41,"")</f>
        <v/>
      </c>
      <c r="T41" s="22" t="str">
        <f>IFERROR(VLOOKUP(Q41,'İşlem FonA'!$J$3:$K$16,2,FALSE),"")</f>
        <v/>
      </c>
      <c r="U41" s="22" t="str">
        <f t="shared" si="8"/>
        <v/>
      </c>
      <c r="V41" s="22" t="str">
        <f t="shared" si="9"/>
        <v/>
      </c>
    </row>
    <row r="42" spans="3:22" x14ac:dyDescent="0.3">
      <c r="C42" s="20" t="s">
        <v>619</v>
      </c>
      <c r="D42" s="24"/>
      <c r="E42" s="25"/>
      <c r="F42" s="25"/>
      <c r="G42" s="25">
        <f ca="1">SUM(G24:G41)</f>
        <v>1016.8739726027395</v>
      </c>
      <c r="H42" s="25">
        <f ca="1">SUM(H24:H41)</f>
        <v>-34.0514060037574</v>
      </c>
      <c r="J42" s="20" t="s">
        <v>619</v>
      </c>
      <c r="K42" s="24"/>
      <c r="L42" s="25"/>
      <c r="M42" s="25"/>
      <c r="N42" s="25">
        <f ca="1">SUM(N24:N41)</f>
        <v>390.84770282191789</v>
      </c>
      <c r="O42" s="25">
        <f ca="1">SUM(O24:O41)</f>
        <v>7.2455309525001681</v>
      </c>
      <c r="Q42" s="20" t="s">
        <v>619</v>
      </c>
      <c r="R42" s="24"/>
      <c r="S42" s="25"/>
      <c r="T42" s="25"/>
      <c r="U42" s="25">
        <f>SUM(U24:U41)</f>
        <v>4465.7982429099702</v>
      </c>
      <c r="V42" s="25">
        <f>SUM(V24:V41)</f>
        <v>-92.111757090030338</v>
      </c>
    </row>
    <row r="43" spans="3:22" x14ac:dyDescent="0.3">
      <c r="E43" s="13"/>
      <c r="F43" s="13"/>
      <c r="G43" s="13"/>
      <c r="H43" s="13"/>
    </row>
    <row r="44" spans="3:22" x14ac:dyDescent="0.3">
      <c r="E44" s="13"/>
      <c r="F44" s="13"/>
      <c r="G44" s="13"/>
      <c r="H44" s="13"/>
    </row>
    <row r="45" spans="3:22" x14ac:dyDescent="0.3">
      <c r="E45" s="10"/>
      <c r="F45" s="13"/>
      <c r="G45" s="13"/>
      <c r="H45" s="13"/>
    </row>
    <row r="46" spans="3:22" x14ac:dyDescent="0.3">
      <c r="E46" s="10"/>
      <c r="F46" s="13"/>
      <c r="G46" s="13"/>
      <c r="H46" s="13"/>
    </row>
    <row r="47" spans="3:22" x14ac:dyDescent="0.3">
      <c r="E47" s="10"/>
      <c r="H47" s="13"/>
    </row>
    <row r="48" spans="3:22" x14ac:dyDescent="0.3">
      <c r="E48" s="10"/>
      <c r="H48" s="13"/>
    </row>
    <row r="49" spans="5:8" x14ac:dyDescent="0.3">
      <c r="E49" s="10"/>
      <c r="H49" s="13"/>
    </row>
    <row r="50" spans="5:8" x14ac:dyDescent="0.3">
      <c r="E50" s="10"/>
    </row>
  </sheetData>
  <mergeCells count="23">
    <mergeCell ref="E6:F6"/>
    <mergeCell ref="E2:F2"/>
    <mergeCell ref="G3:H3"/>
    <mergeCell ref="G4:H4"/>
    <mergeCell ref="G5:H5"/>
    <mergeCell ref="G6:H6"/>
    <mergeCell ref="G2:H2"/>
    <mergeCell ref="I3:J3"/>
    <mergeCell ref="I4:J4"/>
    <mergeCell ref="E3:F3"/>
    <mergeCell ref="E4:F4"/>
    <mergeCell ref="E5:F5"/>
    <mergeCell ref="K1:L1"/>
    <mergeCell ref="E1:F1"/>
    <mergeCell ref="G1:H1"/>
    <mergeCell ref="I1:J1"/>
    <mergeCell ref="I2:J2"/>
    <mergeCell ref="G9:H9"/>
    <mergeCell ref="N9:O9"/>
    <mergeCell ref="U9:V9"/>
    <mergeCell ref="AB9:AC9"/>
    <mergeCell ref="I5:J5"/>
    <mergeCell ref="I6:J6"/>
  </mergeCells>
  <conditionalFormatting sqref="C24:H42">
    <cfRule type="expression" dxfId="6" priority="19">
      <formula>$H24:$H42&lt;0</formula>
    </cfRule>
  </conditionalFormatting>
  <conditionalFormatting sqref="C3:L6">
    <cfRule type="expression" dxfId="5" priority="1">
      <formula>$L3:$L6&lt;0</formula>
    </cfRule>
    <cfRule type="expression" dxfId="4" priority="2">
      <formula>$L3:$L6&lt;0.1</formula>
    </cfRule>
    <cfRule type="expression" dxfId="3" priority="3">
      <formula>$L3:$L6&lt;0.5</formula>
    </cfRule>
    <cfRule type="expression" dxfId="2" priority="4">
      <formula>$L3:$L6&gt;0.5</formula>
    </cfRule>
  </conditionalFormatting>
  <conditionalFormatting sqref="J24:O42">
    <cfRule type="expression" dxfId="1" priority="16">
      <formula>$O24:$O42&lt;0</formula>
    </cfRule>
  </conditionalFormatting>
  <conditionalFormatting sqref="Q24:V42">
    <cfRule type="expression" dxfId="0" priority="13">
      <formula>$V24:$V42&lt;0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648E-3705-4F61-A760-CAAAFF7827B5}">
  <dimension ref="B1:R460"/>
  <sheetViews>
    <sheetView showGridLines="0" tabSelected="1" topLeftCell="A4" workbookViewId="0">
      <selection activeCell="L24" sqref="L24"/>
    </sheetView>
  </sheetViews>
  <sheetFormatPr defaultRowHeight="15.6" x14ac:dyDescent="0.3"/>
  <cols>
    <col min="2" max="2" width="12.5" style="9" customWidth="1"/>
    <col min="4" max="5" width="9" style="2"/>
    <col min="6" max="6" width="9.09765625" style="3" bestFit="1" customWidth="1"/>
    <col min="7" max="7" width="9.09765625" style="13" customWidth="1"/>
    <col min="8" max="8" width="10.3984375" style="13" bestFit="1" customWidth="1"/>
    <col min="9" max="9" width="9.8984375" bestFit="1" customWidth="1"/>
    <col min="12" max="12" width="9" style="2"/>
    <col min="13" max="13" width="8.69921875" style="2"/>
    <col min="14" max="14" width="10.09765625" style="2" customWidth="1"/>
    <col min="15" max="15" width="11.5" style="2" bestFit="1" customWidth="1"/>
    <col min="16" max="16" width="10.09765625" style="2" customWidth="1"/>
    <col min="17" max="17" width="11.5" style="2" bestFit="1" customWidth="1"/>
    <col min="18" max="18" width="10.8984375" style="2" bestFit="1" customWidth="1"/>
  </cols>
  <sheetData>
    <row r="1" spans="2:18" x14ac:dyDescent="0.3">
      <c r="L1" s="2" t="s">
        <v>606</v>
      </c>
      <c r="M1" s="2" t="s">
        <v>639</v>
      </c>
      <c r="N1" s="2" t="s">
        <v>606</v>
      </c>
      <c r="O1" s="2" t="s">
        <v>660</v>
      </c>
    </row>
    <row r="2" spans="2:18" x14ac:dyDescent="0.3">
      <c r="B2" s="8" t="s">
        <v>611</v>
      </c>
      <c r="C2" s="4" t="s">
        <v>606</v>
      </c>
      <c r="D2" s="5" t="s">
        <v>607</v>
      </c>
      <c r="E2" s="5" t="s">
        <v>608</v>
      </c>
      <c r="F2" s="6" t="s">
        <v>609</v>
      </c>
      <c r="G2" s="12" t="s">
        <v>617</v>
      </c>
      <c r="H2" s="12" t="s">
        <v>610</v>
      </c>
      <c r="L2" s="2" t="s">
        <v>622</v>
      </c>
      <c r="M2" s="2" t="s">
        <v>622</v>
      </c>
      <c r="N2" s="2" t="s">
        <v>623</v>
      </c>
      <c r="O2" s="2" t="s">
        <v>623</v>
      </c>
    </row>
    <row r="3" spans="2:18" x14ac:dyDescent="0.3">
      <c r="B3" s="9">
        <v>45699</v>
      </c>
      <c r="C3" t="s">
        <v>55</v>
      </c>
      <c r="D3" s="2" t="s">
        <v>605</v>
      </c>
      <c r="E3" s="2">
        <v>50</v>
      </c>
      <c r="F3" s="3">
        <v>46.64</v>
      </c>
      <c r="G3" s="13">
        <f>VLOOKUP(Tablo1[[#This Row],[Tarih]],$J$3:$K$460,2,FALSE)</f>
        <v>36.01</v>
      </c>
      <c r="H3" s="13">
        <f>IF(Tablo1[[#This Row],[Durum]]="Alış",Tablo1[[#This Row],[Adet]]*Tablo1[[#This Row],[Fiyat]],(-Tablo1[[#This Row],[Adet]]*Tablo1[[#This Row],[Fiyat]]))/Tablo1[[#This Row],[Kur]]</f>
        <v>64.759788947514579</v>
      </c>
      <c r="J3" s="7">
        <v>45699</v>
      </c>
      <c r="K3">
        <v>36.01</v>
      </c>
      <c r="L3" s="13">
        <v>0</v>
      </c>
      <c r="M3" s="13">
        <v>0</v>
      </c>
      <c r="N3" s="13">
        <v>0</v>
      </c>
      <c r="O3" s="13">
        <v>0</v>
      </c>
      <c r="P3" s="13">
        <f>SUM(L3:O3)</f>
        <v>0</v>
      </c>
      <c r="Q3" s="13">
        <f>P3</f>
        <v>0</v>
      </c>
      <c r="R3" s="13"/>
    </row>
    <row r="4" spans="2:18" x14ac:dyDescent="0.3">
      <c r="B4" s="9">
        <v>45699</v>
      </c>
      <c r="C4" t="s">
        <v>340</v>
      </c>
      <c r="D4" s="2" t="s">
        <v>605</v>
      </c>
      <c r="E4" s="2">
        <v>60</v>
      </c>
      <c r="F4" s="3">
        <v>34.299999999999997</v>
      </c>
      <c r="G4" s="13">
        <f>VLOOKUP(Tablo1[[#This Row],[Tarih]],$J$3:$K$460,2,FALSE)</f>
        <v>36.01</v>
      </c>
      <c r="H4" s="13">
        <f>IF(Tablo1[[#This Row],[Durum]]="Alış",Tablo1[[#This Row],[Adet]]*Tablo1[[#This Row],[Fiyat]],(-Tablo1[[#This Row],[Adet]]*Tablo1[[#This Row],[Fiyat]]))/Tablo1[[#This Row],[Kur]]</f>
        <v>57.150791446820328</v>
      </c>
      <c r="I4">
        <v>1</v>
      </c>
      <c r="J4" s="7">
        <v>45700</v>
      </c>
      <c r="K4">
        <v>36.1</v>
      </c>
      <c r="L4" s="13">
        <v>-5.3237127883068069</v>
      </c>
      <c r="M4" s="13">
        <v>7.4363781551880948E-2</v>
      </c>
      <c r="N4" s="13">
        <v>15.369999999999891</v>
      </c>
      <c r="O4" s="13">
        <v>131</v>
      </c>
      <c r="P4" s="13">
        <f>SUM(L4:O4)-P3</f>
        <v>141.12065099324496</v>
      </c>
      <c r="Q4" s="13">
        <f>+P4+Q3</f>
        <v>141.12065099324496</v>
      </c>
      <c r="R4" s="13">
        <f>+Q4/I4</f>
        <v>141.12065099324496</v>
      </c>
    </row>
    <row r="5" spans="2:18" x14ac:dyDescent="0.3">
      <c r="B5" s="9">
        <v>45699</v>
      </c>
      <c r="C5" t="s">
        <v>547</v>
      </c>
      <c r="D5" s="2" t="s">
        <v>605</v>
      </c>
      <c r="E5" s="2">
        <v>40</v>
      </c>
      <c r="F5" s="3">
        <v>50.95</v>
      </c>
      <c r="G5" s="13">
        <f>VLOOKUP(Tablo1[[#This Row],[Tarih]],$J$3:$K$460,2,FALSE)</f>
        <v>36.01</v>
      </c>
      <c r="H5" s="13">
        <f>IF(Tablo1[[#This Row],[Durum]]="Alış",Tablo1[[#This Row],[Adet]]*Tablo1[[#This Row],[Fiyat]],(-Tablo1[[#This Row],[Adet]]*Tablo1[[#This Row],[Fiyat]]))/Tablo1[[#This Row],[Kur]]</f>
        <v>56.59539016939739</v>
      </c>
      <c r="I5">
        <f>+I4+1</f>
        <v>2</v>
      </c>
      <c r="J5" s="7">
        <v>45701</v>
      </c>
      <c r="K5">
        <v>36.1</v>
      </c>
      <c r="L5" s="13">
        <v>0.60010992637478466</v>
      </c>
      <c r="M5" s="13">
        <v>-0.20221801900208902</v>
      </c>
      <c r="N5" s="13">
        <v>61.029999999999745</v>
      </c>
      <c r="O5" s="13">
        <v>219</v>
      </c>
      <c r="P5" s="13">
        <f>SUM(L5:O5)-P4</f>
        <v>139.30724091412748</v>
      </c>
      <c r="Q5" s="13">
        <f>+P5+Q4</f>
        <v>280.42789190737244</v>
      </c>
      <c r="R5" s="13">
        <f t="shared" ref="R5:R32" si="0">+Q5/I5</f>
        <v>140.21394595368622</v>
      </c>
    </row>
    <row r="6" spans="2:18" x14ac:dyDescent="0.3">
      <c r="B6" s="9">
        <v>45699</v>
      </c>
      <c r="C6" t="s">
        <v>464</v>
      </c>
      <c r="D6" s="2" t="s">
        <v>605</v>
      </c>
      <c r="E6" s="2">
        <v>410</v>
      </c>
      <c r="F6" s="3">
        <v>4.91</v>
      </c>
      <c r="G6" s="13">
        <f>VLOOKUP(Tablo1[[#This Row],[Tarih]],$J$3:$K$460,2,FALSE)</f>
        <v>36.01</v>
      </c>
      <c r="H6" s="13">
        <f>IF(Tablo1[[#This Row],[Durum]]="Alış",Tablo1[[#This Row],[Adet]]*Tablo1[[#This Row],[Fiyat]],(-Tablo1[[#This Row],[Adet]]*Tablo1[[#This Row],[Fiyat]]))/Tablo1[[#This Row],[Kur]]</f>
        <v>55.90391557900584</v>
      </c>
      <c r="I6">
        <f t="shared" ref="I6:I69" si="1">+I5+1</f>
        <v>3</v>
      </c>
      <c r="J6" s="7">
        <v>45702</v>
      </c>
      <c r="K6">
        <v>36.22</v>
      </c>
      <c r="L6" s="13">
        <v>3.1778129753016264</v>
      </c>
      <c r="M6" s="13">
        <v>1.5333617584122932</v>
      </c>
      <c r="N6" s="13">
        <v>75.579999999999814</v>
      </c>
      <c r="O6" s="13">
        <v>227</v>
      </c>
      <c r="P6" s="13">
        <f>SUM(L6:O6)-Q5</f>
        <v>26.863282826341276</v>
      </c>
      <c r="Q6" s="13">
        <f>+P6+Q5</f>
        <v>307.29117473371372</v>
      </c>
      <c r="R6" s="13">
        <f t="shared" si="0"/>
        <v>102.43039157790457</v>
      </c>
    </row>
    <row r="7" spans="2:18" x14ac:dyDescent="0.3">
      <c r="B7" s="9">
        <v>45699</v>
      </c>
      <c r="C7" t="s">
        <v>577</v>
      </c>
      <c r="D7" s="2" t="s">
        <v>605</v>
      </c>
      <c r="E7" s="2">
        <v>90</v>
      </c>
      <c r="F7" s="3">
        <v>23.42</v>
      </c>
      <c r="G7" s="13">
        <f>VLOOKUP(Tablo1[[#This Row],[Tarih]],$J$3:$K$460,2,FALSE)</f>
        <v>36.01</v>
      </c>
      <c r="H7" s="13">
        <f>IF(Tablo1[[#This Row],[Durum]]="Alış",Tablo1[[#This Row],[Adet]]*Tablo1[[#This Row],[Fiyat]],(-Tablo1[[#This Row],[Adet]]*Tablo1[[#This Row],[Fiyat]]))/Tablo1[[#This Row],[Kur]]</f>
        <v>58.53374062760345</v>
      </c>
      <c r="I7">
        <f t="shared" si="1"/>
        <v>4</v>
      </c>
      <c r="J7" s="7">
        <v>45703</v>
      </c>
      <c r="K7">
        <v>36.24</v>
      </c>
      <c r="L7" s="13">
        <v>3.1778129753016264</v>
      </c>
      <c r="M7" s="13">
        <v>1.5333617584122932</v>
      </c>
      <c r="N7" s="13">
        <v>75.579999999999814</v>
      </c>
      <c r="O7" s="13">
        <v>250</v>
      </c>
      <c r="P7" s="13">
        <f t="shared" ref="P7:P9" si="2">SUM(L7:O7)-Q6</f>
        <v>23</v>
      </c>
      <c r="Q7" s="13">
        <f t="shared" ref="Q7:Q8" si="3">+P7+Q6</f>
        <v>330.29117473371372</v>
      </c>
      <c r="R7" s="13">
        <f t="shared" si="0"/>
        <v>82.572793683428429</v>
      </c>
    </row>
    <row r="8" spans="2:18" x14ac:dyDescent="0.3">
      <c r="B8" s="9">
        <v>45699</v>
      </c>
      <c r="C8" t="s">
        <v>515</v>
      </c>
      <c r="D8" s="2" t="s">
        <v>605</v>
      </c>
      <c r="E8" s="2">
        <v>410</v>
      </c>
      <c r="F8" s="3">
        <v>4.9000000000000004</v>
      </c>
      <c r="G8" s="13">
        <f>VLOOKUP(Tablo1[[#This Row],[Tarih]],$J$3:$K$460,2,FALSE)</f>
        <v>36.01</v>
      </c>
      <c r="H8" s="13">
        <f>IF(Tablo1[[#This Row],[Durum]]="Alış",Tablo1[[#This Row],[Adet]]*Tablo1[[#This Row],[Fiyat]],(-Tablo1[[#This Row],[Adet]]*Tablo1[[#This Row],[Fiyat]]))/Tablo1[[#This Row],[Kur]]</f>
        <v>55.79005831713414</v>
      </c>
      <c r="I8">
        <f t="shared" si="1"/>
        <v>5</v>
      </c>
      <c r="J8" s="7">
        <v>45704</v>
      </c>
      <c r="K8">
        <v>36.24</v>
      </c>
      <c r="L8" s="13">
        <v>3.1778129753016264</v>
      </c>
      <c r="M8" s="13">
        <v>1.5333617584122932</v>
      </c>
      <c r="N8" s="13">
        <v>85.059999999999491</v>
      </c>
      <c r="O8" s="13">
        <v>310</v>
      </c>
      <c r="P8" s="13">
        <f t="shared" si="2"/>
        <v>69.479999999999677</v>
      </c>
      <c r="Q8" s="13">
        <f t="shared" si="3"/>
        <v>399.77117473371339</v>
      </c>
      <c r="R8" s="13">
        <f t="shared" si="0"/>
        <v>79.954234946742673</v>
      </c>
    </row>
    <row r="9" spans="2:18" x14ac:dyDescent="0.3">
      <c r="B9" s="9">
        <v>45700</v>
      </c>
      <c r="C9" t="s">
        <v>184</v>
      </c>
      <c r="D9" s="2" t="s">
        <v>605</v>
      </c>
      <c r="E9" s="2">
        <v>500</v>
      </c>
      <c r="F9" s="3">
        <v>4.29</v>
      </c>
      <c r="G9" s="13">
        <f>VLOOKUP(Tablo1[[#This Row],[Tarih]],$J$3:$K$460,2,FALSE)</f>
        <v>36.1</v>
      </c>
      <c r="H9" s="13">
        <f>IF(Tablo1[[#This Row],[Durum]]="Alış",Tablo1[[#This Row],[Adet]]*Tablo1[[#This Row],[Fiyat]],(-Tablo1[[#This Row],[Adet]]*Tablo1[[#This Row],[Fiyat]]))/Tablo1[[#This Row],[Kur]]</f>
        <v>59.418282548476455</v>
      </c>
      <c r="I9">
        <f t="shared" si="1"/>
        <v>6</v>
      </c>
      <c r="J9" s="7">
        <v>45705</v>
      </c>
      <c r="K9">
        <v>36.24</v>
      </c>
      <c r="L9" s="13">
        <v>0.62950169873943196</v>
      </c>
      <c r="M9" s="13">
        <v>2.618109035659586</v>
      </c>
      <c r="N9" s="13">
        <v>85.059999999999491</v>
      </c>
      <c r="O9" s="13">
        <v>385</v>
      </c>
      <c r="P9" s="13">
        <f t="shared" si="2"/>
        <v>73.536436000685114</v>
      </c>
      <c r="Q9" s="13">
        <f t="shared" ref="Q9" si="4">+P9+Q8</f>
        <v>473.30761073439851</v>
      </c>
      <c r="R9" s="13">
        <f t="shared" si="0"/>
        <v>78.884601789066423</v>
      </c>
    </row>
    <row r="10" spans="2:18" x14ac:dyDescent="0.3">
      <c r="B10" s="9">
        <v>45700</v>
      </c>
      <c r="C10" t="s">
        <v>65</v>
      </c>
      <c r="D10" s="2" t="s">
        <v>605</v>
      </c>
      <c r="E10" s="2">
        <v>7</v>
      </c>
      <c r="F10" s="3">
        <v>111</v>
      </c>
      <c r="G10" s="13">
        <f>VLOOKUP(Tablo1[[#This Row],[Tarih]],$J$3:$K$460,2,FALSE)</f>
        <v>36.1</v>
      </c>
      <c r="H10" s="13">
        <f>IF(Tablo1[[#This Row],[Durum]]="Alış",Tablo1[[#This Row],[Adet]]*Tablo1[[#This Row],[Fiyat]],(-Tablo1[[#This Row],[Adet]]*Tablo1[[#This Row],[Fiyat]]))/Tablo1[[#This Row],[Kur]]</f>
        <v>21.523545706371191</v>
      </c>
      <c r="I10">
        <f t="shared" si="1"/>
        <v>7</v>
      </c>
      <c r="J10" s="7">
        <v>45706</v>
      </c>
      <c r="K10">
        <v>36.28</v>
      </c>
      <c r="L10" s="13">
        <v>3.5026510570537552</v>
      </c>
      <c r="M10" s="13">
        <v>2.1922873367565496</v>
      </c>
      <c r="N10" s="13">
        <v>115.89999999999974</v>
      </c>
      <c r="O10" s="13">
        <v>425</v>
      </c>
      <c r="P10" s="13">
        <f t="shared" ref="P10" si="5">SUM(L10:O10)-Q9</f>
        <v>73.287327659411517</v>
      </c>
      <c r="Q10" s="13">
        <f t="shared" ref="Q10" si="6">+P10+Q9</f>
        <v>546.59493839381003</v>
      </c>
      <c r="R10" s="13">
        <f t="shared" si="0"/>
        <v>78.08499119911572</v>
      </c>
    </row>
    <row r="11" spans="2:18" x14ac:dyDescent="0.3">
      <c r="B11" s="9">
        <v>45700</v>
      </c>
      <c r="C11" t="s">
        <v>382</v>
      </c>
      <c r="D11" s="2" t="s">
        <v>605</v>
      </c>
      <c r="E11" s="2">
        <v>50</v>
      </c>
      <c r="F11" s="3">
        <v>46</v>
      </c>
      <c r="G11" s="13">
        <f>VLOOKUP(Tablo1[[#This Row],[Tarih]],$J$3:$K$460,2,FALSE)</f>
        <v>36.1</v>
      </c>
      <c r="H11" s="13">
        <f>IF(Tablo1[[#This Row],[Durum]]="Alış",Tablo1[[#This Row],[Adet]]*Tablo1[[#This Row],[Fiyat]],(-Tablo1[[#This Row],[Adet]]*Tablo1[[#This Row],[Fiyat]]))/Tablo1[[#This Row],[Kur]]</f>
        <v>63.711911357340718</v>
      </c>
      <c r="I11">
        <f t="shared" si="1"/>
        <v>8</v>
      </c>
      <c r="J11" s="7">
        <v>45707</v>
      </c>
      <c r="K11">
        <v>36.299999999999997</v>
      </c>
      <c r="L11" s="13">
        <v>-7.7383957749020738</v>
      </c>
      <c r="M11" s="13">
        <v>3.9006631443564936</v>
      </c>
      <c r="N11" s="13">
        <v>144.73999999999992</v>
      </c>
      <c r="O11" s="13">
        <v>495</v>
      </c>
      <c r="P11" s="13">
        <f t="shared" ref="P11" si="7">SUM(L11:O11)-Q10</f>
        <v>89.307328975644282</v>
      </c>
      <c r="Q11" s="13">
        <f t="shared" ref="Q11" si="8">+P11+Q10</f>
        <v>635.90226736945431</v>
      </c>
      <c r="R11" s="13">
        <f t="shared" si="0"/>
        <v>79.487783421181788</v>
      </c>
    </row>
    <row r="12" spans="2:18" x14ac:dyDescent="0.3">
      <c r="B12" s="9">
        <v>45701</v>
      </c>
      <c r="C12" t="s">
        <v>65</v>
      </c>
      <c r="D12" s="2" t="s">
        <v>605</v>
      </c>
      <c r="E12" s="2">
        <v>7</v>
      </c>
      <c r="F12" s="3">
        <v>106.4</v>
      </c>
      <c r="G12" s="13">
        <f>VLOOKUP(Tablo1[[#This Row],[Tarih]],$J$3:$K$460,2,FALSE)</f>
        <v>36.1</v>
      </c>
      <c r="H12" s="13">
        <f>IF(Tablo1[[#This Row],[Durum]]="Alış",Tablo1[[#This Row],[Adet]]*Tablo1[[#This Row],[Fiyat]],(-Tablo1[[#This Row],[Adet]]*Tablo1[[#This Row],[Fiyat]]))/Tablo1[[#This Row],[Kur]]</f>
        <v>20.631578947368421</v>
      </c>
      <c r="I12">
        <f t="shared" si="1"/>
        <v>9</v>
      </c>
      <c r="J12" s="7">
        <v>45708</v>
      </c>
      <c r="K12">
        <v>36.29</v>
      </c>
      <c r="L12" s="13">
        <v>4.0777056942089303</v>
      </c>
      <c r="M12" s="13">
        <v>5.4592137464545081</v>
      </c>
      <c r="N12" s="13">
        <v>143.7499999999998</v>
      </c>
      <c r="O12" s="13">
        <v>537</v>
      </c>
      <c r="P12" s="13">
        <f t="shared" ref="P12" si="9">SUM(L12:O12)-Q11</f>
        <v>54.384652071208961</v>
      </c>
      <c r="Q12" s="13">
        <f t="shared" ref="Q12" si="10">+P12+Q11</f>
        <v>690.28691944066327</v>
      </c>
      <c r="R12" s="13">
        <f t="shared" si="0"/>
        <v>76.698546604518143</v>
      </c>
    </row>
    <row r="13" spans="2:18" x14ac:dyDescent="0.3">
      <c r="B13" s="9">
        <v>45701</v>
      </c>
      <c r="C13" t="s">
        <v>158</v>
      </c>
      <c r="D13" s="2" t="s">
        <v>605</v>
      </c>
      <c r="E13" s="2">
        <v>225</v>
      </c>
      <c r="F13" s="3">
        <v>9</v>
      </c>
      <c r="G13" s="13">
        <f>VLOOKUP(Tablo1[[#This Row],[Tarih]],$J$3:$K$460,2,FALSE)</f>
        <v>36.1</v>
      </c>
      <c r="H13" s="13">
        <f>IF(Tablo1[[#This Row],[Durum]]="Alış",Tablo1[[#This Row],[Adet]]*Tablo1[[#This Row],[Fiyat]],(-Tablo1[[#This Row],[Adet]]*Tablo1[[#This Row],[Fiyat]]))/Tablo1[[#This Row],[Kur]]</f>
        <v>56.094182825484765</v>
      </c>
      <c r="I13">
        <f t="shared" si="1"/>
        <v>10</v>
      </c>
      <c r="J13" s="7">
        <v>45709</v>
      </c>
      <c r="K13">
        <v>36.450000000000003</v>
      </c>
      <c r="L13" s="13">
        <v>-20.614252207785263</v>
      </c>
      <c r="M13" s="13">
        <v>5.2796319714602511</v>
      </c>
      <c r="N13" s="13">
        <v>48.039999999999921</v>
      </c>
      <c r="O13" s="13">
        <v>518</v>
      </c>
      <c r="P13" s="13">
        <f t="shared" ref="P13" si="11">SUM(L13:O13)-Q12</f>
        <v>-139.58153967698831</v>
      </c>
      <c r="Q13" s="13">
        <f t="shared" ref="Q13" si="12">+P13+Q12</f>
        <v>550.70537976367496</v>
      </c>
      <c r="R13" s="13">
        <f t="shared" si="0"/>
        <v>55.070537976367497</v>
      </c>
    </row>
    <row r="14" spans="2:18" x14ac:dyDescent="0.3">
      <c r="B14" s="9">
        <v>45702</v>
      </c>
      <c r="C14" t="s">
        <v>126</v>
      </c>
      <c r="D14" s="2" t="s">
        <v>605</v>
      </c>
      <c r="E14" s="2">
        <v>15</v>
      </c>
      <c r="F14" s="3">
        <v>102</v>
      </c>
      <c r="G14" s="13">
        <f>VLOOKUP(Tablo1[[#This Row],[Tarih]],$J$3:$K$460,2,FALSE)</f>
        <v>36.22</v>
      </c>
      <c r="H14" s="13">
        <f>IF(Tablo1[[#This Row],[Durum]]="Alış",Tablo1[[#This Row],[Adet]]*Tablo1[[#This Row],[Fiyat]],(-Tablo1[[#This Row],[Adet]]*Tablo1[[#This Row],[Fiyat]]))/Tablo1[[#This Row],[Kur]]</f>
        <v>42.241855328547764</v>
      </c>
      <c r="I14">
        <f t="shared" si="1"/>
        <v>11</v>
      </c>
      <c r="J14" s="7">
        <v>45710</v>
      </c>
      <c r="K14">
        <f t="shared" ref="K14:K35" si="13">K13</f>
        <v>36.450000000000003</v>
      </c>
      <c r="L14" s="13">
        <v>-20.614252207785263</v>
      </c>
      <c r="M14" s="13">
        <v>5.2796319714602511</v>
      </c>
      <c r="N14" s="13">
        <v>52.559999999999491</v>
      </c>
      <c r="O14" s="13">
        <v>585</v>
      </c>
      <c r="P14" s="13">
        <f t="shared" ref="P14" si="14">SUM(L14:O14)-Q13</f>
        <v>71.519999999999527</v>
      </c>
      <c r="Q14" s="13">
        <f t="shared" ref="Q14" si="15">+P14+Q13</f>
        <v>622.22537976367448</v>
      </c>
      <c r="R14" s="13">
        <f t="shared" si="0"/>
        <v>56.565943614879501</v>
      </c>
    </row>
    <row r="15" spans="2:18" x14ac:dyDescent="0.3">
      <c r="B15" s="9">
        <v>45702</v>
      </c>
      <c r="C15" t="s">
        <v>184</v>
      </c>
      <c r="D15" s="2" t="s">
        <v>659</v>
      </c>
      <c r="E15" s="2">
        <v>250</v>
      </c>
      <c r="F15" s="3">
        <v>4.78</v>
      </c>
      <c r="G15" s="13">
        <f>VLOOKUP(Tablo1[[#This Row],[Tarih]],$J$3:$K$460,2,FALSE)</f>
        <v>36.22</v>
      </c>
      <c r="H15" s="13">
        <f>IF(Tablo1[[#This Row],[Durum]]="Alış",Tablo1[[#This Row],[Adet]]*Tablo1[[#This Row],[Fiyat]],(-Tablo1[[#This Row],[Adet]]*Tablo1[[#This Row],[Fiyat]]))/Tablo1[[#This Row],[Kur]]</f>
        <v>-32.992821645499724</v>
      </c>
      <c r="I15">
        <f t="shared" si="1"/>
        <v>12</v>
      </c>
      <c r="J15" s="7">
        <v>45711</v>
      </c>
      <c r="K15">
        <f t="shared" si="13"/>
        <v>36.450000000000003</v>
      </c>
      <c r="L15" s="13">
        <v>-20.614252207785263</v>
      </c>
      <c r="M15" s="13">
        <v>5.2796319714602511</v>
      </c>
      <c r="N15" s="13">
        <v>52.559999999999491</v>
      </c>
      <c r="O15" s="13">
        <v>543</v>
      </c>
      <c r="P15" s="13">
        <f t="shared" ref="P15" si="16">SUM(L15:O15)-Q14</f>
        <v>-42</v>
      </c>
      <c r="Q15" s="13">
        <f t="shared" ref="Q15" si="17">+P15+Q14</f>
        <v>580.22537976367448</v>
      </c>
      <c r="R15" s="13">
        <f t="shared" si="0"/>
        <v>48.352114980306204</v>
      </c>
    </row>
    <row r="16" spans="2:18" x14ac:dyDescent="0.3">
      <c r="B16" s="9">
        <v>45705</v>
      </c>
      <c r="C16" t="s">
        <v>531</v>
      </c>
      <c r="D16" s="2" t="s">
        <v>605</v>
      </c>
      <c r="E16" s="2">
        <v>5</v>
      </c>
      <c r="F16" s="3">
        <v>265</v>
      </c>
      <c r="G16" s="13">
        <f>VLOOKUP(Tablo1[[#This Row],[Tarih]],$J$3:$K$460,2,FALSE)</f>
        <v>36.24</v>
      </c>
      <c r="H16" s="13">
        <f>IF(Tablo1[[#This Row],[Durum]]="Alış",Tablo1[[#This Row],[Adet]]*Tablo1[[#This Row],[Fiyat]],(-Tablo1[[#This Row],[Adet]]*Tablo1[[#This Row],[Fiyat]]))/Tablo1[[#This Row],[Kur]]</f>
        <v>36.561810154525382</v>
      </c>
      <c r="I16">
        <f t="shared" si="1"/>
        <v>13</v>
      </c>
      <c r="J16" s="7">
        <v>45712</v>
      </c>
      <c r="K16">
        <v>36.43</v>
      </c>
      <c r="L16" s="13">
        <v>-14.637044288506726</v>
      </c>
      <c r="M16" s="13">
        <v>5.4931273345351563</v>
      </c>
      <c r="N16" s="13">
        <v>27.909999999999894</v>
      </c>
      <c r="O16" s="13">
        <v>511</v>
      </c>
      <c r="P16" s="13">
        <f t="shared" ref="P16" si="18">SUM(L16:O16)-Q15</f>
        <v>-50.459296717646112</v>
      </c>
      <c r="Q16" s="13">
        <f t="shared" ref="Q16" si="19">+P16+Q15</f>
        <v>529.76608304602837</v>
      </c>
      <c r="R16" s="13">
        <f t="shared" ref="R16" si="20">+Q16/I16</f>
        <v>40.751237157386797</v>
      </c>
    </row>
    <row r="17" spans="2:18" x14ac:dyDescent="0.3">
      <c r="B17" s="9">
        <v>45706</v>
      </c>
      <c r="C17" t="s">
        <v>158</v>
      </c>
      <c r="D17" s="2" t="s">
        <v>605</v>
      </c>
      <c r="E17" s="2">
        <v>100</v>
      </c>
      <c r="F17" s="3">
        <v>8.86</v>
      </c>
      <c r="G17" s="13">
        <f>VLOOKUP(Tablo1[[#This Row],[Tarih]],$J$3:$K$460,2,FALSE)</f>
        <v>36.28</v>
      </c>
      <c r="H17" s="13">
        <f>IF(Tablo1[[#This Row],[Durum]]="Alış",Tablo1[[#This Row],[Adet]]*Tablo1[[#This Row],[Fiyat]],(-Tablo1[[#This Row],[Adet]]*Tablo1[[#This Row],[Fiyat]]))/Tablo1[[#This Row],[Kur]]</f>
        <v>24.421168687982359</v>
      </c>
      <c r="I17">
        <f t="shared" si="1"/>
        <v>14</v>
      </c>
      <c r="J17" s="7">
        <v>45713</v>
      </c>
      <c r="K17">
        <v>36.450000000000003</v>
      </c>
      <c r="L17" s="13">
        <v>-40.945954738184412</v>
      </c>
      <c r="M17" s="13">
        <v>6.2139460180994703</v>
      </c>
      <c r="N17" s="13">
        <v>-72.629999999999967</v>
      </c>
      <c r="O17" s="13">
        <v>-303</v>
      </c>
      <c r="P17" s="13">
        <f t="shared" ref="P17" si="21">SUM(L17:O17)-Q16</f>
        <v>-940.12809176611324</v>
      </c>
      <c r="Q17" s="13">
        <f t="shared" ref="Q17" si="22">+P17+Q16</f>
        <v>-410.36200872008487</v>
      </c>
      <c r="R17" s="13">
        <f t="shared" si="0"/>
        <v>-29.311572051434634</v>
      </c>
    </row>
    <row r="18" spans="2:18" x14ac:dyDescent="0.3">
      <c r="B18" s="9">
        <v>45706</v>
      </c>
      <c r="C18" t="s">
        <v>577</v>
      </c>
      <c r="D18" s="2" t="s">
        <v>605</v>
      </c>
      <c r="E18" s="2">
        <v>50</v>
      </c>
      <c r="F18" s="3">
        <v>22.82</v>
      </c>
      <c r="G18" s="13">
        <f>VLOOKUP(Tablo1[[#This Row],[Tarih]],$J$3:$K$460,2,FALSE)</f>
        <v>36.28</v>
      </c>
      <c r="H18" s="13">
        <f>IF(Tablo1[[#This Row],[Durum]]="Alış",Tablo1[[#This Row],[Adet]]*Tablo1[[#This Row],[Fiyat]],(-Tablo1[[#This Row],[Adet]]*Tablo1[[#This Row],[Fiyat]]))/Tablo1[[#This Row],[Kur]]</f>
        <v>31.449834619625136</v>
      </c>
      <c r="I18">
        <f t="shared" si="1"/>
        <v>15</v>
      </c>
      <c r="J18" s="7">
        <v>45714</v>
      </c>
      <c r="K18">
        <v>36.43</v>
      </c>
      <c r="L18" s="13">
        <v>-38.191368175533853</v>
      </c>
      <c r="M18" s="13">
        <v>7.8203550863879627</v>
      </c>
      <c r="N18" s="13">
        <v>-90.940000000000509</v>
      </c>
      <c r="O18" s="13">
        <v>-738.7</v>
      </c>
      <c r="P18" s="13">
        <f t="shared" ref="P18:P19" si="23">SUM(L18:O18)-Q17</f>
        <v>-449.64900436906157</v>
      </c>
      <c r="Q18" s="13">
        <f t="shared" ref="Q18:Q19" si="24">+P18+Q17</f>
        <v>-860.01101308914645</v>
      </c>
      <c r="R18" s="13">
        <f t="shared" ref="R18:R19" si="25">+Q18/I18</f>
        <v>-57.334067539276433</v>
      </c>
    </row>
    <row r="19" spans="2:18" x14ac:dyDescent="0.3">
      <c r="B19" s="9">
        <v>45706</v>
      </c>
      <c r="C19" t="s">
        <v>340</v>
      </c>
      <c r="D19" s="2" t="s">
        <v>605</v>
      </c>
      <c r="E19" s="2">
        <v>100</v>
      </c>
      <c r="F19" s="3">
        <v>32.659999999999997</v>
      </c>
      <c r="G19" s="13">
        <f>VLOOKUP(Tablo1[[#This Row],[Tarih]],$J$3:$K$460,2,FALSE)</f>
        <v>36.28</v>
      </c>
      <c r="H19" s="13">
        <f>IF(Tablo1[[#This Row],[Durum]]="Alış",Tablo1[[#This Row],[Adet]]*Tablo1[[#This Row],[Fiyat]],(-Tablo1[[#This Row],[Adet]]*Tablo1[[#This Row],[Fiyat]]))/Tablo1[[#This Row],[Kur]]</f>
        <v>90.02205071664828</v>
      </c>
      <c r="I19">
        <f t="shared" si="1"/>
        <v>16</v>
      </c>
      <c r="J19" s="7">
        <v>45715</v>
      </c>
      <c r="K19">
        <v>36.43</v>
      </c>
      <c r="L19" s="13">
        <v>-38.191368175533853</v>
      </c>
      <c r="M19" s="13">
        <v>7.8203550863879627</v>
      </c>
      <c r="N19" s="13">
        <v>-90.940000000000509</v>
      </c>
      <c r="O19" s="13">
        <v>-738.7</v>
      </c>
      <c r="P19" s="13">
        <f t="shared" si="23"/>
        <v>0</v>
      </c>
      <c r="Q19" s="13">
        <f t="shared" si="24"/>
        <v>-860.01101308914645</v>
      </c>
      <c r="R19" s="13">
        <f t="shared" si="25"/>
        <v>-53.750688318071653</v>
      </c>
    </row>
    <row r="20" spans="2:18" x14ac:dyDescent="0.3">
      <c r="B20" s="9">
        <v>45706</v>
      </c>
      <c r="C20" t="s">
        <v>547</v>
      </c>
      <c r="D20" s="2" t="s">
        <v>659</v>
      </c>
      <c r="E20" s="2">
        <v>20</v>
      </c>
      <c r="F20" s="3">
        <v>55</v>
      </c>
      <c r="G20" s="13">
        <f>VLOOKUP(Tablo1[[#This Row],[Tarih]],$J$3:$K$460,2,FALSE)</f>
        <v>36.28</v>
      </c>
      <c r="H20" s="13">
        <f>IF(Tablo1[[#This Row],[Durum]]="Alış",Tablo1[[#This Row],[Adet]]*Tablo1[[#This Row],[Fiyat]],(-Tablo1[[#This Row],[Adet]]*Tablo1[[#This Row],[Fiyat]]))/Tablo1[[#This Row],[Kur]]</f>
        <v>-30.319735391400219</v>
      </c>
      <c r="I20">
        <f t="shared" si="1"/>
        <v>17</v>
      </c>
      <c r="J20" s="7">
        <v>45716</v>
      </c>
      <c r="K20">
        <f t="shared" si="13"/>
        <v>36.43</v>
      </c>
      <c r="L20" s="13">
        <v>-38.191368175533853</v>
      </c>
      <c r="M20" s="13">
        <v>7.8203550863879627</v>
      </c>
      <c r="N20" s="13">
        <v>-90.940000000000509</v>
      </c>
      <c r="O20" s="13">
        <v>-738.7</v>
      </c>
      <c r="P20" s="13">
        <f t="shared" ref="P20:P22" si="26">SUM(L20:O20)-Q19</f>
        <v>0</v>
      </c>
      <c r="Q20" s="13">
        <f t="shared" ref="Q20:Q22" si="27">+P20+Q19</f>
        <v>-860.01101308914645</v>
      </c>
      <c r="R20" s="13">
        <f t="shared" ref="R20:R22" si="28">+Q20/I20</f>
        <v>-50.588883122890969</v>
      </c>
    </row>
    <row r="21" spans="2:18" x14ac:dyDescent="0.3">
      <c r="B21" s="9">
        <v>45707</v>
      </c>
      <c r="C21" t="s">
        <v>531</v>
      </c>
      <c r="D21" s="2" t="s">
        <v>605</v>
      </c>
      <c r="E21" s="2">
        <v>20</v>
      </c>
      <c r="F21" s="3">
        <v>257.5</v>
      </c>
      <c r="G21" s="13">
        <f>VLOOKUP(Tablo1[[#This Row],[Tarih]],$J$3:$K$460,2,FALSE)</f>
        <v>36.299999999999997</v>
      </c>
      <c r="H21" s="13">
        <f>IF(Tablo1[[#This Row],[Durum]]="Alış",Tablo1[[#This Row],[Adet]]*Tablo1[[#This Row],[Fiyat]],(-Tablo1[[#This Row],[Adet]]*Tablo1[[#This Row],[Fiyat]]))/Tablo1[[#This Row],[Kur]]</f>
        <v>141.87327823691462</v>
      </c>
      <c r="I21">
        <f t="shared" si="1"/>
        <v>18</v>
      </c>
      <c r="J21" s="7">
        <v>45717</v>
      </c>
      <c r="K21">
        <f t="shared" si="13"/>
        <v>36.43</v>
      </c>
      <c r="L21" s="13">
        <v>-38.191368175533853</v>
      </c>
      <c r="M21" s="13">
        <v>7.8203550863879627</v>
      </c>
      <c r="N21" s="13">
        <v>-90.940000000000509</v>
      </c>
      <c r="O21" s="13">
        <v>-738.7</v>
      </c>
      <c r="P21" s="13">
        <f t="shared" si="26"/>
        <v>0</v>
      </c>
      <c r="Q21" s="13">
        <f t="shared" si="27"/>
        <v>-860.01101308914645</v>
      </c>
      <c r="R21" s="13">
        <f t="shared" si="28"/>
        <v>-47.778389616063691</v>
      </c>
    </row>
    <row r="22" spans="2:18" x14ac:dyDescent="0.3">
      <c r="B22" s="9">
        <v>45708</v>
      </c>
      <c r="C22" t="s">
        <v>382</v>
      </c>
      <c r="D22" s="2" t="s">
        <v>659</v>
      </c>
      <c r="E22" s="2">
        <v>30</v>
      </c>
      <c r="F22" s="3">
        <v>52.05</v>
      </c>
      <c r="G22" s="13">
        <f>VLOOKUP(Tablo1[[#This Row],[Tarih]],$J$3:$K$460,2,FALSE)</f>
        <v>36.29</v>
      </c>
      <c r="H22" s="13">
        <f>IF(Tablo1[[#This Row],[Durum]]="Alış",Tablo1[[#This Row],[Adet]]*Tablo1[[#This Row],[Fiyat]],(-Tablo1[[#This Row],[Adet]]*Tablo1[[#This Row],[Fiyat]]))/Tablo1[[#This Row],[Kur]]</f>
        <v>-43.028382474510884</v>
      </c>
      <c r="I22">
        <f t="shared" si="1"/>
        <v>19</v>
      </c>
      <c r="J22" s="7">
        <v>45718</v>
      </c>
      <c r="K22">
        <v>36.5</v>
      </c>
      <c r="L22" s="13">
        <v>-38.191368175533853</v>
      </c>
      <c r="M22" s="13">
        <v>7.2455309525002463</v>
      </c>
      <c r="N22" s="13">
        <v>-92.111757090030551</v>
      </c>
      <c r="O22" s="13">
        <v>-1687</v>
      </c>
      <c r="P22" s="13">
        <f t="shared" si="26"/>
        <v>-950.04658122391766</v>
      </c>
      <c r="Q22" s="13">
        <f t="shared" si="27"/>
        <v>-1810.0575943130641</v>
      </c>
      <c r="R22" s="13">
        <f t="shared" si="28"/>
        <v>-95.266189174371789</v>
      </c>
    </row>
    <row r="23" spans="2:18" x14ac:dyDescent="0.3">
      <c r="B23" s="9">
        <v>45708</v>
      </c>
      <c r="C23" t="s">
        <v>423</v>
      </c>
      <c r="D23" s="2" t="s">
        <v>605</v>
      </c>
      <c r="E23" s="2">
        <v>22</v>
      </c>
      <c r="F23" s="3">
        <v>95</v>
      </c>
      <c r="G23" s="13">
        <f>VLOOKUP(Tablo1[[#This Row],[Tarih]],$J$3:$K$460,2,FALSE)</f>
        <v>36.29</v>
      </c>
      <c r="H23" s="13">
        <f>IF(Tablo1[[#This Row],[Durum]]="Alış",Tablo1[[#This Row],[Adet]]*Tablo1[[#This Row],[Fiyat]],(-Tablo1[[#This Row],[Adet]]*Tablo1[[#This Row],[Fiyat]]))/Tablo1[[#This Row],[Kur]]</f>
        <v>57.591623036649217</v>
      </c>
      <c r="I23">
        <f t="shared" si="1"/>
        <v>20</v>
      </c>
      <c r="J23" s="7">
        <v>45719</v>
      </c>
      <c r="K23">
        <f t="shared" si="13"/>
        <v>36.5</v>
      </c>
      <c r="L23" s="13"/>
      <c r="M23" s="13"/>
      <c r="N23" s="13"/>
      <c r="O23" s="13"/>
      <c r="P23" s="13"/>
      <c r="Q23" s="13"/>
      <c r="R23" s="13">
        <f t="shared" si="0"/>
        <v>0</v>
      </c>
    </row>
    <row r="24" spans="2:18" x14ac:dyDescent="0.3">
      <c r="B24" s="9">
        <v>45708</v>
      </c>
      <c r="C24" t="s">
        <v>464</v>
      </c>
      <c r="D24" s="2" t="s">
        <v>659</v>
      </c>
      <c r="E24" s="2">
        <v>210</v>
      </c>
      <c r="F24" s="3">
        <v>5.36</v>
      </c>
      <c r="G24" s="13">
        <f>VLOOKUP(Tablo1[[#This Row],[Tarih]],$J$3:$K$460,2,FALSE)</f>
        <v>36.29</v>
      </c>
      <c r="H24" s="13">
        <f>IF(Tablo1[[#This Row],[Durum]]="Alış",Tablo1[[#This Row],[Adet]]*Tablo1[[#This Row],[Fiyat]],(-Tablo1[[#This Row],[Adet]]*Tablo1[[#This Row],[Fiyat]]))/Tablo1[[#This Row],[Kur]]</f>
        <v>-31.016809038302569</v>
      </c>
      <c r="I24">
        <f t="shared" si="1"/>
        <v>21</v>
      </c>
      <c r="J24" s="7">
        <v>45720</v>
      </c>
      <c r="K24">
        <f t="shared" si="13"/>
        <v>36.5</v>
      </c>
      <c r="L24" s="13"/>
      <c r="M24" s="13"/>
      <c r="N24" s="13"/>
      <c r="O24" s="13"/>
      <c r="P24" s="13"/>
      <c r="Q24" s="13"/>
      <c r="R24" s="13">
        <f t="shared" si="0"/>
        <v>0</v>
      </c>
    </row>
    <row r="25" spans="2:18" x14ac:dyDescent="0.3">
      <c r="B25" s="9">
        <v>45708</v>
      </c>
      <c r="C25" t="s">
        <v>464</v>
      </c>
      <c r="D25" s="2" t="s">
        <v>605</v>
      </c>
      <c r="E25" s="2">
        <v>210</v>
      </c>
      <c r="F25" s="3">
        <v>5.09</v>
      </c>
      <c r="G25" s="13">
        <f>VLOOKUP(Tablo1[[#This Row],[Tarih]],$J$3:$K$460,2,FALSE)</f>
        <v>36.29</v>
      </c>
      <c r="H25" s="13">
        <f>IF(Tablo1[[#This Row],[Durum]]="Alış",Tablo1[[#This Row],[Adet]]*Tablo1[[#This Row],[Fiyat]],(-Tablo1[[#This Row],[Adet]]*Tablo1[[#This Row],[Fiyat]]))/Tablo1[[#This Row],[Kur]]</f>
        <v>29.45439515017911</v>
      </c>
      <c r="I25">
        <f t="shared" si="1"/>
        <v>22</v>
      </c>
      <c r="J25" s="7">
        <v>45721</v>
      </c>
      <c r="K25">
        <f t="shared" si="13"/>
        <v>36.5</v>
      </c>
      <c r="L25" s="13"/>
      <c r="M25" s="13"/>
      <c r="N25" s="13"/>
      <c r="O25" s="13"/>
      <c r="P25" s="13"/>
      <c r="Q25" s="13"/>
      <c r="R25" s="13">
        <f t="shared" si="0"/>
        <v>0</v>
      </c>
    </row>
    <row r="26" spans="2:18" x14ac:dyDescent="0.3">
      <c r="B26" s="9">
        <v>45709</v>
      </c>
      <c r="C26" t="s">
        <v>137</v>
      </c>
      <c r="D26" s="2" t="s">
        <v>605</v>
      </c>
      <c r="E26" s="2">
        <v>50</v>
      </c>
      <c r="F26" s="3">
        <v>30</v>
      </c>
      <c r="G26" s="13">
        <f>VLOOKUP(Tablo1[[#This Row],[Tarih]],$J$3:$K$460,2,FALSE)</f>
        <v>36.450000000000003</v>
      </c>
      <c r="H26" s="13">
        <f>IF(Tablo1[[#This Row],[Durum]]="Alış",Tablo1[[#This Row],[Adet]]*Tablo1[[#This Row],[Fiyat]],(-Tablo1[[#This Row],[Adet]]*Tablo1[[#This Row],[Fiyat]]))/Tablo1[[#This Row],[Kur]]</f>
        <v>41.152263374485592</v>
      </c>
      <c r="I26">
        <f t="shared" si="1"/>
        <v>23</v>
      </c>
      <c r="J26" s="7">
        <v>45722</v>
      </c>
      <c r="K26">
        <f t="shared" si="13"/>
        <v>36.5</v>
      </c>
      <c r="L26" s="13"/>
      <c r="M26" s="13"/>
      <c r="N26" s="13"/>
      <c r="O26" s="13"/>
      <c r="P26" s="13"/>
      <c r="Q26" s="13"/>
      <c r="R26" s="13">
        <f t="shared" si="0"/>
        <v>0</v>
      </c>
    </row>
    <row r="27" spans="2:18" x14ac:dyDescent="0.3">
      <c r="B27" s="9">
        <v>45709</v>
      </c>
      <c r="C27" t="s">
        <v>419</v>
      </c>
      <c r="D27" s="2" t="s">
        <v>605</v>
      </c>
      <c r="E27" s="2">
        <v>70</v>
      </c>
      <c r="F27" s="3">
        <v>30.5</v>
      </c>
      <c r="G27" s="13">
        <f>VLOOKUP(Tablo1[[#This Row],[Tarih]],$J$3:$K$460,2,FALSE)</f>
        <v>36.450000000000003</v>
      </c>
      <c r="H27" s="13">
        <f>IF(Tablo1[[#This Row],[Durum]]="Alış",Tablo1[[#This Row],[Adet]]*Tablo1[[#This Row],[Fiyat]],(-Tablo1[[#This Row],[Adet]]*Tablo1[[#This Row],[Fiyat]]))/Tablo1[[#This Row],[Kur]]</f>
        <v>58.573388203017828</v>
      </c>
      <c r="I27">
        <f t="shared" si="1"/>
        <v>24</v>
      </c>
      <c r="J27" s="7">
        <v>45723</v>
      </c>
      <c r="K27">
        <f t="shared" si="13"/>
        <v>36.5</v>
      </c>
      <c r="L27" s="13"/>
      <c r="M27" s="13"/>
      <c r="N27" s="13"/>
      <c r="O27" s="13"/>
      <c r="P27" s="13"/>
      <c r="Q27" s="13"/>
      <c r="R27" s="13">
        <f t="shared" si="0"/>
        <v>0</v>
      </c>
    </row>
    <row r="28" spans="2:18" x14ac:dyDescent="0.3">
      <c r="B28" s="9">
        <v>45709</v>
      </c>
      <c r="C28" t="s">
        <v>15</v>
      </c>
      <c r="D28" s="2" t="s">
        <v>605</v>
      </c>
      <c r="E28" s="2">
        <v>35</v>
      </c>
      <c r="F28" s="3">
        <v>28.12</v>
      </c>
      <c r="G28" s="13">
        <f>VLOOKUP(Tablo1[[#This Row],[Tarih]],$J$3:$K$460,2,FALSE)</f>
        <v>36.450000000000003</v>
      </c>
      <c r="H28" s="13">
        <f>IF(Tablo1[[#This Row],[Durum]]="Alış",Tablo1[[#This Row],[Adet]]*Tablo1[[#This Row],[Fiyat]],(-Tablo1[[#This Row],[Adet]]*Tablo1[[#This Row],[Fiyat]]))/Tablo1[[#This Row],[Kur]]</f>
        <v>27.001371742112482</v>
      </c>
      <c r="I28">
        <f t="shared" si="1"/>
        <v>25</v>
      </c>
      <c r="J28" s="7">
        <v>45724</v>
      </c>
      <c r="K28">
        <f t="shared" si="13"/>
        <v>36.5</v>
      </c>
      <c r="L28" s="13"/>
      <c r="M28" s="13"/>
      <c r="N28" s="13"/>
      <c r="O28" s="13"/>
      <c r="P28" s="13"/>
      <c r="Q28" s="13"/>
      <c r="R28" s="13">
        <f t="shared" si="0"/>
        <v>0</v>
      </c>
    </row>
    <row r="29" spans="2:18" x14ac:dyDescent="0.3">
      <c r="B29" s="9">
        <v>45712</v>
      </c>
      <c r="C29" t="s">
        <v>382</v>
      </c>
      <c r="D29" s="2" t="s">
        <v>605</v>
      </c>
      <c r="E29" s="2">
        <v>30</v>
      </c>
      <c r="F29" s="3">
        <v>48</v>
      </c>
      <c r="G29" s="13">
        <f>VLOOKUP(Tablo1[[#This Row],[Tarih]],$J$3:$K$460,2,FALSE)</f>
        <v>36.43</v>
      </c>
      <c r="H29" s="13">
        <f>IF(Tablo1[[#This Row],[Durum]]="Alış",Tablo1[[#This Row],[Adet]]*Tablo1[[#This Row],[Fiyat]],(-Tablo1[[#This Row],[Adet]]*Tablo1[[#This Row],[Fiyat]]))/Tablo1[[#This Row],[Kur]]</f>
        <v>39.527861652484219</v>
      </c>
      <c r="I29">
        <f t="shared" si="1"/>
        <v>26</v>
      </c>
      <c r="J29" s="7">
        <v>45725</v>
      </c>
      <c r="K29">
        <f t="shared" si="13"/>
        <v>36.5</v>
      </c>
      <c r="L29" s="13"/>
      <c r="M29" s="13"/>
      <c r="N29" s="13"/>
      <c r="O29" s="13"/>
      <c r="P29" s="13"/>
      <c r="Q29" s="13"/>
      <c r="R29" s="13">
        <f t="shared" si="0"/>
        <v>0</v>
      </c>
    </row>
    <row r="30" spans="2:18" x14ac:dyDescent="0.3">
      <c r="B30" s="9">
        <v>45713</v>
      </c>
      <c r="C30" t="s">
        <v>464</v>
      </c>
      <c r="D30" s="2" t="s">
        <v>659</v>
      </c>
      <c r="E30" s="2">
        <v>210</v>
      </c>
      <c r="F30" s="3">
        <v>5.4</v>
      </c>
      <c r="G30" s="13">
        <f>VLOOKUP(Tablo1[[#This Row],[Tarih]],$J$3:$K$460,2,FALSE)</f>
        <v>36.450000000000003</v>
      </c>
      <c r="H30" s="13">
        <f>IF(Tablo1[[#This Row],[Durum]]="Alış",Tablo1[[#This Row],[Adet]]*Tablo1[[#This Row],[Fiyat]],(-Tablo1[[#This Row],[Adet]]*Tablo1[[#This Row],[Fiyat]]))/Tablo1[[#This Row],[Kur]]</f>
        <v>-31.111111111111107</v>
      </c>
      <c r="I30">
        <f t="shared" si="1"/>
        <v>27</v>
      </c>
      <c r="J30" s="7">
        <v>45726</v>
      </c>
      <c r="K30">
        <f t="shared" si="13"/>
        <v>36.5</v>
      </c>
      <c r="L30" s="13"/>
      <c r="M30" s="13"/>
      <c r="N30" s="13"/>
      <c r="O30" s="13"/>
      <c r="P30" s="13"/>
      <c r="Q30" s="13"/>
      <c r="R30" s="13">
        <f t="shared" si="0"/>
        <v>0</v>
      </c>
    </row>
    <row r="31" spans="2:18" x14ac:dyDescent="0.3">
      <c r="B31" s="9">
        <v>45713</v>
      </c>
      <c r="C31" t="s">
        <v>137</v>
      </c>
      <c r="D31" s="2" t="s">
        <v>605</v>
      </c>
      <c r="E31" s="2">
        <v>40</v>
      </c>
      <c r="F31" s="3">
        <v>26.8</v>
      </c>
      <c r="G31" s="13">
        <f>VLOOKUP(Tablo1[[#This Row],[Tarih]],$J$3:$K$460,2,FALSE)</f>
        <v>36.450000000000003</v>
      </c>
      <c r="H31" s="13">
        <f>IF(Tablo1[[#This Row],[Durum]]="Alış",Tablo1[[#This Row],[Adet]]*Tablo1[[#This Row],[Fiyat]],(-Tablo1[[#This Row],[Adet]]*Tablo1[[#This Row],[Fiyat]]))/Tablo1[[#This Row],[Kur]]</f>
        <v>29.41015089163237</v>
      </c>
      <c r="I31">
        <f t="shared" si="1"/>
        <v>28</v>
      </c>
      <c r="J31" s="7">
        <v>45727</v>
      </c>
      <c r="K31">
        <f t="shared" si="13"/>
        <v>36.5</v>
      </c>
      <c r="L31" s="13"/>
      <c r="M31" s="13"/>
      <c r="N31" s="13"/>
      <c r="O31" s="13"/>
      <c r="P31" s="13"/>
      <c r="Q31" s="13"/>
      <c r="R31" s="13">
        <f t="shared" si="0"/>
        <v>0</v>
      </c>
    </row>
    <row r="32" spans="2:18" x14ac:dyDescent="0.3">
      <c r="I32">
        <f t="shared" si="1"/>
        <v>29</v>
      </c>
      <c r="J32" s="7">
        <v>45728</v>
      </c>
      <c r="K32">
        <f t="shared" si="13"/>
        <v>36.5</v>
      </c>
      <c r="L32" s="13"/>
      <c r="M32" s="13"/>
      <c r="N32" s="13"/>
      <c r="O32" s="13"/>
      <c r="P32" s="13"/>
      <c r="Q32" s="13"/>
      <c r="R32" s="13">
        <f t="shared" si="0"/>
        <v>0</v>
      </c>
    </row>
    <row r="33" spans="9:18" x14ac:dyDescent="0.3">
      <c r="I33">
        <f t="shared" si="1"/>
        <v>30</v>
      </c>
      <c r="J33" s="7">
        <v>45729</v>
      </c>
      <c r="K33">
        <f t="shared" si="13"/>
        <v>36.5</v>
      </c>
      <c r="L33" s="13"/>
      <c r="M33" s="13"/>
      <c r="N33" s="13"/>
      <c r="O33" s="13"/>
      <c r="P33" s="13"/>
      <c r="Q33" s="13"/>
      <c r="R33" s="13"/>
    </row>
    <row r="34" spans="9:18" x14ac:dyDescent="0.3">
      <c r="I34">
        <f t="shared" si="1"/>
        <v>31</v>
      </c>
      <c r="J34" s="7">
        <v>45730</v>
      </c>
      <c r="K34">
        <f t="shared" si="13"/>
        <v>36.5</v>
      </c>
      <c r="L34" s="13"/>
      <c r="M34" s="13"/>
      <c r="N34" s="13"/>
      <c r="O34" s="13"/>
      <c r="P34" s="13"/>
      <c r="Q34" s="13"/>
      <c r="R34" s="13"/>
    </row>
    <row r="35" spans="9:18" x14ac:dyDescent="0.3">
      <c r="I35">
        <f t="shared" si="1"/>
        <v>32</v>
      </c>
      <c r="J35" s="7">
        <v>45731</v>
      </c>
      <c r="K35">
        <f t="shared" si="13"/>
        <v>36.5</v>
      </c>
      <c r="L35" s="13"/>
      <c r="M35" s="13"/>
      <c r="N35" s="13"/>
      <c r="O35" s="13"/>
      <c r="P35" s="13"/>
      <c r="Q35" s="13"/>
      <c r="R35" s="13"/>
    </row>
    <row r="36" spans="9:18" x14ac:dyDescent="0.3">
      <c r="I36">
        <f t="shared" si="1"/>
        <v>33</v>
      </c>
      <c r="J36" s="7">
        <v>45732</v>
      </c>
      <c r="L36" s="13"/>
      <c r="M36" s="13"/>
      <c r="N36" s="13"/>
      <c r="O36" s="13"/>
      <c r="P36" s="13"/>
      <c r="Q36" s="13"/>
      <c r="R36" s="13"/>
    </row>
    <row r="37" spans="9:18" x14ac:dyDescent="0.3">
      <c r="I37">
        <f t="shared" si="1"/>
        <v>34</v>
      </c>
      <c r="J37" s="7">
        <v>45733</v>
      </c>
      <c r="L37" s="13"/>
      <c r="M37" s="13"/>
      <c r="N37" s="13"/>
      <c r="O37" s="13"/>
      <c r="P37" s="13"/>
      <c r="Q37" s="13"/>
      <c r="R37" s="13"/>
    </row>
    <row r="38" spans="9:18" x14ac:dyDescent="0.3">
      <c r="I38">
        <f t="shared" si="1"/>
        <v>35</v>
      </c>
      <c r="J38" s="7">
        <v>45734</v>
      </c>
      <c r="L38" s="13"/>
      <c r="M38" s="13"/>
      <c r="N38" s="13"/>
      <c r="O38" s="13"/>
      <c r="P38" s="13"/>
      <c r="Q38" s="13"/>
      <c r="R38" s="13"/>
    </row>
    <row r="39" spans="9:18" x14ac:dyDescent="0.3">
      <c r="I39">
        <f t="shared" si="1"/>
        <v>36</v>
      </c>
      <c r="J39" s="7">
        <v>45735</v>
      </c>
      <c r="L39" s="13"/>
      <c r="M39" s="13"/>
      <c r="N39" s="13"/>
      <c r="O39" s="13"/>
      <c r="P39" s="13"/>
      <c r="Q39" s="13"/>
      <c r="R39" s="13"/>
    </row>
    <row r="40" spans="9:18" x14ac:dyDescent="0.3">
      <c r="I40">
        <f t="shared" si="1"/>
        <v>37</v>
      </c>
      <c r="J40" s="7">
        <v>45736</v>
      </c>
      <c r="L40" s="13"/>
      <c r="M40" s="13"/>
      <c r="N40" s="13"/>
      <c r="O40" s="13"/>
      <c r="P40" s="13"/>
      <c r="Q40" s="13"/>
      <c r="R40" s="13"/>
    </row>
    <row r="41" spans="9:18" x14ac:dyDescent="0.3">
      <c r="I41">
        <f t="shared" si="1"/>
        <v>38</v>
      </c>
      <c r="J41" s="7">
        <v>45737</v>
      </c>
      <c r="L41" s="13"/>
      <c r="M41" s="13"/>
      <c r="N41" s="13"/>
      <c r="O41" s="13"/>
      <c r="P41" s="13"/>
      <c r="Q41" s="13"/>
      <c r="R41" s="13"/>
    </row>
    <row r="42" spans="9:18" x14ac:dyDescent="0.3">
      <c r="I42">
        <f t="shared" si="1"/>
        <v>39</v>
      </c>
      <c r="J42" s="7">
        <v>45738</v>
      </c>
      <c r="L42" s="13"/>
      <c r="M42" s="13"/>
      <c r="N42" s="13"/>
      <c r="O42" s="13"/>
      <c r="P42" s="13"/>
      <c r="Q42" s="13"/>
      <c r="R42" s="13"/>
    </row>
    <row r="43" spans="9:18" x14ac:dyDescent="0.3">
      <c r="I43">
        <f t="shared" si="1"/>
        <v>40</v>
      </c>
      <c r="J43" s="7">
        <v>45739</v>
      </c>
      <c r="L43" s="13"/>
      <c r="M43" s="13"/>
      <c r="N43" s="13"/>
      <c r="O43" s="13"/>
      <c r="P43" s="13"/>
      <c r="Q43" s="13"/>
      <c r="R43" s="13"/>
    </row>
    <row r="44" spans="9:18" x14ac:dyDescent="0.3">
      <c r="I44">
        <f t="shared" si="1"/>
        <v>41</v>
      </c>
      <c r="J44" s="7">
        <v>45740</v>
      </c>
      <c r="L44" s="13"/>
      <c r="M44" s="13"/>
      <c r="N44" s="13"/>
      <c r="O44" s="13"/>
      <c r="P44" s="13"/>
      <c r="Q44" s="13"/>
      <c r="R44" s="13"/>
    </row>
    <row r="45" spans="9:18" x14ac:dyDescent="0.3">
      <c r="I45">
        <f t="shared" si="1"/>
        <v>42</v>
      </c>
      <c r="J45" s="7">
        <v>45741</v>
      </c>
      <c r="L45" s="13"/>
      <c r="M45" s="13"/>
      <c r="N45" s="13"/>
      <c r="O45" s="13"/>
      <c r="P45" s="13"/>
      <c r="Q45" s="13"/>
      <c r="R45" s="13"/>
    </row>
    <row r="46" spans="9:18" x14ac:dyDescent="0.3">
      <c r="I46">
        <f t="shared" si="1"/>
        <v>43</v>
      </c>
      <c r="J46" s="7">
        <v>45742</v>
      </c>
      <c r="L46" s="13"/>
      <c r="M46" s="13"/>
      <c r="N46" s="13"/>
      <c r="O46" s="13"/>
      <c r="P46" s="13"/>
      <c r="Q46" s="13"/>
      <c r="R46" s="13"/>
    </row>
    <row r="47" spans="9:18" x14ac:dyDescent="0.3">
      <c r="I47">
        <f t="shared" si="1"/>
        <v>44</v>
      </c>
      <c r="J47" s="7">
        <v>45743</v>
      </c>
      <c r="L47" s="13"/>
      <c r="M47" s="13"/>
      <c r="N47" s="13"/>
      <c r="O47" s="13"/>
      <c r="P47" s="13"/>
      <c r="Q47" s="13"/>
      <c r="R47" s="13"/>
    </row>
    <row r="48" spans="9:18" x14ac:dyDescent="0.3">
      <c r="I48">
        <f t="shared" si="1"/>
        <v>45</v>
      </c>
      <c r="J48" s="7">
        <v>45744</v>
      </c>
      <c r="L48" s="13"/>
      <c r="M48" s="13"/>
      <c r="N48" s="13"/>
      <c r="O48" s="13"/>
      <c r="P48" s="13"/>
      <c r="Q48" s="13"/>
      <c r="R48" s="13"/>
    </row>
    <row r="49" spans="9:18" x14ac:dyDescent="0.3">
      <c r="I49">
        <f t="shared" si="1"/>
        <v>46</v>
      </c>
      <c r="J49" s="7">
        <v>45745</v>
      </c>
      <c r="L49" s="13"/>
      <c r="M49" s="13"/>
      <c r="N49" s="13"/>
      <c r="O49" s="13"/>
      <c r="P49" s="13"/>
      <c r="Q49" s="13"/>
      <c r="R49" s="13"/>
    </row>
    <row r="50" spans="9:18" x14ac:dyDescent="0.3">
      <c r="I50">
        <f t="shared" si="1"/>
        <v>47</v>
      </c>
      <c r="J50" s="7">
        <v>45746</v>
      </c>
      <c r="L50" s="13"/>
      <c r="M50" s="13"/>
      <c r="N50" s="13"/>
      <c r="O50" s="13"/>
      <c r="P50" s="13"/>
      <c r="Q50" s="13"/>
      <c r="R50" s="13"/>
    </row>
    <row r="51" spans="9:18" x14ac:dyDescent="0.3">
      <c r="I51">
        <f t="shared" si="1"/>
        <v>48</v>
      </c>
      <c r="J51" s="7">
        <v>45747</v>
      </c>
      <c r="L51" s="13"/>
      <c r="M51" s="13"/>
      <c r="N51" s="13"/>
      <c r="O51" s="13"/>
      <c r="P51" s="13"/>
      <c r="Q51" s="13"/>
      <c r="R51" s="13"/>
    </row>
    <row r="52" spans="9:18" x14ac:dyDescent="0.3">
      <c r="I52">
        <f t="shared" si="1"/>
        <v>49</v>
      </c>
      <c r="J52" s="7">
        <v>45748</v>
      </c>
      <c r="L52" s="13"/>
      <c r="M52" s="13"/>
      <c r="N52" s="13"/>
      <c r="O52" s="13"/>
      <c r="P52" s="13"/>
      <c r="Q52" s="13"/>
      <c r="R52" s="13"/>
    </row>
    <row r="53" spans="9:18" x14ac:dyDescent="0.3">
      <c r="I53">
        <f t="shared" si="1"/>
        <v>50</v>
      </c>
      <c r="J53" s="7">
        <v>45749</v>
      </c>
      <c r="L53" s="13"/>
      <c r="M53" s="13"/>
      <c r="N53" s="13"/>
      <c r="O53" s="13"/>
      <c r="P53" s="13"/>
      <c r="Q53" s="13"/>
      <c r="R53" s="13"/>
    </row>
    <row r="54" spans="9:18" x14ac:dyDescent="0.3">
      <c r="I54">
        <f t="shared" si="1"/>
        <v>51</v>
      </c>
      <c r="J54" s="7">
        <v>45750</v>
      </c>
      <c r="L54" s="13"/>
      <c r="M54" s="13"/>
      <c r="N54" s="13"/>
      <c r="O54" s="13"/>
      <c r="P54" s="13"/>
      <c r="Q54" s="13"/>
      <c r="R54" s="13"/>
    </row>
    <row r="55" spans="9:18" x14ac:dyDescent="0.3">
      <c r="I55">
        <f t="shared" si="1"/>
        <v>52</v>
      </c>
      <c r="J55" s="7">
        <v>45751</v>
      </c>
      <c r="L55" s="13"/>
      <c r="M55" s="13"/>
      <c r="N55" s="13"/>
      <c r="O55" s="13"/>
      <c r="P55" s="13"/>
      <c r="Q55" s="13"/>
      <c r="R55" s="13"/>
    </row>
    <row r="56" spans="9:18" x14ac:dyDescent="0.3">
      <c r="I56">
        <f t="shared" si="1"/>
        <v>53</v>
      </c>
      <c r="J56" s="7">
        <v>45752</v>
      </c>
      <c r="L56" s="13"/>
      <c r="M56" s="13"/>
      <c r="N56" s="13"/>
      <c r="O56" s="13"/>
      <c r="P56" s="13"/>
      <c r="Q56" s="13"/>
      <c r="R56" s="13"/>
    </row>
    <row r="57" spans="9:18" x14ac:dyDescent="0.3">
      <c r="I57">
        <f t="shared" si="1"/>
        <v>54</v>
      </c>
      <c r="J57" s="7">
        <v>45753</v>
      </c>
      <c r="L57" s="13"/>
      <c r="M57" s="13"/>
      <c r="N57" s="13"/>
      <c r="O57" s="13"/>
      <c r="P57" s="13"/>
      <c r="Q57" s="13"/>
      <c r="R57" s="13"/>
    </row>
    <row r="58" spans="9:18" x14ac:dyDescent="0.3">
      <c r="I58">
        <f t="shared" si="1"/>
        <v>55</v>
      </c>
      <c r="J58" s="7">
        <v>45754</v>
      </c>
      <c r="L58" s="13"/>
      <c r="M58" s="13"/>
      <c r="N58" s="13"/>
      <c r="O58" s="13"/>
      <c r="P58" s="13"/>
      <c r="Q58" s="13"/>
      <c r="R58" s="13"/>
    </row>
    <row r="59" spans="9:18" x14ac:dyDescent="0.3">
      <c r="I59">
        <f t="shared" si="1"/>
        <v>56</v>
      </c>
      <c r="J59" s="7">
        <v>45755</v>
      </c>
      <c r="L59" s="13"/>
      <c r="M59" s="13"/>
      <c r="N59" s="13"/>
      <c r="O59" s="13"/>
      <c r="P59" s="13"/>
      <c r="Q59" s="13"/>
      <c r="R59" s="13"/>
    </row>
    <row r="60" spans="9:18" x14ac:dyDescent="0.3">
      <c r="I60">
        <f t="shared" si="1"/>
        <v>57</v>
      </c>
      <c r="J60" s="7">
        <v>45756</v>
      </c>
      <c r="L60" s="13"/>
      <c r="M60" s="13"/>
      <c r="N60" s="13"/>
      <c r="O60" s="13"/>
      <c r="P60" s="13"/>
      <c r="Q60" s="13"/>
      <c r="R60" s="13"/>
    </row>
    <row r="61" spans="9:18" x14ac:dyDescent="0.3">
      <c r="I61">
        <f t="shared" si="1"/>
        <v>58</v>
      </c>
      <c r="J61" s="7">
        <v>45757</v>
      </c>
      <c r="L61" s="13"/>
      <c r="M61" s="13"/>
      <c r="N61" s="13"/>
      <c r="O61" s="13"/>
      <c r="P61" s="13"/>
      <c r="Q61" s="13"/>
      <c r="R61" s="13"/>
    </row>
    <row r="62" spans="9:18" x14ac:dyDescent="0.3">
      <c r="I62">
        <f t="shared" si="1"/>
        <v>59</v>
      </c>
      <c r="J62" s="7">
        <v>45758</v>
      </c>
      <c r="L62" s="13"/>
      <c r="M62" s="13"/>
      <c r="N62" s="13"/>
      <c r="O62" s="13"/>
      <c r="P62" s="13"/>
      <c r="Q62" s="13"/>
      <c r="R62" s="13"/>
    </row>
    <row r="63" spans="9:18" x14ac:dyDescent="0.3">
      <c r="I63">
        <f t="shared" si="1"/>
        <v>60</v>
      </c>
      <c r="J63" s="7">
        <v>45759</v>
      </c>
      <c r="L63" s="13"/>
      <c r="M63" s="13"/>
      <c r="N63" s="13"/>
      <c r="O63" s="13"/>
      <c r="P63" s="13"/>
      <c r="Q63" s="13"/>
      <c r="R63" s="13"/>
    </row>
    <row r="64" spans="9:18" x14ac:dyDescent="0.3">
      <c r="I64">
        <f t="shared" si="1"/>
        <v>61</v>
      </c>
      <c r="J64" s="7">
        <v>45760</v>
      </c>
      <c r="L64" s="13"/>
      <c r="M64" s="13"/>
      <c r="N64" s="13"/>
      <c r="O64" s="13"/>
      <c r="P64" s="13"/>
      <c r="Q64" s="13"/>
      <c r="R64" s="13"/>
    </row>
    <row r="65" spans="9:18" x14ac:dyDescent="0.3">
      <c r="I65">
        <f t="shared" si="1"/>
        <v>62</v>
      </c>
      <c r="J65" s="7">
        <v>45761</v>
      </c>
      <c r="L65" s="13"/>
      <c r="M65" s="13"/>
      <c r="N65" s="13"/>
      <c r="O65" s="13"/>
      <c r="P65" s="13"/>
      <c r="Q65" s="13"/>
      <c r="R65" s="13"/>
    </row>
    <row r="66" spans="9:18" x14ac:dyDescent="0.3">
      <c r="I66">
        <f t="shared" si="1"/>
        <v>63</v>
      </c>
      <c r="J66" s="7">
        <v>45762</v>
      </c>
      <c r="L66" s="13"/>
      <c r="M66" s="13"/>
      <c r="N66" s="13"/>
      <c r="O66" s="13"/>
      <c r="P66" s="13"/>
      <c r="Q66" s="13"/>
      <c r="R66" s="13"/>
    </row>
    <row r="67" spans="9:18" x14ac:dyDescent="0.3">
      <c r="I67">
        <f t="shared" si="1"/>
        <v>64</v>
      </c>
      <c r="J67" s="7">
        <v>45763</v>
      </c>
      <c r="L67" s="13"/>
      <c r="M67" s="13"/>
      <c r="N67" s="13"/>
      <c r="O67" s="13"/>
      <c r="P67" s="13"/>
      <c r="Q67" s="13"/>
      <c r="R67" s="13"/>
    </row>
    <row r="68" spans="9:18" x14ac:dyDescent="0.3">
      <c r="I68">
        <f t="shared" si="1"/>
        <v>65</v>
      </c>
      <c r="J68" s="7">
        <v>45764</v>
      </c>
      <c r="L68" s="13"/>
      <c r="M68" s="13"/>
      <c r="N68" s="13"/>
      <c r="O68" s="13"/>
      <c r="P68" s="13"/>
      <c r="Q68" s="13"/>
      <c r="R68" s="13"/>
    </row>
    <row r="69" spans="9:18" x14ac:dyDescent="0.3">
      <c r="I69">
        <f t="shared" si="1"/>
        <v>66</v>
      </c>
      <c r="J69" s="7">
        <v>45765</v>
      </c>
      <c r="L69" s="13"/>
      <c r="M69" s="13"/>
      <c r="N69" s="13"/>
      <c r="O69" s="13"/>
      <c r="P69" s="13"/>
      <c r="Q69" s="13"/>
      <c r="R69" s="13"/>
    </row>
    <row r="70" spans="9:18" x14ac:dyDescent="0.3">
      <c r="I70">
        <f t="shared" ref="I70:I133" si="29">+I69+1</f>
        <v>67</v>
      </c>
      <c r="J70" s="7">
        <v>45766</v>
      </c>
      <c r="L70" s="13"/>
      <c r="M70" s="13"/>
      <c r="N70" s="13"/>
      <c r="O70" s="13"/>
      <c r="P70" s="13"/>
      <c r="Q70" s="13"/>
      <c r="R70" s="13"/>
    </row>
    <row r="71" spans="9:18" x14ac:dyDescent="0.3">
      <c r="I71">
        <f t="shared" si="29"/>
        <v>68</v>
      </c>
      <c r="J71" s="7">
        <v>45767</v>
      </c>
      <c r="L71" s="13"/>
      <c r="M71" s="13"/>
      <c r="N71" s="13"/>
      <c r="O71" s="13"/>
      <c r="P71" s="13"/>
      <c r="Q71" s="13"/>
      <c r="R71" s="13"/>
    </row>
    <row r="72" spans="9:18" x14ac:dyDescent="0.3">
      <c r="I72">
        <f t="shared" si="29"/>
        <v>69</v>
      </c>
      <c r="J72" s="7">
        <v>45768</v>
      </c>
      <c r="L72" s="13"/>
      <c r="M72" s="13"/>
      <c r="N72" s="13"/>
      <c r="O72" s="13"/>
      <c r="P72" s="13"/>
      <c r="Q72" s="13"/>
      <c r="R72" s="13"/>
    </row>
    <row r="73" spans="9:18" x14ac:dyDescent="0.3">
      <c r="I73">
        <f t="shared" si="29"/>
        <v>70</v>
      </c>
      <c r="J73" s="7">
        <v>45769</v>
      </c>
      <c r="L73" s="13"/>
      <c r="M73" s="13"/>
      <c r="N73" s="13"/>
      <c r="O73" s="13"/>
      <c r="P73" s="13"/>
      <c r="Q73" s="13"/>
      <c r="R73" s="13"/>
    </row>
    <row r="74" spans="9:18" x14ac:dyDescent="0.3">
      <c r="I74">
        <f t="shared" si="29"/>
        <v>71</v>
      </c>
      <c r="J74" s="7">
        <v>45770</v>
      </c>
      <c r="L74" s="13"/>
      <c r="M74" s="13"/>
      <c r="N74" s="13"/>
      <c r="O74" s="13"/>
      <c r="P74" s="13"/>
      <c r="Q74" s="13"/>
      <c r="R74" s="13"/>
    </row>
    <row r="75" spans="9:18" x14ac:dyDescent="0.3">
      <c r="I75">
        <f t="shared" si="29"/>
        <v>72</v>
      </c>
      <c r="J75" s="7">
        <v>45771</v>
      </c>
      <c r="L75" s="13"/>
      <c r="M75" s="13"/>
      <c r="N75" s="13"/>
      <c r="O75" s="13"/>
      <c r="P75" s="13"/>
      <c r="Q75" s="13"/>
      <c r="R75" s="13"/>
    </row>
    <row r="76" spans="9:18" x14ac:dyDescent="0.3">
      <c r="I76">
        <f t="shared" si="29"/>
        <v>73</v>
      </c>
      <c r="J76" s="7">
        <v>45772</v>
      </c>
      <c r="L76" s="13"/>
      <c r="M76" s="13"/>
      <c r="N76" s="13"/>
      <c r="O76" s="13"/>
      <c r="P76" s="13"/>
      <c r="Q76" s="13"/>
      <c r="R76" s="13"/>
    </row>
    <row r="77" spans="9:18" x14ac:dyDescent="0.3">
      <c r="I77">
        <f t="shared" si="29"/>
        <v>74</v>
      </c>
      <c r="J77" s="7">
        <v>45773</v>
      </c>
      <c r="L77" s="13"/>
      <c r="M77" s="13"/>
      <c r="N77" s="13"/>
      <c r="O77" s="13"/>
      <c r="P77" s="13"/>
      <c r="Q77" s="13"/>
      <c r="R77" s="13"/>
    </row>
    <row r="78" spans="9:18" x14ac:dyDescent="0.3">
      <c r="I78">
        <f t="shared" si="29"/>
        <v>75</v>
      </c>
      <c r="J78" s="7">
        <v>45774</v>
      </c>
      <c r="L78" s="13"/>
      <c r="M78" s="13"/>
      <c r="N78" s="13"/>
      <c r="O78" s="13"/>
      <c r="P78" s="13"/>
      <c r="Q78" s="13"/>
      <c r="R78" s="13"/>
    </row>
    <row r="79" spans="9:18" x14ac:dyDescent="0.3">
      <c r="I79">
        <f t="shared" si="29"/>
        <v>76</v>
      </c>
      <c r="J79" s="7">
        <v>45775</v>
      </c>
      <c r="L79" s="13"/>
      <c r="M79" s="13"/>
      <c r="N79" s="13"/>
      <c r="O79" s="13"/>
      <c r="P79" s="13"/>
      <c r="Q79" s="13"/>
      <c r="R79" s="13"/>
    </row>
    <row r="80" spans="9:18" x14ac:dyDescent="0.3">
      <c r="I80">
        <f t="shared" si="29"/>
        <v>77</v>
      </c>
      <c r="J80" s="7">
        <v>45776</v>
      </c>
      <c r="L80" s="13"/>
      <c r="M80" s="13"/>
      <c r="N80" s="13"/>
      <c r="O80" s="13"/>
      <c r="P80" s="13"/>
      <c r="Q80" s="13"/>
      <c r="R80" s="13"/>
    </row>
    <row r="81" spans="9:18" x14ac:dyDescent="0.3">
      <c r="I81">
        <f t="shared" si="29"/>
        <v>78</v>
      </c>
      <c r="J81" s="7">
        <v>45777</v>
      </c>
      <c r="L81" s="13"/>
      <c r="M81" s="13"/>
      <c r="N81" s="13"/>
      <c r="O81" s="13"/>
      <c r="P81" s="13"/>
      <c r="Q81" s="13"/>
      <c r="R81" s="13"/>
    </row>
    <row r="82" spans="9:18" x14ac:dyDescent="0.3">
      <c r="I82">
        <f t="shared" si="29"/>
        <v>79</v>
      </c>
      <c r="J82" s="7">
        <v>45778</v>
      </c>
      <c r="L82" s="13"/>
      <c r="M82" s="13"/>
      <c r="N82" s="13"/>
      <c r="O82" s="13"/>
      <c r="P82" s="13"/>
      <c r="Q82" s="13"/>
      <c r="R82" s="13"/>
    </row>
    <row r="83" spans="9:18" x14ac:dyDescent="0.3">
      <c r="I83">
        <f t="shared" si="29"/>
        <v>80</v>
      </c>
      <c r="J83" s="7">
        <v>45779</v>
      </c>
      <c r="L83" s="13"/>
      <c r="M83" s="13"/>
      <c r="N83" s="13"/>
      <c r="O83" s="13"/>
      <c r="P83" s="13"/>
      <c r="Q83" s="13"/>
      <c r="R83" s="13"/>
    </row>
    <row r="84" spans="9:18" x14ac:dyDescent="0.3">
      <c r="I84">
        <f t="shared" si="29"/>
        <v>81</v>
      </c>
      <c r="J84" s="7">
        <v>45780</v>
      </c>
      <c r="L84" s="13"/>
      <c r="M84" s="13"/>
      <c r="N84" s="13"/>
      <c r="O84" s="13"/>
      <c r="P84" s="13"/>
      <c r="Q84" s="13"/>
      <c r="R84" s="13"/>
    </row>
    <row r="85" spans="9:18" x14ac:dyDescent="0.3">
      <c r="I85">
        <f t="shared" si="29"/>
        <v>82</v>
      </c>
      <c r="J85" s="7">
        <v>45781</v>
      </c>
      <c r="L85" s="13"/>
      <c r="M85" s="13"/>
      <c r="N85" s="13"/>
      <c r="O85" s="13"/>
      <c r="P85" s="13"/>
      <c r="Q85" s="13"/>
      <c r="R85" s="13"/>
    </row>
    <row r="86" spans="9:18" x14ac:dyDescent="0.3">
      <c r="I86">
        <f t="shared" si="29"/>
        <v>83</v>
      </c>
      <c r="J86" s="7">
        <v>45782</v>
      </c>
      <c r="L86" s="13"/>
      <c r="M86" s="13"/>
      <c r="N86" s="13"/>
      <c r="O86" s="13"/>
      <c r="P86" s="13"/>
      <c r="Q86" s="13"/>
      <c r="R86" s="13"/>
    </row>
    <row r="87" spans="9:18" x14ac:dyDescent="0.3">
      <c r="I87">
        <f t="shared" si="29"/>
        <v>84</v>
      </c>
      <c r="J87" s="7">
        <v>45783</v>
      </c>
      <c r="L87" s="13"/>
      <c r="M87" s="13"/>
      <c r="N87" s="13"/>
      <c r="O87" s="13"/>
      <c r="P87" s="13"/>
      <c r="Q87" s="13"/>
      <c r="R87" s="13"/>
    </row>
    <row r="88" spans="9:18" x14ac:dyDescent="0.3">
      <c r="I88">
        <f t="shared" si="29"/>
        <v>85</v>
      </c>
      <c r="J88" s="7">
        <v>45784</v>
      </c>
      <c r="L88" s="13"/>
      <c r="M88" s="13"/>
      <c r="N88" s="13"/>
      <c r="O88" s="13"/>
      <c r="P88" s="13"/>
      <c r="Q88" s="13"/>
      <c r="R88" s="13"/>
    </row>
    <row r="89" spans="9:18" x14ac:dyDescent="0.3">
      <c r="I89">
        <f t="shared" si="29"/>
        <v>86</v>
      </c>
      <c r="J89" s="7">
        <v>45785</v>
      </c>
      <c r="L89" s="13"/>
      <c r="M89" s="13"/>
      <c r="N89" s="13"/>
      <c r="O89" s="13"/>
      <c r="P89" s="13"/>
      <c r="Q89" s="13"/>
      <c r="R89" s="13"/>
    </row>
    <row r="90" spans="9:18" x14ac:dyDescent="0.3">
      <c r="I90">
        <f t="shared" si="29"/>
        <v>87</v>
      </c>
      <c r="J90" s="7">
        <v>45786</v>
      </c>
      <c r="L90" s="13"/>
      <c r="M90" s="13"/>
      <c r="N90" s="13"/>
      <c r="O90" s="13"/>
      <c r="P90" s="13"/>
      <c r="Q90" s="13"/>
      <c r="R90" s="13"/>
    </row>
    <row r="91" spans="9:18" x14ac:dyDescent="0.3">
      <c r="I91">
        <f t="shared" si="29"/>
        <v>88</v>
      </c>
      <c r="J91" s="7">
        <v>45787</v>
      </c>
      <c r="L91" s="13"/>
      <c r="M91" s="13"/>
      <c r="N91" s="13"/>
      <c r="O91" s="13"/>
      <c r="P91" s="13"/>
      <c r="Q91" s="13"/>
      <c r="R91" s="13"/>
    </row>
    <row r="92" spans="9:18" x14ac:dyDescent="0.3">
      <c r="I92">
        <f t="shared" si="29"/>
        <v>89</v>
      </c>
      <c r="J92" s="7">
        <v>45788</v>
      </c>
      <c r="L92" s="13"/>
      <c r="M92" s="13"/>
      <c r="N92" s="13"/>
      <c r="O92" s="13"/>
      <c r="P92" s="13"/>
      <c r="Q92" s="13"/>
      <c r="R92" s="13"/>
    </row>
    <row r="93" spans="9:18" x14ac:dyDescent="0.3">
      <c r="I93">
        <f t="shared" si="29"/>
        <v>90</v>
      </c>
      <c r="J93" s="7">
        <v>45789</v>
      </c>
      <c r="L93" s="13"/>
      <c r="M93" s="13"/>
      <c r="N93" s="13"/>
      <c r="O93" s="13"/>
      <c r="P93" s="13"/>
      <c r="Q93" s="13"/>
      <c r="R93" s="13"/>
    </row>
    <row r="94" spans="9:18" x14ac:dyDescent="0.3">
      <c r="I94">
        <f t="shared" si="29"/>
        <v>91</v>
      </c>
      <c r="J94" s="7">
        <v>45790</v>
      </c>
      <c r="L94" s="13"/>
      <c r="M94" s="13"/>
      <c r="N94" s="13"/>
      <c r="O94" s="13"/>
      <c r="P94" s="13"/>
      <c r="Q94" s="13"/>
      <c r="R94" s="13"/>
    </row>
    <row r="95" spans="9:18" x14ac:dyDescent="0.3">
      <c r="I95">
        <f t="shared" si="29"/>
        <v>92</v>
      </c>
      <c r="J95" s="7">
        <v>45791</v>
      </c>
      <c r="L95" s="13"/>
      <c r="M95" s="13"/>
      <c r="N95" s="13"/>
      <c r="O95" s="13"/>
      <c r="P95" s="13"/>
      <c r="Q95" s="13"/>
      <c r="R95" s="13"/>
    </row>
    <row r="96" spans="9:18" x14ac:dyDescent="0.3">
      <c r="I96">
        <f t="shared" si="29"/>
        <v>93</v>
      </c>
      <c r="J96" s="7">
        <v>45792</v>
      </c>
      <c r="L96" s="13"/>
      <c r="M96" s="13"/>
      <c r="N96" s="13"/>
      <c r="O96" s="13"/>
      <c r="P96" s="13"/>
      <c r="Q96" s="13"/>
      <c r="R96" s="13"/>
    </row>
    <row r="97" spans="9:18" x14ac:dyDescent="0.3">
      <c r="I97">
        <f t="shared" si="29"/>
        <v>94</v>
      </c>
      <c r="J97" s="7">
        <v>45793</v>
      </c>
      <c r="L97" s="13"/>
      <c r="M97" s="13"/>
      <c r="N97" s="13"/>
      <c r="O97" s="13"/>
      <c r="P97" s="13"/>
      <c r="Q97" s="13"/>
      <c r="R97" s="13"/>
    </row>
    <row r="98" spans="9:18" x14ac:dyDescent="0.3">
      <c r="I98">
        <f t="shared" si="29"/>
        <v>95</v>
      </c>
      <c r="J98" s="7">
        <v>45794</v>
      </c>
      <c r="L98" s="13"/>
      <c r="M98" s="13"/>
      <c r="N98" s="13"/>
      <c r="O98" s="13"/>
      <c r="P98" s="13"/>
      <c r="Q98" s="13"/>
      <c r="R98" s="13"/>
    </row>
    <row r="99" spans="9:18" x14ac:dyDescent="0.3">
      <c r="I99">
        <f t="shared" si="29"/>
        <v>96</v>
      </c>
      <c r="J99" s="7">
        <v>45795</v>
      </c>
      <c r="L99" s="13"/>
      <c r="M99" s="13"/>
      <c r="N99" s="13"/>
      <c r="O99" s="13"/>
      <c r="P99" s="13"/>
      <c r="Q99" s="13"/>
      <c r="R99" s="13"/>
    </row>
    <row r="100" spans="9:18" x14ac:dyDescent="0.3">
      <c r="I100">
        <f t="shared" si="29"/>
        <v>97</v>
      </c>
      <c r="J100" s="7">
        <v>45796</v>
      </c>
      <c r="L100" s="13"/>
      <c r="M100" s="13"/>
      <c r="N100" s="13"/>
      <c r="O100" s="13"/>
      <c r="P100" s="13"/>
      <c r="Q100" s="13"/>
      <c r="R100" s="13"/>
    </row>
    <row r="101" spans="9:18" x14ac:dyDescent="0.3">
      <c r="I101">
        <f t="shared" si="29"/>
        <v>98</v>
      </c>
      <c r="J101" s="7">
        <v>45797</v>
      </c>
      <c r="L101" s="13"/>
      <c r="M101" s="13"/>
      <c r="N101" s="13"/>
      <c r="O101" s="13"/>
      <c r="P101" s="13"/>
      <c r="Q101" s="13"/>
      <c r="R101" s="13"/>
    </row>
    <row r="102" spans="9:18" x14ac:dyDescent="0.3">
      <c r="I102">
        <f t="shared" si="29"/>
        <v>99</v>
      </c>
      <c r="J102" s="7">
        <v>45798</v>
      </c>
      <c r="L102" s="13"/>
      <c r="M102" s="13"/>
      <c r="N102" s="13"/>
      <c r="O102" s="13"/>
      <c r="P102" s="13"/>
      <c r="Q102" s="13"/>
      <c r="R102" s="13"/>
    </row>
    <row r="103" spans="9:18" x14ac:dyDescent="0.3">
      <c r="I103">
        <f t="shared" si="29"/>
        <v>100</v>
      </c>
      <c r="J103" s="7">
        <v>45799</v>
      </c>
      <c r="L103" s="13"/>
      <c r="M103" s="13"/>
      <c r="N103" s="13"/>
      <c r="O103" s="13"/>
      <c r="P103" s="13"/>
      <c r="Q103" s="13"/>
      <c r="R103" s="13"/>
    </row>
    <row r="104" spans="9:18" x14ac:dyDescent="0.3">
      <c r="I104">
        <f t="shared" si="29"/>
        <v>101</v>
      </c>
      <c r="J104" s="7">
        <v>45800</v>
      </c>
      <c r="L104" s="13"/>
      <c r="M104" s="13"/>
      <c r="N104" s="13"/>
      <c r="O104" s="13"/>
      <c r="P104" s="13"/>
      <c r="Q104" s="13"/>
      <c r="R104" s="13"/>
    </row>
    <row r="105" spans="9:18" x14ac:dyDescent="0.3">
      <c r="I105">
        <f t="shared" si="29"/>
        <v>102</v>
      </c>
      <c r="J105" s="7">
        <v>45801</v>
      </c>
      <c r="L105" s="13"/>
      <c r="M105" s="13"/>
      <c r="N105" s="13"/>
      <c r="O105" s="13"/>
      <c r="P105" s="13"/>
      <c r="Q105" s="13"/>
      <c r="R105" s="13"/>
    </row>
    <row r="106" spans="9:18" x14ac:dyDescent="0.3">
      <c r="I106">
        <f t="shared" si="29"/>
        <v>103</v>
      </c>
      <c r="J106" s="7">
        <v>45802</v>
      </c>
      <c r="L106" s="13"/>
      <c r="M106" s="13"/>
      <c r="N106" s="13"/>
      <c r="O106" s="13"/>
      <c r="P106" s="13"/>
      <c r="Q106" s="13"/>
      <c r="R106" s="13"/>
    </row>
    <row r="107" spans="9:18" x14ac:dyDescent="0.3">
      <c r="I107">
        <f t="shared" si="29"/>
        <v>104</v>
      </c>
      <c r="J107" s="7">
        <v>45803</v>
      </c>
      <c r="L107" s="13"/>
      <c r="M107" s="13"/>
      <c r="N107" s="13"/>
      <c r="O107" s="13"/>
      <c r="P107" s="13"/>
      <c r="Q107" s="13"/>
      <c r="R107" s="13"/>
    </row>
    <row r="108" spans="9:18" x14ac:dyDescent="0.3">
      <c r="I108">
        <f t="shared" si="29"/>
        <v>105</v>
      </c>
      <c r="J108" s="7">
        <v>45804</v>
      </c>
      <c r="L108" s="13"/>
      <c r="M108" s="13"/>
      <c r="N108" s="13"/>
      <c r="O108" s="13"/>
      <c r="P108" s="13"/>
      <c r="Q108" s="13"/>
      <c r="R108" s="13"/>
    </row>
    <row r="109" spans="9:18" x14ac:dyDescent="0.3">
      <c r="I109">
        <f t="shared" si="29"/>
        <v>106</v>
      </c>
      <c r="J109" s="7">
        <v>45805</v>
      </c>
      <c r="L109" s="13"/>
      <c r="M109" s="13"/>
      <c r="N109" s="13"/>
      <c r="O109" s="13"/>
      <c r="P109" s="13"/>
      <c r="Q109" s="13"/>
      <c r="R109" s="13"/>
    </row>
    <row r="110" spans="9:18" x14ac:dyDescent="0.3">
      <c r="I110">
        <f t="shared" si="29"/>
        <v>107</v>
      </c>
      <c r="J110" s="7">
        <v>45806</v>
      </c>
      <c r="L110" s="13"/>
      <c r="M110" s="13"/>
      <c r="N110" s="13"/>
      <c r="O110" s="13"/>
      <c r="P110" s="13"/>
      <c r="Q110" s="13"/>
      <c r="R110" s="13"/>
    </row>
    <row r="111" spans="9:18" x14ac:dyDescent="0.3">
      <c r="I111">
        <f t="shared" si="29"/>
        <v>108</v>
      </c>
      <c r="J111" s="7">
        <v>45807</v>
      </c>
      <c r="L111" s="13"/>
      <c r="M111" s="13"/>
      <c r="N111" s="13"/>
      <c r="O111" s="13"/>
      <c r="P111" s="13"/>
      <c r="Q111" s="13"/>
      <c r="R111" s="13"/>
    </row>
    <row r="112" spans="9:18" x14ac:dyDescent="0.3">
      <c r="I112">
        <f t="shared" si="29"/>
        <v>109</v>
      </c>
      <c r="J112" s="7">
        <v>45808</v>
      </c>
      <c r="L112" s="13"/>
      <c r="M112" s="13"/>
      <c r="N112" s="13"/>
      <c r="O112" s="13"/>
      <c r="P112" s="13"/>
      <c r="Q112" s="13"/>
      <c r="R112" s="13"/>
    </row>
    <row r="113" spans="9:18" x14ac:dyDescent="0.3">
      <c r="I113">
        <f t="shared" si="29"/>
        <v>110</v>
      </c>
      <c r="J113" s="7">
        <v>45809</v>
      </c>
      <c r="L113" s="13"/>
      <c r="M113" s="13"/>
      <c r="N113" s="13"/>
      <c r="O113" s="13"/>
      <c r="P113" s="13"/>
      <c r="Q113" s="13"/>
      <c r="R113" s="13"/>
    </row>
    <row r="114" spans="9:18" x14ac:dyDescent="0.3">
      <c r="I114">
        <f t="shared" si="29"/>
        <v>111</v>
      </c>
      <c r="J114" s="7">
        <v>45810</v>
      </c>
      <c r="L114" s="13"/>
      <c r="M114" s="13"/>
      <c r="N114" s="13"/>
      <c r="O114" s="13"/>
      <c r="P114" s="13"/>
      <c r="Q114" s="13"/>
      <c r="R114" s="13"/>
    </row>
    <row r="115" spans="9:18" x14ac:dyDescent="0.3">
      <c r="I115">
        <f t="shared" si="29"/>
        <v>112</v>
      </c>
      <c r="J115" s="7">
        <v>45811</v>
      </c>
      <c r="L115" s="13"/>
      <c r="M115" s="13"/>
      <c r="N115" s="13"/>
      <c r="O115" s="13"/>
      <c r="P115" s="13"/>
      <c r="Q115" s="13"/>
      <c r="R115" s="13"/>
    </row>
    <row r="116" spans="9:18" x14ac:dyDescent="0.3">
      <c r="I116">
        <f t="shared" si="29"/>
        <v>113</v>
      </c>
      <c r="J116" s="7">
        <v>45812</v>
      </c>
      <c r="L116" s="13"/>
      <c r="M116" s="13"/>
      <c r="N116" s="13"/>
      <c r="O116" s="13"/>
      <c r="P116" s="13"/>
      <c r="Q116" s="13"/>
      <c r="R116" s="13"/>
    </row>
    <row r="117" spans="9:18" x14ac:dyDescent="0.3">
      <c r="I117">
        <f t="shared" si="29"/>
        <v>114</v>
      </c>
      <c r="J117" s="7">
        <v>45813</v>
      </c>
      <c r="L117" s="13"/>
      <c r="M117" s="13"/>
      <c r="N117" s="13"/>
      <c r="O117" s="13"/>
      <c r="P117" s="13"/>
      <c r="Q117" s="13"/>
      <c r="R117" s="13"/>
    </row>
    <row r="118" spans="9:18" x14ac:dyDescent="0.3">
      <c r="I118">
        <f t="shared" si="29"/>
        <v>115</v>
      </c>
      <c r="J118" s="7">
        <v>45814</v>
      </c>
      <c r="L118" s="13"/>
      <c r="M118" s="13"/>
      <c r="N118" s="13"/>
      <c r="O118" s="13"/>
      <c r="P118" s="13"/>
      <c r="Q118" s="13"/>
      <c r="R118" s="13"/>
    </row>
    <row r="119" spans="9:18" x14ac:dyDescent="0.3">
      <c r="I119">
        <f t="shared" si="29"/>
        <v>116</v>
      </c>
      <c r="J119" s="7">
        <v>45815</v>
      </c>
      <c r="L119" s="13"/>
      <c r="M119" s="13"/>
      <c r="N119" s="13"/>
      <c r="O119" s="13"/>
      <c r="P119" s="13"/>
      <c r="Q119" s="13"/>
      <c r="R119" s="13"/>
    </row>
    <row r="120" spans="9:18" x14ac:dyDescent="0.3">
      <c r="I120">
        <f t="shared" si="29"/>
        <v>117</v>
      </c>
      <c r="J120" s="7">
        <v>45816</v>
      </c>
      <c r="L120" s="13"/>
      <c r="M120" s="13"/>
      <c r="N120" s="13"/>
      <c r="O120" s="13"/>
      <c r="P120" s="13"/>
      <c r="Q120" s="13"/>
      <c r="R120" s="13"/>
    </row>
    <row r="121" spans="9:18" x14ac:dyDescent="0.3">
      <c r="I121">
        <f t="shared" si="29"/>
        <v>118</v>
      </c>
      <c r="J121" s="7">
        <v>45817</v>
      </c>
      <c r="L121" s="13"/>
      <c r="M121" s="13"/>
      <c r="N121" s="13"/>
      <c r="O121" s="13"/>
      <c r="P121" s="13"/>
      <c r="Q121" s="13"/>
      <c r="R121" s="13"/>
    </row>
    <row r="122" spans="9:18" x14ac:dyDescent="0.3">
      <c r="I122">
        <f t="shared" si="29"/>
        <v>119</v>
      </c>
      <c r="J122" s="7">
        <v>45818</v>
      </c>
      <c r="L122" s="13"/>
      <c r="M122" s="13"/>
      <c r="N122" s="13"/>
      <c r="O122" s="13"/>
      <c r="P122" s="13"/>
      <c r="Q122" s="13"/>
      <c r="R122" s="13"/>
    </row>
    <row r="123" spans="9:18" x14ac:dyDescent="0.3">
      <c r="I123">
        <f t="shared" si="29"/>
        <v>120</v>
      </c>
      <c r="J123" s="7">
        <v>45819</v>
      </c>
      <c r="L123" s="13"/>
      <c r="M123" s="13"/>
      <c r="N123" s="13"/>
      <c r="O123" s="13"/>
      <c r="P123" s="13"/>
      <c r="Q123" s="13"/>
      <c r="R123" s="13"/>
    </row>
    <row r="124" spans="9:18" x14ac:dyDescent="0.3">
      <c r="I124">
        <f t="shared" si="29"/>
        <v>121</v>
      </c>
      <c r="J124" s="7">
        <v>45820</v>
      </c>
      <c r="L124" s="13"/>
      <c r="M124" s="13"/>
      <c r="N124" s="13"/>
      <c r="O124" s="13"/>
      <c r="P124" s="13"/>
      <c r="Q124" s="13"/>
      <c r="R124" s="13"/>
    </row>
    <row r="125" spans="9:18" x14ac:dyDescent="0.3">
      <c r="I125">
        <f t="shared" si="29"/>
        <v>122</v>
      </c>
      <c r="J125" s="7">
        <v>45821</v>
      </c>
      <c r="L125" s="13"/>
      <c r="M125" s="13"/>
      <c r="N125" s="13"/>
      <c r="O125" s="13"/>
      <c r="P125" s="13"/>
      <c r="Q125" s="13"/>
      <c r="R125" s="13"/>
    </row>
    <row r="126" spans="9:18" x14ac:dyDescent="0.3">
      <c r="I126">
        <f t="shared" si="29"/>
        <v>123</v>
      </c>
      <c r="J126" s="7">
        <v>45822</v>
      </c>
      <c r="L126" s="13"/>
      <c r="M126" s="13"/>
      <c r="N126" s="13"/>
      <c r="O126" s="13"/>
      <c r="P126" s="13"/>
      <c r="Q126" s="13"/>
      <c r="R126" s="13"/>
    </row>
    <row r="127" spans="9:18" x14ac:dyDescent="0.3">
      <c r="I127">
        <f t="shared" si="29"/>
        <v>124</v>
      </c>
      <c r="J127" s="7">
        <v>45823</v>
      </c>
      <c r="L127" s="13"/>
      <c r="M127" s="13"/>
      <c r="N127" s="13"/>
      <c r="O127" s="13"/>
      <c r="P127" s="13"/>
      <c r="Q127" s="13"/>
      <c r="R127" s="13"/>
    </row>
    <row r="128" spans="9:18" x14ac:dyDescent="0.3">
      <c r="I128">
        <f t="shared" si="29"/>
        <v>125</v>
      </c>
      <c r="J128" s="7">
        <v>45824</v>
      </c>
      <c r="L128" s="13"/>
      <c r="M128" s="13"/>
      <c r="N128" s="13"/>
      <c r="O128" s="13"/>
      <c r="P128" s="13"/>
      <c r="Q128" s="13"/>
      <c r="R128" s="13"/>
    </row>
    <row r="129" spans="9:18" x14ac:dyDescent="0.3">
      <c r="I129">
        <f t="shared" si="29"/>
        <v>126</v>
      </c>
      <c r="J129" s="7">
        <v>45825</v>
      </c>
      <c r="L129" s="13"/>
      <c r="M129" s="13"/>
      <c r="N129" s="13"/>
      <c r="O129" s="13"/>
      <c r="P129" s="13"/>
      <c r="Q129" s="13"/>
      <c r="R129" s="13"/>
    </row>
    <row r="130" spans="9:18" x14ac:dyDescent="0.3">
      <c r="I130">
        <f t="shared" si="29"/>
        <v>127</v>
      </c>
      <c r="J130" s="7">
        <v>45826</v>
      </c>
      <c r="L130" s="13"/>
      <c r="M130" s="13"/>
      <c r="N130" s="13"/>
      <c r="O130" s="13"/>
      <c r="P130" s="13"/>
      <c r="Q130" s="13"/>
      <c r="R130" s="13"/>
    </row>
    <row r="131" spans="9:18" x14ac:dyDescent="0.3">
      <c r="I131">
        <f t="shared" si="29"/>
        <v>128</v>
      </c>
      <c r="J131" s="7">
        <v>45827</v>
      </c>
      <c r="L131" s="13"/>
      <c r="M131" s="13"/>
      <c r="N131" s="13"/>
      <c r="O131" s="13"/>
      <c r="P131" s="13"/>
      <c r="Q131" s="13"/>
      <c r="R131" s="13"/>
    </row>
    <row r="132" spans="9:18" x14ac:dyDescent="0.3">
      <c r="I132">
        <f t="shared" si="29"/>
        <v>129</v>
      </c>
      <c r="J132" s="7">
        <v>45828</v>
      </c>
      <c r="L132" s="13"/>
      <c r="M132" s="13"/>
      <c r="N132" s="13"/>
      <c r="O132" s="13"/>
      <c r="P132" s="13"/>
      <c r="Q132" s="13"/>
      <c r="R132" s="13"/>
    </row>
    <row r="133" spans="9:18" x14ac:dyDescent="0.3">
      <c r="I133">
        <f t="shared" si="29"/>
        <v>130</v>
      </c>
      <c r="J133" s="7">
        <v>45829</v>
      </c>
      <c r="L133" s="13"/>
      <c r="M133" s="13"/>
      <c r="N133" s="13"/>
      <c r="O133" s="13"/>
      <c r="P133" s="13"/>
      <c r="Q133" s="13"/>
      <c r="R133" s="13"/>
    </row>
    <row r="134" spans="9:18" x14ac:dyDescent="0.3">
      <c r="I134">
        <f t="shared" ref="I134:I185" si="30">+I133+1</f>
        <v>131</v>
      </c>
      <c r="J134" s="7">
        <v>45830</v>
      </c>
      <c r="L134" s="13"/>
      <c r="M134" s="13"/>
      <c r="N134" s="13"/>
      <c r="O134" s="13"/>
      <c r="P134" s="13"/>
      <c r="Q134" s="13"/>
      <c r="R134" s="13"/>
    </row>
    <row r="135" spans="9:18" x14ac:dyDescent="0.3">
      <c r="I135">
        <f t="shared" si="30"/>
        <v>132</v>
      </c>
      <c r="J135" s="7">
        <v>45831</v>
      </c>
      <c r="L135" s="13"/>
      <c r="M135" s="13"/>
      <c r="N135" s="13"/>
      <c r="O135" s="13"/>
      <c r="P135" s="13"/>
      <c r="Q135" s="13"/>
      <c r="R135" s="13"/>
    </row>
    <row r="136" spans="9:18" x14ac:dyDescent="0.3">
      <c r="I136">
        <f t="shared" si="30"/>
        <v>133</v>
      </c>
      <c r="J136" s="7">
        <v>45832</v>
      </c>
      <c r="L136" s="13"/>
      <c r="M136" s="13"/>
      <c r="N136" s="13"/>
      <c r="O136" s="13"/>
      <c r="P136" s="13"/>
      <c r="Q136" s="13"/>
      <c r="R136" s="13"/>
    </row>
    <row r="137" spans="9:18" x14ac:dyDescent="0.3">
      <c r="I137">
        <f t="shared" si="30"/>
        <v>134</v>
      </c>
      <c r="J137" s="7">
        <v>45833</v>
      </c>
      <c r="L137" s="13"/>
      <c r="M137" s="13"/>
      <c r="N137" s="13"/>
      <c r="O137" s="13"/>
      <c r="P137" s="13"/>
      <c r="Q137" s="13"/>
      <c r="R137" s="13"/>
    </row>
    <row r="138" spans="9:18" x14ac:dyDescent="0.3">
      <c r="I138">
        <f t="shared" si="30"/>
        <v>135</v>
      </c>
      <c r="J138" s="7">
        <v>45834</v>
      </c>
      <c r="L138" s="13"/>
      <c r="M138" s="13"/>
      <c r="N138" s="13"/>
      <c r="O138" s="13"/>
      <c r="P138" s="13"/>
      <c r="Q138" s="13"/>
      <c r="R138" s="13"/>
    </row>
    <row r="139" spans="9:18" x14ac:dyDescent="0.3">
      <c r="I139">
        <f t="shared" si="30"/>
        <v>136</v>
      </c>
      <c r="J139" s="7">
        <v>45835</v>
      </c>
      <c r="L139" s="13"/>
      <c r="M139" s="13"/>
      <c r="N139" s="13"/>
      <c r="O139" s="13"/>
      <c r="P139" s="13"/>
      <c r="Q139" s="13"/>
      <c r="R139" s="13"/>
    </row>
    <row r="140" spans="9:18" x14ac:dyDescent="0.3">
      <c r="I140">
        <f t="shared" si="30"/>
        <v>137</v>
      </c>
      <c r="J140" s="7">
        <v>45836</v>
      </c>
      <c r="L140" s="13"/>
      <c r="M140" s="13"/>
      <c r="N140" s="13"/>
      <c r="O140" s="13"/>
      <c r="P140" s="13"/>
      <c r="Q140" s="13"/>
      <c r="R140" s="13"/>
    </row>
    <row r="141" spans="9:18" x14ac:dyDescent="0.3">
      <c r="I141">
        <f t="shared" si="30"/>
        <v>138</v>
      </c>
      <c r="J141" s="7">
        <v>45837</v>
      </c>
      <c r="L141" s="13"/>
      <c r="M141" s="13"/>
      <c r="N141" s="13"/>
      <c r="O141" s="13"/>
      <c r="P141" s="13"/>
      <c r="Q141" s="13"/>
      <c r="R141" s="13"/>
    </row>
    <row r="142" spans="9:18" x14ac:dyDescent="0.3">
      <c r="I142">
        <f t="shared" si="30"/>
        <v>139</v>
      </c>
      <c r="J142" s="7">
        <v>45838</v>
      </c>
      <c r="L142" s="13"/>
      <c r="M142" s="13"/>
      <c r="N142" s="13"/>
      <c r="O142" s="13"/>
      <c r="P142" s="13"/>
      <c r="Q142" s="13"/>
      <c r="R142" s="13"/>
    </row>
    <row r="143" spans="9:18" x14ac:dyDescent="0.3">
      <c r="I143">
        <f t="shared" si="30"/>
        <v>140</v>
      </c>
      <c r="J143" s="7">
        <v>45839</v>
      </c>
      <c r="L143" s="13"/>
      <c r="M143" s="13"/>
      <c r="N143" s="13"/>
      <c r="O143" s="13"/>
      <c r="P143" s="13"/>
      <c r="Q143" s="13"/>
      <c r="R143" s="13"/>
    </row>
    <row r="144" spans="9:18" x14ac:dyDescent="0.3">
      <c r="I144">
        <f t="shared" si="30"/>
        <v>141</v>
      </c>
      <c r="J144" s="7">
        <v>45840</v>
      </c>
      <c r="L144" s="13"/>
      <c r="M144" s="13"/>
      <c r="N144" s="13"/>
      <c r="O144" s="13"/>
      <c r="P144" s="13"/>
      <c r="Q144" s="13"/>
      <c r="R144" s="13"/>
    </row>
    <row r="145" spans="9:18" x14ac:dyDescent="0.3">
      <c r="I145">
        <f t="shared" si="30"/>
        <v>142</v>
      </c>
      <c r="J145" s="7">
        <v>45841</v>
      </c>
      <c r="L145" s="13"/>
      <c r="M145" s="13"/>
      <c r="N145" s="13"/>
      <c r="O145" s="13"/>
      <c r="P145" s="13"/>
      <c r="Q145" s="13"/>
      <c r="R145" s="13"/>
    </row>
    <row r="146" spans="9:18" x14ac:dyDescent="0.3">
      <c r="I146">
        <f t="shared" si="30"/>
        <v>143</v>
      </c>
      <c r="J146" s="7">
        <v>45842</v>
      </c>
      <c r="L146" s="13"/>
      <c r="M146" s="13"/>
      <c r="N146" s="13"/>
      <c r="O146" s="13"/>
      <c r="P146" s="13"/>
      <c r="Q146" s="13"/>
      <c r="R146" s="13"/>
    </row>
    <row r="147" spans="9:18" x14ac:dyDescent="0.3">
      <c r="I147">
        <f t="shared" si="30"/>
        <v>144</v>
      </c>
      <c r="J147" s="7">
        <v>45843</v>
      </c>
      <c r="L147" s="13"/>
      <c r="M147" s="13"/>
      <c r="N147" s="13"/>
      <c r="O147" s="13"/>
      <c r="P147" s="13"/>
      <c r="Q147" s="13"/>
      <c r="R147" s="13"/>
    </row>
    <row r="148" spans="9:18" x14ac:dyDescent="0.3">
      <c r="I148">
        <f t="shared" si="30"/>
        <v>145</v>
      </c>
      <c r="J148" s="7">
        <v>45844</v>
      </c>
      <c r="L148" s="13"/>
      <c r="M148" s="13"/>
      <c r="N148" s="13"/>
      <c r="O148" s="13"/>
      <c r="P148" s="13"/>
      <c r="Q148" s="13"/>
      <c r="R148" s="13"/>
    </row>
    <row r="149" spans="9:18" x14ac:dyDescent="0.3">
      <c r="I149">
        <f t="shared" si="30"/>
        <v>146</v>
      </c>
      <c r="J149" s="7">
        <v>45845</v>
      </c>
      <c r="L149" s="13"/>
      <c r="M149" s="13"/>
      <c r="N149" s="13"/>
      <c r="O149" s="13"/>
      <c r="P149" s="13"/>
      <c r="Q149" s="13"/>
      <c r="R149" s="13"/>
    </row>
    <row r="150" spans="9:18" x14ac:dyDescent="0.3">
      <c r="I150">
        <f t="shared" si="30"/>
        <v>147</v>
      </c>
      <c r="J150" s="7">
        <v>45846</v>
      </c>
      <c r="L150" s="13"/>
      <c r="M150" s="13"/>
      <c r="N150" s="13"/>
      <c r="O150" s="13"/>
      <c r="P150" s="13"/>
      <c r="Q150" s="13"/>
      <c r="R150" s="13"/>
    </row>
    <row r="151" spans="9:18" x14ac:dyDescent="0.3">
      <c r="I151">
        <f t="shared" si="30"/>
        <v>148</v>
      </c>
      <c r="J151" s="7">
        <v>45847</v>
      </c>
      <c r="L151" s="13"/>
      <c r="M151" s="13"/>
      <c r="N151" s="13"/>
      <c r="O151" s="13"/>
      <c r="P151" s="13"/>
      <c r="Q151" s="13"/>
      <c r="R151" s="13"/>
    </row>
    <row r="152" spans="9:18" x14ac:dyDescent="0.3">
      <c r="I152">
        <f t="shared" si="30"/>
        <v>149</v>
      </c>
      <c r="J152" s="7">
        <v>45848</v>
      </c>
      <c r="L152" s="13"/>
      <c r="M152" s="13"/>
      <c r="N152" s="13"/>
      <c r="O152" s="13"/>
      <c r="P152" s="13"/>
      <c r="Q152" s="13"/>
      <c r="R152" s="13"/>
    </row>
    <row r="153" spans="9:18" x14ac:dyDescent="0.3">
      <c r="I153">
        <f t="shared" si="30"/>
        <v>150</v>
      </c>
      <c r="J153" s="7">
        <v>45849</v>
      </c>
      <c r="L153" s="13"/>
      <c r="M153" s="13"/>
      <c r="N153" s="13"/>
      <c r="O153" s="13"/>
      <c r="P153" s="13"/>
      <c r="Q153" s="13"/>
      <c r="R153" s="13"/>
    </row>
    <row r="154" spans="9:18" x14ac:dyDescent="0.3">
      <c r="I154">
        <f t="shared" si="30"/>
        <v>151</v>
      </c>
      <c r="J154" s="7">
        <v>45850</v>
      </c>
      <c r="L154" s="13"/>
      <c r="M154" s="13"/>
      <c r="N154" s="13"/>
      <c r="O154" s="13"/>
      <c r="P154" s="13"/>
      <c r="Q154" s="13"/>
      <c r="R154" s="13"/>
    </row>
    <row r="155" spans="9:18" x14ac:dyDescent="0.3">
      <c r="I155">
        <f t="shared" si="30"/>
        <v>152</v>
      </c>
      <c r="J155" s="7">
        <v>45851</v>
      </c>
      <c r="L155" s="13"/>
      <c r="M155" s="13"/>
      <c r="N155" s="13"/>
      <c r="O155" s="13"/>
      <c r="P155" s="13"/>
      <c r="Q155" s="13"/>
      <c r="R155" s="13"/>
    </row>
    <row r="156" spans="9:18" x14ac:dyDescent="0.3">
      <c r="I156">
        <f t="shared" si="30"/>
        <v>153</v>
      </c>
      <c r="J156" s="7">
        <v>45852</v>
      </c>
      <c r="L156" s="13"/>
      <c r="M156" s="13"/>
      <c r="N156" s="13"/>
      <c r="O156" s="13"/>
      <c r="P156" s="13"/>
      <c r="Q156" s="13"/>
      <c r="R156" s="13"/>
    </row>
    <row r="157" spans="9:18" x14ac:dyDescent="0.3">
      <c r="I157">
        <f t="shared" si="30"/>
        <v>154</v>
      </c>
      <c r="J157" s="7">
        <v>45853</v>
      </c>
      <c r="L157" s="13"/>
      <c r="M157" s="13"/>
      <c r="N157" s="13"/>
      <c r="O157" s="13"/>
      <c r="P157" s="13"/>
      <c r="Q157" s="13"/>
      <c r="R157" s="13"/>
    </row>
    <row r="158" spans="9:18" x14ac:dyDescent="0.3">
      <c r="I158">
        <f t="shared" si="30"/>
        <v>155</v>
      </c>
      <c r="J158" s="7">
        <v>45854</v>
      </c>
      <c r="L158" s="13"/>
      <c r="M158" s="13"/>
      <c r="N158" s="13"/>
      <c r="O158" s="13"/>
      <c r="P158" s="13"/>
      <c r="Q158" s="13"/>
      <c r="R158" s="13"/>
    </row>
    <row r="159" spans="9:18" x14ac:dyDescent="0.3">
      <c r="I159">
        <f t="shared" si="30"/>
        <v>156</v>
      </c>
      <c r="J159" s="7">
        <v>45855</v>
      </c>
      <c r="L159" s="13"/>
      <c r="M159" s="13"/>
      <c r="N159" s="13"/>
      <c r="O159" s="13"/>
      <c r="P159" s="13"/>
      <c r="Q159" s="13"/>
      <c r="R159" s="13"/>
    </row>
    <row r="160" spans="9:18" x14ac:dyDescent="0.3">
      <c r="I160">
        <f t="shared" si="30"/>
        <v>157</v>
      </c>
      <c r="J160" s="7">
        <v>45856</v>
      </c>
      <c r="L160" s="13"/>
      <c r="M160" s="13"/>
      <c r="N160" s="13"/>
      <c r="O160" s="13"/>
      <c r="P160" s="13"/>
      <c r="Q160" s="13"/>
      <c r="R160" s="13"/>
    </row>
    <row r="161" spans="9:18" x14ac:dyDescent="0.3">
      <c r="I161">
        <f t="shared" si="30"/>
        <v>158</v>
      </c>
      <c r="J161" s="7">
        <v>45857</v>
      </c>
      <c r="L161" s="13"/>
      <c r="M161" s="13"/>
      <c r="N161" s="13"/>
      <c r="O161" s="13"/>
      <c r="P161" s="13"/>
      <c r="Q161" s="13"/>
      <c r="R161" s="13"/>
    </row>
    <row r="162" spans="9:18" x14ac:dyDescent="0.3">
      <c r="I162">
        <f t="shared" si="30"/>
        <v>159</v>
      </c>
      <c r="J162" s="7">
        <v>45858</v>
      </c>
      <c r="L162" s="13"/>
      <c r="M162" s="13"/>
      <c r="N162" s="13"/>
      <c r="O162" s="13"/>
      <c r="P162" s="13"/>
      <c r="Q162" s="13"/>
      <c r="R162" s="13"/>
    </row>
    <row r="163" spans="9:18" x14ac:dyDescent="0.3">
      <c r="I163">
        <f t="shared" si="30"/>
        <v>160</v>
      </c>
      <c r="J163" s="7">
        <v>45859</v>
      </c>
      <c r="L163" s="13"/>
      <c r="M163" s="13"/>
      <c r="N163" s="13"/>
      <c r="O163" s="13"/>
      <c r="P163" s="13"/>
      <c r="Q163" s="13"/>
      <c r="R163" s="13"/>
    </row>
    <row r="164" spans="9:18" x14ac:dyDescent="0.3">
      <c r="I164">
        <f t="shared" si="30"/>
        <v>161</v>
      </c>
      <c r="J164" s="7">
        <v>45860</v>
      </c>
      <c r="L164" s="13"/>
      <c r="M164" s="13"/>
      <c r="N164" s="13"/>
      <c r="O164" s="13"/>
      <c r="P164" s="13"/>
      <c r="Q164" s="13"/>
      <c r="R164" s="13"/>
    </row>
    <row r="165" spans="9:18" x14ac:dyDescent="0.3">
      <c r="I165">
        <f t="shared" si="30"/>
        <v>162</v>
      </c>
      <c r="J165" s="7">
        <v>45861</v>
      </c>
      <c r="L165" s="13"/>
      <c r="M165" s="13"/>
      <c r="N165" s="13"/>
      <c r="O165" s="13"/>
      <c r="P165" s="13"/>
      <c r="Q165" s="13"/>
      <c r="R165" s="13"/>
    </row>
    <row r="166" spans="9:18" x14ac:dyDescent="0.3">
      <c r="I166">
        <f t="shared" si="30"/>
        <v>163</v>
      </c>
      <c r="J166" s="7">
        <v>45862</v>
      </c>
      <c r="L166" s="13"/>
      <c r="M166" s="13"/>
      <c r="N166" s="13"/>
      <c r="O166" s="13"/>
      <c r="P166" s="13"/>
      <c r="Q166" s="13"/>
      <c r="R166" s="13"/>
    </row>
    <row r="167" spans="9:18" x14ac:dyDescent="0.3">
      <c r="I167">
        <f t="shared" si="30"/>
        <v>164</v>
      </c>
      <c r="J167" s="7">
        <v>45863</v>
      </c>
      <c r="L167" s="13"/>
      <c r="M167" s="13"/>
      <c r="N167" s="13"/>
      <c r="O167" s="13"/>
      <c r="P167" s="13"/>
      <c r="Q167" s="13"/>
      <c r="R167" s="13"/>
    </row>
    <row r="168" spans="9:18" x14ac:dyDescent="0.3">
      <c r="I168">
        <f t="shared" si="30"/>
        <v>165</v>
      </c>
      <c r="J168" s="7">
        <v>45864</v>
      </c>
      <c r="L168" s="13"/>
      <c r="M168" s="13"/>
      <c r="N168" s="13"/>
      <c r="O168" s="13"/>
      <c r="P168" s="13"/>
      <c r="Q168" s="13"/>
      <c r="R168" s="13"/>
    </row>
    <row r="169" spans="9:18" x14ac:dyDescent="0.3">
      <c r="I169">
        <f t="shared" si="30"/>
        <v>166</v>
      </c>
      <c r="J169" s="7">
        <v>45865</v>
      </c>
      <c r="L169" s="13"/>
      <c r="M169" s="13"/>
      <c r="N169" s="13"/>
      <c r="O169" s="13"/>
      <c r="P169" s="13"/>
      <c r="Q169" s="13"/>
      <c r="R169" s="13"/>
    </row>
    <row r="170" spans="9:18" x14ac:dyDescent="0.3">
      <c r="I170">
        <f t="shared" si="30"/>
        <v>167</v>
      </c>
      <c r="J170" s="7">
        <v>45866</v>
      </c>
      <c r="L170" s="13"/>
      <c r="M170" s="13"/>
      <c r="N170" s="13"/>
      <c r="O170" s="13"/>
      <c r="P170" s="13"/>
      <c r="Q170" s="13"/>
      <c r="R170" s="13"/>
    </row>
    <row r="171" spans="9:18" x14ac:dyDescent="0.3">
      <c r="I171">
        <f t="shared" si="30"/>
        <v>168</v>
      </c>
      <c r="J171" s="7">
        <v>45867</v>
      </c>
      <c r="L171" s="13"/>
      <c r="M171" s="13"/>
      <c r="N171" s="13"/>
      <c r="O171" s="13"/>
      <c r="P171" s="13"/>
      <c r="Q171" s="13"/>
      <c r="R171" s="13"/>
    </row>
    <row r="172" spans="9:18" x14ac:dyDescent="0.3">
      <c r="I172">
        <f t="shared" si="30"/>
        <v>169</v>
      </c>
      <c r="J172" s="7">
        <v>45868</v>
      </c>
      <c r="L172" s="13"/>
      <c r="M172" s="13"/>
      <c r="N172" s="13"/>
      <c r="O172" s="13"/>
      <c r="P172" s="13"/>
      <c r="Q172" s="13"/>
      <c r="R172" s="13"/>
    </row>
    <row r="173" spans="9:18" x14ac:dyDescent="0.3">
      <c r="I173">
        <f t="shared" si="30"/>
        <v>170</v>
      </c>
      <c r="J173" s="7">
        <v>45869</v>
      </c>
      <c r="L173" s="13"/>
      <c r="M173" s="13"/>
      <c r="N173" s="13"/>
      <c r="O173" s="13"/>
      <c r="P173" s="13"/>
      <c r="Q173" s="13"/>
      <c r="R173" s="13"/>
    </row>
    <row r="174" spans="9:18" x14ac:dyDescent="0.3">
      <c r="I174">
        <f t="shared" si="30"/>
        <v>171</v>
      </c>
      <c r="J174" s="7">
        <v>45870</v>
      </c>
      <c r="L174" s="13"/>
      <c r="M174" s="13"/>
      <c r="N174" s="13"/>
      <c r="O174" s="13"/>
      <c r="P174" s="13"/>
      <c r="Q174" s="13"/>
      <c r="R174" s="13"/>
    </row>
    <row r="175" spans="9:18" x14ac:dyDescent="0.3">
      <c r="I175">
        <f t="shared" si="30"/>
        <v>172</v>
      </c>
      <c r="J175" s="7">
        <v>45871</v>
      </c>
      <c r="L175" s="13"/>
      <c r="M175" s="13"/>
      <c r="N175" s="13"/>
      <c r="O175" s="13"/>
      <c r="P175" s="13"/>
      <c r="Q175" s="13"/>
      <c r="R175" s="13"/>
    </row>
    <row r="176" spans="9:18" x14ac:dyDescent="0.3">
      <c r="I176">
        <f t="shared" si="30"/>
        <v>173</v>
      </c>
      <c r="J176" s="7">
        <v>45872</v>
      </c>
      <c r="L176" s="13"/>
      <c r="M176" s="13"/>
      <c r="N176" s="13"/>
      <c r="O176" s="13"/>
      <c r="P176" s="13"/>
      <c r="Q176" s="13"/>
      <c r="R176" s="13"/>
    </row>
    <row r="177" spans="9:18" x14ac:dyDescent="0.3">
      <c r="I177">
        <f t="shared" si="30"/>
        <v>174</v>
      </c>
      <c r="J177" s="7">
        <v>45873</v>
      </c>
      <c r="L177" s="13"/>
      <c r="M177" s="13"/>
      <c r="N177" s="13"/>
      <c r="O177" s="13"/>
      <c r="P177" s="13"/>
      <c r="Q177" s="13"/>
      <c r="R177" s="13"/>
    </row>
    <row r="178" spans="9:18" x14ac:dyDescent="0.3">
      <c r="I178">
        <f t="shared" si="30"/>
        <v>175</v>
      </c>
      <c r="J178" s="7">
        <v>45874</v>
      </c>
      <c r="L178" s="13"/>
      <c r="M178" s="13"/>
      <c r="N178" s="13"/>
      <c r="O178" s="13"/>
      <c r="P178" s="13"/>
      <c r="Q178" s="13"/>
      <c r="R178" s="13"/>
    </row>
    <row r="179" spans="9:18" x14ac:dyDescent="0.3">
      <c r="I179">
        <f t="shared" si="30"/>
        <v>176</v>
      </c>
      <c r="J179" s="7">
        <v>45875</v>
      </c>
      <c r="L179" s="13"/>
      <c r="M179" s="13"/>
      <c r="N179" s="13"/>
      <c r="O179" s="13"/>
      <c r="P179" s="13"/>
      <c r="Q179" s="13"/>
      <c r="R179" s="13"/>
    </row>
    <row r="180" spans="9:18" x14ac:dyDescent="0.3">
      <c r="I180">
        <f t="shared" si="30"/>
        <v>177</v>
      </c>
      <c r="J180" s="7">
        <v>45876</v>
      </c>
      <c r="L180" s="13"/>
      <c r="M180" s="13"/>
      <c r="N180" s="13"/>
      <c r="O180" s="13"/>
      <c r="P180" s="13"/>
      <c r="Q180" s="13"/>
      <c r="R180" s="13"/>
    </row>
    <row r="181" spans="9:18" x14ac:dyDescent="0.3">
      <c r="I181">
        <f t="shared" si="30"/>
        <v>178</v>
      </c>
      <c r="J181" s="7">
        <v>45877</v>
      </c>
      <c r="L181" s="13"/>
      <c r="M181" s="13"/>
      <c r="N181" s="13"/>
      <c r="O181" s="13"/>
      <c r="P181" s="13"/>
      <c r="Q181" s="13"/>
      <c r="R181" s="13"/>
    </row>
    <row r="182" spans="9:18" x14ac:dyDescent="0.3">
      <c r="I182">
        <f t="shared" si="30"/>
        <v>179</v>
      </c>
      <c r="J182" s="7">
        <v>45878</v>
      </c>
      <c r="L182" s="13"/>
      <c r="M182" s="13"/>
      <c r="N182" s="13"/>
      <c r="O182" s="13"/>
      <c r="P182" s="13"/>
      <c r="Q182" s="13"/>
      <c r="R182" s="13"/>
    </row>
    <row r="183" spans="9:18" x14ac:dyDescent="0.3">
      <c r="I183">
        <f t="shared" si="30"/>
        <v>180</v>
      </c>
      <c r="J183" s="7">
        <v>45879</v>
      </c>
      <c r="L183" s="13"/>
      <c r="M183" s="13"/>
      <c r="N183" s="13"/>
      <c r="O183" s="13"/>
      <c r="P183" s="13"/>
      <c r="Q183" s="13"/>
      <c r="R183" s="13"/>
    </row>
    <row r="184" spans="9:18" x14ac:dyDescent="0.3">
      <c r="I184">
        <f t="shared" si="30"/>
        <v>181</v>
      </c>
      <c r="J184" s="7">
        <v>45880</v>
      </c>
      <c r="L184" s="13"/>
      <c r="M184" s="13"/>
      <c r="N184" s="13"/>
      <c r="O184" s="13"/>
      <c r="P184" s="13"/>
      <c r="Q184" s="13"/>
      <c r="R184" s="13"/>
    </row>
    <row r="185" spans="9:18" x14ac:dyDescent="0.3">
      <c r="I185">
        <f t="shared" si="30"/>
        <v>182</v>
      </c>
      <c r="J185" s="7">
        <v>45881</v>
      </c>
      <c r="L185" s="13"/>
      <c r="M185" s="13"/>
      <c r="N185" s="13"/>
      <c r="O185" s="13"/>
      <c r="P185" s="13"/>
      <c r="Q185" s="13"/>
      <c r="R185" s="13"/>
    </row>
    <row r="186" spans="9:18" x14ac:dyDescent="0.3">
      <c r="J186" s="7">
        <v>45882</v>
      </c>
      <c r="L186" s="13"/>
      <c r="M186" s="13"/>
      <c r="N186" s="13"/>
      <c r="O186" s="13"/>
      <c r="P186" s="13"/>
      <c r="Q186" s="13"/>
      <c r="R186" s="13"/>
    </row>
    <row r="187" spans="9:18" x14ac:dyDescent="0.3">
      <c r="J187" s="7">
        <v>45883</v>
      </c>
      <c r="L187" s="13"/>
      <c r="M187" s="13"/>
      <c r="N187" s="13"/>
      <c r="O187" s="13"/>
      <c r="P187" s="13"/>
      <c r="Q187" s="13"/>
      <c r="R187" s="13"/>
    </row>
    <row r="188" spans="9:18" x14ac:dyDescent="0.3">
      <c r="J188" s="7">
        <v>45884</v>
      </c>
      <c r="L188" s="13"/>
      <c r="M188" s="13"/>
      <c r="N188" s="13"/>
      <c r="O188" s="13"/>
      <c r="P188" s="13"/>
      <c r="Q188" s="13"/>
      <c r="R188" s="13"/>
    </row>
    <row r="189" spans="9:18" x14ac:dyDescent="0.3">
      <c r="J189" s="7">
        <v>45885</v>
      </c>
      <c r="L189" s="13"/>
      <c r="M189" s="13"/>
      <c r="N189" s="13"/>
      <c r="O189" s="13"/>
      <c r="P189" s="13"/>
      <c r="Q189" s="13"/>
      <c r="R189" s="13"/>
    </row>
    <row r="190" spans="9:18" x14ac:dyDescent="0.3">
      <c r="J190" s="7">
        <v>45886</v>
      </c>
      <c r="L190" s="13"/>
      <c r="M190" s="13"/>
      <c r="N190" s="13"/>
      <c r="O190" s="13"/>
      <c r="P190" s="13"/>
      <c r="Q190" s="13"/>
      <c r="R190" s="13"/>
    </row>
    <row r="191" spans="9:18" x14ac:dyDescent="0.3">
      <c r="J191" s="7">
        <v>45887</v>
      </c>
      <c r="L191" s="13"/>
      <c r="M191" s="13"/>
      <c r="N191" s="13"/>
      <c r="O191" s="13"/>
      <c r="P191" s="13"/>
      <c r="Q191" s="13"/>
      <c r="R191" s="13"/>
    </row>
    <row r="192" spans="9:18" x14ac:dyDescent="0.3">
      <c r="J192" s="7">
        <v>45888</v>
      </c>
      <c r="L192" s="13"/>
      <c r="M192" s="13"/>
      <c r="N192" s="13"/>
      <c r="O192" s="13"/>
      <c r="P192" s="13"/>
      <c r="Q192" s="13"/>
      <c r="R192" s="13"/>
    </row>
    <row r="193" spans="10:18" x14ac:dyDescent="0.3">
      <c r="J193" s="7">
        <v>45889</v>
      </c>
      <c r="L193" s="13"/>
      <c r="M193" s="13"/>
      <c r="N193" s="13"/>
      <c r="O193" s="13"/>
      <c r="P193" s="13"/>
      <c r="Q193" s="13"/>
      <c r="R193" s="13"/>
    </row>
    <row r="194" spans="10:18" x14ac:dyDescent="0.3">
      <c r="J194" s="7">
        <v>45890</v>
      </c>
      <c r="L194" s="13"/>
      <c r="M194" s="13"/>
      <c r="N194" s="13"/>
      <c r="O194" s="13"/>
      <c r="P194" s="13"/>
      <c r="Q194" s="13"/>
      <c r="R194" s="13"/>
    </row>
    <row r="195" spans="10:18" x14ac:dyDescent="0.3">
      <c r="J195" s="7">
        <v>45891</v>
      </c>
      <c r="L195" s="13"/>
      <c r="M195" s="13"/>
      <c r="N195" s="13"/>
      <c r="O195" s="13"/>
      <c r="P195" s="13"/>
      <c r="Q195" s="13"/>
      <c r="R195" s="13"/>
    </row>
    <row r="196" spans="10:18" x14ac:dyDescent="0.3">
      <c r="J196" s="7">
        <v>45892</v>
      </c>
      <c r="L196" s="13"/>
      <c r="M196" s="13"/>
      <c r="N196" s="13"/>
      <c r="O196" s="13"/>
      <c r="P196" s="13"/>
      <c r="Q196" s="13"/>
      <c r="R196" s="13"/>
    </row>
    <row r="197" spans="10:18" x14ac:dyDescent="0.3">
      <c r="J197" s="7">
        <v>45893</v>
      </c>
      <c r="L197" s="13"/>
      <c r="M197" s="13"/>
      <c r="N197" s="13"/>
      <c r="O197" s="13"/>
      <c r="P197" s="13"/>
      <c r="Q197" s="13"/>
      <c r="R197" s="13"/>
    </row>
    <row r="198" spans="10:18" x14ac:dyDescent="0.3">
      <c r="J198" s="7">
        <v>45894</v>
      </c>
      <c r="L198" s="13"/>
      <c r="M198" s="13"/>
      <c r="N198" s="13"/>
      <c r="O198" s="13"/>
      <c r="P198" s="13"/>
      <c r="Q198" s="13"/>
      <c r="R198" s="13"/>
    </row>
    <row r="199" spans="10:18" x14ac:dyDescent="0.3">
      <c r="J199" s="7">
        <v>45895</v>
      </c>
      <c r="L199" s="13"/>
      <c r="M199" s="13"/>
      <c r="N199" s="13"/>
      <c r="O199" s="13"/>
      <c r="P199" s="13"/>
      <c r="Q199" s="13"/>
      <c r="R199" s="13"/>
    </row>
    <row r="200" spans="10:18" x14ac:dyDescent="0.3">
      <c r="J200" s="7">
        <v>45896</v>
      </c>
      <c r="L200" s="13"/>
      <c r="M200" s="13"/>
      <c r="N200" s="13"/>
      <c r="O200" s="13"/>
      <c r="P200" s="13"/>
      <c r="Q200" s="13"/>
      <c r="R200" s="13"/>
    </row>
    <row r="201" spans="10:18" x14ac:dyDescent="0.3">
      <c r="J201" s="7">
        <v>45897</v>
      </c>
      <c r="L201" s="13"/>
      <c r="M201" s="13"/>
      <c r="N201" s="13"/>
      <c r="O201" s="13"/>
      <c r="P201" s="13"/>
      <c r="Q201" s="13"/>
      <c r="R201" s="13"/>
    </row>
    <row r="202" spans="10:18" x14ac:dyDescent="0.3">
      <c r="J202" s="7">
        <v>45898</v>
      </c>
      <c r="L202" s="13"/>
      <c r="M202" s="13"/>
      <c r="N202" s="13"/>
      <c r="O202" s="13"/>
      <c r="P202" s="13"/>
      <c r="Q202" s="13"/>
      <c r="R202" s="13"/>
    </row>
    <row r="203" spans="10:18" x14ac:dyDescent="0.3">
      <c r="J203" s="7">
        <v>45899</v>
      </c>
      <c r="L203" s="13"/>
      <c r="M203" s="13"/>
      <c r="N203" s="13"/>
      <c r="O203" s="13"/>
      <c r="P203" s="13"/>
      <c r="Q203" s="13"/>
      <c r="R203" s="13"/>
    </row>
    <row r="204" spans="10:18" x14ac:dyDescent="0.3">
      <c r="J204" s="7">
        <v>45900</v>
      </c>
      <c r="L204" s="13"/>
      <c r="M204" s="13"/>
      <c r="N204" s="13"/>
      <c r="O204" s="13"/>
      <c r="P204" s="13"/>
      <c r="Q204" s="13"/>
      <c r="R204" s="13"/>
    </row>
    <row r="205" spans="10:18" x14ac:dyDescent="0.3">
      <c r="J205" s="7">
        <v>45901</v>
      </c>
      <c r="L205" s="13"/>
      <c r="M205" s="13"/>
      <c r="N205" s="13"/>
      <c r="O205" s="13"/>
      <c r="P205" s="13"/>
      <c r="Q205" s="13"/>
      <c r="R205" s="13"/>
    </row>
    <row r="206" spans="10:18" x14ac:dyDescent="0.3">
      <c r="J206" s="7">
        <v>45902</v>
      </c>
      <c r="L206" s="13"/>
      <c r="M206" s="13"/>
      <c r="N206" s="13"/>
      <c r="O206" s="13"/>
      <c r="P206" s="13"/>
      <c r="Q206" s="13"/>
      <c r="R206" s="13"/>
    </row>
    <row r="207" spans="10:18" x14ac:dyDescent="0.3">
      <c r="J207" s="7">
        <v>45903</v>
      </c>
      <c r="L207" s="13"/>
      <c r="M207" s="13"/>
      <c r="N207" s="13"/>
      <c r="O207" s="13"/>
      <c r="P207" s="13"/>
      <c r="Q207" s="13"/>
      <c r="R207" s="13"/>
    </row>
    <row r="208" spans="10:18" x14ac:dyDescent="0.3">
      <c r="J208" s="7">
        <v>45904</v>
      </c>
      <c r="L208" s="13"/>
      <c r="M208" s="13"/>
      <c r="N208" s="13"/>
      <c r="O208" s="13"/>
      <c r="P208" s="13"/>
      <c r="Q208" s="13"/>
      <c r="R208" s="13"/>
    </row>
    <row r="209" spans="10:18" x14ac:dyDescent="0.3">
      <c r="J209" s="7">
        <v>45905</v>
      </c>
      <c r="L209" s="13"/>
      <c r="M209" s="13"/>
      <c r="N209" s="13"/>
      <c r="O209" s="13"/>
      <c r="P209" s="13"/>
      <c r="Q209" s="13"/>
      <c r="R209" s="13"/>
    </row>
    <row r="210" spans="10:18" x14ac:dyDescent="0.3">
      <c r="J210" s="7">
        <v>45906</v>
      </c>
      <c r="L210" s="13"/>
      <c r="M210" s="13"/>
      <c r="N210" s="13"/>
      <c r="O210" s="13"/>
      <c r="P210" s="13"/>
      <c r="Q210" s="13"/>
      <c r="R210" s="13"/>
    </row>
    <row r="211" spans="10:18" x14ac:dyDescent="0.3">
      <c r="J211" s="7">
        <v>45907</v>
      </c>
      <c r="L211" s="13"/>
      <c r="M211" s="13"/>
      <c r="N211" s="13"/>
      <c r="O211" s="13"/>
      <c r="P211" s="13"/>
      <c r="Q211" s="13"/>
      <c r="R211" s="13"/>
    </row>
    <row r="212" spans="10:18" x14ac:dyDescent="0.3">
      <c r="J212" s="7">
        <v>45908</v>
      </c>
      <c r="L212" s="13"/>
      <c r="M212" s="13"/>
      <c r="N212" s="13"/>
      <c r="O212" s="13"/>
      <c r="P212" s="13"/>
      <c r="Q212" s="13"/>
      <c r="R212" s="13"/>
    </row>
    <row r="213" spans="10:18" x14ac:dyDescent="0.3">
      <c r="J213" s="7">
        <v>45909</v>
      </c>
      <c r="L213" s="13"/>
      <c r="M213" s="13"/>
      <c r="N213" s="13"/>
      <c r="O213" s="13"/>
      <c r="P213" s="13"/>
      <c r="Q213" s="13"/>
      <c r="R213" s="13"/>
    </row>
    <row r="214" spans="10:18" x14ac:dyDescent="0.3">
      <c r="J214" s="7">
        <v>45910</v>
      </c>
      <c r="L214" s="13"/>
      <c r="M214" s="13"/>
      <c r="N214" s="13"/>
      <c r="O214" s="13"/>
      <c r="P214" s="13"/>
      <c r="Q214" s="13"/>
      <c r="R214" s="13"/>
    </row>
    <row r="215" spans="10:18" x14ac:dyDescent="0.3">
      <c r="J215" s="7">
        <v>45911</v>
      </c>
      <c r="L215" s="13"/>
      <c r="M215" s="13"/>
      <c r="N215" s="13"/>
      <c r="O215" s="13"/>
      <c r="P215" s="13"/>
      <c r="Q215" s="13"/>
      <c r="R215" s="13"/>
    </row>
    <row r="216" spans="10:18" x14ac:dyDescent="0.3">
      <c r="J216" s="7">
        <v>45912</v>
      </c>
      <c r="L216" s="13"/>
      <c r="M216" s="13"/>
      <c r="N216" s="13"/>
      <c r="O216" s="13"/>
      <c r="P216" s="13"/>
      <c r="Q216" s="13"/>
      <c r="R216" s="13"/>
    </row>
    <row r="217" spans="10:18" x14ac:dyDescent="0.3">
      <c r="J217" s="7">
        <v>45913</v>
      </c>
      <c r="L217" s="13"/>
      <c r="M217" s="13"/>
      <c r="N217" s="13"/>
      <c r="O217" s="13"/>
      <c r="P217" s="13"/>
      <c r="Q217" s="13"/>
      <c r="R217" s="13"/>
    </row>
    <row r="218" spans="10:18" x14ac:dyDescent="0.3">
      <c r="J218" s="7">
        <v>45914</v>
      </c>
      <c r="L218" s="13"/>
      <c r="M218" s="13"/>
      <c r="N218" s="13"/>
      <c r="O218" s="13"/>
      <c r="P218" s="13"/>
      <c r="Q218" s="13"/>
      <c r="R218" s="13"/>
    </row>
    <row r="219" spans="10:18" x14ac:dyDescent="0.3">
      <c r="J219" s="7">
        <v>45915</v>
      </c>
      <c r="L219" s="13"/>
      <c r="M219" s="13"/>
      <c r="N219" s="13"/>
      <c r="O219" s="13"/>
      <c r="P219" s="13"/>
      <c r="Q219" s="13"/>
      <c r="R219" s="13"/>
    </row>
    <row r="220" spans="10:18" x14ac:dyDescent="0.3">
      <c r="J220" s="7">
        <v>45916</v>
      </c>
      <c r="L220" s="13"/>
      <c r="M220" s="13"/>
      <c r="N220" s="13"/>
      <c r="O220" s="13"/>
      <c r="P220" s="13"/>
      <c r="Q220" s="13"/>
      <c r="R220" s="13"/>
    </row>
    <row r="221" spans="10:18" x14ac:dyDescent="0.3">
      <c r="J221" s="7">
        <v>45917</v>
      </c>
      <c r="L221" s="13"/>
      <c r="M221" s="13"/>
      <c r="N221" s="13"/>
      <c r="O221" s="13"/>
      <c r="P221" s="13"/>
      <c r="Q221" s="13"/>
      <c r="R221" s="13"/>
    </row>
    <row r="222" spans="10:18" x14ac:dyDescent="0.3">
      <c r="J222" s="7">
        <v>45918</v>
      </c>
      <c r="L222" s="13"/>
      <c r="M222" s="13"/>
      <c r="N222" s="13"/>
      <c r="O222" s="13"/>
      <c r="P222" s="13"/>
      <c r="Q222" s="13"/>
      <c r="R222" s="13"/>
    </row>
    <row r="223" spans="10:18" x14ac:dyDescent="0.3">
      <c r="J223" s="7">
        <v>45919</v>
      </c>
      <c r="L223" s="13"/>
      <c r="M223" s="13"/>
      <c r="N223" s="13"/>
      <c r="O223" s="13"/>
      <c r="P223" s="13"/>
      <c r="Q223" s="13"/>
      <c r="R223" s="13"/>
    </row>
    <row r="224" spans="10:18" x14ac:dyDescent="0.3">
      <c r="J224" s="7">
        <v>45920</v>
      </c>
      <c r="L224" s="13"/>
      <c r="M224" s="13"/>
      <c r="N224" s="13"/>
      <c r="O224" s="13"/>
      <c r="P224" s="13"/>
      <c r="Q224" s="13"/>
      <c r="R224" s="13"/>
    </row>
    <row r="225" spans="10:18" x14ac:dyDescent="0.3">
      <c r="J225" s="7">
        <v>45921</v>
      </c>
      <c r="L225" s="13"/>
      <c r="M225" s="13"/>
      <c r="N225" s="13"/>
      <c r="O225" s="13"/>
      <c r="P225" s="13"/>
      <c r="Q225" s="13"/>
      <c r="R225" s="13"/>
    </row>
    <row r="226" spans="10:18" x14ac:dyDescent="0.3">
      <c r="J226" s="7">
        <v>45922</v>
      </c>
      <c r="L226" s="13"/>
      <c r="M226" s="13"/>
      <c r="N226" s="13"/>
      <c r="O226" s="13"/>
      <c r="P226" s="13"/>
      <c r="Q226" s="13"/>
      <c r="R226" s="13"/>
    </row>
    <row r="227" spans="10:18" x14ac:dyDescent="0.3">
      <c r="J227" s="7">
        <v>45923</v>
      </c>
      <c r="L227" s="13"/>
      <c r="M227" s="13"/>
      <c r="N227" s="13"/>
      <c r="O227" s="13"/>
      <c r="P227" s="13"/>
      <c r="Q227" s="13"/>
      <c r="R227" s="13"/>
    </row>
    <row r="228" spans="10:18" x14ac:dyDescent="0.3">
      <c r="J228" s="7">
        <v>45924</v>
      </c>
      <c r="L228" s="13"/>
      <c r="M228" s="13"/>
      <c r="N228" s="13"/>
      <c r="O228" s="13"/>
      <c r="P228" s="13"/>
      <c r="Q228" s="13"/>
      <c r="R228" s="13"/>
    </row>
    <row r="229" spans="10:18" x14ac:dyDescent="0.3">
      <c r="J229" s="7">
        <v>45925</v>
      </c>
      <c r="L229" s="13"/>
      <c r="M229" s="13"/>
      <c r="N229" s="13"/>
      <c r="O229" s="13"/>
      <c r="P229" s="13"/>
      <c r="Q229" s="13"/>
      <c r="R229" s="13"/>
    </row>
    <row r="230" spans="10:18" x14ac:dyDescent="0.3">
      <c r="J230" s="7">
        <v>45926</v>
      </c>
      <c r="L230" s="13"/>
      <c r="M230" s="13"/>
      <c r="N230" s="13"/>
      <c r="O230" s="13"/>
      <c r="P230" s="13"/>
      <c r="Q230" s="13"/>
      <c r="R230" s="13"/>
    </row>
    <row r="231" spans="10:18" x14ac:dyDescent="0.3">
      <c r="J231" s="7">
        <v>45927</v>
      </c>
      <c r="L231" s="13"/>
      <c r="M231" s="13"/>
      <c r="N231" s="13"/>
      <c r="O231" s="13"/>
      <c r="P231" s="13"/>
      <c r="Q231" s="13"/>
      <c r="R231" s="13"/>
    </row>
    <row r="232" spans="10:18" x14ac:dyDescent="0.3">
      <c r="J232" s="7">
        <v>45928</v>
      </c>
      <c r="L232" s="13"/>
      <c r="M232" s="13"/>
      <c r="N232" s="13"/>
      <c r="O232" s="13"/>
      <c r="P232" s="13"/>
      <c r="Q232" s="13"/>
      <c r="R232" s="13"/>
    </row>
    <row r="233" spans="10:18" x14ac:dyDescent="0.3">
      <c r="J233" s="7">
        <v>45929</v>
      </c>
      <c r="L233" s="13"/>
      <c r="M233" s="13"/>
      <c r="N233" s="13"/>
      <c r="O233" s="13"/>
      <c r="P233" s="13"/>
      <c r="Q233" s="13"/>
      <c r="R233" s="13"/>
    </row>
    <row r="234" spans="10:18" x14ac:dyDescent="0.3">
      <c r="J234" s="7">
        <v>45930</v>
      </c>
      <c r="L234" s="13"/>
      <c r="M234" s="13"/>
      <c r="N234" s="13"/>
      <c r="O234" s="13"/>
      <c r="P234" s="13"/>
      <c r="Q234" s="13"/>
      <c r="R234" s="13"/>
    </row>
    <row r="235" spans="10:18" x14ac:dyDescent="0.3">
      <c r="J235" s="7">
        <v>45931</v>
      </c>
      <c r="L235" s="13"/>
      <c r="M235" s="13"/>
      <c r="N235" s="13"/>
      <c r="O235" s="13"/>
      <c r="P235" s="13"/>
      <c r="Q235" s="13"/>
      <c r="R235" s="13"/>
    </row>
    <row r="236" spans="10:18" x14ac:dyDescent="0.3">
      <c r="J236" s="7">
        <v>45932</v>
      </c>
      <c r="L236" s="13"/>
      <c r="M236" s="13"/>
      <c r="N236" s="13"/>
      <c r="O236" s="13"/>
      <c r="P236" s="13"/>
      <c r="Q236" s="13"/>
      <c r="R236" s="13"/>
    </row>
    <row r="237" spans="10:18" x14ac:dyDescent="0.3">
      <c r="J237" s="7">
        <v>45933</v>
      </c>
      <c r="L237" s="13"/>
      <c r="M237" s="13"/>
      <c r="N237" s="13"/>
      <c r="O237" s="13"/>
      <c r="P237" s="13"/>
      <c r="Q237" s="13"/>
      <c r="R237" s="13"/>
    </row>
    <row r="238" spans="10:18" x14ac:dyDescent="0.3">
      <c r="J238" s="7">
        <v>45934</v>
      </c>
      <c r="L238" s="13"/>
      <c r="M238" s="13"/>
      <c r="N238" s="13"/>
      <c r="O238" s="13"/>
      <c r="P238" s="13"/>
      <c r="Q238" s="13"/>
      <c r="R238" s="13"/>
    </row>
    <row r="239" spans="10:18" x14ac:dyDescent="0.3">
      <c r="J239" s="7">
        <v>45935</v>
      </c>
      <c r="L239" s="13"/>
      <c r="M239" s="13"/>
      <c r="N239" s="13"/>
      <c r="O239" s="13"/>
      <c r="P239" s="13"/>
      <c r="Q239" s="13"/>
      <c r="R239" s="13"/>
    </row>
    <row r="240" spans="10:18" x14ac:dyDescent="0.3">
      <c r="J240" s="7">
        <v>45936</v>
      </c>
      <c r="L240" s="13"/>
      <c r="M240" s="13"/>
      <c r="N240" s="13"/>
      <c r="O240" s="13"/>
      <c r="P240" s="13"/>
      <c r="Q240" s="13"/>
      <c r="R240" s="13"/>
    </row>
    <row r="241" spans="10:18" x14ac:dyDescent="0.3">
      <c r="J241" s="7">
        <v>45937</v>
      </c>
      <c r="L241" s="13"/>
      <c r="M241" s="13"/>
      <c r="N241" s="13"/>
      <c r="O241" s="13"/>
      <c r="P241" s="13"/>
      <c r="Q241" s="13"/>
      <c r="R241" s="13"/>
    </row>
    <row r="242" spans="10:18" x14ac:dyDescent="0.3">
      <c r="J242" s="7">
        <v>45938</v>
      </c>
      <c r="L242" s="13"/>
      <c r="M242" s="13"/>
      <c r="N242" s="13"/>
      <c r="O242" s="13"/>
      <c r="P242" s="13"/>
      <c r="Q242" s="13"/>
      <c r="R242" s="13"/>
    </row>
    <row r="243" spans="10:18" x14ac:dyDescent="0.3">
      <c r="J243" s="7">
        <v>45939</v>
      </c>
      <c r="L243" s="13"/>
      <c r="M243" s="13"/>
      <c r="N243" s="13"/>
      <c r="O243" s="13"/>
      <c r="P243" s="13"/>
      <c r="Q243" s="13"/>
      <c r="R243" s="13"/>
    </row>
    <row r="244" spans="10:18" x14ac:dyDescent="0.3">
      <c r="J244" s="7">
        <v>45940</v>
      </c>
      <c r="L244" s="13"/>
      <c r="M244" s="13"/>
      <c r="N244" s="13"/>
      <c r="O244" s="13"/>
      <c r="P244" s="13"/>
      <c r="Q244" s="13"/>
      <c r="R244" s="13"/>
    </row>
    <row r="245" spans="10:18" x14ac:dyDescent="0.3">
      <c r="J245" s="7">
        <v>45941</v>
      </c>
      <c r="L245" s="13"/>
      <c r="M245" s="13"/>
      <c r="N245" s="13"/>
      <c r="O245" s="13"/>
      <c r="P245" s="13"/>
      <c r="Q245" s="13"/>
      <c r="R245" s="13"/>
    </row>
    <row r="246" spans="10:18" x14ac:dyDescent="0.3">
      <c r="J246" s="7">
        <v>45942</v>
      </c>
      <c r="L246" s="13"/>
      <c r="M246" s="13"/>
      <c r="N246" s="13"/>
      <c r="O246" s="13"/>
      <c r="P246" s="13"/>
      <c r="Q246" s="13"/>
      <c r="R246" s="13"/>
    </row>
    <row r="247" spans="10:18" x14ac:dyDescent="0.3">
      <c r="J247" s="7">
        <v>45943</v>
      </c>
      <c r="L247" s="13"/>
      <c r="M247" s="13"/>
      <c r="N247" s="13"/>
      <c r="O247" s="13"/>
      <c r="P247" s="13"/>
      <c r="Q247" s="13"/>
      <c r="R247" s="13"/>
    </row>
    <row r="248" spans="10:18" x14ac:dyDescent="0.3">
      <c r="J248" s="7">
        <v>45944</v>
      </c>
      <c r="L248" s="13"/>
      <c r="M248" s="13"/>
      <c r="N248" s="13"/>
      <c r="O248" s="13"/>
      <c r="P248" s="13"/>
      <c r="Q248" s="13"/>
      <c r="R248" s="13"/>
    </row>
    <row r="249" spans="10:18" x14ac:dyDescent="0.3">
      <c r="J249" s="7">
        <v>45945</v>
      </c>
      <c r="L249" s="13"/>
      <c r="M249" s="13"/>
      <c r="N249" s="13"/>
      <c r="O249" s="13"/>
      <c r="P249" s="13"/>
      <c r="Q249" s="13"/>
      <c r="R249" s="13"/>
    </row>
    <row r="250" spans="10:18" x14ac:dyDescent="0.3">
      <c r="J250" s="7">
        <v>45946</v>
      </c>
      <c r="L250" s="13"/>
      <c r="M250" s="13"/>
      <c r="N250" s="13"/>
      <c r="O250" s="13"/>
      <c r="P250" s="13"/>
      <c r="Q250" s="13"/>
      <c r="R250" s="13"/>
    </row>
    <row r="251" spans="10:18" x14ac:dyDescent="0.3">
      <c r="J251" s="7">
        <v>45947</v>
      </c>
      <c r="L251" s="13"/>
      <c r="M251" s="13"/>
      <c r="N251" s="13"/>
      <c r="O251" s="13"/>
      <c r="P251" s="13"/>
      <c r="Q251" s="13"/>
      <c r="R251" s="13"/>
    </row>
    <row r="252" spans="10:18" x14ac:dyDescent="0.3">
      <c r="J252" s="7">
        <v>45948</v>
      </c>
      <c r="L252" s="13"/>
      <c r="M252" s="13"/>
      <c r="N252" s="13"/>
      <c r="O252" s="13"/>
      <c r="P252" s="13"/>
      <c r="Q252" s="13"/>
      <c r="R252" s="13"/>
    </row>
    <row r="253" spans="10:18" x14ac:dyDescent="0.3">
      <c r="J253" s="7">
        <v>45949</v>
      </c>
      <c r="L253" s="13"/>
      <c r="M253" s="13"/>
      <c r="N253" s="13"/>
      <c r="O253" s="13"/>
      <c r="P253" s="13"/>
      <c r="Q253" s="13"/>
      <c r="R253" s="13"/>
    </row>
    <row r="254" spans="10:18" x14ac:dyDescent="0.3">
      <c r="J254" s="7">
        <v>45950</v>
      </c>
      <c r="L254" s="13"/>
      <c r="M254" s="13"/>
      <c r="N254" s="13"/>
      <c r="O254" s="13"/>
      <c r="P254" s="13"/>
      <c r="Q254" s="13"/>
      <c r="R254" s="13"/>
    </row>
    <row r="255" spans="10:18" x14ac:dyDescent="0.3">
      <c r="J255" s="7">
        <v>45951</v>
      </c>
      <c r="L255" s="13"/>
      <c r="M255" s="13"/>
      <c r="N255" s="13"/>
      <c r="O255" s="13"/>
      <c r="P255" s="13"/>
      <c r="Q255" s="13"/>
      <c r="R255" s="13"/>
    </row>
    <row r="256" spans="10:18" x14ac:dyDescent="0.3">
      <c r="J256" s="7">
        <v>45952</v>
      </c>
      <c r="L256" s="13"/>
      <c r="M256" s="13"/>
      <c r="N256" s="13"/>
      <c r="O256" s="13"/>
      <c r="P256" s="13"/>
      <c r="Q256" s="13"/>
      <c r="R256" s="13"/>
    </row>
    <row r="257" spans="10:18" x14ac:dyDescent="0.3">
      <c r="J257" s="7">
        <v>45953</v>
      </c>
      <c r="L257" s="13"/>
      <c r="M257" s="13"/>
      <c r="N257" s="13"/>
      <c r="O257" s="13"/>
      <c r="P257" s="13"/>
      <c r="Q257" s="13"/>
      <c r="R257" s="13"/>
    </row>
    <row r="258" spans="10:18" x14ac:dyDescent="0.3">
      <c r="J258" s="7">
        <v>45954</v>
      </c>
      <c r="L258" s="13"/>
      <c r="M258" s="13"/>
      <c r="N258" s="13"/>
      <c r="O258" s="13"/>
      <c r="P258" s="13"/>
      <c r="Q258" s="13"/>
      <c r="R258" s="13"/>
    </row>
    <row r="259" spans="10:18" x14ac:dyDescent="0.3">
      <c r="J259" s="7">
        <v>45955</v>
      </c>
      <c r="L259" s="13"/>
      <c r="M259" s="13"/>
      <c r="N259" s="13"/>
      <c r="O259" s="13"/>
      <c r="P259" s="13"/>
      <c r="Q259" s="13"/>
      <c r="R259" s="13"/>
    </row>
    <row r="260" spans="10:18" x14ac:dyDescent="0.3">
      <c r="J260" s="7">
        <v>45956</v>
      </c>
      <c r="L260" s="13"/>
      <c r="M260" s="13"/>
      <c r="N260" s="13"/>
      <c r="O260" s="13"/>
      <c r="P260" s="13"/>
      <c r="Q260" s="13"/>
      <c r="R260" s="13"/>
    </row>
    <row r="261" spans="10:18" x14ac:dyDescent="0.3">
      <c r="J261" s="7">
        <v>45957</v>
      </c>
      <c r="L261" s="13"/>
      <c r="M261" s="13"/>
      <c r="N261" s="13"/>
      <c r="O261" s="13"/>
      <c r="P261" s="13"/>
      <c r="Q261" s="13"/>
      <c r="R261" s="13"/>
    </row>
    <row r="262" spans="10:18" x14ac:dyDescent="0.3">
      <c r="J262" s="7">
        <v>45958</v>
      </c>
      <c r="L262" s="13"/>
      <c r="M262" s="13"/>
      <c r="N262" s="13"/>
      <c r="O262" s="13"/>
      <c r="P262" s="13"/>
      <c r="Q262" s="13"/>
      <c r="R262" s="13"/>
    </row>
    <row r="263" spans="10:18" x14ac:dyDescent="0.3">
      <c r="J263" s="7">
        <v>45959</v>
      </c>
      <c r="L263" s="13"/>
      <c r="M263" s="13"/>
      <c r="N263" s="13"/>
      <c r="O263" s="13"/>
      <c r="P263" s="13"/>
      <c r="Q263" s="13"/>
      <c r="R263" s="13"/>
    </row>
    <row r="264" spans="10:18" x14ac:dyDescent="0.3">
      <c r="J264" s="7">
        <v>45960</v>
      </c>
      <c r="L264" s="13"/>
      <c r="M264" s="13"/>
      <c r="N264" s="13"/>
      <c r="O264" s="13"/>
      <c r="P264" s="13"/>
      <c r="Q264" s="13"/>
      <c r="R264" s="13"/>
    </row>
    <row r="265" spans="10:18" x14ac:dyDescent="0.3">
      <c r="J265" s="7">
        <v>45961</v>
      </c>
      <c r="L265" s="13"/>
      <c r="M265" s="13"/>
      <c r="N265" s="13"/>
      <c r="O265" s="13"/>
      <c r="P265" s="13"/>
      <c r="Q265" s="13"/>
      <c r="R265" s="13"/>
    </row>
    <row r="266" spans="10:18" x14ac:dyDescent="0.3">
      <c r="J266" s="7">
        <v>45962</v>
      </c>
      <c r="L266" s="13"/>
      <c r="M266" s="13"/>
      <c r="N266" s="13"/>
      <c r="O266" s="13"/>
      <c r="P266" s="13"/>
      <c r="Q266" s="13"/>
      <c r="R266" s="13"/>
    </row>
    <row r="267" spans="10:18" x14ac:dyDescent="0.3">
      <c r="J267" s="7">
        <v>45963</v>
      </c>
      <c r="L267" s="13"/>
      <c r="M267" s="13"/>
      <c r="N267" s="13"/>
      <c r="O267" s="13"/>
      <c r="P267" s="13"/>
      <c r="Q267" s="13"/>
      <c r="R267" s="13"/>
    </row>
    <row r="268" spans="10:18" x14ac:dyDescent="0.3">
      <c r="J268" s="7">
        <v>45964</v>
      </c>
      <c r="L268" s="13"/>
      <c r="M268" s="13"/>
      <c r="N268" s="13"/>
      <c r="O268" s="13"/>
      <c r="P268" s="13"/>
      <c r="Q268" s="13"/>
      <c r="R268" s="13"/>
    </row>
    <row r="269" spans="10:18" x14ac:dyDescent="0.3">
      <c r="J269" s="7">
        <v>45965</v>
      </c>
      <c r="L269" s="13"/>
      <c r="M269" s="13"/>
      <c r="N269" s="13"/>
      <c r="O269" s="13"/>
      <c r="P269" s="13"/>
      <c r="Q269" s="13"/>
      <c r="R269" s="13"/>
    </row>
    <row r="270" spans="10:18" x14ac:dyDescent="0.3">
      <c r="J270" s="7">
        <v>45966</v>
      </c>
      <c r="L270" s="13"/>
      <c r="M270" s="13"/>
      <c r="N270" s="13"/>
      <c r="O270" s="13"/>
      <c r="P270" s="13"/>
      <c r="Q270" s="13"/>
      <c r="R270" s="13"/>
    </row>
    <row r="271" spans="10:18" x14ac:dyDescent="0.3">
      <c r="J271" s="7">
        <v>45967</v>
      </c>
      <c r="L271" s="13"/>
      <c r="M271" s="13"/>
      <c r="N271" s="13"/>
      <c r="O271" s="13"/>
      <c r="P271" s="13"/>
      <c r="Q271" s="13"/>
      <c r="R271" s="13"/>
    </row>
    <row r="272" spans="10:18" x14ac:dyDescent="0.3">
      <c r="J272" s="7">
        <v>45968</v>
      </c>
      <c r="L272" s="13"/>
      <c r="M272" s="13"/>
      <c r="N272" s="13"/>
      <c r="O272" s="13"/>
      <c r="P272" s="13"/>
      <c r="Q272" s="13"/>
      <c r="R272" s="13"/>
    </row>
    <row r="273" spans="10:18" x14ac:dyDescent="0.3">
      <c r="J273" s="7">
        <v>45969</v>
      </c>
      <c r="L273" s="13"/>
      <c r="M273" s="13"/>
      <c r="N273" s="13"/>
      <c r="O273" s="13"/>
      <c r="P273" s="13"/>
      <c r="Q273" s="13"/>
      <c r="R273" s="13"/>
    </row>
    <row r="274" spans="10:18" x14ac:dyDescent="0.3">
      <c r="J274" s="7">
        <v>45970</v>
      </c>
      <c r="L274" s="13"/>
      <c r="M274" s="13"/>
      <c r="N274" s="13"/>
      <c r="O274" s="13"/>
      <c r="P274" s="13"/>
      <c r="Q274" s="13"/>
      <c r="R274" s="13"/>
    </row>
    <row r="275" spans="10:18" x14ac:dyDescent="0.3">
      <c r="J275" s="7">
        <v>45971</v>
      </c>
      <c r="L275" s="13"/>
      <c r="M275" s="13"/>
      <c r="N275" s="13"/>
      <c r="O275" s="13"/>
      <c r="P275" s="13"/>
      <c r="Q275" s="13"/>
      <c r="R275" s="13"/>
    </row>
    <row r="276" spans="10:18" x14ac:dyDescent="0.3">
      <c r="J276" s="7">
        <v>45972</v>
      </c>
      <c r="L276" s="13"/>
      <c r="M276" s="13"/>
      <c r="N276" s="13"/>
      <c r="O276" s="13"/>
      <c r="P276" s="13"/>
      <c r="Q276" s="13"/>
      <c r="R276" s="13"/>
    </row>
    <row r="277" spans="10:18" x14ac:dyDescent="0.3">
      <c r="J277" s="7">
        <v>45973</v>
      </c>
      <c r="L277" s="13"/>
      <c r="M277" s="13"/>
      <c r="N277" s="13"/>
      <c r="O277" s="13"/>
      <c r="P277" s="13"/>
      <c r="Q277" s="13"/>
      <c r="R277" s="13"/>
    </row>
    <row r="278" spans="10:18" x14ac:dyDescent="0.3">
      <c r="J278" s="7">
        <v>45974</v>
      </c>
      <c r="L278" s="13"/>
      <c r="M278" s="13"/>
      <c r="N278" s="13"/>
      <c r="O278" s="13"/>
      <c r="P278" s="13"/>
      <c r="Q278" s="13"/>
      <c r="R278" s="13"/>
    </row>
    <row r="279" spans="10:18" x14ac:dyDescent="0.3">
      <c r="J279" s="7">
        <v>45975</v>
      </c>
      <c r="L279" s="13"/>
      <c r="M279" s="13"/>
      <c r="N279" s="13"/>
      <c r="O279" s="13"/>
      <c r="P279" s="13"/>
      <c r="Q279" s="13"/>
      <c r="R279" s="13"/>
    </row>
    <row r="280" spans="10:18" x14ac:dyDescent="0.3">
      <c r="J280" s="7">
        <v>45976</v>
      </c>
      <c r="L280" s="13"/>
      <c r="M280" s="13"/>
      <c r="N280" s="13"/>
      <c r="O280" s="13"/>
      <c r="P280" s="13"/>
      <c r="Q280" s="13"/>
      <c r="R280" s="13"/>
    </row>
    <row r="281" spans="10:18" x14ac:dyDescent="0.3">
      <c r="J281" s="7">
        <v>45977</v>
      </c>
      <c r="L281" s="13"/>
      <c r="M281" s="13"/>
      <c r="N281" s="13"/>
      <c r="O281" s="13"/>
      <c r="P281" s="13"/>
      <c r="Q281" s="13"/>
      <c r="R281" s="13"/>
    </row>
    <row r="282" spans="10:18" x14ac:dyDescent="0.3">
      <c r="J282" s="7">
        <v>45978</v>
      </c>
      <c r="L282" s="13"/>
      <c r="M282" s="13"/>
      <c r="N282" s="13"/>
      <c r="O282" s="13"/>
      <c r="P282" s="13"/>
      <c r="Q282" s="13"/>
      <c r="R282" s="13"/>
    </row>
    <row r="283" spans="10:18" x14ac:dyDescent="0.3">
      <c r="J283" s="7">
        <v>45979</v>
      </c>
      <c r="L283" s="13"/>
      <c r="M283" s="13"/>
      <c r="N283" s="13"/>
      <c r="O283" s="13"/>
      <c r="P283" s="13"/>
      <c r="Q283" s="13"/>
      <c r="R283" s="13"/>
    </row>
    <row r="284" spans="10:18" x14ac:dyDescent="0.3">
      <c r="J284" s="7">
        <v>45980</v>
      </c>
      <c r="L284" s="13"/>
      <c r="M284" s="13"/>
      <c r="N284" s="13"/>
      <c r="O284" s="13"/>
      <c r="P284" s="13"/>
      <c r="Q284" s="13"/>
      <c r="R284" s="13"/>
    </row>
    <row r="285" spans="10:18" x14ac:dyDescent="0.3">
      <c r="J285" s="7">
        <v>45981</v>
      </c>
      <c r="L285" s="13"/>
      <c r="M285" s="13"/>
      <c r="N285" s="13"/>
      <c r="O285" s="13"/>
      <c r="P285" s="13"/>
      <c r="Q285" s="13"/>
      <c r="R285" s="13"/>
    </row>
    <row r="286" spans="10:18" x14ac:dyDescent="0.3">
      <c r="J286" s="7">
        <v>45982</v>
      </c>
      <c r="L286" s="13"/>
      <c r="M286" s="13"/>
      <c r="N286" s="13"/>
      <c r="O286" s="13"/>
      <c r="P286" s="13"/>
      <c r="Q286" s="13"/>
      <c r="R286" s="13"/>
    </row>
    <row r="287" spans="10:18" x14ac:dyDescent="0.3">
      <c r="J287" s="7">
        <v>45983</v>
      </c>
      <c r="L287" s="13"/>
      <c r="M287" s="13"/>
      <c r="N287" s="13"/>
      <c r="O287" s="13"/>
      <c r="P287" s="13"/>
      <c r="Q287" s="13"/>
      <c r="R287" s="13"/>
    </row>
    <row r="288" spans="10:18" x14ac:dyDescent="0.3">
      <c r="J288" s="7">
        <v>45984</v>
      </c>
      <c r="L288" s="13"/>
      <c r="M288" s="13"/>
      <c r="N288" s="13"/>
      <c r="O288" s="13"/>
      <c r="P288" s="13"/>
      <c r="Q288" s="13"/>
      <c r="R288" s="13"/>
    </row>
    <row r="289" spans="10:18" x14ac:dyDescent="0.3">
      <c r="J289" s="7">
        <v>45985</v>
      </c>
      <c r="L289" s="13"/>
      <c r="M289" s="13"/>
      <c r="N289" s="13"/>
      <c r="O289" s="13"/>
      <c r="P289" s="13"/>
      <c r="Q289" s="13"/>
      <c r="R289" s="13"/>
    </row>
    <row r="290" spans="10:18" x14ac:dyDescent="0.3">
      <c r="J290" s="7">
        <v>45986</v>
      </c>
      <c r="L290" s="13"/>
      <c r="M290" s="13"/>
      <c r="N290" s="13"/>
      <c r="O290" s="13"/>
      <c r="P290" s="13"/>
      <c r="Q290" s="13"/>
      <c r="R290" s="13"/>
    </row>
    <row r="291" spans="10:18" x14ac:dyDescent="0.3">
      <c r="J291" s="7">
        <v>45987</v>
      </c>
      <c r="L291" s="13"/>
      <c r="M291" s="13"/>
      <c r="N291" s="13"/>
      <c r="O291" s="13"/>
      <c r="P291" s="13"/>
      <c r="Q291" s="13"/>
      <c r="R291" s="13"/>
    </row>
    <row r="292" spans="10:18" x14ac:dyDescent="0.3">
      <c r="J292" s="7">
        <v>45988</v>
      </c>
      <c r="L292" s="13"/>
      <c r="M292" s="13"/>
      <c r="N292" s="13"/>
      <c r="O292" s="13"/>
      <c r="P292" s="13"/>
      <c r="Q292" s="13"/>
      <c r="R292" s="13"/>
    </row>
    <row r="293" spans="10:18" x14ac:dyDescent="0.3">
      <c r="J293" s="7">
        <v>45989</v>
      </c>
      <c r="L293" s="13"/>
      <c r="M293" s="13"/>
      <c r="N293" s="13"/>
      <c r="O293" s="13"/>
      <c r="P293" s="13"/>
      <c r="Q293" s="13"/>
      <c r="R293" s="13"/>
    </row>
    <row r="294" spans="10:18" x14ac:dyDescent="0.3">
      <c r="J294" s="7">
        <v>45990</v>
      </c>
      <c r="L294" s="13"/>
      <c r="M294" s="13"/>
      <c r="N294" s="13"/>
      <c r="O294" s="13"/>
      <c r="P294" s="13"/>
      <c r="Q294" s="13"/>
      <c r="R294" s="13"/>
    </row>
    <row r="295" spans="10:18" x14ac:dyDescent="0.3">
      <c r="J295" s="7">
        <v>45991</v>
      </c>
      <c r="L295" s="13"/>
      <c r="M295" s="13"/>
      <c r="N295" s="13"/>
      <c r="O295" s="13"/>
      <c r="P295" s="13"/>
      <c r="Q295" s="13"/>
      <c r="R295" s="13"/>
    </row>
    <row r="296" spans="10:18" x14ac:dyDescent="0.3">
      <c r="J296" s="7">
        <v>45992</v>
      </c>
      <c r="L296" s="13"/>
      <c r="M296" s="13"/>
      <c r="N296" s="13"/>
      <c r="O296" s="13"/>
      <c r="P296" s="13"/>
      <c r="Q296" s="13"/>
      <c r="R296" s="13"/>
    </row>
    <row r="297" spans="10:18" x14ac:dyDescent="0.3">
      <c r="J297" s="7">
        <v>45993</v>
      </c>
    </row>
    <row r="298" spans="10:18" x14ac:dyDescent="0.3">
      <c r="J298" s="7">
        <v>45994</v>
      </c>
    </row>
    <row r="299" spans="10:18" x14ac:dyDescent="0.3">
      <c r="J299" s="7">
        <v>45995</v>
      </c>
    </row>
    <row r="300" spans="10:18" x14ac:dyDescent="0.3">
      <c r="J300" s="7">
        <v>45996</v>
      </c>
    </row>
    <row r="301" spans="10:18" x14ac:dyDescent="0.3">
      <c r="J301" s="7">
        <v>45997</v>
      </c>
    </row>
    <row r="302" spans="10:18" x14ac:dyDescent="0.3">
      <c r="J302" s="7">
        <v>45998</v>
      </c>
    </row>
    <row r="303" spans="10:18" x14ac:dyDescent="0.3">
      <c r="J303" s="7">
        <v>45999</v>
      </c>
    </row>
    <row r="304" spans="10:18" x14ac:dyDescent="0.3">
      <c r="J304" s="7">
        <v>46000</v>
      </c>
    </row>
    <row r="305" spans="10:10" x14ac:dyDescent="0.3">
      <c r="J305" s="7">
        <v>46001</v>
      </c>
    </row>
    <row r="306" spans="10:10" x14ac:dyDescent="0.3">
      <c r="J306" s="7">
        <v>46002</v>
      </c>
    </row>
    <row r="307" spans="10:10" x14ac:dyDescent="0.3">
      <c r="J307" s="7">
        <v>46003</v>
      </c>
    </row>
    <row r="308" spans="10:10" x14ac:dyDescent="0.3">
      <c r="J308" s="7">
        <v>46004</v>
      </c>
    </row>
    <row r="309" spans="10:10" x14ac:dyDescent="0.3">
      <c r="J309" s="7">
        <v>46005</v>
      </c>
    </row>
    <row r="310" spans="10:10" x14ac:dyDescent="0.3">
      <c r="J310" s="7">
        <v>46006</v>
      </c>
    </row>
    <row r="311" spans="10:10" x14ac:dyDescent="0.3">
      <c r="J311" s="7">
        <v>46007</v>
      </c>
    </row>
    <row r="312" spans="10:10" x14ac:dyDescent="0.3">
      <c r="J312" s="7">
        <v>46008</v>
      </c>
    </row>
    <row r="313" spans="10:10" x14ac:dyDescent="0.3">
      <c r="J313" s="7">
        <v>46009</v>
      </c>
    </row>
    <row r="314" spans="10:10" x14ac:dyDescent="0.3">
      <c r="J314" s="7">
        <v>46010</v>
      </c>
    </row>
    <row r="315" spans="10:10" x14ac:dyDescent="0.3">
      <c r="J315" s="7">
        <v>46011</v>
      </c>
    </row>
    <row r="316" spans="10:10" x14ac:dyDescent="0.3">
      <c r="J316" s="7">
        <v>46012</v>
      </c>
    </row>
    <row r="317" spans="10:10" x14ac:dyDescent="0.3">
      <c r="J317" s="7">
        <v>46013</v>
      </c>
    </row>
    <row r="318" spans="10:10" x14ac:dyDescent="0.3">
      <c r="J318" s="7">
        <v>46014</v>
      </c>
    </row>
    <row r="319" spans="10:10" x14ac:dyDescent="0.3">
      <c r="J319" s="7">
        <v>46015</v>
      </c>
    </row>
    <row r="320" spans="10:10" x14ac:dyDescent="0.3">
      <c r="J320" s="7">
        <v>46016</v>
      </c>
    </row>
    <row r="321" spans="10:10" x14ac:dyDescent="0.3">
      <c r="J321" s="7">
        <v>46017</v>
      </c>
    </row>
    <row r="322" spans="10:10" x14ac:dyDescent="0.3">
      <c r="J322" s="7">
        <v>46018</v>
      </c>
    </row>
    <row r="323" spans="10:10" x14ac:dyDescent="0.3">
      <c r="J323" s="7">
        <v>46019</v>
      </c>
    </row>
    <row r="324" spans="10:10" x14ac:dyDescent="0.3">
      <c r="J324" s="7">
        <v>46020</v>
      </c>
    </row>
    <row r="325" spans="10:10" x14ac:dyDescent="0.3">
      <c r="J325" s="7">
        <v>46021</v>
      </c>
    </row>
    <row r="326" spans="10:10" x14ac:dyDescent="0.3">
      <c r="J326" s="7">
        <v>46022</v>
      </c>
    </row>
    <row r="327" spans="10:10" x14ac:dyDescent="0.3">
      <c r="J327" s="7">
        <v>46023</v>
      </c>
    </row>
    <row r="328" spans="10:10" x14ac:dyDescent="0.3">
      <c r="J328" s="7">
        <v>46024</v>
      </c>
    </row>
    <row r="329" spans="10:10" x14ac:dyDescent="0.3">
      <c r="J329" s="7">
        <v>46025</v>
      </c>
    </row>
    <row r="330" spans="10:10" x14ac:dyDescent="0.3">
      <c r="J330" s="7">
        <v>46026</v>
      </c>
    </row>
    <row r="331" spans="10:10" x14ac:dyDescent="0.3">
      <c r="J331" s="7">
        <v>46027</v>
      </c>
    </row>
    <row r="332" spans="10:10" x14ac:dyDescent="0.3">
      <c r="J332" s="7">
        <v>46028</v>
      </c>
    </row>
    <row r="333" spans="10:10" x14ac:dyDescent="0.3">
      <c r="J333" s="7">
        <v>46029</v>
      </c>
    </row>
    <row r="334" spans="10:10" x14ac:dyDescent="0.3">
      <c r="J334" s="7">
        <v>46030</v>
      </c>
    </row>
    <row r="335" spans="10:10" x14ac:dyDescent="0.3">
      <c r="J335" s="7">
        <v>46031</v>
      </c>
    </row>
    <row r="336" spans="10:10" x14ac:dyDescent="0.3">
      <c r="J336" s="7">
        <v>46032</v>
      </c>
    </row>
    <row r="337" spans="10:10" x14ac:dyDescent="0.3">
      <c r="J337" s="7">
        <v>46033</v>
      </c>
    </row>
    <row r="338" spans="10:10" x14ac:dyDescent="0.3">
      <c r="J338" s="7">
        <v>46034</v>
      </c>
    </row>
    <row r="339" spans="10:10" x14ac:dyDescent="0.3">
      <c r="J339" s="7">
        <v>46035</v>
      </c>
    </row>
    <row r="340" spans="10:10" x14ac:dyDescent="0.3">
      <c r="J340" s="7">
        <v>46036</v>
      </c>
    </row>
    <row r="341" spans="10:10" x14ac:dyDescent="0.3">
      <c r="J341" s="7">
        <v>46037</v>
      </c>
    </row>
    <row r="342" spans="10:10" x14ac:dyDescent="0.3">
      <c r="J342" s="7">
        <v>46038</v>
      </c>
    </row>
    <row r="343" spans="10:10" x14ac:dyDescent="0.3">
      <c r="J343" s="7">
        <v>46039</v>
      </c>
    </row>
    <row r="344" spans="10:10" x14ac:dyDescent="0.3">
      <c r="J344" s="7">
        <v>46040</v>
      </c>
    </row>
    <row r="345" spans="10:10" x14ac:dyDescent="0.3">
      <c r="J345" s="7">
        <v>46041</v>
      </c>
    </row>
    <row r="346" spans="10:10" x14ac:dyDescent="0.3">
      <c r="J346" s="7">
        <v>46042</v>
      </c>
    </row>
    <row r="347" spans="10:10" x14ac:dyDescent="0.3">
      <c r="J347" s="7">
        <v>46043</v>
      </c>
    </row>
    <row r="348" spans="10:10" x14ac:dyDescent="0.3">
      <c r="J348" s="7">
        <v>46044</v>
      </c>
    </row>
    <row r="349" spans="10:10" x14ac:dyDescent="0.3">
      <c r="J349" s="7">
        <v>46045</v>
      </c>
    </row>
    <row r="350" spans="10:10" x14ac:dyDescent="0.3">
      <c r="J350" s="7">
        <v>46046</v>
      </c>
    </row>
    <row r="351" spans="10:10" x14ac:dyDescent="0.3">
      <c r="J351" s="7">
        <v>46047</v>
      </c>
    </row>
    <row r="352" spans="10:10" x14ac:dyDescent="0.3">
      <c r="J352" s="7">
        <v>46048</v>
      </c>
    </row>
    <row r="353" spans="10:10" x14ac:dyDescent="0.3">
      <c r="J353" s="7">
        <v>46049</v>
      </c>
    </row>
    <row r="354" spans="10:10" x14ac:dyDescent="0.3">
      <c r="J354" s="7">
        <v>46050</v>
      </c>
    </row>
    <row r="355" spans="10:10" x14ac:dyDescent="0.3">
      <c r="J355" s="7">
        <v>46051</v>
      </c>
    </row>
    <row r="356" spans="10:10" x14ac:dyDescent="0.3">
      <c r="J356" s="7">
        <v>46052</v>
      </c>
    </row>
    <row r="357" spans="10:10" x14ac:dyDescent="0.3">
      <c r="J357" s="7">
        <v>46053</v>
      </c>
    </row>
    <row r="358" spans="10:10" x14ac:dyDescent="0.3">
      <c r="J358" s="7">
        <v>46054</v>
      </c>
    </row>
    <row r="359" spans="10:10" x14ac:dyDescent="0.3">
      <c r="J359" s="7">
        <v>46055</v>
      </c>
    </row>
    <row r="360" spans="10:10" x14ac:dyDescent="0.3">
      <c r="J360" s="7">
        <v>46056</v>
      </c>
    </row>
    <row r="361" spans="10:10" x14ac:dyDescent="0.3">
      <c r="J361" s="7">
        <v>46057</v>
      </c>
    </row>
    <row r="362" spans="10:10" x14ac:dyDescent="0.3">
      <c r="J362" s="7">
        <v>46058</v>
      </c>
    </row>
    <row r="363" spans="10:10" x14ac:dyDescent="0.3">
      <c r="J363" s="7">
        <v>46059</v>
      </c>
    </row>
    <row r="364" spans="10:10" x14ac:dyDescent="0.3">
      <c r="J364" s="7">
        <v>46060</v>
      </c>
    </row>
    <row r="365" spans="10:10" x14ac:dyDescent="0.3">
      <c r="J365" s="7">
        <v>46061</v>
      </c>
    </row>
    <row r="366" spans="10:10" x14ac:dyDescent="0.3">
      <c r="J366" s="7">
        <v>46062</v>
      </c>
    </row>
    <row r="367" spans="10:10" x14ac:dyDescent="0.3">
      <c r="J367" s="7">
        <v>46063</v>
      </c>
    </row>
    <row r="368" spans="10:10" x14ac:dyDescent="0.3">
      <c r="J368" s="7">
        <v>46064</v>
      </c>
    </row>
    <row r="369" spans="10:10" x14ac:dyDescent="0.3">
      <c r="J369" s="7">
        <v>46065</v>
      </c>
    </row>
    <row r="370" spans="10:10" x14ac:dyDescent="0.3">
      <c r="J370" s="7">
        <v>46066</v>
      </c>
    </row>
    <row r="371" spans="10:10" x14ac:dyDescent="0.3">
      <c r="J371" s="7">
        <v>46067</v>
      </c>
    </row>
    <row r="372" spans="10:10" x14ac:dyDescent="0.3">
      <c r="J372" s="7">
        <v>46068</v>
      </c>
    </row>
    <row r="373" spans="10:10" x14ac:dyDescent="0.3">
      <c r="J373" s="7">
        <v>46069</v>
      </c>
    </row>
    <row r="374" spans="10:10" x14ac:dyDescent="0.3">
      <c r="J374" s="7">
        <v>46070</v>
      </c>
    </row>
    <row r="375" spans="10:10" x14ac:dyDescent="0.3">
      <c r="J375" s="7">
        <v>46071</v>
      </c>
    </row>
    <row r="376" spans="10:10" x14ac:dyDescent="0.3">
      <c r="J376" s="7">
        <v>46072</v>
      </c>
    </row>
    <row r="377" spans="10:10" x14ac:dyDescent="0.3">
      <c r="J377" s="7">
        <v>46073</v>
      </c>
    </row>
    <row r="378" spans="10:10" x14ac:dyDescent="0.3">
      <c r="J378" s="7">
        <v>46074</v>
      </c>
    </row>
    <row r="379" spans="10:10" x14ac:dyDescent="0.3">
      <c r="J379" s="7">
        <v>46075</v>
      </c>
    </row>
    <row r="380" spans="10:10" x14ac:dyDescent="0.3">
      <c r="J380" s="7">
        <v>46076</v>
      </c>
    </row>
    <row r="381" spans="10:10" x14ac:dyDescent="0.3">
      <c r="J381" s="7">
        <v>46077</v>
      </c>
    </row>
    <row r="382" spans="10:10" x14ac:dyDescent="0.3">
      <c r="J382" s="7">
        <v>46078</v>
      </c>
    </row>
    <row r="383" spans="10:10" x14ac:dyDescent="0.3">
      <c r="J383" s="7">
        <v>46079</v>
      </c>
    </row>
    <row r="384" spans="10:10" x14ac:dyDescent="0.3">
      <c r="J384" s="7">
        <v>46080</v>
      </c>
    </row>
    <row r="385" spans="10:10" x14ac:dyDescent="0.3">
      <c r="J385" s="7">
        <v>46081</v>
      </c>
    </row>
    <row r="386" spans="10:10" x14ac:dyDescent="0.3">
      <c r="J386" s="7">
        <v>46082</v>
      </c>
    </row>
    <row r="387" spans="10:10" x14ac:dyDescent="0.3">
      <c r="J387" s="7">
        <v>46083</v>
      </c>
    </row>
    <row r="388" spans="10:10" x14ac:dyDescent="0.3">
      <c r="J388" s="7">
        <v>46084</v>
      </c>
    </row>
    <row r="389" spans="10:10" x14ac:dyDescent="0.3">
      <c r="J389" s="7">
        <v>46085</v>
      </c>
    </row>
    <row r="390" spans="10:10" x14ac:dyDescent="0.3">
      <c r="J390" s="7">
        <v>46086</v>
      </c>
    </row>
    <row r="391" spans="10:10" x14ac:dyDescent="0.3">
      <c r="J391" s="7">
        <v>46087</v>
      </c>
    </row>
    <row r="392" spans="10:10" x14ac:dyDescent="0.3">
      <c r="J392" s="7">
        <v>46088</v>
      </c>
    </row>
    <row r="393" spans="10:10" x14ac:dyDescent="0.3">
      <c r="J393" s="7">
        <v>46089</v>
      </c>
    </row>
    <row r="394" spans="10:10" x14ac:dyDescent="0.3">
      <c r="J394" s="7">
        <v>46090</v>
      </c>
    </row>
    <row r="395" spans="10:10" x14ac:dyDescent="0.3">
      <c r="J395" s="7">
        <v>46091</v>
      </c>
    </row>
    <row r="396" spans="10:10" x14ac:dyDescent="0.3">
      <c r="J396" s="7">
        <v>46092</v>
      </c>
    </row>
    <row r="397" spans="10:10" x14ac:dyDescent="0.3">
      <c r="J397" s="7">
        <v>46093</v>
      </c>
    </row>
    <row r="398" spans="10:10" x14ac:dyDescent="0.3">
      <c r="J398" s="7">
        <v>46094</v>
      </c>
    </row>
    <row r="399" spans="10:10" x14ac:dyDescent="0.3">
      <c r="J399" s="7">
        <v>46095</v>
      </c>
    </row>
    <row r="400" spans="10:10" x14ac:dyDescent="0.3">
      <c r="J400" s="7">
        <v>46096</v>
      </c>
    </row>
    <row r="401" spans="10:10" x14ac:dyDescent="0.3">
      <c r="J401" s="7">
        <v>46097</v>
      </c>
    </row>
    <row r="402" spans="10:10" x14ac:dyDescent="0.3">
      <c r="J402" s="7">
        <v>46098</v>
      </c>
    </row>
    <row r="403" spans="10:10" x14ac:dyDescent="0.3">
      <c r="J403" s="7">
        <v>46099</v>
      </c>
    </row>
    <row r="404" spans="10:10" x14ac:dyDescent="0.3">
      <c r="J404" s="7">
        <v>46100</v>
      </c>
    </row>
    <row r="405" spans="10:10" x14ac:dyDescent="0.3">
      <c r="J405" s="7">
        <v>46101</v>
      </c>
    </row>
    <row r="406" spans="10:10" x14ac:dyDescent="0.3">
      <c r="J406" s="7">
        <v>46102</v>
      </c>
    </row>
    <row r="407" spans="10:10" x14ac:dyDescent="0.3">
      <c r="J407" s="7">
        <v>46103</v>
      </c>
    </row>
    <row r="408" spans="10:10" x14ac:dyDescent="0.3">
      <c r="J408" s="7">
        <v>46104</v>
      </c>
    </row>
    <row r="409" spans="10:10" x14ac:dyDescent="0.3">
      <c r="J409" s="7">
        <v>46105</v>
      </c>
    </row>
    <row r="410" spans="10:10" x14ac:dyDescent="0.3">
      <c r="J410" s="7">
        <v>46106</v>
      </c>
    </row>
    <row r="411" spans="10:10" x14ac:dyDescent="0.3">
      <c r="J411" s="7">
        <v>46107</v>
      </c>
    </row>
    <row r="412" spans="10:10" x14ac:dyDescent="0.3">
      <c r="J412" s="7">
        <v>46108</v>
      </c>
    </row>
    <row r="413" spans="10:10" x14ac:dyDescent="0.3">
      <c r="J413" s="7">
        <v>46109</v>
      </c>
    </row>
    <row r="414" spans="10:10" x14ac:dyDescent="0.3">
      <c r="J414" s="7">
        <v>46110</v>
      </c>
    </row>
    <row r="415" spans="10:10" x14ac:dyDescent="0.3">
      <c r="J415" s="7">
        <v>46111</v>
      </c>
    </row>
    <row r="416" spans="10:10" x14ac:dyDescent="0.3">
      <c r="J416" s="7">
        <v>46112</v>
      </c>
    </row>
    <row r="417" spans="10:10" x14ac:dyDescent="0.3">
      <c r="J417" s="7">
        <v>46113</v>
      </c>
    </row>
    <row r="418" spans="10:10" x14ac:dyDescent="0.3">
      <c r="J418" s="7">
        <v>46114</v>
      </c>
    </row>
    <row r="419" spans="10:10" x14ac:dyDescent="0.3">
      <c r="J419" s="7">
        <v>46115</v>
      </c>
    </row>
    <row r="420" spans="10:10" x14ac:dyDescent="0.3">
      <c r="J420" s="7">
        <v>46116</v>
      </c>
    </row>
    <row r="421" spans="10:10" x14ac:dyDescent="0.3">
      <c r="J421" s="7">
        <v>46117</v>
      </c>
    </row>
    <row r="422" spans="10:10" x14ac:dyDescent="0.3">
      <c r="J422" s="7">
        <v>46118</v>
      </c>
    </row>
    <row r="423" spans="10:10" x14ac:dyDescent="0.3">
      <c r="J423" s="7">
        <v>46119</v>
      </c>
    </row>
    <row r="424" spans="10:10" x14ac:dyDescent="0.3">
      <c r="J424" s="7">
        <v>46120</v>
      </c>
    </row>
    <row r="425" spans="10:10" x14ac:dyDescent="0.3">
      <c r="J425" s="7">
        <v>46121</v>
      </c>
    </row>
    <row r="426" spans="10:10" x14ac:dyDescent="0.3">
      <c r="J426" s="7">
        <v>46122</v>
      </c>
    </row>
    <row r="427" spans="10:10" x14ac:dyDescent="0.3">
      <c r="J427" s="7">
        <v>46123</v>
      </c>
    </row>
    <row r="428" spans="10:10" x14ac:dyDescent="0.3">
      <c r="J428" s="7">
        <v>46124</v>
      </c>
    </row>
    <row r="429" spans="10:10" x14ac:dyDescent="0.3">
      <c r="J429" s="7">
        <v>46125</v>
      </c>
    </row>
    <row r="430" spans="10:10" x14ac:dyDescent="0.3">
      <c r="J430" s="7">
        <v>46126</v>
      </c>
    </row>
    <row r="431" spans="10:10" x14ac:dyDescent="0.3">
      <c r="J431" s="7">
        <v>46127</v>
      </c>
    </row>
    <row r="432" spans="10:10" x14ac:dyDescent="0.3">
      <c r="J432" s="7">
        <v>46128</v>
      </c>
    </row>
    <row r="433" spans="10:10" x14ac:dyDescent="0.3">
      <c r="J433" s="7">
        <v>46129</v>
      </c>
    </row>
    <row r="434" spans="10:10" x14ac:dyDescent="0.3">
      <c r="J434" s="7">
        <v>46130</v>
      </c>
    </row>
    <row r="435" spans="10:10" x14ac:dyDescent="0.3">
      <c r="J435" s="7">
        <v>46131</v>
      </c>
    </row>
    <row r="436" spans="10:10" x14ac:dyDescent="0.3">
      <c r="J436" s="7">
        <v>46132</v>
      </c>
    </row>
    <row r="437" spans="10:10" x14ac:dyDescent="0.3">
      <c r="J437" s="7">
        <v>46133</v>
      </c>
    </row>
    <row r="438" spans="10:10" x14ac:dyDescent="0.3">
      <c r="J438" s="7">
        <v>46134</v>
      </c>
    </row>
    <row r="439" spans="10:10" x14ac:dyDescent="0.3">
      <c r="J439" s="7">
        <v>46135</v>
      </c>
    </row>
    <row r="440" spans="10:10" x14ac:dyDescent="0.3">
      <c r="J440" s="7">
        <v>46136</v>
      </c>
    </row>
    <row r="441" spans="10:10" x14ac:dyDescent="0.3">
      <c r="J441" s="7">
        <v>46137</v>
      </c>
    </row>
    <row r="442" spans="10:10" x14ac:dyDescent="0.3">
      <c r="J442" s="7">
        <v>46138</v>
      </c>
    </row>
    <row r="443" spans="10:10" x14ac:dyDescent="0.3">
      <c r="J443" s="7">
        <v>46139</v>
      </c>
    </row>
    <row r="444" spans="10:10" x14ac:dyDescent="0.3">
      <c r="J444" s="7">
        <v>46140</v>
      </c>
    </row>
    <row r="445" spans="10:10" x14ac:dyDescent="0.3">
      <c r="J445" s="7">
        <v>46141</v>
      </c>
    </row>
    <row r="446" spans="10:10" x14ac:dyDescent="0.3">
      <c r="J446" s="7">
        <v>46142</v>
      </c>
    </row>
    <row r="447" spans="10:10" x14ac:dyDescent="0.3">
      <c r="J447" s="7">
        <v>46143</v>
      </c>
    </row>
    <row r="448" spans="10:10" x14ac:dyDescent="0.3">
      <c r="J448" s="7">
        <v>46144</v>
      </c>
    </row>
    <row r="449" spans="10:10" x14ac:dyDescent="0.3">
      <c r="J449" s="7">
        <v>46145</v>
      </c>
    </row>
    <row r="450" spans="10:10" x14ac:dyDescent="0.3">
      <c r="J450" s="7">
        <v>46146</v>
      </c>
    </row>
    <row r="451" spans="10:10" x14ac:dyDescent="0.3">
      <c r="J451" s="7">
        <v>46147</v>
      </c>
    </row>
    <row r="452" spans="10:10" x14ac:dyDescent="0.3">
      <c r="J452" s="7">
        <v>46148</v>
      </c>
    </row>
    <row r="453" spans="10:10" x14ac:dyDescent="0.3">
      <c r="J453" s="7">
        <v>46149</v>
      </c>
    </row>
    <row r="454" spans="10:10" x14ac:dyDescent="0.3">
      <c r="J454" s="7">
        <v>46150</v>
      </c>
    </row>
    <row r="455" spans="10:10" x14ac:dyDescent="0.3">
      <c r="J455" s="7">
        <v>46151</v>
      </c>
    </row>
    <row r="456" spans="10:10" x14ac:dyDescent="0.3">
      <c r="J456" s="7">
        <v>46152</v>
      </c>
    </row>
    <row r="457" spans="10:10" x14ac:dyDescent="0.3">
      <c r="J457" s="7">
        <v>46153</v>
      </c>
    </row>
    <row r="458" spans="10:10" x14ac:dyDescent="0.3">
      <c r="J458" s="7">
        <v>46154</v>
      </c>
    </row>
    <row r="459" spans="10:10" x14ac:dyDescent="0.3">
      <c r="J459" s="7">
        <v>46155</v>
      </c>
    </row>
    <row r="460" spans="10:10" x14ac:dyDescent="0.3">
      <c r="J460" s="7">
        <v>46156</v>
      </c>
    </row>
  </sheetData>
  <conditionalFormatting sqref="P3:P4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959E-C8AE-46FB-8D8D-2024241F952B}">
  <dimension ref="B2:K16"/>
  <sheetViews>
    <sheetView showGridLines="0" workbookViewId="0">
      <selection activeCell="K17" sqref="K17"/>
    </sheetView>
  </sheetViews>
  <sheetFormatPr defaultRowHeight="15.6" x14ac:dyDescent="0.3"/>
  <cols>
    <col min="2" max="2" width="12.5" style="9" customWidth="1"/>
    <col min="4" max="5" width="9" style="2"/>
    <col min="6" max="6" width="9.09765625" style="3" bestFit="1" customWidth="1"/>
    <col min="7" max="8" width="9.09765625" style="13" customWidth="1"/>
    <col min="9" max="9" width="9.8984375" bestFit="1" customWidth="1"/>
  </cols>
  <sheetData>
    <row r="2" spans="2:11" x14ac:dyDescent="0.3">
      <c r="B2" s="8" t="s">
        <v>611</v>
      </c>
      <c r="C2" s="4" t="s">
        <v>606</v>
      </c>
      <c r="D2" s="5" t="s">
        <v>607</v>
      </c>
      <c r="E2" s="5" t="s">
        <v>608</v>
      </c>
      <c r="F2" s="6" t="s">
        <v>609</v>
      </c>
      <c r="G2" s="12" t="s">
        <v>617</v>
      </c>
      <c r="H2" s="12" t="s">
        <v>610</v>
      </c>
    </row>
    <row r="3" spans="2:11" x14ac:dyDescent="0.3">
      <c r="B3" s="9">
        <v>45699</v>
      </c>
      <c r="C3" t="s">
        <v>624</v>
      </c>
      <c r="D3" s="2" t="s">
        <v>605</v>
      </c>
      <c r="E3" s="2">
        <v>237</v>
      </c>
      <c r="F3" s="3">
        <v>3.4593430000000001</v>
      </c>
      <c r="G3" s="13">
        <f>VLOOKUP(Tablo13[[#This Row],[Tarih]],'İşlem Hisse'!$J$3:$K$460,2,FALSE)</f>
        <v>36.01</v>
      </c>
      <c r="H3" s="13">
        <f>IF(Tablo13[[#This Row],[Durum]]="Alış",Tablo13[[#This Row],[Adet]]*Tablo13[[#This Row],[Fiyat]],(-Tablo13[[#This Row],[Adet]]*Tablo13[[#This Row],[Fiyat]]))/Tablo13[[#This Row],[Kur]]</f>
        <v>22.767683726742572</v>
      </c>
      <c r="J3" s="17" t="s">
        <v>624</v>
      </c>
      <c r="K3" s="17">
        <v>3.5818789999999998</v>
      </c>
    </row>
    <row r="4" spans="2:11" x14ac:dyDescent="0.3">
      <c r="B4" s="9">
        <v>45699</v>
      </c>
      <c r="C4" t="s">
        <v>630</v>
      </c>
      <c r="D4" s="2" t="s">
        <v>605</v>
      </c>
      <c r="E4" s="2">
        <v>9641</v>
      </c>
      <c r="F4" s="3">
        <v>0.10371900000000001</v>
      </c>
      <c r="G4" s="13">
        <f>VLOOKUP(Tablo13[[#This Row],[Tarih]],'İşlem Hisse'!$J$3:$K$460,2,FALSE)</f>
        <v>36.01</v>
      </c>
      <c r="H4" s="13">
        <f>IF(Tablo13[[#This Row],[Durum]]="Alış",Tablo13[[#This Row],[Adet]]*Tablo13[[#This Row],[Fiyat]],(-Tablo13[[#This Row],[Adet]]*Tablo13[[#This Row],[Fiyat]]))/Tablo13[[#This Row],[Kur]]</f>
        <v>27.768810858094977</v>
      </c>
      <c r="J4" s="17" t="s">
        <v>626</v>
      </c>
      <c r="K4" s="17">
        <v>1.1251530000000001</v>
      </c>
    </row>
    <row r="5" spans="2:11" x14ac:dyDescent="0.3">
      <c r="B5" s="9">
        <v>45699</v>
      </c>
      <c r="C5" t="s">
        <v>636</v>
      </c>
      <c r="D5" s="2" t="s">
        <v>605</v>
      </c>
      <c r="E5" s="2">
        <v>7901</v>
      </c>
      <c r="F5" s="3">
        <v>0.12656600000000001</v>
      </c>
      <c r="G5" s="13">
        <f>VLOOKUP(Tablo13[[#This Row],[Tarih]],'İşlem Hisse'!$J$3:$K$460,2,FALSE)</f>
        <v>36.01</v>
      </c>
      <c r="H5" s="13">
        <f>IF(Tablo13[[#This Row],[Durum]]="Alış",Tablo13[[#This Row],[Adet]]*Tablo13[[#This Row],[Fiyat]],(-Tablo13[[#This Row],[Adet]]*Tablo13[[#This Row],[Fiyat]]))/Tablo13[[#This Row],[Kur]]</f>
        <v>27.770007386836994</v>
      </c>
      <c r="J5" s="17" t="s">
        <v>627</v>
      </c>
      <c r="K5" s="17">
        <v>3.3578929999999998</v>
      </c>
    </row>
    <row r="6" spans="2:11" x14ac:dyDescent="0.3">
      <c r="B6" s="9">
        <v>45699</v>
      </c>
      <c r="C6" t="s">
        <v>629</v>
      </c>
      <c r="D6" s="2" t="s">
        <v>605</v>
      </c>
      <c r="E6" s="2">
        <v>455</v>
      </c>
      <c r="F6" s="3">
        <v>2.1939519999999999</v>
      </c>
      <c r="G6" s="13">
        <f>VLOOKUP(Tablo13[[#This Row],[Tarih]],'İşlem Hisse'!$J$3:$K$460,2,FALSE)</f>
        <v>36.01</v>
      </c>
      <c r="H6" s="13">
        <f>IF(Tablo13[[#This Row],[Durum]]="Alış",Tablo13[[#This Row],[Adet]]*Tablo13[[#This Row],[Fiyat]],(-Tablo13[[#This Row],[Adet]]*Tablo13[[#This Row],[Fiyat]]))/Tablo13[[#This Row],[Kur]]</f>
        <v>27.721415162454875</v>
      </c>
      <c r="J6" s="17" t="s">
        <v>638</v>
      </c>
      <c r="K6" s="17">
        <v>10.495877</v>
      </c>
    </row>
    <row r="7" spans="2:11" x14ac:dyDescent="0.3">
      <c r="B7" s="9">
        <v>45699</v>
      </c>
      <c r="C7" t="s">
        <v>631</v>
      </c>
      <c r="D7" s="2" t="s">
        <v>605</v>
      </c>
      <c r="E7" s="2">
        <v>469</v>
      </c>
      <c r="F7" s="3">
        <v>2.1300159999999999</v>
      </c>
      <c r="G7" s="13">
        <f>VLOOKUP(Tablo13[[#This Row],[Tarih]],'İşlem Hisse'!$J$3:$K$460,2,FALSE)</f>
        <v>36.01</v>
      </c>
      <c r="H7" s="13">
        <f>IF(Tablo13[[#This Row],[Durum]]="Alış",Tablo13[[#This Row],[Adet]]*Tablo13[[#This Row],[Fiyat]],(-Tablo13[[#This Row],[Adet]]*Tablo13[[#This Row],[Fiyat]]))/Tablo13[[#This Row],[Kur]]</f>
        <v>27.741669091918912</v>
      </c>
      <c r="J7" s="17" t="s">
        <v>628</v>
      </c>
      <c r="K7" s="17">
        <v>7.4117639999999998</v>
      </c>
    </row>
    <row r="8" spans="2:11" x14ac:dyDescent="0.3">
      <c r="B8" s="9">
        <v>45699</v>
      </c>
      <c r="C8" t="s">
        <v>627</v>
      </c>
      <c r="D8" s="2" t="s">
        <v>605</v>
      </c>
      <c r="E8" s="2">
        <v>303</v>
      </c>
      <c r="F8" s="3">
        <v>3.2932790000000001</v>
      </c>
      <c r="G8" s="13">
        <f>VLOOKUP(Tablo13[[#This Row],[Tarih]],'İşlem Hisse'!$J$3:$K$460,2,FALSE)</f>
        <v>36.01</v>
      </c>
      <c r="H8" s="13">
        <f>IF(Tablo13[[#This Row],[Durum]]="Alış",Tablo13[[#This Row],[Adet]]*Tablo13[[#This Row],[Fiyat]],(-Tablo13[[#This Row],[Adet]]*Tablo13[[#This Row],[Fiyat]]))/Tablo13[[#This Row],[Kur]]</f>
        <v>27.710734157178564</v>
      </c>
      <c r="J8" s="17" t="s">
        <v>629</v>
      </c>
      <c r="K8" s="17">
        <v>2.2386349999999999</v>
      </c>
    </row>
    <row r="9" spans="2:11" x14ac:dyDescent="0.3">
      <c r="B9" s="9">
        <v>45699</v>
      </c>
      <c r="C9" t="s">
        <v>633</v>
      </c>
      <c r="D9" s="2" t="s">
        <v>605</v>
      </c>
      <c r="E9" s="2">
        <v>326</v>
      </c>
      <c r="F9" s="3">
        <v>3.0612189999999999</v>
      </c>
      <c r="G9" s="13">
        <f>VLOOKUP(Tablo13[[#This Row],[Tarih]],'İşlem Hisse'!$J$3:$K$460,2,FALSE)</f>
        <v>36.01</v>
      </c>
      <c r="H9" s="13">
        <f>IF(Tablo13[[#This Row],[Durum]]="Alış",Tablo13[[#This Row],[Adet]]*Tablo13[[#This Row],[Fiyat]],(-Tablo13[[#This Row],[Adet]]*Tablo13[[#This Row],[Fiyat]]))/Tablo13[[#This Row],[Kur]]</f>
        <v>27.713340572063316</v>
      </c>
      <c r="J9" s="17" t="s">
        <v>630</v>
      </c>
      <c r="K9" s="17">
        <v>0.105909</v>
      </c>
    </row>
    <row r="10" spans="2:11" x14ac:dyDescent="0.3">
      <c r="B10" s="9">
        <v>45700</v>
      </c>
      <c r="C10" t="s">
        <v>628</v>
      </c>
      <c r="D10" s="2" t="s">
        <v>605</v>
      </c>
      <c r="E10" s="2">
        <v>136</v>
      </c>
      <c r="F10" s="3">
        <v>7.3374389999999998</v>
      </c>
      <c r="G10" s="13">
        <f>VLOOKUP(Tablo13[[#This Row],[Tarih]],'İşlem Hisse'!$J$3:$K$460,2,FALSE)</f>
        <v>36.1</v>
      </c>
      <c r="H10" s="13">
        <f>IF(Tablo13[[#This Row],[Durum]]="Alış",Tablo13[[#This Row],[Adet]]*Tablo13[[#This Row],[Fiyat]],(-Tablo13[[#This Row],[Adet]]*Tablo13[[#This Row],[Fiyat]]))/Tablo13[[#This Row],[Kur]]</f>
        <v>27.64242947368421</v>
      </c>
      <c r="J10" s="17" t="s">
        <v>631</v>
      </c>
      <c r="K10" s="17">
        <v>2.1755949999999999</v>
      </c>
    </row>
    <row r="11" spans="2:11" x14ac:dyDescent="0.3">
      <c r="B11" s="9">
        <v>45700</v>
      </c>
      <c r="C11" t="s">
        <v>632</v>
      </c>
      <c r="D11" s="2" t="s">
        <v>605</v>
      </c>
      <c r="E11" s="2">
        <v>147</v>
      </c>
      <c r="F11" s="3">
        <v>6.7857380000000003</v>
      </c>
      <c r="G11" s="13">
        <f>VLOOKUP(Tablo13[[#This Row],[Tarih]],'İşlem Hisse'!$J$3:$K$460,2,FALSE)</f>
        <v>36.1</v>
      </c>
      <c r="H11" s="13">
        <f>IF(Tablo13[[#This Row],[Durum]]="Alış",Tablo13[[#This Row],[Adet]]*Tablo13[[#This Row],[Fiyat]],(-Tablo13[[#This Row],[Adet]]*Tablo13[[#This Row],[Fiyat]]))/Tablo13[[#This Row],[Kur]]</f>
        <v>27.631675512465375</v>
      </c>
      <c r="J11" s="17" t="s">
        <v>632</v>
      </c>
      <c r="K11" s="17">
        <v>6.8446740000000004</v>
      </c>
    </row>
    <row r="12" spans="2:11" x14ac:dyDescent="0.3">
      <c r="B12" s="9">
        <v>45700</v>
      </c>
      <c r="C12" t="s">
        <v>635</v>
      </c>
      <c r="D12" s="2" t="s">
        <v>605</v>
      </c>
      <c r="E12" s="2">
        <v>2000</v>
      </c>
      <c r="F12" s="3">
        <v>0.44163799999999998</v>
      </c>
      <c r="G12" s="13">
        <f>VLOOKUP(Tablo13[[#This Row],[Tarih]],'İşlem Hisse'!$J$3:$K$460,2,FALSE)</f>
        <v>36.1</v>
      </c>
      <c r="H12" s="13">
        <f>IF(Tablo13[[#This Row],[Durum]]="Alış",Tablo13[[#This Row],[Adet]]*Tablo13[[#This Row],[Fiyat]],(-Tablo13[[#This Row],[Adet]]*Tablo13[[#This Row],[Fiyat]]))/Tablo13[[#This Row],[Kur]]</f>
        <v>24.467479224376728</v>
      </c>
      <c r="J12" s="17" t="s">
        <v>633</v>
      </c>
      <c r="K12" s="17">
        <v>3.1227999999999998</v>
      </c>
    </row>
    <row r="13" spans="2:11" x14ac:dyDescent="0.3">
      <c r="B13" s="9">
        <v>45700</v>
      </c>
      <c r="C13" t="s">
        <v>634</v>
      </c>
      <c r="D13" s="2" t="s">
        <v>605</v>
      </c>
      <c r="E13" s="2">
        <v>1831</v>
      </c>
      <c r="F13" s="3">
        <v>0.54585600000000001</v>
      </c>
      <c r="G13" s="13">
        <f>VLOOKUP(Tablo13[[#This Row],[Tarih]],'İşlem Hisse'!$J$3:$K$460,2,FALSE)</f>
        <v>36.1</v>
      </c>
      <c r="H13" s="13">
        <f>IF(Tablo13[[#This Row],[Durum]]="Alış",Tablo13[[#This Row],[Adet]]*Tablo13[[#This Row],[Fiyat]],(-Tablo13[[#This Row],[Adet]]*Tablo13[[#This Row],[Fiyat]]))/Tablo13[[#This Row],[Kur]]</f>
        <v>27.685937285318559</v>
      </c>
      <c r="J13" s="17" t="s">
        <v>634</v>
      </c>
      <c r="K13" s="17">
        <v>0.57213000000000003</v>
      </c>
    </row>
    <row r="14" spans="2:11" x14ac:dyDescent="0.3">
      <c r="B14" s="9">
        <v>45700</v>
      </c>
      <c r="C14" t="s">
        <v>626</v>
      </c>
      <c r="D14" s="2" t="s">
        <v>605</v>
      </c>
      <c r="E14" s="2">
        <v>931</v>
      </c>
      <c r="F14" s="3">
        <v>1.0735060000000001</v>
      </c>
      <c r="G14" s="13">
        <f>VLOOKUP(Tablo13[[#This Row],[Tarih]],'İşlem Hisse'!$J$3:$K$460,2,FALSE)</f>
        <v>36.1</v>
      </c>
      <c r="H14" s="13">
        <f>IF(Tablo13[[#This Row],[Durum]]="Alış",Tablo13[[#This Row],[Adet]]*Tablo13[[#This Row],[Fiyat]],(-Tablo13[[#This Row],[Adet]]*Tablo13[[#This Row],[Fiyat]]))/Tablo13[[#This Row],[Kur]]</f>
        <v>27.685154736842108</v>
      </c>
      <c r="J14" s="17" t="s">
        <v>635</v>
      </c>
      <c r="K14" s="17">
        <v>0.45591599999999999</v>
      </c>
    </row>
    <row r="15" spans="2:11" x14ac:dyDescent="0.3">
      <c r="B15" s="9">
        <v>45700</v>
      </c>
      <c r="C15" t="s">
        <v>637</v>
      </c>
      <c r="D15" s="2" t="s">
        <v>605</v>
      </c>
      <c r="E15" s="2">
        <v>2936</v>
      </c>
      <c r="F15" s="3">
        <v>0.34054499999999999</v>
      </c>
      <c r="G15" s="13">
        <f>VLOOKUP(Tablo13[[#This Row],[Tarih]],'İşlem Hisse'!$J$3:$K$460,2,FALSE)</f>
        <v>36.1</v>
      </c>
      <c r="H15" s="13">
        <f>IF(Tablo13[[#This Row],[Durum]]="Alış",Tablo13[[#This Row],[Adet]]*Tablo13[[#This Row],[Fiyat]],(-Tablo13[[#This Row],[Adet]]*Tablo13[[#This Row],[Fiyat]]))/Tablo13[[#This Row],[Kur]]</f>
        <v>27.696402216066481</v>
      </c>
      <c r="J15" s="17" t="s">
        <v>636</v>
      </c>
      <c r="K15" s="17">
        <v>0.129105</v>
      </c>
    </row>
    <row r="16" spans="2:11" x14ac:dyDescent="0.3">
      <c r="B16" s="9">
        <v>45700</v>
      </c>
      <c r="C16" t="s">
        <v>638</v>
      </c>
      <c r="D16" s="2" t="s">
        <v>605</v>
      </c>
      <c r="E16" s="2">
        <v>118</v>
      </c>
      <c r="F16" s="3">
        <v>9.6672840000000004</v>
      </c>
      <c r="G16" s="13">
        <f>VLOOKUP(Tablo13[[#This Row],[Tarih]],'İşlem Hisse'!$J$3:$K$460,2,FALSE)</f>
        <v>36.1</v>
      </c>
      <c r="H16" s="13">
        <f>IF(Tablo13[[#This Row],[Durum]]="Alış",Tablo13[[#This Row],[Adet]]*Tablo13[[#This Row],[Fiyat]],(-Tablo13[[#This Row],[Adet]]*Tablo13[[#This Row],[Fiyat]]))/Tablo13[[#This Row],[Kur]]</f>
        <v>31.599432465373962</v>
      </c>
      <c r="J16" s="17" t="s">
        <v>637</v>
      </c>
      <c r="K16" s="17">
        <v>0.35487099999999999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681D-6A9C-4D9C-9CC4-9F4F00CF5592}">
  <dimension ref="B2:K16"/>
  <sheetViews>
    <sheetView showGridLines="0" workbookViewId="0">
      <selection activeCell="K9" sqref="K9"/>
    </sheetView>
  </sheetViews>
  <sheetFormatPr defaultRowHeight="15.6" x14ac:dyDescent="0.3"/>
  <cols>
    <col min="2" max="2" width="12.5" style="9" customWidth="1"/>
    <col min="4" max="5" width="9" style="2"/>
    <col min="6" max="6" width="9.09765625" style="3" bestFit="1" customWidth="1"/>
    <col min="7" max="7" width="9.09765625" style="13" customWidth="1"/>
    <col min="8" max="8" width="10.8984375" style="13" bestFit="1" customWidth="1"/>
    <col min="9" max="9" width="9.8984375" bestFit="1" customWidth="1"/>
  </cols>
  <sheetData>
    <row r="2" spans="2:11" x14ac:dyDescent="0.3">
      <c r="B2" s="8" t="s">
        <v>611</v>
      </c>
      <c r="C2" s="4" t="s">
        <v>606</v>
      </c>
      <c r="D2" s="5" t="s">
        <v>607</v>
      </c>
      <c r="E2" s="5" t="s">
        <v>608</v>
      </c>
      <c r="F2" s="6" t="s">
        <v>609</v>
      </c>
      <c r="G2" s="12" t="s">
        <v>617</v>
      </c>
      <c r="H2" s="12" t="s">
        <v>610</v>
      </c>
    </row>
    <row r="3" spans="2:11" x14ac:dyDescent="0.3">
      <c r="B3" s="9">
        <v>45699</v>
      </c>
      <c r="C3" t="s">
        <v>640</v>
      </c>
      <c r="D3" s="2" t="s">
        <v>605</v>
      </c>
      <c r="E3" s="2">
        <v>1</v>
      </c>
      <c r="F3" s="3">
        <v>1.06</v>
      </c>
      <c r="G3" s="13">
        <v>1</v>
      </c>
      <c r="H3" s="13">
        <f>IF(Tablo134[[#This Row],[Durum]]="Alış",Tablo134[[#This Row],[Adet]]*Tablo134[[#This Row],[Fiyat]],(-Tablo134[[#This Row],[Adet]]*Tablo134[[#This Row],[Fiyat]]))/Tablo134[[#This Row],[Kur]]</f>
        <v>1.06</v>
      </c>
      <c r="J3" s="17" t="s">
        <v>640</v>
      </c>
      <c r="K3" s="17">
        <v>3.32</v>
      </c>
    </row>
    <row r="4" spans="2:11" x14ac:dyDescent="0.3">
      <c r="B4" s="9">
        <v>45699</v>
      </c>
      <c r="C4" t="s">
        <v>641</v>
      </c>
      <c r="D4" s="2" t="s">
        <v>605</v>
      </c>
      <c r="E4" s="2">
        <v>60</v>
      </c>
      <c r="F4" s="3">
        <v>17.88</v>
      </c>
      <c r="G4" s="13">
        <v>1</v>
      </c>
      <c r="H4" s="13">
        <f>IF(Tablo134[[#This Row],[Durum]]="Alış",Tablo134[[#This Row],[Adet]]*Tablo134[[#This Row],[Fiyat]],(-Tablo134[[#This Row],[Adet]]*Tablo134[[#This Row],[Fiyat]]))/Tablo134[[#This Row],[Kur]]</f>
        <v>1072.8</v>
      </c>
      <c r="J4" s="17" t="s">
        <v>641</v>
      </c>
      <c r="K4" s="17">
        <v>17.940000000000001</v>
      </c>
    </row>
    <row r="5" spans="2:11" x14ac:dyDescent="0.3">
      <c r="B5" s="9">
        <v>45699</v>
      </c>
      <c r="C5" t="s">
        <v>642</v>
      </c>
      <c r="D5" s="2" t="s">
        <v>605</v>
      </c>
      <c r="E5" s="2">
        <v>59</v>
      </c>
      <c r="F5" s="3">
        <v>15.25</v>
      </c>
      <c r="G5" s="13">
        <v>1</v>
      </c>
      <c r="H5" s="13">
        <f>IF(Tablo134[[#This Row],[Durum]]="Alış",Tablo134[[#This Row],[Adet]]*Tablo134[[#This Row],[Fiyat]],(-Tablo134[[#This Row],[Adet]]*Tablo134[[#This Row],[Fiyat]]))/Tablo134[[#This Row],[Kur]]</f>
        <v>899.75</v>
      </c>
      <c r="J5" s="17" t="s">
        <v>642</v>
      </c>
      <c r="K5" s="17">
        <v>15.53</v>
      </c>
    </row>
    <row r="6" spans="2:11" x14ac:dyDescent="0.3">
      <c r="B6" s="9">
        <v>45699</v>
      </c>
      <c r="C6" t="s">
        <v>643</v>
      </c>
      <c r="D6" s="2" t="s">
        <v>605</v>
      </c>
      <c r="E6" s="2">
        <v>100</v>
      </c>
      <c r="F6" s="3">
        <v>18.690000000000001</v>
      </c>
      <c r="G6" s="13">
        <v>1</v>
      </c>
      <c r="H6" s="13">
        <f>IF(Tablo134[[#This Row],[Durum]]="Alış",Tablo134[[#This Row],[Adet]]*Tablo134[[#This Row],[Fiyat]],(-Tablo134[[#This Row],[Adet]]*Tablo134[[#This Row],[Fiyat]]))/Tablo134[[#This Row],[Kur]]</f>
        <v>1869.0000000000002</v>
      </c>
      <c r="J6" s="17" t="s">
        <v>643</v>
      </c>
      <c r="K6" s="17">
        <v>18.73</v>
      </c>
    </row>
    <row r="7" spans="2:11" x14ac:dyDescent="0.3">
      <c r="B7" s="9">
        <v>45699</v>
      </c>
      <c r="C7" t="s">
        <v>644</v>
      </c>
      <c r="D7" s="2" t="s">
        <v>605</v>
      </c>
      <c r="E7" s="2">
        <v>25</v>
      </c>
      <c r="F7" s="3">
        <v>27.72</v>
      </c>
      <c r="G7" s="13">
        <v>1</v>
      </c>
      <c r="H7" s="13">
        <f>IF(Tablo134[[#This Row],[Durum]]="Alış",Tablo134[[#This Row],[Adet]]*Tablo134[[#This Row],[Fiyat]],(-Tablo134[[#This Row],[Adet]]*Tablo134[[#This Row],[Fiyat]]))/Tablo134[[#This Row],[Kur]]</f>
        <v>693</v>
      </c>
      <c r="J7" s="17" t="s">
        <v>644</v>
      </c>
      <c r="K7" s="17">
        <v>22.73</v>
      </c>
    </row>
    <row r="8" spans="2:11" x14ac:dyDescent="0.3">
      <c r="B8" s="9">
        <v>45699</v>
      </c>
      <c r="C8" t="s">
        <v>645</v>
      </c>
      <c r="D8" s="2" t="s">
        <v>605</v>
      </c>
      <c r="E8" s="2">
        <v>5</v>
      </c>
      <c r="F8" s="3">
        <v>4.46</v>
      </c>
      <c r="G8" s="13">
        <v>1</v>
      </c>
      <c r="H8" s="13">
        <f>IF(Tablo134[[#This Row],[Durum]]="Alış",Tablo134[[#This Row],[Adet]]*Tablo134[[#This Row],[Fiyat]],(-Tablo134[[#This Row],[Adet]]*Tablo134[[#This Row],[Fiyat]]))/Tablo134[[#This Row],[Kur]]</f>
        <v>22.3</v>
      </c>
      <c r="J8" s="17" t="s">
        <v>645</v>
      </c>
      <c r="K8" s="17">
        <v>2.4</v>
      </c>
    </row>
    <row r="9" spans="2:11" x14ac:dyDescent="0.3">
      <c r="B9" s="9">
        <v>45715</v>
      </c>
      <c r="C9" t="s">
        <v>643</v>
      </c>
      <c r="D9" s="2" t="s">
        <v>605</v>
      </c>
      <c r="E9" s="2">
        <v>0.51364365899999997</v>
      </c>
      <c r="F9" s="3">
        <v>0</v>
      </c>
      <c r="G9" s="13">
        <v>1</v>
      </c>
      <c r="H9" s="13">
        <f>IF(Tablo134[[#This Row],[Durum]]="Alış",Tablo134[[#This Row],[Adet]]*Tablo134[[#This Row],[Fiyat]],(-Tablo134[[#This Row],[Adet]]*Tablo134[[#This Row],[Fiyat]]))/Tablo134[[#This Row],[Kur]]</f>
        <v>0</v>
      </c>
      <c r="J9" s="17"/>
      <c r="K9" s="17"/>
    </row>
    <row r="10" spans="2:11" x14ac:dyDescent="0.3">
      <c r="B10" s="9">
        <v>45716</v>
      </c>
      <c r="C10" t="s">
        <v>642</v>
      </c>
      <c r="D10" s="2" t="s">
        <v>605</v>
      </c>
      <c r="E10" s="2">
        <v>0.44672873000000002</v>
      </c>
      <c r="F10" s="3">
        <v>0</v>
      </c>
      <c r="G10" s="13">
        <v>1</v>
      </c>
      <c r="H10" s="13">
        <f>IF(Tablo134[[#This Row],[Durum]]="Alış",Tablo134[[#This Row],[Adet]]*Tablo134[[#This Row],[Fiyat]],(-Tablo134[[#This Row],[Adet]]*Tablo134[[#This Row],[Fiyat]]))/Tablo134[[#This Row],[Kur]]</f>
        <v>0</v>
      </c>
      <c r="J10" s="17"/>
      <c r="K10" s="17"/>
    </row>
    <row r="11" spans="2:11" x14ac:dyDescent="0.3">
      <c r="J11" s="17"/>
      <c r="K11" s="17"/>
    </row>
    <row r="12" spans="2:11" x14ac:dyDescent="0.3">
      <c r="J12" s="17"/>
      <c r="K12" s="17"/>
    </row>
    <row r="13" spans="2:11" x14ac:dyDescent="0.3">
      <c r="J13" s="17"/>
      <c r="K13" s="17"/>
    </row>
    <row r="14" spans="2:11" x14ac:dyDescent="0.3">
      <c r="J14" s="17"/>
      <c r="K14" s="17"/>
    </row>
    <row r="15" spans="2:11" x14ac:dyDescent="0.3">
      <c r="J15" s="17"/>
      <c r="K15" s="17"/>
    </row>
    <row r="16" spans="2:11" x14ac:dyDescent="0.3">
      <c r="J16" s="17"/>
      <c r="K16" s="1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1"/>
  <sheetViews>
    <sheetView workbookViewId="0">
      <selection activeCell="A2" sqref="A2:M597"/>
    </sheetView>
  </sheetViews>
  <sheetFormatPr defaultRowHeight="15.6" x14ac:dyDescent="0.3"/>
  <cols>
    <col min="14" max="14" width="4.09765625" customWidth="1"/>
    <col min="23" max="23" width="9.3984375" bestFit="1" customWidth="1"/>
  </cols>
  <sheetData>
    <row r="1" spans="1:23" x14ac:dyDescent="0.3">
      <c r="E1">
        <f>SUM(F1:M1)</f>
        <v>142</v>
      </c>
      <c r="F1">
        <v>40</v>
      </c>
      <c r="G1">
        <v>30</v>
      </c>
      <c r="H1">
        <v>20</v>
      </c>
      <c r="I1">
        <v>10</v>
      </c>
      <c r="J1">
        <v>35</v>
      </c>
      <c r="K1">
        <v>5</v>
      </c>
      <c r="L1">
        <v>1</v>
      </c>
      <c r="M1">
        <v>1</v>
      </c>
    </row>
    <row r="2" spans="1:2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23" x14ac:dyDescent="0.3">
      <c r="A3" t="s">
        <v>13</v>
      </c>
      <c r="B3">
        <v>4.34</v>
      </c>
      <c r="C3">
        <v>-0.46</v>
      </c>
      <c r="D3">
        <v>7757415.1699999999</v>
      </c>
      <c r="E3">
        <v>2929500000</v>
      </c>
      <c r="F3">
        <v>-0.91</v>
      </c>
      <c r="G3">
        <v>-10.14</v>
      </c>
      <c r="H3">
        <v>-9.58</v>
      </c>
      <c r="I3">
        <v>-16.05</v>
      </c>
      <c r="J3">
        <v>-22.5</v>
      </c>
      <c r="K3">
        <v>-38.090000000000003</v>
      </c>
    </row>
    <row r="4" spans="1:23" x14ac:dyDescent="0.3">
      <c r="A4" t="s">
        <v>14</v>
      </c>
      <c r="B4">
        <v>105.3</v>
      </c>
      <c r="C4">
        <v>0.67</v>
      </c>
      <c r="D4">
        <v>5721753.7999999998</v>
      </c>
      <c r="E4">
        <v>1128995010</v>
      </c>
      <c r="F4">
        <v>-2.0499999999999998</v>
      </c>
      <c r="G4">
        <v>-11.74</v>
      </c>
      <c r="H4">
        <v>-0.85</v>
      </c>
      <c r="I4">
        <v>-1.87</v>
      </c>
      <c r="J4">
        <v>-7.63</v>
      </c>
      <c r="K4">
        <v>-37.36</v>
      </c>
      <c r="L4">
        <v>342.81</v>
      </c>
      <c r="M4">
        <v>1626.23</v>
      </c>
    </row>
    <row r="5" spans="1:23" x14ac:dyDescent="0.3">
      <c r="A5" t="s">
        <v>15</v>
      </c>
      <c r="B5">
        <v>27.98</v>
      </c>
      <c r="C5">
        <v>0.14000000000000001</v>
      </c>
      <c r="D5">
        <v>12204407.58</v>
      </c>
      <c r="E5">
        <v>7271302500</v>
      </c>
      <c r="F5">
        <v>0.5</v>
      </c>
      <c r="G5">
        <v>-12.56</v>
      </c>
      <c r="H5">
        <v>-20.420000000000002</v>
      </c>
      <c r="I5">
        <v>-42.29</v>
      </c>
      <c r="J5">
        <v>-16.43</v>
      </c>
      <c r="K5">
        <v>-41.3</v>
      </c>
      <c r="L5">
        <v>1100.8599999999999</v>
      </c>
      <c r="M5">
        <v>2174.8000000000002</v>
      </c>
      <c r="O5">
        <f>F5*F$1/$E$1</f>
        <v>0.14084507042253522</v>
      </c>
      <c r="P5">
        <f t="shared" ref="P5:V5" si="0">G5*G$1/$E$1</f>
        <v>-2.6535211267605634</v>
      </c>
      <c r="Q5">
        <f t="shared" si="0"/>
        <v>-2.8760563380281692</v>
      </c>
      <c r="R5">
        <f t="shared" si="0"/>
        <v>-2.9781690140845067</v>
      </c>
      <c r="S5">
        <f t="shared" si="0"/>
        <v>-4.0496478873239434</v>
      </c>
      <c r="T5">
        <f t="shared" si="0"/>
        <v>-1.454225352112676</v>
      </c>
      <c r="U5">
        <f t="shared" si="0"/>
        <v>7.7525352112676051</v>
      </c>
      <c r="V5">
        <f t="shared" si="0"/>
        <v>15.31549295774648</v>
      </c>
      <c r="W5" s="1">
        <f>SUM(O5:V5)</f>
        <v>9.1972535211267612</v>
      </c>
    </row>
    <row r="6" spans="1:23" x14ac:dyDescent="0.3">
      <c r="A6" t="s">
        <v>16</v>
      </c>
      <c r="B6">
        <v>1.92</v>
      </c>
      <c r="C6">
        <v>-0.52</v>
      </c>
      <c r="D6">
        <v>31205228.829999998</v>
      </c>
      <c r="E6">
        <v>1935360000</v>
      </c>
      <c r="F6">
        <v>-1.03</v>
      </c>
      <c r="G6">
        <v>-6.8</v>
      </c>
      <c r="H6">
        <v>-9.86</v>
      </c>
      <c r="I6">
        <v>-3.52</v>
      </c>
      <c r="J6">
        <v>-11.93</v>
      </c>
      <c r="K6">
        <v>-33.79</v>
      </c>
      <c r="L6">
        <v>174.29</v>
      </c>
      <c r="M6">
        <v>60</v>
      </c>
    </row>
    <row r="7" spans="1:23" x14ac:dyDescent="0.3">
      <c r="A7" t="s">
        <v>17</v>
      </c>
      <c r="B7">
        <v>27.78</v>
      </c>
      <c r="C7">
        <v>-0.43</v>
      </c>
      <c r="D7">
        <v>7226807.7800000003</v>
      </c>
      <c r="E7">
        <v>8158986000</v>
      </c>
      <c r="F7">
        <v>0.22</v>
      </c>
      <c r="G7">
        <v>-5.77</v>
      </c>
      <c r="H7">
        <v>-11.64</v>
      </c>
      <c r="I7">
        <v>-12.86</v>
      </c>
      <c r="J7">
        <v>-16.93</v>
      </c>
      <c r="K7">
        <v>-25.76</v>
      </c>
    </row>
    <row r="8" spans="1:23" x14ac:dyDescent="0.3">
      <c r="A8" t="s">
        <v>18</v>
      </c>
      <c r="B8">
        <v>172.8</v>
      </c>
      <c r="C8">
        <v>-0.35</v>
      </c>
      <c r="D8">
        <v>4146936036.9000001</v>
      </c>
      <c r="E8">
        <v>102315789446.40001</v>
      </c>
      <c r="F8">
        <v>5.05</v>
      </c>
      <c r="G8">
        <v>7.06</v>
      </c>
      <c r="H8">
        <v>-13.43</v>
      </c>
      <c r="I8">
        <v>-22.41</v>
      </c>
      <c r="J8">
        <v>-9.81</v>
      </c>
      <c r="K8">
        <v>16.59</v>
      </c>
      <c r="L8">
        <v>715.86</v>
      </c>
      <c r="M8">
        <v>927.35</v>
      </c>
    </row>
    <row r="9" spans="1:23" x14ac:dyDescent="0.3">
      <c r="A9" t="s">
        <v>19</v>
      </c>
      <c r="B9">
        <v>14.71</v>
      </c>
      <c r="C9">
        <v>7.0000000000000007E-2</v>
      </c>
      <c r="D9">
        <v>58866599.399999999</v>
      </c>
      <c r="E9">
        <v>5884000000</v>
      </c>
      <c r="F9">
        <v>3.37</v>
      </c>
      <c r="G9">
        <v>-5.83</v>
      </c>
      <c r="H9">
        <v>5.68</v>
      </c>
      <c r="I9">
        <v>-7.02</v>
      </c>
      <c r="J9">
        <v>-0.68</v>
      </c>
      <c r="K9">
        <v>15.1</v>
      </c>
      <c r="L9">
        <v>431.05</v>
      </c>
      <c r="M9">
        <v>597.16</v>
      </c>
    </row>
    <row r="10" spans="1:23" x14ac:dyDescent="0.3">
      <c r="A10" t="s">
        <v>20</v>
      </c>
      <c r="B10">
        <v>143</v>
      </c>
      <c r="C10">
        <v>-7.0000000000000007E-2</v>
      </c>
      <c r="D10">
        <v>33102696.300000001</v>
      </c>
      <c r="E10">
        <v>25740000000</v>
      </c>
      <c r="F10">
        <v>-0.28000000000000003</v>
      </c>
      <c r="G10">
        <v>1.71</v>
      </c>
      <c r="H10">
        <v>2</v>
      </c>
      <c r="I10">
        <v>43.36</v>
      </c>
      <c r="J10">
        <v>-12.11</v>
      </c>
      <c r="K10">
        <v>127.6</v>
      </c>
      <c r="L10">
        <v>631.46</v>
      </c>
      <c r="M10">
        <v>1056.96</v>
      </c>
    </row>
    <row r="11" spans="1:23" x14ac:dyDescent="0.3">
      <c r="A11" t="s">
        <v>21</v>
      </c>
      <c r="B11">
        <v>308.75</v>
      </c>
      <c r="C11">
        <v>-2.14</v>
      </c>
      <c r="D11">
        <v>233480526.75</v>
      </c>
      <c r="E11">
        <v>75191282123.75</v>
      </c>
      <c r="F11">
        <v>-0.64</v>
      </c>
      <c r="G11">
        <v>2.66</v>
      </c>
      <c r="H11">
        <v>-5.15</v>
      </c>
      <c r="I11">
        <v>-6.51</v>
      </c>
      <c r="J11">
        <v>-1.36</v>
      </c>
      <c r="K11">
        <v>21.88</v>
      </c>
      <c r="L11">
        <v>888.32</v>
      </c>
      <c r="M11">
        <v>1885.53</v>
      </c>
    </row>
    <row r="12" spans="1:23" x14ac:dyDescent="0.3">
      <c r="A12" t="s">
        <v>22</v>
      </c>
      <c r="B12">
        <v>8.93</v>
      </c>
      <c r="C12">
        <v>-1.1100000000000001</v>
      </c>
      <c r="D12">
        <v>102845841.63</v>
      </c>
      <c r="E12">
        <v>10716000000</v>
      </c>
      <c r="F12">
        <v>-2.83</v>
      </c>
      <c r="G12">
        <v>-10.97</v>
      </c>
      <c r="H12">
        <v>-35.799999999999997</v>
      </c>
      <c r="I12">
        <v>-44.64</v>
      </c>
      <c r="J12">
        <v>-16.39</v>
      </c>
      <c r="K12">
        <v>-75.14</v>
      </c>
    </row>
    <row r="13" spans="1:23" x14ac:dyDescent="0.3">
      <c r="A13" t="s">
        <v>23</v>
      </c>
      <c r="B13">
        <v>6.88</v>
      </c>
      <c r="C13">
        <v>0.15</v>
      </c>
      <c r="D13">
        <v>4624160.22</v>
      </c>
      <c r="E13">
        <v>1811779200</v>
      </c>
      <c r="F13">
        <v>-2.41</v>
      </c>
      <c r="G13">
        <v>-6.01</v>
      </c>
      <c r="H13">
        <v>-15.58</v>
      </c>
      <c r="I13">
        <v>-1.01</v>
      </c>
      <c r="J13">
        <v>-9.4700000000000006</v>
      </c>
      <c r="K13">
        <v>-30.29</v>
      </c>
      <c r="L13">
        <v>175.2</v>
      </c>
      <c r="M13">
        <v>327.33</v>
      </c>
    </row>
    <row r="14" spans="1:23" x14ac:dyDescent="0.3">
      <c r="A14" t="s">
        <v>24</v>
      </c>
      <c r="B14">
        <v>19.54</v>
      </c>
      <c r="C14">
        <v>-2.5</v>
      </c>
      <c r="D14">
        <v>100630893.76000001</v>
      </c>
      <c r="E14">
        <v>50804000000</v>
      </c>
      <c r="F14">
        <v>-1.66</v>
      </c>
      <c r="G14">
        <v>1.61</v>
      </c>
      <c r="H14">
        <v>-3.27</v>
      </c>
      <c r="I14">
        <v>46.92</v>
      </c>
      <c r="J14">
        <v>-5.79</v>
      </c>
      <c r="K14">
        <v>41.08</v>
      </c>
    </row>
    <row r="15" spans="1:23" x14ac:dyDescent="0.3">
      <c r="A15" t="s">
        <v>25</v>
      </c>
      <c r="B15">
        <v>24.3</v>
      </c>
      <c r="C15">
        <v>5.65</v>
      </c>
      <c r="D15">
        <v>53580082.740000002</v>
      </c>
      <c r="E15">
        <v>4738500000</v>
      </c>
      <c r="F15">
        <v>1.76</v>
      </c>
      <c r="G15">
        <v>-4.03</v>
      </c>
      <c r="H15">
        <v>9.56</v>
      </c>
      <c r="I15">
        <v>-4.93</v>
      </c>
      <c r="J15">
        <v>11.98</v>
      </c>
    </row>
    <row r="16" spans="1:23" x14ac:dyDescent="0.3">
      <c r="A16" t="s">
        <v>26</v>
      </c>
      <c r="B16">
        <v>67.3</v>
      </c>
      <c r="C16">
        <v>-0.74</v>
      </c>
      <c r="D16">
        <v>5154447820.3500004</v>
      </c>
      <c r="E16">
        <v>349960000000</v>
      </c>
      <c r="F16">
        <v>3.86</v>
      </c>
      <c r="G16">
        <v>3.78</v>
      </c>
      <c r="H16">
        <v>10.6</v>
      </c>
      <c r="I16">
        <v>15.44</v>
      </c>
      <c r="J16">
        <v>3.78</v>
      </c>
      <c r="K16">
        <v>74.260000000000005</v>
      </c>
      <c r="L16">
        <v>1034.9100000000001</v>
      </c>
      <c r="M16">
        <v>1112.6099999999999</v>
      </c>
    </row>
    <row r="17" spans="1:23" x14ac:dyDescent="0.3">
      <c r="A17" t="s">
        <v>27</v>
      </c>
      <c r="B17">
        <v>172</v>
      </c>
      <c r="C17">
        <v>-3.15</v>
      </c>
      <c r="D17">
        <v>61613502.799999997</v>
      </c>
      <c r="E17">
        <v>32928895696</v>
      </c>
      <c r="F17">
        <v>-1.43</v>
      </c>
      <c r="G17">
        <v>-17.39</v>
      </c>
      <c r="H17">
        <v>4.43</v>
      </c>
      <c r="I17">
        <v>8.86</v>
      </c>
      <c r="J17">
        <v>-4.4400000000000004</v>
      </c>
      <c r="K17">
        <v>15.03</v>
      </c>
      <c r="L17">
        <v>999.74</v>
      </c>
      <c r="M17">
        <v>2093.88</v>
      </c>
    </row>
    <row r="18" spans="1:23" x14ac:dyDescent="0.3">
      <c r="A18" t="s">
        <v>28</v>
      </c>
      <c r="B18">
        <v>11.95</v>
      </c>
      <c r="C18">
        <v>-0.25</v>
      </c>
      <c r="D18">
        <v>76253918.519999996</v>
      </c>
      <c r="E18">
        <v>8713509800</v>
      </c>
      <c r="F18">
        <v>-5.16</v>
      </c>
      <c r="G18">
        <v>-15.25</v>
      </c>
      <c r="H18">
        <v>4.37</v>
      </c>
      <c r="I18">
        <v>-5.46</v>
      </c>
      <c r="J18">
        <v>-9.33</v>
      </c>
      <c r="K18">
        <v>103.92</v>
      </c>
      <c r="L18">
        <v>696.67</v>
      </c>
      <c r="M18">
        <v>1038.0999999999999</v>
      </c>
    </row>
    <row r="19" spans="1:23" x14ac:dyDescent="0.3">
      <c r="A19" t="s">
        <v>29</v>
      </c>
      <c r="B19">
        <v>1.86</v>
      </c>
      <c r="C19">
        <v>-0.53</v>
      </c>
      <c r="D19">
        <v>22237694.789999999</v>
      </c>
      <c r="E19">
        <v>7254000000</v>
      </c>
      <c r="F19">
        <v>-1.06</v>
      </c>
      <c r="G19">
        <v>-6.53</v>
      </c>
      <c r="H19">
        <v>-16.96</v>
      </c>
      <c r="I19">
        <v>-15.45</v>
      </c>
      <c r="J19">
        <v>-10.14</v>
      </c>
      <c r="K19">
        <v>-27.91</v>
      </c>
      <c r="L19">
        <v>-7</v>
      </c>
      <c r="M19">
        <v>190.63</v>
      </c>
    </row>
    <row r="20" spans="1:23" x14ac:dyDescent="0.3">
      <c r="A20" t="s">
        <v>30</v>
      </c>
      <c r="B20">
        <v>21.64</v>
      </c>
      <c r="C20">
        <v>-1.81</v>
      </c>
      <c r="D20">
        <v>258831598.46000001</v>
      </c>
      <c r="E20">
        <v>13775679447.92</v>
      </c>
      <c r="F20">
        <v>0.19</v>
      </c>
      <c r="G20">
        <v>-18.03</v>
      </c>
    </row>
    <row r="21" spans="1:23" x14ac:dyDescent="0.3">
      <c r="A21" t="s">
        <v>31</v>
      </c>
      <c r="B21">
        <v>17.11</v>
      </c>
      <c r="C21">
        <v>-0.7</v>
      </c>
      <c r="D21">
        <v>58112243.719999999</v>
      </c>
      <c r="E21">
        <v>20480027451.059998</v>
      </c>
      <c r="F21">
        <v>3.38</v>
      </c>
      <c r="G21">
        <v>-4.9400000000000004</v>
      </c>
      <c r="H21">
        <v>-7.61</v>
      </c>
      <c r="I21">
        <v>-21.59</v>
      </c>
      <c r="J21">
        <v>-12.75</v>
      </c>
      <c r="K21">
        <v>-37.369999999999997</v>
      </c>
    </row>
    <row r="22" spans="1:23" x14ac:dyDescent="0.3">
      <c r="A22" t="s">
        <v>32</v>
      </c>
      <c r="B22">
        <v>6.42</v>
      </c>
      <c r="C22">
        <v>-1.68</v>
      </c>
      <c r="D22">
        <v>76567352.079999998</v>
      </c>
      <c r="E22">
        <v>10349040000</v>
      </c>
      <c r="F22">
        <v>-7.23</v>
      </c>
      <c r="G22">
        <v>-20.149999999999999</v>
      </c>
      <c r="H22">
        <v>-3.46</v>
      </c>
      <c r="I22">
        <v>15.88</v>
      </c>
      <c r="J22">
        <v>-15.97</v>
      </c>
      <c r="K22">
        <v>5.07</v>
      </c>
      <c r="L22">
        <v>314.19</v>
      </c>
      <c r="M22">
        <v>401.56</v>
      </c>
    </row>
    <row r="23" spans="1:23" x14ac:dyDescent="0.3">
      <c r="A23" t="s">
        <v>33</v>
      </c>
      <c r="B23">
        <v>213.4</v>
      </c>
      <c r="C23">
        <v>-0.28000000000000003</v>
      </c>
      <c r="D23">
        <v>1632075</v>
      </c>
      <c r="E23">
        <v>7952137600</v>
      </c>
      <c r="F23">
        <v>-4.9400000000000004</v>
      </c>
      <c r="G23">
        <v>1.1399999999999999</v>
      </c>
      <c r="H23">
        <v>2.89</v>
      </c>
      <c r="I23">
        <v>-3.87</v>
      </c>
      <c r="J23">
        <v>-4.99</v>
      </c>
      <c r="K23">
        <v>-10.6</v>
      </c>
      <c r="L23">
        <v>496.92</v>
      </c>
      <c r="M23">
        <v>998.3</v>
      </c>
    </row>
    <row r="24" spans="1:23" x14ac:dyDescent="0.3">
      <c r="A24" t="s">
        <v>34</v>
      </c>
      <c r="B24">
        <v>12.98</v>
      </c>
      <c r="C24">
        <v>-0.31</v>
      </c>
      <c r="D24">
        <v>434750506.30000001</v>
      </c>
      <c r="E24">
        <v>50427300000</v>
      </c>
      <c r="F24">
        <v>-0.46</v>
      </c>
      <c r="G24">
        <v>12.48</v>
      </c>
      <c r="H24">
        <v>31.91</v>
      </c>
      <c r="I24">
        <v>45.35</v>
      </c>
      <c r="J24">
        <v>0.31</v>
      </c>
      <c r="K24">
        <v>53.25</v>
      </c>
      <c r="L24">
        <v>377.21</v>
      </c>
      <c r="M24">
        <v>2548.98</v>
      </c>
    </row>
    <row r="25" spans="1:23" x14ac:dyDescent="0.3">
      <c r="A25" t="s">
        <v>35</v>
      </c>
      <c r="B25">
        <v>35.340000000000003</v>
      </c>
      <c r="C25">
        <v>-0.95</v>
      </c>
      <c r="D25">
        <v>125534293.86</v>
      </c>
      <c r="E25">
        <v>43338793260.240005</v>
      </c>
      <c r="F25">
        <v>-2.75</v>
      </c>
      <c r="G25">
        <v>-14.01</v>
      </c>
      <c r="H25">
        <v>-0.62</v>
      </c>
      <c r="I25">
        <v>-6.26</v>
      </c>
      <c r="J25">
        <v>-9.85</v>
      </c>
      <c r="K25">
        <v>-1.92</v>
      </c>
      <c r="L25">
        <v>198.48</v>
      </c>
      <c r="M25">
        <v>2054.88</v>
      </c>
    </row>
    <row r="26" spans="1:23" x14ac:dyDescent="0.3">
      <c r="A26" t="s">
        <v>36</v>
      </c>
      <c r="B26">
        <v>6.76</v>
      </c>
      <c r="C26">
        <v>0</v>
      </c>
      <c r="D26">
        <v>10612886.109999999</v>
      </c>
      <c r="E26">
        <v>16325400000</v>
      </c>
      <c r="F26">
        <v>-1.46</v>
      </c>
      <c r="G26">
        <v>-5.72</v>
      </c>
      <c r="H26">
        <v>-4.5199999999999996</v>
      </c>
      <c r="I26">
        <v>13.04</v>
      </c>
      <c r="J26">
        <v>-9.8699999999999992</v>
      </c>
      <c r="K26">
        <v>16.96</v>
      </c>
      <c r="L26">
        <v>1129.0899999999999</v>
      </c>
      <c r="M26">
        <v>777.92</v>
      </c>
    </row>
    <row r="27" spans="1:23" x14ac:dyDescent="0.3">
      <c r="A27" t="s">
        <v>37</v>
      </c>
      <c r="B27">
        <v>12.55</v>
      </c>
      <c r="C27">
        <v>0.8</v>
      </c>
      <c r="D27">
        <v>12580823.949999999</v>
      </c>
      <c r="E27">
        <v>828300000</v>
      </c>
      <c r="F27">
        <v>17.84</v>
      </c>
      <c r="G27">
        <v>14.82</v>
      </c>
      <c r="H27">
        <v>5.64</v>
      </c>
      <c r="I27">
        <v>11.95</v>
      </c>
      <c r="J27">
        <v>7.17</v>
      </c>
      <c r="K27">
        <v>-15.15</v>
      </c>
      <c r="L27">
        <v>-10.61</v>
      </c>
      <c r="M27">
        <v>359.71</v>
      </c>
    </row>
    <row r="28" spans="1:23" x14ac:dyDescent="0.3">
      <c r="A28" t="s">
        <v>38</v>
      </c>
      <c r="B28">
        <v>3.5</v>
      </c>
      <c r="C28">
        <v>5.1100000000000003</v>
      </c>
      <c r="D28">
        <v>50641981.159999996</v>
      </c>
      <c r="E28">
        <v>868665000</v>
      </c>
      <c r="F28">
        <v>15.51</v>
      </c>
      <c r="G28">
        <v>37.25</v>
      </c>
      <c r="H28">
        <v>5.74</v>
      </c>
      <c r="I28">
        <v>0.28999999999999998</v>
      </c>
      <c r="J28">
        <v>29.63</v>
      </c>
      <c r="K28">
        <v>12.9</v>
      </c>
      <c r="L28">
        <v>272.33999999999997</v>
      </c>
      <c r="M28">
        <v>614.29</v>
      </c>
    </row>
    <row r="29" spans="1:23" x14ac:dyDescent="0.3">
      <c r="A29" t="s">
        <v>39</v>
      </c>
      <c r="B29">
        <v>76.2</v>
      </c>
      <c r="C29">
        <v>-0.91</v>
      </c>
      <c r="D29">
        <v>493512115.25</v>
      </c>
      <c r="E29">
        <v>33147000000</v>
      </c>
      <c r="F29">
        <v>-1.87</v>
      </c>
      <c r="G29">
        <v>-11.45</v>
      </c>
      <c r="H29">
        <v>-20.91</v>
      </c>
      <c r="I29">
        <v>-20.79</v>
      </c>
      <c r="J29">
        <v>-17.170000000000002</v>
      </c>
      <c r="K29">
        <v>-39.75</v>
      </c>
      <c r="L29">
        <v>325.45999999999998</v>
      </c>
      <c r="M29">
        <v>1356.98</v>
      </c>
    </row>
    <row r="30" spans="1:23" x14ac:dyDescent="0.3">
      <c r="A30" t="s">
        <v>40</v>
      </c>
      <c r="B30">
        <v>6.75</v>
      </c>
      <c r="C30">
        <v>-0.74</v>
      </c>
      <c r="D30">
        <v>99756383.719999999</v>
      </c>
      <c r="E30">
        <v>16875000000</v>
      </c>
      <c r="F30">
        <v>3.53</v>
      </c>
      <c r="G30">
        <v>-5.73</v>
      </c>
      <c r="H30">
        <v>8.6999999999999993</v>
      </c>
      <c r="I30">
        <v>13.07</v>
      </c>
      <c r="J30">
        <v>4.9800000000000004</v>
      </c>
      <c r="K30">
        <v>59.2</v>
      </c>
      <c r="L30">
        <v>423.26</v>
      </c>
      <c r="M30">
        <v>530.84</v>
      </c>
    </row>
    <row r="31" spans="1:23" x14ac:dyDescent="0.3">
      <c r="A31" t="s">
        <v>41</v>
      </c>
      <c r="B31">
        <v>922.5</v>
      </c>
      <c r="C31">
        <v>8.4</v>
      </c>
      <c r="D31">
        <v>98773552.5</v>
      </c>
      <c r="E31">
        <v>9963000000</v>
      </c>
      <c r="F31">
        <v>3.07</v>
      </c>
      <c r="G31">
        <v>-3.71</v>
      </c>
      <c r="H31">
        <v>-9.1999999999999993</v>
      </c>
      <c r="I31">
        <v>-4.8</v>
      </c>
      <c r="J31">
        <v>-14.03</v>
      </c>
      <c r="K31">
        <v>-43.61</v>
      </c>
      <c r="L31">
        <v>247.16</v>
      </c>
      <c r="M31">
        <v>1733.63</v>
      </c>
    </row>
    <row r="32" spans="1:23" x14ac:dyDescent="0.3">
      <c r="A32" t="s">
        <v>42</v>
      </c>
      <c r="B32">
        <v>147.80000000000001</v>
      </c>
      <c r="C32">
        <v>8.92</v>
      </c>
      <c r="D32">
        <v>116560024.7</v>
      </c>
      <c r="E32">
        <v>5719974101.6000004</v>
      </c>
      <c r="F32">
        <v>9.24</v>
      </c>
      <c r="G32">
        <v>7.33</v>
      </c>
      <c r="H32">
        <v>23.37</v>
      </c>
      <c r="I32">
        <v>16.84</v>
      </c>
      <c r="J32">
        <v>23.27</v>
      </c>
      <c r="K32">
        <v>9.56</v>
      </c>
      <c r="L32">
        <v>518.92999999999995</v>
      </c>
      <c r="M32">
        <v>654.08000000000004</v>
      </c>
      <c r="O32">
        <f>F32*F$1/$E$1</f>
        <v>2.6028169014084508</v>
      </c>
      <c r="P32">
        <f t="shared" ref="P32" si="1">G32*G$1/$E$1</f>
        <v>1.5485915492957747</v>
      </c>
      <c r="Q32">
        <f t="shared" ref="Q32" si="2">H32*H$1/$E$1</f>
        <v>3.2915492957746482</v>
      </c>
      <c r="R32">
        <f t="shared" ref="R32" si="3">I32*I$1/$E$1</f>
        <v>1.1859154929577465</v>
      </c>
      <c r="S32">
        <f t="shared" ref="S32" si="4">J32*J$1/$E$1</f>
        <v>5.7355633802816897</v>
      </c>
      <c r="T32">
        <f t="shared" ref="T32" si="5">K32*K$1/$E$1</f>
        <v>0.33661971830985921</v>
      </c>
      <c r="U32">
        <f t="shared" ref="U32" si="6">L32*L$1/$E$1</f>
        <v>3.6544366197183096</v>
      </c>
      <c r="V32">
        <f t="shared" ref="V32" si="7">M32*M$1/$E$1</f>
        <v>4.6061971830985922</v>
      </c>
      <c r="W32" s="1">
        <f>SUM(O32:V32)</f>
        <v>22.961690140845072</v>
      </c>
    </row>
    <row r="33" spans="1:23" x14ac:dyDescent="0.3">
      <c r="A33" t="s">
        <v>43</v>
      </c>
      <c r="B33">
        <v>56.15</v>
      </c>
      <c r="C33">
        <v>2.84</v>
      </c>
      <c r="D33">
        <v>168927749</v>
      </c>
      <c r="E33">
        <v>20663200000</v>
      </c>
      <c r="F33">
        <v>-2.4300000000000002</v>
      </c>
      <c r="G33">
        <v>-23.45</v>
      </c>
      <c r="H33">
        <v>11.3</v>
      </c>
      <c r="I33">
        <v>-2.0099999999999998</v>
      </c>
      <c r="J33">
        <v>-17.37</v>
      </c>
      <c r="K33">
        <v>-45.32</v>
      </c>
    </row>
    <row r="34" spans="1:23" x14ac:dyDescent="0.3">
      <c r="A34" t="s">
        <v>44</v>
      </c>
      <c r="B34">
        <v>18.47</v>
      </c>
      <c r="C34">
        <v>0.05</v>
      </c>
      <c r="D34">
        <v>18781394.66</v>
      </c>
      <c r="E34">
        <v>5352606000</v>
      </c>
      <c r="F34">
        <v>1.32</v>
      </c>
      <c r="G34">
        <v>-8.93</v>
      </c>
      <c r="H34">
        <v>-6.81</v>
      </c>
      <c r="I34">
        <v>-16.84</v>
      </c>
      <c r="J34">
        <v>-11.8</v>
      </c>
      <c r="K34">
        <v>-25.76</v>
      </c>
      <c r="L34">
        <v>186.8</v>
      </c>
      <c r="M34">
        <v>576.55999999999995</v>
      </c>
    </row>
    <row r="35" spans="1:23" x14ac:dyDescent="0.3">
      <c r="A35" t="s">
        <v>45</v>
      </c>
      <c r="B35">
        <v>7.4</v>
      </c>
      <c r="C35">
        <v>0.95</v>
      </c>
      <c r="D35">
        <v>23610052.43</v>
      </c>
      <c r="E35">
        <v>5439000000</v>
      </c>
      <c r="F35">
        <v>-4.2699999999999996</v>
      </c>
      <c r="G35">
        <v>-9.76</v>
      </c>
      <c r="H35">
        <v>12.8</v>
      </c>
      <c r="I35">
        <v>16.72</v>
      </c>
      <c r="J35">
        <v>-19.04</v>
      </c>
      <c r="K35">
        <v>-20.09</v>
      </c>
      <c r="L35">
        <v>478.13</v>
      </c>
      <c r="M35">
        <v>1847.37</v>
      </c>
    </row>
    <row r="36" spans="1:23" x14ac:dyDescent="0.3">
      <c r="A36" t="s">
        <v>46</v>
      </c>
      <c r="B36">
        <v>16.66</v>
      </c>
      <c r="C36">
        <v>0.6</v>
      </c>
      <c r="D36">
        <v>10228289.42</v>
      </c>
      <c r="E36">
        <v>4998000000</v>
      </c>
      <c r="F36">
        <v>2.84</v>
      </c>
      <c r="G36">
        <v>-3.92</v>
      </c>
      <c r="H36">
        <v>0.12</v>
      </c>
      <c r="I36">
        <v>2.33</v>
      </c>
      <c r="J36">
        <v>-12.5</v>
      </c>
      <c r="K36">
        <v>-22.87</v>
      </c>
      <c r="L36">
        <v>92.38</v>
      </c>
      <c r="M36">
        <v>371.95</v>
      </c>
    </row>
    <row r="37" spans="1:23" x14ac:dyDescent="0.3">
      <c r="A37" t="s">
        <v>47</v>
      </c>
      <c r="B37">
        <v>31.8</v>
      </c>
      <c r="C37">
        <v>0.82</v>
      </c>
      <c r="D37">
        <v>285748466.77999997</v>
      </c>
      <c r="E37">
        <v>3561600000</v>
      </c>
      <c r="F37">
        <v>5.16</v>
      </c>
      <c r="G37">
        <v>24.61</v>
      </c>
      <c r="H37">
        <v>4.13</v>
      </c>
      <c r="I37">
        <v>8.0500000000000007</v>
      </c>
      <c r="J37">
        <v>-11.42</v>
      </c>
    </row>
    <row r="38" spans="1:23" x14ac:dyDescent="0.3">
      <c r="A38" t="s">
        <v>48</v>
      </c>
      <c r="B38">
        <v>7.72</v>
      </c>
      <c r="C38">
        <v>-1.91</v>
      </c>
      <c r="D38">
        <v>15859650.060000001</v>
      </c>
      <c r="E38">
        <v>2123000000</v>
      </c>
      <c r="F38">
        <v>1.85</v>
      </c>
      <c r="G38">
        <v>2.66</v>
      </c>
      <c r="H38">
        <v>8.1199999999999992</v>
      </c>
      <c r="I38">
        <v>12.37</v>
      </c>
      <c r="J38">
        <v>2.52</v>
      </c>
      <c r="K38">
        <v>-14.41</v>
      </c>
      <c r="L38">
        <v>343.68</v>
      </c>
      <c r="M38">
        <v>1444</v>
      </c>
    </row>
    <row r="39" spans="1:23" x14ac:dyDescent="0.3">
      <c r="A39" t="s">
        <v>49</v>
      </c>
      <c r="B39">
        <v>72.150000000000006</v>
      </c>
      <c r="C39">
        <v>0.91</v>
      </c>
      <c r="D39">
        <v>308820891.94999999</v>
      </c>
      <c r="E39">
        <v>16976470613.700001</v>
      </c>
      <c r="F39">
        <v>6.57</v>
      </c>
      <c r="G39">
        <v>-5.38</v>
      </c>
      <c r="H39">
        <v>-20.8</v>
      </c>
      <c r="I39">
        <v>-24.65</v>
      </c>
      <c r="J39">
        <v>-12.23</v>
      </c>
    </row>
    <row r="40" spans="1:23" x14ac:dyDescent="0.3">
      <c r="A40" t="s">
        <v>50</v>
      </c>
      <c r="B40">
        <v>30.2</v>
      </c>
      <c r="C40">
        <v>0.33</v>
      </c>
      <c r="D40">
        <v>41442364.520000003</v>
      </c>
      <c r="E40">
        <v>4832000000</v>
      </c>
      <c r="F40">
        <v>-2.52</v>
      </c>
      <c r="G40">
        <v>-14.45</v>
      </c>
      <c r="H40">
        <v>-7.48</v>
      </c>
      <c r="I40">
        <v>-36.229999999999997</v>
      </c>
      <c r="J40">
        <v>-21.07</v>
      </c>
      <c r="K40">
        <v>28.51</v>
      </c>
    </row>
    <row r="41" spans="1:23" x14ac:dyDescent="0.3">
      <c r="A41" t="s">
        <v>51</v>
      </c>
      <c r="B41">
        <v>14.7</v>
      </c>
      <c r="C41">
        <v>1.52</v>
      </c>
      <c r="D41">
        <v>25389847.260000002</v>
      </c>
      <c r="E41">
        <v>3895500000</v>
      </c>
      <c r="F41">
        <v>5.76</v>
      </c>
      <c r="G41">
        <v>3.38</v>
      </c>
      <c r="H41">
        <v>7.61</v>
      </c>
      <c r="I41">
        <v>16.57</v>
      </c>
      <c r="J41">
        <v>-7.89</v>
      </c>
      <c r="K41">
        <v>-10.09</v>
      </c>
      <c r="L41">
        <v>593.4</v>
      </c>
      <c r="M41">
        <v>980.88</v>
      </c>
    </row>
    <row r="42" spans="1:23" x14ac:dyDescent="0.3">
      <c r="A42" t="s">
        <v>52</v>
      </c>
      <c r="B42">
        <v>12.92</v>
      </c>
      <c r="C42">
        <v>-0.54</v>
      </c>
      <c r="D42">
        <v>79590734.069999993</v>
      </c>
      <c r="E42">
        <v>2842400000</v>
      </c>
      <c r="F42">
        <v>-1.07</v>
      </c>
      <c r="G42">
        <v>-5.28</v>
      </c>
      <c r="H42">
        <v>-1.45</v>
      </c>
      <c r="I42">
        <v>-14.61</v>
      </c>
      <c r="J42">
        <v>4.53</v>
      </c>
      <c r="K42">
        <v>-5.07</v>
      </c>
      <c r="L42">
        <v>22.35</v>
      </c>
    </row>
    <row r="43" spans="1:23" x14ac:dyDescent="0.3">
      <c r="A43" t="s">
        <v>53</v>
      </c>
      <c r="B43">
        <v>100.9</v>
      </c>
      <c r="C43">
        <v>-2.23</v>
      </c>
      <c r="D43">
        <v>138115242.25</v>
      </c>
      <c r="E43">
        <v>43387000000</v>
      </c>
      <c r="F43">
        <v>-3.17</v>
      </c>
      <c r="G43">
        <v>1.41</v>
      </c>
      <c r="H43">
        <v>3.81</v>
      </c>
      <c r="I43">
        <v>-1.85</v>
      </c>
      <c r="J43">
        <v>-2.98</v>
      </c>
      <c r="K43">
        <v>114.23</v>
      </c>
      <c r="L43">
        <v>767.58</v>
      </c>
      <c r="M43">
        <v>1950.81</v>
      </c>
    </row>
    <row r="44" spans="1:23" x14ac:dyDescent="0.3">
      <c r="A44" t="s">
        <v>54</v>
      </c>
      <c r="B44">
        <v>107.2</v>
      </c>
      <c r="C44">
        <v>-3.25</v>
      </c>
      <c r="D44">
        <v>232394456.5</v>
      </c>
      <c r="E44">
        <v>53600000000</v>
      </c>
      <c r="F44">
        <v>-7.27</v>
      </c>
      <c r="G44">
        <v>-2.99</v>
      </c>
      <c r="H44">
        <v>14.1</v>
      </c>
      <c r="I44">
        <v>39.4</v>
      </c>
      <c r="J44">
        <v>3.08</v>
      </c>
      <c r="K44">
        <v>57.65</v>
      </c>
      <c r="L44">
        <v>1961.54</v>
      </c>
      <c r="M44">
        <v>2353.09</v>
      </c>
    </row>
    <row r="45" spans="1:23" x14ac:dyDescent="0.3">
      <c r="A45" t="s">
        <v>55</v>
      </c>
      <c r="B45">
        <v>46.54</v>
      </c>
      <c r="C45">
        <v>1.7</v>
      </c>
      <c r="D45">
        <v>60659847.119999997</v>
      </c>
      <c r="E45">
        <v>11635000000</v>
      </c>
      <c r="F45">
        <v>3.24</v>
      </c>
      <c r="G45">
        <v>-6.4</v>
      </c>
      <c r="H45">
        <v>-10.41</v>
      </c>
      <c r="I45">
        <v>-9.89</v>
      </c>
      <c r="J45">
        <v>-16.89</v>
      </c>
      <c r="K45">
        <v>-28.22</v>
      </c>
      <c r="L45">
        <v>122.68</v>
      </c>
      <c r="O45">
        <f>F45*F$1/$E$1</f>
        <v>0.91267605633802829</v>
      </c>
      <c r="P45">
        <f t="shared" ref="P45" si="8">G45*G$1/$E$1</f>
        <v>-1.352112676056338</v>
      </c>
      <c r="Q45">
        <f t="shared" ref="Q45" si="9">H45*H$1/$E$1</f>
        <v>-1.4661971830985914</v>
      </c>
      <c r="R45">
        <f t="shared" ref="R45" si="10">I45*I$1/$E$1</f>
        <v>-0.69647887323943669</v>
      </c>
      <c r="S45">
        <f t="shared" ref="S45" si="11">J45*J$1/$E$1</f>
        <v>-4.1630281690140842</v>
      </c>
      <c r="T45">
        <f t="shared" ref="T45" si="12">K45*K$1/$E$1</f>
        <v>-0.99366197183098592</v>
      </c>
      <c r="U45">
        <f t="shared" ref="U45" si="13">L45*L$1/$E$1</f>
        <v>0.86394366197183103</v>
      </c>
      <c r="V45">
        <f t="shared" ref="V45" si="14">M45*M$1/$E$1</f>
        <v>0</v>
      </c>
      <c r="W45" s="1">
        <f>SUM(O45:V45)</f>
        <v>-6.894859154929577</v>
      </c>
    </row>
    <row r="46" spans="1:23" x14ac:dyDescent="0.3">
      <c r="A46" t="s">
        <v>56</v>
      </c>
      <c r="B46">
        <v>127.6</v>
      </c>
      <c r="C46">
        <v>0.71</v>
      </c>
      <c r="D46">
        <v>357907275.5</v>
      </c>
      <c r="E46">
        <v>86222918958</v>
      </c>
      <c r="F46">
        <v>2.41</v>
      </c>
      <c r="G46">
        <v>0.47</v>
      </c>
      <c r="H46">
        <v>-10.71</v>
      </c>
      <c r="I46">
        <v>-11.45</v>
      </c>
      <c r="J46">
        <v>-10.14</v>
      </c>
      <c r="K46">
        <v>-23.13</v>
      </c>
      <c r="L46">
        <v>144.12</v>
      </c>
      <c r="M46">
        <v>676.16</v>
      </c>
    </row>
    <row r="47" spans="1:23" x14ac:dyDescent="0.3">
      <c r="A47" t="s">
        <v>57</v>
      </c>
      <c r="B47">
        <v>32.200000000000003</v>
      </c>
      <c r="C47">
        <v>2.81</v>
      </c>
      <c r="D47">
        <v>60691299.240000002</v>
      </c>
      <c r="E47">
        <v>5474000000.000001</v>
      </c>
      <c r="F47">
        <v>4.8899999999999997</v>
      </c>
      <c r="G47">
        <v>-11.15</v>
      </c>
      <c r="H47">
        <v>-13.77</v>
      </c>
      <c r="I47">
        <v>-12.64</v>
      </c>
      <c r="J47">
        <v>-21.46</v>
      </c>
      <c r="K47">
        <v>-41.58</v>
      </c>
      <c r="L47">
        <v>549.19000000000005</v>
      </c>
      <c r="M47">
        <v>1612.77</v>
      </c>
    </row>
    <row r="48" spans="1:23" x14ac:dyDescent="0.3">
      <c r="A48" t="s">
        <v>58</v>
      </c>
      <c r="B48">
        <v>45.58</v>
      </c>
      <c r="C48">
        <v>1.1100000000000001</v>
      </c>
      <c r="D48">
        <v>99174413.420000002</v>
      </c>
      <c r="E48">
        <v>4558000000</v>
      </c>
      <c r="F48">
        <v>1.29</v>
      </c>
      <c r="G48">
        <v>26.82</v>
      </c>
      <c r="H48">
        <v>74.37</v>
      </c>
      <c r="I48">
        <v>22.13</v>
      </c>
      <c r="J48">
        <v>27.25</v>
      </c>
      <c r="K48">
        <v>-10.19</v>
      </c>
      <c r="L48">
        <v>256.37</v>
      </c>
      <c r="M48">
        <v>1394.43</v>
      </c>
    </row>
    <row r="49" spans="1:23" x14ac:dyDescent="0.3">
      <c r="A49" t="s">
        <v>59</v>
      </c>
      <c r="B49">
        <v>32.200000000000003</v>
      </c>
      <c r="C49">
        <v>0.31</v>
      </c>
      <c r="D49">
        <v>67782096.359999999</v>
      </c>
      <c r="E49">
        <v>8500183144.6000004</v>
      </c>
      <c r="F49">
        <v>-4.9000000000000004</v>
      </c>
      <c r="G49">
        <v>-9.5500000000000007</v>
      </c>
    </row>
    <row r="50" spans="1:23" x14ac:dyDescent="0.3">
      <c r="A50" t="s">
        <v>60</v>
      </c>
      <c r="B50">
        <v>18.72</v>
      </c>
      <c r="C50">
        <v>-1.78</v>
      </c>
      <c r="D50">
        <v>10936008.390000001</v>
      </c>
      <c r="E50">
        <v>3827293984.7999997</v>
      </c>
      <c r="F50">
        <v>-3.9</v>
      </c>
      <c r="G50">
        <v>-6.59</v>
      </c>
      <c r="H50">
        <v>-20.68</v>
      </c>
      <c r="I50">
        <v>-16.28</v>
      </c>
      <c r="J50">
        <v>-17.97</v>
      </c>
      <c r="K50">
        <v>27.69</v>
      </c>
      <c r="L50">
        <v>437.93</v>
      </c>
      <c r="M50">
        <v>880.1</v>
      </c>
    </row>
    <row r="51" spans="1:23" x14ac:dyDescent="0.3">
      <c r="A51" t="s">
        <v>61</v>
      </c>
      <c r="B51">
        <v>30.4</v>
      </c>
      <c r="C51">
        <v>0.73</v>
      </c>
      <c r="D51">
        <v>37661727.079999998</v>
      </c>
      <c r="E51">
        <v>2128000000</v>
      </c>
      <c r="F51">
        <v>10.220000000000001</v>
      </c>
      <c r="G51">
        <v>4.83</v>
      </c>
      <c r="H51">
        <v>-3.92</v>
      </c>
      <c r="I51">
        <v>-45.47</v>
      </c>
      <c r="J51">
        <v>1.6</v>
      </c>
    </row>
    <row r="52" spans="1:23" x14ac:dyDescent="0.3">
      <c r="A52" t="s">
        <v>62</v>
      </c>
      <c r="B52">
        <v>3.49</v>
      </c>
      <c r="C52">
        <v>-1.97</v>
      </c>
      <c r="D52">
        <v>26330871.120000001</v>
      </c>
      <c r="E52">
        <v>1047000000.0000001</v>
      </c>
      <c r="F52">
        <v>-0.28999999999999998</v>
      </c>
      <c r="G52">
        <v>-10.97</v>
      </c>
      <c r="H52">
        <v>-19.77</v>
      </c>
      <c r="I52">
        <v>-26.83</v>
      </c>
      <c r="J52">
        <v>-15.5</v>
      </c>
      <c r="K52">
        <v>-40.85</v>
      </c>
      <c r="L52">
        <v>129.61000000000001</v>
      </c>
    </row>
    <row r="53" spans="1:23" x14ac:dyDescent="0.3">
      <c r="A53" t="s">
        <v>63</v>
      </c>
      <c r="B53">
        <v>93.45</v>
      </c>
      <c r="C53">
        <v>3.83</v>
      </c>
      <c r="D53">
        <v>9241533724.6499996</v>
      </c>
      <c r="E53">
        <v>426132000000</v>
      </c>
      <c r="F53">
        <v>12.93</v>
      </c>
      <c r="G53">
        <v>5.36</v>
      </c>
      <c r="H53">
        <v>34.56</v>
      </c>
      <c r="I53">
        <v>60.29</v>
      </c>
      <c r="J53">
        <v>28.9</v>
      </c>
      <c r="K53">
        <v>58.12</v>
      </c>
      <c r="L53">
        <v>685.29</v>
      </c>
      <c r="M53">
        <v>1294.78</v>
      </c>
    </row>
    <row r="54" spans="1:23" x14ac:dyDescent="0.3">
      <c r="A54" t="s">
        <v>64</v>
      </c>
      <c r="B54">
        <v>10.79</v>
      </c>
      <c r="C54">
        <v>0.28000000000000003</v>
      </c>
      <c r="D54">
        <v>14402796</v>
      </c>
      <c r="E54">
        <v>7110609999.999999</v>
      </c>
      <c r="F54">
        <v>-1.64</v>
      </c>
      <c r="G54">
        <v>-3.49</v>
      </c>
      <c r="H54">
        <v>-9.48</v>
      </c>
      <c r="I54">
        <v>-9.93</v>
      </c>
      <c r="J54">
        <v>-12.56</v>
      </c>
      <c r="K54">
        <v>-30.74</v>
      </c>
    </row>
    <row r="55" spans="1:23" x14ac:dyDescent="0.3">
      <c r="A55" t="s">
        <v>65</v>
      </c>
      <c r="B55">
        <v>109.3</v>
      </c>
      <c r="C55">
        <v>-0.55000000000000004</v>
      </c>
      <c r="D55">
        <v>1540785027.7</v>
      </c>
      <c r="E55">
        <v>109081400000</v>
      </c>
      <c r="F55">
        <v>1.49</v>
      </c>
      <c r="G55">
        <v>-7.06</v>
      </c>
      <c r="H55">
        <v>15.42</v>
      </c>
      <c r="I55">
        <v>44.77</v>
      </c>
      <c r="J55">
        <v>-4.04</v>
      </c>
      <c r="K55">
        <v>-8.8000000000000007</v>
      </c>
      <c r="O55">
        <f>F55*F$1/$E$1</f>
        <v>0.41971830985915493</v>
      </c>
      <c r="P55">
        <f t="shared" ref="P55" si="15">G55*G$1/$E$1</f>
        <v>-1.4915492957746477</v>
      </c>
      <c r="Q55">
        <f t="shared" ref="Q55" si="16">H55*H$1/$E$1</f>
        <v>2.1718309859154927</v>
      </c>
      <c r="R55">
        <f t="shared" ref="R55" si="17">I55*I$1/$E$1</f>
        <v>3.1528169014084511</v>
      </c>
      <c r="S55">
        <f t="shared" ref="S55" si="18">J55*J$1/$E$1</f>
        <v>-0.99577464788732395</v>
      </c>
      <c r="T55">
        <f t="shared" ref="T55" si="19">K55*K$1/$E$1</f>
        <v>-0.30985915492957744</v>
      </c>
      <c r="U55">
        <f t="shared" ref="U55" si="20">L55*L$1/$E$1</f>
        <v>0</v>
      </c>
      <c r="V55">
        <f t="shared" ref="V55" si="21">M55*M$1/$E$1</f>
        <v>0</v>
      </c>
      <c r="W55" s="1">
        <f>SUM(O55:V55)</f>
        <v>2.9471830985915495</v>
      </c>
    </row>
    <row r="56" spans="1:23" x14ac:dyDescent="0.3">
      <c r="A56" t="s">
        <v>66</v>
      </c>
      <c r="B56">
        <v>56.25</v>
      </c>
      <c r="C56">
        <v>-0.44</v>
      </c>
      <c r="D56">
        <v>17156149.600000001</v>
      </c>
      <c r="E56">
        <v>14175000000</v>
      </c>
      <c r="F56">
        <v>0.36</v>
      </c>
      <c r="G56">
        <v>-8.83</v>
      </c>
      <c r="H56">
        <v>-15.03</v>
      </c>
      <c r="I56">
        <v>-18.600000000000001</v>
      </c>
      <c r="J56">
        <v>-14.9</v>
      </c>
      <c r="K56">
        <v>-20.96</v>
      </c>
      <c r="L56">
        <v>310.27999999999997</v>
      </c>
      <c r="M56">
        <v>1630.77</v>
      </c>
    </row>
    <row r="57" spans="1:23" x14ac:dyDescent="0.3">
      <c r="A57" t="s">
        <v>67</v>
      </c>
      <c r="B57">
        <v>10.92</v>
      </c>
      <c r="C57">
        <v>-2.06</v>
      </c>
      <c r="D57">
        <v>1730187.93</v>
      </c>
      <c r="E57">
        <v>518700000</v>
      </c>
      <c r="F57">
        <v>-0.46</v>
      </c>
      <c r="G57">
        <v>-1.62</v>
      </c>
      <c r="H57">
        <v>-14.08</v>
      </c>
      <c r="I57">
        <v>2.44</v>
      </c>
      <c r="J57">
        <v>-4.21</v>
      </c>
      <c r="K57">
        <v>-24.79</v>
      </c>
      <c r="L57">
        <v>324.89999999999998</v>
      </c>
      <c r="M57">
        <v>410.28</v>
      </c>
    </row>
    <row r="58" spans="1:23" x14ac:dyDescent="0.3">
      <c r="A58" t="s">
        <v>68</v>
      </c>
      <c r="B58">
        <v>39.700000000000003</v>
      </c>
      <c r="C58">
        <v>0.05</v>
      </c>
      <c r="D58">
        <v>6435685.7000000002</v>
      </c>
      <c r="E58">
        <v>5509089600</v>
      </c>
      <c r="F58">
        <v>1.79</v>
      </c>
      <c r="G58">
        <v>-2.2200000000000002</v>
      </c>
      <c r="H58">
        <v>-15.17</v>
      </c>
      <c r="I58">
        <v>-14.44</v>
      </c>
      <c r="J58">
        <v>-20.09</v>
      </c>
      <c r="K58">
        <v>-24.91</v>
      </c>
    </row>
    <row r="59" spans="1:23" x14ac:dyDescent="0.3">
      <c r="A59" t="s">
        <v>69</v>
      </c>
      <c r="B59">
        <v>98.4</v>
      </c>
      <c r="C59">
        <v>3.58</v>
      </c>
      <c r="D59">
        <v>53872281.899999999</v>
      </c>
      <c r="E59">
        <v>9225000000</v>
      </c>
      <c r="F59">
        <v>-1.8</v>
      </c>
      <c r="G59">
        <v>-10.050000000000001</v>
      </c>
      <c r="H59">
        <v>5.12</v>
      </c>
      <c r="I59">
        <v>-6.88</v>
      </c>
      <c r="J59">
        <v>-6.73</v>
      </c>
      <c r="K59">
        <v>-39.44</v>
      </c>
      <c r="L59">
        <v>291.72000000000003</v>
      </c>
    </row>
    <row r="60" spans="1:23" x14ac:dyDescent="0.3">
      <c r="A60" t="s">
        <v>70</v>
      </c>
      <c r="B60">
        <v>144.69999999999999</v>
      </c>
      <c r="C60">
        <v>0.14000000000000001</v>
      </c>
      <c r="D60">
        <v>5410568.9000000004</v>
      </c>
      <c r="E60">
        <v>3646439999.9999995</v>
      </c>
      <c r="F60">
        <v>-4.24</v>
      </c>
      <c r="G60">
        <v>-8.24</v>
      </c>
      <c r="H60">
        <v>-13.56</v>
      </c>
      <c r="I60">
        <v>-5.98</v>
      </c>
      <c r="J60">
        <v>-14.83</v>
      </c>
      <c r="K60">
        <v>-23.64</v>
      </c>
      <c r="L60">
        <v>318.45</v>
      </c>
      <c r="M60">
        <v>986.34</v>
      </c>
    </row>
    <row r="61" spans="1:23" x14ac:dyDescent="0.3">
      <c r="A61" t="s">
        <v>71</v>
      </c>
      <c r="B61">
        <v>5.0999999999999996</v>
      </c>
      <c r="C61">
        <v>-1.1599999999999999</v>
      </c>
      <c r="D61">
        <v>2120422.1</v>
      </c>
      <c r="E61">
        <v>306000000</v>
      </c>
      <c r="F61">
        <v>2</v>
      </c>
      <c r="G61">
        <v>-11.15</v>
      </c>
      <c r="H61">
        <v>-13.41</v>
      </c>
      <c r="I61">
        <v>-4.8499999999999996</v>
      </c>
      <c r="J61">
        <v>-26.3</v>
      </c>
      <c r="K61">
        <v>-2.4900000000000002</v>
      </c>
      <c r="L61">
        <v>385.71</v>
      </c>
      <c r="M61">
        <v>545.57000000000005</v>
      </c>
    </row>
    <row r="62" spans="1:23" x14ac:dyDescent="0.3">
      <c r="A62" t="s">
        <v>72</v>
      </c>
      <c r="B62">
        <v>47.82</v>
      </c>
      <c r="C62">
        <v>0</v>
      </c>
      <c r="D62">
        <v>1451643.24</v>
      </c>
      <c r="E62">
        <v>382560000</v>
      </c>
      <c r="F62">
        <v>-17.05</v>
      </c>
      <c r="G62">
        <v>7.61</v>
      </c>
      <c r="H62">
        <v>8.93</v>
      </c>
      <c r="I62">
        <v>-31.69</v>
      </c>
      <c r="J62">
        <v>3.96</v>
      </c>
      <c r="K62">
        <v>-6.78</v>
      </c>
      <c r="L62">
        <v>199.44</v>
      </c>
      <c r="M62">
        <v>3416.18</v>
      </c>
    </row>
    <row r="63" spans="1:23" x14ac:dyDescent="0.3">
      <c r="A63" t="s">
        <v>73</v>
      </c>
      <c r="B63">
        <v>7.3</v>
      </c>
      <c r="C63">
        <v>-0.82</v>
      </c>
      <c r="D63">
        <v>761741.04</v>
      </c>
      <c r="E63">
        <v>814680000</v>
      </c>
      <c r="F63">
        <v>-3.69</v>
      </c>
      <c r="G63">
        <v>-9.77</v>
      </c>
      <c r="H63">
        <v>-20.82</v>
      </c>
      <c r="I63">
        <v>-1.08</v>
      </c>
      <c r="J63">
        <v>-15.61</v>
      </c>
      <c r="K63">
        <v>-17.05</v>
      </c>
      <c r="L63">
        <v>167.4</v>
      </c>
      <c r="M63">
        <v>652.58000000000004</v>
      </c>
    </row>
    <row r="64" spans="1:23" x14ac:dyDescent="0.3">
      <c r="A64" t="s">
        <v>74</v>
      </c>
      <c r="B64">
        <v>34.6</v>
      </c>
      <c r="C64">
        <v>-1.42</v>
      </c>
      <c r="D64">
        <v>15097841.68</v>
      </c>
      <c r="E64">
        <v>1288850000</v>
      </c>
      <c r="F64">
        <v>2.19</v>
      </c>
      <c r="G64">
        <v>-7.44</v>
      </c>
      <c r="H64">
        <v>-4.79</v>
      </c>
      <c r="I64">
        <v>-4.3099999999999996</v>
      </c>
      <c r="J64">
        <v>-0.75</v>
      </c>
      <c r="K64">
        <v>-36.86</v>
      </c>
      <c r="L64">
        <v>448.34</v>
      </c>
      <c r="M64">
        <v>2501.5</v>
      </c>
    </row>
    <row r="65" spans="1:13" x14ac:dyDescent="0.3">
      <c r="A65" t="s">
        <v>75</v>
      </c>
      <c r="B65">
        <v>2.84</v>
      </c>
      <c r="C65">
        <v>1.79</v>
      </c>
      <c r="D65">
        <v>26219902.100000001</v>
      </c>
      <c r="E65">
        <v>766800000</v>
      </c>
      <c r="F65">
        <v>-0.7</v>
      </c>
      <c r="G65">
        <v>-0.7</v>
      </c>
      <c r="H65">
        <v>-0.7</v>
      </c>
      <c r="I65">
        <v>-5.0199999999999996</v>
      </c>
      <c r="J65">
        <v>1.43</v>
      </c>
      <c r="K65">
        <v>-25.26</v>
      </c>
      <c r="L65">
        <v>86.84</v>
      </c>
      <c r="M65">
        <v>175.73</v>
      </c>
    </row>
    <row r="66" spans="1:13" x14ac:dyDescent="0.3">
      <c r="A66" t="s">
        <v>76</v>
      </c>
      <c r="B66">
        <v>63.9</v>
      </c>
      <c r="C66">
        <v>-1.24</v>
      </c>
      <c r="D66">
        <v>153028296.75</v>
      </c>
      <c r="E66">
        <v>25560000000</v>
      </c>
      <c r="F66">
        <v>2.16</v>
      </c>
      <c r="G66">
        <v>1.59</v>
      </c>
      <c r="H66">
        <v>10.17</v>
      </c>
      <c r="I66">
        <v>44.37</v>
      </c>
      <c r="J66">
        <v>18.329999999999998</v>
      </c>
      <c r="K66">
        <v>37.1</v>
      </c>
    </row>
    <row r="67" spans="1:13" x14ac:dyDescent="0.3">
      <c r="A67" t="s">
        <v>77</v>
      </c>
      <c r="B67">
        <v>11</v>
      </c>
      <c r="C67">
        <v>-2.14</v>
      </c>
      <c r="D67">
        <v>5291704.45</v>
      </c>
      <c r="E67">
        <v>495000000</v>
      </c>
      <c r="F67">
        <v>-3.34</v>
      </c>
      <c r="G67">
        <v>-5.17</v>
      </c>
      <c r="H67">
        <v>-3.25</v>
      </c>
      <c r="I67">
        <v>8.59</v>
      </c>
      <c r="J67">
        <v>-13.04</v>
      </c>
      <c r="K67">
        <v>5.87</v>
      </c>
      <c r="L67">
        <v>461.22</v>
      </c>
      <c r="M67">
        <v>591.82000000000005</v>
      </c>
    </row>
    <row r="68" spans="1:13" x14ac:dyDescent="0.3">
      <c r="A68" t="s">
        <v>78</v>
      </c>
      <c r="B68">
        <v>445</v>
      </c>
      <c r="C68">
        <v>0.56000000000000005</v>
      </c>
      <c r="D68">
        <v>12487862.75</v>
      </c>
      <c r="E68">
        <v>11125000000</v>
      </c>
      <c r="F68">
        <v>-4.4000000000000004</v>
      </c>
      <c r="G68">
        <v>-7.82</v>
      </c>
      <c r="H68">
        <v>-10.15</v>
      </c>
      <c r="I68">
        <v>-16.04</v>
      </c>
      <c r="J68">
        <v>-14.51</v>
      </c>
      <c r="K68">
        <v>-45.2</v>
      </c>
      <c r="L68">
        <v>689.01</v>
      </c>
      <c r="M68">
        <v>3982.57</v>
      </c>
    </row>
    <row r="69" spans="1:13" x14ac:dyDescent="0.3">
      <c r="A69" t="s">
        <v>79</v>
      </c>
      <c r="B69">
        <v>20.14</v>
      </c>
      <c r="C69">
        <v>-0.69</v>
      </c>
      <c r="D69">
        <v>23820276.16</v>
      </c>
      <c r="E69">
        <v>14198700000</v>
      </c>
      <c r="F69">
        <v>0.75</v>
      </c>
      <c r="G69">
        <v>-9.1199999999999992</v>
      </c>
      <c r="H69">
        <v>-17.53</v>
      </c>
      <c r="I69">
        <v>-20.9</v>
      </c>
      <c r="J69">
        <v>-14.52</v>
      </c>
      <c r="K69">
        <v>-30.5</v>
      </c>
      <c r="L69">
        <v>166.75</v>
      </c>
    </row>
    <row r="70" spans="1:13" x14ac:dyDescent="0.3">
      <c r="A70" t="s">
        <v>80</v>
      </c>
      <c r="B70">
        <v>26.64</v>
      </c>
      <c r="C70">
        <v>-0.6</v>
      </c>
      <c r="D70">
        <v>6767845.7800000003</v>
      </c>
      <c r="E70">
        <v>7392600000</v>
      </c>
      <c r="F70">
        <v>-0.3</v>
      </c>
      <c r="G70">
        <v>-7.5</v>
      </c>
      <c r="H70">
        <v>-10.3</v>
      </c>
      <c r="I70">
        <v>-0.82</v>
      </c>
      <c r="J70">
        <v>-13.56</v>
      </c>
      <c r="K70">
        <v>3.18</v>
      </c>
      <c r="L70">
        <v>298.20999999999998</v>
      </c>
      <c r="M70">
        <v>916.79</v>
      </c>
    </row>
    <row r="71" spans="1:13" x14ac:dyDescent="0.3">
      <c r="A71" t="s">
        <v>81</v>
      </c>
      <c r="B71">
        <v>8.94</v>
      </c>
      <c r="C71">
        <v>-1.76</v>
      </c>
      <c r="D71">
        <v>629441.88</v>
      </c>
      <c r="E71">
        <v>1341000000</v>
      </c>
      <c r="F71">
        <v>-4.3899999999999997</v>
      </c>
      <c r="G71">
        <v>-1.54</v>
      </c>
      <c r="H71">
        <v>5.18</v>
      </c>
      <c r="I71">
        <v>8.1</v>
      </c>
      <c r="J71">
        <v>3.35</v>
      </c>
      <c r="K71">
        <v>-0.22</v>
      </c>
      <c r="L71">
        <v>378.07</v>
      </c>
      <c r="M71">
        <v>3786.96</v>
      </c>
    </row>
    <row r="72" spans="1:13" x14ac:dyDescent="0.3">
      <c r="A72" t="s">
        <v>82</v>
      </c>
      <c r="B72">
        <v>145.1</v>
      </c>
      <c r="C72">
        <v>-2.2200000000000002</v>
      </c>
      <c r="D72">
        <v>47181990.399999999</v>
      </c>
      <c r="E72">
        <v>31893091291.699997</v>
      </c>
      <c r="F72">
        <v>0.14000000000000001</v>
      </c>
      <c r="G72">
        <v>-8.68</v>
      </c>
      <c r="H72">
        <v>-18.02</v>
      </c>
      <c r="I72">
        <v>-3.01</v>
      </c>
      <c r="J72">
        <v>-17.98</v>
      </c>
      <c r="K72">
        <v>-2.19</v>
      </c>
      <c r="L72">
        <v>536.67999999999995</v>
      </c>
      <c r="M72">
        <v>1398.97</v>
      </c>
    </row>
    <row r="73" spans="1:13" x14ac:dyDescent="0.3">
      <c r="A73" t="s">
        <v>83</v>
      </c>
      <c r="B73">
        <v>39.659999999999997</v>
      </c>
      <c r="C73">
        <v>-0.3</v>
      </c>
      <c r="D73">
        <v>20347326.960000001</v>
      </c>
      <c r="E73">
        <v>3965999999.9999995</v>
      </c>
      <c r="F73">
        <v>-2.94</v>
      </c>
      <c r="G73">
        <v>-16.43</v>
      </c>
      <c r="H73">
        <v>-16.72</v>
      </c>
      <c r="I73">
        <v>-25.52</v>
      </c>
      <c r="J73">
        <v>-15.15</v>
      </c>
      <c r="K73">
        <v>-71.709999999999994</v>
      </c>
    </row>
    <row r="74" spans="1:13" x14ac:dyDescent="0.3">
      <c r="A74" t="s">
        <v>84</v>
      </c>
      <c r="B74">
        <v>19.850000000000001</v>
      </c>
      <c r="C74">
        <v>-0.95</v>
      </c>
      <c r="D74">
        <v>7966024.9400000004</v>
      </c>
      <c r="E74">
        <v>2679750000</v>
      </c>
      <c r="F74">
        <v>-2.79</v>
      </c>
      <c r="G74">
        <v>-10.75</v>
      </c>
      <c r="H74">
        <v>-10.83</v>
      </c>
      <c r="I74">
        <v>-14.44</v>
      </c>
      <c r="J74">
        <v>-9.44</v>
      </c>
      <c r="K74">
        <v>-32.44</v>
      </c>
      <c r="L74">
        <v>53.52</v>
      </c>
      <c r="M74">
        <v>283.95</v>
      </c>
    </row>
    <row r="75" spans="1:13" x14ac:dyDescent="0.3">
      <c r="A75" t="s">
        <v>85</v>
      </c>
      <c r="B75">
        <v>46.98</v>
      </c>
      <c r="C75">
        <v>2.58</v>
      </c>
      <c r="D75">
        <v>58289476.159999996</v>
      </c>
      <c r="E75">
        <v>2583900000</v>
      </c>
      <c r="F75">
        <v>-0.72</v>
      </c>
      <c r="G75">
        <v>2.13</v>
      </c>
      <c r="H75">
        <v>8</v>
      </c>
      <c r="I75">
        <v>-17.22</v>
      </c>
      <c r="J75">
        <v>-4.74</v>
      </c>
    </row>
    <row r="76" spans="1:13" x14ac:dyDescent="0.3">
      <c r="A76" t="s">
        <v>86</v>
      </c>
      <c r="B76">
        <v>31.46</v>
      </c>
      <c r="C76">
        <v>-2.84</v>
      </c>
      <c r="D76">
        <v>6666476.2400000002</v>
      </c>
      <c r="E76">
        <v>2265120000</v>
      </c>
      <c r="F76">
        <v>-1.69</v>
      </c>
      <c r="G76">
        <v>-8.2799999999999994</v>
      </c>
      <c r="H76">
        <v>-19.579999999999998</v>
      </c>
      <c r="I76">
        <v>-12.12</v>
      </c>
      <c r="J76">
        <v>-14.56</v>
      </c>
      <c r="K76">
        <v>-26.39</v>
      </c>
      <c r="L76">
        <v>286.49</v>
      </c>
      <c r="M76">
        <v>992.36</v>
      </c>
    </row>
    <row r="77" spans="1:13" x14ac:dyDescent="0.3">
      <c r="A77" t="s">
        <v>87</v>
      </c>
      <c r="B77">
        <v>56.4</v>
      </c>
      <c r="C77">
        <v>4.93</v>
      </c>
      <c r="D77">
        <v>2549752.9500000002</v>
      </c>
      <c r="E77">
        <v>782746610.39999998</v>
      </c>
      <c r="F77">
        <v>0.36</v>
      </c>
      <c r="G77">
        <v>-0.44</v>
      </c>
      <c r="H77">
        <v>6.31</v>
      </c>
      <c r="I77">
        <v>52.43</v>
      </c>
      <c r="J77">
        <v>0.71</v>
      </c>
      <c r="K77">
        <v>124.17</v>
      </c>
      <c r="L77">
        <v>623.08000000000004</v>
      </c>
      <c r="M77">
        <v>2250</v>
      </c>
    </row>
    <row r="78" spans="1:13" x14ac:dyDescent="0.3">
      <c r="A78" t="s">
        <v>658</v>
      </c>
      <c r="B78">
        <v>19.309999999999999</v>
      </c>
      <c r="C78">
        <v>9.9700000000000006</v>
      </c>
      <c r="D78">
        <v>538793990.60000002</v>
      </c>
      <c r="E78">
        <v>21472720000</v>
      </c>
      <c r="F78">
        <v>12.27</v>
      </c>
    </row>
    <row r="79" spans="1:13" x14ac:dyDescent="0.3">
      <c r="A79" t="s">
        <v>88</v>
      </c>
      <c r="B79">
        <v>271.5</v>
      </c>
      <c r="C79">
        <v>-1.36</v>
      </c>
      <c r="D79">
        <v>99949713.25</v>
      </c>
      <c r="E79">
        <v>27156401698.5</v>
      </c>
      <c r="F79">
        <v>-3.38</v>
      </c>
      <c r="G79">
        <v>-9.8000000000000007</v>
      </c>
      <c r="H79">
        <v>-19.260000000000002</v>
      </c>
      <c r="I79">
        <v>-23.52</v>
      </c>
      <c r="J79">
        <v>-9.8000000000000007</v>
      </c>
      <c r="K79">
        <v>64.55</v>
      </c>
      <c r="L79">
        <v>213.15</v>
      </c>
      <c r="M79">
        <v>1378.76</v>
      </c>
    </row>
    <row r="80" spans="1:13" x14ac:dyDescent="0.3">
      <c r="A80" t="s">
        <v>89</v>
      </c>
      <c r="B80">
        <v>16.57</v>
      </c>
      <c r="C80">
        <v>-0.78</v>
      </c>
      <c r="D80">
        <v>10147522.369999999</v>
      </c>
      <c r="E80">
        <v>4349625000</v>
      </c>
      <c r="F80">
        <v>-0.06</v>
      </c>
      <c r="G80">
        <v>-0.18</v>
      </c>
      <c r="H80">
        <v>-2.1800000000000002</v>
      </c>
      <c r="I80">
        <v>-9.4499999999999993</v>
      </c>
      <c r="J80">
        <v>-0.84</v>
      </c>
      <c r="K80">
        <v>-19.25</v>
      </c>
    </row>
    <row r="81" spans="1:23" x14ac:dyDescent="0.3">
      <c r="A81" t="s">
        <v>90</v>
      </c>
      <c r="B81">
        <v>11.39</v>
      </c>
      <c r="C81">
        <v>4.59</v>
      </c>
      <c r="D81">
        <v>2404719.59</v>
      </c>
      <c r="E81">
        <v>7517400000</v>
      </c>
      <c r="F81">
        <v>10.48</v>
      </c>
      <c r="G81">
        <v>2.8</v>
      </c>
      <c r="H81">
        <v>-4.6900000000000004</v>
      </c>
      <c r="I81">
        <v>2.15</v>
      </c>
      <c r="J81">
        <v>-6.26</v>
      </c>
      <c r="K81">
        <v>-11.36</v>
      </c>
      <c r="L81">
        <v>252.63</v>
      </c>
      <c r="M81">
        <v>1439.19</v>
      </c>
    </row>
    <row r="82" spans="1:23" x14ac:dyDescent="0.3">
      <c r="A82" t="s">
        <v>91</v>
      </c>
      <c r="B82">
        <v>28.92</v>
      </c>
      <c r="C82">
        <v>-0.34</v>
      </c>
      <c r="D82">
        <v>10463044.48</v>
      </c>
      <c r="E82">
        <v>20244000000</v>
      </c>
      <c r="F82">
        <v>2.2599999999999998</v>
      </c>
      <c r="G82">
        <v>-3.92</v>
      </c>
      <c r="H82">
        <v>-1.7</v>
      </c>
      <c r="I82">
        <v>14.31</v>
      </c>
      <c r="J82">
        <v>0.35</v>
      </c>
      <c r="K82">
        <v>44.38</v>
      </c>
      <c r="L82">
        <v>241.84</v>
      </c>
      <c r="O82">
        <f>F82*F$1/$E$1</f>
        <v>0.63661971830985908</v>
      </c>
      <c r="P82">
        <f t="shared" ref="P82" si="22">G82*G$1/$E$1</f>
        <v>-0.82816901408450705</v>
      </c>
      <c r="Q82">
        <f t="shared" ref="Q82" si="23">H82*H$1/$E$1</f>
        <v>-0.23943661971830985</v>
      </c>
      <c r="R82">
        <f t="shared" ref="R82" si="24">I82*I$1/$E$1</f>
        <v>1.0077464788732393</v>
      </c>
      <c r="S82">
        <f t="shared" ref="S82" si="25">J82*J$1/$E$1</f>
        <v>8.6267605633802813E-2</v>
      </c>
      <c r="T82">
        <f t="shared" ref="T82" si="26">K82*K$1/$E$1</f>
        <v>1.5626760563380282</v>
      </c>
      <c r="U82">
        <f t="shared" ref="U82" si="27">L82*L$1/$E$1</f>
        <v>1.7030985915492958</v>
      </c>
      <c r="V82">
        <f t="shared" ref="V82" si="28">M82*M$1/$E$1</f>
        <v>0</v>
      </c>
      <c r="W82" s="1">
        <f>SUM(O82:V82)</f>
        <v>3.928802816901408</v>
      </c>
    </row>
    <row r="83" spans="1:23" x14ac:dyDescent="0.3">
      <c r="A83" t="s">
        <v>92</v>
      </c>
      <c r="B83">
        <v>16.8</v>
      </c>
      <c r="C83">
        <v>-0.53</v>
      </c>
      <c r="D83">
        <v>19023103.039999999</v>
      </c>
      <c r="E83">
        <v>791700000</v>
      </c>
      <c r="F83">
        <v>-3.11</v>
      </c>
      <c r="G83">
        <v>-8.4499999999999993</v>
      </c>
      <c r="H83">
        <v>-5.03</v>
      </c>
      <c r="I83">
        <v>-12.5</v>
      </c>
      <c r="J83">
        <v>-3.67</v>
      </c>
      <c r="K83">
        <v>-55.79</v>
      </c>
      <c r="L83">
        <v>627.27</v>
      </c>
    </row>
    <row r="84" spans="1:23" x14ac:dyDescent="0.3">
      <c r="A84" t="s">
        <v>93</v>
      </c>
      <c r="B84">
        <v>10.75</v>
      </c>
      <c r="C84">
        <v>8.0399999999999991</v>
      </c>
      <c r="D84">
        <v>387367840.42000002</v>
      </c>
      <c r="E84">
        <v>8761250000</v>
      </c>
      <c r="F84">
        <v>12.45</v>
      </c>
      <c r="G84">
        <v>34.04</v>
      </c>
      <c r="H84">
        <v>170.1</v>
      </c>
      <c r="I84">
        <v>220.9</v>
      </c>
      <c r="J84">
        <v>51.62</v>
      </c>
      <c r="K84">
        <v>113.29</v>
      </c>
    </row>
    <row r="85" spans="1:23" x14ac:dyDescent="0.3">
      <c r="A85" t="s">
        <v>94</v>
      </c>
      <c r="B85">
        <v>16.829999999999998</v>
      </c>
      <c r="C85">
        <v>2</v>
      </c>
      <c r="D85">
        <v>215095911.41999999</v>
      </c>
      <c r="E85">
        <v>11498255999.999998</v>
      </c>
      <c r="F85">
        <v>-3.61</v>
      </c>
      <c r="G85">
        <v>-1.52</v>
      </c>
      <c r="H85">
        <v>5.85</v>
      </c>
      <c r="I85">
        <v>13.64</v>
      </c>
      <c r="J85">
        <v>12.73</v>
      </c>
      <c r="K85">
        <v>-15.21</v>
      </c>
      <c r="L85">
        <v>297.87</v>
      </c>
      <c r="M85">
        <v>884.21</v>
      </c>
    </row>
    <row r="86" spans="1:23" x14ac:dyDescent="0.3">
      <c r="A86" t="s">
        <v>95</v>
      </c>
      <c r="B86">
        <v>23.36</v>
      </c>
      <c r="C86">
        <v>0</v>
      </c>
      <c r="D86">
        <v>21006876.100000001</v>
      </c>
      <c r="E86">
        <v>2328700000</v>
      </c>
      <c r="F86">
        <v>-2.67</v>
      </c>
      <c r="G86">
        <v>-9.25</v>
      </c>
      <c r="H86">
        <v>-11.18</v>
      </c>
      <c r="I86">
        <v>-12.77</v>
      </c>
      <c r="J86">
        <v>-14.43</v>
      </c>
      <c r="K86">
        <v>2.82</v>
      </c>
      <c r="L86">
        <v>210.64</v>
      </c>
      <c r="M86">
        <v>623.22</v>
      </c>
      <c r="O86">
        <f>F86*F$1/$E$1</f>
        <v>-0.75211267605633803</v>
      </c>
      <c r="P86">
        <f t="shared" ref="P86" si="29">G86*G$1/$E$1</f>
        <v>-1.954225352112676</v>
      </c>
      <c r="Q86">
        <f t="shared" ref="Q86" si="30">H86*H$1/$E$1</f>
        <v>-1.5746478873239436</v>
      </c>
      <c r="R86">
        <f t="shared" ref="R86" si="31">I86*I$1/$E$1</f>
        <v>-0.89929577464788724</v>
      </c>
      <c r="S86">
        <f t="shared" ref="S86" si="32">J86*J$1/$E$1</f>
        <v>-3.5566901408450704</v>
      </c>
      <c r="T86">
        <f t="shared" ref="T86" si="33">K86*K$1/$E$1</f>
        <v>9.9295774647887317E-2</v>
      </c>
      <c r="U86">
        <f t="shared" ref="U86" si="34">L86*L$1/$E$1</f>
        <v>1.4833802816901407</v>
      </c>
      <c r="V86">
        <f t="shared" ref="V86" si="35">M86*M$1/$E$1</f>
        <v>4.3888732394366201</v>
      </c>
      <c r="W86" s="1">
        <f>SUM(O86:V86)</f>
        <v>-2.7654225352112674</v>
      </c>
    </row>
    <row r="87" spans="1:23" x14ac:dyDescent="0.3">
      <c r="A87" t="s">
        <v>96</v>
      </c>
      <c r="B87">
        <v>610</v>
      </c>
      <c r="C87">
        <v>0.08</v>
      </c>
      <c r="D87">
        <v>17015607.5</v>
      </c>
      <c r="E87">
        <v>18688376630</v>
      </c>
      <c r="F87">
        <v>-3.17</v>
      </c>
      <c r="G87">
        <v>-4.6900000000000004</v>
      </c>
      <c r="H87">
        <v>-14.69</v>
      </c>
      <c r="I87">
        <v>-16.149999999999999</v>
      </c>
      <c r="J87">
        <v>-10.1</v>
      </c>
      <c r="K87">
        <v>-51</v>
      </c>
      <c r="L87">
        <v>651.79</v>
      </c>
      <c r="M87">
        <v>3029.81</v>
      </c>
    </row>
    <row r="88" spans="1:23" x14ac:dyDescent="0.3">
      <c r="A88" t="s">
        <v>97</v>
      </c>
      <c r="B88">
        <v>29.46</v>
      </c>
      <c r="C88">
        <v>-3.41</v>
      </c>
      <c r="D88">
        <v>41024934.659999996</v>
      </c>
      <c r="E88">
        <v>10635060000</v>
      </c>
      <c r="F88">
        <v>-2.39</v>
      </c>
      <c r="G88">
        <v>-4.2300000000000004</v>
      </c>
      <c r="H88">
        <v>-10.46</v>
      </c>
      <c r="I88">
        <v>-4.0999999999999996</v>
      </c>
      <c r="J88">
        <v>-9.6300000000000008</v>
      </c>
      <c r="K88">
        <v>-37.53</v>
      </c>
    </row>
    <row r="89" spans="1:23" x14ac:dyDescent="0.3">
      <c r="A89" t="s">
        <v>98</v>
      </c>
      <c r="B89">
        <v>32.020000000000003</v>
      </c>
      <c r="C89">
        <v>-2.97</v>
      </c>
      <c r="D89">
        <v>44773059.460000001</v>
      </c>
      <c r="E89">
        <v>3426140000.0000005</v>
      </c>
      <c r="F89">
        <v>-5.82</v>
      </c>
      <c r="G89">
        <v>10.11</v>
      </c>
      <c r="H89">
        <v>11.49</v>
      </c>
      <c r="I89">
        <v>11.72</v>
      </c>
      <c r="J89">
        <v>3.96</v>
      </c>
      <c r="K89">
        <v>1.52</v>
      </c>
    </row>
    <row r="90" spans="1:23" x14ac:dyDescent="0.3">
      <c r="A90" t="s">
        <v>99</v>
      </c>
      <c r="B90">
        <v>12.1</v>
      </c>
      <c r="C90">
        <v>10</v>
      </c>
      <c r="D90">
        <v>442500375.61000001</v>
      </c>
      <c r="E90">
        <v>6981700000</v>
      </c>
      <c r="F90">
        <v>18.16</v>
      </c>
    </row>
    <row r="91" spans="1:23" x14ac:dyDescent="0.3">
      <c r="A91" t="s">
        <v>100</v>
      </c>
      <c r="B91">
        <v>506</v>
      </c>
      <c r="C91">
        <v>-2.13</v>
      </c>
      <c r="D91">
        <v>3597269702.5</v>
      </c>
      <c r="E91">
        <v>307243200000</v>
      </c>
      <c r="F91">
        <v>-1.17</v>
      </c>
      <c r="G91">
        <v>-8</v>
      </c>
      <c r="H91">
        <v>7.7</v>
      </c>
      <c r="I91">
        <v>-4.78</v>
      </c>
      <c r="J91">
        <v>-4.26</v>
      </c>
      <c r="K91">
        <v>35.42</v>
      </c>
      <c r="L91">
        <v>639.66</v>
      </c>
      <c r="M91">
        <v>1146.6099999999999</v>
      </c>
    </row>
    <row r="92" spans="1:23" x14ac:dyDescent="0.3">
      <c r="A92" t="s">
        <v>101</v>
      </c>
      <c r="B92">
        <v>111</v>
      </c>
      <c r="C92">
        <v>0.27</v>
      </c>
      <c r="D92">
        <v>98109715.5</v>
      </c>
      <c r="E92">
        <v>12432000000</v>
      </c>
      <c r="F92">
        <v>-1.68</v>
      </c>
      <c r="G92">
        <v>10.34</v>
      </c>
      <c r="H92">
        <v>14.73</v>
      </c>
      <c r="J92">
        <v>20</v>
      </c>
    </row>
    <row r="93" spans="1:23" x14ac:dyDescent="0.3">
      <c r="A93" t="s">
        <v>102</v>
      </c>
      <c r="B93">
        <v>236</v>
      </c>
      <c r="C93">
        <v>-2.72</v>
      </c>
      <c r="D93">
        <v>59589475.799999997</v>
      </c>
      <c r="E93">
        <v>11092000000</v>
      </c>
      <c r="F93">
        <v>-4.45</v>
      </c>
      <c r="G93">
        <v>-15.34</v>
      </c>
      <c r="H93">
        <v>-23.62</v>
      </c>
      <c r="I93">
        <v>-38.58</v>
      </c>
      <c r="J93">
        <v>-25.26</v>
      </c>
      <c r="K93">
        <v>-60.34</v>
      </c>
    </row>
    <row r="94" spans="1:23" x14ac:dyDescent="0.3">
      <c r="A94" t="s">
        <v>103</v>
      </c>
      <c r="B94">
        <v>15.47</v>
      </c>
      <c r="C94">
        <v>0.98</v>
      </c>
      <c r="D94">
        <v>17476196.890000001</v>
      </c>
      <c r="E94">
        <v>7735000000</v>
      </c>
      <c r="F94">
        <v>-1.02</v>
      </c>
      <c r="G94">
        <v>5.6</v>
      </c>
      <c r="H94">
        <v>-6.92</v>
      </c>
      <c r="I94">
        <v>-22.26</v>
      </c>
      <c r="J94">
        <v>-9.2100000000000009</v>
      </c>
      <c r="K94">
        <v>-24.98</v>
      </c>
      <c r="L94">
        <v>222.29</v>
      </c>
    </row>
    <row r="95" spans="1:23" x14ac:dyDescent="0.3">
      <c r="A95" t="s">
        <v>104</v>
      </c>
      <c r="B95">
        <v>26.6</v>
      </c>
      <c r="C95">
        <v>0.15</v>
      </c>
      <c r="D95">
        <v>5528126.0800000001</v>
      </c>
      <c r="E95">
        <v>2140663568.4000001</v>
      </c>
      <c r="F95">
        <v>0.38</v>
      </c>
      <c r="G95">
        <v>-3.55</v>
      </c>
      <c r="H95">
        <v>-6.86</v>
      </c>
      <c r="I95">
        <v>-22.54</v>
      </c>
      <c r="J95">
        <v>-8.2799999999999994</v>
      </c>
      <c r="K95">
        <v>-43.38</v>
      </c>
      <c r="L95">
        <v>125.61</v>
      </c>
      <c r="M95">
        <v>212.21</v>
      </c>
    </row>
    <row r="96" spans="1:23" x14ac:dyDescent="0.3">
      <c r="A96" t="s">
        <v>105</v>
      </c>
      <c r="B96">
        <v>4.3600000000000003</v>
      </c>
      <c r="C96">
        <v>0</v>
      </c>
      <c r="D96">
        <v>40283942.240000002</v>
      </c>
      <c r="E96">
        <v>5232000000</v>
      </c>
      <c r="F96">
        <v>-2.02</v>
      </c>
      <c r="G96">
        <v>-15.34</v>
      </c>
      <c r="H96">
        <v>-4.3899999999999997</v>
      </c>
      <c r="I96">
        <v>-41.32</v>
      </c>
      <c r="J96">
        <v>-7.23</v>
      </c>
      <c r="K96">
        <v>-71.98</v>
      </c>
      <c r="L96">
        <v>473.68</v>
      </c>
      <c r="M96">
        <v>678.57</v>
      </c>
    </row>
    <row r="97" spans="1:23" x14ac:dyDescent="0.3">
      <c r="A97" t="s">
        <v>106</v>
      </c>
      <c r="B97">
        <v>15.29</v>
      </c>
      <c r="C97">
        <v>0.13</v>
      </c>
      <c r="D97">
        <v>8208016.1500000004</v>
      </c>
      <c r="E97">
        <v>1529000000</v>
      </c>
      <c r="F97">
        <v>-0.59</v>
      </c>
      <c r="G97">
        <v>-5.79</v>
      </c>
      <c r="H97">
        <v>-12.08</v>
      </c>
      <c r="I97">
        <v>-32.4</v>
      </c>
      <c r="J97">
        <v>0.13</v>
      </c>
      <c r="K97">
        <v>-24.01</v>
      </c>
      <c r="L97">
        <v>40.92</v>
      </c>
      <c r="M97">
        <v>385.4</v>
      </c>
    </row>
    <row r="98" spans="1:23" x14ac:dyDescent="0.3">
      <c r="A98" t="s">
        <v>107</v>
      </c>
      <c r="B98">
        <v>35.340000000000003</v>
      </c>
      <c r="C98">
        <v>-1.83</v>
      </c>
      <c r="D98">
        <v>6773720.7800000003</v>
      </c>
      <c r="E98">
        <v>1275243900.0000002</v>
      </c>
      <c r="F98">
        <v>12.55</v>
      </c>
      <c r="G98">
        <v>13.2</v>
      </c>
      <c r="H98">
        <v>-3.92</v>
      </c>
      <c r="I98">
        <v>60.78</v>
      </c>
      <c r="J98">
        <v>2.79</v>
      </c>
      <c r="K98">
        <v>29.45</v>
      </c>
      <c r="L98">
        <v>445.37</v>
      </c>
    </row>
    <row r="99" spans="1:23" x14ac:dyDescent="0.3">
      <c r="A99" t="s">
        <v>108</v>
      </c>
      <c r="B99">
        <v>37.979999999999997</v>
      </c>
      <c r="C99">
        <v>-0.05</v>
      </c>
      <c r="D99">
        <v>75259736.140000001</v>
      </c>
      <c r="E99">
        <v>5697000000</v>
      </c>
      <c r="F99">
        <v>8.6999999999999993</v>
      </c>
      <c r="G99">
        <v>19.13</v>
      </c>
      <c r="H99">
        <v>33.26</v>
      </c>
      <c r="I99">
        <v>52.78</v>
      </c>
      <c r="J99">
        <v>31.24</v>
      </c>
      <c r="K99">
        <v>113.13</v>
      </c>
    </row>
    <row r="100" spans="1:23" x14ac:dyDescent="0.3">
      <c r="A100" t="s">
        <v>109</v>
      </c>
      <c r="B100">
        <v>5.44</v>
      </c>
      <c r="C100">
        <v>-1.63</v>
      </c>
      <c r="D100">
        <v>23391865.039999999</v>
      </c>
      <c r="E100">
        <v>1315800000</v>
      </c>
      <c r="F100">
        <v>-4.0599999999999996</v>
      </c>
      <c r="G100">
        <v>-9.93</v>
      </c>
      <c r="H100">
        <v>-16.05</v>
      </c>
      <c r="I100">
        <v>-18.32</v>
      </c>
      <c r="J100">
        <v>-17.7</v>
      </c>
      <c r="K100">
        <v>-21.27</v>
      </c>
      <c r="L100">
        <v>257.89</v>
      </c>
      <c r="M100">
        <v>555.41999999999996</v>
      </c>
    </row>
    <row r="101" spans="1:23" x14ac:dyDescent="0.3">
      <c r="A101" t="s">
        <v>110</v>
      </c>
      <c r="B101">
        <v>19.989999999999998</v>
      </c>
      <c r="C101">
        <v>-1.82</v>
      </c>
      <c r="D101">
        <v>43105941.200000003</v>
      </c>
      <c r="E101">
        <v>7596199999.999999</v>
      </c>
      <c r="F101">
        <v>-5.89</v>
      </c>
      <c r="G101">
        <v>-14.21</v>
      </c>
      <c r="H101">
        <v>-5.97</v>
      </c>
      <c r="I101">
        <v>-2.77</v>
      </c>
      <c r="J101">
        <v>-13.76</v>
      </c>
      <c r="K101">
        <v>-43.24</v>
      </c>
      <c r="L101">
        <v>438.81</v>
      </c>
    </row>
    <row r="102" spans="1:23" x14ac:dyDescent="0.3">
      <c r="A102" t="s">
        <v>111</v>
      </c>
      <c r="B102">
        <v>81.5</v>
      </c>
      <c r="C102">
        <v>-0.55000000000000004</v>
      </c>
      <c r="D102">
        <v>43158102.299999997</v>
      </c>
      <c r="E102">
        <v>13749050000</v>
      </c>
      <c r="F102">
        <v>-5.78</v>
      </c>
      <c r="G102">
        <v>6.54</v>
      </c>
      <c r="H102">
        <v>55.98</v>
      </c>
      <c r="I102">
        <v>106.64</v>
      </c>
      <c r="J102">
        <v>19.149999999999999</v>
      </c>
      <c r="K102">
        <v>130.36000000000001</v>
      </c>
    </row>
    <row r="103" spans="1:23" x14ac:dyDescent="0.3">
      <c r="A103" t="s">
        <v>112</v>
      </c>
      <c r="B103">
        <v>20.88</v>
      </c>
      <c r="C103">
        <v>-0.19</v>
      </c>
      <c r="D103">
        <v>21893061.07</v>
      </c>
      <c r="E103">
        <v>5011200000</v>
      </c>
      <c r="F103">
        <v>-0.76</v>
      </c>
      <c r="G103">
        <v>-2.79</v>
      </c>
      <c r="H103">
        <v>-6.91</v>
      </c>
      <c r="I103">
        <v>-23.91</v>
      </c>
      <c r="J103">
        <v>-7.2</v>
      </c>
      <c r="K103">
        <v>-58.69</v>
      </c>
    </row>
    <row r="104" spans="1:23" x14ac:dyDescent="0.3">
      <c r="A104" t="s">
        <v>113</v>
      </c>
      <c r="B104">
        <v>6.21</v>
      </c>
      <c r="C104">
        <v>0.16</v>
      </c>
      <c r="D104">
        <v>10564489.77</v>
      </c>
      <c r="E104">
        <v>8073000000</v>
      </c>
      <c r="F104">
        <v>1.31</v>
      </c>
      <c r="G104">
        <v>-4.3099999999999996</v>
      </c>
      <c r="H104">
        <v>-24.82</v>
      </c>
      <c r="I104">
        <v>-25.45</v>
      </c>
      <c r="J104">
        <v>-13.63</v>
      </c>
      <c r="K104">
        <v>8.9499999999999993</v>
      </c>
      <c r="L104">
        <v>232.09</v>
      </c>
      <c r="M104">
        <v>1311.36</v>
      </c>
    </row>
    <row r="105" spans="1:23" x14ac:dyDescent="0.3">
      <c r="A105" t="s">
        <v>114</v>
      </c>
      <c r="B105">
        <v>79.8</v>
      </c>
      <c r="C105">
        <v>0.38</v>
      </c>
      <c r="D105">
        <v>17123863.649999999</v>
      </c>
      <c r="E105">
        <v>24348326625</v>
      </c>
      <c r="F105">
        <v>-1.18</v>
      </c>
      <c r="G105">
        <v>-5.34</v>
      </c>
      <c r="H105">
        <v>-19.72</v>
      </c>
      <c r="I105">
        <v>-11.14</v>
      </c>
      <c r="J105">
        <v>-12.07</v>
      </c>
      <c r="K105">
        <v>-35.119999999999997</v>
      </c>
      <c r="L105">
        <v>254.82</v>
      </c>
      <c r="M105">
        <v>1003.73</v>
      </c>
    </row>
    <row r="106" spans="1:23" x14ac:dyDescent="0.3">
      <c r="A106" t="s">
        <v>115</v>
      </c>
      <c r="B106">
        <v>12.34</v>
      </c>
      <c r="C106">
        <v>-1.99</v>
      </c>
      <c r="D106">
        <v>3929934.89</v>
      </c>
      <c r="E106">
        <v>1727600000</v>
      </c>
      <c r="F106">
        <v>-1.28</v>
      </c>
      <c r="G106">
        <v>-0.32</v>
      </c>
      <c r="H106">
        <v>50.3</v>
      </c>
      <c r="I106">
        <v>34.28</v>
      </c>
      <c r="J106">
        <v>2.41</v>
      </c>
      <c r="K106">
        <v>211.62</v>
      </c>
      <c r="L106">
        <v>1185.42</v>
      </c>
      <c r="M106">
        <v>3639.39</v>
      </c>
    </row>
    <row r="107" spans="1:23" x14ac:dyDescent="0.3">
      <c r="A107" t="s">
        <v>116</v>
      </c>
      <c r="B107">
        <v>22.96</v>
      </c>
      <c r="C107">
        <v>-1.37</v>
      </c>
      <c r="D107">
        <v>8279045.54</v>
      </c>
      <c r="E107">
        <v>716352000</v>
      </c>
      <c r="F107">
        <v>-4.33</v>
      </c>
      <c r="G107">
        <v>-6.36</v>
      </c>
      <c r="H107">
        <v>-0.61</v>
      </c>
      <c r="I107">
        <v>-21.75</v>
      </c>
      <c r="J107">
        <v>-4.7300000000000004</v>
      </c>
      <c r="K107">
        <v>-52.4</v>
      </c>
      <c r="L107">
        <v>487.21</v>
      </c>
      <c r="M107">
        <v>1797.52</v>
      </c>
    </row>
    <row r="108" spans="1:23" x14ac:dyDescent="0.3">
      <c r="A108" t="s">
        <v>117</v>
      </c>
      <c r="B108">
        <v>59.35</v>
      </c>
      <c r="C108">
        <v>-0.75</v>
      </c>
      <c r="D108">
        <v>84324810.400000006</v>
      </c>
      <c r="E108">
        <v>3323600000</v>
      </c>
      <c r="F108">
        <v>-2.2200000000000002</v>
      </c>
      <c r="G108">
        <v>8.6999999999999993</v>
      </c>
      <c r="H108">
        <v>16.95</v>
      </c>
      <c r="I108">
        <v>26.76</v>
      </c>
      <c r="J108">
        <v>22.27</v>
      </c>
      <c r="K108">
        <v>-72.930000000000007</v>
      </c>
      <c r="O108">
        <f>F108*F$1/$E$1</f>
        <v>-0.62535211267605639</v>
      </c>
      <c r="P108">
        <f t="shared" ref="P108" si="36">G108*G$1/$E$1</f>
        <v>1.8380281690140845</v>
      </c>
      <c r="Q108">
        <f t="shared" ref="Q108" si="37">H108*H$1/$E$1</f>
        <v>2.387323943661972</v>
      </c>
      <c r="R108">
        <f t="shared" ref="R108" si="38">I108*I$1/$E$1</f>
        <v>1.8845070422535213</v>
      </c>
      <c r="S108">
        <f t="shared" ref="S108" si="39">J108*J$1/$E$1</f>
        <v>5.4890845070422527</v>
      </c>
      <c r="T108">
        <f t="shared" ref="T108" si="40">K108*K$1/$E$1</f>
        <v>-2.5679577464788736</v>
      </c>
      <c r="U108">
        <f t="shared" ref="U108" si="41">L108*L$1/$E$1</f>
        <v>0</v>
      </c>
      <c r="V108">
        <f t="shared" ref="V108" si="42">M108*M$1/$E$1</f>
        <v>0</v>
      </c>
      <c r="W108" s="1">
        <f>SUM(O108:V108)</f>
        <v>8.4056338028169009</v>
      </c>
    </row>
    <row r="109" spans="1:23" x14ac:dyDescent="0.3">
      <c r="A109" t="s">
        <v>118</v>
      </c>
      <c r="B109">
        <v>12.67</v>
      </c>
      <c r="C109">
        <v>0</v>
      </c>
      <c r="D109">
        <v>9681688.6099999994</v>
      </c>
      <c r="E109">
        <v>2838080000</v>
      </c>
      <c r="F109">
        <v>-2.2400000000000002</v>
      </c>
      <c r="G109">
        <v>-15.36</v>
      </c>
      <c r="H109">
        <v>-15.65</v>
      </c>
      <c r="I109">
        <v>-18.52</v>
      </c>
      <c r="J109">
        <v>-15.19</v>
      </c>
      <c r="K109">
        <v>-58.59</v>
      </c>
      <c r="L109">
        <v>191.94</v>
      </c>
    </row>
    <row r="110" spans="1:23" x14ac:dyDescent="0.3">
      <c r="A110" t="s">
        <v>119</v>
      </c>
      <c r="B110">
        <v>4.55</v>
      </c>
      <c r="C110">
        <v>-2.15</v>
      </c>
      <c r="D110">
        <v>1110503</v>
      </c>
      <c r="E110">
        <v>203052945.54999998</v>
      </c>
      <c r="F110">
        <v>-4.41</v>
      </c>
      <c r="G110">
        <v>-10.43</v>
      </c>
      <c r="H110">
        <v>-33.96</v>
      </c>
      <c r="I110">
        <v>-24.79</v>
      </c>
      <c r="J110">
        <v>-22.22</v>
      </c>
      <c r="K110">
        <v>-5.41</v>
      </c>
      <c r="L110">
        <v>234.56</v>
      </c>
      <c r="M110">
        <v>514.86</v>
      </c>
    </row>
    <row r="111" spans="1:23" x14ac:dyDescent="0.3">
      <c r="A111" t="s">
        <v>120</v>
      </c>
      <c r="B111">
        <v>356.75</v>
      </c>
      <c r="C111">
        <v>1.35</v>
      </c>
      <c r="D111">
        <v>248325696</v>
      </c>
      <c r="E111">
        <v>50577011878.5</v>
      </c>
      <c r="F111">
        <v>-7.28</v>
      </c>
      <c r="G111">
        <v>-9.51</v>
      </c>
      <c r="H111">
        <v>-21.2</v>
      </c>
      <c r="I111">
        <v>-5.75</v>
      </c>
      <c r="J111">
        <v>-17.23</v>
      </c>
      <c r="K111">
        <v>-52.15</v>
      </c>
      <c r="L111">
        <v>1386.46</v>
      </c>
      <c r="M111">
        <v>3507.18</v>
      </c>
    </row>
    <row r="112" spans="1:23" x14ac:dyDescent="0.3">
      <c r="A112" t="s">
        <v>121</v>
      </c>
      <c r="B112">
        <v>1767</v>
      </c>
      <c r="C112">
        <v>2.4300000000000002</v>
      </c>
      <c r="D112">
        <v>89089635</v>
      </c>
      <c r="E112">
        <v>49696875000</v>
      </c>
      <c r="F112">
        <v>-1.83</v>
      </c>
      <c r="G112">
        <v>-1.94</v>
      </c>
      <c r="H112">
        <v>-20.58</v>
      </c>
      <c r="I112">
        <v>-3.18</v>
      </c>
      <c r="J112">
        <v>-13.34</v>
      </c>
      <c r="K112">
        <v>-60.19</v>
      </c>
      <c r="L112">
        <v>433.74</v>
      </c>
      <c r="M112">
        <v>3019.7</v>
      </c>
    </row>
    <row r="113" spans="1:23" x14ac:dyDescent="0.3">
      <c r="A113" t="s">
        <v>122</v>
      </c>
      <c r="B113">
        <v>12.93</v>
      </c>
      <c r="C113">
        <v>1.65</v>
      </c>
      <c r="D113">
        <v>153310848.44</v>
      </c>
      <c r="E113">
        <v>20688000000</v>
      </c>
      <c r="F113">
        <v>-0.92</v>
      </c>
      <c r="G113">
        <v>-2.56</v>
      </c>
      <c r="H113">
        <v>-17.8</v>
      </c>
      <c r="I113">
        <v>-27.4</v>
      </c>
      <c r="J113">
        <v>8.2899999999999991</v>
      </c>
      <c r="K113">
        <v>172.78</v>
      </c>
      <c r="L113">
        <v>1952.38</v>
      </c>
      <c r="M113">
        <v>3940.63</v>
      </c>
    </row>
    <row r="114" spans="1:23" x14ac:dyDescent="0.3">
      <c r="A114" t="s">
        <v>123</v>
      </c>
      <c r="B114">
        <v>3.96</v>
      </c>
      <c r="C114">
        <v>-0.75</v>
      </c>
      <c r="D114">
        <v>83263899.920000002</v>
      </c>
      <c r="E114">
        <v>22096800000</v>
      </c>
      <c r="F114">
        <v>-4.58</v>
      </c>
      <c r="G114">
        <v>-9.3800000000000008</v>
      </c>
      <c r="H114">
        <v>-19.68</v>
      </c>
      <c r="I114">
        <v>-47.34</v>
      </c>
      <c r="J114">
        <v>-13.16</v>
      </c>
      <c r="K114">
        <v>1.54</v>
      </c>
      <c r="L114">
        <v>780</v>
      </c>
      <c r="M114">
        <v>3860</v>
      </c>
    </row>
    <row r="115" spans="1:23" x14ac:dyDescent="0.3">
      <c r="A115" t="s">
        <v>124</v>
      </c>
      <c r="B115">
        <v>7.42</v>
      </c>
      <c r="C115">
        <v>-1.33</v>
      </c>
      <c r="D115">
        <v>29836848.239999998</v>
      </c>
      <c r="E115">
        <v>11130000000</v>
      </c>
      <c r="F115">
        <v>-2.2400000000000002</v>
      </c>
      <c r="G115">
        <v>-12.19</v>
      </c>
      <c r="H115">
        <v>-3.01</v>
      </c>
      <c r="I115">
        <v>-3.51</v>
      </c>
      <c r="J115">
        <v>-19.079999999999998</v>
      </c>
      <c r="K115">
        <v>-11.03</v>
      </c>
      <c r="L115">
        <v>316.85000000000002</v>
      </c>
      <c r="M115">
        <v>916.44</v>
      </c>
    </row>
    <row r="116" spans="1:23" x14ac:dyDescent="0.3">
      <c r="A116" t="s">
        <v>661</v>
      </c>
      <c r="B116">
        <v>21.06</v>
      </c>
      <c r="C116">
        <v>9.9700000000000006</v>
      </c>
      <c r="D116">
        <v>207849365.36000001</v>
      </c>
      <c r="E116">
        <v>5644080000</v>
      </c>
      <c r="F116">
        <v>57.28</v>
      </c>
      <c r="O116">
        <f t="shared" ref="O116:O117" si="43">F116*F$1/$E$1</f>
        <v>16.135211267605634</v>
      </c>
      <c r="P116">
        <f t="shared" ref="P116:P117" si="44">G116*G$1/$E$1</f>
        <v>0</v>
      </c>
      <c r="Q116">
        <f t="shared" ref="Q116:Q117" si="45">H116*H$1/$E$1</f>
        <v>0</v>
      </c>
      <c r="R116">
        <f t="shared" ref="R116:R117" si="46">I116*I$1/$E$1</f>
        <v>0</v>
      </c>
      <c r="S116">
        <f t="shared" ref="S116:S117" si="47">J116*J$1/$E$1</f>
        <v>0</v>
      </c>
      <c r="T116">
        <f t="shared" ref="T116:T117" si="48">K116*K$1/$E$1</f>
        <v>0</v>
      </c>
      <c r="U116">
        <f t="shared" ref="U116:U117" si="49">L116*L$1/$E$1</f>
        <v>0</v>
      </c>
      <c r="V116">
        <f t="shared" ref="V116:V117" si="50">M116*M$1/$E$1</f>
        <v>0</v>
      </c>
      <c r="W116" s="1">
        <f t="shared" ref="W116:W117" si="51">SUM(O116:V116)</f>
        <v>16.135211267605634</v>
      </c>
    </row>
    <row r="117" spans="1:23" x14ac:dyDescent="0.3">
      <c r="A117" t="s">
        <v>125</v>
      </c>
      <c r="B117">
        <v>16.07</v>
      </c>
      <c r="C117">
        <v>-1.05</v>
      </c>
      <c r="D117">
        <v>22293426.420000002</v>
      </c>
      <c r="E117">
        <v>1353736800</v>
      </c>
      <c r="F117">
        <v>-1.71</v>
      </c>
      <c r="G117">
        <v>-7.8</v>
      </c>
      <c r="H117">
        <v>-18.3</v>
      </c>
      <c r="I117">
        <v>-7.91</v>
      </c>
      <c r="J117">
        <v>-13.32</v>
      </c>
      <c r="K117">
        <v>-23.07</v>
      </c>
      <c r="L117">
        <v>435.67</v>
      </c>
      <c r="M117">
        <v>2578.33</v>
      </c>
      <c r="O117">
        <f t="shared" si="43"/>
        <v>-0.48169014084507045</v>
      </c>
      <c r="P117">
        <f t="shared" si="44"/>
        <v>-1.647887323943662</v>
      </c>
      <c r="Q117">
        <f t="shared" si="45"/>
        <v>-2.5774647887323945</v>
      </c>
      <c r="R117">
        <f t="shared" si="46"/>
        <v>-0.55704225352112668</v>
      </c>
      <c r="S117">
        <f t="shared" si="47"/>
        <v>-3.2830985915492956</v>
      </c>
      <c r="T117">
        <f t="shared" si="48"/>
        <v>-0.8123239436619718</v>
      </c>
      <c r="U117">
        <f t="shared" si="49"/>
        <v>3.0680985915492958</v>
      </c>
      <c r="V117">
        <f t="shared" si="50"/>
        <v>18.157253521126758</v>
      </c>
      <c r="W117" s="1">
        <f t="shared" si="51"/>
        <v>11.865845070422532</v>
      </c>
    </row>
    <row r="118" spans="1:23" x14ac:dyDescent="0.3">
      <c r="A118" t="s">
        <v>126</v>
      </c>
      <c r="B118">
        <v>100.5</v>
      </c>
      <c r="C118">
        <v>-1.37</v>
      </c>
      <c r="D118">
        <v>6072615.5999999996</v>
      </c>
      <c r="E118">
        <v>738441036</v>
      </c>
      <c r="F118">
        <v>-5.19</v>
      </c>
      <c r="G118">
        <v>-5.01</v>
      </c>
      <c r="H118">
        <v>-18.95</v>
      </c>
      <c r="I118">
        <v>0.3</v>
      </c>
      <c r="J118">
        <v>-9.5399999999999991</v>
      </c>
      <c r="K118">
        <v>-25.56</v>
      </c>
      <c r="L118">
        <v>378.57</v>
      </c>
      <c r="M118">
        <v>572.69000000000005</v>
      </c>
    </row>
    <row r="119" spans="1:23" x14ac:dyDescent="0.3">
      <c r="A119" t="s">
        <v>127</v>
      </c>
      <c r="B119">
        <v>108.7</v>
      </c>
      <c r="C119">
        <v>1.49</v>
      </c>
      <c r="D119">
        <v>85090039.099999994</v>
      </c>
      <c r="E119">
        <v>4087120000</v>
      </c>
      <c r="F119">
        <v>3.52</v>
      </c>
      <c r="G119">
        <v>2.64</v>
      </c>
      <c r="H119">
        <v>18.350000000000001</v>
      </c>
      <c r="I119">
        <v>25.62</v>
      </c>
      <c r="J119">
        <v>20.98</v>
      </c>
      <c r="K119">
        <v>-5.33</v>
      </c>
    </row>
    <row r="120" spans="1:23" x14ac:dyDescent="0.3">
      <c r="A120" t="s">
        <v>128</v>
      </c>
      <c r="B120">
        <v>20.9</v>
      </c>
      <c r="C120">
        <v>-0.1</v>
      </c>
      <c r="D120">
        <v>7202651.3799999999</v>
      </c>
      <c r="E120">
        <v>1755599999.9999998</v>
      </c>
      <c r="F120">
        <v>-1.6</v>
      </c>
      <c r="G120">
        <v>-10.07</v>
      </c>
      <c r="H120">
        <v>-5.17</v>
      </c>
      <c r="I120">
        <v>-11.21</v>
      </c>
      <c r="J120">
        <v>-18.55</v>
      </c>
      <c r="K120">
        <v>-39.6</v>
      </c>
    </row>
    <row r="121" spans="1:23" x14ac:dyDescent="0.3">
      <c r="A121" t="s">
        <v>129</v>
      </c>
      <c r="B121">
        <v>1.39</v>
      </c>
      <c r="C121">
        <v>-1.42</v>
      </c>
      <c r="D121">
        <v>97638442.359999999</v>
      </c>
      <c r="E121">
        <v>9730000000</v>
      </c>
      <c r="F121">
        <v>-2.11</v>
      </c>
      <c r="G121">
        <v>-9.15</v>
      </c>
      <c r="H121">
        <v>-7.95</v>
      </c>
      <c r="I121">
        <v>-17.260000000000002</v>
      </c>
      <c r="J121">
        <v>-16.27</v>
      </c>
      <c r="K121">
        <v>-43.72</v>
      </c>
      <c r="L121">
        <v>36.270000000000003</v>
      </c>
    </row>
    <row r="122" spans="1:23" x14ac:dyDescent="0.3">
      <c r="A122" t="s">
        <v>130</v>
      </c>
      <c r="B122">
        <v>72.5</v>
      </c>
      <c r="C122">
        <v>-0.55000000000000004</v>
      </c>
      <c r="D122">
        <v>1148983.55</v>
      </c>
      <c r="E122">
        <v>355250000</v>
      </c>
      <c r="F122">
        <v>-3.33</v>
      </c>
      <c r="G122">
        <v>-7.17</v>
      </c>
      <c r="H122">
        <v>-14.71</v>
      </c>
      <c r="I122">
        <v>-19.18</v>
      </c>
      <c r="J122">
        <v>-10.44</v>
      </c>
      <c r="K122">
        <v>-25.41</v>
      </c>
      <c r="L122">
        <v>-32.68</v>
      </c>
      <c r="M122">
        <v>626.45000000000005</v>
      </c>
    </row>
    <row r="123" spans="1:23" x14ac:dyDescent="0.3">
      <c r="A123" t="s">
        <v>131</v>
      </c>
      <c r="B123">
        <v>31.52</v>
      </c>
      <c r="C123">
        <v>-0.06</v>
      </c>
      <c r="D123">
        <v>21544850.920000002</v>
      </c>
      <c r="E123">
        <v>5207104000</v>
      </c>
      <c r="F123">
        <v>-1.81</v>
      </c>
      <c r="G123">
        <v>-9.94</v>
      </c>
      <c r="H123">
        <v>-12.44</v>
      </c>
      <c r="I123">
        <v>-25.2</v>
      </c>
      <c r="J123">
        <v>-17.309999999999999</v>
      </c>
      <c r="K123">
        <v>-56.79</v>
      </c>
    </row>
    <row r="124" spans="1:23" x14ac:dyDescent="0.3">
      <c r="A124" t="s">
        <v>132</v>
      </c>
      <c r="B124">
        <v>53.25</v>
      </c>
      <c r="C124">
        <v>1.43</v>
      </c>
      <c r="D124">
        <v>526044003.64999998</v>
      </c>
      <c r="E124">
        <v>148997685556.5</v>
      </c>
      <c r="F124">
        <v>4.41</v>
      </c>
      <c r="G124">
        <v>-6.66</v>
      </c>
      <c r="H124">
        <v>0.09</v>
      </c>
      <c r="I124">
        <v>-12.56</v>
      </c>
      <c r="J124">
        <v>-11.18</v>
      </c>
      <c r="K124">
        <v>-4.57</v>
      </c>
      <c r="L124">
        <v>448.4</v>
      </c>
      <c r="M124">
        <v>1331.45</v>
      </c>
    </row>
    <row r="125" spans="1:23" x14ac:dyDescent="0.3">
      <c r="A125" t="s">
        <v>133</v>
      </c>
      <c r="B125">
        <v>18.98</v>
      </c>
      <c r="C125">
        <v>-0.78</v>
      </c>
      <c r="D125">
        <v>8837285.9800000004</v>
      </c>
      <c r="E125">
        <v>1917609395.78</v>
      </c>
      <c r="F125">
        <v>-3.7</v>
      </c>
      <c r="G125">
        <v>-13.96</v>
      </c>
      <c r="H125">
        <v>-16.68</v>
      </c>
      <c r="I125">
        <v>-41.17</v>
      </c>
      <c r="J125">
        <v>-10.220000000000001</v>
      </c>
      <c r="K125">
        <v>-47.86</v>
      </c>
      <c r="L125">
        <v>468.26</v>
      </c>
      <c r="M125">
        <v>920.43</v>
      </c>
    </row>
    <row r="126" spans="1:23" x14ac:dyDescent="0.3">
      <c r="A126" t="s">
        <v>134</v>
      </c>
      <c r="B126">
        <v>2.82</v>
      </c>
      <c r="C126">
        <v>-0.7</v>
      </c>
      <c r="D126">
        <v>13692119.869999999</v>
      </c>
      <c r="E126">
        <v>2230620000</v>
      </c>
      <c r="F126">
        <v>-2.42</v>
      </c>
      <c r="G126">
        <v>-4.08</v>
      </c>
      <c r="H126">
        <v>-17.3</v>
      </c>
      <c r="I126">
        <v>-23.99</v>
      </c>
      <c r="J126">
        <v>-12.42</v>
      </c>
      <c r="K126">
        <v>-45.56</v>
      </c>
      <c r="L126">
        <v>168.57</v>
      </c>
      <c r="M126">
        <v>206.52</v>
      </c>
    </row>
    <row r="127" spans="1:23" x14ac:dyDescent="0.3">
      <c r="A127" t="s">
        <v>135</v>
      </c>
      <c r="B127">
        <v>9.4700000000000006</v>
      </c>
      <c r="C127">
        <v>-3.07</v>
      </c>
      <c r="D127">
        <v>24053037.640000001</v>
      </c>
      <c r="E127">
        <v>4735000000</v>
      </c>
      <c r="F127">
        <v>-0.84</v>
      </c>
      <c r="G127">
        <v>5.46</v>
      </c>
      <c r="H127">
        <v>7.01</v>
      </c>
      <c r="I127">
        <v>-6.7</v>
      </c>
      <c r="J127">
        <v>0.64</v>
      </c>
      <c r="K127">
        <v>-29.75</v>
      </c>
      <c r="L127">
        <v>161.6</v>
      </c>
      <c r="M127">
        <v>695.8</v>
      </c>
      <c r="O127">
        <f>F127*F$1/$E$1</f>
        <v>-0.23661971830985917</v>
      </c>
      <c r="P127">
        <f t="shared" ref="P127" si="52">G127*G$1/$E$1</f>
        <v>1.1535211267605634</v>
      </c>
      <c r="Q127">
        <f t="shared" ref="Q127" si="53">H127*H$1/$E$1</f>
        <v>0.98732394366197174</v>
      </c>
      <c r="R127">
        <f t="shared" ref="R127" si="54">I127*I$1/$E$1</f>
        <v>-0.47183098591549294</v>
      </c>
      <c r="S127">
        <f t="shared" ref="S127" si="55">J127*J$1/$E$1</f>
        <v>0.15774647887323945</v>
      </c>
      <c r="T127">
        <f t="shared" ref="T127" si="56">K127*K$1/$E$1</f>
        <v>-1.0475352112676057</v>
      </c>
      <c r="U127">
        <f t="shared" ref="U127" si="57">L127*L$1/$E$1</f>
        <v>1.1380281690140845</v>
      </c>
      <c r="V127">
        <f t="shared" ref="V127" si="58">M127*M$1/$E$1</f>
        <v>4.8999999999999995</v>
      </c>
      <c r="W127" s="1">
        <f>SUM(O127:V127)</f>
        <v>6.5806338028169007</v>
      </c>
    </row>
    <row r="128" spans="1:23" x14ac:dyDescent="0.3">
      <c r="A128" t="s">
        <v>136</v>
      </c>
      <c r="B128">
        <v>12.28</v>
      </c>
      <c r="C128">
        <v>-0.08</v>
      </c>
      <c r="D128">
        <v>138670286.78</v>
      </c>
      <c r="E128">
        <v>4936560000</v>
      </c>
      <c r="F128">
        <v>1.91</v>
      </c>
      <c r="G128">
        <v>0.82</v>
      </c>
      <c r="H128">
        <v>18.3</v>
      </c>
      <c r="J128">
        <v>-5.9</v>
      </c>
    </row>
    <row r="129" spans="1:23" x14ac:dyDescent="0.3">
      <c r="A129" t="s">
        <v>137</v>
      </c>
      <c r="B129">
        <v>26.64</v>
      </c>
      <c r="C129">
        <v>3.34</v>
      </c>
      <c r="D129">
        <v>92129089.700000003</v>
      </c>
      <c r="E129">
        <v>1172160000</v>
      </c>
      <c r="F129">
        <v>-8.14</v>
      </c>
      <c r="G129">
        <v>6.56</v>
      </c>
      <c r="H129">
        <v>-2.35</v>
      </c>
      <c r="I129">
        <v>-44.1</v>
      </c>
      <c r="J129">
        <v>-4.45</v>
      </c>
      <c r="K129">
        <v>17.88</v>
      </c>
      <c r="L129">
        <v>84.49</v>
      </c>
      <c r="M129">
        <v>905.28</v>
      </c>
      <c r="O129">
        <f>F129*F$1/$E$1</f>
        <v>-2.2929577464788733</v>
      </c>
      <c r="P129">
        <f t="shared" ref="P129" si="59">G129*G$1/$E$1</f>
        <v>1.3859154929577464</v>
      </c>
      <c r="Q129">
        <f t="shared" ref="Q129" si="60">H129*H$1/$E$1</f>
        <v>-0.33098591549295775</v>
      </c>
      <c r="R129">
        <f t="shared" ref="R129" si="61">I129*I$1/$E$1</f>
        <v>-3.1056338028169015</v>
      </c>
      <c r="S129">
        <f t="shared" ref="S129" si="62">J129*J$1/$E$1</f>
        <v>-1.096830985915493</v>
      </c>
      <c r="T129">
        <f t="shared" ref="T129" si="63">K129*K$1/$E$1</f>
        <v>0.62957746478873233</v>
      </c>
      <c r="U129">
        <f t="shared" ref="U129" si="64">L129*L$1/$E$1</f>
        <v>0.59499999999999997</v>
      </c>
      <c r="V129">
        <f t="shared" ref="V129" si="65">M129*M$1/$E$1</f>
        <v>6.3752112676056338</v>
      </c>
      <c r="W129" s="1">
        <f>SUM(O129:V129)</f>
        <v>2.1592957746478865</v>
      </c>
    </row>
    <row r="130" spans="1:23" x14ac:dyDescent="0.3">
      <c r="A130" t="s">
        <v>138</v>
      </c>
      <c r="B130">
        <v>26.18</v>
      </c>
      <c r="C130">
        <v>0</v>
      </c>
      <c r="D130">
        <v>99078744.239999995</v>
      </c>
      <c r="E130">
        <v>4398240000</v>
      </c>
      <c r="F130">
        <v>-0.08</v>
      </c>
      <c r="G130">
        <v>-11.07</v>
      </c>
      <c r="J130">
        <v>-27.88</v>
      </c>
    </row>
    <row r="131" spans="1:23" x14ac:dyDescent="0.3">
      <c r="A131" t="s">
        <v>139</v>
      </c>
      <c r="B131">
        <v>45.02</v>
      </c>
      <c r="C131">
        <v>-5.0199999999999996</v>
      </c>
      <c r="D131">
        <v>1156194738.02</v>
      </c>
      <c r="E131">
        <v>42570511051.880005</v>
      </c>
      <c r="F131">
        <v>-6.01</v>
      </c>
      <c r="G131">
        <v>-15.61</v>
      </c>
      <c r="H131">
        <v>11.16</v>
      </c>
      <c r="I131">
        <v>25.54</v>
      </c>
      <c r="J131">
        <v>-3.39</v>
      </c>
      <c r="K131">
        <v>33.75</v>
      </c>
      <c r="L131">
        <v>987.44</v>
      </c>
      <c r="M131">
        <v>3781.03</v>
      </c>
    </row>
    <row r="132" spans="1:23" x14ac:dyDescent="0.3">
      <c r="A132" t="s">
        <v>140</v>
      </c>
      <c r="B132">
        <v>1997</v>
      </c>
      <c r="C132">
        <v>-0.15</v>
      </c>
      <c r="D132">
        <v>94629732</v>
      </c>
      <c r="E132">
        <v>48527100000</v>
      </c>
      <c r="F132">
        <v>-5.8</v>
      </c>
      <c r="G132">
        <v>3.85</v>
      </c>
      <c r="H132">
        <v>-5.98</v>
      </c>
      <c r="I132">
        <v>7.48</v>
      </c>
      <c r="J132">
        <v>5.55</v>
      </c>
      <c r="K132">
        <v>56.57</v>
      </c>
      <c r="L132">
        <v>1124.78</v>
      </c>
      <c r="M132">
        <v>2883.71</v>
      </c>
    </row>
    <row r="133" spans="1:23" x14ac:dyDescent="0.3">
      <c r="A133" t="s">
        <v>141</v>
      </c>
      <c r="B133">
        <v>2173</v>
      </c>
      <c r="C133">
        <v>-1.05</v>
      </c>
      <c r="D133">
        <v>37217210</v>
      </c>
      <c r="E133">
        <v>3846210000</v>
      </c>
      <c r="F133">
        <v>-3.25</v>
      </c>
      <c r="G133">
        <v>-11.41</v>
      </c>
      <c r="H133">
        <v>-25.58</v>
      </c>
      <c r="I133">
        <v>-16.420000000000002</v>
      </c>
      <c r="J133">
        <v>-20.69</v>
      </c>
      <c r="K133">
        <v>-51.98</v>
      </c>
      <c r="L133">
        <v>1094.6099999999999</v>
      </c>
      <c r="M133">
        <v>5792.08</v>
      </c>
    </row>
    <row r="134" spans="1:23" x14ac:dyDescent="0.3">
      <c r="A134" t="s">
        <v>142</v>
      </c>
      <c r="B134">
        <v>370</v>
      </c>
      <c r="C134">
        <v>-0.47</v>
      </c>
      <c r="D134">
        <v>1943661.75</v>
      </c>
      <c r="E134">
        <v>32231611310</v>
      </c>
      <c r="F134">
        <v>-3.65</v>
      </c>
      <c r="G134">
        <v>-5.91</v>
      </c>
      <c r="H134">
        <v>-9.75</v>
      </c>
      <c r="I134">
        <v>-11.03</v>
      </c>
      <c r="J134">
        <v>-19.260000000000002</v>
      </c>
      <c r="K134">
        <v>-8.2100000000000009</v>
      </c>
      <c r="L134">
        <v>1299.92</v>
      </c>
      <c r="M134">
        <v>2671.54</v>
      </c>
    </row>
    <row r="135" spans="1:23" x14ac:dyDescent="0.3">
      <c r="A135" t="s">
        <v>143</v>
      </c>
      <c r="B135">
        <v>2.65</v>
      </c>
      <c r="C135">
        <v>1.1499999999999999</v>
      </c>
      <c r="D135">
        <v>45399696.68</v>
      </c>
      <c r="E135">
        <v>2043150000</v>
      </c>
      <c r="F135">
        <v>3.92</v>
      </c>
      <c r="G135">
        <v>1.92</v>
      </c>
      <c r="H135">
        <v>0</v>
      </c>
      <c r="I135">
        <v>-9.25</v>
      </c>
      <c r="J135">
        <v>-5.36</v>
      </c>
      <c r="K135">
        <v>-33.42</v>
      </c>
    </row>
    <row r="136" spans="1:23" x14ac:dyDescent="0.3">
      <c r="A136" t="s">
        <v>144</v>
      </c>
      <c r="B136">
        <v>105.9</v>
      </c>
      <c r="C136">
        <v>-0.09</v>
      </c>
      <c r="D136">
        <v>1602835.5</v>
      </c>
      <c r="E136">
        <v>687788094.60000002</v>
      </c>
      <c r="F136">
        <v>1.1499999999999999</v>
      </c>
      <c r="G136">
        <v>-5.61</v>
      </c>
      <c r="H136">
        <v>-5.45</v>
      </c>
      <c r="I136">
        <v>-8.23</v>
      </c>
      <c r="J136">
        <v>-13.2</v>
      </c>
      <c r="K136">
        <v>-27.37</v>
      </c>
      <c r="L136">
        <v>1210.6400000000001</v>
      </c>
      <c r="M136">
        <v>4585.84</v>
      </c>
    </row>
    <row r="137" spans="1:23" x14ac:dyDescent="0.3">
      <c r="A137" t="s">
        <v>145</v>
      </c>
      <c r="B137">
        <v>6.89</v>
      </c>
      <c r="C137">
        <v>0</v>
      </c>
      <c r="D137">
        <v>11915301.539999999</v>
      </c>
      <c r="E137">
        <v>689000000</v>
      </c>
      <c r="F137">
        <v>-0.14000000000000001</v>
      </c>
      <c r="G137">
        <v>-4.83</v>
      </c>
      <c r="H137">
        <v>-3.77</v>
      </c>
      <c r="I137">
        <v>10.59</v>
      </c>
      <c r="J137">
        <v>12.4</v>
      </c>
      <c r="K137">
        <v>-15.15</v>
      </c>
      <c r="L137">
        <v>338.85</v>
      </c>
      <c r="M137">
        <v>282.77999999999997</v>
      </c>
    </row>
    <row r="138" spans="1:23" x14ac:dyDescent="0.3">
      <c r="A138" t="s">
        <v>146</v>
      </c>
      <c r="B138">
        <v>88.2</v>
      </c>
      <c r="C138">
        <v>-0.11</v>
      </c>
      <c r="D138">
        <v>12904136.35</v>
      </c>
      <c r="E138">
        <v>11269646073</v>
      </c>
      <c r="F138">
        <v>-5.1100000000000003</v>
      </c>
      <c r="G138">
        <v>-13.02</v>
      </c>
      <c r="H138">
        <v>-13.7</v>
      </c>
      <c r="I138">
        <v>-22.9</v>
      </c>
      <c r="J138">
        <v>-15.6</v>
      </c>
      <c r="K138">
        <v>-45.89</v>
      </c>
      <c r="L138">
        <v>167.76</v>
      </c>
      <c r="M138">
        <v>197.47</v>
      </c>
    </row>
    <row r="139" spans="1:23" x14ac:dyDescent="0.3">
      <c r="A139" t="s">
        <v>147</v>
      </c>
      <c r="B139">
        <v>21.1</v>
      </c>
      <c r="C139">
        <v>-0.85</v>
      </c>
      <c r="D139">
        <v>29817520.420000002</v>
      </c>
      <c r="E139">
        <v>1503375000</v>
      </c>
      <c r="F139">
        <v>-1.95</v>
      </c>
      <c r="G139">
        <v>-10.29</v>
      </c>
      <c r="H139">
        <v>0.96</v>
      </c>
      <c r="I139">
        <v>6.62</v>
      </c>
      <c r="J139">
        <v>-24.26</v>
      </c>
      <c r="K139">
        <v>-27.24</v>
      </c>
      <c r="L139">
        <v>171.56</v>
      </c>
      <c r="M139">
        <v>632.64</v>
      </c>
    </row>
    <row r="140" spans="1:23" x14ac:dyDescent="0.3">
      <c r="A140" t="s">
        <v>148</v>
      </c>
      <c r="B140">
        <v>9.5299999999999994</v>
      </c>
      <c r="C140">
        <v>-1.35</v>
      </c>
      <c r="D140">
        <v>221045443.72999999</v>
      </c>
      <c r="E140">
        <v>13342000000</v>
      </c>
      <c r="F140">
        <v>7.08</v>
      </c>
      <c r="G140">
        <v>-5.92</v>
      </c>
      <c r="H140">
        <v>8.42</v>
      </c>
      <c r="I140">
        <v>-41.39</v>
      </c>
      <c r="J140">
        <v>10.69</v>
      </c>
      <c r="K140">
        <v>-23.76</v>
      </c>
    </row>
    <row r="141" spans="1:23" x14ac:dyDescent="0.3">
      <c r="A141" t="s">
        <v>149</v>
      </c>
      <c r="B141">
        <v>17</v>
      </c>
      <c r="C141">
        <v>-1.1599999999999999</v>
      </c>
      <c r="D141">
        <v>45742469.210000001</v>
      </c>
      <c r="E141">
        <v>17000000000</v>
      </c>
      <c r="F141">
        <v>-3.95</v>
      </c>
      <c r="G141">
        <v>-14.79</v>
      </c>
      <c r="H141">
        <v>-33.979999999999997</v>
      </c>
      <c r="I141">
        <v>-34.619999999999997</v>
      </c>
      <c r="J141">
        <v>-19.2</v>
      </c>
      <c r="K141">
        <v>-54.57</v>
      </c>
    </row>
    <row r="142" spans="1:23" x14ac:dyDescent="0.3">
      <c r="A142" t="s">
        <v>150</v>
      </c>
      <c r="B142">
        <v>27.3</v>
      </c>
      <c r="C142">
        <v>9.99</v>
      </c>
      <c r="D142">
        <v>27479361</v>
      </c>
      <c r="E142">
        <v>819000000</v>
      </c>
      <c r="F142">
        <v>60.68</v>
      </c>
      <c r="G142">
        <v>74.66</v>
      </c>
      <c r="H142">
        <v>66.97</v>
      </c>
      <c r="I142">
        <v>89.72</v>
      </c>
      <c r="J142">
        <v>73.44</v>
      </c>
      <c r="K142">
        <v>82.49</v>
      </c>
      <c r="L142">
        <v>409.33</v>
      </c>
      <c r="M142">
        <v>2602.9699999999998</v>
      </c>
    </row>
    <row r="143" spans="1:23" x14ac:dyDescent="0.3">
      <c r="A143" t="s">
        <v>151</v>
      </c>
      <c r="B143">
        <v>6.53</v>
      </c>
      <c r="C143">
        <v>-2.39</v>
      </c>
      <c r="D143">
        <v>125297269.87</v>
      </c>
      <c r="E143">
        <v>2612000000</v>
      </c>
      <c r="F143">
        <v>8.4700000000000006</v>
      </c>
      <c r="G143">
        <v>29.05</v>
      </c>
      <c r="H143">
        <v>51.16</v>
      </c>
      <c r="I143">
        <v>102.8</v>
      </c>
      <c r="J143">
        <v>15.17</v>
      </c>
      <c r="K143">
        <v>123.63</v>
      </c>
      <c r="L143">
        <v>650.57000000000005</v>
      </c>
      <c r="M143">
        <v>1713.89</v>
      </c>
    </row>
    <row r="144" spans="1:23" x14ac:dyDescent="0.3">
      <c r="A144" t="s">
        <v>152</v>
      </c>
      <c r="B144">
        <v>7.8</v>
      </c>
      <c r="C144">
        <v>2.36</v>
      </c>
      <c r="D144">
        <v>66469190.609999999</v>
      </c>
      <c r="E144">
        <v>20670000000</v>
      </c>
      <c r="F144">
        <v>11.27</v>
      </c>
      <c r="G144">
        <v>3.72</v>
      </c>
      <c r="H144">
        <v>33.33</v>
      </c>
      <c r="I144">
        <v>40.54</v>
      </c>
      <c r="J144">
        <v>13.37</v>
      </c>
      <c r="K144">
        <v>46.34</v>
      </c>
      <c r="L144">
        <v>427.03</v>
      </c>
    </row>
    <row r="145" spans="1:23" x14ac:dyDescent="0.3">
      <c r="A145" t="s">
        <v>153</v>
      </c>
      <c r="B145">
        <v>4.66</v>
      </c>
      <c r="C145">
        <v>-1.89</v>
      </c>
      <c r="D145">
        <v>22964540.640000001</v>
      </c>
      <c r="E145">
        <v>2731222658.7800002</v>
      </c>
      <c r="F145">
        <v>1.75</v>
      </c>
      <c r="G145">
        <v>-4.51</v>
      </c>
      <c r="H145">
        <v>-22.2</v>
      </c>
      <c r="I145">
        <v>-18.39</v>
      </c>
      <c r="J145">
        <v>-14.65</v>
      </c>
      <c r="K145">
        <v>-41.16</v>
      </c>
      <c r="L145">
        <v>56.9</v>
      </c>
      <c r="M145">
        <v>565.71</v>
      </c>
    </row>
    <row r="146" spans="1:23" x14ac:dyDescent="0.3">
      <c r="A146" t="s">
        <v>154</v>
      </c>
      <c r="B146">
        <v>39.54</v>
      </c>
      <c r="C146">
        <v>-3.42</v>
      </c>
      <c r="D146">
        <v>142921294.91999999</v>
      </c>
      <c r="E146">
        <v>5140200000</v>
      </c>
      <c r="F146">
        <v>2.17</v>
      </c>
      <c r="G146">
        <v>6.69</v>
      </c>
      <c r="H146">
        <v>60.15</v>
      </c>
      <c r="I146">
        <v>59.37</v>
      </c>
      <c r="J146">
        <v>33.22</v>
      </c>
    </row>
    <row r="147" spans="1:23" x14ac:dyDescent="0.3">
      <c r="A147" t="s">
        <v>155</v>
      </c>
      <c r="B147">
        <v>3.13</v>
      </c>
      <c r="C147">
        <v>1.29</v>
      </c>
      <c r="D147">
        <v>14137053.17</v>
      </c>
      <c r="E147">
        <v>939000000</v>
      </c>
      <c r="F147">
        <v>0.64</v>
      </c>
      <c r="G147">
        <v>-4.8600000000000003</v>
      </c>
      <c r="H147">
        <v>10.210000000000001</v>
      </c>
      <c r="I147">
        <v>-40.380000000000003</v>
      </c>
      <c r="J147">
        <v>-8.2100000000000009</v>
      </c>
      <c r="K147">
        <v>-8.2100000000000009</v>
      </c>
      <c r="L147">
        <v>92.02</v>
      </c>
      <c r="M147">
        <v>360.29</v>
      </c>
    </row>
    <row r="148" spans="1:23" x14ac:dyDescent="0.3">
      <c r="A148" t="s">
        <v>156</v>
      </c>
      <c r="B148">
        <v>22.72</v>
      </c>
      <c r="C148">
        <v>4.51</v>
      </c>
      <c r="D148">
        <v>173294623.46000001</v>
      </c>
      <c r="E148">
        <v>4482231658.5599995</v>
      </c>
      <c r="F148">
        <v>9.23</v>
      </c>
      <c r="G148">
        <v>18.03</v>
      </c>
      <c r="H148">
        <v>113.53</v>
      </c>
      <c r="I148">
        <v>108.82</v>
      </c>
      <c r="J148">
        <v>31.33</v>
      </c>
      <c r="K148">
        <v>58.77</v>
      </c>
      <c r="L148">
        <v>1910.62</v>
      </c>
      <c r="M148">
        <v>3145.71</v>
      </c>
      <c r="O148">
        <f>F148*F$1/$E$1</f>
        <v>2.6000000000000005</v>
      </c>
      <c r="P148">
        <f t="shared" ref="P148" si="66">G148*G$1/$E$1</f>
        <v>3.8091549295774656</v>
      </c>
      <c r="Q148">
        <f t="shared" ref="Q148" si="67">H148*H$1/$E$1</f>
        <v>15.990140845070423</v>
      </c>
      <c r="R148">
        <f t="shared" ref="R148" si="68">I148*I$1/$E$1</f>
        <v>7.6633802816901397</v>
      </c>
      <c r="S148">
        <f t="shared" ref="S148" si="69">J148*J$1/$E$1</f>
        <v>7.7221830985915494</v>
      </c>
      <c r="T148">
        <f t="shared" ref="T148" si="70">K148*K$1/$E$1</f>
        <v>2.0693661971830988</v>
      </c>
      <c r="U148">
        <f t="shared" ref="U148" si="71">L148*L$1/$E$1</f>
        <v>13.455070422535211</v>
      </c>
      <c r="V148">
        <f t="shared" ref="V148" si="72">M148*M$1/$E$1</f>
        <v>22.152887323943663</v>
      </c>
      <c r="W148" s="1">
        <f>SUM(O148:V148)</f>
        <v>75.462183098591552</v>
      </c>
    </row>
    <row r="149" spans="1:23" x14ac:dyDescent="0.3">
      <c r="A149" t="s">
        <v>157</v>
      </c>
      <c r="B149">
        <v>33.18</v>
      </c>
      <c r="C149">
        <v>0.48</v>
      </c>
      <c r="D149">
        <v>5893604.0199999996</v>
      </c>
      <c r="E149">
        <v>1791720000</v>
      </c>
      <c r="F149">
        <v>-1.6</v>
      </c>
      <c r="G149">
        <v>-6.27</v>
      </c>
      <c r="H149">
        <v>8.15</v>
      </c>
      <c r="I149">
        <v>-7.88</v>
      </c>
      <c r="J149">
        <v>-13.1</v>
      </c>
      <c r="K149">
        <v>46.68</v>
      </c>
      <c r="L149">
        <v>766.32</v>
      </c>
      <c r="M149">
        <v>671.63</v>
      </c>
    </row>
    <row r="150" spans="1:23" x14ac:dyDescent="0.3">
      <c r="A150" t="s">
        <v>158</v>
      </c>
      <c r="B150">
        <v>8.76</v>
      </c>
      <c r="C150">
        <v>0.69</v>
      </c>
      <c r="D150">
        <v>2802084.19</v>
      </c>
      <c r="E150">
        <v>4292400000</v>
      </c>
      <c r="F150">
        <v>-0.11</v>
      </c>
      <c r="G150">
        <v>-10.06</v>
      </c>
      <c r="H150">
        <v>-16.25</v>
      </c>
      <c r="I150">
        <v>-12.4</v>
      </c>
      <c r="J150">
        <v>-17.98</v>
      </c>
      <c r="K150">
        <v>-29.07</v>
      </c>
      <c r="L150">
        <v>512.59</v>
      </c>
      <c r="M150">
        <v>1763.83</v>
      </c>
    </row>
    <row r="151" spans="1:23" x14ac:dyDescent="0.3">
      <c r="A151" t="s">
        <v>159</v>
      </c>
      <c r="B151">
        <v>46.14</v>
      </c>
      <c r="C151">
        <v>-1.83</v>
      </c>
      <c r="D151">
        <v>25581667.800000001</v>
      </c>
      <c r="E151">
        <v>1061220000</v>
      </c>
      <c r="F151">
        <v>-11.52</v>
      </c>
      <c r="G151">
        <v>-2.7</v>
      </c>
      <c r="H151">
        <v>-1.54</v>
      </c>
      <c r="I151">
        <v>8.31</v>
      </c>
      <c r="J151">
        <v>0.3</v>
      </c>
      <c r="K151">
        <v>2.17</v>
      </c>
      <c r="L151">
        <v>418.43</v>
      </c>
      <c r="M151">
        <v>877.54</v>
      </c>
    </row>
    <row r="152" spans="1:23" x14ac:dyDescent="0.3">
      <c r="A152" t="s">
        <v>160</v>
      </c>
      <c r="B152">
        <v>67.75</v>
      </c>
      <c r="C152">
        <v>7.0000000000000007E-2</v>
      </c>
      <c r="D152">
        <v>16380691.800000001</v>
      </c>
      <c r="E152">
        <v>13551306694.25</v>
      </c>
      <c r="F152">
        <v>-0.37</v>
      </c>
      <c r="G152">
        <v>-5.1100000000000003</v>
      </c>
      <c r="H152">
        <v>-2.02</v>
      </c>
      <c r="I152">
        <v>-0.81</v>
      </c>
      <c r="J152">
        <v>-13.58</v>
      </c>
      <c r="K152">
        <v>-14.25</v>
      </c>
      <c r="L152">
        <v>138.97999999999999</v>
      </c>
      <c r="M152">
        <v>641.25</v>
      </c>
    </row>
    <row r="153" spans="1:23" x14ac:dyDescent="0.3">
      <c r="A153" t="s">
        <v>161</v>
      </c>
      <c r="B153">
        <v>54.4</v>
      </c>
      <c r="C153">
        <v>0.55000000000000004</v>
      </c>
      <c r="D153">
        <v>16668522.75</v>
      </c>
      <c r="E153">
        <v>1632000000</v>
      </c>
      <c r="F153">
        <v>-12.26</v>
      </c>
      <c r="G153">
        <v>-1.81</v>
      </c>
      <c r="H153">
        <v>31.02</v>
      </c>
      <c r="I153">
        <v>47.91</v>
      </c>
      <c r="J153">
        <v>18</v>
      </c>
      <c r="K153">
        <v>23.69</v>
      </c>
      <c r="L153">
        <v>442.91</v>
      </c>
      <c r="M153">
        <v>631.17999999999995</v>
      </c>
    </row>
    <row r="154" spans="1:23" x14ac:dyDescent="0.3">
      <c r="A154" t="s">
        <v>162</v>
      </c>
      <c r="B154">
        <v>36.64</v>
      </c>
      <c r="C154">
        <v>-0.97</v>
      </c>
      <c r="D154">
        <v>2624370.44</v>
      </c>
      <c r="E154">
        <v>12164765279.040001</v>
      </c>
      <c r="F154">
        <v>-4.33</v>
      </c>
      <c r="G154">
        <v>-12.6</v>
      </c>
      <c r="H154">
        <v>-8.81</v>
      </c>
      <c r="I154">
        <v>20.53</v>
      </c>
      <c r="J154">
        <v>-20.07</v>
      </c>
      <c r="K154">
        <v>1.89</v>
      </c>
      <c r="L154">
        <v>340.38</v>
      </c>
      <c r="M154">
        <v>549.65</v>
      </c>
    </row>
    <row r="155" spans="1:23" x14ac:dyDescent="0.3">
      <c r="A155" t="s">
        <v>163</v>
      </c>
      <c r="B155">
        <v>6.89</v>
      </c>
      <c r="C155">
        <v>1.03</v>
      </c>
      <c r="D155">
        <v>7450752.5800000001</v>
      </c>
      <c r="E155">
        <v>2411500000</v>
      </c>
      <c r="F155">
        <v>-0.43</v>
      </c>
      <c r="G155">
        <v>-17.190000000000001</v>
      </c>
      <c r="H155">
        <v>-17.78</v>
      </c>
      <c r="I155">
        <v>-19.79</v>
      </c>
      <c r="J155">
        <v>-29.33</v>
      </c>
      <c r="K155">
        <v>-38.04</v>
      </c>
      <c r="L155">
        <v>255.15</v>
      </c>
      <c r="M155">
        <v>368.71</v>
      </c>
    </row>
    <row r="156" spans="1:23" x14ac:dyDescent="0.3">
      <c r="A156" t="s">
        <v>164</v>
      </c>
      <c r="B156">
        <v>22.5</v>
      </c>
      <c r="C156">
        <v>-1.06</v>
      </c>
      <c r="D156">
        <v>855700.8</v>
      </c>
      <c r="E156">
        <v>239625000</v>
      </c>
      <c r="F156">
        <v>-2.09</v>
      </c>
      <c r="G156">
        <v>-14.77</v>
      </c>
      <c r="H156">
        <v>-9.27</v>
      </c>
      <c r="I156">
        <v>-58.49</v>
      </c>
      <c r="J156">
        <v>-4.26</v>
      </c>
      <c r="K156">
        <v>10.62</v>
      </c>
      <c r="L156">
        <v>484.42</v>
      </c>
      <c r="M156">
        <v>3160.87</v>
      </c>
    </row>
    <row r="157" spans="1:23" x14ac:dyDescent="0.3">
      <c r="A157" t="s">
        <v>165</v>
      </c>
      <c r="B157">
        <v>14.93</v>
      </c>
      <c r="C157">
        <v>3.04</v>
      </c>
      <c r="D157">
        <v>88362205.290000007</v>
      </c>
      <c r="E157">
        <v>1269050000</v>
      </c>
      <c r="F157">
        <v>7.95</v>
      </c>
      <c r="G157">
        <v>1.01</v>
      </c>
      <c r="H157">
        <v>-0.86</v>
      </c>
      <c r="I157">
        <v>-34.4</v>
      </c>
      <c r="J157">
        <v>-6.1</v>
      </c>
      <c r="K157">
        <v>-13.5</v>
      </c>
      <c r="L157">
        <v>114.82</v>
      </c>
      <c r="M157">
        <v>922.6</v>
      </c>
    </row>
    <row r="158" spans="1:23" x14ac:dyDescent="0.3">
      <c r="A158" t="s">
        <v>166</v>
      </c>
      <c r="B158">
        <v>13.62</v>
      </c>
      <c r="C158">
        <v>9.93</v>
      </c>
      <c r="D158">
        <v>80312454.939999998</v>
      </c>
      <c r="E158">
        <v>2523786000</v>
      </c>
      <c r="F158">
        <v>9.4</v>
      </c>
      <c r="G158">
        <v>8.01</v>
      </c>
      <c r="H158">
        <v>15.62</v>
      </c>
      <c r="I158">
        <v>-5.0199999999999996</v>
      </c>
      <c r="J158">
        <v>8.9600000000000009</v>
      </c>
      <c r="K158">
        <v>-18</v>
      </c>
    </row>
    <row r="159" spans="1:23" x14ac:dyDescent="0.3">
      <c r="A159" t="s">
        <v>167</v>
      </c>
      <c r="B159">
        <v>7.3</v>
      </c>
      <c r="C159">
        <v>2.67</v>
      </c>
      <c r="D159">
        <v>89641693.140000001</v>
      </c>
      <c r="E159">
        <v>1460000000</v>
      </c>
      <c r="F159">
        <v>4.1399999999999997</v>
      </c>
      <c r="G159">
        <v>-23.16</v>
      </c>
      <c r="H159">
        <v>16.43</v>
      </c>
      <c r="I159">
        <v>33.700000000000003</v>
      </c>
      <c r="J159">
        <v>-15.02</v>
      </c>
      <c r="K159">
        <v>15.32</v>
      </c>
      <c r="L159">
        <v>244.34</v>
      </c>
      <c r="M159">
        <v>630</v>
      </c>
      <c r="O159">
        <f>F159*F$1/$E$1</f>
        <v>1.1661971830985915</v>
      </c>
      <c r="P159">
        <f t="shared" ref="P159" si="73">G159*G$1/$E$1</f>
        <v>-4.8929577464788725</v>
      </c>
      <c r="Q159">
        <f t="shared" ref="Q159" si="74">H159*H$1/$E$1</f>
        <v>2.3140845070422538</v>
      </c>
      <c r="R159">
        <f t="shared" ref="R159" si="75">I159*I$1/$E$1</f>
        <v>2.3732394366197185</v>
      </c>
      <c r="S159">
        <f t="shared" ref="S159" si="76">J159*J$1/$E$1</f>
        <v>-3.7021126760563376</v>
      </c>
      <c r="T159">
        <f t="shared" ref="T159" si="77">K159*K$1/$E$1</f>
        <v>0.53943661971830981</v>
      </c>
      <c r="U159">
        <f t="shared" ref="U159" si="78">L159*L$1/$E$1</f>
        <v>1.7207042253521128</v>
      </c>
      <c r="V159">
        <f t="shared" ref="V159" si="79">M159*M$1/$E$1</f>
        <v>4.436619718309859</v>
      </c>
      <c r="W159" s="1">
        <f>SUM(O159:V159)</f>
        <v>3.9552112676056357</v>
      </c>
    </row>
    <row r="160" spans="1:23" x14ac:dyDescent="0.3">
      <c r="A160" t="s">
        <v>168</v>
      </c>
      <c r="B160">
        <v>22.54</v>
      </c>
      <c r="C160">
        <v>-2.17</v>
      </c>
      <c r="D160">
        <v>22412232.32</v>
      </c>
      <c r="E160">
        <v>2698671937.5</v>
      </c>
      <c r="F160">
        <v>-1.74</v>
      </c>
      <c r="G160">
        <v>-13.11</v>
      </c>
      <c r="H160">
        <v>2.64</v>
      </c>
      <c r="I160">
        <v>94.14</v>
      </c>
      <c r="J160">
        <v>-13.17</v>
      </c>
      <c r="K160">
        <v>5.82</v>
      </c>
      <c r="L160">
        <v>871.55</v>
      </c>
    </row>
    <row r="161" spans="1:23" x14ac:dyDescent="0.3">
      <c r="A161" t="s">
        <v>169</v>
      </c>
      <c r="B161">
        <v>173</v>
      </c>
      <c r="C161">
        <v>-2.2000000000000002</v>
      </c>
      <c r="D161">
        <v>244170275.30000001</v>
      </c>
      <c r="E161">
        <v>38060000000</v>
      </c>
      <c r="F161">
        <v>-6.39</v>
      </c>
      <c r="G161">
        <v>-8.0299999999999994</v>
      </c>
      <c r="H161">
        <v>-19.16</v>
      </c>
      <c r="I161">
        <v>-24.55</v>
      </c>
      <c r="J161">
        <v>-10.73</v>
      </c>
      <c r="K161">
        <v>-23.57</v>
      </c>
      <c r="L161">
        <v>455.02</v>
      </c>
      <c r="M161">
        <v>2837.18</v>
      </c>
    </row>
    <row r="162" spans="1:23" x14ac:dyDescent="0.3">
      <c r="A162" t="s">
        <v>170</v>
      </c>
      <c r="B162">
        <v>249</v>
      </c>
      <c r="C162">
        <v>2.64</v>
      </c>
      <c r="D162">
        <v>162251573.09999999</v>
      </c>
      <c r="E162">
        <v>4870234575</v>
      </c>
      <c r="F162">
        <v>9.7899999999999991</v>
      </c>
      <c r="G162">
        <v>38.03</v>
      </c>
      <c r="H162">
        <v>38.950000000000003</v>
      </c>
      <c r="I162">
        <v>4.2300000000000004</v>
      </c>
      <c r="J162">
        <v>41.4</v>
      </c>
      <c r="K162">
        <v>136.47</v>
      </c>
      <c r="L162">
        <v>286.05</v>
      </c>
      <c r="M162">
        <v>5520.77</v>
      </c>
    </row>
    <row r="163" spans="1:23" x14ac:dyDescent="0.3">
      <c r="A163" t="s">
        <v>171</v>
      </c>
      <c r="B163">
        <v>8200</v>
      </c>
      <c r="C163">
        <v>2.5</v>
      </c>
      <c r="D163">
        <v>36571767.5</v>
      </c>
      <c r="E163">
        <v>90064355600</v>
      </c>
      <c r="F163">
        <v>1.52</v>
      </c>
      <c r="G163">
        <v>13.26</v>
      </c>
      <c r="H163">
        <v>38.630000000000003</v>
      </c>
      <c r="I163">
        <v>43.04</v>
      </c>
      <c r="J163">
        <v>25.19</v>
      </c>
      <c r="K163">
        <v>68.459999999999994</v>
      </c>
      <c r="L163">
        <v>528.33000000000004</v>
      </c>
      <c r="M163">
        <v>1455.56</v>
      </c>
    </row>
    <row r="164" spans="1:23" x14ac:dyDescent="0.3">
      <c r="A164" t="s">
        <v>172</v>
      </c>
      <c r="B164">
        <v>26.58</v>
      </c>
      <c r="C164">
        <v>-1.1200000000000001</v>
      </c>
      <c r="D164">
        <v>12175799.300000001</v>
      </c>
      <c r="E164">
        <v>1481835000</v>
      </c>
      <c r="F164">
        <v>2.23</v>
      </c>
      <c r="G164">
        <v>-0.37</v>
      </c>
      <c r="H164">
        <v>-9.16</v>
      </c>
      <c r="I164">
        <v>-13.92</v>
      </c>
      <c r="J164">
        <v>-8.09</v>
      </c>
      <c r="K164">
        <v>-42.73</v>
      </c>
    </row>
    <row r="165" spans="1:23" x14ac:dyDescent="0.3">
      <c r="A165" t="s">
        <v>173</v>
      </c>
      <c r="B165">
        <v>16.3</v>
      </c>
      <c r="C165">
        <v>-0.37</v>
      </c>
      <c r="D165">
        <v>1069643.77</v>
      </c>
      <c r="E165">
        <v>635700000</v>
      </c>
      <c r="F165">
        <v>-1.69</v>
      </c>
      <c r="G165">
        <v>-8.1199999999999992</v>
      </c>
      <c r="H165">
        <v>-23.11</v>
      </c>
      <c r="I165">
        <v>-35.57</v>
      </c>
      <c r="J165">
        <v>-18.420000000000002</v>
      </c>
      <c r="K165">
        <v>-24.04</v>
      </c>
      <c r="L165">
        <v>359.15</v>
      </c>
      <c r="M165">
        <v>912.42</v>
      </c>
    </row>
    <row r="166" spans="1:23" x14ac:dyDescent="0.3">
      <c r="A166" t="s">
        <v>174</v>
      </c>
      <c r="B166">
        <v>13.06</v>
      </c>
      <c r="C166">
        <v>-2.0299999999999998</v>
      </c>
      <c r="D166">
        <v>296071437.55000001</v>
      </c>
      <c r="E166">
        <v>34177968948.460003</v>
      </c>
      <c r="F166">
        <v>-1.21</v>
      </c>
      <c r="G166">
        <v>-3.9</v>
      </c>
      <c r="H166">
        <v>-6.98</v>
      </c>
      <c r="I166">
        <v>-16.23</v>
      </c>
      <c r="J166">
        <v>-9.8699999999999992</v>
      </c>
      <c r="K166">
        <v>-5.0199999999999996</v>
      </c>
      <c r="L166">
        <v>451.05</v>
      </c>
      <c r="M166">
        <v>759.21</v>
      </c>
    </row>
    <row r="167" spans="1:23" x14ac:dyDescent="0.3">
      <c r="A167" t="s">
        <v>175</v>
      </c>
      <c r="B167">
        <v>21.12</v>
      </c>
      <c r="C167">
        <v>0.19</v>
      </c>
      <c r="D167">
        <v>3685740.3</v>
      </c>
      <c r="E167">
        <v>6842880000</v>
      </c>
      <c r="F167">
        <v>-2.58</v>
      </c>
      <c r="G167">
        <v>-7.77</v>
      </c>
      <c r="H167">
        <v>-10.58</v>
      </c>
      <c r="I167">
        <v>-17.5</v>
      </c>
      <c r="J167">
        <v>-18.71</v>
      </c>
      <c r="K167">
        <v>-45.93</v>
      </c>
      <c r="L167">
        <v>91.65</v>
      </c>
      <c r="M167">
        <v>137.57</v>
      </c>
    </row>
    <row r="168" spans="1:23" x14ac:dyDescent="0.3">
      <c r="A168" t="s">
        <v>176</v>
      </c>
      <c r="B168">
        <v>108.6</v>
      </c>
      <c r="C168">
        <v>-3.29</v>
      </c>
      <c r="D168">
        <v>640332235.89999998</v>
      </c>
      <c r="E168">
        <v>36199999963.799995</v>
      </c>
      <c r="F168">
        <v>-0.82</v>
      </c>
    </row>
    <row r="169" spans="1:23" x14ac:dyDescent="0.3">
      <c r="A169" t="s">
        <v>177</v>
      </c>
      <c r="B169">
        <v>17.100000000000001</v>
      </c>
      <c r="C169">
        <v>-4.84</v>
      </c>
      <c r="D169">
        <v>205652234.30000001</v>
      </c>
      <c r="E169">
        <v>1710000000.0000002</v>
      </c>
      <c r="F169">
        <v>-3.72</v>
      </c>
      <c r="G169">
        <v>-2.34</v>
      </c>
      <c r="H169">
        <v>-27.79</v>
      </c>
      <c r="I169">
        <v>46.4</v>
      </c>
      <c r="J169">
        <v>-17.55</v>
      </c>
      <c r="K169">
        <v>-8.4600000000000009</v>
      </c>
      <c r="L169">
        <v>213.76</v>
      </c>
      <c r="M169">
        <v>540.45000000000005</v>
      </c>
    </row>
    <row r="170" spans="1:23" x14ac:dyDescent="0.3">
      <c r="A170" t="s">
        <v>178</v>
      </c>
      <c r="B170">
        <v>15.23</v>
      </c>
      <c r="C170">
        <v>-1.1000000000000001</v>
      </c>
      <c r="D170">
        <v>50844500.5</v>
      </c>
      <c r="E170">
        <v>2017975000</v>
      </c>
      <c r="F170">
        <v>-3.36</v>
      </c>
      <c r="G170">
        <v>1.53</v>
      </c>
      <c r="H170">
        <v>0.53</v>
      </c>
      <c r="J170">
        <v>-7.25</v>
      </c>
    </row>
    <row r="171" spans="1:23" x14ac:dyDescent="0.3">
      <c r="A171" t="s">
        <v>179</v>
      </c>
      <c r="B171">
        <v>25.9</v>
      </c>
      <c r="C171">
        <v>1.17</v>
      </c>
      <c r="D171">
        <v>46309458.020000003</v>
      </c>
      <c r="E171">
        <v>7770000000</v>
      </c>
      <c r="F171">
        <v>3.68</v>
      </c>
      <c r="G171">
        <v>15.11</v>
      </c>
      <c r="H171">
        <v>12.12</v>
      </c>
      <c r="I171">
        <v>20.13</v>
      </c>
      <c r="J171">
        <v>15.21</v>
      </c>
      <c r="K171">
        <v>153.41999999999999</v>
      </c>
      <c r="L171">
        <v>896.15</v>
      </c>
      <c r="M171">
        <v>1736.88</v>
      </c>
    </row>
    <row r="172" spans="1:23" x14ac:dyDescent="0.3">
      <c r="A172" t="s">
        <v>180</v>
      </c>
      <c r="B172">
        <v>7.7</v>
      </c>
      <c r="C172">
        <v>1.05</v>
      </c>
      <c r="D172">
        <v>102851874.7</v>
      </c>
      <c r="E172">
        <v>3080000000</v>
      </c>
      <c r="F172">
        <v>2.2599999999999998</v>
      </c>
      <c r="G172">
        <v>-15.29</v>
      </c>
      <c r="H172">
        <v>-26.67</v>
      </c>
      <c r="I172">
        <v>60.08</v>
      </c>
      <c r="J172">
        <v>-26.74</v>
      </c>
      <c r="K172">
        <v>46.39</v>
      </c>
      <c r="L172">
        <v>166.44</v>
      </c>
      <c r="M172">
        <v>710.53</v>
      </c>
    </row>
    <row r="173" spans="1:23" x14ac:dyDescent="0.3">
      <c r="A173" t="s">
        <v>181</v>
      </c>
      <c r="B173">
        <v>53.8</v>
      </c>
      <c r="C173">
        <v>-0.65</v>
      </c>
      <c r="D173">
        <v>12287694.550000001</v>
      </c>
      <c r="E173">
        <v>8608000000</v>
      </c>
      <c r="F173">
        <v>-0.55000000000000004</v>
      </c>
      <c r="G173">
        <v>-10.48</v>
      </c>
      <c r="H173">
        <v>4.3</v>
      </c>
      <c r="I173">
        <v>31.16</v>
      </c>
      <c r="J173">
        <v>-13.37</v>
      </c>
      <c r="K173">
        <v>-19.23</v>
      </c>
    </row>
    <row r="174" spans="1:23" x14ac:dyDescent="0.3">
      <c r="A174" t="s">
        <v>182</v>
      </c>
      <c r="B174">
        <v>43.92</v>
      </c>
      <c r="C174">
        <v>-0.9</v>
      </c>
      <c r="D174">
        <v>77220319.620000005</v>
      </c>
      <c r="E174">
        <v>30096619200</v>
      </c>
      <c r="F174">
        <v>-0.59</v>
      </c>
      <c r="G174">
        <v>-1.96</v>
      </c>
      <c r="H174">
        <v>-7.77</v>
      </c>
      <c r="I174">
        <v>-11.09</v>
      </c>
      <c r="J174">
        <v>-7.73</v>
      </c>
      <c r="K174">
        <v>-17.63</v>
      </c>
      <c r="L174">
        <v>520.34</v>
      </c>
      <c r="M174">
        <v>1191.76</v>
      </c>
      <c r="O174">
        <f>F174*F$1/$E$1</f>
        <v>-0.16619718309859152</v>
      </c>
      <c r="P174">
        <f t="shared" ref="P174" si="80">G174*G$1/$E$1</f>
        <v>-0.41408450704225352</v>
      </c>
      <c r="Q174">
        <f t="shared" ref="Q174" si="81">H174*H$1/$E$1</f>
        <v>-1.0943661971830985</v>
      </c>
      <c r="R174">
        <f t="shared" ref="R174" si="82">I174*I$1/$E$1</f>
        <v>-0.78098591549295782</v>
      </c>
      <c r="S174">
        <f t="shared" ref="S174" si="83">J174*J$1/$E$1</f>
        <v>-1.9052816901408451</v>
      </c>
      <c r="T174">
        <f t="shared" ref="T174" si="84">K174*K$1/$E$1</f>
        <v>-0.62077464788732384</v>
      </c>
      <c r="U174">
        <f t="shared" ref="U174" si="85">L174*L$1/$E$1</f>
        <v>3.664366197183099</v>
      </c>
      <c r="V174">
        <f t="shared" ref="V174" si="86">M174*M$1/$E$1</f>
        <v>8.3926760563380274</v>
      </c>
      <c r="W174" s="1">
        <f>SUM(O174:V174)</f>
        <v>7.0753521126760557</v>
      </c>
    </row>
    <row r="175" spans="1:23" x14ac:dyDescent="0.3">
      <c r="A175" t="s">
        <v>183</v>
      </c>
      <c r="B175">
        <v>184.4</v>
      </c>
      <c r="C175">
        <v>0.49</v>
      </c>
      <c r="D175">
        <v>17716034</v>
      </c>
      <c r="E175">
        <v>19362000000</v>
      </c>
      <c r="F175">
        <v>0.99</v>
      </c>
      <c r="G175">
        <v>-2.33</v>
      </c>
      <c r="H175">
        <v>-9.65</v>
      </c>
      <c r="I175">
        <v>-12.94</v>
      </c>
      <c r="J175">
        <v>-6.49</v>
      </c>
      <c r="K175">
        <v>-27.47</v>
      </c>
      <c r="L175">
        <v>385.14</v>
      </c>
      <c r="M175">
        <v>1681.64</v>
      </c>
    </row>
    <row r="176" spans="1:23" x14ac:dyDescent="0.3">
      <c r="A176" t="s">
        <v>184</v>
      </c>
      <c r="B176">
        <v>4.3</v>
      </c>
      <c r="C176">
        <v>-0.46</v>
      </c>
      <c r="D176">
        <v>14195964.18</v>
      </c>
      <c r="E176">
        <v>1729331000</v>
      </c>
      <c r="F176">
        <v>-1.6</v>
      </c>
      <c r="G176">
        <v>-2.27</v>
      </c>
      <c r="H176">
        <v>-6.52</v>
      </c>
      <c r="I176">
        <v>-27.97</v>
      </c>
      <c r="J176">
        <v>1.18</v>
      </c>
      <c r="K176">
        <v>-59.24</v>
      </c>
      <c r="L176">
        <v>58.09</v>
      </c>
    </row>
    <row r="177" spans="1:23" x14ac:dyDescent="0.3">
      <c r="A177" t="s">
        <v>185</v>
      </c>
      <c r="B177">
        <v>19</v>
      </c>
      <c r="C177">
        <v>0.69</v>
      </c>
      <c r="D177">
        <v>14455918.16</v>
      </c>
      <c r="E177">
        <v>1235000000</v>
      </c>
      <c r="F177">
        <v>2.15</v>
      </c>
      <c r="G177">
        <v>-7.32</v>
      </c>
      <c r="H177">
        <v>-21.1</v>
      </c>
      <c r="I177">
        <v>-9.26</v>
      </c>
      <c r="J177">
        <v>-11.79</v>
      </c>
      <c r="K177">
        <v>5.67</v>
      </c>
      <c r="L177">
        <v>472.29</v>
      </c>
      <c r="M177">
        <v>938.25</v>
      </c>
    </row>
    <row r="178" spans="1:23" x14ac:dyDescent="0.3">
      <c r="A178" t="s">
        <v>186</v>
      </c>
      <c r="B178">
        <v>66.650000000000006</v>
      </c>
      <c r="C178">
        <v>1.06</v>
      </c>
      <c r="D178">
        <v>79214737.700000003</v>
      </c>
      <c r="E178">
        <v>24193950000.000004</v>
      </c>
      <c r="F178">
        <v>-6.39</v>
      </c>
      <c r="G178">
        <v>5.79</v>
      </c>
      <c r="H178">
        <v>60.29</v>
      </c>
      <c r="I178">
        <v>128.72</v>
      </c>
      <c r="J178">
        <v>13.83</v>
      </c>
    </row>
    <row r="179" spans="1:23" x14ac:dyDescent="0.3">
      <c r="A179" t="s">
        <v>187</v>
      </c>
      <c r="B179">
        <v>8845</v>
      </c>
      <c r="C179">
        <v>-0.06</v>
      </c>
      <c r="D179">
        <v>100974387.5</v>
      </c>
      <c r="E179">
        <v>27861750000</v>
      </c>
      <c r="F179">
        <v>-2.8</v>
      </c>
      <c r="G179">
        <v>-6.6</v>
      </c>
      <c r="H179">
        <v>-16.829999999999998</v>
      </c>
      <c r="I179">
        <v>-12.69</v>
      </c>
      <c r="J179">
        <v>-9.81</v>
      </c>
      <c r="K179">
        <v>-48.82</v>
      </c>
      <c r="L179">
        <v>434.66</v>
      </c>
      <c r="M179">
        <v>1448.41</v>
      </c>
      <c r="O179">
        <f>F179*F$1/$E$1</f>
        <v>-0.78873239436619713</v>
      </c>
      <c r="P179">
        <f t="shared" ref="P179" si="87">G179*G$1/$E$1</f>
        <v>-1.3943661971830985</v>
      </c>
      <c r="Q179">
        <f t="shared" ref="Q179" si="88">H179*H$1/$E$1</f>
        <v>-2.3704225352112673</v>
      </c>
      <c r="R179">
        <f t="shared" ref="R179" si="89">I179*I$1/$E$1</f>
        <v>-0.89366197183098584</v>
      </c>
      <c r="S179">
        <f t="shared" ref="S179" si="90">J179*J$1/$E$1</f>
        <v>-2.4179577464788733</v>
      </c>
      <c r="T179">
        <f t="shared" ref="T179" si="91">K179*K$1/$E$1</f>
        <v>-1.7190140845070423</v>
      </c>
      <c r="U179">
        <f t="shared" ref="U179" si="92">L179*L$1/$E$1</f>
        <v>3.060985915492958</v>
      </c>
      <c r="V179">
        <f t="shared" ref="V179" si="93">M179*M$1/$E$1</f>
        <v>10.200070422535212</v>
      </c>
      <c r="W179" s="1">
        <f>SUM(O179:V179)</f>
        <v>3.6769014084507052</v>
      </c>
    </row>
    <row r="180" spans="1:23" x14ac:dyDescent="0.3">
      <c r="A180" t="s">
        <v>188</v>
      </c>
      <c r="B180">
        <v>16.09</v>
      </c>
      <c r="C180">
        <v>3.41</v>
      </c>
      <c r="D180">
        <v>59588870.130000003</v>
      </c>
      <c r="E180">
        <v>3218000000</v>
      </c>
      <c r="F180">
        <v>5.23</v>
      </c>
      <c r="G180">
        <v>7.05</v>
      </c>
    </row>
    <row r="181" spans="1:23" x14ac:dyDescent="0.3">
      <c r="A181" t="s">
        <v>189</v>
      </c>
      <c r="B181">
        <v>22.68</v>
      </c>
      <c r="C181">
        <v>1.07</v>
      </c>
      <c r="D181">
        <v>10273659.359999999</v>
      </c>
      <c r="E181">
        <v>2835000000</v>
      </c>
      <c r="F181">
        <v>-0.7</v>
      </c>
      <c r="G181">
        <v>-7.05</v>
      </c>
      <c r="H181">
        <v>-3.9</v>
      </c>
      <c r="I181">
        <v>21.28</v>
      </c>
      <c r="J181">
        <v>-5.0999999999999996</v>
      </c>
      <c r="K181">
        <v>12.17</v>
      </c>
      <c r="L181">
        <v>262.88</v>
      </c>
    </row>
    <row r="182" spans="1:23" x14ac:dyDescent="0.3">
      <c r="A182" t="s">
        <v>190</v>
      </c>
      <c r="B182">
        <v>62.35</v>
      </c>
      <c r="C182">
        <v>-1.27</v>
      </c>
      <c r="D182">
        <v>17484552.699999999</v>
      </c>
      <c r="E182">
        <v>6235000000</v>
      </c>
      <c r="F182">
        <v>-3.48</v>
      </c>
      <c r="G182">
        <v>-9.3699999999999992</v>
      </c>
      <c r="H182">
        <v>8.06</v>
      </c>
      <c r="I182">
        <v>-6.24</v>
      </c>
      <c r="J182">
        <v>-2.12</v>
      </c>
      <c r="K182">
        <v>22.98</v>
      </c>
      <c r="L182">
        <v>285.83</v>
      </c>
      <c r="M182">
        <v>1482.49</v>
      </c>
    </row>
    <row r="183" spans="1:23" x14ac:dyDescent="0.3">
      <c r="A183" t="s">
        <v>191</v>
      </c>
      <c r="B183">
        <v>22.02</v>
      </c>
      <c r="C183">
        <v>-0.18</v>
      </c>
      <c r="D183">
        <v>12435295.18</v>
      </c>
      <c r="E183">
        <v>12000900000</v>
      </c>
      <c r="F183">
        <v>-3.42</v>
      </c>
      <c r="G183">
        <v>-11.21</v>
      </c>
      <c r="H183">
        <v>-5.9</v>
      </c>
      <c r="I183">
        <v>-8.9700000000000006</v>
      </c>
      <c r="J183">
        <v>-7.94</v>
      </c>
      <c r="K183">
        <v>-25.78</v>
      </c>
      <c r="L183">
        <v>581.73</v>
      </c>
      <c r="M183">
        <v>1408.22</v>
      </c>
      <c r="O183">
        <f>F183*F$1/$E$1</f>
        <v>-0.96338028169014089</v>
      </c>
      <c r="P183">
        <f t="shared" ref="P183" si="94">G183*G$1/$E$1</f>
        <v>-2.3683098591549299</v>
      </c>
      <c r="Q183">
        <f t="shared" ref="Q183" si="95">H183*H$1/$E$1</f>
        <v>-0.83098591549295775</v>
      </c>
      <c r="R183">
        <f t="shared" ref="R183" si="96">I183*I$1/$E$1</f>
        <v>-0.63169014084507047</v>
      </c>
      <c r="S183">
        <f t="shared" ref="S183" si="97">J183*J$1/$E$1</f>
        <v>-1.9570422535211269</v>
      </c>
      <c r="T183">
        <f t="shared" ref="T183" si="98">K183*K$1/$E$1</f>
        <v>-0.90774647887323945</v>
      </c>
      <c r="U183">
        <f t="shared" ref="U183" si="99">L183*L$1/$E$1</f>
        <v>4.0966901408450704</v>
      </c>
      <c r="V183">
        <f t="shared" ref="V183" si="100">M183*M$1/$E$1</f>
        <v>9.9170422535211262</v>
      </c>
      <c r="W183" s="1">
        <f>SUM(O183:V183)</f>
        <v>6.354577464788731</v>
      </c>
    </row>
    <row r="184" spans="1:23" x14ac:dyDescent="0.3">
      <c r="A184" t="s">
        <v>192</v>
      </c>
      <c r="B184">
        <v>3.33</v>
      </c>
      <c r="C184">
        <v>-0.89</v>
      </c>
      <c r="D184">
        <v>5531500.6100000003</v>
      </c>
      <c r="E184">
        <v>2397600000</v>
      </c>
      <c r="F184">
        <v>-3.48</v>
      </c>
      <c r="G184">
        <v>-7.76</v>
      </c>
      <c r="H184">
        <v>-11.44</v>
      </c>
      <c r="I184">
        <v>-8.01</v>
      </c>
      <c r="J184">
        <v>-8.01</v>
      </c>
      <c r="K184">
        <v>-22.01</v>
      </c>
      <c r="L184">
        <v>69.040000000000006</v>
      </c>
      <c r="M184">
        <v>593.75</v>
      </c>
    </row>
    <row r="185" spans="1:23" x14ac:dyDescent="0.3">
      <c r="A185" t="s">
        <v>193</v>
      </c>
      <c r="B185">
        <v>14.4</v>
      </c>
      <c r="C185">
        <v>2.42</v>
      </c>
      <c r="D185">
        <v>3121029728.6399999</v>
      </c>
      <c r="E185">
        <v>54720000000</v>
      </c>
      <c r="F185">
        <v>3.97</v>
      </c>
      <c r="G185">
        <v>-5.7</v>
      </c>
      <c r="H185">
        <v>13.74</v>
      </c>
      <c r="I185">
        <v>23.29</v>
      </c>
      <c r="J185">
        <v>5.73</v>
      </c>
      <c r="K185">
        <v>26.98</v>
      </c>
      <c r="L185">
        <v>665.96</v>
      </c>
      <c r="M185">
        <v>1033.8599999999999</v>
      </c>
    </row>
    <row r="186" spans="1:23" x14ac:dyDescent="0.3">
      <c r="A186" t="s">
        <v>194</v>
      </c>
      <c r="B186">
        <v>50</v>
      </c>
      <c r="C186">
        <v>3.56</v>
      </c>
      <c r="D186">
        <v>631859.54</v>
      </c>
      <c r="E186">
        <v>464223500</v>
      </c>
      <c r="F186">
        <v>3.78</v>
      </c>
      <c r="G186">
        <v>-4.76</v>
      </c>
      <c r="H186">
        <v>-13.79</v>
      </c>
      <c r="I186">
        <v>-24.01</v>
      </c>
      <c r="J186">
        <v>-11.82</v>
      </c>
      <c r="K186">
        <v>-21.01</v>
      </c>
      <c r="L186">
        <v>669.23</v>
      </c>
      <c r="M186">
        <v>4137.29</v>
      </c>
    </row>
    <row r="187" spans="1:23" x14ac:dyDescent="0.3">
      <c r="A187" t="s">
        <v>195</v>
      </c>
      <c r="B187">
        <v>20.72</v>
      </c>
      <c r="C187">
        <v>-0.77</v>
      </c>
      <c r="D187">
        <v>18652597.739999998</v>
      </c>
      <c r="E187">
        <v>5801600000</v>
      </c>
      <c r="F187">
        <v>-2.91</v>
      </c>
      <c r="G187">
        <v>-15.98</v>
      </c>
      <c r="H187">
        <v>-17.12</v>
      </c>
      <c r="I187">
        <v>-33.590000000000003</v>
      </c>
      <c r="J187">
        <v>-18.23</v>
      </c>
      <c r="K187">
        <v>-63.84</v>
      </c>
    </row>
    <row r="188" spans="1:23" x14ac:dyDescent="0.3">
      <c r="A188" t="s">
        <v>196</v>
      </c>
      <c r="B188">
        <v>6.13</v>
      </c>
      <c r="C188">
        <v>1.66</v>
      </c>
      <c r="D188">
        <v>53410047.579999998</v>
      </c>
      <c r="E188">
        <v>3678000000</v>
      </c>
      <c r="F188">
        <v>-4.37</v>
      </c>
      <c r="G188">
        <v>-2.54</v>
      </c>
      <c r="H188">
        <v>8.5</v>
      </c>
      <c r="I188">
        <v>-5.98</v>
      </c>
      <c r="J188">
        <v>-11.93</v>
      </c>
      <c r="K188">
        <v>-30.42</v>
      </c>
    </row>
    <row r="189" spans="1:23" x14ac:dyDescent="0.3">
      <c r="A189" t="s">
        <v>197</v>
      </c>
      <c r="B189">
        <v>37.020000000000003</v>
      </c>
      <c r="C189">
        <v>0.43</v>
      </c>
      <c r="D189">
        <v>60267430.719999999</v>
      </c>
      <c r="E189">
        <v>4797792000</v>
      </c>
      <c r="F189">
        <v>-7.91</v>
      </c>
      <c r="G189">
        <v>4.1100000000000003</v>
      </c>
      <c r="H189">
        <v>1.65</v>
      </c>
      <c r="I189">
        <v>22.87</v>
      </c>
      <c r="J189">
        <v>-3.59</v>
      </c>
      <c r="K189">
        <v>-33.880000000000003</v>
      </c>
      <c r="L189">
        <v>471.3</v>
      </c>
    </row>
    <row r="190" spans="1:23" x14ac:dyDescent="0.3">
      <c r="A190" t="s">
        <v>198</v>
      </c>
      <c r="B190">
        <v>17.55</v>
      </c>
      <c r="C190">
        <v>1.04</v>
      </c>
      <c r="D190">
        <v>39257599.359999999</v>
      </c>
      <c r="E190">
        <v>2632500000</v>
      </c>
      <c r="F190">
        <v>8.67</v>
      </c>
      <c r="G190">
        <v>4.84</v>
      </c>
      <c r="H190">
        <v>28.2</v>
      </c>
      <c r="I190">
        <v>34.17</v>
      </c>
      <c r="J190">
        <v>12.72</v>
      </c>
      <c r="K190">
        <v>-2.72</v>
      </c>
      <c r="L190">
        <v>1260.47</v>
      </c>
      <c r="M190">
        <v>4180.49</v>
      </c>
    </row>
    <row r="191" spans="1:23" x14ac:dyDescent="0.3">
      <c r="A191" t="s">
        <v>199</v>
      </c>
      <c r="B191">
        <v>324</v>
      </c>
      <c r="C191">
        <v>-0.92</v>
      </c>
      <c r="D191">
        <v>893699.25</v>
      </c>
      <c r="E191">
        <v>2008800000</v>
      </c>
      <c r="F191">
        <v>-1.97</v>
      </c>
      <c r="G191">
        <v>12.89</v>
      </c>
      <c r="H191">
        <v>30.33</v>
      </c>
      <c r="I191">
        <v>1.25</v>
      </c>
      <c r="J191">
        <v>21.8</v>
      </c>
      <c r="K191">
        <v>65.47</v>
      </c>
      <c r="L191">
        <v>1350.31</v>
      </c>
      <c r="M191">
        <v>14560.63</v>
      </c>
    </row>
    <row r="192" spans="1:23" x14ac:dyDescent="0.3">
      <c r="A192" t="s">
        <v>200</v>
      </c>
      <c r="B192">
        <v>16.350000000000001</v>
      </c>
      <c r="C192">
        <v>3.15</v>
      </c>
      <c r="D192">
        <v>462134587.56</v>
      </c>
      <c r="E192">
        <v>7148173729.500001</v>
      </c>
      <c r="F192">
        <v>2.77</v>
      </c>
    </row>
    <row r="193" spans="1:23" x14ac:dyDescent="0.3">
      <c r="A193" t="s">
        <v>201</v>
      </c>
      <c r="B193">
        <v>222.7</v>
      </c>
      <c r="C193">
        <v>0.95</v>
      </c>
      <c r="D193">
        <v>86058282.599999994</v>
      </c>
      <c r="E193">
        <v>32291500000</v>
      </c>
      <c r="F193">
        <v>3.1</v>
      </c>
      <c r="G193">
        <v>-1.94</v>
      </c>
      <c r="H193">
        <v>-18.420000000000002</v>
      </c>
      <c r="I193">
        <v>10.08</v>
      </c>
      <c r="J193">
        <v>-13.26</v>
      </c>
      <c r="K193">
        <v>48.73</v>
      </c>
    </row>
    <row r="194" spans="1:23" x14ac:dyDescent="0.3">
      <c r="A194" t="s">
        <v>202</v>
      </c>
      <c r="B194">
        <v>58.05</v>
      </c>
      <c r="C194">
        <v>-1.94</v>
      </c>
      <c r="D194">
        <v>206403539.25</v>
      </c>
      <c r="E194">
        <v>68561053534.349998</v>
      </c>
      <c r="F194">
        <v>-2.0299999999999998</v>
      </c>
      <c r="G194">
        <v>-5.3</v>
      </c>
      <c r="H194">
        <v>-7.12</v>
      </c>
      <c r="I194">
        <v>-3.49</v>
      </c>
      <c r="J194">
        <v>-1.44</v>
      </c>
      <c r="K194">
        <v>-2.37</v>
      </c>
      <c r="L194">
        <v>427.25</v>
      </c>
      <c r="M194">
        <v>973.01</v>
      </c>
    </row>
    <row r="195" spans="1:23" x14ac:dyDescent="0.3">
      <c r="A195" t="s">
        <v>203</v>
      </c>
      <c r="B195">
        <v>48.58</v>
      </c>
      <c r="C195">
        <v>-1.42</v>
      </c>
      <c r="D195">
        <v>836947390.91999996</v>
      </c>
      <c r="E195">
        <v>291480000000</v>
      </c>
      <c r="F195">
        <v>-2.41</v>
      </c>
      <c r="G195">
        <v>-0.25</v>
      </c>
      <c r="H195">
        <v>-7.38</v>
      </c>
      <c r="I195">
        <v>-0.45</v>
      </c>
      <c r="J195">
        <v>-0.04</v>
      </c>
      <c r="K195">
        <v>34.68</v>
      </c>
      <c r="L195">
        <v>363.99</v>
      </c>
      <c r="M195">
        <v>977.16</v>
      </c>
    </row>
    <row r="196" spans="1:23" x14ac:dyDescent="0.3">
      <c r="A196" t="s">
        <v>204</v>
      </c>
      <c r="B196">
        <v>17.23</v>
      </c>
      <c r="C196">
        <v>1.35</v>
      </c>
      <c r="D196">
        <v>29423118.140000001</v>
      </c>
      <c r="E196">
        <v>2012464000</v>
      </c>
      <c r="F196">
        <v>-0.23</v>
      </c>
      <c r="G196">
        <v>-4.8600000000000003</v>
      </c>
      <c r="H196">
        <v>-8.1999999999999993</v>
      </c>
      <c r="I196">
        <v>-11.78</v>
      </c>
      <c r="J196">
        <v>-8.35</v>
      </c>
      <c r="K196">
        <v>-52.46</v>
      </c>
    </row>
    <row r="197" spans="1:23" x14ac:dyDescent="0.3">
      <c r="A197" t="s">
        <v>205</v>
      </c>
      <c r="B197">
        <v>8.2200000000000006</v>
      </c>
      <c r="C197">
        <v>-0.48</v>
      </c>
      <c r="D197">
        <v>126861367.84</v>
      </c>
      <c r="E197">
        <v>15165900000.000002</v>
      </c>
      <c r="F197">
        <v>8.44</v>
      </c>
      <c r="G197">
        <v>6.2</v>
      </c>
      <c r="H197">
        <v>4.18</v>
      </c>
      <c r="I197">
        <v>-4.53</v>
      </c>
      <c r="J197">
        <v>3.92</v>
      </c>
    </row>
    <row r="198" spans="1:23" x14ac:dyDescent="0.3">
      <c r="A198" t="s">
        <v>206</v>
      </c>
      <c r="B198">
        <v>5.53</v>
      </c>
      <c r="C198">
        <v>-0.54</v>
      </c>
      <c r="D198">
        <v>7059546.5599999996</v>
      </c>
      <c r="E198">
        <v>1054102183.1900001</v>
      </c>
      <c r="F198">
        <v>-4.66</v>
      </c>
      <c r="G198">
        <v>-8.14</v>
      </c>
      <c r="H198">
        <v>-3.99</v>
      </c>
      <c r="I198">
        <v>-10.52</v>
      </c>
      <c r="J198">
        <v>-9.34</v>
      </c>
      <c r="K198">
        <v>-21</v>
      </c>
      <c r="L198">
        <v>110.27</v>
      </c>
      <c r="M198">
        <v>160.85</v>
      </c>
    </row>
    <row r="199" spans="1:23" x14ac:dyDescent="0.3">
      <c r="A199" t="s">
        <v>207</v>
      </c>
      <c r="B199">
        <v>160.69999999999999</v>
      </c>
      <c r="C199">
        <v>-3.31</v>
      </c>
      <c r="D199">
        <v>9808984</v>
      </c>
      <c r="E199">
        <v>3214000000</v>
      </c>
      <c r="F199">
        <v>-5.58</v>
      </c>
      <c r="G199">
        <v>-8.64</v>
      </c>
      <c r="H199">
        <v>-10.72</v>
      </c>
      <c r="I199">
        <v>-8.8000000000000007</v>
      </c>
      <c r="J199">
        <v>-15.91</v>
      </c>
      <c r="K199">
        <v>-38.700000000000003</v>
      </c>
      <c r="L199">
        <v>56.7</v>
      </c>
      <c r="M199">
        <v>740.48</v>
      </c>
      <c r="O199">
        <f>F199*F$1/$E$1</f>
        <v>-1.5718309859154929</v>
      </c>
      <c r="P199">
        <f t="shared" ref="P199" si="101">G199*G$1/$E$1</f>
        <v>-1.8253521126760566</v>
      </c>
      <c r="Q199">
        <f t="shared" ref="Q199" si="102">H199*H$1/$E$1</f>
        <v>-1.5098591549295775</v>
      </c>
      <c r="R199">
        <f t="shared" ref="R199" si="103">I199*I$1/$E$1</f>
        <v>-0.61971830985915488</v>
      </c>
      <c r="S199">
        <f t="shared" ref="S199" si="104">J199*J$1/$E$1</f>
        <v>-3.9214788732394368</v>
      </c>
      <c r="T199">
        <f t="shared" ref="T199" si="105">K199*K$1/$E$1</f>
        <v>-1.3626760563380282</v>
      </c>
      <c r="U199">
        <f t="shared" ref="U199" si="106">L199*L$1/$E$1</f>
        <v>0.39929577464788735</v>
      </c>
      <c r="V199">
        <f t="shared" ref="V199" si="107">M199*M$1/$E$1</f>
        <v>5.2146478873239435</v>
      </c>
      <c r="W199" s="1">
        <f>SUM(O199:V199)</f>
        <v>-5.1969718309859161</v>
      </c>
    </row>
    <row r="200" spans="1:23" x14ac:dyDescent="0.3">
      <c r="A200" t="s">
        <v>208</v>
      </c>
      <c r="B200">
        <v>86.75</v>
      </c>
      <c r="C200">
        <v>-0.56999999999999995</v>
      </c>
      <c r="D200">
        <v>18195070.100000001</v>
      </c>
      <c r="E200">
        <v>6746589226.75</v>
      </c>
      <c r="F200">
        <v>0.06</v>
      </c>
      <c r="G200">
        <v>-2.2000000000000002</v>
      </c>
      <c r="H200">
        <v>-12.06</v>
      </c>
      <c r="I200">
        <v>-10.34</v>
      </c>
      <c r="J200">
        <v>-13.42</v>
      </c>
      <c r="K200">
        <v>-56.67</v>
      </c>
      <c r="L200">
        <v>122.55</v>
      </c>
    </row>
    <row r="201" spans="1:23" x14ac:dyDescent="0.3">
      <c r="A201" t="s">
        <v>209</v>
      </c>
      <c r="B201">
        <v>22.32</v>
      </c>
      <c r="C201">
        <v>-0.18</v>
      </c>
      <c r="D201">
        <v>6939275774.3199997</v>
      </c>
      <c r="E201">
        <v>156240000000</v>
      </c>
      <c r="F201">
        <v>-0.27</v>
      </c>
      <c r="G201">
        <v>-0.53</v>
      </c>
      <c r="H201">
        <v>-13.42</v>
      </c>
      <c r="I201">
        <v>-7.65</v>
      </c>
      <c r="J201">
        <v>-8.52</v>
      </c>
      <c r="K201">
        <v>-1.63</v>
      </c>
      <c r="L201">
        <v>55.22</v>
      </c>
      <c r="M201">
        <v>629.41</v>
      </c>
    </row>
    <row r="202" spans="1:23" x14ac:dyDescent="0.3">
      <c r="A202" t="s">
        <v>210</v>
      </c>
      <c r="B202">
        <v>14.43</v>
      </c>
      <c r="C202">
        <v>-1.5</v>
      </c>
      <c r="D202">
        <v>4112207.99</v>
      </c>
      <c r="E202">
        <v>519480000</v>
      </c>
      <c r="F202">
        <v>-5.25</v>
      </c>
      <c r="G202">
        <v>-15.07</v>
      </c>
      <c r="H202">
        <v>-19.79</v>
      </c>
      <c r="I202">
        <v>-32.380000000000003</v>
      </c>
      <c r="J202">
        <v>-18.100000000000001</v>
      </c>
      <c r="K202">
        <v>-53.12</v>
      </c>
      <c r="L202">
        <v>230.96</v>
      </c>
      <c r="M202">
        <v>371.57</v>
      </c>
    </row>
    <row r="203" spans="1:23" x14ac:dyDescent="0.3">
      <c r="A203" t="s">
        <v>211</v>
      </c>
      <c r="B203">
        <v>47.64</v>
      </c>
      <c r="C203">
        <v>1.1499999999999999</v>
      </c>
      <c r="D203">
        <v>17725494.82</v>
      </c>
      <c r="E203">
        <v>23820000000</v>
      </c>
      <c r="F203">
        <v>0.13</v>
      </c>
      <c r="G203">
        <v>5.17</v>
      </c>
      <c r="H203">
        <v>7.54</v>
      </c>
      <c r="I203">
        <v>19.100000000000001</v>
      </c>
      <c r="J203">
        <v>3.34</v>
      </c>
      <c r="K203">
        <v>120.76</v>
      </c>
      <c r="L203">
        <v>1227.02</v>
      </c>
    </row>
    <row r="204" spans="1:23" x14ac:dyDescent="0.3">
      <c r="A204" t="s">
        <v>212</v>
      </c>
      <c r="B204">
        <v>3.37</v>
      </c>
      <c r="C204">
        <v>-3.44</v>
      </c>
      <c r="D204">
        <v>30581341.260000002</v>
      </c>
      <c r="E204">
        <v>2375318163.4500003</v>
      </c>
      <c r="F204">
        <v>-92.84</v>
      </c>
      <c r="G204">
        <v>-93.36</v>
      </c>
      <c r="H204">
        <v>-93.74</v>
      </c>
      <c r="I204">
        <v>-95.04</v>
      </c>
      <c r="J204">
        <v>-93.83</v>
      </c>
      <c r="K204">
        <v>-96.17</v>
      </c>
      <c r="L204">
        <v>-49.09</v>
      </c>
      <c r="M204">
        <v>17.010000000000002</v>
      </c>
    </row>
    <row r="205" spans="1:23" x14ac:dyDescent="0.3">
      <c r="A205" t="s">
        <v>213</v>
      </c>
      <c r="B205">
        <v>35.42</v>
      </c>
      <c r="C205">
        <v>-9.9600000000000009</v>
      </c>
      <c r="D205">
        <v>367637484.57999998</v>
      </c>
      <c r="E205">
        <v>9209200000</v>
      </c>
      <c r="F205">
        <v>14.26</v>
      </c>
      <c r="G205">
        <v>22.48</v>
      </c>
      <c r="H205">
        <v>73.12</v>
      </c>
      <c r="I205">
        <v>82.11</v>
      </c>
      <c r="J205">
        <v>51.76</v>
      </c>
      <c r="K205">
        <v>52.41</v>
      </c>
      <c r="L205">
        <v>376.72</v>
      </c>
    </row>
    <row r="206" spans="1:23" x14ac:dyDescent="0.3">
      <c r="A206" t="s">
        <v>214</v>
      </c>
      <c r="B206">
        <v>4.96</v>
      </c>
      <c r="C206">
        <v>3.77</v>
      </c>
      <c r="D206">
        <v>14166476.85</v>
      </c>
      <c r="E206">
        <v>595200000</v>
      </c>
      <c r="F206">
        <v>-1.39</v>
      </c>
      <c r="G206">
        <v>-12.52</v>
      </c>
      <c r="H206">
        <v>-69.36</v>
      </c>
      <c r="I206">
        <v>-28.74</v>
      </c>
      <c r="J206">
        <v>-26.63</v>
      </c>
      <c r="K206">
        <v>-11.11</v>
      </c>
      <c r="L206">
        <v>101.63</v>
      </c>
      <c r="M206">
        <v>1553.33</v>
      </c>
    </row>
    <row r="207" spans="1:23" x14ac:dyDescent="0.3">
      <c r="A207" t="s">
        <v>215</v>
      </c>
      <c r="B207">
        <v>9.15</v>
      </c>
      <c r="C207">
        <v>-2.4500000000000002</v>
      </c>
      <c r="D207">
        <v>904973.86</v>
      </c>
      <c r="E207">
        <v>183000000</v>
      </c>
      <c r="F207">
        <v>-3.48</v>
      </c>
      <c r="G207">
        <v>-16.21</v>
      </c>
      <c r="H207">
        <v>-24.38</v>
      </c>
      <c r="I207">
        <v>-24.25</v>
      </c>
      <c r="J207">
        <v>-25.85</v>
      </c>
      <c r="K207">
        <v>-36.549999999999997</v>
      </c>
      <c r="L207">
        <v>189.56</v>
      </c>
      <c r="M207">
        <v>755.14</v>
      </c>
    </row>
    <row r="208" spans="1:23" x14ac:dyDescent="0.3">
      <c r="A208" t="s">
        <v>216</v>
      </c>
      <c r="B208">
        <v>8.5</v>
      </c>
      <c r="C208">
        <v>1.19</v>
      </c>
      <c r="D208">
        <v>4977682.0999999996</v>
      </c>
      <c r="E208">
        <v>1275000000</v>
      </c>
      <c r="F208">
        <v>3.66</v>
      </c>
      <c r="G208">
        <v>4.9400000000000004</v>
      </c>
      <c r="H208">
        <v>14.86</v>
      </c>
      <c r="I208">
        <v>40.729999999999997</v>
      </c>
      <c r="J208">
        <v>-5.56</v>
      </c>
      <c r="K208">
        <v>151.47999999999999</v>
      </c>
      <c r="L208">
        <v>402.96</v>
      </c>
      <c r="M208">
        <v>1048.6500000000001</v>
      </c>
    </row>
    <row r="209" spans="1:23" x14ac:dyDescent="0.3">
      <c r="A209" t="s">
        <v>217</v>
      </c>
      <c r="B209">
        <v>11.55</v>
      </c>
      <c r="C209">
        <v>-2.12</v>
      </c>
      <c r="D209">
        <v>1773456.2</v>
      </c>
      <c r="E209">
        <v>231000000</v>
      </c>
      <c r="F209">
        <v>-1.1100000000000001</v>
      </c>
      <c r="G209">
        <v>-13.09</v>
      </c>
      <c r="H209">
        <v>-6.48</v>
      </c>
      <c r="I209">
        <v>-14.89</v>
      </c>
      <c r="J209">
        <v>-25.72</v>
      </c>
      <c r="K209">
        <v>-47.93</v>
      </c>
      <c r="L209">
        <v>208</v>
      </c>
      <c r="M209">
        <v>761.94</v>
      </c>
    </row>
    <row r="210" spans="1:23" x14ac:dyDescent="0.3">
      <c r="A210" t="s">
        <v>218</v>
      </c>
      <c r="B210">
        <v>32.72</v>
      </c>
      <c r="C210">
        <v>-1.86</v>
      </c>
      <c r="D210">
        <v>79104880.560000002</v>
      </c>
      <c r="E210">
        <v>21595200000</v>
      </c>
      <c r="F210">
        <v>-2.33</v>
      </c>
      <c r="G210">
        <v>-11.57</v>
      </c>
      <c r="H210">
        <v>-7.1</v>
      </c>
      <c r="I210">
        <v>10.09</v>
      </c>
      <c r="J210">
        <v>-1.39</v>
      </c>
      <c r="K210">
        <v>-42.32</v>
      </c>
    </row>
    <row r="211" spans="1:23" x14ac:dyDescent="0.3">
      <c r="A211" t="s">
        <v>219</v>
      </c>
      <c r="B211">
        <v>4.22</v>
      </c>
      <c r="C211">
        <v>-0.71</v>
      </c>
      <c r="D211">
        <v>173615197.41</v>
      </c>
      <c r="E211">
        <v>8862000000</v>
      </c>
      <c r="F211">
        <v>3.18</v>
      </c>
      <c r="G211">
        <v>-1.17</v>
      </c>
      <c r="H211">
        <v>5.5</v>
      </c>
      <c r="I211">
        <v>-19</v>
      </c>
      <c r="J211">
        <v>-13.7</v>
      </c>
      <c r="K211">
        <v>-42.27</v>
      </c>
    </row>
    <row r="212" spans="1:23" x14ac:dyDescent="0.3">
      <c r="A212" t="s">
        <v>220</v>
      </c>
      <c r="B212">
        <v>9.2799999999999994</v>
      </c>
      <c r="C212">
        <v>-1.28</v>
      </c>
      <c r="D212">
        <v>4288825.41</v>
      </c>
      <c r="E212">
        <v>185600000</v>
      </c>
      <c r="F212">
        <v>-6.45</v>
      </c>
      <c r="G212">
        <v>-28.56</v>
      </c>
      <c r="H212">
        <v>-8.2100000000000009</v>
      </c>
      <c r="I212">
        <v>-13.83</v>
      </c>
      <c r="J212">
        <v>-40.89</v>
      </c>
      <c r="K212">
        <v>-57.12</v>
      </c>
      <c r="L212">
        <v>252.85</v>
      </c>
      <c r="M212">
        <v>792.31</v>
      </c>
    </row>
    <row r="213" spans="1:23" x14ac:dyDescent="0.3">
      <c r="A213" t="s">
        <v>221</v>
      </c>
      <c r="B213">
        <v>2.2000000000000002</v>
      </c>
      <c r="C213">
        <v>-5.58</v>
      </c>
      <c r="D213">
        <v>59969930.369999997</v>
      </c>
      <c r="E213">
        <v>1540000000.0000002</v>
      </c>
      <c r="F213">
        <v>-12</v>
      </c>
      <c r="G213">
        <v>4.76</v>
      </c>
      <c r="H213">
        <v>-2.65</v>
      </c>
      <c r="I213">
        <v>-3.51</v>
      </c>
      <c r="J213">
        <v>0</v>
      </c>
      <c r="K213">
        <v>-35.29</v>
      </c>
    </row>
    <row r="214" spans="1:23" x14ac:dyDescent="0.3">
      <c r="A214" t="s">
        <v>222</v>
      </c>
      <c r="B214">
        <v>13.66</v>
      </c>
      <c r="C214">
        <v>0.37</v>
      </c>
      <c r="D214">
        <v>10508427.84</v>
      </c>
      <c r="E214">
        <v>1146005700</v>
      </c>
      <c r="F214">
        <v>-7.58</v>
      </c>
      <c r="G214">
        <v>-11.41</v>
      </c>
      <c r="H214">
        <v>-13.98</v>
      </c>
      <c r="I214">
        <v>-5.07</v>
      </c>
      <c r="J214">
        <v>-15.63</v>
      </c>
      <c r="K214">
        <v>-30.73</v>
      </c>
      <c r="L214">
        <v>128.81</v>
      </c>
    </row>
    <row r="215" spans="1:23" x14ac:dyDescent="0.3">
      <c r="A215" t="s">
        <v>223</v>
      </c>
      <c r="B215">
        <v>48.02</v>
      </c>
      <c r="C215">
        <v>1.91</v>
      </c>
      <c r="D215">
        <v>236915094.90000001</v>
      </c>
      <c r="E215">
        <v>12005000000</v>
      </c>
      <c r="F215">
        <v>-1.32</v>
      </c>
      <c r="G215">
        <v>-8.5299999999999994</v>
      </c>
      <c r="H215">
        <v>7.52</v>
      </c>
      <c r="I215">
        <v>-21.34</v>
      </c>
      <c r="J215">
        <v>2.39</v>
      </c>
      <c r="K215">
        <v>4.71</v>
      </c>
      <c r="L215">
        <v>362.18</v>
      </c>
      <c r="M215">
        <v>843.42</v>
      </c>
      <c r="O215">
        <f>F215*F$1/$E$1</f>
        <v>-0.37183098591549296</v>
      </c>
      <c r="P215">
        <f t="shared" ref="P215" si="108">G215*G$1/$E$1</f>
        <v>-1.802112676056338</v>
      </c>
      <c r="Q215">
        <f t="shared" ref="Q215" si="109">H215*H$1/$E$1</f>
        <v>1.0591549295774647</v>
      </c>
      <c r="R215">
        <f t="shared" ref="R215" si="110">I215*I$1/$E$1</f>
        <v>-1.5028169014084507</v>
      </c>
      <c r="S215">
        <f t="shared" ref="S215" si="111">J215*J$1/$E$1</f>
        <v>0.58908450704225357</v>
      </c>
      <c r="T215">
        <f t="shared" ref="T215" si="112">K215*K$1/$E$1</f>
        <v>0.16584507042253521</v>
      </c>
      <c r="U215">
        <f t="shared" ref="U215" si="113">L215*L$1/$E$1</f>
        <v>2.5505633802816901</v>
      </c>
      <c r="V215">
        <f t="shared" ref="V215" si="114">M215*M$1/$E$1</f>
        <v>5.9395774647887318</v>
      </c>
      <c r="W215" s="1">
        <f>SUM(O215:V215)</f>
        <v>6.6274647887323939</v>
      </c>
    </row>
    <row r="216" spans="1:23" x14ac:dyDescent="0.3">
      <c r="A216" t="s">
        <v>224</v>
      </c>
      <c r="B216">
        <v>8.3000000000000007</v>
      </c>
      <c r="C216">
        <v>-0.36</v>
      </c>
      <c r="D216">
        <v>19106050.710000001</v>
      </c>
      <c r="E216">
        <v>778125000.00000012</v>
      </c>
      <c r="F216">
        <v>-4.49</v>
      </c>
      <c r="G216">
        <v>-8.7899999999999991</v>
      </c>
      <c r="H216">
        <v>-3.94</v>
      </c>
      <c r="I216">
        <v>-7.16</v>
      </c>
      <c r="J216">
        <v>-15.99</v>
      </c>
      <c r="K216">
        <v>-47.8</v>
      </c>
      <c r="L216">
        <v>273.87</v>
      </c>
      <c r="M216">
        <v>391.12</v>
      </c>
    </row>
    <row r="217" spans="1:23" x14ac:dyDescent="0.3">
      <c r="A217" t="s">
        <v>225</v>
      </c>
      <c r="B217">
        <v>298.5</v>
      </c>
      <c r="C217">
        <v>4.46</v>
      </c>
      <c r="D217">
        <v>75775687.25</v>
      </c>
      <c r="E217">
        <v>4261621815</v>
      </c>
      <c r="F217">
        <v>6.23</v>
      </c>
      <c r="G217">
        <v>-2.4500000000000002</v>
      </c>
      <c r="H217">
        <v>-2.4500000000000002</v>
      </c>
      <c r="I217">
        <v>1.7</v>
      </c>
      <c r="J217">
        <v>-8.44</v>
      </c>
      <c r="K217">
        <v>-13.35</v>
      </c>
      <c r="L217">
        <v>199.91</v>
      </c>
      <c r="M217">
        <v>665.38</v>
      </c>
    </row>
    <row r="218" spans="1:23" x14ac:dyDescent="0.3">
      <c r="A218" t="s">
        <v>226</v>
      </c>
      <c r="B218">
        <v>13.5</v>
      </c>
      <c r="C218">
        <v>0.37</v>
      </c>
      <c r="D218">
        <v>31708569.440000001</v>
      </c>
      <c r="E218">
        <v>1944000000</v>
      </c>
      <c r="F218">
        <v>-4.53</v>
      </c>
      <c r="G218">
        <v>-17.68</v>
      </c>
      <c r="H218">
        <v>-21.37</v>
      </c>
      <c r="I218">
        <v>-23.77</v>
      </c>
      <c r="J218">
        <v>-19.64</v>
      </c>
      <c r="K218">
        <v>-66.319999999999993</v>
      </c>
      <c r="L218">
        <v>385.61</v>
      </c>
      <c r="M218">
        <v>558.54</v>
      </c>
    </row>
    <row r="219" spans="1:23" x14ac:dyDescent="0.3">
      <c r="A219" t="s">
        <v>227</v>
      </c>
      <c r="B219">
        <v>5.71</v>
      </c>
      <c r="C219">
        <v>4.96</v>
      </c>
      <c r="D219">
        <v>123871479.98999999</v>
      </c>
      <c r="E219">
        <v>3072727735.9200001</v>
      </c>
      <c r="F219">
        <v>15.82</v>
      </c>
      <c r="G219">
        <v>1.06</v>
      </c>
      <c r="H219">
        <v>-18.89</v>
      </c>
      <c r="I219">
        <v>47.16</v>
      </c>
      <c r="J219">
        <v>-27.63</v>
      </c>
      <c r="K219">
        <v>100.35</v>
      </c>
      <c r="L219">
        <v>851.67</v>
      </c>
      <c r="M219">
        <v>682.19</v>
      </c>
    </row>
    <row r="220" spans="1:23" x14ac:dyDescent="0.3">
      <c r="A220" t="s">
        <v>228</v>
      </c>
      <c r="B220">
        <v>62.75</v>
      </c>
      <c r="C220">
        <v>1.46</v>
      </c>
      <c r="D220">
        <v>57354771.549999997</v>
      </c>
      <c r="E220">
        <v>4204250000</v>
      </c>
      <c r="F220">
        <v>12.96</v>
      </c>
      <c r="G220">
        <v>17.07</v>
      </c>
      <c r="H220">
        <v>31</v>
      </c>
      <c r="I220">
        <v>23.31</v>
      </c>
      <c r="J220">
        <v>19.98</v>
      </c>
      <c r="K220">
        <v>-27.6</v>
      </c>
      <c r="O220">
        <f>F220*F$1/$E$1</f>
        <v>3.6507042253521131</v>
      </c>
      <c r="P220">
        <f t="shared" ref="P220" si="115">G220*G$1/$E$1</f>
        <v>3.6063380281690143</v>
      </c>
      <c r="Q220">
        <f t="shared" ref="Q220" si="116">H220*H$1/$E$1</f>
        <v>4.3661971830985919</v>
      </c>
      <c r="R220">
        <f t="shared" ref="R220" si="117">I220*I$1/$E$1</f>
        <v>1.6415492957746478</v>
      </c>
      <c r="S220">
        <f t="shared" ref="S220" si="118">J220*J$1/$E$1</f>
        <v>4.9246478873239443</v>
      </c>
      <c r="T220">
        <f t="shared" ref="T220" si="119">K220*K$1/$E$1</f>
        <v>-0.971830985915493</v>
      </c>
      <c r="U220">
        <f t="shared" ref="U220" si="120">L220*L$1/$E$1</f>
        <v>0</v>
      </c>
      <c r="V220">
        <f t="shared" ref="V220" si="121">M220*M$1/$E$1</f>
        <v>0</v>
      </c>
      <c r="W220" s="1">
        <f>SUM(O220:V220)</f>
        <v>17.217605633802822</v>
      </c>
    </row>
    <row r="221" spans="1:23" x14ac:dyDescent="0.3">
      <c r="A221" t="s">
        <v>229</v>
      </c>
      <c r="B221">
        <v>7.98</v>
      </c>
      <c r="C221">
        <v>1.79</v>
      </c>
      <c r="D221">
        <v>26469986.370000001</v>
      </c>
      <c r="E221">
        <v>1173877750.5</v>
      </c>
      <c r="F221">
        <v>2.7</v>
      </c>
      <c r="G221">
        <v>-6.01</v>
      </c>
      <c r="H221">
        <v>-0.87</v>
      </c>
      <c r="I221">
        <v>13.68</v>
      </c>
      <c r="J221">
        <v>3.64</v>
      </c>
      <c r="K221">
        <v>-9.83</v>
      </c>
      <c r="L221">
        <v>181.98</v>
      </c>
      <c r="M221">
        <v>1127.69</v>
      </c>
    </row>
    <row r="222" spans="1:23" x14ac:dyDescent="0.3">
      <c r="A222" t="s">
        <v>230</v>
      </c>
      <c r="B222">
        <v>882.5</v>
      </c>
      <c r="C222">
        <v>-0.9</v>
      </c>
      <c r="D222">
        <v>1302754851.5</v>
      </c>
      <c r="E222">
        <v>309678075000</v>
      </c>
      <c r="F222">
        <v>-2.38</v>
      </c>
      <c r="G222">
        <v>-5.0599999999999996</v>
      </c>
      <c r="H222">
        <v>-8.74</v>
      </c>
      <c r="I222">
        <v>-7.15</v>
      </c>
      <c r="J222">
        <v>-5.82</v>
      </c>
      <c r="K222">
        <v>-7.94</v>
      </c>
      <c r="L222">
        <v>294.17</v>
      </c>
      <c r="M222">
        <v>1399.32</v>
      </c>
    </row>
    <row r="223" spans="1:23" x14ac:dyDescent="0.3">
      <c r="A223" t="s">
        <v>231</v>
      </c>
      <c r="B223">
        <v>30.7</v>
      </c>
      <c r="C223">
        <v>-2.54</v>
      </c>
      <c r="D223">
        <v>32574253.68</v>
      </c>
      <c r="E223">
        <v>9762600000</v>
      </c>
      <c r="F223">
        <v>1.1200000000000001</v>
      </c>
      <c r="G223">
        <v>-0.32</v>
      </c>
      <c r="H223">
        <v>32.33</v>
      </c>
      <c r="I223">
        <v>119.44</v>
      </c>
      <c r="J223">
        <v>12.87</v>
      </c>
      <c r="K223">
        <v>93.81</v>
      </c>
    </row>
    <row r="224" spans="1:23" x14ac:dyDescent="0.3">
      <c r="A224" t="s">
        <v>232</v>
      </c>
      <c r="B224">
        <v>128.69999999999999</v>
      </c>
      <c r="C224">
        <v>1.18</v>
      </c>
      <c r="D224">
        <v>4519613840.6999998</v>
      </c>
      <c r="E224">
        <v>540539999999.99994</v>
      </c>
      <c r="F224">
        <v>0.55000000000000004</v>
      </c>
      <c r="G224">
        <v>1.1000000000000001</v>
      </c>
      <c r="H224">
        <v>6.8</v>
      </c>
      <c r="I224">
        <v>14.6</v>
      </c>
      <c r="J224">
        <v>3.46</v>
      </c>
      <c r="K224">
        <v>117.58</v>
      </c>
      <c r="L224">
        <v>1173</v>
      </c>
      <c r="M224">
        <v>1490.85</v>
      </c>
    </row>
    <row r="225" spans="1:23" x14ac:dyDescent="0.3">
      <c r="A225" t="s">
        <v>233</v>
      </c>
      <c r="B225">
        <v>17.7</v>
      </c>
      <c r="C225">
        <v>0.4</v>
      </c>
      <c r="D225">
        <v>7085459.9000000004</v>
      </c>
      <c r="E225">
        <v>7035750000</v>
      </c>
      <c r="F225">
        <v>-1.1200000000000001</v>
      </c>
      <c r="G225">
        <v>-6.69</v>
      </c>
      <c r="H225">
        <v>-10.29</v>
      </c>
      <c r="I225">
        <v>-11.76</v>
      </c>
      <c r="J225">
        <v>-13.24</v>
      </c>
      <c r="K225">
        <v>-50.83</v>
      </c>
      <c r="L225">
        <v>679.74</v>
      </c>
      <c r="M225">
        <v>2198.6999999999998</v>
      </c>
    </row>
    <row r="226" spans="1:23" x14ac:dyDescent="0.3">
      <c r="A226" t="s">
        <v>234</v>
      </c>
      <c r="B226">
        <v>6.88</v>
      </c>
      <c r="C226">
        <v>0.57999999999999996</v>
      </c>
      <c r="D226">
        <v>2563038.94</v>
      </c>
      <c r="E226">
        <v>6880000000</v>
      </c>
      <c r="F226">
        <v>2.08</v>
      </c>
      <c r="G226">
        <v>-8.99</v>
      </c>
      <c r="H226">
        <v>-7.77</v>
      </c>
      <c r="I226">
        <v>1.18</v>
      </c>
      <c r="J226">
        <v>-18.39</v>
      </c>
      <c r="K226">
        <v>-2.5499999999999998</v>
      </c>
      <c r="L226">
        <v>302.33999999999997</v>
      </c>
      <c r="M226">
        <v>700</v>
      </c>
    </row>
    <row r="227" spans="1:23" x14ac:dyDescent="0.3">
      <c r="A227" t="s">
        <v>235</v>
      </c>
      <c r="B227">
        <v>38.9</v>
      </c>
      <c r="C227">
        <v>1.94</v>
      </c>
      <c r="D227">
        <v>17175487.66</v>
      </c>
      <c r="E227">
        <v>1814918400</v>
      </c>
      <c r="F227">
        <v>9.2100000000000009</v>
      </c>
      <c r="G227">
        <v>8.66</v>
      </c>
      <c r="H227">
        <v>97.36</v>
      </c>
      <c r="I227">
        <v>84.54</v>
      </c>
      <c r="J227">
        <v>32.22</v>
      </c>
      <c r="K227">
        <v>35.729999999999997</v>
      </c>
      <c r="L227">
        <v>363.65</v>
      </c>
      <c r="M227">
        <v>2148.5500000000002</v>
      </c>
    </row>
    <row r="228" spans="1:23" x14ac:dyDescent="0.3">
      <c r="A228" t="s">
        <v>236</v>
      </c>
      <c r="B228">
        <v>152.1</v>
      </c>
      <c r="C228">
        <v>2.36</v>
      </c>
      <c r="D228">
        <v>325486566</v>
      </c>
      <c r="E228">
        <v>45630000000</v>
      </c>
      <c r="F228">
        <v>7.34</v>
      </c>
      <c r="G228">
        <v>29.23</v>
      </c>
      <c r="H228">
        <v>40.700000000000003</v>
      </c>
      <c r="I228">
        <v>75.430000000000007</v>
      </c>
      <c r="J228">
        <v>26.75</v>
      </c>
      <c r="K228">
        <v>107.82</v>
      </c>
      <c r="L228">
        <v>1115.83</v>
      </c>
    </row>
    <row r="229" spans="1:23" x14ac:dyDescent="0.3">
      <c r="A229" t="s">
        <v>237</v>
      </c>
      <c r="B229">
        <v>12.16</v>
      </c>
      <c r="C229">
        <v>-3.34</v>
      </c>
      <c r="D229">
        <v>30933745.100000001</v>
      </c>
      <c r="E229">
        <v>3648000000</v>
      </c>
      <c r="F229">
        <v>-3.87</v>
      </c>
      <c r="G229">
        <v>10.55</v>
      </c>
      <c r="H229">
        <v>38.97</v>
      </c>
      <c r="I229">
        <v>57.51</v>
      </c>
      <c r="J229">
        <v>17.829999999999998</v>
      </c>
      <c r="K229">
        <v>26.93</v>
      </c>
      <c r="L229">
        <v>462.96</v>
      </c>
      <c r="M229">
        <v>921.85</v>
      </c>
      <c r="O229">
        <f>F229*F$1/$E$1</f>
        <v>-1.0901408450704226</v>
      </c>
      <c r="P229">
        <f t="shared" ref="P229" si="122">G229*G$1/$E$1</f>
        <v>2.2288732394366195</v>
      </c>
      <c r="Q229">
        <f t="shared" ref="Q229" si="123">H229*H$1/$E$1</f>
        <v>5.4887323943661972</v>
      </c>
      <c r="R229">
        <f t="shared" ref="R229" si="124">I229*I$1/$E$1</f>
        <v>4.05</v>
      </c>
      <c r="S229">
        <f t="shared" ref="S229" si="125">J229*J$1/$E$1</f>
        <v>4.3947183098591545</v>
      </c>
      <c r="T229">
        <f t="shared" ref="T229" si="126">K229*K$1/$E$1</f>
        <v>0.94823943661971832</v>
      </c>
      <c r="U229">
        <f t="shared" ref="U229" si="127">L229*L$1/$E$1</f>
        <v>3.2602816901408449</v>
      </c>
      <c r="V229">
        <f t="shared" ref="V229" si="128">M229*M$1/$E$1</f>
        <v>6.4919014084507047</v>
      </c>
      <c r="W229" s="1">
        <f>SUM(O229:V229)</f>
        <v>25.772605633802815</v>
      </c>
    </row>
    <row r="230" spans="1:23" x14ac:dyDescent="0.3">
      <c r="A230" t="s">
        <v>238</v>
      </c>
      <c r="B230">
        <v>8.84</v>
      </c>
      <c r="C230">
        <v>0.56999999999999995</v>
      </c>
      <c r="D230">
        <v>34805205.409999996</v>
      </c>
      <c r="E230">
        <v>2121600000</v>
      </c>
      <c r="F230">
        <v>-3.6</v>
      </c>
      <c r="G230">
        <v>-0.56000000000000005</v>
      </c>
      <c r="H230">
        <v>-1.01</v>
      </c>
      <c r="I230">
        <v>-27.24</v>
      </c>
      <c r="J230">
        <v>-12.39</v>
      </c>
      <c r="K230">
        <v>-19.71</v>
      </c>
      <c r="L230">
        <v>559.70000000000005</v>
      </c>
      <c r="M230">
        <v>766.67</v>
      </c>
    </row>
    <row r="231" spans="1:23" x14ac:dyDescent="0.3">
      <c r="A231" t="s">
        <v>239</v>
      </c>
      <c r="B231">
        <v>47.4</v>
      </c>
      <c r="C231">
        <v>-0.96</v>
      </c>
      <c r="D231">
        <v>109301572.18000001</v>
      </c>
      <c r="E231">
        <v>21804000000</v>
      </c>
      <c r="F231">
        <v>-1.62</v>
      </c>
      <c r="G231">
        <v>-7.51</v>
      </c>
      <c r="H231">
        <v>1.94</v>
      </c>
      <c r="I231">
        <v>8.77</v>
      </c>
      <c r="J231">
        <v>0.47</v>
      </c>
      <c r="K231">
        <v>-38.200000000000003</v>
      </c>
      <c r="L231">
        <v>893.71</v>
      </c>
    </row>
    <row r="232" spans="1:23" x14ac:dyDescent="0.3">
      <c r="A232" t="s">
        <v>240</v>
      </c>
      <c r="B232">
        <v>55.35</v>
      </c>
      <c r="C232">
        <v>4.1399999999999997</v>
      </c>
      <c r="D232">
        <v>145868540.59999999</v>
      </c>
      <c r="E232">
        <v>7306200000</v>
      </c>
      <c r="F232">
        <v>1.56</v>
      </c>
      <c r="G232">
        <v>30.6</v>
      </c>
      <c r="H232">
        <v>75.709999999999994</v>
      </c>
      <c r="I232">
        <v>37.409999999999997</v>
      </c>
      <c r="J232">
        <v>25.68</v>
      </c>
      <c r="K232">
        <v>23.38</v>
      </c>
    </row>
    <row r="233" spans="1:23" x14ac:dyDescent="0.3">
      <c r="A233" t="s">
        <v>241</v>
      </c>
      <c r="B233">
        <v>9.8800000000000008</v>
      </c>
      <c r="C233">
        <v>2.17</v>
      </c>
      <c r="D233">
        <v>3476540.44</v>
      </c>
      <c r="E233">
        <v>1165840000</v>
      </c>
      <c r="F233">
        <v>2.92</v>
      </c>
      <c r="G233">
        <v>-5.82</v>
      </c>
      <c r="H233">
        <v>-19.940000000000001</v>
      </c>
      <c r="I233">
        <v>-11.86</v>
      </c>
      <c r="J233">
        <v>-17.670000000000002</v>
      </c>
      <c r="K233">
        <v>-28.87</v>
      </c>
      <c r="L233">
        <v>398.99</v>
      </c>
      <c r="M233">
        <v>1272.22</v>
      </c>
    </row>
    <row r="234" spans="1:23" x14ac:dyDescent="0.3">
      <c r="A234" t="s">
        <v>242</v>
      </c>
      <c r="B234">
        <v>45.94</v>
      </c>
      <c r="C234">
        <v>-2.09</v>
      </c>
      <c r="D234">
        <v>34971405.780000001</v>
      </c>
      <c r="E234">
        <v>6417818000</v>
      </c>
      <c r="F234">
        <v>2</v>
      </c>
      <c r="G234">
        <v>-8.3000000000000007</v>
      </c>
      <c r="H234">
        <v>1.06</v>
      </c>
      <c r="I234">
        <v>21.66</v>
      </c>
      <c r="J234">
        <v>0.7</v>
      </c>
      <c r="K234">
        <v>-7.23</v>
      </c>
      <c r="L234">
        <v>352.17</v>
      </c>
    </row>
    <row r="235" spans="1:23" x14ac:dyDescent="0.3">
      <c r="A235" t="s">
        <v>243</v>
      </c>
      <c r="B235">
        <v>133.6</v>
      </c>
      <c r="C235">
        <v>6.71</v>
      </c>
      <c r="D235">
        <v>1288136038.5</v>
      </c>
      <c r="E235">
        <v>43099360000</v>
      </c>
      <c r="F235">
        <v>7.0000000000000007E-2</v>
      </c>
      <c r="G235">
        <v>-11.99</v>
      </c>
    </row>
    <row r="236" spans="1:23" x14ac:dyDescent="0.3">
      <c r="A236" t="s">
        <v>244</v>
      </c>
      <c r="B236">
        <v>2.63</v>
      </c>
      <c r="C236">
        <v>-1.87</v>
      </c>
      <c r="D236">
        <v>10447211.51</v>
      </c>
      <c r="E236">
        <v>1578000000</v>
      </c>
      <c r="F236">
        <v>-2.59</v>
      </c>
      <c r="G236">
        <v>-18.829999999999998</v>
      </c>
      <c r="H236">
        <v>-4.3600000000000003</v>
      </c>
      <c r="I236">
        <v>-5.05</v>
      </c>
      <c r="J236">
        <v>-14.61</v>
      </c>
      <c r="K236">
        <v>-20.3</v>
      </c>
      <c r="L236">
        <v>396.23</v>
      </c>
      <c r="M236">
        <v>2091.67</v>
      </c>
    </row>
    <row r="237" spans="1:23" x14ac:dyDescent="0.3">
      <c r="A237" t="s">
        <v>245</v>
      </c>
      <c r="B237">
        <v>5.73</v>
      </c>
      <c r="C237">
        <v>2.5</v>
      </c>
      <c r="D237">
        <v>39022475.439999998</v>
      </c>
      <c r="E237">
        <v>11173500000</v>
      </c>
      <c r="F237">
        <v>15.76</v>
      </c>
      <c r="G237">
        <v>-2.39</v>
      </c>
      <c r="H237">
        <v>8.32</v>
      </c>
      <c r="I237">
        <v>6.9</v>
      </c>
      <c r="J237">
        <v>-2.39</v>
      </c>
      <c r="K237">
        <v>33.26</v>
      </c>
      <c r="L237">
        <v>809.52</v>
      </c>
      <c r="M237">
        <v>558.62</v>
      </c>
    </row>
    <row r="238" spans="1:23" x14ac:dyDescent="0.3">
      <c r="A238" t="s">
        <v>246</v>
      </c>
      <c r="B238">
        <v>11.61</v>
      </c>
      <c r="C238">
        <v>9.94</v>
      </c>
      <c r="D238">
        <v>62671959.450000003</v>
      </c>
      <c r="E238">
        <v>1732212000</v>
      </c>
      <c r="F238">
        <v>18.829999999999998</v>
      </c>
      <c r="G238">
        <v>5.16</v>
      </c>
      <c r="H238">
        <v>17.63</v>
      </c>
      <c r="I238">
        <v>29.14</v>
      </c>
      <c r="J238">
        <v>10.47</v>
      </c>
      <c r="K238">
        <v>35.950000000000003</v>
      </c>
      <c r="L238">
        <v>343.13</v>
      </c>
    </row>
    <row r="239" spans="1:23" x14ac:dyDescent="0.3">
      <c r="A239" t="s">
        <v>247</v>
      </c>
      <c r="B239">
        <v>22.08</v>
      </c>
      <c r="C239">
        <v>5.54</v>
      </c>
      <c r="D239">
        <v>95234316.700000003</v>
      </c>
      <c r="E239">
        <v>7727999999.999999</v>
      </c>
      <c r="F239">
        <v>2.6</v>
      </c>
      <c r="G239">
        <v>-1.43</v>
      </c>
      <c r="H239">
        <v>-20</v>
      </c>
      <c r="I239">
        <v>-30.28</v>
      </c>
      <c r="J239">
        <v>-7.23</v>
      </c>
      <c r="K239">
        <v>-13.88</v>
      </c>
    </row>
    <row r="240" spans="1:23" x14ac:dyDescent="0.3">
      <c r="A240" t="s">
        <v>248</v>
      </c>
      <c r="B240">
        <v>384.75</v>
      </c>
      <c r="C240">
        <v>0</v>
      </c>
      <c r="D240">
        <v>108706304.5</v>
      </c>
      <c r="E240">
        <v>6925500000</v>
      </c>
      <c r="F240">
        <v>7.0000000000000007E-2</v>
      </c>
      <c r="G240">
        <v>-8.93</v>
      </c>
      <c r="H240">
        <v>-21.16</v>
      </c>
      <c r="I240">
        <v>-11</v>
      </c>
      <c r="J240">
        <v>-8.39</v>
      </c>
      <c r="K240">
        <v>29.15</v>
      </c>
      <c r="L240">
        <v>1085.67</v>
      </c>
      <c r="M240">
        <v>2814.77</v>
      </c>
    </row>
    <row r="241" spans="1:23" x14ac:dyDescent="0.3">
      <c r="A241" t="s">
        <v>249</v>
      </c>
      <c r="B241">
        <v>15.26</v>
      </c>
      <c r="C241">
        <v>-1.04</v>
      </c>
      <c r="D241">
        <v>11245686.529999999</v>
      </c>
      <c r="E241">
        <v>4120200000</v>
      </c>
      <c r="F241">
        <v>-2.2400000000000002</v>
      </c>
      <c r="G241">
        <v>-8.1300000000000008</v>
      </c>
      <c r="H241">
        <v>-2.0499999999999998</v>
      </c>
      <c r="I241">
        <v>-1.55</v>
      </c>
      <c r="J241">
        <v>-20.100000000000001</v>
      </c>
      <c r="K241">
        <v>-34.049999999999997</v>
      </c>
      <c r="L241">
        <v>67.319999999999993</v>
      </c>
      <c r="M241">
        <v>265.95</v>
      </c>
    </row>
    <row r="242" spans="1:23" x14ac:dyDescent="0.3">
      <c r="A242" t="s">
        <v>250</v>
      </c>
      <c r="B242">
        <v>22.08</v>
      </c>
      <c r="C242">
        <v>0.27</v>
      </c>
      <c r="D242">
        <v>12211420.68</v>
      </c>
      <c r="E242">
        <v>8500799999.999999</v>
      </c>
      <c r="F242">
        <v>-0.27</v>
      </c>
      <c r="G242">
        <v>-5.72</v>
      </c>
      <c r="H242">
        <v>-15.98</v>
      </c>
      <c r="I242">
        <v>-13.88</v>
      </c>
      <c r="J242">
        <v>-15.6</v>
      </c>
      <c r="K242">
        <v>-13.34</v>
      </c>
      <c r="L242">
        <v>139.47999999999999</v>
      </c>
      <c r="M242">
        <v>496.76</v>
      </c>
    </row>
    <row r="243" spans="1:23" x14ac:dyDescent="0.3">
      <c r="A243" t="s">
        <v>251</v>
      </c>
      <c r="B243">
        <v>8.77</v>
      </c>
      <c r="C243">
        <v>-0.56999999999999995</v>
      </c>
      <c r="D243">
        <v>2322210.62</v>
      </c>
      <c r="E243">
        <v>328875000</v>
      </c>
      <c r="F243">
        <v>-2.34</v>
      </c>
      <c r="G243">
        <v>-5.19</v>
      </c>
      <c r="H243">
        <v>-3.31</v>
      </c>
      <c r="I243">
        <v>-3.84</v>
      </c>
      <c r="J243">
        <v>-3.52</v>
      </c>
      <c r="K243">
        <v>0.56999999999999995</v>
      </c>
      <c r="L243">
        <v>325.73</v>
      </c>
      <c r="M243">
        <v>574.62</v>
      </c>
    </row>
    <row r="244" spans="1:23" x14ac:dyDescent="0.3">
      <c r="A244" t="s">
        <v>252</v>
      </c>
      <c r="B244">
        <v>227.5</v>
      </c>
      <c r="C244">
        <v>-0.56999999999999995</v>
      </c>
      <c r="D244">
        <v>757936751.60000002</v>
      </c>
      <c r="E244">
        <v>23205000000</v>
      </c>
      <c r="F244">
        <v>-14.39</v>
      </c>
      <c r="G244">
        <v>17.57</v>
      </c>
      <c r="H244">
        <v>27.74</v>
      </c>
      <c r="I244">
        <v>61.05</v>
      </c>
      <c r="J244">
        <v>16.43</v>
      </c>
      <c r="K244">
        <v>186.89</v>
      </c>
    </row>
    <row r="245" spans="1:23" x14ac:dyDescent="0.3">
      <c r="A245" t="s">
        <v>253</v>
      </c>
      <c r="B245">
        <v>236</v>
      </c>
      <c r="C245">
        <v>-1.46</v>
      </c>
      <c r="D245">
        <v>87325409.099999994</v>
      </c>
      <c r="E245">
        <v>29500000000</v>
      </c>
      <c r="F245">
        <v>3.15</v>
      </c>
      <c r="G245">
        <v>48.8</v>
      </c>
      <c r="H245">
        <v>51.13</v>
      </c>
      <c r="I245">
        <v>124.89</v>
      </c>
      <c r="J245">
        <v>57.86</v>
      </c>
      <c r="K245">
        <v>277.42</v>
      </c>
    </row>
    <row r="246" spans="1:23" x14ac:dyDescent="0.3">
      <c r="A246" t="s">
        <v>254</v>
      </c>
      <c r="E246">
        <v>13500000000</v>
      </c>
    </row>
    <row r="247" spans="1:23" x14ac:dyDescent="0.3">
      <c r="A247" t="s">
        <v>255</v>
      </c>
      <c r="B247">
        <v>8.1</v>
      </c>
      <c r="C247">
        <v>0.5</v>
      </c>
      <c r="D247">
        <v>9889519.4900000002</v>
      </c>
      <c r="E247">
        <v>1215000000</v>
      </c>
      <c r="F247">
        <v>-4.1399999999999997</v>
      </c>
      <c r="G247">
        <v>-2.99</v>
      </c>
      <c r="H247">
        <v>-4.03</v>
      </c>
      <c r="I247">
        <v>5.47</v>
      </c>
      <c r="J247">
        <v>-10.199999999999999</v>
      </c>
      <c r="K247">
        <v>-22.19</v>
      </c>
      <c r="L247">
        <v>162.13999999999999</v>
      </c>
      <c r="M247">
        <v>610.53</v>
      </c>
    </row>
    <row r="248" spans="1:23" x14ac:dyDescent="0.3">
      <c r="A248" t="s">
        <v>256</v>
      </c>
      <c r="B248">
        <v>3.4</v>
      </c>
      <c r="C248">
        <v>-0.57999999999999996</v>
      </c>
      <c r="D248">
        <v>12885400.16</v>
      </c>
      <c r="E248">
        <v>3400000000</v>
      </c>
      <c r="F248">
        <v>-2.02</v>
      </c>
      <c r="G248">
        <v>-6.08</v>
      </c>
      <c r="H248">
        <v>-13.71</v>
      </c>
      <c r="I248">
        <v>-6.08</v>
      </c>
      <c r="J248">
        <v>-11.92</v>
      </c>
      <c r="K248">
        <v>-23.08</v>
      </c>
      <c r="L248">
        <v>195.65</v>
      </c>
      <c r="M248">
        <v>496.49</v>
      </c>
      <c r="O248">
        <f>F248*F$1/$E$1</f>
        <v>-0.56901408450704227</v>
      </c>
      <c r="P248">
        <f t="shared" ref="P248" si="129">G248*G$1/$E$1</f>
        <v>-1.2845070422535212</v>
      </c>
      <c r="Q248">
        <f t="shared" ref="Q248" si="130">H248*H$1/$E$1</f>
        <v>-1.9309859154929581</v>
      </c>
      <c r="R248">
        <f t="shared" ref="R248" si="131">I248*I$1/$E$1</f>
        <v>-0.42816901408450703</v>
      </c>
      <c r="S248">
        <f t="shared" ref="S248" si="132">J248*J$1/$E$1</f>
        <v>-2.9380281690140846</v>
      </c>
      <c r="T248">
        <f t="shared" ref="T248" si="133">K248*K$1/$E$1</f>
        <v>-0.81267605633802809</v>
      </c>
      <c r="U248">
        <f t="shared" ref="U248" si="134">L248*L$1/$E$1</f>
        <v>1.3778169014084507</v>
      </c>
      <c r="V248">
        <f t="shared" ref="V248" si="135">M248*M$1/$E$1</f>
        <v>3.4964084507042252</v>
      </c>
      <c r="W248" s="1">
        <f>SUM(O248:V248)</f>
        <v>-3.0891549295774658</v>
      </c>
    </row>
    <row r="249" spans="1:23" x14ac:dyDescent="0.3">
      <c r="A249" t="s">
        <v>257</v>
      </c>
      <c r="B249">
        <v>1.85</v>
      </c>
      <c r="C249">
        <v>-0.54</v>
      </c>
      <c r="D249">
        <v>79935670.430000007</v>
      </c>
      <c r="E249">
        <v>9990000000</v>
      </c>
      <c r="F249">
        <v>-2.63</v>
      </c>
      <c r="G249">
        <v>-7.5</v>
      </c>
      <c r="H249">
        <v>-19.57</v>
      </c>
      <c r="I249">
        <v>-24.18</v>
      </c>
      <c r="J249">
        <v>-7.96</v>
      </c>
      <c r="K249">
        <v>-18.86</v>
      </c>
      <c r="L249">
        <v>270</v>
      </c>
      <c r="M249">
        <v>176.12</v>
      </c>
    </row>
    <row r="250" spans="1:23" x14ac:dyDescent="0.3">
      <c r="A250" t="s">
        <v>258</v>
      </c>
      <c r="B250">
        <v>276</v>
      </c>
      <c r="C250">
        <v>1.85</v>
      </c>
      <c r="D250">
        <v>1051967829.75</v>
      </c>
      <c r="E250">
        <v>92184000000</v>
      </c>
      <c r="F250">
        <v>6.36</v>
      </c>
      <c r="G250">
        <v>3.47</v>
      </c>
      <c r="H250">
        <v>10.84</v>
      </c>
      <c r="I250">
        <v>62.64</v>
      </c>
      <c r="J250">
        <v>-3.83</v>
      </c>
      <c r="K250">
        <v>41.03</v>
      </c>
      <c r="L250">
        <v>254.53</v>
      </c>
      <c r="M250">
        <v>1518.77</v>
      </c>
    </row>
    <row r="251" spans="1:23" x14ac:dyDescent="0.3">
      <c r="A251" t="s">
        <v>259</v>
      </c>
      <c r="B251">
        <v>48</v>
      </c>
      <c r="C251">
        <v>-0.33</v>
      </c>
      <c r="D251">
        <v>24324111.260000002</v>
      </c>
      <c r="E251">
        <v>1872000000</v>
      </c>
      <c r="F251">
        <v>-4</v>
      </c>
      <c r="G251">
        <v>-7.96</v>
      </c>
      <c r="H251">
        <v>-3.03</v>
      </c>
      <c r="I251">
        <v>-22.46</v>
      </c>
      <c r="J251">
        <v>-7.25</v>
      </c>
    </row>
    <row r="252" spans="1:23" x14ac:dyDescent="0.3">
      <c r="A252" t="s">
        <v>260</v>
      </c>
      <c r="B252">
        <v>27.32</v>
      </c>
      <c r="C252">
        <v>-0.22</v>
      </c>
      <c r="D252">
        <v>18302084.66</v>
      </c>
      <c r="E252">
        <v>14752800000</v>
      </c>
      <c r="F252">
        <v>-7.0000000000000007E-2</v>
      </c>
      <c r="G252">
        <v>-3.94</v>
      </c>
      <c r="H252">
        <v>8.5</v>
      </c>
      <c r="I252">
        <v>-8.14</v>
      </c>
      <c r="J252">
        <v>-19.22</v>
      </c>
      <c r="K252">
        <v>1.04</v>
      </c>
      <c r="L252">
        <v>307.14999999999998</v>
      </c>
    </row>
    <row r="253" spans="1:23" x14ac:dyDescent="0.3">
      <c r="A253" t="s">
        <v>261</v>
      </c>
      <c r="B253">
        <v>69.650000000000006</v>
      </c>
      <c r="C253">
        <v>-2.31</v>
      </c>
      <c r="D253">
        <v>7343106.8499999996</v>
      </c>
      <c r="E253">
        <v>4527250000</v>
      </c>
      <c r="F253">
        <v>1.46</v>
      </c>
      <c r="G253">
        <v>-2.31</v>
      </c>
      <c r="H253">
        <v>11.98</v>
      </c>
      <c r="I253">
        <v>55.61</v>
      </c>
      <c r="J253">
        <v>-3.53</v>
      </c>
      <c r="K253">
        <v>69.3</v>
      </c>
    </row>
    <row r="254" spans="1:23" x14ac:dyDescent="0.3">
      <c r="A254" t="s">
        <v>262</v>
      </c>
      <c r="B254">
        <v>19.62</v>
      </c>
      <c r="C254">
        <v>1.45</v>
      </c>
      <c r="D254">
        <v>1000985978.01</v>
      </c>
      <c r="E254">
        <v>140965345164.42001</v>
      </c>
      <c r="F254">
        <v>4.08</v>
      </c>
      <c r="G254">
        <v>-3.73</v>
      </c>
      <c r="H254">
        <v>20.74</v>
      </c>
      <c r="I254">
        <v>25.69</v>
      </c>
      <c r="J254">
        <v>21.11</v>
      </c>
      <c r="K254">
        <v>37.39</v>
      </c>
      <c r="L254">
        <v>348.97</v>
      </c>
      <c r="M254">
        <v>228.09</v>
      </c>
    </row>
    <row r="255" spans="1:23" x14ac:dyDescent="0.3">
      <c r="A255" t="s">
        <v>263</v>
      </c>
      <c r="B255">
        <v>18.239999999999998</v>
      </c>
      <c r="C255">
        <v>-3.08</v>
      </c>
      <c r="D255">
        <v>10671337.609999999</v>
      </c>
      <c r="E255">
        <v>1149120000</v>
      </c>
      <c r="F255">
        <v>-0.44</v>
      </c>
      <c r="G255">
        <v>14.07</v>
      </c>
      <c r="H255">
        <v>50.37</v>
      </c>
      <c r="I255">
        <v>51.24</v>
      </c>
      <c r="J255">
        <v>50.74</v>
      </c>
      <c r="K255">
        <v>12.04</v>
      </c>
      <c r="L255">
        <v>239.03</v>
      </c>
      <c r="M255">
        <v>516.22</v>
      </c>
    </row>
    <row r="256" spans="1:23" x14ac:dyDescent="0.3">
      <c r="A256" t="s">
        <v>264</v>
      </c>
      <c r="B256">
        <v>39</v>
      </c>
      <c r="C256">
        <v>0.1</v>
      </c>
      <c r="D256">
        <v>19450662.879999999</v>
      </c>
      <c r="E256">
        <v>8638500000</v>
      </c>
      <c r="F256">
        <v>-3.03</v>
      </c>
      <c r="G256">
        <v>-10.220000000000001</v>
      </c>
      <c r="H256">
        <v>-18.170000000000002</v>
      </c>
      <c r="I256">
        <v>-17.34</v>
      </c>
      <c r="J256">
        <v>-13.75</v>
      </c>
      <c r="K256">
        <v>-53.63</v>
      </c>
    </row>
    <row r="257" spans="1:23" x14ac:dyDescent="0.3">
      <c r="A257" t="s">
        <v>265</v>
      </c>
      <c r="B257">
        <v>1.79</v>
      </c>
      <c r="C257">
        <v>-3.24</v>
      </c>
      <c r="D257">
        <v>26706282.34</v>
      </c>
      <c r="E257">
        <v>1011350000</v>
      </c>
      <c r="F257">
        <v>-3.24</v>
      </c>
      <c r="G257">
        <v>16.23</v>
      </c>
      <c r="H257">
        <v>14.74</v>
      </c>
      <c r="I257">
        <v>14.74</v>
      </c>
      <c r="J257">
        <v>16.989999999999998</v>
      </c>
      <c r="K257">
        <v>-16.36</v>
      </c>
      <c r="L257">
        <v>55.65</v>
      </c>
      <c r="M257">
        <v>459.38</v>
      </c>
    </row>
    <row r="258" spans="1:23" x14ac:dyDescent="0.3">
      <c r="A258" t="s">
        <v>266</v>
      </c>
      <c r="B258">
        <v>5.47</v>
      </c>
      <c r="C258">
        <v>1.48</v>
      </c>
      <c r="D258">
        <v>92141435.099999994</v>
      </c>
      <c r="E258">
        <v>10256250000</v>
      </c>
      <c r="F258">
        <v>-0.36</v>
      </c>
      <c r="G258">
        <v>33.409999999999997</v>
      </c>
      <c r="H258">
        <v>77.599999999999994</v>
      </c>
      <c r="I258">
        <v>36.409999999999997</v>
      </c>
      <c r="J258">
        <v>67.790000000000006</v>
      </c>
      <c r="K258">
        <v>-2.3199999999999998</v>
      </c>
      <c r="L258">
        <v>567.07000000000005</v>
      </c>
    </row>
    <row r="259" spans="1:23" x14ac:dyDescent="0.3">
      <c r="A259" t="s">
        <v>267</v>
      </c>
      <c r="B259">
        <v>3.32</v>
      </c>
      <c r="C259">
        <v>-1.78</v>
      </c>
      <c r="D259">
        <v>392093999.76999998</v>
      </c>
      <c r="E259">
        <v>27987600000</v>
      </c>
      <c r="F259">
        <v>-1.78</v>
      </c>
      <c r="G259">
        <v>-8.0299999999999994</v>
      </c>
      <c r="H259">
        <v>-19.22</v>
      </c>
      <c r="I259">
        <v>-20.76</v>
      </c>
      <c r="J259">
        <v>-14.21</v>
      </c>
      <c r="K259">
        <v>-52.44</v>
      </c>
      <c r="L259">
        <v>102.44</v>
      </c>
      <c r="M259">
        <v>848.57</v>
      </c>
    </row>
    <row r="260" spans="1:23" x14ac:dyDescent="0.3">
      <c r="A260" t="s">
        <v>268</v>
      </c>
      <c r="B260">
        <v>14.4</v>
      </c>
      <c r="C260">
        <v>-0.96</v>
      </c>
      <c r="D260">
        <v>18315005.739999998</v>
      </c>
      <c r="E260">
        <v>1512000000</v>
      </c>
      <c r="F260">
        <v>-6.74</v>
      </c>
      <c r="G260">
        <v>-17.53</v>
      </c>
      <c r="H260">
        <v>-5.2</v>
      </c>
      <c r="I260">
        <v>-21.44</v>
      </c>
      <c r="J260">
        <v>-9.5500000000000007</v>
      </c>
      <c r="K260">
        <v>-40.15</v>
      </c>
    </row>
    <row r="261" spans="1:23" x14ac:dyDescent="0.3">
      <c r="A261" t="s">
        <v>269</v>
      </c>
      <c r="B261">
        <v>2.66</v>
      </c>
      <c r="C261">
        <v>-0.37</v>
      </c>
      <c r="D261">
        <v>74369989.969999999</v>
      </c>
      <c r="E261">
        <v>9788800000</v>
      </c>
      <c r="F261">
        <v>-0.37</v>
      </c>
      <c r="G261">
        <v>-6.67</v>
      </c>
      <c r="H261">
        <v>0.38</v>
      </c>
      <c r="I261">
        <v>17.7</v>
      </c>
      <c r="J261">
        <v>0.38</v>
      </c>
      <c r="K261">
        <v>-11.92</v>
      </c>
      <c r="L261">
        <v>220.48</v>
      </c>
      <c r="M261">
        <v>421.57</v>
      </c>
    </row>
    <row r="262" spans="1:23" x14ac:dyDescent="0.3">
      <c r="A262" t="s">
        <v>270</v>
      </c>
      <c r="B262">
        <v>61</v>
      </c>
      <c r="C262">
        <v>1.92</v>
      </c>
      <c r="D262">
        <v>83013055.650000006</v>
      </c>
      <c r="E262">
        <v>5519773124</v>
      </c>
      <c r="F262">
        <v>-6.23</v>
      </c>
      <c r="G262">
        <v>-13.04</v>
      </c>
      <c r="H262">
        <v>2.4300000000000002</v>
      </c>
      <c r="I262">
        <v>30.9</v>
      </c>
      <c r="J262">
        <v>-18.670000000000002</v>
      </c>
    </row>
    <row r="263" spans="1:23" x14ac:dyDescent="0.3">
      <c r="A263" t="s">
        <v>271</v>
      </c>
      <c r="B263">
        <v>66.7</v>
      </c>
      <c r="C263">
        <v>-0.22</v>
      </c>
      <c r="D263">
        <v>99165753.049999997</v>
      </c>
      <c r="E263">
        <v>7683840000</v>
      </c>
      <c r="F263">
        <v>1.29</v>
      </c>
      <c r="G263">
        <v>-2.63</v>
      </c>
      <c r="H263">
        <v>-9.93</v>
      </c>
      <c r="I263">
        <v>-24.63</v>
      </c>
      <c r="J263">
        <v>-7.81</v>
      </c>
    </row>
    <row r="264" spans="1:23" x14ac:dyDescent="0.3">
      <c r="A264" t="s">
        <v>272</v>
      </c>
      <c r="B264">
        <v>40</v>
      </c>
      <c r="C264">
        <v>-0.4</v>
      </c>
      <c r="D264">
        <v>29166612.68</v>
      </c>
      <c r="E264">
        <v>12000000000</v>
      </c>
      <c r="F264">
        <v>1.37</v>
      </c>
      <c r="G264">
        <v>-4.08</v>
      </c>
      <c r="H264">
        <v>10.01</v>
      </c>
      <c r="I264">
        <v>16.18</v>
      </c>
      <c r="J264">
        <v>-22.41</v>
      </c>
      <c r="K264">
        <v>35.229999999999997</v>
      </c>
      <c r="O264">
        <f>F264*F$1/$E$1</f>
        <v>0.38591549295774652</v>
      </c>
      <c r="P264">
        <f t="shared" ref="P264" si="136">G264*G$1/$E$1</f>
        <v>-0.86197183098591557</v>
      </c>
      <c r="Q264">
        <f t="shared" ref="Q264" si="137">H264*H$1/$E$1</f>
        <v>1.4098591549295774</v>
      </c>
      <c r="R264">
        <f t="shared" ref="R264" si="138">I264*I$1/$E$1</f>
        <v>1.1394366197183099</v>
      </c>
      <c r="S264">
        <f t="shared" ref="S264" si="139">J264*J$1/$E$1</f>
        <v>-5.5235915492957748</v>
      </c>
      <c r="T264">
        <f t="shared" ref="T264" si="140">K264*K$1/$E$1</f>
        <v>1.2404929577464787</v>
      </c>
      <c r="U264">
        <f t="shared" ref="U264" si="141">L264*L$1/$E$1</f>
        <v>0</v>
      </c>
      <c r="V264">
        <f t="shared" ref="V264" si="142">M264*M$1/$E$1</f>
        <v>0</v>
      </c>
      <c r="W264" s="1">
        <f>SUM(O264:V264)</f>
        <v>-2.2098591549295779</v>
      </c>
    </row>
    <row r="265" spans="1:23" x14ac:dyDescent="0.3">
      <c r="A265" t="s">
        <v>273</v>
      </c>
      <c r="B265">
        <v>1.92</v>
      </c>
      <c r="C265">
        <v>4.92</v>
      </c>
      <c r="D265">
        <v>11620940.52</v>
      </c>
      <c r="E265">
        <v>537600000</v>
      </c>
      <c r="F265">
        <v>-6.8</v>
      </c>
      <c r="G265">
        <v>-6.34</v>
      </c>
      <c r="H265">
        <v>-25.87</v>
      </c>
      <c r="I265">
        <v>-23.81</v>
      </c>
      <c r="J265">
        <v>-19.670000000000002</v>
      </c>
      <c r="K265">
        <v>-41.28</v>
      </c>
      <c r="L265">
        <v>76.150000000000006</v>
      </c>
      <c r="M265">
        <v>-38.26</v>
      </c>
    </row>
    <row r="266" spans="1:23" x14ac:dyDescent="0.3">
      <c r="A266" t="s">
        <v>274</v>
      </c>
      <c r="B266">
        <v>3.32</v>
      </c>
      <c r="C266">
        <v>0.3</v>
      </c>
      <c r="D266">
        <v>16177697.130000001</v>
      </c>
      <c r="E266">
        <v>3320000000</v>
      </c>
      <c r="F266">
        <v>2.4700000000000002</v>
      </c>
      <c r="G266">
        <v>-6.48</v>
      </c>
      <c r="H266">
        <v>1.84</v>
      </c>
      <c r="I266">
        <v>-0.3</v>
      </c>
      <c r="J266">
        <v>-12.63</v>
      </c>
      <c r="K266">
        <v>-36.76</v>
      </c>
      <c r="L266">
        <v>85.47</v>
      </c>
    </row>
    <row r="267" spans="1:23" x14ac:dyDescent="0.3">
      <c r="A267" t="s">
        <v>275</v>
      </c>
      <c r="B267">
        <v>4.87</v>
      </c>
      <c r="C267">
        <v>0</v>
      </c>
      <c r="D267">
        <v>13566893.300000001</v>
      </c>
      <c r="E267">
        <v>2883040000</v>
      </c>
      <c r="F267">
        <v>5.41</v>
      </c>
      <c r="G267">
        <v>4.96</v>
      </c>
      <c r="H267">
        <v>17.63</v>
      </c>
      <c r="I267">
        <v>31.27</v>
      </c>
      <c r="J267">
        <v>0.62</v>
      </c>
      <c r="K267">
        <v>-4.51</v>
      </c>
      <c r="L267">
        <v>163.24</v>
      </c>
      <c r="M267">
        <v>346.79</v>
      </c>
    </row>
    <row r="268" spans="1:23" x14ac:dyDescent="0.3">
      <c r="A268" t="s">
        <v>276</v>
      </c>
      <c r="B268">
        <v>12.26</v>
      </c>
      <c r="C268">
        <v>-2.08</v>
      </c>
      <c r="D268">
        <v>8556748.1999999993</v>
      </c>
      <c r="E268">
        <v>10543600000</v>
      </c>
      <c r="F268">
        <v>-2.23</v>
      </c>
      <c r="G268">
        <v>-9.39</v>
      </c>
      <c r="H268">
        <v>-12.11</v>
      </c>
      <c r="I268">
        <v>-6.7</v>
      </c>
      <c r="J268">
        <v>-11.8</v>
      </c>
      <c r="K268">
        <v>-26.14</v>
      </c>
      <c r="L268">
        <v>159.19999999999999</v>
      </c>
      <c r="M268">
        <v>186.45</v>
      </c>
    </row>
    <row r="269" spans="1:23" x14ac:dyDescent="0.3">
      <c r="A269" t="s">
        <v>277</v>
      </c>
      <c r="B269">
        <v>17.13</v>
      </c>
      <c r="C269">
        <v>-9.98</v>
      </c>
      <c r="D269">
        <v>522377190.41000003</v>
      </c>
      <c r="E269">
        <v>1190535000</v>
      </c>
      <c r="F269">
        <v>-40.85</v>
      </c>
      <c r="G269">
        <v>-37.39</v>
      </c>
      <c r="H269">
        <v>-37.57</v>
      </c>
      <c r="I269">
        <v>-17.25</v>
      </c>
      <c r="J269">
        <v>-34.619999999999997</v>
      </c>
      <c r="K269">
        <v>1.06</v>
      </c>
      <c r="L269">
        <v>944.51</v>
      </c>
      <c r="M269">
        <v>778.46</v>
      </c>
    </row>
    <row r="270" spans="1:23" x14ac:dyDescent="0.3">
      <c r="A270" t="s">
        <v>278</v>
      </c>
      <c r="B270">
        <v>2.65</v>
      </c>
      <c r="C270">
        <v>-1.1200000000000001</v>
      </c>
      <c r="D270">
        <v>3525871.45</v>
      </c>
      <c r="E270">
        <v>397500000</v>
      </c>
      <c r="F270">
        <v>-0.75</v>
      </c>
      <c r="G270">
        <v>-4.68</v>
      </c>
      <c r="H270">
        <v>-1.85</v>
      </c>
      <c r="I270">
        <v>-11.96</v>
      </c>
      <c r="J270">
        <v>0</v>
      </c>
      <c r="K270">
        <v>-2.21</v>
      </c>
      <c r="L270">
        <v>211.76</v>
      </c>
      <c r="M270">
        <v>488.89</v>
      </c>
    </row>
    <row r="271" spans="1:23" x14ac:dyDescent="0.3">
      <c r="A271" t="s">
        <v>279</v>
      </c>
      <c r="B271">
        <v>9.83</v>
      </c>
      <c r="C271">
        <v>0.31</v>
      </c>
      <c r="D271">
        <v>70301876.870000005</v>
      </c>
      <c r="E271">
        <v>5343546055.3900003</v>
      </c>
      <c r="F271">
        <v>-0.91</v>
      </c>
      <c r="G271">
        <v>12.99</v>
      </c>
      <c r="H271">
        <v>-17.46</v>
      </c>
      <c r="I271">
        <v>7.08</v>
      </c>
      <c r="J271">
        <v>-10.8</v>
      </c>
      <c r="K271">
        <v>66.05</v>
      </c>
      <c r="L271">
        <v>1284.51</v>
      </c>
      <c r="M271">
        <v>1566.1</v>
      </c>
    </row>
    <row r="272" spans="1:23" x14ac:dyDescent="0.3">
      <c r="A272" t="s">
        <v>280</v>
      </c>
      <c r="B272">
        <v>17.3</v>
      </c>
      <c r="C272">
        <v>-1.0900000000000001</v>
      </c>
      <c r="D272">
        <v>20383665.710000001</v>
      </c>
      <c r="E272">
        <v>2819900000</v>
      </c>
      <c r="F272">
        <v>-5.41</v>
      </c>
      <c r="G272">
        <v>-9.42</v>
      </c>
      <c r="H272">
        <v>-14.78</v>
      </c>
      <c r="I272">
        <v>-6.99</v>
      </c>
      <c r="J272">
        <v>1.29</v>
      </c>
      <c r="K272">
        <v>23.48</v>
      </c>
      <c r="L272">
        <v>294.08</v>
      </c>
    </row>
    <row r="273" spans="1:23" x14ac:dyDescent="0.3">
      <c r="A273" t="s">
        <v>281</v>
      </c>
      <c r="B273">
        <v>2.2599999999999998</v>
      </c>
      <c r="C273">
        <v>-2.16</v>
      </c>
      <c r="D273">
        <v>4453308.93</v>
      </c>
      <c r="E273">
        <v>792129999.99999988</v>
      </c>
      <c r="F273">
        <v>-2.59</v>
      </c>
      <c r="G273">
        <v>-5.44</v>
      </c>
      <c r="H273">
        <v>-27.8</v>
      </c>
      <c r="I273">
        <v>-2.16</v>
      </c>
      <c r="J273">
        <v>-15.04</v>
      </c>
      <c r="K273">
        <v>-28.25</v>
      </c>
      <c r="L273">
        <v>128.28</v>
      </c>
      <c r="M273">
        <v>-29.6</v>
      </c>
    </row>
    <row r="274" spans="1:23" x14ac:dyDescent="0.3">
      <c r="A274" t="s">
        <v>282</v>
      </c>
      <c r="B274">
        <v>1.58</v>
      </c>
      <c r="C274">
        <v>-9.7100000000000009</v>
      </c>
      <c r="D274">
        <v>530107092.82999998</v>
      </c>
      <c r="E274">
        <v>1264000000</v>
      </c>
      <c r="F274">
        <v>10.49</v>
      </c>
      <c r="G274">
        <v>13.67</v>
      </c>
      <c r="H274">
        <v>-14.59</v>
      </c>
      <c r="I274">
        <v>24.41</v>
      </c>
      <c r="J274">
        <v>1.28</v>
      </c>
      <c r="K274">
        <v>11.27</v>
      </c>
      <c r="L274">
        <v>146.88</v>
      </c>
      <c r="M274">
        <v>-1.86</v>
      </c>
    </row>
    <row r="275" spans="1:23" x14ac:dyDescent="0.3">
      <c r="A275" t="s">
        <v>283</v>
      </c>
      <c r="B275">
        <v>3.11</v>
      </c>
      <c r="C275">
        <v>-2.2000000000000002</v>
      </c>
      <c r="D275">
        <v>452113475.76999998</v>
      </c>
      <c r="E275">
        <v>4665000000</v>
      </c>
      <c r="F275">
        <v>5.07</v>
      </c>
      <c r="G275">
        <v>6.87</v>
      </c>
      <c r="H275">
        <v>-21.46</v>
      </c>
      <c r="I275">
        <v>185.32</v>
      </c>
      <c r="J275">
        <v>-10.119999999999999</v>
      </c>
      <c r="K275">
        <v>172.81</v>
      </c>
      <c r="L275">
        <v>509.8</v>
      </c>
      <c r="M275">
        <v>371.21</v>
      </c>
    </row>
    <row r="276" spans="1:23" x14ac:dyDescent="0.3">
      <c r="A276" t="s">
        <v>284</v>
      </c>
      <c r="B276">
        <v>1.88</v>
      </c>
      <c r="C276">
        <v>-2.08</v>
      </c>
      <c r="D276">
        <v>70848670.010000005</v>
      </c>
      <c r="E276">
        <v>1880000000</v>
      </c>
      <c r="F276">
        <v>-1.57</v>
      </c>
      <c r="G276">
        <v>1.62</v>
      </c>
      <c r="H276">
        <v>-21.01</v>
      </c>
      <c r="I276">
        <v>43.51</v>
      </c>
      <c r="J276">
        <v>-10.9</v>
      </c>
      <c r="K276">
        <v>22.08</v>
      </c>
      <c r="L276">
        <v>180.6</v>
      </c>
      <c r="M276">
        <v>80.77</v>
      </c>
    </row>
    <row r="277" spans="1:23" x14ac:dyDescent="0.3">
      <c r="A277" t="s">
        <v>285</v>
      </c>
      <c r="B277">
        <v>2.59</v>
      </c>
      <c r="C277">
        <v>-1.89</v>
      </c>
      <c r="D277">
        <v>37985703.82</v>
      </c>
      <c r="E277">
        <v>1165500000</v>
      </c>
      <c r="F277">
        <v>-3.36</v>
      </c>
      <c r="G277">
        <v>-20.059999999999999</v>
      </c>
      <c r="H277">
        <v>-48.1</v>
      </c>
      <c r="I277">
        <v>-30.38</v>
      </c>
      <c r="J277">
        <v>-30</v>
      </c>
      <c r="K277">
        <v>-10.07</v>
      </c>
      <c r="L277">
        <v>304.69</v>
      </c>
      <c r="M277">
        <v>197.7</v>
      </c>
      <c r="O277">
        <f>F277*F$1/$E$1</f>
        <v>-0.94647887323943669</v>
      </c>
      <c r="P277">
        <f t="shared" ref="P277" si="143">G277*G$1/$E$1</f>
        <v>-4.2380281690140844</v>
      </c>
      <c r="Q277">
        <f t="shared" ref="Q277" si="144">H277*H$1/$E$1</f>
        <v>-6.774647887323944</v>
      </c>
      <c r="R277">
        <f t="shared" ref="R277" si="145">I277*I$1/$E$1</f>
        <v>-2.1394366197183099</v>
      </c>
      <c r="S277">
        <f t="shared" ref="S277" si="146">J277*J$1/$E$1</f>
        <v>-7.394366197183099</v>
      </c>
      <c r="T277">
        <f t="shared" ref="T277" si="147">K277*K$1/$E$1</f>
        <v>-0.35457746478873242</v>
      </c>
      <c r="U277">
        <f t="shared" ref="U277" si="148">L277*L$1/$E$1</f>
        <v>2.1457042253521128</v>
      </c>
      <c r="V277">
        <f t="shared" ref="V277" si="149">M277*M$1/$E$1</f>
        <v>1.3922535211267604</v>
      </c>
      <c r="W277" s="1">
        <f>SUM(O277:V277)</f>
        <v>-18.309577464788735</v>
      </c>
    </row>
    <row r="278" spans="1:23" x14ac:dyDescent="0.3">
      <c r="A278" t="s">
        <v>286</v>
      </c>
      <c r="B278">
        <v>2.41</v>
      </c>
      <c r="C278">
        <v>-1.23</v>
      </c>
      <c r="D278">
        <v>52093450.32</v>
      </c>
      <c r="E278">
        <v>2229250000</v>
      </c>
      <c r="F278">
        <v>-3.21</v>
      </c>
      <c r="G278">
        <v>-12.36</v>
      </c>
      <c r="H278">
        <v>-17.47</v>
      </c>
      <c r="I278">
        <v>-18.579999999999998</v>
      </c>
      <c r="J278">
        <v>-18.309999999999999</v>
      </c>
      <c r="K278">
        <v>-42.76</v>
      </c>
    </row>
    <row r="279" spans="1:23" x14ac:dyDescent="0.3">
      <c r="A279" t="s">
        <v>287</v>
      </c>
      <c r="B279">
        <v>8.36</v>
      </c>
      <c r="C279">
        <v>2.2000000000000002</v>
      </c>
      <c r="D279">
        <v>103665170.34</v>
      </c>
      <c r="E279">
        <v>6270000000</v>
      </c>
      <c r="F279">
        <v>9.7100000000000009</v>
      </c>
      <c r="G279">
        <v>8.85</v>
      </c>
      <c r="H279">
        <v>22.58</v>
      </c>
      <c r="I279">
        <v>15.63</v>
      </c>
      <c r="J279">
        <v>9.2799999999999994</v>
      </c>
      <c r="K279">
        <v>-16.399999999999999</v>
      </c>
      <c r="L279">
        <v>285.25</v>
      </c>
      <c r="M279">
        <v>1206.25</v>
      </c>
    </row>
    <row r="280" spans="1:23" x14ac:dyDescent="0.3">
      <c r="A280" t="s">
        <v>288</v>
      </c>
      <c r="B280">
        <v>2.19</v>
      </c>
      <c r="C280">
        <v>-0.45</v>
      </c>
      <c r="D280">
        <v>3958996.73</v>
      </c>
      <c r="E280">
        <v>2103135840</v>
      </c>
      <c r="F280">
        <v>-1.35</v>
      </c>
      <c r="G280">
        <v>-11.69</v>
      </c>
      <c r="H280">
        <v>-7.2</v>
      </c>
      <c r="I280">
        <v>-3.52</v>
      </c>
      <c r="J280">
        <v>-17.05</v>
      </c>
      <c r="K280">
        <v>-39.17</v>
      </c>
      <c r="L280">
        <v>148.86000000000001</v>
      </c>
      <c r="M280">
        <v>1052.6300000000001</v>
      </c>
    </row>
    <row r="281" spans="1:23" x14ac:dyDescent="0.3">
      <c r="A281" t="s">
        <v>289</v>
      </c>
      <c r="B281">
        <v>373.5</v>
      </c>
      <c r="C281">
        <v>0.74</v>
      </c>
      <c r="D281">
        <v>16059480</v>
      </c>
      <c r="E281">
        <v>8964000000</v>
      </c>
      <c r="F281">
        <v>-2.1</v>
      </c>
      <c r="G281">
        <v>-10.49</v>
      </c>
      <c r="H281">
        <v>-14.82</v>
      </c>
      <c r="I281">
        <v>-23.38</v>
      </c>
      <c r="J281">
        <v>-14.73</v>
      </c>
      <c r="K281">
        <v>-49.73</v>
      </c>
      <c r="L281">
        <v>576.14</v>
      </c>
      <c r="M281">
        <v>2034.29</v>
      </c>
    </row>
    <row r="282" spans="1:23" x14ac:dyDescent="0.3">
      <c r="A282" t="s">
        <v>290</v>
      </c>
      <c r="B282">
        <v>451</v>
      </c>
      <c r="C282">
        <v>0.39</v>
      </c>
      <c r="D282">
        <v>2707967</v>
      </c>
      <c r="E282">
        <v>3608000000</v>
      </c>
      <c r="F282">
        <v>1.81</v>
      </c>
      <c r="G282">
        <v>0.67</v>
      </c>
      <c r="H282">
        <v>-9.16</v>
      </c>
      <c r="I282">
        <v>-31.46</v>
      </c>
      <c r="J282">
        <v>-5.05</v>
      </c>
      <c r="K282">
        <v>87.92</v>
      </c>
      <c r="L282">
        <v>971.26</v>
      </c>
      <c r="M282">
        <v>21687.439999999999</v>
      </c>
    </row>
    <row r="283" spans="1:23" x14ac:dyDescent="0.3">
      <c r="A283" t="s">
        <v>291</v>
      </c>
      <c r="B283">
        <v>196.7</v>
      </c>
      <c r="C283">
        <v>0.51</v>
      </c>
      <c r="D283">
        <v>6153538.2000000002</v>
      </c>
      <c r="E283">
        <v>3823848000</v>
      </c>
      <c r="F283">
        <v>-1.65</v>
      </c>
      <c r="G283">
        <v>-7.65</v>
      </c>
      <c r="H283">
        <v>-14.85</v>
      </c>
      <c r="I283">
        <v>-15.94</v>
      </c>
      <c r="J283">
        <v>-15.58</v>
      </c>
      <c r="K283">
        <v>-44.51</v>
      </c>
      <c r="L283">
        <v>171.31</v>
      </c>
      <c r="M283">
        <v>1867</v>
      </c>
    </row>
    <row r="284" spans="1:23" x14ac:dyDescent="0.3">
      <c r="A284" t="s">
        <v>292</v>
      </c>
      <c r="B284">
        <v>6.7</v>
      </c>
      <c r="C284">
        <v>-1.62</v>
      </c>
      <c r="D284">
        <v>11854764.41</v>
      </c>
      <c r="E284">
        <v>6700000000</v>
      </c>
      <c r="F284">
        <v>-2.62</v>
      </c>
      <c r="G284">
        <v>-6.69</v>
      </c>
      <c r="H284">
        <v>-9.34</v>
      </c>
      <c r="I284">
        <v>-15.08</v>
      </c>
      <c r="J284">
        <v>-9.83</v>
      </c>
      <c r="K284">
        <v>-44.26</v>
      </c>
      <c r="L284">
        <v>149.07</v>
      </c>
      <c r="M284">
        <v>963.49</v>
      </c>
    </row>
    <row r="285" spans="1:23" x14ac:dyDescent="0.3">
      <c r="A285" t="s">
        <v>293</v>
      </c>
      <c r="B285">
        <v>256.25</v>
      </c>
      <c r="C285">
        <v>-2.94</v>
      </c>
      <c r="D285">
        <v>134878473.25</v>
      </c>
      <c r="E285">
        <v>48046875000</v>
      </c>
      <c r="F285">
        <v>-2.4700000000000002</v>
      </c>
      <c r="G285">
        <v>21.45</v>
      </c>
      <c r="H285">
        <v>-23.05</v>
      </c>
      <c r="I285">
        <v>-32.74</v>
      </c>
      <c r="J285">
        <v>-11.56</v>
      </c>
      <c r="K285">
        <v>-32.07</v>
      </c>
      <c r="L285">
        <v>947.63</v>
      </c>
    </row>
    <row r="286" spans="1:23" x14ac:dyDescent="0.3">
      <c r="A286" t="s">
        <v>294</v>
      </c>
      <c r="B286">
        <v>53</v>
      </c>
      <c r="C286">
        <v>-1.49</v>
      </c>
      <c r="D286">
        <v>173583120.34999999</v>
      </c>
      <c r="E286">
        <v>13768634733</v>
      </c>
      <c r="F286">
        <v>-2.0299999999999998</v>
      </c>
      <c r="G286">
        <v>-4.59</v>
      </c>
      <c r="H286">
        <v>-1.49</v>
      </c>
      <c r="I286">
        <v>16.18</v>
      </c>
      <c r="J286">
        <v>1.1499999999999999</v>
      </c>
      <c r="K286">
        <v>29.02</v>
      </c>
      <c r="L286">
        <v>284.06</v>
      </c>
      <c r="M286">
        <v>468.67</v>
      </c>
    </row>
    <row r="287" spans="1:23" x14ac:dyDescent="0.3">
      <c r="A287" t="s">
        <v>295</v>
      </c>
      <c r="B287">
        <v>5500000</v>
      </c>
      <c r="E287">
        <v>1.375E+17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285.92</v>
      </c>
      <c r="L287">
        <v>996.73</v>
      </c>
      <c r="M287">
        <v>1347.33</v>
      </c>
    </row>
    <row r="288" spans="1:23" x14ac:dyDescent="0.3">
      <c r="A288" t="s">
        <v>296</v>
      </c>
      <c r="B288">
        <v>92.1</v>
      </c>
      <c r="C288">
        <v>-2.13</v>
      </c>
      <c r="D288">
        <v>946209.9</v>
      </c>
      <c r="E288">
        <v>2982846384</v>
      </c>
      <c r="F288">
        <v>-4.0599999999999996</v>
      </c>
      <c r="G288">
        <v>-9.7100000000000009</v>
      </c>
      <c r="H288">
        <v>-15.04</v>
      </c>
      <c r="I288">
        <v>-14.01</v>
      </c>
      <c r="J288">
        <v>-13.52</v>
      </c>
      <c r="K288">
        <v>-37.479999999999997</v>
      </c>
      <c r="L288">
        <v>104.21</v>
      </c>
      <c r="M288">
        <v>755.95</v>
      </c>
    </row>
    <row r="289" spans="1:23" x14ac:dyDescent="0.3">
      <c r="A289" t="s">
        <v>297</v>
      </c>
      <c r="B289">
        <v>525000</v>
      </c>
      <c r="C289">
        <v>0</v>
      </c>
      <c r="D289">
        <v>3160000</v>
      </c>
      <c r="E289">
        <v>1.3125E+16</v>
      </c>
      <c r="F289">
        <v>5</v>
      </c>
      <c r="G289">
        <v>2.54</v>
      </c>
      <c r="H289">
        <v>-3.67</v>
      </c>
      <c r="I289">
        <v>-13.93</v>
      </c>
      <c r="J289">
        <v>2.94</v>
      </c>
      <c r="K289">
        <v>0</v>
      </c>
      <c r="L289">
        <v>667.46</v>
      </c>
      <c r="M289">
        <v>1120.23</v>
      </c>
      <c r="O289">
        <f>F289*F$1/$E$1</f>
        <v>1.408450704225352</v>
      </c>
      <c r="P289">
        <f t="shared" ref="P289" si="150">G289*G$1/$E$1</f>
        <v>0.53661971830985922</v>
      </c>
      <c r="Q289">
        <f t="shared" ref="Q289" si="151">H289*H$1/$E$1</f>
        <v>-0.51690140845070431</v>
      </c>
      <c r="R289">
        <f t="shared" ref="R289" si="152">I289*I$1/$E$1</f>
        <v>-0.98098591549295777</v>
      </c>
      <c r="S289">
        <f t="shared" ref="S289" si="153">J289*J$1/$E$1</f>
        <v>0.72464788732394358</v>
      </c>
      <c r="T289">
        <f t="shared" ref="T289" si="154">K289*K$1/$E$1</f>
        <v>0</v>
      </c>
      <c r="U289">
        <f t="shared" ref="U289" si="155">L289*L$1/$E$1</f>
        <v>4.7004225352112678</v>
      </c>
      <c r="V289">
        <f t="shared" ref="V289" si="156">M289*M$1/$E$1</f>
        <v>7.8889436619718314</v>
      </c>
      <c r="W289" s="1">
        <f>SUM(O289:V289)</f>
        <v>13.761197183098592</v>
      </c>
    </row>
    <row r="290" spans="1:23" x14ac:dyDescent="0.3">
      <c r="A290" t="s">
        <v>298</v>
      </c>
      <c r="B290">
        <v>15.17</v>
      </c>
      <c r="C290">
        <v>-0.72</v>
      </c>
      <c r="D290">
        <v>5860970199.54</v>
      </c>
      <c r="E290">
        <v>379250000000</v>
      </c>
      <c r="F290">
        <v>4.91</v>
      </c>
      <c r="G290">
        <v>7.13</v>
      </c>
      <c r="H290">
        <v>11.3</v>
      </c>
      <c r="I290">
        <v>14.75</v>
      </c>
      <c r="J290">
        <v>12.04</v>
      </c>
      <c r="K290">
        <v>45.31</v>
      </c>
      <c r="L290">
        <v>1094.49</v>
      </c>
      <c r="M290">
        <v>1643.68</v>
      </c>
    </row>
    <row r="291" spans="1:23" x14ac:dyDescent="0.3">
      <c r="A291" t="s">
        <v>299</v>
      </c>
      <c r="B291">
        <v>38.04</v>
      </c>
      <c r="C291">
        <v>-0.16</v>
      </c>
      <c r="D291">
        <v>55698096.920000002</v>
      </c>
      <c r="E291">
        <v>110316000000</v>
      </c>
      <c r="F291">
        <v>0.37</v>
      </c>
      <c r="G291">
        <v>1.71</v>
      </c>
      <c r="H291">
        <v>-1.0900000000000001</v>
      </c>
      <c r="I291">
        <v>8.8699999999999992</v>
      </c>
      <c r="J291">
        <v>-6.17</v>
      </c>
      <c r="K291">
        <v>-4.0599999999999996</v>
      </c>
      <c r="L291">
        <v>80.709999999999994</v>
      </c>
      <c r="M291">
        <v>640.08000000000004</v>
      </c>
    </row>
    <row r="292" spans="1:23" x14ac:dyDescent="0.3">
      <c r="A292" t="s">
        <v>300</v>
      </c>
      <c r="B292">
        <v>12.52</v>
      </c>
      <c r="C292">
        <v>2.96</v>
      </c>
      <c r="D292">
        <v>51915532.689999998</v>
      </c>
      <c r="E292">
        <v>8705189115.3999996</v>
      </c>
      <c r="F292">
        <v>3.47</v>
      </c>
      <c r="G292">
        <v>-4.21</v>
      </c>
      <c r="H292">
        <v>11.19</v>
      </c>
      <c r="I292">
        <v>14.34</v>
      </c>
      <c r="J292">
        <v>-4.79</v>
      </c>
      <c r="K292">
        <v>8.59</v>
      </c>
      <c r="L292">
        <v>347.14</v>
      </c>
      <c r="M292">
        <v>300</v>
      </c>
    </row>
    <row r="293" spans="1:23" x14ac:dyDescent="0.3">
      <c r="A293" t="s">
        <v>301</v>
      </c>
      <c r="B293">
        <v>34.26</v>
      </c>
      <c r="C293">
        <v>-1.66</v>
      </c>
      <c r="D293">
        <v>39124592.399999999</v>
      </c>
      <c r="E293">
        <v>2557593964.7999997</v>
      </c>
      <c r="F293">
        <v>-4.1900000000000004</v>
      </c>
      <c r="G293">
        <v>-17.88</v>
      </c>
      <c r="H293">
        <v>13.44</v>
      </c>
      <c r="I293">
        <v>55.73</v>
      </c>
      <c r="J293">
        <v>-15.41</v>
      </c>
      <c r="K293">
        <v>22.36</v>
      </c>
      <c r="L293">
        <v>373.2</v>
      </c>
      <c r="M293">
        <v>806.35</v>
      </c>
    </row>
    <row r="294" spans="1:23" x14ac:dyDescent="0.3">
      <c r="A294" t="s">
        <v>302</v>
      </c>
      <c r="B294">
        <v>17.12</v>
      </c>
      <c r="C294">
        <v>-1.67</v>
      </c>
      <c r="D294">
        <v>43886948.310000002</v>
      </c>
      <c r="E294">
        <v>16413800000.000002</v>
      </c>
      <c r="F294">
        <v>-3.87</v>
      </c>
      <c r="G294">
        <v>-12.43</v>
      </c>
      <c r="H294">
        <v>-13.71</v>
      </c>
      <c r="I294">
        <v>7.67</v>
      </c>
      <c r="J294">
        <v>-8.74</v>
      </c>
      <c r="K294">
        <v>-1.21</v>
      </c>
      <c r="L294">
        <v>182.98</v>
      </c>
      <c r="M294">
        <v>950.31</v>
      </c>
    </row>
    <row r="295" spans="1:23" x14ac:dyDescent="0.3">
      <c r="A295" t="s">
        <v>303</v>
      </c>
      <c r="B295">
        <v>22.3</v>
      </c>
      <c r="C295">
        <v>-0.45</v>
      </c>
      <c r="D295">
        <v>10799724.5</v>
      </c>
      <c r="E295">
        <v>4748081769.5</v>
      </c>
      <c r="F295">
        <v>5.99</v>
      </c>
      <c r="G295">
        <v>10.95</v>
      </c>
      <c r="H295">
        <v>16.149999999999999</v>
      </c>
      <c r="I295">
        <v>50.68</v>
      </c>
      <c r="J295">
        <v>16.82</v>
      </c>
      <c r="K295">
        <v>127.78</v>
      </c>
      <c r="L295">
        <v>447.91</v>
      </c>
    </row>
    <row r="296" spans="1:23" x14ac:dyDescent="0.3">
      <c r="A296" t="s">
        <v>304</v>
      </c>
      <c r="B296">
        <v>5400000</v>
      </c>
      <c r="E296">
        <v>1.35E+17</v>
      </c>
      <c r="F296">
        <v>0</v>
      </c>
      <c r="G296">
        <v>0</v>
      </c>
      <c r="H296">
        <v>-10</v>
      </c>
      <c r="I296">
        <v>-10</v>
      </c>
      <c r="J296">
        <v>-10</v>
      </c>
      <c r="K296">
        <v>-16.28</v>
      </c>
      <c r="L296">
        <v>392.15</v>
      </c>
      <c r="M296">
        <v>969.34</v>
      </c>
    </row>
    <row r="297" spans="1:23" x14ac:dyDescent="0.3">
      <c r="A297" t="s">
        <v>305</v>
      </c>
      <c r="B297">
        <v>41.22</v>
      </c>
      <c r="C297">
        <v>-0.82</v>
      </c>
      <c r="D297">
        <v>138306218.5</v>
      </c>
      <c r="E297">
        <v>61830000000</v>
      </c>
      <c r="F297">
        <v>2.0299999999999998</v>
      </c>
      <c r="G297">
        <v>-7.79</v>
      </c>
      <c r="H297">
        <v>1.23</v>
      </c>
      <c r="I297">
        <v>13.37</v>
      </c>
      <c r="J297">
        <v>-15.88</v>
      </c>
      <c r="K297">
        <v>14.6</v>
      </c>
      <c r="L297">
        <v>1054.6199999999999</v>
      </c>
      <c r="M297">
        <v>4866.2700000000004</v>
      </c>
    </row>
    <row r="298" spans="1:23" x14ac:dyDescent="0.3">
      <c r="A298" t="s">
        <v>306</v>
      </c>
      <c r="B298">
        <v>8.0500000000000007</v>
      </c>
      <c r="C298">
        <v>-1.59</v>
      </c>
      <c r="D298">
        <v>8445890.6099999994</v>
      </c>
      <c r="E298">
        <v>3416403747.0500002</v>
      </c>
      <c r="F298">
        <v>-2.31</v>
      </c>
      <c r="G298">
        <v>-7.47</v>
      </c>
      <c r="H298">
        <v>-11.73</v>
      </c>
      <c r="I298">
        <v>-20.3</v>
      </c>
      <c r="J298">
        <v>-11.44</v>
      </c>
      <c r="K298">
        <v>-33.53</v>
      </c>
      <c r="L298">
        <v>50.75</v>
      </c>
    </row>
    <row r="299" spans="1:23" x14ac:dyDescent="0.3">
      <c r="A299" t="s">
        <v>307</v>
      </c>
      <c r="B299">
        <v>7.93</v>
      </c>
      <c r="C299">
        <v>-0.63</v>
      </c>
      <c r="D299">
        <v>35200515.530000001</v>
      </c>
      <c r="E299">
        <v>1273552322.1199999</v>
      </c>
      <c r="F299">
        <v>5.03</v>
      </c>
      <c r="G299">
        <v>-0.63</v>
      </c>
      <c r="H299">
        <v>-8</v>
      </c>
      <c r="I299">
        <v>-9.4700000000000006</v>
      </c>
      <c r="J299">
        <v>-7.68</v>
      </c>
      <c r="K299">
        <v>-34.57</v>
      </c>
      <c r="L299">
        <v>199.25</v>
      </c>
      <c r="M299">
        <v>340.56</v>
      </c>
    </row>
    <row r="300" spans="1:23" x14ac:dyDescent="0.3">
      <c r="A300" t="s">
        <v>308</v>
      </c>
      <c r="B300">
        <v>5.04</v>
      </c>
      <c r="C300">
        <v>0.6</v>
      </c>
      <c r="D300">
        <v>54243801.600000001</v>
      </c>
      <c r="E300">
        <v>12316500000</v>
      </c>
      <c r="F300">
        <v>5</v>
      </c>
      <c r="G300">
        <v>13.51</v>
      </c>
      <c r="H300">
        <v>3.28</v>
      </c>
      <c r="I300">
        <v>2.23</v>
      </c>
      <c r="J300">
        <v>6.11</v>
      </c>
      <c r="K300">
        <v>-33.68</v>
      </c>
    </row>
    <row r="301" spans="1:23" x14ac:dyDescent="0.3">
      <c r="A301" t="s">
        <v>309</v>
      </c>
      <c r="B301">
        <v>75</v>
      </c>
      <c r="C301">
        <v>1.35</v>
      </c>
      <c r="D301">
        <v>67792742</v>
      </c>
      <c r="E301">
        <v>4429687500</v>
      </c>
      <c r="F301">
        <v>11.28</v>
      </c>
      <c r="G301">
        <v>15.3</v>
      </c>
      <c r="H301">
        <v>26.48</v>
      </c>
      <c r="I301">
        <v>18.95</v>
      </c>
      <c r="J301">
        <v>26.26</v>
      </c>
      <c r="K301">
        <v>322.54000000000002</v>
      </c>
      <c r="L301">
        <v>2912.05</v>
      </c>
      <c r="M301">
        <v>8936.14</v>
      </c>
    </row>
    <row r="302" spans="1:23" x14ac:dyDescent="0.3">
      <c r="A302" t="s">
        <v>310</v>
      </c>
      <c r="B302">
        <v>35.799999999999997</v>
      </c>
      <c r="C302">
        <v>0.22</v>
      </c>
      <c r="D302">
        <v>1087357.1000000001</v>
      </c>
      <c r="E302">
        <v>626945924.79999995</v>
      </c>
      <c r="F302">
        <v>-1.97</v>
      </c>
      <c r="G302">
        <v>-12.68</v>
      </c>
      <c r="H302">
        <v>-22.14</v>
      </c>
      <c r="I302">
        <v>-39.32</v>
      </c>
      <c r="J302">
        <v>-17.239999999999998</v>
      </c>
      <c r="K302">
        <v>-21.97</v>
      </c>
      <c r="L302">
        <v>79</v>
      </c>
      <c r="M302">
        <v>1379.34</v>
      </c>
    </row>
    <row r="303" spans="1:23" x14ac:dyDescent="0.3">
      <c r="A303" t="s">
        <v>311</v>
      </c>
      <c r="B303">
        <v>5.07</v>
      </c>
      <c r="C303">
        <v>-0.59</v>
      </c>
      <c r="D303">
        <v>4847689.2</v>
      </c>
      <c r="E303">
        <v>7605000000</v>
      </c>
      <c r="F303">
        <v>0</v>
      </c>
      <c r="G303">
        <v>-3.61</v>
      </c>
      <c r="H303">
        <v>-4.16</v>
      </c>
      <c r="I303">
        <v>-7.99</v>
      </c>
      <c r="J303">
        <v>-6.97</v>
      </c>
      <c r="K303">
        <v>-25.77</v>
      </c>
      <c r="L303">
        <v>146.12</v>
      </c>
      <c r="M303">
        <v>61.98</v>
      </c>
    </row>
    <row r="304" spans="1:23" x14ac:dyDescent="0.3">
      <c r="A304" t="s">
        <v>312</v>
      </c>
      <c r="B304">
        <v>21.3</v>
      </c>
      <c r="C304">
        <v>-3.45</v>
      </c>
      <c r="D304">
        <v>108684940.72</v>
      </c>
      <c r="E304">
        <v>14910000000</v>
      </c>
      <c r="F304">
        <v>-5.16</v>
      </c>
      <c r="G304">
        <v>-12.63</v>
      </c>
      <c r="H304">
        <v>-20.76</v>
      </c>
      <c r="I304">
        <v>-14.87</v>
      </c>
      <c r="J304">
        <v>-19.440000000000001</v>
      </c>
      <c r="K304">
        <v>-6.99</v>
      </c>
      <c r="L304">
        <v>194.61</v>
      </c>
      <c r="M304">
        <v>2596.1999999999998</v>
      </c>
    </row>
    <row r="305" spans="1:23" x14ac:dyDescent="0.3">
      <c r="A305" t="s">
        <v>313</v>
      </c>
      <c r="B305">
        <v>179.3</v>
      </c>
      <c r="C305">
        <v>-0.99</v>
      </c>
      <c r="D305">
        <v>12948753.1</v>
      </c>
      <c r="E305">
        <v>3586000000</v>
      </c>
      <c r="F305">
        <v>-6.13</v>
      </c>
      <c r="G305">
        <v>-0.88</v>
      </c>
      <c r="H305">
        <v>-12.11</v>
      </c>
      <c r="I305">
        <v>0.73</v>
      </c>
      <c r="J305">
        <v>-4.37</v>
      </c>
      <c r="K305">
        <v>33.21</v>
      </c>
      <c r="L305">
        <v>260.33</v>
      </c>
      <c r="M305">
        <v>2768.8</v>
      </c>
    </row>
    <row r="306" spans="1:23" x14ac:dyDescent="0.3">
      <c r="A306" t="s">
        <v>314</v>
      </c>
      <c r="B306">
        <v>8.17</v>
      </c>
      <c r="C306">
        <v>-0.85</v>
      </c>
      <c r="D306">
        <v>18965706.719999999</v>
      </c>
      <c r="E306">
        <v>6584084780.1000004</v>
      </c>
      <c r="F306">
        <v>-2.85</v>
      </c>
      <c r="G306">
        <v>-11.58</v>
      </c>
      <c r="H306">
        <v>-11</v>
      </c>
      <c r="I306">
        <v>-37.590000000000003</v>
      </c>
      <c r="J306">
        <v>-19.899999999999999</v>
      </c>
      <c r="K306">
        <v>-52.8</v>
      </c>
      <c r="L306">
        <v>157.72999999999999</v>
      </c>
      <c r="M306">
        <v>685.58</v>
      </c>
    </row>
    <row r="307" spans="1:23" x14ac:dyDescent="0.3">
      <c r="A307" t="s">
        <v>315</v>
      </c>
      <c r="B307">
        <v>10.26</v>
      </c>
      <c r="C307">
        <v>-0.19</v>
      </c>
      <c r="D307">
        <v>371305457.82999998</v>
      </c>
      <c r="E307">
        <v>9234000000</v>
      </c>
      <c r="F307">
        <v>-1.44</v>
      </c>
      <c r="G307">
        <v>-14.78</v>
      </c>
      <c r="H307">
        <v>-20.28</v>
      </c>
      <c r="I307">
        <v>-39.36</v>
      </c>
      <c r="J307">
        <v>-15.28</v>
      </c>
      <c r="K307">
        <v>-0.19</v>
      </c>
      <c r="L307">
        <v>172.87</v>
      </c>
      <c r="M307">
        <v>514.37</v>
      </c>
      <c r="O307">
        <f>F307*F$1/$E$1</f>
        <v>-0.40563380281690137</v>
      </c>
      <c r="P307">
        <f t="shared" ref="P307" si="157">G307*G$1/$E$1</f>
        <v>-3.1225352112676057</v>
      </c>
      <c r="Q307">
        <f t="shared" ref="Q307" si="158">H307*H$1/$E$1</f>
        <v>-2.8563380281690143</v>
      </c>
      <c r="R307">
        <f t="shared" ref="R307" si="159">I307*I$1/$E$1</f>
        <v>-2.7718309859154933</v>
      </c>
      <c r="S307">
        <f t="shared" ref="S307" si="160">J307*J$1/$E$1</f>
        <v>-3.7661971830985914</v>
      </c>
      <c r="T307">
        <f t="shared" ref="T307" si="161">K307*K$1/$E$1</f>
        <v>-6.6901408450704223E-3</v>
      </c>
      <c r="U307">
        <f t="shared" ref="U307" si="162">L307*L$1/$E$1</f>
        <v>1.2173943661971831</v>
      </c>
      <c r="V307">
        <f t="shared" ref="V307" si="163">M307*M$1/$E$1</f>
        <v>3.6223239436619719</v>
      </c>
      <c r="W307" s="1">
        <f>SUM(O307:V307)</f>
        <v>-8.0895070422535191</v>
      </c>
    </row>
    <row r="308" spans="1:23" x14ac:dyDescent="0.3">
      <c r="A308" t="s">
        <v>316</v>
      </c>
      <c r="B308">
        <v>100.8</v>
      </c>
      <c r="C308">
        <v>1.97</v>
      </c>
      <c r="D308">
        <v>84656285.650000006</v>
      </c>
      <c r="E308">
        <v>7560000000</v>
      </c>
      <c r="F308">
        <v>-2.98</v>
      </c>
      <c r="G308">
        <v>-14.14</v>
      </c>
      <c r="H308">
        <v>17.350000000000001</v>
      </c>
      <c r="I308">
        <v>15.2</v>
      </c>
      <c r="J308">
        <v>9.57</v>
      </c>
      <c r="K308">
        <v>-22.04</v>
      </c>
      <c r="L308">
        <v>127.13</v>
      </c>
      <c r="M308">
        <v>656.76</v>
      </c>
    </row>
    <row r="309" spans="1:23" x14ac:dyDescent="0.3">
      <c r="A309" t="s">
        <v>317</v>
      </c>
      <c r="B309">
        <v>24.9</v>
      </c>
      <c r="C309">
        <v>-0.56000000000000005</v>
      </c>
      <c r="D309">
        <v>16623222.539999999</v>
      </c>
      <c r="E309">
        <v>1369500000</v>
      </c>
      <c r="F309">
        <v>-1.43</v>
      </c>
      <c r="G309">
        <v>-9.19</v>
      </c>
      <c r="H309">
        <v>-7.71</v>
      </c>
      <c r="I309">
        <v>-18.09</v>
      </c>
      <c r="J309">
        <v>-10.82</v>
      </c>
      <c r="K309">
        <v>-51.88</v>
      </c>
      <c r="L309">
        <v>44.1</v>
      </c>
    </row>
    <row r="310" spans="1:23" x14ac:dyDescent="0.3">
      <c r="A310" t="s">
        <v>318</v>
      </c>
      <c r="B310">
        <v>2.1</v>
      </c>
      <c r="C310">
        <v>0</v>
      </c>
      <c r="D310">
        <v>64993527.009999998</v>
      </c>
      <c r="E310">
        <v>2260912500</v>
      </c>
      <c r="F310">
        <v>-0.47</v>
      </c>
      <c r="G310">
        <v>3.45</v>
      </c>
      <c r="H310">
        <v>0</v>
      </c>
      <c r="I310">
        <v>-16.329999999999998</v>
      </c>
      <c r="J310">
        <v>-4.55</v>
      </c>
      <c r="K310">
        <v>-17.649999999999999</v>
      </c>
      <c r="L310">
        <v>98.11</v>
      </c>
      <c r="M310">
        <v>223.08</v>
      </c>
      <c r="O310">
        <f>F310*F$1/$E$1</f>
        <v>-0.13239436619718309</v>
      </c>
      <c r="P310">
        <f t="shared" ref="P310" si="164">G310*G$1/$E$1</f>
        <v>0.72887323943661975</v>
      </c>
      <c r="Q310">
        <f t="shared" ref="Q310" si="165">H310*H$1/$E$1</f>
        <v>0</v>
      </c>
      <c r="R310">
        <f t="shared" ref="R310" si="166">I310*I$1/$E$1</f>
        <v>-1.1499999999999999</v>
      </c>
      <c r="S310">
        <f t="shared" ref="S310" si="167">J310*J$1/$E$1</f>
        <v>-1.1214788732394365</v>
      </c>
      <c r="T310">
        <f t="shared" ref="T310" si="168">K310*K$1/$E$1</f>
        <v>-0.62147887323943662</v>
      </c>
      <c r="U310">
        <f t="shared" ref="U310" si="169">L310*L$1/$E$1</f>
        <v>0.69091549295774646</v>
      </c>
      <c r="V310">
        <f t="shared" ref="V310" si="170">M310*M$1/$E$1</f>
        <v>1.5709859154929577</v>
      </c>
      <c r="W310" s="1">
        <f>SUM(O310:V310)</f>
        <v>-3.4577464788732026E-2</v>
      </c>
    </row>
    <row r="311" spans="1:23" x14ac:dyDescent="0.3">
      <c r="A311" t="s">
        <v>319</v>
      </c>
      <c r="B311">
        <v>18.3</v>
      </c>
      <c r="C311">
        <v>-0.6</v>
      </c>
      <c r="D311">
        <v>20131511.010000002</v>
      </c>
      <c r="E311">
        <v>12919800000</v>
      </c>
      <c r="F311">
        <v>-4.04</v>
      </c>
      <c r="G311">
        <v>1.44</v>
      </c>
      <c r="H311">
        <v>-7.67</v>
      </c>
      <c r="I311">
        <v>-21.19</v>
      </c>
      <c r="J311">
        <v>-7.53</v>
      </c>
      <c r="K311">
        <v>-49.11</v>
      </c>
    </row>
    <row r="312" spans="1:23" x14ac:dyDescent="0.3">
      <c r="A312" t="s">
        <v>320</v>
      </c>
      <c r="B312">
        <v>70.349999999999994</v>
      </c>
      <c r="C312">
        <v>-0.21</v>
      </c>
      <c r="D312">
        <v>30575461.300000001</v>
      </c>
      <c r="E312">
        <v>7034999999.999999</v>
      </c>
      <c r="F312">
        <v>-3.56</v>
      </c>
      <c r="G312">
        <v>-10.5</v>
      </c>
      <c r="H312">
        <v>-12.45</v>
      </c>
      <c r="I312">
        <v>-14.52</v>
      </c>
      <c r="J312">
        <v>-9.52</v>
      </c>
      <c r="K312">
        <v>-55.07</v>
      </c>
    </row>
    <row r="313" spans="1:23" x14ac:dyDescent="0.3">
      <c r="A313" t="s">
        <v>321</v>
      </c>
      <c r="B313">
        <v>10.119999999999999</v>
      </c>
      <c r="C313">
        <v>-0.78</v>
      </c>
      <c r="D313">
        <v>65665699.719999999</v>
      </c>
      <c r="E313">
        <v>19379800000</v>
      </c>
      <c r="F313">
        <v>-1.56</v>
      </c>
      <c r="G313">
        <v>-15.88</v>
      </c>
      <c r="H313">
        <v>-28.88</v>
      </c>
      <c r="I313">
        <v>-34.33</v>
      </c>
      <c r="J313">
        <v>-27.61</v>
      </c>
      <c r="K313">
        <v>-46.31</v>
      </c>
    </row>
    <row r="314" spans="1:23" x14ac:dyDescent="0.3">
      <c r="A314" t="s">
        <v>322</v>
      </c>
      <c r="B314">
        <v>152.4</v>
      </c>
      <c r="C314">
        <v>-0.26</v>
      </c>
      <c r="D314">
        <v>4664702890.5</v>
      </c>
      <c r="E314">
        <v>386470862820</v>
      </c>
      <c r="F314">
        <v>1.2</v>
      </c>
      <c r="G314">
        <v>-10.25</v>
      </c>
      <c r="H314">
        <v>-23.99</v>
      </c>
      <c r="I314">
        <v>-18.2</v>
      </c>
      <c r="J314">
        <v>-14.67</v>
      </c>
      <c r="K314">
        <v>-4.43</v>
      </c>
      <c r="L314">
        <v>422.28</v>
      </c>
      <c r="M314">
        <v>909.27</v>
      </c>
    </row>
    <row r="315" spans="1:23" x14ac:dyDescent="0.3">
      <c r="A315" t="s">
        <v>323</v>
      </c>
      <c r="B315">
        <v>905</v>
      </c>
      <c r="C315">
        <v>-0.06</v>
      </c>
      <c r="D315">
        <v>4689172.5</v>
      </c>
      <c r="E315">
        <v>199100000000</v>
      </c>
      <c r="F315">
        <v>-1.63</v>
      </c>
      <c r="G315">
        <v>0.84</v>
      </c>
      <c r="H315">
        <v>11.73</v>
      </c>
      <c r="I315">
        <v>-9.68</v>
      </c>
      <c r="J315">
        <v>-11.01</v>
      </c>
      <c r="K315">
        <v>22.71</v>
      </c>
      <c r="L315">
        <v>476.43</v>
      </c>
      <c r="M315">
        <v>3030.4</v>
      </c>
    </row>
    <row r="316" spans="1:23" x14ac:dyDescent="0.3">
      <c r="A316" t="s">
        <v>324</v>
      </c>
      <c r="B316">
        <v>2.12</v>
      </c>
      <c r="C316">
        <v>2.42</v>
      </c>
      <c r="D316">
        <v>881898.8</v>
      </c>
      <c r="E316">
        <v>1247630769.6000001</v>
      </c>
      <c r="F316">
        <v>1.44</v>
      </c>
      <c r="G316">
        <v>-1.4</v>
      </c>
      <c r="H316">
        <v>0.95</v>
      </c>
      <c r="I316">
        <v>11.58</v>
      </c>
      <c r="J316">
        <v>-3.64</v>
      </c>
      <c r="K316">
        <v>2.91</v>
      </c>
      <c r="L316">
        <v>231.25</v>
      </c>
      <c r="M316">
        <v>404.76</v>
      </c>
    </row>
    <row r="317" spans="1:23" x14ac:dyDescent="0.3">
      <c r="A317" t="s">
        <v>325</v>
      </c>
      <c r="B317">
        <v>12.15</v>
      </c>
      <c r="C317">
        <v>-0.98</v>
      </c>
      <c r="D317">
        <v>33284128.41</v>
      </c>
      <c r="E317">
        <v>8043300000</v>
      </c>
      <c r="F317">
        <v>2.02</v>
      </c>
      <c r="G317">
        <v>-5.67</v>
      </c>
      <c r="H317">
        <v>-18.350000000000001</v>
      </c>
      <c r="I317">
        <v>-11.51</v>
      </c>
      <c r="J317">
        <v>-17.57</v>
      </c>
      <c r="K317">
        <v>-6.54</v>
      </c>
      <c r="L317">
        <v>223.14</v>
      </c>
      <c r="M317">
        <v>260.52999999999997</v>
      </c>
    </row>
    <row r="318" spans="1:23" x14ac:dyDescent="0.3">
      <c r="A318" t="s">
        <v>326</v>
      </c>
      <c r="B318">
        <v>90.85</v>
      </c>
      <c r="C318">
        <v>-0.22</v>
      </c>
      <c r="D318">
        <v>19168083.399999999</v>
      </c>
      <c r="E318">
        <v>1794287500</v>
      </c>
      <c r="F318">
        <v>-2.31</v>
      </c>
      <c r="G318">
        <v>-15.01</v>
      </c>
      <c r="H318">
        <v>7.39</v>
      </c>
      <c r="I318">
        <v>-5.9</v>
      </c>
      <c r="J318">
        <v>4.13</v>
      </c>
      <c r="K318">
        <v>-49.99</v>
      </c>
      <c r="L318">
        <v>400.28</v>
      </c>
      <c r="M318">
        <v>610.88</v>
      </c>
    </row>
    <row r="319" spans="1:23" x14ac:dyDescent="0.3">
      <c r="A319" t="s">
        <v>327</v>
      </c>
      <c r="B319">
        <v>47.3</v>
      </c>
      <c r="C319">
        <v>0.77</v>
      </c>
      <c r="D319">
        <v>27758145.760000002</v>
      </c>
      <c r="E319">
        <v>2905468010.5</v>
      </c>
      <c r="F319">
        <v>7.11</v>
      </c>
      <c r="G319">
        <v>10.31</v>
      </c>
      <c r="H319">
        <v>-3.47</v>
      </c>
      <c r="I319">
        <v>39.53</v>
      </c>
      <c r="J319">
        <v>-6.34</v>
      </c>
      <c r="K319">
        <v>17.899999999999999</v>
      </c>
      <c r="L319">
        <v>737.17</v>
      </c>
      <c r="M319">
        <v>1799.6</v>
      </c>
    </row>
    <row r="320" spans="1:23" x14ac:dyDescent="0.3">
      <c r="A320" t="s">
        <v>328</v>
      </c>
      <c r="B320">
        <v>11.44</v>
      </c>
      <c r="C320">
        <v>5.44</v>
      </c>
      <c r="D320">
        <v>75187878.340000004</v>
      </c>
      <c r="E320">
        <v>2745600000</v>
      </c>
      <c r="F320">
        <v>9.06</v>
      </c>
      <c r="G320">
        <v>8.0299999999999994</v>
      </c>
      <c r="H320">
        <v>14.06</v>
      </c>
      <c r="I320">
        <v>32.71</v>
      </c>
      <c r="J320">
        <v>19.04</v>
      </c>
      <c r="K320">
        <v>14.74</v>
      </c>
      <c r="L320">
        <v>272.64</v>
      </c>
    </row>
    <row r="321" spans="1:23" x14ac:dyDescent="0.3">
      <c r="A321" t="s">
        <v>329</v>
      </c>
      <c r="B321">
        <v>4.18</v>
      </c>
      <c r="C321">
        <v>0.48</v>
      </c>
      <c r="D321">
        <v>18581370.84</v>
      </c>
      <c r="E321">
        <v>5831100000</v>
      </c>
      <c r="F321">
        <v>-1.65</v>
      </c>
      <c r="G321">
        <v>-13.99</v>
      </c>
      <c r="H321">
        <v>-9.91</v>
      </c>
      <c r="I321">
        <v>0.48</v>
      </c>
      <c r="J321">
        <v>-7.32</v>
      </c>
      <c r="K321">
        <v>-28.55</v>
      </c>
      <c r="L321">
        <v>375</v>
      </c>
      <c r="M321">
        <v>543.08000000000004</v>
      </c>
    </row>
    <row r="322" spans="1:23" x14ac:dyDescent="0.3">
      <c r="A322" t="s">
        <v>330</v>
      </c>
      <c r="B322">
        <v>28.4</v>
      </c>
      <c r="C322">
        <v>-1.05</v>
      </c>
      <c r="D322">
        <v>74354008.099999994</v>
      </c>
      <c r="E322">
        <v>13064000000</v>
      </c>
      <c r="F322">
        <v>0.64</v>
      </c>
      <c r="G322">
        <v>-11.42</v>
      </c>
      <c r="H322">
        <v>-2.0699999999999998</v>
      </c>
      <c r="I322">
        <v>9.91</v>
      </c>
      <c r="J322">
        <v>-8.9700000000000006</v>
      </c>
      <c r="K322">
        <v>-8.06</v>
      </c>
      <c r="L322">
        <v>716.09</v>
      </c>
    </row>
    <row r="323" spans="1:23" x14ac:dyDescent="0.3">
      <c r="A323" t="s">
        <v>331</v>
      </c>
      <c r="B323">
        <v>24.2</v>
      </c>
      <c r="C323">
        <v>-1.39</v>
      </c>
      <c r="D323">
        <v>6190610.5599999996</v>
      </c>
      <c r="E323">
        <v>1916640000</v>
      </c>
      <c r="F323">
        <v>-2.97</v>
      </c>
      <c r="G323">
        <v>-10.24</v>
      </c>
      <c r="H323">
        <v>-7.91</v>
      </c>
      <c r="I323">
        <v>3.77</v>
      </c>
      <c r="J323">
        <v>-15.33</v>
      </c>
      <c r="K323">
        <v>-33.659999999999997</v>
      </c>
      <c r="L323">
        <v>137.02000000000001</v>
      </c>
      <c r="M323">
        <v>171.91</v>
      </c>
    </row>
    <row r="324" spans="1:23" x14ac:dyDescent="0.3">
      <c r="A324" t="s">
        <v>332</v>
      </c>
      <c r="B324">
        <v>7.6</v>
      </c>
      <c r="C324">
        <v>0.66</v>
      </c>
      <c r="D324">
        <v>1564616.33</v>
      </c>
      <c r="E324">
        <v>76000000000</v>
      </c>
      <c r="F324">
        <v>-3.18</v>
      </c>
      <c r="G324">
        <v>-2.81</v>
      </c>
      <c r="H324">
        <v>-13.44</v>
      </c>
      <c r="I324">
        <v>-26</v>
      </c>
      <c r="J324">
        <v>-6.86</v>
      </c>
      <c r="K324">
        <v>-20.079999999999998</v>
      </c>
      <c r="L324">
        <v>161.16999999999999</v>
      </c>
      <c r="M324">
        <v>118.39</v>
      </c>
    </row>
    <row r="325" spans="1:23" x14ac:dyDescent="0.3">
      <c r="A325" t="s">
        <v>333</v>
      </c>
      <c r="B325">
        <v>26.84</v>
      </c>
      <c r="C325">
        <v>7.0000000000000007E-2</v>
      </c>
      <c r="D325">
        <v>35593199.920000002</v>
      </c>
      <c r="E325">
        <v>43615000000</v>
      </c>
      <c r="F325">
        <v>2.44</v>
      </c>
      <c r="G325">
        <v>-7.58</v>
      </c>
      <c r="H325">
        <v>-9.4499999999999993</v>
      </c>
      <c r="I325">
        <v>-16.07</v>
      </c>
      <c r="J325">
        <v>-18.52</v>
      </c>
      <c r="K325">
        <v>-56.18</v>
      </c>
    </row>
    <row r="326" spans="1:23" x14ac:dyDescent="0.3">
      <c r="A326" t="s">
        <v>334</v>
      </c>
      <c r="B326">
        <v>30.7</v>
      </c>
      <c r="C326">
        <v>-1.48</v>
      </c>
      <c r="D326">
        <v>24487897.739999998</v>
      </c>
      <c r="E326">
        <v>15803704862</v>
      </c>
      <c r="F326">
        <v>-2.79</v>
      </c>
      <c r="G326">
        <v>-9.76</v>
      </c>
      <c r="H326">
        <v>-9.33</v>
      </c>
      <c r="I326">
        <v>-28.74</v>
      </c>
      <c r="J326">
        <v>-13.08</v>
      </c>
      <c r="K326">
        <v>-59.27</v>
      </c>
    </row>
    <row r="327" spans="1:23" x14ac:dyDescent="0.3">
      <c r="A327" t="s">
        <v>335</v>
      </c>
      <c r="B327">
        <v>5.94</v>
      </c>
      <c r="C327">
        <v>1.71</v>
      </c>
      <c r="D327">
        <v>19980855.379999999</v>
      </c>
      <c r="E327">
        <v>2562633707.04</v>
      </c>
      <c r="F327">
        <v>0.17</v>
      </c>
      <c r="G327">
        <v>5.32</v>
      </c>
      <c r="H327">
        <v>10.82</v>
      </c>
      <c r="I327">
        <v>11.03</v>
      </c>
      <c r="J327">
        <v>6.64</v>
      </c>
      <c r="K327">
        <v>-12.65</v>
      </c>
    </row>
    <row r="328" spans="1:23" x14ac:dyDescent="0.3">
      <c r="A328" t="s">
        <v>656</v>
      </c>
      <c r="B328">
        <v>70.400000000000006</v>
      </c>
      <c r="C328">
        <v>-0.14000000000000001</v>
      </c>
      <c r="D328">
        <v>569537934</v>
      </c>
      <c r="E328">
        <v>28965447667.200001</v>
      </c>
      <c r="F328">
        <v>-0.49</v>
      </c>
    </row>
    <row r="329" spans="1:23" x14ac:dyDescent="0.3">
      <c r="A329" t="s">
        <v>336</v>
      </c>
      <c r="B329">
        <v>17.47</v>
      </c>
      <c r="C329">
        <v>1.1599999999999999</v>
      </c>
      <c r="D329">
        <v>19580463.309999999</v>
      </c>
      <c r="E329">
        <v>8493913999.999999</v>
      </c>
      <c r="F329">
        <v>-0.17</v>
      </c>
      <c r="G329">
        <v>-4.12</v>
      </c>
      <c r="H329">
        <v>-7.07</v>
      </c>
      <c r="I329">
        <v>-19.12</v>
      </c>
      <c r="J329">
        <v>-8.0500000000000007</v>
      </c>
      <c r="K329">
        <v>-46.92</v>
      </c>
    </row>
    <row r="330" spans="1:23" x14ac:dyDescent="0.3">
      <c r="A330" t="s">
        <v>337</v>
      </c>
      <c r="B330">
        <v>13.99</v>
      </c>
      <c r="C330">
        <v>-0.36</v>
      </c>
      <c r="D330">
        <v>35002927.189999998</v>
      </c>
      <c r="E330">
        <v>3693360000</v>
      </c>
      <c r="F330">
        <v>4.4000000000000004</v>
      </c>
      <c r="G330">
        <v>11.3</v>
      </c>
      <c r="H330">
        <v>31.48</v>
      </c>
      <c r="I330">
        <v>39.9</v>
      </c>
      <c r="J330">
        <v>27.18</v>
      </c>
      <c r="K330">
        <v>16.97</v>
      </c>
      <c r="L330">
        <v>632.46</v>
      </c>
      <c r="M330">
        <v>1404.3</v>
      </c>
      <c r="O330">
        <f>F330*F$1/$E$1</f>
        <v>1.2394366197183098</v>
      </c>
      <c r="P330">
        <f t="shared" ref="P330" si="171">G330*G$1/$E$1</f>
        <v>2.387323943661972</v>
      </c>
      <c r="Q330">
        <f t="shared" ref="Q330" si="172">H330*H$1/$E$1</f>
        <v>4.4338028169014088</v>
      </c>
      <c r="R330">
        <f t="shared" ref="R330" si="173">I330*I$1/$E$1</f>
        <v>2.8098591549295775</v>
      </c>
      <c r="S330">
        <f t="shared" ref="S330" si="174">J330*J$1/$E$1</f>
        <v>6.6992957746478874</v>
      </c>
      <c r="T330">
        <f t="shared" ref="T330" si="175">K330*K$1/$E$1</f>
        <v>0.59753521126760556</v>
      </c>
      <c r="U330">
        <f t="shared" ref="U330" si="176">L330*L$1/$E$1</f>
        <v>4.4539436619718309</v>
      </c>
      <c r="V330">
        <f t="shared" ref="V330" si="177">M330*M$1/$E$1</f>
        <v>9.8894366197183103</v>
      </c>
      <c r="W330" s="1">
        <f>SUM(O330:V330)</f>
        <v>32.510633802816898</v>
      </c>
    </row>
    <row r="331" spans="1:23" x14ac:dyDescent="0.3">
      <c r="A331" t="s">
        <v>338</v>
      </c>
      <c r="B331">
        <v>17.579999999999998</v>
      </c>
      <c r="C331">
        <v>0.4</v>
      </c>
      <c r="D331">
        <v>87500238.959999993</v>
      </c>
      <c r="E331">
        <v>7998899999.999999</v>
      </c>
      <c r="F331">
        <v>9.8699999999999992</v>
      </c>
      <c r="G331">
        <v>16.97</v>
      </c>
      <c r="H331">
        <v>10.71</v>
      </c>
      <c r="I331">
        <v>2.33</v>
      </c>
      <c r="J331">
        <v>4.6399999999999997</v>
      </c>
    </row>
    <row r="332" spans="1:23" x14ac:dyDescent="0.3">
      <c r="A332" t="s">
        <v>339</v>
      </c>
      <c r="B332">
        <v>37.18</v>
      </c>
      <c r="C332">
        <v>0.38</v>
      </c>
      <c r="D332">
        <v>12918836.140000001</v>
      </c>
      <c r="E332">
        <v>4833400000</v>
      </c>
      <c r="F332">
        <v>-4.18</v>
      </c>
      <c r="G332">
        <v>-7.56</v>
      </c>
      <c r="H332">
        <v>-7.28</v>
      </c>
      <c r="I332">
        <v>-16.670000000000002</v>
      </c>
      <c r="J332">
        <v>-8.56</v>
      </c>
      <c r="K332">
        <v>-35.06</v>
      </c>
      <c r="L332">
        <v>279.77999999999997</v>
      </c>
    </row>
    <row r="333" spans="1:23" x14ac:dyDescent="0.3">
      <c r="A333" t="s">
        <v>340</v>
      </c>
      <c r="B333">
        <v>30</v>
      </c>
      <c r="C333">
        <v>-1.96</v>
      </c>
      <c r="D333">
        <v>531667794.89999998</v>
      </c>
      <c r="E333">
        <v>19500000000</v>
      </c>
      <c r="F333">
        <v>-6.54</v>
      </c>
      <c r="G333">
        <v>-16.34</v>
      </c>
      <c r="H333">
        <v>-37.53</v>
      </c>
      <c r="I333">
        <v>-38.99</v>
      </c>
      <c r="J333">
        <v>-22.24</v>
      </c>
      <c r="K333">
        <v>-66.069999999999993</v>
      </c>
      <c r="L333">
        <v>294.74</v>
      </c>
    </row>
    <row r="334" spans="1:23" x14ac:dyDescent="0.3">
      <c r="A334" t="s">
        <v>341</v>
      </c>
      <c r="B334">
        <v>5480</v>
      </c>
      <c r="C334">
        <v>-0.36</v>
      </c>
      <c r="D334">
        <v>54531417.5</v>
      </c>
      <c r="E334">
        <v>26706451200</v>
      </c>
      <c r="F334">
        <v>-7.2</v>
      </c>
      <c r="G334">
        <v>-13.73</v>
      </c>
      <c r="H334">
        <v>-22.19</v>
      </c>
      <c r="I334">
        <v>-16.72</v>
      </c>
      <c r="J334">
        <v>-18.21</v>
      </c>
      <c r="K334">
        <v>-48.11</v>
      </c>
      <c r="L334">
        <v>529.23</v>
      </c>
      <c r="M334">
        <v>2192.89</v>
      </c>
    </row>
    <row r="335" spans="1:23" x14ac:dyDescent="0.3">
      <c r="A335" t="s">
        <v>342</v>
      </c>
      <c r="B335">
        <v>5.43</v>
      </c>
      <c r="C335">
        <v>0.37</v>
      </c>
      <c r="D335">
        <v>123046424.02</v>
      </c>
      <c r="E335">
        <v>7042492800</v>
      </c>
      <c r="F335">
        <v>0.74</v>
      </c>
      <c r="G335">
        <v>-11.71</v>
      </c>
      <c r="H335">
        <v>-2.34</v>
      </c>
      <c r="I335">
        <v>-32.119999999999997</v>
      </c>
      <c r="J335">
        <v>-15.29</v>
      </c>
      <c r="K335">
        <v>-39.06</v>
      </c>
    </row>
    <row r="336" spans="1:23" x14ac:dyDescent="0.3">
      <c r="A336" t="s">
        <v>343</v>
      </c>
      <c r="B336">
        <v>62.65</v>
      </c>
      <c r="C336">
        <v>-0.24</v>
      </c>
      <c r="D336">
        <v>22853788.800000001</v>
      </c>
      <c r="E336">
        <v>12187246611.4</v>
      </c>
      <c r="F336">
        <v>-0.87</v>
      </c>
      <c r="G336">
        <v>-7.87</v>
      </c>
      <c r="H336">
        <v>-12.68</v>
      </c>
      <c r="I336">
        <v>-19</v>
      </c>
      <c r="J336">
        <v>-12.5</v>
      </c>
      <c r="K336">
        <v>-39.17</v>
      </c>
      <c r="L336">
        <v>102.1</v>
      </c>
      <c r="M336">
        <v>375.7</v>
      </c>
    </row>
    <row r="337" spans="1:23" x14ac:dyDescent="0.3">
      <c r="A337" t="s">
        <v>344</v>
      </c>
      <c r="B337">
        <v>16.73</v>
      </c>
      <c r="C337">
        <v>0.48</v>
      </c>
      <c r="D337">
        <v>25208217.469999999</v>
      </c>
      <c r="E337">
        <v>13880044500</v>
      </c>
      <c r="F337">
        <v>0.66</v>
      </c>
      <c r="G337">
        <v>-7.36</v>
      </c>
      <c r="H337">
        <v>-15.8</v>
      </c>
      <c r="I337">
        <v>-21.9</v>
      </c>
      <c r="J337">
        <v>-15.68</v>
      </c>
    </row>
    <row r="338" spans="1:23" x14ac:dyDescent="0.3">
      <c r="A338" t="s">
        <v>345</v>
      </c>
      <c r="B338">
        <v>66.849999999999994</v>
      </c>
      <c r="C338">
        <v>-2.83</v>
      </c>
      <c r="D338">
        <v>296824952.60000002</v>
      </c>
      <c r="E338">
        <v>25943147999.999996</v>
      </c>
      <c r="F338">
        <v>-6.57</v>
      </c>
      <c r="G338">
        <v>-3.81</v>
      </c>
      <c r="H338">
        <v>-5.1100000000000003</v>
      </c>
      <c r="I338">
        <v>7.05</v>
      </c>
      <c r="J338">
        <v>-9.9700000000000006</v>
      </c>
      <c r="K338">
        <v>28.93</v>
      </c>
      <c r="L338">
        <v>227.05</v>
      </c>
      <c r="M338">
        <v>491.59</v>
      </c>
    </row>
    <row r="339" spans="1:23" x14ac:dyDescent="0.3">
      <c r="A339" t="s">
        <v>346</v>
      </c>
      <c r="B339">
        <v>22.4</v>
      </c>
      <c r="C339">
        <v>-4.1100000000000003</v>
      </c>
      <c r="D339">
        <v>1123445576.0799999</v>
      </c>
      <c r="E339">
        <v>71736000000</v>
      </c>
      <c r="F339">
        <v>-3.61</v>
      </c>
      <c r="G339">
        <v>-0.8</v>
      </c>
      <c r="H339">
        <v>-1.41</v>
      </c>
      <c r="I339">
        <v>-10.9</v>
      </c>
      <c r="J339">
        <v>-0.8</v>
      </c>
      <c r="K339">
        <v>-1.67</v>
      </c>
      <c r="L339">
        <v>346.22</v>
      </c>
      <c r="M339">
        <v>622.58000000000004</v>
      </c>
    </row>
    <row r="340" spans="1:23" x14ac:dyDescent="0.3">
      <c r="A340" t="s">
        <v>347</v>
      </c>
      <c r="B340">
        <v>37.159999999999997</v>
      </c>
      <c r="C340">
        <v>-1.48</v>
      </c>
      <c r="D340">
        <v>306230988</v>
      </c>
      <c r="E340">
        <v>42362399999.999992</v>
      </c>
      <c r="F340">
        <v>-0.8</v>
      </c>
      <c r="G340">
        <v>6.17</v>
      </c>
      <c r="H340">
        <v>36.119999999999997</v>
      </c>
      <c r="I340">
        <v>106.9</v>
      </c>
      <c r="J340">
        <v>26.48</v>
      </c>
      <c r="K340">
        <v>67.39</v>
      </c>
      <c r="L340">
        <v>281.52</v>
      </c>
      <c r="M340">
        <v>1501.72</v>
      </c>
    </row>
    <row r="341" spans="1:23" x14ac:dyDescent="0.3">
      <c r="A341" t="s">
        <v>348</v>
      </c>
      <c r="B341">
        <v>24.2</v>
      </c>
      <c r="C341">
        <v>-0.17</v>
      </c>
      <c r="D341">
        <v>31783534.5</v>
      </c>
      <c r="E341">
        <v>27588000000</v>
      </c>
      <c r="F341">
        <v>1.68</v>
      </c>
      <c r="G341">
        <v>-1.22</v>
      </c>
      <c r="H341">
        <v>9.5</v>
      </c>
      <c r="I341">
        <v>41.52</v>
      </c>
      <c r="J341">
        <v>-2.42</v>
      </c>
      <c r="K341">
        <v>14.37</v>
      </c>
      <c r="L341">
        <v>150.52000000000001</v>
      </c>
      <c r="M341">
        <v>938.63</v>
      </c>
    </row>
    <row r="342" spans="1:23" x14ac:dyDescent="0.3">
      <c r="A342" t="s">
        <v>349</v>
      </c>
      <c r="B342">
        <v>27.7</v>
      </c>
      <c r="C342">
        <v>1.32</v>
      </c>
      <c r="D342">
        <v>1092145466.02</v>
      </c>
      <c r="E342">
        <v>31578000000</v>
      </c>
      <c r="F342">
        <v>1.39</v>
      </c>
      <c r="G342">
        <v>1.47</v>
      </c>
      <c r="H342">
        <v>0.95</v>
      </c>
      <c r="I342">
        <v>20.54</v>
      </c>
      <c r="J342">
        <v>2.21</v>
      </c>
      <c r="K342">
        <v>2.06</v>
      </c>
      <c r="L342">
        <v>143.62</v>
      </c>
      <c r="M342">
        <v>1049.3800000000001</v>
      </c>
    </row>
    <row r="343" spans="1:23" x14ac:dyDescent="0.3">
      <c r="A343" t="s">
        <v>350</v>
      </c>
      <c r="B343">
        <v>11.25</v>
      </c>
      <c r="C343">
        <v>-10</v>
      </c>
      <c r="D343">
        <v>307793089.69999999</v>
      </c>
      <c r="E343">
        <v>3712500000</v>
      </c>
      <c r="F343">
        <v>4.17</v>
      </c>
      <c r="G343">
        <v>18.420000000000002</v>
      </c>
      <c r="H343">
        <v>38.549999999999997</v>
      </c>
      <c r="I343">
        <v>87.5</v>
      </c>
      <c r="J343">
        <v>42.59</v>
      </c>
      <c r="K343">
        <v>100.89</v>
      </c>
      <c r="L343">
        <v>904.46</v>
      </c>
      <c r="M343">
        <v>2400</v>
      </c>
      <c r="O343">
        <f>F343*F$1/$E$1</f>
        <v>1.1746478873239437</v>
      </c>
      <c r="P343">
        <f t="shared" ref="P343" si="178">G343*G$1/$E$1</f>
        <v>3.8915492957746483</v>
      </c>
      <c r="Q343">
        <f t="shared" ref="Q343" si="179">H343*H$1/$E$1</f>
        <v>5.429577464788732</v>
      </c>
      <c r="R343">
        <f t="shared" ref="R343" si="180">I343*I$1/$E$1</f>
        <v>6.1619718309859151</v>
      </c>
      <c r="S343">
        <f t="shared" ref="S343" si="181">J343*J$1/$E$1</f>
        <v>10.497535211267607</v>
      </c>
      <c r="T343">
        <f t="shared" ref="T343" si="182">K343*K$1/$E$1</f>
        <v>3.5524647887323941</v>
      </c>
      <c r="U343">
        <f t="shared" ref="U343" si="183">L343*L$1/$E$1</f>
        <v>6.3694366197183099</v>
      </c>
      <c r="V343">
        <f t="shared" ref="V343" si="184">M343*M$1/$E$1</f>
        <v>16.901408450704224</v>
      </c>
      <c r="W343" s="1">
        <f>SUM(O343:V343)</f>
        <v>53.978591549295771</v>
      </c>
    </row>
    <row r="344" spans="1:23" x14ac:dyDescent="0.3">
      <c r="A344" t="s">
        <v>351</v>
      </c>
      <c r="B344">
        <v>18.97</v>
      </c>
      <c r="C344">
        <v>0</v>
      </c>
      <c r="D344">
        <v>11113566.880000001</v>
      </c>
      <c r="E344">
        <v>1624042149.6599998</v>
      </c>
      <c r="F344">
        <v>1.44</v>
      </c>
      <c r="G344">
        <v>-15.46</v>
      </c>
      <c r="H344">
        <v>-18.510000000000002</v>
      </c>
      <c r="I344">
        <v>-3.61</v>
      </c>
      <c r="J344">
        <v>-17.309999999999999</v>
      </c>
      <c r="K344">
        <v>-28.68</v>
      </c>
      <c r="L344">
        <v>210.47</v>
      </c>
      <c r="M344">
        <v>408.58</v>
      </c>
    </row>
    <row r="345" spans="1:23" x14ac:dyDescent="0.3">
      <c r="A345" t="s">
        <v>352</v>
      </c>
      <c r="B345">
        <v>6.91</v>
      </c>
      <c r="C345">
        <v>-1.29</v>
      </c>
      <c r="D345">
        <v>10407866.439999999</v>
      </c>
      <c r="E345">
        <v>1206486000</v>
      </c>
      <c r="F345">
        <v>0.28999999999999998</v>
      </c>
      <c r="G345">
        <v>-3.09</v>
      </c>
      <c r="H345">
        <v>-4.95</v>
      </c>
      <c r="I345">
        <v>-3.89</v>
      </c>
      <c r="J345">
        <v>-12.86</v>
      </c>
      <c r="K345">
        <v>-26.18</v>
      </c>
    </row>
    <row r="346" spans="1:23" x14ac:dyDescent="0.3">
      <c r="A346" t="s">
        <v>353</v>
      </c>
      <c r="B346">
        <v>5.57</v>
      </c>
      <c r="C346">
        <v>0.18</v>
      </c>
      <c r="D346">
        <v>19648335.48</v>
      </c>
      <c r="E346">
        <v>1069440000</v>
      </c>
      <c r="F346">
        <v>-0.89</v>
      </c>
      <c r="G346">
        <v>-3.97</v>
      </c>
      <c r="H346">
        <v>-3.97</v>
      </c>
      <c r="I346">
        <v>2.39</v>
      </c>
      <c r="J346">
        <v>-3.97</v>
      </c>
      <c r="K346">
        <v>-51.31</v>
      </c>
      <c r="L346">
        <v>4.7</v>
      </c>
      <c r="M346">
        <v>338.58</v>
      </c>
    </row>
    <row r="347" spans="1:23" x14ac:dyDescent="0.3">
      <c r="A347" t="s">
        <v>354</v>
      </c>
      <c r="B347">
        <v>29.14</v>
      </c>
      <c r="C347">
        <v>-0.68</v>
      </c>
      <c r="D347">
        <v>10423161.359999999</v>
      </c>
      <c r="E347">
        <v>1022828511.72</v>
      </c>
      <c r="F347">
        <v>-6.06</v>
      </c>
      <c r="G347">
        <v>-8.94</v>
      </c>
      <c r="H347">
        <v>2.3199999999999998</v>
      </c>
      <c r="I347">
        <v>14.36</v>
      </c>
      <c r="J347">
        <v>-26.93</v>
      </c>
      <c r="K347">
        <v>-20.38</v>
      </c>
      <c r="L347">
        <v>159.94999999999999</v>
      </c>
      <c r="M347">
        <v>1047.24</v>
      </c>
    </row>
    <row r="348" spans="1:23" x14ac:dyDescent="0.3">
      <c r="A348" t="s">
        <v>355</v>
      </c>
      <c r="B348">
        <v>2.12</v>
      </c>
      <c r="C348">
        <v>-0.93</v>
      </c>
      <c r="D348">
        <v>20917533.809999999</v>
      </c>
      <c r="E348">
        <v>4579200000</v>
      </c>
      <c r="F348">
        <v>-6.19</v>
      </c>
      <c r="G348">
        <v>-0.93</v>
      </c>
      <c r="H348">
        <v>-6.19</v>
      </c>
      <c r="I348">
        <v>-21.48</v>
      </c>
      <c r="J348">
        <v>-7.42</v>
      </c>
      <c r="K348">
        <v>-31.61</v>
      </c>
      <c r="L348">
        <v>90.99</v>
      </c>
    </row>
    <row r="349" spans="1:23" x14ac:dyDescent="0.3">
      <c r="A349" t="s">
        <v>356</v>
      </c>
      <c r="B349">
        <v>3837.5</v>
      </c>
      <c r="C349">
        <v>9.9600000000000009</v>
      </c>
      <c r="D349">
        <v>12527667.5</v>
      </c>
      <c r="E349">
        <v>16288598775</v>
      </c>
      <c r="F349">
        <v>10.43</v>
      </c>
      <c r="G349">
        <v>34.65</v>
      </c>
      <c r="H349">
        <v>26.23</v>
      </c>
      <c r="I349">
        <v>-5.71</v>
      </c>
      <c r="J349">
        <v>37.18</v>
      </c>
      <c r="K349">
        <v>-21.38</v>
      </c>
      <c r="L349">
        <v>1575.33</v>
      </c>
      <c r="M349">
        <v>17551.79</v>
      </c>
    </row>
    <row r="350" spans="1:23" x14ac:dyDescent="0.3">
      <c r="A350" t="s">
        <v>357</v>
      </c>
      <c r="B350">
        <v>60.9</v>
      </c>
      <c r="C350">
        <v>-0.16</v>
      </c>
      <c r="D350">
        <v>146108353.30000001</v>
      </c>
      <c r="E350">
        <v>10962000000</v>
      </c>
      <c r="F350">
        <v>4.01</v>
      </c>
      <c r="G350">
        <v>3.22</v>
      </c>
      <c r="H350">
        <v>0.41</v>
      </c>
      <c r="I350">
        <v>39.61</v>
      </c>
      <c r="J350">
        <v>16</v>
      </c>
      <c r="K350">
        <v>-42.36</v>
      </c>
    </row>
    <row r="351" spans="1:23" x14ac:dyDescent="0.3">
      <c r="A351" t="s">
        <v>358</v>
      </c>
      <c r="B351">
        <v>55.85</v>
      </c>
      <c r="C351">
        <v>0.54</v>
      </c>
      <c r="D351">
        <v>10543269.199999999</v>
      </c>
      <c r="E351">
        <v>2569100000</v>
      </c>
      <c r="F351">
        <v>1.18</v>
      </c>
      <c r="G351">
        <v>-4.6100000000000003</v>
      </c>
      <c r="H351">
        <v>-11.63</v>
      </c>
      <c r="I351">
        <v>-12.39</v>
      </c>
      <c r="J351">
        <v>-7.69</v>
      </c>
      <c r="K351">
        <v>-27.66</v>
      </c>
      <c r="L351">
        <v>122.07</v>
      </c>
    </row>
    <row r="352" spans="1:23" x14ac:dyDescent="0.3">
      <c r="A352" t="s">
        <v>359</v>
      </c>
      <c r="B352">
        <v>71.150000000000006</v>
      </c>
      <c r="C352">
        <v>-0.21</v>
      </c>
      <c r="D352">
        <v>17885931.75</v>
      </c>
      <c r="E352">
        <v>2840080320</v>
      </c>
      <c r="F352">
        <v>3.04</v>
      </c>
      <c r="G352">
        <v>-10.33</v>
      </c>
      <c r="H352">
        <v>-7.36</v>
      </c>
      <c r="I352">
        <v>-7.66</v>
      </c>
      <c r="J352">
        <v>-7.6</v>
      </c>
      <c r="K352">
        <v>-12.81</v>
      </c>
      <c r="L352">
        <v>65.540000000000006</v>
      </c>
      <c r="M352">
        <v>757.23</v>
      </c>
    </row>
    <row r="353" spans="1:13" x14ac:dyDescent="0.3">
      <c r="A353" t="s">
        <v>360</v>
      </c>
      <c r="B353">
        <v>49.7</v>
      </c>
      <c r="C353">
        <v>3.54</v>
      </c>
      <c r="D353">
        <v>7162727.5999999996</v>
      </c>
      <c r="E353">
        <v>1542787747.9000001</v>
      </c>
      <c r="F353">
        <v>-2.5499999999999998</v>
      </c>
      <c r="G353">
        <v>-0.9</v>
      </c>
      <c r="H353">
        <v>-11.25</v>
      </c>
      <c r="I353">
        <v>15.58</v>
      </c>
      <c r="J353">
        <v>-25.26</v>
      </c>
      <c r="K353">
        <v>8.3699999999999992</v>
      </c>
      <c r="L353">
        <v>174.59</v>
      </c>
      <c r="M353">
        <v>3327.59</v>
      </c>
    </row>
    <row r="354" spans="1:13" x14ac:dyDescent="0.3">
      <c r="A354" t="s">
        <v>361</v>
      </c>
      <c r="B354">
        <v>24.02</v>
      </c>
      <c r="C354">
        <v>0.42</v>
      </c>
      <c r="D354">
        <v>71832370.200000003</v>
      </c>
      <c r="E354">
        <v>9608000000</v>
      </c>
      <c r="F354">
        <v>-5.0599999999999996</v>
      </c>
      <c r="G354">
        <v>8.3000000000000007</v>
      </c>
      <c r="H354">
        <v>39.65</v>
      </c>
      <c r="I354">
        <v>59.5</v>
      </c>
      <c r="J354">
        <v>16.04</v>
      </c>
      <c r="K354">
        <v>74.69</v>
      </c>
      <c r="L354">
        <v>1556.55</v>
      </c>
      <c r="M354">
        <v>8796.2999999999993</v>
      </c>
    </row>
    <row r="355" spans="1:13" x14ac:dyDescent="0.3">
      <c r="A355" t="s">
        <v>362</v>
      </c>
      <c r="B355">
        <v>5.69</v>
      </c>
      <c r="C355">
        <v>-0.52</v>
      </c>
      <c r="D355">
        <v>35466613.909999996</v>
      </c>
      <c r="E355">
        <v>6828000000</v>
      </c>
      <c r="F355">
        <v>7.77</v>
      </c>
      <c r="G355">
        <v>9.42</v>
      </c>
      <c r="H355">
        <v>-24.64</v>
      </c>
      <c r="I355">
        <v>-6.26</v>
      </c>
      <c r="J355">
        <v>-17.3</v>
      </c>
      <c r="K355">
        <v>-6.26</v>
      </c>
      <c r="L355">
        <v>-40.85</v>
      </c>
    </row>
    <row r="356" spans="1:13" x14ac:dyDescent="0.3">
      <c r="A356" t="s">
        <v>363</v>
      </c>
      <c r="B356">
        <v>19.5</v>
      </c>
      <c r="C356">
        <v>-0.05</v>
      </c>
      <c r="D356">
        <v>7217346</v>
      </c>
      <c r="E356">
        <v>3900000000</v>
      </c>
      <c r="F356">
        <v>-1.52</v>
      </c>
      <c r="G356">
        <v>-4.51</v>
      </c>
      <c r="H356">
        <v>-17.649999999999999</v>
      </c>
      <c r="I356">
        <v>-2.06</v>
      </c>
      <c r="J356">
        <v>-11.36</v>
      </c>
      <c r="K356">
        <v>-32.619999999999997</v>
      </c>
    </row>
    <row r="357" spans="1:13" x14ac:dyDescent="0.3">
      <c r="A357" t="s">
        <v>364</v>
      </c>
      <c r="B357">
        <v>153.9</v>
      </c>
      <c r="C357">
        <v>5.92</v>
      </c>
      <c r="D357">
        <v>33882589.899999999</v>
      </c>
      <c r="E357">
        <v>25393500000</v>
      </c>
      <c r="F357">
        <v>5.41</v>
      </c>
      <c r="G357">
        <v>-0.06</v>
      </c>
      <c r="H357">
        <v>21.79</v>
      </c>
      <c r="I357">
        <v>81.31</v>
      </c>
      <c r="J357">
        <v>-6.44</v>
      </c>
      <c r="K357">
        <v>121.89</v>
      </c>
    </row>
    <row r="358" spans="1:13" x14ac:dyDescent="0.3">
      <c r="A358" t="s">
        <v>365</v>
      </c>
      <c r="B358">
        <v>3.11</v>
      </c>
      <c r="C358">
        <v>0.32</v>
      </c>
      <c r="D358">
        <v>20454146.07</v>
      </c>
      <c r="E358">
        <v>1736499600</v>
      </c>
      <c r="F358">
        <v>0.65</v>
      </c>
      <c r="G358">
        <v>0.65</v>
      </c>
      <c r="H358">
        <v>4.01</v>
      </c>
      <c r="I358">
        <v>-1.58</v>
      </c>
      <c r="J358">
        <v>4.01</v>
      </c>
      <c r="K358">
        <v>-17.940000000000001</v>
      </c>
      <c r="L358">
        <v>371.21</v>
      </c>
      <c r="M358">
        <v>972.41</v>
      </c>
    </row>
    <row r="359" spans="1:13" x14ac:dyDescent="0.3">
      <c r="A359" t="s">
        <v>366</v>
      </c>
      <c r="B359">
        <v>23.4</v>
      </c>
      <c r="C359">
        <v>0.78</v>
      </c>
      <c r="D359">
        <v>81021422.120000005</v>
      </c>
      <c r="E359">
        <v>13806000000</v>
      </c>
      <c r="F359">
        <v>3.08</v>
      </c>
      <c r="G359">
        <v>-10.48</v>
      </c>
      <c r="H359">
        <v>-15.58</v>
      </c>
      <c r="I359">
        <v>-9.7200000000000006</v>
      </c>
      <c r="J359">
        <v>-12.03</v>
      </c>
    </row>
    <row r="360" spans="1:13" x14ac:dyDescent="0.3">
      <c r="A360" t="s">
        <v>367</v>
      </c>
      <c r="B360">
        <v>485.25</v>
      </c>
      <c r="C360">
        <v>3.8</v>
      </c>
      <c r="D360">
        <v>31330544.25</v>
      </c>
      <c r="E360">
        <v>10554245730</v>
      </c>
      <c r="F360">
        <v>8.01</v>
      </c>
      <c r="G360">
        <v>0.78</v>
      </c>
      <c r="H360">
        <v>-5.96</v>
      </c>
      <c r="I360">
        <v>-17.75</v>
      </c>
      <c r="J360">
        <v>-2.36</v>
      </c>
      <c r="K360">
        <v>28.29</v>
      </c>
      <c r="L360">
        <v>1556.71</v>
      </c>
      <c r="M360">
        <v>4217.17</v>
      </c>
    </row>
    <row r="361" spans="1:13" x14ac:dyDescent="0.3">
      <c r="A361" t="s">
        <v>368</v>
      </c>
      <c r="B361">
        <v>18.91</v>
      </c>
      <c r="C361">
        <v>-0.16</v>
      </c>
      <c r="D361">
        <v>19268545.920000002</v>
      </c>
      <c r="E361">
        <v>4084560000</v>
      </c>
      <c r="F361">
        <v>-3.37</v>
      </c>
      <c r="G361">
        <v>-12.05</v>
      </c>
      <c r="H361">
        <v>11.56</v>
      </c>
      <c r="I361">
        <v>20.22</v>
      </c>
      <c r="J361">
        <v>5</v>
      </c>
      <c r="K361">
        <v>90.24</v>
      </c>
      <c r="L361">
        <v>619.01</v>
      </c>
      <c r="M361">
        <v>2809.23</v>
      </c>
    </row>
    <row r="362" spans="1:13" x14ac:dyDescent="0.3">
      <c r="A362" t="s">
        <v>369</v>
      </c>
      <c r="B362">
        <v>27.66</v>
      </c>
      <c r="C362">
        <v>-1.57</v>
      </c>
      <c r="D362">
        <v>98617042.400000006</v>
      </c>
      <c r="E362">
        <v>14277530502</v>
      </c>
      <c r="F362">
        <v>-4.16</v>
      </c>
      <c r="G362">
        <v>-13.24</v>
      </c>
      <c r="H362">
        <v>5.73</v>
      </c>
      <c r="I362">
        <v>20.16</v>
      </c>
      <c r="J362">
        <v>-11.06</v>
      </c>
      <c r="K362">
        <v>-12.25</v>
      </c>
    </row>
    <row r="363" spans="1:13" x14ac:dyDescent="0.3">
      <c r="A363" t="s">
        <v>370</v>
      </c>
      <c r="B363">
        <v>113.9</v>
      </c>
      <c r="C363">
        <v>4.0199999999999996</v>
      </c>
      <c r="D363">
        <v>138164244.30000001</v>
      </c>
      <c r="E363">
        <v>10820500000</v>
      </c>
      <c r="F363">
        <v>8.17</v>
      </c>
      <c r="G363">
        <v>-5.4</v>
      </c>
      <c r="H363">
        <v>-4.66</v>
      </c>
      <c r="I363">
        <v>-0.09</v>
      </c>
      <c r="J363">
        <v>5.56</v>
      </c>
      <c r="K363">
        <v>9.93</v>
      </c>
      <c r="L363">
        <v>193.56</v>
      </c>
      <c r="M363">
        <v>533.83000000000004</v>
      </c>
    </row>
    <row r="364" spans="1:13" x14ac:dyDescent="0.3">
      <c r="A364" t="s">
        <v>371</v>
      </c>
      <c r="B364">
        <v>2.1</v>
      </c>
      <c r="C364">
        <v>-1.41</v>
      </c>
      <c r="D364">
        <v>44506794.130000003</v>
      </c>
      <c r="E364">
        <v>1612800000</v>
      </c>
      <c r="F364">
        <v>-2.33</v>
      </c>
      <c r="G364">
        <v>1.45</v>
      </c>
      <c r="H364">
        <v>-11.76</v>
      </c>
      <c r="I364">
        <v>-20.149999999999999</v>
      </c>
      <c r="J364">
        <v>-4.55</v>
      </c>
      <c r="K364">
        <v>-38.78</v>
      </c>
      <c r="L364">
        <v>183.78</v>
      </c>
      <c r="M364">
        <v>296.23</v>
      </c>
    </row>
    <row r="365" spans="1:13" x14ac:dyDescent="0.3">
      <c r="A365" t="s">
        <v>372</v>
      </c>
      <c r="B365">
        <v>82.5</v>
      </c>
      <c r="C365">
        <v>0.86</v>
      </c>
      <c r="D365">
        <v>8535424.8499999996</v>
      </c>
      <c r="E365">
        <v>2310000000</v>
      </c>
      <c r="F365">
        <v>-1.32</v>
      </c>
      <c r="G365">
        <v>-2.54</v>
      </c>
      <c r="H365">
        <v>-13.61</v>
      </c>
      <c r="I365">
        <v>-10.81</v>
      </c>
      <c r="J365">
        <v>-13.25</v>
      </c>
      <c r="K365">
        <v>-22.68</v>
      </c>
      <c r="L365">
        <v>338.36</v>
      </c>
      <c r="M365">
        <v>2348.0700000000002</v>
      </c>
    </row>
    <row r="366" spans="1:13" x14ac:dyDescent="0.3">
      <c r="A366" t="s">
        <v>373</v>
      </c>
      <c r="B366">
        <v>106.4</v>
      </c>
      <c r="C366">
        <v>-1.66</v>
      </c>
      <c r="D366">
        <v>103240765.8</v>
      </c>
      <c r="E366">
        <v>22131200000</v>
      </c>
      <c r="F366">
        <v>23.22</v>
      </c>
      <c r="G366">
        <v>-0.19</v>
      </c>
      <c r="H366">
        <v>-9.83</v>
      </c>
      <c r="I366">
        <v>-23.01</v>
      </c>
      <c r="J366">
        <v>-6.34</v>
      </c>
      <c r="K366">
        <v>12.65</v>
      </c>
      <c r="L366">
        <v>2198.06</v>
      </c>
      <c r="M366">
        <v>4207.6899999999996</v>
      </c>
    </row>
    <row r="367" spans="1:13" x14ac:dyDescent="0.3">
      <c r="A367" t="s">
        <v>374</v>
      </c>
      <c r="B367">
        <v>11800</v>
      </c>
      <c r="C367">
        <v>3.33</v>
      </c>
      <c r="D367">
        <v>21271030</v>
      </c>
      <c r="E367">
        <v>22314614200</v>
      </c>
      <c r="F367">
        <v>9.26</v>
      </c>
      <c r="G367">
        <v>7.96</v>
      </c>
      <c r="H367">
        <v>20.07</v>
      </c>
      <c r="I367">
        <v>-3.91</v>
      </c>
      <c r="J367">
        <v>4.42</v>
      </c>
      <c r="K367">
        <v>-1.28</v>
      </c>
      <c r="L367">
        <v>3871.73</v>
      </c>
    </row>
    <row r="368" spans="1:13" x14ac:dyDescent="0.3">
      <c r="A368" t="s">
        <v>375</v>
      </c>
      <c r="B368">
        <v>804</v>
      </c>
      <c r="C368">
        <v>0.37</v>
      </c>
      <c r="D368">
        <v>13611739.5</v>
      </c>
      <c r="E368">
        <v>5601541164</v>
      </c>
      <c r="F368">
        <v>-2.5499999999999998</v>
      </c>
      <c r="G368">
        <v>3.47</v>
      </c>
      <c r="H368">
        <v>-3.6</v>
      </c>
      <c r="I368">
        <v>-13.27</v>
      </c>
      <c r="J368">
        <v>-6.57</v>
      </c>
      <c r="K368">
        <v>-33.11</v>
      </c>
      <c r="L368">
        <v>273.95</v>
      </c>
      <c r="M368">
        <v>924.86</v>
      </c>
    </row>
    <row r="369" spans="1:23" x14ac:dyDescent="0.3">
      <c r="A369" t="s">
        <v>376</v>
      </c>
      <c r="B369">
        <v>120</v>
      </c>
      <c r="C369">
        <v>2.39</v>
      </c>
      <c r="D369">
        <v>27533099.5</v>
      </c>
      <c r="E369">
        <v>3000000000</v>
      </c>
      <c r="F369">
        <v>9.69</v>
      </c>
      <c r="G369">
        <v>9.99</v>
      </c>
      <c r="H369">
        <v>14.18</v>
      </c>
      <c r="I369">
        <v>49.87</v>
      </c>
      <c r="J369">
        <v>12.15</v>
      </c>
      <c r="K369">
        <v>65.08</v>
      </c>
    </row>
    <row r="370" spans="1:23" x14ac:dyDescent="0.3">
      <c r="A370" t="s">
        <v>377</v>
      </c>
      <c r="B370">
        <v>25.96</v>
      </c>
      <c r="C370">
        <v>-1.07</v>
      </c>
      <c r="D370">
        <v>145723579.24000001</v>
      </c>
      <c r="E370">
        <v>30632800000</v>
      </c>
      <c r="F370">
        <v>-3.21</v>
      </c>
      <c r="G370">
        <v>12.87</v>
      </c>
      <c r="H370">
        <v>36.270000000000003</v>
      </c>
      <c r="I370">
        <v>14.56</v>
      </c>
      <c r="J370">
        <v>34.86</v>
      </c>
      <c r="K370">
        <v>59.75</v>
      </c>
      <c r="L370">
        <v>753.95</v>
      </c>
    </row>
    <row r="371" spans="1:23" x14ac:dyDescent="0.3">
      <c r="A371" t="s">
        <v>378</v>
      </c>
      <c r="B371">
        <v>19.52</v>
      </c>
      <c r="C371">
        <v>2.2000000000000002</v>
      </c>
      <c r="D371">
        <v>16838860.27</v>
      </c>
      <c r="E371">
        <v>2186240000</v>
      </c>
      <c r="F371">
        <v>-0.56000000000000005</v>
      </c>
      <c r="G371">
        <v>-9.0399999999999991</v>
      </c>
      <c r="H371">
        <v>-19.34</v>
      </c>
      <c r="I371">
        <v>-24.69</v>
      </c>
      <c r="J371">
        <v>-16.149999999999999</v>
      </c>
      <c r="K371">
        <v>-35.21</v>
      </c>
    </row>
    <row r="372" spans="1:23" x14ac:dyDescent="0.3">
      <c r="A372" t="s">
        <v>379</v>
      </c>
      <c r="B372">
        <v>6.5</v>
      </c>
      <c r="C372">
        <v>5.01</v>
      </c>
      <c r="D372">
        <v>70917207.659999996</v>
      </c>
      <c r="E372">
        <v>1300000000</v>
      </c>
      <c r="F372">
        <v>6.91</v>
      </c>
      <c r="G372">
        <v>2.36</v>
      </c>
      <c r="H372">
        <v>4.17</v>
      </c>
      <c r="I372">
        <v>-14.47</v>
      </c>
      <c r="J372">
        <v>-8.32</v>
      </c>
      <c r="K372">
        <v>-14.13</v>
      </c>
      <c r="L372">
        <v>139.85</v>
      </c>
      <c r="M372">
        <v>269.32</v>
      </c>
      <c r="O372">
        <f>F372*F$1/$E$1</f>
        <v>1.9464788732394365</v>
      </c>
      <c r="P372">
        <f t="shared" ref="P372" si="185">G372*G$1/$E$1</f>
        <v>0.49859154929577465</v>
      </c>
      <c r="Q372">
        <f t="shared" ref="Q372" si="186">H372*H$1/$E$1</f>
        <v>0.58732394366197183</v>
      </c>
      <c r="R372">
        <f t="shared" ref="R372" si="187">I372*I$1/$E$1</f>
        <v>-1.0190140845070423</v>
      </c>
      <c r="S372">
        <f t="shared" ref="S372" si="188">J372*J$1/$E$1</f>
        <v>-2.0507042253521126</v>
      </c>
      <c r="T372">
        <f t="shared" ref="T372" si="189">K372*K$1/$E$1</f>
        <v>-0.49753521126760569</v>
      </c>
      <c r="U372">
        <f t="shared" ref="U372" si="190">L372*L$1/$E$1</f>
        <v>0.98485915492957743</v>
      </c>
      <c r="V372">
        <f t="shared" ref="V372" si="191">M372*M$1/$E$1</f>
        <v>1.8966197183098592</v>
      </c>
      <c r="W372" s="1">
        <f>SUM(O372:V372)</f>
        <v>2.3466197183098587</v>
      </c>
    </row>
    <row r="373" spans="1:23" x14ac:dyDescent="0.3">
      <c r="A373" t="s">
        <v>380</v>
      </c>
      <c r="B373">
        <v>10.59</v>
      </c>
      <c r="C373">
        <v>1.83</v>
      </c>
      <c r="D373">
        <v>23258213.440000001</v>
      </c>
      <c r="E373">
        <v>1752941520</v>
      </c>
      <c r="F373">
        <v>8.6199999999999992</v>
      </c>
      <c r="G373">
        <v>21.44</v>
      </c>
      <c r="H373">
        <v>16.12</v>
      </c>
      <c r="I373">
        <v>46.07</v>
      </c>
      <c r="J373">
        <v>18.72</v>
      </c>
      <c r="K373">
        <v>79.8</v>
      </c>
      <c r="L373">
        <v>289.33999999999997</v>
      </c>
    </row>
    <row r="374" spans="1:23" x14ac:dyDescent="0.3">
      <c r="A374" t="s">
        <v>381</v>
      </c>
      <c r="B374">
        <v>11.55</v>
      </c>
      <c r="C374">
        <v>2.67</v>
      </c>
      <c r="D374">
        <v>27859726.43</v>
      </c>
      <c r="E374">
        <v>2640330000</v>
      </c>
      <c r="F374">
        <v>-0.86</v>
      </c>
      <c r="G374">
        <v>-4.62</v>
      </c>
      <c r="H374">
        <v>-9.6199999999999992</v>
      </c>
      <c r="I374">
        <v>-11.49</v>
      </c>
      <c r="J374">
        <v>-11.56</v>
      </c>
      <c r="K374">
        <v>-49.14</v>
      </c>
    </row>
    <row r="375" spans="1:23" x14ac:dyDescent="0.3">
      <c r="A375" t="s">
        <v>382</v>
      </c>
      <c r="B375">
        <v>46.86</v>
      </c>
      <c r="C375">
        <v>0.04</v>
      </c>
      <c r="D375">
        <v>11004627.92</v>
      </c>
      <c r="E375">
        <v>983591400</v>
      </c>
      <c r="F375">
        <v>-7.21</v>
      </c>
      <c r="G375">
        <v>-18.079999999999998</v>
      </c>
      <c r="H375">
        <v>-14.02</v>
      </c>
      <c r="I375">
        <v>-20.440000000000001</v>
      </c>
      <c r="J375">
        <v>-12.33</v>
      </c>
      <c r="K375">
        <v>-49.23</v>
      </c>
      <c r="L375">
        <v>1337.42</v>
      </c>
      <c r="M375">
        <v>3648.8</v>
      </c>
    </row>
    <row r="376" spans="1:23" x14ac:dyDescent="0.3">
      <c r="A376" t="s">
        <v>383</v>
      </c>
      <c r="B376">
        <v>2.94</v>
      </c>
      <c r="C376">
        <v>-0.68</v>
      </c>
      <c r="D376">
        <v>13959243.27</v>
      </c>
      <c r="E376">
        <v>1764000000</v>
      </c>
      <c r="F376">
        <v>-2.65</v>
      </c>
      <c r="G376">
        <v>-6.07</v>
      </c>
      <c r="H376">
        <v>-8.1300000000000008</v>
      </c>
      <c r="I376">
        <v>-9.82</v>
      </c>
      <c r="J376">
        <v>-14.78</v>
      </c>
      <c r="K376">
        <v>-41.67</v>
      </c>
      <c r="L376">
        <v>127.91</v>
      </c>
      <c r="M376">
        <v>415.79</v>
      </c>
      <c r="O376">
        <f>F376*F$1/$E$1</f>
        <v>-0.74647887323943662</v>
      </c>
      <c r="P376">
        <f t="shared" ref="P376" si="192">G376*G$1/$E$1</f>
        <v>-1.2823943661971833</v>
      </c>
      <c r="Q376">
        <f t="shared" ref="Q376" si="193">H376*H$1/$E$1</f>
        <v>-1.1450704225352115</v>
      </c>
      <c r="R376">
        <f t="shared" ref="R376" si="194">I376*I$1/$E$1</f>
        <v>-0.69154929577464785</v>
      </c>
      <c r="S376">
        <f t="shared" ref="S376" si="195">J376*J$1/$E$1</f>
        <v>-3.6429577464788729</v>
      </c>
      <c r="T376">
        <f t="shared" ref="T376" si="196">K376*K$1/$E$1</f>
        <v>-1.4672535211267608</v>
      </c>
      <c r="U376">
        <f t="shared" ref="U376" si="197">L376*L$1/$E$1</f>
        <v>0.90077464788732386</v>
      </c>
      <c r="V376">
        <f t="shared" ref="V376" si="198">M376*M$1/$E$1</f>
        <v>2.9280985915492961</v>
      </c>
      <c r="W376" s="1">
        <f>SUM(O376:V376)</f>
        <v>-5.1468309859154919</v>
      </c>
    </row>
    <row r="377" spans="1:23" x14ac:dyDescent="0.3">
      <c r="A377" t="s">
        <v>384</v>
      </c>
      <c r="B377">
        <v>66.650000000000006</v>
      </c>
      <c r="C377">
        <v>-0.67</v>
      </c>
      <c r="D377">
        <v>340032446.55000001</v>
      </c>
      <c r="E377">
        <v>26477112400.000004</v>
      </c>
      <c r="F377">
        <v>-2.27</v>
      </c>
      <c r="G377">
        <v>-6.19</v>
      </c>
      <c r="H377">
        <v>-19.46</v>
      </c>
      <c r="I377">
        <v>-36.82</v>
      </c>
      <c r="J377">
        <v>-23.57</v>
      </c>
      <c r="K377">
        <v>-4.74</v>
      </c>
      <c r="L377">
        <v>920.67</v>
      </c>
      <c r="M377">
        <v>994.42</v>
      </c>
    </row>
    <row r="378" spans="1:23" x14ac:dyDescent="0.3">
      <c r="A378" t="s">
        <v>385</v>
      </c>
      <c r="B378">
        <v>42.74</v>
      </c>
      <c r="C378">
        <v>-1.52</v>
      </c>
      <c r="D378">
        <v>8994732.1400000006</v>
      </c>
      <c r="E378">
        <v>5086060000</v>
      </c>
      <c r="F378">
        <v>-3.96</v>
      </c>
      <c r="G378">
        <v>-3.65</v>
      </c>
      <c r="H378">
        <v>-19.05</v>
      </c>
      <c r="I378">
        <v>1.26</v>
      </c>
      <c r="J378">
        <v>-19.21</v>
      </c>
      <c r="K378">
        <v>11.65</v>
      </c>
      <c r="L378">
        <v>384.03</v>
      </c>
    </row>
    <row r="379" spans="1:23" x14ac:dyDescent="0.3">
      <c r="A379" t="s">
        <v>386</v>
      </c>
      <c r="B379">
        <v>2.4900000000000002</v>
      </c>
      <c r="C379">
        <v>5.51</v>
      </c>
      <c r="D379">
        <v>3108073.31</v>
      </c>
      <c r="E379">
        <v>684750000</v>
      </c>
      <c r="F379">
        <v>0.4</v>
      </c>
      <c r="G379">
        <v>-7.78</v>
      </c>
      <c r="H379">
        <v>-24.55</v>
      </c>
      <c r="I379">
        <v>-7.78</v>
      </c>
      <c r="J379">
        <v>-18.63</v>
      </c>
      <c r="K379">
        <v>-51.08</v>
      </c>
      <c r="L379">
        <v>76.599999999999994</v>
      </c>
      <c r="M379">
        <v>896</v>
      </c>
    </row>
    <row r="380" spans="1:23" x14ac:dyDescent="0.3">
      <c r="A380" t="s">
        <v>387</v>
      </c>
      <c r="B380">
        <v>24.58</v>
      </c>
      <c r="C380">
        <v>0.74</v>
      </c>
      <c r="D380">
        <v>28945557.260000002</v>
      </c>
      <c r="E380">
        <v>6513700000</v>
      </c>
      <c r="F380">
        <v>-1.21</v>
      </c>
      <c r="G380">
        <v>-15.36</v>
      </c>
      <c r="H380">
        <v>-20.81</v>
      </c>
      <c r="I380">
        <v>-27.75</v>
      </c>
      <c r="J380">
        <v>-22.75</v>
      </c>
      <c r="K380">
        <v>-56.11</v>
      </c>
    </row>
    <row r="381" spans="1:23" x14ac:dyDescent="0.3">
      <c r="A381" t="s">
        <v>388</v>
      </c>
      <c r="B381">
        <v>42.36</v>
      </c>
      <c r="C381">
        <v>-0.94</v>
      </c>
      <c r="D381">
        <v>5253415.3600000003</v>
      </c>
      <c r="E381">
        <v>2647500000</v>
      </c>
      <c r="F381">
        <v>-2.2599999999999998</v>
      </c>
      <c r="G381">
        <v>-1.35</v>
      </c>
      <c r="H381">
        <v>0.05</v>
      </c>
      <c r="I381">
        <v>-14.53</v>
      </c>
      <c r="J381">
        <v>-7.87</v>
      </c>
      <c r="K381">
        <v>-44.08</v>
      </c>
    </row>
    <row r="382" spans="1:23" x14ac:dyDescent="0.3">
      <c r="A382" t="s">
        <v>389</v>
      </c>
      <c r="B382">
        <v>8.82</v>
      </c>
      <c r="C382">
        <v>2.92</v>
      </c>
      <c r="D382">
        <v>1747367.86</v>
      </c>
      <c r="E382">
        <v>664587000</v>
      </c>
      <c r="F382">
        <v>-0.11</v>
      </c>
      <c r="G382">
        <v>-4.6500000000000004</v>
      </c>
      <c r="H382">
        <v>-6.07</v>
      </c>
      <c r="I382">
        <v>-7.16</v>
      </c>
      <c r="J382">
        <v>-2.65</v>
      </c>
      <c r="K382">
        <v>-34.130000000000003</v>
      </c>
      <c r="L382">
        <v>318.01</v>
      </c>
      <c r="M382">
        <v>364.21</v>
      </c>
    </row>
    <row r="383" spans="1:23" x14ac:dyDescent="0.3">
      <c r="A383" t="s">
        <v>390</v>
      </c>
      <c r="B383">
        <v>15.09</v>
      </c>
      <c r="C383">
        <v>-1.37</v>
      </c>
      <c r="D383">
        <v>30312573.530000001</v>
      </c>
      <c r="E383">
        <v>2872697575.1399999</v>
      </c>
      <c r="F383">
        <v>7.79</v>
      </c>
      <c r="G383">
        <v>-1.95</v>
      </c>
      <c r="H383">
        <v>16.440000000000001</v>
      </c>
      <c r="I383">
        <v>12.28</v>
      </c>
      <c r="J383">
        <v>19.38</v>
      </c>
      <c r="K383">
        <v>-12.11</v>
      </c>
      <c r="L383">
        <v>385.21</v>
      </c>
    </row>
    <row r="384" spans="1:23" x14ac:dyDescent="0.3">
      <c r="A384" t="s">
        <v>391</v>
      </c>
      <c r="B384">
        <v>13.5</v>
      </c>
      <c r="C384">
        <v>2.2000000000000002</v>
      </c>
      <c r="D384">
        <v>34913206.909999996</v>
      </c>
      <c r="E384">
        <v>4544100000</v>
      </c>
      <c r="F384">
        <v>-7.0000000000000007E-2</v>
      </c>
      <c r="G384">
        <v>-4.7300000000000004</v>
      </c>
      <c r="H384">
        <v>-15.62</v>
      </c>
      <c r="I384">
        <v>-15.47</v>
      </c>
      <c r="J384">
        <v>-14.39</v>
      </c>
      <c r="K384">
        <v>48.03</v>
      </c>
      <c r="L384">
        <v>469.62</v>
      </c>
      <c r="M384">
        <v>7005.26</v>
      </c>
    </row>
    <row r="385" spans="1:23" x14ac:dyDescent="0.3">
      <c r="A385" t="s">
        <v>392</v>
      </c>
      <c r="B385">
        <v>13.77</v>
      </c>
      <c r="C385">
        <v>-0.94</v>
      </c>
      <c r="D385">
        <v>54832973.439999998</v>
      </c>
      <c r="E385">
        <v>1392499677.24</v>
      </c>
      <c r="F385">
        <v>-1.64</v>
      </c>
      <c r="G385">
        <v>-9.94</v>
      </c>
      <c r="H385">
        <v>-8.5</v>
      </c>
      <c r="I385">
        <v>24.28</v>
      </c>
      <c r="J385">
        <v>-3.37</v>
      </c>
      <c r="K385">
        <v>-1.78</v>
      </c>
      <c r="L385">
        <v>350</v>
      </c>
      <c r="M385">
        <v>1107.8900000000001</v>
      </c>
    </row>
    <row r="386" spans="1:23" x14ac:dyDescent="0.3">
      <c r="A386" t="s">
        <v>393</v>
      </c>
      <c r="B386">
        <v>2.93</v>
      </c>
      <c r="C386">
        <v>-0.34</v>
      </c>
      <c r="D386">
        <v>38810200.759999998</v>
      </c>
      <c r="E386">
        <v>1582200000</v>
      </c>
      <c r="F386">
        <v>-8.7200000000000006</v>
      </c>
      <c r="G386">
        <v>-3.93</v>
      </c>
      <c r="H386">
        <v>9.74</v>
      </c>
      <c r="I386">
        <v>20.079999999999998</v>
      </c>
      <c r="J386">
        <v>13.57</v>
      </c>
      <c r="K386">
        <v>6.93</v>
      </c>
      <c r="L386">
        <v>148.31</v>
      </c>
      <c r="M386">
        <v>171.3</v>
      </c>
    </row>
    <row r="387" spans="1:23" x14ac:dyDescent="0.3">
      <c r="A387" t="s">
        <v>394</v>
      </c>
      <c r="B387">
        <v>14.75</v>
      </c>
      <c r="C387">
        <v>-2.9</v>
      </c>
      <c r="D387">
        <v>101826365.88</v>
      </c>
      <c r="E387">
        <v>1593000000</v>
      </c>
      <c r="F387">
        <v>-3.59</v>
      </c>
      <c r="G387">
        <v>-10.61</v>
      </c>
      <c r="H387">
        <v>-2.96</v>
      </c>
      <c r="I387">
        <v>2.86</v>
      </c>
      <c r="J387">
        <v>-14.14</v>
      </c>
      <c r="K387">
        <v>63.71</v>
      </c>
      <c r="L387">
        <v>738.07</v>
      </c>
      <c r="M387">
        <v>4658.0600000000004</v>
      </c>
    </row>
    <row r="388" spans="1:23" x14ac:dyDescent="0.3">
      <c r="A388" t="s">
        <v>395</v>
      </c>
      <c r="B388">
        <v>562</v>
      </c>
      <c r="C388">
        <v>-0.44</v>
      </c>
      <c r="D388">
        <v>1179505377</v>
      </c>
      <c r="E388">
        <v>101752478946</v>
      </c>
      <c r="F388">
        <v>1.44</v>
      </c>
      <c r="G388">
        <v>-3.93</v>
      </c>
      <c r="H388">
        <v>16.3</v>
      </c>
      <c r="I388">
        <v>16.739999999999998</v>
      </c>
      <c r="J388">
        <v>2.74</v>
      </c>
      <c r="K388">
        <v>16.989999999999998</v>
      </c>
      <c r="L388">
        <v>1507.09</v>
      </c>
      <c r="M388">
        <v>2578.7399999999998</v>
      </c>
    </row>
    <row r="389" spans="1:23" x14ac:dyDescent="0.3">
      <c r="A389" t="s">
        <v>396</v>
      </c>
      <c r="B389">
        <v>4.4800000000000004</v>
      </c>
      <c r="C389">
        <v>0.67</v>
      </c>
      <c r="D389">
        <v>6102200.3099999996</v>
      </c>
      <c r="E389">
        <v>3704960000.0000005</v>
      </c>
      <c r="F389">
        <v>-0.44</v>
      </c>
      <c r="G389">
        <v>-1.75</v>
      </c>
      <c r="H389">
        <v>-12.5</v>
      </c>
      <c r="I389">
        <v>2.2799999999999998</v>
      </c>
      <c r="J389">
        <v>-9.1300000000000008</v>
      </c>
      <c r="K389">
        <v>-26.44</v>
      </c>
    </row>
    <row r="390" spans="1:23" x14ac:dyDescent="0.3">
      <c r="A390" t="s">
        <v>397</v>
      </c>
      <c r="B390">
        <v>32.200000000000003</v>
      </c>
      <c r="C390">
        <v>1.19</v>
      </c>
      <c r="D390">
        <v>233407288.38</v>
      </c>
      <c r="E390">
        <v>15906800000.000002</v>
      </c>
      <c r="F390">
        <v>-3.13</v>
      </c>
      <c r="G390">
        <v>-13.35</v>
      </c>
      <c r="H390">
        <v>-26.95</v>
      </c>
      <c r="I390">
        <v>-33.61</v>
      </c>
      <c r="J390">
        <v>-23.59</v>
      </c>
      <c r="K390">
        <v>-60.27</v>
      </c>
      <c r="L390">
        <v>1252.94</v>
      </c>
    </row>
    <row r="391" spans="1:23" x14ac:dyDescent="0.3">
      <c r="A391" t="s">
        <v>398</v>
      </c>
      <c r="B391">
        <v>23.34</v>
      </c>
      <c r="C391">
        <v>-1.1000000000000001</v>
      </c>
      <c r="D391">
        <v>1108316.76</v>
      </c>
      <c r="E391">
        <v>311282755.86000001</v>
      </c>
      <c r="F391">
        <v>1.83</v>
      </c>
      <c r="G391">
        <v>2.82</v>
      </c>
      <c r="H391">
        <v>21.25</v>
      </c>
      <c r="I391">
        <v>-13.56</v>
      </c>
      <c r="J391">
        <v>14.98</v>
      </c>
      <c r="K391">
        <v>99.49</v>
      </c>
      <c r="L391">
        <v>852.65</v>
      </c>
      <c r="M391">
        <v>2645.88</v>
      </c>
    </row>
    <row r="392" spans="1:23" x14ac:dyDescent="0.3">
      <c r="A392" t="s">
        <v>399</v>
      </c>
      <c r="B392">
        <v>10</v>
      </c>
      <c r="C392">
        <v>5.93</v>
      </c>
      <c r="D392">
        <v>67327779.280000001</v>
      </c>
      <c r="E392">
        <v>2772925760</v>
      </c>
      <c r="F392">
        <v>8.4600000000000009</v>
      </c>
      <c r="G392">
        <v>-1.19</v>
      </c>
      <c r="H392">
        <v>-7.83</v>
      </c>
      <c r="I392">
        <v>-19.940000000000001</v>
      </c>
      <c r="J392">
        <v>2.15</v>
      </c>
      <c r="K392">
        <v>-20.76</v>
      </c>
      <c r="L392">
        <v>412.82</v>
      </c>
      <c r="M392">
        <v>464.97</v>
      </c>
    </row>
    <row r="393" spans="1:23" x14ac:dyDescent="0.3">
      <c r="A393" t="s">
        <v>400</v>
      </c>
      <c r="B393">
        <v>5.84</v>
      </c>
      <c r="C393">
        <v>0.17</v>
      </c>
      <c r="D393">
        <v>4320143.8099999996</v>
      </c>
      <c r="E393">
        <v>6126398301.1999998</v>
      </c>
      <c r="F393">
        <v>0</v>
      </c>
      <c r="G393">
        <v>-6.86</v>
      </c>
      <c r="H393">
        <v>3.36</v>
      </c>
      <c r="I393">
        <v>-4.1100000000000003</v>
      </c>
      <c r="J393">
        <v>0.17</v>
      </c>
      <c r="K393">
        <v>-20.440000000000001</v>
      </c>
      <c r="L393">
        <v>54.5</v>
      </c>
      <c r="M393">
        <v>163.06</v>
      </c>
    </row>
    <row r="394" spans="1:23" x14ac:dyDescent="0.3">
      <c r="A394" t="s">
        <v>401</v>
      </c>
      <c r="B394">
        <v>3.74</v>
      </c>
      <c r="C394">
        <v>-1.58</v>
      </c>
      <c r="D394">
        <v>16983547.620000001</v>
      </c>
      <c r="E394">
        <v>3833500000</v>
      </c>
      <c r="F394">
        <v>-4.59</v>
      </c>
      <c r="G394">
        <v>-9.66</v>
      </c>
      <c r="H394">
        <v>-10.31</v>
      </c>
      <c r="I394">
        <v>-27.38</v>
      </c>
      <c r="J394">
        <v>-11.37</v>
      </c>
      <c r="K394">
        <v>-56</v>
      </c>
      <c r="L394">
        <v>126.67</v>
      </c>
    </row>
    <row r="395" spans="1:23" x14ac:dyDescent="0.3">
      <c r="A395" t="s">
        <v>402</v>
      </c>
      <c r="B395">
        <v>8.8000000000000007</v>
      </c>
      <c r="C395">
        <v>-1.01</v>
      </c>
      <c r="D395">
        <v>42446495.420000002</v>
      </c>
      <c r="E395">
        <v>21472950400</v>
      </c>
      <c r="F395">
        <v>-0.79</v>
      </c>
      <c r="G395">
        <v>-6.68</v>
      </c>
      <c r="H395">
        <v>-12.18</v>
      </c>
      <c r="I395">
        <v>-21.01</v>
      </c>
      <c r="J395">
        <v>-15.38</v>
      </c>
    </row>
    <row r="396" spans="1:23" x14ac:dyDescent="0.3">
      <c r="A396" t="s">
        <v>403</v>
      </c>
      <c r="B396">
        <v>29.24</v>
      </c>
      <c r="C396">
        <v>1.1100000000000001</v>
      </c>
      <c r="D396">
        <v>252046652.44</v>
      </c>
      <c r="E396">
        <v>7982520000</v>
      </c>
      <c r="F396">
        <v>-5.68</v>
      </c>
      <c r="G396">
        <v>-16.93</v>
      </c>
    </row>
    <row r="397" spans="1:23" x14ac:dyDescent="0.3">
      <c r="A397" t="s">
        <v>404</v>
      </c>
      <c r="B397">
        <v>357.25</v>
      </c>
      <c r="C397">
        <v>-0.63</v>
      </c>
      <c r="D397">
        <v>164764188.25</v>
      </c>
      <c r="E397">
        <v>68239109164.5</v>
      </c>
      <c r="F397">
        <v>-1.85</v>
      </c>
      <c r="G397">
        <v>-8.86</v>
      </c>
      <c r="H397">
        <v>-10.69</v>
      </c>
      <c r="I397">
        <v>-0.54</v>
      </c>
      <c r="J397">
        <v>-6.48</v>
      </c>
      <c r="K397">
        <v>96.38</v>
      </c>
      <c r="L397">
        <v>991.84</v>
      </c>
      <c r="M397">
        <v>2102.5300000000002</v>
      </c>
    </row>
    <row r="398" spans="1:23" x14ac:dyDescent="0.3">
      <c r="A398" t="s">
        <v>405</v>
      </c>
      <c r="B398">
        <v>1.42</v>
      </c>
      <c r="C398">
        <v>-0.7</v>
      </c>
      <c r="D398">
        <v>53081676.689999998</v>
      </c>
      <c r="E398">
        <v>1549191600</v>
      </c>
      <c r="F398">
        <v>-2.0699999999999998</v>
      </c>
      <c r="G398">
        <v>-4.05</v>
      </c>
      <c r="H398">
        <v>-18.39</v>
      </c>
      <c r="I398">
        <v>-15.48</v>
      </c>
      <c r="J398">
        <v>-18.86</v>
      </c>
      <c r="K398">
        <v>-21.11</v>
      </c>
      <c r="L398">
        <v>425.93</v>
      </c>
      <c r="M398">
        <v>373.33</v>
      </c>
      <c r="O398">
        <f>F398*F$1/$E$1</f>
        <v>-0.58309859154929577</v>
      </c>
      <c r="P398">
        <f t="shared" ref="P398" si="199">G398*G$1/$E$1</f>
        <v>-0.85563380281690138</v>
      </c>
      <c r="Q398">
        <f t="shared" ref="Q398" si="200">H398*H$1/$E$1</f>
        <v>-2.5901408450704224</v>
      </c>
      <c r="R398">
        <f t="shared" ref="R398" si="201">I398*I$1/$E$1</f>
        <v>-1.0901408450704226</v>
      </c>
      <c r="S398">
        <f t="shared" ref="S398" si="202">J398*J$1/$E$1</f>
        <v>-4.6485915492957748</v>
      </c>
      <c r="T398">
        <f t="shared" ref="T398" si="203">K398*K$1/$E$1</f>
        <v>-0.74330985915492953</v>
      </c>
      <c r="U398">
        <f t="shared" ref="U398" si="204">L398*L$1/$E$1</f>
        <v>2.999507042253521</v>
      </c>
      <c r="V398">
        <f t="shared" ref="V398" si="205">M398*M$1/$E$1</f>
        <v>2.6290845070422533</v>
      </c>
      <c r="W398" s="1">
        <f>SUM(O398:V398)</f>
        <v>-4.8823239436619721</v>
      </c>
    </row>
    <row r="399" spans="1:23" x14ac:dyDescent="0.3">
      <c r="A399" t="s">
        <v>406</v>
      </c>
      <c r="B399">
        <v>1420</v>
      </c>
      <c r="C399">
        <v>-0.7</v>
      </c>
      <c r="D399">
        <v>12924646</v>
      </c>
      <c r="E399">
        <v>15611670280</v>
      </c>
      <c r="F399">
        <v>-1.1100000000000001</v>
      </c>
      <c r="G399">
        <v>-5.71</v>
      </c>
      <c r="H399">
        <v>-13.57</v>
      </c>
      <c r="I399">
        <v>-14.71</v>
      </c>
      <c r="J399">
        <v>-8.6199999999999992</v>
      </c>
      <c r="K399">
        <v>-44.75</v>
      </c>
      <c r="L399">
        <v>585.99</v>
      </c>
      <c r="M399">
        <v>2581.7800000000002</v>
      </c>
    </row>
    <row r="400" spans="1:23" x14ac:dyDescent="0.3">
      <c r="A400" t="s">
        <v>407</v>
      </c>
      <c r="B400">
        <v>19.3</v>
      </c>
      <c r="C400">
        <v>-0.36</v>
      </c>
      <c r="D400">
        <v>28015144.09</v>
      </c>
      <c r="E400">
        <v>2590435616.5999999</v>
      </c>
      <c r="F400">
        <v>9.16</v>
      </c>
      <c r="G400">
        <v>27.56</v>
      </c>
      <c r="H400">
        <v>33.380000000000003</v>
      </c>
      <c r="I400">
        <v>60.83</v>
      </c>
      <c r="J400">
        <v>36.01</v>
      </c>
      <c r="K400">
        <v>17.329999999999998</v>
      </c>
      <c r="L400">
        <v>467.65</v>
      </c>
      <c r="M400">
        <v>1212.93</v>
      </c>
    </row>
    <row r="401" spans="1:23" x14ac:dyDescent="0.3">
      <c r="A401" t="s">
        <v>408</v>
      </c>
      <c r="B401">
        <v>19.350000000000001</v>
      </c>
      <c r="C401">
        <v>5.51</v>
      </c>
      <c r="D401">
        <v>33327530.850000001</v>
      </c>
      <c r="E401">
        <v>1944675000.0000002</v>
      </c>
      <c r="F401">
        <v>5.22</v>
      </c>
      <c r="G401">
        <v>-6.34</v>
      </c>
      <c r="H401">
        <v>1.84</v>
      </c>
      <c r="I401">
        <v>7.02</v>
      </c>
      <c r="J401">
        <v>-6.34</v>
      </c>
      <c r="K401">
        <v>-41.77</v>
      </c>
      <c r="L401">
        <v>241.27</v>
      </c>
    </row>
    <row r="402" spans="1:23" x14ac:dyDescent="0.3">
      <c r="A402" t="s">
        <v>409</v>
      </c>
      <c r="B402">
        <v>6.65</v>
      </c>
      <c r="C402">
        <v>-1.19</v>
      </c>
      <c r="D402">
        <v>2117851.33</v>
      </c>
      <c r="E402">
        <v>279300000</v>
      </c>
      <c r="F402">
        <v>-2.06</v>
      </c>
      <c r="G402">
        <v>-5</v>
      </c>
      <c r="H402">
        <v>-2.64</v>
      </c>
      <c r="I402">
        <v>-21.67</v>
      </c>
      <c r="J402">
        <v>-9.89</v>
      </c>
      <c r="K402">
        <v>-22.31</v>
      </c>
      <c r="L402">
        <v>388.97</v>
      </c>
      <c r="M402">
        <v>110.44</v>
      </c>
    </row>
    <row r="403" spans="1:23" x14ac:dyDescent="0.3">
      <c r="A403" t="s">
        <v>410</v>
      </c>
      <c r="B403">
        <v>5.55</v>
      </c>
      <c r="C403">
        <v>-0.89</v>
      </c>
      <c r="D403">
        <v>1394514.8</v>
      </c>
      <c r="E403">
        <v>602502450</v>
      </c>
      <c r="F403">
        <v>-3.48</v>
      </c>
      <c r="G403">
        <v>-8.57</v>
      </c>
      <c r="H403">
        <v>-20.260000000000002</v>
      </c>
      <c r="I403">
        <v>-21.39</v>
      </c>
      <c r="J403">
        <v>-15.65</v>
      </c>
      <c r="K403">
        <v>-41.39</v>
      </c>
      <c r="L403">
        <v>75.63</v>
      </c>
      <c r="M403">
        <v>275</v>
      </c>
    </row>
    <row r="404" spans="1:23" x14ac:dyDescent="0.3">
      <c r="A404" t="s">
        <v>411</v>
      </c>
      <c r="B404">
        <v>66.05</v>
      </c>
      <c r="C404">
        <v>-9.9499999999999993</v>
      </c>
      <c r="D404">
        <v>1204636892.5999999</v>
      </c>
      <c r="E404">
        <v>10898250000</v>
      </c>
      <c r="F404">
        <v>-8.77</v>
      </c>
      <c r="G404">
        <v>-15.97</v>
      </c>
      <c r="H404">
        <v>34.25</v>
      </c>
      <c r="I404">
        <v>29.26</v>
      </c>
      <c r="J404">
        <v>-12.86</v>
      </c>
      <c r="K404">
        <v>3.69</v>
      </c>
      <c r="L404">
        <v>549.46</v>
      </c>
      <c r="M404">
        <v>1865.77</v>
      </c>
    </row>
    <row r="405" spans="1:23" x14ac:dyDescent="0.3">
      <c r="A405" t="s">
        <v>412</v>
      </c>
      <c r="B405">
        <v>60.6</v>
      </c>
      <c r="C405">
        <v>2.62</v>
      </c>
      <c r="D405">
        <v>37184163.299999997</v>
      </c>
      <c r="E405">
        <v>3930806880</v>
      </c>
      <c r="F405">
        <v>6.78</v>
      </c>
      <c r="G405">
        <v>-3.58</v>
      </c>
      <c r="H405">
        <v>-16.87</v>
      </c>
      <c r="I405">
        <v>-26.99</v>
      </c>
      <c r="J405">
        <v>-8.18</v>
      </c>
      <c r="K405">
        <v>-29.12</v>
      </c>
      <c r="L405">
        <v>293.51</v>
      </c>
      <c r="M405">
        <v>368.32</v>
      </c>
    </row>
    <row r="406" spans="1:23" x14ac:dyDescent="0.3">
      <c r="A406" t="s">
        <v>413</v>
      </c>
      <c r="B406">
        <v>15.49</v>
      </c>
      <c r="C406">
        <v>-0.51</v>
      </c>
      <c r="D406">
        <v>6378580.3300000001</v>
      </c>
      <c r="E406">
        <v>836460000</v>
      </c>
      <c r="F406">
        <v>-2.02</v>
      </c>
      <c r="G406">
        <v>-8.07</v>
      </c>
      <c r="H406">
        <v>-16.72</v>
      </c>
      <c r="I406">
        <v>1.31</v>
      </c>
      <c r="J406">
        <v>-13.22</v>
      </c>
      <c r="K406">
        <v>-31.76</v>
      </c>
      <c r="L406">
        <v>70.59</v>
      </c>
      <c r="M406">
        <v>131.19</v>
      </c>
    </row>
    <row r="407" spans="1:23" x14ac:dyDescent="0.3">
      <c r="A407" t="s">
        <v>414</v>
      </c>
      <c r="B407">
        <v>5.71</v>
      </c>
      <c r="C407">
        <v>0.35</v>
      </c>
      <c r="D407">
        <v>15947110.66</v>
      </c>
      <c r="E407">
        <v>3939900000</v>
      </c>
      <c r="F407">
        <v>1.24</v>
      </c>
      <c r="G407">
        <v>0.71</v>
      </c>
      <c r="H407">
        <v>-3.87</v>
      </c>
      <c r="I407">
        <v>8.14</v>
      </c>
      <c r="J407">
        <v>-8.35</v>
      </c>
      <c r="K407">
        <v>0.35</v>
      </c>
      <c r="L407">
        <v>556.32000000000005</v>
      </c>
    </row>
    <row r="408" spans="1:23" x14ac:dyDescent="0.3">
      <c r="A408" t="s">
        <v>415</v>
      </c>
      <c r="B408">
        <v>43.8</v>
      </c>
      <c r="C408">
        <v>5.24</v>
      </c>
      <c r="D408">
        <v>93485774.340000004</v>
      </c>
      <c r="E408">
        <v>21900000000</v>
      </c>
      <c r="F408">
        <v>4.58</v>
      </c>
      <c r="G408">
        <v>-1.1299999999999999</v>
      </c>
      <c r="H408">
        <v>-4.16</v>
      </c>
      <c r="I408">
        <v>3.84</v>
      </c>
      <c r="J408">
        <v>0.74</v>
      </c>
      <c r="K408">
        <v>32.090000000000003</v>
      </c>
      <c r="L408">
        <v>387.21</v>
      </c>
      <c r="M408">
        <v>1838.05</v>
      </c>
    </row>
    <row r="409" spans="1:23" x14ac:dyDescent="0.3">
      <c r="A409" t="s">
        <v>416</v>
      </c>
      <c r="B409">
        <v>6.99</v>
      </c>
      <c r="C409">
        <v>-0.28999999999999998</v>
      </c>
      <c r="D409">
        <v>5475278.8499999996</v>
      </c>
      <c r="E409">
        <v>2344082520</v>
      </c>
      <c r="F409">
        <v>-0.28999999999999998</v>
      </c>
      <c r="G409">
        <v>-5.92</v>
      </c>
      <c r="H409">
        <v>-12.08</v>
      </c>
      <c r="I409">
        <v>-14.13</v>
      </c>
      <c r="J409">
        <v>-4.7699999999999996</v>
      </c>
      <c r="K409">
        <v>-8.0299999999999994</v>
      </c>
      <c r="L409">
        <v>27.55</v>
      </c>
      <c r="M409">
        <v>99.71</v>
      </c>
      <c r="O409">
        <f>F409*F$1/$E$1</f>
        <v>-8.1690140845070425E-2</v>
      </c>
      <c r="P409">
        <f t="shared" ref="P409" si="206">G409*G$1/$E$1</f>
        <v>-1.2507042253521126</v>
      </c>
      <c r="Q409">
        <f t="shared" ref="Q409" si="207">H409*H$1/$E$1</f>
        <v>-1.7014084507042253</v>
      </c>
      <c r="R409">
        <f t="shared" ref="R409" si="208">I409*I$1/$E$1</f>
        <v>-0.99507042253521139</v>
      </c>
      <c r="S409">
        <f t="shared" ref="S409" si="209">J409*J$1/$E$1</f>
        <v>-1.1757042253521126</v>
      </c>
      <c r="T409">
        <f t="shared" ref="T409" si="210">K409*K$1/$E$1</f>
        <v>-0.28274647887323945</v>
      </c>
      <c r="U409">
        <f t="shared" ref="U409" si="211">L409*L$1/$E$1</f>
        <v>0.19401408450704224</v>
      </c>
      <c r="V409">
        <f t="shared" ref="V409" si="212">M409*M$1/$E$1</f>
        <v>0.70218309859154926</v>
      </c>
      <c r="W409" s="1">
        <f>SUM(O409:V409)</f>
        <v>-4.5911267605633803</v>
      </c>
    </row>
    <row r="410" spans="1:23" x14ac:dyDescent="0.3">
      <c r="A410" t="s">
        <v>417</v>
      </c>
      <c r="B410">
        <v>252.75</v>
      </c>
      <c r="C410">
        <v>-2.69</v>
      </c>
      <c r="D410">
        <v>50376065</v>
      </c>
      <c r="E410">
        <v>37966487400</v>
      </c>
      <c r="F410">
        <v>-5.6</v>
      </c>
      <c r="G410">
        <v>-8.67</v>
      </c>
      <c r="H410">
        <v>-20.13</v>
      </c>
      <c r="I410">
        <v>1.47</v>
      </c>
      <c r="J410">
        <v>-14.94</v>
      </c>
      <c r="K410">
        <v>-20.62</v>
      </c>
      <c r="L410">
        <v>593.23</v>
      </c>
      <c r="M410">
        <v>3203.92</v>
      </c>
    </row>
    <row r="411" spans="1:23" x14ac:dyDescent="0.3">
      <c r="A411" t="s">
        <v>418</v>
      </c>
      <c r="B411">
        <v>68.45</v>
      </c>
      <c r="C411">
        <v>2.78</v>
      </c>
      <c r="D411">
        <v>435829280.30000001</v>
      </c>
      <c r="E411">
        <v>32816419403.550003</v>
      </c>
      <c r="F411">
        <v>2.0099999999999998</v>
      </c>
      <c r="G411">
        <v>8.14</v>
      </c>
      <c r="H411">
        <v>57.86</v>
      </c>
      <c r="I411">
        <v>100.73</v>
      </c>
      <c r="J411">
        <v>21.15</v>
      </c>
      <c r="K411">
        <v>58.6</v>
      </c>
    </row>
    <row r="412" spans="1:23" x14ac:dyDescent="0.3">
      <c r="A412" t="s">
        <v>419</v>
      </c>
      <c r="B412">
        <v>29.1</v>
      </c>
      <c r="C412">
        <v>-1.0900000000000001</v>
      </c>
      <c r="D412">
        <v>14814999.1</v>
      </c>
      <c r="E412">
        <v>1324050000</v>
      </c>
      <c r="F412">
        <v>-3.64</v>
      </c>
      <c r="G412">
        <v>-9.4</v>
      </c>
      <c r="H412">
        <v>-7.91</v>
      </c>
      <c r="I412">
        <v>-15.55</v>
      </c>
      <c r="J412">
        <v>-6.43</v>
      </c>
      <c r="K412">
        <v>-51.62</v>
      </c>
    </row>
    <row r="413" spans="1:23" x14ac:dyDescent="0.3">
      <c r="A413" t="s">
        <v>420</v>
      </c>
      <c r="B413">
        <v>5.22</v>
      </c>
      <c r="C413">
        <v>-1.1399999999999999</v>
      </c>
      <c r="D413">
        <v>206869970.19</v>
      </c>
      <c r="E413">
        <v>7308000000</v>
      </c>
      <c r="F413">
        <v>-1.1399999999999999</v>
      </c>
      <c r="G413">
        <v>-7.61</v>
      </c>
      <c r="H413">
        <v>-15.12</v>
      </c>
      <c r="I413">
        <v>-27.7</v>
      </c>
      <c r="J413">
        <v>-13.43</v>
      </c>
      <c r="K413">
        <v>-51.03</v>
      </c>
      <c r="L413">
        <v>301.54000000000002</v>
      </c>
      <c r="M413">
        <v>255.1</v>
      </c>
    </row>
    <row r="414" spans="1:23" x14ac:dyDescent="0.3">
      <c r="A414" t="s">
        <v>421</v>
      </c>
      <c r="B414">
        <v>167.2</v>
      </c>
      <c r="C414">
        <v>9.2799999999999994</v>
      </c>
      <c r="D414">
        <v>742520667.89999998</v>
      </c>
      <c r="E414">
        <v>18475600000</v>
      </c>
      <c r="F414">
        <v>16.03</v>
      </c>
      <c r="G414">
        <v>31.55</v>
      </c>
      <c r="H414">
        <v>50.9</v>
      </c>
      <c r="I414">
        <v>96.71</v>
      </c>
      <c r="J414">
        <v>24.96</v>
      </c>
    </row>
    <row r="415" spans="1:23" x14ac:dyDescent="0.3">
      <c r="A415" t="s">
        <v>422</v>
      </c>
      <c r="B415">
        <v>35.82</v>
      </c>
      <c r="C415">
        <v>-1.21</v>
      </c>
      <c r="D415">
        <v>11626302.76</v>
      </c>
      <c r="E415">
        <v>5238675000</v>
      </c>
      <c r="F415">
        <v>-1.76</v>
      </c>
      <c r="G415">
        <v>-10</v>
      </c>
      <c r="H415">
        <v>-10.98</v>
      </c>
      <c r="I415">
        <v>-3.19</v>
      </c>
      <c r="J415">
        <v>-14.1</v>
      </c>
      <c r="K415">
        <v>-37.159999999999997</v>
      </c>
    </row>
    <row r="416" spans="1:23" x14ac:dyDescent="0.3">
      <c r="A416" t="s">
        <v>423</v>
      </c>
      <c r="B416">
        <v>96.65</v>
      </c>
      <c r="C416">
        <v>4.71</v>
      </c>
      <c r="D416">
        <v>101410673.75</v>
      </c>
      <c r="E416">
        <v>2305102500</v>
      </c>
      <c r="F416">
        <v>3.7</v>
      </c>
      <c r="G416">
        <v>-9.84</v>
      </c>
      <c r="H416">
        <v>-2.57</v>
      </c>
      <c r="I416">
        <v>-52.92</v>
      </c>
      <c r="J416">
        <v>-8.91</v>
      </c>
      <c r="K416">
        <v>-58.91</v>
      </c>
    </row>
    <row r="417" spans="1:23" x14ac:dyDescent="0.3">
      <c r="A417" t="s">
        <v>424</v>
      </c>
      <c r="B417">
        <v>62.55</v>
      </c>
      <c r="C417">
        <v>0.97</v>
      </c>
      <c r="D417">
        <v>71348669.799999997</v>
      </c>
      <c r="E417">
        <v>3930016500</v>
      </c>
      <c r="F417">
        <v>6.38</v>
      </c>
      <c r="G417">
        <v>-3.17</v>
      </c>
      <c r="H417">
        <v>-18.34</v>
      </c>
      <c r="I417">
        <v>-30.5</v>
      </c>
      <c r="J417">
        <v>-21.22</v>
      </c>
    </row>
    <row r="418" spans="1:23" x14ac:dyDescent="0.3">
      <c r="A418" t="s">
        <v>425</v>
      </c>
      <c r="B418">
        <v>8.8800000000000008</v>
      </c>
      <c r="C418">
        <v>0.23</v>
      </c>
      <c r="D418">
        <v>3798168.73</v>
      </c>
      <c r="E418">
        <v>710400000.00000012</v>
      </c>
      <c r="F418">
        <v>0.45</v>
      </c>
      <c r="G418">
        <v>1.49</v>
      </c>
      <c r="H418">
        <v>-4.0999999999999996</v>
      </c>
      <c r="I418">
        <v>-12.94</v>
      </c>
      <c r="J418">
        <v>-3.37</v>
      </c>
      <c r="K418">
        <v>-37.99</v>
      </c>
      <c r="L418">
        <v>45.1</v>
      </c>
    </row>
    <row r="419" spans="1:23" x14ac:dyDescent="0.3">
      <c r="A419" t="s">
        <v>426</v>
      </c>
      <c r="B419">
        <v>77.5</v>
      </c>
      <c r="C419">
        <v>1.37</v>
      </c>
      <c r="D419">
        <v>50572901.299999997</v>
      </c>
      <c r="E419">
        <v>6200000000</v>
      </c>
      <c r="F419">
        <v>-1.34</v>
      </c>
      <c r="G419">
        <v>-8.7200000000000006</v>
      </c>
      <c r="H419">
        <v>-11.17</v>
      </c>
      <c r="I419">
        <v>2.38</v>
      </c>
      <c r="J419">
        <v>-9.7799999999999994</v>
      </c>
      <c r="K419">
        <v>-3.12</v>
      </c>
      <c r="L419">
        <v>1112.83</v>
      </c>
      <c r="M419">
        <v>2536.0500000000002</v>
      </c>
      <c r="O419">
        <f>F419*F$1/$E$1</f>
        <v>-0.37746478873239436</v>
      </c>
      <c r="P419">
        <f t="shared" ref="P419" si="213">G419*G$1/$E$1</f>
        <v>-1.8422535211267608</v>
      </c>
      <c r="Q419">
        <f t="shared" ref="Q419" si="214">H419*H$1/$E$1</f>
        <v>-1.5732394366197184</v>
      </c>
      <c r="R419">
        <f t="shared" ref="R419" si="215">I419*I$1/$E$1</f>
        <v>0.16760563380281687</v>
      </c>
      <c r="S419">
        <f t="shared" ref="S419" si="216">J419*J$1/$E$1</f>
        <v>-2.4105633802816899</v>
      </c>
      <c r="T419">
        <f t="shared" ref="T419" si="217">K419*K$1/$E$1</f>
        <v>-0.10985915492957747</v>
      </c>
      <c r="U419">
        <f t="shared" ref="U419" si="218">L419*L$1/$E$1</f>
        <v>7.8368309859154923</v>
      </c>
      <c r="V419">
        <f t="shared" ref="V419" si="219">M419*M$1/$E$1</f>
        <v>17.859507042253522</v>
      </c>
      <c r="W419" s="1">
        <f>SUM(O419:V419)</f>
        <v>19.550563380281691</v>
      </c>
    </row>
    <row r="420" spans="1:23" x14ac:dyDescent="0.3">
      <c r="A420" t="s">
        <v>427</v>
      </c>
      <c r="B420">
        <v>183</v>
      </c>
      <c r="C420">
        <v>1.1000000000000001</v>
      </c>
      <c r="D420">
        <v>2010849.4</v>
      </c>
      <c r="E420">
        <v>4977600000</v>
      </c>
      <c r="F420">
        <v>-1.08</v>
      </c>
      <c r="G420">
        <v>-2.66</v>
      </c>
      <c r="H420">
        <v>-10.29</v>
      </c>
      <c r="I420">
        <v>-12.9</v>
      </c>
      <c r="J420">
        <v>-5.48</v>
      </c>
      <c r="K420">
        <v>-0.49</v>
      </c>
      <c r="L420">
        <v>454.55</v>
      </c>
      <c r="M420">
        <v>4155.8100000000004</v>
      </c>
    </row>
    <row r="421" spans="1:23" x14ac:dyDescent="0.3">
      <c r="A421" t="s">
        <v>428</v>
      </c>
      <c r="B421">
        <v>8.0299999999999994</v>
      </c>
      <c r="C421">
        <v>-0.37</v>
      </c>
      <c r="D421">
        <v>23027249.379999999</v>
      </c>
      <c r="E421">
        <v>3211999999.9999995</v>
      </c>
      <c r="F421">
        <v>-0.25</v>
      </c>
      <c r="G421">
        <v>-12.81</v>
      </c>
      <c r="H421">
        <v>-13</v>
      </c>
      <c r="I421">
        <v>-16.350000000000001</v>
      </c>
      <c r="J421">
        <v>-22.34</v>
      </c>
      <c r="K421">
        <v>-34.4</v>
      </c>
      <c r="L421">
        <v>616.96</v>
      </c>
      <c r="M421">
        <v>2194.29</v>
      </c>
    </row>
    <row r="422" spans="1:23" x14ac:dyDescent="0.3">
      <c r="A422" t="s">
        <v>429</v>
      </c>
      <c r="B422">
        <v>9.56</v>
      </c>
      <c r="C422">
        <v>1.59</v>
      </c>
      <c r="D422">
        <v>46660404.729999997</v>
      </c>
      <c r="E422">
        <v>1504906663.4000001</v>
      </c>
      <c r="F422">
        <v>-0.42</v>
      </c>
      <c r="G422">
        <v>-7.18</v>
      </c>
      <c r="H422">
        <v>15.18</v>
      </c>
      <c r="I422">
        <v>27.47</v>
      </c>
      <c r="J422">
        <v>19.95</v>
      </c>
      <c r="K422">
        <v>30.42</v>
      </c>
      <c r="L422">
        <v>512.82000000000005</v>
      </c>
      <c r="M422">
        <v>703.36</v>
      </c>
    </row>
    <row r="423" spans="1:23" x14ac:dyDescent="0.3">
      <c r="A423" t="s">
        <v>430</v>
      </c>
      <c r="B423">
        <v>391</v>
      </c>
      <c r="C423">
        <v>-0.06</v>
      </c>
      <c r="D423">
        <v>97234785.75</v>
      </c>
      <c r="E423">
        <v>46920000000</v>
      </c>
      <c r="F423">
        <v>0.26</v>
      </c>
      <c r="G423">
        <v>-5.04</v>
      </c>
      <c r="H423">
        <v>-17.55</v>
      </c>
      <c r="I423">
        <v>-16.41</v>
      </c>
      <c r="J423">
        <v>-19.3</v>
      </c>
      <c r="K423">
        <v>-18.43</v>
      </c>
      <c r="L423">
        <v>416.79</v>
      </c>
      <c r="M423">
        <v>1457.15</v>
      </c>
    </row>
    <row r="424" spans="1:23" x14ac:dyDescent="0.3">
      <c r="A424" t="s">
        <v>431</v>
      </c>
      <c r="B424">
        <v>335</v>
      </c>
      <c r="C424">
        <v>-1.47</v>
      </c>
      <c r="D424">
        <v>2549930</v>
      </c>
      <c r="E424">
        <v>2557879435</v>
      </c>
      <c r="F424">
        <v>-3.74</v>
      </c>
      <c r="G424">
        <v>-9.76</v>
      </c>
      <c r="H424">
        <v>-44.17</v>
      </c>
      <c r="I424">
        <v>11.67</v>
      </c>
      <c r="J424">
        <v>-20.239999999999998</v>
      </c>
      <c r="K424">
        <v>-14.27</v>
      </c>
      <c r="L424">
        <v>865.97</v>
      </c>
      <c r="M424">
        <v>13088.98</v>
      </c>
    </row>
    <row r="425" spans="1:23" x14ac:dyDescent="0.3">
      <c r="A425" t="s">
        <v>432</v>
      </c>
      <c r="B425">
        <v>27.8</v>
      </c>
      <c r="C425">
        <v>0.36</v>
      </c>
      <c r="D425">
        <v>489556980.13999999</v>
      </c>
      <c r="E425">
        <v>135154030767.40001</v>
      </c>
      <c r="F425">
        <v>2.96</v>
      </c>
      <c r="G425">
        <v>14.59</v>
      </c>
      <c r="H425">
        <v>49.78</v>
      </c>
      <c r="I425">
        <v>58.04</v>
      </c>
      <c r="J425">
        <v>15.83</v>
      </c>
      <c r="K425">
        <v>53.34</v>
      </c>
      <c r="L425">
        <v>1410.87</v>
      </c>
      <c r="M425">
        <v>2022.14</v>
      </c>
    </row>
    <row r="426" spans="1:23" x14ac:dyDescent="0.3">
      <c r="A426" t="s">
        <v>433</v>
      </c>
      <c r="B426">
        <v>21.24</v>
      </c>
      <c r="C426">
        <v>-0.75</v>
      </c>
      <c r="D426">
        <v>2335711.8199999998</v>
      </c>
      <c r="E426">
        <v>424799999.99999994</v>
      </c>
      <c r="F426">
        <v>-7.09</v>
      </c>
      <c r="G426">
        <v>-14.29</v>
      </c>
      <c r="H426">
        <v>-18.809999999999999</v>
      </c>
      <c r="I426">
        <v>-29.2</v>
      </c>
      <c r="J426">
        <v>-17.989999999999998</v>
      </c>
      <c r="K426">
        <v>-36.020000000000003</v>
      </c>
      <c r="L426">
        <v>257.58</v>
      </c>
      <c r="M426">
        <v>474.05</v>
      </c>
    </row>
    <row r="427" spans="1:23" x14ac:dyDescent="0.3">
      <c r="A427" t="s">
        <v>434</v>
      </c>
      <c r="B427">
        <v>7.71</v>
      </c>
      <c r="C427">
        <v>-1.66</v>
      </c>
      <c r="D427">
        <v>2079903.65</v>
      </c>
      <c r="E427">
        <v>655350000</v>
      </c>
      <c r="F427">
        <v>-1.28</v>
      </c>
      <c r="G427">
        <v>-6.66</v>
      </c>
      <c r="H427">
        <v>-6.43</v>
      </c>
      <c r="I427">
        <v>-5.98</v>
      </c>
      <c r="J427">
        <v>-13.18</v>
      </c>
      <c r="K427">
        <v>-38.86</v>
      </c>
      <c r="L427">
        <v>250.45</v>
      </c>
      <c r="M427">
        <v>435.42</v>
      </c>
    </row>
    <row r="428" spans="1:23" x14ac:dyDescent="0.3">
      <c r="A428" t="s">
        <v>435</v>
      </c>
      <c r="B428">
        <v>29.18</v>
      </c>
      <c r="C428">
        <v>-0.55000000000000004</v>
      </c>
      <c r="D428">
        <v>7625680.6799999997</v>
      </c>
      <c r="E428">
        <v>8754000000</v>
      </c>
      <c r="F428">
        <v>-5.81</v>
      </c>
      <c r="G428">
        <v>-12.48</v>
      </c>
      <c r="H428">
        <v>-16.149999999999999</v>
      </c>
      <c r="I428">
        <v>-28.45</v>
      </c>
      <c r="J428">
        <v>-17.989999999999998</v>
      </c>
      <c r="K428">
        <v>-38.49</v>
      </c>
      <c r="L428">
        <v>90.47</v>
      </c>
    </row>
    <row r="429" spans="1:23" x14ac:dyDescent="0.3">
      <c r="A429" t="s">
        <v>436</v>
      </c>
      <c r="B429">
        <v>106.2</v>
      </c>
      <c r="C429">
        <v>1.05</v>
      </c>
      <c r="D429">
        <v>174854079.30000001</v>
      </c>
      <c r="E429">
        <v>7577370000</v>
      </c>
      <c r="F429">
        <v>6.2</v>
      </c>
      <c r="G429">
        <v>17.61</v>
      </c>
      <c r="H429">
        <v>21.58</v>
      </c>
      <c r="J429">
        <v>19.260000000000002</v>
      </c>
    </row>
    <row r="430" spans="1:23" x14ac:dyDescent="0.3">
      <c r="A430" t="s">
        <v>437</v>
      </c>
      <c r="B430">
        <v>4.96</v>
      </c>
      <c r="C430">
        <v>0</v>
      </c>
      <c r="D430">
        <v>5084668.22</v>
      </c>
      <c r="E430">
        <v>1240000000</v>
      </c>
      <c r="F430">
        <v>-1.98</v>
      </c>
      <c r="G430">
        <v>-7.98</v>
      </c>
      <c r="H430">
        <v>-11.74</v>
      </c>
      <c r="I430">
        <v>-11.11</v>
      </c>
      <c r="J430">
        <v>-11.27</v>
      </c>
      <c r="K430">
        <v>-22.01</v>
      </c>
      <c r="L430">
        <v>165.24</v>
      </c>
      <c r="M430">
        <v>215.92</v>
      </c>
    </row>
    <row r="431" spans="1:23" x14ac:dyDescent="0.3">
      <c r="A431" t="s">
        <v>438</v>
      </c>
      <c r="B431">
        <v>11.35</v>
      </c>
      <c r="C431">
        <v>2.99</v>
      </c>
      <c r="D431">
        <v>84371808.549999997</v>
      </c>
      <c r="E431">
        <v>16525600000</v>
      </c>
      <c r="F431">
        <v>6.47</v>
      </c>
      <c r="G431">
        <v>-4.0599999999999996</v>
      </c>
      <c r="H431">
        <v>-11.74</v>
      </c>
      <c r="I431">
        <v>12.71</v>
      </c>
      <c r="J431">
        <v>-18.87</v>
      </c>
      <c r="K431">
        <v>18.23</v>
      </c>
      <c r="L431">
        <v>510.22</v>
      </c>
      <c r="M431">
        <v>1498.59</v>
      </c>
    </row>
    <row r="432" spans="1:23" x14ac:dyDescent="0.3">
      <c r="A432" t="s">
        <v>439</v>
      </c>
      <c r="B432">
        <v>9.0399999999999991</v>
      </c>
      <c r="C432">
        <v>0</v>
      </c>
      <c r="D432">
        <v>1111051.18</v>
      </c>
      <c r="E432">
        <v>664439999.99999988</v>
      </c>
      <c r="F432">
        <v>2.2599999999999998</v>
      </c>
      <c r="G432">
        <v>-4.84</v>
      </c>
      <c r="H432">
        <v>4.03</v>
      </c>
      <c r="I432">
        <v>-11.8</v>
      </c>
      <c r="J432">
        <v>2.15</v>
      </c>
      <c r="K432">
        <v>-48.55</v>
      </c>
      <c r="L432">
        <v>373.3</v>
      </c>
      <c r="M432">
        <v>1210.1400000000001</v>
      </c>
    </row>
    <row r="433" spans="1:23" x14ac:dyDescent="0.3">
      <c r="A433" t="s">
        <v>440</v>
      </c>
      <c r="B433">
        <v>39.04</v>
      </c>
      <c r="C433">
        <v>3.17</v>
      </c>
      <c r="D433">
        <v>80333577.140000001</v>
      </c>
      <c r="E433">
        <v>2342400000</v>
      </c>
      <c r="F433">
        <v>10.72</v>
      </c>
      <c r="G433">
        <v>6.26</v>
      </c>
      <c r="H433">
        <v>21.02</v>
      </c>
      <c r="I433">
        <v>8.14</v>
      </c>
      <c r="J433">
        <v>33.24</v>
      </c>
      <c r="K433">
        <v>12.18</v>
      </c>
    </row>
    <row r="434" spans="1:23" x14ac:dyDescent="0.3">
      <c r="A434" t="s">
        <v>441</v>
      </c>
      <c r="B434">
        <v>24.38</v>
      </c>
      <c r="C434">
        <v>2.1800000000000002</v>
      </c>
      <c r="D434">
        <v>52310624.420000002</v>
      </c>
      <c r="E434">
        <v>2516016000</v>
      </c>
      <c r="F434">
        <v>4.1900000000000004</v>
      </c>
      <c r="G434">
        <v>0.74</v>
      </c>
      <c r="H434">
        <v>-7.3</v>
      </c>
      <c r="I434">
        <v>-8.35</v>
      </c>
      <c r="J434">
        <v>-6.23</v>
      </c>
    </row>
    <row r="435" spans="1:23" x14ac:dyDescent="0.3">
      <c r="A435" t="s">
        <v>442</v>
      </c>
      <c r="B435">
        <v>61.9</v>
      </c>
      <c r="C435">
        <v>0.98</v>
      </c>
      <c r="D435">
        <v>3912494.3</v>
      </c>
      <c r="E435">
        <v>5385300000</v>
      </c>
      <c r="F435">
        <v>0.41</v>
      </c>
      <c r="G435">
        <v>-1.43</v>
      </c>
      <c r="H435">
        <v>-4</v>
      </c>
      <c r="I435">
        <v>30.32</v>
      </c>
      <c r="J435">
        <v>-2.9</v>
      </c>
      <c r="K435">
        <v>55.8</v>
      </c>
      <c r="L435">
        <v>680.58</v>
      </c>
      <c r="M435">
        <v>1373.81</v>
      </c>
    </row>
    <row r="436" spans="1:23" x14ac:dyDescent="0.3">
      <c r="A436" t="s">
        <v>443</v>
      </c>
      <c r="B436">
        <v>80.150000000000006</v>
      </c>
      <c r="C436">
        <v>-1.23</v>
      </c>
      <c r="D436">
        <v>3973688.7</v>
      </c>
      <c r="E436">
        <v>2492290779.6500001</v>
      </c>
      <c r="F436">
        <v>-4.75</v>
      </c>
      <c r="G436">
        <v>-11.87</v>
      </c>
      <c r="H436">
        <v>-12.6</v>
      </c>
      <c r="I436">
        <v>-20.96</v>
      </c>
      <c r="J436">
        <v>-17.920000000000002</v>
      </c>
      <c r="K436">
        <v>-45.1</v>
      </c>
      <c r="L436">
        <v>-24.74</v>
      </c>
      <c r="M436">
        <v>6065.38</v>
      </c>
    </row>
    <row r="437" spans="1:23" x14ac:dyDescent="0.3">
      <c r="A437" t="s">
        <v>444</v>
      </c>
      <c r="B437">
        <v>13.73</v>
      </c>
      <c r="C437">
        <v>0.22</v>
      </c>
      <c r="D437">
        <v>353817819.10000002</v>
      </c>
      <c r="E437">
        <v>2831812500</v>
      </c>
      <c r="F437">
        <v>4.8099999999999996</v>
      </c>
      <c r="G437">
        <v>13.75</v>
      </c>
      <c r="H437">
        <v>4.97</v>
      </c>
      <c r="I437">
        <v>-1.79</v>
      </c>
      <c r="J437">
        <v>3.62</v>
      </c>
      <c r="K437">
        <v>-46.82</v>
      </c>
      <c r="L437">
        <v>338.66</v>
      </c>
      <c r="M437">
        <v>809.27</v>
      </c>
    </row>
    <row r="438" spans="1:23" x14ac:dyDescent="0.3">
      <c r="A438" t="s">
        <v>445</v>
      </c>
      <c r="B438">
        <v>77.650000000000006</v>
      </c>
      <c r="C438">
        <v>0.32</v>
      </c>
      <c r="D438">
        <v>9037859.8499999996</v>
      </c>
      <c r="E438">
        <v>5987746800</v>
      </c>
      <c r="F438">
        <v>-1.9</v>
      </c>
      <c r="G438">
        <v>-8.49</v>
      </c>
      <c r="H438">
        <v>-11.51</v>
      </c>
      <c r="I438">
        <v>-15.32</v>
      </c>
      <c r="J438">
        <v>-10.85</v>
      </c>
      <c r="K438">
        <v>-34.75</v>
      </c>
      <c r="L438">
        <v>160.05000000000001</v>
      </c>
      <c r="M438">
        <v>454.25</v>
      </c>
    </row>
    <row r="439" spans="1:23" x14ac:dyDescent="0.3">
      <c r="A439" t="s">
        <v>446</v>
      </c>
      <c r="B439">
        <v>35.72</v>
      </c>
      <c r="C439">
        <v>2.58</v>
      </c>
      <c r="D439">
        <v>130205622.95999999</v>
      </c>
      <c r="E439">
        <v>24003840000</v>
      </c>
      <c r="F439">
        <v>5.12</v>
      </c>
      <c r="G439">
        <v>11.97</v>
      </c>
      <c r="H439">
        <v>38.450000000000003</v>
      </c>
      <c r="I439">
        <v>70.5</v>
      </c>
      <c r="J439">
        <v>20.84</v>
      </c>
      <c r="K439">
        <v>101.24</v>
      </c>
    </row>
    <row r="440" spans="1:23" x14ac:dyDescent="0.3">
      <c r="A440" t="s">
        <v>447</v>
      </c>
      <c r="B440">
        <v>84.3</v>
      </c>
      <c r="C440">
        <v>1.63</v>
      </c>
      <c r="D440">
        <v>230883803.05000001</v>
      </c>
      <c r="E440">
        <v>11296200000</v>
      </c>
      <c r="F440">
        <v>0.06</v>
      </c>
      <c r="G440">
        <v>-9.94</v>
      </c>
      <c r="H440">
        <v>-9.4499999999999993</v>
      </c>
      <c r="I440">
        <v>8.01</v>
      </c>
      <c r="J440">
        <v>-10.32</v>
      </c>
      <c r="K440">
        <v>-36.33</v>
      </c>
    </row>
    <row r="441" spans="1:23" x14ac:dyDescent="0.3">
      <c r="A441" t="s">
        <v>448</v>
      </c>
      <c r="B441">
        <v>15.88</v>
      </c>
      <c r="C441">
        <v>-0.5</v>
      </c>
      <c r="D441">
        <v>6934156.7599999998</v>
      </c>
      <c r="E441">
        <v>1879398000</v>
      </c>
      <c r="F441">
        <v>-1.91</v>
      </c>
      <c r="G441">
        <v>-9.98</v>
      </c>
      <c r="H441">
        <v>-8.68</v>
      </c>
      <c r="I441">
        <v>-0.5</v>
      </c>
      <c r="J441">
        <v>-13.13</v>
      </c>
      <c r="K441">
        <v>-4.68</v>
      </c>
      <c r="L441">
        <v>294.04000000000002</v>
      </c>
    </row>
    <row r="442" spans="1:23" x14ac:dyDescent="0.3">
      <c r="A442" t="s">
        <v>449</v>
      </c>
      <c r="B442">
        <v>19.03</v>
      </c>
      <c r="C442">
        <v>9.8699999999999992</v>
      </c>
      <c r="D442">
        <v>2294892434.25</v>
      </c>
      <c r="E442">
        <v>18990417600</v>
      </c>
      <c r="F442">
        <v>36.32</v>
      </c>
      <c r="G442">
        <v>184.45</v>
      </c>
      <c r="H442">
        <v>1032.74</v>
      </c>
      <c r="I442">
        <v>299.79000000000002</v>
      </c>
      <c r="J442">
        <v>375.75</v>
      </c>
      <c r="K442">
        <v>494.69</v>
      </c>
      <c r="L442">
        <v>12586.67</v>
      </c>
      <c r="M442">
        <v>17200</v>
      </c>
      <c r="O442">
        <f>F442*F$1/$E$1</f>
        <v>10.230985915492957</v>
      </c>
      <c r="P442">
        <f t="shared" ref="P442" si="220">G442*G$1/$E$1</f>
        <v>38.968309859154928</v>
      </c>
      <c r="Q442">
        <f t="shared" ref="Q442" si="221">H442*H$1/$E$1</f>
        <v>145.456338028169</v>
      </c>
      <c r="R442">
        <f t="shared" ref="R442" si="222">I442*I$1/$E$1</f>
        <v>21.111971830985915</v>
      </c>
      <c r="S442">
        <f t="shared" ref="S442" si="223">J442*J$1/$E$1</f>
        <v>92.614436619718305</v>
      </c>
      <c r="T442">
        <f t="shared" ref="T442" si="224">K442*K$1/$E$1</f>
        <v>17.418661971830986</v>
      </c>
      <c r="U442">
        <f t="shared" ref="U442" si="225">L442*L$1/$E$1</f>
        <v>88.638521126760565</v>
      </c>
      <c r="V442">
        <f t="shared" ref="V442" si="226">M442*M$1/$E$1</f>
        <v>121.12676056338029</v>
      </c>
      <c r="W442" s="1">
        <f>SUM(O442:V442)</f>
        <v>535.565985915493</v>
      </c>
    </row>
    <row r="443" spans="1:23" x14ac:dyDescent="0.3">
      <c r="A443" t="s">
        <v>450</v>
      </c>
      <c r="B443">
        <v>1.46</v>
      </c>
      <c r="C443">
        <v>-4.58</v>
      </c>
      <c r="D443">
        <v>279057974.35000002</v>
      </c>
      <c r="E443">
        <v>3650000000</v>
      </c>
      <c r="F443">
        <v>-9.32</v>
      </c>
      <c r="G443">
        <v>5.8</v>
      </c>
      <c r="H443">
        <v>21.67</v>
      </c>
      <c r="I443">
        <v>7.35</v>
      </c>
      <c r="J443">
        <v>-2.0099999999999998</v>
      </c>
      <c r="K443">
        <v>-83.26</v>
      </c>
      <c r="L443">
        <v>534.78</v>
      </c>
      <c r="M443">
        <v>668.42</v>
      </c>
    </row>
    <row r="444" spans="1:23" x14ac:dyDescent="0.3">
      <c r="A444" t="s">
        <v>451</v>
      </c>
      <c r="B444">
        <v>7.03</v>
      </c>
      <c r="C444">
        <v>-0.14000000000000001</v>
      </c>
      <c r="D444">
        <v>29591450.030000001</v>
      </c>
      <c r="E444">
        <v>1230250000</v>
      </c>
      <c r="F444">
        <v>-1.26</v>
      </c>
      <c r="G444">
        <v>-2.77</v>
      </c>
      <c r="H444">
        <v>2.78</v>
      </c>
      <c r="I444">
        <v>0</v>
      </c>
      <c r="J444">
        <v>5.24</v>
      </c>
      <c r="K444">
        <v>-14.06</v>
      </c>
      <c r="L444">
        <v>127.51</v>
      </c>
      <c r="M444">
        <v>262.37</v>
      </c>
    </row>
    <row r="445" spans="1:23" x14ac:dyDescent="0.3">
      <c r="A445" t="s">
        <v>452</v>
      </c>
      <c r="B445">
        <v>13.9</v>
      </c>
      <c r="C445">
        <v>0</v>
      </c>
      <c r="D445">
        <v>10163442.83</v>
      </c>
      <c r="E445">
        <v>5469872400</v>
      </c>
      <c r="F445">
        <v>-2.73</v>
      </c>
      <c r="G445">
        <v>-10.95</v>
      </c>
      <c r="H445">
        <v>-7.27</v>
      </c>
      <c r="I445">
        <v>-2.73</v>
      </c>
      <c r="J445">
        <v>-10.55</v>
      </c>
      <c r="K445">
        <v>-34.369999999999997</v>
      </c>
      <c r="L445">
        <v>-60.6</v>
      </c>
    </row>
    <row r="446" spans="1:23" x14ac:dyDescent="0.3">
      <c r="A446" t="s">
        <v>453</v>
      </c>
      <c r="B446">
        <v>16.32</v>
      </c>
      <c r="C446">
        <v>-1.81</v>
      </c>
      <c r="D446">
        <v>742981402.99000001</v>
      </c>
      <c r="E446">
        <v>41361408000</v>
      </c>
      <c r="F446">
        <v>-0.06</v>
      </c>
      <c r="G446">
        <v>-6.69</v>
      </c>
      <c r="H446">
        <v>-11.01</v>
      </c>
      <c r="I446">
        <v>-28.98</v>
      </c>
      <c r="J446">
        <v>-9.83</v>
      </c>
      <c r="K446">
        <v>-31.26</v>
      </c>
      <c r="L446">
        <v>110.58</v>
      </c>
      <c r="M446">
        <v>438.61</v>
      </c>
    </row>
    <row r="447" spans="1:23" x14ac:dyDescent="0.3">
      <c r="A447" t="s">
        <v>454</v>
      </c>
      <c r="B447">
        <v>9.6</v>
      </c>
      <c r="C447">
        <v>0.31</v>
      </c>
      <c r="D447">
        <v>21461890.91</v>
      </c>
      <c r="E447">
        <v>2912112000</v>
      </c>
      <c r="F447">
        <v>-0.72</v>
      </c>
      <c r="G447">
        <v>-3.03</v>
      </c>
      <c r="H447">
        <v>-9.6</v>
      </c>
      <c r="I447">
        <v>-19.73</v>
      </c>
      <c r="J447">
        <v>-5.79</v>
      </c>
      <c r="K447">
        <v>-26.1</v>
      </c>
      <c r="L447">
        <v>291.83999999999997</v>
      </c>
      <c r="M447">
        <v>788.89</v>
      </c>
      <c r="O447">
        <f>F447*F$1/$E$1</f>
        <v>-0.20281690140845068</v>
      </c>
      <c r="P447">
        <f t="shared" ref="P447" si="227">G447*G$1/$E$1</f>
        <v>-0.64014084507042246</v>
      </c>
      <c r="Q447">
        <f t="shared" ref="Q447" si="228">H447*H$1/$E$1</f>
        <v>-1.352112676056338</v>
      </c>
      <c r="R447">
        <f t="shared" ref="R447" si="229">I447*I$1/$E$1</f>
        <v>-1.3894366197183099</v>
      </c>
      <c r="S447">
        <f t="shared" ref="S447" si="230">J447*J$1/$E$1</f>
        <v>-1.427112676056338</v>
      </c>
      <c r="T447">
        <f t="shared" ref="T447" si="231">K447*K$1/$E$1</f>
        <v>-0.91901408450704225</v>
      </c>
      <c r="U447">
        <f t="shared" ref="U447" si="232">L447*L$1/$E$1</f>
        <v>2.0552112676056336</v>
      </c>
      <c r="V447">
        <f t="shared" ref="V447" si="233">M447*M$1/$E$1</f>
        <v>5.5555633802816899</v>
      </c>
      <c r="W447" s="1">
        <f>SUM(O447:V447)</f>
        <v>1.6801408450704223</v>
      </c>
    </row>
    <row r="448" spans="1:23" x14ac:dyDescent="0.3">
      <c r="A448" t="s">
        <v>455</v>
      </c>
      <c r="B448">
        <v>239</v>
      </c>
      <c r="C448">
        <v>0.13</v>
      </c>
      <c r="D448">
        <v>2307380828.4000001</v>
      </c>
      <c r="E448">
        <v>119500000000</v>
      </c>
      <c r="F448">
        <v>-0.42</v>
      </c>
      <c r="G448">
        <v>1.92</v>
      </c>
      <c r="H448">
        <v>9.73</v>
      </c>
      <c r="I448">
        <v>5.15</v>
      </c>
      <c r="J448">
        <v>12.21</v>
      </c>
      <c r="K448">
        <v>40.15</v>
      </c>
      <c r="L448">
        <v>1196.8</v>
      </c>
      <c r="M448">
        <v>2062.9</v>
      </c>
    </row>
    <row r="449" spans="1:23" x14ac:dyDescent="0.3">
      <c r="A449" t="s">
        <v>456</v>
      </c>
      <c r="B449">
        <v>6.62</v>
      </c>
      <c r="C449">
        <v>4.09</v>
      </c>
      <c r="D449">
        <v>12138443.18</v>
      </c>
      <c r="E449">
        <v>1881987387.5</v>
      </c>
      <c r="F449">
        <v>5.92</v>
      </c>
      <c r="G449">
        <v>-0.15</v>
      </c>
      <c r="H449">
        <v>-0.15</v>
      </c>
      <c r="I449">
        <v>-17.46</v>
      </c>
      <c r="J449">
        <v>-1.05</v>
      </c>
      <c r="K449">
        <v>-11.62</v>
      </c>
      <c r="L449">
        <v>549.02</v>
      </c>
      <c r="M449">
        <v>1308.51</v>
      </c>
    </row>
    <row r="450" spans="1:23" x14ac:dyDescent="0.3">
      <c r="A450" t="s">
        <v>457</v>
      </c>
      <c r="B450">
        <v>69.599999999999994</v>
      </c>
      <c r="C450">
        <v>0.87</v>
      </c>
      <c r="D450">
        <v>12202020.15</v>
      </c>
      <c r="E450">
        <v>1583399999.9999998</v>
      </c>
      <c r="F450">
        <v>1.31</v>
      </c>
      <c r="G450">
        <v>-14.18</v>
      </c>
      <c r="H450">
        <v>15.61</v>
      </c>
      <c r="I450">
        <v>0</v>
      </c>
      <c r="J450">
        <v>-5.95</v>
      </c>
      <c r="K450">
        <v>4.3499999999999996</v>
      </c>
      <c r="L450">
        <v>369.32</v>
      </c>
      <c r="M450">
        <v>711.19</v>
      </c>
    </row>
    <row r="451" spans="1:23" x14ac:dyDescent="0.3">
      <c r="A451" t="s">
        <v>458</v>
      </c>
      <c r="B451">
        <v>215.3</v>
      </c>
      <c r="C451">
        <v>1.65</v>
      </c>
      <c r="D451">
        <v>30944931.399999999</v>
      </c>
      <c r="E451">
        <v>5357352960</v>
      </c>
      <c r="F451">
        <v>1.51</v>
      </c>
      <c r="G451">
        <v>-9.19</v>
      </c>
      <c r="H451">
        <v>-7.4</v>
      </c>
      <c r="I451">
        <v>-8.9600000000000009</v>
      </c>
      <c r="J451">
        <v>-17.11</v>
      </c>
      <c r="K451">
        <v>-42.89</v>
      </c>
      <c r="L451">
        <v>-42.86</v>
      </c>
      <c r="M451">
        <v>2670.91</v>
      </c>
    </row>
    <row r="452" spans="1:23" x14ac:dyDescent="0.3">
      <c r="A452" t="s">
        <v>459</v>
      </c>
      <c r="B452">
        <v>24.5</v>
      </c>
      <c r="C452">
        <v>-0.81</v>
      </c>
      <c r="D452">
        <v>74153386.040000007</v>
      </c>
      <c r="E452">
        <v>5996375000</v>
      </c>
      <c r="F452">
        <v>-5.1100000000000003</v>
      </c>
      <c r="G452">
        <v>-24.01</v>
      </c>
      <c r="H452">
        <v>-13</v>
      </c>
      <c r="I452">
        <v>-2.16</v>
      </c>
      <c r="J452">
        <v>-21.22</v>
      </c>
      <c r="K452">
        <v>18.07</v>
      </c>
    </row>
    <row r="453" spans="1:23" x14ac:dyDescent="0.3">
      <c r="A453" t="s">
        <v>460</v>
      </c>
      <c r="B453">
        <v>41.54</v>
      </c>
      <c r="C453">
        <v>-3.57</v>
      </c>
      <c r="D453">
        <v>34670522.560000002</v>
      </c>
      <c r="E453">
        <v>3115500000</v>
      </c>
      <c r="F453">
        <v>-1.56</v>
      </c>
      <c r="G453">
        <v>-11.05</v>
      </c>
      <c r="H453">
        <v>5.27</v>
      </c>
      <c r="I453">
        <v>-19.73</v>
      </c>
      <c r="J453">
        <v>-16.920000000000002</v>
      </c>
      <c r="K453">
        <v>-52.83</v>
      </c>
      <c r="L453">
        <v>355.48</v>
      </c>
    </row>
    <row r="454" spans="1:23" x14ac:dyDescent="0.3">
      <c r="A454" t="s">
        <v>461</v>
      </c>
      <c r="B454">
        <v>9.2899999999999991</v>
      </c>
      <c r="C454">
        <v>-0.21</v>
      </c>
      <c r="D454">
        <v>11979730.689999999</v>
      </c>
      <c r="E454">
        <v>2923166855.8199997</v>
      </c>
      <c r="F454">
        <v>0.11</v>
      </c>
      <c r="G454">
        <v>-4.42</v>
      </c>
      <c r="H454">
        <v>-7.47</v>
      </c>
      <c r="I454">
        <v>-24.72</v>
      </c>
      <c r="J454">
        <v>-6.35</v>
      </c>
      <c r="K454">
        <v>-32.39</v>
      </c>
      <c r="L454">
        <v>297.01</v>
      </c>
      <c r="M454">
        <v>568.35</v>
      </c>
      <c r="O454">
        <f>F454*F$1/$E$1</f>
        <v>3.098591549295775E-2</v>
      </c>
      <c r="P454">
        <f t="shared" ref="P454" si="234">G454*G$1/$E$1</f>
        <v>-0.93380281690140843</v>
      </c>
      <c r="Q454">
        <f t="shared" ref="Q454" si="235">H454*H$1/$E$1</f>
        <v>-1.052112676056338</v>
      </c>
      <c r="R454">
        <f t="shared" ref="R454" si="236">I454*I$1/$E$1</f>
        <v>-1.7408450704225351</v>
      </c>
      <c r="S454">
        <f t="shared" ref="S454" si="237">J454*J$1/$E$1</f>
        <v>-1.5651408450704225</v>
      </c>
      <c r="T454">
        <f t="shared" ref="T454" si="238">K454*K$1/$E$1</f>
        <v>-1.1404929577464789</v>
      </c>
      <c r="U454">
        <f t="shared" ref="U454" si="239">L454*L$1/$E$1</f>
        <v>2.0916197183098593</v>
      </c>
      <c r="V454">
        <f t="shared" ref="V454" si="240">M454*M$1/$E$1</f>
        <v>4.0024647887323948</v>
      </c>
      <c r="W454" s="1">
        <f>SUM(O454:V454)</f>
        <v>-0.30732394366197102</v>
      </c>
    </row>
    <row r="455" spans="1:23" x14ac:dyDescent="0.3">
      <c r="A455" t="s">
        <v>462</v>
      </c>
      <c r="B455">
        <v>11.4</v>
      </c>
      <c r="C455">
        <v>2.52</v>
      </c>
      <c r="D455">
        <v>25936047.440000001</v>
      </c>
      <c r="E455">
        <v>8646900000</v>
      </c>
      <c r="F455">
        <v>-0.09</v>
      </c>
      <c r="G455">
        <v>3.92</v>
      </c>
      <c r="H455">
        <v>9.09</v>
      </c>
      <c r="I455">
        <v>-12.44</v>
      </c>
      <c r="J455">
        <v>-5.86</v>
      </c>
      <c r="K455">
        <v>-18.16</v>
      </c>
      <c r="L455">
        <v>363.41</v>
      </c>
      <c r="M455">
        <v>369.14</v>
      </c>
    </row>
    <row r="456" spans="1:23" x14ac:dyDescent="0.3">
      <c r="A456" t="s">
        <v>463</v>
      </c>
      <c r="B456">
        <v>6100</v>
      </c>
      <c r="C456">
        <v>-3.06</v>
      </c>
      <c r="D456">
        <v>14299180</v>
      </c>
      <c r="E456">
        <v>22875000000</v>
      </c>
      <c r="F456">
        <v>-2.79</v>
      </c>
      <c r="G456">
        <v>-10.029999999999999</v>
      </c>
      <c r="H456">
        <v>-16.920000000000002</v>
      </c>
      <c r="I456">
        <v>-22.24</v>
      </c>
      <c r="J456">
        <v>-12.92</v>
      </c>
      <c r="K456">
        <v>-75.5</v>
      </c>
      <c r="L456">
        <v>812.16</v>
      </c>
      <c r="M456">
        <v>9048.17</v>
      </c>
      <c r="O456">
        <f>F456*F$1/$E$1</f>
        <v>-0.78591549295774643</v>
      </c>
      <c r="P456">
        <f t="shared" ref="P456" si="241">G456*G$1/$E$1</f>
        <v>-2.1190140845070422</v>
      </c>
      <c r="Q456">
        <f t="shared" ref="Q456" si="242">H456*H$1/$E$1</f>
        <v>-2.3830985915492962</v>
      </c>
      <c r="R456">
        <f t="shared" ref="R456" si="243">I456*I$1/$E$1</f>
        <v>-1.5661971830985915</v>
      </c>
      <c r="S456">
        <f t="shared" ref="S456" si="244">J456*J$1/$E$1</f>
        <v>-3.1845070422535211</v>
      </c>
      <c r="T456">
        <f t="shared" ref="T456" si="245">K456*K$1/$E$1</f>
        <v>-2.658450704225352</v>
      </c>
      <c r="U456">
        <f t="shared" ref="U456" si="246">L456*L$1/$E$1</f>
        <v>5.7194366197183095</v>
      </c>
      <c r="V456">
        <f t="shared" ref="V456" si="247">M456*M$1/$E$1</f>
        <v>63.719507042253518</v>
      </c>
      <c r="W456" s="1">
        <f>SUM(O456:V456)</f>
        <v>56.741760563380275</v>
      </c>
    </row>
    <row r="457" spans="1:23" x14ac:dyDescent="0.3">
      <c r="A457" t="s">
        <v>464</v>
      </c>
      <c r="B457">
        <v>5.14</v>
      </c>
      <c r="C457">
        <v>3.21</v>
      </c>
      <c r="D457">
        <v>24630252.280000001</v>
      </c>
      <c r="E457">
        <v>1007439999.9999999</v>
      </c>
      <c r="F457">
        <v>4.05</v>
      </c>
      <c r="G457">
        <v>2.19</v>
      </c>
      <c r="H457">
        <v>-12.88</v>
      </c>
      <c r="I457">
        <v>-14.76</v>
      </c>
      <c r="J457">
        <v>-11.84</v>
      </c>
      <c r="K457">
        <v>-34.520000000000003</v>
      </c>
    </row>
    <row r="458" spans="1:23" x14ac:dyDescent="0.3">
      <c r="A458" t="s">
        <v>465</v>
      </c>
      <c r="B458">
        <v>29.72</v>
      </c>
      <c r="C458">
        <v>1.5</v>
      </c>
      <c r="D458">
        <v>12822908.58</v>
      </c>
      <c r="E458">
        <v>6441324137.4399996</v>
      </c>
      <c r="F458">
        <v>-1.65</v>
      </c>
      <c r="G458">
        <v>-2.4300000000000002</v>
      </c>
      <c r="H458">
        <v>0.95</v>
      </c>
      <c r="I458">
        <v>-15.38</v>
      </c>
      <c r="J458">
        <v>0.61</v>
      </c>
      <c r="K458">
        <v>-24.76</v>
      </c>
      <c r="L458">
        <v>-24.51</v>
      </c>
      <c r="M458">
        <v>763.95</v>
      </c>
    </row>
    <row r="459" spans="1:23" x14ac:dyDescent="0.3">
      <c r="A459" t="s">
        <v>466</v>
      </c>
      <c r="B459">
        <v>19.25</v>
      </c>
      <c r="C459">
        <v>0.73</v>
      </c>
      <c r="D459">
        <v>24707078.129999999</v>
      </c>
      <c r="E459">
        <v>2865694427.75</v>
      </c>
      <c r="F459">
        <v>1.32</v>
      </c>
      <c r="G459">
        <v>-6.1</v>
      </c>
      <c r="H459">
        <v>8.02</v>
      </c>
      <c r="I459">
        <v>-1.79</v>
      </c>
      <c r="J459">
        <v>-17.03</v>
      </c>
      <c r="K459">
        <v>-16.45</v>
      </c>
      <c r="L459">
        <v>249.36</v>
      </c>
      <c r="M459">
        <v>620.97</v>
      </c>
    </row>
    <row r="460" spans="1:23" x14ac:dyDescent="0.3">
      <c r="A460" t="s">
        <v>467</v>
      </c>
      <c r="B460">
        <v>8.0500000000000007</v>
      </c>
      <c r="C460">
        <v>0</v>
      </c>
      <c r="D460">
        <v>17145815.739999998</v>
      </c>
      <c r="E460">
        <v>579600000</v>
      </c>
      <c r="F460">
        <v>3.34</v>
      </c>
      <c r="G460">
        <v>11.65</v>
      </c>
      <c r="H460">
        <v>-14.99</v>
      </c>
      <c r="I460">
        <v>-32.92</v>
      </c>
      <c r="J460">
        <v>14.02</v>
      </c>
      <c r="K460">
        <v>-58.01</v>
      </c>
      <c r="L460">
        <v>631.82000000000005</v>
      </c>
      <c r="M460">
        <v>339.89</v>
      </c>
    </row>
    <row r="461" spans="1:23" x14ac:dyDescent="0.3">
      <c r="A461" t="s">
        <v>468</v>
      </c>
      <c r="B461">
        <v>74.650000000000006</v>
      </c>
      <c r="C461">
        <v>0.54</v>
      </c>
      <c r="D461">
        <v>8652011.8000000007</v>
      </c>
      <c r="E461">
        <v>554276250</v>
      </c>
      <c r="F461">
        <v>-0.86</v>
      </c>
      <c r="G461">
        <v>-3.05</v>
      </c>
      <c r="H461">
        <v>-1.32</v>
      </c>
      <c r="I461">
        <v>4.63</v>
      </c>
      <c r="J461">
        <v>-9.7899999999999991</v>
      </c>
      <c r="K461">
        <v>-17.88</v>
      </c>
      <c r="L461">
        <v>254.97</v>
      </c>
      <c r="M461">
        <v>1223.58</v>
      </c>
    </row>
    <row r="462" spans="1:23" x14ac:dyDescent="0.3">
      <c r="A462" t="s">
        <v>469</v>
      </c>
      <c r="B462">
        <v>1.41</v>
      </c>
      <c r="C462">
        <v>-0.7</v>
      </c>
      <c r="D462">
        <v>41549171.689999998</v>
      </c>
      <c r="E462">
        <v>6768000000</v>
      </c>
      <c r="F462">
        <v>-1.4</v>
      </c>
      <c r="G462">
        <v>-2.08</v>
      </c>
      <c r="H462">
        <v>-12.96</v>
      </c>
      <c r="I462">
        <v>-9.0299999999999994</v>
      </c>
      <c r="J462">
        <v>-9.6199999999999992</v>
      </c>
      <c r="K462">
        <v>-41</v>
      </c>
      <c r="L462">
        <v>62.07</v>
      </c>
    </row>
    <row r="463" spans="1:23" x14ac:dyDescent="0.3">
      <c r="A463" t="s">
        <v>470</v>
      </c>
      <c r="E463">
        <v>964800000000</v>
      </c>
    </row>
    <row r="464" spans="1:23" x14ac:dyDescent="0.3">
      <c r="A464" t="s">
        <v>471</v>
      </c>
      <c r="B464">
        <v>36.799999999999997</v>
      </c>
      <c r="C464">
        <v>0.93</v>
      </c>
      <c r="D464">
        <v>1061807.96</v>
      </c>
      <c r="E464">
        <v>73600000000</v>
      </c>
      <c r="F464">
        <v>-3.41</v>
      </c>
      <c r="G464">
        <v>-6.07</v>
      </c>
      <c r="H464">
        <v>-19.559999999999999</v>
      </c>
      <c r="I464">
        <v>-41.65</v>
      </c>
      <c r="J464">
        <v>-13.37</v>
      </c>
      <c r="K464">
        <v>-41.71</v>
      </c>
      <c r="L464">
        <v>808.64</v>
      </c>
      <c r="M464">
        <v>373.01</v>
      </c>
    </row>
    <row r="465" spans="1:13" x14ac:dyDescent="0.3">
      <c r="A465" t="s">
        <v>472</v>
      </c>
      <c r="E465">
        <v>90600000000</v>
      </c>
    </row>
    <row r="466" spans="1:13" x14ac:dyDescent="0.3">
      <c r="A466" t="s">
        <v>473</v>
      </c>
      <c r="B466">
        <v>274</v>
      </c>
      <c r="C466">
        <v>4.28</v>
      </c>
      <c r="D466">
        <v>2529243.25</v>
      </c>
      <c r="E466">
        <v>917900000000</v>
      </c>
      <c r="F466">
        <v>1.1100000000000001</v>
      </c>
      <c r="G466">
        <v>2.62</v>
      </c>
      <c r="H466">
        <v>1.58</v>
      </c>
      <c r="I466">
        <v>-27.08</v>
      </c>
      <c r="J466">
        <v>3.2</v>
      </c>
      <c r="K466">
        <v>-9.7899999999999991</v>
      </c>
      <c r="L466">
        <v>705.88</v>
      </c>
      <c r="M466">
        <v>609.84</v>
      </c>
    </row>
    <row r="467" spans="1:13" x14ac:dyDescent="0.3">
      <c r="A467" t="s">
        <v>474</v>
      </c>
      <c r="B467">
        <v>3.37</v>
      </c>
      <c r="C467">
        <v>-0.3</v>
      </c>
      <c r="D467">
        <v>33495879.280000001</v>
      </c>
      <c r="E467">
        <v>8896800000</v>
      </c>
      <c r="F467">
        <v>1.51</v>
      </c>
      <c r="G467">
        <v>-2.0299999999999998</v>
      </c>
      <c r="H467">
        <v>20.36</v>
      </c>
      <c r="I467">
        <v>15.02</v>
      </c>
      <c r="J467">
        <v>3.69</v>
      </c>
      <c r="K467">
        <v>-22.35</v>
      </c>
      <c r="L467">
        <v>185.59</v>
      </c>
    </row>
    <row r="468" spans="1:13" x14ac:dyDescent="0.3">
      <c r="A468" t="s">
        <v>475</v>
      </c>
      <c r="B468">
        <v>460.5</v>
      </c>
      <c r="C468">
        <v>4.42</v>
      </c>
      <c r="D468">
        <v>137278478.75</v>
      </c>
      <c r="E468">
        <v>29011500000</v>
      </c>
      <c r="F468">
        <v>0.22</v>
      </c>
      <c r="G468">
        <v>14.34</v>
      </c>
      <c r="H468">
        <v>62.15</v>
      </c>
      <c r="I468">
        <v>45.15</v>
      </c>
      <c r="J468">
        <v>56.37</v>
      </c>
      <c r="K468">
        <v>409.4</v>
      </c>
      <c r="L468">
        <v>5656.25</v>
      </c>
      <c r="M468">
        <v>14900</v>
      </c>
    </row>
    <row r="469" spans="1:13" x14ac:dyDescent="0.3">
      <c r="A469" t="s">
        <v>476</v>
      </c>
      <c r="B469">
        <v>354.75</v>
      </c>
      <c r="C469">
        <v>4.34</v>
      </c>
      <c r="D469">
        <v>49973756.5</v>
      </c>
      <c r="E469">
        <v>57849031416</v>
      </c>
      <c r="F469">
        <v>0.78</v>
      </c>
      <c r="G469">
        <v>-25.28</v>
      </c>
      <c r="H469">
        <v>-26.25</v>
      </c>
      <c r="I469">
        <v>-29.89</v>
      </c>
      <c r="J469">
        <v>-33.130000000000003</v>
      </c>
      <c r="K469">
        <v>15.93</v>
      </c>
      <c r="L469">
        <v>3053.33</v>
      </c>
      <c r="M469">
        <v>10882.97</v>
      </c>
    </row>
    <row r="470" spans="1:13" x14ac:dyDescent="0.3">
      <c r="A470" t="s">
        <v>477</v>
      </c>
      <c r="B470">
        <v>11.83</v>
      </c>
      <c r="C470">
        <v>-2.63</v>
      </c>
      <c r="D470">
        <v>312431490.94999999</v>
      </c>
      <c r="E470">
        <v>11238500000</v>
      </c>
      <c r="F470">
        <v>-10.38</v>
      </c>
      <c r="G470">
        <v>-12.69</v>
      </c>
      <c r="H470">
        <v>-19.96</v>
      </c>
      <c r="I470">
        <v>-65.12</v>
      </c>
      <c r="J470">
        <v>-17.559999999999999</v>
      </c>
      <c r="K470">
        <v>-84.45</v>
      </c>
    </row>
    <row r="471" spans="1:13" x14ac:dyDescent="0.3">
      <c r="A471" t="s">
        <v>478</v>
      </c>
      <c r="B471">
        <v>113</v>
      </c>
      <c r="C471">
        <v>1.8</v>
      </c>
      <c r="D471">
        <v>38686405.700000003</v>
      </c>
      <c r="E471">
        <v>37403000000</v>
      </c>
      <c r="F471">
        <v>1.89</v>
      </c>
      <c r="G471">
        <v>-3.42</v>
      </c>
      <c r="H471">
        <v>-9.5299999999999994</v>
      </c>
      <c r="I471">
        <v>8.9700000000000006</v>
      </c>
      <c r="J471">
        <v>-14.39</v>
      </c>
    </row>
    <row r="472" spans="1:13" x14ac:dyDescent="0.3">
      <c r="A472" t="s">
        <v>479</v>
      </c>
      <c r="B472">
        <v>23.44</v>
      </c>
      <c r="C472">
        <v>0.26</v>
      </c>
      <c r="D472">
        <v>2904313.5</v>
      </c>
      <c r="E472">
        <v>703200000</v>
      </c>
      <c r="F472">
        <v>-2.5</v>
      </c>
      <c r="G472">
        <v>-8.2200000000000006</v>
      </c>
      <c r="H472">
        <v>-10.67</v>
      </c>
      <c r="I472">
        <v>-11.41</v>
      </c>
      <c r="J472">
        <v>-7.57</v>
      </c>
      <c r="K472">
        <v>-49.57</v>
      </c>
      <c r="L472">
        <v>93.08</v>
      </c>
    </row>
    <row r="473" spans="1:13" x14ac:dyDescent="0.3">
      <c r="A473" t="s">
        <v>480</v>
      </c>
      <c r="B473">
        <v>16.38</v>
      </c>
      <c r="C473">
        <v>-0.49</v>
      </c>
      <c r="D473">
        <v>1436940.94</v>
      </c>
      <c r="E473">
        <v>464209200</v>
      </c>
      <c r="F473">
        <v>-8.85</v>
      </c>
      <c r="G473">
        <v>-9.6</v>
      </c>
      <c r="H473">
        <v>-22.3</v>
      </c>
      <c r="I473">
        <v>-22.44</v>
      </c>
      <c r="J473">
        <v>-17.690000000000001</v>
      </c>
      <c r="K473">
        <v>-38.26</v>
      </c>
      <c r="L473">
        <v>321.08</v>
      </c>
      <c r="M473">
        <v>3540</v>
      </c>
    </row>
    <row r="474" spans="1:13" x14ac:dyDescent="0.3">
      <c r="A474" t="s">
        <v>481</v>
      </c>
      <c r="B474">
        <v>6.8</v>
      </c>
      <c r="E474">
        <v>408000000</v>
      </c>
    </row>
    <row r="475" spans="1:13" x14ac:dyDescent="0.3">
      <c r="A475" t="s">
        <v>482</v>
      </c>
      <c r="B475">
        <v>16.53</v>
      </c>
      <c r="C475">
        <v>0</v>
      </c>
      <c r="D475">
        <v>145282849.16</v>
      </c>
      <c r="E475">
        <v>1653000000</v>
      </c>
      <c r="F475">
        <v>2.48</v>
      </c>
      <c r="G475">
        <v>-5.22</v>
      </c>
      <c r="H475">
        <v>7.83</v>
      </c>
      <c r="I475">
        <v>-38.6</v>
      </c>
      <c r="J475">
        <v>13.92</v>
      </c>
      <c r="K475">
        <v>14.39</v>
      </c>
      <c r="L475">
        <v>138.53</v>
      </c>
      <c r="M475">
        <v>1800</v>
      </c>
    </row>
    <row r="476" spans="1:13" x14ac:dyDescent="0.3">
      <c r="A476" t="s">
        <v>483</v>
      </c>
      <c r="B476">
        <v>24.46</v>
      </c>
      <c r="C476">
        <v>-1.1299999999999999</v>
      </c>
      <c r="D476">
        <v>8294588.3200000003</v>
      </c>
      <c r="E476">
        <v>1822270000</v>
      </c>
      <c r="F476">
        <v>-0.89</v>
      </c>
      <c r="G476">
        <v>-4.97</v>
      </c>
      <c r="H476">
        <v>-15.77</v>
      </c>
      <c r="I476">
        <v>-16.690000000000001</v>
      </c>
      <c r="J476">
        <v>-12.52</v>
      </c>
      <c r="K476">
        <v>-21.45</v>
      </c>
    </row>
    <row r="477" spans="1:13" x14ac:dyDescent="0.3">
      <c r="A477" t="s">
        <v>484</v>
      </c>
      <c r="B477">
        <v>15.74</v>
      </c>
      <c r="C477">
        <v>3.21</v>
      </c>
      <c r="D477">
        <v>95245640.650000006</v>
      </c>
      <c r="E477">
        <v>31480000000</v>
      </c>
      <c r="F477">
        <v>4.93</v>
      </c>
      <c r="G477">
        <v>-1.32</v>
      </c>
      <c r="H477">
        <v>5.5</v>
      </c>
      <c r="I477">
        <v>44.54</v>
      </c>
      <c r="J477">
        <v>-7.41</v>
      </c>
      <c r="K477">
        <v>148.66</v>
      </c>
      <c r="L477">
        <v>1944.16</v>
      </c>
      <c r="M477">
        <v>1280.7</v>
      </c>
    </row>
    <row r="478" spans="1:13" x14ac:dyDescent="0.3">
      <c r="A478" t="s">
        <v>485</v>
      </c>
      <c r="B478">
        <v>19.18</v>
      </c>
      <c r="C478">
        <v>0.05</v>
      </c>
      <c r="D478">
        <v>78404855.969999999</v>
      </c>
      <c r="E478">
        <v>38360000000</v>
      </c>
      <c r="F478">
        <v>0.68</v>
      </c>
      <c r="G478">
        <v>1.05</v>
      </c>
      <c r="H478">
        <v>8.3000000000000007</v>
      </c>
      <c r="I478">
        <v>64.92</v>
      </c>
      <c r="J478">
        <v>-14.91</v>
      </c>
      <c r="K478">
        <v>163.82</v>
      </c>
      <c r="L478">
        <v>3660.78</v>
      </c>
      <c r="M478">
        <v>3325</v>
      </c>
    </row>
    <row r="479" spans="1:13" x14ac:dyDescent="0.3">
      <c r="A479" t="s">
        <v>486</v>
      </c>
      <c r="B479">
        <v>73.7</v>
      </c>
      <c r="C479">
        <v>1.8</v>
      </c>
      <c r="D479">
        <v>104678526.5</v>
      </c>
      <c r="E479">
        <v>2597925000</v>
      </c>
      <c r="F479">
        <v>10.99</v>
      </c>
      <c r="G479">
        <v>23.55</v>
      </c>
      <c r="H479">
        <v>16.34</v>
      </c>
      <c r="I479">
        <v>63.63</v>
      </c>
      <c r="J479">
        <v>16.149999999999999</v>
      </c>
      <c r="K479">
        <v>78.02</v>
      </c>
      <c r="L479">
        <v>1082.99</v>
      </c>
      <c r="M479">
        <v>2086.94</v>
      </c>
    </row>
    <row r="480" spans="1:13" x14ac:dyDescent="0.3">
      <c r="A480" t="s">
        <v>487</v>
      </c>
      <c r="B480">
        <v>96.8</v>
      </c>
      <c r="C480">
        <v>-0.77</v>
      </c>
      <c r="D480">
        <v>1950128991</v>
      </c>
      <c r="E480">
        <v>203316393799.19998</v>
      </c>
      <c r="F480">
        <v>-3.59</v>
      </c>
      <c r="G480">
        <v>-3.1</v>
      </c>
      <c r="H480">
        <v>6.96</v>
      </c>
      <c r="I480">
        <v>10</v>
      </c>
      <c r="J480">
        <v>0.83</v>
      </c>
      <c r="K480">
        <v>28.6</v>
      </c>
      <c r="L480">
        <v>608.12</v>
      </c>
      <c r="M480">
        <v>1296.83</v>
      </c>
    </row>
    <row r="481" spans="1:13" x14ac:dyDescent="0.3">
      <c r="A481" t="s">
        <v>488</v>
      </c>
      <c r="B481">
        <v>17.45</v>
      </c>
      <c r="C481">
        <v>-2.4</v>
      </c>
      <c r="D481">
        <v>29143209.02</v>
      </c>
      <c r="E481">
        <v>638670000</v>
      </c>
      <c r="F481">
        <v>-4.12</v>
      </c>
      <c r="G481">
        <v>-11.82</v>
      </c>
      <c r="H481">
        <v>-9.68</v>
      </c>
      <c r="I481">
        <v>-46.24</v>
      </c>
      <c r="J481">
        <v>-9.8699999999999992</v>
      </c>
      <c r="K481">
        <v>-71.39</v>
      </c>
      <c r="L481">
        <v>204.54</v>
      </c>
      <c r="M481">
        <v>891.48</v>
      </c>
    </row>
    <row r="482" spans="1:13" x14ac:dyDescent="0.3">
      <c r="A482" t="s">
        <v>489</v>
      </c>
      <c r="B482">
        <v>23.02</v>
      </c>
      <c r="C482">
        <v>-2.04</v>
      </c>
      <c r="D482">
        <v>2245350.7599999998</v>
      </c>
      <c r="E482">
        <v>420237765.65999997</v>
      </c>
      <c r="F482">
        <v>-1.1200000000000001</v>
      </c>
      <c r="G482">
        <v>-4</v>
      </c>
      <c r="H482">
        <v>-10.08</v>
      </c>
      <c r="I482">
        <v>-10.220000000000001</v>
      </c>
      <c r="J482">
        <v>-2.54</v>
      </c>
      <c r="K482">
        <v>-21.16</v>
      </c>
      <c r="L482">
        <v>154.93</v>
      </c>
      <c r="M482">
        <v>758.96</v>
      </c>
    </row>
    <row r="483" spans="1:13" x14ac:dyDescent="0.3">
      <c r="A483" t="s">
        <v>490</v>
      </c>
      <c r="B483">
        <v>47.94</v>
      </c>
      <c r="C483">
        <v>-2.3199999999999998</v>
      </c>
      <c r="D483">
        <v>49700692.780000001</v>
      </c>
      <c r="E483">
        <v>7191000000</v>
      </c>
      <c r="F483">
        <v>-3.85</v>
      </c>
      <c r="G483">
        <v>-10.64</v>
      </c>
      <c r="H483">
        <v>31.06</v>
      </c>
      <c r="I483">
        <v>108.89</v>
      </c>
      <c r="J483">
        <v>28.46</v>
      </c>
      <c r="K483">
        <v>239.04</v>
      </c>
      <c r="L483">
        <v>1856.73</v>
      </c>
      <c r="M483">
        <v>9683.67</v>
      </c>
    </row>
    <row r="484" spans="1:13" x14ac:dyDescent="0.3">
      <c r="A484" t="s">
        <v>491</v>
      </c>
      <c r="B484">
        <v>22.02</v>
      </c>
      <c r="C484">
        <v>1.29</v>
      </c>
      <c r="D484">
        <v>19393273.5</v>
      </c>
      <c r="E484">
        <v>3303000000</v>
      </c>
      <c r="F484">
        <v>1.19</v>
      </c>
      <c r="G484">
        <v>-3.67</v>
      </c>
      <c r="H484">
        <v>-9.23</v>
      </c>
      <c r="I484">
        <v>-3</v>
      </c>
      <c r="J484">
        <v>-13.31</v>
      </c>
      <c r="K484">
        <v>-19.04</v>
      </c>
      <c r="L484">
        <v>285.64</v>
      </c>
      <c r="M484">
        <v>491.94</v>
      </c>
    </row>
    <row r="485" spans="1:13" x14ac:dyDescent="0.3">
      <c r="A485" t="s">
        <v>492</v>
      </c>
      <c r="B485">
        <v>17.73</v>
      </c>
      <c r="C485">
        <v>-1.77</v>
      </c>
      <c r="D485">
        <v>11300980.92</v>
      </c>
      <c r="E485">
        <v>10638000000</v>
      </c>
      <c r="F485">
        <v>-3.9</v>
      </c>
      <c r="G485">
        <v>-2.8</v>
      </c>
      <c r="H485">
        <v>-7.32</v>
      </c>
      <c r="I485">
        <v>-24.36</v>
      </c>
      <c r="J485">
        <v>-6.14</v>
      </c>
      <c r="K485">
        <v>-36.61</v>
      </c>
      <c r="L485">
        <v>117.01</v>
      </c>
      <c r="M485">
        <v>1029.3</v>
      </c>
    </row>
    <row r="486" spans="1:13" x14ac:dyDescent="0.3">
      <c r="A486" t="s">
        <v>493</v>
      </c>
      <c r="B486">
        <v>3.53</v>
      </c>
      <c r="C486">
        <v>0.86</v>
      </c>
      <c r="D486">
        <v>1222027722.1400001</v>
      </c>
      <c r="E486">
        <v>154669122220.79999</v>
      </c>
      <c r="F486">
        <v>0.56999999999999995</v>
      </c>
      <c r="G486">
        <v>-3.55</v>
      </c>
      <c r="H486">
        <v>-12.84</v>
      </c>
      <c r="I486">
        <v>-28.25</v>
      </c>
      <c r="J486">
        <v>-13.27</v>
      </c>
      <c r="K486">
        <v>-27.22</v>
      </c>
      <c r="L486">
        <v>177.95</v>
      </c>
      <c r="M486">
        <v>1861.11</v>
      </c>
    </row>
    <row r="487" spans="1:13" x14ac:dyDescent="0.3">
      <c r="A487" t="s">
        <v>494</v>
      </c>
      <c r="B487">
        <v>35.08</v>
      </c>
      <c r="C487">
        <v>0.34</v>
      </c>
      <c r="D487">
        <v>17989075.600000001</v>
      </c>
      <c r="E487">
        <v>2709930000</v>
      </c>
      <c r="F487">
        <v>-1.46</v>
      </c>
      <c r="G487">
        <v>-18.87</v>
      </c>
      <c r="H487">
        <v>-18.61</v>
      </c>
      <c r="I487">
        <v>-33.94</v>
      </c>
      <c r="J487">
        <v>-21.1</v>
      </c>
      <c r="K487">
        <v>-61.79</v>
      </c>
      <c r="L487">
        <v>258.32</v>
      </c>
      <c r="M487">
        <v>3178.5</v>
      </c>
    </row>
    <row r="488" spans="1:13" x14ac:dyDescent="0.3">
      <c r="A488" t="s">
        <v>495</v>
      </c>
      <c r="B488">
        <v>184</v>
      </c>
      <c r="C488">
        <v>-0.7</v>
      </c>
      <c r="D488">
        <v>45719385.299999997</v>
      </c>
      <c r="E488">
        <v>10672000000</v>
      </c>
      <c r="F488">
        <v>0.99</v>
      </c>
      <c r="G488">
        <v>-6.6</v>
      </c>
      <c r="H488">
        <v>-18.48</v>
      </c>
      <c r="I488">
        <v>-26.23</v>
      </c>
      <c r="J488">
        <v>-13.7</v>
      </c>
      <c r="K488">
        <v>-50.78</v>
      </c>
    </row>
    <row r="489" spans="1:13" x14ac:dyDescent="0.3">
      <c r="A489" t="s">
        <v>496</v>
      </c>
      <c r="B489">
        <v>20.92</v>
      </c>
      <c r="C489">
        <v>-0.38</v>
      </c>
      <c r="D489">
        <v>20301512.300000001</v>
      </c>
      <c r="E489">
        <v>3744680000.0000005</v>
      </c>
      <c r="F489">
        <v>3.36</v>
      </c>
      <c r="G489">
        <v>-1.69</v>
      </c>
      <c r="H489">
        <v>10.98</v>
      </c>
      <c r="I489">
        <v>-6.61</v>
      </c>
      <c r="J489">
        <v>-4.6500000000000004</v>
      </c>
    </row>
    <row r="490" spans="1:13" x14ac:dyDescent="0.3">
      <c r="A490" t="s">
        <v>497</v>
      </c>
      <c r="B490">
        <v>5</v>
      </c>
      <c r="C490">
        <v>9.89</v>
      </c>
      <c r="D490">
        <v>44578990</v>
      </c>
      <c r="E490">
        <v>4067776415</v>
      </c>
      <c r="F490">
        <v>13.9</v>
      </c>
      <c r="G490">
        <v>11.86</v>
      </c>
      <c r="H490">
        <v>11.11</v>
      </c>
      <c r="I490">
        <v>18.760000000000002</v>
      </c>
      <c r="J490">
        <v>3.73</v>
      </c>
      <c r="K490">
        <v>-7.92</v>
      </c>
    </row>
    <row r="491" spans="1:13" x14ac:dyDescent="0.3">
      <c r="A491" t="s">
        <v>498</v>
      </c>
      <c r="B491">
        <v>6.88</v>
      </c>
      <c r="C491">
        <v>-1.57</v>
      </c>
      <c r="D491">
        <v>3266759.56</v>
      </c>
      <c r="E491">
        <v>688000000</v>
      </c>
      <c r="F491">
        <v>-3.1</v>
      </c>
      <c r="G491">
        <v>-5.49</v>
      </c>
      <c r="H491">
        <v>-9.7100000000000009</v>
      </c>
      <c r="I491">
        <v>-16.5</v>
      </c>
      <c r="J491">
        <v>-11.11</v>
      </c>
      <c r="K491">
        <v>-25.54</v>
      </c>
      <c r="L491">
        <v>199.13</v>
      </c>
      <c r="M491">
        <v>221.5</v>
      </c>
    </row>
    <row r="492" spans="1:13" x14ac:dyDescent="0.3">
      <c r="A492" t="s">
        <v>499</v>
      </c>
      <c r="B492">
        <v>11.42</v>
      </c>
      <c r="C492">
        <v>2.5099999999999998</v>
      </c>
      <c r="D492">
        <v>2191471.2200000002</v>
      </c>
      <c r="E492">
        <v>612247052.91999996</v>
      </c>
      <c r="F492">
        <v>0.71</v>
      </c>
      <c r="G492">
        <v>-2.97</v>
      </c>
      <c r="H492">
        <v>-17.190000000000001</v>
      </c>
      <c r="I492">
        <v>5.16</v>
      </c>
      <c r="J492">
        <v>-13.09</v>
      </c>
      <c r="K492">
        <v>-32.229999999999997</v>
      </c>
      <c r="L492">
        <v>125.25</v>
      </c>
      <c r="M492">
        <v>666.44</v>
      </c>
    </row>
    <row r="493" spans="1:13" x14ac:dyDescent="0.3">
      <c r="A493" t="s">
        <v>500</v>
      </c>
      <c r="B493">
        <v>65.599999999999994</v>
      </c>
      <c r="C493">
        <v>0.69</v>
      </c>
      <c r="D493">
        <v>88506496.799999997</v>
      </c>
      <c r="E493">
        <v>40737600000</v>
      </c>
      <c r="F493">
        <v>-1.43</v>
      </c>
      <c r="G493">
        <v>-6.02</v>
      </c>
      <c r="H493">
        <v>-18.61</v>
      </c>
      <c r="I493">
        <v>20.37</v>
      </c>
      <c r="J493">
        <v>-18</v>
      </c>
      <c r="K493">
        <v>11.89</v>
      </c>
      <c r="L493">
        <v>557.97</v>
      </c>
      <c r="M493">
        <v>993.33</v>
      </c>
    </row>
    <row r="494" spans="1:13" x14ac:dyDescent="0.3">
      <c r="A494" t="s">
        <v>501</v>
      </c>
      <c r="B494">
        <v>51.2</v>
      </c>
      <c r="C494">
        <v>-3.76</v>
      </c>
      <c r="D494">
        <v>6476536.7999999998</v>
      </c>
      <c r="E494">
        <v>1126400000</v>
      </c>
      <c r="F494">
        <v>9.8699999999999992</v>
      </c>
      <c r="G494">
        <v>5.57</v>
      </c>
      <c r="H494">
        <v>12.87</v>
      </c>
      <c r="I494">
        <v>-3.85</v>
      </c>
      <c r="J494">
        <v>2.48</v>
      </c>
      <c r="K494">
        <v>-22.01</v>
      </c>
      <c r="L494">
        <v>1189.67</v>
      </c>
      <c r="M494">
        <v>5465.22</v>
      </c>
    </row>
    <row r="495" spans="1:13" x14ac:dyDescent="0.3">
      <c r="A495" t="s">
        <v>502</v>
      </c>
      <c r="B495">
        <v>12.05</v>
      </c>
      <c r="C495">
        <v>-1.63</v>
      </c>
      <c r="D495">
        <v>18113960.719999999</v>
      </c>
      <c r="E495">
        <v>939900000</v>
      </c>
      <c r="F495">
        <v>-6.23</v>
      </c>
      <c r="G495">
        <v>-3.68</v>
      </c>
      <c r="H495">
        <v>14.98</v>
      </c>
      <c r="I495">
        <v>-5.93</v>
      </c>
      <c r="J495">
        <v>12.3</v>
      </c>
      <c r="K495">
        <v>-19.670000000000002</v>
      </c>
      <c r="L495">
        <v>-21.29</v>
      </c>
    </row>
    <row r="496" spans="1:13" x14ac:dyDescent="0.3">
      <c r="A496" t="s">
        <v>503</v>
      </c>
      <c r="B496">
        <v>9.73</v>
      </c>
      <c r="C496">
        <v>0.62</v>
      </c>
      <c r="D496">
        <v>251464537.13999999</v>
      </c>
      <c r="E496">
        <v>4018490000</v>
      </c>
      <c r="F496">
        <v>-4.33</v>
      </c>
    </row>
    <row r="497" spans="1:23" x14ac:dyDescent="0.3">
      <c r="A497" t="s">
        <v>504</v>
      </c>
      <c r="B497">
        <v>3.13</v>
      </c>
      <c r="C497">
        <v>-1.26</v>
      </c>
      <c r="D497">
        <v>8301464.71</v>
      </c>
      <c r="E497">
        <v>626000000</v>
      </c>
      <c r="F497">
        <v>-3.4</v>
      </c>
      <c r="G497">
        <v>3.64</v>
      </c>
      <c r="H497">
        <v>-17.63</v>
      </c>
      <c r="I497">
        <v>-34.24</v>
      </c>
      <c r="J497">
        <v>-2.8</v>
      </c>
      <c r="K497">
        <v>-16.53</v>
      </c>
      <c r="L497">
        <v>118.88</v>
      </c>
      <c r="M497">
        <v>286.42</v>
      </c>
    </row>
    <row r="498" spans="1:23" x14ac:dyDescent="0.3">
      <c r="A498" t="s">
        <v>505</v>
      </c>
      <c r="B498">
        <v>17.79</v>
      </c>
      <c r="C498">
        <v>3.79</v>
      </c>
      <c r="D498">
        <v>6677310.0999999996</v>
      </c>
      <c r="E498">
        <v>800550000</v>
      </c>
      <c r="F498">
        <v>0.68</v>
      </c>
      <c r="G498">
        <v>-3.63</v>
      </c>
      <c r="H498">
        <v>-12.79</v>
      </c>
      <c r="I498">
        <v>2.1800000000000002</v>
      </c>
      <c r="J498">
        <v>-7.3</v>
      </c>
      <c r="K498">
        <v>-5.62</v>
      </c>
      <c r="L498">
        <v>167.52</v>
      </c>
      <c r="M498">
        <v>694.2</v>
      </c>
    </row>
    <row r="499" spans="1:23" x14ac:dyDescent="0.3">
      <c r="A499" t="s">
        <v>506</v>
      </c>
      <c r="B499">
        <v>35.46</v>
      </c>
      <c r="C499">
        <v>-2.96</v>
      </c>
      <c r="D499">
        <v>2035770114.1400001</v>
      </c>
      <c r="E499">
        <v>108621570425.76001</v>
      </c>
      <c r="F499">
        <v>-1.55</v>
      </c>
      <c r="G499">
        <v>-6.73</v>
      </c>
      <c r="H499">
        <v>-12.57</v>
      </c>
      <c r="I499">
        <v>-18.329999999999998</v>
      </c>
      <c r="J499">
        <v>-14.6</v>
      </c>
      <c r="K499">
        <v>-28.61</v>
      </c>
      <c r="L499">
        <v>205.16</v>
      </c>
      <c r="M499">
        <v>711.44</v>
      </c>
    </row>
    <row r="500" spans="1:23" x14ac:dyDescent="0.3">
      <c r="A500" t="s">
        <v>507</v>
      </c>
      <c r="B500">
        <v>3.87</v>
      </c>
      <c r="C500">
        <v>0.52</v>
      </c>
      <c r="D500">
        <v>315251651.88999999</v>
      </c>
      <c r="E500">
        <v>9675000000</v>
      </c>
      <c r="F500">
        <v>4.03</v>
      </c>
      <c r="G500">
        <v>-4.21</v>
      </c>
      <c r="H500">
        <v>-16.77</v>
      </c>
      <c r="I500">
        <v>-10.62</v>
      </c>
      <c r="J500">
        <v>-18.350000000000001</v>
      </c>
      <c r="K500">
        <v>3.75</v>
      </c>
      <c r="L500">
        <v>430.14</v>
      </c>
      <c r="M500">
        <v>445.07</v>
      </c>
    </row>
    <row r="501" spans="1:23" x14ac:dyDescent="0.3">
      <c r="A501" t="s">
        <v>508</v>
      </c>
      <c r="B501">
        <v>4.4400000000000004</v>
      </c>
      <c r="C501">
        <v>1.37</v>
      </c>
      <c r="D501">
        <v>7017509.6799999997</v>
      </c>
      <c r="E501">
        <v>985680000.00000012</v>
      </c>
      <c r="F501">
        <v>-1.1100000000000001</v>
      </c>
      <c r="G501">
        <v>-1.77</v>
      </c>
      <c r="H501">
        <v>-2.63</v>
      </c>
      <c r="I501">
        <v>-5.53</v>
      </c>
      <c r="J501">
        <v>-17.63</v>
      </c>
      <c r="K501">
        <v>-9.76</v>
      </c>
      <c r="L501">
        <v>73.44</v>
      </c>
      <c r="M501">
        <v>382.61</v>
      </c>
    </row>
    <row r="502" spans="1:23" x14ac:dyDescent="0.3">
      <c r="A502" t="s">
        <v>509</v>
      </c>
      <c r="B502">
        <v>121.6</v>
      </c>
      <c r="C502">
        <v>-0.98</v>
      </c>
      <c r="D502">
        <v>22618822.699999999</v>
      </c>
      <c r="E502">
        <v>1155200000</v>
      </c>
      <c r="F502">
        <v>-7.18</v>
      </c>
      <c r="G502">
        <v>-0.16</v>
      </c>
      <c r="H502">
        <v>42.22</v>
      </c>
      <c r="I502">
        <v>24.46</v>
      </c>
      <c r="J502">
        <v>-10.46</v>
      </c>
      <c r="K502">
        <v>-37.799999999999997</v>
      </c>
      <c r="L502">
        <v>562.30999999999995</v>
      </c>
      <c r="M502">
        <v>4122.22</v>
      </c>
    </row>
    <row r="503" spans="1:23" x14ac:dyDescent="0.3">
      <c r="A503" t="s">
        <v>510</v>
      </c>
      <c r="B503">
        <v>21.8</v>
      </c>
      <c r="C503">
        <v>0.93</v>
      </c>
      <c r="D503">
        <v>40451935.700000003</v>
      </c>
      <c r="E503">
        <v>3379000000</v>
      </c>
      <c r="F503">
        <v>11.57</v>
      </c>
      <c r="G503">
        <v>45.33</v>
      </c>
      <c r="H503">
        <v>100</v>
      </c>
      <c r="I503">
        <v>114.15</v>
      </c>
      <c r="J503">
        <v>39.74</v>
      </c>
      <c r="K503">
        <v>90.39</v>
      </c>
    </row>
    <row r="504" spans="1:23" x14ac:dyDescent="0.3">
      <c r="A504" t="s">
        <v>511</v>
      </c>
      <c r="B504">
        <v>28.9</v>
      </c>
      <c r="C504">
        <v>-1.1000000000000001</v>
      </c>
      <c r="D504">
        <v>30595350.640000001</v>
      </c>
      <c r="E504">
        <v>920826250</v>
      </c>
      <c r="F504">
        <v>-8.31</v>
      </c>
      <c r="G504">
        <v>-12.37</v>
      </c>
      <c r="H504">
        <v>-0.41</v>
      </c>
      <c r="I504">
        <v>0.56000000000000005</v>
      </c>
      <c r="J504">
        <v>-1.1000000000000001</v>
      </c>
      <c r="K504">
        <v>-49.52</v>
      </c>
      <c r="L504">
        <v>543.65</v>
      </c>
      <c r="M504">
        <v>258.12</v>
      </c>
    </row>
    <row r="505" spans="1:23" x14ac:dyDescent="0.3">
      <c r="A505" t="s">
        <v>512</v>
      </c>
      <c r="B505">
        <v>36.18</v>
      </c>
      <c r="C505">
        <v>-2.64</v>
      </c>
      <c r="D505">
        <v>160851894.40000001</v>
      </c>
      <c r="E505">
        <v>21920738400</v>
      </c>
      <c r="F505">
        <v>-9.32</v>
      </c>
      <c r="G505">
        <v>-18.03</v>
      </c>
      <c r="H505">
        <v>-7.8</v>
      </c>
      <c r="I505">
        <v>-16.440000000000001</v>
      </c>
      <c r="J505">
        <v>-10.97</v>
      </c>
      <c r="K505">
        <v>-43.6</v>
      </c>
      <c r="O505">
        <f>F505*F$1/$E$1</f>
        <v>-2.6253521126760564</v>
      </c>
      <c r="P505">
        <f t="shared" ref="P505" si="248">G505*G$1/$E$1</f>
        <v>-3.8091549295774656</v>
      </c>
      <c r="Q505">
        <f t="shared" ref="Q505" si="249">H505*H$1/$E$1</f>
        <v>-1.0985915492957747</v>
      </c>
      <c r="R505">
        <f t="shared" ref="R505" si="250">I505*I$1/$E$1</f>
        <v>-1.1577464788732394</v>
      </c>
      <c r="S505">
        <f t="shared" ref="S505" si="251">J505*J$1/$E$1</f>
        <v>-2.7038732394366201</v>
      </c>
      <c r="T505">
        <f t="shared" ref="T505" si="252">K505*K$1/$E$1</f>
        <v>-1.5352112676056338</v>
      </c>
      <c r="U505">
        <f t="shared" ref="U505" si="253">L505*L$1/$E$1</f>
        <v>0</v>
      </c>
      <c r="V505">
        <f t="shared" ref="V505" si="254">M505*M$1/$E$1</f>
        <v>0</v>
      </c>
      <c r="W505" s="1">
        <f>SUM(O505:V505)</f>
        <v>-12.92992957746479</v>
      </c>
    </row>
    <row r="506" spans="1:23" x14ac:dyDescent="0.3">
      <c r="A506" t="s">
        <v>513</v>
      </c>
      <c r="B506">
        <v>28.14</v>
      </c>
      <c r="C506">
        <v>1.44</v>
      </c>
      <c r="D506">
        <v>71462638.459999993</v>
      </c>
      <c r="E506">
        <v>3320520000</v>
      </c>
      <c r="F506">
        <v>-0.56999999999999995</v>
      </c>
      <c r="G506">
        <v>1.37</v>
      </c>
      <c r="J506">
        <v>1.96</v>
      </c>
    </row>
    <row r="507" spans="1:23" x14ac:dyDescent="0.3">
      <c r="A507" t="s">
        <v>514</v>
      </c>
      <c r="B507">
        <v>3.11</v>
      </c>
      <c r="C507">
        <v>2.2999999999999998</v>
      </c>
      <c r="D507">
        <v>47748454.200000003</v>
      </c>
      <c r="E507">
        <v>12440000000</v>
      </c>
      <c r="F507">
        <v>6.14</v>
      </c>
      <c r="G507">
        <v>2.2999999999999998</v>
      </c>
      <c r="H507">
        <v>-10.89</v>
      </c>
      <c r="I507">
        <v>15.61</v>
      </c>
      <c r="J507">
        <v>-0.96</v>
      </c>
      <c r="K507">
        <v>101.95</v>
      </c>
      <c r="L507">
        <v>135.61000000000001</v>
      </c>
      <c r="M507">
        <v>1051.8499999999999</v>
      </c>
    </row>
    <row r="508" spans="1:23" x14ac:dyDescent="0.3">
      <c r="A508" t="s">
        <v>515</v>
      </c>
      <c r="B508">
        <v>4.74</v>
      </c>
      <c r="C508">
        <v>1.28</v>
      </c>
      <c r="D508">
        <v>36482997.109999999</v>
      </c>
      <c r="E508">
        <v>2844000000</v>
      </c>
      <c r="F508">
        <v>1.07</v>
      </c>
      <c r="G508">
        <v>-5.77</v>
      </c>
      <c r="H508">
        <v>-10.57</v>
      </c>
      <c r="I508">
        <v>-22.68</v>
      </c>
      <c r="J508">
        <v>-8.14</v>
      </c>
      <c r="K508">
        <v>-45.52</v>
      </c>
    </row>
    <row r="509" spans="1:23" x14ac:dyDescent="0.3">
      <c r="A509" t="s">
        <v>516</v>
      </c>
      <c r="B509">
        <v>80</v>
      </c>
      <c r="C509">
        <v>-0.37</v>
      </c>
      <c r="D509">
        <v>21749226</v>
      </c>
      <c r="E509">
        <v>627936480</v>
      </c>
      <c r="F509">
        <v>24.03</v>
      </c>
      <c r="G509">
        <v>34.340000000000003</v>
      </c>
      <c r="H509">
        <v>69.13</v>
      </c>
      <c r="I509">
        <v>44.14</v>
      </c>
      <c r="J509">
        <v>53.85</v>
      </c>
      <c r="K509">
        <v>73.61</v>
      </c>
      <c r="L509">
        <v>163.16</v>
      </c>
      <c r="M509">
        <v>3275.53</v>
      </c>
    </row>
    <row r="510" spans="1:23" x14ac:dyDescent="0.3">
      <c r="A510" t="s">
        <v>517</v>
      </c>
      <c r="B510">
        <v>55.5</v>
      </c>
      <c r="C510">
        <v>5.71</v>
      </c>
      <c r="D510">
        <v>1767242.95</v>
      </c>
      <c r="E510">
        <v>7215000000</v>
      </c>
      <c r="F510">
        <v>1.83</v>
      </c>
      <c r="G510">
        <v>-5.37</v>
      </c>
      <c r="H510">
        <v>-7.96</v>
      </c>
      <c r="I510">
        <v>-13.95</v>
      </c>
      <c r="J510">
        <v>-11.41</v>
      </c>
      <c r="K510">
        <v>-36.54</v>
      </c>
      <c r="L510">
        <v>602.53</v>
      </c>
      <c r="M510">
        <v>1667.52</v>
      </c>
    </row>
    <row r="511" spans="1:23" x14ac:dyDescent="0.3">
      <c r="A511" t="s">
        <v>518</v>
      </c>
      <c r="B511">
        <v>89.8</v>
      </c>
      <c r="C511">
        <v>0.9</v>
      </c>
      <c r="D511">
        <v>515520.3</v>
      </c>
      <c r="E511">
        <v>1347000000</v>
      </c>
      <c r="F511">
        <v>0.9</v>
      </c>
      <c r="G511">
        <v>-9.61</v>
      </c>
      <c r="H511">
        <v>-15.12</v>
      </c>
      <c r="I511">
        <v>-36.090000000000003</v>
      </c>
      <c r="J511">
        <v>-15.92</v>
      </c>
      <c r="K511">
        <v>-38.15</v>
      </c>
      <c r="L511">
        <v>315.93</v>
      </c>
      <c r="M511">
        <v>1640.31</v>
      </c>
    </row>
    <row r="512" spans="1:23" x14ac:dyDescent="0.3">
      <c r="A512" t="s">
        <v>519</v>
      </c>
      <c r="B512">
        <v>11.34</v>
      </c>
      <c r="C512">
        <v>0.35</v>
      </c>
      <c r="D512">
        <v>12045967.960000001</v>
      </c>
      <c r="E512">
        <v>4382910000</v>
      </c>
      <c r="F512">
        <v>-1.9</v>
      </c>
      <c r="G512">
        <v>-3.49</v>
      </c>
      <c r="H512">
        <v>-15.69</v>
      </c>
      <c r="I512">
        <v>-8.77</v>
      </c>
      <c r="J512">
        <v>-10.28</v>
      </c>
      <c r="K512">
        <v>-43.21</v>
      </c>
    </row>
    <row r="513" spans="1:23" x14ac:dyDescent="0.3">
      <c r="A513" t="s">
        <v>520</v>
      </c>
      <c r="B513">
        <v>38.119999999999997</v>
      </c>
      <c r="C513">
        <v>-0.56999999999999995</v>
      </c>
      <c r="D513">
        <v>351115025.51999998</v>
      </c>
      <c r="E513">
        <v>22616215104.959999</v>
      </c>
      <c r="F513">
        <v>1.38</v>
      </c>
      <c r="G513">
        <v>-2.0099999999999998</v>
      </c>
      <c r="H513">
        <v>-7.12</v>
      </c>
      <c r="I513">
        <v>-26.52</v>
      </c>
      <c r="J513">
        <v>-7.48</v>
      </c>
      <c r="K513">
        <v>-39.46</v>
      </c>
      <c r="L513">
        <v>243.42</v>
      </c>
      <c r="M513">
        <v>364.31</v>
      </c>
    </row>
    <row r="514" spans="1:23" x14ac:dyDescent="0.3">
      <c r="A514" t="s">
        <v>521</v>
      </c>
      <c r="B514">
        <v>88.8</v>
      </c>
      <c r="C514">
        <v>4.59</v>
      </c>
      <c r="D514">
        <v>5739727.0999999996</v>
      </c>
      <c r="E514">
        <v>6571200000</v>
      </c>
      <c r="F514">
        <v>9.43</v>
      </c>
      <c r="G514">
        <v>-0.5</v>
      </c>
      <c r="H514">
        <v>14.58</v>
      </c>
      <c r="I514">
        <v>12.26</v>
      </c>
      <c r="J514">
        <v>-0.45</v>
      </c>
      <c r="K514">
        <v>6.86</v>
      </c>
      <c r="L514">
        <v>156.94</v>
      </c>
      <c r="M514">
        <v>2182.7800000000002</v>
      </c>
    </row>
    <row r="515" spans="1:23" x14ac:dyDescent="0.3">
      <c r="A515" t="s">
        <v>522</v>
      </c>
      <c r="B515">
        <v>192.8</v>
      </c>
      <c r="C515">
        <v>-5.95</v>
      </c>
      <c r="D515">
        <v>126523404.59999999</v>
      </c>
      <c r="E515">
        <v>10025600000</v>
      </c>
      <c r="F515">
        <v>2.61</v>
      </c>
      <c r="G515">
        <v>-17.96</v>
      </c>
      <c r="H515">
        <v>-31.33</v>
      </c>
      <c r="I515">
        <v>-38.01</v>
      </c>
      <c r="J515">
        <v>-31.87</v>
      </c>
      <c r="K515">
        <v>-37.450000000000003</v>
      </c>
      <c r="L515">
        <v>109.91</v>
      </c>
      <c r="M515">
        <v>1710.33</v>
      </c>
    </row>
    <row r="516" spans="1:23" x14ac:dyDescent="0.3">
      <c r="A516" t="s">
        <v>523</v>
      </c>
      <c r="B516">
        <v>319.25</v>
      </c>
      <c r="C516">
        <v>0.71</v>
      </c>
      <c r="D516">
        <v>802204.5</v>
      </c>
      <c r="E516">
        <v>1987139700</v>
      </c>
      <c r="F516">
        <v>1.83</v>
      </c>
      <c r="G516">
        <v>1.19</v>
      </c>
      <c r="H516">
        <v>-3.4</v>
      </c>
      <c r="I516">
        <v>-7.06</v>
      </c>
      <c r="J516">
        <v>-3.26</v>
      </c>
      <c r="K516">
        <v>-31.12</v>
      </c>
      <c r="L516">
        <v>343.59</v>
      </c>
      <c r="M516">
        <v>3700.6</v>
      </c>
    </row>
    <row r="517" spans="1:23" x14ac:dyDescent="0.3">
      <c r="A517" t="s">
        <v>524</v>
      </c>
      <c r="B517">
        <v>42.66</v>
      </c>
      <c r="C517">
        <v>6.17</v>
      </c>
      <c r="D517">
        <v>121230922.23999999</v>
      </c>
      <c r="E517">
        <v>20246436000</v>
      </c>
      <c r="F517">
        <v>5.86</v>
      </c>
      <c r="G517">
        <v>16.62</v>
      </c>
      <c r="H517">
        <v>43.83</v>
      </c>
      <c r="I517">
        <v>164.97</v>
      </c>
      <c r="J517">
        <v>12.15</v>
      </c>
      <c r="K517">
        <v>128.74</v>
      </c>
    </row>
    <row r="518" spans="1:23" x14ac:dyDescent="0.3">
      <c r="A518" t="s">
        <v>525</v>
      </c>
      <c r="B518">
        <v>42.28</v>
      </c>
      <c r="C518">
        <v>6.82</v>
      </c>
      <c r="D518">
        <v>105604038.34</v>
      </c>
      <c r="E518">
        <v>7081900000</v>
      </c>
      <c r="F518">
        <v>11.73</v>
      </c>
      <c r="G518">
        <v>-5.07</v>
      </c>
      <c r="H518">
        <v>1.68</v>
      </c>
      <c r="I518">
        <v>-28.7</v>
      </c>
      <c r="J518">
        <v>0.91</v>
      </c>
      <c r="K518">
        <v>-18.54</v>
      </c>
    </row>
    <row r="519" spans="1:23" x14ac:dyDescent="0.3">
      <c r="A519" t="s">
        <v>526</v>
      </c>
      <c r="B519">
        <v>23.18</v>
      </c>
      <c r="C519">
        <v>3.57</v>
      </c>
      <c r="D519">
        <v>9000419.8599999994</v>
      </c>
      <c r="E519">
        <v>5192320000</v>
      </c>
      <c r="F519">
        <v>0.09</v>
      </c>
      <c r="G519">
        <v>7.22</v>
      </c>
      <c r="H519">
        <v>-22.53</v>
      </c>
      <c r="I519">
        <v>-26.37</v>
      </c>
      <c r="J519">
        <v>-24.54</v>
      </c>
      <c r="K519">
        <v>12.85</v>
      </c>
    </row>
    <row r="520" spans="1:23" x14ac:dyDescent="0.3">
      <c r="A520" t="s">
        <v>527</v>
      </c>
      <c r="B520">
        <v>162.5</v>
      </c>
      <c r="C520">
        <v>2.85</v>
      </c>
      <c r="D520">
        <v>187699814</v>
      </c>
      <c r="E520">
        <v>42459950000</v>
      </c>
      <c r="F520">
        <v>4.17</v>
      </c>
      <c r="G520">
        <v>0.18</v>
      </c>
      <c r="H520">
        <v>15.33</v>
      </c>
      <c r="I520">
        <v>1.56</v>
      </c>
      <c r="J520">
        <v>8.48</v>
      </c>
      <c r="K520">
        <v>18.53</v>
      </c>
    </row>
    <row r="521" spans="1:23" x14ac:dyDescent="0.3">
      <c r="A521" t="s">
        <v>528</v>
      </c>
      <c r="B521">
        <v>345</v>
      </c>
      <c r="C521">
        <v>-1.43</v>
      </c>
      <c r="D521">
        <v>22892306.75</v>
      </c>
      <c r="E521">
        <v>7245000000</v>
      </c>
      <c r="F521">
        <v>-2.27</v>
      </c>
      <c r="G521">
        <v>-12.71</v>
      </c>
      <c r="H521">
        <v>-22.78</v>
      </c>
      <c r="I521">
        <v>-24.09</v>
      </c>
      <c r="J521">
        <v>-21.05</v>
      </c>
      <c r="K521">
        <v>-56.3</v>
      </c>
      <c r="O521">
        <f>F521*F$1/$E$1</f>
        <v>-0.63943661971830978</v>
      </c>
      <c r="P521">
        <f t="shared" ref="P521" si="255">G521*G$1/$E$1</f>
        <v>-2.6852112676056339</v>
      </c>
      <c r="Q521">
        <f t="shared" ref="Q521" si="256">H521*H$1/$E$1</f>
        <v>-3.2084507042253523</v>
      </c>
      <c r="R521">
        <f t="shared" ref="R521" si="257">I521*I$1/$E$1</f>
        <v>-1.6964788732394367</v>
      </c>
      <c r="S521">
        <f t="shared" ref="S521" si="258">J521*J$1/$E$1</f>
        <v>-5.188380281690141</v>
      </c>
      <c r="T521">
        <f t="shared" ref="T521" si="259">K521*K$1/$E$1</f>
        <v>-1.982394366197183</v>
      </c>
      <c r="U521">
        <f t="shared" ref="U521" si="260">L521*L$1/$E$1</f>
        <v>0</v>
      </c>
      <c r="V521">
        <f t="shared" ref="V521" si="261">M521*M$1/$E$1</f>
        <v>0</v>
      </c>
      <c r="W521" s="1">
        <f>SUM(O521:V521)</f>
        <v>-15.400352112676057</v>
      </c>
    </row>
    <row r="522" spans="1:23" x14ac:dyDescent="0.3">
      <c r="A522" t="s">
        <v>529</v>
      </c>
      <c r="B522">
        <v>41.88</v>
      </c>
      <c r="C522">
        <v>-4.47</v>
      </c>
      <c r="D522">
        <v>67519540.099999994</v>
      </c>
      <c r="E522">
        <v>11747340000</v>
      </c>
      <c r="F522">
        <v>-3.01</v>
      </c>
      <c r="G522">
        <v>-3.1</v>
      </c>
      <c r="H522">
        <v>4.7</v>
      </c>
      <c r="I522">
        <v>11.38</v>
      </c>
      <c r="J522">
        <v>1.1599999999999999</v>
      </c>
      <c r="K522">
        <v>6.73</v>
      </c>
    </row>
    <row r="523" spans="1:23" x14ac:dyDescent="0.3">
      <c r="A523" t="s">
        <v>530</v>
      </c>
      <c r="B523">
        <v>11.42</v>
      </c>
      <c r="C523">
        <v>-1.21</v>
      </c>
      <c r="D523">
        <v>8449211.2799999993</v>
      </c>
      <c r="E523">
        <v>2795616000</v>
      </c>
      <c r="F523">
        <v>-1.64</v>
      </c>
      <c r="G523">
        <v>-9.44</v>
      </c>
      <c r="H523">
        <v>-13.62</v>
      </c>
      <c r="I523">
        <v>-16.52</v>
      </c>
      <c r="J523">
        <v>-14.52</v>
      </c>
      <c r="K523">
        <v>-44.48</v>
      </c>
      <c r="L523">
        <v>97.58</v>
      </c>
      <c r="M523">
        <v>245.02</v>
      </c>
    </row>
    <row r="524" spans="1:23" x14ac:dyDescent="0.3">
      <c r="A524" t="s">
        <v>531</v>
      </c>
      <c r="B524">
        <v>249.4</v>
      </c>
      <c r="C524">
        <v>1.38</v>
      </c>
      <c r="D524">
        <v>795395443.54999995</v>
      </c>
      <c r="E524">
        <v>90602343750</v>
      </c>
      <c r="F524">
        <v>2.21</v>
      </c>
      <c r="G524">
        <v>-10.210000000000001</v>
      </c>
      <c r="H524">
        <v>-9.06</v>
      </c>
      <c r="I524">
        <v>-0.2</v>
      </c>
      <c r="J524">
        <v>-8.98</v>
      </c>
      <c r="K524">
        <v>46.02</v>
      </c>
      <c r="L524">
        <v>669.75</v>
      </c>
      <c r="M524">
        <v>1216.0899999999999</v>
      </c>
    </row>
    <row r="525" spans="1:23" x14ac:dyDescent="0.3">
      <c r="A525" t="s">
        <v>532</v>
      </c>
      <c r="B525">
        <v>133.80000000000001</v>
      </c>
      <c r="C525">
        <v>3.64</v>
      </c>
      <c r="D525">
        <v>11629101.9</v>
      </c>
      <c r="E525">
        <v>43151604251.400002</v>
      </c>
      <c r="F525">
        <v>3.16</v>
      </c>
      <c r="G525">
        <v>1.98</v>
      </c>
      <c r="H525">
        <v>-0.22</v>
      </c>
      <c r="I525">
        <v>27.43</v>
      </c>
      <c r="J525">
        <v>-7.66</v>
      </c>
      <c r="K525">
        <v>57.36</v>
      </c>
      <c r="L525">
        <v>743.63</v>
      </c>
      <c r="M525">
        <v>922.15</v>
      </c>
    </row>
    <row r="526" spans="1:23" x14ac:dyDescent="0.3">
      <c r="A526" t="s">
        <v>533</v>
      </c>
      <c r="B526">
        <v>100.7</v>
      </c>
      <c r="C526">
        <v>-6.5</v>
      </c>
      <c r="D526">
        <v>5705607877.1999998</v>
      </c>
      <c r="E526">
        <v>221540000000</v>
      </c>
      <c r="F526">
        <v>-4.55</v>
      </c>
      <c r="G526">
        <v>-6.85</v>
      </c>
      <c r="H526">
        <v>14.68</v>
      </c>
      <c r="I526">
        <v>5.59</v>
      </c>
      <c r="J526">
        <v>8.51</v>
      </c>
      <c r="K526">
        <v>56.63</v>
      </c>
      <c r="L526">
        <v>442.56</v>
      </c>
      <c r="M526">
        <v>773.37</v>
      </c>
    </row>
    <row r="527" spans="1:23" x14ac:dyDescent="0.3">
      <c r="A527" t="s">
        <v>534</v>
      </c>
      <c r="B527">
        <v>39.24</v>
      </c>
      <c r="C527">
        <v>2.19</v>
      </c>
      <c r="D527">
        <v>80783314.060000002</v>
      </c>
      <c r="E527">
        <v>6670800000</v>
      </c>
      <c r="F527">
        <v>3.7</v>
      </c>
      <c r="G527">
        <v>13.08</v>
      </c>
      <c r="H527">
        <v>30.71</v>
      </c>
      <c r="I527">
        <v>47.85</v>
      </c>
      <c r="J527">
        <v>25.29</v>
      </c>
    </row>
    <row r="528" spans="1:23" x14ac:dyDescent="0.3">
      <c r="A528" t="s">
        <v>535</v>
      </c>
      <c r="B528">
        <v>13.72</v>
      </c>
      <c r="C528">
        <v>-9.9700000000000006</v>
      </c>
      <c r="D528">
        <v>11721970.119999999</v>
      </c>
      <c r="E528">
        <v>946680000</v>
      </c>
      <c r="F528">
        <v>-32.409999999999997</v>
      </c>
      <c r="G528">
        <v>-13.55</v>
      </c>
      <c r="H528">
        <v>19.829999999999998</v>
      </c>
      <c r="I528">
        <v>42.92</v>
      </c>
      <c r="J528">
        <v>17.87</v>
      </c>
      <c r="K528">
        <v>29.68</v>
      </c>
      <c r="L528">
        <v>406.27</v>
      </c>
      <c r="M528">
        <v>1407.69</v>
      </c>
    </row>
    <row r="529" spans="1:23" x14ac:dyDescent="0.3">
      <c r="A529" t="s">
        <v>536</v>
      </c>
      <c r="B529">
        <v>4.28</v>
      </c>
      <c r="C529">
        <v>1.18</v>
      </c>
      <c r="D529">
        <v>28774774.34</v>
      </c>
      <c r="E529">
        <v>1284000000</v>
      </c>
      <c r="F529">
        <v>8.91</v>
      </c>
      <c r="G529">
        <v>2.39</v>
      </c>
      <c r="H529">
        <v>-6.75</v>
      </c>
      <c r="I529">
        <v>-17.690000000000001</v>
      </c>
      <c r="J529">
        <v>-4.8899999999999997</v>
      </c>
      <c r="K529">
        <v>0.71</v>
      </c>
      <c r="L529">
        <v>210.14</v>
      </c>
      <c r="M529">
        <v>229.23</v>
      </c>
    </row>
    <row r="530" spans="1:23" x14ac:dyDescent="0.3">
      <c r="A530" t="s">
        <v>537</v>
      </c>
      <c r="B530">
        <v>36</v>
      </c>
      <c r="C530">
        <v>0.56000000000000005</v>
      </c>
      <c r="D530">
        <v>19929891.34</v>
      </c>
      <c r="E530">
        <v>5670000000</v>
      </c>
      <c r="F530">
        <v>-0.44</v>
      </c>
      <c r="G530">
        <v>-8.5399999999999991</v>
      </c>
      <c r="H530">
        <v>27.84</v>
      </c>
      <c r="I530">
        <v>101.68</v>
      </c>
      <c r="J530">
        <v>6.82</v>
      </c>
      <c r="K530">
        <v>161.63</v>
      </c>
    </row>
    <row r="531" spans="1:23" x14ac:dyDescent="0.3">
      <c r="A531" t="s">
        <v>538</v>
      </c>
      <c r="E531">
        <v>18154262400</v>
      </c>
    </row>
    <row r="532" spans="1:23" x14ac:dyDescent="0.3">
      <c r="A532" t="s">
        <v>539</v>
      </c>
      <c r="B532">
        <v>19.010000000000002</v>
      </c>
      <c r="C532">
        <v>5.91</v>
      </c>
      <c r="D532">
        <v>89836661.129999995</v>
      </c>
      <c r="E532">
        <v>9505000000</v>
      </c>
      <c r="F532">
        <v>-5.14</v>
      </c>
      <c r="G532">
        <v>8.75</v>
      </c>
      <c r="H532">
        <v>28.36</v>
      </c>
      <c r="I532">
        <v>5.38</v>
      </c>
      <c r="J532">
        <v>22.25</v>
      </c>
      <c r="K532">
        <v>-6.63</v>
      </c>
      <c r="L532">
        <v>533.66999999999996</v>
      </c>
      <c r="O532">
        <f>F532*F$1/$E$1</f>
        <v>-1.447887323943662</v>
      </c>
      <c r="P532">
        <f t="shared" ref="P532" si="262">G532*G$1/$E$1</f>
        <v>1.8485915492957747</v>
      </c>
      <c r="Q532">
        <f t="shared" ref="Q532" si="263">H532*H$1/$E$1</f>
        <v>3.994366197183099</v>
      </c>
      <c r="R532">
        <f t="shared" ref="R532" si="264">I532*I$1/$E$1</f>
        <v>0.37887323943661971</v>
      </c>
      <c r="S532">
        <f t="shared" ref="S532" si="265">J532*J$1/$E$1</f>
        <v>5.484154929577465</v>
      </c>
      <c r="T532">
        <f t="shared" ref="T532" si="266">K532*K$1/$E$1</f>
        <v>-0.23345070422535211</v>
      </c>
      <c r="U532">
        <f t="shared" ref="U532" si="267">L532*L$1/$E$1</f>
        <v>3.7582394366197178</v>
      </c>
      <c r="V532">
        <f t="shared" ref="V532" si="268">M532*M$1/$E$1</f>
        <v>0</v>
      </c>
      <c r="W532" s="1">
        <f>SUM(O532:V532)</f>
        <v>13.782887323943662</v>
      </c>
    </row>
    <row r="533" spans="1:23" x14ac:dyDescent="0.3">
      <c r="A533" t="s">
        <v>540</v>
      </c>
      <c r="B533">
        <v>54.8</v>
      </c>
      <c r="C533">
        <v>2.62</v>
      </c>
      <c r="D533">
        <v>3638296.55</v>
      </c>
      <c r="E533">
        <v>822000000</v>
      </c>
      <c r="F533">
        <v>-0.36</v>
      </c>
      <c r="G533">
        <v>-5.68</v>
      </c>
      <c r="H533">
        <v>-1.79</v>
      </c>
      <c r="I533">
        <v>-6.08</v>
      </c>
      <c r="J533">
        <v>-11.61</v>
      </c>
      <c r="K533">
        <v>4.34</v>
      </c>
      <c r="L533">
        <v>347.71</v>
      </c>
      <c r="M533">
        <v>957.92</v>
      </c>
    </row>
    <row r="534" spans="1:23" x14ac:dyDescent="0.3">
      <c r="A534" t="s">
        <v>541</v>
      </c>
      <c r="B534">
        <v>308.25</v>
      </c>
      <c r="C534">
        <v>-2.38</v>
      </c>
      <c r="D534">
        <v>14993034799.75</v>
      </c>
      <c r="E534">
        <v>425385000000</v>
      </c>
      <c r="F534">
        <v>-0.32</v>
      </c>
      <c r="G534">
        <v>-2.76</v>
      </c>
      <c r="H534">
        <v>8.16</v>
      </c>
      <c r="I534">
        <v>2.58</v>
      </c>
      <c r="J534">
        <v>9.6999999999999993</v>
      </c>
      <c r="K534">
        <v>10.98</v>
      </c>
      <c r="L534">
        <v>1120.31</v>
      </c>
      <c r="M534">
        <v>2523.4</v>
      </c>
      <c r="O534">
        <f>F534*F$1/$E$1</f>
        <v>-9.014084507042254E-2</v>
      </c>
      <c r="P534">
        <f t="shared" ref="P534" si="269">G534*G$1/$E$1</f>
        <v>-0.58309859154929577</v>
      </c>
      <c r="Q534">
        <f t="shared" ref="Q534" si="270">H534*H$1/$E$1</f>
        <v>1.1492957746478873</v>
      </c>
      <c r="R534">
        <f t="shared" ref="R534" si="271">I534*I$1/$E$1</f>
        <v>0.18169014084507043</v>
      </c>
      <c r="S534">
        <f t="shared" ref="S534" si="272">J534*J$1/$E$1</f>
        <v>2.390845070422535</v>
      </c>
      <c r="T534">
        <f t="shared" ref="T534" si="273">K534*K$1/$E$1</f>
        <v>0.38661971830985919</v>
      </c>
      <c r="U534">
        <f t="shared" ref="U534" si="274">L534*L$1/$E$1</f>
        <v>7.8895070422535207</v>
      </c>
      <c r="V534">
        <f t="shared" ref="V534" si="275">M534*M$1/$E$1</f>
        <v>17.770422535211267</v>
      </c>
      <c r="W534" s="1">
        <f>SUM(O534:V534)</f>
        <v>29.095140845070421</v>
      </c>
    </row>
    <row r="535" spans="1:23" x14ac:dyDescent="0.3">
      <c r="A535" t="s">
        <v>542</v>
      </c>
      <c r="B535">
        <v>70.400000000000006</v>
      </c>
      <c r="C535">
        <v>-0.85</v>
      </c>
      <c r="D535">
        <v>383211960.05000001</v>
      </c>
      <c r="E535">
        <v>26048000000.000004</v>
      </c>
      <c r="F535">
        <v>3.91</v>
      </c>
      <c r="G535">
        <v>10.43</v>
      </c>
      <c r="H535">
        <v>-14.15</v>
      </c>
      <c r="I535">
        <v>31.84</v>
      </c>
      <c r="J535">
        <v>-2.29</v>
      </c>
      <c r="K535">
        <v>52.78</v>
      </c>
      <c r="L535">
        <v>331.37</v>
      </c>
      <c r="M535">
        <v>478</v>
      </c>
    </row>
    <row r="536" spans="1:23" x14ac:dyDescent="0.3">
      <c r="A536" t="s">
        <v>543</v>
      </c>
      <c r="B536">
        <v>24.3</v>
      </c>
      <c r="C536">
        <v>-0.16</v>
      </c>
      <c r="D536">
        <v>51525974.200000003</v>
      </c>
      <c r="E536">
        <v>4884300000</v>
      </c>
      <c r="F536">
        <v>-6.61</v>
      </c>
      <c r="G536">
        <v>-16.03</v>
      </c>
      <c r="H536">
        <v>-20.59</v>
      </c>
      <c r="I536">
        <v>-11.25</v>
      </c>
      <c r="J536">
        <v>-39.25</v>
      </c>
      <c r="K536">
        <v>-50.77</v>
      </c>
      <c r="L536">
        <v>299.67</v>
      </c>
      <c r="M536">
        <v>488.38</v>
      </c>
    </row>
    <row r="537" spans="1:23" x14ac:dyDescent="0.3">
      <c r="A537" t="s">
        <v>544</v>
      </c>
      <c r="B537">
        <v>93.25</v>
      </c>
      <c r="C537">
        <v>1.8</v>
      </c>
      <c r="D537">
        <v>12859090.35</v>
      </c>
      <c r="E537">
        <v>1958250000</v>
      </c>
      <c r="F537">
        <v>3.04</v>
      </c>
      <c r="G537">
        <v>2.4700000000000002</v>
      </c>
      <c r="H537">
        <v>-2.81</v>
      </c>
      <c r="I537">
        <v>-2.61</v>
      </c>
      <c r="J537">
        <v>-1.69</v>
      </c>
      <c r="K537">
        <v>-28.21</v>
      </c>
      <c r="L537">
        <v>251.49</v>
      </c>
      <c r="M537">
        <v>810.64</v>
      </c>
      <c r="O537">
        <f>F537*F$1/$E$1</f>
        <v>0.85633802816901405</v>
      </c>
      <c r="P537">
        <f t="shared" ref="P537" si="276">G537*G$1/$E$1</f>
        <v>0.52183098591549304</v>
      </c>
      <c r="Q537">
        <f t="shared" ref="Q537" si="277">H537*H$1/$E$1</f>
        <v>-0.39577464788732397</v>
      </c>
      <c r="R537">
        <f t="shared" ref="R537" si="278">I537*I$1/$E$1</f>
        <v>-0.18380281690140843</v>
      </c>
      <c r="S537">
        <f t="shared" ref="S537" si="279">J537*J$1/$E$1</f>
        <v>-0.41654929577464789</v>
      </c>
      <c r="T537">
        <f t="shared" ref="T537" si="280">K537*K$1/$E$1</f>
        <v>-0.99330985915492964</v>
      </c>
      <c r="U537">
        <f t="shared" ref="U537" si="281">L537*L$1/$E$1</f>
        <v>1.771056338028169</v>
      </c>
      <c r="V537">
        <f t="shared" ref="V537" si="282">M537*M$1/$E$1</f>
        <v>5.7087323943661969</v>
      </c>
      <c r="W537" s="1">
        <f>SUM(O537:V537)</f>
        <v>6.8685211267605633</v>
      </c>
    </row>
    <row r="538" spans="1:23" x14ac:dyDescent="0.3">
      <c r="A538" t="s">
        <v>545</v>
      </c>
      <c r="B538">
        <v>82.4</v>
      </c>
      <c r="C538">
        <v>1.98</v>
      </c>
      <c r="D538">
        <v>7198044.5</v>
      </c>
      <c r="E538">
        <v>1168020000</v>
      </c>
      <c r="F538">
        <v>-0.66</v>
      </c>
      <c r="G538">
        <v>-4.74</v>
      </c>
      <c r="H538">
        <v>16.63</v>
      </c>
      <c r="I538">
        <v>22.8</v>
      </c>
      <c r="J538">
        <v>10.23</v>
      </c>
      <c r="K538">
        <v>-22.41</v>
      </c>
      <c r="L538">
        <v>446.06</v>
      </c>
      <c r="M538">
        <v>1472.52</v>
      </c>
    </row>
    <row r="539" spans="1:23" x14ac:dyDescent="0.3">
      <c r="A539" t="s">
        <v>546</v>
      </c>
      <c r="B539">
        <v>101.2</v>
      </c>
      <c r="C539">
        <v>-0.49</v>
      </c>
      <c r="D539">
        <v>53844680.5</v>
      </c>
      <c r="E539">
        <v>11638000000</v>
      </c>
      <c r="F539">
        <v>-6.73</v>
      </c>
      <c r="G539">
        <v>-9.64</v>
      </c>
      <c r="H539">
        <v>-12.76</v>
      </c>
      <c r="I539">
        <v>-12.98</v>
      </c>
      <c r="J539">
        <v>-14.53</v>
      </c>
      <c r="K539">
        <v>-30.68</v>
      </c>
      <c r="L539">
        <v>556.29</v>
      </c>
      <c r="M539">
        <v>1569.97</v>
      </c>
    </row>
    <row r="540" spans="1:23" x14ac:dyDescent="0.3">
      <c r="A540" t="s">
        <v>547</v>
      </c>
      <c r="B540">
        <v>49.56</v>
      </c>
      <c r="C540">
        <v>-0.36</v>
      </c>
      <c r="D540">
        <v>12842267.640000001</v>
      </c>
      <c r="E540">
        <v>6343680000</v>
      </c>
      <c r="F540">
        <v>-4.51</v>
      </c>
      <c r="G540">
        <v>-4.78</v>
      </c>
      <c r="H540">
        <v>-24.28</v>
      </c>
      <c r="I540">
        <v>-14.26</v>
      </c>
      <c r="J540">
        <v>-14.18</v>
      </c>
      <c r="K540">
        <v>-33.479999999999997</v>
      </c>
    </row>
    <row r="541" spans="1:23" x14ac:dyDescent="0.3">
      <c r="A541" t="s">
        <v>548</v>
      </c>
      <c r="B541">
        <v>195</v>
      </c>
      <c r="C541">
        <v>-2.06</v>
      </c>
      <c r="D541">
        <v>1506163914.0999999</v>
      </c>
      <c r="E541">
        <v>97500000000</v>
      </c>
      <c r="F541">
        <v>-3.8</v>
      </c>
      <c r="G541">
        <v>-12.36</v>
      </c>
      <c r="H541">
        <v>-1.52</v>
      </c>
      <c r="I541">
        <v>-20.079999999999998</v>
      </c>
      <c r="J541">
        <v>-4.92</v>
      </c>
      <c r="K541">
        <v>-19.43</v>
      </c>
      <c r="L541">
        <v>199.59</v>
      </c>
      <c r="M541">
        <v>1024.57</v>
      </c>
      <c r="O541">
        <f>F541*F$1/$E$1</f>
        <v>-1.0704225352112675</v>
      </c>
      <c r="P541">
        <f t="shared" ref="P541" si="283">G541*G$1/$E$1</f>
        <v>-2.6112676056338024</v>
      </c>
      <c r="Q541">
        <f t="shared" ref="Q541" si="284">H541*H$1/$E$1</f>
        <v>-0.21408450704225351</v>
      </c>
      <c r="R541">
        <f t="shared" ref="R541" si="285">I541*I$1/$E$1</f>
        <v>-1.4140845070422534</v>
      </c>
      <c r="S541">
        <f t="shared" ref="S541" si="286">J541*J$1/$E$1</f>
        <v>-1.2126760563380281</v>
      </c>
      <c r="T541">
        <f t="shared" ref="T541" si="287">K541*K$1/$E$1</f>
        <v>-0.68415492957746482</v>
      </c>
      <c r="U541">
        <f t="shared" ref="U541" si="288">L541*L$1/$E$1</f>
        <v>1.4055633802816903</v>
      </c>
      <c r="V541">
        <f t="shared" ref="V541" si="289">M541*M$1/$E$1</f>
        <v>7.215281690140845</v>
      </c>
      <c r="W541" s="1">
        <f>SUM(O541:V541)</f>
        <v>1.4141549295774647</v>
      </c>
    </row>
    <row r="542" spans="1:23" x14ac:dyDescent="0.3">
      <c r="A542" t="s">
        <v>549</v>
      </c>
      <c r="B542">
        <v>25.68</v>
      </c>
      <c r="C542">
        <v>2.39</v>
      </c>
      <c r="D542">
        <v>54901985.420000002</v>
      </c>
      <c r="E542">
        <v>6563808000</v>
      </c>
      <c r="F542">
        <v>1.99</v>
      </c>
      <c r="G542">
        <v>-13.07</v>
      </c>
      <c r="H542">
        <v>11.36</v>
      </c>
      <c r="I542">
        <v>12.58</v>
      </c>
      <c r="J542">
        <v>-8.15</v>
      </c>
      <c r="K542">
        <v>-4.04</v>
      </c>
      <c r="L542">
        <v>465.64</v>
      </c>
      <c r="M542">
        <v>695.05</v>
      </c>
    </row>
    <row r="543" spans="1:23" x14ac:dyDescent="0.3">
      <c r="A543" t="s">
        <v>550</v>
      </c>
      <c r="B543">
        <v>53.75</v>
      </c>
      <c r="C543">
        <v>4.2699999999999996</v>
      </c>
      <c r="D543">
        <v>138221961.94999999</v>
      </c>
      <c r="E543">
        <v>53750000000</v>
      </c>
      <c r="F543">
        <v>4.47</v>
      </c>
      <c r="G543">
        <v>-9.74</v>
      </c>
      <c r="H543">
        <v>-7.09</v>
      </c>
      <c r="I543">
        <v>12.21</v>
      </c>
      <c r="J543">
        <v>-15.69</v>
      </c>
      <c r="K543">
        <v>49.8</v>
      </c>
      <c r="L543">
        <v>912.24</v>
      </c>
      <c r="M543">
        <v>2130.29</v>
      </c>
    </row>
    <row r="544" spans="1:23" x14ac:dyDescent="0.3">
      <c r="A544" t="s">
        <v>551</v>
      </c>
      <c r="B544">
        <v>24.98</v>
      </c>
      <c r="C544">
        <v>3.14</v>
      </c>
      <c r="D544">
        <v>271703647.30000001</v>
      </c>
      <c r="E544">
        <v>4041888900</v>
      </c>
      <c r="F544">
        <v>5.4</v>
      </c>
      <c r="G544">
        <v>33.08</v>
      </c>
      <c r="H544">
        <v>33.58</v>
      </c>
      <c r="I544">
        <v>8.99</v>
      </c>
      <c r="J544">
        <v>49.13</v>
      </c>
      <c r="K544">
        <v>90.54</v>
      </c>
      <c r="L544">
        <v>194.23</v>
      </c>
    </row>
    <row r="545" spans="1:23" x14ac:dyDescent="0.3">
      <c r="A545" t="s">
        <v>552</v>
      </c>
      <c r="B545">
        <v>6.15</v>
      </c>
      <c r="C545">
        <v>-0.65</v>
      </c>
      <c r="D545">
        <v>28944241.280000001</v>
      </c>
      <c r="E545">
        <v>3997500000</v>
      </c>
      <c r="F545">
        <v>0.49</v>
      </c>
      <c r="G545">
        <v>-8.2100000000000009</v>
      </c>
      <c r="H545">
        <v>-32.79</v>
      </c>
      <c r="I545">
        <v>-54.61</v>
      </c>
      <c r="J545">
        <v>-11.51</v>
      </c>
      <c r="K545">
        <v>-31.13</v>
      </c>
      <c r="L545">
        <v>95.24</v>
      </c>
      <c r="M545">
        <v>497.09</v>
      </c>
      <c r="O545">
        <f t="shared" ref="O545:O546" si="290">F545*F$1/$E$1</f>
        <v>0.13802816901408452</v>
      </c>
      <c r="P545">
        <f t="shared" ref="P545:P546" si="291">G545*G$1/$E$1</f>
        <v>-1.7345070422535211</v>
      </c>
      <c r="Q545">
        <f t="shared" ref="Q545:Q546" si="292">H545*H$1/$E$1</f>
        <v>-4.6183098591549294</v>
      </c>
      <c r="R545">
        <f t="shared" ref="R545:R546" si="293">I545*I$1/$E$1</f>
        <v>-3.8457746478873243</v>
      </c>
      <c r="S545">
        <f t="shared" ref="S545:S546" si="294">J545*J$1/$E$1</f>
        <v>-2.8369718309859153</v>
      </c>
      <c r="T545">
        <f t="shared" ref="T545:T546" si="295">K545*K$1/$E$1</f>
        <v>-1.0961267605633804</v>
      </c>
      <c r="U545">
        <f t="shared" ref="U545:U546" si="296">L545*L$1/$E$1</f>
        <v>0.6707042253521126</v>
      </c>
      <c r="V545">
        <f t="shared" ref="V545:V546" si="297">M545*M$1/$E$1</f>
        <v>3.5006338028169011</v>
      </c>
      <c r="W545" s="1">
        <f t="shared" ref="W545:W546" si="298">SUM(O545:V545)</f>
        <v>-9.8223239436619725</v>
      </c>
    </row>
    <row r="546" spans="1:23" x14ac:dyDescent="0.3">
      <c r="A546" t="s">
        <v>553</v>
      </c>
      <c r="B546">
        <v>12.35</v>
      </c>
      <c r="C546">
        <v>-0.88</v>
      </c>
      <c r="D546">
        <v>249742178.62</v>
      </c>
      <c r="E546">
        <v>34580000000</v>
      </c>
      <c r="F546">
        <v>3.17</v>
      </c>
      <c r="G546">
        <v>-9.26</v>
      </c>
      <c r="H546">
        <v>-2.6</v>
      </c>
      <c r="I546">
        <v>6.93</v>
      </c>
      <c r="J546">
        <v>1.06</v>
      </c>
      <c r="K546">
        <v>50.98</v>
      </c>
      <c r="L546">
        <v>842.75</v>
      </c>
      <c r="M546">
        <v>1043.52</v>
      </c>
      <c r="O546">
        <f t="shared" si="290"/>
        <v>0.89295774647887327</v>
      </c>
      <c r="P546">
        <f t="shared" si="291"/>
        <v>-1.9563380281690141</v>
      </c>
      <c r="Q546">
        <f t="shared" si="292"/>
        <v>-0.36619718309859156</v>
      </c>
      <c r="R546">
        <f t="shared" si="293"/>
        <v>0.48802816901408447</v>
      </c>
      <c r="S546">
        <f t="shared" si="294"/>
        <v>0.2612676056338028</v>
      </c>
      <c r="T546">
        <f t="shared" si="295"/>
        <v>1.7950704225352112</v>
      </c>
      <c r="U546">
        <f t="shared" si="296"/>
        <v>5.9348591549295771</v>
      </c>
      <c r="V546">
        <f t="shared" si="297"/>
        <v>7.3487323943661966</v>
      </c>
      <c r="W546" s="1">
        <f t="shared" si="298"/>
        <v>14.398380281690139</v>
      </c>
    </row>
    <row r="547" spans="1:23" x14ac:dyDescent="0.3">
      <c r="A547" t="s">
        <v>554</v>
      </c>
      <c r="B547">
        <v>0.99</v>
      </c>
      <c r="C547">
        <v>-1</v>
      </c>
      <c r="D547">
        <v>93003411.459999993</v>
      </c>
      <c r="E547">
        <v>7425000000</v>
      </c>
      <c r="F547">
        <v>-1</v>
      </c>
      <c r="G547">
        <v>-10.81</v>
      </c>
      <c r="H547">
        <v>6.45</v>
      </c>
      <c r="I547">
        <v>-26.67</v>
      </c>
      <c r="J547">
        <v>-1</v>
      </c>
      <c r="K547">
        <v>-22.05</v>
      </c>
      <c r="L547">
        <v>-27.74</v>
      </c>
      <c r="M547">
        <v>4.21</v>
      </c>
    </row>
    <row r="548" spans="1:23" x14ac:dyDescent="0.3">
      <c r="A548" t="s">
        <v>555</v>
      </c>
      <c r="B548">
        <v>48.2</v>
      </c>
      <c r="C548">
        <v>-3.6</v>
      </c>
      <c r="D548">
        <v>1853486996.1199999</v>
      </c>
      <c r="E548">
        <v>168700000000</v>
      </c>
      <c r="F548">
        <v>-1.1499999999999999</v>
      </c>
      <c r="G548">
        <v>-4.6500000000000004</v>
      </c>
      <c r="H548">
        <v>4.6900000000000004</v>
      </c>
      <c r="I548">
        <v>-0.33</v>
      </c>
      <c r="J548">
        <v>10.86</v>
      </c>
      <c r="K548">
        <v>53.99</v>
      </c>
      <c r="L548">
        <v>530.89</v>
      </c>
      <c r="M548">
        <v>696.69</v>
      </c>
    </row>
    <row r="549" spans="1:23" x14ac:dyDescent="0.3">
      <c r="A549" t="s">
        <v>556</v>
      </c>
      <c r="B549">
        <v>665.5</v>
      </c>
      <c r="C549">
        <v>0.23</v>
      </c>
      <c r="D549">
        <v>177386098.5</v>
      </c>
      <c r="E549">
        <v>66594505312.5</v>
      </c>
      <c r="F549">
        <v>2.54</v>
      </c>
      <c r="G549">
        <v>-2.85</v>
      </c>
      <c r="H549">
        <v>-14.46</v>
      </c>
      <c r="I549">
        <v>-5.52</v>
      </c>
      <c r="J549">
        <v>-11.27</v>
      </c>
      <c r="K549">
        <v>-14.39</v>
      </c>
      <c r="L549">
        <v>653.85</v>
      </c>
      <c r="M549">
        <v>2948.56</v>
      </c>
      <c r="O549">
        <f>F549*F$1/$E$1</f>
        <v>0.71549295774647881</v>
      </c>
      <c r="P549">
        <f t="shared" ref="P549" si="299">G549*G$1/$E$1</f>
        <v>-0.602112676056338</v>
      </c>
      <c r="Q549">
        <f t="shared" ref="Q549" si="300">H549*H$1/$E$1</f>
        <v>-2.0366197183098596</v>
      </c>
      <c r="R549">
        <f t="shared" ref="R549" si="301">I549*I$1/$E$1</f>
        <v>-0.38873239436619716</v>
      </c>
      <c r="S549">
        <f t="shared" ref="S549" si="302">J549*J$1/$E$1</f>
        <v>-2.7778169014084506</v>
      </c>
      <c r="T549">
        <f t="shared" ref="T549" si="303">K549*K$1/$E$1</f>
        <v>-0.50669014084507047</v>
      </c>
      <c r="U549">
        <f t="shared" ref="U549" si="304">L549*L$1/$E$1</f>
        <v>4.6045774647887328</v>
      </c>
      <c r="V549">
        <f t="shared" ref="V549" si="305">M549*M$1/$E$1</f>
        <v>20.76450704225352</v>
      </c>
      <c r="W549" s="1">
        <f>SUM(O549:V549)</f>
        <v>19.772605633802815</v>
      </c>
    </row>
    <row r="550" spans="1:23" x14ac:dyDescent="0.3">
      <c r="A550" t="s">
        <v>557</v>
      </c>
      <c r="B550">
        <v>9.15</v>
      </c>
      <c r="C550">
        <v>-0.33</v>
      </c>
      <c r="D550">
        <v>7101803.54</v>
      </c>
      <c r="E550">
        <v>1647000000</v>
      </c>
      <c r="F550">
        <v>-1.4</v>
      </c>
      <c r="G550">
        <v>-9.0500000000000007</v>
      </c>
      <c r="H550">
        <v>-10.91</v>
      </c>
      <c r="I550">
        <v>-5.77</v>
      </c>
      <c r="J550">
        <v>-10.56</v>
      </c>
      <c r="K550">
        <v>-30.73</v>
      </c>
      <c r="L550">
        <v>348.53</v>
      </c>
      <c r="M550">
        <v>1088.31</v>
      </c>
    </row>
    <row r="551" spans="1:23" x14ac:dyDescent="0.3">
      <c r="A551" t="s">
        <v>558</v>
      </c>
      <c r="B551">
        <v>1.92</v>
      </c>
      <c r="C551">
        <v>0</v>
      </c>
      <c r="D551">
        <v>36685896.920000002</v>
      </c>
      <c r="E551">
        <v>8640000000</v>
      </c>
      <c r="F551">
        <v>0.52</v>
      </c>
      <c r="G551">
        <v>-6.34</v>
      </c>
      <c r="H551">
        <v>-13.9</v>
      </c>
      <c r="I551">
        <v>-28.62</v>
      </c>
      <c r="J551">
        <v>-16.52</v>
      </c>
      <c r="K551">
        <v>-34.020000000000003</v>
      </c>
      <c r="L551">
        <v>368.29</v>
      </c>
      <c r="M551">
        <v>186.57</v>
      </c>
    </row>
    <row r="552" spans="1:23" x14ac:dyDescent="0.3">
      <c r="A552" t="s">
        <v>559</v>
      </c>
      <c r="B552">
        <v>129</v>
      </c>
      <c r="C552">
        <v>0.23</v>
      </c>
      <c r="D552">
        <v>2872690864.4000001</v>
      </c>
      <c r="E552">
        <v>248556632142</v>
      </c>
      <c r="F552">
        <v>2.71</v>
      </c>
      <c r="G552">
        <v>-8.64</v>
      </c>
      <c r="H552">
        <v>-12.36</v>
      </c>
      <c r="I552">
        <v>-17.71</v>
      </c>
      <c r="J552">
        <v>-9.09</v>
      </c>
      <c r="K552">
        <v>-10.53</v>
      </c>
      <c r="L552">
        <v>503.09</v>
      </c>
      <c r="M552">
        <v>1049.73</v>
      </c>
    </row>
    <row r="553" spans="1:23" x14ac:dyDescent="0.3">
      <c r="A553" t="s">
        <v>560</v>
      </c>
      <c r="B553">
        <v>166</v>
      </c>
      <c r="C553">
        <v>0.61</v>
      </c>
      <c r="D553">
        <v>117118570</v>
      </c>
      <c r="E553">
        <v>17928000000</v>
      </c>
      <c r="F553">
        <v>9.2799999999999994</v>
      </c>
      <c r="G553">
        <v>8.5</v>
      </c>
      <c r="H553">
        <v>37.869999999999997</v>
      </c>
      <c r="I553">
        <v>104.94</v>
      </c>
      <c r="J553">
        <v>0.67</v>
      </c>
      <c r="K553">
        <v>313.97000000000003</v>
      </c>
      <c r="L553">
        <v>1269.6400000000001</v>
      </c>
    </row>
    <row r="554" spans="1:23" x14ac:dyDescent="0.3">
      <c r="A554" t="s">
        <v>561</v>
      </c>
      <c r="B554">
        <v>454</v>
      </c>
      <c r="C554">
        <v>1.74</v>
      </c>
      <c r="D554">
        <v>3442835.75</v>
      </c>
      <c r="E554">
        <v>3232795530</v>
      </c>
      <c r="F554">
        <v>1.79</v>
      </c>
      <c r="G554">
        <v>-4.2699999999999996</v>
      </c>
      <c r="H554">
        <v>-9.1999999999999993</v>
      </c>
      <c r="I554">
        <v>-15.14</v>
      </c>
      <c r="J554">
        <v>-17.38</v>
      </c>
      <c r="K554">
        <v>-42.93</v>
      </c>
      <c r="L554">
        <v>160.62</v>
      </c>
      <c r="M554">
        <v>897.8</v>
      </c>
    </row>
    <row r="555" spans="1:23" x14ac:dyDescent="0.3">
      <c r="A555" t="s">
        <v>562</v>
      </c>
      <c r="B555">
        <v>16.27</v>
      </c>
      <c r="C555">
        <v>-2.34</v>
      </c>
      <c r="D555">
        <v>297496943.30000001</v>
      </c>
      <c r="E555">
        <v>81350000000</v>
      </c>
      <c r="F555">
        <v>-5.52</v>
      </c>
      <c r="G555">
        <v>-9.31</v>
      </c>
      <c r="H555">
        <v>23.82</v>
      </c>
      <c r="I555">
        <v>29.33</v>
      </c>
      <c r="J555">
        <v>-11.24</v>
      </c>
      <c r="K555">
        <v>38</v>
      </c>
      <c r="L555">
        <v>1612.63</v>
      </c>
      <c r="M555">
        <v>3220.41</v>
      </c>
    </row>
    <row r="556" spans="1:23" x14ac:dyDescent="0.3">
      <c r="A556" t="s">
        <v>563</v>
      </c>
      <c r="B556">
        <v>585</v>
      </c>
      <c r="C556">
        <v>-1.43</v>
      </c>
      <c r="D556">
        <v>15777851.5</v>
      </c>
      <c r="E556">
        <v>27405425385</v>
      </c>
      <c r="F556">
        <v>29.42</v>
      </c>
      <c r="G556">
        <v>19.39</v>
      </c>
      <c r="H556">
        <v>19.14</v>
      </c>
      <c r="I556">
        <v>4.28</v>
      </c>
      <c r="J556">
        <v>0.86</v>
      </c>
      <c r="K556">
        <v>125</v>
      </c>
      <c r="L556">
        <v>3094.98</v>
      </c>
      <c r="M556">
        <v>15335.36</v>
      </c>
    </row>
    <row r="557" spans="1:23" x14ac:dyDescent="0.3">
      <c r="A557" t="s">
        <v>564</v>
      </c>
      <c r="B557">
        <v>30.5</v>
      </c>
      <c r="C557">
        <v>3.39</v>
      </c>
      <c r="D557">
        <v>9283031.3399999999</v>
      </c>
      <c r="E557">
        <v>774156337.5</v>
      </c>
      <c r="F557">
        <v>-2.2400000000000002</v>
      </c>
      <c r="G557">
        <v>2.62</v>
      </c>
      <c r="H557">
        <v>-11.85</v>
      </c>
      <c r="I557">
        <v>52.5</v>
      </c>
      <c r="J557">
        <v>-4.6900000000000004</v>
      </c>
      <c r="K557">
        <v>32.03</v>
      </c>
      <c r="L557">
        <v>920.07</v>
      </c>
      <c r="M557">
        <v>3405.75</v>
      </c>
    </row>
    <row r="558" spans="1:23" x14ac:dyDescent="0.3">
      <c r="A558" t="s">
        <v>565</v>
      </c>
      <c r="B558">
        <v>110.4</v>
      </c>
      <c r="C558">
        <v>-1.95</v>
      </c>
      <c r="D558">
        <v>925913164.60000002</v>
      </c>
      <c r="E558">
        <v>40768054392</v>
      </c>
      <c r="F558">
        <v>-2.13</v>
      </c>
      <c r="G558">
        <v>-8.4600000000000009</v>
      </c>
      <c r="H558">
        <v>-1.52</v>
      </c>
      <c r="I558">
        <v>-25.41</v>
      </c>
      <c r="J558">
        <v>-6.2</v>
      </c>
      <c r="K558">
        <v>4.1500000000000004</v>
      </c>
      <c r="L558">
        <v>640.94000000000005</v>
      </c>
      <c r="M558">
        <v>458.99</v>
      </c>
    </row>
    <row r="559" spans="1:23" x14ac:dyDescent="0.3">
      <c r="A559" t="s">
        <v>566</v>
      </c>
      <c r="B559">
        <v>16.04</v>
      </c>
      <c r="C559">
        <v>-0.12</v>
      </c>
      <c r="D559">
        <v>8287576.21</v>
      </c>
      <c r="E559">
        <v>2141340000</v>
      </c>
      <c r="F559">
        <v>-2.85</v>
      </c>
      <c r="G559">
        <v>-6.09</v>
      </c>
      <c r="H559">
        <v>4.97</v>
      </c>
      <c r="I559">
        <v>19.170000000000002</v>
      </c>
      <c r="J559">
        <v>-0.37</v>
      </c>
      <c r="K559">
        <v>11</v>
      </c>
      <c r="L559">
        <v>616.07000000000005</v>
      </c>
    </row>
    <row r="560" spans="1:23" x14ac:dyDescent="0.3">
      <c r="A560" t="s">
        <v>567</v>
      </c>
      <c r="B560">
        <v>149.30000000000001</v>
      </c>
      <c r="C560">
        <v>0.67</v>
      </c>
      <c r="D560">
        <v>16279663.300000001</v>
      </c>
      <c r="E560">
        <v>11944000000</v>
      </c>
      <c r="F560">
        <v>0.95</v>
      </c>
      <c r="G560">
        <v>-8.1199999999999992</v>
      </c>
      <c r="H560">
        <v>-19.64</v>
      </c>
      <c r="I560">
        <v>-0.4</v>
      </c>
      <c r="J560">
        <v>-10.17</v>
      </c>
      <c r="K560">
        <v>-10.65</v>
      </c>
      <c r="L560">
        <v>138.88</v>
      </c>
      <c r="M560">
        <v>392.74</v>
      </c>
    </row>
    <row r="561" spans="1:23" x14ac:dyDescent="0.3">
      <c r="A561" t="s">
        <v>568</v>
      </c>
      <c r="B561">
        <v>5.9</v>
      </c>
      <c r="C561">
        <v>0.34</v>
      </c>
      <c r="D561">
        <v>11002467.18</v>
      </c>
      <c r="E561">
        <v>4425000000</v>
      </c>
      <c r="F561">
        <v>-0.84</v>
      </c>
      <c r="G561">
        <v>-0.84</v>
      </c>
      <c r="H561">
        <v>-6.94</v>
      </c>
      <c r="I561">
        <v>-11.01</v>
      </c>
      <c r="J561">
        <v>-7.96</v>
      </c>
      <c r="K561">
        <v>-26.34</v>
      </c>
      <c r="L561">
        <v>275.8</v>
      </c>
      <c r="M561">
        <v>1494.59</v>
      </c>
    </row>
    <row r="562" spans="1:23" x14ac:dyDescent="0.3">
      <c r="A562" t="s">
        <v>569</v>
      </c>
      <c r="B562">
        <v>9.3000000000000007</v>
      </c>
      <c r="E562">
        <v>390600000.00000006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-20.72</v>
      </c>
      <c r="L562">
        <v>620.92999999999995</v>
      </c>
      <c r="M562">
        <v>1837.5</v>
      </c>
    </row>
    <row r="563" spans="1:23" x14ac:dyDescent="0.3">
      <c r="A563" t="s">
        <v>570</v>
      </c>
      <c r="B563">
        <v>13.22</v>
      </c>
      <c r="C563">
        <v>0.08</v>
      </c>
      <c r="D563">
        <v>2421528.58</v>
      </c>
      <c r="E563">
        <v>2323282800</v>
      </c>
      <c r="F563">
        <v>-1.05</v>
      </c>
      <c r="G563">
        <v>-7.68</v>
      </c>
      <c r="H563">
        <v>-10.01</v>
      </c>
      <c r="I563">
        <v>-6.17</v>
      </c>
      <c r="J563">
        <v>-9.51</v>
      </c>
      <c r="K563">
        <v>-26.15</v>
      </c>
      <c r="L563">
        <v>168.15</v>
      </c>
    </row>
    <row r="564" spans="1:23" x14ac:dyDescent="0.3">
      <c r="A564" t="s">
        <v>571</v>
      </c>
      <c r="B564">
        <v>2.08</v>
      </c>
      <c r="C564">
        <v>-1.89</v>
      </c>
      <c r="D564">
        <v>66548399.159999996</v>
      </c>
      <c r="E564">
        <v>2548000000</v>
      </c>
      <c r="F564">
        <v>-6.73</v>
      </c>
      <c r="G564">
        <v>-20.91</v>
      </c>
      <c r="H564">
        <v>-5.0199999999999996</v>
      </c>
      <c r="I564">
        <v>-34.590000000000003</v>
      </c>
      <c r="J564">
        <v>-21.8</v>
      </c>
      <c r="K564">
        <v>-8.77</v>
      </c>
      <c r="L564">
        <v>530.29999999999995</v>
      </c>
      <c r="M564">
        <v>732</v>
      </c>
    </row>
    <row r="565" spans="1:23" x14ac:dyDescent="0.3">
      <c r="A565" t="s">
        <v>572</v>
      </c>
      <c r="E565">
        <v>5584000000</v>
      </c>
    </row>
    <row r="566" spans="1:23" x14ac:dyDescent="0.3">
      <c r="A566" t="s">
        <v>573</v>
      </c>
      <c r="B566">
        <v>25.9</v>
      </c>
      <c r="C566">
        <v>0.15</v>
      </c>
      <c r="D566">
        <v>712958517.29999995</v>
      </c>
      <c r="E566">
        <v>256822367419.79999</v>
      </c>
      <c r="F566">
        <v>3.85</v>
      </c>
      <c r="G566">
        <v>-5.68</v>
      </c>
      <c r="H566">
        <v>11.73</v>
      </c>
      <c r="I566">
        <v>36.89</v>
      </c>
      <c r="J566">
        <v>11.06</v>
      </c>
      <c r="K566">
        <v>81.75</v>
      </c>
      <c r="L566">
        <v>677.78</v>
      </c>
      <c r="M566">
        <v>388.68</v>
      </c>
    </row>
    <row r="567" spans="1:23" x14ac:dyDescent="0.3">
      <c r="A567" t="s">
        <v>574</v>
      </c>
      <c r="B567">
        <v>1.89</v>
      </c>
      <c r="C567">
        <v>-0.53</v>
      </c>
      <c r="D567">
        <v>54213024.609999999</v>
      </c>
      <c r="E567">
        <v>6615000000</v>
      </c>
      <c r="F567">
        <v>-1.56</v>
      </c>
      <c r="G567">
        <v>-4.55</v>
      </c>
      <c r="H567">
        <v>13.86</v>
      </c>
      <c r="I567">
        <v>21.94</v>
      </c>
      <c r="J567">
        <v>-0.53</v>
      </c>
      <c r="K567">
        <v>-6.44</v>
      </c>
      <c r="L567">
        <v>270.58999999999997</v>
      </c>
      <c r="M567">
        <v>1250</v>
      </c>
      <c r="O567">
        <f>F567*F$1/$E$1</f>
        <v>-0.43943661971830988</v>
      </c>
      <c r="P567">
        <f t="shared" ref="P567" si="306">G567*G$1/$E$1</f>
        <v>-0.96126760563380287</v>
      </c>
      <c r="Q567">
        <f t="shared" ref="Q567" si="307">H567*H$1/$E$1</f>
        <v>1.9521126760563379</v>
      </c>
      <c r="R567">
        <f t="shared" ref="R567" si="308">I567*I$1/$E$1</f>
        <v>1.5450704225352112</v>
      </c>
      <c r="S567">
        <f t="shared" ref="S567" si="309">J567*J$1/$E$1</f>
        <v>-0.1306338028169014</v>
      </c>
      <c r="T567">
        <f t="shared" ref="T567" si="310">K567*K$1/$E$1</f>
        <v>-0.22676056338028172</v>
      </c>
      <c r="U567">
        <f t="shared" ref="U567" si="311">L567*L$1/$E$1</f>
        <v>1.90556338028169</v>
      </c>
      <c r="V567">
        <f t="shared" ref="V567" si="312">M567*M$1/$E$1</f>
        <v>8.8028169014084501</v>
      </c>
      <c r="W567" s="1">
        <f>SUM(O567:V567)</f>
        <v>12.447464788732393</v>
      </c>
    </row>
    <row r="568" spans="1:23" x14ac:dyDescent="0.3">
      <c r="A568" t="s">
        <v>575</v>
      </c>
      <c r="B568">
        <v>70.05</v>
      </c>
      <c r="C568">
        <v>-0.21</v>
      </c>
      <c r="D568">
        <v>11334510</v>
      </c>
      <c r="E568">
        <v>11208000000</v>
      </c>
      <c r="F568">
        <v>-4.6900000000000004</v>
      </c>
      <c r="G568">
        <v>-9.9600000000000009</v>
      </c>
      <c r="H568">
        <v>-19.62</v>
      </c>
      <c r="I568">
        <v>-36.61</v>
      </c>
      <c r="J568">
        <v>-16.850000000000001</v>
      </c>
      <c r="K568">
        <v>-14.88</v>
      </c>
      <c r="L568">
        <v>635.04999999999995</v>
      </c>
      <c r="M568">
        <v>1502.97</v>
      </c>
    </row>
    <row r="569" spans="1:23" x14ac:dyDescent="0.3">
      <c r="A569" t="s">
        <v>576</v>
      </c>
      <c r="B569">
        <v>25.82</v>
      </c>
      <c r="C569">
        <v>-1.53</v>
      </c>
      <c r="D569">
        <v>4993668.62</v>
      </c>
      <c r="E569">
        <v>645500000</v>
      </c>
      <c r="F569">
        <v>0.47</v>
      </c>
      <c r="G569">
        <v>8.49</v>
      </c>
      <c r="H569">
        <v>27.07</v>
      </c>
      <c r="I569">
        <v>27.7</v>
      </c>
      <c r="J569">
        <v>22.37</v>
      </c>
      <c r="K569">
        <v>28.46</v>
      </c>
      <c r="L569">
        <v>506.1</v>
      </c>
      <c r="M569">
        <v>1917.19</v>
      </c>
    </row>
    <row r="570" spans="1:23" x14ac:dyDescent="0.3">
      <c r="A570" t="s">
        <v>577</v>
      </c>
      <c r="B570">
        <v>21.06</v>
      </c>
      <c r="C570">
        <v>0.1</v>
      </c>
      <c r="D570">
        <v>9370139.4000000004</v>
      </c>
      <c r="E570">
        <v>2464020000</v>
      </c>
      <c r="F570">
        <v>-3.66</v>
      </c>
      <c r="G570">
        <v>-16.43</v>
      </c>
      <c r="H570">
        <v>-17.73</v>
      </c>
      <c r="I570">
        <v>-23.92</v>
      </c>
      <c r="J570">
        <v>-13.76</v>
      </c>
      <c r="K570">
        <v>-49.9</v>
      </c>
      <c r="L570">
        <v>346.19</v>
      </c>
      <c r="O570">
        <f t="shared" ref="O570:O571" si="313">F570*F$1/$E$1</f>
        <v>-1.0309859154929577</v>
      </c>
      <c r="P570">
        <f t="shared" ref="P570:P571" si="314">G570*G$1/$E$1</f>
        <v>-3.4711267605633802</v>
      </c>
      <c r="Q570">
        <f t="shared" ref="Q570:Q571" si="315">H570*H$1/$E$1</f>
        <v>-2.4971830985915493</v>
      </c>
      <c r="R570">
        <f t="shared" ref="R570:R571" si="316">I570*I$1/$E$1</f>
        <v>-1.6845070422535213</v>
      </c>
      <c r="S570">
        <f t="shared" ref="S570:S571" si="317">J570*J$1/$E$1</f>
        <v>-3.3915492957746478</v>
      </c>
      <c r="T570">
        <f t="shared" ref="T570:T571" si="318">K570*K$1/$E$1</f>
        <v>-1.7570422535211268</v>
      </c>
      <c r="U570">
        <f t="shared" ref="U570:U571" si="319">L570*L$1/$E$1</f>
        <v>2.4379577464788733</v>
      </c>
      <c r="V570">
        <f t="shared" ref="V570:V571" si="320">M570*M$1/$E$1</f>
        <v>0</v>
      </c>
      <c r="W570" s="1">
        <f t="shared" ref="W570:W571" si="321">SUM(O570:V570)</f>
        <v>-11.394436619718309</v>
      </c>
    </row>
    <row r="571" spans="1:23" x14ac:dyDescent="0.3">
      <c r="A571" t="s">
        <v>578</v>
      </c>
      <c r="B571">
        <v>33.72</v>
      </c>
      <c r="C571">
        <v>0</v>
      </c>
      <c r="D571">
        <v>5321191.8600000003</v>
      </c>
      <c r="E571">
        <v>1753440000</v>
      </c>
      <c r="F571">
        <v>-1</v>
      </c>
      <c r="G571">
        <v>-4.4800000000000004</v>
      </c>
      <c r="H571">
        <v>-13.05</v>
      </c>
      <c r="I571">
        <v>-20.51</v>
      </c>
      <c r="J571">
        <v>-8.17</v>
      </c>
      <c r="K571">
        <v>-37.92</v>
      </c>
      <c r="L571">
        <v>38.590000000000003</v>
      </c>
      <c r="M571">
        <v>769.07</v>
      </c>
      <c r="O571">
        <f t="shared" si="313"/>
        <v>-0.28169014084507044</v>
      </c>
      <c r="P571">
        <f t="shared" si="314"/>
        <v>-0.94647887323943669</v>
      </c>
      <c r="Q571">
        <f t="shared" si="315"/>
        <v>-1.8380281690140845</v>
      </c>
      <c r="R571">
        <f t="shared" si="316"/>
        <v>-1.4443661971830988</v>
      </c>
      <c r="S571">
        <f t="shared" si="317"/>
        <v>-2.0137323943661971</v>
      </c>
      <c r="T571">
        <f t="shared" si="318"/>
        <v>-1.335211267605634</v>
      </c>
      <c r="U571">
        <f t="shared" si="319"/>
        <v>0.27176056338028171</v>
      </c>
      <c r="V571">
        <f t="shared" si="320"/>
        <v>5.4159859154929579</v>
      </c>
      <c r="W571" s="1">
        <f t="shared" si="321"/>
        <v>-2.1717605633802819</v>
      </c>
    </row>
    <row r="572" spans="1:23" x14ac:dyDescent="0.3">
      <c r="A572" t="s">
        <v>579</v>
      </c>
      <c r="B572">
        <v>238</v>
      </c>
      <c r="C572">
        <v>-0.96</v>
      </c>
      <c r="D572">
        <v>22291653.899999999</v>
      </c>
      <c r="E572">
        <v>16660000000</v>
      </c>
      <c r="F572">
        <v>-6.94</v>
      </c>
      <c r="G572">
        <v>0.93</v>
      </c>
      <c r="H572">
        <v>-15.08</v>
      </c>
      <c r="I572">
        <v>-32.71</v>
      </c>
      <c r="J572">
        <v>-18.77</v>
      </c>
      <c r="K572">
        <v>-13.92</v>
      </c>
      <c r="L572">
        <v>405.95</v>
      </c>
      <c r="M572">
        <v>1105.67</v>
      </c>
    </row>
    <row r="573" spans="1:23" x14ac:dyDescent="0.3">
      <c r="A573" t="s">
        <v>580</v>
      </c>
      <c r="B573">
        <v>13.93</v>
      </c>
      <c r="C573">
        <v>-0.36</v>
      </c>
      <c r="D573">
        <v>40034662.25</v>
      </c>
      <c r="E573">
        <v>22288000000</v>
      </c>
      <c r="F573">
        <v>0.22</v>
      </c>
      <c r="G573">
        <v>-8.17</v>
      </c>
      <c r="H573">
        <v>-18.350000000000001</v>
      </c>
      <c r="I573">
        <v>-20.22</v>
      </c>
      <c r="J573">
        <v>-17.82</v>
      </c>
      <c r="K573">
        <v>-30.8</v>
      </c>
      <c r="L573">
        <v>115.3</v>
      </c>
      <c r="M573">
        <v>603.54</v>
      </c>
    </row>
    <row r="574" spans="1:23" x14ac:dyDescent="0.3">
      <c r="A574" t="s">
        <v>581</v>
      </c>
      <c r="B574">
        <v>55.95</v>
      </c>
      <c r="C574">
        <v>-2.5299999999999998</v>
      </c>
      <c r="D574">
        <v>246955527</v>
      </c>
      <c r="E574">
        <v>18768778586.25</v>
      </c>
      <c r="F574">
        <v>-2.27</v>
      </c>
      <c r="G574">
        <v>-8.8000000000000007</v>
      </c>
      <c r="H574">
        <v>-11.89</v>
      </c>
      <c r="I574">
        <v>-15.29</v>
      </c>
      <c r="J574">
        <v>-21.53</v>
      </c>
      <c r="K574">
        <v>-30.19</v>
      </c>
      <c r="L574">
        <v>151.35</v>
      </c>
      <c r="M574">
        <v>407.25</v>
      </c>
    </row>
    <row r="575" spans="1:23" x14ac:dyDescent="0.3">
      <c r="A575" t="s">
        <v>582</v>
      </c>
      <c r="B575">
        <v>17.36</v>
      </c>
      <c r="C575">
        <v>-0.69</v>
      </c>
      <c r="D575">
        <v>2194806.75</v>
      </c>
      <c r="E575">
        <v>520800000</v>
      </c>
      <c r="F575">
        <v>-3.13</v>
      </c>
      <c r="G575">
        <v>-6.57</v>
      </c>
      <c r="H575">
        <v>-12.94</v>
      </c>
      <c r="I575">
        <v>-8.8699999999999992</v>
      </c>
      <c r="J575">
        <v>-8.68</v>
      </c>
      <c r="K575">
        <v>-27.42</v>
      </c>
      <c r="L575">
        <v>257.94</v>
      </c>
      <c r="M575">
        <v>985</v>
      </c>
    </row>
    <row r="576" spans="1:23" x14ac:dyDescent="0.3">
      <c r="A576" t="s">
        <v>583</v>
      </c>
      <c r="B576">
        <v>2.06</v>
      </c>
      <c r="C576">
        <v>1.98</v>
      </c>
      <c r="D576">
        <v>74607080.299999997</v>
      </c>
      <c r="E576">
        <v>7107000000</v>
      </c>
      <c r="F576">
        <v>2.4900000000000002</v>
      </c>
      <c r="G576">
        <v>0.49</v>
      </c>
      <c r="H576">
        <v>-3.29</v>
      </c>
      <c r="I576">
        <v>32.049999999999997</v>
      </c>
      <c r="J576">
        <v>-0.48</v>
      </c>
      <c r="K576">
        <v>11.35</v>
      </c>
      <c r="L576">
        <v>303.92</v>
      </c>
      <c r="M576">
        <v>456.76</v>
      </c>
    </row>
    <row r="577" spans="1:23" x14ac:dyDescent="0.3">
      <c r="A577" t="s">
        <v>584</v>
      </c>
      <c r="B577">
        <v>26.08</v>
      </c>
      <c r="C577">
        <v>-0.76</v>
      </c>
      <c r="D577">
        <v>800229.36</v>
      </c>
      <c r="E577">
        <v>1095360000</v>
      </c>
      <c r="F577">
        <v>-3.26</v>
      </c>
      <c r="G577">
        <v>-12.54</v>
      </c>
      <c r="H577">
        <v>-9</v>
      </c>
      <c r="I577">
        <v>-41.05</v>
      </c>
      <c r="J577">
        <v>-22.75</v>
      </c>
      <c r="K577">
        <v>-31.08</v>
      </c>
      <c r="L577">
        <v>363.23</v>
      </c>
      <c r="M577">
        <v>895.42</v>
      </c>
    </row>
    <row r="578" spans="1:23" x14ac:dyDescent="0.3">
      <c r="A578" t="s">
        <v>585</v>
      </c>
      <c r="B578">
        <v>2.64</v>
      </c>
      <c r="C578">
        <v>-0.38</v>
      </c>
      <c r="D578">
        <v>18159585.129999999</v>
      </c>
      <c r="E578">
        <v>2164800000</v>
      </c>
      <c r="F578">
        <v>-7.37</v>
      </c>
      <c r="G578">
        <v>-11.11</v>
      </c>
      <c r="H578">
        <v>0.38</v>
      </c>
      <c r="I578">
        <v>-14.29</v>
      </c>
      <c r="J578">
        <v>-12</v>
      </c>
      <c r="K578">
        <v>-75.89</v>
      </c>
    </row>
    <row r="579" spans="1:23" x14ac:dyDescent="0.3">
      <c r="A579" t="s">
        <v>586</v>
      </c>
      <c r="B579">
        <v>102.6</v>
      </c>
      <c r="C579">
        <v>9.9700000000000006</v>
      </c>
      <c r="D579">
        <v>1222865772.2</v>
      </c>
      <c r="E579">
        <v>12004200000</v>
      </c>
      <c r="F579">
        <v>60.82</v>
      </c>
    </row>
    <row r="580" spans="1:23" x14ac:dyDescent="0.3">
      <c r="A580" t="s">
        <v>587</v>
      </c>
      <c r="B580">
        <v>835</v>
      </c>
      <c r="C580">
        <v>1.21</v>
      </c>
      <c r="D580">
        <v>99161799.5</v>
      </c>
      <c r="E580">
        <v>11857000000</v>
      </c>
      <c r="F580">
        <v>10.23</v>
      </c>
      <c r="G580">
        <v>3.73</v>
      </c>
      <c r="H580">
        <v>79.569999999999993</v>
      </c>
      <c r="I580">
        <v>103.53</v>
      </c>
      <c r="J580">
        <v>28.36</v>
      </c>
      <c r="K580">
        <v>119.67</v>
      </c>
      <c r="L580">
        <v>2618.98</v>
      </c>
      <c r="M580">
        <v>23689.17</v>
      </c>
    </row>
    <row r="581" spans="1:23" x14ac:dyDescent="0.3">
      <c r="A581" t="s">
        <v>588</v>
      </c>
      <c r="B581">
        <v>25.2</v>
      </c>
      <c r="C581">
        <v>-0.32</v>
      </c>
      <c r="D581">
        <v>14443819.720000001</v>
      </c>
      <c r="E581">
        <v>3774933086.4000001</v>
      </c>
      <c r="F581">
        <v>-3.08</v>
      </c>
      <c r="G581">
        <v>-8.23</v>
      </c>
      <c r="H581">
        <v>-5.12</v>
      </c>
      <c r="I581">
        <v>-9.74</v>
      </c>
      <c r="J581">
        <v>-8.56</v>
      </c>
      <c r="K581">
        <v>-19.13</v>
      </c>
      <c r="L581">
        <v>157.41</v>
      </c>
      <c r="M581">
        <v>267.35000000000002</v>
      </c>
      <c r="O581">
        <f>F581*F$1/$E$1</f>
        <v>-0.86760563380281697</v>
      </c>
      <c r="P581">
        <f t="shared" ref="P581" si="322">G581*G$1/$E$1</f>
        <v>-1.7387323943661972</v>
      </c>
      <c r="Q581">
        <f t="shared" ref="Q581" si="323">H581*H$1/$E$1</f>
        <v>-0.72112676056338032</v>
      </c>
      <c r="R581">
        <f t="shared" ref="R581" si="324">I581*I$1/$E$1</f>
        <v>-0.68591549295774656</v>
      </c>
      <c r="S581">
        <f t="shared" ref="S581" si="325">J581*J$1/$E$1</f>
        <v>-2.1098591549295778</v>
      </c>
      <c r="T581">
        <f t="shared" ref="T581" si="326">K581*K$1/$E$1</f>
        <v>-0.67359154929577458</v>
      </c>
      <c r="U581">
        <f t="shared" ref="U581" si="327">L581*L$1/$E$1</f>
        <v>1.1085211267605632</v>
      </c>
      <c r="V581">
        <f t="shared" ref="V581" si="328">M581*M$1/$E$1</f>
        <v>1.8827464788732395</v>
      </c>
      <c r="W581" s="1">
        <f>SUM(O581:V581)</f>
        <v>-3.8055633802816899</v>
      </c>
    </row>
    <row r="582" spans="1:23" x14ac:dyDescent="0.3">
      <c r="A582" t="s">
        <v>589</v>
      </c>
      <c r="B582">
        <v>24.04</v>
      </c>
      <c r="C582">
        <v>3.8</v>
      </c>
      <c r="D582">
        <v>36490780.740000002</v>
      </c>
      <c r="E582">
        <v>1198995000</v>
      </c>
      <c r="F582">
        <v>3.98</v>
      </c>
      <c r="G582">
        <v>22.03</v>
      </c>
      <c r="H582">
        <v>32.67</v>
      </c>
      <c r="I582">
        <v>49.04</v>
      </c>
      <c r="J582">
        <v>21.48</v>
      </c>
      <c r="K582">
        <v>15.13</v>
      </c>
      <c r="L582">
        <v>814.07</v>
      </c>
      <c r="M582">
        <v>1152.08</v>
      </c>
    </row>
    <row r="583" spans="1:23" x14ac:dyDescent="0.3">
      <c r="A583" t="s">
        <v>590</v>
      </c>
      <c r="B583">
        <v>107152.5</v>
      </c>
      <c r="C583">
        <v>-0.79</v>
      </c>
      <c r="D583">
        <v>1712227.5</v>
      </c>
      <c r="E583">
        <v>10715250000</v>
      </c>
      <c r="F583">
        <v>-2.59</v>
      </c>
      <c r="G583">
        <v>-12.42</v>
      </c>
      <c r="H583">
        <v>5.05</v>
      </c>
      <c r="I583">
        <v>-23.43</v>
      </c>
      <c r="J583">
        <v>-18.45</v>
      </c>
      <c r="K583">
        <v>-47.19</v>
      </c>
      <c r="L583">
        <v>463.96</v>
      </c>
      <c r="M583">
        <v>2438.56</v>
      </c>
    </row>
    <row r="584" spans="1:23" x14ac:dyDescent="0.3">
      <c r="A584" t="s">
        <v>591</v>
      </c>
      <c r="B584">
        <v>48.4</v>
      </c>
      <c r="C584">
        <v>-1.43</v>
      </c>
      <c r="D584">
        <v>130531364.64</v>
      </c>
      <c r="E584">
        <v>17182000000</v>
      </c>
      <c r="F584">
        <v>-3.87</v>
      </c>
      <c r="G584">
        <v>-11.19</v>
      </c>
      <c r="H584">
        <v>-13.11</v>
      </c>
      <c r="I584">
        <v>-0.68</v>
      </c>
      <c r="J584">
        <v>-6.38</v>
      </c>
      <c r="K584">
        <v>-25.77</v>
      </c>
      <c r="L584">
        <v>1237.02</v>
      </c>
    </row>
    <row r="585" spans="1:23" x14ac:dyDescent="0.3">
      <c r="A585" t="s">
        <v>592</v>
      </c>
      <c r="B585">
        <v>1.46</v>
      </c>
      <c r="C585">
        <v>-1.35</v>
      </c>
      <c r="D585">
        <v>31363999.870000001</v>
      </c>
      <c r="E585">
        <v>941700000</v>
      </c>
      <c r="F585">
        <v>-5.19</v>
      </c>
      <c r="G585">
        <v>-20.22</v>
      </c>
      <c r="H585">
        <v>-23.56</v>
      </c>
      <c r="I585">
        <v>-26.63</v>
      </c>
      <c r="J585">
        <v>-25.89</v>
      </c>
      <c r="K585">
        <v>-36.520000000000003</v>
      </c>
      <c r="L585">
        <v>84.81</v>
      </c>
      <c r="M585">
        <v>421.43</v>
      </c>
    </row>
    <row r="586" spans="1:23" x14ac:dyDescent="0.3">
      <c r="A586" t="s">
        <v>593</v>
      </c>
      <c r="B586">
        <v>70.3</v>
      </c>
      <c r="C586">
        <v>1.1499999999999999</v>
      </c>
      <c r="D586">
        <v>10460493.300000001</v>
      </c>
      <c r="E586">
        <v>17006976000</v>
      </c>
      <c r="F586">
        <v>5.71</v>
      </c>
      <c r="G586">
        <v>1.96</v>
      </c>
      <c r="H586">
        <v>16.87</v>
      </c>
      <c r="I586">
        <v>40.770000000000003</v>
      </c>
      <c r="J586">
        <v>12.84</v>
      </c>
      <c r="K586">
        <v>48.44</v>
      </c>
      <c r="L586">
        <v>468.77</v>
      </c>
      <c r="M586">
        <v>976.57</v>
      </c>
    </row>
    <row r="587" spans="1:23" x14ac:dyDescent="0.3">
      <c r="A587" t="s">
        <v>594</v>
      </c>
      <c r="B587">
        <v>4.63</v>
      </c>
      <c r="C587">
        <v>1.76</v>
      </c>
      <c r="D587">
        <v>3466879.69</v>
      </c>
      <c r="E587">
        <v>1218694256.26</v>
      </c>
      <c r="F587">
        <v>-5.51</v>
      </c>
      <c r="G587">
        <v>-46.04</v>
      </c>
      <c r="H587">
        <v>-53.47</v>
      </c>
      <c r="I587">
        <v>-48.9</v>
      </c>
      <c r="J587">
        <v>-51.82</v>
      </c>
      <c r="K587">
        <v>-26.16</v>
      </c>
      <c r="L587">
        <v>543.05999999999995</v>
      </c>
      <c r="M587">
        <v>634.91999999999996</v>
      </c>
    </row>
    <row r="588" spans="1:23" x14ac:dyDescent="0.3">
      <c r="A588" t="s">
        <v>595</v>
      </c>
      <c r="B588">
        <v>27.8</v>
      </c>
      <c r="C588">
        <v>-0.79</v>
      </c>
      <c r="D588">
        <v>159652143.28</v>
      </c>
      <c r="E588">
        <v>8353900000</v>
      </c>
      <c r="F588">
        <v>1.0900000000000001</v>
      </c>
      <c r="G588">
        <v>-12.52</v>
      </c>
      <c r="H588">
        <v>-24.86</v>
      </c>
      <c r="I588">
        <v>-45.6</v>
      </c>
      <c r="J588">
        <v>-20.34</v>
      </c>
    </row>
    <row r="589" spans="1:23" x14ac:dyDescent="0.3">
      <c r="A589" t="s">
        <v>596</v>
      </c>
      <c r="B589">
        <v>29.4</v>
      </c>
      <c r="C589">
        <v>-0.47</v>
      </c>
      <c r="D589">
        <v>5288321159.7200003</v>
      </c>
      <c r="E589">
        <v>248343307749.59998</v>
      </c>
      <c r="F589">
        <v>4.63</v>
      </c>
      <c r="G589">
        <v>-4.3</v>
      </c>
      <c r="H589">
        <v>-0.81</v>
      </c>
      <c r="I589">
        <v>-5.77</v>
      </c>
      <c r="J589">
        <v>-3.98</v>
      </c>
      <c r="K589">
        <v>36.36</v>
      </c>
      <c r="L589">
        <v>842.31</v>
      </c>
      <c r="M589">
        <v>1439.27</v>
      </c>
    </row>
    <row r="590" spans="1:23" x14ac:dyDescent="0.3">
      <c r="A590" t="s">
        <v>597</v>
      </c>
      <c r="B590">
        <v>6.83</v>
      </c>
      <c r="C590">
        <v>-0.28999999999999998</v>
      </c>
      <c r="D590">
        <v>5048826.5</v>
      </c>
      <c r="E590">
        <v>1707500000</v>
      </c>
      <c r="F590">
        <v>0.59</v>
      </c>
      <c r="G590">
        <v>-4.4800000000000004</v>
      </c>
      <c r="H590">
        <v>-5.14</v>
      </c>
      <c r="I590">
        <v>-21.31</v>
      </c>
      <c r="J590">
        <v>-13.32</v>
      </c>
      <c r="K590">
        <v>-15.37</v>
      </c>
      <c r="L590">
        <v>134.71</v>
      </c>
      <c r="M590">
        <v>380.99</v>
      </c>
    </row>
    <row r="591" spans="1:23" x14ac:dyDescent="0.3">
      <c r="A591" t="s">
        <v>598</v>
      </c>
      <c r="B591">
        <v>49.5</v>
      </c>
      <c r="C591">
        <v>0</v>
      </c>
      <c r="D591">
        <v>886965.6</v>
      </c>
      <c r="E591">
        <v>831600000</v>
      </c>
      <c r="F591">
        <v>-1.98</v>
      </c>
      <c r="G591">
        <v>-4.26</v>
      </c>
      <c r="H591">
        <v>-29.54</v>
      </c>
      <c r="I591">
        <v>-33.56</v>
      </c>
      <c r="J591">
        <v>-14.66</v>
      </c>
      <c r="K591">
        <v>-43.3</v>
      </c>
      <c r="L591">
        <v>106.68</v>
      </c>
      <c r="M591">
        <v>429.41</v>
      </c>
    </row>
    <row r="592" spans="1:23" x14ac:dyDescent="0.3">
      <c r="A592" t="s">
        <v>599</v>
      </c>
      <c r="B592">
        <v>5.32</v>
      </c>
      <c r="C592">
        <v>-0.37</v>
      </c>
      <c r="D592">
        <v>8664793.2799999993</v>
      </c>
      <c r="E592">
        <v>2553600000</v>
      </c>
      <c r="F592">
        <v>-3.1</v>
      </c>
      <c r="G592">
        <v>-12.64</v>
      </c>
      <c r="H592">
        <v>-17.260000000000002</v>
      </c>
      <c r="I592">
        <v>-31</v>
      </c>
      <c r="J592">
        <v>-22.56</v>
      </c>
      <c r="K592">
        <v>-42.92</v>
      </c>
      <c r="L592">
        <v>706.06</v>
      </c>
      <c r="M592">
        <v>833.33</v>
      </c>
    </row>
    <row r="593" spans="1:23" x14ac:dyDescent="0.3">
      <c r="A593" t="s">
        <v>600</v>
      </c>
      <c r="B593">
        <v>1.44</v>
      </c>
      <c r="C593">
        <v>0.7</v>
      </c>
      <c r="D593">
        <v>32866634.719999999</v>
      </c>
      <c r="E593">
        <v>1227618401.76</v>
      </c>
      <c r="F593">
        <v>-3.36</v>
      </c>
      <c r="G593">
        <v>-25</v>
      </c>
      <c r="H593">
        <v>-34.840000000000003</v>
      </c>
      <c r="I593">
        <v>-31.1</v>
      </c>
      <c r="J593">
        <v>-37.39</v>
      </c>
      <c r="K593">
        <v>-5.88</v>
      </c>
      <c r="L593">
        <v>350</v>
      </c>
      <c r="M593">
        <v>476</v>
      </c>
    </row>
    <row r="594" spans="1:23" x14ac:dyDescent="0.3">
      <c r="A594" t="s">
        <v>601</v>
      </c>
      <c r="B594">
        <v>8.68</v>
      </c>
      <c r="C594">
        <v>-0.56999999999999995</v>
      </c>
      <c r="D594">
        <v>28995604.350000001</v>
      </c>
      <c r="E594">
        <v>9434986400</v>
      </c>
      <c r="F594">
        <v>-2.0299999999999998</v>
      </c>
      <c r="G594">
        <v>-8.15</v>
      </c>
      <c r="H594">
        <v>-18.95</v>
      </c>
      <c r="I594">
        <v>-25.17</v>
      </c>
      <c r="J594">
        <v>-18.88</v>
      </c>
      <c r="K594">
        <v>-42.78</v>
      </c>
    </row>
    <row r="595" spans="1:23" x14ac:dyDescent="0.3">
      <c r="A595" t="s">
        <v>602</v>
      </c>
      <c r="B595">
        <v>7.65</v>
      </c>
      <c r="C595">
        <v>-0.91</v>
      </c>
      <c r="D595">
        <v>6533791.9000000004</v>
      </c>
      <c r="E595">
        <v>1336837500</v>
      </c>
      <c r="F595">
        <v>-0.78</v>
      </c>
      <c r="G595">
        <v>-4.8499999999999996</v>
      </c>
      <c r="H595">
        <v>-4.97</v>
      </c>
      <c r="I595">
        <v>-13.27</v>
      </c>
      <c r="J595">
        <v>-10.210000000000001</v>
      </c>
      <c r="K595">
        <v>-40.840000000000003</v>
      </c>
      <c r="L595">
        <v>372.22</v>
      </c>
      <c r="M595">
        <v>1025</v>
      </c>
      <c r="O595">
        <f t="shared" ref="O595:O601" si="329">F595*F$1/$E$1</f>
        <v>-0.21971830985915494</v>
      </c>
      <c r="P595">
        <f t="shared" ref="P595:P601" si="330">G595*G$1/$E$1</f>
        <v>-1.0246478873239437</v>
      </c>
      <c r="Q595">
        <f t="shared" ref="Q595:Q601" si="331">H595*H$1/$E$1</f>
        <v>-0.7</v>
      </c>
      <c r="R595">
        <f t="shared" ref="R595:R601" si="332">I595*I$1/$E$1</f>
        <v>-0.93450704225352099</v>
      </c>
      <c r="S595">
        <f t="shared" ref="S595:S601" si="333">J595*J$1/$E$1</f>
        <v>-2.5165492957746483</v>
      </c>
      <c r="T595">
        <f t="shared" ref="T595:T601" si="334">K595*K$1/$E$1</f>
        <v>-1.4380281690140846</v>
      </c>
      <c r="U595">
        <f t="shared" ref="U595:U601" si="335">L595*L$1/$E$1</f>
        <v>2.6212676056338031</v>
      </c>
      <c r="V595">
        <f t="shared" ref="V595:V601" si="336">M595*M$1/$E$1</f>
        <v>7.21830985915493</v>
      </c>
      <c r="W595">
        <f t="shared" ref="W595:W601" si="337">SUM(O595:V595)</f>
        <v>3.0061267605633812</v>
      </c>
    </row>
    <row r="596" spans="1:23" x14ac:dyDescent="0.3">
      <c r="A596" t="s">
        <v>603</v>
      </c>
      <c r="B596">
        <v>3.77</v>
      </c>
      <c r="C596">
        <v>1.62</v>
      </c>
      <c r="D596">
        <v>186403508.38999999</v>
      </c>
      <c r="E596">
        <v>18850000000</v>
      </c>
      <c r="F596">
        <v>0.27</v>
      </c>
      <c r="G596">
        <v>-7.6</v>
      </c>
      <c r="H596">
        <v>-11.08</v>
      </c>
      <c r="I596">
        <v>-17.14</v>
      </c>
      <c r="J596">
        <v>-13.53</v>
      </c>
      <c r="K596">
        <v>-31.83</v>
      </c>
      <c r="L596">
        <v>314.29000000000002</v>
      </c>
      <c r="M596">
        <v>409.46</v>
      </c>
      <c r="O596">
        <f t="shared" si="329"/>
        <v>7.6056338028169024E-2</v>
      </c>
      <c r="P596">
        <f t="shared" si="330"/>
        <v>-1.6056338028169015</v>
      </c>
      <c r="Q596">
        <f t="shared" si="331"/>
        <v>-1.5605633802816901</v>
      </c>
      <c r="R596">
        <f t="shared" si="332"/>
        <v>-1.2070422535211267</v>
      </c>
      <c r="S596">
        <f t="shared" si="333"/>
        <v>-3.334859154929577</v>
      </c>
      <c r="T596">
        <f t="shared" si="334"/>
        <v>-1.1207746478873237</v>
      </c>
      <c r="U596">
        <f t="shared" si="335"/>
        <v>2.2133098591549296</v>
      </c>
      <c r="V596">
        <f t="shared" si="336"/>
        <v>2.8835211267605634</v>
      </c>
      <c r="W596">
        <f t="shared" si="337"/>
        <v>-3.6559859154929568</v>
      </c>
    </row>
    <row r="597" spans="1:23" x14ac:dyDescent="0.3">
      <c r="A597" t="s">
        <v>604</v>
      </c>
      <c r="B597">
        <v>18.27</v>
      </c>
      <c r="C597">
        <v>2.0699999999999998</v>
      </c>
      <c r="D597">
        <v>97971603.890000001</v>
      </c>
      <c r="E597">
        <v>85752437400</v>
      </c>
      <c r="F597">
        <v>10.06</v>
      </c>
      <c r="G597">
        <v>23.28</v>
      </c>
      <c r="H597">
        <v>38.72</v>
      </c>
      <c r="I597">
        <v>195.63</v>
      </c>
      <c r="J597">
        <v>35.130000000000003</v>
      </c>
      <c r="K597">
        <v>154.81</v>
      </c>
      <c r="L597">
        <v>704.85</v>
      </c>
      <c r="O597">
        <f t="shared" si="329"/>
        <v>2.8338028169014087</v>
      </c>
      <c r="P597">
        <f t="shared" si="330"/>
        <v>4.9183098591549301</v>
      </c>
      <c r="Q597">
        <f t="shared" si="331"/>
        <v>5.4535211267605632</v>
      </c>
      <c r="R597">
        <f t="shared" si="332"/>
        <v>13.776760563380281</v>
      </c>
      <c r="S597">
        <f t="shared" si="333"/>
        <v>8.6588028169014102</v>
      </c>
      <c r="T597">
        <f t="shared" si="334"/>
        <v>5.4510563380281685</v>
      </c>
      <c r="U597">
        <f t="shared" si="335"/>
        <v>4.9637323943661977</v>
      </c>
      <c r="V597">
        <f t="shared" si="336"/>
        <v>0</v>
      </c>
      <c r="W597">
        <f t="shared" si="337"/>
        <v>46.055985915492961</v>
      </c>
    </row>
    <row r="598" spans="1:23" x14ac:dyDescent="0.3">
      <c r="A598" t="s">
        <v>604</v>
      </c>
      <c r="B598">
        <v>17.149999999999999</v>
      </c>
      <c r="C598">
        <v>0.59</v>
      </c>
      <c r="D598">
        <v>40434247.109999999</v>
      </c>
      <c r="E598">
        <v>80495583000</v>
      </c>
      <c r="F598">
        <v>6.13</v>
      </c>
      <c r="G598">
        <v>15.33</v>
      </c>
      <c r="H598">
        <v>36.65</v>
      </c>
      <c r="I598">
        <v>177.51</v>
      </c>
      <c r="J598">
        <v>26.85</v>
      </c>
      <c r="K598">
        <v>131.44</v>
      </c>
      <c r="L598">
        <v>693.98</v>
      </c>
      <c r="O598">
        <f t="shared" si="329"/>
        <v>1.7267605633802816</v>
      </c>
      <c r="P598">
        <f t="shared" si="330"/>
        <v>3.2387323943661972</v>
      </c>
      <c r="Q598">
        <f t="shared" si="331"/>
        <v>5.1619718309859151</v>
      </c>
      <c r="R598">
        <f t="shared" si="332"/>
        <v>12.500704225352113</v>
      </c>
      <c r="S598">
        <f t="shared" si="333"/>
        <v>6.617957746478873</v>
      </c>
      <c r="T598">
        <f t="shared" si="334"/>
        <v>4.6281690140845075</v>
      </c>
      <c r="U598">
        <f t="shared" si="335"/>
        <v>4.8871830985915494</v>
      </c>
      <c r="V598">
        <f t="shared" si="336"/>
        <v>0</v>
      </c>
      <c r="W598">
        <f t="shared" si="337"/>
        <v>38.761478873239433</v>
      </c>
    </row>
    <row r="599" spans="1:23" x14ac:dyDescent="0.3">
      <c r="A599" t="s">
        <v>604</v>
      </c>
      <c r="B599">
        <v>16.600000000000001</v>
      </c>
      <c r="C599">
        <v>1.1000000000000001</v>
      </c>
      <c r="D599">
        <v>43657574.25</v>
      </c>
      <c r="E599">
        <v>77914092000</v>
      </c>
      <c r="F599">
        <v>1.97</v>
      </c>
      <c r="G599">
        <v>19.77</v>
      </c>
      <c r="H599">
        <v>37.99</v>
      </c>
      <c r="I599">
        <v>151.13</v>
      </c>
      <c r="J599">
        <v>22.78</v>
      </c>
      <c r="K599">
        <v>132.49</v>
      </c>
      <c r="L599">
        <v>600.41999999999996</v>
      </c>
      <c r="O599">
        <f t="shared" si="329"/>
        <v>0.55492957746478866</v>
      </c>
      <c r="P599">
        <f t="shared" si="330"/>
        <v>4.1767605633802818</v>
      </c>
      <c r="Q599">
        <f t="shared" si="331"/>
        <v>5.3507042253521133</v>
      </c>
      <c r="R599">
        <f t="shared" si="332"/>
        <v>10.642957746478872</v>
      </c>
      <c r="S599">
        <f t="shared" si="333"/>
        <v>5.6147887323943664</v>
      </c>
      <c r="T599">
        <f t="shared" si="334"/>
        <v>4.6651408450704226</v>
      </c>
      <c r="U599">
        <f t="shared" si="335"/>
        <v>4.2283098591549289</v>
      </c>
      <c r="V599">
        <f t="shared" si="336"/>
        <v>0</v>
      </c>
      <c r="W599">
        <f t="shared" si="337"/>
        <v>35.233591549295774</v>
      </c>
    </row>
    <row r="600" spans="1:23" x14ac:dyDescent="0.3">
      <c r="O600">
        <f t="shared" si="329"/>
        <v>0</v>
      </c>
      <c r="P600">
        <f t="shared" si="330"/>
        <v>0</v>
      </c>
      <c r="Q600">
        <f t="shared" si="331"/>
        <v>0</v>
      </c>
      <c r="R600">
        <f t="shared" si="332"/>
        <v>0</v>
      </c>
      <c r="S600">
        <f t="shared" si="333"/>
        <v>0</v>
      </c>
      <c r="T600">
        <f t="shared" si="334"/>
        <v>0</v>
      </c>
      <c r="U600">
        <f t="shared" si="335"/>
        <v>0</v>
      </c>
      <c r="V600">
        <f t="shared" si="336"/>
        <v>0</v>
      </c>
      <c r="W600">
        <f t="shared" si="337"/>
        <v>0</v>
      </c>
    </row>
    <row r="601" spans="1:23" x14ac:dyDescent="0.3">
      <c r="O601">
        <f t="shared" si="329"/>
        <v>0</v>
      </c>
      <c r="P601">
        <f t="shared" si="330"/>
        <v>0</v>
      </c>
      <c r="Q601">
        <f t="shared" si="331"/>
        <v>0</v>
      </c>
      <c r="R601">
        <f t="shared" si="332"/>
        <v>0</v>
      </c>
      <c r="S601">
        <f t="shared" si="333"/>
        <v>0</v>
      </c>
      <c r="T601">
        <f t="shared" si="334"/>
        <v>0</v>
      </c>
      <c r="U601">
        <f t="shared" si="335"/>
        <v>0</v>
      </c>
      <c r="V601">
        <f t="shared" si="336"/>
        <v>0</v>
      </c>
      <c r="W601">
        <f t="shared" si="337"/>
        <v>0</v>
      </c>
    </row>
  </sheetData>
  <autoFilter ref="A2:W594" xr:uid="{00000000-0001-0000-0000-000000000000}"/>
  <conditionalFormatting sqref="W5:W5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Portföy</vt:lpstr>
      <vt:lpstr>İşlem Hisse</vt:lpstr>
      <vt:lpstr>İşlem Fon</vt:lpstr>
      <vt:lpstr>İşlem FonA</vt:lpstr>
      <vt:lpstr>Hisse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can</dc:creator>
  <cp:lastModifiedBy>KF68796</cp:lastModifiedBy>
  <dcterms:created xsi:type="dcterms:W3CDTF">2025-02-11T12:12:29Z</dcterms:created>
  <dcterms:modified xsi:type="dcterms:W3CDTF">2025-03-02T12:11:14Z</dcterms:modified>
</cp:coreProperties>
</file>