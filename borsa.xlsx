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PC\Drive'ım\Diğer\Borsa Analiz\"/>
    </mc:Choice>
  </mc:AlternateContent>
  <xr:revisionPtr revIDLastSave="0" documentId="13_ncr:1_{4642430D-432B-44A8-84DB-BFC9AFEFB5B7}" xr6:coauthVersionLast="47" xr6:coauthVersionMax="47" xr10:uidLastSave="{00000000-0000-0000-0000-000000000000}"/>
  <bookViews>
    <workbookView xWindow="-108" yWindow="-108" windowWidth="23256" windowHeight="12456" tabRatio="923" firstSheet="49" activeTab="69" xr2:uid="{00000000-000D-0000-FFFF-FFFF00000000}"/>
  </bookViews>
  <sheets>
    <sheet name="Sayfa1" sheetId="53" r:id="rId1"/>
    <sheet name="İcmal" sheetId="2" r:id="rId2"/>
    <sheet name="ADESE" sheetId="66" r:id="rId3"/>
    <sheet name="AKBNK" sheetId="1" r:id="rId4"/>
    <sheet name="ALARK" sheetId="70" r:id="rId5"/>
    <sheet name="ARASE" sheetId="3" r:id="rId6"/>
    <sheet name="ARCLK" sheetId="4" r:id="rId7"/>
    <sheet name="ARENA" sheetId="5" r:id="rId8"/>
    <sheet name="ARZUM" sheetId="6" r:id="rId9"/>
    <sheet name="ASELS" sheetId="7" r:id="rId10"/>
    <sheet name="ASTOR" sheetId="8" r:id="rId11"/>
    <sheet name="BIMAS" sheetId="9" r:id="rId12"/>
    <sheet name="BRLSM" sheetId="10" r:id="rId13"/>
    <sheet name="BURVA" sheetId="11" r:id="rId14"/>
    <sheet name="CATES" sheetId="12" r:id="rId15"/>
    <sheet name="CWENE" sheetId="54" r:id="rId16"/>
    <sheet name="DEVA" sheetId="57" r:id="rId17"/>
    <sheet name="DOAS" sheetId="13" r:id="rId18"/>
    <sheet name="DOKTA" sheetId="65" r:id="rId19"/>
    <sheet name="EDATA" sheetId="14" r:id="rId20"/>
    <sheet name="EDIP" sheetId="15" r:id="rId21"/>
    <sheet name="EKOS" sheetId="63" state="hidden" r:id="rId22"/>
    <sheet name="ENJSA" sheetId="16" r:id="rId23"/>
    <sheet name="FENER" sheetId="17" state="hidden" r:id="rId24"/>
    <sheet name="ENKAI" sheetId="64" r:id="rId25"/>
    <sheet name="ENSRI" sheetId="61" state="hidden" r:id="rId26"/>
    <sheet name="FROTO" sheetId="18" r:id="rId27"/>
    <sheet name="GENTS" sheetId="19" state="hidden" r:id="rId28"/>
    <sheet name="GEREL" sheetId="68" state="hidden" r:id="rId29"/>
    <sheet name="GRSEL" sheetId="20" r:id="rId30"/>
    <sheet name="GWIND" sheetId="21" r:id="rId31"/>
    <sheet name="HTTBT" sheetId="62" r:id="rId32"/>
    <sheet name="INDES" sheetId="22" state="hidden" r:id="rId33"/>
    <sheet name="KBORU" sheetId="23" r:id="rId34"/>
    <sheet name="KCHOL" sheetId="24" r:id="rId35"/>
    <sheet name="KIMMR" sheetId="25" state="hidden" r:id="rId36"/>
    <sheet name="KONTR" sheetId="26" r:id="rId37"/>
    <sheet name="KRVGD" sheetId="58" state="hidden" r:id="rId38"/>
    <sheet name="MAVI" sheetId="27" r:id="rId39"/>
    <sheet name="MEKAG" sheetId="28" r:id="rId40"/>
    <sheet name="MIATK" sheetId="29" state="hidden" r:id="rId41"/>
    <sheet name="ONCSM" sheetId="56" r:id="rId42"/>
    <sheet name="ORGE" sheetId="30" r:id="rId43"/>
    <sheet name="OTTO" sheetId="31" state="hidden" r:id="rId44"/>
    <sheet name="OYAKC" sheetId="32" r:id="rId45"/>
    <sheet name="OYLUM" sheetId="33" state="hidden" r:id="rId46"/>
    <sheet name="OZRDN" sheetId="34" r:id="rId47"/>
    <sheet name="PCILT" sheetId="35" r:id="rId48"/>
    <sheet name="PRDGS" sheetId="67" r:id="rId49"/>
    <sheet name="QUAGR" sheetId="36" r:id="rId50"/>
    <sheet name="SAFKR" sheetId="59" state="hidden" r:id="rId51"/>
    <sheet name="SAHOL" sheetId="37" r:id="rId52"/>
    <sheet name="SASA" sheetId="38" r:id="rId53"/>
    <sheet name="SEYKM" sheetId="39" state="hidden" r:id="rId54"/>
    <sheet name="SMART" sheetId="40" r:id="rId55"/>
    <sheet name="SMRTG" sheetId="41" r:id="rId56"/>
    <sheet name="TARKM" sheetId="42" r:id="rId57"/>
    <sheet name="TAVHL" sheetId="43" r:id="rId58"/>
    <sheet name="TCELL" sheetId="44" r:id="rId59"/>
    <sheet name="THYAO" sheetId="45" r:id="rId60"/>
    <sheet name="TKFEN" sheetId="46" state="hidden" r:id="rId61"/>
    <sheet name="TNZTP" sheetId="71" r:id="rId62"/>
    <sheet name="TOASO" sheetId="47" r:id="rId63"/>
    <sheet name="TTRAK" sheetId="48" r:id="rId64"/>
    <sheet name="TUCLK" sheetId="60" r:id="rId65"/>
    <sheet name="TURSG" sheetId="69" r:id="rId66"/>
    <sheet name="TUPRS" sheetId="49" r:id="rId67"/>
    <sheet name="UNLU" sheetId="50" r:id="rId68"/>
    <sheet name="YEOTK" sheetId="51" r:id="rId69"/>
    <sheet name="YKBNK" sheetId="52" r:id="rId7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6" i="53" l="1"/>
  <c r="R7" i="2"/>
  <c r="K148" i="5" l="1"/>
  <c r="F65" i="6"/>
  <c r="G65" i="6"/>
  <c r="H65" i="6"/>
  <c r="F229" i="8"/>
  <c r="G229" i="8"/>
  <c r="H229" i="8"/>
  <c r="F106" i="14"/>
  <c r="G106" i="14"/>
  <c r="H106" i="14"/>
  <c r="F58" i="4"/>
  <c r="G58" i="4"/>
  <c r="H58" i="4"/>
  <c r="F50" i="56"/>
  <c r="G50" i="56"/>
  <c r="H50" i="56"/>
  <c r="F61" i="34"/>
  <c r="G61" i="34"/>
  <c r="H61" i="34"/>
  <c r="F57" i="4"/>
  <c r="G57" i="4"/>
  <c r="H57" i="4"/>
  <c r="F265" i="10"/>
  <c r="G265" i="10"/>
  <c r="H265" i="10"/>
  <c r="F231" i="8"/>
  <c r="G231" i="8"/>
  <c r="H231" i="8"/>
  <c r="F56" i="4"/>
  <c r="G56" i="4"/>
  <c r="H56" i="4"/>
  <c r="F41" i="48"/>
  <c r="G41" i="48"/>
  <c r="H41" i="48"/>
  <c r="F34" i="37"/>
  <c r="G34" i="37"/>
  <c r="H34" i="37"/>
  <c r="F158" i="65"/>
  <c r="G158" i="65"/>
  <c r="H158" i="65"/>
  <c r="F19" i="18"/>
  <c r="G19" i="18"/>
  <c r="H19" i="18"/>
  <c r="F18" i="47"/>
  <c r="G18" i="47"/>
  <c r="H18" i="47"/>
  <c r="F33" i="37"/>
  <c r="G33" i="37"/>
  <c r="H33" i="37"/>
  <c r="F115" i="41"/>
  <c r="G115" i="41"/>
  <c r="H115" i="41"/>
  <c r="F27" i="52"/>
  <c r="G27" i="52"/>
  <c r="H27" i="52"/>
  <c r="F141" i="5"/>
  <c r="G141" i="5"/>
  <c r="H141" i="5"/>
  <c r="F222" i="8"/>
  <c r="G222" i="8"/>
  <c r="H222" i="8"/>
  <c r="F33" i="32"/>
  <c r="G33" i="32"/>
  <c r="H33" i="32"/>
  <c r="F283" i="40"/>
  <c r="G283" i="40"/>
  <c r="H283" i="40"/>
  <c r="F221" i="8"/>
  <c r="G221" i="8"/>
  <c r="H221" i="8"/>
  <c r="F36" i="54"/>
  <c r="G36" i="54"/>
  <c r="H36" i="54"/>
  <c r="F40" i="48" l="1"/>
  <c r="G40" i="48"/>
  <c r="H40" i="48"/>
  <c r="F108" i="14"/>
  <c r="G108" i="14"/>
  <c r="H108" i="14"/>
  <c r="F50" i="13"/>
  <c r="G50" i="13"/>
  <c r="H50" i="13"/>
  <c r="F86" i="50"/>
  <c r="G86" i="50"/>
  <c r="H86" i="50"/>
  <c r="F49" i="13"/>
  <c r="G49" i="13"/>
  <c r="H49" i="13"/>
  <c r="F48" i="13"/>
  <c r="G48" i="13"/>
  <c r="H48" i="13"/>
  <c r="F32" i="9"/>
  <c r="G32" i="9"/>
  <c r="H32" i="9"/>
  <c r="F35" i="54"/>
  <c r="G35" i="54"/>
  <c r="H35" i="54"/>
  <c r="F75" i="57"/>
  <c r="G75" i="57"/>
  <c r="H75" i="57"/>
  <c r="F63" i="34"/>
  <c r="G63" i="34"/>
  <c r="H63" i="34"/>
  <c r="F156" i="3"/>
  <c r="G156" i="3"/>
  <c r="H156" i="3"/>
  <c r="F140" i="5"/>
  <c r="G140" i="5"/>
  <c r="H140" i="5"/>
  <c r="F139" i="5"/>
  <c r="G139" i="5"/>
  <c r="H139" i="5"/>
  <c r="F74" i="57"/>
  <c r="G74" i="57"/>
  <c r="H74" i="57"/>
  <c r="F31" i="9"/>
  <c r="G31" i="9"/>
  <c r="H31" i="9"/>
  <c r="F47" i="13"/>
  <c r="G47" i="13"/>
  <c r="H47" i="13"/>
  <c r="F46" i="13"/>
  <c r="G46" i="13"/>
  <c r="H46" i="13"/>
  <c r="F155" i="3"/>
  <c r="G155" i="3"/>
  <c r="H155" i="3"/>
  <c r="F26" i="52"/>
  <c r="G26" i="52"/>
  <c r="H26" i="52"/>
  <c r="F107" i="14"/>
  <c r="G107" i="14"/>
  <c r="H107" i="14"/>
  <c r="F30" i="9"/>
  <c r="G30" i="9"/>
  <c r="H30" i="9"/>
  <c r="F64" i="6"/>
  <c r="G64" i="6"/>
  <c r="H64" i="6"/>
  <c r="F52" i="30"/>
  <c r="G52" i="30"/>
  <c r="H52" i="30"/>
  <c r="F53" i="27"/>
  <c r="G53" i="27"/>
  <c r="H53" i="27"/>
  <c r="F25" i="52"/>
  <c r="G25" i="52"/>
  <c r="H25" i="52"/>
  <c r="F220" i="8"/>
  <c r="G220" i="8"/>
  <c r="H220" i="8"/>
  <c r="F58" i="16"/>
  <c r="G58" i="16"/>
  <c r="H58" i="16"/>
  <c r="F55" i="4"/>
  <c r="G55" i="4"/>
  <c r="H55" i="4"/>
  <c r="D5" i="53"/>
  <c r="F73" i="57"/>
  <c r="G73" i="57"/>
  <c r="H73" i="57"/>
  <c r="F53" i="56"/>
  <c r="G53" i="56"/>
  <c r="H53" i="56"/>
  <c r="F32" i="28"/>
  <c r="G32" i="28"/>
  <c r="H32" i="28"/>
  <c r="F18" i="18"/>
  <c r="G18" i="18"/>
  <c r="H18" i="18"/>
  <c r="F23" i="38"/>
  <c r="G23" i="38"/>
  <c r="H23" i="38"/>
  <c r="F51" i="30"/>
  <c r="G51" i="30"/>
  <c r="H51" i="30"/>
  <c r="F105" i="14"/>
  <c r="G105" i="14"/>
  <c r="H105" i="14"/>
  <c r="F42" i="15"/>
  <c r="G42" i="15"/>
  <c r="H42" i="15"/>
  <c r="F44" i="1"/>
  <c r="G44" i="1"/>
  <c r="H44" i="1"/>
  <c r="F59" i="16"/>
  <c r="G59" i="16"/>
  <c r="H59" i="16"/>
  <c r="F32" i="23"/>
  <c r="G32" i="23"/>
  <c r="H32" i="23"/>
  <c r="F62" i="34"/>
  <c r="G62" i="34"/>
  <c r="H62" i="34"/>
  <c r="F285" i="40"/>
  <c r="G285" i="40"/>
  <c r="H285" i="40"/>
  <c r="F157" i="65"/>
  <c r="G157" i="65"/>
  <c r="H157" i="65"/>
  <c r="F32" i="37"/>
  <c r="G32" i="37"/>
  <c r="H32" i="37"/>
  <c r="F52" i="56"/>
  <c r="G52" i="56"/>
  <c r="H52" i="56"/>
  <c r="F69" i="35"/>
  <c r="G69" i="35"/>
  <c r="H69" i="35"/>
  <c r="F51" i="56"/>
  <c r="G51" i="56"/>
  <c r="H51" i="56"/>
  <c r="F85" i="50"/>
  <c r="G85" i="50"/>
  <c r="H85" i="50"/>
  <c r="F54" i="4"/>
  <c r="G54" i="4"/>
  <c r="H54" i="4"/>
  <c r="F31" i="23"/>
  <c r="G31" i="23"/>
  <c r="H31" i="23"/>
  <c r="R4" i="2"/>
  <c r="F41" i="15"/>
  <c r="G41" i="15"/>
  <c r="H41" i="15"/>
  <c r="F136" i="5"/>
  <c r="G136" i="5"/>
  <c r="H136" i="5"/>
  <c r="F48" i="4"/>
  <c r="G48" i="4"/>
  <c r="H48" i="4"/>
  <c r="F47" i="4" l="1"/>
  <c r="G47" i="4"/>
  <c r="H47" i="4"/>
  <c r="F46" i="4"/>
  <c r="G46" i="4"/>
  <c r="H46" i="4"/>
  <c r="F50" i="30"/>
  <c r="G50" i="30"/>
  <c r="H50" i="30"/>
  <c r="F23" i="52"/>
  <c r="G23" i="52"/>
  <c r="H23" i="52"/>
  <c r="E48" i="30"/>
  <c r="F78" i="49"/>
  <c r="G78" i="49"/>
  <c r="H78" i="49"/>
  <c r="F23" i="37"/>
  <c r="G23" i="37"/>
  <c r="H23" i="37"/>
  <c r="F45" i="4"/>
  <c r="G45" i="4"/>
  <c r="H45" i="4"/>
  <c r="F25" i="36"/>
  <c r="G25" i="36"/>
  <c r="H25" i="36"/>
  <c r="F51" i="24"/>
  <c r="G51" i="24"/>
  <c r="H51" i="24"/>
  <c r="F63" i="6"/>
  <c r="G63" i="6"/>
  <c r="H63" i="6"/>
  <c r="F263" i="10"/>
  <c r="G263" i="10"/>
  <c r="H263" i="10"/>
  <c r="E281" i="40"/>
  <c r="F284" i="40"/>
  <c r="G284" i="40"/>
  <c r="H284" i="40"/>
  <c r="F230" i="8"/>
  <c r="G230" i="8"/>
  <c r="H230" i="8"/>
  <c r="F49" i="56"/>
  <c r="G49" i="56"/>
  <c r="H49" i="56"/>
  <c r="F104" i="14"/>
  <c r="G104" i="14"/>
  <c r="H104" i="14"/>
  <c r="F48" i="56"/>
  <c r="G48" i="56"/>
  <c r="H48" i="56"/>
  <c r="F228" i="8"/>
  <c r="G228" i="8"/>
  <c r="H228" i="8"/>
  <c r="F138" i="5"/>
  <c r="G138" i="5"/>
  <c r="H138" i="5"/>
  <c r="F44" i="4"/>
  <c r="G44" i="4"/>
  <c r="H44" i="4"/>
  <c r="F227" i="8"/>
  <c r="G227" i="8"/>
  <c r="H227" i="8"/>
  <c r="M22" i="53"/>
  <c r="F31" i="37"/>
  <c r="G31" i="37"/>
  <c r="H31" i="37"/>
  <c r="F25" i="12"/>
  <c r="G25" i="12"/>
  <c r="H25" i="12"/>
  <c r="F219" i="8"/>
  <c r="G219" i="8"/>
  <c r="H219" i="8"/>
  <c r="F282" i="40"/>
  <c r="G282" i="40"/>
  <c r="H282" i="40"/>
  <c r="F32" i="32"/>
  <c r="G32" i="32"/>
  <c r="H32" i="32"/>
  <c r="F30" i="37"/>
  <c r="G30" i="37"/>
  <c r="H30" i="37"/>
  <c r="F114" i="41"/>
  <c r="G114" i="41"/>
  <c r="H114" i="41"/>
  <c r="F156" i="65"/>
  <c r="G156" i="65"/>
  <c r="H156" i="65"/>
  <c r="F47" i="56"/>
  <c r="G47" i="56"/>
  <c r="H47" i="56"/>
  <c r="F29" i="9"/>
  <c r="G29" i="9"/>
  <c r="H29" i="9"/>
  <c r="F53" i="4"/>
  <c r="G53" i="4"/>
  <c r="H53" i="4"/>
  <c r="F154" i="3"/>
  <c r="G154" i="3"/>
  <c r="H154" i="3"/>
  <c r="F52" i="4"/>
  <c r="G52" i="4"/>
  <c r="H52" i="4"/>
  <c r="F51" i="4"/>
  <c r="G51" i="4"/>
  <c r="H51" i="4"/>
  <c r="F153" i="3"/>
  <c r="G153" i="3"/>
  <c r="H153" i="3"/>
  <c r="F68" i="35"/>
  <c r="G68" i="35"/>
  <c r="H68" i="35"/>
  <c r="F62" i="6"/>
  <c r="G62" i="6"/>
  <c r="H62" i="6"/>
  <c r="F137" i="5"/>
  <c r="G137" i="5"/>
  <c r="H137" i="5"/>
  <c r="F77" i="49"/>
  <c r="G77" i="49"/>
  <c r="H77" i="49"/>
  <c r="F264" i="10"/>
  <c r="G264" i="10"/>
  <c r="H264" i="10"/>
  <c r="F24" i="12"/>
  <c r="G24" i="12"/>
  <c r="H24" i="12"/>
  <c r="F30" i="23"/>
  <c r="G30" i="23"/>
  <c r="H30" i="23"/>
  <c r="F49" i="30"/>
  <c r="G49" i="30"/>
  <c r="H49" i="30"/>
  <c r="F155" i="65"/>
  <c r="G155" i="65"/>
  <c r="H155" i="65"/>
  <c r="F60" i="34"/>
  <c r="G60" i="34"/>
  <c r="H60" i="34"/>
  <c r="F24" i="52"/>
  <c r="G24" i="52"/>
  <c r="H24" i="52"/>
  <c r="F262" i="10"/>
  <c r="G262" i="10"/>
  <c r="H262" i="10"/>
  <c r="F52" i="27"/>
  <c r="G52" i="27"/>
  <c r="H52" i="27"/>
  <c r="F226" i="8"/>
  <c r="G226" i="8"/>
  <c r="H226" i="8"/>
  <c r="F51" i="42"/>
  <c r="G51" i="42"/>
  <c r="H51" i="42"/>
  <c r="F51" i="60"/>
  <c r="G51" i="60"/>
  <c r="H51" i="60"/>
  <c r="F103" i="14"/>
  <c r="G103" i="14"/>
  <c r="H103" i="14"/>
  <c r="F43" i="1"/>
  <c r="G43" i="1"/>
  <c r="H43" i="1"/>
  <c r="F281" i="40"/>
  <c r="G281" i="40"/>
  <c r="H281" i="40"/>
  <c r="F48" i="30"/>
  <c r="G48" i="30"/>
  <c r="H48" i="30"/>
  <c r="F72" i="57"/>
  <c r="G72" i="57"/>
  <c r="H72" i="57"/>
  <c r="F46" i="56"/>
  <c r="G46" i="56"/>
  <c r="H46" i="56"/>
  <c r="F31" i="28"/>
  <c r="G31" i="28"/>
  <c r="H31" i="28"/>
  <c r="F59" i="34"/>
  <c r="G59" i="34"/>
  <c r="H59" i="34"/>
  <c r="F154" i="65"/>
  <c r="G154" i="65"/>
  <c r="H154" i="65"/>
  <c r="F261" i="10"/>
  <c r="G261" i="10"/>
  <c r="H261" i="10"/>
  <c r="F45" i="13"/>
  <c r="G45" i="13"/>
  <c r="H45" i="13"/>
  <c r="F135" i="5"/>
  <c r="G135" i="5"/>
  <c r="H135" i="5"/>
  <c r="F67" i="35"/>
  <c r="G67" i="35"/>
  <c r="H67" i="35"/>
  <c r="F50" i="4"/>
  <c r="G50" i="4"/>
  <c r="H50" i="4"/>
  <c r="F28" i="9"/>
  <c r="G28" i="9"/>
  <c r="H28" i="9"/>
  <c r="F102" i="14"/>
  <c r="G102" i="14"/>
  <c r="H102" i="14"/>
  <c r="F61" i="6"/>
  <c r="G61" i="6"/>
  <c r="H61" i="6"/>
  <c r="F51" i="27"/>
  <c r="G51" i="27"/>
  <c r="H51" i="27"/>
  <c r="F225" i="8"/>
  <c r="G225" i="8"/>
  <c r="H225" i="8"/>
  <c r="J36" i="53"/>
  <c r="F22" i="52"/>
  <c r="G22" i="52"/>
  <c r="H22" i="52"/>
  <c r="F104" i="49"/>
  <c r="G104" i="49"/>
  <c r="H104" i="49"/>
  <c r="F50" i="60"/>
  <c r="G50" i="60"/>
  <c r="H50" i="60"/>
  <c r="F70" i="45"/>
  <c r="G70" i="45"/>
  <c r="H70" i="45"/>
  <c r="F30" i="44"/>
  <c r="G30" i="44"/>
  <c r="H30" i="44"/>
  <c r="F38" i="43"/>
  <c r="G38" i="43"/>
  <c r="H38" i="43"/>
  <c r="F37" i="43"/>
  <c r="G37" i="43"/>
  <c r="H37" i="43"/>
  <c r="F113" i="41"/>
  <c r="G113" i="41"/>
  <c r="H113" i="41"/>
  <c r="F280" i="40"/>
  <c r="G280" i="40"/>
  <c r="H280" i="40"/>
  <c r="F29" i="37"/>
  <c r="G29" i="37"/>
  <c r="H29" i="37"/>
  <c r="F66" i="35"/>
  <c r="G66" i="35"/>
  <c r="H66" i="35"/>
  <c r="F58" i="34"/>
  <c r="G58" i="34"/>
  <c r="H58" i="34"/>
  <c r="F47" i="30"/>
  <c r="G47" i="30"/>
  <c r="H47" i="30"/>
  <c r="F45" i="56"/>
  <c r="G45" i="56"/>
  <c r="H45" i="56"/>
  <c r="F44" i="56"/>
  <c r="G44" i="56"/>
  <c r="H44" i="56"/>
  <c r="F43" i="56"/>
  <c r="G43" i="56"/>
  <c r="H43" i="56"/>
  <c r="F42" i="56"/>
  <c r="G42" i="56"/>
  <c r="H42" i="56"/>
  <c r="F41" i="56"/>
  <c r="G41" i="56"/>
  <c r="H41" i="56"/>
  <c r="F50" i="24"/>
  <c r="G50" i="24"/>
  <c r="H50" i="24"/>
  <c r="F49" i="24"/>
  <c r="G49" i="24"/>
  <c r="H49" i="24"/>
  <c r="F43" i="20"/>
  <c r="G43" i="20"/>
  <c r="H43" i="20"/>
  <c r="F153" i="65"/>
  <c r="G153" i="65"/>
  <c r="H153" i="65"/>
  <c r="F23" i="12"/>
  <c r="G23" i="12"/>
  <c r="H23" i="12"/>
  <c r="F213" i="10"/>
  <c r="G213" i="10"/>
  <c r="H213" i="10"/>
  <c r="F27" i="9"/>
  <c r="G27" i="9"/>
  <c r="H27" i="9"/>
  <c r="F26" i="9"/>
  <c r="G26" i="9"/>
  <c r="H26" i="9"/>
  <c r="F37" i="7"/>
  <c r="G37" i="7"/>
  <c r="H37" i="7"/>
  <c r="F49" i="4"/>
  <c r="G49" i="4"/>
  <c r="H49" i="4"/>
  <c r="F43" i="4"/>
  <c r="G43" i="4"/>
  <c r="H43" i="4"/>
  <c r="J34" i="53"/>
  <c r="J35" i="53"/>
  <c r="F14" i="64"/>
  <c r="G14" i="64"/>
  <c r="H14" i="64"/>
  <c r="F152" i="3"/>
  <c r="G152" i="3"/>
  <c r="H152" i="3"/>
  <c r="F151" i="3"/>
  <c r="G151" i="3"/>
  <c r="H151" i="3"/>
  <c r="F28" i="37"/>
  <c r="G28" i="37"/>
  <c r="H28" i="37"/>
  <c r="D1" i="71"/>
  <c r="Q1" i="71" s="1"/>
  <c r="H49" i="71"/>
  <c r="G49" i="71"/>
  <c r="F49" i="71"/>
  <c r="H48" i="71"/>
  <c r="G48" i="71"/>
  <c r="F48" i="71"/>
  <c r="H47" i="71"/>
  <c r="G47" i="71"/>
  <c r="F47" i="71"/>
  <c r="H46" i="71"/>
  <c r="G46" i="71"/>
  <c r="F46" i="71"/>
  <c r="J45" i="71"/>
  <c r="H45" i="71"/>
  <c r="G45" i="71"/>
  <c r="F45" i="71"/>
  <c r="J44" i="71"/>
  <c r="H44" i="71"/>
  <c r="G44" i="71"/>
  <c r="F44" i="71"/>
  <c r="J43" i="71"/>
  <c r="H43" i="71"/>
  <c r="G43" i="71"/>
  <c r="F43" i="71"/>
  <c r="J42" i="71"/>
  <c r="H42" i="71"/>
  <c r="G42" i="71"/>
  <c r="F42" i="71"/>
  <c r="J41" i="71"/>
  <c r="H41" i="71"/>
  <c r="G41" i="71"/>
  <c r="F41" i="71"/>
  <c r="J40" i="71"/>
  <c r="H40" i="71"/>
  <c r="G40" i="71"/>
  <c r="F40" i="71"/>
  <c r="J39" i="71"/>
  <c r="H39" i="71"/>
  <c r="G39" i="71"/>
  <c r="F39" i="71"/>
  <c r="J38" i="71"/>
  <c r="H38" i="71"/>
  <c r="G38" i="71"/>
  <c r="F38" i="71"/>
  <c r="J37" i="71"/>
  <c r="H37" i="71"/>
  <c r="G37" i="71"/>
  <c r="F37" i="71"/>
  <c r="J36" i="71"/>
  <c r="H36" i="71"/>
  <c r="G36" i="71"/>
  <c r="F36" i="71"/>
  <c r="J35" i="71"/>
  <c r="H35" i="71"/>
  <c r="G35" i="71"/>
  <c r="F35" i="71"/>
  <c r="J34" i="71"/>
  <c r="H34" i="71"/>
  <c r="G34" i="71"/>
  <c r="F34" i="71"/>
  <c r="J33" i="71"/>
  <c r="H33" i="71"/>
  <c r="G33" i="71"/>
  <c r="F33" i="71"/>
  <c r="J32" i="71"/>
  <c r="H32" i="71"/>
  <c r="G32" i="71"/>
  <c r="F32" i="71"/>
  <c r="J31" i="71"/>
  <c r="H31" i="71"/>
  <c r="G31" i="71"/>
  <c r="F31" i="71"/>
  <c r="J30" i="71"/>
  <c r="H30" i="71"/>
  <c r="G30" i="71"/>
  <c r="F30" i="71"/>
  <c r="J29" i="71"/>
  <c r="H29" i="71"/>
  <c r="G29" i="71"/>
  <c r="F29" i="71"/>
  <c r="J28" i="71"/>
  <c r="H28" i="71"/>
  <c r="G28" i="71"/>
  <c r="F28" i="71"/>
  <c r="J27" i="71"/>
  <c r="H27" i="71"/>
  <c r="G27" i="71"/>
  <c r="F27" i="71"/>
  <c r="J26" i="71"/>
  <c r="H26" i="71"/>
  <c r="G26" i="71"/>
  <c r="F26" i="71"/>
  <c r="J25" i="71"/>
  <c r="H25" i="71"/>
  <c r="G25" i="71"/>
  <c r="F25" i="71"/>
  <c r="J24" i="71"/>
  <c r="H24" i="71"/>
  <c r="G24" i="71"/>
  <c r="F24" i="71"/>
  <c r="J23" i="71"/>
  <c r="H23" i="71"/>
  <c r="G23" i="71"/>
  <c r="F23" i="71"/>
  <c r="J22" i="71"/>
  <c r="H22" i="71"/>
  <c r="G22" i="71"/>
  <c r="F22" i="71"/>
  <c r="J21" i="71"/>
  <c r="H21" i="71"/>
  <c r="G21" i="71"/>
  <c r="F21" i="71"/>
  <c r="J20" i="71"/>
  <c r="H20" i="71"/>
  <c r="G20" i="71"/>
  <c r="F20" i="71"/>
  <c r="J19" i="71"/>
  <c r="H19" i="71"/>
  <c r="G19" i="71"/>
  <c r="F19" i="71"/>
  <c r="J18" i="71"/>
  <c r="H18" i="71"/>
  <c r="G18" i="71"/>
  <c r="F18" i="71"/>
  <c r="J17" i="71"/>
  <c r="H17" i="71"/>
  <c r="G17" i="71"/>
  <c r="F17" i="71"/>
  <c r="J16" i="71"/>
  <c r="H16" i="71"/>
  <c r="G16" i="71"/>
  <c r="F16" i="71"/>
  <c r="J15" i="71"/>
  <c r="H15" i="71"/>
  <c r="G15" i="71"/>
  <c r="F15" i="71"/>
  <c r="J14" i="71"/>
  <c r="H14" i="71"/>
  <c r="G14" i="71"/>
  <c r="F14" i="71"/>
  <c r="J13" i="71"/>
  <c r="H13" i="71"/>
  <c r="G13" i="71"/>
  <c r="F13" i="71"/>
  <c r="J12" i="71"/>
  <c r="H12" i="71"/>
  <c r="G12" i="71"/>
  <c r="F12" i="71"/>
  <c r="J11" i="71"/>
  <c r="H11" i="71"/>
  <c r="G11" i="71"/>
  <c r="F11" i="71"/>
  <c r="J10" i="71"/>
  <c r="H10" i="71"/>
  <c r="G10" i="71"/>
  <c r="F10" i="71"/>
  <c r="H9" i="71"/>
  <c r="G9" i="71"/>
  <c r="F9" i="71"/>
  <c r="J8" i="71"/>
  <c r="H8" i="71"/>
  <c r="G8" i="71"/>
  <c r="F8" i="71"/>
  <c r="J7" i="71"/>
  <c r="H7" i="71"/>
  <c r="G7" i="71"/>
  <c r="F7" i="71"/>
  <c r="H6" i="71"/>
  <c r="G6" i="71"/>
  <c r="F6" i="71"/>
  <c r="H5" i="71"/>
  <c r="G5" i="71"/>
  <c r="F5" i="71"/>
  <c r="C1" i="71" s="1"/>
  <c r="C62" i="2" s="1"/>
  <c r="F62" i="2" s="1"/>
  <c r="H4" i="71"/>
  <c r="G4" i="71"/>
  <c r="F4" i="71"/>
  <c r="J2" i="71"/>
  <c r="F45" i="20"/>
  <c r="G45" i="20"/>
  <c r="H45" i="20"/>
  <c r="F25" i="9"/>
  <c r="G25" i="9"/>
  <c r="H25" i="9"/>
  <c r="F99" i="49"/>
  <c r="G99" i="49"/>
  <c r="H99" i="49"/>
  <c r="F186" i="8"/>
  <c r="G186" i="8"/>
  <c r="H186" i="8"/>
  <c r="M4" i="71" l="1"/>
  <c r="R1" i="71"/>
  <c r="P1" i="71"/>
  <c r="L3" i="71"/>
  <c r="L4" i="71"/>
  <c r="N4" i="71" s="1"/>
  <c r="N5" i="71" s="1"/>
  <c r="E1" i="71"/>
  <c r="K2" i="71" s="1"/>
  <c r="L2" i="71" s="1"/>
  <c r="M3" i="71"/>
  <c r="F1" i="71"/>
  <c r="M1" i="71" l="1"/>
  <c r="N1" i="71" s="1"/>
  <c r="D62" i="2"/>
  <c r="H62" i="2" s="1"/>
  <c r="G1" i="71"/>
  <c r="G62" i="2" s="1"/>
  <c r="F100" i="49" l="1"/>
  <c r="G100" i="49"/>
  <c r="H100" i="49"/>
  <c r="F24" i="9"/>
  <c r="G24" i="9"/>
  <c r="H24" i="9"/>
  <c r="F101" i="49" l="1"/>
  <c r="G101" i="49"/>
  <c r="H101" i="49"/>
  <c r="F212" i="10"/>
  <c r="G212" i="10"/>
  <c r="H212" i="10"/>
  <c r="F27" i="67"/>
  <c r="G27" i="67"/>
  <c r="H27" i="67"/>
  <c r="F102" i="49"/>
  <c r="G102" i="49"/>
  <c r="H102" i="49"/>
  <c r="F26" i="67"/>
  <c r="G26" i="67"/>
  <c r="H26" i="67"/>
  <c r="F27" i="37"/>
  <c r="G27" i="37"/>
  <c r="H27" i="37"/>
  <c r="F224" i="8"/>
  <c r="G224" i="8"/>
  <c r="H224" i="8"/>
  <c r="F217" i="8"/>
  <c r="G217" i="8"/>
  <c r="H217" i="8"/>
  <c r="F103" i="49"/>
  <c r="G103" i="49"/>
  <c r="H103" i="49"/>
  <c r="F98" i="49"/>
  <c r="G98" i="49"/>
  <c r="H98" i="49"/>
  <c r="F69" i="45"/>
  <c r="G69" i="45"/>
  <c r="H69" i="45"/>
  <c r="F50" i="27"/>
  <c r="G50" i="27"/>
  <c r="H50" i="27"/>
  <c r="F40" i="56"/>
  <c r="G40" i="56"/>
  <c r="H40" i="56"/>
  <c r="F42" i="4"/>
  <c r="G42" i="4"/>
  <c r="H42" i="4"/>
  <c r="F211" i="10"/>
  <c r="G211" i="10"/>
  <c r="H211" i="10"/>
  <c r="F218" i="8"/>
  <c r="G218" i="8"/>
  <c r="H218" i="8"/>
  <c r="F39" i="56"/>
  <c r="G39" i="56"/>
  <c r="H39" i="56"/>
  <c r="F223" i="8"/>
  <c r="G223" i="8"/>
  <c r="H223" i="8"/>
  <c r="F80" i="49"/>
  <c r="G80" i="49"/>
  <c r="H80" i="49"/>
  <c r="F68" i="45"/>
  <c r="G68" i="45"/>
  <c r="H68" i="45"/>
  <c r="F29" i="15"/>
  <c r="G29" i="15"/>
  <c r="H29" i="15"/>
  <c r="F67" i="45"/>
  <c r="G67" i="45"/>
  <c r="H67" i="45"/>
  <c r="F48" i="24"/>
  <c r="G48" i="24"/>
  <c r="H48" i="24"/>
  <c r="F97" i="49"/>
  <c r="G97" i="49"/>
  <c r="H97" i="49"/>
  <c r="F96" i="49"/>
  <c r="G96" i="49"/>
  <c r="H96" i="49"/>
  <c r="F95" i="49"/>
  <c r="G95" i="49"/>
  <c r="H95" i="49"/>
  <c r="F94" i="49"/>
  <c r="G94" i="49"/>
  <c r="H94" i="49"/>
  <c r="F93" i="49"/>
  <c r="G93" i="49"/>
  <c r="H93" i="49"/>
  <c r="F92" i="49"/>
  <c r="G92" i="49"/>
  <c r="H92" i="49"/>
  <c r="F91" i="49"/>
  <c r="G91" i="49"/>
  <c r="H91" i="49"/>
  <c r="F21" i="52"/>
  <c r="G21" i="52"/>
  <c r="H21" i="52"/>
  <c r="F66" i="45"/>
  <c r="G66" i="45"/>
  <c r="H66" i="45"/>
  <c r="F9" i="69"/>
  <c r="G9" i="69"/>
  <c r="H9" i="69"/>
  <c r="F188" i="8"/>
  <c r="G188" i="8"/>
  <c r="H188" i="8"/>
  <c r="F152" i="65"/>
  <c r="G152" i="65"/>
  <c r="H152" i="65"/>
  <c r="F209" i="10"/>
  <c r="G209" i="10"/>
  <c r="H209" i="10"/>
  <c r="F210" i="10"/>
  <c r="G210" i="10"/>
  <c r="H210" i="10"/>
  <c r="F189" i="8"/>
  <c r="G189" i="8"/>
  <c r="H189" i="8"/>
  <c r="F34" i="54"/>
  <c r="G34" i="54"/>
  <c r="H34" i="54"/>
  <c r="F151" i="65"/>
  <c r="G151" i="65"/>
  <c r="H151" i="65"/>
  <c r="F150" i="65"/>
  <c r="G150" i="65"/>
  <c r="H150" i="65"/>
  <c r="F17" i="67"/>
  <c r="G17" i="67"/>
  <c r="H17" i="67"/>
  <c r="F33" i="54"/>
  <c r="G33" i="54"/>
  <c r="H33" i="54"/>
  <c r="D1" i="70"/>
  <c r="Q1" i="70" s="1"/>
  <c r="D1" i="69"/>
  <c r="Q1" i="69" s="1"/>
  <c r="F38" i="56"/>
  <c r="G38" i="56"/>
  <c r="H38" i="56"/>
  <c r="F33" i="43"/>
  <c r="G33" i="43"/>
  <c r="H33" i="43"/>
  <c r="F37" i="56"/>
  <c r="G37" i="56"/>
  <c r="H37" i="56"/>
  <c r="F36" i="56"/>
  <c r="G36" i="56"/>
  <c r="H36" i="56"/>
  <c r="F40" i="60"/>
  <c r="G40" i="60"/>
  <c r="H40" i="60"/>
  <c r="F190" i="8"/>
  <c r="G190" i="8"/>
  <c r="H190" i="8"/>
  <c r="F191" i="8"/>
  <c r="G191" i="8"/>
  <c r="H191" i="8"/>
  <c r="F18" i="67"/>
  <c r="G18" i="67"/>
  <c r="H18" i="67"/>
  <c r="F32" i="54"/>
  <c r="G32" i="54"/>
  <c r="H32" i="54"/>
  <c r="F50" i="42"/>
  <c r="G50" i="42"/>
  <c r="H50" i="42"/>
  <c r="F26" i="37"/>
  <c r="G26" i="37"/>
  <c r="H26" i="37"/>
  <c r="F47" i="24"/>
  <c r="G47" i="24"/>
  <c r="H47" i="24"/>
  <c r="F42" i="1"/>
  <c r="G42" i="1"/>
  <c r="H42" i="1"/>
  <c r="F35" i="56"/>
  <c r="G35" i="56"/>
  <c r="H35" i="56"/>
  <c r="F44" i="13"/>
  <c r="G44" i="13"/>
  <c r="H44" i="13"/>
  <c r="F46" i="24"/>
  <c r="G46" i="24"/>
  <c r="H46" i="24"/>
  <c r="F25" i="37"/>
  <c r="G25" i="37"/>
  <c r="H25" i="37"/>
  <c r="F41" i="1"/>
  <c r="G41" i="1"/>
  <c r="H41" i="1"/>
  <c r="H48" i="70"/>
  <c r="G48" i="70"/>
  <c r="F48" i="70"/>
  <c r="H47" i="70"/>
  <c r="G47" i="70"/>
  <c r="F47" i="70"/>
  <c r="H46" i="70"/>
  <c r="G46" i="70"/>
  <c r="F46" i="70"/>
  <c r="H45" i="70"/>
  <c r="G45" i="70"/>
  <c r="F45" i="70"/>
  <c r="J44" i="70"/>
  <c r="H44" i="70"/>
  <c r="G44" i="70"/>
  <c r="F44" i="70"/>
  <c r="J43" i="70"/>
  <c r="H43" i="70"/>
  <c r="G43" i="70"/>
  <c r="F43" i="70"/>
  <c r="J42" i="70"/>
  <c r="H42" i="70"/>
  <c r="G42" i="70"/>
  <c r="F42" i="70"/>
  <c r="J41" i="70"/>
  <c r="H41" i="70"/>
  <c r="G41" i="70"/>
  <c r="F41" i="70"/>
  <c r="J40" i="70"/>
  <c r="H40" i="70"/>
  <c r="G40" i="70"/>
  <c r="F40" i="70"/>
  <c r="J39" i="70"/>
  <c r="H39" i="70"/>
  <c r="G39" i="70"/>
  <c r="F39" i="70"/>
  <c r="J38" i="70"/>
  <c r="H38" i="70"/>
  <c r="G38" i="70"/>
  <c r="F38" i="70"/>
  <c r="J37" i="70"/>
  <c r="H37" i="70"/>
  <c r="G37" i="70"/>
  <c r="F37" i="70"/>
  <c r="J36" i="70"/>
  <c r="H36" i="70"/>
  <c r="G36" i="70"/>
  <c r="F36" i="70"/>
  <c r="J35" i="70"/>
  <c r="H35" i="70"/>
  <c r="G35" i="70"/>
  <c r="F35" i="70"/>
  <c r="J34" i="70"/>
  <c r="H34" i="70"/>
  <c r="G34" i="70"/>
  <c r="F34" i="70"/>
  <c r="J33" i="70"/>
  <c r="H33" i="70"/>
  <c r="G33" i="70"/>
  <c r="F33" i="70"/>
  <c r="J32" i="70"/>
  <c r="H32" i="70"/>
  <c r="G32" i="70"/>
  <c r="F32" i="70"/>
  <c r="J31" i="70"/>
  <c r="H31" i="70"/>
  <c r="G31" i="70"/>
  <c r="F31" i="70"/>
  <c r="J30" i="70"/>
  <c r="H30" i="70"/>
  <c r="G30" i="70"/>
  <c r="F30" i="70"/>
  <c r="J29" i="70"/>
  <c r="H29" i="70"/>
  <c r="G29" i="70"/>
  <c r="F29" i="70"/>
  <c r="J28" i="70"/>
  <c r="H28" i="70"/>
  <c r="G28" i="70"/>
  <c r="F28" i="70"/>
  <c r="J27" i="70"/>
  <c r="H27" i="70"/>
  <c r="G27" i="70"/>
  <c r="F27" i="70"/>
  <c r="J26" i="70"/>
  <c r="H26" i="70"/>
  <c r="G26" i="70"/>
  <c r="F26" i="70"/>
  <c r="J25" i="70"/>
  <c r="H25" i="70"/>
  <c r="G25" i="70"/>
  <c r="F25" i="70"/>
  <c r="J24" i="70"/>
  <c r="H24" i="70"/>
  <c r="G24" i="70"/>
  <c r="F24" i="70"/>
  <c r="J23" i="70"/>
  <c r="H23" i="70"/>
  <c r="G23" i="70"/>
  <c r="F23" i="70"/>
  <c r="J22" i="70"/>
  <c r="H22" i="70"/>
  <c r="G22" i="70"/>
  <c r="F22" i="70"/>
  <c r="J21" i="70"/>
  <c r="H21" i="70"/>
  <c r="G21" i="70"/>
  <c r="F21" i="70"/>
  <c r="J20" i="70"/>
  <c r="H20" i="70"/>
  <c r="G20" i="70"/>
  <c r="F20" i="70"/>
  <c r="J19" i="70"/>
  <c r="H19" i="70"/>
  <c r="G19" i="70"/>
  <c r="F19" i="70"/>
  <c r="J18" i="70"/>
  <c r="H18" i="70"/>
  <c r="G18" i="70"/>
  <c r="F18" i="70"/>
  <c r="J17" i="70"/>
  <c r="H17" i="70"/>
  <c r="G17" i="70"/>
  <c r="F17" i="70"/>
  <c r="J16" i="70"/>
  <c r="H16" i="70"/>
  <c r="G16" i="70"/>
  <c r="F16" i="70"/>
  <c r="J15" i="70"/>
  <c r="H15" i="70"/>
  <c r="G15" i="70"/>
  <c r="F15" i="70"/>
  <c r="J14" i="70"/>
  <c r="H14" i="70"/>
  <c r="G14" i="70"/>
  <c r="F14" i="70"/>
  <c r="J13" i="70"/>
  <c r="H13" i="70"/>
  <c r="G13" i="70"/>
  <c r="F13" i="70"/>
  <c r="J12" i="70"/>
  <c r="H12" i="70"/>
  <c r="G12" i="70"/>
  <c r="F12" i="70"/>
  <c r="J11" i="70"/>
  <c r="H11" i="70"/>
  <c r="G11" i="70"/>
  <c r="F11" i="70"/>
  <c r="J10" i="70"/>
  <c r="H10" i="70"/>
  <c r="G10" i="70"/>
  <c r="F10" i="70"/>
  <c r="J9" i="70"/>
  <c r="H9" i="70"/>
  <c r="G9" i="70"/>
  <c r="F9" i="70"/>
  <c r="J8" i="70"/>
  <c r="H8" i="70"/>
  <c r="G8" i="70"/>
  <c r="F8" i="70"/>
  <c r="J7" i="70"/>
  <c r="H7" i="70"/>
  <c r="G7" i="70"/>
  <c r="F7" i="70"/>
  <c r="H6" i="70"/>
  <c r="G6" i="70"/>
  <c r="F6" i="70"/>
  <c r="H5" i="70"/>
  <c r="G5" i="70"/>
  <c r="F5" i="70"/>
  <c r="H4" i="70"/>
  <c r="G4" i="70"/>
  <c r="F4" i="70"/>
  <c r="J2" i="70"/>
  <c r="C1" i="70"/>
  <c r="C5" i="2" s="1"/>
  <c r="F5" i="2" s="1"/>
  <c r="H49" i="69"/>
  <c r="G49" i="69"/>
  <c r="F49" i="69"/>
  <c r="H48" i="69"/>
  <c r="G48" i="69"/>
  <c r="F48" i="69"/>
  <c r="H47" i="69"/>
  <c r="G47" i="69"/>
  <c r="F47" i="69"/>
  <c r="H46" i="69"/>
  <c r="G46" i="69"/>
  <c r="F46" i="69"/>
  <c r="J45" i="69"/>
  <c r="H45" i="69"/>
  <c r="G45" i="69"/>
  <c r="F45" i="69"/>
  <c r="J44" i="69"/>
  <c r="H44" i="69"/>
  <c r="G44" i="69"/>
  <c r="F44" i="69"/>
  <c r="J43" i="69"/>
  <c r="H43" i="69"/>
  <c r="G43" i="69"/>
  <c r="F43" i="69"/>
  <c r="J42" i="69"/>
  <c r="H42" i="69"/>
  <c r="G42" i="69"/>
  <c r="F42" i="69"/>
  <c r="J41" i="69"/>
  <c r="H41" i="69"/>
  <c r="G41" i="69"/>
  <c r="F41" i="69"/>
  <c r="J40" i="69"/>
  <c r="H40" i="69"/>
  <c r="G40" i="69"/>
  <c r="F40" i="69"/>
  <c r="J39" i="69"/>
  <c r="H39" i="69"/>
  <c r="G39" i="69"/>
  <c r="F39" i="69"/>
  <c r="J38" i="69"/>
  <c r="H38" i="69"/>
  <c r="G38" i="69"/>
  <c r="F38" i="69"/>
  <c r="J37" i="69"/>
  <c r="H37" i="69"/>
  <c r="G37" i="69"/>
  <c r="F37" i="69"/>
  <c r="J36" i="69"/>
  <c r="H36" i="69"/>
  <c r="G36" i="69"/>
  <c r="F36" i="69"/>
  <c r="J35" i="69"/>
  <c r="H35" i="69"/>
  <c r="G35" i="69"/>
  <c r="F35" i="69"/>
  <c r="J34" i="69"/>
  <c r="H34" i="69"/>
  <c r="G34" i="69"/>
  <c r="F34" i="69"/>
  <c r="J33" i="69"/>
  <c r="H33" i="69"/>
  <c r="G33" i="69"/>
  <c r="F33" i="69"/>
  <c r="J32" i="69"/>
  <c r="H32" i="69"/>
  <c r="G32" i="69"/>
  <c r="F32" i="69"/>
  <c r="J31" i="69"/>
  <c r="H31" i="69"/>
  <c r="G31" i="69"/>
  <c r="F31" i="69"/>
  <c r="J30" i="69"/>
  <c r="H30" i="69"/>
  <c r="G30" i="69"/>
  <c r="F30" i="69"/>
  <c r="J29" i="69"/>
  <c r="H29" i="69"/>
  <c r="G29" i="69"/>
  <c r="F29" i="69"/>
  <c r="J28" i="69"/>
  <c r="H28" i="69"/>
  <c r="G28" i="69"/>
  <c r="F28" i="69"/>
  <c r="J27" i="69"/>
  <c r="H27" i="69"/>
  <c r="G27" i="69"/>
  <c r="F27" i="69"/>
  <c r="J26" i="69"/>
  <c r="H26" i="69"/>
  <c r="G26" i="69"/>
  <c r="F26" i="69"/>
  <c r="J25" i="69"/>
  <c r="H25" i="69"/>
  <c r="G25" i="69"/>
  <c r="F25" i="69"/>
  <c r="J24" i="69"/>
  <c r="H24" i="69"/>
  <c r="G24" i="69"/>
  <c r="F24" i="69"/>
  <c r="J23" i="69"/>
  <c r="H23" i="69"/>
  <c r="G23" i="69"/>
  <c r="F23" i="69"/>
  <c r="J22" i="69"/>
  <c r="H22" i="69"/>
  <c r="G22" i="69"/>
  <c r="F22" i="69"/>
  <c r="J21" i="69"/>
  <c r="H21" i="69"/>
  <c r="G21" i="69"/>
  <c r="F21" i="69"/>
  <c r="J20" i="69"/>
  <c r="H20" i="69"/>
  <c r="G20" i="69"/>
  <c r="F20" i="69"/>
  <c r="J19" i="69"/>
  <c r="H19" i="69"/>
  <c r="G19" i="69"/>
  <c r="F19" i="69"/>
  <c r="J18" i="69"/>
  <c r="H18" i="69"/>
  <c r="G18" i="69"/>
  <c r="F18" i="69"/>
  <c r="J17" i="69"/>
  <c r="H17" i="69"/>
  <c r="G17" i="69"/>
  <c r="F17" i="69"/>
  <c r="J16" i="69"/>
  <c r="H16" i="69"/>
  <c r="G16" i="69"/>
  <c r="F16" i="69"/>
  <c r="J15" i="69"/>
  <c r="H15" i="69"/>
  <c r="G15" i="69"/>
  <c r="F15" i="69"/>
  <c r="J14" i="69"/>
  <c r="H14" i="69"/>
  <c r="G14" i="69"/>
  <c r="F14" i="69"/>
  <c r="J13" i="69"/>
  <c r="H13" i="69"/>
  <c r="G13" i="69"/>
  <c r="F13" i="69"/>
  <c r="J12" i="69"/>
  <c r="H12" i="69"/>
  <c r="G12" i="69"/>
  <c r="F12" i="69"/>
  <c r="J11" i="69"/>
  <c r="H11" i="69"/>
  <c r="G11" i="69"/>
  <c r="F11" i="69"/>
  <c r="J10" i="69"/>
  <c r="H10" i="69"/>
  <c r="G10" i="69"/>
  <c r="F10" i="69"/>
  <c r="J8" i="69"/>
  <c r="H8" i="69"/>
  <c r="G8" i="69"/>
  <c r="F8" i="69"/>
  <c r="J7" i="69"/>
  <c r="H7" i="69"/>
  <c r="G7" i="69"/>
  <c r="F7" i="69"/>
  <c r="H6" i="69"/>
  <c r="G6" i="69"/>
  <c r="F6" i="69"/>
  <c r="H5" i="69"/>
  <c r="G5" i="69"/>
  <c r="F5" i="69"/>
  <c r="H4" i="69"/>
  <c r="G4" i="69"/>
  <c r="F4" i="69"/>
  <c r="J2" i="69"/>
  <c r="F31" i="36"/>
  <c r="G31" i="36"/>
  <c r="H31" i="36"/>
  <c r="F40" i="1"/>
  <c r="G40" i="1"/>
  <c r="H40" i="1"/>
  <c r="F31" i="54"/>
  <c r="G31" i="54"/>
  <c r="H31" i="54"/>
  <c r="F195" i="8"/>
  <c r="G195" i="8"/>
  <c r="H195" i="8"/>
  <c r="F54" i="51"/>
  <c r="G54" i="51"/>
  <c r="H54" i="51"/>
  <c r="F45" i="24"/>
  <c r="G45" i="24"/>
  <c r="H45" i="24"/>
  <c r="F43" i="13"/>
  <c r="G43" i="13"/>
  <c r="H43" i="13"/>
  <c r="F19" i="67"/>
  <c r="G19" i="67"/>
  <c r="H19" i="67"/>
  <c r="F196" i="8"/>
  <c r="G196" i="8"/>
  <c r="H196" i="8"/>
  <c r="F53" i="51"/>
  <c r="G53" i="51"/>
  <c r="H53" i="51"/>
  <c r="F197" i="8"/>
  <c r="G197" i="8"/>
  <c r="H197" i="8"/>
  <c r="F52" i="51"/>
  <c r="G52" i="51"/>
  <c r="H52" i="51"/>
  <c r="F114" i="65"/>
  <c r="G114" i="65"/>
  <c r="H114" i="65"/>
  <c r="F24" i="37"/>
  <c r="G24" i="37"/>
  <c r="H24" i="37"/>
  <c r="F51" i="51"/>
  <c r="G51" i="51"/>
  <c r="H51" i="51"/>
  <c r="F11" i="64"/>
  <c r="G11" i="64"/>
  <c r="H11" i="64"/>
  <c r="F36" i="16"/>
  <c r="G36" i="16"/>
  <c r="H36" i="16"/>
  <c r="F42" i="13"/>
  <c r="G42" i="13"/>
  <c r="H42" i="13"/>
  <c r="F245" i="10"/>
  <c r="G245" i="10"/>
  <c r="H245" i="10"/>
  <c r="F246" i="10"/>
  <c r="G246" i="10"/>
  <c r="H246" i="10"/>
  <c r="F30" i="54"/>
  <c r="G30" i="54"/>
  <c r="H30" i="54"/>
  <c r="F198" i="8"/>
  <c r="G198" i="8"/>
  <c r="H198" i="8"/>
  <c r="F50" i="51"/>
  <c r="G50" i="51"/>
  <c r="H50" i="51"/>
  <c r="F117" i="65"/>
  <c r="G117" i="65"/>
  <c r="H117" i="65"/>
  <c r="F39" i="48"/>
  <c r="G39" i="48"/>
  <c r="H39" i="48"/>
  <c r="F41" i="13"/>
  <c r="G41" i="13"/>
  <c r="H41" i="13"/>
  <c r="F247" i="10"/>
  <c r="G247" i="10"/>
  <c r="H247" i="10"/>
  <c r="F29" i="54"/>
  <c r="G29" i="54"/>
  <c r="H29" i="54"/>
  <c r="F248" i="10"/>
  <c r="G248" i="10"/>
  <c r="H248" i="10"/>
  <c r="F57" i="16"/>
  <c r="G57" i="16"/>
  <c r="H57" i="16"/>
  <c r="F49" i="51"/>
  <c r="G49" i="51"/>
  <c r="H49" i="51"/>
  <c r="F28" i="54"/>
  <c r="G28" i="54"/>
  <c r="H28" i="54"/>
  <c r="F48" i="51"/>
  <c r="G48" i="51"/>
  <c r="H48" i="51"/>
  <c r="L4" i="70" l="1"/>
  <c r="M4" i="70"/>
  <c r="C1" i="69"/>
  <c r="M3" i="69" s="1"/>
  <c r="M4" i="69"/>
  <c r="E1" i="70"/>
  <c r="K2" i="70" s="1"/>
  <c r="L2" i="70" s="1"/>
  <c r="L3" i="70"/>
  <c r="R1" i="70"/>
  <c r="P1" i="70"/>
  <c r="F1" i="70"/>
  <c r="M3" i="70"/>
  <c r="L3" i="69"/>
  <c r="L4" i="69"/>
  <c r="R1" i="69"/>
  <c r="P1" i="69"/>
  <c r="N4" i="70" l="1"/>
  <c r="N5" i="70" s="1"/>
  <c r="F1" i="69"/>
  <c r="M1" i="69" s="1"/>
  <c r="N1" i="69" s="1"/>
  <c r="E1" i="69"/>
  <c r="K2" i="69" s="1"/>
  <c r="L2" i="69" s="1"/>
  <c r="C65" i="2"/>
  <c r="F65" i="2" s="1"/>
  <c r="N4" i="69"/>
  <c r="N5" i="69" s="1"/>
  <c r="D65" i="2"/>
  <c r="H65" i="2" s="1"/>
  <c r="M1" i="70"/>
  <c r="N1" i="70" s="1"/>
  <c r="D5" i="2"/>
  <c r="I5" i="2"/>
  <c r="G1" i="70"/>
  <c r="G5" i="2" s="1"/>
  <c r="G1" i="69"/>
  <c r="G65" i="2" s="1"/>
  <c r="I65" i="2" l="1"/>
  <c r="J65" i="2" s="1"/>
  <c r="H5" i="2"/>
  <c r="J5" i="2" s="1"/>
  <c r="F71" i="57" l="1"/>
  <c r="G71" i="57"/>
  <c r="H71" i="57"/>
  <c r="F23" i="13"/>
  <c r="G23" i="13"/>
  <c r="H23" i="13"/>
  <c r="F134" i="5"/>
  <c r="G134" i="5"/>
  <c r="H134" i="5"/>
  <c r="F216" i="8"/>
  <c r="G216" i="8"/>
  <c r="H216" i="8"/>
  <c r="F22" i="38"/>
  <c r="G22" i="38"/>
  <c r="H22" i="38"/>
  <c r="F133" i="5"/>
  <c r="G133" i="5"/>
  <c r="H133" i="5"/>
  <c r="F132" i="5"/>
  <c r="G132" i="5"/>
  <c r="H132" i="5"/>
  <c r="F131" i="5"/>
  <c r="G131" i="5"/>
  <c r="H131" i="5"/>
  <c r="F130" i="5"/>
  <c r="G130" i="5"/>
  <c r="H130" i="5"/>
  <c r="F129" i="5"/>
  <c r="G129" i="5"/>
  <c r="H129" i="5"/>
  <c r="F44" i="24"/>
  <c r="G44" i="24"/>
  <c r="H44" i="24"/>
  <c r="F47" i="51"/>
  <c r="G47" i="51"/>
  <c r="H47" i="51"/>
  <c r="F128" i="5"/>
  <c r="G128" i="5"/>
  <c r="H128" i="5"/>
  <c r="F127" i="5"/>
  <c r="G127" i="5"/>
  <c r="H127" i="5"/>
  <c r="F126" i="5"/>
  <c r="G126" i="5"/>
  <c r="H126" i="5"/>
  <c r="F125" i="5"/>
  <c r="G125" i="5"/>
  <c r="H125" i="5"/>
  <c r="F43" i="24"/>
  <c r="G43" i="24"/>
  <c r="H43" i="24"/>
  <c r="F79" i="49"/>
  <c r="G79" i="49"/>
  <c r="H79" i="49"/>
  <c r="F26" i="54"/>
  <c r="G26" i="54"/>
  <c r="H26" i="54"/>
  <c r="F201" i="8"/>
  <c r="G201" i="8"/>
  <c r="H201" i="8"/>
  <c r="F42" i="24"/>
  <c r="G42" i="24"/>
  <c r="H42" i="24"/>
  <c r="F203" i="8"/>
  <c r="G203" i="8"/>
  <c r="H203" i="8"/>
  <c r="F32" i="43"/>
  <c r="G32" i="43"/>
  <c r="H32" i="43"/>
  <c r="F84" i="50"/>
  <c r="G84" i="50"/>
  <c r="H84" i="50"/>
  <c r="F150" i="3"/>
  <c r="G150" i="3"/>
  <c r="H150" i="3"/>
  <c r="F204" i="8"/>
  <c r="G204" i="8"/>
  <c r="H204" i="8"/>
  <c r="F149" i="3"/>
  <c r="G149" i="3"/>
  <c r="H149" i="3"/>
  <c r="F41" i="24"/>
  <c r="G41" i="24"/>
  <c r="H41" i="24"/>
  <c r="F40" i="24"/>
  <c r="G40" i="24"/>
  <c r="H40" i="24"/>
  <c r="F39" i="24"/>
  <c r="G39" i="24"/>
  <c r="H39" i="24"/>
  <c r="F46" i="51"/>
  <c r="G46" i="51"/>
  <c r="H46" i="51"/>
  <c r="F76" i="49" l="1"/>
  <c r="G76" i="49"/>
  <c r="H76" i="49"/>
  <c r="F31" i="32" l="1"/>
  <c r="G31" i="32"/>
  <c r="H31" i="32"/>
  <c r="F124" i="5"/>
  <c r="G124" i="5"/>
  <c r="H124" i="5"/>
  <c r="F11" i="62"/>
  <c r="G11" i="62"/>
  <c r="H11" i="62"/>
  <c r="F44" i="20"/>
  <c r="G44" i="20"/>
  <c r="H44" i="20"/>
  <c r="F30" i="32"/>
  <c r="G30" i="32"/>
  <c r="H30" i="32"/>
  <c r="F49" i="27"/>
  <c r="G49" i="27"/>
  <c r="H49" i="27"/>
  <c r="F215" i="8"/>
  <c r="G215" i="8"/>
  <c r="H215" i="8"/>
  <c r="F214" i="8"/>
  <c r="G214" i="8"/>
  <c r="H214" i="8"/>
  <c r="F70" i="57"/>
  <c r="G70" i="57"/>
  <c r="H70" i="57"/>
  <c r="F49" i="42"/>
  <c r="G49" i="42"/>
  <c r="H49" i="42"/>
  <c r="F38" i="24"/>
  <c r="G38" i="24"/>
  <c r="H38" i="24"/>
  <c r="F37" i="24"/>
  <c r="G37" i="24"/>
  <c r="H37" i="24"/>
  <c r="F83" i="50"/>
  <c r="G83" i="50"/>
  <c r="H83" i="50"/>
  <c r="F49" i="60"/>
  <c r="G49" i="60"/>
  <c r="H49" i="60"/>
  <c r="F40" i="13"/>
  <c r="G40" i="13"/>
  <c r="H40" i="13"/>
  <c r="F48" i="42"/>
  <c r="G48" i="42"/>
  <c r="H48" i="42"/>
  <c r="F39" i="13"/>
  <c r="G39" i="13"/>
  <c r="H39" i="13"/>
  <c r="F34" i="36"/>
  <c r="G34" i="36"/>
  <c r="H34" i="36"/>
  <c r="F25" i="67"/>
  <c r="G25" i="67"/>
  <c r="H25" i="67"/>
  <c r="F65" i="35"/>
  <c r="G65" i="35"/>
  <c r="H65" i="35"/>
  <c r="F29" i="24"/>
  <c r="G29" i="24"/>
  <c r="H29" i="24"/>
  <c r="F38" i="13"/>
  <c r="G38" i="13"/>
  <c r="H38" i="13"/>
  <c r="F112" i="41"/>
  <c r="G112" i="41"/>
  <c r="H112" i="41"/>
  <c r="F65" i="45"/>
  <c r="G65" i="45"/>
  <c r="H65" i="45"/>
  <c r="F149" i="65"/>
  <c r="G149" i="65"/>
  <c r="H149" i="65"/>
  <c r="F37" i="13"/>
  <c r="G37" i="13"/>
  <c r="H37" i="13"/>
  <c r="F213" i="8"/>
  <c r="G213" i="8"/>
  <c r="H213" i="8"/>
  <c r="F212" i="8"/>
  <c r="G212" i="8"/>
  <c r="H212" i="8"/>
  <c r="F211" i="8"/>
  <c r="G211" i="8"/>
  <c r="H211" i="8"/>
  <c r="F210" i="8"/>
  <c r="G210" i="8"/>
  <c r="H210" i="8"/>
  <c r="F209" i="8"/>
  <c r="G209" i="8"/>
  <c r="H209" i="8"/>
  <c r="F208" i="8"/>
  <c r="G208" i="8"/>
  <c r="H208" i="8"/>
  <c r="F101" i="14"/>
  <c r="G101" i="14"/>
  <c r="H101" i="14"/>
  <c r="F12" i="64"/>
  <c r="G12" i="64"/>
  <c r="H12" i="64"/>
  <c r="F207" i="8"/>
  <c r="G207" i="8"/>
  <c r="H207" i="8"/>
  <c r="F13" i="4"/>
  <c r="G13" i="4"/>
  <c r="H13" i="4"/>
  <c r="F206" i="8"/>
  <c r="G206" i="8"/>
  <c r="H206" i="8"/>
  <c r="F205" i="8"/>
  <c r="G205" i="8"/>
  <c r="H205" i="8"/>
  <c r="F260" i="10"/>
  <c r="G260" i="10"/>
  <c r="H260" i="10"/>
  <c r="F60" i="6"/>
  <c r="G60" i="6"/>
  <c r="H60" i="6"/>
  <c r="F202" i="8"/>
  <c r="G202" i="8"/>
  <c r="H202" i="8"/>
  <c r="F200" i="8"/>
  <c r="G200" i="8"/>
  <c r="H200" i="8"/>
  <c r="F69" i="57"/>
  <c r="G69" i="57"/>
  <c r="H69" i="57"/>
  <c r="F279" i="40"/>
  <c r="G279" i="40"/>
  <c r="H279" i="40"/>
  <c r="F41" i="4"/>
  <c r="G41" i="4"/>
  <c r="H41" i="4"/>
  <c r="F47" i="42"/>
  <c r="G47" i="42"/>
  <c r="H47" i="42"/>
  <c r="F199" i="8"/>
  <c r="G199" i="8"/>
  <c r="H199" i="8"/>
  <c r="F64" i="45"/>
  <c r="G64" i="45"/>
  <c r="H64" i="45"/>
  <c r="F42" i="20"/>
  <c r="G42" i="20"/>
  <c r="H42" i="20"/>
  <c r="F194" i="8"/>
  <c r="G194" i="8"/>
  <c r="H194" i="8"/>
  <c r="F32" i="4"/>
  <c r="G32" i="4"/>
  <c r="H32" i="4"/>
  <c r="F40" i="4" l="1"/>
  <c r="G40" i="4"/>
  <c r="H40" i="4"/>
  <c r="F63" i="45"/>
  <c r="G63" i="45"/>
  <c r="H63" i="45"/>
  <c r="F111" i="41"/>
  <c r="G111" i="41"/>
  <c r="H111" i="41"/>
  <c r="F17" i="47"/>
  <c r="G17" i="47"/>
  <c r="H17" i="47"/>
  <c r="F62" i="45"/>
  <c r="G62" i="45"/>
  <c r="H62" i="45"/>
  <c r="F33" i="4"/>
  <c r="G33" i="4"/>
  <c r="H33" i="4"/>
  <c r="F100" i="14"/>
  <c r="G100" i="14"/>
  <c r="H100" i="14"/>
  <c r="F61" i="45"/>
  <c r="G61" i="45"/>
  <c r="H61" i="45"/>
  <c r="F34" i="4"/>
  <c r="G34" i="4"/>
  <c r="H34" i="4"/>
  <c r="F35" i="4"/>
  <c r="G35" i="4"/>
  <c r="H35" i="4"/>
  <c r="F36" i="4"/>
  <c r="G36" i="4"/>
  <c r="H36" i="4"/>
  <c r="F16" i="47"/>
  <c r="G16" i="47"/>
  <c r="H16" i="47"/>
  <c r="F37" i="4"/>
  <c r="G37" i="4"/>
  <c r="H37" i="4"/>
  <c r="F60" i="45"/>
  <c r="G60" i="45"/>
  <c r="H60" i="45"/>
  <c r="F59" i="45"/>
  <c r="G59" i="45"/>
  <c r="H59" i="45"/>
  <c r="F38" i="4"/>
  <c r="G38" i="4"/>
  <c r="H38" i="4"/>
  <c r="F110" i="41"/>
  <c r="G110" i="41"/>
  <c r="H110" i="41"/>
  <c r="F90" i="49"/>
  <c r="G90" i="49"/>
  <c r="H90" i="49"/>
  <c r="K91" i="49"/>
  <c r="F38" i="48"/>
  <c r="G38" i="48"/>
  <c r="H38" i="48"/>
  <c r="F109" i="41"/>
  <c r="G109" i="41"/>
  <c r="H109" i="41"/>
  <c r="F59" i="6"/>
  <c r="G59" i="6"/>
  <c r="H59" i="6"/>
  <c r="F16" i="68"/>
  <c r="G16" i="68"/>
  <c r="H16" i="68"/>
  <c r="F143" i="11"/>
  <c r="G143" i="11"/>
  <c r="H143" i="11"/>
  <c r="F48" i="27"/>
  <c r="G48" i="27"/>
  <c r="H48" i="27"/>
  <c r="F39" i="4"/>
  <c r="G39" i="4"/>
  <c r="H39" i="4"/>
  <c r="F193" i="8"/>
  <c r="G193" i="8"/>
  <c r="H193" i="8"/>
  <c r="F40" i="15"/>
  <c r="G40" i="15"/>
  <c r="H40" i="15"/>
  <c r="F259" i="10"/>
  <c r="G259" i="10"/>
  <c r="H259" i="10"/>
  <c r="F148" i="65" l="1"/>
  <c r="G148" i="65"/>
  <c r="H148" i="65"/>
  <c r="F147" i="65"/>
  <c r="G147" i="65"/>
  <c r="H147" i="65"/>
  <c r="F45" i="21"/>
  <c r="G45" i="21"/>
  <c r="H45" i="21"/>
  <c r="F99" i="14"/>
  <c r="G99" i="14"/>
  <c r="H99" i="14"/>
  <c r="F258" i="10"/>
  <c r="G258" i="10"/>
  <c r="H258" i="10"/>
  <c r="F29" i="44"/>
  <c r="G29" i="44"/>
  <c r="H29" i="44"/>
  <c r="F278" i="40"/>
  <c r="G278" i="40"/>
  <c r="H278" i="40"/>
  <c r="F64" i="35" l="1"/>
  <c r="G64" i="35"/>
  <c r="H64" i="35"/>
  <c r="F192" i="8" l="1"/>
  <c r="G192" i="8"/>
  <c r="H192" i="8"/>
  <c r="F47" i="27"/>
  <c r="G47" i="27"/>
  <c r="H47" i="27"/>
  <c r="F187" i="8"/>
  <c r="G187" i="8"/>
  <c r="H187" i="8"/>
  <c r="F46" i="27"/>
  <c r="G46" i="27"/>
  <c r="H46" i="27"/>
  <c r="F31" i="4"/>
  <c r="G31" i="4"/>
  <c r="H31" i="4"/>
  <c r="F30" i="4"/>
  <c r="G30" i="4"/>
  <c r="H30" i="4"/>
  <c r="F45" i="27"/>
  <c r="G45" i="27"/>
  <c r="H45" i="27"/>
  <c r="F58" i="6"/>
  <c r="G58" i="6"/>
  <c r="H58" i="6"/>
  <c r="F29" i="4"/>
  <c r="G29" i="4"/>
  <c r="H29" i="4"/>
  <c r="F28" i="4"/>
  <c r="G28" i="4"/>
  <c r="H28" i="4"/>
  <c r="F27" i="54"/>
  <c r="G27" i="54"/>
  <c r="H27" i="54"/>
  <c r="F89" i="49"/>
  <c r="G89" i="49"/>
  <c r="H89" i="49"/>
  <c r="F57" i="6"/>
  <c r="G57" i="6"/>
  <c r="H57" i="6"/>
  <c r="F36" i="7"/>
  <c r="G36" i="7"/>
  <c r="H36" i="7"/>
  <c r="F22" i="12"/>
  <c r="G22" i="12"/>
  <c r="H22" i="12"/>
  <c r="F257" i="10"/>
  <c r="G257" i="10"/>
  <c r="H257" i="10"/>
  <c r="F256" i="10"/>
  <c r="G256" i="10"/>
  <c r="H256" i="10"/>
  <c r="F255" i="10"/>
  <c r="G255" i="10"/>
  <c r="H255" i="10"/>
  <c r="F254" i="10"/>
  <c r="G254" i="10"/>
  <c r="H254" i="10"/>
  <c r="F253" i="10"/>
  <c r="G253" i="10"/>
  <c r="H253" i="10"/>
  <c r="F146" i="65"/>
  <c r="G146" i="65"/>
  <c r="H146" i="65"/>
  <c r="F145" i="65"/>
  <c r="G145" i="65"/>
  <c r="H145" i="65"/>
  <c r="F142" i="11"/>
  <c r="G142" i="11"/>
  <c r="H142" i="11"/>
  <c r="J36" i="24"/>
  <c r="J37" i="24"/>
  <c r="J38" i="24"/>
  <c r="J39" i="24"/>
  <c r="J40" i="24"/>
  <c r="J41" i="24"/>
  <c r="J42" i="24"/>
  <c r="F141" i="11"/>
  <c r="G141" i="11"/>
  <c r="H141" i="11"/>
  <c r="F35" i="7"/>
  <c r="G35" i="7"/>
  <c r="H35" i="7"/>
  <c r="F185" i="8"/>
  <c r="G185" i="8"/>
  <c r="H185" i="8"/>
  <c r="F68" i="57"/>
  <c r="G68" i="57"/>
  <c r="H68" i="57"/>
  <c r="F108" i="41"/>
  <c r="G108" i="41"/>
  <c r="H108" i="41"/>
  <c r="F277" i="40"/>
  <c r="G277" i="40"/>
  <c r="H277" i="40"/>
  <c r="F276" i="40"/>
  <c r="G276" i="40"/>
  <c r="H276" i="40"/>
  <c r="F252" i="10"/>
  <c r="G252" i="10"/>
  <c r="H252" i="10"/>
  <c r="F36" i="24"/>
  <c r="G36" i="24"/>
  <c r="H36" i="24"/>
  <c r="F107" i="41"/>
  <c r="G107" i="41"/>
  <c r="H107" i="41"/>
  <c r="F34" i="56"/>
  <c r="G34" i="56"/>
  <c r="H34" i="56"/>
  <c r="F13" i="64"/>
  <c r="G13" i="64"/>
  <c r="H13" i="64"/>
  <c r="F36" i="13"/>
  <c r="G36" i="13"/>
  <c r="H36" i="13"/>
  <c r="F25" i="54"/>
  <c r="G25" i="54"/>
  <c r="H25" i="54"/>
  <c r="F45" i="51"/>
  <c r="G45" i="51"/>
  <c r="H45" i="51"/>
  <c r="F44" i="21"/>
  <c r="G44" i="21"/>
  <c r="H44" i="21"/>
  <c r="F251" i="10"/>
  <c r="G251" i="10"/>
  <c r="H251" i="10"/>
  <c r="F184" i="8"/>
  <c r="G184" i="8"/>
  <c r="H184" i="8"/>
  <c r="F183" i="8"/>
  <c r="G183" i="8"/>
  <c r="H183" i="8"/>
  <c r="F250" i="10"/>
  <c r="G250" i="10"/>
  <c r="H250" i="10"/>
  <c r="F182" i="8"/>
  <c r="G182" i="8"/>
  <c r="H182" i="8"/>
  <c r="F249" i="10"/>
  <c r="G249" i="10"/>
  <c r="H249" i="10"/>
  <c r="F244" i="10"/>
  <c r="G244" i="10"/>
  <c r="H244" i="10"/>
  <c r="F106" i="41"/>
  <c r="G106" i="41"/>
  <c r="H106" i="41"/>
  <c r="F105" i="41"/>
  <c r="G105" i="41"/>
  <c r="H105" i="41"/>
  <c r="F104" i="41"/>
  <c r="G104" i="41"/>
  <c r="H104" i="41"/>
  <c r="F103" i="41"/>
  <c r="G103" i="41"/>
  <c r="H103" i="41"/>
  <c r="F21" i="38"/>
  <c r="G21" i="38"/>
  <c r="H21" i="38"/>
  <c r="F20" i="38"/>
  <c r="G20" i="38"/>
  <c r="H20" i="38"/>
  <c r="F63" i="35"/>
  <c r="G63" i="35"/>
  <c r="H63" i="35"/>
  <c r="F34" i="7"/>
  <c r="G34" i="7"/>
  <c r="H34" i="7"/>
  <c r="F67" i="57"/>
  <c r="G67" i="57"/>
  <c r="H67" i="57"/>
  <c r="F24" i="67"/>
  <c r="G24" i="67"/>
  <c r="H24" i="67"/>
  <c r="F148" i="3"/>
  <c r="G148" i="3"/>
  <c r="H148" i="3"/>
  <c r="F147" i="3"/>
  <c r="G147" i="3"/>
  <c r="H147" i="3"/>
  <c r="F23" i="67"/>
  <c r="G23" i="67"/>
  <c r="H23" i="67"/>
  <c r="F29" i="32"/>
  <c r="G29" i="32"/>
  <c r="H29" i="32"/>
  <c r="F243" i="10"/>
  <c r="G243" i="10"/>
  <c r="H243" i="10"/>
  <c r="F32" i="26"/>
  <c r="G32" i="26"/>
  <c r="H32" i="26"/>
  <c r="F41" i="20"/>
  <c r="G41" i="20"/>
  <c r="H41" i="20"/>
  <c r="F66" i="57"/>
  <c r="G66" i="57"/>
  <c r="H66" i="57"/>
  <c r="F56" i="16"/>
  <c r="G56" i="16"/>
  <c r="H56" i="16"/>
  <c r="F33" i="7"/>
  <c r="G33" i="7"/>
  <c r="H33" i="7"/>
  <c r="F143" i="3"/>
  <c r="G143" i="3"/>
  <c r="H143" i="3"/>
  <c r="F65" i="57"/>
  <c r="G65" i="57"/>
  <c r="H65" i="57"/>
  <c r="F25" i="4" l="1"/>
  <c r="G25" i="4"/>
  <c r="H25" i="4"/>
  <c r="F26" i="4"/>
  <c r="G26" i="4"/>
  <c r="H26" i="4"/>
  <c r="F37" i="48"/>
  <c r="G37" i="48"/>
  <c r="H37" i="48"/>
  <c r="F33" i="56"/>
  <c r="G33" i="56"/>
  <c r="H33" i="56"/>
  <c r="F102" i="41"/>
  <c r="G102" i="41"/>
  <c r="H102" i="41"/>
  <c r="F242" i="10"/>
  <c r="G242" i="10"/>
  <c r="H242" i="10"/>
  <c r="F56" i="34"/>
  <c r="G56" i="34"/>
  <c r="H56" i="34"/>
  <c r="F56" i="6"/>
  <c r="G56" i="6"/>
  <c r="H56" i="6"/>
  <c r="F144" i="65"/>
  <c r="G144" i="65"/>
  <c r="H144" i="65"/>
  <c r="F143" i="65"/>
  <c r="G143" i="65"/>
  <c r="H143" i="65"/>
  <c r="F123" i="5"/>
  <c r="G123" i="5"/>
  <c r="H123" i="5"/>
  <c r="F62" i="35"/>
  <c r="G62" i="35"/>
  <c r="H62" i="35"/>
  <c r="F30" i="28"/>
  <c r="G30" i="28"/>
  <c r="H30" i="28"/>
  <c r="F28" i="44" l="1"/>
  <c r="G28" i="44"/>
  <c r="H28" i="44"/>
  <c r="F27" i="44"/>
  <c r="G27" i="44"/>
  <c r="H27" i="44"/>
  <c r="F22" i="67"/>
  <c r="G22" i="67"/>
  <c r="H22" i="67"/>
  <c r="F36" i="48"/>
  <c r="G36" i="48"/>
  <c r="H36" i="48"/>
  <c r="F88" i="49"/>
  <c r="G88" i="49"/>
  <c r="H88" i="49"/>
  <c r="F23" i="9"/>
  <c r="G23" i="9"/>
  <c r="H23" i="9"/>
  <c r="F21" i="67"/>
  <c r="G21" i="67"/>
  <c r="H21" i="67"/>
  <c r="F28" i="24"/>
  <c r="G28" i="24"/>
  <c r="H28" i="24"/>
  <c r="F28" i="32"/>
  <c r="G28" i="32"/>
  <c r="H28" i="32"/>
  <c r="F275" i="40"/>
  <c r="G275" i="40"/>
  <c r="H275" i="40"/>
  <c r="F274" i="40"/>
  <c r="G274" i="40"/>
  <c r="H274" i="40"/>
  <c r="F273" i="40"/>
  <c r="G273" i="40"/>
  <c r="H273" i="40"/>
  <c r="F46" i="30"/>
  <c r="G46" i="30"/>
  <c r="H46" i="30"/>
  <c r="F241" i="10"/>
  <c r="G241" i="10"/>
  <c r="H241" i="10"/>
  <c r="F240" i="10"/>
  <c r="G240" i="10"/>
  <c r="H240" i="10"/>
  <c r="F32" i="56"/>
  <c r="G32" i="56"/>
  <c r="H32" i="56"/>
  <c r="F31" i="56"/>
  <c r="G31" i="56"/>
  <c r="H31" i="56"/>
  <c r="F19" i="38"/>
  <c r="G19" i="38"/>
  <c r="H19" i="38"/>
  <c r="F55" i="16" l="1"/>
  <c r="G55" i="16"/>
  <c r="H55" i="16"/>
  <c r="F35" i="48"/>
  <c r="G35" i="48"/>
  <c r="H35" i="48"/>
  <c r="F101" i="41"/>
  <c r="G101" i="41"/>
  <c r="H101" i="41"/>
  <c r="F48" i="60"/>
  <c r="G48" i="60"/>
  <c r="H48" i="60"/>
  <c r="F100" i="41"/>
  <c r="G100" i="41"/>
  <c r="H100" i="41"/>
  <c r="F99" i="41"/>
  <c r="G99" i="41"/>
  <c r="H99" i="41"/>
  <c r="F98" i="41"/>
  <c r="G98" i="41"/>
  <c r="H98" i="41"/>
  <c r="F97" i="41"/>
  <c r="G97" i="41"/>
  <c r="H97" i="41"/>
  <c r="F46" i="42"/>
  <c r="G46" i="42"/>
  <c r="H46" i="42"/>
  <c r="F45" i="42"/>
  <c r="G45" i="42"/>
  <c r="H45" i="42"/>
  <c r="F20" i="67"/>
  <c r="G20" i="67"/>
  <c r="H20" i="67"/>
  <c r="F15" i="68"/>
  <c r="G15" i="68"/>
  <c r="H15" i="68"/>
  <c r="F14" i="68"/>
  <c r="G14" i="68"/>
  <c r="H14" i="68"/>
  <c r="T59" i="53" l="1"/>
  <c r="T60" i="53"/>
  <c r="F44" i="27"/>
  <c r="G44" i="27"/>
  <c r="H44" i="27"/>
  <c r="F181" i="8"/>
  <c r="G181" i="8"/>
  <c r="H181" i="8"/>
  <c r="F142" i="65"/>
  <c r="G142" i="65"/>
  <c r="H142" i="65"/>
  <c r="F141" i="65"/>
  <c r="G141" i="65"/>
  <c r="H141" i="65"/>
  <c r="F44" i="51"/>
  <c r="G44" i="51"/>
  <c r="H44" i="51"/>
  <c r="F239" i="10"/>
  <c r="G239" i="10"/>
  <c r="H239" i="10"/>
  <c r="F18" i="38"/>
  <c r="G18" i="38"/>
  <c r="H18" i="38"/>
  <c r="F180" i="8"/>
  <c r="G180" i="8"/>
  <c r="H180" i="8"/>
  <c r="F64" i="57"/>
  <c r="G64" i="57"/>
  <c r="H64" i="57"/>
  <c r="F140" i="65"/>
  <c r="G140" i="65"/>
  <c r="H140" i="65"/>
  <c r="F63" i="57"/>
  <c r="G63" i="57"/>
  <c r="H63" i="57"/>
  <c r="F27" i="24"/>
  <c r="G27" i="24"/>
  <c r="H27" i="24"/>
  <c r="F96" i="41"/>
  <c r="G96" i="41"/>
  <c r="H96" i="41"/>
  <c r="F179" i="8"/>
  <c r="G179" i="8"/>
  <c r="H179" i="8"/>
  <c r="F146" i="3"/>
  <c r="G146" i="3"/>
  <c r="H146" i="3"/>
  <c r="F74" i="49"/>
  <c r="G74" i="49"/>
  <c r="H74" i="49"/>
  <c r="F87" i="49" l="1"/>
  <c r="G87" i="49"/>
  <c r="H87" i="49"/>
  <c r="F238" i="10"/>
  <c r="G238" i="10"/>
  <c r="H238" i="10"/>
  <c r="F58" i="45"/>
  <c r="G58" i="45"/>
  <c r="H58" i="45"/>
  <c r="F32" i="7"/>
  <c r="G32" i="7"/>
  <c r="H32" i="7"/>
  <c r="F95" i="41"/>
  <c r="G95" i="41"/>
  <c r="H95" i="41"/>
  <c r="F31" i="7"/>
  <c r="G31" i="7"/>
  <c r="H31" i="7"/>
  <c r="F21" i="12"/>
  <c r="G21" i="12"/>
  <c r="H21" i="12"/>
  <c r="F24" i="54" l="1"/>
  <c r="G24" i="54"/>
  <c r="H24" i="54"/>
  <c r="F47" i="60"/>
  <c r="G47" i="60"/>
  <c r="H47" i="60"/>
  <c r="F98" i="14"/>
  <c r="G98" i="14"/>
  <c r="H98" i="14"/>
  <c r="F97" i="14"/>
  <c r="G97" i="14"/>
  <c r="H97" i="14"/>
  <c r="F30" i="7"/>
  <c r="G30" i="7"/>
  <c r="H30" i="7"/>
  <c r="F33" i="36"/>
  <c r="G33" i="36"/>
  <c r="H33" i="36"/>
  <c r="F54" i="16"/>
  <c r="G54" i="16"/>
  <c r="H54" i="16"/>
  <c r="F31" i="26"/>
  <c r="G31" i="26"/>
  <c r="H31" i="26"/>
  <c r="F178" i="8"/>
  <c r="G178" i="8"/>
  <c r="H178" i="8"/>
  <c r="F62" i="57"/>
  <c r="G62" i="57"/>
  <c r="H62" i="57"/>
  <c r="F139" i="65"/>
  <c r="G139" i="65"/>
  <c r="H139" i="65"/>
  <c r="F138" i="65"/>
  <c r="G138" i="65"/>
  <c r="H138" i="65"/>
  <c r="F45" i="30"/>
  <c r="G45" i="30"/>
  <c r="H45" i="30"/>
  <c r="F82" i="50"/>
  <c r="G82" i="50"/>
  <c r="H82" i="50"/>
  <c r="F30" i="56"/>
  <c r="G30" i="56"/>
  <c r="H30" i="56"/>
  <c r="F61" i="35"/>
  <c r="G61" i="35"/>
  <c r="H61" i="35"/>
  <c r="F29" i="7"/>
  <c r="G29" i="7"/>
  <c r="H29" i="7"/>
  <c r="F32" i="36"/>
  <c r="G32" i="36"/>
  <c r="H32" i="36"/>
  <c r="F20" i="12"/>
  <c r="G20" i="12"/>
  <c r="H20" i="12"/>
  <c r="F44" i="42"/>
  <c r="G44" i="42"/>
  <c r="H44" i="42"/>
  <c r="F36" i="43"/>
  <c r="G36" i="43"/>
  <c r="H36" i="43"/>
  <c r="Q60" i="53"/>
  <c r="F140" i="11"/>
  <c r="G140" i="11"/>
  <c r="H140" i="11"/>
  <c r="F94" i="41"/>
  <c r="G94" i="41"/>
  <c r="H94" i="41"/>
  <c r="F61" i="57"/>
  <c r="G61" i="57"/>
  <c r="H61" i="57"/>
  <c r="F43" i="27" l="1"/>
  <c r="G43" i="27"/>
  <c r="H43" i="27"/>
  <c r="F177" i="8"/>
  <c r="G177" i="8"/>
  <c r="H177" i="8"/>
  <c r="F176" i="8"/>
  <c r="G176" i="8"/>
  <c r="H176" i="8"/>
  <c r="F39" i="15"/>
  <c r="G39" i="15"/>
  <c r="H39" i="15"/>
  <c r="F57" i="34"/>
  <c r="G57" i="34"/>
  <c r="H57" i="34"/>
  <c r="F175" i="8"/>
  <c r="G175" i="8"/>
  <c r="H175" i="8"/>
  <c r="F122" i="5"/>
  <c r="G122" i="5"/>
  <c r="H122" i="5"/>
  <c r="F121" i="5"/>
  <c r="G121" i="5"/>
  <c r="H121" i="5"/>
  <c r="F139" i="11"/>
  <c r="G139" i="11"/>
  <c r="H139" i="11"/>
  <c r="F174" i="8"/>
  <c r="G174" i="8"/>
  <c r="H174" i="8"/>
  <c r="Q59" i="53"/>
  <c r="F93" i="41"/>
  <c r="G93" i="41"/>
  <c r="H93" i="41"/>
  <c r="F173" i="8"/>
  <c r="G173" i="8"/>
  <c r="H173" i="8"/>
  <c r="F60" i="57"/>
  <c r="G60" i="57"/>
  <c r="H60" i="57"/>
  <c r="F86" i="49"/>
  <c r="G86" i="49"/>
  <c r="H86" i="49"/>
  <c r="F43" i="21"/>
  <c r="G43" i="21"/>
  <c r="H43" i="21"/>
  <c r="F172" i="8"/>
  <c r="G172" i="8"/>
  <c r="H172" i="8"/>
  <c r="F171" i="8"/>
  <c r="G171" i="8"/>
  <c r="H171" i="8"/>
  <c r="F96" i="14"/>
  <c r="G96" i="14"/>
  <c r="H96" i="14"/>
  <c r="F95" i="14"/>
  <c r="G95" i="14"/>
  <c r="H95" i="14"/>
  <c r="F145" i="3"/>
  <c r="G145" i="3"/>
  <c r="H145" i="3"/>
  <c r="F85" i="49"/>
  <c r="G85" i="49"/>
  <c r="H85" i="49"/>
  <c r="F27" i="32"/>
  <c r="G27" i="32"/>
  <c r="H27" i="32"/>
  <c r="F26" i="32"/>
  <c r="G26" i="32"/>
  <c r="H26" i="32"/>
  <c r="F29" i="28"/>
  <c r="G29" i="28"/>
  <c r="H29" i="28"/>
  <c r="F29" i="23"/>
  <c r="G29" i="23"/>
  <c r="H29" i="23"/>
  <c r="F43" i="51"/>
  <c r="G43" i="51"/>
  <c r="H43" i="51"/>
  <c r="F84" i="49"/>
  <c r="G84" i="49"/>
  <c r="H84" i="49"/>
  <c r="F92" i="41"/>
  <c r="G92" i="41"/>
  <c r="H92" i="41"/>
  <c r="F42" i="27"/>
  <c r="G42" i="27"/>
  <c r="H42" i="27"/>
  <c r="F27" i="4"/>
  <c r="G27" i="4"/>
  <c r="H27" i="4"/>
  <c r="F35" i="43"/>
  <c r="G35" i="43"/>
  <c r="H35" i="43"/>
  <c r="F170" i="8"/>
  <c r="G170" i="8"/>
  <c r="H170" i="8"/>
  <c r="F169" i="8"/>
  <c r="G169" i="8"/>
  <c r="H169" i="8"/>
  <c r="F120" i="5"/>
  <c r="G120" i="5"/>
  <c r="H120" i="5"/>
  <c r="F119" i="5"/>
  <c r="G119" i="5"/>
  <c r="H119" i="5"/>
  <c r="F144" i="3"/>
  <c r="G144" i="3"/>
  <c r="H144" i="3"/>
  <c r="F91" i="41"/>
  <c r="G91" i="41"/>
  <c r="H91" i="41"/>
  <c r="F168" i="8"/>
  <c r="G168" i="8"/>
  <c r="H168" i="8"/>
  <c r="F38" i="15"/>
  <c r="G38" i="15"/>
  <c r="H38" i="15"/>
  <c r="F44" i="30"/>
  <c r="G44" i="30"/>
  <c r="H44" i="30"/>
  <c r="F137" i="65"/>
  <c r="G137" i="65"/>
  <c r="H137" i="65"/>
  <c r="T54" i="53"/>
  <c r="T55" i="53"/>
  <c r="T56" i="53"/>
  <c r="T57" i="53"/>
  <c r="T58" i="53"/>
  <c r="T53" i="53"/>
  <c r="F55" i="6"/>
  <c r="G55" i="6"/>
  <c r="H55" i="6"/>
  <c r="F90" i="41"/>
  <c r="G90" i="41"/>
  <c r="H90" i="41"/>
  <c r="F167" i="8"/>
  <c r="G167" i="8"/>
  <c r="H167" i="8"/>
  <c r="F59" i="57"/>
  <c r="G59" i="57"/>
  <c r="H59" i="57"/>
  <c r="F43" i="30"/>
  <c r="G43" i="30"/>
  <c r="H43" i="30"/>
  <c r="F272" i="40"/>
  <c r="G272" i="40"/>
  <c r="H272" i="40"/>
  <c r="F118" i="5"/>
  <c r="G118" i="5"/>
  <c r="H118" i="5"/>
  <c r="F117" i="5"/>
  <c r="G117" i="5"/>
  <c r="H117" i="5"/>
  <c r="F41" i="27"/>
  <c r="G41" i="27"/>
  <c r="H41" i="27"/>
  <c r="F40" i="27"/>
  <c r="G40" i="27"/>
  <c r="H40" i="27"/>
  <c r="F57" i="45"/>
  <c r="G57" i="45"/>
  <c r="H57" i="45"/>
  <c r="F37" i="15"/>
  <c r="G37" i="15"/>
  <c r="H37" i="15"/>
  <c r="F58" i="57"/>
  <c r="G58" i="57"/>
  <c r="H58" i="57"/>
  <c r="F30" i="43"/>
  <c r="G30" i="43"/>
  <c r="H30" i="43"/>
  <c r="F142" i="3"/>
  <c r="G142" i="3"/>
  <c r="H142" i="3"/>
  <c r="F208" i="10"/>
  <c r="G208" i="10"/>
  <c r="H208" i="10"/>
  <c r="F24" i="4"/>
  <c r="G24" i="4"/>
  <c r="H24" i="4"/>
  <c r="F207" i="10"/>
  <c r="G207" i="10"/>
  <c r="H207" i="10"/>
  <c r="F99" i="8"/>
  <c r="G99" i="8"/>
  <c r="H99" i="8"/>
  <c r="F166" i="8"/>
  <c r="G166" i="8"/>
  <c r="H166" i="8"/>
  <c r="F83" i="49"/>
  <c r="G83" i="49"/>
  <c r="H83" i="49"/>
  <c r="F82" i="49"/>
  <c r="G82" i="49"/>
  <c r="H82" i="49"/>
  <c r="F57" i="57"/>
  <c r="G57" i="57"/>
  <c r="H57" i="57"/>
  <c r="F81" i="49"/>
  <c r="G81" i="49"/>
  <c r="H81" i="49"/>
  <c r="F105" i="8"/>
  <c r="G105" i="8"/>
  <c r="H105" i="8"/>
  <c r="F206" i="10"/>
  <c r="G206" i="10"/>
  <c r="H206" i="10"/>
  <c r="F53" i="16"/>
  <c r="G53" i="16"/>
  <c r="H53" i="16"/>
  <c r="F46" i="60"/>
  <c r="G46" i="60"/>
  <c r="H46" i="60"/>
  <c r="F54" i="6"/>
  <c r="G54" i="6"/>
  <c r="H54" i="6"/>
  <c r="F86" i="41"/>
  <c r="G86" i="41"/>
  <c r="H86" i="41"/>
  <c r="Q58" i="53"/>
  <c r="Q57" i="53"/>
  <c r="Q56" i="53"/>
  <c r="Q55" i="53"/>
  <c r="F94" i="14"/>
  <c r="G94" i="14"/>
  <c r="H94" i="14"/>
  <c r="F93" i="14"/>
  <c r="G93" i="14"/>
  <c r="H93" i="14"/>
  <c r="Q54" i="53"/>
  <c r="Q53" i="53"/>
  <c r="J14" i="67"/>
  <c r="J15" i="67"/>
  <c r="J16" i="67"/>
  <c r="J20" i="67"/>
  <c r="J21" i="67"/>
  <c r="J22" i="67"/>
  <c r="J130" i="11"/>
  <c r="J131" i="11"/>
  <c r="J132" i="11"/>
  <c r="J133" i="11"/>
  <c r="J134" i="11"/>
  <c r="J135" i="11"/>
  <c r="J136" i="11"/>
  <c r="J137" i="11"/>
  <c r="J138" i="11"/>
  <c r="J139" i="11"/>
  <c r="J140" i="11"/>
  <c r="J141" i="11"/>
  <c r="J142" i="11"/>
  <c r="J143" i="11"/>
  <c r="J144" i="11"/>
  <c r="D14" i="53"/>
  <c r="D15" i="53"/>
  <c r="R15" i="53"/>
  <c r="F4" i="53"/>
  <c r="F26" i="43"/>
  <c r="G26" i="43"/>
  <c r="H26" i="43"/>
  <c r="F25" i="43"/>
  <c r="G25" i="43"/>
  <c r="H25" i="43"/>
  <c r="F125" i="65"/>
  <c r="G125" i="65"/>
  <c r="H125" i="65"/>
  <c r="F28" i="28"/>
  <c r="G28" i="28"/>
  <c r="H28" i="28"/>
  <c r="F271" i="40"/>
  <c r="G271" i="40"/>
  <c r="H271" i="40"/>
  <c r="F237" i="10"/>
  <c r="G237" i="10"/>
  <c r="H237" i="10"/>
  <c r="F165" i="8"/>
  <c r="G165" i="8"/>
  <c r="H165" i="8"/>
  <c r="F34" i="43"/>
  <c r="G34" i="43"/>
  <c r="H34" i="43"/>
  <c r="F138" i="11"/>
  <c r="G138" i="11"/>
  <c r="H138" i="11"/>
  <c r="F15" i="67"/>
  <c r="G15" i="67"/>
  <c r="H15" i="67"/>
  <c r="Q51" i="53" l="1"/>
  <c r="T51" i="53"/>
  <c r="D17" i="53"/>
  <c r="F34" i="48"/>
  <c r="G34" i="48"/>
  <c r="H34" i="48"/>
  <c r="F60" i="35"/>
  <c r="G60" i="35"/>
  <c r="H60" i="35"/>
  <c r="Q49" i="53" l="1"/>
  <c r="F89" i="41"/>
  <c r="G89" i="41"/>
  <c r="H89" i="41"/>
  <c r="F88" i="41"/>
  <c r="G88" i="41"/>
  <c r="H88" i="41"/>
  <c r="F26" i="44"/>
  <c r="G26" i="44"/>
  <c r="H26" i="44"/>
  <c r="F55" i="34"/>
  <c r="G55" i="34"/>
  <c r="H55" i="34"/>
  <c r="F54" i="34"/>
  <c r="G54" i="34"/>
  <c r="H54" i="34"/>
  <c r="F81" i="50"/>
  <c r="G81" i="50"/>
  <c r="H81" i="50"/>
  <c r="F45" i="60"/>
  <c r="G45" i="60"/>
  <c r="H45" i="60"/>
  <c r="F15" i="47"/>
  <c r="G15" i="47"/>
  <c r="H15" i="47"/>
  <c r="F17" i="18"/>
  <c r="G17" i="18"/>
  <c r="H17" i="18"/>
  <c r="F42" i="21"/>
  <c r="G42" i="21"/>
  <c r="H42" i="21"/>
  <c r="F35" i="24"/>
  <c r="G35" i="24"/>
  <c r="H35" i="24"/>
  <c r="F116" i="5"/>
  <c r="G116" i="5"/>
  <c r="H116" i="5"/>
  <c r="F115" i="5"/>
  <c r="G115" i="5"/>
  <c r="H115" i="5"/>
  <c r="F44" i="60"/>
  <c r="G44" i="60"/>
  <c r="H44" i="60"/>
  <c r="F28" i="23"/>
  <c r="G28" i="23"/>
  <c r="H28" i="23"/>
  <c r="F27" i="23"/>
  <c r="G27" i="23"/>
  <c r="H27" i="23"/>
  <c r="F114" i="5"/>
  <c r="G114" i="5"/>
  <c r="H114" i="5"/>
  <c r="F113" i="5"/>
  <c r="G113" i="5"/>
  <c r="H113" i="5"/>
  <c r="F270" i="40"/>
  <c r="G270" i="40"/>
  <c r="H270" i="40"/>
  <c r="F269" i="40"/>
  <c r="G269" i="40"/>
  <c r="H269" i="40"/>
  <c r="F43" i="42" l="1"/>
  <c r="G43" i="42"/>
  <c r="H43" i="42"/>
  <c r="F42" i="42"/>
  <c r="G42" i="42"/>
  <c r="H42" i="42"/>
  <c r="F112" i="5"/>
  <c r="G112" i="5"/>
  <c r="H112" i="5"/>
  <c r="F111" i="5"/>
  <c r="G111" i="5"/>
  <c r="H111" i="5"/>
  <c r="F30" i="26"/>
  <c r="G30" i="26"/>
  <c r="H30" i="26"/>
  <c r="F164" i="8" l="1"/>
  <c r="G164" i="8"/>
  <c r="H164" i="8"/>
  <c r="D1" i="28" l="1"/>
  <c r="F236" i="10"/>
  <c r="G236" i="10"/>
  <c r="H236" i="10"/>
  <c r="F26" i="48"/>
  <c r="G26" i="48"/>
  <c r="H26" i="48"/>
  <c r="F59" i="35"/>
  <c r="G59" i="35"/>
  <c r="H59" i="35"/>
  <c r="F87" i="41" l="1"/>
  <c r="G87" i="41"/>
  <c r="H87" i="41"/>
  <c r="F92" i="14"/>
  <c r="G92" i="14"/>
  <c r="H92" i="14"/>
  <c r="F163" i="8" l="1"/>
  <c r="G163" i="8"/>
  <c r="H163" i="8"/>
  <c r="F26" i="23"/>
  <c r="G26" i="23"/>
  <c r="H26" i="23"/>
  <c r="J64" i="50"/>
  <c r="J65" i="50"/>
  <c r="J66" i="50"/>
  <c r="J67" i="50"/>
  <c r="J68" i="50"/>
  <c r="J69" i="50"/>
  <c r="J70" i="50"/>
  <c r="J71" i="50"/>
  <c r="J72" i="50"/>
  <c r="J73" i="50"/>
  <c r="J74" i="50"/>
  <c r="J75" i="50"/>
  <c r="J76" i="50"/>
  <c r="J77" i="50"/>
  <c r="J78" i="50"/>
  <c r="J79" i="50"/>
  <c r="J80" i="50"/>
  <c r="J81" i="50"/>
  <c r="J82" i="50"/>
  <c r="J83" i="50"/>
  <c r="J84" i="50"/>
  <c r="J85" i="50"/>
  <c r="J86" i="50"/>
  <c r="J87" i="50"/>
  <c r="J88" i="50"/>
  <c r="J89" i="50"/>
  <c r="J90" i="50"/>
  <c r="J91" i="50"/>
  <c r="J92" i="50"/>
  <c r="J93" i="50"/>
  <c r="J94" i="50"/>
  <c r="J95" i="50"/>
  <c r="J96" i="50"/>
  <c r="J33" i="53"/>
  <c r="F80" i="50"/>
  <c r="G80" i="50"/>
  <c r="H80" i="50"/>
  <c r="F39" i="27"/>
  <c r="G39" i="27"/>
  <c r="H39" i="27"/>
  <c r="F136" i="65"/>
  <c r="G136" i="65"/>
  <c r="H136" i="65"/>
  <c r="F135" i="65"/>
  <c r="G135" i="65"/>
  <c r="H135" i="65"/>
  <c r="F85" i="41"/>
  <c r="G85" i="41"/>
  <c r="H85" i="41"/>
  <c r="F84" i="41"/>
  <c r="G84" i="41"/>
  <c r="H84" i="41"/>
  <c r="F31" i="43"/>
  <c r="G31" i="43"/>
  <c r="H31" i="43"/>
  <c r="F134" i="65"/>
  <c r="G134" i="65"/>
  <c r="H134" i="65"/>
  <c r="F18" i="63"/>
  <c r="G18" i="63"/>
  <c r="H18" i="63"/>
  <c r="F162" i="8"/>
  <c r="G162" i="8"/>
  <c r="H162" i="8"/>
  <c r="F58" i="35"/>
  <c r="G58" i="35"/>
  <c r="H58" i="35"/>
  <c r="F110" i="5"/>
  <c r="G110" i="5"/>
  <c r="H110" i="5"/>
  <c r="F109" i="5"/>
  <c r="G109" i="5"/>
  <c r="H109" i="5"/>
  <c r="F29" i="56"/>
  <c r="G29" i="56"/>
  <c r="H29" i="56"/>
  <c r="F24" i="43"/>
  <c r="G24" i="43"/>
  <c r="H24" i="43"/>
  <c r="F91" i="14"/>
  <c r="G91" i="14"/>
  <c r="H91" i="14"/>
  <c r="F90" i="14"/>
  <c r="G90" i="14"/>
  <c r="H90" i="14"/>
  <c r="F137" i="11"/>
  <c r="G137" i="11"/>
  <c r="H137" i="11"/>
  <c r="F79" i="50"/>
  <c r="G79" i="50"/>
  <c r="H79" i="50"/>
  <c r="F161" i="8" l="1"/>
  <c r="G161" i="8"/>
  <c r="H161" i="8"/>
  <c r="F160" i="8"/>
  <c r="G160" i="8"/>
  <c r="H160" i="8"/>
  <c r="F159" i="8"/>
  <c r="G159" i="8"/>
  <c r="H159" i="8"/>
  <c r="F158" i="8"/>
  <c r="G158" i="8"/>
  <c r="H158" i="8"/>
  <c r="F157" i="8"/>
  <c r="G157" i="8"/>
  <c r="H157" i="8"/>
  <c r="F73" i="50"/>
  <c r="G73" i="50"/>
  <c r="H73" i="50"/>
  <c r="F38" i="27" l="1"/>
  <c r="G38" i="27"/>
  <c r="H38" i="27"/>
  <c r="F37" i="27"/>
  <c r="G37" i="27"/>
  <c r="H37" i="27"/>
  <c r="F156" i="8"/>
  <c r="G156" i="8"/>
  <c r="H156" i="8"/>
  <c r="F74" i="50"/>
  <c r="G74" i="50"/>
  <c r="H74" i="50"/>
  <c r="F34" i="24"/>
  <c r="G34" i="24"/>
  <c r="H34" i="24"/>
  <c r="F155" i="8"/>
  <c r="G155" i="8"/>
  <c r="H155" i="8"/>
  <c r="F133" i="65"/>
  <c r="G133" i="65"/>
  <c r="H133" i="65"/>
  <c r="F153" i="8"/>
  <c r="G153" i="8"/>
  <c r="H153" i="8"/>
  <c r="F152" i="8" l="1"/>
  <c r="G152" i="8"/>
  <c r="H152" i="8"/>
  <c r="F151" i="8"/>
  <c r="G151" i="8"/>
  <c r="H151" i="8"/>
  <c r="F75" i="50"/>
  <c r="G75" i="50"/>
  <c r="H75" i="50"/>
  <c r="F89" i="14"/>
  <c r="G89" i="14"/>
  <c r="H89" i="14"/>
  <c r="F136" i="11" l="1"/>
  <c r="G136" i="11"/>
  <c r="H136" i="11"/>
  <c r="F23" i="54" l="1"/>
  <c r="G23" i="54"/>
  <c r="H23" i="54"/>
  <c r="F154" i="8"/>
  <c r="G154" i="8"/>
  <c r="H154" i="8"/>
  <c r="F22" i="37"/>
  <c r="G22" i="37"/>
  <c r="H22" i="37"/>
  <c r="F21" i="37"/>
  <c r="G21" i="37"/>
  <c r="H21" i="37"/>
  <c r="F235" i="10"/>
  <c r="G235" i="10"/>
  <c r="H235" i="10"/>
  <c r="F234" i="10"/>
  <c r="G234" i="10"/>
  <c r="H234" i="10"/>
  <c r="F53" i="6"/>
  <c r="G53" i="6"/>
  <c r="H53" i="6"/>
  <c r="F132" i="65"/>
  <c r="G132" i="65"/>
  <c r="H132" i="65"/>
  <c r="F150" i="8"/>
  <c r="G150" i="8"/>
  <c r="H150" i="8"/>
  <c r="F78" i="50"/>
  <c r="G78" i="50"/>
  <c r="H78" i="50"/>
  <c r="F77" i="50"/>
  <c r="G77" i="50"/>
  <c r="H77" i="50"/>
  <c r="F76" i="50"/>
  <c r="G76" i="50"/>
  <c r="H76" i="50"/>
  <c r="F33" i="48"/>
  <c r="G33" i="48"/>
  <c r="H33" i="48"/>
  <c r="F29" i="43"/>
  <c r="G29" i="43"/>
  <c r="H29" i="43"/>
  <c r="F30" i="36"/>
  <c r="G30" i="36"/>
  <c r="H30" i="36"/>
  <c r="F29" i="36"/>
  <c r="G29" i="36"/>
  <c r="H29" i="36"/>
  <c r="F52" i="6"/>
  <c r="G52" i="6"/>
  <c r="H52" i="6"/>
  <c r="F149" i="8"/>
  <c r="G149" i="8"/>
  <c r="H149" i="8"/>
  <c r="J23" i="32"/>
  <c r="J24" i="32"/>
  <c r="J25" i="32"/>
  <c r="J26" i="32"/>
  <c r="J27" i="32"/>
  <c r="J28" i="32"/>
  <c r="J29" i="32"/>
  <c r="J26" i="56"/>
  <c r="J27" i="56"/>
  <c r="J28" i="56"/>
  <c r="J29" i="56"/>
  <c r="J30" i="56"/>
  <c r="J31" i="56"/>
  <c r="J32" i="56"/>
  <c r="J33" i="56"/>
  <c r="J34" i="56"/>
  <c r="J34" i="27"/>
  <c r="J35" i="27"/>
  <c r="J36" i="27"/>
  <c r="J37" i="27"/>
  <c r="J38" i="27"/>
  <c r="J39" i="27"/>
  <c r="J40" i="27"/>
  <c r="J41" i="27"/>
  <c r="J42" i="27"/>
  <c r="J43" i="27"/>
  <c r="J44" i="27"/>
  <c r="J45" i="27"/>
  <c r="J46" i="27"/>
  <c r="J47" i="27"/>
  <c r="J48" i="27"/>
  <c r="J49" i="27"/>
  <c r="J50" i="27"/>
  <c r="J51" i="27"/>
  <c r="J52" i="27"/>
  <c r="J9" i="62"/>
  <c r="J10" i="62"/>
  <c r="J12" i="62"/>
  <c r="J13" i="62"/>
  <c r="J14" i="62"/>
  <c r="J52" i="16"/>
  <c r="J53" i="16"/>
  <c r="J54" i="16"/>
  <c r="J55" i="16"/>
  <c r="J56" i="16"/>
  <c r="J57" i="16"/>
  <c r="J59" i="16"/>
  <c r="J15" i="63"/>
  <c r="J16" i="63"/>
  <c r="J17" i="63"/>
  <c r="J18" i="63"/>
  <c r="J19" i="63"/>
  <c r="J20" i="63"/>
  <c r="J21" i="63"/>
  <c r="J53" i="57"/>
  <c r="J54" i="57"/>
  <c r="J55" i="57"/>
  <c r="J56" i="57"/>
  <c r="J57" i="57"/>
  <c r="J223" i="10"/>
  <c r="J224" i="10"/>
  <c r="J225" i="10"/>
  <c r="J226" i="10"/>
  <c r="J227" i="10"/>
  <c r="J228" i="10"/>
  <c r="J229" i="10"/>
  <c r="J230" i="10"/>
  <c r="J231" i="10"/>
  <c r="J232" i="10"/>
  <c r="J233" i="10"/>
  <c r="J127" i="8"/>
  <c r="J128" i="8"/>
  <c r="J129" i="8"/>
  <c r="J130" i="8"/>
  <c r="J131" i="8"/>
  <c r="J132" i="8"/>
  <c r="J133" i="8"/>
  <c r="J134" i="8"/>
  <c r="J135" i="8"/>
  <c r="J136" i="8"/>
  <c r="J137" i="8"/>
  <c r="J138" i="8"/>
  <c r="J139" i="8"/>
  <c r="J140" i="8"/>
  <c r="J141" i="8"/>
  <c r="J142" i="8"/>
  <c r="J143" i="8"/>
  <c r="J144" i="8"/>
  <c r="J145" i="8"/>
  <c r="J146" i="8"/>
  <c r="J147" i="8"/>
  <c r="J148" i="8"/>
  <c r="J149" i="8"/>
  <c r="J150" i="8"/>
  <c r="J154" i="8"/>
  <c r="J155" i="8"/>
  <c r="J156" i="8"/>
  <c r="J157" i="8"/>
  <c r="J158" i="8"/>
  <c r="J159" i="8"/>
  <c r="J160" i="8"/>
  <c r="J161" i="8"/>
  <c r="J162" i="8"/>
  <c r="J163" i="8"/>
  <c r="J97" i="5"/>
  <c r="J98" i="5"/>
  <c r="J99" i="5"/>
  <c r="J100" i="5"/>
  <c r="J101" i="5"/>
  <c r="J102" i="5"/>
  <c r="J103" i="5"/>
  <c r="J104" i="5"/>
  <c r="J105" i="5"/>
  <c r="J106" i="5"/>
  <c r="J107" i="5"/>
  <c r="J108" i="5"/>
  <c r="J109" i="5"/>
  <c r="J110" i="5"/>
  <c r="J111" i="5"/>
  <c r="J112" i="5"/>
  <c r="J139" i="3"/>
  <c r="J140" i="3"/>
  <c r="J141" i="3"/>
  <c r="J142" i="3"/>
  <c r="J144" i="3"/>
  <c r="J145" i="3"/>
  <c r="T10" i="53"/>
  <c r="S10" i="53"/>
  <c r="D10" i="53"/>
  <c r="U10" i="53"/>
  <c r="F17" i="63"/>
  <c r="G17" i="63"/>
  <c r="H17" i="63"/>
  <c r="F141" i="3"/>
  <c r="G141" i="3"/>
  <c r="H141" i="3"/>
  <c r="F56" i="57"/>
  <c r="G56" i="57"/>
  <c r="H56" i="57"/>
  <c r="F41" i="42"/>
  <c r="G41" i="42"/>
  <c r="H41" i="42"/>
  <c r="F233" i="10"/>
  <c r="G233" i="10"/>
  <c r="H233" i="10"/>
  <c r="F232" i="10"/>
  <c r="G232" i="10"/>
  <c r="H232" i="10"/>
  <c r="F36" i="27"/>
  <c r="G36" i="27"/>
  <c r="H36" i="27"/>
  <c r="F28" i="7"/>
  <c r="G28" i="7"/>
  <c r="H28" i="7"/>
  <c r="F10" i="64"/>
  <c r="G10" i="64"/>
  <c r="H10" i="64"/>
  <c r="F28" i="56"/>
  <c r="G28" i="56"/>
  <c r="H28" i="56"/>
  <c r="F42" i="51"/>
  <c r="G42" i="51"/>
  <c r="H42" i="51"/>
  <c r="F16" i="63"/>
  <c r="G16" i="63"/>
  <c r="H16" i="63"/>
  <c r="F15" i="63"/>
  <c r="G15" i="63"/>
  <c r="H15" i="63"/>
  <c r="F35" i="27"/>
  <c r="G35" i="27"/>
  <c r="H35" i="27"/>
  <c r="F131" i="65"/>
  <c r="G131" i="65"/>
  <c r="H131" i="65"/>
  <c r="F17" i="38"/>
  <c r="G17" i="38"/>
  <c r="H17" i="38"/>
  <c r="F16" i="38"/>
  <c r="G16" i="38"/>
  <c r="H16" i="38"/>
  <c r="F130" i="65"/>
  <c r="G130" i="65"/>
  <c r="H130" i="65"/>
  <c r="F25" i="32"/>
  <c r="G25" i="32"/>
  <c r="H25" i="32"/>
  <c r="F231" i="10"/>
  <c r="G231" i="10"/>
  <c r="H231" i="10"/>
  <c r="F148" i="8"/>
  <c r="G148" i="8"/>
  <c r="H148" i="8"/>
  <c r="F147" i="8"/>
  <c r="G147" i="8"/>
  <c r="H147" i="8"/>
  <c r="F146" i="8"/>
  <c r="G146" i="8"/>
  <c r="H146" i="8"/>
  <c r="F140" i="3"/>
  <c r="G140" i="3"/>
  <c r="H140" i="3"/>
  <c r="F145" i="8"/>
  <c r="G145" i="8"/>
  <c r="H145" i="8"/>
  <c r="F144" i="8"/>
  <c r="G144" i="8"/>
  <c r="H144" i="8"/>
  <c r="F143" i="8"/>
  <c r="G143" i="8"/>
  <c r="H143" i="8"/>
  <c r="F14" i="63"/>
  <c r="G14" i="63"/>
  <c r="H14" i="63"/>
  <c r="F55" i="57"/>
  <c r="G55" i="57"/>
  <c r="H55" i="57"/>
  <c r="F108" i="5"/>
  <c r="G108" i="5"/>
  <c r="H108" i="5"/>
  <c r="F230" i="10"/>
  <c r="G230" i="10"/>
  <c r="H230" i="10"/>
  <c r="F129" i="65"/>
  <c r="G129" i="65"/>
  <c r="H129" i="65"/>
  <c r="H40" i="20"/>
  <c r="G40" i="20"/>
  <c r="F40" i="20"/>
  <c r="F41" i="21" l="1"/>
  <c r="G41" i="21"/>
  <c r="H41" i="21"/>
  <c r="F229" i="10"/>
  <c r="G229" i="10"/>
  <c r="H229" i="10"/>
  <c r="F228" i="10"/>
  <c r="G228" i="10"/>
  <c r="H228" i="10"/>
  <c r="F40" i="21"/>
  <c r="G40" i="21"/>
  <c r="H40" i="21"/>
  <c r="F227" i="10"/>
  <c r="G227" i="10"/>
  <c r="H227" i="10"/>
  <c r="F226" i="10"/>
  <c r="G226" i="10"/>
  <c r="H226" i="10"/>
  <c r="F139" i="3"/>
  <c r="G139" i="3"/>
  <c r="H139" i="3"/>
  <c r="F107" i="5"/>
  <c r="G107" i="5"/>
  <c r="H107" i="5"/>
  <c r="F88" i="14"/>
  <c r="G88" i="14"/>
  <c r="H88" i="14"/>
  <c r="F27" i="28"/>
  <c r="G27" i="28"/>
  <c r="H27" i="28"/>
  <c r="F225" i="10"/>
  <c r="G225" i="10"/>
  <c r="H225" i="10"/>
  <c r="F135" i="11"/>
  <c r="G135" i="11"/>
  <c r="H135" i="11"/>
  <c r="F72" i="50"/>
  <c r="G72" i="50"/>
  <c r="H72" i="50"/>
  <c r="F71" i="50"/>
  <c r="G71" i="50"/>
  <c r="H71" i="50"/>
  <c r="F142" i="8"/>
  <c r="G142" i="8"/>
  <c r="H142" i="8"/>
  <c r="F141" i="8"/>
  <c r="G141" i="8"/>
  <c r="H141" i="8"/>
  <c r="F268" i="40"/>
  <c r="G268" i="40"/>
  <c r="H268" i="40"/>
  <c r="F87" i="14"/>
  <c r="G87" i="14"/>
  <c r="H87" i="14"/>
  <c r="F140" i="8"/>
  <c r="G140" i="8"/>
  <c r="H140" i="8"/>
  <c r="F139" i="8"/>
  <c r="G139" i="8"/>
  <c r="H139" i="8"/>
  <c r="F138" i="8"/>
  <c r="G138" i="8"/>
  <c r="H138" i="8"/>
  <c r="F137" i="8"/>
  <c r="G137" i="8"/>
  <c r="H137" i="8"/>
  <c r="F136" i="8"/>
  <c r="G136" i="8"/>
  <c r="H136" i="8"/>
  <c r="F135" i="8"/>
  <c r="G135" i="8"/>
  <c r="H135" i="8"/>
  <c r="F134" i="8"/>
  <c r="G134" i="8"/>
  <c r="H134" i="8"/>
  <c r="F42" i="30"/>
  <c r="G42" i="30"/>
  <c r="H42" i="30"/>
  <c r="F106" i="5"/>
  <c r="G106" i="5"/>
  <c r="H106" i="5"/>
  <c r="F133" i="8"/>
  <c r="G133" i="8"/>
  <c r="H133" i="8"/>
  <c r="F132" i="8"/>
  <c r="G132" i="8"/>
  <c r="H132" i="8"/>
  <c r="F131" i="8"/>
  <c r="G131" i="8"/>
  <c r="H131" i="8"/>
  <c r="F33" i="24"/>
  <c r="G33" i="24"/>
  <c r="H33" i="24"/>
  <c r="F130" i="8"/>
  <c r="G130" i="8"/>
  <c r="H130" i="8"/>
  <c r="F129" i="8"/>
  <c r="G129" i="8"/>
  <c r="H129" i="8"/>
  <c r="F27" i="7"/>
  <c r="G27" i="7"/>
  <c r="H27" i="7"/>
  <c r="F39" i="20"/>
  <c r="G39" i="20"/>
  <c r="H39" i="20"/>
  <c r="F128" i="8"/>
  <c r="G128" i="8"/>
  <c r="H128" i="8"/>
  <c r="F39" i="21"/>
  <c r="G39" i="21"/>
  <c r="H39" i="21"/>
  <c r="F43" i="60"/>
  <c r="G43" i="60"/>
  <c r="H43" i="60"/>
  <c r="F32" i="24"/>
  <c r="G32" i="24"/>
  <c r="H32" i="24"/>
  <c r="F54" i="57"/>
  <c r="G54" i="57"/>
  <c r="H54" i="57"/>
  <c r="F105" i="5"/>
  <c r="G105" i="5"/>
  <c r="H105" i="5"/>
  <c r="F83" i="41"/>
  <c r="G83" i="41"/>
  <c r="H83" i="41"/>
  <c r="F52" i="16"/>
  <c r="G52" i="16"/>
  <c r="H52" i="16"/>
  <c r="F128" i="65"/>
  <c r="G128" i="65"/>
  <c r="H128" i="65"/>
  <c r="F27" i="56"/>
  <c r="G27" i="56"/>
  <c r="H27" i="56"/>
  <c r="F138" i="3"/>
  <c r="G138" i="3"/>
  <c r="H138" i="3"/>
  <c r="F137" i="3"/>
  <c r="G137" i="3"/>
  <c r="H137" i="3"/>
  <c r="F34" i="27"/>
  <c r="G34" i="27"/>
  <c r="H34" i="27"/>
  <c r="F104" i="5"/>
  <c r="G104" i="5"/>
  <c r="H104" i="5"/>
  <c r="F70" i="50"/>
  <c r="G70" i="50"/>
  <c r="H70" i="50"/>
  <c r="F19" i="12"/>
  <c r="G19" i="12"/>
  <c r="H19" i="12"/>
  <c r="F224" i="10"/>
  <c r="G224" i="10"/>
  <c r="H224" i="10"/>
  <c r="F223" i="10"/>
  <c r="G223" i="10"/>
  <c r="H223" i="10"/>
  <c r="F53" i="57"/>
  <c r="G53" i="57"/>
  <c r="H53" i="57"/>
  <c r="F51" i="16"/>
  <c r="G51" i="16"/>
  <c r="H51" i="16"/>
  <c r="F134" i="11"/>
  <c r="G134" i="11"/>
  <c r="H134" i="11"/>
  <c r="F29" i="26"/>
  <c r="G29" i="26"/>
  <c r="H29" i="26"/>
  <c r="F26" i="56"/>
  <c r="G26" i="56"/>
  <c r="H26" i="56"/>
  <c r="F35" i="13"/>
  <c r="G35" i="13"/>
  <c r="H35" i="13"/>
  <c r="F69" i="50"/>
  <c r="G69" i="50"/>
  <c r="H69" i="50"/>
  <c r="F36" i="15"/>
  <c r="G36" i="15"/>
  <c r="H36" i="15"/>
  <c r="F13" i="63"/>
  <c r="G13" i="63"/>
  <c r="H13" i="63"/>
  <c r="F12" i="63"/>
  <c r="G12" i="63"/>
  <c r="H12" i="63"/>
  <c r="F222" i="10"/>
  <c r="G222" i="10"/>
  <c r="H222" i="10"/>
  <c r="F221" i="10"/>
  <c r="G221" i="10"/>
  <c r="H221" i="10"/>
  <c r="F86" i="14"/>
  <c r="G86" i="14"/>
  <c r="H86" i="14"/>
  <c r="F9" i="64"/>
  <c r="G9" i="64"/>
  <c r="H9" i="64"/>
  <c r="F127" i="65"/>
  <c r="G127" i="65"/>
  <c r="H127" i="65"/>
  <c r="F127" i="8"/>
  <c r="G127" i="8"/>
  <c r="H127" i="8"/>
  <c r="F33" i="27"/>
  <c r="G33" i="27"/>
  <c r="H33" i="27"/>
  <c r="F68" i="50"/>
  <c r="G68" i="50"/>
  <c r="H68" i="50"/>
  <c r="F34" i="13"/>
  <c r="G34" i="13"/>
  <c r="H34" i="13"/>
  <c r="F22" i="54"/>
  <c r="G22" i="54"/>
  <c r="H22" i="54"/>
  <c r="F40" i="42"/>
  <c r="G40" i="42"/>
  <c r="H40" i="42"/>
  <c r="F126" i="8"/>
  <c r="G126" i="8"/>
  <c r="H126" i="8"/>
  <c r="F82" i="41"/>
  <c r="G82" i="41"/>
  <c r="H82" i="41"/>
  <c r="F133" i="11"/>
  <c r="G133" i="11"/>
  <c r="H133" i="11"/>
  <c r="F125" i="8"/>
  <c r="G125" i="8"/>
  <c r="H125" i="8"/>
  <c r="F24" i="32"/>
  <c r="G24" i="32"/>
  <c r="H24" i="32"/>
  <c r="F31" i="24"/>
  <c r="G31" i="24"/>
  <c r="H31" i="24"/>
  <c r="F33" i="13"/>
  <c r="G33" i="13"/>
  <c r="H33" i="13"/>
  <c r="F16" i="18"/>
  <c r="G16" i="18"/>
  <c r="H16" i="18"/>
  <c r="F103" i="5"/>
  <c r="G103" i="5"/>
  <c r="H103" i="5"/>
  <c r="F15" i="38"/>
  <c r="G15" i="38"/>
  <c r="H15" i="38"/>
  <c r="F14" i="38"/>
  <c r="G14" i="38"/>
  <c r="H14" i="38"/>
  <c r="F124" i="8"/>
  <c r="G124" i="8"/>
  <c r="H124" i="8"/>
  <c r="F22" i="9"/>
  <c r="G22" i="9"/>
  <c r="H22" i="9"/>
  <c r="F26" i="7"/>
  <c r="G26" i="7"/>
  <c r="H26" i="7"/>
  <c r="F52" i="57"/>
  <c r="G52" i="57"/>
  <c r="H52" i="57"/>
  <c r="F51" i="57"/>
  <c r="G51" i="57"/>
  <c r="H51" i="57"/>
  <c r="F67" i="50"/>
  <c r="G67" i="50"/>
  <c r="H67" i="50"/>
  <c r="F220" i="10"/>
  <c r="G220" i="10"/>
  <c r="H220" i="10"/>
  <c r="F219" i="10"/>
  <c r="G219" i="10"/>
  <c r="H219" i="10"/>
  <c r="F123" i="8"/>
  <c r="G123" i="8"/>
  <c r="H123" i="8"/>
  <c r="F38" i="21"/>
  <c r="G38" i="21"/>
  <c r="H38" i="21"/>
  <c r="F53" i="34"/>
  <c r="G53" i="34"/>
  <c r="H53" i="34"/>
  <c r="F25" i="23"/>
  <c r="G25" i="23"/>
  <c r="H25" i="23"/>
  <c r="F50" i="57"/>
  <c r="G50" i="57"/>
  <c r="H50" i="57"/>
  <c r="F49" i="57"/>
  <c r="G49" i="57"/>
  <c r="H49" i="57"/>
  <c r="F32" i="13"/>
  <c r="G32" i="13"/>
  <c r="H32" i="13"/>
  <c r="F66" i="50"/>
  <c r="G66" i="50"/>
  <c r="H66" i="50"/>
  <c r="F21" i="9"/>
  <c r="G21" i="9"/>
  <c r="H21" i="9"/>
  <c r="F35" i="15"/>
  <c r="G35" i="15"/>
  <c r="H35" i="15"/>
  <c r="F102" i="5"/>
  <c r="G102" i="5"/>
  <c r="H102" i="5"/>
  <c r="F65" i="50"/>
  <c r="G65" i="50"/>
  <c r="H65" i="50"/>
  <c r="F85" i="14"/>
  <c r="G85" i="14"/>
  <c r="H85" i="14"/>
  <c r="F126" i="65"/>
  <c r="G126" i="65"/>
  <c r="H126" i="65"/>
  <c r="F41" i="51"/>
  <c r="G41" i="51"/>
  <c r="H41" i="51"/>
  <c r="F39" i="42"/>
  <c r="G39" i="42"/>
  <c r="H39" i="42"/>
  <c r="F64" i="50"/>
  <c r="G64" i="50"/>
  <c r="H64" i="50"/>
  <c r="F25" i="56"/>
  <c r="G25" i="56"/>
  <c r="H25" i="56"/>
  <c r="F63" i="50"/>
  <c r="G63" i="50"/>
  <c r="H63" i="50"/>
  <c r="F38" i="20"/>
  <c r="G38" i="20"/>
  <c r="H38" i="20"/>
  <c r="F32" i="27"/>
  <c r="G32" i="27"/>
  <c r="H32" i="27"/>
  <c r="F23" i="32" l="1"/>
  <c r="G23" i="32"/>
  <c r="H23" i="32"/>
  <c r="F267" i="40"/>
  <c r="G267" i="40"/>
  <c r="H267" i="40"/>
  <c r="F101" i="5"/>
  <c r="G101" i="5"/>
  <c r="H101" i="5"/>
  <c r="F100" i="5"/>
  <c r="G100" i="5"/>
  <c r="H100" i="5"/>
  <c r="F62" i="50"/>
  <c r="G62" i="50"/>
  <c r="H62" i="50"/>
  <c r="F132" i="11"/>
  <c r="G132" i="11"/>
  <c r="H132" i="11"/>
  <c r="F218" i="10"/>
  <c r="G218" i="10"/>
  <c r="H218" i="10"/>
  <c r="F131" i="11"/>
  <c r="G131" i="11"/>
  <c r="H131" i="11"/>
  <c r="F130" i="11"/>
  <c r="G130" i="11"/>
  <c r="H130" i="11"/>
  <c r="F129" i="11"/>
  <c r="G129" i="11"/>
  <c r="H129" i="11"/>
  <c r="F124" i="65"/>
  <c r="G124" i="65"/>
  <c r="H124" i="65"/>
  <c r="F61" i="50"/>
  <c r="G61" i="50"/>
  <c r="H61" i="50"/>
  <c r="F60" i="50"/>
  <c r="G60" i="50"/>
  <c r="H60" i="50"/>
  <c r="F48" i="57"/>
  <c r="G48" i="57"/>
  <c r="H48" i="57"/>
  <c r="F20" i="9"/>
  <c r="G20" i="9"/>
  <c r="H20" i="9"/>
  <c r="F217" i="10"/>
  <c r="G217" i="10"/>
  <c r="H217" i="10"/>
  <c r="F75" i="49"/>
  <c r="G75" i="49"/>
  <c r="H75" i="49"/>
  <c r="F18" i="12"/>
  <c r="G18" i="12"/>
  <c r="H18" i="12"/>
  <c r="F37" i="20"/>
  <c r="G37" i="20"/>
  <c r="H37" i="20"/>
  <c r="D1" i="68"/>
  <c r="Q1" i="68" s="1"/>
  <c r="J15" i="68"/>
  <c r="J14" i="68"/>
  <c r="J13" i="68"/>
  <c r="H13" i="68"/>
  <c r="G13" i="68"/>
  <c r="F13" i="68"/>
  <c r="J12" i="68"/>
  <c r="H12" i="68"/>
  <c r="G12" i="68"/>
  <c r="F12" i="68"/>
  <c r="J11" i="68"/>
  <c r="H11" i="68"/>
  <c r="G11" i="68"/>
  <c r="F11" i="68"/>
  <c r="J10" i="68"/>
  <c r="H10" i="68"/>
  <c r="G10" i="68"/>
  <c r="F10" i="68"/>
  <c r="J9" i="68"/>
  <c r="H9" i="68"/>
  <c r="G9" i="68"/>
  <c r="F9" i="68"/>
  <c r="J8" i="68"/>
  <c r="H8" i="68"/>
  <c r="G8" i="68"/>
  <c r="F8" i="68"/>
  <c r="J7" i="68"/>
  <c r="H7" i="68"/>
  <c r="G7" i="68"/>
  <c r="F7" i="68"/>
  <c r="J6" i="68"/>
  <c r="H6" i="68"/>
  <c r="G6" i="68"/>
  <c r="F6" i="68"/>
  <c r="J5" i="68"/>
  <c r="H5" i="68"/>
  <c r="G5" i="68"/>
  <c r="F5" i="68"/>
  <c r="J4" i="68"/>
  <c r="H4" i="68"/>
  <c r="G4" i="68"/>
  <c r="F4" i="68"/>
  <c r="J2" i="68"/>
  <c r="F266" i="40"/>
  <c r="G266" i="40"/>
  <c r="H266" i="40"/>
  <c r="F31" i="13"/>
  <c r="G31" i="13"/>
  <c r="H31" i="13"/>
  <c r="F52" i="34"/>
  <c r="G52" i="34"/>
  <c r="H52" i="34"/>
  <c r="F28" i="26"/>
  <c r="G28" i="26"/>
  <c r="H28" i="26"/>
  <c r="F47" i="57"/>
  <c r="G47" i="57"/>
  <c r="H47" i="57"/>
  <c r="F57" i="35"/>
  <c r="G57" i="35"/>
  <c r="H57" i="35"/>
  <c r="F22" i="32"/>
  <c r="G22" i="32"/>
  <c r="H22" i="32"/>
  <c r="F30" i="24"/>
  <c r="G30" i="24"/>
  <c r="H30" i="24"/>
  <c r="F8" i="64"/>
  <c r="G8" i="64"/>
  <c r="H8" i="64"/>
  <c r="F13" i="38"/>
  <c r="G13" i="38"/>
  <c r="H13" i="38"/>
  <c r="F73" i="49"/>
  <c r="G73" i="49"/>
  <c r="H73" i="49"/>
  <c r="F46" i="57"/>
  <c r="G46" i="57"/>
  <c r="H46" i="57"/>
  <c r="F25" i="44"/>
  <c r="G25" i="44"/>
  <c r="H25" i="44"/>
  <c r="F24" i="56"/>
  <c r="G24" i="56"/>
  <c r="H24" i="56"/>
  <c r="F28" i="43"/>
  <c r="G28" i="43"/>
  <c r="H28" i="43"/>
  <c r="F19" i="9"/>
  <c r="G19" i="9"/>
  <c r="H19" i="9"/>
  <c r="F25" i="7"/>
  <c r="G25" i="7"/>
  <c r="H25" i="7"/>
  <c r="F84" i="14"/>
  <c r="G84" i="14"/>
  <c r="H84" i="14"/>
  <c r="F26" i="28"/>
  <c r="G26" i="28"/>
  <c r="H26" i="28"/>
  <c r="F81" i="41"/>
  <c r="G81" i="41"/>
  <c r="H81" i="41"/>
  <c r="F32" i="48"/>
  <c r="G32" i="48"/>
  <c r="H32" i="48"/>
  <c r="F99" i="5"/>
  <c r="G99" i="5"/>
  <c r="H99" i="5"/>
  <c r="F98" i="5"/>
  <c r="G98" i="5"/>
  <c r="H98" i="5"/>
  <c r="F123" i="65"/>
  <c r="G123" i="65"/>
  <c r="H123" i="65"/>
  <c r="F26" i="24"/>
  <c r="G26" i="24"/>
  <c r="H26" i="24"/>
  <c r="F41" i="30"/>
  <c r="G41" i="30"/>
  <c r="H41" i="30"/>
  <c r="F80" i="41"/>
  <c r="G80" i="41"/>
  <c r="H80" i="41"/>
  <c r="C1" i="68" l="1"/>
  <c r="C29" i="2" s="1"/>
  <c r="F29" i="2" s="1"/>
  <c r="L3" i="68"/>
  <c r="L4" i="68"/>
  <c r="M4" i="68"/>
  <c r="R1" i="68"/>
  <c r="P1" i="68"/>
  <c r="F21" i="32"/>
  <c r="G21" i="32"/>
  <c r="H21" i="32"/>
  <c r="F70" i="49"/>
  <c r="G70" i="49"/>
  <c r="H70" i="49"/>
  <c r="F216" i="10"/>
  <c r="G216" i="10"/>
  <c r="H216" i="10"/>
  <c r="J24" i="36"/>
  <c r="F24" i="36"/>
  <c r="G24" i="36"/>
  <c r="H24" i="36"/>
  <c r="F56" i="35"/>
  <c r="G56" i="35"/>
  <c r="H56" i="35"/>
  <c r="F10" i="62"/>
  <c r="G10" i="62"/>
  <c r="H10" i="62"/>
  <c r="F51" i="6"/>
  <c r="G51" i="6"/>
  <c r="H51" i="6"/>
  <c r="F128" i="11"/>
  <c r="G128" i="11"/>
  <c r="H128" i="11"/>
  <c r="J42" i="51"/>
  <c r="J41" i="51"/>
  <c r="J40" i="51"/>
  <c r="J39" i="51"/>
  <c r="J38" i="51"/>
  <c r="J37" i="51"/>
  <c r="J36" i="51"/>
  <c r="J35" i="51"/>
  <c r="J34" i="51"/>
  <c r="J33" i="51"/>
  <c r="J32" i="51"/>
  <c r="J31" i="51"/>
  <c r="J30" i="51"/>
  <c r="J29" i="51"/>
  <c r="J28" i="51"/>
  <c r="J63" i="50"/>
  <c r="J62" i="50"/>
  <c r="J61" i="50"/>
  <c r="J60" i="50"/>
  <c r="J59" i="50"/>
  <c r="J58" i="50"/>
  <c r="J57" i="50"/>
  <c r="J56" i="50"/>
  <c r="J55" i="50"/>
  <c r="J54" i="50"/>
  <c r="J53" i="50"/>
  <c r="J52" i="50"/>
  <c r="J51" i="50"/>
  <c r="J50" i="50"/>
  <c r="J49" i="50"/>
  <c r="J48" i="50"/>
  <c r="J47" i="50"/>
  <c r="J46" i="50"/>
  <c r="J45" i="50"/>
  <c r="J44" i="50"/>
  <c r="J43" i="50"/>
  <c r="J42" i="50"/>
  <c r="J41" i="50"/>
  <c r="J40" i="50"/>
  <c r="J39" i="50"/>
  <c r="J38" i="50"/>
  <c r="J37" i="50"/>
  <c r="J36" i="50"/>
  <c r="J35" i="50"/>
  <c r="J82" i="49"/>
  <c r="J81" i="49"/>
  <c r="J75" i="49"/>
  <c r="J73" i="49"/>
  <c r="J72" i="49"/>
  <c r="J71" i="49"/>
  <c r="J69" i="49"/>
  <c r="J68" i="49"/>
  <c r="J67" i="49"/>
  <c r="J66" i="49"/>
  <c r="J65" i="49"/>
  <c r="J64" i="49"/>
  <c r="J63" i="49"/>
  <c r="J62" i="49"/>
  <c r="J61" i="49"/>
  <c r="J60" i="49"/>
  <c r="J59" i="49"/>
  <c r="J58" i="49"/>
  <c r="J57" i="49"/>
  <c r="J56" i="49"/>
  <c r="J55" i="49"/>
  <c r="J54" i="49"/>
  <c r="J53" i="49"/>
  <c r="J52" i="49"/>
  <c r="J45" i="60"/>
  <c r="J44" i="60"/>
  <c r="J43" i="60"/>
  <c r="J42" i="60"/>
  <c r="J41" i="60"/>
  <c r="J39" i="60"/>
  <c r="J38" i="60"/>
  <c r="J37" i="60"/>
  <c r="J36" i="60"/>
  <c r="J35" i="60"/>
  <c r="J34" i="60"/>
  <c r="J33" i="60"/>
  <c r="J32" i="60"/>
  <c r="J31" i="60"/>
  <c r="J30" i="60"/>
  <c r="J29" i="60"/>
  <c r="J28" i="60"/>
  <c r="J27" i="60"/>
  <c r="J26" i="60"/>
  <c r="J25" i="60"/>
  <c r="J24" i="60"/>
  <c r="J23" i="60"/>
  <c r="J22" i="60"/>
  <c r="J21" i="60"/>
  <c r="J20" i="60"/>
  <c r="J19" i="60"/>
  <c r="J18" i="60"/>
  <c r="J17" i="60"/>
  <c r="J16" i="60"/>
  <c r="J15" i="60"/>
  <c r="J14" i="60"/>
  <c r="J13" i="60"/>
  <c r="J12" i="60"/>
  <c r="J11" i="60"/>
  <c r="J10" i="60"/>
  <c r="J9" i="60"/>
  <c r="J8" i="60"/>
  <c r="J7" i="60"/>
  <c r="J38" i="48"/>
  <c r="J37" i="48"/>
  <c r="J36" i="48"/>
  <c r="J35" i="48"/>
  <c r="J34" i="48"/>
  <c r="J33" i="48"/>
  <c r="J32" i="48"/>
  <c r="J31" i="48"/>
  <c r="J30" i="48"/>
  <c r="J29" i="48"/>
  <c r="J28" i="48"/>
  <c r="J27" i="48"/>
  <c r="J25" i="48"/>
  <c r="J24" i="48"/>
  <c r="J23" i="48"/>
  <c r="J22" i="48"/>
  <c r="J21" i="48"/>
  <c r="J16" i="47"/>
  <c r="J15" i="47"/>
  <c r="J14" i="47"/>
  <c r="J13" i="47"/>
  <c r="J12" i="47"/>
  <c r="J11" i="47"/>
  <c r="J10" i="47"/>
  <c r="J9" i="47"/>
  <c r="J8" i="47"/>
  <c r="J7" i="47"/>
  <c r="J6" i="47"/>
  <c r="J5" i="47"/>
  <c r="J4" i="47"/>
  <c r="J69" i="45"/>
  <c r="J68" i="45"/>
  <c r="J67" i="45"/>
  <c r="J66" i="45"/>
  <c r="J65" i="45"/>
  <c r="J64" i="45"/>
  <c r="J63" i="45"/>
  <c r="J62" i="45"/>
  <c r="J61" i="45"/>
  <c r="J60" i="45"/>
  <c r="J59" i="45"/>
  <c r="J58" i="45"/>
  <c r="J57" i="45"/>
  <c r="J56" i="45"/>
  <c r="J55" i="45"/>
  <c r="J54" i="45"/>
  <c r="J53" i="45"/>
  <c r="J52" i="45"/>
  <c r="J51" i="45"/>
  <c r="J50" i="45"/>
  <c r="J49" i="45"/>
  <c r="J48" i="45"/>
  <c r="J47" i="45"/>
  <c r="J46" i="45"/>
  <c r="J45" i="45"/>
  <c r="J44" i="45"/>
  <c r="J43" i="45"/>
  <c r="J42" i="45"/>
  <c r="J41" i="45"/>
  <c r="J40" i="45"/>
  <c r="J39" i="45"/>
  <c r="J38" i="45"/>
  <c r="J37" i="45"/>
  <c r="J36" i="45"/>
  <c r="J35" i="45"/>
  <c r="J34" i="45"/>
  <c r="J33" i="45"/>
  <c r="J32" i="45"/>
  <c r="J31" i="45"/>
  <c r="J30" i="45"/>
  <c r="J29" i="45"/>
  <c r="J28" i="45"/>
  <c r="J27" i="45"/>
  <c r="J26" i="45"/>
  <c r="J25" i="45"/>
  <c r="J24" i="45"/>
  <c r="J23" i="45"/>
  <c r="J22" i="45"/>
  <c r="J21" i="45"/>
  <c r="J20" i="45"/>
  <c r="J19" i="45"/>
  <c r="J18" i="45"/>
  <c r="J17" i="45"/>
  <c r="J16" i="45"/>
  <c r="J15" i="45"/>
  <c r="J14" i="45"/>
  <c r="J13" i="45"/>
  <c r="J12" i="45"/>
  <c r="J11" i="45"/>
  <c r="J10" i="45"/>
  <c r="J9" i="45"/>
  <c r="J8" i="45"/>
  <c r="J7" i="45"/>
  <c r="J6" i="45"/>
  <c r="J27" i="44"/>
  <c r="J26" i="44"/>
  <c r="J25" i="44"/>
  <c r="J24" i="44"/>
  <c r="J23" i="44"/>
  <c r="J22" i="44"/>
  <c r="J21" i="44"/>
  <c r="J20" i="44"/>
  <c r="J19" i="44"/>
  <c r="J18" i="44"/>
  <c r="J17" i="44"/>
  <c r="J16" i="44"/>
  <c r="J15" i="44"/>
  <c r="J14" i="44"/>
  <c r="J13" i="44"/>
  <c r="J12" i="44"/>
  <c r="J11" i="44"/>
  <c r="J10" i="44"/>
  <c r="J9" i="44"/>
  <c r="J8" i="44"/>
  <c r="J38" i="43"/>
  <c r="J37" i="43"/>
  <c r="J36" i="43"/>
  <c r="J35" i="43"/>
  <c r="J34" i="43"/>
  <c r="J31" i="43"/>
  <c r="J29" i="43"/>
  <c r="J28" i="43"/>
  <c r="J27" i="43"/>
  <c r="J23" i="43"/>
  <c r="J22" i="43"/>
  <c r="J21" i="43"/>
  <c r="J20" i="43"/>
  <c r="J19" i="43"/>
  <c r="J18" i="43"/>
  <c r="J17" i="43"/>
  <c r="J16" i="43"/>
  <c r="J15" i="43"/>
  <c r="J14" i="43"/>
  <c r="J13" i="43"/>
  <c r="J12" i="43"/>
  <c r="J11" i="43"/>
  <c r="J10" i="43"/>
  <c r="J9" i="43"/>
  <c r="J8" i="43"/>
  <c r="J7" i="43"/>
  <c r="J6" i="43"/>
  <c r="J5" i="43"/>
  <c r="J4" i="43"/>
  <c r="J43" i="42"/>
  <c r="J42" i="42"/>
  <c r="J41" i="42"/>
  <c r="J40" i="42"/>
  <c r="J39" i="42"/>
  <c r="J38" i="42"/>
  <c r="J37" i="42"/>
  <c r="J36" i="42"/>
  <c r="J35" i="42"/>
  <c r="J34" i="42"/>
  <c r="J33" i="42"/>
  <c r="J32" i="42"/>
  <c r="J31" i="42"/>
  <c r="J30" i="42"/>
  <c r="J29" i="42"/>
  <c r="J28" i="42"/>
  <c r="J27" i="42"/>
  <c r="J26" i="42"/>
  <c r="J25" i="42"/>
  <c r="J24" i="42"/>
  <c r="J23" i="42"/>
  <c r="J22" i="42"/>
  <c r="J21" i="42"/>
  <c r="J88" i="41"/>
  <c r="J87" i="41"/>
  <c r="J85" i="41"/>
  <c r="J84" i="41"/>
  <c r="J83" i="41"/>
  <c r="J82" i="41"/>
  <c r="J81" i="41"/>
  <c r="J80" i="41"/>
  <c r="J79" i="41"/>
  <c r="J78" i="41"/>
  <c r="J77" i="41"/>
  <c r="J76" i="41"/>
  <c r="J75" i="41"/>
  <c r="J74" i="41"/>
  <c r="J73" i="41"/>
  <c r="J72" i="41"/>
  <c r="J71" i="41"/>
  <c r="J70" i="41"/>
  <c r="J69" i="41"/>
  <c r="J68" i="41"/>
  <c r="J67" i="41"/>
  <c r="J66" i="41"/>
  <c r="J65" i="41"/>
  <c r="J64" i="41"/>
  <c r="J63" i="41"/>
  <c r="J62" i="41"/>
  <c r="J61" i="41"/>
  <c r="J60" i="41"/>
  <c r="J59" i="41"/>
  <c r="J58" i="41"/>
  <c r="J57" i="41"/>
  <c r="J56" i="41"/>
  <c r="J55" i="41"/>
  <c r="J54" i="41"/>
  <c r="J53" i="41"/>
  <c r="J52" i="41"/>
  <c r="J51" i="41"/>
  <c r="J50" i="41"/>
  <c r="J49" i="41"/>
  <c r="J48" i="41"/>
  <c r="J47" i="41"/>
  <c r="J46" i="41"/>
  <c r="J45" i="41"/>
  <c r="J44" i="41"/>
  <c r="J43" i="41"/>
  <c r="J42" i="41"/>
  <c r="J41" i="41"/>
  <c r="J40" i="41"/>
  <c r="J39" i="41"/>
  <c r="J38" i="41"/>
  <c r="J37" i="41"/>
  <c r="J36" i="41"/>
  <c r="J35" i="41"/>
  <c r="J34" i="41"/>
  <c r="J33" i="41"/>
  <c r="J270" i="40"/>
  <c r="J269" i="40"/>
  <c r="J268" i="40"/>
  <c r="J267" i="40"/>
  <c r="J266" i="40"/>
  <c r="J265" i="40"/>
  <c r="J264" i="40"/>
  <c r="J263" i="40"/>
  <c r="J262" i="40"/>
  <c r="J261" i="40"/>
  <c r="J260" i="40"/>
  <c r="J259" i="40"/>
  <c r="J258" i="40"/>
  <c r="J257" i="40"/>
  <c r="J256" i="40"/>
  <c r="J255" i="40"/>
  <c r="J254" i="40"/>
  <c r="J15" i="38"/>
  <c r="J14" i="38"/>
  <c r="J13" i="38"/>
  <c r="J12" i="38"/>
  <c r="J11" i="38"/>
  <c r="J10" i="38"/>
  <c r="J9" i="38"/>
  <c r="J8" i="38"/>
  <c r="J7" i="38"/>
  <c r="J6" i="38"/>
  <c r="J5" i="38"/>
  <c r="J4" i="38"/>
  <c r="J25" i="37"/>
  <c r="J24" i="37"/>
  <c r="J22" i="37"/>
  <c r="J21" i="37"/>
  <c r="J20" i="37"/>
  <c r="J19" i="37"/>
  <c r="J18" i="37"/>
  <c r="J17" i="37"/>
  <c r="J16" i="37"/>
  <c r="J15" i="37"/>
  <c r="J14" i="37"/>
  <c r="J13" i="37"/>
  <c r="J12" i="37"/>
  <c r="J11" i="37"/>
  <c r="J10" i="37"/>
  <c r="J9" i="37"/>
  <c r="J8" i="37"/>
  <c r="J7" i="37"/>
  <c r="J6" i="37"/>
  <c r="J5" i="37"/>
  <c r="J4" i="37"/>
  <c r="J33" i="36"/>
  <c r="J32" i="36"/>
  <c r="J30" i="36"/>
  <c r="J29" i="36"/>
  <c r="J28" i="36"/>
  <c r="J27" i="36"/>
  <c r="J26" i="36"/>
  <c r="J23" i="36"/>
  <c r="J22" i="36"/>
  <c r="J21" i="36"/>
  <c r="J20" i="36"/>
  <c r="J19" i="36"/>
  <c r="J18" i="36"/>
  <c r="J17" i="36"/>
  <c r="J16" i="36"/>
  <c r="J15" i="36"/>
  <c r="J14" i="36"/>
  <c r="J13" i="36"/>
  <c r="J12" i="36"/>
  <c r="J28" i="67"/>
  <c r="J27" i="67"/>
  <c r="J26" i="67"/>
  <c r="J25" i="67"/>
  <c r="J24" i="67"/>
  <c r="J23" i="67"/>
  <c r="J13" i="67"/>
  <c r="J12" i="67"/>
  <c r="J11" i="67"/>
  <c r="J10" i="67"/>
  <c r="J9" i="67"/>
  <c r="J8" i="67"/>
  <c r="J7" i="67"/>
  <c r="J6" i="67"/>
  <c r="J5" i="67"/>
  <c r="J4" i="67"/>
  <c r="J61" i="35"/>
  <c r="J60" i="35"/>
  <c r="J59" i="35"/>
  <c r="J58" i="35"/>
  <c r="J57" i="35"/>
  <c r="J56" i="35"/>
  <c r="J55" i="35"/>
  <c r="J54" i="35"/>
  <c r="J53" i="35"/>
  <c r="J52" i="35"/>
  <c r="J51" i="35"/>
  <c r="J50" i="35"/>
  <c r="J49" i="35"/>
  <c r="J48" i="35"/>
  <c r="J47" i="35"/>
  <c r="J46" i="35"/>
  <c r="J45" i="35"/>
  <c r="J44" i="35"/>
  <c r="J43" i="35"/>
  <c r="J42" i="35"/>
  <c r="J41" i="35"/>
  <c r="J40" i="35"/>
  <c r="J39" i="35"/>
  <c r="J38" i="35"/>
  <c r="J37" i="35"/>
  <c r="J36" i="35"/>
  <c r="J35" i="35"/>
  <c r="J34" i="35"/>
  <c r="J33" i="35"/>
  <c r="J55" i="34"/>
  <c r="J54" i="34"/>
  <c r="J53" i="34"/>
  <c r="J52" i="34"/>
  <c r="J51" i="34"/>
  <c r="J50" i="34"/>
  <c r="J49" i="34"/>
  <c r="J48" i="34"/>
  <c r="J47" i="34"/>
  <c r="J46" i="34"/>
  <c r="J45" i="34"/>
  <c r="J44" i="34"/>
  <c r="J43" i="34"/>
  <c r="J42" i="34"/>
  <c r="J41" i="34"/>
  <c r="J40" i="34"/>
  <c r="J39" i="34"/>
  <c r="J38" i="34"/>
  <c r="J37" i="34"/>
  <c r="J36" i="34"/>
  <c r="J35" i="34"/>
  <c r="J34" i="34"/>
  <c r="J33" i="34"/>
  <c r="J32" i="34"/>
  <c r="J22" i="32"/>
  <c r="J21" i="32"/>
  <c r="J20" i="32"/>
  <c r="J19" i="32"/>
  <c r="J18" i="32"/>
  <c r="J17" i="32"/>
  <c r="J16" i="32"/>
  <c r="J15" i="32"/>
  <c r="J14" i="32"/>
  <c r="J13" i="32"/>
  <c r="J12" i="32"/>
  <c r="J11" i="32"/>
  <c r="J10" i="32"/>
  <c r="J9" i="32"/>
  <c r="J8" i="32"/>
  <c r="J7" i="32"/>
  <c r="J6" i="32"/>
  <c r="J5" i="32"/>
  <c r="J4" i="32"/>
  <c r="J45" i="30"/>
  <c r="J44" i="30"/>
  <c r="J43" i="30"/>
  <c r="J42" i="30"/>
  <c r="J41" i="30"/>
  <c r="J40" i="30"/>
  <c r="J39" i="30"/>
  <c r="J38" i="30"/>
  <c r="J37" i="30"/>
  <c r="J36" i="30"/>
  <c r="J35" i="30"/>
  <c r="J34" i="30"/>
  <c r="J33" i="30"/>
  <c r="J32" i="30"/>
  <c r="J31" i="30"/>
  <c r="J30" i="30"/>
  <c r="J25" i="56"/>
  <c r="J24" i="56"/>
  <c r="J23" i="56"/>
  <c r="J22" i="56"/>
  <c r="J21" i="56"/>
  <c r="J20" i="56"/>
  <c r="J19" i="56"/>
  <c r="J18" i="56"/>
  <c r="J17" i="56"/>
  <c r="J16" i="56"/>
  <c r="J15" i="56"/>
  <c r="J14" i="56"/>
  <c r="J13" i="56"/>
  <c r="J12" i="56"/>
  <c r="J11" i="56"/>
  <c r="J10" i="56"/>
  <c r="J9" i="56"/>
  <c r="J8" i="56"/>
  <c r="J7" i="56"/>
  <c r="J6" i="56"/>
  <c r="J5" i="56"/>
  <c r="J4" i="56"/>
  <c r="J27" i="28"/>
  <c r="J26" i="28"/>
  <c r="J25" i="28"/>
  <c r="J24" i="28"/>
  <c r="J23" i="28"/>
  <c r="J22" i="28"/>
  <c r="J21" i="28"/>
  <c r="J20" i="28"/>
  <c r="J19" i="28"/>
  <c r="J18" i="28"/>
  <c r="J17" i="28"/>
  <c r="J16" i="28"/>
  <c r="J15" i="28"/>
  <c r="J14" i="28"/>
  <c r="J13" i="28"/>
  <c r="J12" i="28"/>
  <c r="J11" i="28"/>
  <c r="J10" i="28"/>
  <c r="J9" i="28"/>
  <c r="J8" i="28"/>
  <c r="J7" i="28"/>
  <c r="J6" i="28"/>
  <c r="J5" i="28"/>
  <c r="J4" i="28"/>
  <c r="J33" i="27"/>
  <c r="J32" i="27"/>
  <c r="J31" i="27"/>
  <c r="J30" i="27"/>
  <c r="J29" i="27"/>
  <c r="J28" i="27"/>
  <c r="J27" i="27"/>
  <c r="J26" i="27"/>
  <c r="J25" i="27"/>
  <c r="J24" i="27"/>
  <c r="J23" i="27"/>
  <c r="J22" i="27"/>
  <c r="J21" i="27"/>
  <c r="J20" i="27"/>
  <c r="J19" i="27"/>
  <c r="J18" i="27"/>
  <c r="J17" i="27"/>
  <c r="J16" i="27"/>
  <c r="J15" i="27"/>
  <c r="J14" i="27"/>
  <c r="J13" i="27"/>
  <c r="J12" i="27"/>
  <c r="J11" i="27"/>
  <c r="J10" i="27"/>
  <c r="J9" i="27"/>
  <c r="J8" i="27"/>
  <c r="J7" i="27"/>
  <c r="J6" i="27"/>
  <c r="J5" i="27"/>
  <c r="J4" i="27"/>
  <c r="J37" i="26"/>
  <c r="J36" i="26"/>
  <c r="J35" i="26"/>
  <c r="J34" i="26"/>
  <c r="J33" i="26"/>
  <c r="J32" i="26"/>
  <c r="J31" i="26"/>
  <c r="J30" i="26"/>
  <c r="J29" i="26"/>
  <c r="J28" i="26"/>
  <c r="J27" i="26"/>
  <c r="J26" i="26"/>
  <c r="J25" i="26"/>
  <c r="J24" i="26"/>
  <c r="J23" i="26"/>
  <c r="J22" i="26"/>
  <c r="J21" i="26"/>
  <c r="J20" i="26"/>
  <c r="J19" i="26"/>
  <c r="J18" i="26"/>
  <c r="J17" i="26"/>
  <c r="J16" i="26"/>
  <c r="J15" i="26"/>
  <c r="J14" i="26"/>
  <c r="J13" i="26"/>
  <c r="J12" i="26"/>
  <c r="J11" i="26"/>
  <c r="J10" i="26"/>
  <c r="J9" i="26"/>
  <c r="J8" i="26"/>
  <c r="J7" i="26"/>
  <c r="J6" i="26"/>
  <c r="J5" i="26"/>
  <c r="J4" i="26"/>
  <c r="J35" i="24"/>
  <c r="J34" i="24"/>
  <c r="J33" i="24"/>
  <c r="J32" i="24"/>
  <c r="J31" i="24"/>
  <c r="J30" i="24"/>
  <c r="J26" i="24"/>
  <c r="J25" i="24"/>
  <c r="J24" i="24"/>
  <c r="J23" i="24"/>
  <c r="J22" i="24"/>
  <c r="J21" i="24"/>
  <c r="J20" i="24"/>
  <c r="J19" i="24"/>
  <c r="J18" i="24"/>
  <c r="J32" i="23"/>
  <c r="J31" i="23"/>
  <c r="J30" i="23"/>
  <c r="J29" i="23"/>
  <c r="J28" i="23"/>
  <c r="J27" i="23"/>
  <c r="J26" i="23"/>
  <c r="J25" i="23"/>
  <c r="J24" i="23"/>
  <c r="J23" i="23"/>
  <c r="J22" i="23"/>
  <c r="J21" i="23"/>
  <c r="J20" i="23"/>
  <c r="J19" i="23"/>
  <c r="J18" i="23"/>
  <c r="J17" i="23"/>
  <c r="J16" i="23"/>
  <c r="J15" i="23"/>
  <c r="J14" i="23"/>
  <c r="J13" i="23"/>
  <c r="J12" i="23"/>
  <c r="J11" i="23"/>
  <c r="J10" i="23"/>
  <c r="J9" i="23"/>
  <c r="J8" i="23"/>
  <c r="J7" i="23"/>
  <c r="J6" i="23"/>
  <c r="J5" i="23"/>
  <c r="J4" i="23"/>
  <c r="J26" i="62"/>
  <c r="J25" i="62"/>
  <c r="J24" i="62"/>
  <c r="J23" i="62"/>
  <c r="J22" i="62"/>
  <c r="J21" i="62"/>
  <c r="J20" i="62"/>
  <c r="J19" i="62"/>
  <c r="J18" i="62"/>
  <c r="J17" i="62"/>
  <c r="J16" i="62"/>
  <c r="J15" i="62"/>
  <c r="J8" i="62"/>
  <c r="J7" i="62"/>
  <c r="J6" i="62"/>
  <c r="J5" i="62"/>
  <c r="J4" i="62"/>
  <c r="J40" i="21"/>
  <c r="J39" i="21"/>
  <c r="J38" i="21"/>
  <c r="J37" i="21"/>
  <c r="J36" i="21"/>
  <c r="J35" i="21"/>
  <c r="J34" i="21"/>
  <c r="J33" i="21"/>
  <c r="J32" i="21"/>
  <c r="J31" i="21"/>
  <c r="J30" i="21"/>
  <c r="J29" i="21"/>
  <c r="J28" i="21"/>
  <c r="J27" i="21"/>
  <c r="J26" i="21"/>
  <c r="J25" i="21"/>
  <c r="J24" i="21"/>
  <c r="J23" i="21"/>
  <c r="J22" i="21"/>
  <c r="J21" i="21"/>
  <c r="J20" i="21"/>
  <c r="J19" i="21"/>
  <c r="J18" i="21"/>
  <c r="J17" i="21"/>
  <c r="J16" i="21"/>
  <c r="J15" i="21"/>
  <c r="J14" i="21"/>
  <c r="J13" i="21"/>
  <c r="J12" i="21"/>
  <c r="J11" i="21"/>
  <c r="J40" i="20"/>
  <c r="J39" i="20"/>
  <c r="J38" i="20"/>
  <c r="J37" i="20"/>
  <c r="J36" i="20"/>
  <c r="J35" i="20"/>
  <c r="J34" i="20"/>
  <c r="J33" i="20"/>
  <c r="J32" i="20"/>
  <c r="J31" i="20"/>
  <c r="J30" i="20"/>
  <c r="J29" i="20"/>
  <c r="J28" i="20"/>
  <c r="J27" i="20"/>
  <c r="J26" i="20"/>
  <c r="J25" i="20"/>
  <c r="J24" i="20"/>
  <c r="J23" i="20"/>
  <c r="J22" i="20"/>
  <c r="J21" i="20"/>
  <c r="J25" i="18"/>
  <c r="J24" i="18"/>
  <c r="J23" i="18"/>
  <c r="J22" i="18"/>
  <c r="J21" i="18"/>
  <c r="J20" i="18"/>
  <c r="J19" i="18"/>
  <c r="J18" i="18"/>
  <c r="J17" i="18"/>
  <c r="J16" i="18"/>
  <c r="J15" i="18"/>
  <c r="J14" i="18"/>
  <c r="J13" i="18"/>
  <c r="J12" i="18"/>
  <c r="J11" i="18"/>
  <c r="J10" i="18"/>
  <c r="J9" i="18"/>
  <c r="J8" i="18"/>
  <c r="J7" i="18"/>
  <c r="J6" i="18"/>
  <c r="J5" i="18"/>
  <c r="J4" i="18"/>
  <c r="J17" i="64"/>
  <c r="J16" i="64"/>
  <c r="J15" i="64"/>
  <c r="J14" i="64"/>
  <c r="J13" i="64"/>
  <c r="J10" i="64"/>
  <c r="J9" i="64"/>
  <c r="J8" i="64"/>
  <c r="J7" i="64"/>
  <c r="J6" i="64"/>
  <c r="J5" i="64"/>
  <c r="J4" i="64"/>
  <c r="J51" i="16"/>
  <c r="J50" i="16"/>
  <c r="J49" i="16"/>
  <c r="J48" i="16"/>
  <c r="J47" i="16"/>
  <c r="J46" i="16"/>
  <c r="J45" i="16"/>
  <c r="J44" i="16"/>
  <c r="J43" i="16"/>
  <c r="J42" i="16"/>
  <c r="J41" i="16"/>
  <c r="J40" i="16"/>
  <c r="J39" i="16"/>
  <c r="J38" i="16"/>
  <c r="J37" i="16"/>
  <c r="J35" i="16"/>
  <c r="J34" i="16"/>
  <c r="J33" i="16"/>
  <c r="J32" i="16"/>
  <c r="J31" i="16"/>
  <c r="J30" i="16"/>
  <c r="J29" i="16"/>
  <c r="J28" i="16"/>
  <c r="J27" i="16"/>
  <c r="J26" i="16"/>
  <c r="J25" i="16"/>
  <c r="J24" i="16"/>
  <c r="J23" i="16"/>
  <c r="J22" i="16"/>
  <c r="J14" i="63"/>
  <c r="J13" i="63"/>
  <c r="J12" i="63"/>
  <c r="J11" i="63"/>
  <c r="J10" i="63"/>
  <c r="J9" i="63"/>
  <c r="J8" i="63"/>
  <c r="J7" i="63"/>
  <c r="J6" i="63"/>
  <c r="J5" i="63"/>
  <c r="J4" i="63"/>
  <c r="J43" i="15"/>
  <c r="J42" i="15"/>
  <c r="J41" i="15"/>
  <c r="J40" i="15"/>
  <c r="J39" i="15"/>
  <c r="J38" i="15"/>
  <c r="J37" i="15"/>
  <c r="J36" i="15"/>
  <c r="J35" i="15"/>
  <c r="J34" i="15"/>
  <c r="J33" i="15"/>
  <c r="J32" i="15"/>
  <c r="J31" i="15"/>
  <c r="J30" i="15"/>
  <c r="J28" i="15"/>
  <c r="J27" i="15"/>
  <c r="J26" i="15"/>
  <c r="J25" i="15"/>
  <c r="J24" i="15"/>
  <c r="J23" i="15"/>
  <c r="J22" i="15"/>
  <c r="J21" i="15"/>
  <c r="J20" i="15"/>
  <c r="J86" i="14"/>
  <c r="J85" i="14"/>
  <c r="J84" i="14"/>
  <c r="J83" i="14"/>
  <c r="J82" i="14"/>
  <c r="J81" i="14"/>
  <c r="J80" i="14"/>
  <c r="J79" i="14"/>
  <c r="J78" i="14"/>
  <c r="J77" i="14"/>
  <c r="J76" i="14"/>
  <c r="J75" i="14"/>
  <c r="J74" i="14"/>
  <c r="J73" i="14"/>
  <c r="J72" i="14"/>
  <c r="J71" i="14"/>
  <c r="J70" i="14"/>
  <c r="J69" i="14"/>
  <c r="J68" i="14"/>
  <c r="J67" i="14"/>
  <c r="J66" i="14"/>
  <c r="J65" i="14"/>
  <c r="J64" i="14"/>
  <c r="J63" i="14"/>
  <c r="J62" i="14"/>
  <c r="J61" i="14"/>
  <c r="J60" i="14"/>
  <c r="J59" i="14"/>
  <c r="J58" i="14"/>
  <c r="J57" i="14"/>
  <c r="J56" i="14"/>
  <c r="J55" i="14"/>
  <c r="J54" i="14"/>
  <c r="J53" i="14"/>
  <c r="J52" i="14"/>
  <c r="J51" i="14"/>
  <c r="J50" i="14"/>
  <c r="J49" i="14"/>
  <c r="J48" i="14"/>
  <c r="J133" i="65"/>
  <c r="J132" i="65"/>
  <c r="J131" i="65"/>
  <c r="J130" i="65"/>
  <c r="J129" i="65"/>
  <c r="J128" i="65"/>
  <c r="J127" i="65"/>
  <c r="J126" i="65"/>
  <c r="J124" i="65"/>
  <c r="J123" i="65"/>
  <c r="J122" i="65"/>
  <c r="J121" i="65"/>
  <c r="J120" i="65"/>
  <c r="J119" i="65"/>
  <c r="J118" i="65"/>
  <c r="J116" i="65"/>
  <c r="J115" i="65"/>
  <c r="J113" i="65"/>
  <c r="J112" i="65"/>
  <c r="J111" i="65"/>
  <c r="J110" i="65"/>
  <c r="J109" i="65"/>
  <c r="J108" i="65"/>
  <c r="J107" i="65"/>
  <c r="J106" i="65"/>
  <c r="J105" i="65"/>
  <c r="J104" i="65"/>
  <c r="J103" i="65"/>
  <c r="J102" i="65"/>
  <c r="J101" i="65"/>
  <c r="J100" i="65"/>
  <c r="J99" i="65"/>
  <c r="J98" i="65"/>
  <c r="J97" i="65"/>
  <c r="J96" i="65"/>
  <c r="J95" i="65"/>
  <c r="J94" i="65"/>
  <c r="J93" i="65"/>
  <c r="J92" i="65"/>
  <c r="J91" i="65"/>
  <c r="J90" i="65"/>
  <c r="J89" i="65"/>
  <c r="J88" i="65"/>
  <c r="J87" i="65"/>
  <c r="J86" i="65"/>
  <c r="J85" i="65"/>
  <c r="J84" i="65"/>
  <c r="J83" i="65"/>
  <c r="J82" i="65"/>
  <c r="J81" i="65"/>
  <c r="J80" i="65"/>
  <c r="J79" i="65"/>
  <c r="J78" i="65"/>
  <c r="J77" i="65"/>
  <c r="J76" i="65"/>
  <c r="J75" i="65"/>
  <c r="J74" i="65"/>
  <c r="J73" i="65"/>
  <c r="J72" i="65"/>
  <c r="J71" i="65"/>
  <c r="J70" i="65"/>
  <c r="J69" i="65"/>
  <c r="J68" i="65"/>
  <c r="J67" i="65"/>
  <c r="J66" i="65"/>
  <c r="J65" i="65"/>
  <c r="J64" i="65"/>
  <c r="J63" i="65"/>
  <c r="J62" i="65"/>
  <c r="J61" i="65"/>
  <c r="J60" i="65"/>
  <c r="J59" i="65"/>
  <c r="J58" i="65"/>
  <c r="J57" i="65"/>
  <c r="J56" i="65"/>
  <c r="J55" i="65"/>
  <c r="J54" i="65"/>
  <c r="J53" i="65"/>
  <c r="J52" i="65"/>
  <c r="J51" i="65"/>
  <c r="J50" i="65"/>
  <c r="J49" i="65"/>
  <c r="J48" i="65"/>
  <c r="J47" i="65"/>
  <c r="J46" i="65"/>
  <c r="J45" i="65"/>
  <c r="J44" i="65"/>
  <c r="J43" i="65"/>
  <c r="J42" i="65"/>
  <c r="J41" i="65"/>
  <c r="J40" i="65"/>
  <c r="J39" i="65"/>
  <c r="J38" i="65"/>
  <c r="J37" i="65"/>
  <c r="J36" i="65"/>
  <c r="J35" i="65"/>
  <c r="J34" i="65"/>
  <c r="J33" i="65"/>
  <c r="J32" i="65"/>
  <c r="J31" i="65"/>
  <c r="J30" i="65"/>
  <c r="J29" i="65"/>
  <c r="J28" i="65"/>
  <c r="J27" i="65"/>
  <c r="J26" i="65"/>
  <c r="J25" i="65"/>
  <c r="J24" i="65"/>
  <c r="J23" i="65"/>
  <c r="J22" i="65"/>
  <c r="J21" i="65"/>
  <c r="J20" i="65"/>
  <c r="J19" i="65"/>
  <c r="J18" i="65"/>
  <c r="J17" i="65"/>
  <c r="J16" i="65"/>
  <c r="J15" i="65"/>
  <c r="J14" i="65"/>
  <c r="J13" i="65"/>
  <c r="J12" i="65"/>
  <c r="J11" i="65"/>
  <c r="J10" i="65"/>
  <c r="J9" i="65"/>
  <c r="J8" i="65"/>
  <c r="J7" i="65"/>
  <c r="J6" i="65"/>
  <c r="J5" i="65"/>
  <c r="J33" i="13"/>
  <c r="J32" i="13"/>
  <c r="J31" i="13"/>
  <c r="J30" i="13"/>
  <c r="J29" i="13"/>
  <c r="J28" i="13"/>
  <c r="J27" i="13"/>
  <c r="J26" i="13"/>
  <c r="J25" i="13"/>
  <c r="J24" i="13"/>
  <c r="J22" i="13"/>
  <c r="J21" i="13"/>
  <c r="J20" i="13"/>
  <c r="J19" i="13"/>
  <c r="J18" i="13"/>
  <c r="J17" i="13"/>
  <c r="J16" i="13"/>
  <c r="J15" i="13"/>
  <c r="J14" i="13"/>
  <c r="J13" i="13"/>
  <c r="J12" i="13"/>
  <c r="J11" i="13"/>
  <c r="J10" i="13"/>
  <c r="J9" i="13"/>
  <c r="J8" i="13"/>
  <c r="J52" i="57"/>
  <c r="J51" i="57"/>
  <c r="J50" i="57"/>
  <c r="J49" i="57"/>
  <c r="J48" i="57"/>
  <c r="J47" i="57"/>
  <c r="J46" i="57"/>
  <c r="J45" i="57"/>
  <c r="J44" i="57"/>
  <c r="J43" i="57"/>
  <c r="J42" i="57"/>
  <c r="J41" i="57"/>
  <c r="J40" i="57"/>
  <c r="J39" i="57"/>
  <c r="J38" i="57"/>
  <c r="J37" i="57"/>
  <c r="J36" i="57"/>
  <c r="J35" i="57"/>
  <c r="J34" i="57"/>
  <c r="J33" i="57"/>
  <c r="J32" i="57"/>
  <c r="J31" i="57"/>
  <c r="J30" i="57"/>
  <c r="J29" i="57"/>
  <c r="J28" i="57"/>
  <c r="J27" i="57"/>
  <c r="J26" i="57"/>
  <c r="J25" i="57"/>
  <c r="J24" i="57"/>
  <c r="J23" i="57"/>
  <c r="J22" i="57"/>
  <c r="J21" i="57"/>
  <c r="J20" i="57"/>
  <c r="J19" i="57"/>
  <c r="J18" i="57"/>
  <c r="J17" i="57"/>
  <c r="J16" i="57"/>
  <c r="J15" i="57"/>
  <c r="J14" i="57"/>
  <c r="J13" i="57"/>
  <c r="J12" i="57"/>
  <c r="J11" i="57"/>
  <c r="J10" i="57"/>
  <c r="J9" i="57"/>
  <c r="J8" i="57"/>
  <c r="J7" i="57"/>
  <c r="J6" i="57"/>
  <c r="J5" i="57"/>
  <c r="J4" i="57"/>
  <c r="F18" i="9"/>
  <c r="G18" i="9"/>
  <c r="H18" i="9"/>
  <c r="J22" i="54"/>
  <c r="J21" i="54"/>
  <c r="J20" i="54"/>
  <c r="J19" i="54"/>
  <c r="J18" i="54"/>
  <c r="J17" i="54"/>
  <c r="J16" i="54"/>
  <c r="J15" i="54"/>
  <c r="J14" i="54"/>
  <c r="J13" i="54"/>
  <c r="J12" i="54"/>
  <c r="J11" i="54"/>
  <c r="J10" i="54"/>
  <c r="J9" i="54"/>
  <c r="J8" i="54"/>
  <c r="J7" i="54"/>
  <c r="J6" i="54"/>
  <c r="J5" i="54"/>
  <c r="J4" i="54"/>
  <c r="J21" i="12"/>
  <c r="J20" i="12"/>
  <c r="J19" i="12"/>
  <c r="J18" i="12"/>
  <c r="J17" i="12"/>
  <c r="J16" i="12"/>
  <c r="J15" i="12"/>
  <c r="J14" i="12"/>
  <c r="J13" i="12"/>
  <c r="J12" i="12"/>
  <c r="J11" i="12"/>
  <c r="J10" i="12"/>
  <c r="J9" i="12"/>
  <c r="J8" i="12"/>
  <c r="J7" i="12"/>
  <c r="J6" i="12"/>
  <c r="J129" i="11"/>
  <c r="J128" i="11"/>
  <c r="J127" i="11"/>
  <c r="J126" i="11"/>
  <c r="J125" i="11"/>
  <c r="J124" i="11"/>
  <c r="J123" i="11"/>
  <c r="J122" i="11"/>
  <c r="J121" i="11"/>
  <c r="J120" i="11"/>
  <c r="J119" i="11"/>
  <c r="J118" i="11"/>
  <c r="J117" i="11"/>
  <c r="J116" i="11"/>
  <c r="J115" i="11"/>
  <c r="J114" i="11"/>
  <c r="J113" i="11"/>
  <c r="J112" i="11"/>
  <c r="J111" i="11"/>
  <c r="J110" i="11"/>
  <c r="J109" i="11"/>
  <c r="J108" i="11"/>
  <c r="J107" i="11"/>
  <c r="J106" i="11"/>
  <c r="J105" i="11"/>
  <c r="J104" i="11"/>
  <c r="J103" i="11"/>
  <c r="J102" i="11"/>
  <c r="J101" i="11"/>
  <c r="J100" i="11"/>
  <c r="J99" i="11"/>
  <c r="J98" i="11"/>
  <c r="J97" i="11"/>
  <c r="J96" i="11"/>
  <c r="J95" i="11"/>
  <c r="J222" i="10"/>
  <c r="J221" i="10"/>
  <c r="J220" i="10"/>
  <c r="J219" i="10"/>
  <c r="J218" i="10"/>
  <c r="J217" i="10"/>
  <c r="J216" i="10"/>
  <c r="J215" i="10"/>
  <c r="J214" i="10"/>
  <c r="J205" i="10"/>
  <c r="J204" i="10"/>
  <c r="J203" i="10"/>
  <c r="J202" i="10"/>
  <c r="J201" i="10"/>
  <c r="J200" i="10"/>
  <c r="J199" i="10"/>
  <c r="J198" i="10"/>
  <c r="J197" i="10"/>
  <c r="J196" i="10"/>
  <c r="J195" i="10"/>
  <c r="J194" i="10"/>
  <c r="J193" i="10"/>
  <c r="J192" i="10"/>
  <c r="J191" i="10"/>
  <c r="J190" i="10"/>
  <c r="J189" i="10"/>
  <c r="J188" i="10"/>
  <c r="J187" i="10"/>
  <c r="J186" i="10"/>
  <c r="J185" i="10"/>
  <c r="J184" i="10"/>
  <c r="J183" i="10"/>
  <c r="J182" i="10"/>
  <c r="J181" i="10"/>
  <c r="J180" i="10"/>
  <c r="J179" i="10"/>
  <c r="J178" i="10"/>
  <c r="J177" i="10"/>
  <c r="J176" i="10"/>
  <c r="J175" i="10"/>
  <c r="J174" i="10"/>
  <c r="J173" i="10"/>
  <c r="J172" i="10"/>
  <c r="J171" i="10"/>
  <c r="J170" i="10"/>
  <c r="J169" i="10"/>
  <c r="J168" i="10"/>
  <c r="J167" i="10"/>
  <c r="J166" i="10"/>
  <c r="J165" i="10"/>
  <c r="J164" i="10"/>
  <c r="J163" i="10"/>
  <c r="J162" i="10"/>
  <c r="J161" i="10"/>
  <c r="J160" i="10"/>
  <c r="J159" i="10"/>
  <c r="J158" i="10"/>
  <c r="J157" i="10"/>
  <c r="J156" i="10"/>
  <c r="J155" i="10"/>
  <c r="J154" i="10"/>
  <c r="J153" i="10"/>
  <c r="J152" i="10"/>
  <c r="J151" i="10"/>
  <c r="J150" i="10"/>
  <c r="J149" i="10"/>
  <c r="J148" i="10"/>
  <c r="J147" i="10"/>
  <c r="J146" i="10"/>
  <c r="J145" i="10"/>
  <c r="J144" i="10"/>
  <c r="J143" i="10"/>
  <c r="J142" i="10"/>
  <c r="J141" i="10"/>
  <c r="J140" i="10"/>
  <c r="J139" i="10"/>
  <c r="J138" i="10"/>
  <c r="J137" i="10"/>
  <c r="J136" i="10"/>
  <c r="J135" i="10"/>
  <c r="J134" i="10"/>
  <c r="J133" i="10"/>
  <c r="J132" i="10"/>
  <c r="J131" i="10"/>
  <c r="J130" i="10"/>
  <c r="J129" i="10"/>
  <c r="J128" i="10"/>
  <c r="J127" i="10"/>
  <c r="J126" i="10"/>
  <c r="J125" i="10"/>
  <c r="J124" i="10"/>
  <c r="J123" i="10"/>
  <c r="J122" i="10"/>
  <c r="J121" i="10"/>
  <c r="J120" i="10"/>
  <c r="J119" i="10"/>
  <c r="J118" i="10"/>
  <c r="J117" i="10"/>
  <c r="J116" i="10"/>
  <c r="J115" i="10"/>
  <c r="J114" i="10"/>
  <c r="J113" i="10"/>
  <c r="J112" i="10"/>
  <c r="J111" i="10"/>
  <c r="J110" i="10"/>
  <c r="J109" i="10"/>
  <c r="J108" i="10"/>
  <c r="J107" i="10"/>
  <c r="J106" i="10"/>
  <c r="J105" i="10"/>
  <c r="J104" i="10"/>
  <c r="J103" i="10"/>
  <c r="J102" i="10"/>
  <c r="J101" i="10"/>
  <c r="J100" i="10"/>
  <c r="J99" i="10"/>
  <c r="J98" i="10"/>
  <c r="J97" i="10"/>
  <c r="J96" i="10"/>
  <c r="J95" i="10"/>
  <c r="J94" i="10"/>
  <c r="J93" i="10"/>
  <c r="J92" i="10"/>
  <c r="J91" i="10"/>
  <c r="J90" i="10"/>
  <c r="J89" i="10"/>
  <c r="J88" i="10"/>
  <c r="J87" i="10"/>
  <c r="J86" i="10"/>
  <c r="J85" i="10"/>
  <c r="J84" i="10"/>
  <c r="J83" i="10"/>
  <c r="J82" i="10"/>
  <c r="J81" i="10"/>
  <c r="J80" i="10"/>
  <c r="J79" i="10"/>
  <c r="J78" i="10"/>
  <c r="J77" i="10"/>
  <c r="J76" i="10"/>
  <c r="J75" i="10"/>
  <c r="J74" i="10"/>
  <c r="J73" i="10"/>
  <c r="J72" i="10"/>
  <c r="J71" i="10"/>
  <c r="J70" i="10"/>
  <c r="J69" i="10"/>
  <c r="J68" i="10"/>
  <c r="J67" i="10"/>
  <c r="J66" i="10"/>
  <c r="J65" i="10"/>
  <c r="J64" i="10"/>
  <c r="J63" i="10"/>
  <c r="J62" i="10"/>
  <c r="J61" i="10"/>
  <c r="J60" i="10"/>
  <c r="J59" i="10"/>
  <c r="J58" i="10"/>
  <c r="J57" i="10"/>
  <c r="J56" i="10"/>
  <c r="J55" i="10"/>
  <c r="J54" i="10"/>
  <c r="J53" i="10"/>
  <c r="J52" i="10"/>
  <c r="J51" i="10"/>
  <c r="J50" i="10"/>
  <c r="J49" i="10"/>
  <c r="J48" i="10"/>
  <c r="J47" i="10"/>
  <c r="J46" i="10"/>
  <c r="J45" i="10"/>
  <c r="J44" i="10"/>
  <c r="J43" i="10"/>
  <c r="J42" i="10"/>
  <c r="J41" i="10"/>
  <c r="J40" i="10"/>
  <c r="J39" i="10"/>
  <c r="J38" i="10"/>
  <c r="J37" i="10"/>
  <c r="J36" i="10"/>
  <c r="J35" i="10"/>
  <c r="J34" i="10"/>
  <c r="J33" i="10"/>
  <c r="J32" i="10"/>
  <c r="J31" i="10"/>
  <c r="J30" i="10"/>
  <c r="J29" i="10"/>
  <c r="J28" i="10"/>
  <c r="J27" i="10"/>
  <c r="J26" i="10"/>
  <c r="J25" i="10"/>
  <c r="J24" i="10"/>
  <c r="J23" i="10"/>
  <c r="J22" i="10"/>
  <c r="J21" i="10"/>
  <c r="J20" i="10"/>
  <c r="J19" i="10"/>
  <c r="J18" i="10"/>
  <c r="J17" i="10"/>
  <c r="J16" i="10"/>
  <c r="J15" i="10"/>
  <c r="J14" i="10"/>
  <c r="J13" i="10"/>
  <c r="J12" i="10"/>
  <c r="J22" i="9"/>
  <c r="J21" i="9"/>
  <c r="J20" i="9"/>
  <c r="J19" i="9"/>
  <c r="J18" i="9"/>
  <c r="J17" i="9"/>
  <c r="J16" i="9"/>
  <c r="J15" i="9"/>
  <c r="J14" i="9"/>
  <c r="J13" i="9"/>
  <c r="J12" i="9"/>
  <c r="J11" i="9"/>
  <c r="J10" i="9"/>
  <c r="J9" i="9"/>
  <c r="J8" i="9"/>
  <c r="J7" i="9"/>
  <c r="J6" i="9"/>
  <c r="J5" i="9"/>
  <c r="J4" i="9"/>
  <c r="J126" i="8"/>
  <c r="J125" i="8"/>
  <c r="J124" i="8"/>
  <c r="J123" i="8"/>
  <c r="J122" i="8"/>
  <c r="J121" i="8"/>
  <c r="J120" i="8"/>
  <c r="J119" i="8"/>
  <c r="J118" i="8"/>
  <c r="J117" i="8"/>
  <c r="J116" i="8"/>
  <c r="J115" i="8"/>
  <c r="J114" i="8"/>
  <c r="J113" i="8"/>
  <c r="J112" i="8"/>
  <c r="J111" i="8"/>
  <c r="J110" i="8"/>
  <c r="J109" i="8"/>
  <c r="J108" i="8"/>
  <c r="J107" i="8"/>
  <c r="J106" i="8"/>
  <c r="J104" i="8"/>
  <c r="J103" i="8"/>
  <c r="J102" i="8"/>
  <c r="J101" i="8"/>
  <c r="J100" i="8"/>
  <c r="J98" i="8"/>
  <c r="J97" i="8"/>
  <c r="J96" i="8"/>
  <c r="J95" i="8"/>
  <c r="J94" i="8"/>
  <c r="J93" i="8"/>
  <c r="J92" i="8"/>
  <c r="J91" i="8"/>
  <c r="J90" i="8"/>
  <c r="J89" i="8"/>
  <c r="J88" i="8"/>
  <c r="J87" i="8"/>
  <c r="J86" i="8"/>
  <c r="J85" i="8"/>
  <c r="J84" i="8"/>
  <c r="J83" i="8"/>
  <c r="J82" i="8"/>
  <c r="J81" i="8"/>
  <c r="J80" i="8"/>
  <c r="J79" i="8"/>
  <c r="J78" i="8"/>
  <c r="J77" i="8"/>
  <c r="J76" i="8"/>
  <c r="J75" i="8"/>
  <c r="J74" i="8"/>
  <c r="J73" i="8"/>
  <c r="J72" i="8"/>
  <c r="J71" i="8"/>
  <c r="J70" i="8"/>
  <c r="J69" i="8"/>
  <c r="J68" i="8"/>
  <c r="J67" i="8"/>
  <c r="J66" i="8"/>
  <c r="J65" i="8"/>
  <c r="J64" i="8"/>
  <c r="J63" i="8"/>
  <c r="J62" i="8"/>
  <c r="J61" i="8"/>
  <c r="J60" i="8"/>
  <c r="J59" i="8"/>
  <c r="J58" i="8"/>
  <c r="J57" i="8"/>
  <c r="J56" i="8"/>
  <c r="J55" i="8"/>
  <c r="J54" i="8"/>
  <c r="J53" i="8"/>
  <c r="J52" i="8"/>
  <c r="J51" i="8"/>
  <c r="J50" i="8"/>
  <c r="J49" i="8"/>
  <c r="J48" i="8"/>
  <c r="J47" i="8"/>
  <c r="J46" i="8"/>
  <c r="J45" i="8"/>
  <c r="J44" i="8"/>
  <c r="J43" i="8"/>
  <c r="J42" i="8"/>
  <c r="J41" i="8"/>
  <c r="J40" i="8"/>
  <c r="J39" i="8"/>
  <c r="J38" i="8"/>
  <c r="J37" i="8"/>
  <c r="J36" i="8"/>
  <c r="J35" i="8"/>
  <c r="J34" i="8"/>
  <c r="J33" i="8"/>
  <c r="J32" i="8"/>
  <c r="J31" i="8"/>
  <c r="J30" i="8"/>
  <c r="J29" i="8"/>
  <c r="J28" i="8"/>
  <c r="J27" i="8"/>
  <c r="J26" i="8"/>
  <c r="J25" i="8"/>
  <c r="J24" i="8"/>
  <c r="J23" i="8"/>
  <c r="J22" i="8"/>
  <c r="J21" i="8"/>
  <c r="J20" i="8"/>
  <c r="J19" i="8"/>
  <c r="J18" i="8"/>
  <c r="J17" i="8"/>
  <c r="J16" i="8"/>
  <c r="J15" i="8"/>
  <c r="J14" i="8"/>
  <c r="J32" i="7"/>
  <c r="J31" i="7"/>
  <c r="J30" i="7"/>
  <c r="J29" i="7"/>
  <c r="J28" i="7"/>
  <c r="J27" i="7"/>
  <c r="J26" i="7"/>
  <c r="J25" i="7"/>
  <c r="J24" i="7"/>
  <c r="J23" i="7"/>
  <c r="J22" i="7"/>
  <c r="J21" i="7"/>
  <c r="J20" i="7"/>
  <c r="J19" i="7"/>
  <c r="J18" i="7"/>
  <c r="J17" i="7"/>
  <c r="J16" i="7"/>
  <c r="J15" i="7"/>
  <c r="J55" i="6"/>
  <c r="J54" i="6"/>
  <c r="J53" i="6"/>
  <c r="J52" i="6"/>
  <c r="J51" i="6"/>
  <c r="J50" i="6"/>
  <c r="J49" i="6"/>
  <c r="J48" i="6"/>
  <c r="J47" i="6"/>
  <c r="J46" i="6"/>
  <c r="J45" i="6"/>
  <c r="J44" i="6"/>
  <c r="J43" i="6"/>
  <c r="J42" i="6"/>
  <c r="J41" i="6"/>
  <c r="J96" i="5"/>
  <c r="J95" i="5"/>
  <c r="J94" i="5"/>
  <c r="J93" i="5"/>
  <c r="J92" i="5"/>
  <c r="J91" i="5"/>
  <c r="J90" i="5"/>
  <c r="J89" i="5"/>
  <c r="J88" i="5"/>
  <c r="J87" i="5"/>
  <c r="J86" i="5"/>
  <c r="J85" i="5"/>
  <c r="J84" i="5"/>
  <c r="J83" i="5"/>
  <c r="J82" i="5"/>
  <c r="J81" i="5"/>
  <c r="J80" i="5"/>
  <c r="J79" i="5"/>
  <c r="J78" i="5"/>
  <c r="J77" i="5"/>
  <c r="J76" i="5"/>
  <c r="J75" i="5"/>
  <c r="J74" i="5"/>
  <c r="J73" i="5"/>
  <c r="J72" i="5"/>
  <c r="J71" i="5"/>
  <c r="J70" i="5"/>
  <c r="J69" i="5"/>
  <c r="J68" i="5"/>
  <c r="J67" i="5"/>
  <c r="J66" i="5"/>
  <c r="J65" i="5"/>
  <c r="J64" i="5"/>
  <c r="J63" i="5"/>
  <c r="J62" i="5"/>
  <c r="J61" i="5"/>
  <c r="J60" i="5"/>
  <c r="J59" i="5"/>
  <c r="J58" i="5"/>
  <c r="J57" i="5"/>
  <c r="J27" i="4"/>
  <c r="J24" i="4"/>
  <c r="J23" i="4"/>
  <c r="J22" i="4"/>
  <c r="J21" i="4"/>
  <c r="J20" i="4"/>
  <c r="J19" i="4"/>
  <c r="J18" i="4"/>
  <c r="J17" i="4"/>
  <c r="J16" i="4"/>
  <c r="J15" i="4"/>
  <c r="J14" i="4"/>
  <c r="J12" i="4"/>
  <c r="J138" i="3"/>
  <c r="J137" i="3"/>
  <c r="J136" i="3"/>
  <c r="J135" i="3"/>
  <c r="J134" i="3"/>
  <c r="J133" i="3"/>
  <c r="J132" i="3"/>
  <c r="J131" i="3"/>
  <c r="J130" i="3"/>
  <c r="J129" i="3"/>
  <c r="J128" i="3"/>
  <c r="J127" i="3"/>
  <c r="J126" i="3"/>
  <c r="J125" i="3"/>
  <c r="J124" i="3"/>
  <c r="J123" i="3"/>
  <c r="J122" i="3"/>
  <c r="J121" i="3"/>
  <c r="J120" i="3"/>
  <c r="J119" i="3"/>
  <c r="J118" i="3"/>
  <c r="J117" i="3"/>
  <c r="J116" i="3"/>
  <c r="J115" i="3"/>
  <c r="J114" i="3"/>
  <c r="J113" i="3"/>
  <c r="J112" i="3"/>
  <c r="J111" i="3"/>
  <c r="J110" i="3"/>
  <c r="J109" i="3"/>
  <c r="J108" i="3"/>
  <c r="J107" i="3"/>
  <c r="J106" i="3"/>
  <c r="J105" i="3"/>
  <c r="J104" i="3"/>
  <c r="J103" i="3"/>
  <c r="J102" i="3"/>
  <c r="J101" i="3"/>
  <c r="J100" i="3"/>
  <c r="J99" i="3"/>
  <c r="J98" i="3"/>
  <c r="J97" i="3"/>
  <c r="J96" i="3"/>
  <c r="J95" i="3"/>
  <c r="J94" i="3"/>
  <c r="J93" i="3"/>
  <c r="J92" i="3"/>
  <c r="J91" i="3"/>
  <c r="J90" i="3"/>
  <c r="J89" i="3"/>
  <c r="J88" i="3"/>
  <c r="J87" i="3"/>
  <c r="J86" i="3"/>
  <c r="J85" i="3"/>
  <c r="J84" i="3"/>
  <c r="J83" i="3"/>
  <c r="J82" i="3"/>
  <c r="J81" i="3"/>
  <c r="J80" i="3"/>
  <c r="J79" i="3"/>
  <c r="J78" i="3"/>
  <c r="J77" i="3"/>
  <c r="J76" i="3"/>
  <c r="J75" i="3"/>
  <c r="J74" i="3"/>
  <c r="J73" i="3"/>
  <c r="J72" i="3"/>
  <c r="J71" i="3"/>
  <c r="J70" i="3"/>
  <c r="J69" i="3"/>
  <c r="J68" i="3"/>
  <c r="J67" i="3"/>
  <c r="J66" i="3"/>
  <c r="J65" i="3"/>
  <c r="J64" i="3"/>
  <c r="J63" i="3"/>
  <c r="J62" i="3"/>
  <c r="J61" i="3"/>
  <c r="J60" i="3"/>
  <c r="J59" i="3"/>
  <c r="J58" i="3"/>
  <c r="J57" i="3"/>
  <c r="J56" i="3"/>
  <c r="J55" i="3"/>
  <c r="J54" i="3"/>
  <c r="J53" i="3"/>
  <c r="J52" i="3"/>
  <c r="J51" i="3"/>
  <c r="J50" i="3"/>
  <c r="J49" i="3"/>
  <c r="J48" i="3"/>
  <c r="J47" i="3"/>
  <c r="J46" i="3"/>
  <c r="J45" i="3"/>
  <c r="J44" i="3"/>
  <c r="J43" i="3"/>
  <c r="J42" i="3"/>
  <c r="J41" i="3"/>
  <c r="J40" i="3"/>
  <c r="J39" i="3"/>
  <c r="J38" i="3"/>
  <c r="J37" i="3"/>
  <c r="J36" i="3"/>
  <c r="J35" i="3"/>
  <c r="J34" i="3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6" i="66"/>
  <c r="J35" i="66"/>
  <c r="J34" i="66"/>
  <c r="J33" i="66"/>
  <c r="J32" i="66"/>
  <c r="J31" i="66"/>
  <c r="J30" i="66"/>
  <c r="J29" i="66"/>
  <c r="J28" i="66"/>
  <c r="J27" i="66"/>
  <c r="J26" i="66"/>
  <c r="J25" i="66"/>
  <c r="J24" i="66"/>
  <c r="J22" i="66"/>
  <c r="J21" i="66"/>
  <c r="J20" i="66"/>
  <c r="J19" i="66"/>
  <c r="J18" i="66"/>
  <c r="J17" i="66"/>
  <c r="J16" i="66"/>
  <c r="J15" i="66"/>
  <c r="J14" i="66"/>
  <c r="J13" i="66"/>
  <c r="J12" i="66"/>
  <c r="J11" i="66"/>
  <c r="J10" i="66"/>
  <c r="J9" i="66"/>
  <c r="J8" i="66"/>
  <c r="J7" i="66"/>
  <c r="J6" i="66"/>
  <c r="J5" i="66"/>
  <c r="J4" i="66"/>
  <c r="J23" i="66"/>
  <c r="F27" i="43"/>
  <c r="G27" i="43"/>
  <c r="H27" i="43"/>
  <c r="F23" i="4"/>
  <c r="G23" i="4"/>
  <c r="H23" i="4"/>
  <c r="F31" i="27"/>
  <c r="G31" i="27"/>
  <c r="H31" i="27"/>
  <c r="F40" i="30"/>
  <c r="G40" i="30"/>
  <c r="H40" i="30"/>
  <c r="F38" i="42"/>
  <c r="G38" i="42"/>
  <c r="H38" i="42"/>
  <c r="F127" i="11"/>
  <c r="G127" i="11"/>
  <c r="H127" i="11"/>
  <c r="F27" i="26"/>
  <c r="G27" i="26"/>
  <c r="H27" i="26"/>
  <c r="F22" i="4"/>
  <c r="G22" i="4"/>
  <c r="H22" i="4"/>
  <c r="F23" i="56"/>
  <c r="G23" i="56"/>
  <c r="H23" i="56"/>
  <c r="F83" i="14"/>
  <c r="G83" i="14"/>
  <c r="H83" i="14"/>
  <c r="F136" i="3"/>
  <c r="G136" i="3"/>
  <c r="H136" i="3"/>
  <c r="F97" i="5"/>
  <c r="G97" i="5"/>
  <c r="H97" i="5"/>
  <c r="F122" i="65"/>
  <c r="G122" i="65"/>
  <c r="H122" i="65"/>
  <c r="F121" i="65"/>
  <c r="G121" i="65"/>
  <c r="H121" i="65"/>
  <c r="F122" i="8"/>
  <c r="G122" i="8"/>
  <c r="H122" i="8"/>
  <c r="F31" i="48"/>
  <c r="G31" i="48"/>
  <c r="H31" i="48"/>
  <c r="F121" i="8"/>
  <c r="G121" i="8"/>
  <c r="H121" i="8"/>
  <c r="F120" i="8"/>
  <c r="G120" i="8"/>
  <c r="H120" i="8"/>
  <c r="F119" i="8"/>
  <c r="G119" i="8"/>
  <c r="H119" i="8"/>
  <c r="F118" i="8"/>
  <c r="G118" i="8"/>
  <c r="H118" i="8"/>
  <c r="F117" i="8"/>
  <c r="G117" i="8"/>
  <c r="H117" i="8"/>
  <c r="F135" i="3"/>
  <c r="G135" i="3"/>
  <c r="H135" i="3"/>
  <c r="F120" i="65"/>
  <c r="G120" i="65"/>
  <c r="H120" i="65"/>
  <c r="F116" i="8"/>
  <c r="G116" i="8"/>
  <c r="H116" i="8"/>
  <c r="F115" i="8"/>
  <c r="G115" i="8"/>
  <c r="H115" i="8"/>
  <c r="F114" i="8"/>
  <c r="G114" i="8"/>
  <c r="H114" i="8"/>
  <c r="F20" i="37"/>
  <c r="G20" i="37"/>
  <c r="H20" i="37"/>
  <c r="F24" i="23"/>
  <c r="G24" i="23"/>
  <c r="H24" i="23"/>
  <c r="F113" i="8"/>
  <c r="G113" i="8"/>
  <c r="H113" i="8"/>
  <c r="F134" i="3"/>
  <c r="G134" i="3"/>
  <c r="H134" i="3"/>
  <c r="F15" i="18"/>
  <c r="G15" i="18"/>
  <c r="H15" i="18"/>
  <c r="F133" i="3"/>
  <c r="G133" i="3"/>
  <c r="H133" i="3"/>
  <c r="F112" i="8"/>
  <c r="G112" i="8"/>
  <c r="H112" i="8"/>
  <c r="F111" i="8"/>
  <c r="G111" i="8"/>
  <c r="H111" i="8"/>
  <c r="F50" i="6"/>
  <c r="G50" i="6"/>
  <c r="H50" i="6"/>
  <c r="F79" i="41"/>
  <c r="G79" i="41"/>
  <c r="H79" i="41"/>
  <c r="F78" i="41"/>
  <c r="G78" i="41"/>
  <c r="H78" i="41"/>
  <c r="F77" i="41"/>
  <c r="G77" i="41"/>
  <c r="H77" i="41"/>
  <c r="F76" i="41"/>
  <c r="G76" i="41"/>
  <c r="H76" i="41"/>
  <c r="F49" i="6"/>
  <c r="G49" i="6"/>
  <c r="H49" i="6"/>
  <c r="D1" i="57"/>
  <c r="F38" i="57"/>
  <c r="G38" i="57"/>
  <c r="H38" i="57"/>
  <c r="F75" i="41"/>
  <c r="G75" i="41"/>
  <c r="H75" i="41"/>
  <c r="F74" i="41"/>
  <c r="G74" i="41"/>
  <c r="H74" i="41"/>
  <c r="F73" i="41"/>
  <c r="G73" i="41"/>
  <c r="H73" i="41"/>
  <c r="M3" i="68" l="1"/>
  <c r="F1" i="68"/>
  <c r="M1" i="68" s="1"/>
  <c r="N1" i="68" s="1"/>
  <c r="E1" i="68"/>
  <c r="K2" i="68" s="1"/>
  <c r="I29" i="2" s="1"/>
  <c r="N4" i="68"/>
  <c r="N5" i="68" s="1"/>
  <c r="F27" i="36"/>
  <c r="G27" i="36"/>
  <c r="H27" i="36"/>
  <c r="F72" i="41"/>
  <c r="G72" i="41"/>
  <c r="H72" i="41"/>
  <c r="F71" i="41"/>
  <c r="G71" i="41"/>
  <c r="H71" i="41"/>
  <c r="F70" i="41"/>
  <c r="G70" i="41"/>
  <c r="H70" i="41"/>
  <c r="F30" i="27"/>
  <c r="G30" i="27"/>
  <c r="H30" i="27"/>
  <c r="F51" i="34"/>
  <c r="G51" i="34"/>
  <c r="H51" i="34"/>
  <c r="F20" i="32"/>
  <c r="G20" i="32"/>
  <c r="H20" i="32"/>
  <c r="F119" i="65"/>
  <c r="G119" i="65"/>
  <c r="H119" i="65"/>
  <c r="F118" i="65"/>
  <c r="G118" i="65"/>
  <c r="H118" i="65"/>
  <c r="F110" i="8"/>
  <c r="G110" i="8"/>
  <c r="H110" i="8"/>
  <c r="F21" i="4"/>
  <c r="G21" i="4"/>
  <c r="H21" i="4"/>
  <c r="F48" i="6"/>
  <c r="G48" i="6"/>
  <c r="H48" i="6"/>
  <c r="F215" i="10"/>
  <c r="G215" i="10"/>
  <c r="H215" i="10"/>
  <c r="F37" i="21"/>
  <c r="G37" i="21"/>
  <c r="H37" i="21"/>
  <c r="F214" i="10"/>
  <c r="G214" i="10"/>
  <c r="H214" i="10"/>
  <c r="F31" i="15"/>
  <c r="G31" i="15"/>
  <c r="H31" i="15"/>
  <c r="F39" i="57"/>
  <c r="G39" i="57"/>
  <c r="H39" i="57"/>
  <c r="F11" i="63"/>
  <c r="G11" i="63"/>
  <c r="H11" i="63"/>
  <c r="F109" i="8"/>
  <c r="G109" i="8"/>
  <c r="H109" i="8"/>
  <c r="F108" i="8"/>
  <c r="G108" i="8"/>
  <c r="H108" i="8"/>
  <c r="F50" i="34"/>
  <c r="G50" i="34"/>
  <c r="H50" i="34"/>
  <c r="F29" i="27"/>
  <c r="G29" i="27"/>
  <c r="H29" i="27"/>
  <c r="F22" i="56"/>
  <c r="G22" i="56"/>
  <c r="H22" i="56"/>
  <c r="F107" i="8"/>
  <c r="G107" i="8"/>
  <c r="H107" i="8"/>
  <c r="F132" i="3"/>
  <c r="G132" i="3"/>
  <c r="H132" i="3"/>
  <c r="F131" i="3"/>
  <c r="G131" i="3"/>
  <c r="H131" i="3"/>
  <c r="F40" i="51"/>
  <c r="G40" i="51"/>
  <c r="H40" i="51"/>
  <c r="F116" i="65"/>
  <c r="G116" i="65"/>
  <c r="H116" i="65"/>
  <c r="F115" i="65"/>
  <c r="G115" i="65"/>
  <c r="H115" i="65"/>
  <c r="F106" i="8"/>
  <c r="G106" i="8"/>
  <c r="H106" i="8"/>
  <c r="F42" i="60"/>
  <c r="G42" i="60"/>
  <c r="H42" i="60"/>
  <c r="F41" i="60"/>
  <c r="G41" i="60"/>
  <c r="H41" i="60"/>
  <c r="F113" i="65"/>
  <c r="G113" i="65"/>
  <c r="H113" i="65"/>
  <c r="F96" i="5"/>
  <c r="G96" i="5"/>
  <c r="H96" i="5"/>
  <c r="F112" i="65"/>
  <c r="G112" i="65"/>
  <c r="H112" i="65"/>
  <c r="F111" i="65"/>
  <c r="G111" i="65"/>
  <c r="H111" i="65"/>
  <c r="F21" i="54"/>
  <c r="G21" i="54"/>
  <c r="H21" i="54"/>
  <c r="F95" i="5"/>
  <c r="G95" i="5"/>
  <c r="H95" i="5"/>
  <c r="F47" i="6"/>
  <c r="G47" i="6"/>
  <c r="H47" i="6"/>
  <c r="F28" i="27"/>
  <c r="G28" i="27"/>
  <c r="H28" i="27"/>
  <c r="F145" i="10"/>
  <c r="G145" i="10"/>
  <c r="H145" i="10"/>
  <c r="F25" i="27"/>
  <c r="G25" i="27"/>
  <c r="H25" i="27"/>
  <c r="F13" i="18"/>
  <c r="G13" i="18"/>
  <c r="H13" i="18"/>
  <c r="F26" i="26"/>
  <c r="G26" i="26"/>
  <c r="H26" i="26"/>
  <c r="F101" i="8"/>
  <c r="G101" i="8"/>
  <c r="H101" i="8"/>
  <c r="F28" i="36"/>
  <c r="G28" i="36"/>
  <c r="H28" i="36"/>
  <c r="F17" i="12"/>
  <c r="G17" i="12"/>
  <c r="H17" i="12"/>
  <c r="F16" i="12"/>
  <c r="G16" i="12"/>
  <c r="H16" i="12"/>
  <c r="F23" i="23"/>
  <c r="G23" i="23"/>
  <c r="H23" i="23"/>
  <c r="F46" i="6"/>
  <c r="G46" i="6"/>
  <c r="H46" i="6"/>
  <c r="F82" i="14"/>
  <c r="G82" i="14"/>
  <c r="H82" i="14"/>
  <c r="F45" i="57"/>
  <c r="G45" i="57"/>
  <c r="H45" i="57"/>
  <c r="F44" i="57"/>
  <c r="G44" i="57"/>
  <c r="H44" i="57"/>
  <c r="F36" i="20"/>
  <c r="G36" i="20"/>
  <c r="H36" i="20"/>
  <c r="F45" i="6"/>
  <c r="G45" i="6"/>
  <c r="H45" i="6"/>
  <c r="F43" i="57"/>
  <c r="G43" i="57"/>
  <c r="H43" i="57"/>
  <c r="F44" i="6"/>
  <c r="G44" i="6"/>
  <c r="H44" i="6"/>
  <c r="F110" i="65"/>
  <c r="G110" i="65"/>
  <c r="H110" i="65"/>
  <c r="F43" i="6"/>
  <c r="G43" i="6"/>
  <c r="H43" i="6"/>
  <c r="F109" i="65"/>
  <c r="G109" i="65"/>
  <c r="H109" i="65"/>
  <c r="F55" i="35"/>
  <c r="G55" i="35"/>
  <c r="H55" i="35"/>
  <c r="F69" i="41"/>
  <c r="G69" i="41"/>
  <c r="H69" i="41"/>
  <c r="F42" i="6"/>
  <c r="G42" i="6"/>
  <c r="H42" i="6"/>
  <c r="F130" i="3"/>
  <c r="G130" i="3"/>
  <c r="H130" i="3"/>
  <c r="F129" i="3"/>
  <c r="G129" i="3"/>
  <c r="H129" i="3"/>
  <c r="F108" i="65"/>
  <c r="G108" i="65"/>
  <c r="H108" i="65"/>
  <c r="F107" i="65"/>
  <c r="G107" i="65"/>
  <c r="H107" i="65"/>
  <c r="F104" i="8"/>
  <c r="G104" i="8"/>
  <c r="H104" i="8"/>
  <c r="F103" i="8"/>
  <c r="G103" i="8"/>
  <c r="H103" i="8"/>
  <c r="F81" i="14"/>
  <c r="G81" i="14"/>
  <c r="H81" i="14"/>
  <c r="F102" i="8"/>
  <c r="G102" i="8"/>
  <c r="H102" i="8"/>
  <c r="G1" i="68" l="1"/>
  <c r="G29" i="2" s="1"/>
  <c r="D29" i="2"/>
  <c r="H29" i="2" s="1"/>
  <c r="L2" i="68"/>
  <c r="J2" i="6"/>
  <c r="F41" i="6"/>
  <c r="G41" i="6"/>
  <c r="H41" i="6"/>
  <c r="D1" i="67"/>
  <c r="Q1" i="67" s="1"/>
  <c r="R1" i="67" s="1"/>
  <c r="H16" i="67"/>
  <c r="G16" i="67"/>
  <c r="F16" i="67"/>
  <c r="H14" i="67"/>
  <c r="G14" i="67"/>
  <c r="F14" i="67"/>
  <c r="H13" i="67"/>
  <c r="G13" i="67"/>
  <c r="F13" i="67"/>
  <c r="H12" i="67"/>
  <c r="G12" i="67"/>
  <c r="F12" i="67"/>
  <c r="H11" i="67"/>
  <c r="G11" i="67"/>
  <c r="F11" i="67"/>
  <c r="H10" i="67"/>
  <c r="G10" i="67"/>
  <c r="F10" i="67"/>
  <c r="H9" i="67"/>
  <c r="G9" i="67"/>
  <c r="F9" i="67"/>
  <c r="H8" i="67"/>
  <c r="G8" i="67"/>
  <c r="F8" i="67"/>
  <c r="H7" i="67"/>
  <c r="G7" i="67"/>
  <c r="F7" i="67"/>
  <c r="H6" i="67"/>
  <c r="G6" i="67"/>
  <c r="F6" i="67"/>
  <c r="H5" i="67"/>
  <c r="G5" i="67"/>
  <c r="F5" i="67"/>
  <c r="H4" i="67"/>
  <c r="G4" i="67"/>
  <c r="F4" i="67"/>
  <c r="J2" i="67"/>
  <c r="F146" i="10"/>
  <c r="G146" i="10"/>
  <c r="H146" i="10"/>
  <c r="F144" i="10"/>
  <c r="G144" i="10"/>
  <c r="H144" i="10"/>
  <c r="F100" i="8"/>
  <c r="G100" i="8"/>
  <c r="H100" i="8"/>
  <c r="F128" i="3"/>
  <c r="G128" i="3"/>
  <c r="H128" i="3"/>
  <c r="F143" i="10"/>
  <c r="G143" i="10"/>
  <c r="H143" i="10"/>
  <c r="F127" i="3"/>
  <c r="G127" i="3"/>
  <c r="H127" i="3"/>
  <c r="F126" i="3"/>
  <c r="G126" i="3"/>
  <c r="H126" i="3"/>
  <c r="F106" i="65"/>
  <c r="G106" i="65"/>
  <c r="H106" i="65"/>
  <c r="F98" i="8"/>
  <c r="G98" i="8"/>
  <c r="H98" i="8"/>
  <c r="F36" i="21"/>
  <c r="G36" i="21"/>
  <c r="H36" i="21"/>
  <c r="F94" i="5"/>
  <c r="G94" i="5"/>
  <c r="H94" i="5"/>
  <c r="F80" i="14"/>
  <c r="G80" i="14"/>
  <c r="H80" i="14"/>
  <c r="F265" i="40"/>
  <c r="G265" i="40"/>
  <c r="H265" i="40"/>
  <c r="F54" i="35"/>
  <c r="G54" i="35"/>
  <c r="H54" i="35"/>
  <c r="F34" i="15"/>
  <c r="G34" i="15"/>
  <c r="H34" i="15"/>
  <c r="F205" i="10"/>
  <c r="G205" i="10"/>
  <c r="H205" i="10"/>
  <c r="F126" i="11"/>
  <c r="G126" i="11"/>
  <c r="H126" i="11"/>
  <c r="F30" i="13"/>
  <c r="G30" i="13"/>
  <c r="H30" i="13"/>
  <c r="F97" i="8"/>
  <c r="G97" i="8"/>
  <c r="H97" i="8"/>
  <c r="F79" i="14"/>
  <c r="G79" i="14"/>
  <c r="H79" i="14"/>
  <c r="F19" i="32"/>
  <c r="G19" i="32"/>
  <c r="H19" i="32"/>
  <c r="F20" i="4"/>
  <c r="G20" i="4"/>
  <c r="H20" i="4"/>
  <c r="F33" i="15"/>
  <c r="G33" i="15"/>
  <c r="H33" i="15"/>
  <c r="F37" i="42"/>
  <c r="G37" i="42"/>
  <c r="H37" i="42"/>
  <c r="F36" i="42"/>
  <c r="G36" i="42"/>
  <c r="H36" i="42"/>
  <c r="F78" i="14"/>
  <c r="G78" i="14"/>
  <c r="H78" i="14"/>
  <c r="F35" i="21"/>
  <c r="G35" i="21"/>
  <c r="H35" i="21"/>
  <c r="F24" i="44"/>
  <c r="G24" i="44"/>
  <c r="H24" i="44"/>
  <c r="F39" i="51"/>
  <c r="G39" i="51"/>
  <c r="H39" i="51"/>
  <c r="F19" i="4"/>
  <c r="G19" i="4"/>
  <c r="H19" i="4"/>
  <c r="F34" i="21"/>
  <c r="G34" i="21"/>
  <c r="H34" i="21"/>
  <c r="F14" i="47"/>
  <c r="G14" i="47"/>
  <c r="H14" i="47"/>
  <c r="F18" i="32"/>
  <c r="G18" i="32"/>
  <c r="H18" i="32"/>
  <c r="F32" i="15"/>
  <c r="G32" i="15"/>
  <c r="H32" i="15"/>
  <c r="F49" i="34"/>
  <c r="G49" i="34"/>
  <c r="H49" i="34"/>
  <c r="F14" i="18"/>
  <c r="G14" i="18"/>
  <c r="H14" i="18"/>
  <c r="F82" i="8"/>
  <c r="G82" i="8"/>
  <c r="H82" i="8"/>
  <c r="J2" i="18"/>
  <c r="F12" i="18"/>
  <c r="G12" i="18"/>
  <c r="H12" i="18"/>
  <c r="F18" i="4"/>
  <c r="G18" i="4"/>
  <c r="H18" i="4"/>
  <c r="F72" i="49"/>
  <c r="G72" i="49"/>
  <c r="H72" i="49"/>
  <c r="F27" i="27"/>
  <c r="G27" i="27"/>
  <c r="H27" i="27"/>
  <c r="F30" i="48"/>
  <c r="G30" i="48"/>
  <c r="H30" i="48"/>
  <c r="F53" i="35"/>
  <c r="G53" i="35"/>
  <c r="H53" i="35"/>
  <c r="F52" i="35"/>
  <c r="G52" i="35"/>
  <c r="H52" i="35"/>
  <c r="F17" i="32"/>
  <c r="G17" i="32"/>
  <c r="H17" i="32"/>
  <c r="F85" i="8"/>
  <c r="G85" i="8"/>
  <c r="H85" i="8"/>
  <c r="F89" i="8"/>
  <c r="G89" i="8"/>
  <c r="H89" i="8"/>
  <c r="F90" i="8"/>
  <c r="G90" i="8"/>
  <c r="H90" i="8"/>
  <c r="F39" i="1"/>
  <c r="G39" i="1"/>
  <c r="H39" i="1"/>
  <c r="F91" i="8"/>
  <c r="G91" i="8"/>
  <c r="H91" i="8"/>
  <c r="F39" i="60"/>
  <c r="G39" i="60"/>
  <c r="H39" i="60"/>
  <c r="F93" i="8"/>
  <c r="G93" i="8"/>
  <c r="H93" i="8"/>
  <c r="F96" i="8"/>
  <c r="G96" i="8"/>
  <c r="H96" i="8"/>
  <c r="F95" i="8"/>
  <c r="G95" i="8"/>
  <c r="H95" i="8"/>
  <c r="F38" i="60"/>
  <c r="G38" i="60"/>
  <c r="H38" i="60"/>
  <c r="F17" i="4"/>
  <c r="G17" i="4"/>
  <c r="H17" i="4"/>
  <c r="F39" i="30"/>
  <c r="G39" i="30"/>
  <c r="H39" i="30"/>
  <c r="F24" i="7"/>
  <c r="G24" i="7"/>
  <c r="H24" i="7"/>
  <c r="F19" i="37"/>
  <c r="G19" i="37"/>
  <c r="H19" i="37"/>
  <c r="F23" i="43"/>
  <c r="G23" i="43"/>
  <c r="H23" i="43"/>
  <c r="F25" i="28"/>
  <c r="G25" i="28"/>
  <c r="H25" i="28"/>
  <c r="F25" i="26"/>
  <c r="G25" i="26"/>
  <c r="H25" i="26"/>
  <c r="F30" i="15"/>
  <c r="G30" i="15"/>
  <c r="H30" i="15"/>
  <c r="J2" i="3"/>
  <c r="J2" i="4"/>
  <c r="J2" i="5"/>
  <c r="J2" i="7"/>
  <c r="J2" i="8"/>
  <c r="J2" i="9"/>
  <c r="J2" i="10"/>
  <c r="J2" i="11"/>
  <c r="J2" i="12"/>
  <c r="J2" i="54"/>
  <c r="J2" i="57"/>
  <c r="J2" i="13"/>
  <c r="J2" i="65"/>
  <c r="J2" i="14"/>
  <c r="J2" i="15"/>
  <c r="J2" i="63"/>
  <c r="J2" i="16"/>
  <c r="J2" i="64"/>
  <c r="J2" i="20"/>
  <c r="J2" i="21"/>
  <c r="J2" i="62"/>
  <c r="J2" i="23"/>
  <c r="J2" i="24"/>
  <c r="J2" i="26"/>
  <c r="J2" i="27"/>
  <c r="J2" i="28"/>
  <c r="J2" i="56"/>
  <c r="J2" i="30"/>
  <c r="J2" i="32"/>
  <c r="J2" i="34"/>
  <c r="J2" i="35"/>
  <c r="J2" i="36"/>
  <c r="J2" i="37"/>
  <c r="J2" i="38"/>
  <c r="J2" i="39"/>
  <c r="J2" i="40"/>
  <c r="J2" i="41"/>
  <c r="J2" i="42"/>
  <c r="J2" i="43"/>
  <c r="J2" i="44"/>
  <c r="J2" i="45"/>
  <c r="J2" i="47"/>
  <c r="J2" i="48"/>
  <c r="J2" i="60"/>
  <c r="J2" i="49"/>
  <c r="J2" i="50"/>
  <c r="J2" i="51"/>
  <c r="J2" i="52"/>
  <c r="J2" i="1"/>
  <c r="J2" i="66"/>
  <c r="I62" i="2" s="1"/>
  <c r="J62" i="2" s="1"/>
  <c r="K62" i="2" s="1"/>
  <c r="F26" i="27"/>
  <c r="G26" i="27"/>
  <c r="H26" i="27"/>
  <c r="J29" i="2" l="1"/>
  <c r="K29" i="2" s="1"/>
  <c r="L3" i="67"/>
  <c r="C1" i="67"/>
  <c r="L4" i="67"/>
  <c r="P1" i="67"/>
  <c r="M4" i="67"/>
  <c r="F125" i="3"/>
  <c r="G125" i="3"/>
  <c r="H125" i="3"/>
  <c r="F94" i="8"/>
  <c r="G94" i="8"/>
  <c r="H94" i="8"/>
  <c r="F26" i="36"/>
  <c r="G26" i="36"/>
  <c r="H26" i="36"/>
  <c r="F105" i="65"/>
  <c r="G105" i="65"/>
  <c r="H105" i="65"/>
  <c r="F104" i="65"/>
  <c r="G104" i="65"/>
  <c r="H104" i="65"/>
  <c r="F204" i="10"/>
  <c r="G204" i="10"/>
  <c r="H204" i="10"/>
  <c r="F92" i="8"/>
  <c r="G92" i="8"/>
  <c r="H92" i="8"/>
  <c r="F203" i="10"/>
  <c r="G203" i="10"/>
  <c r="H203" i="10"/>
  <c r="F68" i="41"/>
  <c r="G68" i="41"/>
  <c r="H68" i="41"/>
  <c r="F202" i="10"/>
  <c r="G202" i="10"/>
  <c r="H202" i="10"/>
  <c r="C49" i="2" l="1"/>
  <c r="F49" i="2" s="1"/>
  <c r="M3" i="67"/>
  <c r="E1" i="67"/>
  <c r="K2" i="67" s="1"/>
  <c r="L2" i="67" s="1"/>
  <c r="F1" i="67"/>
  <c r="M1" i="67" s="1"/>
  <c r="N1" i="67" s="1"/>
  <c r="N4" i="67"/>
  <c r="N5" i="67" s="1"/>
  <c r="F59" i="50"/>
  <c r="G59" i="50"/>
  <c r="H59" i="50"/>
  <c r="F88" i="8"/>
  <c r="G88" i="8"/>
  <c r="H88" i="8"/>
  <c r="F87" i="8"/>
  <c r="G87" i="8"/>
  <c r="H87" i="8"/>
  <c r="AC14" i="2"/>
  <c r="AC13" i="2"/>
  <c r="AC12" i="2"/>
  <c r="AC11" i="2"/>
  <c r="AC10" i="2"/>
  <c r="AC9" i="2"/>
  <c r="AC8" i="2"/>
  <c r="AC7" i="2"/>
  <c r="AC6" i="2"/>
  <c r="F103" i="65"/>
  <c r="G103" i="65"/>
  <c r="H103" i="65"/>
  <c r="H10" i="2"/>
  <c r="H71" i="2"/>
  <c r="J71" i="2" s="1"/>
  <c r="F22" i="43"/>
  <c r="G22" i="43"/>
  <c r="H22" i="43"/>
  <c r="F77" i="14"/>
  <c r="G77" i="14"/>
  <c r="H77" i="14"/>
  <c r="F57" i="50"/>
  <c r="G57" i="50"/>
  <c r="H57" i="50"/>
  <c r="F24" i="27"/>
  <c r="G24" i="27"/>
  <c r="H24" i="27"/>
  <c r="F36" i="60"/>
  <c r="G36" i="60"/>
  <c r="H36" i="60"/>
  <c r="F21" i="56"/>
  <c r="G21" i="56"/>
  <c r="H21" i="56"/>
  <c r="F102" i="65"/>
  <c r="G102" i="65"/>
  <c r="H102" i="65"/>
  <c r="F101" i="65"/>
  <c r="G101" i="65"/>
  <c r="H101" i="65"/>
  <c r="F21" i="43"/>
  <c r="G21" i="43"/>
  <c r="H21" i="43"/>
  <c r="F86" i="8"/>
  <c r="G86" i="8"/>
  <c r="H86" i="8"/>
  <c r="F84" i="8"/>
  <c r="G84" i="8"/>
  <c r="H84" i="8"/>
  <c r="F76" i="14"/>
  <c r="G76" i="14"/>
  <c r="H76" i="14"/>
  <c r="F201" i="10"/>
  <c r="G201" i="10"/>
  <c r="H201" i="10"/>
  <c r="K71" i="2" l="1"/>
  <c r="M62" i="2"/>
  <c r="L62" i="2"/>
  <c r="K65" i="2"/>
  <c r="G1" i="67"/>
  <c r="G49" i="2" s="1"/>
  <c r="D49" i="2"/>
  <c r="H49" i="2" s="1"/>
  <c r="I49" i="2"/>
  <c r="F58" i="50"/>
  <c r="G58" i="50"/>
  <c r="H58" i="50"/>
  <c r="F23" i="36"/>
  <c r="G23" i="36"/>
  <c r="H23" i="36"/>
  <c r="F37" i="60"/>
  <c r="G37" i="60"/>
  <c r="H37" i="60"/>
  <c r="F35" i="60"/>
  <c r="G35" i="60"/>
  <c r="H35" i="60"/>
  <c r="F34" i="60"/>
  <c r="G34" i="60"/>
  <c r="H34" i="60"/>
  <c r="F124" i="3"/>
  <c r="G124" i="3"/>
  <c r="H124" i="3"/>
  <c r="F75" i="14"/>
  <c r="G75" i="14"/>
  <c r="H75" i="14"/>
  <c r="F15" i="12"/>
  <c r="G15" i="12"/>
  <c r="H15" i="12"/>
  <c r="F23" i="27"/>
  <c r="G23" i="27"/>
  <c r="H23" i="27"/>
  <c r="F74" i="14"/>
  <c r="G74" i="14"/>
  <c r="H74" i="14"/>
  <c r="F22" i="27"/>
  <c r="G22" i="27"/>
  <c r="H22" i="27"/>
  <c r="F199" i="10"/>
  <c r="G199" i="10"/>
  <c r="H199" i="10"/>
  <c r="F73" i="14"/>
  <c r="G73" i="14"/>
  <c r="H73" i="14"/>
  <c r="F72" i="14"/>
  <c r="G72" i="14"/>
  <c r="H72" i="14"/>
  <c r="F71" i="14"/>
  <c r="G71" i="14"/>
  <c r="H71" i="14"/>
  <c r="F83" i="8"/>
  <c r="G83" i="8"/>
  <c r="H83" i="8"/>
  <c r="F200" i="10"/>
  <c r="G200" i="10"/>
  <c r="H200" i="10"/>
  <c r="F20" i="43"/>
  <c r="G20" i="43"/>
  <c r="H20" i="43"/>
  <c r="F51" i="35"/>
  <c r="G51" i="35"/>
  <c r="H51" i="35"/>
  <c r="F22" i="36"/>
  <c r="G22" i="36"/>
  <c r="H22" i="36"/>
  <c r="F198" i="10"/>
  <c r="G198" i="10"/>
  <c r="H198" i="10"/>
  <c r="F17" i="9"/>
  <c r="G17" i="9"/>
  <c r="H17" i="9"/>
  <c r="F97" i="65"/>
  <c r="G97" i="65"/>
  <c r="H97" i="65"/>
  <c r="F67" i="41"/>
  <c r="G67" i="41"/>
  <c r="H67" i="41"/>
  <c r="F48" i="34"/>
  <c r="G48" i="34"/>
  <c r="H48" i="34"/>
  <c r="F70" i="14"/>
  <c r="G70" i="14"/>
  <c r="H70" i="14"/>
  <c r="F81" i="8"/>
  <c r="G81" i="8"/>
  <c r="H81" i="8"/>
  <c r="F20" i="56"/>
  <c r="G20" i="56"/>
  <c r="H20" i="56"/>
  <c r="F197" i="10"/>
  <c r="G197" i="10"/>
  <c r="H197" i="10"/>
  <c r="F35" i="20"/>
  <c r="G35" i="20"/>
  <c r="H35" i="20"/>
  <c r="F20" i="54"/>
  <c r="G20" i="54"/>
  <c r="H20" i="54"/>
  <c r="F100" i="65"/>
  <c r="G100" i="65"/>
  <c r="H100" i="65"/>
  <c r="F99" i="65"/>
  <c r="G99" i="65"/>
  <c r="H99" i="65"/>
  <c r="F93" i="5"/>
  <c r="G93" i="5"/>
  <c r="H93" i="5"/>
  <c r="F98" i="65"/>
  <c r="G98" i="65"/>
  <c r="H98" i="65"/>
  <c r="F56" i="50"/>
  <c r="G56" i="50"/>
  <c r="H56" i="50"/>
  <c r="F50" i="16"/>
  <c r="G50" i="16"/>
  <c r="H50" i="16"/>
  <c r="F42" i="57"/>
  <c r="G42" i="57"/>
  <c r="H42" i="57"/>
  <c r="F80" i="8"/>
  <c r="G80" i="8"/>
  <c r="H80" i="8"/>
  <c r="F47" i="34"/>
  <c r="G47" i="34"/>
  <c r="H47" i="34"/>
  <c r="F92" i="5"/>
  <c r="G92" i="5"/>
  <c r="H92" i="5"/>
  <c r="F196" i="10"/>
  <c r="G196" i="10"/>
  <c r="H196" i="10"/>
  <c r="F79" i="8"/>
  <c r="G79" i="8"/>
  <c r="H79" i="8"/>
  <c r="F96" i="65"/>
  <c r="G96" i="65"/>
  <c r="H96" i="65"/>
  <c r="F55" i="50"/>
  <c r="G55" i="50"/>
  <c r="H55" i="50"/>
  <c r="F95" i="65"/>
  <c r="G95" i="65"/>
  <c r="H95" i="65"/>
  <c r="F25" i="24"/>
  <c r="G25" i="24"/>
  <c r="H25" i="24"/>
  <c r="F195" i="10"/>
  <c r="G195" i="10"/>
  <c r="H195" i="10"/>
  <c r="F49" i="16"/>
  <c r="G49" i="16"/>
  <c r="H49" i="16"/>
  <c r="F94" i="65"/>
  <c r="G94" i="65"/>
  <c r="H94" i="65"/>
  <c r="F123" i="3"/>
  <c r="G123" i="3"/>
  <c r="H123" i="3"/>
  <c r="F66" i="41"/>
  <c r="G66" i="41"/>
  <c r="H66" i="41"/>
  <c r="F91" i="5"/>
  <c r="G91" i="5"/>
  <c r="H91" i="5"/>
  <c r="F41" i="57"/>
  <c r="G41" i="57"/>
  <c r="H41" i="57"/>
  <c r="F93" i="65"/>
  <c r="G93" i="65"/>
  <c r="H93" i="65"/>
  <c r="F194" i="10"/>
  <c r="G194" i="10"/>
  <c r="H194" i="10"/>
  <c r="F92" i="65"/>
  <c r="G92" i="65"/>
  <c r="H92" i="65"/>
  <c r="F91" i="65"/>
  <c r="G91" i="65"/>
  <c r="H91" i="65"/>
  <c r="F122" i="3"/>
  <c r="G122" i="3"/>
  <c r="H122" i="3"/>
  <c r="F24" i="26"/>
  <c r="G24" i="26"/>
  <c r="H24" i="26"/>
  <c r="F193" i="10"/>
  <c r="G193" i="10"/>
  <c r="H193" i="10"/>
  <c r="F192" i="10"/>
  <c r="G192" i="10"/>
  <c r="H192" i="10"/>
  <c r="F90" i="5"/>
  <c r="G90" i="5"/>
  <c r="H90" i="5"/>
  <c r="F90" i="65"/>
  <c r="G90" i="65"/>
  <c r="H90" i="65"/>
  <c r="F89" i="65"/>
  <c r="G89" i="65"/>
  <c r="H89" i="65"/>
  <c r="F38" i="51"/>
  <c r="G38" i="51"/>
  <c r="H38" i="51"/>
  <c r="F40" i="57"/>
  <c r="G40" i="57"/>
  <c r="H40" i="57"/>
  <c r="F191" i="10"/>
  <c r="G191" i="10"/>
  <c r="H191" i="10"/>
  <c r="F190" i="10"/>
  <c r="G190" i="10"/>
  <c r="H190" i="10"/>
  <c r="F189" i="10"/>
  <c r="G189" i="10"/>
  <c r="H189" i="10"/>
  <c r="F89" i="5"/>
  <c r="G89" i="5"/>
  <c r="H89" i="5"/>
  <c r="F88" i="5"/>
  <c r="G88" i="5"/>
  <c r="H88" i="5"/>
  <c r="F121" i="3"/>
  <c r="G121" i="3"/>
  <c r="H121" i="3"/>
  <c r="F88" i="65"/>
  <c r="G88" i="65"/>
  <c r="H88" i="65"/>
  <c r="F87" i="65"/>
  <c r="G87" i="65"/>
  <c r="H87" i="65"/>
  <c r="F188" i="10"/>
  <c r="G188" i="10"/>
  <c r="H188" i="10"/>
  <c r="F187" i="10"/>
  <c r="G187" i="10"/>
  <c r="H187" i="10"/>
  <c r="F186" i="10"/>
  <c r="G186" i="10"/>
  <c r="H186" i="10"/>
  <c r="F86" i="65"/>
  <c r="G86" i="65"/>
  <c r="H86" i="65"/>
  <c r="F185" i="10"/>
  <c r="G185" i="10"/>
  <c r="H185" i="10"/>
  <c r="F184" i="10"/>
  <c r="G184" i="10"/>
  <c r="H184" i="10"/>
  <c r="D1" i="11"/>
  <c r="F148" i="10"/>
  <c r="G148" i="10"/>
  <c r="H148" i="10"/>
  <c r="J49" i="2" l="1"/>
  <c r="K49" i="2" s="1"/>
  <c r="F48" i="16"/>
  <c r="G48" i="16"/>
  <c r="H48" i="16"/>
  <c r="F24" i="24" l="1"/>
  <c r="G24" i="24"/>
  <c r="H24" i="24"/>
  <c r="F85" i="65"/>
  <c r="G85" i="65"/>
  <c r="H85" i="65"/>
  <c r="F87" i="5"/>
  <c r="G87" i="5"/>
  <c r="H87" i="5"/>
  <c r="F86" i="5"/>
  <c r="G86" i="5"/>
  <c r="H86" i="5"/>
  <c r="F54" i="50"/>
  <c r="G54" i="50"/>
  <c r="H54" i="50"/>
  <c r="F23" i="26"/>
  <c r="G23" i="26"/>
  <c r="H23" i="26"/>
  <c r="F84" i="65"/>
  <c r="G84" i="65"/>
  <c r="H84" i="65"/>
  <c r="F83" i="65"/>
  <c r="G83" i="65"/>
  <c r="H83" i="65"/>
  <c r="F47" i="16"/>
  <c r="G47" i="16"/>
  <c r="H47" i="16"/>
  <c r="F120" i="3"/>
  <c r="G120" i="3"/>
  <c r="H120" i="3"/>
  <c r="F10" i="63"/>
  <c r="G10" i="63"/>
  <c r="H10" i="63"/>
  <c r="F9" i="63"/>
  <c r="G9" i="63"/>
  <c r="H9" i="63"/>
  <c r="F82" i="65"/>
  <c r="G82" i="65"/>
  <c r="H82" i="65"/>
  <c r="F81" i="65"/>
  <c r="G81" i="65"/>
  <c r="H81" i="65"/>
  <c r="F53" i="50" l="1"/>
  <c r="G53" i="50"/>
  <c r="H53" i="50"/>
  <c r="F37" i="57"/>
  <c r="G37" i="57"/>
  <c r="H37" i="57"/>
  <c r="F19" i="56"/>
  <c r="G19" i="56"/>
  <c r="H19" i="56"/>
  <c r="F80" i="65"/>
  <c r="G80" i="65"/>
  <c r="H80" i="65"/>
  <c r="F79" i="65"/>
  <c r="G79" i="65"/>
  <c r="H79" i="65"/>
  <c r="F78" i="8"/>
  <c r="G78" i="8"/>
  <c r="H78" i="8"/>
  <c r="F77" i="8"/>
  <c r="G77" i="8"/>
  <c r="H77" i="8"/>
  <c r="F36" i="57"/>
  <c r="G36" i="57"/>
  <c r="H36" i="57"/>
  <c r="F19" i="54"/>
  <c r="G19" i="54"/>
  <c r="H19" i="54"/>
  <c r="F65" i="41"/>
  <c r="G65" i="41"/>
  <c r="H65" i="41"/>
  <c r="F183" i="10"/>
  <c r="G183" i="10"/>
  <c r="H183" i="10"/>
  <c r="F78" i="65"/>
  <c r="G78" i="65"/>
  <c r="H78" i="65"/>
  <c r="F77" i="65"/>
  <c r="G77" i="65"/>
  <c r="H77" i="65"/>
  <c r="F37" i="51"/>
  <c r="G37" i="51"/>
  <c r="H37" i="51"/>
  <c r="F33" i="21"/>
  <c r="G33" i="21"/>
  <c r="H33" i="21"/>
  <c r="F29" i="48"/>
  <c r="G29" i="48"/>
  <c r="H29" i="48"/>
  <c r="F52" i="50"/>
  <c r="G52" i="50"/>
  <c r="H52" i="50"/>
  <c r="F24" i="28"/>
  <c r="G24" i="28"/>
  <c r="H24" i="28"/>
  <c r="F18" i="37"/>
  <c r="G18" i="37"/>
  <c r="H18" i="37"/>
  <c r="F17" i="37"/>
  <c r="G17" i="37"/>
  <c r="H17" i="37"/>
  <c r="F76" i="65"/>
  <c r="G76" i="65"/>
  <c r="H76" i="65"/>
  <c r="F85" i="5"/>
  <c r="G85" i="5"/>
  <c r="H85" i="5"/>
  <c r="F119" i="3"/>
  <c r="G119" i="3"/>
  <c r="H119" i="3"/>
  <c r="F118" i="3"/>
  <c r="G118" i="3"/>
  <c r="H118" i="3"/>
  <c r="F18" i="56"/>
  <c r="G18" i="56"/>
  <c r="H18" i="56"/>
  <c r="F264" i="40"/>
  <c r="G264" i="40"/>
  <c r="H264" i="40"/>
  <c r="F69" i="14"/>
  <c r="G69" i="14"/>
  <c r="H69" i="14"/>
  <c r="F68" i="14"/>
  <c r="G68" i="14"/>
  <c r="H68" i="14"/>
  <c r="F22" i="26"/>
  <c r="G22" i="26"/>
  <c r="H22" i="26"/>
  <c r="F23" i="24"/>
  <c r="G23" i="24"/>
  <c r="H23" i="24"/>
  <c r="F46" i="34"/>
  <c r="G46" i="34"/>
  <c r="H46" i="34"/>
  <c r="F45" i="34"/>
  <c r="G45" i="34"/>
  <c r="H45" i="34"/>
  <c r="F38" i="30"/>
  <c r="G38" i="30"/>
  <c r="H38" i="30"/>
  <c r="F35" i="57" l="1"/>
  <c r="G35" i="57"/>
  <c r="H35" i="57"/>
  <c r="F64" i="41"/>
  <c r="G64" i="41"/>
  <c r="H64" i="41"/>
  <c r="F63" i="41"/>
  <c r="G63" i="41"/>
  <c r="H63" i="41"/>
  <c r="F182" i="10"/>
  <c r="G182" i="10"/>
  <c r="H182" i="10"/>
  <c r="F34" i="20"/>
  <c r="G34" i="20"/>
  <c r="H34" i="20"/>
  <c r="F33" i="20"/>
  <c r="G33" i="20"/>
  <c r="H33" i="20"/>
  <c r="F181" i="10"/>
  <c r="G181" i="10"/>
  <c r="H181" i="10"/>
  <c r="F75" i="65"/>
  <c r="G75" i="65"/>
  <c r="H75" i="65"/>
  <c r="F74" i="65"/>
  <c r="G74" i="65"/>
  <c r="H74" i="65"/>
  <c r="F46" i="16"/>
  <c r="G46" i="16"/>
  <c r="H46" i="16"/>
  <c r="F180" i="10"/>
  <c r="G180" i="10"/>
  <c r="H180" i="10"/>
  <c r="F35" i="42"/>
  <c r="G35" i="42"/>
  <c r="H35" i="42"/>
  <c r="F73" i="65"/>
  <c r="G73" i="65"/>
  <c r="H73" i="65"/>
  <c r="F72" i="65"/>
  <c r="G72" i="65"/>
  <c r="H72" i="65"/>
  <c r="F71" i="65"/>
  <c r="G71" i="65"/>
  <c r="H71" i="65"/>
  <c r="F44" i="34"/>
  <c r="G44" i="34"/>
  <c r="H44" i="34"/>
  <c r="F43" i="34"/>
  <c r="G43" i="34"/>
  <c r="H43" i="34"/>
  <c r="F70" i="65"/>
  <c r="G70" i="65"/>
  <c r="H70" i="65"/>
  <c r="F263" i="40"/>
  <c r="G263" i="40"/>
  <c r="H263" i="40"/>
  <c r="F262" i="40"/>
  <c r="G262" i="40"/>
  <c r="H262" i="40"/>
  <c r="F67" i="14"/>
  <c r="G67" i="14"/>
  <c r="H67" i="14"/>
  <c r="F66" i="14"/>
  <c r="G66" i="14"/>
  <c r="H66" i="14"/>
  <c r="F65" i="14"/>
  <c r="G65" i="14"/>
  <c r="H65" i="14"/>
  <c r="F64" i="14"/>
  <c r="G64" i="14"/>
  <c r="H64" i="14"/>
  <c r="F179" i="10"/>
  <c r="G179" i="10"/>
  <c r="H179" i="10"/>
  <c r="F178" i="10"/>
  <c r="G178" i="10"/>
  <c r="H178" i="10"/>
  <c r="F37" i="30"/>
  <c r="G37" i="30"/>
  <c r="H37" i="30"/>
  <c r="D1" i="64"/>
  <c r="F117" i="3"/>
  <c r="G117" i="3"/>
  <c r="H117" i="3"/>
  <c r="F116" i="3"/>
  <c r="G116" i="3"/>
  <c r="H116" i="3"/>
  <c r="F38" i="1"/>
  <c r="G38" i="1"/>
  <c r="H38" i="1"/>
  <c r="F177" i="10"/>
  <c r="G177" i="10"/>
  <c r="H177" i="10"/>
  <c r="F76" i="8"/>
  <c r="G76" i="8"/>
  <c r="H76" i="8"/>
  <c r="F115" i="3"/>
  <c r="G115" i="3"/>
  <c r="H115" i="3"/>
  <c r="F34" i="57"/>
  <c r="G34" i="57"/>
  <c r="H34" i="57"/>
  <c r="F84" i="5"/>
  <c r="G84" i="5"/>
  <c r="H84" i="5"/>
  <c r="F83" i="5"/>
  <c r="G83" i="5"/>
  <c r="H83" i="5"/>
  <c r="F176" i="10"/>
  <c r="G176" i="10"/>
  <c r="H176" i="10"/>
  <c r="F175" i="10"/>
  <c r="G175" i="10"/>
  <c r="H175" i="10"/>
  <c r="F82" i="5"/>
  <c r="G82" i="5"/>
  <c r="H82" i="5"/>
  <c r="F114" i="3"/>
  <c r="G114" i="3"/>
  <c r="H114" i="3"/>
  <c r="D1" i="66"/>
  <c r="H37" i="66"/>
  <c r="G37" i="66"/>
  <c r="F37" i="66"/>
  <c r="H36" i="66"/>
  <c r="G36" i="66"/>
  <c r="F36" i="66"/>
  <c r="H35" i="66"/>
  <c r="G35" i="66"/>
  <c r="F35" i="66"/>
  <c r="H34" i="66"/>
  <c r="G34" i="66"/>
  <c r="F34" i="66"/>
  <c r="H33" i="66"/>
  <c r="G33" i="66"/>
  <c r="F33" i="66"/>
  <c r="H32" i="66"/>
  <c r="G32" i="66"/>
  <c r="F32" i="66"/>
  <c r="H31" i="66"/>
  <c r="G31" i="66"/>
  <c r="F31" i="66"/>
  <c r="H30" i="66"/>
  <c r="G30" i="66"/>
  <c r="F30" i="66"/>
  <c r="H29" i="66"/>
  <c r="G29" i="66"/>
  <c r="F29" i="66"/>
  <c r="H28" i="66"/>
  <c r="G28" i="66"/>
  <c r="F28" i="66"/>
  <c r="H27" i="66"/>
  <c r="G27" i="66"/>
  <c r="F27" i="66"/>
  <c r="H26" i="66"/>
  <c r="G26" i="66"/>
  <c r="F26" i="66"/>
  <c r="H25" i="66"/>
  <c r="G25" i="66"/>
  <c r="F25" i="66"/>
  <c r="H24" i="66"/>
  <c r="G24" i="66"/>
  <c r="F24" i="66"/>
  <c r="H23" i="66"/>
  <c r="G23" i="66"/>
  <c r="F23" i="66"/>
  <c r="H22" i="66"/>
  <c r="G22" i="66"/>
  <c r="F22" i="66"/>
  <c r="H21" i="66"/>
  <c r="G21" i="66"/>
  <c r="F21" i="66"/>
  <c r="H20" i="66"/>
  <c r="G20" i="66"/>
  <c r="F20" i="66"/>
  <c r="H19" i="66"/>
  <c r="G19" i="66"/>
  <c r="F19" i="66"/>
  <c r="H18" i="66"/>
  <c r="G18" i="66"/>
  <c r="F18" i="66"/>
  <c r="H17" i="66"/>
  <c r="G17" i="66"/>
  <c r="F17" i="66"/>
  <c r="H16" i="66"/>
  <c r="G16" i="66"/>
  <c r="F16" i="66"/>
  <c r="H15" i="66"/>
  <c r="G15" i="66"/>
  <c r="F15" i="66"/>
  <c r="H14" i="66"/>
  <c r="G14" i="66"/>
  <c r="F14" i="66"/>
  <c r="H13" i="66"/>
  <c r="G13" i="66"/>
  <c r="F13" i="66"/>
  <c r="H12" i="66"/>
  <c r="G12" i="66"/>
  <c r="F12" i="66"/>
  <c r="H11" i="66"/>
  <c r="G11" i="66"/>
  <c r="F11" i="66"/>
  <c r="H10" i="66"/>
  <c r="G10" i="66"/>
  <c r="F10" i="66"/>
  <c r="H9" i="66"/>
  <c r="G9" i="66"/>
  <c r="F9" i="66"/>
  <c r="H8" i="66"/>
  <c r="G8" i="66"/>
  <c r="F8" i="66"/>
  <c r="H7" i="66"/>
  <c r="G7" i="66"/>
  <c r="F7" i="66"/>
  <c r="C1" i="66" s="1"/>
  <c r="C3" i="2" s="1"/>
  <c r="F3" i="2" s="1"/>
  <c r="H6" i="66"/>
  <c r="G6" i="66"/>
  <c r="F6" i="66"/>
  <c r="H5" i="66"/>
  <c r="G5" i="66"/>
  <c r="F5" i="66"/>
  <c r="H4" i="66"/>
  <c r="G4" i="66"/>
  <c r="F4" i="66"/>
  <c r="F174" i="10"/>
  <c r="G174" i="10"/>
  <c r="H174" i="10"/>
  <c r="F81" i="5"/>
  <c r="G81" i="5"/>
  <c r="H81" i="5"/>
  <c r="F75" i="8"/>
  <c r="G75" i="8"/>
  <c r="H75" i="8"/>
  <c r="F16" i="4"/>
  <c r="G16" i="4"/>
  <c r="H16" i="4"/>
  <c r="F173" i="10"/>
  <c r="G173" i="10"/>
  <c r="H173" i="10"/>
  <c r="F28" i="15"/>
  <c r="G28" i="15"/>
  <c r="H28" i="15"/>
  <c r="F74" i="8"/>
  <c r="G74" i="8"/>
  <c r="H74" i="8"/>
  <c r="F1" i="66" l="1"/>
  <c r="D3" i="2" s="1"/>
  <c r="H3" i="2" s="1"/>
  <c r="L3" i="66"/>
  <c r="M3" i="66"/>
  <c r="E1" i="66"/>
  <c r="K2" i="66" s="1"/>
  <c r="F172" i="10"/>
  <c r="G172" i="10"/>
  <c r="H172" i="10"/>
  <c r="F171" i="10"/>
  <c r="G171" i="10"/>
  <c r="H171" i="10"/>
  <c r="F113" i="3"/>
  <c r="G113" i="3"/>
  <c r="H113" i="3"/>
  <c r="I28" i="2" l="1"/>
  <c r="I33" i="2"/>
  <c r="I36" i="2"/>
  <c r="I37" i="2"/>
  <c r="I39" i="2"/>
  <c r="I41" i="2"/>
  <c r="I44" i="2"/>
  <c r="I3" i="2"/>
  <c r="I61" i="2"/>
  <c r="I51" i="2"/>
  <c r="I26" i="2"/>
  <c r="I46" i="2"/>
  <c r="I25" i="2"/>
  <c r="L2" i="66"/>
  <c r="G1" i="66"/>
  <c r="G3" i="2" s="1"/>
  <c r="F80" i="5"/>
  <c r="G80" i="5"/>
  <c r="H80" i="5"/>
  <c r="F69" i="65"/>
  <c r="G69" i="65"/>
  <c r="H69" i="65"/>
  <c r="J3" i="2" l="1"/>
  <c r="K3" i="2" s="1"/>
  <c r="F68" i="65"/>
  <c r="G68" i="65"/>
  <c r="H68" i="65"/>
  <c r="F112" i="3"/>
  <c r="G112" i="3"/>
  <c r="H112" i="3"/>
  <c r="F73" i="8" l="1"/>
  <c r="G73" i="8"/>
  <c r="H73" i="8"/>
  <c r="F72" i="8"/>
  <c r="G72" i="8"/>
  <c r="H72" i="8"/>
  <c r="F170" i="10"/>
  <c r="G170" i="10"/>
  <c r="H170" i="10"/>
  <c r="F32" i="20"/>
  <c r="G32" i="20"/>
  <c r="H32" i="20"/>
  <c r="F111" i="3"/>
  <c r="G111" i="3"/>
  <c r="H111" i="3"/>
  <c r="F169" i="10"/>
  <c r="G169" i="10"/>
  <c r="H169" i="10"/>
  <c r="F149" i="10"/>
  <c r="G149" i="10"/>
  <c r="H149" i="10"/>
  <c r="H71" i="8"/>
  <c r="G71" i="8"/>
  <c r="F71" i="8"/>
  <c r="H70" i="8"/>
  <c r="G70" i="8"/>
  <c r="F70" i="8"/>
  <c r="H69" i="8"/>
  <c r="G69" i="8"/>
  <c r="F69" i="8"/>
  <c r="H68" i="8"/>
  <c r="G68" i="8"/>
  <c r="F68" i="8"/>
  <c r="H67" i="8"/>
  <c r="G67" i="8"/>
  <c r="F67" i="8"/>
  <c r="H66" i="8"/>
  <c r="G66" i="8"/>
  <c r="F66" i="8"/>
  <c r="H65" i="8"/>
  <c r="G65" i="8"/>
  <c r="F65" i="8"/>
  <c r="H64" i="8"/>
  <c r="G64" i="8"/>
  <c r="F64" i="8"/>
  <c r="H63" i="8"/>
  <c r="G63" i="8"/>
  <c r="F63" i="8"/>
  <c r="H62" i="8"/>
  <c r="G62" i="8"/>
  <c r="F62" i="8"/>
  <c r="H61" i="8"/>
  <c r="G61" i="8"/>
  <c r="F61" i="8"/>
  <c r="H60" i="8"/>
  <c r="G60" i="8"/>
  <c r="F60" i="8"/>
  <c r="F59" i="8"/>
  <c r="G59" i="8"/>
  <c r="H59" i="8"/>
  <c r="F58" i="8"/>
  <c r="G58" i="8"/>
  <c r="H58" i="8"/>
  <c r="F57" i="8"/>
  <c r="G57" i="8"/>
  <c r="H57" i="8"/>
  <c r="F56" i="8"/>
  <c r="G56" i="8"/>
  <c r="H56" i="8"/>
  <c r="F55" i="8"/>
  <c r="G55" i="8"/>
  <c r="H55" i="8"/>
  <c r="F54" i="8"/>
  <c r="G54" i="8"/>
  <c r="H54" i="8"/>
  <c r="F110" i="3"/>
  <c r="G110" i="3"/>
  <c r="H110" i="3"/>
  <c r="F109" i="3"/>
  <c r="G109" i="3"/>
  <c r="H109" i="3"/>
  <c r="F108" i="3"/>
  <c r="G108" i="3"/>
  <c r="H108" i="3"/>
  <c r="F53" i="8"/>
  <c r="G53" i="8"/>
  <c r="H53" i="8"/>
  <c r="F52" i="8"/>
  <c r="G52" i="8"/>
  <c r="H52" i="8"/>
  <c r="F261" i="40"/>
  <c r="G261" i="40"/>
  <c r="H261" i="40"/>
  <c r="F51" i="8"/>
  <c r="G51" i="8"/>
  <c r="H51" i="8"/>
  <c r="F50" i="8"/>
  <c r="G50" i="8"/>
  <c r="H50" i="8"/>
  <c r="F62" i="41"/>
  <c r="G62" i="41"/>
  <c r="H62" i="41"/>
  <c r="F42" i="34"/>
  <c r="G42" i="34"/>
  <c r="H42" i="34"/>
  <c r="F168" i="10"/>
  <c r="G168" i="10"/>
  <c r="H168" i="10"/>
  <c r="F61" i="41"/>
  <c r="G61" i="41"/>
  <c r="H61" i="41"/>
  <c r="F107" i="3"/>
  <c r="G107" i="3"/>
  <c r="H107" i="3"/>
  <c r="F67" i="65"/>
  <c r="G67" i="65"/>
  <c r="H67" i="65"/>
  <c r="F43" i="8"/>
  <c r="G43" i="8"/>
  <c r="H43" i="8"/>
  <c r="F150" i="10"/>
  <c r="G150" i="10"/>
  <c r="H150" i="10"/>
  <c r="F45" i="8"/>
  <c r="G45" i="8"/>
  <c r="H45" i="8"/>
  <c r="F79" i="5"/>
  <c r="G79" i="5"/>
  <c r="H79" i="5"/>
  <c r="F63" i="14"/>
  <c r="G63" i="14"/>
  <c r="H63" i="14"/>
  <c r="F66" i="65"/>
  <c r="G66" i="65"/>
  <c r="H66" i="65"/>
  <c r="F62" i="14"/>
  <c r="G62" i="14"/>
  <c r="H62" i="14"/>
  <c r="F59" i="14"/>
  <c r="G59" i="14"/>
  <c r="H59" i="14"/>
  <c r="F20" i="52"/>
  <c r="G20" i="52"/>
  <c r="H20" i="52"/>
  <c r="F61" i="14"/>
  <c r="G61" i="14"/>
  <c r="H61" i="14"/>
  <c r="F106" i="3" l="1"/>
  <c r="G106" i="3"/>
  <c r="H106" i="3"/>
  <c r="F60" i="14"/>
  <c r="G60" i="14"/>
  <c r="H60" i="14"/>
  <c r="F49" i="8"/>
  <c r="G49" i="8"/>
  <c r="H49" i="8"/>
  <c r="F65" i="65"/>
  <c r="G65" i="65"/>
  <c r="H65" i="65"/>
  <c r="F64" i="65"/>
  <c r="G64" i="65"/>
  <c r="H64" i="65"/>
  <c r="F167" i="10"/>
  <c r="G167" i="10"/>
  <c r="H167" i="10"/>
  <c r="F166" i="10"/>
  <c r="G166" i="10"/>
  <c r="H166" i="10"/>
  <c r="F165" i="10"/>
  <c r="G165" i="10"/>
  <c r="H165" i="10"/>
  <c r="F63" i="65" l="1"/>
  <c r="G63" i="65"/>
  <c r="H63" i="65"/>
  <c r="F164" i="10"/>
  <c r="G164" i="10"/>
  <c r="H164" i="10"/>
  <c r="F153" i="10"/>
  <c r="F154" i="10"/>
  <c r="G153" i="10"/>
  <c r="G154" i="10"/>
  <c r="H153" i="10"/>
  <c r="H154" i="10"/>
  <c r="F58" i="14"/>
  <c r="G58" i="14"/>
  <c r="H58" i="14"/>
  <c r="F21" i="36"/>
  <c r="G21" i="36"/>
  <c r="H21" i="36"/>
  <c r="F32" i="21"/>
  <c r="G32" i="21"/>
  <c r="H32" i="21"/>
  <c r="F60" i="41"/>
  <c r="G60" i="41"/>
  <c r="H60" i="41"/>
  <c r="F59" i="41"/>
  <c r="G59" i="41"/>
  <c r="H59" i="41"/>
  <c r="F16" i="37"/>
  <c r="G16" i="37"/>
  <c r="H16" i="37"/>
  <c r="F15" i="4"/>
  <c r="G15" i="4"/>
  <c r="H15" i="4"/>
  <c r="F56" i="45"/>
  <c r="G56" i="45"/>
  <c r="H56" i="45"/>
  <c r="F21" i="26"/>
  <c r="G21" i="26"/>
  <c r="H21" i="26"/>
  <c r="F105" i="3"/>
  <c r="G105" i="3"/>
  <c r="H105" i="3"/>
  <c r="F104" i="3"/>
  <c r="G104" i="3"/>
  <c r="H104" i="3"/>
  <c r="F22" i="24"/>
  <c r="G22" i="24"/>
  <c r="H22" i="24"/>
  <c r="F62" i="65"/>
  <c r="G62" i="65"/>
  <c r="H62" i="65"/>
  <c r="F21" i="27"/>
  <c r="G21" i="27"/>
  <c r="H21" i="27"/>
  <c r="F155" i="10"/>
  <c r="G155" i="10"/>
  <c r="H155" i="10"/>
  <c r="F23" i="44"/>
  <c r="G23" i="44"/>
  <c r="H23" i="44"/>
  <c r="F41" i="34"/>
  <c r="G41" i="34"/>
  <c r="H41" i="34"/>
  <c r="F23" i="28"/>
  <c r="G23" i="28"/>
  <c r="H23" i="28"/>
  <c r="F22" i="23"/>
  <c r="G22" i="23"/>
  <c r="H22" i="23"/>
  <c r="F57" i="14"/>
  <c r="G57" i="14"/>
  <c r="H57" i="14"/>
  <c r="F125" i="11"/>
  <c r="G125" i="11"/>
  <c r="H125" i="11"/>
  <c r="F61" i="65"/>
  <c r="G61" i="65"/>
  <c r="H61" i="65"/>
  <c r="F260" i="40"/>
  <c r="G260" i="40"/>
  <c r="H260" i="40"/>
  <c r="F16" i="32"/>
  <c r="G16" i="32"/>
  <c r="H16" i="32"/>
  <c r="F36" i="30"/>
  <c r="G36" i="30"/>
  <c r="H36" i="30"/>
  <c r="F78" i="5"/>
  <c r="G78" i="5"/>
  <c r="H78" i="5"/>
  <c r="F8" i="63"/>
  <c r="G8" i="63"/>
  <c r="H8" i="63"/>
  <c r="F48" i="8"/>
  <c r="G48" i="8"/>
  <c r="H48" i="8"/>
  <c r="F45" i="16"/>
  <c r="G45" i="16"/>
  <c r="H45" i="16"/>
  <c r="F40" i="34"/>
  <c r="G40" i="34"/>
  <c r="H40" i="34"/>
  <c r="F39" i="34"/>
  <c r="G39" i="34"/>
  <c r="H39" i="34"/>
  <c r="F38" i="34"/>
  <c r="G38" i="34"/>
  <c r="H38" i="34"/>
  <c r="F51" i="50"/>
  <c r="G51" i="50"/>
  <c r="H51" i="50"/>
  <c r="F50" i="50"/>
  <c r="G50" i="50"/>
  <c r="H50" i="50"/>
  <c r="F37" i="34"/>
  <c r="G37" i="34"/>
  <c r="H37" i="34"/>
  <c r="F36" i="34"/>
  <c r="G36" i="34"/>
  <c r="H36" i="34"/>
  <c r="F60" i="65"/>
  <c r="G60" i="65"/>
  <c r="H60" i="65"/>
  <c r="F77" i="5"/>
  <c r="G77" i="5"/>
  <c r="H77" i="5"/>
  <c r="F76" i="5"/>
  <c r="G76" i="5"/>
  <c r="H76" i="5"/>
  <c r="F50" i="35"/>
  <c r="G50" i="35"/>
  <c r="H50" i="35"/>
  <c r="F163" i="10"/>
  <c r="G163" i="10"/>
  <c r="H163" i="10"/>
  <c r="F75" i="5"/>
  <c r="G75" i="5"/>
  <c r="H75" i="5"/>
  <c r="F74" i="5"/>
  <c r="G74" i="5"/>
  <c r="H74" i="5"/>
  <c r="F103" i="3"/>
  <c r="G103" i="3"/>
  <c r="H103" i="3"/>
  <c r="F102" i="3"/>
  <c r="G102" i="3"/>
  <c r="H102" i="3"/>
  <c r="F162" i="10" l="1"/>
  <c r="G162" i="10"/>
  <c r="H162" i="10"/>
  <c r="F33" i="57"/>
  <c r="G33" i="57"/>
  <c r="H33" i="57"/>
  <c r="F161" i="10"/>
  <c r="G161" i="10"/>
  <c r="H161" i="10"/>
  <c r="F160" i="10" l="1"/>
  <c r="G160" i="10"/>
  <c r="H160" i="10"/>
  <c r="F47" i="8"/>
  <c r="G47" i="8"/>
  <c r="H47" i="8"/>
  <c r="F101" i="3"/>
  <c r="G101" i="3"/>
  <c r="H101" i="3"/>
  <c r="F100" i="3"/>
  <c r="G100" i="3"/>
  <c r="H100" i="3"/>
  <c r="F159" i="10"/>
  <c r="G159" i="10"/>
  <c r="H159" i="10"/>
  <c r="F158" i="10"/>
  <c r="G158" i="10"/>
  <c r="H158" i="10"/>
  <c r="F59" i="65"/>
  <c r="G59" i="65"/>
  <c r="H59" i="65"/>
  <c r="F58" i="65"/>
  <c r="G58" i="65"/>
  <c r="H58" i="65"/>
  <c r="F57" i="65"/>
  <c r="G57" i="65"/>
  <c r="H57" i="65"/>
  <c r="F49" i="50"/>
  <c r="G49" i="50"/>
  <c r="H49" i="50"/>
  <c r="F15" i="37"/>
  <c r="G15" i="37"/>
  <c r="H15" i="37"/>
  <c r="F91" i="3"/>
  <c r="G91" i="3"/>
  <c r="H91" i="3"/>
  <c r="F49" i="35"/>
  <c r="G49" i="35"/>
  <c r="H49" i="35"/>
  <c r="F56" i="65" l="1"/>
  <c r="G56" i="65"/>
  <c r="H56" i="65"/>
  <c r="F27" i="15"/>
  <c r="G27" i="15"/>
  <c r="H27" i="15"/>
  <c r="F26" i="15"/>
  <c r="G26" i="15"/>
  <c r="H26" i="15"/>
  <c r="F14" i="37"/>
  <c r="G14" i="37"/>
  <c r="H14" i="37"/>
  <c r="F55" i="65"/>
  <c r="G55" i="65"/>
  <c r="H55" i="65"/>
  <c r="F54" i="65"/>
  <c r="G54" i="65"/>
  <c r="H54" i="65"/>
  <c r="F53" i="65"/>
  <c r="G53" i="65"/>
  <c r="H53" i="65"/>
  <c r="F52" i="65"/>
  <c r="G52" i="65"/>
  <c r="H52" i="65"/>
  <c r="F51" i="65"/>
  <c r="G51" i="65"/>
  <c r="H51" i="65"/>
  <c r="F50" i="65"/>
  <c r="G50" i="65"/>
  <c r="H50" i="65"/>
  <c r="F49" i="65" l="1"/>
  <c r="G49" i="65"/>
  <c r="H49" i="65"/>
  <c r="F48" i="65"/>
  <c r="G48" i="65"/>
  <c r="H48" i="65"/>
  <c r="F47" i="65"/>
  <c r="G47" i="65"/>
  <c r="H47" i="65"/>
  <c r="F46" i="65"/>
  <c r="G46" i="65"/>
  <c r="H46" i="65"/>
  <c r="F45" i="65"/>
  <c r="G45" i="65"/>
  <c r="H45" i="65"/>
  <c r="F44" i="65"/>
  <c r="G44" i="65"/>
  <c r="H44" i="65"/>
  <c r="F43" i="65"/>
  <c r="G43" i="65"/>
  <c r="H43" i="65"/>
  <c r="F42" i="65"/>
  <c r="G42" i="65"/>
  <c r="H42" i="65"/>
  <c r="F41" i="65"/>
  <c r="G41" i="65"/>
  <c r="H41" i="65"/>
  <c r="F40" i="65"/>
  <c r="G40" i="65"/>
  <c r="H40" i="65"/>
  <c r="F39" i="65"/>
  <c r="G39" i="65"/>
  <c r="H39" i="65"/>
  <c r="F38" i="65"/>
  <c r="G38" i="65"/>
  <c r="H38" i="65"/>
  <c r="F37" i="65"/>
  <c r="G37" i="65"/>
  <c r="H37" i="65"/>
  <c r="F36" i="65"/>
  <c r="G36" i="65"/>
  <c r="H36" i="65"/>
  <c r="F35" i="65"/>
  <c r="G35" i="65"/>
  <c r="H35" i="65"/>
  <c r="F34" i="65"/>
  <c r="G34" i="65"/>
  <c r="H34" i="65"/>
  <c r="F33" i="65"/>
  <c r="G33" i="65"/>
  <c r="H33" i="65"/>
  <c r="F32" i="65"/>
  <c r="G32" i="65"/>
  <c r="H32" i="65"/>
  <c r="F31" i="65"/>
  <c r="G31" i="65"/>
  <c r="H31" i="65"/>
  <c r="F30" i="65"/>
  <c r="G30" i="65"/>
  <c r="H30" i="65"/>
  <c r="F37" i="1"/>
  <c r="G37" i="1"/>
  <c r="H37" i="1"/>
  <c r="F29" i="65"/>
  <c r="G29" i="65"/>
  <c r="H29" i="65"/>
  <c r="F28" i="65"/>
  <c r="G28" i="65"/>
  <c r="H28" i="65"/>
  <c r="F27" i="65"/>
  <c r="G27" i="65"/>
  <c r="H27" i="65"/>
  <c r="F26" i="65"/>
  <c r="G26" i="65"/>
  <c r="H26" i="65"/>
  <c r="F25" i="65"/>
  <c r="G25" i="65"/>
  <c r="H25" i="65"/>
  <c r="F24" i="65"/>
  <c r="G24" i="65"/>
  <c r="H24" i="65"/>
  <c r="F23" i="65"/>
  <c r="G23" i="65"/>
  <c r="H23" i="65"/>
  <c r="F48" i="35"/>
  <c r="G48" i="35"/>
  <c r="H48" i="35"/>
  <c r="F35" i="34"/>
  <c r="G35" i="34"/>
  <c r="H35" i="34"/>
  <c r="F22" i="65"/>
  <c r="G22" i="65"/>
  <c r="H22" i="65"/>
  <c r="F19" i="52"/>
  <c r="G19" i="52"/>
  <c r="H19" i="52"/>
  <c r="F34" i="42"/>
  <c r="G34" i="42"/>
  <c r="H34" i="42"/>
  <c r="F33" i="42"/>
  <c r="G33" i="42"/>
  <c r="H33" i="42"/>
  <c r="F73" i="5"/>
  <c r="G73" i="5"/>
  <c r="H73" i="5"/>
  <c r="F72" i="5"/>
  <c r="G72" i="5"/>
  <c r="H72" i="5"/>
  <c r="F124" i="11"/>
  <c r="G124" i="11"/>
  <c r="H124" i="11"/>
  <c r="F123" i="11"/>
  <c r="G123" i="11"/>
  <c r="H123" i="11"/>
  <c r="F122" i="11"/>
  <c r="G122" i="11"/>
  <c r="H122" i="11"/>
  <c r="F157" i="10"/>
  <c r="G157" i="10"/>
  <c r="H157" i="10"/>
  <c r="F156" i="10"/>
  <c r="G156" i="10"/>
  <c r="H156" i="10"/>
  <c r="F48" i="50" l="1"/>
  <c r="G48" i="50"/>
  <c r="H48" i="50"/>
  <c r="F121" i="11"/>
  <c r="G121" i="11"/>
  <c r="H121" i="11"/>
  <c r="F152" i="10"/>
  <c r="G152" i="10"/>
  <c r="H152" i="10"/>
  <c r="F120" i="11"/>
  <c r="G120" i="11"/>
  <c r="H120" i="11"/>
  <c r="F99" i="3"/>
  <c r="G99" i="3"/>
  <c r="H99" i="3"/>
  <c r="F151" i="10"/>
  <c r="G151" i="10"/>
  <c r="H151" i="10"/>
  <c r="F147" i="10"/>
  <c r="G147" i="10"/>
  <c r="H147" i="10"/>
  <c r="F142" i="10"/>
  <c r="G142" i="10"/>
  <c r="H142" i="10"/>
  <c r="F141" i="10"/>
  <c r="G141" i="10"/>
  <c r="H141" i="10"/>
  <c r="F140" i="10"/>
  <c r="G140" i="10"/>
  <c r="H140" i="10"/>
  <c r="F139" i="10"/>
  <c r="G139" i="10"/>
  <c r="H139" i="10"/>
  <c r="F138" i="10"/>
  <c r="G138" i="10"/>
  <c r="H138" i="10"/>
  <c r="F137" i="10"/>
  <c r="G137" i="10"/>
  <c r="H137" i="10"/>
  <c r="F136" i="10"/>
  <c r="G136" i="10"/>
  <c r="H136" i="10"/>
  <c r="F135" i="10"/>
  <c r="G135" i="10"/>
  <c r="H135" i="10"/>
  <c r="F134" i="10"/>
  <c r="G134" i="10"/>
  <c r="H134" i="10"/>
  <c r="F98" i="3"/>
  <c r="G98" i="3"/>
  <c r="H98" i="3"/>
  <c r="F97" i="3"/>
  <c r="G97" i="3"/>
  <c r="H97" i="3"/>
  <c r="F47" i="50"/>
  <c r="G47" i="50"/>
  <c r="H47" i="50"/>
  <c r="F46" i="50"/>
  <c r="G46" i="50"/>
  <c r="H46" i="50"/>
  <c r="F47" i="35"/>
  <c r="G47" i="35"/>
  <c r="H47" i="35"/>
  <c r="F46" i="35"/>
  <c r="G46" i="35"/>
  <c r="H46" i="35"/>
  <c r="F45" i="35"/>
  <c r="G45" i="35"/>
  <c r="H45" i="35"/>
  <c r="F44" i="35"/>
  <c r="G44" i="35"/>
  <c r="H44" i="35"/>
  <c r="F43" i="35"/>
  <c r="G43" i="35"/>
  <c r="H43" i="35"/>
  <c r="F42" i="35"/>
  <c r="G42" i="35"/>
  <c r="H42" i="35"/>
  <c r="F17" i="56" l="1"/>
  <c r="G17" i="56"/>
  <c r="H17" i="56"/>
  <c r="F14" i="12"/>
  <c r="G14" i="12"/>
  <c r="H14" i="12"/>
  <c r="F133" i="10"/>
  <c r="G133" i="10"/>
  <c r="H133" i="10"/>
  <c r="F44" i="16"/>
  <c r="G44" i="16"/>
  <c r="H44" i="16"/>
  <c r="F43" i="16"/>
  <c r="G43" i="16"/>
  <c r="H43" i="16"/>
  <c r="F56" i="14"/>
  <c r="G56" i="14"/>
  <c r="H56" i="14"/>
  <c r="F96" i="3"/>
  <c r="G96" i="3"/>
  <c r="H96" i="3"/>
  <c r="F21" i="65"/>
  <c r="G21" i="65"/>
  <c r="H21" i="65"/>
  <c r="F32" i="42"/>
  <c r="G32" i="42"/>
  <c r="H32" i="42"/>
  <c r="F55" i="14"/>
  <c r="G55" i="14"/>
  <c r="H55" i="14"/>
  <c r="F23" i="7"/>
  <c r="G23" i="7"/>
  <c r="H23" i="7"/>
  <c r="F41" i="35"/>
  <c r="G41" i="35"/>
  <c r="H41" i="35"/>
  <c r="F18" i="54"/>
  <c r="G18" i="54"/>
  <c r="H18" i="54"/>
  <c r="F95" i="3"/>
  <c r="G95" i="3"/>
  <c r="H95" i="3"/>
  <c r="F42" i="16"/>
  <c r="G42" i="16"/>
  <c r="H42" i="16"/>
  <c r="F41" i="16"/>
  <c r="G41" i="16"/>
  <c r="H41" i="16"/>
  <c r="F32" i="57"/>
  <c r="G32" i="57"/>
  <c r="H32" i="57"/>
  <c r="F20" i="65"/>
  <c r="G20" i="65"/>
  <c r="H20" i="65"/>
  <c r="F19" i="65"/>
  <c r="G19" i="65"/>
  <c r="H19" i="65"/>
  <c r="F19" i="43"/>
  <c r="G19" i="43"/>
  <c r="H19" i="43"/>
  <c r="F40" i="16"/>
  <c r="G40" i="16"/>
  <c r="H40" i="16"/>
  <c r="F18" i="65"/>
  <c r="G18" i="65"/>
  <c r="H18" i="65"/>
  <c r="F31" i="57"/>
  <c r="G31" i="57"/>
  <c r="H31" i="57"/>
  <c r="F132" i="10"/>
  <c r="G132" i="10"/>
  <c r="H132" i="10"/>
  <c r="F131" i="10"/>
  <c r="G131" i="10"/>
  <c r="H131" i="10"/>
  <c r="F14" i="4"/>
  <c r="G14" i="4"/>
  <c r="H14" i="4"/>
  <c r="F31" i="21"/>
  <c r="G31" i="21"/>
  <c r="H31" i="21"/>
  <c r="F17" i="65"/>
  <c r="G17" i="65"/>
  <c r="H17" i="65"/>
  <c r="F94" i="3"/>
  <c r="G94" i="3"/>
  <c r="H94" i="3"/>
  <c r="F22" i="7"/>
  <c r="G22" i="7"/>
  <c r="H22" i="7"/>
  <c r="F58" i="41"/>
  <c r="G58" i="41"/>
  <c r="H58" i="41"/>
  <c r="F57" i="41"/>
  <c r="G57" i="41"/>
  <c r="H57" i="41"/>
  <c r="F56" i="41"/>
  <c r="G56" i="41"/>
  <c r="H56" i="41"/>
  <c r="F55" i="41"/>
  <c r="G55" i="41"/>
  <c r="H55" i="41"/>
  <c r="F54" i="41"/>
  <c r="G54" i="41"/>
  <c r="H54" i="41"/>
  <c r="F53" i="41"/>
  <c r="G53" i="41"/>
  <c r="H53" i="41"/>
  <c r="F52" i="41"/>
  <c r="G52" i="41"/>
  <c r="H52" i="41"/>
  <c r="F51" i="41"/>
  <c r="G51" i="41"/>
  <c r="H51" i="41"/>
  <c r="F46" i="8"/>
  <c r="G46" i="8"/>
  <c r="H46" i="8"/>
  <c r="F44" i="8"/>
  <c r="G44" i="8"/>
  <c r="H44" i="8"/>
  <c r="F16" i="65"/>
  <c r="G16" i="65"/>
  <c r="H16" i="65"/>
  <c r="F15" i="65"/>
  <c r="G15" i="65"/>
  <c r="H15" i="65"/>
  <c r="F50" i="41"/>
  <c r="G50" i="41"/>
  <c r="H50" i="41"/>
  <c r="F49" i="41"/>
  <c r="G49" i="41"/>
  <c r="H49" i="41"/>
  <c r="F48" i="41"/>
  <c r="G48" i="41"/>
  <c r="H48" i="41"/>
  <c r="F47" i="41"/>
  <c r="G47" i="41"/>
  <c r="H47" i="41"/>
  <c r="F14" i="65"/>
  <c r="G14" i="65"/>
  <c r="H14" i="65"/>
  <c r="F13" i="65"/>
  <c r="G13" i="65"/>
  <c r="H13" i="65"/>
  <c r="F12" i="65"/>
  <c r="G12" i="65"/>
  <c r="H12" i="65"/>
  <c r="F130" i="10" l="1"/>
  <c r="G130" i="10"/>
  <c r="H130" i="10"/>
  <c r="F129" i="10"/>
  <c r="G129" i="10"/>
  <c r="H129" i="10"/>
  <c r="F42" i="8"/>
  <c r="G42" i="8"/>
  <c r="H42" i="8"/>
  <c r="F40" i="35"/>
  <c r="G40" i="35"/>
  <c r="H40" i="35"/>
  <c r="F11" i="65"/>
  <c r="G11" i="65"/>
  <c r="H11" i="65"/>
  <c r="F10" i="65"/>
  <c r="G10" i="65"/>
  <c r="H10" i="65"/>
  <c r="F9" i="65"/>
  <c r="G9" i="65"/>
  <c r="H9" i="65"/>
  <c r="F8" i="65"/>
  <c r="G8" i="65"/>
  <c r="H8" i="65"/>
  <c r="F41" i="8" l="1"/>
  <c r="G41" i="8"/>
  <c r="H41" i="8"/>
  <c r="F93" i="3"/>
  <c r="G93" i="3"/>
  <c r="H93" i="3"/>
  <c r="F92" i="3"/>
  <c r="G92" i="3"/>
  <c r="H92" i="3"/>
  <c r="F90" i="3"/>
  <c r="G90" i="3"/>
  <c r="H90" i="3"/>
  <c r="F128" i="10"/>
  <c r="G128" i="10"/>
  <c r="H128" i="10"/>
  <c r="F127" i="10"/>
  <c r="G127" i="10"/>
  <c r="H127" i="10"/>
  <c r="F89" i="3"/>
  <c r="G89" i="3"/>
  <c r="H89" i="3"/>
  <c r="F39" i="35"/>
  <c r="G39" i="35"/>
  <c r="H39" i="35"/>
  <c r="F30" i="21"/>
  <c r="G30" i="21"/>
  <c r="H30" i="21"/>
  <c r="F40" i="8"/>
  <c r="G40" i="8"/>
  <c r="H40" i="8"/>
  <c r="F31" i="42"/>
  <c r="G31" i="42"/>
  <c r="H31" i="42"/>
  <c r="F30" i="42"/>
  <c r="G30" i="42"/>
  <c r="H30" i="42"/>
  <c r="F39" i="16"/>
  <c r="G39" i="16"/>
  <c r="H39" i="16"/>
  <c r="F38" i="16"/>
  <c r="G38" i="16"/>
  <c r="H38" i="16"/>
  <c r="F37" i="16"/>
  <c r="G37" i="16"/>
  <c r="H37" i="16"/>
  <c r="F35" i="16"/>
  <c r="G35" i="16"/>
  <c r="H35" i="16"/>
  <c r="F126" i="10"/>
  <c r="G126" i="10"/>
  <c r="H126" i="10"/>
  <c r="F125" i="10"/>
  <c r="G125" i="10"/>
  <c r="H125" i="10"/>
  <c r="F34" i="16"/>
  <c r="G34" i="16"/>
  <c r="H34" i="16"/>
  <c r="F124" i="10"/>
  <c r="G124" i="10"/>
  <c r="H124" i="10"/>
  <c r="F123" i="10"/>
  <c r="G123" i="10"/>
  <c r="H123" i="10"/>
  <c r="F122" i="10"/>
  <c r="G122" i="10"/>
  <c r="H122" i="10"/>
  <c r="F121" i="10"/>
  <c r="G121" i="10"/>
  <c r="H121" i="10"/>
  <c r="F120" i="10"/>
  <c r="G120" i="10"/>
  <c r="H120" i="10"/>
  <c r="F119" i="10"/>
  <c r="G119" i="10"/>
  <c r="H119" i="10"/>
  <c r="F259" i="40"/>
  <c r="G259" i="40"/>
  <c r="H259" i="40"/>
  <c r="F33" i="16"/>
  <c r="G33" i="16"/>
  <c r="H33" i="16"/>
  <c r="D1" i="65"/>
  <c r="Q1" i="65" s="1"/>
  <c r="H7" i="65"/>
  <c r="G7" i="65"/>
  <c r="F7" i="65"/>
  <c r="H6" i="65"/>
  <c r="G6" i="65"/>
  <c r="F6" i="65"/>
  <c r="H5" i="65"/>
  <c r="G5" i="65"/>
  <c r="F5" i="65"/>
  <c r="H4" i="65"/>
  <c r="G4" i="65"/>
  <c r="F4" i="65"/>
  <c r="U4" i="2"/>
  <c r="F21" i="7"/>
  <c r="G21" i="7"/>
  <c r="H21" i="7"/>
  <c r="F118" i="10"/>
  <c r="G118" i="10"/>
  <c r="H118" i="10"/>
  <c r="M4" i="65" l="1"/>
  <c r="L4" i="65"/>
  <c r="L3" i="65"/>
  <c r="C1" i="65"/>
  <c r="R1" i="65"/>
  <c r="P1" i="65"/>
  <c r="M3" i="65" l="1"/>
  <c r="C19" i="2"/>
  <c r="F19" i="2" s="1"/>
  <c r="N4" i="65"/>
  <c r="N5" i="65" s="1"/>
  <c r="F1" i="65"/>
  <c r="M1" i="65" s="1"/>
  <c r="N1" i="65" s="1"/>
  <c r="E1" i="65"/>
  <c r="K2" i="65" s="1"/>
  <c r="L2" i="65" l="1"/>
  <c r="I19" i="2"/>
  <c r="G1" i="65"/>
  <c r="G19" i="2" s="1"/>
  <c r="D19" i="2"/>
  <c r="K19" i="2" l="1"/>
  <c r="J19" i="2"/>
  <c r="H19" i="2"/>
  <c r="F119" i="11"/>
  <c r="G119" i="11"/>
  <c r="H119" i="11"/>
  <c r="F117" i="10"/>
  <c r="G117" i="10"/>
  <c r="H117" i="10"/>
  <c r="F32" i="16"/>
  <c r="G32" i="16"/>
  <c r="H32" i="16"/>
  <c r="F39" i="8"/>
  <c r="G39" i="8"/>
  <c r="H39" i="8"/>
  <c r="F29" i="21"/>
  <c r="G29" i="21"/>
  <c r="H29" i="21"/>
  <c r="F71" i="49"/>
  <c r="G71" i="49"/>
  <c r="H71" i="49"/>
  <c r="F12" i="38"/>
  <c r="G12" i="38"/>
  <c r="H12" i="38"/>
  <c r="F36" i="1"/>
  <c r="G36" i="1"/>
  <c r="H36" i="1"/>
  <c r="F20" i="26"/>
  <c r="G20" i="26"/>
  <c r="H20" i="26"/>
  <c r="H7" i="64"/>
  <c r="G7" i="64"/>
  <c r="F7" i="64"/>
  <c r="H6" i="64"/>
  <c r="G6" i="64"/>
  <c r="F6" i="64"/>
  <c r="H5" i="64"/>
  <c r="G5" i="64"/>
  <c r="F5" i="64"/>
  <c r="H4" i="64"/>
  <c r="G4" i="64"/>
  <c r="F4" i="64"/>
  <c r="F21" i="24"/>
  <c r="G21" i="24"/>
  <c r="H21" i="24"/>
  <c r="C1" i="64" l="1"/>
  <c r="F1" i="64" s="1"/>
  <c r="M1" i="64" s="1"/>
  <c r="N1" i="64" s="1"/>
  <c r="M4" i="64"/>
  <c r="L3" i="64"/>
  <c r="L4" i="64"/>
  <c r="D24" i="2" l="1"/>
  <c r="M3" i="64"/>
  <c r="C24" i="2"/>
  <c r="F24" i="2" s="1"/>
  <c r="N4" i="64"/>
  <c r="N5" i="64" s="1"/>
  <c r="Q1" i="64"/>
  <c r="R1" i="64" s="1"/>
  <c r="H24" i="2"/>
  <c r="E1" i="64"/>
  <c r="K2" i="64" s="1"/>
  <c r="G1" i="64"/>
  <c r="G24" i="2" s="1"/>
  <c r="U13" i="2"/>
  <c r="I15" i="53" l="1"/>
  <c r="X15" i="53"/>
  <c r="Y15" i="53"/>
  <c r="V15" i="53"/>
  <c r="W15" i="53"/>
  <c r="S15" i="53"/>
  <c r="P1" i="64"/>
  <c r="L2" i="64"/>
  <c r="I24" i="2"/>
  <c r="F38" i="35"/>
  <c r="G38" i="35"/>
  <c r="H38" i="35"/>
  <c r="J24" i="2" l="1"/>
  <c r="K24" i="2" s="1"/>
  <c r="F71" i="5"/>
  <c r="G71" i="5"/>
  <c r="H71" i="5"/>
  <c r="F21" i="23"/>
  <c r="G21" i="23"/>
  <c r="H21" i="23"/>
  <c r="F46" i="41"/>
  <c r="G46" i="41"/>
  <c r="H46" i="41"/>
  <c r="F31" i="20"/>
  <c r="G31" i="20"/>
  <c r="H31" i="20"/>
  <c r="F29" i="42"/>
  <c r="G29" i="42"/>
  <c r="H29" i="42"/>
  <c r="F30" i="57"/>
  <c r="G30" i="57"/>
  <c r="H30" i="57"/>
  <c r="F20" i="7"/>
  <c r="G20" i="7"/>
  <c r="H20" i="7"/>
  <c r="F45" i="50"/>
  <c r="G45" i="50"/>
  <c r="H45" i="50"/>
  <c r="F29" i="57" l="1"/>
  <c r="G29" i="57"/>
  <c r="H29" i="57"/>
  <c r="F69" i="49" l="1"/>
  <c r="G69" i="49"/>
  <c r="H69" i="49"/>
  <c r="F31" i="16" l="1"/>
  <c r="G31" i="16"/>
  <c r="H31" i="16"/>
  <c r="F28" i="48"/>
  <c r="G28" i="48"/>
  <c r="H28" i="48"/>
  <c r="F116" i="10"/>
  <c r="G116" i="10"/>
  <c r="H116" i="10"/>
  <c r="F115" i="10"/>
  <c r="G115" i="10"/>
  <c r="H115" i="10"/>
  <c r="F13" i="37"/>
  <c r="G13" i="37"/>
  <c r="H13" i="37"/>
  <c r="F38" i="8"/>
  <c r="G38" i="8"/>
  <c r="H38" i="8"/>
  <c r="F35" i="30"/>
  <c r="G35" i="30"/>
  <c r="H35" i="30"/>
  <c r="F35" i="1"/>
  <c r="G35" i="1"/>
  <c r="H35" i="1"/>
  <c r="F22" i="28" l="1"/>
  <c r="G22" i="28"/>
  <c r="H22" i="28"/>
  <c r="F55" i="45"/>
  <c r="G55" i="45"/>
  <c r="H55" i="45"/>
  <c r="J29" i="53" l="1"/>
  <c r="J30" i="53"/>
  <c r="J31" i="53"/>
  <c r="J28" i="53"/>
  <c r="F44" i="50"/>
  <c r="G44" i="50"/>
  <c r="H44" i="50"/>
  <c r="F16" i="56"/>
  <c r="G16" i="56"/>
  <c r="H16" i="56"/>
  <c r="F88" i="3"/>
  <c r="G88" i="3"/>
  <c r="H88" i="3"/>
  <c r="F30" i="16"/>
  <c r="G30" i="16"/>
  <c r="H30" i="16"/>
  <c r="F18" i="52"/>
  <c r="G18" i="52"/>
  <c r="H18" i="52"/>
  <c r="F27" i="60"/>
  <c r="G27" i="60"/>
  <c r="H27" i="60"/>
  <c r="F70" i="5"/>
  <c r="G70" i="5"/>
  <c r="H70" i="5"/>
  <c r="F20" i="23"/>
  <c r="G20" i="23"/>
  <c r="H20" i="23"/>
  <c r="F69" i="5"/>
  <c r="G69" i="5"/>
  <c r="H69" i="5"/>
  <c r="F118" i="11"/>
  <c r="G118" i="11"/>
  <c r="H118" i="11"/>
  <c r="F28" i="60"/>
  <c r="G28" i="60"/>
  <c r="H28" i="60"/>
  <c r="F29" i="16"/>
  <c r="G29" i="16"/>
  <c r="H29" i="16"/>
  <c r="F34" i="1"/>
  <c r="G34" i="1"/>
  <c r="H34" i="1"/>
  <c r="F35" i="50"/>
  <c r="G35" i="50"/>
  <c r="H35" i="50"/>
  <c r="F87" i="3"/>
  <c r="G87" i="3"/>
  <c r="H87" i="3"/>
  <c r="F72" i="3"/>
  <c r="G72" i="3"/>
  <c r="H72" i="3"/>
  <c r="F28" i="57"/>
  <c r="G28" i="57"/>
  <c r="H28" i="57"/>
  <c r="F13" i="57"/>
  <c r="G13" i="57"/>
  <c r="H13" i="57"/>
  <c r="F34" i="8"/>
  <c r="G34" i="8"/>
  <c r="H34" i="8"/>
  <c r="F34" i="50"/>
  <c r="G34" i="50"/>
  <c r="H34" i="50"/>
  <c r="F51" i="49"/>
  <c r="G51" i="49"/>
  <c r="H51" i="49"/>
  <c r="F37" i="8"/>
  <c r="G37" i="8"/>
  <c r="H37" i="8"/>
  <c r="F20" i="27"/>
  <c r="G20" i="27"/>
  <c r="H20" i="27"/>
  <c r="F36" i="8"/>
  <c r="G36" i="8"/>
  <c r="H36" i="8"/>
  <c r="F35" i="8"/>
  <c r="G35" i="8"/>
  <c r="H35" i="8"/>
  <c r="F114" i="10"/>
  <c r="G114" i="10"/>
  <c r="H114" i="10"/>
  <c r="F33" i="60"/>
  <c r="G33" i="60"/>
  <c r="H33" i="60"/>
  <c r="F32" i="60"/>
  <c r="G32" i="60"/>
  <c r="H32" i="60"/>
  <c r="F29" i="60"/>
  <c r="G29" i="60"/>
  <c r="H29" i="60"/>
  <c r="F26" i="60"/>
  <c r="G26" i="60"/>
  <c r="H26" i="60"/>
  <c r="F16" i="57"/>
  <c r="G16" i="57"/>
  <c r="H16" i="57"/>
  <c r="F68" i="5" l="1"/>
  <c r="G68" i="5"/>
  <c r="H68" i="5"/>
  <c r="F21" i="57"/>
  <c r="G21" i="57"/>
  <c r="H21" i="57"/>
  <c r="F54" i="45"/>
  <c r="G54" i="45"/>
  <c r="H54" i="45"/>
  <c r="F31" i="60"/>
  <c r="G31" i="60"/>
  <c r="H31" i="60"/>
  <c r="F53" i="45"/>
  <c r="G53" i="45"/>
  <c r="H53" i="45"/>
  <c r="F113" i="10"/>
  <c r="G113" i="10"/>
  <c r="H113" i="10"/>
  <c r="F30" i="60"/>
  <c r="G30" i="60"/>
  <c r="H30" i="60"/>
  <c r="F25" i="60"/>
  <c r="G25" i="60"/>
  <c r="H25" i="60"/>
  <c r="F24" i="60"/>
  <c r="G24" i="60"/>
  <c r="H24" i="60"/>
  <c r="F67" i="5"/>
  <c r="G67" i="5"/>
  <c r="H67" i="5"/>
  <c r="F37" i="35"/>
  <c r="G37" i="35"/>
  <c r="H37" i="35"/>
  <c r="D1" i="63"/>
  <c r="Q1" i="63" s="1"/>
  <c r="H7" i="63"/>
  <c r="G7" i="63"/>
  <c r="F7" i="63"/>
  <c r="H6" i="63"/>
  <c r="G6" i="63"/>
  <c r="F6" i="63"/>
  <c r="H5" i="63"/>
  <c r="G5" i="63"/>
  <c r="F5" i="63"/>
  <c r="H4" i="63"/>
  <c r="G4" i="63"/>
  <c r="F4" i="63"/>
  <c r="C1" i="63"/>
  <c r="F1" i="63" s="1"/>
  <c r="M1" i="63" s="1"/>
  <c r="L3" i="63" l="1"/>
  <c r="L4" i="63"/>
  <c r="C22" i="2"/>
  <c r="F22" i="2" s="1"/>
  <c r="D22" i="2"/>
  <c r="H22" i="2" s="1"/>
  <c r="M4" i="63"/>
  <c r="P1" i="63"/>
  <c r="R1" i="63"/>
  <c r="N1" i="63"/>
  <c r="M3" i="63"/>
  <c r="E1" i="63"/>
  <c r="K2" i="63" s="1"/>
  <c r="L2" i="63" l="1"/>
  <c r="I22" i="2"/>
  <c r="G1" i="63"/>
  <c r="G22" i="2" s="1"/>
  <c r="N4" i="63"/>
  <c r="N5" i="63" s="1"/>
  <c r="J22" i="2" l="1"/>
  <c r="K22" i="2" s="1"/>
  <c r="F23" i="60"/>
  <c r="G23" i="60"/>
  <c r="H23" i="60"/>
  <c r="F86" i="3"/>
  <c r="G86" i="3"/>
  <c r="H86" i="3"/>
  <c r="F22" i="60" l="1"/>
  <c r="G22" i="60"/>
  <c r="H22" i="60"/>
  <c r="F117" i="11"/>
  <c r="G117" i="11"/>
  <c r="H117" i="11"/>
  <c r="F27" i="57"/>
  <c r="G27" i="57"/>
  <c r="H27" i="57"/>
  <c r="F20" i="36"/>
  <c r="G20" i="36"/>
  <c r="H20" i="36"/>
  <c r="F15" i="32"/>
  <c r="G15" i="32"/>
  <c r="H15" i="32"/>
  <c r="F45" i="41"/>
  <c r="G45" i="41"/>
  <c r="H45" i="41"/>
  <c r="F85" i="3"/>
  <c r="G85" i="3"/>
  <c r="H85" i="3"/>
  <c r="F36" i="51"/>
  <c r="G36" i="51"/>
  <c r="H36" i="51"/>
  <c r="F52" i="45"/>
  <c r="G52" i="45"/>
  <c r="H52" i="45"/>
  <c r="F43" i="50"/>
  <c r="G43" i="50"/>
  <c r="H43" i="50"/>
  <c r="F33" i="8"/>
  <c r="G33" i="8"/>
  <c r="H33" i="8"/>
  <c r="F54" i="14"/>
  <c r="G54" i="14"/>
  <c r="H54" i="14"/>
  <c r="F12" i="4"/>
  <c r="G12" i="4"/>
  <c r="H12" i="4"/>
  <c r="F13" i="12"/>
  <c r="G13" i="12"/>
  <c r="H13" i="12"/>
  <c r="F112" i="10" l="1"/>
  <c r="G112" i="10"/>
  <c r="H112" i="10"/>
  <c r="F66" i="5" l="1"/>
  <c r="G66" i="5"/>
  <c r="H66" i="5"/>
  <c r="F116" i="11"/>
  <c r="G116" i="11"/>
  <c r="H116" i="11"/>
  <c r="F36" i="35"/>
  <c r="G36" i="35"/>
  <c r="H36" i="35"/>
  <c r="F84" i="3"/>
  <c r="G84" i="3"/>
  <c r="H84" i="3"/>
  <c r="F26" i="57"/>
  <c r="G26" i="57"/>
  <c r="H26" i="57"/>
  <c r="F17" i="54"/>
  <c r="G17" i="54"/>
  <c r="H17" i="54"/>
  <c r="F53" i="14"/>
  <c r="G53" i="14"/>
  <c r="H53" i="14"/>
  <c r="F36" i="50"/>
  <c r="G36" i="50"/>
  <c r="H36" i="50"/>
  <c r="F111" i="10"/>
  <c r="G111" i="10"/>
  <c r="H111" i="10"/>
  <c r="F110" i="10"/>
  <c r="G110" i="10"/>
  <c r="H110" i="10"/>
  <c r="F109" i="10"/>
  <c r="G109" i="10"/>
  <c r="H109" i="10"/>
  <c r="F14" i="32"/>
  <c r="G14" i="32"/>
  <c r="H14" i="32"/>
  <c r="F32" i="8"/>
  <c r="G32" i="8"/>
  <c r="H32" i="8"/>
  <c r="F35" i="35"/>
  <c r="G35" i="35"/>
  <c r="H35" i="35"/>
  <c r="F108" i="10"/>
  <c r="G108" i="10"/>
  <c r="H108" i="10"/>
  <c r="F83" i="3"/>
  <c r="G83" i="3"/>
  <c r="H83" i="3"/>
  <c r="F50" i="49"/>
  <c r="G50" i="49"/>
  <c r="H50" i="49"/>
  <c r="F74" i="3"/>
  <c r="G74" i="3"/>
  <c r="H74" i="3"/>
  <c r="F257" i="40"/>
  <c r="G257" i="40"/>
  <c r="H257" i="40"/>
  <c r="F27" i="48"/>
  <c r="G27" i="48"/>
  <c r="H27" i="48"/>
  <c r="F31" i="8"/>
  <c r="G31" i="8"/>
  <c r="H31" i="8"/>
  <c r="F30" i="8"/>
  <c r="G30" i="8"/>
  <c r="H30" i="8"/>
  <c r="F107" i="10"/>
  <c r="G107" i="10"/>
  <c r="H107" i="10"/>
  <c r="F106" i="10"/>
  <c r="G106" i="10"/>
  <c r="H106" i="10"/>
  <c r="F34" i="30" l="1"/>
  <c r="G34" i="30"/>
  <c r="H34" i="30"/>
  <c r="F75" i="3"/>
  <c r="G75" i="3"/>
  <c r="H75" i="3"/>
  <c r="F105" i="10"/>
  <c r="G105" i="10"/>
  <c r="H105" i="10"/>
  <c r="F104" i="10"/>
  <c r="G104" i="10"/>
  <c r="H104" i="10"/>
  <c r="F103" i="10"/>
  <c r="G103" i="10"/>
  <c r="H103" i="10"/>
  <c r="F28" i="42" l="1"/>
  <c r="G28" i="42"/>
  <c r="H28" i="42"/>
  <c r="F28" i="21"/>
  <c r="G28" i="21"/>
  <c r="H28" i="21"/>
  <c r="F27" i="21"/>
  <c r="G27" i="21"/>
  <c r="H27" i="21"/>
  <c r="F102" i="10"/>
  <c r="G102" i="10"/>
  <c r="H102" i="10"/>
  <c r="F95" i="11"/>
  <c r="G95" i="11"/>
  <c r="H95" i="11"/>
  <c r="F65" i="5" l="1"/>
  <c r="G65" i="5"/>
  <c r="H65" i="5"/>
  <c r="F77" i="3"/>
  <c r="G77" i="3"/>
  <c r="H77" i="3"/>
  <c r="F104" i="11"/>
  <c r="G104" i="11"/>
  <c r="H104" i="11"/>
  <c r="F82" i="3"/>
  <c r="G82" i="3"/>
  <c r="H82" i="3"/>
  <c r="F44" i="41"/>
  <c r="G44" i="41"/>
  <c r="H44" i="41"/>
  <c r="F43" i="41" l="1"/>
  <c r="G43" i="41"/>
  <c r="H43" i="41"/>
  <c r="F81" i="3"/>
  <c r="G81" i="3"/>
  <c r="H81" i="3"/>
  <c r="F25" i="57"/>
  <c r="G25" i="57"/>
  <c r="H25" i="57"/>
  <c r="F80" i="3"/>
  <c r="G80" i="3"/>
  <c r="H80" i="3"/>
  <c r="F17" i="52" l="1"/>
  <c r="G17" i="52"/>
  <c r="H17" i="52"/>
  <c r="F27" i="42"/>
  <c r="G27" i="42"/>
  <c r="H27" i="42"/>
  <c r="F23" i="57"/>
  <c r="G23" i="57"/>
  <c r="H23" i="57"/>
  <c r="F79" i="3"/>
  <c r="G79" i="3"/>
  <c r="H79" i="3"/>
  <c r="F22" i="44"/>
  <c r="G22" i="44"/>
  <c r="H22" i="44"/>
  <c r="F34" i="35"/>
  <c r="G34" i="35"/>
  <c r="H34" i="35"/>
  <c r="F101" i="10"/>
  <c r="G101" i="10"/>
  <c r="H101" i="10"/>
  <c r="F100" i="10"/>
  <c r="G100" i="10"/>
  <c r="H100" i="10"/>
  <c r="F99" i="10"/>
  <c r="G99" i="10"/>
  <c r="H99" i="10"/>
  <c r="F98" i="10"/>
  <c r="G98" i="10"/>
  <c r="H98" i="10"/>
  <c r="F97" i="10"/>
  <c r="G97" i="10"/>
  <c r="H97" i="10"/>
  <c r="F19" i="27"/>
  <c r="G19" i="27"/>
  <c r="H19" i="27"/>
  <c r="F96" i="10"/>
  <c r="G96" i="10"/>
  <c r="H96" i="10"/>
  <c r="F59" i="49"/>
  <c r="G59" i="49"/>
  <c r="H59" i="49"/>
  <c r="F95" i="10"/>
  <c r="G95" i="10"/>
  <c r="H95" i="10"/>
  <c r="F94" i="10"/>
  <c r="G94" i="10"/>
  <c r="H94" i="10"/>
  <c r="F93" i="10"/>
  <c r="G93" i="10"/>
  <c r="H93" i="10"/>
  <c r="F64" i="5" l="1"/>
  <c r="G64" i="5"/>
  <c r="H64" i="5"/>
  <c r="F92" i="10"/>
  <c r="G92" i="10"/>
  <c r="H92" i="10"/>
  <c r="F91" i="10"/>
  <c r="G91" i="10"/>
  <c r="H91" i="10"/>
  <c r="F51" i="45"/>
  <c r="G51" i="45"/>
  <c r="H51" i="45"/>
  <c r="F37" i="50"/>
  <c r="G37" i="50"/>
  <c r="H37" i="50"/>
  <c r="F68" i="49" l="1"/>
  <c r="G68" i="49"/>
  <c r="H68" i="49"/>
  <c r="F21" i="44"/>
  <c r="G21" i="44"/>
  <c r="H21" i="44"/>
  <c r="F78" i="3"/>
  <c r="G78" i="3"/>
  <c r="H78" i="3"/>
  <c r="F76" i="3"/>
  <c r="G76" i="3"/>
  <c r="H76" i="3"/>
  <c r="F90" i="10"/>
  <c r="G90" i="10"/>
  <c r="H90" i="10"/>
  <c r="F42" i="41"/>
  <c r="G42" i="41"/>
  <c r="H42" i="41"/>
  <c r="F50" i="45"/>
  <c r="G50" i="45"/>
  <c r="H50" i="45"/>
  <c r="F67" i="49" l="1"/>
  <c r="G67" i="49"/>
  <c r="H67" i="49"/>
  <c r="F29" i="8"/>
  <c r="G29" i="8"/>
  <c r="H29" i="8"/>
  <c r="F52" i="14"/>
  <c r="G52" i="14"/>
  <c r="H52" i="14"/>
  <c r="F51" i="14"/>
  <c r="G51" i="14"/>
  <c r="H51" i="14"/>
  <c r="F33" i="1"/>
  <c r="G33" i="1"/>
  <c r="H33" i="1"/>
  <c r="F66" i="49"/>
  <c r="G66" i="49"/>
  <c r="H66" i="49"/>
  <c r="F65" i="49"/>
  <c r="G65" i="49"/>
  <c r="H65" i="49"/>
  <c r="F48" i="49"/>
  <c r="G48" i="49"/>
  <c r="H48" i="49"/>
  <c r="F47" i="49"/>
  <c r="G47" i="49"/>
  <c r="H47" i="49"/>
  <c r="F89" i="10"/>
  <c r="G89" i="10"/>
  <c r="H89" i="10"/>
  <c r="F35" i="51"/>
  <c r="G35" i="51"/>
  <c r="H35" i="51"/>
  <c r="F25" i="48"/>
  <c r="G25" i="48"/>
  <c r="H25" i="48"/>
  <c r="F64" i="49"/>
  <c r="G64" i="49"/>
  <c r="H64" i="49"/>
  <c r="F63" i="49"/>
  <c r="G63" i="49"/>
  <c r="H63" i="49"/>
  <c r="F62" i="49"/>
  <c r="G62" i="49"/>
  <c r="H62" i="49"/>
  <c r="F46" i="49"/>
  <c r="G46" i="49"/>
  <c r="H46" i="49"/>
  <c r="F41" i="41"/>
  <c r="G41" i="41"/>
  <c r="H41" i="41"/>
  <c r="F28" i="8"/>
  <c r="G28" i="8"/>
  <c r="H28" i="8"/>
  <c r="F33" i="35"/>
  <c r="G33" i="35"/>
  <c r="H33" i="35"/>
  <c r="F27" i="8" l="1"/>
  <c r="G27" i="8"/>
  <c r="H27" i="8"/>
  <c r="F63" i="5"/>
  <c r="G63" i="5"/>
  <c r="H63" i="5"/>
  <c r="D1" i="62"/>
  <c r="Q1" i="62" s="1"/>
  <c r="H24" i="62"/>
  <c r="G24" i="62"/>
  <c r="F24" i="62"/>
  <c r="H23" i="62"/>
  <c r="G23" i="62"/>
  <c r="F23" i="62"/>
  <c r="H22" i="62"/>
  <c r="G22" i="62"/>
  <c r="F22" i="62"/>
  <c r="H21" i="62"/>
  <c r="G21" i="62"/>
  <c r="F21" i="62"/>
  <c r="H20" i="62"/>
  <c r="G20" i="62"/>
  <c r="F20" i="62"/>
  <c r="H19" i="62"/>
  <c r="G19" i="62"/>
  <c r="F19" i="62"/>
  <c r="H18" i="62"/>
  <c r="G18" i="62"/>
  <c r="F18" i="62"/>
  <c r="H17" i="62"/>
  <c r="G17" i="62"/>
  <c r="F17" i="62"/>
  <c r="H16" i="62"/>
  <c r="G16" i="62"/>
  <c r="F16" i="62"/>
  <c r="H15" i="62"/>
  <c r="G15" i="62"/>
  <c r="F15" i="62"/>
  <c r="H14" i="62"/>
  <c r="G14" i="62"/>
  <c r="F14" i="62"/>
  <c r="H13" i="62"/>
  <c r="G13" i="62"/>
  <c r="F13" i="62"/>
  <c r="H12" i="62"/>
  <c r="G12" i="62"/>
  <c r="F12" i="62"/>
  <c r="H9" i="62"/>
  <c r="G9" i="62"/>
  <c r="F9" i="62"/>
  <c r="H8" i="62"/>
  <c r="G8" i="62"/>
  <c r="F8" i="62"/>
  <c r="H7" i="62"/>
  <c r="G7" i="62"/>
  <c r="F7" i="62"/>
  <c r="H6" i="62"/>
  <c r="G6" i="62"/>
  <c r="F6" i="62"/>
  <c r="H5" i="62"/>
  <c r="G5" i="62"/>
  <c r="F5" i="62"/>
  <c r="H4" i="62"/>
  <c r="G4" i="62"/>
  <c r="F4" i="62"/>
  <c r="F115" i="11"/>
  <c r="G115" i="11"/>
  <c r="H115" i="11"/>
  <c r="F19" i="23"/>
  <c r="G19" i="23"/>
  <c r="H19" i="23"/>
  <c r="C1" i="62" l="1"/>
  <c r="M3" i="62" s="1"/>
  <c r="L3" i="62"/>
  <c r="L4" i="62"/>
  <c r="M4" i="62"/>
  <c r="R1" i="62"/>
  <c r="P1" i="62"/>
  <c r="F26" i="8"/>
  <c r="G26" i="8"/>
  <c r="H26" i="8"/>
  <c r="F94" i="11"/>
  <c r="G94" i="11"/>
  <c r="H94" i="11"/>
  <c r="F114" i="11"/>
  <c r="G114" i="11"/>
  <c r="H114" i="11"/>
  <c r="F45" i="49"/>
  <c r="G45" i="49"/>
  <c r="H45" i="49"/>
  <c r="F113" i="11"/>
  <c r="G113" i="11"/>
  <c r="H113" i="11"/>
  <c r="F16" i="9"/>
  <c r="G16" i="9"/>
  <c r="H16" i="9"/>
  <c r="F20" i="44"/>
  <c r="G20" i="44"/>
  <c r="H20" i="44"/>
  <c r="N4" i="62" l="1"/>
  <c r="N5" i="62" s="1"/>
  <c r="F26" i="42"/>
  <c r="G26" i="42"/>
  <c r="H26" i="42"/>
  <c r="F16" i="52"/>
  <c r="G16" i="52"/>
  <c r="H16" i="52"/>
  <c r="F13" i="32" l="1"/>
  <c r="G13" i="32"/>
  <c r="H13" i="32"/>
  <c r="F26" i="21" l="1"/>
  <c r="G26" i="21"/>
  <c r="H26" i="21"/>
  <c r="F62" i="5"/>
  <c r="G62" i="5"/>
  <c r="H62" i="5"/>
  <c r="F22" i="22"/>
  <c r="G22" i="22"/>
  <c r="H22" i="22"/>
  <c r="F28" i="16"/>
  <c r="G28" i="16"/>
  <c r="H28" i="16"/>
  <c r="F19" i="26"/>
  <c r="G19" i="26"/>
  <c r="H19" i="26"/>
  <c r="F12" i="37"/>
  <c r="G12" i="37"/>
  <c r="H12" i="37"/>
  <c r="F19" i="36"/>
  <c r="G19" i="36"/>
  <c r="H19" i="36"/>
  <c r="F112" i="11"/>
  <c r="G112" i="11"/>
  <c r="H112" i="11"/>
  <c r="F25" i="8"/>
  <c r="G25" i="8"/>
  <c r="H25" i="8"/>
  <c r="F88" i="10"/>
  <c r="G88" i="10"/>
  <c r="H88" i="10"/>
  <c r="F25" i="15"/>
  <c r="G25" i="15"/>
  <c r="H25" i="15"/>
  <c r="F73" i="3"/>
  <c r="G73" i="3"/>
  <c r="H73" i="3"/>
  <c r="F20" i="24"/>
  <c r="G20" i="24"/>
  <c r="H20" i="24"/>
  <c r="F15" i="56"/>
  <c r="G15" i="56"/>
  <c r="H15" i="56"/>
  <c r="F11" i="38"/>
  <c r="G11" i="38"/>
  <c r="H11" i="38"/>
  <c r="F258" i="40"/>
  <c r="G258" i="40"/>
  <c r="H258" i="40"/>
  <c r="F32" i="1"/>
  <c r="G32" i="1"/>
  <c r="H32" i="1"/>
  <c r="F16" i="54"/>
  <c r="G16" i="54"/>
  <c r="H16" i="54"/>
  <c r="F33" i="30" l="1"/>
  <c r="G33" i="30"/>
  <c r="H33" i="30"/>
  <c r="F87" i="10"/>
  <c r="G87" i="10"/>
  <c r="H87" i="10"/>
  <c r="F25" i="42" l="1"/>
  <c r="G25" i="42"/>
  <c r="H25" i="42"/>
  <c r="G4" i="53" l="1"/>
  <c r="H4" i="53" s="1"/>
  <c r="I4" i="53" s="1"/>
  <c r="K4" i="53" s="1"/>
  <c r="M4" i="53" s="1"/>
  <c r="N4" i="53" s="1"/>
  <c r="O4" i="53" s="1"/>
  <c r="P4" i="53" s="1"/>
  <c r="R4" i="53" s="1"/>
  <c r="S4" i="53" s="1"/>
  <c r="T4" i="53" s="1"/>
  <c r="U4" i="53" s="1"/>
  <c r="V4" i="53" s="1"/>
  <c r="W4" i="53" s="1"/>
  <c r="X4" i="53" s="1"/>
  <c r="Y4" i="53" s="1"/>
  <c r="F18" i="27"/>
  <c r="G18" i="27"/>
  <c r="H18" i="27"/>
  <c r="F15" i="9"/>
  <c r="G15" i="9"/>
  <c r="H15" i="9"/>
  <c r="F30" i="20"/>
  <c r="G30" i="20"/>
  <c r="H30" i="20"/>
  <c r="F7" i="61"/>
  <c r="G7" i="61"/>
  <c r="H7" i="61"/>
  <c r="F50" i="14"/>
  <c r="G50" i="14"/>
  <c r="H50" i="14"/>
  <c r="F61" i="5"/>
  <c r="G61" i="5"/>
  <c r="H61" i="5"/>
  <c r="F18" i="23"/>
  <c r="G18" i="23"/>
  <c r="H18" i="23"/>
  <c r="F40" i="41"/>
  <c r="G40" i="41"/>
  <c r="H40" i="41"/>
  <c r="F49" i="45"/>
  <c r="G49" i="45"/>
  <c r="H49" i="45"/>
  <c r="F48" i="45"/>
  <c r="G48" i="45"/>
  <c r="H48" i="45"/>
  <c r="F47" i="45"/>
  <c r="G47" i="45"/>
  <c r="H47" i="45"/>
  <c r="F18" i="43"/>
  <c r="G18" i="43"/>
  <c r="H18" i="43"/>
  <c r="F13" i="47"/>
  <c r="G13" i="47"/>
  <c r="H13" i="47"/>
  <c r="F17" i="43"/>
  <c r="G17" i="43"/>
  <c r="H17" i="43"/>
  <c r="E15" i="53"/>
  <c r="F86" i="10"/>
  <c r="G86" i="10"/>
  <c r="H86" i="10"/>
  <c r="F17" i="23"/>
  <c r="G17" i="23"/>
  <c r="H17" i="23"/>
  <c r="F19" i="7"/>
  <c r="G19" i="7"/>
  <c r="H19" i="7"/>
  <c r="F18" i="26"/>
  <c r="G18" i="26"/>
  <c r="H18" i="26"/>
  <c r="F49" i="14"/>
  <c r="G49" i="14"/>
  <c r="H49" i="14"/>
  <c r="F111" i="11"/>
  <c r="G111" i="11"/>
  <c r="H111" i="11"/>
  <c r="F110" i="11"/>
  <c r="G110" i="11"/>
  <c r="H110" i="11"/>
  <c r="F48" i="14" l="1"/>
  <c r="G48" i="14"/>
  <c r="H48" i="14"/>
  <c r="F103" i="11"/>
  <c r="G103" i="11"/>
  <c r="H103" i="11"/>
  <c r="F85" i="10"/>
  <c r="G85" i="10"/>
  <c r="H85" i="10"/>
  <c r="F43" i="49"/>
  <c r="G43" i="49"/>
  <c r="H43" i="49"/>
  <c r="F24" i="57" l="1"/>
  <c r="G24" i="57"/>
  <c r="H24" i="57"/>
  <c r="F84" i="10" l="1"/>
  <c r="G84" i="10"/>
  <c r="H84" i="10"/>
  <c r="F83" i="10"/>
  <c r="G83" i="10"/>
  <c r="H83" i="10"/>
  <c r="F16" i="23"/>
  <c r="G16" i="23"/>
  <c r="H16" i="23"/>
  <c r="F71" i="3" l="1"/>
  <c r="G71" i="3"/>
  <c r="H71" i="3"/>
  <c r="F70" i="3"/>
  <c r="G70" i="3"/>
  <c r="H70" i="3"/>
  <c r="F71" i="10" l="1"/>
  <c r="G71" i="10"/>
  <c r="H71" i="10"/>
  <c r="F19" i="57"/>
  <c r="G19" i="57"/>
  <c r="H19" i="57"/>
  <c r="F18" i="7"/>
  <c r="G18" i="7"/>
  <c r="H18" i="7"/>
  <c r="U15" i="53" l="1"/>
  <c r="F19" i="24"/>
  <c r="G19" i="24"/>
  <c r="H19" i="24"/>
  <c r="F32" i="35"/>
  <c r="G32" i="35"/>
  <c r="H32" i="35"/>
  <c r="F12" i="32"/>
  <c r="G12" i="32"/>
  <c r="H12" i="32"/>
  <c r="F11" i="37"/>
  <c r="G11" i="37"/>
  <c r="H11" i="37"/>
  <c r="F18" i="24"/>
  <c r="G18" i="24"/>
  <c r="H18" i="24"/>
  <c r="F109" i="11"/>
  <c r="G109" i="11"/>
  <c r="H109" i="11"/>
  <c r="F32" i="30"/>
  <c r="G32" i="30"/>
  <c r="H32" i="30"/>
  <c r="F60" i="5"/>
  <c r="G60" i="5"/>
  <c r="H60" i="5"/>
  <c r="F34" i="34"/>
  <c r="G34" i="34"/>
  <c r="H34" i="34"/>
  <c r="F256" i="40"/>
  <c r="G256" i="40"/>
  <c r="H256" i="40"/>
  <c r="L15" i="53"/>
  <c r="F22" i="57"/>
  <c r="G22" i="57"/>
  <c r="H22" i="57"/>
  <c r="F39" i="41"/>
  <c r="G39" i="41"/>
  <c r="H39" i="41"/>
  <c r="F33" i="34"/>
  <c r="G33" i="34"/>
  <c r="H33" i="34"/>
  <c r="F69" i="3"/>
  <c r="G69" i="3"/>
  <c r="H69" i="3"/>
  <c r="F15" i="52"/>
  <c r="G15" i="52"/>
  <c r="H15" i="52"/>
  <c r="F82" i="10"/>
  <c r="G82" i="10"/>
  <c r="H82" i="10"/>
  <c r="F81" i="10"/>
  <c r="G81" i="10"/>
  <c r="H81" i="10"/>
  <c r="F17" i="7"/>
  <c r="G17" i="7"/>
  <c r="H17" i="7"/>
  <c r="F40" i="6"/>
  <c r="G40" i="6"/>
  <c r="H40" i="6"/>
  <c r="F14" i="56" l="1"/>
  <c r="G14" i="56"/>
  <c r="H14" i="56"/>
  <c r="F32" i="34"/>
  <c r="G32" i="34"/>
  <c r="H32" i="34"/>
  <c r="F31" i="1"/>
  <c r="G31" i="1"/>
  <c r="H31" i="1"/>
  <c r="F42" i="49" l="1"/>
  <c r="G42" i="49"/>
  <c r="H42" i="49"/>
  <c r="F22" i="8"/>
  <c r="G22" i="8"/>
  <c r="H22" i="8"/>
  <c r="F16" i="7"/>
  <c r="G16" i="7"/>
  <c r="H16" i="7"/>
  <c r="F59" i="5"/>
  <c r="G59" i="5"/>
  <c r="H59" i="5"/>
  <c r="F58" i="5" l="1"/>
  <c r="G58" i="5"/>
  <c r="H58" i="5"/>
  <c r="F29" i="20" l="1"/>
  <c r="G29" i="20"/>
  <c r="H29" i="20"/>
  <c r="F34" i="51"/>
  <c r="G34" i="51"/>
  <c r="H34" i="51"/>
  <c r="F61" i="49"/>
  <c r="G61" i="49"/>
  <c r="H61" i="49"/>
  <c r="F42" i="50"/>
  <c r="G42" i="50"/>
  <c r="H42" i="50"/>
  <c r="F41" i="50"/>
  <c r="G41" i="50"/>
  <c r="H41" i="50"/>
  <c r="F40" i="50"/>
  <c r="G40" i="50"/>
  <c r="H40" i="50"/>
  <c r="F38" i="41"/>
  <c r="G38" i="41"/>
  <c r="H38" i="41"/>
  <c r="F31" i="30"/>
  <c r="G31" i="30"/>
  <c r="H31" i="30"/>
  <c r="F27" i="16"/>
  <c r="G27" i="16"/>
  <c r="H27" i="16"/>
  <c r="F24" i="8"/>
  <c r="G24" i="8"/>
  <c r="H24" i="8"/>
  <c r="F39" i="6"/>
  <c r="G39" i="6"/>
  <c r="H39" i="6"/>
  <c r="F21" i="28" l="1"/>
  <c r="G21" i="28"/>
  <c r="H21" i="28"/>
  <c r="F20" i="57"/>
  <c r="G20" i="57"/>
  <c r="H20" i="57"/>
  <c r="F18" i="57"/>
  <c r="G18" i="57"/>
  <c r="H18" i="57"/>
  <c r="F46" i="45"/>
  <c r="G46" i="45"/>
  <c r="H46" i="45"/>
  <c r="F68" i="3"/>
  <c r="G68" i="3"/>
  <c r="H68" i="3"/>
  <c r="F57" i="5"/>
  <c r="G57" i="5"/>
  <c r="H57" i="5"/>
  <c r="F33" i="51"/>
  <c r="G33" i="51"/>
  <c r="H33" i="51"/>
  <c r="F11" i="32"/>
  <c r="G11" i="32"/>
  <c r="H11" i="32"/>
  <c r="F24" i="15"/>
  <c r="G24" i="15"/>
  <c r="H24" i="15"/>
  <c r="F29" i="13"/>
  <c r="G29" i="13"/>
  <c r="H29" i="13"/>
  <c r="F25" i="21"/>
  <c r="G25" i="21"/>
  <c r="H25" i="21"/>
  <c r="F23" i="15" l="1"/>
  <c r="G23" i="15"/>
  <c r="H23" i="15"/>
  <c r="F39" i="50"/>
  <c r="G39" i="50"/>
  <c r="H39" i="50"/>
  <c r="F45" i="45"/>
  <c r="G45" i="45"/>
  <c r="H45" i="45"/>
  <c r="F17" i="26"/>
  <c r="G17" i="26"/>
  <c r="H17" i="26"/>
  <c r="F108" i="11"/>
  <c r="G108" i="11"/>
  <c r="H108" i="11"/>
  <c r="F15" i="7" l="1"/>
  <c r="G15" i="7"/>
  <c r="H15" i="7"/>
  <c r="F17" i="27" l="1"/>
  <c r="G17" i="27"/>
  <c r="H17" i="27"/>
  <c r="F16" i="27"/>
  <c r="G16" i="27"/>
  <c r="H16" i="27"/>
  <c r="F14" i="9"/>
  <c r="G14" i="9"/>
  <c r="H14" i="9"/>
  <c r="F252" i="40" l="1"/>
  <c r="G252" i="40"/>
  <c r="H252" i="40"/>
  <c r="F32" i="51"/>
  <c r="G32" i="51"/>
  <c r="H32" i="51"/>
  <c r="F31" i="35"/>
  <c r="G31" i="35"/>
  <c r="H31" i="35"/>
  <c r="F38" i="50"/>
  <c r="G38" i="50"/>
  <c r="H38" i="50"/>
  <c r="F15" i="54"/>
  <c r="G15" i="54"/>
  <c r="H15" i="54"/>
  <c r="F38" i="6"/>
  <c r="G38" i="6"/>
  <c r="H38" i="6"/>
  <c r="F107" i="11"/>
  <c r="G107" i="11"/>
  <c r="H107" i="11"/>
  <c r="F106" i="11"/>
  <c r="G106" i="11"/>
  <c r="H106" i="11"/>
  <c r="F28" i="20"/>
  <c r="G28" i="20"/>
  <c r="H28" i="20"/>
  <c r="F26" i="16"/>
  <c r="G26" i="16"/>
  <c r="H26" i="16"/>
  <c r="F25" i="16"/>
  <c r="G25" i="16"/>
  <c r="H25" i="16"/>
  <c r="F13" i="56"/>
  <c r="G13" i="56"/>
  <c r="H13" i="56"/>
  <c r="F31" i="34"/>
  <c r="G31" i="34"/>
  <c r="H31" i="34"/>
  <c r="F22" i="15"/>
  <c r="G22" i="15"/>
  <c r="H22" i="15"/>
  <c r="F25" i="25"/>
  <c r="G25" i="25"/>
  <c r="H25" i="25"/>
  <c r="F30" i="30"/>
  <c r="G30" i="30"/>
  <c r="H30" i="30"/>
  <c r="F17" i="57"/>
  <c r="G17" i="57"/>
  <c r="H17" i="57"/>
  <c r="F15" i="57"/>
  <c r="G15" i="57"/>
  <c r="H15" i="57"/>
  <c r="F14" i="57"/>
  <c r="G14" i="57"/>
  <c r="H14" i="57"/>
  <c r="F24" i="21"/>
  <c r="G24" i="21"/>
  <c r="H24" i="21"/>
  <c r="F12" i="56"/>
  <c r="G12" i="56"/>
  <c r="H12" i="56"/>
  <c r="F19" i="44"/>
  <c r="G19" i="44"/>
  <c r="H19" i="44"/>
  <c r="F24" i="42"/>
  <c r="G24" i="42"/>
  <c r="H24" i="42"/>
  <c r="F15" i="27"/>
  <c r="G15" i="27"/>
  <c r="H15" i="27"/>
  <c r="F37" i="41" l="1"/>
  <c r="G37" i="41"/>
  <c r="H37" i="41"/>
  <c r="F14" i="54"/>
  <c r="G14" i="54"/>
  <c r="H14" i="54"/>
  <c r="F24" i="25"/>
  <c r="G24" i="25"/>
  <c r="H24" i="25"/>
  <c r="F37" i="6"/>
  <c r="G37" i="6"/>
  <c r="H37" i="6"/>
  <c r="F55" i="5"/>
  <c r="F13" i="9"/>
  <c r="G13" i="9"/>
  <c r="H13" i="9"/>
  <c r="F80" i="10"/>
  <c r="G80" i="10"/>
  <c r="H80" i="10"/>
  <c r="F24" i="16"/>
  <c r="G24" i="16"/>
  <c r="H24" i="16"/>
  <c r="F11" i="56"/>
  <c r="G11" i="56"/>
  <c r="H11" i="56"/>
  <c r="F21" i="15"/>
  <c r="G21" i="15"/>
  <c r="H21" i="15"/>
  <c r="F67" i="3"/>
  <c r="G67" i="3"/>
  <c r="H67" i="3"/>
  <c r="F66" i="3"/>
  <c r="G66" i="3"/>
  <c r="H66" i="3"/>
  <c r="F12" i="57"/>
  <c r="G12" i="57"/>
  <c r="H12" i="57"/>
  <c r="F23" i="8"/>
  <c r="G23" i="8"/>
  <c r="H23" i="8"/>
  <c r="D1" i="61"/>
  <c r="Q1" i="61" s="1"/>
  <c r="H6" i="61"/>
  <c r="G6" i="61"/>
  <c r="F6" i="61"/>
  <c r="H5" i="61"/>
  <c r="G5" i="61"/>
  <c r="F5" i="61"/>
  <c r="H4" i="61"/>
  <c r="G4" i="61"/>
  <c r="F4" i="61"/>
  <c r="F23" i="16"/>
  <c r="G23" i="16"/>
  <c r="H23" i="16"/>
  <c r="F13" i="54"/>
  <c r="G13" i="54"/>
  <c r="H13" i="54"/>
  <c r="F47" i="14"/>
  <c r="G47" i="14"/>
  <c r="H47" i="14"/>
  <c r="F31" i="51"/>
  <c r="G31" i="51"/>
  <c r="H31" i="51"/>
  <c r="F24" i="48"/>
  <c r="G24" i="48"/>
  <c r="H24" i="48"/>
  <c r="F65" i="3"/>
  <c r="G65" i="3"/>
  <c r="H65" i="3"/>
  <c r="F23" i="21"/>
  <c r="G23" i="21"/>
  <c r="H23" i="21"/>
  <c r="F36" i="41"/>
  <c r="G36" i="41"/>
  <c r="H36" i="41"/>
  <c r="F30" i="51"/>
  <c r="G30" i="51"/>
  <c r="H30" i="51"/>
  <c r="F60" i="49"/>
  <c r="G60" i="49"/>
  <c r="H60" i="49"/>
  <c r="M4" i="61" l="1"/>
  <c r="C1" i="61"/>
  <c r="L4" i="61"/>
  <c r="R1" i="61"/>
  <c r="P1" i="61"/>
  <c r="L3" i="61"/>
  <c r="F1" i="61" l="1"/>
  <c r="C25" i="2"/>
  <c r="F25" i="2" s="1"/>
  <c r="N4" i="61"/>
  <c r="N5" i="61" s="1"/>
  <c r="M3" i="61"/>
  <c r="E1" i="61"/>
  <c r="F64" i="3"/>
  <c r="G64" i="3"/>
  <c r="H64" i="3"/>
  <c r="F63" i="3"/>
  <c r="G63" i="3"/>
  <c r="H63" i="3"/>
  <c r="G1" i="61" l="1"/>
  <c r="G25" i="2" s="1"/>
  <c r="M1" i="61"/>
  <c r="D25" i="2"/>
  <c r="F36" i="6"/>
  <c r="G36" i="6"/>
  <c r="H36" i="6"/>
  <c r="F35" i="6"/>
  <c r="G35" i="6"/>
  <c r="H35" i="6"/>
  <c r="F44" i="45"/>
  <c r="G44" i="45"/>
  <c r="H44" i="45"/>
  <c r="H25" i="2" l="1"/>
  <c r="J25" i="2" s="1"/>
  <c r="K25" i="2" s="1"/>
  <c r="L1" i="61"/>
  <c r="N1" i="61"/>
  <c r="F33" i="50"/>
  <c r="G33" i="50"/>
  <c r="H33" i="50"/>
  <c r="F12" i="47"/>
  <c r="G12" i="47"/>
  <c r="H12" i="47"/>
  <c r="F23" i="42"/>
  <c r="G23" i="42"/>
  <c r="H23" i="42"/>
  <c r="F14" i="8"/>
  <c r="G14" i="8"/>
  <c r="H14" i="8"/>
  <c r="F27" i="20"/>
  <c r="G27" i="20"/>
  <c r="H27" i="20"/>
  <c r="F22" i="16" l="1"/>
  <c r="G22" i="16"/>
  <c r="H22" i="16"/>
  <c r="F30" i="1"/>
  <c r="G30" i="1"/>
  <c r="H30" i="1"/>
  <c r="F14" i="52"/>
  <c r="G14" i="52"/>
  <c r="H14" i="52"/>
  <c r="F79" i="10"/>
  <c r="G79" i="10"/>
  <c r="H79" i="10"/>
  <c r="F78" i="10"/>
  <c r="G78" i="10"/>
  <c r="H78" i="10"/>
  <c r="F62" i="3"/>
  <c r="G62" i="3"/>
  <c r="H62" i="3"/>
  <c r="F61" i="3"/>
  <c r="G61" i="3"/>
  <c r="H61" i="3"/>
  <c r="F60" i="3" l="1"/>
  <c r="G60" i="3"/>
  <c r="H60" i="3"/>
  <c r="F59" i="3"/>
  <c r="G59" i="3"/>
  <c r="H59" i="3"/>
  <c r="F58" i="3"/>
  <c r="G58" i="3"/>
  <c r="H58" i="3"/>
  <c r="F57" i="3"/>
  <c r="G57" i="3"/>
  <c r="H57" i="3"/>
  <c r="F46" i="14"/>
  <c r="G46" i="14"/>
  <c r="H46" i="14"/>
  <c r="F11" i="45"/>
  <c r="G11" i="45"/>
  <c r="H11" i="45"/>
  <c r="F16" i="43"/>
  <c r="G16" i="43"/>
  <c r="H16" i="43"/>
  <c r="F255" i="40"/>
  <c r="G255" i="40"/>
  <c r="H255" i="40"/>
  <c r="F34" i="6"/>
  <c r="G34" i="6"/>
  <c r="H34" i="6"/>
  <c r="F12" i="8"/>
  <c r="G12" i="8"/>
  <c r="H12" i="8"/>
  <c r="F56" i="3"/>
  <c r="G56" i="3"/>
  <c r="H56" i="3"/>
  <c r="F55" i="3"/>
  <c r="G55" i="3"/>
  <c r="H55" i="3"/>
  <c r="F45" i="14"/>
  <c r="G45" i="14"/>
  <c r="H45" i="14"/>
  <c r="F75" i="10"/>
  <c r="G75" i="10"/>
  <c r="H75" i="10"/>
  <c r="F77" i="10"/>
  <c r="G77" i="10"/>
  <c r="H77" i="10"/>
  <c r="P13" i="53"/>
  <c r="F22" i="42" l="1"/>
  <c r="G22" i="42"/>
  <c r="H22" i="42"/>
  <c r="F21" i="8"/>
  <c r="G21" i="8"/>
  <c r="H21" i="8"/>
  <c r="F54" i="3"/>
  <c r="G54" i="3"/>
  <c r="H54" i="3"/>
  <c r="F53" i="3"/>
  <c r="G53" i="3"/>
  <c r="H53" i="3"/>
  <c r="F23" i="25" l="1"/>
  <c r="G23" i="25"/>
  <c r="H23" i="25"/>
  <c r="F21" i="42"/>
  <c r="G21" i="42"/>
  <c r="H21" i="42"/>
  <c r="F105" i="11"/>
  <c r="G105" i="11"/>
  <c r="H105" i="11"/>
  <c r="F52" i="3"/>
  <c r="G52" i="3"/>
  <c r="H52" i="3"/>
  <c r="F51" i="3"/>
  <c r="G51" i="3"/>
  <c r="H51" i="3"/>
  <c r="F50" i="3"/>
  <c r="G50" i="3"/>
  <c r="H50" i="3"/>
  <c r="F13" i="59" l="1"/>
  <c r="G13" i="59"/>
  <c r="H13" i="59"/>
  <c r="F33" i="6"/>
  <c r="G33" i="6"/>
  <c r="H33" i="6"/>
  <c r="F32" i="6"/>
  <c r="G32" i="6"/>
  <c r="H32" i="6"/>
  <c r="F31" i="6"/>
  <c r="G31" i="6"/>
  <c r="H31" i="6"/>
  <c r="F56" i="5"/>
  <c r="G56" i="5"/>
  <c r="H56" i="5"/>
  <c r="F24" i="50" l="1"/>
  <c r="G24" i="50"/>
  <c r="H24" i="50"/>
  <c r="F76" i="10"/>
  <c r="G76" i="10"/>
  <c r="H76" i="10"/>
  <c r="F49" i="3"/>
  <c r="G49" i="3"/>
  <c r="H49" i="3"/>
  <c r="F48" i="3"/>
  <c r="G48" i="3"/>
  <c r="H48" i="3"/>
  <c r="F47" i="3"/>
  <c r="G47" i="3"/>
  <c r="H47" i="3"/>
  <c r="F30" i="6" l="1"/>
  <c r="G30" i="6"/>
  <c r="H30" i="6"/>
  <c r="F29" i="6"/>
  <c r="G29" i="6"/>
  <c r="H29" i="6"/>
  <c r="F46" i="3"/>
  <c r="G46" i="3"/>
  <c r="H46" i="3"/>
  <c r="F45" i="3"/>
  <c r="G45" i="3"/>
  <c r="H45" i="3"/>
  <c r="F44" i="3"/>
  <c r="G44" i="3"/>
  <c r="H44" i="3"/>
  <c r="F43" i="3"/>
  <c r="G43" i="3"/>
  <c r="H43" i="3"/>
  <c r="F42" i="3"/>
  <c r="G42" i="3"/>
  <c r="H42" i="3"/>
  <c r="F41" i="3"/>
  <c r="G41" i="3"/>
  <c r="H41" i="3"/>
  <c r="F74" i="10"/>
  <c r="G74" i="10"/>
  <c r="H74" i="10"/>
  <c r="F40" i="3"/>
  <c r="G40" i="3"/>
  <c r="H40" i="3"/>
  <c r="F39" i="3"/>
  <c r="G39" i="3"/>
  <c r="H39" i="3"/>
  <c r="F38" i="3"/>
  <c r="G38" i="3"/>
  <c r="H38" i="3"/>
  <c r="F37" i="3"/>
  <c r="G37" i="3"/>
  <c r="H37" i="3"/>
  <c r="F28" i="13"/>
  <c r="G28" i="13"/>
  <c r="H28" i="13"/>
  <c r="F44" i="14"/>
  <c r="G44" i="14"/>
  <c r="H44" i="14"/>
  <c r="F43" i="14"/>
  <c r="G43" i="14"/>
  <c r="H43" i="14"/>
  <c r="F28" i="6"/>
  <c r="G28" i="6"/>
  <c r="H28" i="6"/>
  <c r="F29" i="51" l="1"/>
  <c r="G29" i="51"/>
  <c r="H29" i="51"/>
  <c r="F32" i="50"/>
  <c r="G32" i="50"/>
  <c r="H32" i="50"/>
  <c r="F42" i="14"/>
  <c r="G42" i="14"/>
  <c r="H42" i="14"/>
  <c r="F20" i="15"/>
  <c r="G20" i="15"/>
  <c r="H20" i="15"/>
  <c r="F19" i="15"/>
  <c r="G19" i="15"/>
  <c r="H19" i="15"/>
  <c r="F102" i="11"/>
  <c r="G102" i="11"/>
  <c r="H102" i="11"/>
  <c r="F25" i="50"/>
  <c r="G25" i="50"/>
  <c r="H25" i="50"/>
  <c r="F15" i="43"/>
  <c r="G15" i="43"/>
  <c r="H15" i="43"/>
  <c r="F30" i="35"/>
  <c r="G30" i="35"/>
  <c r="H30" i="35"/>
  <c r="F101" i="11"/>
  <c r="G101" i="11"/>
  <c r="H101" i="11"/>
  <c r="F18" i="15"/>
  <c r="G18" i="15"/>
  <c r="H18" i="15"/>
  <c r="F36" i="3"/>
  <c r="G36" i="3"/>
  <c r="H36" i="3"/>
  <c r="F35" i="3"/>
  <c r="G35" i="3"/>
  <c r="H35" i="3"/>
  <c r="F34" i="3"/>
  <c r="G34" i="3"/>
  <c r="H34" i="3"/>
  <c r="F26" i="50"/>
  <c r="G26" i="50"/>
  <c r="H26" i="50"/>
  <c r="F14" i="43"/>
  <c r="G14" i="43"/>
  <c r="H14" i="43"/>
  <c r="F30" i="34"/>
  <c r="G30" i="34"/>
  <c r="H30" i="34"/>
  <c r="F12" i="9"/>
  <c r="G12" i="9"/>
  <c r="H12" i="9"/>
  <c r="F29" i="1"/>
  <c r="G29" i="1"/>
  <c r="H29" i="1"/>
  <c r="F73" i="10"/>
  <c r="G73" i="10"/>
  <c r="H73" i="10"/>
  <c r="F10" i="18" l="1"/>
  <c r="G10" i="18"/>
  <c r="H10" i="18"/>
  <c r="F28" i="51" l="1"/>
  <c r="G28" i="51"/>
  <c r="H28" i="51"/>
  <c r="F13" i="43" l="1"/>
  <c r="G13" i="43"/>
  <c r="H13" i="43"/>
  <c r="G55" i="5"/>
  <c r="H55" i="5"/>
  <c r="F23" i="50"/>
  <c r="G23" i="50"/>
  <c r="H23" i="50"/>
  <c r="F254" i="40"/>
  <c r="G254" i="40"/>
  <c r="H254" i="40"/>
  <c r="F27" i="6"/>
  <c r="G27" i="6"/>
  <c r="H27" i="6"/>
  <c r="F253" i="40"/>
  <c r="G253" i="40"/>
  <c r="H253" i="40"/>
  <c r="F26" i="20" l="1"/>
  <c r="G26" i="20"/>
  <c r="H26" i="20"/>
  <c r="D1" i="60"/>
  <c r="Q1" i="60" s="1"/>
  <c r="H21" i="60"/>
  <c r="G21" i="60"/>
  <c r="F21" i="60"/>
  <c r="H20" i="60"/>
  <c r="G20" i="60"/>
  <c r="F20" i="60"/>
  <c r="H19" i="60"/>
  <c r="G19" i="60"/>
  <c r="F19" i="60"/>
  <c r="H18" i="60"/>
  <c r="G18" i="60"/>
  <c r="F18" i="60"/>
  <c r="H17" i="60"/>
  <c r="G17" i="60"/>
  <c r="F17" i="60"/>
  <c r="H16" i="60"/>
  <c r="G16" i="60"/>
  <c r="F16" i="60"/>
  <c r="H15" i="60"/>
  <c r="G15" i="60"/>
  <c r="F15" i="60"/>
  <c r="H14" i="60"/>
  <c r="G14" i="60"/>
  <c r="F14" i="60"/>
  <c r="H13" i="60"/>
  <c r="G13" i="60"/>
  <c r="F13" i="60"/>
  <c r="H12" i="60"/>
  <c r="G12" i="60"/>
  <c r="F12" i="60"/>
  <c r="H11" i="60"/>
  <c r="G11" i="60"/>
  <c r="F11" i="60"/>
  <c r="H10" i="60"/>
  <c r="G10" i="60"/>
  <c r="F10" i="60"/>
  <c r="H9" i="60"/>
  <c r="G9" i="60"/>
  <c r="F9" i="60"/>
  <c r="H8" i="60"/>
  <c r="G8" i="60"/>
  <c r="F8" i="60"/>
  <c r="H7" i="60"/>
  <c r="G7" i="60"/>
  <c r="F7" i="60"/>
  <c r="H6" i="60"/>
  <c r="G6" i="60"/>
  <c r="F6" i="60"/>
  <c r="H5" i="60"/>
  <c r="G5" i="60"/>
  <c r="F5" i="60"/>
  <c r="H4" i="60"/>
  <c r="G4" i="60"/>
  <c r="F4" i="60"/>
  <c r="F58" i="49"/>
  <c r="G58" i="49"/>
  <c r="H58" i="49"/>
  <c r="F31" i="50"/>
  <c r="G31" i="50"/>
  <c r="H31" i="50"/>
  <c r="C1" i="60" l="1"/>
  <c r="M4" i="60"/>
  <c r="L3" i="60"/>
  <c r="L4" i="60"/>
  <c r="R1" i="60"/>
  <c r="P1" i="60"/>
  <c r="F54" i="5"/>
  <c r="G54" i="5"/>
  <c r="H54" i="5"/>
  <c r="F53" i="5"/>
  <c r="G53" i="5"/>
  <c r="H53" i="5"/>
  <c r="F22" i="50"/>
  <c r="G22" i="50"/>
  <c r="H22" i="50"/>
  <c r="F21" i="50"/>
  <c r="G21" i="50"/>
  <c r="H21" i="50"/>
  <c r="F27" i="50"/>
  <c r="G27" i="50"/>
  <c r="H27" i="50"/>
  <c r="F28" i="50"/>
  <c r="G28" i="50"/>
  <c r="H28" i="50"/>
  <c r="F29" i="50"/>
  <c r="G29" i="50"/>
  <c r="H29" i="50"/>
  <c r="F35" i="41"/>
  <c r="G35" i="41"/>
  <c r="H35" i="41"/>
  <c r="F43" i="45"/>
  <c r="G43" i="45"/>
  <c r="H43" i="45"/>
  <c r="F20" i="42"/>
  <c r="G20" i="42"/>
  <c r="H20" i="42"/>
  <c r="F30" i="50"/>
  <c r="G30" i="50"/>
  <c r="H30" i="50"/>
  <c r="F27" i="51"/>
  <c r="G27" i="51"/>
  <c r="H27" i="51"/>
  <c r="F14" i="27"/>
  <c r="G14" i="27"/>
  <c r="H14" i="27"/>
  <c r="F27" i="13"/>
  <c r="G27" i="13"/>
  <c r="H27" i="13"/>
  <c r="F22" i="21"/>
  <c r="G22" i="21"/>
  <c r="H22" i="21"/>
  <c r="F52" i="5"/>
  <c r="G52" i="5"/>
  <c r="H52" i="5"/>
  <c r="F28" i="1"/>
  <c r="G28" i="1"/>
  <c r="H28" i="1"/>
  <c r="G20" i="50"/>
  <c r="F20" i="50"/>
  <c r="E1" i="60" l="1"/>
  <c r="K2" i="60" s="1"/>
  <c r="C67" i="2"/>
  <c r="M3" i="60"/>
  <c r="F1" i="60"/>
  <c r="N4" i="60"/>
  <c r="N5" i="60" s="1"/>
  <c r="H20" i="50"/>
  <c r="F51" i="5"/>
  <c r="G51" i="5"/>
  <c r="H51" i="5"/>
  <c r="L2" i="60" l="1"/>
  <c r="I67" i="2"/>
  <c r="M1" i="60"/>
  <c r="D67" i="2"/>
  <c r="H67" i="2" s="1"/>
  <c r="G1" i="60"/>
  <c r="G67" i="2" s="1"/>
  <c r="F76" i="11"/>
  <c r="G76" i="11"/>
  <c r="H76" i="11"/>
  <c r="K67" i="2" l="1"/>
  <c r="J67" i="2"/>
  <c r="N1" i="60"/>
  <c r="G19" i="50"/>
  <c r="F19" i="50"/>
  <c r="F72" i="10"/>
  <c r="G72" i="10"/>
  <c r="H72" i="10"/>
  <c r="F77" i="11"/>
  <c r="G77" i="11"/>
  <c r="H77" i="11"/>
  <c r="F18" i="44"/>
  <c r="G18" i="44"/>
  <c r="H18" i="44"/>
  <c r="F19" i="42"/>
  <c r="G19" i="42"/>
  <c r="H19" i="42"/>
  <c r="F17" i="24"/>
  <c r="G17" i="24"/>
  <c r="H17" i="24"/>
  <c r="F18" i="50"/>
  <c r="G18" i="50"/>
  <c r="H18" i="50"/>
  <c r="F251" i="40"/>
  <c r="G251" i="40"/>
  <c r="H251" i="40"/>
  <c r="H19" i="50" l="1"/>
  <c r="F15" i="42"/>
  <c r="G15" i="42"/>
  <c r="H15" i="42"/>
  <c r="F24" i="30"/>
  <c r="G24" i="30"/>
  <c r="H24" i="30"/>
  <c r="F57" i="49"/>
  <c r="G57" i="49"/>
  <c r="H57" i="49"/>
  <c r="F29" i="35"/>
  <c r="G29" i="35"/>
  <c r="H29" i="35"/>
  <c r="F17" i="50"/>
  <c r="G17" i="50"/>
  <c r="H17" i="50"/>
  <c r="F56" i="49"/>
  <c r="G56" i="49"/>
  <c r="H56" i="49"/>
  <c r="F55" i="49"/>
  <c r="G55" i="49"/>
  <c r="H55" i="49"/>
  <c r="F54" i="49"/>
  <c r="G54" i="49"/>
  <c r="H54" i="49"/>
  <c r="F23" i="48"/>
  <c r="G23" i="48"/>
  <c r="H23" i="48"/>
  <c r="F243" i="40"/>
  <c r="G243" i="40"/>
  <c r="H243" i="40"/>
  <c r="F244" i="40"/>
  <c r="G244" i="40"/>
  <c r="H244" i="40"/>
  <c r="F20" i="22"/>
  <c r="G20" i="22"/>
  <c r="H20" i="22"/>
  <c r="F100" i="11"/>
  <c r="G100" i="11"/>
  <c r="H100" i="11"/>
  <c r="F31" i="3"/>
  <c r="G31" i="3"/>
  <c r="H31" i="3"/>
  <c r="F245" i="40" l="1"/>
  <c r="G245" i="40"/>
  <c r="H245" i="40"/>
  <c r="F29" i="34"/>
  <c r="G29" i="34"/>
  <c r="H29" i="34"/>
  <c r="F70" i="10"/>
  <c r="G70" i="10"/>
  <c r="H70" i="10"/>
  <c r="F69" i="10"/>
  <c r="G69" i="10"/>
  <c r="H69" i="10"/>
  <c r="F68" i="10"/>
  <c r="G68" i="10"/>
  <c r="H68" i="10"/>
  <c r="F26" i="13"/>
  <c r="G26" i="13"/>
  <c r="H26" i="13"/>
  <c r="F12" i="43"/>
  <c r="G12" i="43"/>
  <c r="H12" i="43"/>
  <c r="F99" i="11"/>
  <c r="G99" i="11"/>
  <c r="H99" i="11"/>
  <c r="F250" i="40"/>
  <c r="G250" i="40"/>
  <c r="H250" i="40"/>
  <c r="F249" i="40"/>
  <c r="G249" i="40"/>
  <c r="H249" i="40"/>
  <c r="F248" i="40"/>
  <c r="G248" i="40"/>
  <c r="H248" i="40"/>
  <c r="F247" i="40"/>
  <c r="G247" i="40"/>
  <c r="H247" i="40"/>
  <c r="F246" i="40"/>
  <c r="G246" i="40"/>
  <c r="H246" i="40"/>
  <c r="F53" i="49"/>
  <c r="G53" i="49"/>
  <c r="H53" i="49"/>
  <c r="F28" i="35"/>
  <c r="G28" i="35"/>
  <c r="H28" i="35"/>
  <c r="F25" i="13"/>
  <c r="G25" i="13"/>
  <c r="H25" i="13"/>
  <c r="F27" i="1"/>
  <c r="G27" i="1"/>
  <c r="H27" i="1"/>
  <c r="F25" i="1"/>
  <c r="G25" i="1"/>
  <c r="H25" i="1"/>
  <c r="F98" i="11"/>
  <c r="G98" i="11"/>
  <c r="H98" i="11"/>
  <c r="F12" i="33"/>
  <c r="G12" i="33"/>
  <c r="H12" i="33"/>
  <c r="F26" i="6"/>
  <c r="G26" i="6"/>
  <c r="H26" i="6"/>
  <c r="F27" i="35"/>
  <c r="G27" i="35"/>
  <c r="H27" i="35"/>
  <c r="F242" i="40"/>
  <c r="G242" i="40"/>
  <c r="H242" i="40"/>
  <c r="F241" i="40"/>
  <c r="G241" i="40"/>
  <c r="H241" i="40"/>
  <c r="F22" i="25"/>
  <c r="G22" i="25"/>
  <c r="H22" i="25"/>
  <c r="F26" i="1"/>
  <c r="G26" i="1"/>
  <c r="H26" i="1"/>
  <c r="F13" i="27"/>
  <c r="G13" i="27"/>
  <c r="H13" i="27"/>
  <c r="F21" i="22" l="1"/>
  <c r="G21" i="22"/>
  <c r="H21" i="22"/>
  <c r="F21" i="16"/>
  <c r="G21" i="16"/>
  <c r="H21" i="16"/>
  <c r="F12" i="54"/>
  <c r="G12" i="54"/>
  <c r="H12" i="54"/>
  <c r="F24" i="13"/>
  <c r="G24" i="13"/>
  <c r="H24" i="13"/>
  <c r="F97" i="11"/>
  <c r="G97" i="11"/>
  <c r="H97" i="11"/>
  <c r="F96" i="11"/>
  <c r="G96" i="11"/>
  <c r="H96" i="11"/>
  <c r="F93" i="11"/>
  <c r="G93" i="11"/>
  <c r="H93" i="11"/>
  <c r="F20" i="8"/>
  <c r="G20" i="8"/>
  <c r="H20" i="8"/>
  <c r="F16" i="50"/>
  <c r="G16" i="50"/>
  <c r="H16" i="50"/>
  <c r="F34" i="41"/>
  <c r="G34" i="41"/>
  <c r="H34" i="41"/>
  <c r="F22" i="48"/>
  <c r="G22" i="48"/>
  <c r="H22" i="48"/>
  <c r="F42" i="45"/>
  <c r="G42" i="45"/>
  <c r="H42" i="45"/>
  <c r="F26" i="51"/>
  <c r="G26" i="51"/>
  <c r="H26" i="51"/>
  <c r="F10" i="37"/>
  <c r="G10" i="37"/>
  <c r="H10" i="37"/>
  <c r="F52" i="49"/>
  <c r="G52" i="49"/>
  <c r="H52" i="49"/>
  <c r="F41" i="45"/>
  <c r="G41" i="45"/>
  <c r="H41" i="45"/>
  <c r="F40" i="45"/>
  <c r="G40" i="45"/>
  <c r="H40" i="45"/>
  <c r="F39" i="45"/>
  <c r="G39" i="45"/>
  <c r="H39" i="45"/>
  <c r="F17" i="44"/>
  <c r="G17" i="44"/>
  <c r="H17" i="44"/>
  <c r="F33" i="3"/>
  <c r="G33" i="3"/>
  <c r="H33" i="3"/>
  <c r="F24" i="1"/>
  <c r="G24" i="1"/>
  <c r="H24" i="1"/>
  <c r="F67" i="10"/>
  <c r="G67" i="10"/>
  <c r="H67" i="10"/>
  <c r="F38" i="45"/>
  <c r="G38" i="45"/>
  <c r="H38" i="45"/>
  <c r="F37" i="45"/>
  <c r="G37" i="45"/>
  <c r="H37" i="45"/>
  <c r="F240" i="40"/>
  <c r="G240" i="40"/>
  <c r="H240" i="40"/>
  <c r="F239" i="40"/>
  <c r="G239" i="40"/>
  <c r="H239" i="40"/>
  <c r="F21" i="21"/>
  <c r="G21" i="21"/>
  <c r="H21" i="21"/>
  <c r="F238" i="40"/>
  <c r="G238" i="40"/>
  <c r="H238" i="40"/>
  <c r="F237" i="40"/>
  <c r="G237" i="40"/>
  <c r="H237" i="40"/>
  <c r="F236" i="40"/>
  <c r="G236" i="40"/>
  <c r="H236" i="40"/>
  <c r="F66" i="10"/>
  <c r="G66" i="10"/>
  <c r="H66" i="10"/>
  <c r="F65" i="10"/>
  <c r="G65" i="10"/>
  <c r="H65" i="10"/>
  <c r="F214" i="40"/>
  <c r="G214" i="40"/>
  <c r="H214" i="40"/>
  <c r="F25" i="20"/>
  <c r="G25" i="20"/>
  <c r="H25" i="20"/>
  <c r="F64" i="10"/>
  <c r="G64" i="10"/>
  <c r="H64" i="10"/>
  <c r="F63" i="10"/>
  <c r="G63" i="10"/>
  <c r="H63" i="10"/>
  <c r="F23" i="1"/>
  <c r="G23" i="1"/>
  <c r="H23" i="1"/>
  <c r="F62" i="10"/>
  <c r="G62" i="10"/>
  <c r="H62" i="10"/>
  <c r="F61" i="10"/>
  <c r="G61" i="10"/>
  <c r="H61" i="10"/>
  <c r="F60" i="10"/>
  <c r="G60" i="10"/>
  <c r="H60" i="10"/>
  <c r="F59" i="10"/>
  <c r="G59" i="10"/>
  <c r="H59" i="10"/>
  <c r="F58" i="10"/>
  <c r="G58" i="10"/>
  <c r="H58" i="10"/>
  <c r="F57" i="10"/>
  <c r="G57" i="10"/>
  <c r="H57" i="10"/>
  <c r="F56" i="10"/>
  <c r="G56" i="10"/>
  <c r="H56" i="10"/>
  <c r="F55" i="10"/>
  <c r="G55" i="10"/>
  <c r="H55" i="10"/>
  <c r="F54" i="10"/>
  <c r="G54" i="10"/>
  <c r="H54" i="10"/>
  <c r="D1" i="59"/>
  <c r="Q1" i="59" s="1"/>
  <c r="R1" i="59" s="1"/>
  <c r="H23" i="59"/>
  <c r="G23" i="59"/>
  <c r="F23" i="59"/>
  <c r="H22" i="59"/>
  <c r="G22" i="59"/>
  <c r="F22" i="59"/>
  <c r="H21" i="59"/>
  <c r="G21" i="59"/>
  <c r="F21" i="59"/>
  <c r="H20" i="59"/>
  <c r="G20" i="59"/>
  <c r="F20" i="59"/>
  <c r="H19" i="59"/>
  <c r="G19" i="59"/>
  <c r="F19" i="59"/>
  <c r="H18" i="59"/>
  <c r="G18" i="59"/>
  <c r="F18" i="59"/>
  <c r="H17" i="59"/>
  <c r="G17" i="59"/>
  <c r="F17" i="59"/>
  <c r="H16" i="59"/>
  <c r="G16" i="59"/>
  <c r="F16" i="59"/>
  <c r="H15" i="59"/>
  <c r="G15" i="59"/>
  <c r="F15" i="59"/>
  <c r="H14" i="59"/>
  <c r="G14" i="59"/>
  <c r="F14" i="59"/>
  <c r="H12" i="59"/>
  <c r="G12" i="59"/>
  <c r="F12" i="59"/>
  <c r="H11" i="59"/>
  <c r="G11" i="59"/>
  <c r="F11" i="59"/>
  <c r="H10" i="59"/>
  <c r="G10" i="59"/>
  <c r="F10" i="59"/>
  <c r="H9" i="59"/>
  <c r="G9" i="59"/>
  <c r="F9" i="59"/>
  <c r="H8" i="59"/>
  <c r="G8" i="59"/>
  <c r="F8" i="59"/>
  <c r="H7" i="59"/>
  <c r="G7" i="59"/>
  <c r="F7" i="59"/>
  <c r="H6" i="59"/>
  <c r="G6" i="59"/>
  <c r="F6" i="59"/>
  <c r="H5" i="59"/>
  <c r="G5" i="59"/>
  <c r="F5" i="59"/>
  <c r="H4" i="59"/>
  <c r="G4" i="59"/>
  <c r="F4" i="59"/>
  <c r="D1" i="58"/>
  <c r="Q1" i="58" s="1"/>
  <c r="H22" i="58"/>
  <c r="G22" i="58"/>
  <c r="F22" i="58"/>
  <c r="H21" i="58"/>
  <c r="G21" i="58"/>
  <c r="F21" i="58"/>
  <c r="H20" i="58"/>
  <c r="G20" i="58"/>
  <c r="F20" i="58"/>
  <c r="H19" i="58"/>
  <c r="G19" i="58"/>
  <c r="F19" i="58"/>
  <c r="H18" i="58"/>
  <c r="G18" i="58"/>
  <c r="F18" i="58"/>
  <c r="H17" i="58"/>
  <c r="G17" i="58"/>
  <c r="F17" i="58"/>
  <c r="H16" i="58"/>
  <c r="G16" i="58"/>
  <c r="F16" i="58"/>
  <c r="H15" i="58"/>
  <c r="G15" i="58"/>
  <c r="F15" i="58"/>
  <c r="H14" i="58"/>
  <c r="G14" i="58"/>
  <c r="F14" i="58"/>
  <c r="H13" i="58"/>
  <c r="G13" i="58"/>
  <c r="F13" i="58"/>
  <c r="H12" i="58"/>
  <c r="G12" i="58"/>
  <c r="F12" i="58"/>
  <c r="J11" i="58"/>
  <c r="H11" i="58"/>
  <c r="G11" i="58"/>
  <c r="F11" i="58"/>
  <c r="H10" i="58"/>
  <c r="G10" i="58"/>
  <c r="F10" i="58"/>
  <c r="H9" i="58"/>
  <c r="G9" i="58"/>
  <c r="F9" i="58"/>
  <c r="H8" i="58"/>
  <c r="G8" i="58"/>
  <c r="F8" i="58"/>
  <c r="H7" i="58"/>
  <c r="G7" i="58"/>
  <c r="F7" i="58"/>
  <c r="H6" i="58"/>
  <c r="G6" i="58"/>
  <c r="F6" i="58"/>
  <c r="H5" i="58"/>
  <c r="G5" i="58"/>
  <c r="F5" i="58"/>
  <c r="H4" i="58"/>
  <c r="G4" i="58"/>
  <c r="F4" i="58"/>
  <c r="Q1" i="57"/>
  <c r="R1" i="57" s="1"/>
  <c r="H11" i="57"/>
  <c r="G11" i="57"/>
  <c r="F11" i="57"/>
  <c r="H10" i="57"/>
  <c r="G10" i="57"/>
  <c r="F10" i="57"/>
  <c r="H9" i="57"/>
  <c r="G9" i="57"/>
  <c r="F9" i="57"/>
  <c r="H8" i="57"/>
  <c r="G8" i="57"/>
  <c r="F8" i="57"/>
  <c r="H7" i="57"/>
  <c r="G7" i="57"/>
  <c r="F7" i="57"/>
  <c r="H6" i="57"/>
  <c r="G6" i="57"/>
  <c r="F6" i="57"/>
  <c r="H5" i="57"/>
  <c r="G5" i="57"/>
  <c r="F5" i="57"/>
  <c r="H4" i="57"/>
  <c r="G4" i="57"/>
  <c r="F4" i="57"/>
  <c r="F47" i="10"/>
  <c r="G47" i="10"/>
  <c r="H47" i="10"/>
  <c r="F51" i="10"/>
  <c r="G51" i="10"/>
  <c r="H51" i="10"/>
  <c r="F49" i="10"/>
  <c r="G49" i="10"/>
  <c r="H49" i="10"/>
  <c r="F92" i="11"/>
  <c r="G92" i="11"/>
  <c r="H92" i="11"/>
  <c r="C1" i="57" l="1"/>
  <c r="C17" i="2" s="1"/>
  <c r="F17" i="2" s="1"/>
  <c r="C1" i="59"/>
  <c r="E1" i="59" s="1"/>
  <c r="M4" i="57"/>
  <c r="L3" i="59"/>
  <c r="P1" i="59"/>
  <c r="L3" i="58"/>
  <c r="C1" i="58"/>
  <c r="F1" i="58" s="1"/>
  <c r="R1" i="58"/>
  <c r="P1" i="58"/>
  <c r="L4" i="57"/>
  <c r="P1" i="57"/>
  <c r="F32" i="3"/>
  <c r="G32" i="3"/>
  <c r="H32" i="3"/>
  <c r="F30" i="3"/>
  <c r="G30" i="3"/>
  <c r="H30" i="3"/>
  <c r="F91" i="11"/>
  <c r="G91" i="11"/>
  <c r="H91" i="11"/>
  <c r="F50" i="5"/>
  <c r="G50" i="5"/>
  <c r="H50" i="5"/>
  <c r="F81" i="11"/>
  <c r="G81" i="11"/>
  <c r="H81" i="11"/>
  <c r="F87" i="11"/>
  <c r="G87" i="11"/>
  <c r="H87" i="11"/>
  <c r="N4" i="57" l="1"/>
  <c r="N5" i="57" s="1"/>
  <c r="F1" i="59"/>
  <c r="M1" i="59" s="1"/>
  <c r="N1" i="59" s="1"/>
  <c r="M3" i="59"/>
  <c r="C51" i="2"/>
  <c r="F51" i="2" s="1"/>
  <c r="F1" i="57"/>
  <c r="M1" i="57" s="1"/>
  <c r="E1" i="57"/>
  <c r="K2" i="57" s="1"/>
  <c r="C37" i="2"/>
  <c r="F37" i="2" s="1"/>
  <c r="E1" i="58"/>
  <c r="M3" i="58"/>
  <c r="G1" i="58" s="1"/>
  <c r="G37" i="2" s="1"/>
  <c r="M1" i="58"/>
  <c r="L1" i="58" s="1"/>
  <c r="D37" i="2"/>
  <c r="H37" i="2" l="1"/>
  <c r="J37" i="2" s="1"/>
  <c r="K37" i="2" s="1"/>
  <c r="L2" i="57"/>
  <c r="I17" i="2"/>
  <c r="D51" i="2"/>
  <c r="G1" i="59"/>
  <c r="G51" i="2" s="1"/>
  <c r="G1" i="57"/>
  <c r="G17" i="2" s="1"/>
  <c r="D17" i="2"/>
  <c r="H17" i="2" s="1"/>
  <c r="N1" i="57"/>
  <c r="L1" i="59"/>
  <c r="N1" i="58"/>
  <c r="J17" i="2" l="1"/>
  <c r="K17" i="2" s="1"/>
  <c r="H51" i="2"/>
  <c r="J51" i="2" s="1"/>
  <c r="K51" i="2" s="1"/>
  <c r="F7" i="48"/>
  <c r="G7" i="48"/>
  <c r="H7" i="48"/>
  <c r="F29" i="3"/>
  <c r="G29" i="3"/>
  <c r="H29" i="3"/>
  <c r="F34" i="45"/>
  <c r="G34" i="45"/>
  <c r="H34" i="45"/>
  <c r="F15" i="50"/>
  <c r="G15" i="50"/>
  <c r="H15" i="50"/>
  <c r="F90" i="11"/>
  <c r="G90" i="11"/>
  <c r="H90" i="11"/>
  <c r="F89" i="11"/>
  <c r="G89" i="11"/>
  <c r="H89" i="11"/>
  <c r="F88" i="11"/>
  <c r="G88" i="11"/>
  <c r="H88" i="11"/>
  <c r="F36" i="45"/>
  <c r="G36" i="45"/>
  <c r="H36" i="45"/>
  <c r="F29" i="49" l="1"/>
  <c r="G29" i="49"/>
  <c r="H29" i="49"/>
  <c r="F17" i="15"/>
  <c r="G17" i="15"/>
  <c r="H17" i="15"/>
  <c r="F41" i="14"/>
  <c r="G41" i="14"/>
  <c r="H41" i="14"/>
  <c r="F21" i="25"/>
  <c r="G21" i="25"/>
  <c r="H21" i="25"/>
  <c r="F40" i="14"/>
  <c r="G40" i="14"/>
  <c r="H40" i="14"/>
  <c r="F53" i="10"/>
  <c r="G53" i="10"/>
  <c r="H53" i="10"/>
  <c r="F39" i="14"/>
  <c r="G39" i="14"/>
  <c r="H39" i="14"/>
  <c r="D1" i="56"/>
  <c r="L28" i="53"/>
  <c r="K28" i="53"/>
  <c r="M28" i="53" s="1"/>
  <c r="O28" i="53" s="1"/>
  <c r="I28" i="53"/>
  <c r="E28" i="53"/>
  <c r="E13" i="53"/>
  <c r="F13" i="53"/>
  <c r="G13" i="53"/>
  <c r="H13" i="53"/>
  <c r="I13" i="53"/>
  <c r="J13" i="53"/>
  <c r="K13" i="53"/>
  <c r="L13" i="53"/>
  <c r="M13" i="53"/>
  <c r="N13" i="53"/>
  <c r="O13" i="53"/>
  <c r="Q13" i="53"/>
  <c r="R13" i="53"/>
  <c r="S13" i="53"/>
  <c r="T13" i="53"/>
  <c r="U13" i="53"/>
  <c r="D13" i="53"/>
  <c r="F11" i="9"/>
  <c r="G11" i="9"/>
  <c r="H11" i="9"/>
  <c r="F235" i="40"/>
  <c r="G235" i="40"/>
  <c r="H235" i="40"/>
  <c r="F234" i="40"/>
  <c r="G234" i="40"/>
  <c r="H234" i="40"/>
  <c r="F233" i="40"/>
  <c r="G233" i="40"/>
  <c r="H233" i="40"/>
  <c r="H25" i="6"/>
  <c r="G25" i="6"/>
  <c r="F25" i="6"/>
  <c r="F232" i="40"/>
  <c r="G232" i="40"/>
  <c r="H232" i="40"/>
  <c r="F231" i="40"/>
  <c r="G231" i="40"/>
  <c r="H231" i="40"/>
  <c r="F25" i="51"/>
  <c r="G25" i="51"/>
  <c r="H25" i="51"/>
  <c r="Q1" i="56" l="1"/>
  <c r="R1" i="56" s="1"/>
  <c r="F24" i="6"/>
  <c r="G24" i="6"/>
  <c r="H24" i="6"/>
  <c r="F12" i="27"/>
  <c r="G12" i="27"/>
  <c r="H12" i="27"/>
  <c r="F16" i="16"/>
  <c r="G16" i="16"/>
  <c r="H16" i="16"/>
  <c r="F23" i="6"/>
  <c r="G23" i="6"/>
  <c r="H23" i="6"/>
  <c r="F227" i="40"/>
  <c r="G227" i="40"/>
  <c r="H227" i="40"/>
  <c r="F230" i="40"/>
  <c r="G230" i="40"/>
  <c r="H230" i="40"/>
  <c r="F22" i="6"/>
  <c r="G22" i="6"/>
  <c r="H22" i="6"/>
  <c r="F24" i="20"/>
  <c r="G24" i="20"/>
  <c r="H24" i="20"/>
  <c r="F38" i="14"/>
  <c r="G38" i="14"/>
  <c r="H38" i="14"/>
  <c r="F19" i="22"/>
  <c r="G19" i="22"/>
  <c r="H19" i="22"/>
  <c r="F14" i="50"/>
  <c r="G14" i="50"/>
  <c r="H14" i="50"/>
  <c r="F52" i="10"/>
  <c r="G52" i="10"/>
  <c r="H52" i="10"/>
  <c r="F22" i="1"/>
  <c r="G22" i="1"/>
  <c r="H22" i="1"/>
  <c r="F229" i="40"/>
  <c r="G229" i="40"/>
  <c r="H229" i="40"/>
  <c r="P1" i="56" l="1"/>
  <c r="F9" i="47"/>
  <c r="G9" i="47"/>
  <c r="H9" i="47"/>
  <c r="F228" i="40"/>
  <c r="G228" i="40"/>
  <c r="H228" i="40"/>
  <c r="F226" i="40"/>
  <c r="G226" i="40"/>
  <c r="H226" i="40"/>
  <c r="H10" i="56"/>
  <c r="G10" i="56"/>
  <c r="F10" i="56"/>
  <c r="H9" i="56"/>
  <c r="G9" i="56"/>
  <c r="F9" i="56"/>
  <c r="H8" i="56"/>
  <c r="G8" i="56"/>
  <c r="F8" i="56"/>
  <c r="H7" i="56"/>
  <c r="G7" i="56"/>
  <c r="F7" i="56"/>
  <c r="H6" i="56"/>
  <c r="G6" i="56"/>
  <c r="F6" i="56"/>
  <c r="H5" i="56"/>
  <c r="G5" i="56"/>
  <c r="F5" i="56"/>
  <c r="H4" i="56"/>
  <c r="G4" i="56"/>
  <c r="F4" i="56"/>
  <c r="L3" i="56" l="1"/>
  <c r="C1" i="56"/>
  <c r="M4" i="56"/>
  <c r="L4" i="56"/>
  <c r="F1" i="56" l="1"/>
  <c r="D42" i="2" s="1"/>
  <c r="H42" i="2" s="1"/>
  <c r="M3" i="56"/>
  <c r="E1" i="56"/>
  <c r="K2" i="56" s="1"/>
  <c r="C42" i="2"/>
  <c r="F42" i="2" s="1"/>
  <c r="N4" i="56"/>
  <c r="N5" i="56" s="1"/>
  <c r="F225" i="40"/>
  <c r="G225" i="40"/>
  <c r="H225" i="40"/>
  <c r="F20" i="25"/>
  <c r="G20" i="25"/>
  <c r="H20" i="25"/>
  <c r="F86" i="11"/>
  <c r="G86" i="11"/>
  <c r="H86" i="11"/>
  <c r="F217" i="40"/>
  <c r="G217" i="40"/>
  <c r="H217" i="40"/>
  <c r="F220" i="40"/>
  <c r="G220" i="40"/>
  <c r="H220" i="40"/>
  <c r="M1" i="56" l="1"/>
  <c r="G1" i="56"/>
  <c r="G42" i="2" s="1"/>
  <c r="L2" i="56"/>
  <c r="I42" i="2"/>
  <c r="N1" i="56"/>
  <c r="F35" i="45"/>
  <c r="G35" i="45"/>
  <c r="H35" i="45"/>
  <c r="F19" i="3"/>
  <c r="G19" i="3"/>
  <c r="H19" i="3"/>
  <c r="F85" i="11"/>
  <c r="G85" i="11"/>
  <c r="H85" i="11"/>
  <c r="F37" i="14"/>
  <c r="G37" i="14"/>
  <c r="H37" i="14"/>
  <c r="F36" i="14"/>
  <c r="G36" i="14"/>
  <c r="H36" i="14"/>
  <c r="F19" i="25"/>
  <c r="G19" i="25"/>
  <c r="H19" i="25"/>
  <c r="F13" i="49"/>
  <c r="G13" i="49"/>
  <c r="H13" i="49"/>
  <c r="F18" i="42"/>
  <c r="G18" i="42"/>
  <c r="H18" i="42"/>
  <c r="F14" i="7"/>
  <c r="G14" i="7"/>
  <c r="H14" i="7"/>
  <c r="F33" i="41"/>
  <c r="G33" i="41"/>
  <c r="H33" i="41"/>
  <c r="F38" i="11"/>
  <c r="G38" i="11"/>
  <c r="H38" i="11"/>
  <c r="F21" i="1"/>
  <c r="G21" i="1"/>
  <c r="H21" i="1"/>
  <c r="F20" i="1"/>
  <c r="G20" i="1"/>
  <c r="H20" i="1"/>
  <c r="F8" i="4"/>
  <c r="G8" i="4"/>
  <c r="H8" i="4"/>
  <c r="F24" i="51"/>
  <c r="G24" i="51"/>
  <c r="H24" i="51"/>
  <c r="F12" i="49"/>
  <c r="G12" i="49"/>
  <c r="H12" i="49"/>
  <c r="F19" i="1"/>
  <c r="G19" i="1"/>
  <c r="H19" i="1"/>
  <c r="F12" i="1"/>
  <c r="G12" i="1"/>
  <c r="H12" i="1"/>
  <c r="F21" i="48"/>
  <c r="G21" i="48"/>
  <c r="H21" i="48"/>
  <c r="F20" i="48"/>
  <c r="G20" i="48"/>
  <c r="H20" i="48"/>
  <c r="J42" i="2" l="1"/>
  <c r="K42" i="2" s="1"/>
  <c r="F35" i="14"/>
  <c r="G35" i="14"/>
  <c r="H35" i="14"/>
  <c r="F50" i="10"/>
  <c r="G50" i="10"/>
  <c r="H50" i="10"/>
  <c r="F48" i="10"/>
  <c r="G48" i="10"/>
  <c r="H48" i="10"/>
  <c r="F34" i="14"/>
  <c r="G34" i="14"/>
  <c r="H34" i="14"/>
  <c r="F26" i="35"/>
  <c r="G26" i="35"/>
  <c r="H26" i="35"/>
  <c r="F224" i="40"/>
  <c r="G224" i="40"/>
  <c r="H224" i="40"/>
  <c r="F223" i="40"/>
  <c r="G223" i="40"/>
  <c r="H223" i="40"/>
  <c r="F222" i="40"/>
  <c r="G222" i="40"/>
  <c r="H222" i="40"/>
  <c r="F19" i="48"/>
  <c r="G19" i="48"/>
  <c r="H19" i="48"/>
  <c r="F33" i="45"/>
  <c r="G33" i="45"/>
  <c r="H33" i="45"/>
  <c r="F15" i="45"/>
  <c r="G15" i="45"/>
  <c r="H15" i="45"/>
  <c r="F8" i="48"/>
  <c r="G8" i="48"/>
  <c r="H8" i="48"/>
  <c r="F84" i="11"/>
  <c r="G84" i="11"/>
  <c r="H84" i="11"/>
  <c r="F32" i="45" l="1"/>
  <c r="G32" i="45"/>
  <c r="H32" i="45"/>
  <c r="F37" i="11"/>
  <c r="G37" i="11"/>
  <c r="H37" i="11"/>
  <c r="F18" i="48"/>
  <c r="G18" i="48"/>
  <c r="H18" i="48"/>
  <c r="F221" i="40"/>
  <c r="G221" i="40"/>
  <c r="H221" i="40"/>
  <c r="F17" i="48"/>
  <c r="G17" i="48"/>
  <c r="H17" i="48"/>
  <c r="F219" i="40"/>
  <c r="G219" i="40"/>
  <c r="H219" i="40"/>
  <c r="F49" i="49"/>
  <c r="G49" i="49"/>
  <c r="H49" i="49"/>
  <c r="F20" i="16"/>
  <c r="G20" i="16"/>
  <c r="H20" i="16"/>
  <c r="F218" i="40"/>
  <c r="G218" i="40"/>
  <c r="H218" i="40"/>
  <c r="F216" i="40"/>
  <c r="G216" i="40"/>
  <c r="H216" i="40"/>
  <c r="F33" i="14"/>
  <c r="G33" i="14"/>
  <c r="H33" i="14"/>
  <c r="F83" i="11"/>
  <c r="G83" i="11"/>
  <c r="H83" i="11"/>
  <c r="F11" i="33" l="1"/>
  <c r="G11" i="33"/>
  <c r="H11" i="33"/>
  <c r="F215" i="40"/>
  <c r="G215" i="40"/>
  <c r="H215" i="40"/>
  <c r="F22" i="13"/>
  <c r="G22" i="13"/>
  <c r="H22" i="13"/>
  <c r="F213" i="40"/>
  <c r="G213" i="40"/>
  <c r="H213" i="40"/>
  <c r="F46" i="10"/>
  <c r="G46" i="10"/>
  <c r="H46" i="10"/>
  <c r="F16" i="48"/>
  <c r="G16" i="48"/>
  <c r="H16" i="48"/>
  <c r="F212" i="40"/>
  <c r="G212" i="40"/>
  <c r="H212" i="40"/>
  <c r="F18" i="45" l="1"/>
  <c r="G18" i="45"/>
  <c r="H18" i="45"/>
  <c r="F18" i="25"/>
  <c r="G18" i="25"/>
  <c r="H18" i="25"/>
  <c r="F23" i="20"/>
  <c r="G23" i="20"/>
  <c r="H23" i="20"/>
  <c r="F16" i="22"/>
  <c r="G16" i="22"/>
  <c r="H16" i="22"/>
  <c r="F25" i="35"/>
  <c r="G25" i="35"/>
  <c r="H25" i="35"/>
  <c r="F32" i="14"/>
  <c r="G32" i="14"/>
  <c r="H32" i="14"/>
  <c r="F176" i="40"/>
  <c r="G176" i="40"/>
  <c r="H176" i="40"/>
  <c r="F211" i="40"/>
  <c r="G211" i="40"/>
  <c r="H211" i="40"/>
  <c r="F38" i="10"/>
  <c r="F39" i="10"/>
  <c r="G38" i="10"/>
  <c r="G39" i="10"/>
  <c r="H38" i="10"/>
  <c r="H39" i="10"/>
  <c r="F40" i="10"/>
  <c r="G40" i="10"/>
  <c r="H40" i="10"/>
  <c r="F44" i="10"/>
  <c r="G44" i="10"/>
  <c r="H44" i="10"/>
  <c r="F82" i="11"/>
  <c r="G82" i="11"/>
  <c r="H82" i="11"/>
  <c r="F28" i="14"/>
  <c r="G28" i="14"/>
  <c r="H28" i="14"/>
  <c r="F8" i="16"/>
  <c r="G8" i="16"/>
  <c r="H8" i="16"/>
  <c r="F20" i="45"/>
  <c r="G20" i="45"/>
  <c r="H20" i="45"/>
  <c r="F11" i="49"/>
  <c r="G11" i="49"/>
  <c r="H11" i="49"/>
  <c r="F201" i="40"/>
  <c r="G201" i="40"/>
  <c r="H201" i="40"/>
  <c r="F174" i="40"/>
  <c r="G174" i="40"/>
  <c r="H174" i="40"/>
  <c r="F173" i="40"/>
  <c r="G173" i="40"/>
  <c r="H173" i="40"/>
  <c r="F170" i="40"/>
  <c r="G170" i="40"/>
  <c r="H170" i="40"/>
  <c r="F141" i="40"/>
  <c r="G141" i="40"/>
  <c r="H141" i="40"/>
  <c r="F140" i="40"/>
  <c r="G140" i="40"/>
  <c r="H140" i="40"/>
  <c r="F207" i="40"/>
  <c r="G207" i="40"/>
  <c r="H207" i="40"/>
  <c r="F31" i="45"/>
  <c r="G31" i="45"/>
  <c r="H31" i="45"/>
  <c r="F30" i="45" l="1"/>
  <c r="G30" i="45"/>
  <c r="H30" i="45"/>
  <c r="F21" i="13"/>
  <c r="G21" i="13"/>
  <c r="H21" i="13"/>
  <c r="F21" i="45"/>
  <c r="G21" i="45"/>
  <c r="H21" i="45"/>
  <c r="F178" i="40"/>
  <c r="G178" i="40"/>
  <c r="H178" i="40"/>
  <c r="F23" i="51"/>
  <c r="G23" i="51"/>
  <c r="H23" i="51"/>
  <c r="F22" i="45"/>
  <c r="G22" i="45"/>
  <c r="H22" i="45"/>
  <c r="F23" i="45" l="1"/>
  <c r="G23" i="45"/>
  <c r="H23" i="45"/>
  <c r="F8" i="52"/>
  <c r="G8" i="52"/>
  <c r="H8" i="52"/>
  <c r="F28" i="3"/>
  <c r="G28" i="3"/>
  <c r="H28" i="3"/>
  <c r="F69" i="11"/>
  <c r="G69" i="11"/>
  <c r="H69" i="11"/>
  <c r="F13" i="36"/>
  <c r="G13" i="36"/>
  <c r="H13" i="36"/>
  <c r="F73" i="11"/>
  <c r="G73" i="11"/>
  <c r="H73" i="11"/>
  <c r="F47" i="5"/>
  <c r="G47" i="5"/>
  <c r="H47" i="5"/>
  <c r="F67" i="11"/>
  <c r="G67" i="11"/>
  <c r="H67" i="11"/>
  <c r="F20" i="35"/>
  <c r="G20" i="35"/>
  <c r="H20" i="35"/>
  <c r="F16" i="44"/>
  <c r="G16" i="44"/>
  <c r="H16" i="44"/>
  <c r="F78" i="11"/>
  <c r="G78" i="11"/>
  <c r="H78" i="11"/>
  <c r="F80" i="11"/>
  <c r="G80" i="11"/>
  <c r="H80" i="11"/>
  <c r="F19" i="20"/>
  <c r="G19" i="20"/>
  <c r="H19" i="20"/>
  <c r="F14" i="36"/>
  <c r="G14" i="36"/>
  <c r="H14" i="36"/>
  <c r="F27" i="45"/>
  <c r="G27" i="45"/>
  <c r="H27" i="45"/>
  <c r="F17" i="42"/>
  <c r="G17" i="42"/>
  <c r="H17" i="42"/>
  <c r="F12" i="15"/>
  <c r="G12" i="15"/>
  <c r="H12" i="15"/>
  <c r="F210" i="40"/>
  <c r="G210" i="40"/>
  <c r="H210" i="40"/>
  <c r="F29" i="45"/>
  <c r="G29" i="45"/>
  <c r="H29" i="45"/>
  <c r="F28" i="45"/>
  <c r="G28" i="45"/>
  <c r="H28" i="45"/>
  <c r="F28" i="34"/>
  <c r="G28" i="34"/>
  <c r="H28" i="34"/>
  <c r="F26" i="45"/>
  <c r="G26" i="45"/>
  <c r="H26" i="45"/>
  <c r="F25" i="45"/>
  <c r="G25" i="45"/>
  <c r="H25" i="45"/>
  <c r="F24" i="45"/>
  <c r="G24" i="45"/>
  <c r="H24" i="45"/>
  <c r="F19" i="8"/>
  <c r="G19" i="8"/>
  <c r="H19" i="8"/>
  <c r="F27" i="3"/>
  <c r="G27" i="3"/>
  <c r="H27" i="3"/>
  <c r="F209" i="40"/>
  <c r="G209" i="40"/>
  <c r="H209" i="40"/>
  <c r="F208" i="40"/>
  <c r="G208" i="40"/>
  <c r="H208" i="40"/>
  <c r="F206" i="40"/>
  <c r="G206" i="40"/>
  <c r="H206" i="40"/>
  <c r="F19" i="45"/>
  <c r="G19" i="45"/>
  <c r="H19" i="45"/>
  <c r="F18" i="22"/>
  <c r="G18" i="22"/>
  <c r="H18" i="22"/>
  <c r="F15" i="23"/>
  <c r="G15" i="23"/>
  <c r="H15" i="23"/>
  <c r="F205" i="40"/>
  <c r="G205" i="40"/>
  <c r="H205" i="40"/>
  <c r="F26" i="3"/>
  <c r="G26" i="3"/>
  <c r="H26" i="3"/>
  <c r="F204" i="40"/>
  <c r="G204" i="40"/>
  <c r="H204" i="40"/>
  <c r="F203" i="40"/>
  <c r="G203" i="40"/>
  <c r="H203" i="40"/>
  <c r="F202" i="40"/>
  <c r="G202" i="40"/>
  <c r="H202" i="40"/>
  <c r="F31" i="14"/>
  <c r="G31" i="14"/>
  <c r="H31" i="14"/>
  <c r="F200" i="40"/>
  <c r="G200" i="40"/>
  <c r="H200" i="40"/>
  <c r="F20" i="28"/>
  <c r="G20" i="28"/>
  <c r="H20" i="28"/>
  <c r="F182" i="40"/>
  <c r="G182" i="40"/>
  <c r="H182" i="40"/>
  <c r="F181" i="40"/>
  <c r="G181" i="40"/>
  <c r="H181" i="40"/>
  <c r="F172" i="40"/>
  <c r="G172" i="40"/>
  <c r="H172" i="40"/>
  <c r="F199" i="40"/>
  <c r="G199" i="40"/>
  <c r="H199" i="40"/>
  <c r="F198" i="40"/>
  <c r="G198" i="40"/>
  <c r="H198" i="40"/>
  <c r="F189" i="40"/>
  <c r="G189" i="40"/>
  <c r="H189" i="40"/>
  <c r="F180" i="40"/>
  <c r="G180" i="40"/>
  <c r="H180" i="40"/>
  <c r="F79" i="11"/>
  <c r="G79" i="11"/>
  <c r="H79" i="11"/>
  <c r="F7" i="52"/>
  <c r="G7" i="52"/>
  <c r="H7" i="52"/>
  <c r="F45" i="10"/>
  <c r="G45" i="10"/>
  <c r="H45" i="10"/>
  <c r="F25" i="3"/>
  <c r="G25" i="3"/>
  <c r="H25" i="3"/>
  <c r="F188" i="40"/>
  <c r="G188" i="40"/>
  <c r="H188" i="40"/>
  <c r="F21" i="41"/>
  <c r="G21" i="41"/>
  <c r="H21" i="41"/>
  <c r="F72" i="11"/>
  <c r="G72" i="11"/>
  <c r="H72" i="11"/>
  <c r="F71" i="11"/>
  <c r="G71" i="11"/>
  <c r="H71" i="11"/>
  <c r="F12" i="22"/>
  <c r="G12" i="22"/>
  <c r="H12" i="22"/>
  <c r="F18" i="8"/>
  <c r="G18" i="8"/>
  <c r="H18" i="8"/>
  <c r="F20" i="13"/>
  <c r="G20" i="13"/>
  <c r="H20" i="13"/>
  <c r="F22" i="20"/>
  <c r="G22" i="20"/>
  <c r="H22" i="20"/>
  <c r="F16" i="15"/>
  <c r="G16" i="15"/>
  <c r="H16" i="15"/>
  <c r="F16" i="26"/>
  <c r="G16" i="26"/>
  <c r="H16" i="26"/>
  <c r="F197" i="40"/>
  <c r="G197" i="40"/>
  <c r="H197" i="40"/>
  <c r="F14" i="35"/>
  <c r="G14" i="35"/>
  <c r="H14" i="35"/>
  <c r="F18" i="1"/>
  <c r="G18" i="1"/>
  <c r="H18" i="1"/>
  <c r="F13" i="7"/>
  <c r="G13" i="7"/>
  <c r="H13" i="7"/>
  <c r="F49" i="5"/>
  <c r="G49" i="5"/>
  <c r="H49" i="5"/>
  <c r="F17" i="8"/>
  <c r="G17" i="8"/>
  <c r="H17" i="8"/>
  <c r="F30" i="14"/>
  <c r="G30" i="14"/>
  <c r="H30" i="14"/>
  <c r="F43" i="10"/>
  <c r="G43" i="10"/>
  <c r="H43" i="10"/>
  <c r="F29" i="14"/>
  <c r="G29" i="14"/>
  <c r="H29" i="14"/>
  <c r="F20" i="21"/>
  <c r="G20" i="21"/>
  <c r="H20" i="21"/>
  <c r="F19" i="16"/>
  <c r="G19" i="16"/>
  <c r="H19" i="16"/>
  <c r="F24" i="35"/>
  <c r="G24" i="35"/>
  <c r="H24" i="35"/>
  <c r="F19" i="28"/>
  <c r="G19" i="28"/>
  <c r="H19" i="28"/>
  <c r="F32" i="41"/>
  <c r="G32" i="41"/>
  <c r="H32" i="41"/>
  <c r="F11" i="27"/>
  <c r="G11" i="27"/>
  <c r="H11" i="27"/>
  <c r="F31" i="41"/>
  <c r="G31" i="41"/>
  <c r="H31" i="41"/>
  <c r="F48" i="5"/>
  <c r="G48" i="5"/>
  <c r="H48" i="5"/>
  <c r="F29" i="30"/>
  <c r="G29" i="30"/>
  <c r="H29" i="30"/>
  <c r="F15" i="15"/>
  <c r="G15" i="15"/>
  <c r="H15" i="15"/>
  <c r="F42" i="10" l="1"/>
  <c r="G42" i="10"/>
  <c r="H42" i="10"/>
  <c r="F75" i="11"/>
  <c r="G75" i="11"/>
  <c r="H75" i="11"/>
  <c r="F46" i="5"/>
  <c r="G46" i="5"/>
  <c r="H46" i="5"/>
  <c r="F27" i="14"/>
  <c r="G27" i="14"/>
  <c r="H27" i="14"/>
  <c r="F21" i="46"/>
  <c r="G21" i="46"/>
  <c r="H21" i="46"/>
  <c r="F20" i="46"/>
  <c r="G20" i="46"/>
  <c r="H20" i="46"/>
  <c r="F41" i="10"/>
  <c r="G41" i="10"/>
  <c r="H41" i="10"/>
  <c r="F24" i="3"/>
  <c r="G24" i="3"/>
  <c r="H24" i="3"/>
  <c r="F16" i="8"/>
  <c r="G16" i="8"/>
  <c r="H16" i="8"/>
  <c r="F19" i="13"/>
  <c r="G19" i="13"/>
  <c r="H19" i="13"/>
  <c r="F74" i="11"/>
  <c r="G74" i="11"/>
  <c r="H74" i="11"/>
  <c r="F45" i="5"/>
  <c r="G45" i="5"/>
  <c r="H45" i="5"/>
  <c r="F26" i="14"/>
  <c r="G26" i="14"/>
  <c r="H26" i="14"/>
  <c r="F19" i="21"/>
  <c r="G19" i="21"/>
  <c r="H19" i="21"/>
  <c r="F15" i="26"/>
  <c r="G15" i="26"/>
  <c r="H15" i="26"/>
  <c r="F17" i="22"/>
  <c r="G17" i="22"/>
  <c r="H17" i="22"/>
  <c r="F17" i="25"/>
  <c r="G17" i="25"/>
  <c r="H17" i="25"/>
  <c r="F14" i="23"/>
  <c r="G14" i="23"/>
  <c r="H14" i="23"/>
  <c r="F27" i="34"/>
  <c r="G27" i="34"/>
  <c r="H27" i="34"/>
  <c r="F190" i="40"/>
  <c r="F191" i="40"/>
  <c r="G190" i="40"/>
  <c r="G191" i="40"/>
  <c r="H190" i="40"/>
  <c r="H191" i="40"/>
  <c r="F196" i="40"/>
  <c r="G196" i="40"/>
  <c r="H196" i="40"/>
  <c r="F187" i="40"/>
  <c r="G187" i="40"/>
  <c r="H187" i="40"/>
  <c r="F186" i="40"/>
  <c r="G186" i="40"/>
  <c r="H186" i="40"/>
  <c r="F195" i="40"/>
  <c r="G195" i="40"/>
  <c r="H195" i="40"/>
  <c r="F19" i="46"/>
  <c r="G19" i="46"/>
  <c r="H19" i="46"/>
  <c r="F28" i="30"/>
  <c r="G28" i="30"/>
  <c r="H28" i="30"/>
  <c r="F30" i="41"/>
  <c r="G30" i="41"/>
  <c r="H30" i="41"/>
  <c r="F22" i="51"/>
  <c r="G22" i="51"/>
  <c r="H22" i="51"/>
  <c r="F194" i="40"/>
  <c r="G194" i="40"/>
  <c r="H194" i="40"/>
  <c r="F193" i="40"/>
  <c r="G193" i="40"/>
  <c r="H193" i="40"/>
  <c r="F17" i="45"/>
  <c r="G17" i="45"/>
  <c r="H17" i="45"/>
  <c r="F192" i="40"/>
  <c r="G192" i="40"/>
  <c r="H192" i="40"/>
  <c r="F16" i="45"/>
  <c r="G16" i="45"/>
  <c r="H16" i="45"/>
  <c r="F13" i="50"/>
  <c r="G13" i="50"/>
  <c r="H13" i="50"/>
  <c r="F185" i="40"/>
  <c r="G185" i="40"/>
  <c r="H185" i="40"/>
  <c r="F16" i="42"/>
  <c r="G16" i="42"/>
  <c r="H16" i="42"/>
  <c r="F11" i="43"/>
  <c r="G11" i="43"/>
  <c r="H11" i="43"/>
  <c r="F17" i="1"/>
  <c r="G17" i="1"/>
  <c r="H17" i="1"/>
  <c r="F184" i="40"/>
  <c r="G184" i="40"/>
  <c r="H184" i="40"/>
  <c r="F37" i="10"/>
  <c r="G37" i="10"/>
  <c r="H37" i="10"/>
  <c r="F183" i="40"/>
  <c r="G183" i="40"/>
  <c r="H183" i="40"/>
  <c r="F179" i="40"/>
  <c r="G179" i="40"/>
  <c r="H179" i="40"/>
  <c r="F16" i="24"/>
  <c r="G16" i="24"/>
  <c r="H16" i="24"/>
  <c r="F177" i="40"/>
  <c r="G177" i="40"/>
  <c r="H177" i="40"/>
  <c r="F15" i="44"/>
  <c r="G15" i="44"/>
  <c r="H15" i="44"/>
  <c r="F175" i="40"/>
  <c r="G175" i="40"/>
  <c r="H175" i="40"/>
  <c r="F171" i="40"/>
  <c r="G171" i="40"/>
  <c r="H171" i="40"/>
  <c r="F147" i="40"/>
  <c r="G147" i="40"/>
  <c r="H147" i="40"/>
  <c r="F14" i="26"/>
  <c r="G14" i="26"/>
  <c r="H14" i="26"/>
  <c r="F148" i="40"/>
  <c r="G148" i="40"/>
  <c r="H148" i="40"/>
  <c r="F149" i="40"/>
  <c r="G149" i="40"/>
  <c r="H149" i="40"/>
  <c r="F163" i="40"/>
  <c r="G163" i="40"/>
  <c r="H163" i="40"/>
  <c r="F18" i="21"/>
  <c r="G18" i="21"/>
  <c r="H18" i="21"/>
  <c r="F169" i="40"/>
  <c r="G169" i="40"/>
  <c r="H169" i="40"/>
  <c r="F166" i="40"/>
  <c r="G166" i="40"/>
  <c r="H166" i="40"/>
  <c r="F168" i="40"/>
  <c r="G168" i="40"/>
  <c r="H168" i="40"/>
  <c r="F167" i="40"/>
  <c r="G167" i="40"/>
  <c r="H167" i="40"/>
  <c r="F18" i="46"/>
  <c r="G18" i="46"/>
  <c r="H18" i="46"/>
  <c r="F165" i="40"/>
  <c r="G165" i="40"/>
  <c r="H165" i="40"/>
  <c r="F164" i="40"/>
  <c r="G164" i="40"/>
  <c r="H164" i="40"/>
  <c r="F162" i="40"/>
  <c r="G162" i="40"/>
  <c r="H162" i="40"/>
  <c r="F161" i="40"/>
  <c r="G161" i="40"/>
  <c r="H161" i="40"/>
  <c r="F160" i="40"/>
  <c r="G160" i="40"/>
  <c r="H160" i="40"/>
  <c r="F27" i="30"/>
  <c r="G27" i="30"/>
  <c r="H27" i="30"/>
  <c r="F159" i="40"/>
  <c r="G159" i="40"/>
  <c r="H159" i="40"/>
  <c r="F158" i="40"/>
  <c r="G158" i="40"/>
  <c r="H158" i="40"/>
  <c r="F157" i="40"/>
  <c r="G157" i="40"/>
  <c r="H157" i="40"/>
  <c r="F156" i="40"/>
  <c r="G156" i="40"/>
  <c r="H156" i="40"/>
  <c r="F155" i="40"/>
  <c r="G155" i="40"/>
  <c r="H155" i="40"/>
  <c r="F154" i="40"/>
  <c r="G154" i="40"/>
  <c r="H154" i="40"/>
  <c r="F153" i="40"/>
  <c r="G153" i="40"/>
  <c r="H153" i="40"/>
  <c r="F14" i="15"/>
  <c r="G14" i="15"/>
  <c r="H14" i="15"/>
  <c r="F152" i="40"/>
  <c r="G152" i="40"/>
  <c r="H152" i="40"/>
  <c r="F151" i="40"/>
  <c r="G151" i="40"/>
  <c r="H151" i="40"/>
  <c r="F150" i="40"/>
  <c r="G150" i="40"/>
  <c r="H150" i="40"/>
  <c r="F146" i="40"/>
  <c r="G146" i="40"/>
  <c r="H146" i="40"/>
  <c r="F145" i="40"/>
  <c r="G145" i="40"/>
  <c r="H145" i="40"/>
  <c r="F144" i="40"/>
  <c r="G144" i="40"/>
  <c r="H144" i="40"/>
  <c r="F143" i="40"/>
  <c r="G143" i="40"/>
  <c r="H143" i="40"/>
  <c r="F12" i="12"/>
  <c r="G12" i="12"/>
  <c r="H12" i="12"/>
  <c r="F70" i="11"/>
  <c r="G70" i="11"/>
  <c r="H70" i="11"/>
  <c r="F44" i="5"/>
  <c r="G44" i="5"/>
  <c r="H44" i="5"/>
  <c r="F44" i="49"/>
  <c r="G44" i="49"/>
  <c r="H44" i="49"/>
  <c r="F10" i="22"/>
  <c r="G10" i="22"/>
  <c r="H10" i="22"/>
  <c r="F16" i="25"/>
  <c r="G16" i="25"/>
  <c r="H16" i="25"/>
  <c r="F142" i="40"/>
  <c r="G142" i="40"/>
  <c r="H142" i="40"/>
  <c r="F13" i="35"/>
  <c r="G13" i="35"/>
  <c r="H13" i="35"/>
  <c r="F12" i="50"/>
  <c r="G12" i="50"/>
  <c r="H12" i="50"/>
  <c r="F139" i="40"/>
  <c r="G139" i="40"/>
  <c r="H139" i="40"/>
  <c r="F43" i="5"/>
  <c r="G43" i="5"/>
  <c r="H43" i="5"/>
  <c r="F21" i="51"/>
  <c r="G21" i="51"/>
  <c r="H21" i="51"/>
  <c r="F138" i="40"/>
  <c r="G138" i="40"/>
  <c r="H138" i="40"/>
  <c r="F36" i="10"/>
  <c r="G36" i="10"/>
  <c r="H36" i="10"/>
  <c r="F15" i="8"/>
  <c r="G15" i="8"/>
  <c r="H15" i="8"/>
  <c r="F15" i="48"/>
  <c r="G15" i="48"/>
  <c r="H15" i="48"/>
  <c r="F13" i="15"/>
  <c r="G13" i="15"/>
  <c r="H13" i="15"/>
  <c r="F25" i="14"/>
  <c r="G25" i="14"/>
  <c r="H25" i="14"/>
  <c r="F26" i="34"/>
  <c r="G26" i="34"/>
  <c r="H26" i="34"/>
  <c r="F18" i="28"/>
  <c r="G18" i="28"/>
  <c r="H18" i="28"/>
  <c r="F14" i="45"/>
  <c r="G14" i="45"/>
  <c r="H14" i="45"/>
  <c r="F23" i="3"/>
  <c r="G23" i="3"/>
  <c r="H23" i="3"/>
  <c r="F35" i="10"/>
  <c r="G35" i="10"/>
  <c r="H35" i="10"/>
  <c r="F137" i="40"/>
  <c r="G137" i="40"/>
  <c r="H137" i="40"/>
  <c r="F18" i="36"/>
  <c r="G18" i="36"/>
  <c r="H18" i="36"/>
  <c r="F136" i="40"/>
  <c r="G136" i="40"/>
  <c r="H136" i="40"/>
  <c r="F26" i="30"/>
  <c r="G26" i="30"/>
  <c r="H26" i="30"/>
  <c r="F18" i="13"/>
  <c r="G18" i="13"/>
  <c r="H18" i="13"/>
  <c r="F131" i="40"/>
  <c r="G131" i="40"/>
  <c r="H131" i="40"/>
  <c r="F135" i="40"/>
  <c r="G135" i="40"/>
  <c r="H135" i="40"/>
  <c r="F134" i="40"/>
  <c r="G134" i="40"/>
  <c r="H134" i="40"/>
  <c r="F133" i="40"/>
  <c r="G133" i="40"/>
  <c r="H133" i="40"/>
  <c r="F132" i="40"/>
  <c r="G132" i="40"/>
  <c r="H132" i="40"/>
  <c r="F15" i="25"/>
  <c r="G15" i="25"/>
  <c r="H15" i="25"/>
  <c r="F13" i="23"/>
  <c r="G13" i="23"/>
  <c r="H13" i="23"/>
  <c r="F130" i="40" l="1"/>
  <c r="G130" i="40"/>
  <c r="H130" i="40"/>
  <c r="F25" i="30"/>
  <c r="G25" i="30"/>
  <c r="H25" i="30"/>
  <c r="F21" i="20"/>
  <c r="G21" i="20"/>
  <c r="H21" i="20"/>
  <c r="F41" i="49"/>
  <c r="G41" i="49"/>
  <c r="H41" i="49"/>
  <c r="F17" i="13"/>
  <c r="G17" i="13"/>
  <c r="H17" i="13"/>
  <c r="F12" i="7"/>
  <c r="G12" i="7"/>
  <c r="H12" i="7"/>
  <c r="F18" i="34"/>
  <c r="G18" i="34"/>
  <c r="H18" i="34"/>
  <c r="F12" i="23"/>
  <c r="G12" i="23"/>
  <c r="H12" i="23"/>
  <c r="F20" i="30"/>
  <c r="G20" i="30"/>
  <c r="H20" i="30"/>
  <c r="F13" i="26"/>
  <c r="G13" i="26"/>
  <c r="H13" i="26"/>
  <c r="F23" i="35"/>
  <c r="G23" i="35"/>
  <c r="H23" i="35"/>
  <c r="F16" i="13"/>
  <c r="G16" i="13"/>
  <c r="H16" i="13"/>
  <c r="F14" i="44"/>
  <c r="G14" i="44"/>
  <c r="H14" i="44"/>
  <c r="F17" i="21"/>
  <c r="G17" i="21"/>
  <c r="H17" i="21"/>
  <c r="F23" i="30"/>
  <c r="G23" i="30"/>
  <c r="H23" i="30"/>
  <c r="F129" i="40"/>
  <c r="G129" i="40"/>
  <c r="H129" i="40"/>
  <c r="F128" i="40"/>
  <c r="G128" i="40"/>
  <c r="H128" i="40"/>
  <c r="F11" i="15"/>
  <c r="G11" i="15"/>
  <c r="H11" i="15"/>
  <c r="F19" i="14"/>
  <c r="G19" i="14"/>
  <c r="H19" i="14"/>
  <c r="F127" i="40"/>
  <c r="G127" i="40"/>
  <c r="H127" i="40"/>
  <c r="F126" i="40"/>
  <c r="G126" i="40"/>
  <c r="H126" i="40"/>
  <c r="F42" i="5"/>
  <c r="G42" i="5"/>
  <c r="H42" i="5"/>
  <c r="F17" i="46"/>
  <c r="G17" i="46"/>
  <c r="H17" i="46"/>
  <c r="F125" i="40"/>
  <c r="G125" i="40"/>
  <c r="H125" i="40"/>
  <c r="F124" i="40"/>
  <c r="G124" i="40"/>
  <c r="H124" i="40"/>
  <c r="F11" i="50"/>
  <c r="G11" i="50"/>
  <c r="H11" i="50"/>
  <c r="F13" i="44"/>
  <c r="G13" i="44"/>
  <c r="H13" i="44"/>
  <c r="F34" i="10"/>
  <c r="G34" i="10"/>
  <c r="H34" i="10"/>
  <c r="F22" i="30" l="1"/>
  <c r="G22" i="30"/>
  <c r="H22" i="30"/>
  <c r="F24" i="14"/>
  <c r="G24" i="14"/>
  <c r="H24" i="14"/>
  <c r="F15" i="22"/>
  <c r="G15" i="22"/>
  <c r="H15" i="22"/>
  <c r="F22" i="35"/>
  <c r="G22" i="35"/>
  <c r="H22" i="35"/>
  <c r="F33" i="10"/>
  <c r="G33" i="10"/>
  <c r="H33" i="10"/>
  <c r="F41" i="5"/>
  <c r="G41" i="5"/>
  <c r="H41" i="5"/>
  <c r="F123" i="40"/>
  <c r="G123" i="40"/>
  <c r="H123" i="40"/>
  <c r="F13" i="25"/>
  <c r="G13" i="25"/>
  <c r="H13" i="25"/>
  <c r="F11" i="23"/>
  <c r="G11" i="23"/>
  <c r="H11" i="23"/>
  <c r="F68" i="11"/>
  <c r="G68" i="11"/>
  <c r="H68" i="11"/>
  <c r="F12" i="26"/>
  <c r="G12" i="26"/>
  <c r="H12" i="26"/>
  <c r="F23" i="14"/>
  <c r="G23" i="14"/>
  <c r="H23" i="14"/>
  <c r="F21" i="6"/>
  <c r="G21" i="6"/>
  <c r="H21" i="6"/>
  <c r="F22" i="14"/>
  <c r="G22" i="14"/>
  <c r="H22" i="14"/>
  <c r="F16" i="1"/>
  <c r="G16" i="1"/>
  <c r="H16" i="1"/>
  <c r="F25" i="34"/>
  <c r="G25" i="34"/>
  <c r="H25" i="34"/>
  <c r="F40" i="5"/>
  <c r="G40" i="5"/>
  <c r="H40" i="5"/>
  <c r="F40" i="49" l="1"/>
  <c r="G40" i="49"/>
  <c r="H40" i="49"/>
  <c r="F16" i="21"/>
  <c r="G16" i="21"/>
  <c r="H16" i="21"/>
  <c r="F14" i="22"/>
  <c r="G14" i="22"/>
  <c r="H14" i="22"/>
  <c r="F22" i="3"/>
  <c r="G22" i="3"/>
  <c r="H22" i="3"/>
  <c r="F13" i="45"/>
  <c r="G13" i="45"/>
  <c r="H13" i="45"/>
  <c r="F21" i="14" l="1"/>
  <c r="G21" i="14"/>
  <c r="H21" i="14"/>
  <c r="F21" i="30"/>
  <c r="G21" i="30"/>
  <c r="H21" i="30"/>
  <c r="F38" i="5"/>
  <c r="G38" i="5"/>
  <c r="H38" i="5"/>
  <c r="F39" i="49"/>
  <c r="G39" i="49"/>
  <c r="H39" i="49"/>
  <c r="F122" i="40"/>
  <c r="G122" i="40"/>
  <c r="H122" i="40"/>
  <c r="F14" i="20"/>
  <c r="G14" i="20"/>
  <c r="H14" i="20"/>
  <c r="F16" i="46"/>
  <c r="G16" i="46"/>
  <c r="H16" i="46"/>
  <c r="F38" i="49"/>
  <c r="G38" i="49"/>
  <c r="H38" i="49"/>
  <c r="G10" i="49"/>
  <c r="F10" i="49"/>
  <c r="F115" i="40"/>
  <c r="G115" i="40"/>
  <c r="H115" i="40"/>
  <c r="F113" i="40"/>
  <c r="G113" i="40"/>
  <c r="H113" i="40"/>
  <c r="F13" i="3"/>
  <c r="G13" i="3"/>
  <c r="H13" i="3"/>
  <c r="F118" i="40"/>
  <c r="G118" i="40"/>
  <c r="H118" i="40"/>
  <c r="F39" i="5"/>
  <c r="G39" i="5"/>
  <c r="H39" i="5"/>
  <c r="F7" i="16"/>
  <c r="G7" i="16"/>
  <c r="H7" i="16"/>
  <c r="F13" i="22"/>
  <c r="G13" i="22"/>
  <c r="H13" i="22"/>
  <c r="H9" i="49"/>
  <c r="F9" i="49"/>
  <c r="G9" i="49"/>
  <c r="F121" i="40"/>
  <c r="G121" i="40"/>
  <c r="H121" i="40"/>
  <c r="F120" i="40"/>
  <c r="G120" i="40"/>
  <c r="H120" i="40"/>
  <c r="F119" i="40"/>
  <c r="G119" i="40"/>
  <c r="H119" i="40"/>
  <c r="F8" i="21"/>
  <c r="G8" i="21"/>
  <c r="H8" i="21"/>
  <c r="F8" i="49"/>
  <c r="G8" i="49"/>
  <c r="H8" i="49"/>
  <c r="H10" i="49" l="1"/>
  <c r="F37" i="49"/>
  <c r="G37" i="49"/>
  <c r="H37" i="49"/>
  <c r="D1" i="54"/>
  <c r="H11" i="54"/>
  <c r="G11" i="54"/>
  <c r="F11" i="54"/>
  <c r="H10" i="54"/>
  <c r="G10" i="54"/>
  <c r="F10" i="54"/>
  <c r="H9" i="54"/>
  <c r="G9" i="54"/>
  <c r="F9" i="54"/>
  <c r="H8" i="54"/>
  <c r="G8" i="54"/>
  <c r="F8" i="54"/>
  <c r="H7" i="54"/>
  <c r="G7" i="54"/>
  <c r="F7" i="54"/>
  <c r="H6" i="54"/>
  <c r="G6" i="54"/>
  <c r="F6" i="54"/>
  <c r="H5" i="54"/>
  <c r="G5" i="54"/>
  <c r="F5" i="54"/>
  <c r="H4" i="54"/>
  <c r="G4" i="54"/>
  <c r="F4" i="54"/>
  <c r="L3" i="54" s="1"/>
  <c r="F117" i="40"/>
  <c r="G117" i="40"/>
  <c r="H117" i="40"/>
  <c r="F12" i="35"/>
  <c r="G12" i="35"/>
  <c r="H12" i="35"/>
  <c r="F15" i="46"/>
  <c r="G15" i="46"/>
  <c r="H15" i="46"/>
  <c r="F12" i="45"/>
  <c r="G12" i="45"/>
  <c r="H12" i="45"/>
  <c r="F116" i="40"/>
  <c r="G116" i="40"/>
  <c r="H116" i="40"/>
  <c r="F114" i="40"/>
  <c r="G114" i="40"/>
  <c r="H114" i="40"/>
  <c r="F20" i="51"/>
  <c r="G20" i="51"/>
  <c r="H20" i="51"/>
  <c r="F111" i="40"/>
  <c r="G111" i="40"/>
  <c r="H111" i="40"/>
  <c r="F6" i="16"/>
  <c r="G6" i="16"/>
  <c r="H6" i="16"/>
  <c r="F24" i="34"/>
  <c r="G24" i="34"/>
  <c r="H24" i="34"/>
  <c r="F94" i="40"/>
  <c r="G94" i="40"/>
  <c r="H94" i="40"/>
  <c r="F6" i="52"/>
  <c r="G6" i="52"/>
  <c r="H6" i="52"/>
  <c r="F19" i="30"/>
  <c r="G19" i="30"/>
  <c r="H19" i="30"/>
  <c r="F32" i="10"/>
  <c r="G32" i="10"/>
  <c r="H32" i="10"/>
  <c r="F20" i="14"/>
  <c r="G20" i="14"/>
  <c r="H20" i="14"/>
  <c r="F11" i="12"/>
  <c r="G11" i="12"/>
  <c r="H11" i="12"/>
  <c r="F6" i="26"/>
  <c r="G6" i="26"/>
  <c r="H6" i="26"/>
  <c r="F11" i="7"/>
  <c r="G11" i="7"/>
  <c r="H11" i="7"/>
  <c r="F9" i="14"/>
  <c r="G9" i="14"/>
  <c r="H9" i="14"/>
  <c r="F15" i="24"/>
  <c r="G15" i="24"/>
  <c r="H15" i="24"/>
  <c r="F12" i="36"/>
  <c r="G12" i="36"/>
  <c r="H12" i="36"/>
  <c r="F7" i="49"/>
  <c r="G7" i="49"/>
  <c r="H7" i="49"/>
  <c r="F12" i="44"/>
  <c r="G12" i="44"/>
  <c r="H12" i="44"/>
  <c r="F14" i="25"/>
  <c r="G14" i="25"/>
  <c r="H14" i="25"/>
  <c r="F66" i="11"/>
  <c r="G66" i="11"/>
  <c r="H66" i="11"/>
  <c r="F15" i="1"/>
  <c r="G15" i="1"/>
  <c r="H15" i="1"/>
  <c r="F12" i="25"/>
  <c r="G12" i="25"/>
  <c r="H12" i="25"/>
  <c r="F14" i="1"/>
  <c r="G14" i="1"/>
  <c r="H14" i="1"/>
  <c r="F18" i="14"/>
  <c r="G18" i="14"/>
  <c r="H18" i="14"/>
  <c r="F112" i="40"/>
  <c r="G112" i="40"/>
  <c r="H112" i="40"/>
  <c r="F7" i="44"/>
  <c r="G7" i="44"/>
  <c r="H7" i="44"/>
  <c r="F23" i="34"/>
  <c r="G23" i="34"/>
  <c r="H23" i="34"/>
  <c r="F12" i="46"/>
  <c r="G12" i="46"/>
  <c r="H12" i="46"/>
  <c r="F47" i="40"/>
  <c r="G47" i="40"/>
  <c r="H47" i="40"/>
  <c r="F46" i="40"/>
  <c r="G46" i="40"/>
  <c r="H46" i="40"/>
  <c r="F48" i="40"/>
  <c r="G48" i="40"/>
  <c r="H48" i="40"/>
  <c r="F49" i="40"/>
  <c r="G49" i="40"/>
  <c r="H49" i="40"/>
  <c r="F65" i="11"/>
  <c r="G65" i="11"/>
  <c r="H65" i="11"/>
  <c r="F8" i="14"/>
  <c r="G8" i="14"/>
  <c r="H8" i="14"/>
  <c r="F14" i="24"/>
  <c r="G14" i="24"/>
  <c r="H14" i="24"/>
  <c r="F11" i="25"/>
  <c r="G11" i="25"/>
  <c r="H11" i="25"/>
  <c r="F110" i="40"/>
  <c r="G110" i="40"/>
  <c r="H110" i="40"/>
  <c r="F20" i="20"/>
  <c r="G20" i="20"/>
  <c r="H20" i="20"/>
  <c r="F109" i="40"/>
  <c r="G109" i="40"/>
  <c r="H109" i="40"/>
  <c r="F108" i="40"/>
  <c r="G108" i="40"/>
  <c r="H108" i="40"/>
  <c r="F107" i="40"/>
  <c r="G107" i="40"/>
  <c r="H107" i="40"/>
  <c r="F106" i="40"/>
  <c r="G106" i="40"/>
  <c r="H106" i="40"/>
  <c r="F105" i="40"/>
  <c r="G105" i="40"/>
  <c r="H105" i="40"/>
  <c r="F104" i="40"/>
  <c r="G104" i="40"/>
  <c r="H104" i="40"/>
  <c r="F103" i="40"/>
  <c r="G103" i="40"/>
  <c r="H103" i="40"/>
  <c r="F102" i="40"/>
  <c r="G102" i="40"/>
  <c r="H102" i="40"/>
  <c r="F101" i="40"/>
  <c r="G101" i="40"/>
  <c r="H101" i="40"/>
  <c r="F100" i="40"/>
  <c r="G100" i="40"/>
  <c r="H100" i="40"/>
  <c r="F99" i="40"/>
  <c r="G99" i="40"/>
  <c r="H99" i="40"/>
  <c r="F98" i="40"/>
  <c r="G98" i="40"/>
  <c r="H98" i="40"/>
  <c r="F97" i="40"/>
  <c r="G97" i="40"/>
  <c r="H97" i="40"/>
  <c r="F17" i="14"/>
  <c r="G17" i="14"/>
  <c r="H17" i="14"/>
  <c r="F96" i="40"/>
  <c r="G96" i="40"/>
  <c r="H96" i="40"/>
  <c r="F95" i="40"/>
  <c r="G95" i="40"/>
  <c r="H95" i="40"/>
  <c r="F14" i="42"/>
  <c r="G14" i="42"/>
  <c r="H14" i="42"/>
  <c r="F13" i="42"/>
  <c r="G13" i="42"/>
  <c r="H13" i="42"/>
  <c r="F12" i="42"/>
  <c r="G12" i="42"/>
  <c r="H12" i="42"/>
  <c r="C1" i="54" l="1"/>
  <c r="M4" i="54"/>
  <c r="L4" i="54"/>
  <c r="F58" i="11"/>
  <c r="G58" i="11"/>
  <c r="H58" i="11"/>
  <c r="C16" i="2" l="1"/>
  <c r="F16" i="2" s="1"/>
  <c r="M3" i="54"/>
  <c r="F1" i="54"/>
  <c r="M1" i="54" s="1"/>
  <c r="N1" i="54" s="1"/>
  <c r="N4" i="54"/>
  <c r="N5" i="54" s="1"/>
  <c r="F11" i="42"/>
  <c r="G11" i="42"/>
  <c r="H11" i="42"/>
  <c r="F18" i="20"/>
  <c r="G18" i="20"/>
  <c r="H18" i="20"/>
  <c r="F31" i="10"/>
  <c r="G31" i="10"/>
  <c r="H31" i="10"/>
  <c r="F56" i="40"/>
  <c r="G56" i="40"/>
  <c r="H56" i="40"/>
  <c r="F54" i="40"/>
  <c r="G54" i="40"/>
  <c r="H54" i="40"/>
  <c r="F89" i="40"/>
  <c r="G89" i="40"/>
  <c r="H89" i="40"/>
  <c r="F88" i="40"/>
  <c r="G88" i="40"/>
  <c r="H88" i="40"/>
  <c r="G1" i="54" l="1"/>
  <c r="D16" i="2"/>
  <c r="H16" i="2" s="1"/>
  <c r="F22" i="34"/>
  <c r="G22" i="34"/>
  <c r="H22" i="34"/>
  <c r="F93" i="40" l="1"/>
  <c r="G93" i="40"/>
  <c r="H93" i="40"/>
  <c r="F30" i="10"/>
  <c r="G30" i="10"/>
  <c r="H30" i="10"/>
  <c r="X11" i="2" l="1"/>
  <c r="F17" i="20" l="1"/>
  <c r="G17" i="20"/>
  <c r="H17" i="20"/>
  <c r="F90" i="40"/>
  <c r="G90" i="40"/>
  <c r="H90" i="40"/>
  <c r="F29" i="10" l="1"/>
  <c r="G29" i="10"/>
  <c r="H29" i="10"/>
  <c r="F37" i="5" l="1"/>
  <c r="G37" i="5"/>
  <c r="H37" i="5"/>
  <c r="F15" i="13"/>
  <c r="G15" i="13"/>
  <c r="H15" i="13"/>
  <c r="F20" i="6"/>
  <c r="G20" i="6"/>
  <c r="H20" i="6"/>
  <c r="F36" i="5"/>
  <c r="G36" i="5"/>
  <c r="H36" i="5"/>
  <c r="F60" i="11"/>
  <c r="G60" i="11"/>
  <c r="H60" i="11"/>
  <c r="H61" i="11"/>
  <c r="G61" i="11"/>
  <c r="F61" i="11"/>
  <c r="F21" i="34"/>
  <c r="G21" i="34"/>
  <c r="H21" i="34"/>
  <c r="F30" i="5"/>
  <c r="G30" i="5"/>
  <c r="H30" i="5"/>
  <c r="F35" i="5"/>
  <c r="G35" i="5"/>
  <c r="H35" i="5"/>
  <c r="F28" i="10"/>
  <c r="G28" i="10"/>
  <c r="H28" i="10"/>
  <c r="F20" i="34" l="1"/>
  <c r="G20" i="34"/>
  <c r="H20" i="34"/>
  <c r="F19" i="34"/>
  <c r="G19" i="34"/>
  <c r="H19" i="34"/>
  <c r="F9" i="35"/>
  <c r="G9" i="35"/>
  <c r="H9" i="35"/>
  <c r="F21" i="35"/>
  <c r="G21" i="35"/>
  <c r="H21" i="35"/>
  <c r="F29" i="41"/>
  <c r="G29" i="41"/>
  <c r="H29" i="41"/>
  <c r="F12" i="34"/>
  <c r="G12" i="34"/>
  <c r="H12" i="34"/>
  <c r="F92" i="40" l="1"/>
  <c r="G92" i="40"/>
  <c r="H92" i="40"/>
  <c r="F15" i="21" l="1"/>
  <c r="G15" i="21"/>
  <c r="H15" i="21"/>
  <c r="F27" i="10"/>
  <c r="G27" i="10"/>
  <c r="H27" i="10"/>
  <c r="F26" i="10"/>
  <c r="G26" i="10"/>
  <c r="H26" i="10"/>
  <c r="F14" i="48"/>
  <c r="G14" i="48"/>
  <c r="H14" i="48"/>
  <c r="F19" i="51"/>
  <c r="G19" i="51"/>
  <c r="H19" i="51"/>
  <c r="F17" i="36"/>
  <c r="G17" i="36"/>
  <c r="H17" i="36"/>
  <c r="F13" i="1"/>
  <c r="G13" i="1"/>
  <c r="H13" i="1"/>
  <c r="F16" i="14"/>
  <c r="G16" i="14"/>
  <c r="H16" i="14"/>
  <c r="F62" i="11"/>
  <c r="G62" i="11"/>
  <c r="H62" i="11"/>
  <c r="F15" i="14"/>
  <c r="G15" i="14"/>
  <c r="H15" i="14"/>
  <c r="F14" i="21"/>
  <c r="G14" i="21"/>
  <c r="H14" i="21"/>
  <c r="F13" i="21"/>
  <c r="G13" i="21"/>
  <c r="H13" i="21"/>
  <c r="F34" i="5"/>
  <c r="G34" i="5"/>
  <c r="H34" i="5"/>
  <c r="F91" i="40"/>
  <c r="G91" i="40"/>
  <c r="H91" i="40"/>
  <c r="F87" i="40"/>
  <c r="G87" i="40"/>
  <c r="H87" i="40"/>
  <c r="F14" i="46"/>
  <c r="G14" i="46"/>
  <c r="H14" i="46"/>
  <c r="F14" i="14"/>
  <c r="G14" i="14"/>
  <c r="H14" i="14"/>
  <c r="F13" i="34" l="1"/>
  <c r="G13" i="34"/>
  <c r="H13" i="34"/>
  <c r="F64" i="11"/>
  <c r="G64" i="11"/>
  <c r="H64" i="11"/>
  <c r="F63" i="11"/>
  <c r="G63" i="11"/>
  <c r="H63" i="11"/>
  <c r="F58" i="40"/>
  <c r="G58" i="40"/>
  <c r="H58" i="40"/>
  <c r="F59" i="40"/>
  <c r="G59" i="40"/>
  <c r="H59" i="40"/>
  <c r="F12" i="21"/>
  <c r="G12" i="21"/>
  <c r="H12" i="21"/>
  <c r="F25" i="10"/>
  <c r="G25" i="10"/>
  <c r="H25" i="10"/>
  <c r="F19" i="35"/>
  <c r="G19" i="35"/>
  <c r="H19" i="35"/>
  <c r="F18" i="35"/>
  <c r="G18" i="35"/>
  <c r="H18" i="35"/>
  <c r="F19" i="6"/>
  <c r="G19" i="6"/>
  <c r="H19" i="6"/>
  <c r="F16" i="6"/>
  <c r="G16" i="6"/>
  <c r="H16" i="6"/>
  <c r="F23" i="10"/>
  <c r="G23" i="10"/>
  <c r="H23" i="10"/>
  <c r="F24" i="10"/>
  <c r="G24" i="10"/>
  <c r="H24" i="10"/>
  <c r="F19" i="10"/>
  <c r="G19" i="10"/>
  <c r="H19" i="10"/>
  <c r="F14" i="13"/>
  <c r="G14" i="13"/>
  <c r="H14" i="13"/>
  <c r="F60" i="40"/>
  <c r="G60" i="40"/>
  <c r="H60" i="40"/>
  <c r="F51" i="40"/>
  <c r="F52" i="40"/>
  <c r="F53" i="40"/>
  <c r="F55" i="40"/>
  <c r="G51" i="40"/>
  <c r="G52" i="40"/>
  <c r="G53" i="40"/>
  <c r="G55" i="40"/>
  <c r="H51" i="40"/>
  <c r="H52" i="40"/>
  <c r="H53" i="40"/>
  <c r="H55" i="40"/>
  <c r="F67" i="40"/>
  <c r="G67" i="40"/>
  <c r="H67" i="40"/>
  <c r="F64" i="40"/>
  <c r="F65" i="40"/>
  <c r="F66" i="40"/>
  <c r="F68" i="40"/>
  <c r="G64" i="40"/>
  <c r="G65" i="40"/>
  <c r="G66" i="40"/>
  <c r="G68" i="40"/>
  <c r="H64" i="40"/>
  <c r="H65" i="40"/>
  <c r="H66" i="40"/>
  <c r="H68" i="40"/>
  <c r="F69" i="40"/>
  <c r="G69" i="40"/>
  <c r="H69" i="40"/>
  <c r="F70" i="40"/>
  <c r="G70" i="40"/>
  <c r="H70" i="40"/>
  <c r="F71" i="40"/>
  <c r="G71" i="40"/>
  <c r="H71" i="40"/>
  <c r="F72" i="40"/>
  <c r="G72" i="40"/>
  <c r="H72" i="40"/>
  <c r="F62" i="40"/>
  <c r="G62" i="40"/>
  <c r="H62" i="40"/>
  <c r="F10" i="34"/>
  <c r="G10" i="34"/>
  <c r="H10" i="34"/>
  <c r="F13" i="46"/>
  <c r="G13" i="46"/>
  <c r="H13" i="46"/>
  <c r="D21" i="53"/>
  <c r="M14" i="13"/>
  <c r="O17" i="6"/>
  <c r="N33" i="5"/>
  <c r="J21" i="3"/>
  <c r="J11" i="1"/>
  <c r="U12" i="2"/>
  <c r="U10" i="2"/>
  <c r="J15" i="53" l="1"/>
  <c r="G15" i="53"/>
  <c r="H15" i="53"/>
  <c r="T15" i="53"/>
  <c r="F15" i="53"/>
  <c r="Q15" i="53"/>
  <c r="O15" i="53"/>
  <c r="P15" i="53"/>
  <c r="M15" i="53"/>
  <c r="N15" i="53"/>
  <c r="X12" i="2"/>
  <c r="X10" i="2"/>
  <c r="X13" i="2"/>
  <c r="D8" i="53"/>
  <c r="D22" i="53" s="1"/>
  <c r="F86" i="40"/>
  <c r="G86" i="40"/>
  <c r="H86" i="40"/>
  <c r="F85" i="40"/>
  <c r="G85" i="40"/>
  <c r="H85" i="40"/>
  <c r="F84" i="40"/>
  <c r="G84" i="40"/>
  <c r="H84" i="40"/>
  <c r="F83" i="40"/>
  <c r="G83" i="40"/>
  <c r="H83" i="40"/>
  <c r="F82" i="40"/>
  <c r="G82" i="40"/>
  <c r="H82" i="40"/>
  <c r="F81" i="40"/>
  <c r="G81" i="40"/>
  <c r="H81" i="40"/>
  <c r="F80" i="40"/>
  <c r="G80" i="40"/>
  <c r="H80" i="40"/>
  <c r="F33" i="5"/>
  <c r="G33" i="5"/>
  <c r="H33" i="5"/>
  <c r="F79" i="40"/>
  <c r="G79" i="40"/>
  <c r="H79" i="40"/>
  <c r="F18" i="51"/>
  <c r="G18" i="51"/>
  <c r="H18" i="51"/>
  <c r="F78" i="40"/>
  <c r="G78" i="40"/>
  <c r="H78" i="40"/>
  <c r="F77" i="40"/>
  <c r="G77" i="40"/>
  <c r="H77" i="40"/>
  <c r="F28" i="41"/>
  <c r="G28" i="41"/>
  <c r="H28" i="41"/>
  <c r="D1" i="34"/>
  <c r="Q1" i="34" s="1"/>
  <c r="F16" i="36"/>
  <c r="G16" i="36"/>
  <c r="H16" i="36"/>
  <c r="F76" i="40"/>
  <c r="G76" i="40"/>
  <c r="H76" i="40"/>
  <c r="F15" i="6"/>
  <c r="G15" i="6"/>
  <c r="H15" i="6"/>
  <c r="F22" i="10"/>
  <c r="G22" i="10"/>
  <c r="H22" i="10"/>
  <c r="F75" i="40"/>
  <c r="G75" i="40"/>
  <c r="H75" i="40"/>
  <c r="F18" i="30"/>
  <c r="G18" i="30"/>
  <c r="H18" i="30"/>
  <c r="F17" i="28"/>
  <c r="G17" i="28"/>
  <c r="H17" i="28"/>
  <c r="F13" i="14"/>
  <c r="G13" i="14"/>
  <c r="H13" i="14"/>
  <c r="F21" i="10"/>
  <c r="G21" i="10"/>
  <c r="H21" i="10"/>
  <c r="F6" i="49"/>
  <c r="G6" i="49"/>
  <c r="H6" i="49"/>
  <c r="F21" i="3"/>
  <c r="G21" i="3"/>
  <c r="H21" i="3"/>
  <c r="F27" i="41"/>
  <c r="G27" i="41"/>
  <c r="H27" i="41"/>
  <c r="K15" i="53" l="1"/>
  <c r="Q1" i="54"/>
  <c r="E1" i="54"/>
  <c r="K2" i="54" s="1"/>
  <c r="G16" i="2"/>
  <c r="R1" i="34"/>
  <c r="P1" i="34"/>
  <c r="F74" i="40"/>
  <c r="G74" i="40"/>
  <c r="H74" i="40"/>
  <c r="F73" i="40"/>
  <c r="G73" i="40"/>
  <c r="H73" i="40"/>
  <c r="F17" i="30"/>
  <c r="G17" i="30"/>
  <c r="H17" i="30"/>
  <c r="F17" i="35"/>
  <c r="G17" i="35"/>
  <c r="H17" i="35"/>
  <c r="F16" i="35"/>
  <c r="G16" i="35"/>
  <c r="H16" i="35"/>
  <c r="F15" i="35"/>
  <c r="G15" i="35"/>
  <c r="H15" i="35"/>
  <c r="L2" i="54" l="1"/>
  <c r="I16" i="2"/>
  <c r="J16" i="2" s="1"/>
  <c r="K16" i="2" s="1"/>
  <c r="C15" i="53"/>
  <c r="I29" i="53"/>
  <c r="R1" i="54"/>
  <c r="P1" i="54"/>
  <c r="F16" i="28"/>
  <c r="G16" i="28"/>
  <c r="H16" i="28"/>
  <c r="F15" i="28"/>
  <c r="G15" i="28"/>
  <c r="H15" i="28"/>
  <c r="F14" i="28"/>
  <c r="G14" i="28"/>
  <c r="H14" i="28"/>
  <c r="F13" i="28"/>
  <c r="G13" i="28"/>
  <c r="H13" i="28"/>
  <c r="F12" i="28"/>
  <c r="G12" i="28"/>
  <c r="H12" i="28"/>
  <c r="F11" i="28"/>
  <c r="G11" i="28"/>
  <c r="H11" i="28"/>
  <c r="F13" i="24"/>
  <c r="G13" i="24"/>
  <c r="H13" i="24"/>
  <c r="F12" i="24"/>
  <c r="G12" i="24"/>
  <c r="H12" i="24"/>
  <c r="F11" i="24"/>
  <c r="G11" i="24"/>
  <c r="H11" i="24"/>
  <c r="F16" i="20"/>
  <c r="G16" i="20"/>
  <c r="H16" i="20"/>
  <c r="F15" i="20"/>
  <c r="G15" i="20"/>
  <c r="H15" i="20"/>
  <c r="F13" i="20"/>
  <c r="G13" i="20"/>
  <c r="H13" i="20"/>
  <c r="F12" i="20"/>
  <c r="G12" i="20"/>
  <c r="H12" i="20"/>
  <c r="F11" i="20"/>
  <c r="G11" i="20"/>
  <c r="H11" i="20"/>
  <c r="F18" i="16"/>
  <c r="G18" i="16"/>
  <c r="H18" i="16"/>
  <c r="F17" i="16"/>
  <c r="G17" i="16"/>
  <c r="H17" i="16"/>
  <c r="F15" i="16"/>
  <c r="G15" i="16"/>
  <c r="H15" i="16"/>
  <c r="F14" i="16"/>
  <c r="G14" i="16"/>
  <c r="H14" i="16"/>
  <c r="F13" i="13"/>
  <c r="G13" i="13"/>
  <c r="H13" i="13"/>
  <c r="F12" i="13"/>
  <c r="G12" i="13"/>
  <c r="H12" i="13"/>
  <c r="F11" i="13"/>
  <c r="G11" i="13"/>
  <c r="H11" i="13"/>
  <c r="F13" i="8"/>
  <c r="G13" i="8"/>
  <c r="H13" i="8"/>
  <c r="F11" i="8"/>
  <c r="G11" i="8"/>
  <c r="H11" i="8"/>
  <c r="F63" i="40"/>
  <c r="G63" i="40"/>
  <c r="H63" i="40"/>
  <c r="F11" i="1"/>
  <c r="G11" i="1"/>
  <c r="H11" i="1"/>
  <c r="F17" i="51"/>
  <c r="G17" i="51"/>
  <c r="H17" i="51"/>
  <c r="F16" i="51"/>
  <c r="G16" i="51"/>
  <c r="H16" i="51"/>
  <c r="F15" i="51"/>
  <c r="G15" i="51"/>
  <c r="H15" i="51"/>
  <c r="F14" i="51"/>
  <c r="G14" i="51"/>
  <c r="H14" i="51"/>
  <c r="F13" i="51"/>
  <c r="G13" i="51"/>
  <c r="H13" i="51"/>
  <c r="F12" i="51"/>
  <c r="G12" i="51"/>
  <c r="H12" i="51"/>
  <c r="F11" i="51"/>
  <c r="G11" i="51"/>
  <c r="H11" i="51"/>
  <c r="F20" i="10"/>
  <c r="G20" i="10"/>
  <c r="H20" i="10"/>
  <c r="F59" i="11"/>
  <c r="G59" i="11"/>
  <c r="H59" i="11"/>
  <c r="F61" i="40"/>
  <c r="G61" i="40"/>
  <c r="H61" i="40"/>
  <c r="F32" i="5"/>
  <c r="G32" i="5"/>
  <c r="H32" i="5"/>
  <c r="F22" i="41"/>
  <c r="G22" i="41"/>
  <c r="H22" i="41"/>
  <c r="F18" i="6"/>
  <c r="G18" i="6"/>
  <c r="H18" i="6"/>
  <c r="F17" i="6"/>
  <c r="G17" i="6"/>
  <c r="H17" i="6"/>
  <c r="F14" i="6"/>
  <c r="G14" i="6"/>
  <c r="H14" i="6"/>
  <c r="F13" i="6"/>
  <c r="G13" i="6"/>
  <c r="H13" i="6"/>
  <c r="F12" i="6"/>
  <c r="G12" i="6"/>
  <c r="H12" i="6"/>
  <c r="F9" i="6"/>
  <c r="G9" i="6"/>
  <c r="H9" i="6"/>
  <c r="F16" i="30"/>
  <c r="G16" i="30"/>
  <c r="H16" i="30"/>
  <c r="F15" i="30"/>
  <c r="G15" i="30"/>
  <c r="H15" i="30"/>
  <c r="F14" i="30"/>
  <c r="G14" i="30"/>
  <c r="H14" i="30"/>
  <c r="F13" i="30"/>
  <c r="G13" i="30"/>
  <c r="H13" i="30"/>
  <c r="F12" i="30"/>
  <c r="G12" i="30"/>
  <c r="H12" i="30"/>
  <c r="F11" i="30"/>
  <c r="G11" i="30"/>
  <c r="H11" i="30"/>
  <c r="F7" i="46"/>
  <c r="G7" i="46"/>
  <c r="H7" i="46"/>
  <c r="F18" i="10"/>
  <c r="G18" i="10"/>
  <c r="H18" i="10"/>
  <c r="F26" i="41"/>
  <c r="G26" i="41"/>
  <c r="H26" i="41"/>
  <c r="F45" i="40"/>
  <c r="G45" i="40"/>
  <c r="H45" i="40"/>
  <c r="F41" i="40"/>
  <c r="G41" i="40"/>
  <c r="H41" i="40"/>
  <c r="F57" i="40"/>
  <c r="G57" i="40"/>
  <c r="H57" i="40"/>
  <c r="F50" i="40"/>
  <c r="G50" i="40"/>
  <c r="H50" i="40"/>
  <c r="F44" i="40"/>
  <c r="G44" i="40"/>
  <c r="H44" i="40"/>
  <c r="F43" i="40"/>
  <c r="G43" i="40"/>
  <c r="H43" i="40"/>
  <c r="F42" i="40"/>
  <c r="G42" i="40"/>
  <c r="H42" i="40"/>
  <c r="F40" i="40"/>
  <c r="G40" i="40"/>
  <c r="H40" i="40"/>
  <c r="F30" i="40"/>
  <c r="G30" i="40"/>
  <c r="H30" i="40"/>
  <c r="F39" i="40"/>
  <c r="G39" i="40"/>
  <c r="H39" i="40"/>
  <c r="F38" i="40"/>
  <c r="G38" i="40"/>
  <c r="H38" i="40"/>
  <c r="F37" i="40"/>
  <c r="G37" i="40"/>
  <c r="H37" i="40"/>
  <c r="F36" i="40"/>
  <c r="G36" i="40"/>
  <c r="H36" i="40"/>
  <c r="F35" i="40"/>
  <c r="G35" i="40"/>
  <c r="H35" i="40"/>
  <c r="F34" i="40"/>
  <c r="G34" i="40"/>
  <c r="H34" i="40"/>
  <c r="F33" i="40"/>
  <c r="G33" i="40"/>
  <c r="H33" i="40"/>
  <c r="F32" i="40"/>
  <c r="G32" i="40"/>
  <c r="H32" i="40"/>
  <c r="F31" i="40"/>
  <c r="G31" i="40"/>
  <c r="H31" i="40"/>
  <c r="F29" i="40"/>
  <c r="G29" i="40"/>
  <c r="H29" i="40"/>
  <c r="F28" i="40"/>
  <c r="G28" i="40"/>
  <c r="H28" i="40"/>
  <c r="F27" i="40"/>
  <c r="G27" i="40"/>
  <c r="H27" i="40"/>
  <c r="F20" i="40"/>
  <c r="G20" i="40"/>
  <c r="H20" i="40"/>
  <c r="F7" i="40"/>
  <c r="G7" i="40"/>
  <c r="H7" i="40"/>
  <c r="F6" i="40"/>
  <c r="G6" i="40"/>
  <c r="H6" i="40"/>
  <c r="F26" i="40"/>
  <c r="G26" i="40"/>
  <c r="H26" i="40"/>
  <c r="F8" i="40"/>
  <c r="G8" i="40"/>
  <c r="H8" i="40"/>
  <c r="F9" i="40"/>
  <c r="G9" i="40"/>
  <c r="H9" i="40"/>
  <c r="F11" i="40"/>
  <c r="G11" i="40"/>
  <c r="H11" i="40"/>
  <c r="F25" i="40"/>
  <c r="G25" i="40"/>
  <c r="H25" i="40"/>
  <c r="F17" i="40"/>
  <c r="G17" i="40"/>
  <c r="H17" i="40"/>
  <c r="F15" i="40"/>
  <c r="G15" i="40"/>
  <c r="H15" i="40"/>
  <c r="F24" i="40"/>
  <c r="G24" i="40"/>
  <c r="H24" i="40"/>
  <c r="F21" i="40"/>
  <c r="G21" i="40"/>
  <c r="H21" i="40"/>
  <c r="F13" i="40"/>
  <c r="G13" i="40"/>
  <c r="H13" i="40"/>
  <c r="F23" i="40"/>
  <c r="G23" i="40"/>
  <c r="H23" i="40"/>
  <c r="F22" i="40"/>
  <c r="G22" i="40"/>
  <c r="H22" i="40"/>
  <c r="F19" i="40"/>
  <c r="G19" i="40"/>
  <c r="H19" i="40"/>
  <c r="F8" i="34"/>
  <c r="G8" i="34"/>
  <c r="H8" i="34"/>
  <c r="F17" i="34"/>
  <c r="G17" i="34"/>
  <c r="H17" i="34"/>
  <c r="F16" i="34"/>
  <c r="G16" i="34"/>
  <c r="H16" i="34"/>
  <c r="F7" i="34"/>
  <c r="G7" i="34"/>
  <c r="H7" i="34"/>
  <c r="F17" i="10"/>
  <c r="G17" i="10"/>
  <c r="H17" i="10"/>
  <c r="F12" i="3"/>
  <c r="G12" i="3"/>
  <c r="H12" i="3"/>
  <c r="F20" i="3"/>
  <c r="G20" i="3"/>
  <c r="H20" i="3"/>
  <c r="F16" i="3"/>
  <c r="G16" i="3"/>
  <c r="H16" i="3"/>
  <c r="F18" i="3"/>
  <c r="G18" i="3"/>
  <c r="H18" i="3"/>
  <c r="F17" i="3"/>
  <c r="G17" i="3"/>
  <c r="H17" i="3"/>
  <c r="I30" i="53" l="1"/>
  <c r="I31" i="53" s="1"/>
  <c r="I32" i="53" s="1"/>
  <c r="I33" i="53" s="1"/>
  <c r="F15" i="3"/>
  <c r="G15" i="3"/>
  <c r="H15" i="3"/>
  <c r="F14" i="3"/>
  <c r="G14" i="3"/>
  <c r="H14" i="3"/>
  <c r="F11" i="3"/>
  <c r="G11" i="3"/>
  <c r="H11" i="3"/>
  <c r="F10" i="3"/>
  <c r="G10" i="3"/>
  <c r="H10" i="3"/>
  <c r="F9" i="3"/>
  <c r="G9" i="3"/>
  <c r="H9" i="3"/>
  <c r="F8" i="3"/>
  <c r="G8" i="3"/>
  <c r="H8" i="3"/>
  <c r="F6" i="3"/>
  <c r="G6" i="3"/>
  <c r="H6" i="3"/>
  <c r="F7" i="3"/>
  <c r="G7" i="3"/>
  <c r="H7" i="3"/>
  <c r="F16" i="10"/>
  <c r="G16" i="10"/>
  <c r="H16" i="10"/>
  <c r="F31" i="5"/>
  <c r="G31" i="5"/>
  <c r="H31" i="5"/>
  <c r="F29" i="5"/>
  <c r="G29" i="5"/>
  <c r="H29" i="5"/>
  <c r="F28" i="5"/>
  <c r="G28" i="5"/>
  <c r="H28" i="5"/>
  <c r="F27" i="5"/>
  <c r="G27" i="5"/>
  <c r="H27" i="5"/>
  <c r="F26" i="5"/>
  <c r="G26" i="5"/>
  <c r="H26" i="5"/>
  <c r="F25" i="5"/>
  <c r="G25" i="5"/>
  <c r="H25" i="5"/>
  <c r="F24" i="5"/>
  <c r="G24" i="5"/>
  <c r="H24" i="5"/>
  <c r="F23" i="5"/>
  <c r="G23" i="5"/>
  <c r="H23" i="5"/>
  <c r="F22" i="5"/>
  <c r="G22" i="5"/>
  <c r="H22" i="5"/>
  <c r="F21" i="5"/>
  <c r="G21" i="5"/>
  <c r="H21" i="5"/>
  <c r="F20" i="5"/>
  <c r="G20" i="5"/>
  <c r="H20" i="5"/>
  <c r="F19" i="5"/>
  <c r="G19" i="5"/>
  <c r="H19" i="5"/>
  <c r="F18" i="5"/>
  <c r="G18" i="5"/>
  <c r="H18" i="5"/>
  <c r="F17" i="5"/>
  <c r="G17" i="5"/>
  <c r="H17" i="5"/>
  <c r="F16" i="5"/>
  <c r="G16" i="5"/>
  <c r="H16" i="5"/>
  <c r="F15" i="5"/>
  <c r="G15" i="5"/>
  <c r="H15" i="5"/>
  <c r="F14" i="5"/>
  <c r="G14" i="5"/>
  <c r="H14" i="5"/>
  <c r="F13" i="5"/>
  <c r="G13" i="5"/>
  <c r="H13" i="5"/>
  <c r="F12" i="5"/>
  <c r="G12" i="5"/>
  <c r="H12" i="5"/>
  <c r="F11" i="5"/>
  <c r="G11" i="5"/>
  <c r="H11" i="5"/>
  <c r="F57" i="11"/>
  <c r="G57" i="11"/>
  <c r="H57" i="11"/>
  <c r="F36" i="49"/>
  <c r="G36" i="49"/>
  <c r="H36" i="49"/>
  <c r="F35" i="49"/>
  <c r="G35" i="49"/>
  <c r="H35" i="49"/>
  <c r="F34" i="49"/>
  <c r="G34" i="49"/>
  <c r="H34" i="49"/>
  <c r="F33" i="49"/>
  <c r="G33" i="49"/>
  <c r="H33" i="49"/>
  <c r="F28" i="49"/>
  <c r="G28" i="49"/>
  <c r="H28" i="49"/>
  <c r="F32" i="49"/>
  <c r="G32" i="49"/>
  <c r="H32" i="49"/>
  <c r="F31" i="49"/>
  <c r="G31" i="49"/>
  <c r="H31" i="49"/>
  <c r="F30" i="49"/>
  <c r="G30" i="49"/>
  <c r="H30" i="49"/>
  <c r="F27" i="49"/>
  <c r="G27" i="49"/>
  <c r="H27" i="49"/>
  <c r="F26" i="49"/>
  <c r="G26" i="49"/>
  <c r="H26" i="49"/>
  <c r="F23" i="49"/>
  <c r="G23" i="49"/>
  <c r="H23" i="49"/>
  <c r="F22" i="49"/>
  <c r="G22" i="49"/>
  <c r="H22" i="49"/>
  <c r="F25" i="49"/>
  <c r="G25" i="49"/>
  <c r="H25" i="49"/>
  <c r="F24" i="49"/>
  <c r="G24" i="49"/>
  <c r="H24" i="49"/>
  <c r="F21" i="49"/>
  <c r="G21" i="49"/>
  <c r="H21" i="49"/>
  <c r="F20" i="49"/>
  <c r="G20" i="49"/>
  <c r="H20" i="49"/>
  <c r="F19" i="49"/>
  <c r="G19" i="49"/>
  <c r="H19" i="49"/>
  <c r="F15" i="36"/>
  <c r="G15" i="36"/>
  <c r="H15" i="36"/>
  <c r="F7" i="36"/>
  <c r="G7" i="36"/>
  <c r="H7" i="36"/>
  <c r="F8" i="36"/>
  <c r="G8" i="36"/>
  <c r="H8" i="36"/>
  <c r="F11" i="36"/>
  <c r="G11" i="36"/>
  <c r="H11" i="36"/>
  <c r="F10" i="36"/>
  <c r="G10" i="36"/>
  <c r="H10" i="36"/>
  <c r="F9" i="36"/>
  <c r="G9" i="36"/>
  <c r="H9" i="36"/>
  <c r="F15" i="10"/>
  <c r="G15" i="10"/>
  <c r="H15" i="10"/>
  <c r="F13" i="48"/>
  <c r="G13" i="48"/>
  <c r="H13" i="48"/>
  <c r="F56" i="11"/>
  <c r="G56" i="11"/>
  <c r="H56" i="11"/>
  <c r="F55" i="11"/>
  <c r="G55" i="11"/>
  <c r="H55" i="11"/>
  <c r="F54" i="11"/>
  <c r="G54" i="11"/>
  <c r="H54" i="11"/>
  <c r="F53" i="11"/>
  <c r="G53" i="11"/>
  <c r="H53" i="11"/>
  <c r="F52" i="11"/>
  <c r="G52" i="11"/>
  <c r="H52" i="11"/>
  <c r="F51" i="11"/>
  <c r="G51" i="11"/>
  <c r="H51" i="11"/>
  <c r="F50" i="11"/>
  <c r="G50" i="11"/>
  <c r="H50" i="11"/>
  <c r="F49" i="11"/>
  <c r="G49" i="11"/>
  <c r="H49" i="11"/>
  <c r="F48" i="11"/>
  <c r="G48" i="11"/>
  <c r="H48" i="11"/>
  <c r="F47" i="11"/>
  <c r="G47" i="11"/>
  <c r="H47" i="11"/>
  <c r="F46" i="11"/>
  <c r="G46" i="11"/>
  <c r="H46" i="11"/>
  <c r="F45" i="11"/>
  <c r="G45" i="11"/>
  <c r="H45" i="11"/>
  <c r="F44" i="11"/>
  <c r="G44" i="11"/>
  <c r="H44" i="11"/>
  <c r="F43" i="11"/>
  <c r="G43" i="11"/>
  <c r="H43" i="11"/>
  <c r="F42" i="11"/>
  <c r="G42" i="11"/>
  <c r="H42" i="11"/>
  <c r="F41" i="11"/>
  <c r="G41" i="11"/>
  <c r="H41" i="11"/>
  <c r="F40" i="11"/>
  <c r="G40" i="11"/>
  <c r="H40" i="11"/>
  <c r="F39" i="11"/>
  <c r="G39" i="11"/>
  <c r="H39" i="11"/>
  <c r="F21" i="11"/>
  <c r="G21" i="11"/>
  <c r="H21" i="11"/>
  <c r="F33" i="11"/>
  <c r="G33" i="11"/>
  <c r="H33" i="11"/>
  <c r="F36" i="11"/>
  <c r="G36" i="11"/>
  <c r="H36" i="11"/>
  <c r="F35" i="11"/>
  <c r="G35" i="11"/>
  <c r="H35" i="11"/>
  <c r="F25" i="11"/>
  <c r="G25" i="11"/>
  <c r="H25" i="11"/>
  <c r="F34" i="11"/>
  <c r="G34" i="11"/>
  <c r="H34" i="11"/>
  <c r="F31" i="11"/>
  <c r="G31" i="11"/>
  <c r="H31" i="11"/>
  <c r="F28" i="11"/>
  <c r="G28" i="11"/>
  <c r="H28" i="11"/>
  <c r="F32" i="11"/>
  <c r="G32" i="11"/>
  <c r="H32" i="11"/>
  <c r="F30" i="11"/>
  <c r="G30" i="11"/>
  <c r="H30" i="11"/>
  <c r="F29" i="11"/>
  <c r="G29" i="11"/>
  <c r="H29" i="11"/>
  <c r="F27" i="11"/>
  <c r="G27" i="11"/>
  <c r="H27" i="11"/>
  <c r="F26" i="11"/>
  <c r="G26" i="11"/>
  <c r="H26" i="11"/>
  <c r="F24" i="11"/>
  <c r="G24" i="11"/>
  <c r="H24" i="11"/>
  <c r="F20" i="11"/>
  <c r="G20" i="11"/>
  <c r="H20" i="11"/>
  <c r="F23" i="11"/>
  <c r="G23" i="11"/>
  <c r="H23" i="11"/>
  <c r="F15" i="11"/>
  <c r="G15" i="11"/>
  <c r="H15" i="11"/>
  <c r="F6" i="11"/>
  <c r="F7" i="11"/>
  <c r="F8" i="11"/>
  <c r="F9" i="11"/>
  <c r="G6" i="11"/>
  <c r="G7" i="11"/>
  <c r="G8" i="11"/>
  <c r="G9" i="11"/>
  <c r="H6" i="11"/>
  <c r="H7" i="11"/>
  <c r="H8" i="11"/>
  <c r="H9" i="11"/>
  <c r="F22" i="11"/>
  <c r="G22" i="11"/>
  <c r="H22" i="11"/>
  <c r="F19" i="11"/>
  <c r="G19" i="11"/>
  <c r="H19" i="11"/>
  <c r="F18" i="11"/>
  <c r="G18" i="11"/>
  <c r="H18" i="11"/>
  <c r="F17" i="11"/>
  <c r="G17" i="11"/>
  <c r="H17" i="11"/>
  <c r="F16" i="11"/>
  <c r="G16" i="11"/>
  <c r="H16" i="11"/>
  <c r="F11" i="10"/>
  <c r="G11" i="10"/>
  <c r="H11" i="10"/>
  <c r="F23" i="41"/>
  <c r="G23" i="41"/>
  <c r="H23" i="41"/>
  <c r="F25" i="41"/>
  <c r="G25" i="41"/>
  <c r="H25" i="41"/>
  <c r="F24" i="41"/>
  <c r="G24" i="41"/>
  <c r="H24" i="41"/>
  <c r="F20" i="41"/>
  <c r="G20" i="41"/>
  <c r="H20" i="41"/>
  <c r="F19" i="41"/>
  <c r="G19" i="41"/>
  <c r="H19" i="41"/>
  <c r="F18" i="41"/>
  <c r="G18" i="41"/>
  <c r="H18" i="41"/>
  <c r="F17" i="41"/>
  <c r="G17" i="41"/>
  <c r="H17" i="41"/>
  <c r="F16" i="41"/>
  <c r="G16" i="41"/>
  <c r="H16" i="41"/>
  <c r="F15" i="41"/>
  <c r="G15" i="41"/>
  <c r="H15" i="41"/>
  <c r="F14" i="41"/>
  <c r="G14" i="41"/>
  <c r="H14" i="41"/>
  <c r="F13" i="41"/>
  <c r="G13" i="41"/>
  <c r="H13" i="41"/>
  <c r="F12" i="41"/>
  <c r="G12" i="41"/>
  <c r="H12" i="41"/>
  <c r="F11" i="41"/>
  <c r="G11" i="41"/>
  <c r="H11" i="41"/>
  <c r="F14" i="10"/>
  <c r="G14" i="10"/>
  <c r="H14" i="10"/>
  <c r="F13" i="10"/>
  <c r="G13" i="10"/>
  <c r="H13" i="10"/>
  <c r="F12" i="10"/>
  <c r="G12" i="10"/>
  <c r="H12" i="10"/>
  <c r="I34" i="53" l="1"/>
  <c r="I35" i="53" s="1"/>
  <c r="I36" i="53" s="1"/>
  <c r="I37" i="53" s="1"/>
  <c r="H38" i="53" s="1"/>
  <c r="I38" i="53" s="1"/>
  <c r="H39" i="53" s="1"/>
  <c r="I39" i="53" s="1"/>
  <c r="H40" i="53" s="1"/>
  <c r="I40" i="53" s="1"/>
  <c r="H41" i="53" s="1"/>
  <c r="I41" i="53" s="1"/>
  <c r="H42" i="53" s="1"/>
  <c r="I42" i="53" s="1"/>
  <c r="H43" i="53" s="1"/>
  <c r="I43" i="53" s="1"/>
  <c r="H44" i="53" s="1"/>
  <c r="I44" i="53" s="1"/>
  <c r="H45" i="53" s="1"/>
  <c r="I45" i="53" s="1"/>
  <c r="H46" i="53" s="1"/>
  <c r="I46" i="53" s="1"/>
  <c r="H47" i="53" s="1"/>
  <c r="I47" i="53" s="1"/>
  <c r="H48" i="53" s="1"/>
  <c r="I48" i="53" s="1"/>
  <c r="H49" i="53" s="1"/>
  <c r="I49" i="53" s="1"/>
  <c r="H50" i="53" s="1"/>
  <c r="I50" i="53" s="1"/>
  <c r="D1" i="52"/>
  <c r="Q1" i="52" s="1"/>
  <c r="H13" i="52"/>
  <c r="G13" i="52"/>
  <c r="F13" i="52"/>
  <c r="H12" i="52"/>
  <c r="G12" i="52"/>
  <c r="F12" i="52"/>
  <c r="H11" i="52"/>
  <c r="G11" i="52"/>
  <c r="F11" i="52"/>
  <c r="H10" i="52"/>
  <c r="G10" i="52"/>
  <c r="F10" i="52"/>
  <c r="H9" i="52"/>
  <c r="G9" i="52"/>
  <c r="F9" i="52"/>
  <c r="H5" i="52"/>
  <c r="G5" i="52"/>
  <c r="F5" i="52"/>
  <c r="H4" i="52"/>
  <c r="G4" i="52"/>
  <c r="F4" i="52"/>
  <c r="D1" i="51"/>
  <c r="Q1" i="51" s="1"/>
  <c r="H10" i="51"/>
  <c r="G10" i="51"/>
  <c r="F10" i="51"/>
  <c r="H9" i="51"/>
  <c r="G9" i="51"/>
  <c r="F9" i="51"/>
  <c r="H8" i="51"/>
  <c r="G8" i="51"/>
  <c r="F8" i="51"/>
  <c r="H7" i="51"/>
  <c r="G7" i="51"/>
  <c r="F7" i="51"/>
  <c r="H6" i="51"/>
  <c r="G6" i="51"/>
  <c r="F6" i="51"/>
  <c r="H5" i="51"/>
  <c r="G5" i="51"/>
  <c r="F5" i="51"/>
  <c r="H4" i="51"/>
  <c r="G4" i="51"/>
  <c r="F4" i="51"/>
  <c r="D1" i="50"/>
  <c r="Q1" i="50" s="1"/>
  <c r="H10" i="50"/>
  <c r="G10" i="50"/>
  <c r="F10" i="50"/>
  <c r="H9" i="50"/>
  <c r="G9" i="50"/>
  <c r="F9" i="50"/>
  <c r="H8" i="50"/>
  <c r="G8" i="50"/>
  <c r="F8" i="50"/>
  <c r="H7" i="50"/>
  <c r="G7" i="50"/>
  <c r="F7" i="50"/>
  <c r="H6" i="50"/>
  <c r="G6" i="50"/>
  <c r="F6" i="50"/>
  <c r="H5" i="50"/>
  <c r="G5" i="50"/>
  <c r="F5" i="50"/>
  <c r="H4" i="50"/>
  <c r="G4" i="50"/>
  <c r="F4" i="50"/>
  <c r="D1" i="49"/>
  <c r="Q1" i="49" s="1"/>
  <c r="H18" i="49"/>
  <c r="G18" i="49"/>
  <c r="F18" i="49"/>
  <c r="H17" i="49"/>
  <c r="G17" i="49"/>
  <c r="F17" i="49"/>
  <c r="H16" i="49"/>
  <c r="G16" i="49"/>
  <c r="F16" i="49"/>
  <c r="H15" i="49"/>
  <c r="G15" i="49"/>
  <c r="F15" i="49"/>
  <c r="H14" i="49"/>
  <c r="G14" i="49"/>
  <c r="F14" i="49"/>
  <c r="H5" i="49"/>
  <c r="G5" i="49"/>
  <c r="F5" i="49"/>
  <c r="H4" i="49"/>
  <c r="G4" i="49"/>
  <c r="F4" i="49"/>
  <c r="D1" i="48"/>
  <c r="Q1" i="48" s="1"/>
  <c r="H12" i="48"/>
  <c r="G12" i="48"/>
  <c r="F12" i="48"/>
  <c r="H11" i="48"/>
  <c r="G11" i="48"/>
  <c r="F11" i="48"/>
  <c r="H10" i="48"/>
  <c r="G10" i="48"/>
  <c r="F10" i="48"/>
  <c r="H9" i="48"/>
  <c r="G9" i="48"/>
  <c r="F9" i="48"/>
  <c r="H6" i="48"/>
  <c r="G6" i="48"/>
  <c r="F6" i="48"/>
  <c r="H5" i="48"/>
  <c r="G5" i="48"/>
  <c r="F5" i="48"/>
  <c r="H4" i="48"/>
  <c r="G4" i="48"/>
  <c r="F4" i="48"/>
  <c r="D1" i="47"/>
  <c r="H11" i="47"/>
  <c r="G11" i="47"/>
  <c r="F11" i="47"/>
  <c r="H10" i="47"/>
  <c r="G10" i="47"/>
  <c r="F10" i="47"/>
  <c r="H8" i="47"/>
  <c r="G8" i="47"/>
  <c r="F8" i="47"/>
  <c r="H7" i="47"/>
  <c r="G7" i="47"/>
  <c r="F7" i="47"/>
  <c r="H6" i="47"/>
  <c r="G6" i="47"/>
  <c r="F6" i="47"/>
  <c r="H5" i="47"/>
  <c r="G5" i="47"/>
  <c r="F5" i="47"/>
  <c r="H4" i="47"/>
  <c r="G4" i="47"/>
  <c r="F4" i="47"/>
  <c r="D1" i="46"/>
  <c r="H11" i="46"/>
  <c r="G11" i="46"/>
  <c r="F11" i="46"/>
  <c r="H10" i="46"/>
  <c r="G10" i="46"/>
  <c r="F10" i="46"/>
  <c r="H9" i="46"/>
  <c r="G9" i="46"/>
  <c r="F9" i="46"/>
  <c r="H8" i="46"/>
  <c r="G8" i="46"/>
  <c r="F8" i="46"/>
  <c r="H6" i="46"/>
  <c r="G6" i="46"/>
  <c r="F6" i="46"/>
  <c r="H5" i="46"/>
  <c r="G5" i="46"/>
  <c r="F5" i="46"/>
  <c r="H4" i="46"/>
  <c r="G4" i="46"/>
  <c r="F4" i="46"/>
  <c r="D1" i="45"/>
  <c r="Q1" i="45" s="1"/>
  <c r="H10" i="45"/>
  <c r="G10" i="45"/>
  <c r="F10" i="45"/>
  <c r="H9" i="45"/>
  <c r="G9" i="45"/>
  <c r="F9" i="45"/>
  <c r="H8" i="45"/>
  <c r="G8" i="45"/>
  <c r="F8" i="45"/>
  <c r="H7" i="45"/>
  <c r="G7" i="45"/>
  <c r="F7" i="45"/>
  <c r="H6" i="45"/>
  <c r="G6" i="45"/>
  <c r="F6" i="45"/>
  <c r="H5" i="45"/>
  <c r="G5" i="45"/>
  <c r="F5" i="45"/>
  <c r="H4" i="45"/>
  <c r="G4" i="45"/>
  <c r="F4" i="45"/>
  <c r="D1" i="44"/>
  <c r="H11" i="44"/>
  <c r="G11" i="44"/>
  <c r="F11" i="44"/>
  <c r="H10" i="44"/>
  <c r="G10" i="44"/>
  <c r="F10" i="44"/>
  <c r="H9" i="44"/>
  <c r="G9" i="44"/>
  <c r="F9" i="44"/>
  <c r="H8" i="44"/>
  <c r="G8" i="44"/>
  <c r="F8" i="44"/>
  <c r="H6" i="44"/>
  <c r="G6" i="44"/>
  <c r="F6" i="44"/>
  <c r="H5" i="44"/>
  <c r="G5" i="44"/>
  <c r="F5" i="44"/>
  <c r="H4" i="44"/>
  <c r="G4" i="44"/>
  <c r="F4" i="44"/>
  <c r="D1" i="43"/>
  <c r="Q1" i="43" s="1"/>
  <c r="H10" i="43"/>
  <c r="G10" i="43"/>
  <c r="F10" i="43"/>
  <c r="H9" i="43"/>
  <c r="G9" i="43"/>
  <c r="F9" i="43"/>
  <c r="H8" i="43"/>
  <c r="G8" i="43"/>
  <c r="F8" i="43"/>
  <c r="H7" i="43"/>
  <c r="G7" i="43"/>
  <c r="F7" i="43"/>
  <c r="H6" i="43"/>
  <c r="G6" i="43"/>
  <c r="F6" i="43"/>
  <c r="H5" i="43"/>
  <c r="G5" i="43"/>
  <c r="F5" i="43"/>
  <c r="H4" i="43"/>
  <c r="G4" i="43"/>
  <c r="F4" i="43"/>
  <c r="D1" i="42"/>
  <c r="Q1" i="42" s="1"/>
  <c r="H10" i="42"/>
  <c r="G10" i="42"/>
  <c r="F10" i="42"/>
  <c r="H9" i="42"/>
  <c r="G9" i="42"/>
  <c r="F9" i="42"/>
  <c r="H8" i="42"/>
  <c r="G8" i="42"/>
  <c r="F8" i="42"/>
  <c r="H7" i="42"/>
  <c r="G7" i="42"/>
  <c r="F7" i="42"/>
  <c r="H6" i="42"/>
  <c r="G6" i="42"/>
  <c r="F6" i="42"/>
  <c r="H5" i="42"/>
  <c r="G5" i="42"/>
  <c r="F5" i="42"/>
  <c r="H4" i="42"/>
  <c r="G4" i="42"/>
  <c r="F4" i="42"/>
  <c r="D1" i="41"/>
  <c r="Q1" i="41" s="1"/>
  <c r="H10" i="41"/>
  <c r="G10" i="41"/>
  <c r="F10" i="41"/>
  <c r="H9" i="41"/>
  <c r="G9" i="41"/>
  <c r="F9" i="41"/>
  <c r="H8" i="41"/>
  <c r="G8" i="41"/>
  <c r="F8" i="41"/>
  <c r="H7" i="41"/>
  <c r="G7" i="41"/>
  <c r="F7" i="41"/>
  <c r="H6" i="41"/>
  <c r="G6" i="41"/>
  <c r="F6" i="41"/>
  <c r="H5" i="41"/>
  <c r="G5" i="41"/>
  <c r="F5" i="41"/>
  <c r="H4" i="41"/>
  <c r="G4" i="41"/>
  <c r="F4" i="41"/>
  <c r="D1" i="40"/>
  <c r="H18" i="40"/>
  <c r="G18" i="40"/>
  <c r="F18" i="40"/>
  <c r="H16" i="40"/>
  <c r="G16" i="40"/>
  <c r="F16" i="40"/>
  <c r="H14" i="40"/>
  <c r="G14" i="40"/>
  <c r="F14" i="40"/>
  <c r="H12" i="40"/>
  <c r="G12" i="40"/>
  <c r="F12" i="40"/>
  <c r="H10" i="40"/>
  <c r="G10" i="40"/>
  <c r="F10" i="40"/>
  <c r="H5" i="40"/>
  <c r="G5" i="40"/>
  <c r="F5" i="40"/>
  <c r="H4" i="40"/>
  <c r="G4" i="40"/>
  <c r="F4" i="40"/>
  <c r="D1" i="39"/>
  <c r="H10" i="39"/>
  <c r="G10" i="39"/>
  <c r="F10" i="39"/>
  <c r="H9" i="39"/>
  <c r="G9" i="39"/>
  <c r="F9" i="39"/>
  <c r="H8" i="39"/>
  <c r="G8" i="39"/>
  <c r="F8" i="39"/>
  <c r="H7" i="39"/>
  <c r="G7" i="39"/>
  <c r="F7" i="39"/>
  <c r="H6" i="39"/>
  <c r="G6" i="39"/>
  <c r="F6" i="39"/>
  <c r="H5" i="39"/>
  <c r="G5" i="39"/>
  <c r="F5" i="39"/>
  <c r="H4" i="39"/>
  <c r="G4" i="39"/>
  <c r="F4" i="39"/>
  <c r="D1" i="38"/>
  <c r="H10" i="38"/>
  <c r="G10" i="38"/>
  <c r="F10" i="38"/>
  <c r="H9" i="38"/>
  <c r="G9" i="38"/>
  <c r="F9" i="38"/>
  <c r="H8" i="38"/>
  <c r="G8" i="38"/>
  <c r="F8" i="38"/>
  <c r="H7" i="38"/>
  <c r="G7" i="38"/>
  <c r="F7" i="38"/>
  <c r="H6" i="38"/>
  <c r="G6" i="38"/>
  <c r="F6" i="38"/>
  <c r="H5" i="38"/>
  <c r="G5" i="38"/>
  <c r="F5" i="38"/>
  <c r="H4" i="38"/>
  <c r="G4" i="38"/>
  <c r="F4" i="38"/>
  <c r="D1" i="37"/>
  <c r="Q1" i="37" s="1"/>
  <c r="H9" i="37"/>
  <c r="G9" i="37"/>
  <c r="F9" i="37"/>
  <c r="H8" i="37"/>
  <c r="G8" i="37"/>
  <c r="F8" i="37"/>
  <c r="H7" i="37"/>
  <c r="G7" i="37"/>
  <c r="F7" i="37"/>
  <c r="H6" i="37"/>
  <c r="G6" i="37"/>
  <c r="F6" i="37"/>
  <c r="H5" i="37"/>
  <c r="G5" i="37"/>
  <c r="F5" i="37"/>
  <c r="H4" i="37"/>
  <c r="G4" i="37"/>
  <c r="F4" i="37"/>
  <c r="D1" i="36"/>
  <c r="Q1" i="36" s="1"/>
  <c r="H6" i="36"/>
  <c r="G6" i="36"/>
  <c r="F6" i="36"/>
  <c r="H5" i="36"/>
  <c r="G5" i="36"/>
  <c r="F5" i="36"/>
  <c r="H4" i="36"/>
  <c r="G4" i="36"/>
  <c r="F4" i="36"/>
  <c r="D1" i="35"/>
  <c r="Q1" i="35" s="1"/>
  <c r="H11" i="35"/>
  <c r="G11" i="35"/>
  <c r="F11" i="35"/>
  <c r="H10" i="35"/>
  <c r="G10" i="35"/>
  <c r="F10" i="35"/>
  <c r="H8" i="35"/>
  <c r="G8" i="35"/>
  <c r="F8" i="35"/>
  <c r="H7" i="35"/>
  <c r="G7" i="35"/>
  <c r="F7" i="35"/>
  <c r="H6" i="35"/>
  <c r="G6" i="35"/>
  <c r="F6" i="35"/>
  <c r="H5" i="35"/>
  <c r="G5" i="35"/>
  <c r="F5" i="35"/>
  <c r="H4" i="35"/>
  <c r="G4" i="35"/>
  <c r="F4" i="35"/>
  <c r="H15" i="34"/>
  <c r="G15" i="34"/>
  <c r="F15" i="34"/>
  <c r="H14" i="34"/>
  <c r="G14" i="34"/>
  <c r="F14" i="34"/>
  <c r="H11" i="34"/>
  <c r="G11" i="34"/>
  <c r="F11" i="34"/>
  <c r="H9" i="34"/>
  <c r="G9" i="34"/>
  <c r="F9" i="34"/>
  <c r="H6" i="34"/>
  <c r="G6" i="34"/>
  <c r="F6" i="34"/>
  <c r="H5" i="34"/>
  <c r="G5" i="34"/>
  <c r="F5" i="34"/>
  <c r="H4" i="34"/>
  <c r="G4" i="34"/>
  <c r="F4" i="34"/>
  <c r="D1" i="33"/>
  <c r="Q1" i="33" s="1"/>
  <c r="H10" i="33"/>
  <c r="G10" i="33"/>
  <c r="F10" i="33"/>
  <c r="H9" i="33"/>
  <c r="G9" i="33"/>
  <c r="F9" i="33"/>
  <c r="H8" i="33"/>
  <c r="G8" i="33"/>
  <c r="F8" i="33"/>
  <c r="H7" i="33"/>
  <c r="G7" i="33"/>
  <c r="F7" i="33"/>
  <c r="H6" i="33"/>
  <c r="G6" i="33"/>
  <c r="F6" i="33"/>
  <c r="H5" i="33"/>
  <c r="G5" i="33"/>
  <c r="F5" i="33"/>
  <c r="H4" i="33"/>
  <c r="G4" i="33"/>
  <c r="F4" i="33"/>
  <c r="D1" i="32"/>
  <c r="Q1" i="32" s="1"/>
  <c r="H10" i="32"/>
  <c r="G10" i="32"/>
  <c r="F10" i="32"/>
  <c r="H9" i="32"/>
  <c r="G9" i="32"/>
  <c r="F9" i="32"/>
  <c r="H8" i="32"/>
  <c r="G8" i="32"/>
  <c r="F8" i="32"/>
  <c r="H7" i="32"/>
  <c r="G7" i="32"/>
  <c r="F7" i="32"/>
  <c r="H6" i="32"/>
  <c r="G6" i="32"/>
  <c r="F6" i="32"/>
  <c r="H5" i="32"/>
  <c r="G5" i="32"/>
  <c r="F5" i="32"/>
  <c r="H4" i="32"/>
  <c r="G4" i="32"/>
  <c r="F4" i="32"/>
  <c r="D1" i="31"/>
  <c r="H10" i="31"/>
  <c r="G10" i="31"/>
  <c r="F10" i="31"/>
  <c r="H9" i="31"/>
  <c r="G9" i="31"/>
  <c r="F9" i="31"/>
  <c r="H8" i="31"/>
  <c r="G8" i="31"/>
  <c r="F8" i="31"/>
  <c r="H7" i="31"/>
  <c r="G7" i="31"/>
  <c r="F7" i="31"/>
  <c r="H6" i="31"/>
  <c r="G6" i="31"/>
  <c r="F6" i="31"/>
  <c r="H5" i="31"/>
  <c r="G5" i="31"/>
  <c r="F5" i="31"/>
  <c r="H4" i="31"/>
  <c r="G4" i="31"/>
  <c r="F4" i="31"/>
  <c r="D1" i="30"/>
  <c r="Q1" i="30" s="1"/>
  <c r="H10" i="30"/>
  <c r="G10" i="30"/>
  <c r="F10" i="30"/>
  <c r="H9" i="30"/>
  <c r="G9" i="30"/>
  <c r="F9" i="30"/>
  <c r="H8" i="30"/>
  <c r="G8" i="30"/>
  <c r="F8" i="30"/>
  <c r="H7" i="30"/>
  <c r="G7" i="30"/>
  <c r="F7" i="30"/>
  <c r="H6" i="30"/>
  <c r="G6" i="30"/>
  <c r="F6" i="30"/>
  <c r="H5" i="30"/>
  <c r="G5" i="30"/>
  <c r="F5" i="30"/>
  <c r="H4" i="30"/>
  <c r="G4" i="30"/>
  <c r="F4" i="30"/>
  <c r="D1" i="29"/>
  <c r="Q1" i="29" s="1"/>
  <c r="H10" i="29"/>
  <c r="G10" i="29"/>
  <c r="F10" i="29"/>
  <c r="H9" i="29"/>
  <c r="G9" i="29"/>
  <c r="F9" i="29"/>
  <c r="H8" i="29"/>
  <c r="G8" i="29"/>
  <c r="F8" i="29"/>
  <c r="H7" i="29"/>
  <c r="G7" i="29"/>
  <c r="F7" i="29"/>
  <c r="H6" i="29"/>
  <c r="G6" i="29"/>
  <c r="F6" i="29"/>
  <c r="H5" i="29"/>
  <c r="G5" i="29"/>
  <c r="F5" i="29"/>
  <c r="H4" i="29"/>
  <c r="G4" i="29"/>
  <c r="F4" i="29"/>
  <c r="Q1" i="28"/>
  <c r="H10" i="28"/>
  <c r="G10" i="28"/>
  <c r="F10" i="28"/>
  <c r="H9" i="28"/>
  <c r="G9" i="28"/>
  <c r="F9" i="28"/>
  <c r="H8" i="28"/>
  <c r="G8" i="28"/>
  <c r="F8" i="28"/>
  <c r="H7" i="28"/>
  <c r="G7" i="28"/>
  <c r="F7" i="28"/>
  <c r="H6" i="28"/>
  <c r="G6" i="28"/>
  <c r="F6" i="28"/>
  <c r="H5" i="28"/>
  <c r="G5" i="28"/>
  <c r="F5" i="28"/>
  <c r="H4" i="28"/>
  <c r="G4" i="28"/>
  <c r="F4" i="28"/>
  <c r="D1" i="27"/>
  <c r="Q1" i="27" s="1"/>
  <c r="H10" i="27"/>
  <c r="G10" i="27"/>
  <c r="F10" i="27"/>
  <c r="H9" i="27"/>
  <c r="G9" i="27"/>
  <c r="F9" i="27"/>
  <c r="H8" i="27"/>
  <c r="G8" i="27"/>
  <c r="F8" i="27"/>
  <c r="H7" i="27"/>
  <c r="G7" i="27"/>
  <c r="F7" i="27"/>
  <c r="H6" i="27"/>
  <c r="G6" i="27"/>
  <c r="F6" i="27"/>
  <c r="H5" i="27"/>
  <c r="G5" i="27"/>
  <c r="F5" i="27"/>
  <c r="H4" i="27"/>
  <c r="G4" i="27"/>
  <c r="F4" i="27"/>
  <c r="D1" i="26"/>
  <c r="Q1" i="26" s="1"/>
  <c r="H11" i="26"/>
  <c r="G11" i="26"/>
  <c r="F11" i="26"/>
  <c r="H10" i="26"/>
  <c r="G10" i="26"/>
  <c r="F10" i="26"/>
  <c r="H9" i="26"/>
  <c r="G9" i="26"/>
  <c r="F9" i="26"/>
  <c r="H8" i="26"/>
  <c r="G8" i="26"/>
  <c r="F8" i="26"/>
  <c r="H7" i="26"/>
  <c r="G7" i="26"/>
  <c r="F7" i="26"/>
  <c r="H5" i="26"/>
  <c r="G5" i="26"/>
  <c r="F5" i="26"/>
  <c r="H4" i="26"/>
  <c r="G4" i="26"/>
  <c r="F4" i="26"/>
  <c r="D1" i="25"/>
  <c r="Q1" i="25" s="1"/>
  <c r="H10" i="25"/>
  <c r="G10" i="25"/>
  <c r="F10" i="25"/>
  <c r="H9" i="25"/>
  <c r="G9" i="25"/>
  <c r="F9" i="25"/>
  <c r="H8" i="25"/>
  <c r="G8" i="25"/>
  <c r="F8" i="25"/>
  <c r="H7" i="25"/>
  <c r="G7" i="25"/>
  <c r="F7" i="25"/>
  <c r="H6" i="25"/>
  <c r="G6" i="25"/>
  <c r="F6" i="25"/>
  <c r="H5" i="25"/>
  <c r="G5" i="25"/>
  <c r="F5" i="25"/>
  <c r="H4" i="25"/>
  <c r="G4" i="25"/>
  <c r="F4" i="25"/>
  <c r="D1" i="24"/>
  <c r="Q1" i="24" s="1"/>
  <c r="H10" i="24"/>
  <c r="G10" i="24"/>
  <c r="F10" i="24"/>
  <c r="H9" i="24"/>
  <c r="G9" i="24"/>
  <c r="F9" i="24"/>
  <c r="H8" i="24"/>
  <c r="G8" i="24"/>
  <c r="F8" i="24"/>
  <c r="H7" i="24"/>
  <c r="G7" i="24"/>
  <c r="F7" i="24"/>
  <c r="H6" i="24"/>
  <c r="G6" i="24"/>
  <c r="F6" i="24"/>
  <c r="H5" i="24"/>
  <c r="G5" i="24"/>
  <c r="F5" i="24"/>
  <c r="H4" i="24"/>
  <c r="G4" i="24"/>
  <c r="F4" i="24"/>
  <c r="D1" i="23"/>
  <c r="Q1" i="23" s="1"/>
  <c r="H10" i="23"/>
  <c r="G10" i="23"/>
  <c r="F10" i="23"/>
  <c r="H9" i="23"/>
  <c r="G9" i="23"/>
  <c r="F9" i="23"/>
  <c r="H8" i="23"/>
  <c r="G8" i="23"/>
  <c r="F8" i="23"/>
  <c r="H7" i="23"/>
  <c r="G7" i="23"/>
  <c r="F7" i="23"/>
  <c r="H6" i="23"/>
  <c r="G6" i="23"/>
  <c r="F6" i="23"/>
  <c r="H5" i="23"/>
  <c r="G5" i="23"/>
  <c r="F5" i="23"/>
  <c r="H4" i="23"/>
  <c r="G4" i="23"/>
  <c r="F4" i="23"/>
  <c r="D1" i="22"/>
  <c r="Q1" i="22" s="1"/>
  <c r="H11" i="22"/>
  <c r="G11" i="22"/>
  <c r="F11" i="22"/>
  <c r="H9" i="22"/>
  <c r="G9" i="22"/>
  <c r="F9" i="22"/>
  <c r="H8" i="22"/>
  <c r="G8" i="22"/>
  <c r="F8" i="22"/>
  <c r="H7" i="22"/>
  <c r="G7" i="22"/>
  <c r="F7" i="22"/>
  <c r="H6" i="22"/>
  <c r="G6" i="22"/>
  <c r="F6" i="22"/>
  <c r="H5" i="22"/>
  <c r="G5" i="22"/>
  <c r="F5" i="22"/>
  <c r="H4" i="22"/>
  <c r="G4" i="22"/>
  <c r="F4" i="22"/>
  <c r="D1" i="21"/>
  <c r="Q1" i="21" s="1"/>
  <c r="H11" i="21"/>
  <c r="G11" i="21"/>
  <c r="F11" i="21"/>
  <c r="H10" i="21"/>
  <c r="G10" i="21"/>
  <c r="F10" i="21"/>
  <c r="H9" i="21"/>
  <c r="G9" i="21"/>
  <c r="F9" i="21"/>
  <c r="H7" i="21"/>
  <c r="G7" i="21"/>
  <c r="F7" i="21"/>
  <c r="H6" i="21"/>
  <c r="G6" i="21"/>
  <c r="F6" i="21"/>
  <c r="H5" i="21"/>
  <c r="G5" i="21"/>
  <c r="F5" i="21"/>
  <c r="H4" i="21"/>
  <c r="G4" i="21"/>
  <c r="F4" i="21"/>
  <c r="D1" i="20"/>
  <c r="Q1" i="20" s="1"/>
  <c r="H10" i="20"/>
  <c r="G10" i="20"/>
  <c r="F10" i="20"/>
  <c r="H9" i="20"/>
  <c r="G9" i="20"/>
  <c r="F9" i="20"/>
  <c r="H8" i="20"/>
  <c r="G8" i="20"/>
  <c r="F8" i="20"/>
  <c r="H7" i="20"/>
  <c r="G7" i="20"/>
  <c r="F7" i="20"/>
  <c r="H6" i="20"/>
  <c r="G6" i="20"/>
  <c r="F6" i="20"/>
  <c r="H5" i="20"/>
  <c r="G5" i="20"/>
  <c r="F5" i="20"/>
  <c r="H4" i="20"/>
  <c r="G4" i="20"/>
  <c r="F4" i="20"/>
  <c r="D1" i="19"/>
  <c r="Q1" i="19" s="1"/>
  <c r="H10" i="19"/>
  <c r="G10" i="19"/>
  <c r="F10" i="19"/>
  <c r="H9" i="19"/>
  <c r="G9" i="19"/>
  <c r="F9" i="19"/>
  <c r="H8" i="19"/>
  <c r="G8" i="19"/>
  <c r="F8" i="19"/>
  <c r="H7" i="19"/>
  <c r="G7" i="19"/>
  <c r="F7" i="19"/>
  <c r="H6" i="19"/>
  <c r="G6" i="19"/>
  <c r="F6" i="19"/>
  <c r="H5" i="19"/>
  <c r="G5" i="19"/>
  <c r="F5" i="19"/>
  <c r="H4" i="19"/>
  <c r="G4" i="19"/>
  <c r="F4" i="19"/>
  <c r="D1" i="18"/>
  <c r="Q1" i="18" s="1"/>
  <c r="H11" i="18"/>
  <c r="G11" i="18"/>
  <c r="F11" i="18"/>
  <c r="H9" i="18"/>
  <c r="G9" i="18"/>
  <c r="F9" i="18"/>
  <c r="H8" i="18"/>
  <c r="G8" i="18"/>
  <c r="F8" i="18"/>
  <c r="H7" i="18"/>
  <c r="G7" i="18"/>
  <c r="F7" i="18"/>
  <c r="H6" i="18"/>
  <c r="G6" i="18"/>
  <c r="F6" i="18"/>
  <c r="H5" i="18"/>
  <c r="G5" i="18"/>
  <c r="F5" i="18"/>
  <c r="H4" i="18"/>
  <c r="G4" i="18"/>
  <c r="F4" i="18"/>
  <c r="D1" i="17"/>
  <c r="H10" i="17"/>
  <c r="G10" i="17"/>
  <c r="F10" i="17"/>
  <c r="H9" i="17"/>
  <c r="G9" i="17"/>
  <c r="F9" i="17"/>
  <c r="H8" i="17"/>
  <c r="G8" i="17"/>
  <c r="F8" i="17"/>
  <c r="H7" i="17"/>
  <c r="G7" i="17"/>
  <c r="F7" i="17"/>
  <c r="H6" i="17"/>
  <c r="G6" i="17"/>
  <c r="F6" i="17"/>
  <c r="H5" i="17"/>
  <c r="G5" i="17"/>
  <c r="F5" i="17"/>
  <c r="H4" i="17"/>
  <c r="G4" i="17"/>
  <c r="F4" i="17"/>
  <c r="D1" i="16"/>
  <c r="Q1" i="16" s="1"/>
  <c r="H13" i="16"/>
  <c r="G13" i="16"/>
  <c r="F13" i="16"/>
  <c r="H12" i="16"/>
  <c r="G12" i="16"/>
  <c r="F12" i="16"/>
  <c r="H11" i="16"/>
  <c r="G11" i="16"/>
  <c r="F11" i="16"/>
  <c r="H10" i="16"/>
  <c r="G10" i="16"/>
  <c r="F10" i="16"/>
  <c r="H9" i="16"/>
  <c r="G9" i="16"/>
  <c r="F9" i="16"/>
  <c r="H5" i="16"/>
  <c r="G5" i="16"/>
  <c r="F5" i="16"/>
  <c r="H4" i="16"/>
  <c r="G4" i="16"/>
  <c r="F4" i="16"/>
  <c r="D1" i="15"/>
  <c r="Q1" i="15" s="1"/>
  <c r="H10" i="15"/>
  <c r="G10" i="15"/>
  <c r="F10" i="15"/>
  <c r="H9" i="15"/>
  <c r="G9" i="15"/>
  <c r="F9" i="15"/>
  <c r="H8" i="15"/>
  <c r="G8" i="15"/>
  <c r="F8" i="15"/>
  <c r="H7" i="15"/>
  <c r="G7" i="15"/>
  <c r="F7" i="15"/>
  <c r="H6" i="15"/>
  <c r="G6" i="15"/>
  <c r="F6" i="15"/>
  <c r="H5" i="15"/>
  <c r="G5" i="15"/>
  <c r="F5" i="15"/>
  <c r="H4" i="15"/>
  <c r="G4" i="15"/>
  <c r="F4" i="15"/>
  <c r="D1" i="14"/>
  <c r="Q1" i="14" s="1"/>
  <c r="H12" i="14"/>
  <c r="G12" i="14"/>
  <c r="F12" i="14"/>
  <c r="H11" i="14"/>
  <c r="G11" i="14"/>
  <c r="F11" i="14"/>
  <c r="H10" i="14"/>
  <c r="G10" i="14"/>
  <c r="F10" i="14"/>
  <c r="H7" i="14"/>
  <c r="G7" i="14"/>
  <c r="F7" i="14"/>
  <c r="H6" i="14"/>
  <c r="G6" i="14"/>
  <c r="F6" i="14"/>
  <c r="H5" i="14"/>
  <c r="G5" i="14"/>
  <c r="F5" i="14"/>
  <c r="H4" i="14"/>
  <c r="G4" i="14"/>
  <c r="F4" i="14"/>
  <c r="D1" i="13"/>
  <c r="H10" i="13"/>
  <c r="G10" i="13"/>
  <c r="F10" i="13"/>
  <c r="H9" i="13"/>
  <c r="G9" i="13"/>
  <c r="F9" i="13"/>
  <c r="H8" i="13"/>
  <c r="G8" i="13"/>
  <c r="F8" i="13"/>
  <c r="H7" i="13"/>
  <c r="G7" i="13"/>
  <c r="F7" i="13"/>
  <c r="H6" i="13"/>
  <c r="G6" i="13"/>
  <c r="F6" i="13"/>
  <c r="H5" i="13"/>
  <c r="G5" i="13"/>
  <c r="F5" i="13"/>
  <c r="H4" i="13"/>
  <c r="G4" i="13"/>
  <c r="F4" i="13"/>
  <c r="D1" i="12"/>
  <c r="H10" i="12"/>
  <c r="G10" i="12"/>
  <c r="F10" i="12"/>
  <c r="H9" i="12"/>
  <c r="G9" i="12"/>
  <c r="F9" i="12"/>
  <c r="H8" i="12"/>
  <c r="G8" i="12"/>
  <c r="F8" i="12"/>
  <c r="H7" i="12"/>
  <c r="G7" i="12"/>
  <c r="F7" i="12"/>
  <c r="H6" i="12"/>
  <c r="G6" i="12"/>
  <c r="F6" i="12"/>
  <c r="H5" i="12"/>
  <c r="G5" i="12"/>
  <c r="F5" i="12"/>
  <c r="H4" i="12"/>
  <c r="G4" i="12"/>
  <c r="F4" i="12"/>
  <c r="Q1" i="11"/>
  <c r="H14" i="11"/>
  <c r="G14" i="11"/>
  <c r="F14" i="11"/>
  <c r="H13" i="11"/>
  <c r="G13" i="11"/>
  <c r="F13" i="11"/>
  <c r="H12" i="11"/>
  <c r="G12" i="11"/>
  <c r="F12" i="11"/>
  <c r="H11" i="11"/>
  <c r="G11" i="11"/>
  <c r="F11" i="11"/>
  <c r="H10" i="11"/>
  <c r="G10" i="11"/>
  <c r="F10" i="11"/>
  <c r="H5" i="11"/>
  <c r="G5" i="11"/>
  <c r="F5" i="11"/>
  <c r="H4" i="11"/>
  <c r="G4" i="11"/>
  <c r="F4" i="11"/>
  <c r="D1" i="10"/>
  <c r="Q1" i="10" s="1"/>
  <c r="H10" i="10"/>
  <c r="G10" i="10"/>
  <c r="F10" i="10"/>
  <c r="H9" i="10"/>
  <c r="G9" i="10"/>
  <c r="F9" i="10"/>
  <c r="H8" i="10"/>
  <c r="G8" i="10"/>
  <c r="F8" i="10"/>
  <c r="H7" i="10"/>
  <c r="G7" i="10"/>
  <c r="F7" i="10"/>
  <c r="H6" i="10"/>
  <c r="G6" i="10"/>
  <c r="F6" i="10"/>
  <c r="H5" i="10"/>
  <c r="G5" i="10"/>
  <c r="F5" i="10"/>
  <c r="H4" i="10"/>
  <c r="G4" i="10"/>
  <c r="F4" i="10"/>
  <c r="D1" i="9"/>
  <c r="Q1" i="9" s="1"/>
  <c r="H10" i="9"/>
  <c r="G10" i="9"/>
  <c r="F10" i="9"/>
  <c r="H9" i="9"/>
  <c r="G9" i="9"/>
  <c r="F9" i="9"/>
  <c r="H8" i="9"/>
  <c r="G8" i="9"/>
  <c r="F8" i="9"/>
  <c r="H7" i="9"/>
  <c r="G7" i="9"/>
  <c r="F7" i="9"/>
  <c r="H6" i="9"/>
  <c r="G6" i="9"/>
  <c r="F6" i="9"/>
  <c r="H5" i="9"/>
  <c r="G5" i="9"/>
  <c r="F5" i="9"/>
  <c r="H4" i="9"/>
  <c r="G4" i="9"/>
  <c r="F4" i="9"/>
  <c r="D1" i="8"/>
  <c r="Q1" i="8" s="1"/>
  <c r="H10" i="8"/>
  <c r="G10" i="8"/>
  <c r="F10" i="8"/>
  <c r="H9" i="8"/>
  <c r="G9" i="8"/>
  <c r="F9" i="8"/>
  <c r="H8" i="8"/>
  <c r="G8" i="8"/>
  <c r="F8" i="8"/>
  <c r="H7" i="8"/>
  <c r="G7" i="8"/>
  <c r="F7" i="8"/>
  <c r="H6" i="8"/>
  <c r="G6" i="8"/>
  <c r="F6" i="8"/>
  <c r="H5" i="8"/>
  <c r="G5" i="8"/>
  <c r="F5" i="8"/>
  <c r="H4" i="8"/>
  <c r="G4" i="8"/>
  <c r="F4" i="8"/>
  <c r="D1" i="7"/>
  <c r="Q1" i="7" s="1"/>
  <c r="H10" i="7"/>
  <c r="G10" i="7"/>
  <c r="F10" i="7"/>
  <c r="H9" i="7"/>
  <c r="G9" i="7"/>
  <c r="F9" i="7"/>
  <c r="H8" i="7"/>
  <c r="G8" i="7"/>
  <c r="F8" i="7"/>
  <c r="H7" i="7"/>
  <c r="G7" i="7"/>
  <c r="F7" i="7"/>
  <c r="H6" i="7"/>
  <c r="G6" i="7"/>
  <c r="F6" i="7"/>
  <c r="H5" i="7"/>
  <c r="G5" i="7"/>
  <c r="F5" i="7"/>
  <c r="H4" i="7"/>
  <c r="G4" i="7"/>
  <c r="F4" i="7"/>
  <c r="D1" i="6"/>
  <c r="Q1" i="6" s="1"/>
  <c r="H11" i="6"/>
  <c r="G11" i="6"/>
  <c r="F11" i="6"/>
  <c r="H10" i="6"/>
  <c r="G10" i="6"/>
  <c r="F10" i="6"/>
  <c r="H8" i="6"/>
  <c r="G8" i="6"/>
  <c r="F8" i="6"/>
  <c r="H7" i="6"/>
  <c r="G7" i="6"/>
  <c r="F7" i="6"/>
  <c r="H6" i="6"/>
  <c r="G6" i="6"/>
  <c r="F6" i="6"/>
  <c r="H5" i="6"/>
  <c r="G5" i="6"/>
  <c r="F5" i="6"/>
  <c r="H4" i="6"/>
  <c r="G4" i="6"/>
  <c r="F4" i="6"/>
  <c r="D1" i="5"/>
  <c r="Q1" i="5" s="1"/>
  <c r="H10" i="5"/>
  <c r="G10" i="5"/>
  <c r="F10" i="5"/>
  <c r="H9" i="5"/>
  <c r="G9" i="5"/>
  <c r="F9" i="5"/>
  <c r="H8" i="5"/>
  <c r="G8" i="5"/>
  <c r="F8" i="5"/>
  <c r="H7" i="5"/>
  <c r="G7" i="5"/>
  <c r="F7" i="5"/>
  <c r="H6" i="5"/>
  <c r="G6" i="5"/>
  <c r="F6" i="5"/>
  <c r="H5" i="5"/>
  <c r="G5" i="5"/>
  <c r="F5" i="5"/>
  <c r="H4" i="5"/>
  <c r="G4" i="5"/>
  <c r="F4" i="5"/>
  <c r="D1" i="4"/>
  <c r="Q1" i="4" s="1"/>
  <c r="H11" i="4"/>
  <c r="G11" i="4"/>
  <c r="F11" i="4"/>
  <c r="H10" i="4"/>
  <c r="G10" i="4"/>
  <c r="F10" i="4"/>
  <c r="H9" i="4"/>
  <c r="G9" i="4"/>
  <c r="F9" i="4"/>
  <c r="H7" i="4"/>
  <c r="G7" i="4"/>
  <c r="F7" i="4"/>
  <c r="H6" i="4"/>
  <c r="G6" i="4"/>
  <c r="F6" i="4"/>
  <c r="H5" i="4"/>
  <c r="G5" i="4"/>
  <c r="F5" i="4"/>
  <c r="H4" i="4"/>
  <c r="G4" i="4"/>
  <c r="F4" i="4"/>
  <c r="D1" i="3"/>
  <c r="Q1" i="3" s="1"/>
  <c r="H5" i="3"/>
  <c r="G5" i="3"/>
  <c r="F5" i="3"/>
  <c r="H4" i="3"/>
  <c r="G4" i="3"/>
  <c r="F4" i="3"/>
  <c r="L3" i="3" s="1"/>
  <c r="F71" i="2"/>
  <c r="D1" i="1"/>
  <c r="L3" i="12" l="1"/>
  <c r="Q1" i="12"/>
  <c r="R1" i="12" s="1"/>
  <c r="L3" i="29"/>
  <c r="L3" i="30"/>
  <c r="L3" i="38"/>
  <c r="L3" i="47"/>
  <c r="L3" i="32"/>
  <c r="L3" i="42"/>
  <c r="L3" i="44"/>
  <c r="L3" i="51"/>
  <c r="Q1" i="47"/>
  <c r="R1" i="47" s="1"/>
  <c r="Q1" i="44"/>
  <c r="R1" i="44" s="1"/>
  <c r="Q1" i="38"/>
  <c r="P1" i="38" s="1"/>
  <c r="L3" i="37"/>
  <c r="L3" i="28"/>
  <c r="L3" i="49"/>
  <c r="L3" i="48"/>
  <c r="L3" i="45"/>
  <c r="L3" i="41"/>
  <c r="L3" i="36"/>
  <c r="L3" i="34"/>
  <c r="L3" i="20"/>
  <c r="L3" i="27"/>
  <c r="L3" i="11"/>
  <c r="L3" i="25"/>
  <c r="L3" i="22"/>
  <c r="L3" i="24"/>
  <c r="L3" i="10"/>
  <c r="L3" i="18"/>
  <c r="L3" i="19"/>
  <c r="L3" i="40"/>
  <c r="C1" i="40"/>
  <c r="M3" i="40" s="1"/>
  <c r="L3" i="43"/>
  <c r="L3" i="23"/>
  <c r="Q1" i="40"/>
  <c r="R1" i="40" s="1"/>
  <c r="L3" i="5"/>
  <c r="L3" i="52"/>
  <c r="L3" i="46"/>
  <c r="L3" i="7"/>
  <c r="L3" i="35"/>
  <c r="L3" i="9"/>
  <c r="L3" i="26"/>
  <c r="L3" i="6"/>
  <c r="L3" i="4"/>
  <c r="L3" i="50"/>
  <c r="L3" i="14"/>
  <c r="C1" i="20"/>
  <c r="Q1" i="46"/>
  <c r="R1" i="46" s="1"/>
  <c r="Q1" i="13"/>
  <c r="R1" i="13" s="1"/>
  <c r="Q1" i="1"/>
  <c r="R1" i="1" s="1"/>
  <c r="C1" i="39"/>
  <c r="C54" i="2" s="1"/>
  <c r="F54" i="2" s="1"/>
  <c r="C1" i="13"/>
  <c r="F1" i="13" s="1"/>
  <c r="C1" i="31"/>
  <c r="C44" i="2" s="1"/>
  <c r="F44" i="2" s="1"/>
  <c r="C1" i="29"/>
  <c r="C1" i="17"/>
  <c r="C26" i="2" s="1"/>
  <c r="F26" i="2" s="1"/>
  <c r="C1" i="27"/>
  <c r="C1" i="41"/>
  <c r="C1" i="42"/>
  <c r="C1" i="24"/>
  <c r="C1" i="15"/>
  <c r="E1" i="15" s="1"/>
  <c r="K2" i="15" s="1"/>
  <c r="C1" i="23"/>
  <c r="C1" i="19"/>
  <c r="C1" i="32"/>
  <c r="C1" i="38"/>
  <c r="C1" i="28"/>
  <c r="M10" i="15"/>
  <c r="R1" i="6"/>
  <c r="P1" i="6"/>
  <c r="P1" i="5"/>
  <c r="R1" i="5"/>
  <c r="P1" i="4"/>
  <c r="R1" i="4"/>
  <c r="R1" i="3"/>
  <c r="P1" i="3"/>
  <c r="C1" i="22"/>
  <c r="C1" i="48"/>
  <c r="C1" i="45"/>
  <c r="R1" i="7"/>
  <c r="P1" i="7"/>
  <c r="C1" i="25"/>
  <c r="C1" i="21"/>
  <c r="C31" i="2" s="1"/>
  <c r="F31" i="2" s="1"/>
  <c r="C1" i="50"/>
  <c r="R1" i="45"/>
  <c r="P1" i="45"/>
  <c r="R1" i="51"/>
  <c r="P1" i="51"/>
  <c r="R1" i="19"/>
  <c r="P1" i="19"/>
  <c r="R1" i="33"/>
  <c r="P1" i="33"/>
  <c r="R1" i="11"/>
  <c r="P1" i="11"/>
  <c r="R1" i="18"/>
  <c r="P1" i="18"/>
  <c r="R1" i="25"/>
  <c r="P1" i="25"/>
  <c r="R1" i="32"/>
  <c r="P1" i="32"/>
  <c r="R1" i="37"/>
  <c r="P1" i="37"/>
  <c r="R1" i="50"/>
  <c r="P1" i="50"/>
  <c r="R1" i="10"/>
  <c r="P1" i="10"/>
  <c r="R1" i="24"/>
  <c r="P1" i="24"/>
  <c r="R1" i="9"/>
  <c r="P1" i="9"/>
  <c r="R1" i="23"/>
  <c r="P1" i="23"/>
  <c r="R1" i="15"/>
  <c r="P1" i="15"/>
  <c r="R1" i="29"/>
  <c r="P1" i="29"/>
  <c r="R1" i="35"/>
  <c r="P1" i="35"/>
  <c r="R1" i="42"/>
  <c r="P1" i="42"/>
  <c r="R1" i="48"/>
  <c r="P1" i="48"/>
  <c r="R1" i="30"/>
  <c r="P1" i="30"/>
  <c r="R1" i="8"/>
  <c r="P1" i="8"/>
  <c r="R1" i="22"/>
  <c r="P1" i="22"/>
  <c r="R1" i="43"/>
  <c r="P1" i="43"/>
  <c r="R1" i="21"/>
  <c r="P1" i="21"/>
  <c r="R1" i="28"/>
  <c r="P1" i="28"/>
  <c r="R1" i="41"/>
  <c r="P1" i="41"/>
  <c r="R1" i="20"/>
  <c r="P1" i="20"/>
  <c r="R1" i="27"/>
  <c r="P1" i="27"/>
  <c r="R1" i="16"/>
  <c r="P1" i="16"/>
  <c r="R1" i="52"/>
  <c r="P1" i="52"/>
  <c r="R1" i="26"/>
  <c r="P1" i="26"/>
  <c r="R1" i="36"/>
  <c r="P1" i="36"/>
  <c r="C1" i="47"/>
  <c r="P1" i="49"/>
  <c r="R1" i="49"/>
  <c r="C1" i="12"/>
  <c r="C1" i="7"/>
  <c r="C1" i="14"/>
  <c r="R1" i="14"/>
  <c r="P1" i="14"/>
  <c r="C1" i="11"/>
  <c r="C1" i="34"/>
  <c r="G71" i="2"/>
  <c r="C1" i="52"/>
  <c r="L4" i="52"/>
  <c r="M4" i="52"/>
  <c r="L4" i="45"/>
  <c r="M4" i="45"/>
  <c r="C1" i="44"/>
  <c r="L4" i="44"/>
  <c r="M4" i="44"/>
  <c r="C1" i="43"/>
  <c r="L4" i="43"/>
  <c r="M4" i="43"/>
  <c r="L4" i="42"/>
  <c r="M4" i="42"/>
  <c r="M4" i="39"/>
  <c r="L4" i="39"/>
  <c r="M4" i="38"/>
  <c r="L4" i="38"/>
  <c r="C1" i="37"/>
  <c r="L4" i="37"/>
  <c r="M4" i="37"/>
  <c r="L4" i="35"/>
  <c r="C1" i="35"/>
  <c r="M4" i="35"/>
  <c r="C1" i="33"/>
  <c r="C46" i="2" s="1"/>
  <c r="F46" i="2" s="1"/>
  <c r="L4" i="33"/>
  <c r="M4" i="33"/>
  <c r="M4" i="32"/>
  <c r="L4" i="32"/>
  <c r="L4" i="31"/>
  <c r="M4" i="31"/>
  <c r="L4" i="29"/>
  <c r="M4" i="29"/>
  <c r="M4" i="28"/>
  <c r="L4" i="28"/>
  <c r="M4" i="27"/>
  <c r="L4" i="27"/>
  <c r="M4" i="24"/>
  <c r="L4" i="24"/>
  <c r="L4" i="23"/>
  <c r="M4" i="23"/>
  <c r="L4" i="47"/>
  <c r="M4" i="47"/>
  <c r="C1" i="18"/>
  <c r="L4" i="22"/>
  <c r="M4" i="22"/>
  <c r="L4" i="20"/>
  <c r="M4" i="20"/>
  <c r="L4" i="26"/>
  <c r="L4" i="19"/>
  <c r="M4" i="19"/>
  <c r="M4" i="18"/>
  <c r="L4" i="18"/>
  <c r="L4" i="17"/>
  <c r="M4" i="17"/>
  <c r="L4" i="16"/>
  <c r="C1" i="16"/>
  <c r="C23" i="2" s="1"/>
  <c r="F23" i="2" s="1"/>
  <c r="M4" i="16"/>
  <c r="L4" i="15"/>
  <c r="M4" i="15"/>
  <c r="M4" i="13"/>
  <c r="L4" i="13"/>
  <c r="L4" i="12"/>
  <c r="M4" i="12"/>
  <c r="C1" i="26"/>
  <c r="M4" i="26"/>
  <c r="C1" i="51"/>
  <c r="L4" i="51"/>
  <c r="M4" i="51"/>
  <c r="C1" i="30"/>
  <c r="L4" i="30"/>
  <c r="M4" i="30"/>
  <c r="M4" i="50"/>
  <c r="L4" i="50"/>
  <c r="C1" i="46"/>
  <c r="L4" i="46"/>
  <c r="M4" i="46"/>
  <c r="M4" i="40"/>
  <c r="L4" i="40"/>
  <c r="L4" i="34"/>
  <c r="M4" i="34"/>
  <c r="L4" i="25"/>
  <c r="M4" i="25"/>
  <c r="C1" i="49"/>
  <c r="M3" i="49" s="1"/>
  <c r="L4" i="49"/>
  <c r="M4" i="49"/>
  <c r="C1" i="36"/>
  <c r="L4" i="36"/>
  <c r="M4" i="36"/>
  <c r="L4" i="48"/>
  <c r="M4" i="48"/>
  <c r="M4" i="11"/>
  <c r="L4" i="11"/>
  <c r="L4" i="21"/>
  <c r="M4" i="21"/>
  <c r="L4" i="41"/>
  <c r="M4" i="41"/>
  <c r="C1" i="10"/>
  <c r="L4" i="14"/>
  <c r="M4" i="14"/>
  <c r="C1" i="6"/>
  <c r="C1" i="4"/>
  <c r="C1" i="8"/>
  <c r="C11" i="2" s="1"/>
  <c r="F11" i="2" s="1"/>
  <c r="C1" i="9"/>
  <c r="M3" i="9" s="1"/>
  <c r="L4" i="5"/>
  <c r="M4" i="4"/>
  <c r="M4" i="3"/>
  <c r="C1" i="5"/>
  <c r="C1" i="3"/>
  <c r="L4" i="7"/>
  <c r="L4" i="8"/>
  <c r="L4" i="9"/>
  <c r="M4" i="9"/>
  <c r="M4" i="5"/>
  <c r="L4" i="10"/>
  <c r="M4" i="10"/>
  <c r="M4" i="7"/>
  <c r="M4" i="8"/>
  <c r="L4" i="3"/>
  <c r="L4" i="4"/>
  <c r="P1" i="12" l="1"/>
  <c r="C6" i="2"/>
  <c r="F6" i="2" s="1"/>
  <c r="F1" i="3"/>
  <c r="D6" i="2" s="1"/>
  <c r="M3" i="3"/>
  <c r="C15" i="2"/>
  <c r="F15" i="2" s="1"/>
  <c r="M3" i="12"/>
  <c r="R1" i="38"/>
  <c r="C41" i="2"/>
  <c r="F41" i="2" s="1"/>
  <c r="M3" i="29"/>
  <c r="G1" i="29" s="1"/>
  <c r="M3" i="38"/>
  <c r="C53" i="2"/>
  <c r="F53" i="2" s="1"/>
  <c r="P1" i="47"/>
  <c r="P1" i="44"/>
  <c r="C59" i="2"/>
  <c r="F59" i="2" s="1"/>
  <c r="M3" i="44"/>
  <c r="C63" i="2"/>
  <c r="F63" i="2" s="1"/>
  <c r="M3" i="47"/>
  <c r="C45" i="2"/>
  <c r="F45" i="2" s="1"/>
  <c r="M3" i="32"/>
  <c r="E1" i="37"/>
  <c r="K2" i="37" s="1"/>
  <c r="L2" i="37" s="1"/>
  <c r="M3" i="37"/>
  <c r="C40" i="2"/>
  <c r="F40" i="2" s="1"/>
  <c r="M3" i="28"/>
  <c r="C69" i="2"/>
  <c r="F69" i="2" s="1"/>
  <c r="M3" i="51"/>
  <c r="C64" i="2"/>
  <c r="F64" i="2" s="1"/>
  <c r="M3" i="48"/>
  <c r="C60" i="2"/>
  <c r="F60" i="2" s="1"/>
  <c r="M3" i="45"/>
  <c r="C57" i="2"/>
  <c r="F57" i="2" s="1"/>
  <c r="M3" i="42"/>
  <c r="C56" i="2"/>
  <c r="F56" i="2" s="1"/>
  <c r="M3" i="41"/>
  <c r="C50" i="2"/>
  <c r="F50" i="2" s="1"/>
  <c r="M3" i="36"/>
  <c r="C47" i="2"/>
  <c r="F47" i="2" s="1"/>
  <c r="M3" i="34"/>
  <c r="C43" i="2"/>
  <c r="F43" i="2" s="1"/>
  <c r="M3" i="30"/>
  <c r="C30" i="2"/>
  <c r="F30" i="2" s="1"/>
  <c r="M3" i="20"/>
  <c r="L2" i="15"/>
  <c r="I21" i="2"/>
  <c r="C39" i="2"/>
  <c r="F39" i="2" s="1"/>
  <c r="M3" i="27"/>
  <c r="E1" i="11"/>
  <c r="K2" i="11" s="1"/>
  <c r="M3" i="11"/>
  <c r="C33" i="2"/>
  <c r="F33" i="2" s="1"/>
  <c r="M3" i="22"/>
  <c r="G1" i="22" s="1"/>
  <c r="P1" i="40"/>
  <c r="C35" i="2"/>
  <c r="F35" i="2" s="1"/>
  <c r="M3" i="24"/>
  <c r="C13" i="2"/>
  <c r="F13" i="2" s="1"/>
  <c r="M3" i="10"/>
  <c r="C28" i="2"/>
  <c r="F28" i="2" s="1"/>
  <c r="M3" i="19"/>
  <c r="G1" i="19" s="1"/>
  <c r="C27" i="2"/>
  <c r="F27" i="2" s="1"/>
  <c r="M3" i="18"/>
  <c r="C58" i="2"/>
  <c r="F58" i="2" s="1"/>
  <c r="M3" i="43"/>
  <c r="C55" i="2"/>
  <c r="F55" i="2" s="1"/>
  <c r="C36" i="2"/>
  <c r="F36" i="2" s="1"/>
  <c r="M3" i="25"/>
  <c r="C34" i="2"/>
  <c r="F34" i="2" s="1"/>
  <c r="M3" i="23"/>
  <c r="C66" i="2"/>
  <c r="F66" i="2" s="1"/>
  <c r="F67" i="2"/>
  <c r="E1" i="31"/>
  <c r="F1" i="31"/>
  <c r="G1" i="31" s="1"/>
  <c r="G44" i="2" s="1"/>
  <c r="E1" i="39"/>
  <c r="K2" i="39" s="1"/>
  <c r="F1" i="39"/>
  <c r="G1" i="39" s="1"/>
  <c r="G54" i="2" s="1"/>
  <c r="E1" i="17"/>
  <c r="F1" i="17"/>
  <c r="G1" i="17" s="1"/>
  <c r="G26" i="2" s="1"/>
  <c r="C8" i="2"/>
  <c r="F8" i="2" s="1"/>
  <c r="M3" i="5"/>
  <c r="C10" i="2"/>
  <c r="M3" i="7"/>
  <c r="C38" i="2"/>
  <c r="F38" i="2" s="1"/>
  <c r="M3" i="26"/>
  <c r="C61" i="2"/>
  <c r="F61" i="2" s="1"/>
  <c r="M3" i="46"/>
  <c r="G1" i="46" s="1"/>
  <c r="P1" i="46"/>
  <c r="C70" i="2"/>
  <c r="F70" i="2" s="1"/>
  <c r="M3" i="52"/>
  <c r="P1" i="13"/>
  <c r="C48" i="2"/>
  <c r="F48" i="2" s="1"/>
  <c r="M3" i="35"/>
  <c r="F1" i="4"/>
  <c r="M3" i="4"/>
  <c r="E1" i="24"/>
  <c r="K2" i="24" s="1"/>
  <c r="F1" i="24"/>
  <c r="M1" i="24" s="1"/>
  <c r="N1" i="24" s="1"/>
  <c r="C20" i="2"/>
  <c r="F20" i="2" s="1"/>
  <c r="M3" i="14"/>
  <c r="E1" i="27"/>
  <c r="K2" i="27" s="1"/>
  <c r="L2" i="27" s="1"/>
  <c r="F1" i="27"/>
  <c r="D39" i="2" s="1"/>
  <c r="H39" i="2" s="1"/>
  <c r="J39" i="2" s="1"/>
  <c r="K39" i="2" s="1"/>
  <c r="C68" i="2"/>
  <c r="F68" i="2" s="1"/>
  <c r="M3" i="50"/>
  <c r="C12" i="2"/>
  <c r="F12" i="2" s="1"/>
  <c r="N3" i="9"/>
  <c r="C9" i="2"/>
  <c r="F9" i="2" s="1"/>
  <c r="M3" i="6"/>
  <c r="N4" i="32"/>
  <c r="N5" i="32" s="1"/>
  <c r="E1" i="20"/>
  <c r="K2" i="20" s="1"/>
  <c r="F1" i="20"/>
  <c r="M1" i="20" s="1"/>
  <c r="N1" i="20" s="1"/>
  <c r="P1" i="1"/>
  <c r="E1" i="29"/>
  <c r="G1" i="13"/>
  <c r="G18" i="2" s="1"/>
  <c r="F1" i="29"/>
  <c r="M1" i="29" s="1"/>
  <c r="N1" i="29" s="1"/>
  <c r="N4" i="38"/>
  <c r="N5" i="38" s="1"/>
  <c r="F1" i="41"/>
  <c r="M1" i="41" s="1"/>
  <c r="N1" i="41" s="1"/>
  <c r="E1" i="41"/>
  <c r="K2" i="41" s="1"/>
  <c r="E1" i="19"/>
  <c r="C18" i="2"/>
  <c r="F18" i="2" s="1"/>
  <c r="E1" i="13"/>
  <c r="K2" i="13" s="1"/>
  <c r="F1" i="42"/>
  <c r="M1" i="42" s="1"/>
  <c r="N1" i="42" s="1"/>
  <c r="E1" i="42"/>
  <c r="K2" i="42" s="1"/>
  <c r="F1" i="19"/>
  <c r="F1" i="23"/>
  <c r="E1" i="23"/>
  <c r="K2" i="23" s="1"/>
  <c r="F1" i="15"/>
  <c r="M1" i="15" s="1"/>
  <c r="N1" i="15" s="1"/>
  <c r="C21" i="2"/>
  <c r="F21" i="2" s="1"/>
  <c r="F1" i="32"/>
  <c r="E1" i="32"/>
  <c r="K2" i="32" s="1"/>
  <c r="E1" i="38"/>
  <c r="K2" i="38" s="1"/>
  <c r="F1" i="38"/>
  <c r="M1" i="38" s="1"/>
  <c r="F1" i="28"/>
  <c r="M1" i="28" s="1"/>
  <c r="N1" i="28" s="1"/>
  <c r="E1" i="28"/>
  <c r="K2" i="28" s="1"/>
  <c r="F1" i="22"/>
  <c r="D33" i="2" s="1"/>
  <c r="E1" i="22"/>
  <c r="F1" i="48"/>
  <c r="M1" i="48" s="1"/>
  <c r="E1" i="48"/>
  <c r="K2" i="48" s="1"/>
  <c r="F1" i="45"/>
  <c r="M1" i="45" s="1"/>
  <c r="N1" i="45" s="1"/>
  <c r="E1" i="45"/>
  <c r="K2" i="45" s="1"/>
  <c r="E1" i="50"/>
  <c r="K2" i="50" s="1"/>
  <c r="F1" i="25"/>
  <c r="M1" i="25" s="1"/>
  <c r="N1" i="25" s="1"/>
  <c r="E1" i="25"/>
  <c r="E1" i="21"/>
  <c r="K2" i="21" s="1"/>
  <c r="F1" i="21"/>
  <c r="G1" i="21" s="1"/>
  <c r="G31" i="2" s="1"/>
  <c r="F1" i="50"/>
  <c r="M1" i="50" s="1"/>
  <c r="N1" i="50" s="1"/>
  <c r="N4" i="26"/>
  <c r="N5" i="26" s="1"/>
  <c r="E1" i="47"/>
  <c r="K2" i="47" s="1"/>
  <c r="F1" i="47"/>
  <c r="F1" i="12"/>
  <c r="M1" i="12" s="1"/>
  <c r="E1" i="12"/>
  <c r="K2" i="12" s="1"/>
  <c r="E1" i="7"/>
  <c r="K2" i="7" s="1"/>
  <c r="F1" i="7"/>
  <c r="M1" i="7" s="1"/>
  <c r="D18" i="2"/>
  <c r="H18" i="2" s="1"/>
  <c r="M1" i="13"/>
  <c r="F1" i="14"/>
  <c r="M1" i="14" s="1"/>
  <c r="N1" i="14" s="1"/>
  <c r="E1" i="14"/>
  <c r="K2" i="14" s="1"/>
  <c r="N4" i="22"/>
  <c r="N5" i="22" s="1"/>
  <c r="F1" i="11"/>
  <c r="C14" i="2"/>
  <c r="F14" i="2" s="1"/>
  <c r="E1" i="34"/>
  <c r="K2" i="34" s="1"/>
  <c r="F1" i="34"/>
  <c r="F1" i="52"/>
  <c r="E1" i="52"/>
  <c r="K2" i="52" s="1"/>
  <c r="N4" i="52"/>
  <c r="N5" i="52" s="1"/>
  <c r="N4" i="45"/>
  <c r="N5" i="45" s="1"/>
  <c r="E1" i="44"/>
  <c r="K2" i="44" s="1"/>
  <c r="F1" i="44"/>
  <c r="M1" i="44" s="1"/>
  <c r="N4" i="44"/>
  <c r="N5" i="44" s="1"/>
  <c r="N4" i="43"/>
  <c r="N5" i="43" s="1"/>
  <c r="F1" i="43"/>
  <c r="E1" i="43"/>
  <c r="K2" i="43" s="1"/>
  <c r="N4" i="42"/>
  <c r="N5" i="42" s="1"/>
  <c r="N4" i="39"/>
  <c r="N5" i="39" s="1"/>
  <c r="F1" i="37"/>
  <c r="C52" i="2"/>
  <c r="F52" i="2" s="1"/>
  <c r="N4" i="37"/>
  <c r="N5" i="37" s="1"/>
  <c r="N4" i="35"/>
  <c r="N5" i="35" s="1"/>
  <c r="F1" i="35"/>
  <c r="M1" i="35" s="1"/>
  <c r="E1" i="35"/>
  <c r="K2" i="35" s="1"/>
  <c r="F1" i="33"/>
  <c r="E1" i="33"/>
  <c r="N4" i="33"/>
  <c r="N5" i="33" s="1"/>
  <c r="N4" i="31"/>
  <c r="N5" i="31" s="1"/>
  <c r="N4" i="29"/>
  <c r="N5" i="29" s="1"/>
  <c r="N4" i="28"/>
  <c r="N5" i="28" s="1"/>
  <c r="N4" i="27"/>
  <c r="N5" i="27" s="1"/>
  <c r="N4" i="24"/>
  <c r="N5" i="24" s="1"/>
  <c r="N4" i="23"/>
  <c r="N5" i="23" s="1"/>
  <c r="N4" i="47"/>
  <c r="N5" i="47" s="1"/>
  <c r="F1" i="18"/>
  <c r="D27" i="2" s="1"/>
  <c r="E1" i="18"/>
  <c r="K2" i="18" s="1"/>
  <c r="N4" i="20"/>
  <c r="N5" i="20" s="1"/>
  <c r="N4" i="19"/>
  <c r="N5" i="19" s="1"/>
  <c r="N4" i="18"/>
  <c r="N5" i="18" s="1"/>
  <c r="N4" i="17"/>
  <c r="N5" i="17" s="1"/>
  <c r="N4" i="16"/>
  <c r="N5" i="16" s="1"/>
  <c r="E1" i="16"/>
  <c r="K2" i="16" s="1"/>
  <c r="F1" i="16"/>
  <c r="M1" i="16" s="1"/>
  <c r="N4" i="15"/>
  <c r="N5" i="15" s="1"/>
  <c r="N4" i="13"/>
  <c r="N5" i="13" s="1"/>
  <c r="N4" i="12"/>
  <c r="N5" i="12" s="1"/>
  <c r="F1" i="8"/>
  <c r="E1" i="26"/>
  <c r="K2" i="26" s="1"/>
  <c r="F1" i="26"/>
  <c r="F1" i="51"/>
  <c r="E1" i="51"/>
  <c r="K2" i="51" s="1"/>
  <c r="N4" i="51"/>
  <c r="N5" i="51" s="1"/>
  <c r="N5" i="6"/>
  <c r="F1" i="30"/>
  <c r="E1" i="30"/>
  <c r="K2" i="30" s="1"/>
  <c r="N4" i="30"/>
  <c r="N5" i="30" s="1"/>
  <c r="N4" i="50"/>
  <c r="N5" i="50" s="1"/>
  <c r="F1" i="46"/>
  <c r="E1" i="46"/>
  <c r="N4" i="46"/>
  <c r="N5" i="46" s="1"/>
  <c r="E1" i="40"/>
  <c r="K2" i="40" s="1"/>
  <c r="F1" i="40"/>
  <c r="G1" i="40" s="1"/>
  <c r="N4" i="40"/>
  <c r="N5" i="40" s="1"/>
  <c r="N4" i="34"/>
  <c r="N5" i="34" s="1"/>
  <c r="N4" i="25"/>
  <c r="N5" i="25" s="1"/>
  <c r="F1" i="49"/>
  <c r="G1" i="49" s="1"/>
  <c r="E1" i="49"/>
  <c r="K2" i="49" s="1"/>
  <c r="N4" i="49"/>
  <c r="N5" i="49" s="1"/>
  <c r="E1" i="36"/>
  <c r="K2" i="36" s="1"/>
  <c r="F1" i="36"/>
  <c r="N4" i="36"/>
  <c r="N5" i="36" s="1"/>
  <c r="N4" i="48"/>
  <c r="N5" i="48" s="1"/>
  <c r="N4" i="11"/>
  <c r="N5" i="11" s="1"/>
  <c r="N4" i="21"/>
  <c r="N5" i="21" s="1"/>
  <c r="N4" i="41"/>
  <c r="N5" i="41" s="1"/>
  <c r="E1" i="10"/>
  <c r="K2" i="10" s="1"/>
  <c r="F1" i="10"/>
  <c r="N4" i="14"/>
  <c r="N5" i="14" s="1"/>
  <c r="E1" i="9"/>
  <c r="K2" i="9" s="1"/>
  <c r="F1" i="9"/>
  <c r="G1" i="9" s="1"/>
  <c r="E1" i="8"/>
  <c r="K2" i="8" s="1"/>
  <c r="F1" i="6"/>
  <c r="E1" i="6"/>
  <c r="K2" i="6" s="1"/>
  <c r="N4" i="3"/>
  <c r="N5" i="3" s="1"/>
  <c r="E1" i="4"/>
  <c r="K2" i="4" s="1"/>
  <c r="C7" i="2"/>
  <c r="F7" i="2" s="1"/>
  <c r="N4" i="5"/>
  <c r="N5" i="5" s="1"/>
  <c r="E1" i="3"/>
  <c r="K2" i="3" s="1"/>
  <c r="N4" i="4"/>
  <c r="N5" i="4" s="1"/>
  <c r="N4" i="7"/>
  <c r="N5" i="7" s="1"/>
  <c r="N4" i="10"/>
  <c r="N5" i="10" s="1"/>
  <c r="F1" i="5"/>
  <c r="M1" i="5" s="1"/>
  <c r="E1" i="5"/>
  <c r="K2" i="5" s="1"/>
  <c r="N4" i="8"/>
  <c r="N5" i="8" s="1"/>
  <c r="N4" i="9"/>
  <c r="N5" i="9" s="1"/>
  <c r="G1" i="12" l="1"/>
  <c r="D44" i="2"/>
  <c r="G1" i="38"/>
  <c r="L2" i="6"/>
  <c r="I9" i="2"/>
  <c r="G1" i="45"/>
  <c r="G60" i="2" s="1"/>
  <c r="G1" i="44"/>
  <c r="G59" i="2" s="1"/>
  <c r="G1" i="47"/>
  <c r="G63" i="2" s="1"/>
  <c r="I52" i="2"/>
  <c r="I27" i="2"/>
  <c r="L2" i="18"/>
  <c r="G1" i="18"/>
  <c r="G27" i="2" s="1"/>
  <c r="G1" i="32"/>
  <c r="G45" i="2" s="1"/>
  <c r="G1" i="37"/>
  <c r="G52" i="2" s="1"/>
  <c r="G1" i="28"/>
  <c r="G40" i="2" s="1"/>
  <c r="G1" i="51"/>
  <c r="G69" i="2" s="1"/>
  <c r="G1" i="48"/>
  <c r="G64" i="2" s="1"/>
  <c r="G1" i="42"/>
  <c r="G57" i="2" s="1"/>
  <c r="G1" i="41"/>
  <c r="G56" i="2" s="1"/>
  <c r="G1" i="36"/>
  <c r="G50" i="2" s="1"/>
  <c r="G1" i="34"/>
  <c r="G47" i="2" s="1"/>
  <c r="G1" i="30"/>
  <c r="G43" i="2" s="1"/>
  <c r="G1" i="20"/>
  <c r="G30" i="2" s="1"/>
  <c r="H44" i="2"/>
  <c r="H33" i="2"/>
  <c r="J33" i="2" s="1"/>
  <c r="K33" i="2" s="1"/>
  <c r="L2" i="39"/>
  <c r="I54" i="2"/>
  <c r="I70" i="2"/>
  <c r="L2" i="52"/>
  <c r="L2" i="51"/>
  <c r="I69" i="2"/>
  <c r="L2" i="49"/>
  <c r="I66" i="2"/>
  <c r="L2" i="48"/>
  <c r="I64" i="2"/>
  <c r="L2" i="47"/>
  <c r="I63" i="2"/>
  <c r="L2" i="45"/>
  <c r="I60" i="2"/>
  <c r="L2" i="44"/>
  <c r="I59" i="2"/>
  <c r="L2" i="43"/>
  <c r="I58" i="2"/>
  <c r="L2" i="42"/>
  <c r="I57" i="2"/>
  <c r="I55" i="2"/>
  <c r="L2" i="40"/>
  <c r="L2" i="38"/>
  <c r="I53" i="2"/>
  <c r="I48" i="2"/>
  <c r="L2" i="35"/>
  <c r="L2" i="34"/>
  <c r="I47" i="2"/>
  <c r="L2" i="32"/>
  <c r="I45" i="2"/>
  <c r="L2" i="30"/>
  <c r="I43" i="2"/>
  <c r="L2" i="28"/>
  <c r="I40" i="2"/>
  <c r="I38" i="2"/>
  <c r="L2" i="26"/>
  <c r="L2" i="24"/>
  <c r="I35" i="2"/>
  <c r="L2" i="23"/>
  <c r="I34" i="2"/>
  <c r="L2" i="21"/>
  <c r="I31" i="2"/>
  <c r="L2" i="16"/>
  <c r="I23" i="2"/>
  <c r="L2" i="14"/>
  <c r="I20" i="2"/>
  <c r="L2" i="13"/>
  <c r="I18" i="2"/>
  <c r="J18" i="2" s="1"/>
  <c r="K18" i="2" s="1"/>
  <c r="L2" i="12"/>
  <c r="I15" i="2"/>
  <c r="L2" i="11"/>
  <c r="I14" i="2"/>
  <c r="J14" i="2" s="1"/>
  <c r="K14" i="2" s="1"/>
  <c r="I12" i="2"/>
  <c r="L2" i="9"/>
  <c r="L2" i="7"/>
  <c r="I10" i="2"/>
  <c r="L2" i="5"/>
  <c r="I8" i="2"/>
  <c r="L2" i="4"/>
  <c r="I7" i="2"/>
  <c r="H6" i="2"/>
  <c r="L2" i="3"/>
  <c r="I6" i="2"/>
  <c r="I30" i="2"/>
  <c r="L2" i="20"/>
  <c r="L2" i="36"/>
  <c r="I50" i="2"/>
  <c r="L2" i="41"/>
  <c r="I56" i="2"/>
  <c r="L2" i="10"/>
  <c r="I13" i="2"/>
  <c r="L2" i="50"/>
  <c r="I68" i="2"/>
  <c r="L2" i="8"/>
  <c r="I11" i="2"/>
  <c r="G1" i="27"/>
  <c r="G39" i="2" s="1"/>
  <c r="G1" i="11"/>
  <c r="G14" i="2" s="1"/>
  <c r="M1" i="23"/>
  <c r="N1" i="23" s="1"/>
  <c r="D34" i="2"/>
  <c r="H34" i="2" s="1"/>
  <c r="M1" i="4"/>
  <c r="N1" i="4" s="1"/>
  <c r="D7" i="2"/>
  <c r="G1" i="24"/>
  <c r="G35" i="2" s="1"/>
  <c r="M1" i="3"/>
  <c r="N1" i="3" s="1"/>
  <c r="G1" i="10"/>
  <c r="G13" i="2" s="1"/>
  <c r="M1" i="19"/>
  <c r="N1" i="19" s="1"/>
  <c r="D28" i="2"/>
  <c r="G1" i="43"/>
  <c r="G58" i="2" s="1"/>
  <c r="G1" i="7"/>
  <c r="G10" i="2" s="1"/>
  <c r="G1" i="26"/>
  <c r="G38" i="2" s="1"/>
  <c r="G1" i="25"/>
  <c r="G36" i="2" s="1"/>
  <c r="G1" i="23"/>
  <c r="G34" i="2" s="1"/>
  <c r="G1" i="52"/>
  <c r="G70" i="2" s="1"/>
  <c r="D54" i="2"/>
  <c r="H54" i="2" s="1"/>
  <c r="D26" i="2"/>
  <c r="D35" i="2"/>
  <c r="H35" i="2" s="1"/>
  <c r="G1" i="15"/>
  <c r="G21" i="2" s="1"/>
  <c r="G1" i="5"/>
  <c r="G8" i="2" s="1"/>
  <c r="G1" i="35"/>
  <c r="G48" i="2" s="1"/>
  <c r="G1" i="4"/>
  <c r="G7" i="2" s="1"/>
  <c r="D41" i="2"/>
  <c r="L1" i="29"/>
  <c r="G41" i="2"/>
  <c r="G1" i="14"/>
  <c r="G20" i="2" s="1"/>
  <c r="D21" i="2"/>
  <c r="H21" i="2" s="1"/>
  <c r="M1" i="27"/>
  <c r="N1" i="27" s="1"/>
  <c r="G1" i="50"/>
  <c r="G68" i="2" s="1"/>
  <c r="G1" i="6"/>
  <c r="G9" i="2" s="1"/>
  <c r="D53" i="2"/>
  <c r="H53" i="2" s="1"/>
  <c r="D30" i="2"/>
  <c r="D45" i="2"/>
  <c r="H45" i="2" s="1"/>
  <c r="D56" i="2"/>
  <c r="G28" i="2"/>
  <c r="L1" i="19"/>
  <c r="N1" i="48"/>
  <c r="D57" i="2"/>
  <c r="H57" i="2" s="1"/>
  <c r="G53" i="2"/>
  <c r="G33" i="2"/>
  <c r="M1" i="32"/>
  <c r="N1" i="32" s="1"/>
  <c r="N1" i="38"/>
  <c r="D40" i="2"/>
  <c r="H40" i="2" s="1"/>
  <c r="M1" i="22"/>
  <c r="N1" i="22" s="1"/>
  <c r="D60" i="2"/>
  <c r="H60" i="2" s="1"/>
  <c r="D11" i="2"/>
  <c r="M1" i="8"/>
  <c r="D64" i="2"/>
  <c r="H64" i="2" s="1"/>
  <c r="G1" i="33"/>
  <c r="G46" i="2" s="1"/>
  <c r="M1" i="33"/>
  <c r="D36" i="2"/>
  <c r="N1" i="7"/>
  <c r="M1" i="21"/>
  <c r="N1" i="21" s="1"/>
  <c r="D31" i="2"/>
  <c r="H31" i="2" s="1"/>
  <c r="D68" i="2"/>
  <c r="N1" i="5"/>
  <c r="L1" i="25"/>
  <c r="M1" i="6"/>
  <c r="D12" i="2"/>
  <c r="H12" i="2" s="1"/>
  <c r="M1" i="9"/>
  <c r="M1" i="43"/>
  <c r="D70" i="2"/>
  <c r="H70" i="2" s="1"/>
  <c r="M1" i="52"/>
  <c r="M1" i="37"/>
  <c r="D15" i="2"/>
  <c r="H15" i="2" s="1"/>
  <c r="G15" i="2"/>
  <c r="D38" i="2"/>
  <c r="H38" i="2" s="1"/>
  <c r="M1" i="26"/>
  <c r="M1" i="10"/>
  <c r="M1" i="36"/>
  <c r="D63" i="2"/>
  <c r="H63" i="2" s="1"/>
  <c r="M1" i="47"/>
  <c r="G66" i="2"/>
  <c r="M1" i="49"/>
  <c r="M1" i="51"/>
  <c r="N1" i="35"/>
  <c r="D20" i="2"/>
  <c r="H20" i="2" s="1"/>
  <c r="N1" i="12"/>
  <c r="N1" i="16"/>
  <c r="M1" i="18"/>
  <c r="D43" i="2"/>
  <c r="H43" i="2" s="1"/>
  <c r="M1" i="30"/>
  <c r="D59" i="2"/>
  <c r="H59" i="2" s="1"/>
  <c r="N1" i="44"/>
  <c r="D47" i="2"/>
  <c r="H47" i="2" s="1"/>
  <c r="M1" i="34"/>
  <c r="D61" i="2"/>
  <c r="M1" i="46"/>
  <c r="D55" i="2"/>
  <c r="M1" i="40"/>
  <c r="D14" i="2"/>
  <c r="H14" i="2" s="1"/>
  <c r="M1" i="11"/>
  <c r="N1" i="13"/>
  <c r="D46" i="2"/>
  <c r="G61" i="2"/>
  <c r="D58" i="2"/>
  <c r="H58" i="2" s="1"/>
  <c r="D52" i="2"/>
  <c r="D48" i="2"/>
  <c r="H48" i="2" s="1"/>
  <c r="G1" i="16"/>
  <c r="G23" i="2" s="1"/>
  <c r="D23" i="2"/>
  <c r="H23" i="2" s="1"/>
  <c r="G1" i="8"/>
  <c r="G11" i="2" s="1"/>
  <c r="D69" i="2"/>
  <c r="H69" i="2" s="1"/>
  <c r="D9" i="2"/>
  <c r="G55" i="2"/>
  <c r="G12" i="2"/>
  <c r="D66" i="2"/>
  <c r="H66" i="2" s="1"/>
  <c r="D50" i="2"/>
  <c r="D13" i="2"/>
  <c r="D8" i="2"/>
  <c r="H8" i="2" s="1"/>
  <c r="G1" i="3"/>
  <c r="G6" i="2" s="1"/>
  <c r="F10" i="2"/>
  <c r="J44" i="2" l="1"/>
  <c r="K44" i="2" s="1"/>
  <c r="H7" i="2"/>
  <c r="J7" i="2" s="1"/>
  <c r="K7" i="2" s="1"/>
  <c r="J63" i="2"/>
  <c r="K63" i="2" s="1"/>
  <c r="J31" i="2"/>
  <c r="K31" i="2" s="1"/>
  <c r="J21" i="2"/>
  <c r="K21" i="2" s="1"/>
  <c r="J66" i="2"/>
  <c r="K66" i="2" s="1"/>
  <c r="J47" i="2"/>
  <c r="K47" i="2" s="1"/>
  <c r="J48" i="2"/>
  <c r="K48" i="2" s="1"/>
  <c r="H52" i="2"/>
  <c r="J52" i="2" s="1"/>
  <c r="K52" i="2" s="1"/>
  <c r="J35" i="2"/>
  <c r="K35" i="2" s="1"/>
  <c r="J69" i="2"/>
  <c r="K69" i="2" s="1"/>
  <c r="J40" i="2"/>
  <c r="K40" i="2" s="1"/>
  <c r="J58" i="2"/>
  <c r="K58" i="2" s="1"/>
  <c r="J54" i="2"/>
  <c r="K54" i="2"/>
  <c r="J38" i="2"/>
  <c r="K38" i="2" s="1"/>
  <c r="J43" i="2"/>
  <c r="K43" i="2" s="1"/>
  <c r="J59" i="2"/>
  <c r="K59" i="2" s="1"/>
  <c r="K56" i="2"/>
  <c r="J56" i="2"/>
  <c r="J6" i="2"/>
  <c r="K6" i="2" s="1"/>
  <c r="J57" i="2"/>
  <c r="K57" i="2" s="1"/>
  <c r="J20" i="2"/>
  <c r="K20" i="2" s="1"/>
  <c r="J45" i="2"/>
  <c r="K45" i="2" s="1"/>
  <c r="J60" i="2"/>
  <c r="K60" i="2" s="1"/>
  <c r="J11" i="2"/>
  <c r="K11" i="2" s="1"/>
  <c r="J12" i="2"/>
  <c r="K12" i="2" s="1"/>
  <c r="J70" i="2"/>
  <c r="K70" i="2" s="1"/>
  <c r="J8" i="2"/>
  <c r="K8" i="2" s="1"/>
  <c r="J64" i="2"/>
  <c r="K64" i="2"/>
  <c r="J10" i="2"/>
  <c r="K10" i="2" s="1"/>
  <c r="K34" i="2"/>
  <c r="J34" i="2"/>
  <c r="J53" i="2"/>
  <c r="K53" i="2" s="1"/>
  <c r="J15" i="2"/>
  <c r="K15" i="2"/>
  <c r="J23" i="2"/>
  <c r="K23" i="2" s="1"/>
  <c r="K68" i="2"/>
  <c r="J68" i="2"/>
  <c r="J13" i="2"/>
  <c r="K13" i="2" s="1"/>
  <c r="H27" i="2"/>
  <c r="J27" i="2" s="1"/>
  <c r="K27" i="2" s="1"/>
  <c r="H36" i="2"/>
  <c r="J36" i="2" s="1"/>
  <c r="K36" i="2" s="1"/>
  <c r="H28" i="2"/>
  <c r="J28" i="2" s="1"/>
  <c r="K28" i="2" s="1"/>
  <c r="H9" i="2"/>
  <c r="J9" i="2" s="1"/>
  <c r="K9" i="2" s="1"/>
  <c r="H46" i="2"/>
  <c r="J46" i="2" s="1"/>
  <c r="K46" i="2" s="1"/>
  <c r="H41" i="2"/>
  <c r="J41" i="2" s="1"/>
  <c r="K41" i="2" s="1"/>
  <c r="H26" i="2"/>
  <c r="J26" i="2" s="1"/>
  <c r="K26" i="2" s="1"/>
  <c r="H55" i="2"/>
  <c r="J55" i="2" s="1"/>
  <c r="K55" i="2" s="1"/>
  <c r="H61" i="2"/>
  <c r="J61" i="2" s="1"/>
  <c r="K61" i="2" s="1"/>
  <c r="H30" i="2"/>
  <c r="J30" i="2" s="1"/>
  <c r="K30" i="2" s="1"/>
  <c r="H50" i="2"/>
  <c r="J50" i="2" s="1"/>
  <c r="K50" i="2" s="1"/>
  <c r="H11" i="2"/>
  <c r="H56" i="2"/>
  <c r="H13" i="2"/>
  <c r="H68" i="2"/>
  <c r="L1" i="22"/>
  <c r="N1" i="8"/>
  <c r="N1" i="33"/>
  <c r="L1" i="33"/>
  <c r="N1" i="6"/>
  <c r="N1" i="9"/>
  <c r="N1" i="43"/>
  <c r="N1" i="52"/>
  <c r="N1" i="37"/>
  <c r="N1" i="26"/>
  <c r="N1" i="10"/>
  <c r="N1" i="36"/>
  <c r="N1" i="47"/>
  <c r="N1" i="49"/>
  <c r="N1" i="51"/>
  <c r="N1" i="18"/>
  <c r="N1" i="30"/>
  <c r="N1" i="34"/>
  <c r="N1" i="46"/>
  <c r="L1" i="46"/>
  <c r="N1" i="40"/>
  <c r="N1" i="11"/>
  <c r="H4" i="1"/>
  <c r="H5" i="1"/>
  <c r="H6" i="1"/>
  <c r="H7" i="1"/>
  <c r="H8" i="1"/>
  <c r="H9" i="1"/>
  <c r="H10" i="1"/>
  <c r="G4" i="1"/>
  <c r="G5" i="1"/>
  <c r="G6" i="1"/>
  <c r="G7" i="1"/>
  <c r="G8" i="1"/>
  <c r="G9" i="1"/>
  <c r="G10" i="1"/>
  <c r="F10" i="1"/>
  <c r="F9" i="1"/>
  <c r="F8" i="1"/>
  <c r="F7" i="1"/>
  <c r="F4" i="1"/>
  <c r="F5" i="1"/>
  <c r="F6" i="1"/>
  <c r="L3" i="1" l="1"/>
  <c r="C1" i="1"/>
  <c r="M3" i="1" s="1"/>
  <c r="F1" i="1" l="1"/>
  <c r="D4" i="2" s="1"/>
  <c r="H4" i="2" s="1"/>
  <c r="C4" i="2"/>
  <c r="F4" i="2" s="1"/>
  <c r="E1" i="1"/>
  <c r="K2" i="1" s="1"/>
  <c r="L2" i="1" l="1"/>
  <c r="I4" i="2"/>
  <c r="M1" i="1"/>
  <c r="N1" i="1" s="1"/>
  <c r="G1" i="1"/>
  <c r="J4" i="2" l="1"/>
  <c r="K4" i="2" s="1"/>
  <c r="G4" i="2"/>
  <c r="E29" i="53" l="1"/>
  <c r="E30" i="53" l="1"/>
  <c r="L29" i="53"/>
  <c r="K29" i="53"/>
  <c r="M29" i="53" l="1"/>
  <c r="O29" i="53" s="1"/>
  <c r="L30" i="53"/>
  <c r="K30" i="53" l="1"/>
  <c r="M30" i="53" l="1"/>
  <c r="O30" i="53" s="1"/>
  <c r="F1" i="62"/>
  <c r="C32" i="2"/>
  <c r="F32" i="2" s="1"/>
  <c r="E1" i="62"/>
  <c r="K2" i="62" s="1"/>
  <c r="M1" i="62" l="1"/>
  <c r="N1" i="62" s="1"/>
  <c r="G1" i="62"/>
  <c r="L2" i="62"/>
  <c r="I32" i="2"/>
  <c r="R6" i="2"/>
  <c r="D32" i="2"/>
  <c r="H32" i="2" s="1"/>
  <c r="G32" i="2"/>
  <c r="J32" i="2" l="1"/>
  <c r="K32" i="2" s="1"/>
  <c r="U6" i="2"/>
  <c r="R8" i="2"/>
  <c r="S8" i="2" s="1"/>
  <c r="Q10" i="53" l="1"/>
  <c r="R5" i="53"/>
  <c r="O10" i="53"/>
  <c r="P10" i="53"/>
  <c r="N10" i="53"/>
  <c r="L10" i="53"/>
  <c r="M10" i="53"/>
  <c r="J10" i="53"/>
  <c r="K10" i="53"/>
  <c r="I14" i="53"/>
  <c r="I17" i="53" s="1"/>
  <c r="I21" i="53" s="1"/>
  <c r="I10" i="53"/>
  <c r="G10" i="53"/>
  <c r="H10" i="53"/>
  <c r="F10" i="53"/>
  <c r="F14" i="53"/>
  <c r="F17" i="53" s="1"/>
  <c r="F21" i="53" s="1"/>
  <c r="F8" i="53"/>
  <c r="F22" i="53" s="1"/>
  <c r="E10" i="53"/>
  <c r="E14" i="53"/>
  <c r="E17" i="53" s="1"/>
  <c r="E8" i="53"/>
  <c r="Y8" i="53"/>
  <c r="Y22" i="53" s="1"/>
  <c r="Y14" i="53"/>
  <c r="Y17" i="53" s="1"/>
  <c r="Y21" i="53" s="1"/>
  <c r="X8" i="53"/>
  <c r="X14" i="53"/>
  <c r="X17" i="53" s="1"/>
  <c r="X21" i="53" s="1"/>
  <c r="V10" i="53"/>
  <c r="V8" i="53"/>
  <c r="V22" i="53" s="1"/>
  <c r="V14" i="53"/>
  <c r="V17" i="53" s="1"/>
  <c r="V21" i="53" s="1"/>
  <c r="T14" i="53"/>
  <c r="T17" i="53" s="1"/>
  <c r="T21" i="53" s="1"/>
  <c r="T8" i="53"/>
  <c r="S14" i="53"/>
  <c r="S17" i="53" s="1"/>
  <c r="S21" i="53" s="1"/>
  <c r="S8" i="53"/>
  <c r="R8" i="53"/>
  <c r="Q14" i="53"/>
  <c r="Q17" i="53" s="1"/>
  <c r="Q21" i="53" s="1"/>
  <c r="Q8" i="53"/>
  <c r="O8" i="53"/>
  <c r="O14" i="53"/>
  <c r="O17" i="53" s="1"/>
  <c r="O21" i="53" s="1"/>
  <c r="N8" i="53"/>
  <c r="N22" i="53" s="1"/>
  <c r="L14" i="53"/>
  <c r="L17" i="53" s="1"/>
  <c r="L21" i="53" s="1"/>
  <c r="L8" i="53"/>
  <c r="L22" i="53" s="1"/>
  <c r="J14" i="53"/>
  <c r="J17" i="53" s="1"/>
  <c r="J21" i="53" s="1"/>
  <c r="J8" i="53"/>
  <c r="J22" i="53" s="1"/>
  <c r="I8" i="53"/>
  <c r="U8" i="2"/>
  <c r="V8" i="2" s="1"/>
  <c r="U20" i="2"/>
  <c r="S20" i="2" s="1"/>
  <c r="X6" i="2"/>
  <c r="X20" i="2" s="1"/>
  <c r="R14" i="53" l="1"/>
  <c r="R17" i="53" s="1"/>
  <c r="R21" i="53" s="1"/>
  <c r="R10" i="53"/>
  <c r="N14" i="53"/>
  <c r="N17" i="53" s="1"/>
  <c r="N21" i="53" s="1"/>
  <c r="M14" i="53"/>
  <c r="M17" i="53" s="1"/>
  <c r="M21" i="53" s="1"/>
  <c r="M8" i="53"/>
  <c r="K8" i="53"/>
  <c r="K22" i="53" s="1"/>
  <c r="K14" i="53"/>
  <c r="K17" i="53" s="1"/>
  <c r="K21" i="53" s="1"/>
  <c r="H8" i="53"/>
  <c r="I19" i="53" s="1"/>
  <c r="H14" i="53"/>
  <c r="H17" i="53" s="1"/>
  <c r="H21" i="53" s="1"/>
  <c r="E22" i="53"/>
  <c r="F19" i="53"/>
  <c r="E19" i="53"/>
  <c r="E21" i="53"/>
  <c r="X22" i="53"/>
  <c r="Y19" i="53"/>
  <c r="W8" i="53"/>
  <c r="W22" i="53" s="1"/>
  <c r="W14" i="53"/>
  <c r="W17" i="53" s="1"/>
  <c r="W21" i="53" s="1"/>
  <c r="U14" i="53"/>
  <c r="U17" i="53" s="1"/>
  <c r="U21" i="53" s="1"/>
  <c r="U8" i="53"/>
  <c r="T22" i="53"/>
  <c r="S22" i="53"/>
  <c r="T19" i="53"/>
  <c r="R22" i="53"/>
  <c r="S19" i="53"/>
  <c r="R19" i="53"/>
  <c r="Q22" i="53"/>
  <c r="P8" i="53"/>
  <c r="P14" i="53"/>
  <c r="P17" i="53" s="1"/>
  <c r="P21" i="53" s="1"/>
  <c r="O22" i="53"/>
  <c r="O19" i="53"/>
  <c r="N19" i="53"/>
  <c r="M19" i="53"/>
  <c r="L19" i="53"/>
  <c r="I22" i="53"/>
  <c r="J19" i="53"/>
  <c r="G14" i="53"/>
  <c r="G8" i="53"/>
  <c r="K19" i="53" l="1"/>
  <c r="H22" i="53"/>
  <c r="W19" i="53"/>
  <c r="X19" i="53"/>
  <c r="U22" i="53"/>
  <c r="V19" i="53"/>
  <c r="U19" i="53"/>
  <c r="P19" i="53"/>
  <c r="Q19" i="53"/>
  <c r="P22" i="53"/>
  <c r="C14" i="53"/>
  <c r="G17" i="53"/>
  <c r="G22" i="53"/>
  <c r="H19" i="53"/>
  <c r="E31" i="53" l="1"/>
  <c r="G21" i="53"/>
  <c r="C21" i="53" s="1"/>
  <c r="G19" i="53"/>
  <c r="C17" i="53"/>
  <c r="E32" i="53" l="1"/>
  <c r="E33" i="53" s="1"/>
  <c r="J32" i="53"/>
  <c r="L31" i="53"/>
  <c r="K31" i="53"/>
  <c r="E34" i="53" l="1"/>
  <c r="E35" i="53" s="1"/>
  <c r="E36" i="53" s="1"/>
  <c r="E37" i="53" s="1"/>
  <c r="D38" i="53" s="1"/>
  <c r="E38" i="53" s="1"/>
  <c r="D39" i="53" s="1"/>
  <c r="E39" i="53" s="1"/>
  <c r="D40" i="53" s="1"/>
  <c r="E40" i="53" s="1"/>
  <c r="D41" i="53" s="1"/>
  <c r="E41" i="53" s="1"/>
  <c r="D42" i="53" s="1"/>
  <c r="E42" i="53" s="1"/>
  <c r="D43" i="53" s="1"/>
  <c r="E43" i="53" s="1"/>
  <c r="D44" i="53" s="1"/>
  <c r="E44" i="53" s="1"/>
  <c r="D45" i="53" s="1"/>
  <c r="E45" i="53" s="1"/>
  <c r="D46" i="53" s="1"/>
  <c r="E46" i="53" s="1"/>
  <c r="D47" i="53" s="1"/>
  <c r="E47" i="53" s="1"/>
  <c r="D48" i="53" s="1"/>
  <c r="E48" i="53" s="1"/>
  <c r="D49" i="53" s="1"/>
  <c r="E49" i="53" s="1"/>
  <c r="D50" i="53" s="1"/>
  <c r="E50" i="53" s="1"/>
  <c r="M31" i="53"/>
  <c r="O31" i="53" s="1"/>
  <c r="K32" i="53" l="1"/>
  <c r="L32" i="53"/>
  <c r="M32" i="53" l="1"/>
  <c r="O32" i="53" s="1"/>
  <c r="L33" i="53" l="1"/>
  <c r="K33" i="53"/>
  <c r="M33" i="53" l="1"/>
  <c r="O33" i="53" s="1"/>
  <c r="L34" i="53" l="1"/>
  <c r="K34" i="53"/>
  <c r="M34" i="53" l="1"/>
  <c r="O34" i="53" s="1"/>
  <c r="K35" i="53" l="1"/>
  <c r="L35" i="53"/>
  <c r="M35" i="53" l="1"/>
  <c r="O35" i="53" s="1"/>
  <c r="L36" i="53" l="1"/>
  <c r="K36" i="53"/>
  <c r="J37" i="53" s="1"/>
  <c r="M36" i="53" l="1"/>
  <c r="O36" i="53" s="1"/>
  <c r="L37" i="53" l="1"/>
  <c r="K37" i="53"/>
  <c r="J38" i="53" s="1"/>
  <c r="M37" i="53" l="1"/>
  <c r="O37" i="53" s="1"/>
  <c r="K38" i="53" l="1"/>
  <c r="L38" i="53"/>
  <c r="L36" i="2"/>
  <c r="M36" i="2"/>
  <c r="M63" i="2"/>
  <c r="L63" i="2"/>
  <c r="L60" i="2"/>
  <c r="M60" i="2"/>
  <c r="L16" i="2"/>
  <c r="M16" i="2"/>
  <c r="M52" i="2"/>
  <c r="L52" i="2"/>
  <c r="L8" i="2"/>
  <c r="M8" i="2"/>
  <c r="M9" i="2"/>
  <c r="L9" i="2"/>
  <c r="L10" i="2"/>
  <c r="M10" i="2"/>
  <c r="M15" i="2"/>
  <c r="L15" i="2"/>
  <c r="L17" i="2"/>
  <c r="M17" i="2"/>
  <c r="M18" i="2"/>
  <c r="L18" i="2"/>
  <c r="L29" i="2"/>
  <c r="M29" i="2"/>
  <c r="M28" i="2"/>
  <c r="L28" i="2"/>
  <c r="M68" i="2"/>
  <c r="L68" i="2"/>
  <c r="M48" i="2"/>
  <c r="L48" i="2"/>
  <c r="L3" i="2"/>
  <c r="M3" i="2"/>
  <c r="L39" i="2"/>
  <c r="M39" i="2"/>
  <c r="M27" i="2"/>
  <c r="L27" i="2"/>
  <c r="M61" i="2"/>
  <c r="L61" i="2"/>
  <c r="L54" i="2"/>
  <c r="M54" i="2"/>
  <c r="L49" i="2"/>
  <c r="M49" i="2"/>
  <c r="L34" i="2"/>
  <c r="M34" i="2"/>
  <c r="L69" i="2"/>
  <c r="M69" i="2"/>
  <c r="L37" i="2"/>
  <c r="M37" i="2"/>
  <c r="L24" i="2"/>
  <c r="M24" i="2"/>
  <c r="L25" i="2"/>
  <c r="M25" i="2"/>
  <c r="M26" i="2"/>
  <c r="L26" i="2"/>
  <c r="M38" i="2"/>
  <c r="L38" i="2"/>
  <c r="M12" i="2"/>
  <c r="L12" i="2"/>
  <c r="L47" i="2"/>
  <c r="M47" i="2"/>
  <c r="L64" i="2"/>
  <c r="M64" i="2"/>
  <c r="L59" i="2"/>
  <c r="M59" i="2"/>
  <c r="M51" i="2"/>
  <c r="L51" i="2"/>
  <c r="M23" i="2"/>
  <c r="L23" i="2"/>
  <c r="L65" i="2"/>
  <c r="M65" i="2"/>
  <c r="L19" i="2"/>
  <c r="M19" i="2"/>
  <c r="L55" i="2"/>
  <c r="M55" i="2"/>
  <c r="M43" i="2"/>
  <c r="L43" i="2"/>
  <c r="L7" i="2"/>
  <c r="M7" i="2"/>
  <c r="L32" i="2"/>
  <c r="M32" i="2"/>
  <c r="M33" i="2"/>
  <c r="L33" i="2"/>
  <c r="M66" i="2"/>
  <c r="L66" i="2"/>
  <c r="L50" i="2"/>
  <c r="M50" i="2"/>
  <c r="M57" i="2"/>
  <c r="L57" i="2"/>
  <c r="L53" i="2"/>
  <c r="M53" i="2"/>
  <c r="L40" i="2"/>
  <c r="M40" i="2"/>
  <c r="M11" i="2"/>
  <c r="L11" i="2"/>
  <c r="L42" i="2"/>
  <c r="M42" i="2"/>
  <c r="M14" i="2"/>
  <c r="L14" i="2"/>
  <c r="L45" i="2"/>
  <c r="M45" i="2"/>
  <c r="M46" i="2"/>
  <c r="L46" i="2"/>
  <c r="L31" i="2"/>
  <c r="M31" i="2"/>
  <c r="L21" i="2"/>
  <c r="M21" i="2"/>
  <c r="M4" i="2"/>
  <c r="L4" i="2"/>
  <c r="M6" i="2"/>
  <c r="L6" i="2"/>
  <c r="L44" i="2"/>
  <c r="M44" i="2"/>
  <c r="M67" i="2"/>
  <c r="L67" i="2"/>
  <c r="L35" i="2"/>
  <c r="M35" i="2"/>
  <c r="M20" i="2"/>
  <c r="L20" i="2"/>
  <c r="L70" i="2"/>
  <c r="M70" i="2"/>
  <c r="M22" i="2"/>
  <c r="L22" i="2"/>
  <c r="L41" i="2"/>
  <c r="M41" i="2"/>
  <c r="M56" i="2"/>
  <c r="L56" i="2"/>
  <c r="L13" i="2"/>
  <c r="M13" i="2"/>
  <c r="M58" i="2"/>
  <c r="L58" i="2"/>
  <c r="L30" i="2"/>
  <c r="M30" i="2"/>
  <c r="K5" i="2"/>
  <c r="M5" i="2" s="1"/>
  <c r="M38" i="53" l="1"/>
  <c r="O38" i="53" s="1"/>
  <c r="J39" i="53"/>
  <c r="L5" i="2"/>
  <c r="L39" i="53" l="1"/>
  <c r="K39" i="53"/>
  <c r="M39" i="53" l="1"/>
  <c r="O39" i="53" s="1"/>
  <c r="J40" i="53"/>
  <c r="L40" i="53" l="1"/>
  <c r="K40" i="53"/>
  <c r="M40" i="53" l="1"/>
  <c r="O40" i="53" s="1"/>
  <c r="J41" i="53"/>
  <c r="L41" i="53" l="1"/>
  <c r="K41" i="53"/>
  <c r="M41" i="53" l="1"/>
  <c r="O41" i="53" s="1"/>
  <c r="J42" i="53"/>
  <c r="K42" i="53" l="1"/>
  <c r="L42" i="53"/>
  <c r="M42" i="53" l="1"/>
  <c r="O42" i="53" s="1"/>
  <c r="J43" i="53"/>
  <c r="L43" i="53" l="1"/>
  <c r="K43" i="53"/>
  <c r="M43" i="53" l="1"/>
  <c r="O43" i="53" s="1"/>
  <c r="J44" i="53"/>
  <c r="K44" i="53" l="1"/>
  <c r="L44" i="53"/>
  <c r="M44" i="53" l="1"/>
  <c r="O44" i="53" s="1"/>
  <c r="J45" i="53"/>
  <c r="K45" i="53" l="1"/>
  <c r="L45" i="53"/>
  <c r="M45" i="53" l="1"/>
  <c r="O45" i="53" s="1"/>
  <c r="J46" i="53"/>
  <c r="L46" i="53" l="1"/>
  <c r="K46" i="53"/>
  <c r="M46" i="53" l="1"/>
  <c r="O46" i="53" s="1"/>
  <c r="J47" i="53"/>
  <c r="K47" i="53" l="1"/>
  <c r="L47" i="53"/>
  <c r="M47" i="53" l="1"/>
  <c r="O47" i="53" s="1"/>
  <c r="J48" i="53"/>
  <c r="L48" i="53" l="1"/>
  <c r="K48" i="53"/>
  <c r="M48" i="53" l="1"/>
  <c r="O48" i="53" s="1"/>
  <c r="J49" i="53"/>
  <c r="K49" i="53" l="1"/>
  <c r="L49" i="53"/>
  <c r="M49" i="53" l="1"/>
  <c r="O49" i="53" s="1"/>
  <c r="J50" i="53"/>
  <c r="L50" i="53" l="1"/>
  <c r="K50" i="53"/>
  <c r="M50" i="53" s="1"/>
  <c r="O50" i="53" s="1"/>
</calcChain>
</file>

<file path=xl/sharedStrings.xml><?xml version="1.0" encoding="utf-8"?>
<sst xmlns="http://schemas.openxmlformats.org/spreadsheetml/2006/main" count="912" uniqueCount="134">
  <si>
    <t>TARİH</t>
  </si>
  <si>
    <t>ALIŞ</t>
  </si>
  <si>
    <t>KAR</t>
  </si>
  <si>
    <t>SATIŞ</t>
  </si>
  <si>
    <t>ADET</t>
  </si>
  <si>
    <t>HİSSE</t>
  </si>
  <si>
    <t>AKBNK</t>
  </si>
  <si>
    <t>MALİYET</t>
  </si>
  <si>
    <t>ALIŞ TUTAR</t>
  </si>
  <si>
    <t>SATIŞ TUTAR</t>
  </si>
  <si>
    <t>FİYAT</t>
  </si>
  <si>
    <t>GÜNCEL TUTAT</t>
  </si>
  <si>
    <t>KAR/ZARAR</t>
  </si>
  <si>
    <t>ARASE</t>
  </si>
  <si>
    <t>ARCLK</t>
  </si>
  <si>
    <t>ARENA</t>
  </si>
  <si>
    <t>ARZUM</t>
  </si>
  <si>
    <t>ASELS</t>
  </si>
  <si>
    <t>ASTOR</t>
  </si>
  <si>
    <t>BIMAS</t>
  </si>
  <si>
    <t>BRLSM</t>
  </si>
  <si>
    <t>BURVA</t>
  </si>
  <si>
    <t>CATES</t>
  </si>
  <si>
    <t>DOAS</t>
  </si>
  <si>
    <t>EDATA</t>
  </si>
  <si>
    <t>EDIP</t>
  </si>
  <si>
    <t>ENJSA</t>
  </si>
  <si>
    <t>FENER</t>
  </si>
  <si>
    <t>FROTO</t>
  </si>
  <si>
    <t>GENTS</t>
  </si>
  <si>
    <t>GRSEL</t>
  </si>
  <si>
    <t>GWIND</t>
  </si>
  <si>
    <t>INDES</t>
  </si>
  <si>
    <t>KBORU</t>
  </si>
  <si>
    <t>KCHOL</t>
  </si>
  <si>
    <t>KIMMR</t>
  </si>
  <si>
    <t>KONTR</t>
  </si>
  <si>
    <t>MAVI</t>
  </si>
  <si>
    <t>MEKAG</t>
  </si>
  <si>
    <t>MIATK</t>
  </si>
  <si>
    <t>ORGE</t>
  </si>
  <si>
    <t>OTTO</t>
  </si>
  <si>
    <t>OYAKC</t>
  </si>
  <si>
    <t>OYLUM</t>
  </si>
  <si>
    <t>OZRDN</t>
  </si>
  <si>
    <t>PCILT</t>
  </si>
  <si>
    <t>QUAGR</t>
  </si>
  <si>
    <t>SAHOL</t>
  </si>
  <si>
    <t>SASA</t>
  </si>
  <si>
    <t>SEYKM</t>
  </si>
  <si>
    <t>SMART</t>
  </si>
  <si>
    <t>SMRTG</t>
  </si>
  <si>
    <t>TARKM</t>
  </si>
  <si>
    <t>TAVHL</t>
  </si>
  <si>
    <t>TCELL</t>
  </si>
  <si>
    <t>THYAO</t>
  </si>
  <si>
    <t>TKFEN</t>
  </si>
  <si>
    <t>TOASO</t>
  </si>
  <si>
    <t>TTRAK</t>
  </si>
  <si>
    <t>TUPRS</t>
  </si>
  <si>
    <t>UNLU</t>
  </si>
  <si>
    <t>YEOTK</t>
  </si>
  <si>
    <t>YKBNK</t>
  </si>
  <si>
    <t>FONERIA</t>
  </si>
  <si>
    <t>ANA SAYFA</t>
  </si>
  <si>
    <t>Toplam Yatırım</t>
  </si>
  <si>
    <t>Anlık Değer</t>
  </si>
  <si>
    <t xml:space="preserve">Kar </t>
  </si>
  <si>
    <t>Nakit</t>
  </si>
  <si>
    <t>CWENE</t>
  </si>
  <si>
    <t>USD</t>
  </si>
  <si>
    <t>TL</t>
  </si>
  <si>
    <t>MIDAS</t>
  </si>
  <si>
    <t>BORSA</t>
  </si>
  <si>
    <t>TOPLAM</t>
  </si>
  <si>
    <t>ONCSM</t>
  </si>
  <si>
    <t>Şubat 2.Hafta</t>
  </si>
  <si>
    <t>Şubat 3.Hafta</t>
  </si>
  <si>
    <t>ARTIŞ</t>
  </si>
  <si>
    <t>DEVA</t>
  </si>
  <si>
    <t>KRVGD</t>
  </si>
  <si>
    <t>SAFKR</t>
  </si>
  <si>
    <t>TUCLK</t>
  </si>
  <si>
    <t>ENSRI</t>
  </si>
  <si>
    <t>Şubat 4.Hafta</t>
  </si>
  <si>
    <t>Önceki</t>
  </si>
  <si>
    <t>Mart 1.Hafta</t>
  </si>
  <si>
    <t>HTTBT</t>
  </si>
  <si>
    <t>EKOS</t>
  </si>
  <si>
    <t>Mart 2.Hafta</t>
  </si>
  <si>
    <t>ENKAI</t>
  </si>
  <si>
    <t>DOKTA</t>
  </si>
  <si>
    <t>ADESE</t>
  </si>
  <si>
    <t>Mart 3.Hafta</t>
  </si>
  <si>
    <t>HEDEF</t>
  </si>
  <si>
    <t>YATIRIM</t>
  </si>
  <si>
    <t>KALAN</t>
  </si>
  <si>
    <t>DURUM</t>
  </si>
  <si>
    <t>ANALIZ</t>
  </si>
  <si>
    <t>AL-4</t>
  </si>
  <si>
    <t>AL-3</t>
  </si>
  <si>
    <t>AL-2</t>
  </si>
  <si>
    <t>AL-1</t>
  </si>
  <si>
    <t>TUT</t>
  </si>
  <si>
    <t>SAT-1</t>
  </si>
  <si>
    <t>SAT-2</t>
  </si>
  <si>
    <t>SAT-3</t>
  </si>
  <si>
    <t>SAT-4</t>
  </si>
  <si>
    <t>İŞLEM ADET</t>
  </si>
  <si>
    <t>İŞLEM FİYATI</t>
  </si>
  <si>
    <t>DATA</t>
  </si>
  <si>
    <t>HEDEF2</t>
  </si>
  <si>
    <t>PRDGS</t>
  </si>
  <si>
    <t>Mart 4. Hafta</t>
  </si>
  <si>
    <t>GEREL</t>
  </si>
  <si>
    <t>Nisan 1.Hafta</t>
  </si>
  <si>
    <t>X</t>
  </si>
  <si>
    <t>NUHCM</t>
  </si>
  <si>
    <t>PLTUR</t>
  </si>
  <si>
    <t>YGGYO</t>
  </si>
  <si>
    <t>SUNTK</t>
  </si>
  <si>
    <t>AHGAZ</t>
  </si>
  <si>
    <t>GZNMI</t>
  </si>
  <si>
    <t>adet</t>
  </si>
  <si>
    <t>fiyat</t>
  </si>
  <si>
    <t>tutar</t>
  </si>
  <si>
    <t>vrgyo</t>
  </si>
  <si>
    <t>pekgy</t>
  </si>
  <si>
    <t>TURSG</t>
  </si>
  <si>
    <t>ALARK</t>
  </si>
  <si>
    <t>Nisan 2.Hafta</t>
  </si>
  <si>
    <t>TNZTP</t>
  </si>
  <si>
    <t>Nisan 3.Hafta</t>
  </si>
  <si>
    <t>Nisan 4.Hafta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</si>
</sst>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₺&quot;* #,##0.00_-;\-&quot;₺&quot;* #,##0.00_-;_-&quot;₺&quot;* &quot;-&quot;??_-;_-@_-"/>
    <numFmt numFmtId="164" formatCode="_-* #,##0.00_-&quot;₺&quot;;\-* #,##0.00_-&quot;₺&quot;;_-&quot;₺&quot;* &quot;-&quot;??_-;_-@_-"/>
    <numFmt numFmtId="165" formatCode="_ * #,##0.00_ \ [$$-C0C]_ ;_ * \-#,##0.00\ \ [$$-C0C]_ ;_ * &quot;-&quot;??_ \ [$$-C0C]_ ;_ @_ "/>
    <numFmt numFmtId="166" formatCode="_ * #,##0_ \ [$$-C0C]_ ;_ * \-#,##0\ \ [$$-C0C]_ ;_ * &quot;-&quot;??_ \ [$$-C0C]_ ;_ @_ 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b/>
      <u/>
      <sz val="11"/>
      <color theme="10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  <font>
      <b/>
      <sz val="14"/>
      <color rgb="FFFF0000"/>
      <name val="Calibri"/>
      <family val="2"/>
      <charset val="162"/>
      <scheme val="minor"/>
    </font>
    <font>
      <sz val="11"/>
      <color rgb="FFFF0000"/>
      <name val="Calibri"/>
      <family val="2"/>
      <scheme val="minor"/>
    </font>
    <font>
      <b/>
      <sz val="16"/>
      <color theme="1"/>
      <name val="Calibri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C1C1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9" fontId="1" fillId="0" borderId="0" applyFont="0" applyFill="0" applyBorder="0" applyAlignment="0" applyProtection="0"/>
  </cellStyleXfs>
  <cellXfs count="6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44" fontId="0" fillId="0" borderId="0" xfId="1" applyFont="1" applyAlignment="1">
      <alignment horizontal="right"/>
    </xf>
    <xf numFmtId="1" fontId="0" fillId="0" borderId="0" xfId="0" applyNumberFormat="1" applyAlignment="1">
      <alignment horizontal="right"/>
    </xf>
    <xf numFmtId="44" fontId="2" fillId="0" borderId="0" xfId="1" applyFont="1" applyAlignment="1">
      <alignment horizontal="right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right"/>
    </xf>
    <xf numFmtId="44" fontId="0" fillId="0" borderId="0" xfId="0" applyNumberFormat="1"/>
    <xf numFmtId="164" fontId="2" fillId="0" borderId="0" xfId="1" applyNumberFormat="1" applyFont="1" applyAlignment="1">
      <alignment horizontal="right"/>
    </xf>
    <xf numFmtId="164" fontId="0" fillId="0" borderId="0" xfId="1" applyNumberFormat="1" applyFont="1" applyAlignment="1">
      <alignment horizontal="right"/>
    </xf>
    <xf numFmtId="164" fontId="0" fillId="2" borderId="0" xfId="1" applyNumberFormat="1" applyFont="1" applyFill="1" applyAlignment="1">
      <alignment horizontal="right"/>
    </xf>
    <xf numFmtId="0" fontId="3" fillId="0" borderId="0" xfId="2" applyAlignment="1">
      <alignment horizontal="right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1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2" applyFont="1" applyAlignment="1">
      <alignment vertical="center"/>
    </xf>
    <xf numFmtId="164" fontId="2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164" fontId="6" fillId="0" borderId="0" xfId="0" applyNumberFormat="1" applyFont="1" applyAlignment="1">
      <alignment vertical="center"/>
    </xf>
    <xf numFmtId="164" fontId="7" fillId="0" borderId="0" xfId="0" applyNumberFormat="1" applyFont="1" applyAlignment="1">
      <alignment vertical="center"/>
    </xf>
    <xf numFmtId="10" fontId="7" fillId="0" borderId="0" xfId="3" applyNumberFormat="1" applyFont="1" applyAlignment="1">
      <alignment vertical="center"/>
    </xf>
    <xf numFmtId="0" fontId="6" fillId="0" borderId="0" xfId="0" applyFont="1" applyAlignment="1">
      <alignment vertical="center" wrapText="1"/>
    </xf>
    <xf numFmtId="165" fontId="6" fillId="0" borderId="0" xfId="0" applyNumberFormat="1" applyFont="1" applyAlignment="1">
      <alignment vertical="center"/>
    </xf>
    <xf numFmtId="165" fontId="7" fillId="0" borderId="0" xfId="0" applyNumberFormat="1" applyFont="1" applyAlignment="1">
      <alignment vertical="center"/>
    </xf>
    <xf numFmtId="10" fontId="7" fillId="0" borderId="0" xfId="3" applyNumberFormat="1" applyFont="1" applyAlignment="1">
      <alignment horizontal="center" vertical="center"/>
    </xf>
    <xf numFmtId="165" fontId="2" fillId="0" borderId="0" xfId="0" applyNumberFormat="1" applyFont="1" applyAlignment="1">
      <alignment vertical="center"/>
    </xf>
    <xf numFmtId="14" fontId="0" fillId="0" borderId="0" xfId="0" applyNumberFormat="1"/>
    <xf numFmtId="10" fontId="0" fillId="0" borderId="0" xfId="3" applyNumberFormat="1" applyFont="1" applyAlignment="1">
      <alignment horizontal="center"/>
    </xf>
    <xf numFmtId="164" fontId="0" fillId="0" borderId="0" xfId="0" applyNumberFormat="1"/>
    <xf numFmtId="9" fontId="0" fillId="0" borderId="0" xfId="3" applyFont="1"/>
    <xf numFmtId="0" fontId="5" fillId="3" borderId="0" xfId="2" applyFont="1" applyFill="1" applyAlignment="1">
      <alignment vertical="center"/>
    </xf>
    <xf numFmtId="165" fontId="0" fillId="0" borderId="0" xfId="0" applyNumberFormat="1"/>
    <xf numFmtId="1" fontId="0" fillId="0" borderId="0" xfId="0" applyNumberFormat="1"/>
    <xf numFmtId="10" fontId="2" fillId="0" borderId="0" xfId="3" applyNumberFormat="1" applyFont="1" applyAlignment="1">
      <alignment horizontal="center" vertical="center"/>
    </xf>
    <xf numFmtId="0" fontId="3" fillId="0" borderId="0" xfId="2" applyAlignment="1">
      <alignment vertical="center"/>
    </xf>
    <xf numFmtId="44" fontId="0" fillId="0" borderId="0" xfId="1" applyFont="1"/>
    <xf numFmtId="0" fontId="3" fillId="0" borderId="0" xfId="2" applyFill="1" applyAlignment="1">
      <alignment vertical="center"/>
    </xf>
    <xf numFmtId="0" fontId="5" fillId="0" borderId="0" xfId="2" applyFont="1" applyAlignment="1">
      <alignment vertical="center" wrapText="1"/>
    </xf>
    <xf numFmtId="1" fontId="2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 wrapText="1"/>
    </xf>
    <xf numFmtId="165" fontId="0" fillId="0" borderId="0" xfId="1" applyNumberFormat="1" applyFont="1" applyAlignment="1">
      <alignment horizontal="center"/>
    </xf>
    <xf numFmtId="0" fontId="5" fillId="0" borderId="0" xfId="2" applyFont="1" applyFill="1" applyAlignment="1">
      <alignment vertical="center"/>
    </xf>
    <xf numFmtId="9" fontId="2" fillId="0" borderId="0" xfId="3" applyFont="1" applyAlignment="1">
      <alignment horizontal="center" vertical="center" wrapText="1"/>
    </xf>
    <xf numFmtId="9" fontId="2" fillId="0" borderId="0" xfId="3" applyFont="1" applyAlignment="1">
      <alignment horizontal="center" vertical="center"/>
    </xf>
    <xf numFmtId="9" fontId="0" fillId="0" borderId="0" xfId="3" applyFont="1" applyAlignment="1">
      <alignment vertical="center"/>
    </xf>
    <xf numFmtId="10" fontId="2" fillId="0" borderId="0" xfId="3" applyNumberFormat="1" applyFont="1" applyAlignment="1">
      <alignment horizontal="center" vertical="center" wrapText="1"/>
    </xf>
    <xf numFmtId="2" fontId="2" fillId="0" borderId="0" xfId="3" applyNumberFormat="1" applyFont="1" applyAlignment="1">
      <alignment horizontal="center" vertical="center"/>
    </xf>
    <xf numFmtId="2" fontId="2" fillId="0" borderId="0" xfId="3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 wrapText="1"/>
    </xf>
    <xf numFmtId="2" fontId="2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vertical="center" wrapText="1"/>
    </xf>
    <xf numFmtId="166" fontId="2" fillId="0" borderId="0" xfId="0" applyNumberFormat="1" applyFont="1" applyAlignment="1">
      <alignment horizontal="center" vertical="center" wrapText="1"/>
    </xf>
    <xf numFmtId="166" fontId="2" fillId="0" borderId="0" xfId="0" applyNumberFormat="1" applyFont="1" applyAlignment="1">
      <alignment horizontal="center" vertical="center"/>
    </xf>
    <xf numFmtId="2" fontId="0" fillId="0" borderId="0" xfId="0" applyNumberFormat="1"/>
    <xf numFmtId="2" fontId="9" fillId="0" borderId="0" xfId="0" applyNumberFormat="1" applyFont="1"/>
    <xf numFmtId="0" fontId="8" fillId="0" borderId="0" xfId="0" applyFont="1" applyAlignment="1">
      <alignment horizontal="center"/>
    </xf>
  </cellXfs>
  <cellStyles count="4">
    <cellStyle name="Köprü" xfId="2" builtinId="8"/>
    <cellStyle name="Normal" xfId="0" builtinId="0"/>
    <cellStyle name="ParaBirimi" xfId="1" builtinId="4"/>
    <cellStyle name="Yüzde" xfId="3" builtinId="5"/>
  </cellStyles>
  <dxfs count="843">
    <dxf>
      <fill>
        <patternFill>
          <bgColor rgb="FFABFFD1"/>
        </patternFill>
      </fill>
    </dxf>
    <dxf>
      <fill>
        <patternFill>
          <bgColor rgb="FFFFF7E1"/>
        </patternFill>
      </fill>
    </dxf>
    <dxf>
      <fill>
        <patternFill>
          <bgColor rgb="FFFFB7B7"/>
        </patternFill>
      </fill>
    </dxf>
    <dxf>
      <fill>
        <patternFill>
          <bgColor rgb="FFABFFD1"/>
        </patternFill>
      </fill>
    </dxf>
    <dxf>
      <fill>
        <patternFill>
          <bgColor rgb="FFFFF7E1"/>
        </patternFill>
      </fill>
    </dxf>
    <dxf>
      <fill>
        <patternFill>
          <bgColor rgb="FFFFB7B7"/>
        </patternFill>
      </fill>
    </dxf>
    <dxf>
      <fill>
        <patternFill>
          <bgColor rgb="FFABFFD1"/>
        </patternFill>
      </fill>
    </dxf>
    <dxf>
      <fill>
        <patternFill>
          <bgColor rgb="FFFFF7E1"/>
        </patternFill>
      </fill>
    </dxf>
    <dxf>
      <fill>
        <patternFill>
          <bgColor rgb="FFFFB7B7"/>
        </patternFill>
      </fill>
    </dxf>
    <dxf>
      <fill>
        <patternFill>
          <bgColor rgb="FFABFFD1"/>
        </patternFill>
      </fill>
    </dxf>
    <dxf>
      <fill>
        <patternFill>
          <bgColor rgb="FFFFF7E1"/>
        </patternFill>
      </fill>
    </dxf>
    <dxf>
      <fill>
        <patternFill>
          <bgColor rgb="FFFFB7B7"/>
        </patternFill>
      </fill>
    </dxf>
    <dxf>
      <fill>
        <patternFill>
          <bgColor rgb="FFABFFD1"/>
        </patternFill>
      </fill>
    </dxf>
    <dxf>
      <fill>
        <patternFill>
          <bgColor rgb="FFFFF7E1"/>
        </patternFill>
      </fill>
    </dxf>
    <dxf>
      <fill>
        <patternFill>
          <bgColor rgb="FFFFB7B7"/>
        </patternFill>
      </fill>
    </dxf>
    <dxf>
      <fill>
        <patternFill>
          <bgColor rgb="FFABFFD1"/>
        </patternFill>
      </fill>
    </dxf>
    <dxf>
      <fill>
        <patternFill>
          <bgColor rgb="FFFFF7E1"/>
        </patternFill>
      </fill>
    </dxf>
    <dxf>
      <fill>
        <patternFill>
          <bgColor rgb="FFFFB7B7"/>
        </patternFill>
      </fill>
    </dxf>
    <dxf>
      <fill>
        <patternFill>
          <bgColor rgb="FFABFFD1"/>
        </patternFill>
      </fill>
    </dxf>
    <dxf>
      <fill>
        <patternFill>
          <bgColor rgb="FFFFF7E1"/>
        </patternFill>
      </fill>
    </dxf>
    <dxf>
      <fill>
        <patternFill>
          <bgColor rgb="FFFFB7B7"/>
        </patternFill>
      </fill>
    </dxf>
    <dxf>
      <fill>
        <patternFill>
          <bgColor rgb="FFABFFD1"/>
        </patternFill>
      </fill>
    </dxf>
    <dxf>
      <fill>
        <patternFill>
          <bgColor rgb="FFFFF7E1"/>
        </patternFill>
      </fill>
    </dxf>
    <dxf>
      <fill>
        <patternFill>
          <bgColor rgb="FFFFB7B7"/>
        </patternFill>
      </fill>
    </dxf>
    <dxf>
      <fill>
        <patternFill>
          <bgColor rgb="FFABFFD1"/>
        </patternFill>
      </fill>
    </dxf>
    <dxf>
      <fill>
        <patternFill>
          <bgColor rgb="FFFFF7E1"/>
        </patternFill>
      </fill>
    </dxf>
    <dxf>
      <fill>
        <patternFill>
          <bgColor rgb="FFFFB7B7"/>
        </patternFill>
      </fill>
    </dxf>
    <dxf>
      <fill>
        <patternFill>
          <bgColor rgb="FFABFFD1"/>
        </patternFill>
      </fill>
    </dxf>
    <dxf>
      <fill>
        <patternFill>
          <bgColor rgb="FFFFF7E1"/>
        </patternFill>
      </fill>
    </dxf>
    <dxf>
      <fill>
        <patternFill>
          <bgColor rgb="FFFFB7B7"/>
        </patternFill>
      </fill>
    </dxf>
    <dxf>
      <fill>
        <patternFill>
          <bgColor rgb="FFABFFD1"/>
        </patternFill>
      </fill>
    </dxf>
    <dxf>
      <fill>
        <patternFill>
          <bgColor rgb="FFFFF7E1"/>
        </patternFill>
      </fill>
    </dxf>
    <dxf>
      <fill>
        <patternFill>
          <bgColor rgb="FFFFB7B7"/>
        </patternFill>
      </fill>
    </dxf>
    <dxf>
      <fill>
        <patternFill>
          <bgColor rgb="FFABFFD1"/>
        </patternFill>
      </fill>
    </dxf>
    <dxf>
      <fill>
        <patternFill>
          <bgColor rgb="FFFFF7E1"/>
        </patternFill>
      </fill>
    </dxf>
    <dxf>
      <fill>
        <patternFill>
          <bgColor rgb="FFFFB7B7"/>
        </patternFill>
      </fill>
    </dxf>
    <dxf>
      <fill>
        <patternFill>
          <bgColor rgb="FFABFFD1"/>
        </patternFill>
      </fill>
    </dxf>
    <dxf>
      <fill>
        <patternFill>
          <bgColor rgb="FFFFF7E1"/>
        </patternFill>
      </fill>
    </dxf>
    <dxf>
      <fill>
        <patternFill>
          <bgColor rgb="FFFFB7B7"/>
        </patternFill>
      </fill>
    </dxf>
    <dxf>
      <fill>
        <patternFill>
          <bgColor rgb="FFABFFD1"/>
        </patternFill>
      </fill>
    </dxf>
    <dxf>
      <fill>
        <patternFill>
          <bgColor rgb="FFFFF7E1"/>
        </patternFill>
      </fill>
    </dxf>
    <dxf>
      <fill>
        <patternFill>
          <bgColor rgb="FFFFB7B7"/>
        </patternFill>
      </fill>
    </dxf>
    <dxf>
      <fill>
        <patternFill>
          <bgColor rgb="FFABFFD1"/>
        </patternFill>
      </fill>
    </dxf>
    <dxf>
      <fill>
        <patternFill>
          <bgColor rgb="FFFFF7E1"/>
        </patternFill>
      </fill>
    </dxf>
    <dxf>
      <fill>
        <patternFill>
          <bgColor rgb="FFFFB7B7"/>
        </patternFill>
      </fill>
    </dxf>
    <dxf>
      <fill>
        <patternFill>
          <bgColor rgb="FFABFFD1"/>
        </patternFill>
      </fill>
    </dxf>
    <dxf>
      <fill>
        <patternFill>
          <bgColor rgb="FFFFF7E1"/>
        </patternFill>
      </fill>
    </dxf>
    <dxf>
      <fill>
        <patternFill>
          <bgColor rgb="FFFFB7B7"/>
        </patternFill>
      </fill>
    </dxf>
    <dxf>
      <fill>
        <patternFill>
          <bgColor rgb="FFABFFD1"/>
        </patternFill>
      </fill>
    </dxf>
    <dxf>
      <fill>
        <patternFill>
          <bgColor rgb="FFFFF7E1"/>
        </patternFill>
      </fill>
    </dxf>
    <dxf>
      <fill>
        <patternFill>
          <bgColor rgb="FFFFB7B7"/>
        </patternFill>
      </fill>
    </dxf>
    <dxf>
      <fill>
        <patternFill>
          <bgColor rgb="FFABFFD1"/>
        </patternFill>
      </fill>
    </dxf>
    <dxf>
      <fill>
        <patternFill>
          <bgColor rgb="FFFFF7E1"/>
        </patternFill>
      </fill>
    </dxf>
    <dxf>
      <fill>
        <patternFill>
          <bgColor rgb="FFFFB7B7"/>
        </patternFill>
      </fill>
    </dxf>
    <dxf>
      <fill>
        <patternFill>
          <bgColor rgb="FFABFFD1"/>
        </patternFill>
      </fill>
    </dxf>
    <dxf>
      <fill>
        <patternFill>
          <bgColor rgb="FFFFF7E1"/>
        </patternFill>
      </fill>
    </dxf>
    <dxf>
      <fill>
        <patternFill>
          <bgColor rgb="FFFFB7B7"/>
        </patternFill>
      </fill>
    </dxf>
    <dxf>
      <fill>
        <patternFill>
          <bgColor rgb="FFABFFD1"/>
        </patternFill>
      </fill>
    </dxf>
    <dxf>
      <fill>
        <patternFill>
          <bgColor rgb="FFFFF7E1"/>
        </patternFill>
      </fill>
    </dxf>
    <dxf>
      <fill>
        <patternFill>
          <bgColor rgb="FFFFB7B7"/>
        </patternFill>
      </fill>
    </dxf>
    <dxf>
      <fill>
        <patternFill>
          <bgColor rgb="FFABFFD1"/>
        </patternFill>
      </fill>
    </dxf>
    <dxf>
      <fill>
        <patternFill>
          <bgColor rgb="FFFFF7E1"/>
        </patternFill>
      </fill>
    </dxf>
    <dxf>
      <fill>
        <patternFill>
          <bgColor rgb="FFFFB7B7"/>
        </patternFill>
      </fill>
    </dxf>
    <dxf>
      <fill>
        <patternFill>
          <bgColor rgb="FFABFFD1"/>
        </patternFill>
      </fill>
    </dxf>
    <dxf>
      <fill>
        <patternFill>
          <bgColor rgb="FFFFF7E1"/>
        </patternFill>
      </fill>
    </dxf>
    <dxf>
      <fill>
        <patternFill>
          <bgColor rgb="FFFFB7B7"/>
        </patternFill>
      </fill>
    </dxf>
    <dxf>
      <fill>
        <patternFill>
          <bgColor rgb="FFABFFD1"/>
        </patternFill>
      </fill>
    </dxf>
    <dxf>
      <fill>
        <patternFill>
          <bgColor rgb="FFFFF7E1"/>
        </patternFill>
      </fill>
    </dxf>
    <dxf>
      <fill>
        <patternFill>
          <bgColor rgb="FFFFB7B7"/>
        </patternFill>
      </fill>
    </dxf>
    <dxf>
      <fill>
        <patternFill>
          <bgColor rgb="FFABFFD1"/>
        </patternFill>
      </fill>
    </dxf>
    <dxf>
      <fill>
        <patternFill>
          <bgColor rgb="FFFFF7E1"/>
        </patternFill>
      </fill>
    </dxf>
    <dxf>
      <fill>
        <patternFill>
          <bgColor rgb="FFFFB7B7"/>
        </patternFill>
      </fill>
    </dxf>
    <dxf>
      <fill>
        <patternFill>
          <bgColor rgb="FFABFFD1"/>
        </patternFill>
      </fill>
    </dxf>
    <dxf>
      <fill>
        <patternFill>
          <bgColor rgb="FFFFF7E1"/>
        </patternFill>
      </fill>
    </dxf>
    <dxf>
      <fill>
        <patternFill>
          <bgColor rgb="FFFFB7B7"/>
        </patternFill>
      </fill>
    </dxf>
    <dxf>
      <fill>
        <patternFill>
          <bgColor rgb="FFABFFD1"/>
        </patternFill>
      </fill>
    </dxf>
    <dxf>
      <fill>
        <patternFill>
          <bgColor rgb="FFFFF7E1"/>
        </patternFill>
      </fill>
    </dxf>
    <dxf>
      <fill>
        <patternFill>
          <bgColor rgb="FFFFB7B7"/>
        </patternFill>
      </fill>
    </dxf>
    <dxf>
      <fill>
        <patternFill>
          <bgColor rgb="FFABFFD1"/>
        </patternFill>
      </fill>
    </dxf>
    <dxf>
      <fill>
        <patternFill>
          <bgColor rgb="FFFFF7E1"/>
        </patternFill>
      </fill>
    </dxf>
    <dxf>
      <fill>
        <patternFill>
          <bgColor rgb="FFFFB7B7"/>
        </patternFill>
      </fill>
    </dxf>
    <dxf>
      <fill>
        <patternFill>
          <bgColor rgb="FFABFFD1"/>
        </patternFill>
      </fill>
    </dxf>
    <dxf>
      <fill>
        <patternFill>
          <bgColor rgb="FFFFF7E1"/>
        </patternFill>
      </fill>
    </dxf>
    <dxf>
      <fill>
        <patternFill>
          <bgColor rgb="FFFFB7B7"/>
        </patternFill>
      </fill>
    </dxf>
    <dxf>
      <fill>
        <patternFill>
          <bgColor rgb="FFABFFD1"/>
        </patternFill>
      </fill>
    </dxf>
    <dxf>
      <fill>
        <patternFill>
          <bgColor rgb="FFFFF7E1"/>
        </patternFill>
      </fill>
    </dxf>
    <dxf>
      <fill>
        <patternFill>
          <bgColor rgb="FFFFB7B7"/>
        </patternFill>
      </fill>
    </dxf>
    <dxf>
      <fill>
        <patternFill>
          <bgColor rgb="FFABFFD1"/>
        </patternFill>
      </fill>
    </dxf>
    <dxf>
      <fill>
        <patternFill>
          <bgColor rgb="FFFFF7E1"/>
        </patternFill>
      </fill>
    </dxf>
    <dxf>
      <fill>
        <patternFill>
          <bgColor rgb="FFFFB7B7"/>
        </patternFill>
      </fill>
    </dxf>
    <dxf>
      <fill>
        <patternFill>
          <bgColor rgb="FFABFFD1"/>
        </patternFill>
      </fill>
    </dxf>
    <dxf>
      <fill>
        <patternFill>
          <bgColor rgb="FFFFF7E1"/>
        </patternFill>
      </fill>
    </dxf>
    <dxf>
      <fill>
        <patternFill>
          <bgColor rgb="FFFFB7B7"/>
        </patternFill>
      </fill>
    </dxf>
    <dxf>
      <fill>
        <patternFill>
          <bgColor rgb="FFABFFD1"/>
        </patternFill>
      </fill>
    </dxf>
    <dxf>
      <fill>
        <patternFill>
          <bgColor rgb="FFFFF7E1"/>
        </patternFill>
      </fill>
    </dxf>
    <dxf>
      <fill>
        <patternFill>
          <bgColor rgb="FFFFB7B7"/>
        </patternFill>
      </fill>
    </dxf>
    <dxf>
      <fill>
        <patternFill>
          <bgColor rgb="FFABFFD1"/>
        </patternFill>
      </fill>
    </dxf>
    <dxf>
      <fill>
        <patternFill>
          <bgColor rgb="FFFFF7E1"/>
        </patternFill>
      </fill>
    </dxf>
    <dxf>
      <fill>
        <patternFill>
          <bgColor rgb="FFFFB7B7"/>
        </patternFill>
      </fill>
    </dxf>
    <dxf>
      <fill>
        <patternFill>
          <bgColor rgb="FFABFFD1"/>
        </patternFill>
      </fill>
    </dxf>
    <dxf>
      <fill>
        <patternFill>
          <bgColor rgb="FFFFF7E1"/>
        </patternFill>
      </fill>
    </dxf>
    <dxf>
      <fill>
        <patternFill>
          <bgColor rgb="FFFFB7B7"/>
        </patternFill>
      </fill>
    </dxf>
    <dxf>
      <fill>
        <patternFill>
          <bgColor rgb="FFABFFD1"/>
        </patternFill>
      </fill>
    </dxf>
    <dxf>
      <fill>
        <patternFill>
          <bgColor rgb="FFFFF7E1"/>
        </patternFill>
      </fill>
    </dxf>
    <dxf>
      <fill>
        <patternFill>
          <bgColor rgb="FFFFB7B7"/>
        </patternFill>
      </fill>
    </dxf>
    <dxf>
      <fill>
        <patternFill>
          <bgColor rgb="FFABFFD1"/>
        </patternFill>
      </fill>
    </dxf>
    <dxf>
      <fill>
        <patternFill>
          <bgColor rgb="FFFFF7E1"/>
        </patternFill>
      </fill>
    </dxf>
    <dxf>
      <fill>
        <patternFill>
          <bgColor rgb="FFFFB7B7"/>
        </patternFill>
      </fill>
    </dxf>
    <dxf>
      <fill>
        <patternFill>
          <bgColor rgb="FFABFFD1"/>
        </patternFill>
      </fill>
    </dxf>
    <dxf>
      <fill>
        <patternFill>
          <bgColor rgb="FFFFF7E1"/>
        </patternFill>
      </fill>
    </dxf>
    <dxf>
      <fill>
        <patternFill>
          <bgColor rgb="FFFFB7B7"/>
        </patternFill>
      </fill>
    </dxf>
    <dxf>
      <fill>
        <patternFill>
          <bgColor rgb="FFABFFD1"/>
        </patternFill>
      </fill>
    </dxf>
    <dxf>
      <fill>
        <patternFill>
          <bgColor rgb="FFFFF7E1"/>
        </patternFill>
      </fill>
    </dxf>
    <dxf>
      <fill>
        <patternFill>
          <bgColor rgb="FFFFB7B7"/>
        </patternFill>
      </fill>
    </dxf>
    <dxf>
      <fill>
        <patternFill>
          <bgColor rgb="FFABFFD1"/>
        </patternFill>
      </fill>
    </dxf>
    <dxf>
      <fill>
        <patternFill>
          <bgColor rgb="FFFFF7E1"/>
        </patternFill>
      </fill>
    </dxf>
    <dxf>
      <fill>
        <patternFill>
          <bgColor rgb="FFFFB7B7"/>
        </patternFill>
      </fill>
    </dxf>
    <dxf>
      <fill>
        <patternFill>
          <bgColor rgb="FFABFFD1"/>
        </patternFill>
      </fill>
    </dxf>
    <dxf>
      <fill>
        <patternFill>
          <bgColor rgb="FFFFF7E1"/>
        </patternFill>
      </fill>
    </dxf>
    <dxf>
      <fill>
        <patternFill>
          <bgColor rgb="FFFFB7B7"/>
        </patternFill>
      </fill>
    </dxf>
    <dxf>
      <fill>
        <patternFill>
          <bgColor rgb="FFABFFD1"/>
        </patternFill>
      </fill>
    </dxf>
    <dxf>
      <fill>
        <patternFill>
          <bgColor rgb="FFFFF7E1"/>
        </patternFill>
      </fill>
    </dxf>
    <dxf>
      <fill>
        <patternFill>
          <bgColor rgb="FFFFB7B7"/>
        </patternFill>
      </fill>
    </dxf>
    <dxf>
      <fill>
        <patternFill>
          <bgColor rgb="FFABFFD1"/>
        </patternFill>
      </fill>
    </dxf>
    <dxf>
      <fill>
        <patternFill>
          <bgColor rgb="FFFFF7E1"/>
        </patternFill>
      </fill>
    </dxf>
    <dxf>
      <fill>
        <patternFill>
          <bgColor rgb="FFFFB7B7"/>
        </patternFill>
      </fill>
    </dxf>
    <dxf>
      <fill>
        <patternFill>
          <bgColor rgb="FFABFFD1"/>
        </patternFill>
      </fill>
    </dxf>
    <dxf>
      <fill>
        <patternFill>
          <bgColor rgb="FFFFF7E1"/>
        </patternFill>
      </fill>
    </dxf>
    <dxf>
      <fill>
        <patternFill>
          <bgColor rgb="FFFFB7B7"/>
        </patternFill>
      </fill>
    </dxf>
    <dxf>
      <fill>
        <patternFill>
          <bgColor rgb="FFABFFD1"/>
        </patternFill>
      </fill>
    </dxf>
    <dxf>
      <fill>
        <patternFill>
          <bgColor rgb="FFFFF7E1"/>
        </patternFill>
      </fill>
    </dxf>
    <dxf>
      <fill>
        <patternFill>
          <bgColor rgb="FFFFB7B7"/>
        </patternFill>
      </fill>
    </dxf>
    <dxf>
      <fill>
        <patternFill>
          <bgColor rgb="FFABFFD1"/>
        </patternFill>
      </fill>
    </dxf>
    <dxf>
      <fill>
        <patternFill>
          <bgColor rgb="FFFFF7E1"/>
        </patternFill>
      </fill>
    </dxf>
    <dxf>
      <fill>
        <patternFill>
          <bgColor rgb="FFFFB7B7"/>
        </patternFill>
      </fill>
    </dxf>
    <dxf>
      <fill>
        <patternFill>
          <bgColor rgb="FFABFFD1"/>
        </patternFill>
      </fill>
    </dxf>
    <dxf>
      <fill>
        <patternFill>
          <bgColor rgb="FFFFF7E1"/>
        </patternFill>
      </fill>
    </dxf>
    <dxf>
      <fill>
        <patternFill>
          <bgColor rgb="FFFFB7B7"/>
        </patternFill>
      </fill>
    </dxf>
    <dxf>
      <fill>
        <patternFill>
          <bgColor rgb="FFABFFD1"/>
        </patternFill>
      </fill>
    </dxf>
    <dxf>
      <fill>
        <patternFill>
          <bgColor rgb="FFFFF7E1"/>
        </patternFill>
      </fill>
    </dxf>
    <dxf>
      <fill>
        <patternFill>
          <bgColor rgb="FFFFB7B7"/>
        </patternFill>
      </fill>
    </dxf>
    <dxf>
      <fill>
        <patternFill>
          <bgColor rgb="FFABFFD1"/>
        </patternFill>
      </fill>
    </dxf>
    <dxf>
      <fill>
        <patternFill>
          <bgColor rgb="FFFFF7E1"/>
        </patternFill>
      </fill>
    </dxf>
    <dxf>
      <fill>
        <patternFill>
          <bgColor rgb="FFFFB7B7"/>
        </patternFill>
      </fill>
    </dxf>
    <dxf>
      <fill>
        <patternFill>
          <bgColor rgb="FFABFFD1"/>
        </patternFill>
      </fill>
    </dxf>
    <dxf>
      <fill>
        <patternFill>
          <bgColor rgb="FFFFF7E1"/>
        </patternFill>
      </fill>
    </dxf>
    <dxf>
      <fill>
        <patternFill>
          <bgColor rgb="FFFFB7B7"/>
        </patternFill>
      </fill>
    </dxf>
    <dxf>
      <fill>
        <patternFill>
          <bgColor rgb="FFABFFD1"/>
        </patternFill>
      </fill>
    </dxf>
    <dxf>
      <fill>
        <patternFill>
          <bgColor rgb="FFFFF7E1"/>
        </patternFill>
      </fill>
    </dxf>
    <dxf>
      <fill>
        <patternFill>
          <bgColor rgb="FFFFB7B7"/>
        </patternFill>
      </fill>
    </dxf>
    <dxf>
      <fill>
        <patternFill>
          <bgColor rgb="FFABFFD1"/>
        </patternFill>
      </fill>
    </dxf>
    <dxf>
      <fill>
        <patternFill>
          <bgColor rgb="FFFFF7E1"/>
        </patternFill>
      </fill>
    </dxf>
    <dxf>
      <fill>
        <patternFill>
          <bgColor rgb="FFFFB7B7"/>
        </patternFill>
      </fill>
    </dxf>
    <dxf>
      <fill>
        <patternFill>
          <bgColor rgb="FFABFFD1"/>
        </patternFill>
      </fill>
    </dxf>
    <dxf>
      <fill>
        <patternFill>
          <bgColor rgb="FFFFF7E1"/>
        </patternFill>
      </fill>
    </dxf>
    <dxf>
      <fill>
        <patternFill>
          <bgColor rgb="FFFFB7B7"/>
        </patternFill>
      </fill>
    </dxf>
    <dxf>
      <fill>
        <patternFill>
          <bgColor rgb="FFABFFD1"/>
        </patternFill>
      </fill>
    </dxf>
    <dxf>
      <fill>
        <patternFill>
          <bgColor rgb="FFFFF7E1"/>
        </patternFill>
      </fill>
    </dxf>
    <dxf>
      <fill>
        <patternFill>
          <bgColor rgb="FFFFB7B7"/>
        </patternFill>
      </fill>
    </dxf>
    <dxf>
      <fill>
        <patternFill>
          <bgColor rgb="FFABFFD1"/>
        </patternFill>
      </fill>
    </dxf>
    <dxf>
      <fill>
        <patternFill>
          <bgColor rgb="FFFFF7E1"/>
        </patternFill>
      </fill>
    </dxf>
    <dxf>
      <fill>
        <patternFill>
          <bgColor rgb="FFFFB7B7"/>
        </patternFill>
      </fill>
    </dxf>
    <dxf>
      <fill>
        <patternFill>
          <bgColor rgb="FFABFFD1"/>
        </patternFill>
      </fill>
    </dxf>
    <dxf>
      <fill>
        <patternFill>
          <bgColor rgb="FFFFF7E1"/>
        </patternFill>
      </fill>
    </dxf>
    <dxf>
      <fill>
        <patternFill>
          <bgColor rgb="FFFFB7B7"/>
        </patternFill>
      </fill>
    </dxf>
    <dxf>
      <fill>
        <patternFill>
          <bgColor rgb="FFABFFD1"/>
        </patternFill>
      </fill>
    </dxf>
    <dxf>
      <fill>
        <patternFill>
          <bgColor rgb="FFFFF7E1"/>
        </patternFill>
      </fill>
    </dxf>
    <dxf>
      <fill>
        <patternFill>
          <bgColor rgb="FFFFB7B7"/>
        </patternFill>
      </fill>
    </dxf>
    <dxf>
      <fill>
        <patternFill>
          <bgColor rgb="FFABFFD1"/>
        </patternFill>
      </fill>
    </dxf>
    <dxf>
      <fill>
        <patternFill>
          <bgColor rgb="FFFFF7E1"/>
        </patternFill>
      </fill>
    </dxf>
    <dxf>
      <fill>
        <patternFill>
          <bgColor rgb="FFFFB7B7"/>
        </patternFill>
      </fill>
    </dxf>
    <dxf>
      <fill>
        <patternFill>
          <bgColor rgb="FFABFFD1"/>
        </patternFill>
      </fill>
    </dxf>
    <dxf>
      <fill>
        <patternFill>
          <bgColor rgb="FFFFF7E1"/>
        </patternFill>
      </fill>
    </dxf>
    <dxf>
      <fill>
        <patternFill>
          <bgColor rgb="FFFFB7B7"/>
        </patternFill>
      </fill>
    </dxf>
    <dxf>
      <fill>
        <patternFill>
          <bgColor rgb="FFABFFD1"/>
        </patternFill>
      </fill>
    </dxf>
    <dxf>
      <fill>
        <patternFill>
          <bgColor rgb="FFFFF7E1"/>
        </patternFill>
      </fill>
    </dxf>
    <dxf>
      <fill>
        <patternFill>
          <bgColor rgb="FFFFB7B7"/>
        </patternFill>
      </fill>
    </dxf>
    <dxf>
      <fill>
        <patternFill>
          <bgColor rgb="FFABFFD1"/>
        </patternFill>
      </fill>
    </dxf>
    <dxf>
      <fill>
        <patternFill>
          <bgColor rgb="FFFFF7E1"/>
        </patternFill>
      </fill>
    </dxf>
    <dxf>
      <fill>
        <patternFill>
          <bgColor rgb="FFFFB7B7"/>
        </patternFill>
      </fill>
    </dxf>
    <dxf>
      <fill>
        <patternFill>
          <bgColor rgb="FFABFFD1"/>
        </patternFill>
      </fill>
    </dxf>
    <dxf>
      <fill>
        <patternFill>
          <bgColor rgb="FFFFF7E1"/>
        </patternFill>
      </fill>
    </dxf>
    <dxf>
      <fill>
        <patternFill>
          <bgColor rgb="FFFFB7B7"/>
        </patternFill>
      </fill>
    </dxf>
    <dxf>
      <fill>
        <patternFill>
          <bgColor rgb="FFABFFD1"/>
        </patternFill>
      </fill>
    </dxf>
    <dxf>
      <fill>
        <patternFill>
          <bgColor rgb="FFFFF7E1"/>
        </patternFill>
      </fill>
    </dxf>
    <dxf>
      <fill>
        <patternFill>
          <bgColor rgb="FFFFB7B7"/>
        </patternFill>
      </fill>
    </dxf>
    <dxf>
      <fill>
        <patternFill>
          <bgColor rgb="FFABFFD1"/>
        </patternFill>
      </fill>
    </dxf>
    <dxf>
      <fill>
        <patternFill>
          <bgColor rgb="FFFFF7E1"/>
        </patternFill>
      </fill>
    </dxf>
    <dxf>
      <fill>
        <patternFill>
          <bgColor rgb="FFFFB7B7"/>
        </patternFill>
      </fill>
    </dxf>
    <dxf>
      <fill>
        <patternFill>
          <bgColor rgb="FFABFFD1"/>
        </patternFill>
      </fill>
    </dxf>
    <dxf>
      <fill>
        <patternFill>
          <bgColor rgb="FFFFF7E1"/>
        </patternFill>
      </fill>
    </dxf>
    <dxf>
      <fill>
        <patternFill>
          <bgColor rgb="FFFFB7B7"/>
        </patternFill>
      </fill>
    </dxf>
    <dxf>
      <fill>
        <patternFill>
          <bgColor rgb="FFABFFD1"/>
        </patternFill>
      </fill>
    </dxf>
    <dxf>
      <fill>
        <patternFill>
          <bgColor rgb="FFFFF7E1"/>
        </patternFill>
      </fill>
    </dxf>
    <dxf>
      <fill>
        <patternFill>
          <bgColor rgb="FFFFB7B7"/>
        </patternFill>
      </fill>
    </dxf>
    <dxf>
      <fill>
        <patternFill>
          <bgColor rgb="FFABFFD1"/>
        </patternFill>
      </fill>
    </dxf>
    <dxf>
      <fill>
        <patternFill>
          <bgColor rgb="FFFFF7E1"/>
        </patternFill>
      </fill>
    </dxf>
    <dxf>
      <fill>
        <patternFill>
          <bgColor rgb="FFFFB7B7"/>
        </patternFill>
      </fill>
    </dxf>
    <dxf>
      <fill>
        <patternFill>
          <bgColor rgb="FFABFFD1"/>
        </patternFill>
      </fill>
    </dxf>
    <dxf>
      <fill>
        <patternFill>
          <bgColor rgb="FFFFF7E1"/>
        </patternFill>
      </fill>
    </dxf>
    <dxf>
      <fill>
        <patternFill>
          <bgColor rgb="FFFFB7B7"/>
        </patternFill>
      </fill>
    </dxf>
    <dxf>
      <fill>
        <patternFill>
          <bgColor rgb="FFABFFD1"/>
        </patternFill>
      </fill>
    </dxf>
    <dxf>
      <fill>
        <patternFill>
          <bgColor rgb="FFFFF7E1"/>
        </patternFill>
      </fill>
    </dxf>
    <dxf>
      <fill>
        <patternFill>
          <bgColor rgb="FFFFB7B7"/>
        </patternFill>
      </fill>
    </dxf>
    <dxf>
      <fill>
        <patternFill>
          <bgColor rgb="FFABFFD1"/>
        </patternFill>
      </fill>
    </dxf>
    <dxf>
      <fill>
        <patternFill>
          <bgColor rgb="FFFFF7E1"/>
        </patternFill>
      </fill>
    </dxf>
    <dxf>
      <fill>
        <patternFill>
          <bgColor rgb="FFFFB7B7"/>
        </patternFill>
      </fill>
    </dxf>
    <dxf>
      <fill>
        <patternFill>
          <bgColor rgb="FFCDFFE4"/>
        </patternFill>
      </fill>
    </dxf>
    <dxf>
      <fill>
        <patternFill>
          <bgColor rgb="FF79FFB6"/>
        </patternFill>
      </fill>
    </dxf>
    <dxf>
      <fill>
        <patternFill>
          <bgColor rgb="FF2FFF8D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D5D5"/>
        </patternFill>
      </fill>
    </dxf>
    <dxf>
      <fill>
        <patternFill>
          <bgColor rgb="FFFFABAB"/>
        </patternFill>
      </fill>
    </dxf>
    <dxf>
      <fill>
        <patternFill>
          <bgColor rgb="FFFF6161"/>
        </patternFill>
      </fill>
    </dxf>
    <dxf>
      <fill>
        <patternFill>
          <bgColor rgb="FFFF2525"/>
        </patternFill>
      </fill>
    </dxf>
    <dxf>
      <font>
        <color theme="1"/>
      </font>
      <fill>
        <patternFill>
          <bgColor theme="0" tint="-0.149967955565050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2"/>
        <scheme val="minor"/>
      </font>
      <numFmt numFmtId="164" formatCode="_-* #,##0.00_-&quot;₺&quot;;\-* #,##0.00_-&quot;₺&quot;;_-&quot;₺&quot;* &quot;-&quot;??_-;_-@_-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alignment horizontal="right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9" formatCode="d/m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2"/>
        <scheme val="minor"/>
      </font>
      <numFmt numFmtId="164" formatCode="_-* #,##0.00_-&quot;₺&quot;;\-* #,##0.00_-&quot;₺&quot;;_-&quot;₺&quot;* &quot;-&quot;??_-;_-@_-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alignment horizontal="right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9" formatCode="d/m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2"/>
        <scheme val="minor"/>
      </font>
      <numFmt numFmtId="164" formatCode="_-* #,##0.00_-&quot;₺&quot;;\-* #,##0.00_-&quot;₺&quot;;_-&quot;₺&quot;* &quot;-&quot;??_-;_-@_-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alignment horizontal="right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9" formatCode="d/m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2"/>
        <scheme val="minor"/>
      </font>
      <numFmt numFmtId="164" formatCode="_-* #,##0.00_-&quot;₺&quot;;\-* #,##0.00_-&quot;₺&quot;;_-&quot;₺&quot;* &quot;-&quot;??_-;_-@_-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alignment horizontal="right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9" formatCode="d/m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2"/>
        <scheme val="minor"/>
      </font>
      <numFmt numFmtId="164" formatCode="_-* #,##0.00_-&quot;₺&quot;;\-* #,##0.00_-&quot;₺&quot;;_-&quot;₺&quot;* &quot;-&quot;??_-;_-@_-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alignment horizontal="right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9" formatCode="d/m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2"/>
        <scheme val="minor"/>
      </font>
      <numFmt numFmtId="164" formatCode="_-* #,##0.00_-&quot;₺&quot;;\-* #,##0.00_-&quot;₺&quot;;_-&quot;₺&quot;* &quot;-&quot;??_-;_-@_-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alignment horizontal="right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9" formatCode="d/m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2"/>
        <scheme val="minor"/>
      </font>
      <numFmt numFmtId="164" formatCode="_-* #,##0.00_-&quot;₺&quot;;\-* #,##0.00_-&quot;₺&quot;;_-&quot;₺&quot;* &quot;-&quot;??_-;_-@_-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alignment horizontal="right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9" formatCode="d/m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2"/>
        <scheme val="minor"/>
      </font>
      <numFmt numFmtId="164" formatCode="_-* #,##0.00_-&quot;₺&quot;;\-* #,##0.00_-&quot;₺&quot;;_-&quot;₺&quot;* &quot;-&quot;??_-;_-@_-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alignment horizontal="right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9" formatCode="d/m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2"/>
        <scheme val="minor"/>
      </font>
      <numFmt numFmtId="164" formatCode="_-* #,##0.00_-&quot;₺&quot;;\-* #,##0.00_-&quot;₺&quot;;_-&quot;₺&quot;* &quot;-&quot;??_-;_-@_-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alignment horizontal="right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9" formatCode="d/m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2"/>
        <scheme val="minor"/>
      </font>
      <numFmt numFmtId="164" formatCode="_-* #,##0.00_-&quot;₺&quot;;\-* #,##0.00_-&quot;₺&quot;;_-&quot;₺&quot;* &quot;-&quot;??_-;_-@_-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alignment horizontal="right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9" formatCode="d/m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2"/>
        <scheme val="minor"/>
      </font>
      <numFmt numFmtId="164" formatCode="_-* #,##0.00_-&quot;₺&quot;;\-* #,##0.00_-&quot;₺&quot;;_-&quot;₺&quot;* &quot;-&quot;??_-;_-@_-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alignment horizontal="right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9" formatCode="d/m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2"/>
        <scheme val="minor"/>
      </font>
      <numFmt numFmtId="164" formatCode="_-* #,##0.00_-&quot;₺&quot;;\-* #,##0.00_-&quot;₺&quot;;_-&quot;₺&quot;* &quot;-&quot;??_-;_-@_-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alignment horizontal="right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9" formatCode="d/m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2"/>
        <scheme val="minor"/>
      </font>
      <numFmt numFmtId="164" formatCode="_-* #,##0.00_-&quot;₺&quot;;\-* #,##0.00_-&quot;₺&quot;;_-&quot;₺&quot;* &quot;-&quot;??_-;_-@_-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alignment horizontal="right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9" formatCode="d/m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2"/>
        <scheme val="minor"/>
      </font>
      <numFmt numFmtId="164" formatCode="_-* #,##0.00_-&quot;₺&quot;;\-* #,##0.00_-&quot;₺&quot;;_-&quot;₺&quot;* &quot;-&quot;??_-;_-@_-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alignment horizontal="right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9" formatCode="d/m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2"/>
        <scheme val="minor"/>
      </font>
      <numFmt numFmtId="164" formatCode="_-* #,##0.00_-&quot;₺&quot;;\-* #,##0.00_-&quot;₺&quot;;_-&quot;₺&quot;* &quot;-&quot;??_-;_-@_-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alignment horizontal="right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9" formatCode="d/m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2"/>
        <scheme val="minor"/>
      </font>
      <numFmt numFmtId="164" formatCode="_-* #,##0.00_-&quot;₺&quot;;\-* #,##0.00_-&quot;₺&quot;;_-&quot;₺&quot;* &quot;-&quot;??_-;_-@_-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alignment horizontal="right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9" formatCode="d/m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2"/>
        <scheme val="minor"/>
      </font>
      <numFmt numFmtId="164" formatCode="_-* #,##0.00_-&quot;₺&quot;;\-* #,##0.00_-&quot;₺&quot;;_-&quot;₺&quot;* &quot;-&quot;??_-;_-@_-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alignment horizontal="right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9" formatCode="d/m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2"/>
        <scheme val="minor"/>
      </font>
      <numFmt numFmtId="164" formatCode="_-* #,##0.00_-&quot;₺&quot;;\-* #,##0.00_-&quot;₺&quot;;_-&quot;₺&quot;* &quot;-&quot;??_-;_-@_-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alignment horizontal="right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9" formatCode="d/m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2"/>
        <scheme val="minor"/>
      </font>
      <numFmt numFmtId="164" formatCode="_-* #,##0.00_-&quot;₺&quot;;\-* #,##0.00_-&quot;₺&quot;;_-&quot;₺&quot;* &quot;-&quot;??_-;_-@_-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alignment horizontal="right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9" formatCode="d/m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2"/>
        <scheme val="minor"/>
      </font>
      <numFmt numFmtId="164" formatCode="_-* #,##0.00_-&quot;₺&quot;;\-* #,##0.00_-&quot;₺&quot;;_-&quot;₺&quot;* &quot;-&quot;??_-;_-@_-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alignment horizontal="right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9" formatCode="d/m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2"/>
        <scheme val="minor"/>
      </font>
      <numFmt numFmtId="164" formatCode="_-* #,##0.00_-&quot;₺&quot;;\-* #,##0.00_-&quot;₺&quot;;_-&quot;₺&quot;* &quot;-&quot;??_-;_-@_-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alignment horizontal="right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9" formatCode="d/m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2"/>
        <scheme val="minor"/>
      </font>
      <numFmt numFmtId="164" formatCode="_-* #,##0.00_-&quot;₺&quot;;\-* #,##0.00_-&quot;₺&quot;;_-&quot;₺&quot;* &quot;-&quot;??_-;_-@_-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alignment horizontal="right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9" formatCode="d/m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2"/>
        <scheme val="minor"/>
      </font>
      <numFmt numFmtId="164" formatCode="_-* #,##0.00_-&quot;₺&quot;;\-* #,##0.00_-&quot;₺&quot;;_-&quot;₺&quot;* &quot;-&quot;??_-;_-@_-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alignment horizontal="right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9" formatCode="d/m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2"/>
        <scheme val="minor"/>
      </font>
      <numFmt numFmtId="164" formatCode="_-* #,##0.00_-&quot;₺&quot;;\-* #,##0.00_-&quot;₺&quot;;_-&quot;₺&quot;* &quot;-&quot;??_-;_-@_-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alignment horizontal="right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9" formatCode="d/m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2"/>
        <scheme val="minor"/>
      </font>
      <numFmt numFmtId="164" formatCode="_-* #,##0.00_-&quot;₺&quot;;\-* #,##0.00_-&quot;₺&quot;;_-&quot;₺&quot;* &quot;-&quot;??_-;_-@_-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alignment horizontal="right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9" formatCode="d/m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2"/>
        <scheme val="minor"/>
      </font>
      <numFmt numFmtId="164" formatCode="_-* #,##0.00_-&quot;₺&quot;;\-* #,##0.00_-&quot;₺&quot;;_-&quot;₺&quot;* &quot;-&quot;??_-;_-@_-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alignment horizontal="right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9" formatCode="d/m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2"/>
        <scheme val="minor"/>
      </font>
      <numFmt numFmtId="164" formatCode="_-* #,##0.00_-&quot;₺&quot;;\-* #,##0.00_-&quot;₺&quot;;_-&quot;₺&quot;* &quot;-&quot;??_-;_-@_-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alignment horizontal="right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9" formatCode="d/m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2"/>
        <scheme val="minor"/>
      </font>
      <numFmt numFmtId="164" formatCode="_-* #,##0.00_-&quot;₺&quot;;\-* #,##0.00_-&quot;₺&quot;;_-&quot;₺&quot;* &quot;-&quot;??_-;_-@_-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alignment horizontal="right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9" formatCode="d/m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2"/>
        <scheme val="minor"/>
      </font>
      <numFmt numFmtId="164" formatCode="_-* #,##0.00_-&quot;₺&quot;;\-* #,##0.00_-&quot;₺&quot;;_-&quot;₺&quot;* &quot;-&quot;??_-;_-@_-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alignment horizontal="right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9" formatCode="d/m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2"/>
        <scheme val="minor"/>
      </font>
      <numFmt numFmtId="164" formatCode="_-* #,##0.00_-&quot;₺&quot;;\-* #,##0.00_-&quot;₺&quot;;_-&quot;₺&quot;* &quot;-&quot;??_-;_-@_-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alignment horizontal="right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9" formatCode="d/m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2"/>
        <scheme val="minor"/>
      </font>
      <numFmt numFmtId="164" formatCode="_-* #,##0.00_-&quot;₺&quot;;\-* #,##0.00_-&quot;₺&quot;;_-&quot;₺&quot;* &quot;-&quot;??_-;_-@_-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alignment horizontal="right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9" formatCode="d/m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2"/>
        <scheme val="minor"/>
      </font>
      <numFmt numFmtId="164" formatCode="_-* #,##0.00_-&quot;₺&quot;;\-* #,##0.00_-&quot;₺&quot;;_-&quot;₺&quot;* &quot;-&quot;??_-;_-@_-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alignment horizontal="right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9" formatCode="d/m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2"/>
        <scheme val="minor"/>
      </font>
      <numFmt numFmtId="164" formatCode="_-* #,##0.00_-&quot;₺&quot;;\-* #,##0.00_-&quot;₺&quot;;_-&quot;₺&quot;* &quot;-&quot;??_-;_-@_-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alignment horizontal="right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9" formatCode="d/m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2"/>
        <scheme val="minor"/>
      </font>
      <numFmt numFmtId="164" formatCode="_-* #,##0.00_-&quot;₺&quot;;\-* #,##0.00_-&quot;₺&quot;;_-&quot;₺&quot;* &quot;-&quot;??_-;_-@_-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alignment horizontal="right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9" formatCode="d/m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2"/>
        <scheme val="minor"/>
      </font>
      <numFmt numFmtId="164" formatCode="_-* #,##0.00_-&quot;₺&quot;;\-* #,##0.00_-&quot;₺&quot;;_-&quot;₺&quot;* &quot;-&quot;??_-;_-@_-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alignment horizontal="right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9" formatCode="d/m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2"/>
        <scheme val="minor"/>
      </font>
      <numFmt numFmtId="164" formatCode="_-* #,##0.00_-&quot;₺&quot;;\-* #,##0.00_-&quot;₺&quot;;_-&quot;₺&quot;* &quot;-&quot;??_-;_-@_-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alignment horizontal="right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9" formatCode="d/m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2"/>
        <scheme val="minor"/>
      </font>
      <numFmt numFmtId="164" formatCode="_-* #,##0.00_-&quot;₺&quot;;\-* #,##0.00_-&quot;₺&quot;;_-&quot;₺&quot;* &quot;-&quot;??_-;_-@_-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alignment horizontal="right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9" formatCode="d/m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2"/>
        <scheme val="minor"/>
      </font>
      <numFmt numFmtId="164" formatCode="_-* #,##0.00_-&quot;₺&quot;;\-* #,##0.00_-&quot;₺&quot;;_-&quot;₺&quot;* &quot;-&quot;??_-;_-@_-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alignment horizontal="right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9" formatCode="d/m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2"/>
        <scheme val="minor"/>
      </font>
      <numFmt numFmtId="164" formatCode="_-* #,##0.00_-&quot;₺&quot;;\-* #,##0.00_-&quot;₺&quot;;_-&quot;₺&quot;* &quot;-&quot;??_-;_-@_-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alignment horizontal="right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9" formatCode="d/m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2"/>
        <scheme val="minor"/>
      </font>
      <numFmt numFmtId="164" formatCode="_-* #,##0.00_-&quot;₺&quot;;\-* #,##0.00_-&quot;₺&quot;;_-&quot;₺&quot;* &quot;-&quot;??_-;_-@_-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alignment horizontal="right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9" formatCode="d/m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2"/>
        <scheme val="minor"/>
      </font>
      <numFmt numFmtId="164" formatCode="_-* #,##0.00_-&quot;₺&quot;;\-* #,##0.00_-&quot;₺&quot;;_-&quot;₺&quot;* &quot;-&quot;??_-;_-@_-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alignment horizontal="right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9" formatCode="d/m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2"/>
        <scheme val="minor"/>
      </font>
      <numFmt numFmtId="164" formatCode="_-* #,##0.00_-&quot;₺&quot;;\-* #,##0.00_-&quot;₺&quot;;_-&quot;₺&quot;* &quot;-&quot;??_-;_-@_-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alignment horizontal="right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9" formatCode="d/m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2"/>
        <scheme val="minor"/>
      </font>
      <numFmt numFmtId="164" formatCode="_-* #,##0.00_-&quot;₺&quot;;\-* #,##0.00_-&quot;₺&quot;;_-&quot;₺&quot;* &quot;-&quot;??_-;_-@_-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alignment horizontal="right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9" formatCode="d/m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2"/>
        <scheme val="minor"/>
      </font>
      <numFmt numFmtId="164" formatCode="_-* #,##0.00_-&quot;₺&quot;;\-* #,##0.00_-&quot;₺&quot;;_-&quot;₺&quot;* &quot;-&quot;??_-;_-@_-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alignment horizontal="right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9" formatCode="d/m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2"/>
        <scheme val="minor"/>
      </font>
      <numFmt numFmtId="164" formatCode="_-* #,##0.00_-&quot;₺&quot;;\-* #,##0.00_-&quot;₺&quot;;_-&quot;₺&quot;* &quot;-&quot;??_-;_-@_-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alignment horizontal="right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9" formatCode="d/m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2"/>
        <scheme val="minor"/>
      </font>
      <numFmt numFmtId="164" formatCode="_-* #,##0.00_-&quot;₺&quot;;\-* #,##0.00_-&quot;₺&quot;;_-&quot;₺&quot;* &quot;-&quot;??_-;_-@_-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alignment horizontal="right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9" formatCode="d/m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2"/>
        <scheme val="minor"/>
      </font>
      <numFmt numFmtId="164" formatCode="_-* #,##0.00_-&quot;₺&quot;;\-* #,##0.00_-&quot;₺&quot;;_-&quot;₺&quot;* &quot;-&quot;??_-;_-@_-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alignment horizontal="right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9" formatCode="d/m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2"/>
        <scheme val="minor"/>
      </font>
      <numFmt numFmtId="164" formatCode="_-* #,##0.00_-&quot;₺&quot;;\-* #,##0.00_-&quot;₺&quot;;_-&quot;₺&quot;* &quot;-&quot;??_-;_-@_-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alignment horizontal="right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9" formatCode="d/m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2"/>
        <scheme val="minor"/>
      </font>
      <numFmt numFmtId="164" formatCode="_-* #,##0.00_-&quot;₺&quot;;\-* #,##0.00_-&quot;₺&quot;;_-&quot;₺&quot;* &quot;-&quot;??_-;_-@_-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alignment horizontal="right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9" formatCode="d/m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2"/>
        <scheme val="minor"/>
      </font>
      <numFmt numFmtId="164" formatCode="_-* #,##0.00_-&quot;₺&quot;;\-* #,##0.00_-&quot;₺&quot;;_-&quot;₺&quot;* &quot;-&quot;??_-;_-@_-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alignment horizontal="right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9" formatCode="d/m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2"/>
        <scheme val="minor"/>
      </font>
      <numFmt numFmtId="164" formatCode="_-* #,##0.00_-&quot;₺&quot;;\-* #,##0.00_-&quot;₺&quot;;_-&quot;₺&quot;* &quot;-&quot;??_-;_-@_-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alignment horizontal="right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9" formatCode="d/m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2"/>
        <scheme val="minor"/>
      </font>
      <numFmt numFmtId="164" formatCode="_-* #,##0.00_-&quot;₺&quot;;\-* #,##0.00_-&quot;₺&quot;;_-&quot;₺&quot;* &quot;-&quot;??_-;_-@_-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alignment horizontal="right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9" formatCode="d/m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2"/>
        <scheme val="minor"/>
      </font>
      <numFmt numFmtId="164" formatCode="_-* #,##0.00_-&quot;₺&quot;;\-* #,##0.00_-&quot;₺&quot;;_-&quot;₺&quot;* &quot;-&quot;??_-;_-@_-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alignment horizontal="right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9" formatCode="d/m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2"/>
        <scheme val="minor"/>
      </font>
      <numFmt numFmtId="164" formatCode="_-* #,##0.00_-&quot;₺&quot;;\-* #,##0.00_-&quot;₺&quot;;_-&quot;₺&quot;* &quot;-&quot;??_-;_-@_-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alignment horizontal="right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9" formatCode="d/m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2"/>
        <scheme val="minor"/>
      </font>
      <numFmt numFmtId="164" formatCode="_-* #,##0.00_-&quot;₺&quot;;\-* #,##0.00_-&quot;₺&quot;;_-&quot;₺&quot;* &quot;-&quot;??_-;_-@_-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alignment horizontal="right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9" formatCode="d/m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2"/>
        <scheme val="minor"/>
      </font>
      <numFmt numFmtId="164" formatCode="_-* #,##0.00_-&quot;₺&quot;;\-* #,##0.00_-&quot;₺&quot;;_-&quot;₺&quot;* &quot;-&quot;??_-;_-@_-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alignment horizontal="right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9" formatCode="d/m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2"/>
        <scheme val="minor"/>
      </font>
      <numFmt numFmtId="164" formatCode="_-* #,##0.00_-&quot;₺&quot;;\-* #,##0.00_-&quot;₺&quot;;_-&quot;₺&quot;* &quot;-&quot;??_-;_-@_-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alignment horizontal="right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9" formatCode="d/m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2"/>
        <scheme val="minor"/>
      </font>
      <numFmt numFmtId="164" formatCode="_-* #,##0.00_-&quot;₺&quot;;\-* #,##0.00_-&quot;₺&quot;;_-&quot;₺&quot;* &quot;-&quot;??_-;_-@_-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alignment horizontal="right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9" formatCode="d/m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2"/>
        <scheme val="minor"/>
      </font>
      <numFmt numFmtId="164" formatCode="_-* #,##0.00_-&quot;₺&quot;;\-* #,##0.00_-&quot;₺&quot;;_-&quot;₺&quot;* &quot;-&quot;??_-;_-@_-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alignment horizontal="right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9" formatCode="d/m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2"/>
        <scheme val="minor"/>
      </font>
      <numFmt numFmtId="164" formatCode="_-* #,##0.00_-&quot;₺&quot;;\-* #,##0.00_-&quot;₺&quot;;_-&quot;₺&quot;* &quot;-&quot;??_-;_-@_-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alignment horizontal="right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9" formatCode="d/m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2"/>
        <scheme val="minor"/>
      </font>
      <numFmt numFmtId="164" formatCode="_-* #,##0.00_-&quot;₺&quot;;\-* #,##0.00_-&quot;₺&quot;;_-&quot;₺&quot;* &quot;-&quot;??_-;_-@_-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alignment horizontal="right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9" formatCode="d/m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2"/>
        <scheme val="minor"/>
      </font>
      <numFmt numFmtId="164" formatCode="_-* #,##0.00_-&quot;₺&quot;;\-* #,##0.00_-&quot;₺&quot;;_-&quot;₺&quot;* &quot;-&quot;??_-;_-@_-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alignment horizontal="right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9" formatCode="d/m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2"/>
        <scheme val="minor"/>
      </font>
      <numFmt numFmtId="164" formatCode="_-* #,##0.00_-&quot;₺&quot;;\-* #,##0.00_-&quot;₺&quot;;_-&quot;₺&quot;* &quot;-&quot;??_-;_-@_-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alignment horizontal="right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9" formatCode="d/m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2"/>
        <scheme val="minor"/>
      </font>
      <numFmt numFmtId="164" formatCode="_-* #,##0.00_-&quot;₺&quot;;\-* #,##0.00_-&quot;₺&quot;;_-&quot;₺&quot;* &quot;-&quot;??_-;_-@_-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alignment horizontal="right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9" formatCode="d/m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2"/>
        <scheme val="minor"/>
      </font>
      <numFmt numFmtId="164" formatCode="_-* #,##0.00_-&quot;₺&quot;;\-* #,##0.00_-&quot;₺&quot;;_-&quot;₺&quot;* &quot;-&quot;??_-;_-@_-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alignment horizontal="right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9" formatCode="d/m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2"/>
        <scheme val="minor"/>
      </font>
      <numFmt numFmtId="164" formatCode="_-* #,##0.00_-&quot;₺&quot;;\-* #,##0.00_-&quot;₺&quot;;_-&quot;₺&quot;* &quot;-&quot;??_-;_-@_-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alignment horizontal="right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9" formatCode="d/m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2"/>
        <scheme val="minor"/>
      </font>
      <numFmt numFmtId="164" formatCode="_-* #,##0.00_-&quot;₺&quot;;\-* #,##0.00_-&quot;₺&quot;;_-&quot;₺&quot;* &quot;-&quot;??_-;_-@_-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alignment horizontal="right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9" formatCode="d/m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2"/>
        <scheme val="minor"/>
      </font>
      <numFmt numFmtId="164" formatCode="_-* #,##0.00_-&quot;₺&quot;;\-* #,##0.00_-&quot;₺&quot;;_-&quot;₺&quot;* &quot;-&quot;??_-;_-@_-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_-&quot;₺&quot;;\-* #,##0.00_-&quot;₺&quot;;_-&quot;₺&quot;* &quot;-&quot;??_-;_-@_-"/>
      <alignment horizontal="right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9" formatCode="d/m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alignment vertical="center" textRotation="0" indent="0" justifyLastLine="0" shrinkToFit="0" readingOrder="0"/>
    </dxf>
    <dxf>
      <numFmt numFmtId="164" formatCode="_-* #,##0.00_-&quot;₺&quot;;\-* #,##0.00_-&quot;₺&quot;;_-&quot;₺&quot;* &quot;-&quot;??_-;_-@_-"/>
      <alignment horizontal="general" vertical="center" textRotation="0" indent="0" justifyLastLine="0" shrinkToFit="0" readingOrder="0"/>
    </dxf>
    <dxf>
      <numFmt numFmtId="2" formatCode="0.00"/>
      <alignment horizontal="center" vertical="center" textRotation="0" indent="0" justifyLastLine="0" shrinkToFit="0" readingOrder="0"/>
    </dxf>
    <dxf>
      <numFmt numFmtId="164" formatCode="_-* #,##0.00_-&quot;₺&quot;;\-* #,##0.00_-&quot;₺&quot;;_-&quot;₺&quot;* &quot;-&quot;??_-;_-@_-"/>
      <alignment horizontal="center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2"/>
        <scheme val="minor"/>
      </font>
      <numFmt numFmtId="2" formatCode="0.0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2"/>
        <scheme val="minor"/>
      </font>
      <numFmt numFmtId="13" formatCode="0%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2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/>
        <charset val="162"/>
      </font>
      <numFmt numFmtId="164" formatCode="_-* #,##0.00_-&quot;₺&quot;;\-* #,##0.00_-&quot;₺&quot;;_-&quot;₺&quot;* &quot;-&quot;??_-;_-@_-"/>
      <alignment vertical="center" textRotation="0" indent="0" justifyLastLine="0" shrinkToFit="0" readingOrder="0"/>
    </dxf>
    <dxf>
      <font>
        <b/>
        <charset val="162"/>
      </font>
      <numFmt numFmtId="164" formatCode="_-* #,##0.00_-&quot;₺&quot;;\-* #,##0.00_-&quot;₺&quot;;_-&quot;₺&quot;* &quot;-&quot;??_-;_-@_-"/>
      <alignment horizontal="general" vertical="center" textRotation="0" wrapText="0" indent="0" justifyLastLine="0" shrinkToFit="0" readingOrder="0"/>
    </dxf>
    <dxf>
      <numFmt numFmtId="164" formatCode="_-* #,##0.00_-&quot;₺&quot;;\-* #,##0.00_-&quot;₺&quot;;_-&quot;₺&quot;* &quot;-&quot;??_-;_-@_-"/>
      <alignment vertical="center" textRotation="0" indent="0" justifyLastLine="0" shrinkToFit="0" readingOrder="0"/>
    </dxf>
    <dxf>
      <font>
        <b/>
        <charset val="162"/>
      </font>
      <numFmt numFmtId="164" formatCode="_-* #,##0.00_-&quot;₺&quot;;\-* #,##0.00_-&quot;₺&quot;;_-&quot;₺&quot;* &quot;-&quot;??_-;_-@_-"/>
      <alignment vertical="center" textRotation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font>
        <b/>
        <charset val="162"/>
      </font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FFABAB"/>
      <color rgb="FF2FFF8D"/>
      <color rgb="FFE20000"/>
      <color rgb="FFFF2525"/>
      <color rgb="FFFF6161"/>
      <color rgb="FFFFD5D5"/>
      <color rgb="FFFFC5C5"/>
      <color rgb="FF79FFB6"/>
      <color rgb="FF00E266"/>
      <color rgb="FF5DFF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calcChain" Target="calcChain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71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F5A7B43-5967-4640-9FB4-DAB3697C2CD4}" name="Tablo2" displayName="Tablo2" ref="B2:N71" totalsRowShown="0" headerRowDxfId="842" dataDxfId="841">
  <autoFilter ref="B2:N71" xr:uid="{6F5A7B43-5967-4640-9FB4-DAB3697C2CD4}">
    <filterColumn colId="1">
      <filters>
        <filter val="1"/>
        <filter val="100"/>
        <filter val="1000"/>
        <filter val="105"/>
        <filter val="1050"/>
        <filter val="110"/>
        <filter val="1100"/>
        <filter val="120"/>
        <filter val="130"/>
        <filter val="140"/>
        <filter val="1400"/>
        <filter val="1600"/>
        <filter val="1788"/>
        <filter val="190"/>
        <filter val="20"/>
        <filter val="200"/>
        <filter val="2000"/>
        <filter val="2200"/>
        <filter val="230"/>
        <filter val="250"/>
        <filter val="2510"/>
        <filter val="270"/>
        <filter val="30"/>
        <filter val="300"/>
        <filter val="310"/>
        <filter val="320"/>
        <filter val="350"/>
        <filter val="3900"/>
        <filter val="40"/>
        <filter val="400"/>
        <filter val="450"/>
        <filter val="460"/>
        <filter val="50"/>
        <filter val="5000"/>
        <filter val="55"/>
        <filter val="70"/>
        <filter val="80"/>
        <filter val="900"/>
      </filters>
    </filterColumn>
  </autoFilter>
  <tableColumns count="13">
    <tableColumn id="1" xr3:uid="{48349240-D8FF-4D15-9CF0-526EAB06DA0F}" name="HİSSE" dataDxfId="840" dataCellStyle="Köprü"/>
    <tableColumn id="2" xr3:uid="{0134629F-FBC9-46BF-910B-3E65AFA964F0}" name="ADET" dataDxfId="839">
      <calculatedColumnFormula>+AKBNK!C1</calculatedColumnFormula>
    </tableColumn>
    <tableColumn id="3" xr3:uid="{55112672-B216-4967-B18A-528AAC6D2C1A}" name="MALİYET" dataDxfId="838">
      <calculatedColumnFormula>+ARASE!E1</calculatedColumnFormula>
    </tableColumn>
    <tableColumn id="4" xr3:uid="{BF2422DE-26FC-435F-B1FF-BE7BE5117669}" name="FİYAT" dataDxfId="837"/>
    <tableColumn id="5" xr3:uid="{B1E344CD-24A6-491D-AB5F-DB87914E9D8A}" name="GÜNCEL TUTAT" dataDxfId="836">
      <calculatedColumnFormula>E3*C3</calculatedColumnFormula>
    </tableColumn>
    <tableColumn id="6" xr3:uid="{24473DAE-20E7-4486-A526-4CF121ED3BDE}" name="KAR/ZARAR" dataDxfId="835">
      <calculatedColumnFormula>+AKBNK!G1</calculatedColumnFormula>
    </tableColumn>
    <tableColumn id="8" xr3:uid="{9AE44454-6415-4D7B-BB16-A7A04B3FF200}" name="ANALIZ" dataDxfId="834" dataCellStyle="Yüzde">
      <calculatedColumnFormula>IFERROR(Tablo2[[#This Row],[FİYAT]]/Tablo2[[#This Row],[MALİYET]]-1,"")</calculatedColumnFormula>
    </tableColumn>
    <tableColumn id="9" xr3:uid="{977FD51B-F0B4-434B-A8B0-6AFBDC7587B8}" name="HEDEF" dataDxfId="833" dataCellStyle="Yüzde">
      <calculatedColumnFormula>+ADESE!$K$2/ADESE!$J$2</calculatedColumnFormula>
    </tableColumn>
    <tableColumn id="10" xr3:uid="{3A0BE627-8865-4430-999C-78927241DA3D}" name="DATA" dataDxfId="832" dataCellStyle="Yüzde">
      <calculatedColumnFormula>IF(Tablo2[[#This Row],[MALİYET]]&lt;1,6,IF(Tablo2[[#This Row],[HEDEF]]&gt;1,1,LOOKUP(Tablo2[[#This Row],[ANALIZ]],{-1000000,-0.15,-0.1,-0.05,0,0.05,0.1,0.15,0.2;-4,-3,-2,-1,0,1,2,3,4})))</calculatedColumnFormula>
    </tableColumn>
    <tableColumn id="7" xr3:uid="{B8A3E7DB-8881-4A13-8CDC-A38A7A976C16}" name="DURUM" dataDxfId="831">
      <calculatedColumnFormula>IF(Tablo2[[#This Row],[MALİYET]]&lt;1,"TUT",IF(Tablo2[[#This Row],[HEDEF]]&gt;2,"SAT",IFERROR(INDEX($AA$6:$AC$14,MATCH(Tablo2[[#This Row],[DATA]],$AC$6:$AC$14,0),1),"")))</calculatedColumnFormula>
    </tableColumn>
    <tableColumn id="11" xr3:uid="{FDA47783-D0AD-4491-B06D-DA4482CD8096}" name="İŞLEM ADET" dataDxfId="830">
      <calculatedColumnFormula>IF(Tablo2[[#This Row],[DURUM]]="SAT",Tablo2[[#This Row],[ADET]]*0.5,ROUND(-IFERROR(INDEX($AA$6:$AD$14,MATCH(Tablo2[[#This Row],[DATA]],$AC$6:$AC$14,0),4),"")*Tablo2[[#This Row],[ADET]],0))</calculatedColumnFormula>
    </tableColumn>
    <tableColumn id="12" xr3:uid="{262E2D76-071B-4E5E-AA0B-C065534454BD}" name="İŞLEM FİYATI" dataDxfId="829">
      <calculatedColumnFormula>IF(Tablo2[[#This Row],[DURUM]]="SAT",IF(Tablo2[[#This Row],[MALİYET]]&lt;Tablo2[[#This Row],[FİYAT]],Tablo2[[#This Row],[FİYAT]],Tablo2[[#This Row],[MALİYET]])*1.1,IF(Tablo2[[#This Row],[DATA]]=0,"",IFERROR((1+INDEX($AA$6:$AD$14,MATCH(Tablo2[[#This Row],[DATA]],$AC$6:$AC$14,0),2))*IF(Tablo2[[#This Row],[DATA]]&lt;0,Tablo2[[#This Row],[MALİYET]],Tablo2[[#This Row],[FİYAT]]),0)))</calculatedColumnFormula>
    </tableColumn>
    <tableColumn id="13" xr3:uid="{071ABB15-7112-4F60-BB19-18BD626ADA06}" name="HEDEF2" dataDxfId="828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6427D36B-BCA1-4CDD-BBEA-3A67FDEF0CF1}" name="Tablo165" displayName="Tablo165" ref="B3:H37" totalsRowShown="0" headerRowDxfId="827" dataDxfId="826" headerRowCellStyle="ParaBirimi" dataCellStyle="ParaBirimi">
  <autoFilter ref="B3:H37" xr:uid="{A9C8FEF3-9C6A-4D38-9214-652106BB2993}">
    <filterColumn colId="4">
      <filters>
        <filter val="Açık"/>
      </filters>
    </filterColumn>
  </autoFilter>
  <tableColumns count="7">
    <tableColumn id="1" xr3:uid="{6243EAF6-5D62-4A86-80E1-2DFDACF34369}" name="TARİH" dataDxfId="825"/>
    <tableColumn id="2" xr3:uid="{0044A012-67C6-436C-9CCA-4DA3BE3CBEF8}" name="ADET" dataDxfId="824"/>
    <tableColumn id="3" xr3:uid="{E1B4C30A-E653-495B-AB9E-1C391390D819}" name="ALIŞ" dataDxfId="823" dataCellStyle="ParaBirimi"/>
    <tableColumn id="4" xr3:uid="{915EAEEA-5CE9-4B69-B04D-4DD8826E2CE2}" name="SATIŞ" dataDxfId="822" dataCellStyle="ParaBirimi"/>
    <tableColumn id="5" xr3:uid="{470F3A8B-B0D8-41E5-9CE9-60FDD083702A}" name="KAR" dataDxfId="821" dataCellStyle="ParaBirimi">
      <calculatedColumnFormula>IF(Tablo165[[#This Row],[SATIŞ]]=0,"Açık",(E4-D4)*C4)</calculatedColumnFormula>
    </tableColumn>
    <tableColumn id="6" xr3:uid="{3DEBF969-B1A8-4703-B38D-8ABB9ECE92AB}" name="ALIŞ TUTAR" dataDxfId="820" dataCellStyle="ParaBirimi">
      <calculatedColumnFormula>Tablo165[[#This Row],[ADET]]*Tablo165[[#This Row],[ALIŞ]]</calculatedColumnFormula>
    </tableColumn>
    <tableColumn id="7" xr3:uid="{0ACA9643-EB5A-4746-A0BF-F523AE2566D2}" name="SATIŞ TUTAR" dataDxfId="819" dataCellStyle="ParaBirimi">
      <calculatedColumnFormula>Tablo165[[#This Row],[ADET]]*Tablo165[[#This Row],[SATIŞ]]</calculatedColumnFormula>
    </tableColumn>
  </tableColumns>
  <tableStyleInfo name="TableStyleLight1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9C8FEF3-9C6A-4D38-9214-652106BB2993}" name="Tablo1" displayName="Tablo1" ref="B3:H44" totalsRowShown="0" headerRowDxfId="818" dataDxfId="817" headerRowCellStyle="ParaBirimi" dataCellStyle="ParaBirimi">
  <autoFilter ref="B3:H44" xr:uid="{A9C8FEF3-9C6A-4D38-9214-652106BB2993}">
    <filterColumn colId="4">
      <filters>
        <filter val="Açık"/>
      </filters>
    </filterColumn>
  </autoFilter>
  <tableColumns count="7">
    <tableColumn id="1" xr3:uid="{9ADB48CF-5606-4447-8F37-EC1FC683D84A}" name="TARİH" dataDxfId="816"/>
    <tableColumn id="2" xr3:uid="{3AC8149D-6CDC-438B-92E1-61689ABF3A9C}" name="ADET" dataDxfId="815"/>
    <tableColumn id="3" xr3:uid="{950CB488-172B-44B4-B72C-6589EE184F12}" name="ALIŞ" dataDxfId="814" dataCellStyle="ParaBirimi"/>
    <tableColumn id="4" xr3:uid="{7EB95B88-AC8A-4816-977B-07924AE102EA}" name="SATIŞ" dataDxfId="813" dataCellStyle="ParaBirimi"/>
    <tableColumn id="5" xr3:uid="{DD0B5967-090F-439C-B5E1-224E1F4A63A9}" name="KAR" dataDxfId="812" dataCellStyle="ParaBirimi">
      <calculatedColumnFormula>IF(Tablo1[[#This Row],[SATIŞ]]=0,"Açık",(E4-D4)*C4)</calculatedColumnFormula>
    </tableColumn>
    <tableColumn id="6" xr3:uid="{0EA4125C-9E01-4E6F-B3DB-3DE0172052C0}" name="ALIŞ TUTAR" dataDxfId="811" dataCellStyle="ParaBirimi">
      <calculatedColumnFormula>Tablo1[[#This Row],[ADET]]*Tablo1[[#This Row],[ALIŞ]]</calculatedColumnFormula>
    </tableColumn>
    <tableColumn id="7" xr3:uid="{4BE1F37F-E39D-4C1B-8616-CD4DFD75C253}" name="SATIŞ TUTAR" dataDxfId="810" dataCellStyle="ParaBirimi">
      <calculatedColumnFormula>Tablo1[[#This Row],[ADET]]*Tablo1[[#This Row],[SATIŞ]]</calculatedColumnFormula>
    </tableColumn>
  </tableColumns>
  <tableStyleInfo name="TableStyleLight1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3BAB35DD-ABE2-400B-B24E-4F16C9818F11}" name="Tablo14567891011121314151617181920212223242526272829303132333435363738394041424344454647596869" displayName="Tablo14567891011121314151617181920212223242526272829303132333435363738394041424344454647596869" ref="B3:H48" totalsRowShown="0" headerRowDxfId="809" dataDxfId="808" headerRowCellStyle="ParaBirimi" dataCellStyle="ParaBirimi">
  <autoFilter ref="B3:H48" xr:uid="{A9C8FEF3-9C6A-4D38-9214-652106BB2993}">
    <filterColumn colId="4">
      <filters>
        <filter val="Açık"/>
      </filters>
    </filterColumn>
  </autoFilter>
  <tableColumns count="7">
    <tableColumn id="1" xr3:uid="{6967E4A6-CE5A-4D00-B0C9-F6E5ECF13D48}" name="TARİH" dataDxfId="807"/>
    <tableColumn id="2" xr3:uid="{4273A1AA-F5A9-48FE-9B6E-0D8619B080CB}" name="ADET" dataDxfId="806"/>
    <tableColumn id="3" xr3:uid="{0D441EBE-F621-48A8-90B9-2AF0CA55D3AB}" name="ALIŞ" dataDxfId="805" dataCellStyle="ParaBirimi"/>
    <tableColumn id="4" xr3:uid="{F937171C-BF3D-4F96-9E23-F8DCB69F1655}" name="SATIŞ" dataDxfId="804" dataCellStyle="ParaBirimi"/>
    <tableColumn id="5" xr3:uid="{0CF5B5A1-8D31-410E-943C-1392A48A3F83}" name="KAR" dataDxfId="803" dataCellStyle="ParaBirimi">
      <calculatedColumnFormula>IF(Tablo14567891011121314151617181920212223242526272829303132333435363738394041424344454647596869[[#This Row],[SATIŞ]]=0,"Açık",(E4-D4)*C4)</calculatedColumnFormula>
    </tableColumn>
    <tableColumn id="6" xr3:uid="{66D90515-15B0-4E6C-8B5A-5EB4D005B95A}" name="ALIŞ TUTAR" dataDxfId="802" dataCellStyle="ParaBirimi">
      <calculatedColumnFormula>Tablo14567891011121314151617181920212223242526272829303132333435363738394041424344454647596869[[#This Row],[ADET]]*Tablo14567891011121314151617181920212223242526272829303132333435363738394041424344454647596869[[#This Row],[ALIŞ]]</calculatedColumnFormula>
    </tableColumn>
    <tableColumn id="7" xr3:uid="{19AE4AAD-CF8E-4F6B-8C51-883BE07F02AC}" name="SATIŞ TUTAR" dataDxfId="801" dataCellStyle="ParaBirimi">
      <calculatedColumnFormula>Tablo14567891011121314151617181920212223242526272829303132333435363738394041424344454647596869[[#This Row],[ADET]]*Tablo14567891011121314151617181920212223242526272829303132333435363738394041424344454647596869[[#This Row],[SATIŞ]]</calculatedColumnFormula>
    </tableColumn>
  </tableColumns>
  <tableStyleInfo name="TableStyleLight1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16B4B0D-46E9-4A2D-A948-5A77DB92F7F9}" name="Tablo14" displayName="Tablo14" ref="B3:H156" totalsRowShown="0" headerRowDxfId="800" dataDxfId="799" headerRowCellStyle="ParaBirimi" dataCellStyle="ParaBirimi">
  <autoFilter ref="B3:H156" xr:uid="{A9C8FEF3-9C6A-4D38-9214-652106BB2993}">
    <filterColumn colId="4">
      <filters>
        <filter val="Açık"/>
      </filters>
    </filterColumn>
  </autoFilter>
  <tableColumns count="7">
    <tableColumn id="1" xr3:uid="{565EA94E-69CA-4B0C-9007-F1116DFC9B32}" name="TARİH" dataDxfId="798"/>
    <tableColumn id="2" xr3:uid="{DDB6FE86-4FD3-4636-ABBA-EC17EA05A750}" name="ADET" dataDxfId="797"/>
    <tableColumn id="3" xr3:uid="{0BA86993-F32B-4830-9039-827D72607D25}" name="ALIŞ" dataDxfId="796" dataCellStyle="ParaBirimi"/>
    <tableColumn id="4" xr3:uid="{E62BF60B-2F72-4C0A-A3C8-C96360168CA8}" name="SATIŞ" dataDxfId="795" dataCellStyle="ParaBirimi"/>
    <tableColumn id="5" xr3:uid="{1A2CF037-6E09-46A9-A7A1-8479E0BC1273}" name="KAR" dataDxfId="794" dataCellStyle="ParaBirimi">
      <calculatedColumnFormula>IF(Tablo14[[#This Row],[SATIŞ]]=0,"Açık",(E4-D4)*C4)</calculatedColumnFormula>
    </tableColumn>
    <tableColumn id="6" xr3:uid="{BC0D935E-C58C-4154-B22A-A8D50D00F208}" name="ALIŞ TUTAR" dataDxfId="793" dataCellStyle="ParaBirimi">
      <calculatedColumnFormula>Tablo14[[#This Row],[ADET]]*Tablo14[[#This Row],[ALIŞ]]</calculatedColumnFormula>
    </tableColumn>
    <tableColumn id="7" xr3:uid="{227AEB55-6B2B-4B5D-832F-CDDD475487B3}" name="SATIŞ TUTAR" dataDxfId="792" dataCellStyle="ParaBirimi">
      <calculatedColumnFormula>Tablo14[[#This Row],[ADET]]*Tablo14[[#This Row],[SATIŞ]]</calculatedColumnFormula>
    </tableColumn>
  </tableColumns>
  <tableStyleInfo name="TableStyleLight14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94B40E3-A83E-42D7-A8CC-F982979DA4BB}" name="Tablo145" displayName="Tablo145" ref="B3:H58" totalsRowShown="0" headerRowDxfId="791" dataDxfId="790" headerRowCellStyle="ParaBirimi" dataCellStyle="ParaBirimi">
  <autoFilter ref="B3:H58" xr:uid="{A9C8FEF3-9C6A-4D38-9214-652106BB2993}">
    <filterColumn colId="4">
      <filters>
        <filter val="Açık"/>
      </filters>
    </filterColumn>
  </autoFilter>
  <tableColumns count="7">
    <tableColumn id="1" xr3:uid="{DF58D935-1BE6-4370-9C29-28A3B3F671DB}" name="TARİH" dataDxfId="789"/>
    <tableColumn id="2" xr3:uid="{265FC4EF-516B-4BB4-AB10-7978B62EA33F}" name="ADET" dataDxfId="788"/>
    <tableColumn id="3" xr3:uid="{A879F5E4-33EB-4A8C-A158-E809E3DB3478}" name="ALIŞ" dataDxfId="787" dataCellStyle="ParaBirimi"/>
    <tableColumn id="4" xr3:uid="{B9D08F0B-E354-446A-BC1E-C6D8A1F8B0F3}" name="SATIŞ" dataDxfId="786" dataCellStyle="ParaBirimi"/>
    <tableColumn id="5" xr3:uid="{CD0B98BF-DEEA-47E9-A173-69C6D5D86798}" name="KAR" dataDxfId="785" dataCellStyle="ParaBirimi">
      <calculatedColumnFormula>IF(Tablo145[[#This Row],[SATIŞ]]=0,"Açık",(E4-D4)*C4)</calculatedColumnFormula>
    </tableColumn>
    <tableColumn id="6" xr3:uid="{3C439773-1A70-4612-BD4D-E24635FE5EA4}" name="ALIŞ TUTAR" dataDxfId="784" dataCellStyle="ParaBirimi">
      <calculatedColumnFormula>Tablo145[[#This Row],[ADET]]*Tablo145[[#This Row],[ALIŞ]]</calculatedColumnFormula>
    </tableColumn>
    <tableColumn id="7" xr3:uid="{FA2262A9-063F-4565-B8BF-685AC4A7A8E2}" name="SATIŞ TUTAR" dataDxfId="783" dataCellStyle="ParaBirimi">
      <calculatedColumnFormula>Tablo145[[#This Row],[ADET]]*Tablo145[[#This Row],[SATIŞ]]</calculatedColumnFormula>
    </tableColumn>
  </tableColumns>
  <tableStyleInfo name="TableStyleLight14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DAD168F-6E99-4094-8BB8-7794B212DD0F}" name="Tablo1456" displayName="Tablo1456" ref="B3:H141" totalsRowShown="0" headerRowDxfId="782" dataDxfId="781" headerRowCellStyle="ParaBirimi" dataCellStyle="ParaBirimi">
  <autoFilter ref="B3:H141" xr:uid="{A9C8FEF3-9C6A-4D38-9214-652106BB2993}">
    <filterColumn colId="4">
      <filters>
        <filter val="Açık"/>
      </filters>
    </filterColumn>
  </autoFilter>
  <tableColumns count="7">
    <tableColumn id="1" xr3:uid="{D21B0057-F1B1-4CFC-8CC3-9BA23CCF6FF1}" name="TARİH" dataDxfId="780"/>
    <tableColumn id="2" xr3:uid="{C0335B29-5801-4431-9E2B-30886D7597E1}" name="ADET" dataDxfId="779"/>
    <tableColumn id="3" xr3:uid="{7B6B45D1-9D18-413B-8D65-7DAFFE7E74F0}" name="ALIŞ" dataDxfId="778" dataCellStyle="ParaBirimi"/>
    <tableColumn id="4" xr3:uid="{5130018C-F414-4994-BE5C-10761475652D}" name="SATIŞ" dataDxfId="777" dataCellStyle="ParaBirimi"/>
    <tableColumn id="5" xr3:uid="{ADE24FC1-9E78-475B-B9CC-4781848FFC42}" name="KAR" dataDxfId="776" dataCellStyle="ParaBirimi">
      <calculatedColumnFormula>IF(Tablo1456[[#This Row],[SATIŞ]]=0,"Açık",(E4-D4)*C4)</calculatedColumnFormula>
    </tableColumn>
    <tableColumn id="6" xr3:uid="{2D1443C6-0BC8-4D96-930B-FCB5E8028DE3}" name="ALIŞ TUTAR" dataDxfId="775" dataCellStyle="ParaBirimi">
      <calculatedColumnFormula>Tablo1456[[#This Row],[ADET]]*Tablo1456[[#This Row],[ALIŞ]]</calculatedColumnFormula>
    </tableColumn>
    <tableColumn id="7" xr3:uid="{FD973385-3F90-4AA3-A091-F04F4386A76D}" name="SATIŞ TUTAR" dataDxfId="774" dataCellStyle="ParaBirimi">
      <calculatedColumnFormula>Tablo1456[[#This Row],[ADET]]*Tablo1456[[#This Row],[SATIŞ]]</calculatedColumnFormula>
    </tableColumn>
  </tableColumns>
  <tableStyleInfo name="TableStyleLight14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4D0EDB6-5B1C-4FE9-814E-408045050C61}" name="Tablo14567" displayName="Tablo14567" ref="B3:H65" totalsRowShown="0" headerRowDxfId="773" dataDxfId="772" headerRowCellStyle="ParaBirimi" dataCellStyle="ParaBirimi">
  <autoFilter ref="B3:H65" xr:uid="{A9C8FEF3-9C6A-4D38-9214-652106BB2993}">
    <filterColumn colId="4">
      <filters>
        <filter val="Açık"/>
      </filters>
    </filterColumn>
  </autoFilter>
  <tableColumns count="7">
    <tableColumn id="1" xr3:uid="{B2629381-E4B3-4AC9-927F-CDE97519C69B}" name="TARİH" dataDxfId="771"/>
    <tableColumn id="2" xr3:uid="{D2972EA4-DC13-4BF9-B453-4A423E7F59A0}" name="ADET" dataDxfId="770"/>
    <tableColumn id="3" xr3:uid="{E86C8A0B-4652-42ED-B0AB-9B8E1F67664E}" name="ALIŞ" dataDxfId="769" dataCellStyle="ParaBirimi"/>
    <tableColumn id="4" xr3:uid="{FD6906F9-CC38-48FC-9CDD-F694721CEA7E}" name="SATIŞ" dataDxfId="768" dataCellStyle="ParaBirimi"/>
    <tableColumn id="5" xr3:uid="{9D49D786-05BC-43CA-AD0A-B4F26ABFBB61}" name="KAR" dataDxfId="767" dataCellStyle="ParaBirimi">
      <calculatedColumnFormula>IF(Tablo14567[[#This Row],[SATIŞ]]=0,"Açık",(E4-D4)*C4)</calculatedColumnFormula>
    </tableColumn>
    <tableColumn id="6" xr3:uid="{6C76FC19-8265-4D68-874A-36BAFD20EBE6}" name="ALIŞ TUTAR" dataDxfId="766" dataCellStyle="ParaBirimi">
      <calculatedColumnFormula>Tablo14567[[#This Row],[ADET]]*Tablo14567[[#This Row],[ALIŞ]]</calculatedColumnFormula>
    </tableColumn>
    <tableColumn id="7" xr3:uid="{C239C21B-4F0A-4E04-B02E-283EA4ECB29F}" name="SATIŞ TUTAR" dataDxfId="765" dataCellStyle="ParaBirimi">
      <calculatedColumnFormula>Tablo14567[[#This Row],[ADET]]*Tablo14567[[#This Row],[SATIŞ]]</calculatedColumnFormula>
    </tableColumn>
  </tableColumns>
  <tableStyleInfo name="TableStyleLight14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28E9CD1-DB83-4EEF-8712-A276BED6581B}" name="Tablo145678" displayName="Tablo145678" ref="B3:H37" totalsRowShown="0" headerRowDxfId="764" dataDxfId="763" headerRowCellStyle="ParaBirimi" dataCellStyle="ParaBirimi">
  <autoFilter ref="B3:H37" xr:uid="{A9C8FEF3-9C6A-4D38-9214-652106BB2993}">
    <filterColumn colId="4">
      <filters>
        <filter val="Açık"/>
      </filters>
    </filterColumn>
  </autoFilter>
  <tableColumns count="7">
    <tableColumn id="1" xr3:uid="{CCBB738E-B0D5-4364-A181-1A54DA3397B0}" name="TARİH" dataDxfId="762"/>
    <tableColumn id="2" xr3:uid="{A1AE3C7E-37EF-4D9B-A267-28935646066A}" name="ADET" dataDxfId="761"/>
    <tableColumn id="3" xr3:uid="{0632A79F-87F4-498D-B979-F78D77CA8124}" name="ALIŞ" dataDxfId="760" dataCellStyle="ParaBirimi"/>
    <tableColumn id="4" xr3:uid="{5F0ABFDE-4C67-4D01-8E97-A15001020B7C}" name="SATIŞ" dataDxfId="759" dataCellStyle="ParaBirimi"/>
    <tableColumn id="5" xr3:uid="{989F9C32-F5B4-4AD3-B658-091F51A36484}" name="KAR" dataDxfId="758" dataCellStyle="ParaBirimi">
      <calculatedColumnFormula>IF(Tablo145678[[#This Row],[SATIŞ]]=0,"Açık",(E4-D4)*C4)</calculatedColumnFormula>
    </tableColumn>
    <tableColumn id="6" xr3:uid="{06E33CEC-147D-41BB-8387-F3066997AFA6}" name="ALIŞ TUTAR" dataDxfId="757" dataCellStyle="ParaBirimi">
      <calculatedColumnFormula>Tablo145678[[#This Row],[ADET]]*Tablo145678[[#This Row],[ALIŞ]]</calculatedColumnFormula>
    </tableColumn>
    <tableColumn id="7" xr3:uid="{62A11A30-D2FE-4793-8904-6C9414FADC87}" name="SATIŞ TUTAR" dataDxfId="756" dataCellStyle="ParaBirimi">
      <calculatedColumnFormula>Tablo145678[[#This Row],[ADET]]*Tablo145678[[#This Row],[SATIŞ]]</calculatedColumnFormula>
    </tableColumn>
  </tableColumns>
  <tableStyleInfo name="TableStyleLight14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C24B851-F6AB-4528-98BE-830562BB96D6}" name="Tablo1456789" displayName="Tablo1456789" ref="B3:H231" totalsRowShown="0" headerRowDxfId="755" dataDxfId="754" headerRowCellStyle="ParaBirimi" dataCellStyle="ParaBirimi">
  <autoFilter ref="B3:H231" xr:uid="{A9C8FEF3-9C6A-4D38-9214-652106BB2993}">
    <filterColumn colId="4">
      <filters>
        <filter val="Açık"/>
      </filters>
    </filterColumn>
  </autoFilter>
  <tableColumns count="7">
    <tableColumn id="1" xr3:uid="{F2A21780-70C6-4CEB-9AB8-D7449DA381A1}" name="TARİH" dataDxfId="753"/>
    <tableColumn id="2" xr3:uid="{468329EF-785C-46D7-9246-977D8A51AE87}" name="ADET" dataDxfId="752"/>
    <tableColumn id="3" xr3:uid="{D9E35FAB-AD54-42B8-94F0-CBF15334347E}" name="ALIŞ" dataDxfId="751" dataCellStyle="ParaBirimi"/>
    <tableColumn id="4" xr3:uid="{0615494C-537F-43AE-A61D-A5BD5D236E18}" name="SATIŞ" dataDxfId="750" dataCellStyle="ParaBirimi"/>
    <tableColumn id="5" xr3:uid="{0BD5DDE6-00FB-408A-B352-DA1D115BC405}" name="KAR" dataDxfId="749" dataCellStyle="ParaBirimi">
      <calculatedColumnFormula>IF(Tablo1456789[[#This Row],[SATIŞ]]=0,"Açık",(E4-D4)*C4)</calculatedColumnFormula>
    </tableColumn>
    <tableColumn id="6" xr3:uid="{1F1C0ABD-3FE1-4135-BBEA-EEE142500A3E}" name="ALIŞ TUTAR" dataDxfId="748" dataCellStyle="ParaBirimi">
      <calculatedColumnFormula>Tablo1456789[[#This Row],[ADET]]*Tablo1456789[[#This Row],[ALIŞ]]</calculatedColumnFormula>
    </tableColumn>
    <tableColumn id="7" xr3:uid="{568C8AD1-B80B-4AD0-AD5A-3BA9BED29229}" name="SATIŞ TUTAR" dataDxfId="747" dataCellStyle="ParaBirimi">
      <calculatedColumnFormula>Tablo1456789[[#This Row],[ADET]]*Tablo1456789[[#This Row],[SATIŞ]]</calculatedColumnFormula>
    </tableColumn>
  </tableColumns>
  <tableStyleInfo name="TableStyleLight14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A77FB10-AB1C-44FF-AE17-0512D7B5FE12}" name="Tablo145678910" displayName="Tablo145678910" ref="B3:H32" totalsRowShown="0" headerRowDxfId="746" dataDxfId="745" headerRowCellStyle="ParaBirimi" dataCellStyle="ParaBirimi">
  <autoFilter ref="B3:H32" xr:uid="{A9C8FEF3-9C6A-4D38-9214-652106BB2993}">
    <filterColumn colId="4">
      <filters>
        <filter val="Açık"/>
      </filters>
    </filterColumn>
  </autoFilter>
  <tableColumns count="7">
    <tableColumn id="1" xr3:uid="{DE8F85E8-4CAC-4445-A5F6-D7615CDE79AA}" name="TARİH" dataDxfId="744"/>
    <tableColumn id="2" xr3:uid="{0FE556F2-8E32-4A18-B613-36FD9151C770}" name="ADET" dataDxfId="743"/>
    <tableColumn id="3" xr3:uid="{898AB60A-A67A-41E6-8F93-D17111607E7E}" name="ALIŞ" dataDxfId="742" dataCellStyle="ParaBirimi"/>
    <tableColumn id="4" xr3:uid="{BD01B033-E3B7-4441-B04C-63463812762E}" name="SATIŞ" dataDxfId="741" dataCellStyle="ParaBirimi"/>
    <tableColumn id="5" xr3:uid="{F6AD5840-DC1C-42F8-B365-F71E55854F94}" name="KAR" dataDxfId="740" dataCellStyle="ParaBirimi">
      <calculatedColumnFormula>IF(Tablo145678910[[#This Row],[SATIŞ]]=0,"Açık",(E4-D4)*C4)</calculatedColumnFormula>
    </tableColumn>
    <tableColumn id="6" xr3:uid="{1C4646AB-A8F5-4062-9F4A-0512FBF792C9}" name="ALIŞ TUTAR" dataDxfId="739" dataCellStyle="ParaBirimi">
      <calculatedColumnFormula>Tablo145678910[[#This Row],[ADET]]*Tablo145678910[[#This Row],[ALIŞ]]</calculatedColumnFormula>
    </tableColumn>
    <tableColumn id="7" xr3:uid="{8825A237-56BA-4272-BC26-CBB000B9761B}" name="SATIŞ TUTAR" dataDxfId="738" dataCellStyle="ParaBirimi">
      <calculatedColumnFormula>Tablo145678910[[#This Row],[ADET]]*Tablo145678910[[#This Row],[SATIŞ]]</calculatedColumnFormula>
    </tableColumn>
  </tableColumns>
  <tableStyleInfo name="TableStyleLight14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AE0AFBF5-06CF-4300-B0CB-5A62BCDD88B0}" name="Tablo14567891011" displayName="Tablo14567891011" ref="B3:H265" totalsRowShown="0" headerRowDxfId="737" dataDxfId="736" headerRowCellStyle="ParaBirimi" dataCellStyle="ParaBirimi">
  <autoFilter ref="B3:H265" xr:uid="{A9C8FEF3-9C6A-4D38-9214-652106BB2993}">
    <filterColumn colId="4">
      <filters>
        <filter val="Açık"/>
      </filters>
    </filterColumn>
  </autoFilter>
  <tableColumns count="7">
    <tableColumn id="1" xr3:uid="{C3F08040-269B-4B50-88D5-5207C8897586}" name="TARİH" dataDxfId="735"/>
    <tableColumn id="2" xr3:uid="{2FC2EB85-8E5C-4B6B-8DAD-89F7B80DA6D0}" name="ADET" dataDxfId="734"/>
    <tableColumn id="3" xr3:uid="{88A3DB65-0587-49A9-A782-FB7C38754D60}" name="ALIŞ" dataDxfId="733" dataCellStyle="ParaBirimi"/>
    <tableColumn id="4" xr3:uid="{1AC54334-1887-4FE9-9240-B4DA7124421E}" name="SATIŞ" dataDxfId="732" dataCellStyle="ParaBirimi"/>
    <tableColumn id="5" xr3:uid="{43BC317F-47A6-4236-968B-49EE1EE314B8}" name="KAR" dataDxfId="731" dataCellStyle="ParaBirimi">
      <calculatedColumnFormula>IF(Tablo14567891011[[#This Row],[SATIŞ]]=0,"Açık",(E4-D4)*C4)</calculatedColumnFormula>
    </tableColumn>
    <tableColumn id="6" xr3:uid="{9EA8C3AB-3163-4126-B2FF-C69E282C8E5D}" name="ALIŞ TUTAR" dataDxfId="730" dataCellStyle="ParaBirimi">
      <calculatedColumnFormula>Tablo14567891011[[#This Row],[ADET]]*Tablo14567891011[[#This Row],[ALIŞ]]</calculatedColumnFormula>
    </tableColumn>
    <tableColumn id="7" xr3:uid="{29686F0B-859E-492A-B624-1FD92FBF50E9}" name="SATIŞ TUTAR" dataDxfId="729" dataCellStyle="ParaBirimi">
      <calculatedColumnFormula>Tablo14567891011[[#This Row],[ADET]]*Tablo14567891011[[#This Row],[SATIŞ]]</calculatedColumnFormula>
    </tableColumn>
  </tableColumns>
  <tableStyleInfo name="TableStyleLight14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3BA3E51D-45A0-4DEE-A43C-2EEE4F0EAACA}" name="Tablo1456789101112" displayName="Tablo1456789101112" ref="B3:H143" totalsRowShown="0" headerRowDxfId="728" dataDxfId="727" headerRowCellStyle="ParaBirimi" dataCellStyle="ParaBirimi">
  <autoFilter ref="B3:H143" xr:uid="{A9C8FEF3-9C6A-4D38-9214-652106BB2993}">
    <filterColumn colId="4">
      <filters>
        <filter val="Açık"/>
      </filters>
    </filterColumn>
  </autoFilter>
  <tableColumns count="7">
    <tableColumn id="1" xr3:uid="{14DF6E1E-812E-4E70-9575-06A3646F2213}" name="TARİH" dataDxfId="726"/>
    <tableColumn id="2" xr3:uid="{7138350C-801B-412E-B821-2864A0EA9944}" name="ADET" dataDxfId="725"/>
    <tableColumn id="3" xr3:uid="{D61F2F8C-6B0E-4ADD-9114-29D5A14A6179}" name="ALIŞ" dataDxfId="724" dataCellStyle="ParaBirimi"/>
    <tableColumn id="4" xr3:uid="{D9E56786-9C65-4F8F-88A6-976781C744D0}" name="SATIŞ" dataDxfId="723" dataCellStyle="ParaBirimi"/>
    <tableColumn id="5" xr3:uid="{5D7715B8-BDE9-4EBF-8797-18128F12F1F5}" name="KAR" dataDxfId="722" dataCellStyle="ParaBirimi">
      <calculatedColumnFormula>IF(Tablo1456789101112[[#This Row],[SATIŞ]]=0,"Açık",(E4-D4)*C4)</calculatedColumnFormula>
    </tableColumn>
    <tableColumn id="6" xr3:uid="{FCCD4E93-82CF-4F94-BDBE-348D5F80CD36}" name="ALIŞ TUTAR" dataDxfId="721" dataCellStyle="ParaBirimi">
      <calculatedColumnFormula>Tablo1456789101112[[#This Row],[ADET]]*Tablo1456789101112[[#This Row],[ALIŞ]]</calculatedColumnFormula>
    </tableColumn>
    <tableColumn id="7" xr3:uid="{44FCDA3E-C22D-4673-AF29-9009847899EA}" name="SATIŞ TUTAR" dataDxfId="720" dataCellStyle="ParaBirimi">
      <calculatedColumnFormula>Tablo1456789101112[[#This Row],[ADET]]*Tablo1456789101112[[#This Row],[SATIŞ]]</calculatedColumnFormula>
    </tableColumn>
  </tableColumns>
  <tableStyleInfo name="TableStyleLight14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9A7EB188-EE5F-4A6B-BAC3-44A9A256349A}" name="Tablo145678910111213" displayName="Tablo145678910111213" ref="B3:H25" totalsRowShown="0" headerRowDxfId="719" dataDxfId="718" headerRowCellStyle="ParaBirimi" dataCellStyle="ParaBirimi">
  <autoFilter ref="B3:H25" xr:uid="{A9C8FEF3-9C6A-4D38-9214-652106BB2993}">
    <filterColumn colId="4">
      <filters>
        <filter val="Açık"/>
      </filters>
    </filterColumn>
  </autoFilter>
  <tableColumns count="7">
    <tableColumn id="1" xr3:uid="{6A7CF701-8090-4749-8196-5C17A90A6F06}" name="TARİH" dataDxfId="717"/>
    <tableColumn id="2" xr3:uid="{6C0BF9AD-9853-463A-910D-2C8FA674719C}" name="ADET" dataDxfId="716"/>
    <tableColumn id="3" xr3:uid="{79D5CFCE-42AA-4259-8116-9EAB9F337DBC}" name="ALIŞ" dataDxfId="715" dataCellStyle="ParaBirimi"/>
    <tableColumn id="4" xr3:uid="{C95C2102-719A-4424-8D2F-54CC6B7C04A5}" name="SATIŞ" dataDxfId="714" dataCellStyle="ParaBirimi"/>
    <tableColumn id="5" xr3:uid="{B991549C-8575-4BBA-9373-BA767154F8F9}" name="KAR" dataDxfId="713" dataCellStyle="ParaBirimi">
      <calculatedColumnFormula>IF(Tablo145678910111213[[#This Row],[SATIŞ]]=0,"Açık",(E4-D4)*C4)</calculatedColumnFormula>
    </tableColumn>
    <tableColumn id="6" xr3:uid="{E8C29FB8-1118-4172-9B45-699A94BC297B}" name="ALIŞ TUTAR" dataDxfId="712" dataCellStyle="ParaBirimi">
      <calculatedColumnFormula>Tablo145678910111213[[#This Row],[ADET]]*Tablo145678910111213[[#This Row],[ALIŞ]]</calculatedColumnFormula>
    </tableColumn>
    <tableColumn id="7" xr3:uid="{3999B5F8-82DE-4B2B-9742-65D90B0019B1}" name="SATIŞ TUTAR" dataDxfId="711" dataCellStyle="ParaBirimi">
      <calculatedColumnFormula>Tablo145678910111213[[#This Row],[ADET]]*Tablo145678910111213[[#This Row],[SATIŞ]]</calculatedColumnFormula>
    </tableColumn>
  </tableColumns>
  <tableStyleInfo name="TableStyleLight14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7E1DA03C-C10F-4A61-BC5F-33F3018AAEC4}" name="Tablo14567891011121355" displayName="Tablo14567891011121355" ref="B3:H36" totalsRowShown="0" headerRowDxfId="710" dataDxfId="709" headerRowCellStyle="ParaBirimi" dataCellStyle="ParaBirimi">
  <autoFilter ref="B3:H36" xr:uid="{A9C8FEF3-9C6A-4D38-9214-652106BB2993}">
    <filterColumn colId="4">
      <filters>
        <filter val="Açık"/>
      </filters>
    </filterColumn>
  </autoFilter>
  <tableColumns count="7">
    <tableColumn id="1" xr3:uid="{F75B7214-7CA2-4F63-A916-58F67430FCE3}" name="TARİH" dataDxfId="708"/>
    <tableColumn id="2" xr3:uid="{705F088B-915B-4C7C-8FEC-C043EC94BB73}" name="ADET" dataDxfId="707"/>
    <tableColumn id="3" xr3:uid="{E8E61627-20C6-41B5-A5CB-01B648EC352A}" name="ALIŞ" dataDxfId="706" dataCellStyle="ParaBirimi"/>
    <tableColumn id="4" xr3:uid="{6540FECB-305A-470A-BDF9-CF6A2B28CB33}" name="SATIŞ" dataDxfId="705" dataCellStyle="ParaBirimi"/>
    <tableColumn id="5" xr3:uid="{C41BB1AB-320E-4FBC-A08E-9EBD3DD474CD}" name="KAR" dataDxfId="704" dataCellStyle="ParaBirimi">
      <calculatedColumnFormula>IF(Tablo14567891011121355[[#This Row],[SATIŞ]]=0,"Açık",(E4-D4)*C4)</calculatedColumnFormula>
    </tableColumn>
    <tableColumn id="6" xr3:uid="{C526C5B2-4B16-4CD3-9AF2-F480A0F622CB}" name="ALIŞ TUTAR" dataDxfId="703" dataCellStyle="ParaBirimi">
      <calculatedColumnFormula>Tablo14567891011121355[[#This Row],[ADET]]*Tablo14567891011121355[[#This Row],[ALIŞ]]</calculatedColumnFormula>
    </tableColumn>
    <tableColumn id="7" xr3:uid="{B1C0E2F6-9555-4613-A4F9-6792058C32D2}" name="SATIŞ TUTAR" dataDxfId="702" dataCellStyle="ParaBirimi">
      <calculatedColumnFormula>Tablo14567891011121355[[#This Row],[ADET]]*Tablo14567891011121355[[#This Row],[SATIŞ]]</calculatedColumnFormula>
    </tableColumn>
  </tableColumns>
  <tableStyleInfo name="TableStyleLight14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B36EBD4A-AD43-4EAD-B47F-66CF7530783F}" name="Tablo1456789101112135556" displayName="Tablo1456789101112135556" ref="B3:H75" totalsRowShown="0" headerRowDxfId="701" dataDxfId="700" headerRowCellStyle="ParaBirimi" dataCellStyle="ParaBirimi">
  <autoFilter ref="B3:H75" xr:uid="{A9C8FEF3-9C6A-4D38-9214-652106BB2993}">
    <filterColumn colId="4">
      <filters>
        <filter val="Açık"/>
      </filters>
    </filterColumn>
  </autoFilter>
  <tableColumns count="7">
    <tableColumn id="1" xr3:uid="{0BBB1115-5AE4-466B-B1AA-BAC2FB2F751B}" name="TARİH" dataDxfId="699"/>
    <tableColumn id="2" xr3:uid="{41DA3995-2DBF-427B-A6D4-EF86A96657EF}" name="ADET" dataDxfId="698"/>
    <tableColumn id="3" xr3:uid="{BAE66821-CBC8-41B3-81EE-4527F3638F23}" name="ALIŞ" dataDxfId="697" dataCellStyle="ParaBirimi"/>
    <tableColumn id="4" xr3:uid="{1176BE8E-3B2C-47EB-AB5C-B010BC408727}" name="SATIŞ" dataDxfId="696" dataCellStyle="ParaBirimi"/>
    <tableColumn id="5" xr3:uid="{38CAC02F-43BC-45C3-942F-4BC180B37959}" name="KAR" dataDxfId="695" dataCellStyle="ParaBirimi">
      <calculatedColumnFormula>IF(Tablo1456789101112135556[[#This Row],[SATIŞ]]=0,"Açık",(E4-D4)*C4)</calculatedColumnFormula>
    </tableColumn>
    <tableColumn id="6" xr3:uid="{D15F0463-A35D-4E27-9ADD-0814E01091E0}" name="ALIŞ TUTAR" dataDxfId="694" dataCellStyle="ParaBirimi">
      <calculatedColumnFormula>Tablo1456789101112135556[[#This Row],[ADET]]*Tablo1456789101112135556[[#This Row],[ALIŞ]]</calculatedColumnFormula>
    </tableColumn>
    <tableColumn id="7" xr3:uid="{A0D19D46-8FA3-4B25-B3D8-35BF8754A5F7}" name="SATIŞ TUTAR" dataDxfId="693" dataCellStyle="ParaBirimi">
      <calculatedColumnFormula>Tablo1456789101112135556[[#This Row],[ADET]]*Tablo1456789101112135556[[#This Row],[SATIŞ]]</calculatedColumnFormula>
    </tableColumn>
  </tableColumns>
  <tableStyleInfo name="TableStyleLight14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643A402E-6B49-4FA2-8F55-FCC09C28562E}" name="Tablo14567891011121314" displayName="Tablo14567891011121314" ref="B3:H50" totalsRowShown="0" headerRowDxfId="692" dataDxfId="691" headerRowCellStyle="ParaBirimi" dataCellStyle="ParaBirimi">
  <autoFilter ref="B3:H50" xr:uid="{A9C8FEF3-9C6A-4D38-9214-652106BB2993}">
    <filterColumn colId="4">
      <filters>
        <filter val="Açık"/>
      </filters>
    </filterColumn>
  </autoFilter>
  <tableColumns count="7">
    <tableColumn id="1" xr3:uid="{5B1F2DF4-C86D-41A5-A2AC-3C4AA96CB775}" name="TARİH" dataDxfId="690"/>
    <tableColumn id="2" xr3:uid="{FE388DA5-2B9E-45D0-9510-E95CA9E08D6C}" name="ADET" dataDxfId="689"/>
    <tableColumn id="3" xr3:uid="{513A0869-C07F-42C5-8506-D13BFE04FA49}" name="ALIŞ" dataDxfId="688" dataCellStyle="ParaBirimi"/>
    <tableColumn id="4" xr3:uid="{771F5A74-F738-4E93-9504-E9AE2875F6A5}" name="SATIŞ" dataDxfId="687" dataCellStyle="ParaBirimi"/>
    <tableColumn id="5" xr3:uid="{ED073206-FE9B-412F-8946-CDF975B87734}" name="KAR" dataDxfId="686" dataCellStyle="ParaBirimi">
      <calculatedColumnFormula>IF(Tablo14567891011121314[[#This Row],[SATIŞ]]=0,"Açık",(E4-D4)*C4)</calculatedColumnFormula>
    </tableColumn>
    <tableColumn id="6" xr3:uid="{E966F7F8-639D-413B-816C-DD2B308F00E7}" name="ALIŞ TUTAR" dataDxfId="685" dataCellStyle="ParaBirimi">
      <calculatedColumnFormula>Tablo14567891011121314[[#This Row],[ADET]]*Tablo14567891011121314[[#This Row],[ALIŞ]]</calculatedColumnFormula>
    </tableColumn>
    <tableColumn id="7" xr3:uid="{A96F0A0A-E527-41A2-8362-363FB895E0B0}" name="SATIŞ TUTAR" dataDxfId="684" dataCellStyle="ParaBirimi">
      <calculatedColumnFormula>Tablo14567891011121314[[#This Row],[ADET]]*Tablo14567891011121314[[#This Row],[SATIŞ]]</calculatedColumnFormula>
    </tableColumn>
  </tableColumns>
  <tableStyleInfo name="TableStyleLight14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A612BEA6-A45B-47AD-87DB-EB73798FC677}" name="Tablo1456789101112131415606264" displayName="Tablo1456789101112131415606264" ref="B3:H158" totalsRowShown="0" headerRowDxfId="683" dataDxfId="682" headerRowCellStyle="ParaBirimi" dataCellStyle="ParaBirimi">
  <autoFilter ref="B3:H158" xr:uid="{A9C8FEF3-9C6A-4D38-9214-652106BB2993}">
    <filterColumn colId="4">
      <filters>
        <filter val="Açık"/>
      </filters>
    </filterColumn>
  </autoFilter>
  <tableColumns count="7">
    <tableColumn id="1" xr3:uid="{E270A932-F0D1-48BF-B0D8-CAA8960924D8}" name="TARİH" dataDxfId="681"/>
    <tableColumn id="2" xr3:uid="{9D22C166-4704-45CD-ADF8-0D4FF643E889}" name="ADET" dataDxfId="680"/>
    <tableColumn id="3" xr3:uid="{AC9870A5-826B-40FA-A574-DEF52651D940}" name="ALIŞ" dataDxfId="679" dataCellStyle="ParaBirimi"/>
    <tableColumn id="4" xr3:uid="{30E8166B-706E-449F-84F1-0BE2ED243106}" name="SATIŞ" dataDxfId="678" dataCellStyle="ParaBirimi"/>
    <tableColumn id="5" xr3:uid="{CD48448F-2BF4-4F9C-89BC-F2FF5A933E8B}" name="KAR" dataDxfId="677" dataCellStyle="ParaBirimi">
      <calculatedColumnFormula>IF(Tablo1456789101112131415606264[[#This Row],[SATIŞ]]=0,"Açık",(E4-D4)*C4)</calculatedColumnFormula>
    </tableColumn>
    <tableColumn id="6" xr3:uid="{D69B379F-BB6B-4023-A8B5-92398B5E0BD1}" name="ALIŞ TUTAR" dataDxfId="676" dataCellStyle="ParaBirimi">
      <calculatedColumnFormula>Tablo1456789101112131415606264[[#This Row],[ADET]]*Tablo1456789101112131415606264[[#This Row],[ALIŞ]]</calculatedColumnFormula>
    </tableColumn>
    <tableColumn id="7" xr3:uid="{E19897EA-B1CB-4221-9DFD-C5324307435C}" name="SATIŞ TUTAR" dataDxfId="675" dataCellStyle="ParaBirimi">
      <calculatedColumnFormula>Tablo1456789101112131415606264[[#This Row],[ADET]]*Tablo1456789101112131415606264[[#This Row],[SATIŞ]]</calculatedColumnFormula>
    </tableColumn>
  </tableColumns>
  <tableStyleInfo name="TableStyleLight14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67FC580D-2297-4D69-A58C-67CF3C063A43}" name="Tablo1456789101112131415" displayName="Tablo1456789101112131415" ref="B3:H108" totalsRowShown="0" headerRowDxfId="674" dataDxfId="673" headerRowCellStyle="ParaBirimi" dataCellStyle="ParaBirimi">
  <autoFilter ref="B3:H108" xr:uid="{A9C8FEF3-9C6A-4D38-9214-652106BB2993}">
    <filterColumn colId="4">
      <filters>
        <filter val="Açık"/>
      </filters>
    </filterColumn>
  </autoFilter>
  <tableColumns count="7">
    <tableColumn id="1" xr3:uid="{BE030531-D2D3-443E-9D0F-D1532B0A3D53}" name="TARİH" dataDxfId="672"/>
    <tableColumn id="2" xr3:uid="{C3245B71-A8BD-41EB-99B8-263AB84C1764}" name="ADET" dataDxfId="671"/>
    <tableColumn id="3" xr3:uid="{ABEFEFEA-3C3D-4E25-B8F6-C7C0FFF6711A}" name="ALIŞ" dataDxfId="670" dataCellStyle="ParaBirimi"/>
    <tableColumn id="4" xr3:uid="{B598D1FD-A0E1-40FF-AF1C-DC36DD524A57}" name="SATIŞ" dataDxfId="669" dataCellStyle="ParaBirimi"/>
    <tableColumn id="5" xr3:uid="{8320A5E7-FEA1-45CC-9EEC-E94B9013A077}" name="KAR" dataDxfId="668" dataCellStyle="ParaBirimi">
      <calculatedColumnFormula>IF(Tablo1456789101112131415[[#This Row],[SATIŞ]]=0,"Açık",(E4-D4)*C4)</calculatedColumnFormula>
    </tableColumn>
    <tableColumn id="6" xr3:uid="{8B21A6A2-B964-4A7F-8451-12AA71364D3B}" name="ALIŞ TUTAR" dataDxfId="667" dataCellStyle="ParaBirimi">
      <calculatedColumnFormula>Tablo1456789101112131415[[#This Row],[ADET]]*Tablo1456789101112131415[[#This Row],[ALIŞ]]</calculatedColumnFormula>
    </tableColumn>
    <tableColumn id="7" xr3:uid="{D016B821-E2B4-4B73-87F0-0ADDE59CFF51}" name="SATIŞ TUTAR" dataDxfId="666" dataCellStyle="ParaBirimi">
      <calculatedColumnFormula>Tablo1456789101112131415[[#This Row],[ADET]]*Tablo1456789101112131415[[#This Row],[SATIŞ]]</calculatedColumnFormula>
    </tableColumn>
  </tableColumns>
  <tableStyleInfo name="TableStyleLight14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ACED9E60-2046-4905-A5C9-C583682B830A}" name="Tablo145678910111213141516" displayName="Tablo145678910111213141516" ref="B3:H42" totalsRowShown="0" headerRowDxfId="665" dataDxfId="664" headerRowCellStyle="ParaBirimi" dataCellStyle="ParaBirimi">
  <autoFilter ref="B3:H42" xr:uid="{A9C8FEF3-9C6A-4D38-9214-652106BB2993}">
    <filterColumn colId="4">
      <filters>
        <filter val="Açık"/>
      </filters>
    </filterColumn>
  </autoFilter>
  <tableColumns count="7">
    <tableColumn id="1" xr3:uid="{5B4E4710-0AF8-495A-9ED3-8044820D37FC}" name="TARİH" dataDxfId="663"/>
    <tableColumn id="2" xr3:uid="{C31D89B2-A011-4BCF-91F1-AD3D70111B94}" name="ADET" dataDxfId="662"/>
    <tableColumn id="3" xr3:uid="{79AAF065-1EAC-4101-8247-53A942B2E59E}" name="ALIŞ" dataDxfId="661" dataCellStyle="ParaBirimi"/>
    <tableColumn id="4" xr3:uid="{05BDD8C7-355A-45EA-A61E-D9A904F57AD8}" name="SATIŞ" dataDxfId="660" dataCellStyle="ParaBirimi"/>
    <tableColumn id="5" xr3:uid="{336F601A-BF6B-43B3-890F-53CBF19FB57B}" name="KAR" dataDxfId="659" dataCellStyle="ParaBirimi">
      <calculatedColumnFormula>IF(Tablo145678910111213141516[[#This Row],[SATIŞ]]=0,"Açık",(E4-D4)*C4)</calculatedColumnFormula>
    </tableColumn>
    <tableColumn id="6" xr3:uid="{F0E3FBF9-4268-41AE-9C31-64EFFE12E992}" name="ALIŞ TUTAR" dataDxfId="658" dataCellStyle="ParaBirimi">
      <calculatedColumnFormula>Tablo145678910111213141516[[#This Row],[ADET]]*Tablo145678910111213141516[[#This Row],[ALIŞ]]</calculatedColumnFormula>
    </tableColumn>
    <tableColumn id="7" xr3:uid="{927AA1F8-CC1D-450B-A8F0-D9FC9A256436}" name="SATIŞ TUTAR" dataDxfId="657" dataCellStyle="ParaBirimi">
      <calculatedColumnFormula>Tablo145678910111213141516[[#This Row],[ADET]]*Tablo145678910111213141516[[#This Row],[SATIŞ]]</calculatedColumnFormula>
    </tableColumn>
  </tableColumns>
  <tableStyleInfo name="TableStyleLight14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6DC8CE6D-D00A-49C8-977D-6A11AFDA99F9}" name="Tablo14567891011121314156062" displayName="Tablo14567891011121314156062" ref="B3:H18" totalsRowShown="0" headerRowDxfId="656" dataDxfId="655" headerRowCellStyle="ParaBirimi" dataCellStyle="ParaBirimi">
  <autoFilter ref="B3:H18" xr:uid="{A9C8FEF3-9C6A-4D38-9214-652106BB2993}">
    <filterColumn colId="4">
      <filters>
        <filter val="Açık"/>
      </filters>
    </filterColumn>
  </autoFilter>
  <tableColumns count="7">
    <tableColumn id="1" xr3:uid="{6AFBD2ED-022D-46FB-83CF-DBD114E481B5}" name="TARİH" dataDxfId="654"/>
    <tableColumn id="2" xr3:uid="{EE05298C-86CB-473D-B0EC-7395C4B39155}" name="ADET" dataDxfId="653"/>
    <tableColumn id="3" xr3:uid="{91210C61-AA68-4B58-8893-72D797121253}" name="ALIŞ" dataDxfId="652" dataCellStyle="ParaBirimi"/>
    <tableColumn id="4" xr3:uid="{115A2604-F7D4-4895-8D3F-7AA4A1AF94F6}" name="SATIŞ" dataDxfId="651" dataCellStyle="ParaBirimi"/>
    <tableColumn id="5" xr3:uid="{0DDC854A-8C6B-4156-9901-D910E9A11C5B}" name="KAR" dataDxfId="650" dataCellStyle="ParaBirimi">
      <calculatedColumnFormula>IF(Tablo14567891011121314156062[[#This Row],[SATIŞ]]=0,"Açık",(E4-D4)*C4)</calculatedColumnFormula>
    </tableColumn>
    <tableColumn id="6" xr3:uid="{6AACD2F6-2F6D-4610-B850-8BF2A6D06236}" name="ALIŞ TUTAR" dataDxfId="649" dataCellStyle="ParaBirimi">
      <calculatedColumnFormula>Tablo14567891011121314156062[[#This Row],[ADET]]*Tablo14567891011121314156062[[#This Row],[ALIŞ]]</calculatedColumnFormula>
    </tableColumn>
    <tableColumn id="7" xr3:uid="{9C30E723-9716-439C-B767-23799E4813CB}" name="SATIŞ TUTAR" dataDxfId="648" dataCellStyle="ParaBirimi">
      <calculatedColumnFormula>Tablo14567891011121314156062[[#This Row],[ADET]]*Tablo14567891011121314156062[[#This Row],[SATIŞ]]</calculatedColumnFormula>
    </tableColumn>
  </tableColumns>
  <tableStyleInfo name="TableStyleLight14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4EFAEA88-1E8C-4FE6-A946-45B656BA61A5}" name="Tablo14567891011121314151617" displayName="Tablo14567891011121314151617" ref="B3:H59" totalsRowShown="0" headerRowDxfId="647" dataDxfId="646" headerRowCellStyle="ParaBirimi" dataCellStyle="ParaBirimi">
  <autoFilter ref="B3:H59" xr:uid="{A9C8FEF3-9C6A-4D38-9214-652106BB2993}">
    <filterColumn colId="4">
      <filters>
        <filter val="Açık"/>
      </filters>
    </filterColumn>
  </autoFilter>
  <tableColumns count="7">
    <tableColumn id="1" xr3:uid="{B9D2852C-E968-4A0D-AF06-86A3DCB61362}" name="TARİH" dataDxfId="645"/>
    <tableColumn id="2" xr3:uid="{61634913-584B-4CD9-A622-3BDC7839A2B0}" name="ADET" dataDxfId="644"/>
    <tableColumn id="3" xr3:uid="{A3D87CF6-4C6D-4BB0-BCAA-835B89D4B152}" name="ALIŞ" dataDxfId="643" dataCellStyle="ParaBirimi"/>
    <tableColumn id="4" xr3:uid="{CE3321EB-B07E-4F69-857B-F7143D951B94}" name="SATIŞ" dataDxfId="642" dataCellStyle="ParaBirimi"/>
    <tableColumn id="5" xr3:uid="{C2AD138E-CED6-44F0-8A07-D022F391D08B}" name="KAR" dataDxfId="641" dataCellStyle="ParaBirimi">
      <calculatedColumnFormula>IF(Tablo14567891011121314151617[[#This Row],[SATIŞ]]=0,"Açık",(E4-D4)*C4)</calculatedColumnFormula>
    </tableColumn>
    <tableColumn id="6" xr3:uid="{13E8F5C0-010D-4FEB-B255-9B4BDAC4DFC0}" name="ALIŞ TUTAR" dataDxfId="640" dataCellStyle="ParaBirimi">
      <calculatedColumnFormula>Tablo14567891011121314151617[[#This Row],[ADET]]*Tablo14567891011121314151617[[#This Row],[ALIŞ]]</calculatedColumnFormula>
    </tableColumn>
    <tableColumn id="7" xr3:uid="{8714316F-066B-4222-B0CF-BC3ECA9751AA}" name="SATIŞ TUTAR" dataDxfId="639" dataCellStyle="ParaBirimi">
      <calculatedColumnFormula>Tablo14567891011121314151617[[#This Row],[ADET]]*Tablo14567891011121314151617[[#This Row],[SATIŞ]]</calculatedColumnFormula>
    </tableColumn>
  </tableColumns>
  <tableStyleInfo name="TableStyleLight14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E3E1C4BB-3C97-4A1C-9340-B0C438D70C7F}" name="Tablo1456789101112131415161718" displayName="Tablo1456789101112131415161718" ref="B3:H10" totalsRowShown="0" headerRowDxfId="638" dataDxfId="637" headerRowCellStyle="ParaBirimi" dataCellStyle="ParaBirimi">
  <autoFilter ref="B3:H10" xr:uid="{A9C8FEF3-9C6A-4D38-9214-652106BB2993}"/>
  <tableColumns count="7">
    <tableColumn id="1" xr3:uid="{699B18F3-BF91-4D1C-9DFB-4A65F60091D2}" name="TARİH" dataDxfId="636"/>
    <tableColumn id="2" xr3:uid="{68AA0880-062C-49BA-AF65-6B1255822AB0}" name="ADET" dataDxfId="635"/>
    <tableColumn id="3" xr3:uid="{6A71B3AF-A235-49AA-A584-9A9280B7D596}" name="ALIŞ" dataDxfId="634" dataCellStyle="ParaBirimi"/>
    <tableColumn id="4" xr3:uid="{F25676FB-EF2F-4CAD-B350-2CE9B845C2D6}" name="SATIŞ" dataDxfId="633" dataCellStyle="ParaBirimi"/>
    <tableColumn id="5" xr3:uid="{FA471565-0EEE-42B9-954B-D058488BFAC7}" name="KAR" dataDxfId="632" dataCellStyle="ParaBirimi">
      <calculatedColumnFormula>IF(Tablo1456789101112131415161718[[#This Row],[SATIŞ]]=0,"Açık",(E4-D4)*C4)</calculatedColumnFormula>
    </tableColumn>
    <tableColumn id="6" xr3:uid="{CC0C333A-5E96-4D86-B9CD-45ED0063932C}" name="ALIŞ TUTAR" dataDxfId="631" dataCellStyle="ParaBirimi">
      <calculatedColumnFormula>Tablo1456789101112131415161718[[#This Row],[ADET]]*Tablo1456789101112131415161718[[#This Row],[ALIŞ]]</calculatedColumnFormula>
    </tableColumn>
    <tableColumn id="7" xr3:uid="{4C766CB8-EFB5-4E69-919D-72E5A1F03F4D}" name="SATIŞ TUTAR" dataDxfId="630" dataCellStyle="ParaBirimi">
      <calculatedColumnFormula>Tablo1456789101112131415161718[[#This Row],[ADET]]*Tablo1456789101112131415161718[[#This Row],[SATIŞ]]</calculatedColumnFormula>
    </tableColumn>
  </tableColumns>
  <tableStyleInfo name="TableStyleLight14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396976B4-FEE0-44CB-A2C0-5A9DDA419E30}" name="Tablo14567891011121314156063" displayName="Tablo14567891011121314156063" ref="B3:H14" totalsRowShown="0" headerRowDxfId="629" dataDxfId="628" headerRowCellStyle="ParaBirimi" dataCellStyle="ParaBirimi">
  <autoFilter ref="B3:H14" xr:uid="{A9C8FEF3-9C6A-4D38-9214-652106BB2993}">
    <filterColumn colId="4">
      <filters>
        <filter val="Açık"/>
      </filters>
    </filterColumn>
  </autoFilter>
  <tableColumns count="7">
    <tableColumn id="1" xr3:uid="{3EE83B05-5B31-41F6-98A0-0A429F41C892}" name="TARİH" dataDxfId="627"/>
    <tableColumn id="2" xr3:uid="{C2EA8458-30EC-4FC1-9159-FF94CAE021BE}" name="ADET" dataDxfId="626"/>
    <tableColumn id="3" xr3:uid="{25DED686-CC9D-40BF-9486-197DDD810D88}" name="ALIŞ" dataDxfId="625" dataCellStyle="ParaBirimi"/>
    <tableColumn id="4" xr3:uid="{E9FE26F2-ABE1-4CFC-ACB2-4347B09B21AE}" name="SATIŞ" dataDxfId="624" dataCellStyle="ParaBirimi"/>
    <tableColumn id="5" xr3:uid="{2357297D-EEA2-485C-B8CE-75BB77F6D998}" name="KAR" dataDxfId="623" dataCellStyle="ParaBirimi">
      <calculatedColumnFormula>IF(Tablo14567891011121314156063[[#This Row],[SATIŞ]]=0,"Açık",(E4-D4)*C4)</calculatedColumnFormula>
    </tableColumn>
    <tableColumn id="6" xr3:uid="{57C3CA29-9A03-41E9-8E6C-91337A413D58}" name="ALIŞ TUTAR" dataDxfId="622" dataCellStyle="ParaBirimi">
      <calculatedColumnFormula>Tablo14567891011121314156063[[#This Row],[ADET]]*Tablo14567891011121314156063[[#This Row],[ALIŞ]]</calculatedColumnFormula>
    </tableColumn>
    <tableColumn id="7" xr3:uid="{3260020C-6065-406A-9153-3D623B42FE2A}" name="SATIŞ TUTAR" dataDxfId="621" dataCellStyle="ParaBirimi">
      <calculatedColumnFormula>Tablo14567891011121314156063[[#This Row],[ADET]]*Tablo14567891011121314156063[[#This Row],[SATIŞ]]</calculatedColumnFormula>
    </tableColumn>
  </tableColumns>
  <tableStyleInfo name="TableStyleLight14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A0BCA400-A08D-4C6C-B8FF-70BEBA806670}" name="Tablo145678910111213141560" displayName="Tablo145678910111213141560" ref="B3:H7" totalsRowShown="0" headerRowDxfId="620" dataDxfId="619" headerRowCellStyle="ParaBirimi" dataCellStyle="ParaBirimi">
  <autoFilter ref="B3:H7" xr:uid="{A9C8FEF3-9C6A-4D38-9214-652106BB2993}"/>
  <tableColumns count="7">
    <tableColumn id="1" xr3:uid="{3720F48C-E23B-4387-A8E8-DCEC8B0121F3}" name="TARİH" dataDxfId="618"/>
    <tableColumn id="2" xr3:uid="{28DC405F-7A99-44B9-BBAD-0CE80228BF5F}" name="ADET" dataDxfId="617"/>
    <tableColumn id="3" xr3:uid="{6D64657B-72C4-44EC-9AEC-50AEB9E0E7D1}" name="ALIŞ" dataDxfId="616" dataCellStyle="ParaBirimi"/>
    <tableColumn id="4" xr3:uid="{A2DD6CE0-274C-44CE-BA09-E0F6D0D586C9}" name="SATIŞ" dataDxfId="615" dataCellStyle="ParaBirimi"/>
    <tableColumn id="5" xr3:uid="{B6A18E58-4C80-4F56-B44D-1EA1413D44C4}" name="KAR" dataDxfId="614" dataCellStyle="ParaBirimi">
      <calculatedColumnFormula>IF(Tablo145678910111213141560[[#This Row],[SATIŞ]]=0,"Açık",(E4-D4)*C4)</calculatedColumnFormula>
    </tableColumn>
    <tableColumn id="6" xr3:uid="{8EF1C022-3002-4250-8FCA-390B5514999D}" name="ALIŞ TUTAR" dataDxfId="613" dataCellStyle="ParaBirimi">
      <calculatedColumnFormula>Tablo145678910111213141560[[#This Row],[ADET]]*Tablo145678910111213141560[[#This Row],[ALIŞ]]</calculatedColumnFormula>
    </tableColumn>
    <tableColumn id="7" xr3:uid="{66510EAA-89DE-48C6-BAA3-17EB5A87E955}" name="SATIŞ TUTAR" dataDxfId="612" dataCellStyle="ParaBirimi">
      <calculatedColumnFormula>Tablo145678910111213141560[[#This Row],[ADET]]*Tablo145678910111213141560[[#This Row],[SATIŞ]]</calculatedColumnFormula>
    </tableColumn>
  </tableColumns>
  <tableStyleInfo name="TableStyleLight14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8E2A53A9-D71E-4220-8D7A-475BAAE12210}" name="Tablo145678910111213141516171819" displayName="Tablo145678910111213141516171819" ref="B3:H19" totalsRowShown="0" headerRowDxfId="611" dataDxfId="610" headerRowCellStyle="ParaBirimi" dataCellStyle="ParaBirimi">
  <autoFilter ref="B3:H19" xr:uid="{A9C8FEF3-9C6A-4D38-9214-652106BB2993}">
    <filterColumn colId="4">
      <filters>
        <filter val="Açık"/>
      </filters>
    </filterColumn>
  </autoFilter>
  <tableColumns count="7">
    <tableColumn id="1" xr3:uid="{0791935D-7FB0-4D44-BACB-40AFA58A57DD}" name="TARİH" dataDxfId="609"/>
    <tableColumn id="2" xr3:uid="{09508F06-1EDA-420F-ADC1-72D06D61F3EE}" name="ADET" dataDxfId="608"/>
    <tableColumn id="3" xr3:uid="{A1F48FF7-9BEC-4EA5-A6ED-79B0C95C56F3}" name="ALIŞ" dataDxfId="607" dataCellStyle="ParaBirimi"/>
    <tableColumn id="4" xr3:uid="{C911C3D3-AE98-47EA-8455-9B3B331FB65A}" name="SATIŞ" dataDxfId="606" dataCellStyle="ParaBirimi"/>
    <tableColumn id="5" xr3:uid="{E60328C1-0A8C-4C4A-8BBB-107744E9D526}" name="KAR" dataDxfId="605" dataCellStyle="ParaBirimi">
      <calculatedColumnFormula>IF(Tablo145678910111213141516171819[[#This Row],[SATIŞ]]=0,"Açık",(E4-D4)*C4)</calculatedColumnFormula>
    </tableColumn>
    <tableColumn id="6" xr3:uid="{40BDA25A-067F-4E12-B237-DD403C361693}" name="ALIŞ TUTAR" dataDxfId="604" dataCellStyle="ParaBirimi">
      <calculatedColumnFormula>Tablo145678910111213141516171819[[#This Row],[ADET]]*Tablo145678910111213141516171819[[#This Row],[ALIŞ]]</calculatedColumnFormula>
    </tableColumn>
    <tableColumn id="7" xr3:uid="{DED2C60C-8BFA-42DA-82C4-3C7E2A86301E}" name="SATIŞ TUTAR" dataDxfId="603" dataCellStyle="ParaBirimi">
      <calculatedColumnFormula>Tablo145678910111213141516171819[[#This Row],[ADET]]*Tablo145678910111213141516171819[[#This Row],[SATIŞ]]</calculatedColumnFormula>
    </tableColumn>
  </tableColumns>
  <tableStyleInfo name="TableStyleLight14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7046072D-2534-44CB-B76D-2CC6F5B08005}" name="Tablo14567891011121314151617181920" displayName="Tablo14567891011121314151617181920" ref="B3:H10" totalsRowShown="0" headerRowDxfId="602" dataDxfId="601" headerRowCellStyle="ParaBirimi" dataCellStyle="ParaBirimi">
  <autoFilter ref="B3:H10" xr:uid="{A9C8FEF3-9C6A-4D38-9214-652106BB2993}"/>
  <tableColumns count="7">
    <tableColumn id="1" xr3:uid="{3806A7DD-8EC5-47B9-929E-D980465280C7}" name="TARİH" dataDxfId="600"/>
    <tableColumn id="2" xr3:uid="{D7AA3152-1713-4854-B557-C72A8955490D}" name="ADET" dataDxfId="599"/>
    <tableColumn id="3" xr3:uid="{3BE48B9D-A7B3-4002-BAD6-738C330A40CD}" name="ALIŞ" dataDxfId="598" dataCellStyle="ParaBirimi"/>
    <tableColumn id="4" xr3:uid="{53588B85-C1BA-4A7A-8FD8-5A6C40067A61}" name="SATIŞ" dataDxfId="597" dataCellStyle="ParaBirimi"/>
    <tableColumn id="5" xr3:uid="{F6875827-0686-4E8F-84E7-7E5B935C050E}" name="KAR" dataDxfId="596" dataCellStyle="ParaBirimi">
      <calculatedColumnFormula>IF(Tablo14567891011121314151617181920[[#This Row],[SATIŞ]]=0,"Açık",(E4-D4)*C4)</calculatedColumnFormula>
    </tableColumn>
    <tableColumn id="6" xr3:uid="{99560A8D-9F52-48DC-993C-801A09D2D8BE}" name="ALIŞ TUTAR" dataDxfId="595" dataCellStyle="ParaBirimi">
      <calculatedColumnFormula>Tablo14567891011121314151617181920[[#This Row],[ADET]]*Tablo14567891011121314151617181920[[#This Row],[ALIŞ]]</calculatedColumnFormula>
    </tableColumn>
    <tableColumn id="7" xr3:uid="{E4DCDADC-7C85-4C8B-903D-F6792240EB6A}" name="SATIŞ TUTAR" dataDxfId="594" dataCellStyle="ParaBirimi">
      <calculatedColumnFormula>Tablo14567891011121314151617181920[[#This Row],[ADET]]*Tablo14567891011121314151617181920[[#This Row],[SATIŞ]]</calculatedColumnFormula>
    </tableColumn>
  </tableColumns>
  <tableStyleInfo name="TableStyleLight14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ACEB6D91-468D-4DB2-A041-9C07C6A981C8}" name="Tablo145678910111213141516171819202122232425262728293031323334353637383967" displayName="Tablo145678910111213141516171819202122232425262728293031323334353637383967" ref="B3:H16" totalsRowShown="0" headerRowDxfId="593" dataDxfId="592" headerRowCellStyle="ParaBirimi" dataCellStyle="ParaBirimi">
  <autoFilter ref="B3:H16" xr:uid="{A9C8FEF3-9C6A-4D38-9214-652106BB2993}">
    <filterColumn colId="4">
      <filters>
        <filter val="Açık"/>
      </filters>
    </filterColumn>
  </autoFilter>
  <tableColumns count="7">
    <tableColumn id="1" xr3:uid="{3E9FB04E-0AC8-4939-B741-DDFAABEEFEE3}" name="TARİH" dataDxfId="591"/>
    <tableColumn id="2" xr3:uid="{53A58B28-6049-4FA7-B728-C53EDFA4CF31}" name="ADET" dataDxfId="590"/>
    <tableColumn id="3" xr3:uid="{0284D7A8-5AA8-4AA4-8E50-E85AD4C059D2}" name="ALIŞ" dataDxfId="589" dataCellStyle="ParaBirimi"/>
    <tableColumn id="4" xr3:uid="{5C7D69CE-6C76-44C6-90DF-83E97BBD8F9E}" name="SATIŞ" dataDxfId="588" dataCellStyle="ParaBirimi"/>
    <tableColumn id="5" xr3:uid="{E9FCBF51-F694-46C5-BEE6-25A6EFBD0E02}" name="KAR" dataDxfId="587" dataCellStyle="ParaBirimi">
      <calculatedColumnFormula>IF(Tablo145678910111213141516171819202122232425262728293031323334353637383967[[#This Row],[SATIŞ]]=0,"Açık",(E4-D4)*C4)</calculatedColumnFormula>
    </tableColumn>
    <tableColumn id="6" xr3:uid="{0A8542FF-BDB5-4FA2-9756-94BF5FAE910F}" name="ALIŞ TUTAR" dataDxfId="586" dataCellStyle="ParaBirimi">
      <calculatedColumnFormula>Tablo145678910111213141516171819202122232425262728293031323334353637383967[[#This Row],[ADET]]*Tablo145678910111213141516171819202122232425262728293031323334353637383967[[#This Row],[ALIŞ]]</calculatedColumnFormula>
    </tableColumn>
    <tableColumn id="7" xr3:uid="{9290668B-30ED-4CBF-816B-6243F56B043C}" name="SATIŞ TUTAR" dataDxfId="585" dataCellStyle="ParaBirimi">
      <calculatedColumnFormula>Tablo145678910111213141516171819202122232425262728293031323334353637383967[[#This Row],[ADET]]*Tablo145678910111213141516171819202122232425262728293031323334353637383967[[#This Row],[SATIŞ]]</calculatedColumnFormula>
    </tableColumn>
  </tableColumns>
  <tableStyleInfo name="TableStyleLight14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FFC2094C-CABD-4246-9227-339DC7F8ABB3}" name="Tablo1456789101112131415161718192021" displayName="Tablo1456789101112131415161718192021" ref="B3:H45" totalsRowShown="0" headerRowDxfId="584" dataDxfId="583" headerRowCellStyle="ParaBirimi" dataCellStyle="ParaBirimi">
  <autoFilter ref="B3:H45" xr:uid="{A9C8FEF3-9C6A-4D38-9214-652106BB2993}">
    <filterColumn colId="4">
      <filters>
        <filter val="Açık"/>
      </filters>
    </filterColumn>
  </autoFilter>
  <tableColumns count="7">
    <tableColumn id="1" xr3:uid="{094B75AF-F306-40EA-AC4D-A7B1C67AFC8B}" name="TARİH" dataDxfId="582"/>
    <tableColumn id="2" xr3:uid="{6748E4F5-EDA9-4F61-8A10-0C8E9A73A486}" name="ADET" dataDxfId="581"/>
    <tableColumn id="3" xr3:uid="{332F3477-B51B-4FC8-BDE0-148D8E2AA763}" name="ALIŞ" dataDxfId="580" dataCellStyle="ParaBirimi"/>
    <tableColumn id="4" xr3:uid="{F293EA51-FF11-4081-B520-D8C1DA8CF825}" name="SATIŞ" dataDxfId="579" dataCellStyle="ParaBirimi"/>
    <tableColumn id="5" xr3:uid="{D59FE03B-B1D3-4695-B2A2-AB0655114361}" name="KAR" dataDxfId="578" dataCellStyle="ParaBirimi">
      <calculatedColumnFormula>IF(Tablo1456789101112131415161718192021[[#This Row],[SATIŞ]]=0,"Açık",(E4-D4)*C4)</calculatedColumnFormula>
    </tableColumn>
    <tableColumn id="6" xr3:uid="{6B2858ED-1508-47E3-80BD-73AB7411945A}" name="ALIŞ TUTAR" dataDxfId="577" dataCellStyle="ParaBirimi">
      <calculatedColumnFormula>Tablo1456789101112131415161718192021[[#This Row],[ADET]]*Tablo1456789101112131415161718192021[[#This Row],[ALIŞ]]</calculatedColumnFormula>
    </tableColumn>
    <tableColumn id="7" xr3:uid="{ACB771FF-C184-4EAE-8C2D-16730D9CE21F}" name="SATIŞ TUTAR" dataDxfId="576" dataCellStyle="ParaBirimi">
      <calculatedColumnFormula>Tablo1456789101112131415161718192021[[#This Row],[ADET]]*Tablo1456789101112131415161718192021[[#This Row],[SATIŞ]]</calculatedColumnFormula>
    </tableColumn>
  </tableColumns>
  <tableStyleInfo name="TableStyleLight14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15695D93-68B4-4CB3-A736-646127A931DB}" name="Tablo145678910111213141516171819202122" displayName="Tablo145678910111213141516171819202122" ref="B3:H45" totalsRowShown="0" headerRowDxfId="575" dataDxfId="574" headerRowCellStyle="ParaBirimi" dataCellStyle="ParaBirimi">
  <autoFilter ref="B3:H45" xr:uid="{A9C8FEF3-9C6A-4D38-9214-652106BB2993}">
    <filterColumn colId="4">
      <filters>
        <filter val="Açık"/>
      </filters>
    </filterColumn>
  </autoFilter>
  <tableColumns count="7">
    <tableColumn id="1" xr3:uid="{66E2F189-B31A-4BD5-A5C0-0935F9ED3F33}" name="TARİH" dataDxfId="573"/>
    <tableColumn id="2" xr3:uid="{A8B83F7E-14D6-4CC9-A2A3-6BF16EC96BD3}" name="ADET" dataDxfId="572"/>
    <tableColumn id="3" xr3:uid="{8726D67C-F14D-4920-A365-7ED9243B18B4}" name="ALIŞ" dataDxfId="571" dataCellStyle="ParaBirimi"/>
    <tableColumn id="4" xr3:uid="{60743172-9E42-49DA-86ED-7D8790134661}" name="SATIŞ" dataDxfId="570" dataCellStyle="ParaBirimi"/>
    <tableColumn id="5" xr3:uid="{22672209-13A7-46E4-B856-E422DC55D5D8}" name="KAR" dataDxfId="569" dataCellStyle="ParaBirimi">
      <calculatedColumnFormula>IF(Tablo145678910111213141516171819202122[[#This Row],[SATIŞ]]=0,"Açık",(E4-D4)*C4)</calculatedColumnFormula>
    </tableColumn>
    <tableColumn id="6" xr3:uid="{82E82EE5-27AE-45E4-8AE0-E5E5E1765D07}" name="ALIŞ TUTAR" dataDxfId="568" dataCellStyle="ParaBirimi">
      <calculatedColumnFormula>Tablo145678910111213141516171819202122[[#This Row],[ADET]]*Tablo145678910111213141516171819202122[[#This Row],[ALIŞ]]</calculatedColumnFormula>
    </tableColumn>
    <tableColumn id="7" xr3:uid="{19247808-8078-461D-9203-D4CBBE55C12D}" name="SATIŞ TUTAR" dataDxfId="567" dataCellStyle="ParaBirimi">
      <calculatedColumnFormula>Tablo145678910111213141516171819202122[[#This Row],[ADET]]*Tablo145678910111213141516171819202122[[#This Row],[SATIŞ]]</calculatedColumnFormula>
    </tableColumn>
  </tableColumns>
  <tableStyleInfo name="TableStyleLight14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9F5FC2EF-51B8-4DB1-80DE-DD9125E17EB1}" name="Tablo1456789101112131415161718192021222361" displayName="Tablo1456789101112131415161718192021222361" ref="B3:H24" totalsRowShown="0" headerRowDxfId="566" dataDxfId="565" headerRowCellStyle="ParaBirimi" dataCellStyle="ParaBirimi">
  <autoFilter ref="B3:H24" xr:uid="{A9C8FEF3-9C6A-4D38-9214-652106BB2993}">
    <filterColumn colId="4">
      <filters>
        <filter val="Açık"/>
      </filters>
    </filterColumn>
  </autoFilter>
  <tableColumns count="7">
    <tableColumn id="1" xr3:uid="{19329EB9-B36C-4386-9539-F43C5808DD11}" name="TARİH" dataDxfId="564"/>
    <tableColumn id="2" xr3:uid="{F8F510C2-6CC2-4962-AAC3-5F8BB6BB921B}" name="ADET" dataDxfId="563"/>
    <tableColumn id="3" xr3:uid="{35BFFF8F-EE31-4D80-BB6D-2FDA42D4F958}" name="ALIŞ" dataDxfId="562" dataCellStyle="ParaBirimi"/>
    <tableColumn id="4" xr3:uid="{EA43D4B3-58B0-49BB-8ED0-A40923F8E16E}" name="SATIŞ" dataDxfId="561" dataCellStyle="ParaBirimi"/>
    <tableColumn id="5" xr3:uid="{69F09A14-6D71-40BF-A9A7-999E59B78B40}" name="KAR" dataDxfId="560" dataCellStyle="ParaBirimi">
      <calculatedColumnFormula>IF(Tablo1456789101112131415161718192021222361[[#This Row],[SATIŞ]]=0,"Açık",(E4-D4)*C4)</calculatedColumnFormula>
    </tableColumn>
    <tableColumn id="6" xr3:uid="{EAC71E1E-A224-4849-8A54-87D7EE929162}" name="ALIŞ TUTAR" dataDxfId="559" dataCellStyle="ParaBirimi">
      <calculatedColumnFormula>Tablo1456789101112131415161718192021222361[[#This Row],[ADET]]*Tablo1456789101112131415161718192021222361[[#This Row],[ALIŞ]]</calculatedColumnFormula>
    </tableColumn>
    <tableColumn id="7" xr3:uid="{A9F95B53-2656-4913-92EA-5E99B93A6387}" name="SATIŞ TUTAR" dataDxfId="558" dataCellStyle="ParaBirimi">
      <calculatedColumnFormula>Tablo1456789101112131415161718192021222361[[#This Row],[ADET]]*Tablo1456789101112131415161718192021222361[[#This Row],[SATIŞ]]</calculatedColumnFormula>
    </tableColumn>
  </tableColumns>
  <tableStyleInfo name="TableStyleLight14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1CAED322-16E7-4CD2-B4CC-6867865A979F}" name="Tablo14567891011121314151617181920212223" displayName="Tablo14567891011121314151617181920212223" ref="B3:H22" totalsRowShown="0" headerRowDxfId="557" dataDxfId="556" headerRowCellStyle="ParaBirimi" dataCellStyle="ParaBirimi">
  <autoFilter ref="B3:H22" xr:uid="{A9C8FEF3-9C6A-4D38-9214-652106BB2993}"/>
  <tableColumns count="7">
    <tableColumn id="1" xr3:uid="{409FC73F-BEFA-4E95-94EF-478A7A105575}" name="TARİH" dataDxfId="555"/>
    <tableColumn id="2" xr3:uid="{20E03FC9-959C-475E-95A7-792A654974AE}" name="ADET" dataDxfId="554"/>
    <tableColumn id="3" xr3:uid="{D5B0344F-EF54-4C0E-B517-4A3CA23EC6A3}" name="ALIŞ" dataDxfId="553" dataCellStyle="ParaBirimi"/>
    <tableColumn id="4" xr3:uid="{B0ED6CC2-B885-45C8-BF46-AE9C232603E1}" name="SATIŞ" dataDxfId="552" dataCellStyle="ParaBirimi"/>
    <tableColumn id="5" xr3:uid="{9000946D-25E4-46C4-9601-B0629099256C}" name="KAR" dataDxfId="551" dataCellStyle="ParaBirimi">
      <calculatedColumnFormula>IF(Tablo14567891011121314151617181920212223[[#This Row],[SATIŞ]]=0,"Açık",(E4-D4)*C4)</calculatedColumnFormula>
    </tableColumn>
    <tableColumn id="6" xr3:uid="{1A8488CA-B8B2-4A05-91D8-F6EE51C4ECF5}" name="ALIŞ TUTAR" dataDxfId="550" dataCellStyle="ParaBirimi">
      <calculatedColumnFormula>Tablo14567891011121314151617181920212223[[#This Row],[ADET]]*Tablo14567891011121314151617181920212223[[#This Row],[ALIŞ]]</calculatedColumnFormula>
    </tableColumn>
    <tableColumn id="7" xr3:uid="{6C6EF48E-84CF-43EC-B356-ED16B70FDB7C}" name="SATIŞ TUTAR" dataDxfId="549" dataCellStyle="ParaBirimi">
      <calculatedColumnFormula>Tablo14567891011121314151617181920212223[[#This Row],[ADET]]*Tablo14567891011121314151617181920212223[[#This Row],[SATIŞ]]</calculatedColumnFormula>
    </tableColumn>
  </tableColumns>
  <tableStyleInfo name="TableStyleLight14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7A851107-12CA-45C2-B333-FDC3F6F8C6B1}" name="Tablo1456789101112131415161718192021222324" displayName="Tablo1456789101112131415161718192021222324" ref="B3:H32" totalsRowShown="0" headerRowDxfId="548" dataDxfId="547" headerRowCellStyle="ParaBirimi" dataCellStyle="ParaBirimi">
  <autoFilter ref="B3:H32" xr:uid="{A9C8FEF3-9C6A-4D38-9214-652106BB2993}">
    <filterColumn colId="4">
      <filters>
        <filter val="Açık"/>
      </filters>
    </filterColumn>
  </autoFilter>
  <tableColumns count="7">
    <tableColumn id="1" xr3:uid="{E444F735-3CD0-465C-A94E-1085356584ED}" name="TARİH" dataDxfId="546"/>
    <tableColumn id="2" xr3:uid="{A68BCE0C-E58E-4488-BC19-37538E28B58B}" name="ADET" dataDxfId="545"/>
    <tableColumn id="3" xr3:uid="{97D7DBFF-752F-42CD-8061-902BFA646F72}" name="ALIŞ" dataDxfId="544" dataCellStyle="ParaBirimi"/>
    <tableColumn id="4" xr3:uid="{851F4726-3813-4765-B677-F66BDC8C49F5}" name="SATIŞ" dataDxfId="543" dataCellStyle="ParaBirimi"/>
    <tableColumn id="5" xr3:uid="{2C3F0D92-4C9D-4C2E-B1C4-C910B6DCACC4}" name="KAR" dataDxfId="542" dataCellStyle="ParaBirimi">
      <calculatedColumnFormula>IF(Tablo1456789101112131415161718192021222324[[#This Row],[SATIŞ]]=0,"Açık",(E4-D4)*C4)</calculatedColumnFormula>
    </tableColumn>
    <tableColumn id="6" xr3:uid="{F3D63FF3-AF4F-4263-A547-D1FE75470DB8}" name="ALIŞ TUTAR" dataDxfId="541" dataCellStyle="ParaBirimi">
      <calculatedColumnFormula>Tablo1456789101112131415161718192021222324[[#This Row],[ADET]]*Tablo1456789101112131415161718192021222324[[#This Row],[ALIŞ]]</calculatedColumnFormula>
    </tableColumn>
    <tableColumn id="7" xr3:uid="{7398A0EB-B449-4724-B335-8AE0FA3853F7}" name="SATIŞ TUTAR" dataDxfId="540" dataCellStyle="ParaBirimi">
      <calculatedColumnFormula>Tablo1456789101112131415161718192021222324[[#This Row],[ADET]]*Tablo1456789101112131415161718192021222324[[#This Row],[SATIŞ]]</calculatedColumnFormula>
    </tableColumn>
  </tableColumns>
  <tableStyleInfo name="TableStyleLight14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5919CDF7-FE39-47BB-AE82-4ACE7FE55750}" name="Tablo145678910111213141516171819202122232425" displayName="Tablo145678910111213141516171819202122232425" ref="B3:H51" totalsRowShown="0" headerRowDxfId="539" dataDxfId="538" headerRowCellStyle="ParaBirimi" dataCellStyle="ParaBirimi">
  <autoFilter ref="B3:H51" xr:uid="{A9C8FEF3-9C6A-4D38-9214-652106BB2993}">
    <filterColumn colId="4">
      <filters>
        <filter val="Açık"/>
      </filters>
    </filterColumn>
  </autoFilter>
  <tableColumns count="7">
    <tableColumn id="1" xr3:uid="{97F46D85-0359-4F06-AD1E-776E7B381207}" name="TARİH" dataDxfId="537"/>
    <tableColumn id="2" xr3:uid="{D2A4AFB2-168F-4AB2-8006-DCACE870B3C6}" name="ADET" dataDxfId="536"/>
    <tableColumn id="3" xr3:uid="{DFD60DB3-228B-4740-969C-37776AFF4607}" name="ALIŞ" dataDxfId="535" dataCellStyle="ParaBirimi"/>
    <tableColumn id="4" xr3:uid="{39E6B108-A37E-4BA1-BFEF-AA4D0A45B8F5}" name="SATIŞ" dataDxfId="534" dataCellStyle="ParaBirimi"/>
    <tableColumn id="5" xr3:uid="{E6102772-4B75-40BA-9767-71DBA8021EA6}" name="KAR" dataDxfId="533" dataCellStyle="ParaBirimi">
      <calculatedColumnFormula>IF(Tablo145678910111213141516171819202122232425[[#This Row],[SATIŞ]]=0,"Açık",(E4-D4)*C4)</calculatedColumnFormula>
    </tableColumn>
    <tableColumn id="6" xr3:uid="{54F00841-0ADC-422D-B785-E447C7C16B30}" name="ALIŞ TUTAR" dataDxfId="532" dataCellStyle="ParaBirimi">
      <calculatedColumnFormula>Tablo145678910111213141516171819202122232425[[#This Row],[ADET]]*Tablo145678910111213141516171819202122232425[[#This Row],[ALIŞ]]</calculatedColumnFormula>
    </tableColumn>
    <tableColumn id="7" xr3:uid="{2B24BD55-A384-4784-9385-9A7B2015C345}" name="SATIŞ TUTAR" dataDxfId="531" dataCellStyle="ParaBirimi">
      <calculatedColumnFormula>Tablo145678910111213141516171819202122232425[[#This Row],[ADET]]*Tablo145678910111213141516171819202122232425[[#This Row],[SATIŞ]]</calculatedColumnFormula>
    </tableColumn>
  </tableColumns>
  <tableStyleInfo name="TableStyleLight14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94AE18E2-2B84-4810-BE1A-4E3A016D0420}" name="Tablo14567891011121314151617181920212223242526" displayName="Tablo14567891011121314151617181920212223242526" ref="B3:H25" totalsRowShown="0" headerRowDxfId="530" dataDxfId="529" headerRowCellStyle="ParaBirimi" dataCellStyle="ParaBirimi">
  <autoFilter ref="B3:H25" xr:uid="{A9C8FEF3-9C6A-4D38-9214-652106BB2993}"/>
  <tableColumns count="7">
    <tableColumn id="1" xr3:uid="{AF81D535-6D8A-4F45-B4E8-39BA1C1A0F49}" name="TARİH" dataDxfId="528"/>
    <tableColumn id="2" xr3:uid="{8B6B0CD0-4560-4AD4-9060-2CC3E56A57E3}" name="ADET" dataDxfId="527"/>
    <tableColumn id="3" xr3:uid="{79A30960-138A-412E-97D2-EABCE0922FEE}" name="ALIŞ" dataDxfId="526" dataCellStyle="ParaBirimi"/>
    <tableColumn id="4" xr3:uid="{F81B8B37-8808-4BD1-8726-F2D475593183}" name="SATIŞ" dataDxfId="525" dataCellStyle="ParaBirimi"/>
    <tableColumn id="5" xr3:uid="{26624264-092E-4C47-9531-E94CB03E4373}" name="KAR" dataDxfId="524" dataCellStyle="ParaBirimi">
      <calculatedColumnFormula>IF(Tablo14567891011121314151617181920212223242526[[#This Row],[SATIŞ]]=0,"Açık",(E4-D4)*C4)</calculatedColumnFormula>
    </tableColumn>
    <tableColumn id="6" xr3:uid="{96F4DDCB-16A0-47C8-B2BD-B49F79757C6C}" name="ALIŞ TUTAR" dataDxfId="523" dataCellStyle="ParaBirimi">
      <calculatedColumnFormula>Tablo14567891011121314151617181920212223242526[[#This Row],[ADET]]*Tablo14567891011121314151617181920212223242526[[#This Row],[ALIŞ]]</calculatedColumnFormula>
    </tableColumn>
    <tableColumn id="7" xr3:uid="{96862A91-4462-48A5-A1A0-1A5C30EEDB8D}" name="SATIŞ TUTAR" dataDxfId="522" dataCellStyle="ParaBirimi">
      <calculatedColumnFormula>Tablo14567891011121314151617181920212223242526[[#This Row],[ADET]]*Tablo14567891011121314151617181920212223242526[[#This Row],[SATIŞ]]</calculatedColumnFormula>
    </tableColumn>
  </tableColumns>
  <tableStyleInfo name="TableStyleLight14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BAD7ECF-FCEC-4BE2-A2B7-53023C796B9D}" name="Tablo1456789101112131415161718192021222324252627" displayName="Tablo1456789101112131415161718192021222324252627" ref="B3:H32" totalsRowShown="0" headerRowDxfId="521" dataDxfId="520" headerRowCellStyle="ParaBirimi" dataCellStyle="ParaBirimi">
  <autoFilter ref="B3:H32" xr:uid="{A9C8FEF3-9C6A-4D38-9214-652106BB2993}">
    <filterColumn colId="4">
      <filters>
        <filter val="Açık"/>
      </filters>
    </filterColumn>
  </autoFilter>
  <tableColumns count="7">
    <tableColumn id="1" xr3:uid="{A949351F-25BD-4A4F-B000-E10C3439DD4B}" name="TARİH" dataDxfId="519"/>
    <tableColumn id="2" xr3:uid="{4B895966-3D01-45B3-BF93-79A3465EC217}" name="ADET" dataDxfId="518"/>
    <tableColumn id="3" xr3:uid="{B5F2CEA2-5A8C-4918-96BB-E0F56C1E70EC}" name="ALIŞ" dataDxfId="517" dataCellStyle="ParaBirimi"/>
    <tableColumn id="4" xr3:uid="{E90D687D-089E-489A-93D8-FFAA454C98A4}" name="SATIŞ" dataDxfId="516" dataCellStyle="ParaBirimi"/>
    <tableColumn id="5" xr3:uid="{29F613F4-B470-41C8-BEB1-0D43180DC711}" name="KAR" dataDxfId="515" dataCellStyle="ParaBirimi">
      <calculatedColumnFormula>IF(Tablo1456789101112131415161718192021222324252627[[#This Row],[SATIŞ]]=0,"Açık",(E4-D4)*C4)</calculatedColumnFormula>
    </tableColumn>
    <tableColumn id="6" xr3:uid="{F20D65AC-D453-4371-8004-E9D474545C01}" name="ALIŞ TUTAR" dataDxfId="514" dataCellStyle="ParaBirimi">
      <calculatedColumnFormula>Tablo1456789101112131415161718192021222324252627[[#This Row],[ADET]]*Tablo1456789101112131415161718192021222324252627[[#This Row],[ALIŞ]]</calculatedColumnFormula>
    </tableColumn>
    <tableColumn id="7" xr3:uid="{026FB927-DF8C-420D-8D23-85C400663919}" name="SATIŞ TUTAR" dataDxfId="513" dataCellStyle="ParaBirimi">
      <calculatedColumnFormula>Tablo1456789101112131415161718192021222324252627[[#This Row],[ADET]]*Tablo1456789101112131415161718192021222324252627[[#This Row],[SATIŞ]]</calculatedColumnFormula>
    </tableColumn>
  </tableColumns>
  <tableStyleInfo name="TableStyleLight14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C0901BA5-85F8-4294-9D23-9CF69C5F5A02}" name="Tablo157" displayName="Tablo157" ref="B3:H22" totalsRowShown="0" headerRowDxfId="512" dataDxfId="511" headerRowCellStyle="ParaBirimi" dataCellStyle="ParaBirimi">
  <autoFilter ref="B3:H22" xr:uid="{A9C8FEF3-9C6A-4D38-9214-652106BB2993}"/>
  <tableColumns count="7">
    <tableColumn id="1" xr3:uid="{5A54B355-9E91-49EB-9005-8D700894A389}" name="TARİH" dataDxfId="510"/>
    <tableColumn id="2" xr3:uid="{361CBEB2-880F-49AC-8F41-7E5335DD274D}" name="ADET" dataDxfId="509"/>
    <tableColumn id="3" xr3:uid="{5DA01E58-4A13-45D5-B747-C0EC0BFA2800}" name="ALIŞ" dataDxfId="508" dataCellStyle="ParaBirimi"/>
    <tableColumn id="4" xr3:uid="{F0FDDBE7-2E93-4CEA-AD93-5BF9F2DB6A36}" name="SATIŞ" dataDxfId="507" dataCellStyle="ParaBirimi"/>
    <tableColumn id="5" xr3:uid="{90B052E7-E735-44BC-AD40-84B98E3FBA29}" name="KAR" dataDxfId="506" dataCellStyle="ParaBirimi">
      <calculatedColumnFormula>IF(Tablo157[[#This Row],[SATIŞ]]=0,"Açık",(E4-D4)*C4)</calculatedColumnFormula>
    </tableColumn>
    <tableColumn id="6" xr3:uid="{612C21B9-9B75-4885-BC63-6A03573F0A01}" name="ALIŞ TUTAR" dataDxfId="505" dataCellStyle="ParaBirimi">
      <calculatedColumnFormula>Tablo157[[#This Row],[ADET]]*Tablo157[[#This Row],[ALIŞ]]</calculatedColumnFormula>
    </tableColumn>
    <tableColumn id="7" xr3:uid="{861DFD00-204F-4D02-B728-D7EB16EDB68E}" name="SATIŞ TUTAR" dataDxfId="504" dataCellStyle="ParaBirimi">
      <calculatedColumnFormula>Tablo157[[#This Row],[ADET]]*Tablo157[[#This Row],[SATIŞ]]</calculatedColumnFormula>
    </tableColumn>
  </tableColumns>
  <tableStyleInfo name="TableStyleLight14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1C2B2C4C-EDE1-4B73-938D-49121CF3801C}" name="Tablo145678910111213141516171819202122232425262728" displayName="Tablo145678910111213141516171819202122232425262728" ref="B3:H53" totalsRowShown="0" headerRowDxfId="503" dataDxfId="502" headerRowCellStyle="ParaBirimi" dataCellStyle="ParaBirimi">
  <autoFilter ref="B3:H53" xr:uid="{A9C8FEF3-9C6A-4D38-9214-652106BB2993}">
    <filterColumn colId="4">
      <filters>
        <filter val="Açık"/>
      </filters>
    </filterColumn>
  </autoFilter>
  <tableColumns count="7">
    <tableColumn id="1" xr3:uid="{A005230A-D918-4F67-A237-6FD23E19A71B}" name="TARİH" dataDxfId="501"/>
    <tableColumn id="2" xr3:uid="{71D39A95-45CD-4A09-94F9-1259CE5374AF}" name="ADET" dataDxfId="500"/>
    <tableColumn id="3" xr3:uid="{82C8A0D1-FD37-4C64-9F21-DAA4536844C6}" name="ALIŞ" dataDxfId="499" dataCellStyle="ParaBirimi"/>
    <tableColumn id="4" xr3:uid="{B9E5640B-891F-4FBB-BBE0-966534502A05}" name="SATIŞ" dataDxfId="498" dataCellStyle="ParaBirimi"/>
    <tableColumn id="5" xr3:uid="{50044B2F-53E4-4DD2-8922-B739AB25AD5B}" name="KAR" dataDxfId="497" dataCellStyle="ParaBirimi">
      <calculatedColumnFormula>IF(Tablo145678910111213141516171819202122232425262728[[#This Row],[SATIŞ]]=0,"Açık",(E4-D4)*C4)</calculatedColumnFormula>
    </tableColumn>
    <tableColumn id="6" xr3:uid="{391A85A8-8E9E-4380-A8D1-91746F8C462A}" name="ALIŞ TUTAR" dataDxfId="496" dataCellStyle="ParaBirimi">
      <calculatedColumnFormula>Tablo145678910111213141516171819202122232425262728[[#This Row],[ADET]]*Tablo145678910111213141516171819202122232425262728[[#This Row],[ALIŞ]]</calculatedColumnFormula>
    </tableColumn>
    <tableColumn id="7" xr3:uid="{0A251D01-CA08-404A-8982-E34AE3C84812}" name="SATIŞ TUTAR" dataDxfId="495" dataCellStyle="ParaBirimi">
      <calculatedColumnFormula>Tablo145678910111213141516171819202122232425262728[[#This Row],[ADET]]*Tablo145678910111213141516171819202122232425262728[[#This Row],[SATIŞ]]</calculatedColumnFormula>
    </tableColumn>
  </tableColumns>
  <tableStyleInfo name="TableStyleLight14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F7278F39-6899-4841-B277-B9A3AB87A097}" name="Tablo14567891011121314151617181920212223242526272829" displayName="Tablo14567891011121314151617181920212223242526272829" ref="B3:H32" totalsRowShown="0" headerRowDxfId="494" dataDxfId="493" headerRowCellStyle="ParaBirimi" dataCellStyle="ParaBirimi">
  <autoFilter ref="B3:H32" xr:uid="{A9C8FEF3-9C6A-4D38-9214-652106BB2993}">
    <filterColumn colId="4">
      <filters>
        <filter val="Açık"/>
      </filters>
    </filterColumn>
  </autoFilter>
  <tableColumns count="7">
    <tableColumn id="1" xr3:uid="{D458D9B8-2648-47FE-898E-294D7843D265}" name="TARİH" dataDxfId="492"/>
    <tableColumn id="2" xr3:uid="{8EF9677F-5523-49C1-B512-6CA37F295DBD}" name="ADET" dataDxfId="491"/>
    <tableColumn id="3" xr3:uid="{A1C464DC-F016-4D31-834A-29A0924CB95D}" name="ALIŞ" dataDxfId="490" dataCellStyle="ParaBirimi"/>
    <tableColumn id="4" xr3:uid="{48C90119-DF87-42EC-A25A-A5C0B6DABBCF}" name="SATIŞ" dataDxfId="489" dataCellStyle="ParaBirimi"/>
    <tableColumn id="5" xr3:uid="{407485D5-C0DA-4899-812B-F6E738EF808D}" name="KAR" dataDxfId="488" dataCellStyle="ParaBirimi">
      <calculatedColumnFormula>IF(Tablo14567891011121314151617181920212223242526272829[[#This Row],[SATIŞ]]=0,"Açık",(E4-D4)*C4)</calculatedColumnFormula>
    </tableColumn>
    <tableColumn id="6" xr3:uid="{48FBEC2C-8896-431E-9801-B41C25711168}" name="ALIŞ TUTAR" dataDxfId="487" dataCellStyle="ParaBirimi">
      <calculatedColumnFormula>Tablo14567891011121314151617181920212223242526272829[[#This Row],[ADET]]*Tablo14567891011121314151617181920212223242526272829[[#This Row],[ALIŞ]]</calculatedColumnFormula>
    </tableColumn>
    <tableColumn id="7" xr3:uid="{69584925-DAB0-4BE4-BB5F-FE54186D117B}" name="SATIŞ TUTAR" dataDxfId="486" dataCellStyle="ParaBirimi">
      <calculatedColumnFormula>Tablo14567891011121314151617181920212223242526272829[[#This Row],[ADET]]*Tablo14567891011121314151617181920212223242526272829[[#This Row],[SATIŞ]]</calculatedColumnFormula>
    </tableColumn>
  </tableColumns>
  <tableStyleInfo name="TableStyleLight14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CBB6E967-1294-4F04-84DE-A7E105F6B792}" name="Tablo1456789101112131415161718192021222324252627282930" displayName="Tablo1456789101112131415161718192021222324252627282930" ref="B3:H10" totalsRowShown="0" headerRowDxfId="485" dataDxfId="484" headerRowCellStyle="ParaBirimi" dataCellStyle="ParaBirimi">
  <autoFilter ref="B3:H10" xr:uid="{A9C8FEF3-9C6A-4D38-9214-652106BB2993}"/>
  <tableColumns count="7">
    <tableColumn id="1" xr3:uid="{D22701A9-CC18-436C-AD70-F21F66B78D8D}" name="TARİH" dataDxfId="483"/>
    <tableColumn id="2" xr3:uid="{0F660C58-62FA-4593-A9CF-A387E0DB94CA}" name="ADET" dataDxfId="482"/>
    <tableColumn id="3" xr3:uid="{7EE885CF-68F1-41FF-8102-2A3A81574700}" name="ALIŞ" dataDxfId="481" dataCellStyle="ParaBirimi"/>
    <tableColumn id="4" xr3:uid="{5C052F8A-19AF-4E5D-9AB4-3FF330D23344}" name="SATIŞ" dataDxfId="480" dataCellStyle="ParaBirimi"/>
    <tableColumn id="5" xr3:uid="{3C84B82D-01FE-4E0E-8DC9-3ABAA506A19E}" name="KAR" dataDxfId="479" dataCellStyle="ParaBirimi">
      <calculatedColumnFormula>IF(Tablo1456789101112131415161718192021222324252627282930[[#This Row],[SATIŞ]]=0,"Açık",(E4-D4)*C4)</calculatedColumnFormula>
    </tableColumn>
    <tableColumn id="6" xr3:uid="{4671BDBE-B96F-40EE-A332-5EB795D87572}" name="ALIŞ TUTAR" dataDxfId="478" dataCellStyle="ParaBirimi">
      <calculatedColumnFormula>Tablo1456789101112131415161718192021222324252627282930[[#This Row],[ADET]]*Tablo1456789101112131415161718192021222324252627282930[[#This Row],[ALIŞ]]</calculatedColumnFormula>
    </tableColumn>
    <tableColumn id="7" xr3:uid="{D22F566E-CFC0-485A-AFB1-B6AB75AE3FDF}" name="SATIŞ TUTAR" dataDxfId="477" dataCellStyle="ParaBirimi">
      <calculatedColumnFormula>Tablo1456789101112131415161718192021222324252627282930[[#This Row],[ADET]]*Tablo1456789101112131415161718192021222324252627282930[[#This Row],[SATIŞ]]</calculatedColumnFormula>
    </tableColumn>
  </tableColumns>
  <tableStyleInfo name="TableStyleLight14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10500A3E-5F97-40A0-ABFB-CEB315C55287}" name="Tablo1456789101112131415161718192021222324252627282930313254" displayName="Tablo1456789101112131415161718192021222324252627282930313254" ref="B3:H53" totalsRowShown="0" headerRowDxfId="476" dataDxfId="475" headerRowCellStyle="ParaBirimi" dataCellStyle="ParaBirimi">
  <autoFilter ref="B3:H53" xr:uid="{A9C8FEF3-9C6A-4D38-9214-652106BB2993}">
    <filterColumn colId="4">
      <filters>
        <filter val="Açık"/>
      </filters>
    </filterColumn>
  </autoFilter>
  <tableColumns count="7">
    <tableColumn id="1" xr3:uid="{355CB3EF-7D1D-444A-BA87-51CA20BA373B}" name="TARİH" dataDxfId="474"/>
    <tableColumn id="2" xr3:uid="{C5ACC3E7-C615-41AF-A237-406AEEB07E87}" name="ADET" dataDxfId="473"/>
    <tableColumn id="3" xr3:uid="{FE284B01-211D-4DFF-9072-56C3D28E139B}" name="ALIŞ" dataDxfId="472" dataCellStyle="ParaBirimi"/>
    <tableColumn id="4" xr3:uid="{4F6FA99D-B89F-43ED-9D95-B43EBB3233BD}" name="SATIŞ" dataDxfId="471" dataCellStyle="ParaBirimi"/>
    <tableColumn id="5" xr3:uid="{73DB30B7-5F06-4551-8C8E-7CFA9EF331F0}" name="KAR" dataDxfId="470" dataCellStyle="ParaBirimi">
      <calculatedColumnFormula>IF(Tablo1456789101112131415161718192021222324252627282930313254[[#This Row],[SATIŞ]]=0,"Açık",(E4-D4)*C4)</calculatedColumnFormula>
    </tableColumn>
    <tableColumn id="6" xr3:uid="{F313C2B2-2689-45E7-A474-0EA444168E2C}" name="ALIŞ TUTAR" dataDxfId="469" dataCellStyle="ParaBirimi">
      <calculatedColumnFormula>Tablo1456789101112131415161718192021222324252627282930313254[[#This Row],[ADET]]*Tablo1456789101112131415161718192021222324252627282930313254[[#This Row],[ALIŞ]]</calculatedColumnFormula>
    </tableColumn>
    <tableColumn id="7" xr3:uid="{EE420C7E-8AEC-4293-97E7-D823EFADDAD9}" name="SATIŞ TUTAR" dataDxfId="468" dataCellStyle="ParaBirimi">
      <calculatedColumnFormula>Tablo1456789101112131415161718192021222324252627282930313254[[#This Row],[ADET]]*Tablo1456789101112131415161718192021222324252627282930313254[[#This Row],[SATIŞ]]</calculatedColumnFormula>
    </tableColumn>
  </tableColumns>
  <tableStyleInfo name="TableStyleLight14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4AC688C5-97A6-4D6C-9E19-A73F59874813}" name="Tablo145678910111213141516171819202122232425262728293031" displayName="Tablo145678910111213141516171819202122232425262728293031" ref="B3:H52" totalsRowShown="0" headerRowDxfId="467" dataDxfId="466" headerRowCellStyle="ParaBirimi" dataCellStyle="ParaBirimi">
  <autoFilter ref="B3:H52" xr:uid="{A9C8FEF3-9C6A-4D38-9214-652106BB2993}">
    <filterColumn colId="4">
      <filters>
        <filter val="Açık"/>
      </filters>
    </filterColumn>
  </autoFilter>
  <tableColumns count="7">
    <tableColumn id="1" xr3:uid="{8C5C14CB-2595-4C8A-B412-51E662F6F988}" name="TARİH" dataDxfId="465"/>
    <tableColumn id="2" xr3:uid="{7B028714-976F-473D-9183-4130D224003C}" name="ADET" dataDxfId="464"/>
    <tableColumn id="3" xr3:uid="{4BC34E75-8D09-4399-B578-514774B3DB53}" name="ALIŞ" dataDxfId="463" dataCellStyle="ParaBirimi"/>
    <tableColumn id="4" xr3:uid="{D9C84B40-4A8E-4BFB-85E8-782EB989F997}" name="SATIŞ" dataDxfId="462" dataCellStyle="ParaBirimi"/>
    <tableColumn id="5" xr3:uid="{65226D16-28AE-448E-AF59-883A67516E4C}" name="KAR" dataDxfId="461" dataCellStyle="ParaBirimi">
      <calculatedColumnFormula>IF(Tablo145678910111213141516171819202122232425262728293031[[#This Row],[SATIŞ]]=0,"Açık",(E4-D4)*C4)</calculatedColumnFormula>
    </tableColumn>
    <tableColumn id="6" xr3:uid="{ED25A133-49BC-4BC5-BF8C-0639FE046AD7}" name="ALIŞ TUTAR" dataDxfId="460" dataCellStyle="ParaBirimi">
      <calculatedColumnFormula>Tablo145678910111213141516171819202122232425262728293031[[#This Row],[ADET]]*Tablo145678910111213141516171819202122232425262728293031[[#This Row],[ALIŞ]]</calculatedColumnFormula>
    </tableColumn>
    <tableColumn id="7" xr3:uid="{9FBB0BF2-B4D8-4B09-A13B-AD5C061B6E99}" name="SATIŞ TUTAR" dataDxfId="459" dataCellStyle="ParaBirimi">
      <calculatedColumnFormula>Tablo145678910111213141516171819202122232425262728293031[[#This Row],[ADET]]*Tablo145678910111213141516171819202122232425262728293031[[#This Row],[SATIŞ]]</calculatedColumnFormula>
    </tableColumn>
  </tableColumns>
  <tableStyleInfo name="TableStyleLight14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BA522B8B-883A-4C1B-B811-BD5865509EBF}" name="Tablo14567891011121314151617181920212223242526272829303132" displayName="Tablo14567891011121314151617181920212223242526272829303132" ref="B3:H10" totalsRowShown="0" headerRowDxfId="458" dataDxfId="457" headerRowCellStyle="ParaBirimi" dataCellStyle="ParaBirimi">
  <autoFilter ref="B3:H10" xr:uid="{A9C8FEF3-9C6A-4D38-9214-652106BB2993}"/>
  <tableColumns count="7">
    <tableColumn id="1" xr3:uid="{F1D093C0-ABF8-4672-AA0C-BCA7600FB2D2}" name="TARİH" dataDxfId="456"/>
    <tableColumn id="2" xr3:uid="{ED05B955-EBE3-4364-9D79-F6AB07FDDBD3}" name="ADET" dataDxfId="455"/>
    <tableColumn id="3" xr3:uid="{A79968D7-805D-40BF-AAC3-FE7E0214B955}" name="ALIŞ" dataDxfId="454" dataCellStyle="ParaBirimi"/>
    <tableColumn id="4" xr3:uid="{05E63310-2DC5-4EC4-9F2A-41652D66A4B2}" name="SATIŞ" dataDxfId="453" dataCellStyle="ParaBirimi"/>
    <tableColumn id="5" xr3:uid="{99E50C3A-0045-4D20-9D34-853FE86D72FE}" name="KAR" dataDxfId="452" dataCellStyle="ParaBirimi">
      <calculatedColumnFormula>IF(Tablo14567891011121314151617181920212223242526272829303132[[#This Row],[SATIŞ]]=0,"Açık",(E4-D4)*C4)</calculatedColumnFormula>
    </tableColumn>
    <tableColumn id="6" xr3:uid="{FB696B3D-F77E-4AC6-B8B1-F61C963347FC}" name="ALIŞ TUTAR" dataDxfId="451" dataCellStyle="ParaBirimi">
      <calculatedColumnFormula>Tablo14567891011121314151617181920212223242526272829303132[[#This Row],[ADET]]*Tablo14567891011121314151617181920212223242526272829303132[[#This Row],[ALIŞ]]</calculatedColumnFormula>
    </tableColumn>
    <tableColumn id="7" xr3:uid="{9EA0441F-75CF-4DFF-A610-7481D2B3A4CE}" name="SATIŞ TUTAR" dataDxfId="450" dataCellStyle="ParaBirimi">
      <calculatedColumnFormula>Tablo14567891011121314151617181920212223242526272829303132[[#This Row],[ADET]]*Tablo14567891011121314151617181920212223242526272829303132[[#This Row],[SATIŞ]]</calculatedColumnFormula>
    </tableColumn>
  </tableColumns>
  <tableStyleInfo name="TableStyleLight14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B8B35BC6-6D0F-4864-B2E3-346A7F2A6E8A}" name="Tablo1456789101112131415161718192021222324252627282930313233" displayName="Tablo1456789101112131415161718192021222324252627282930313233" ref="B3:H33" totalsRowShown="0" headerRowDxfId="449" dataDxfId="448" headerRowCellStyle="ParaBirimi" dataCellStyle="ParaBirimi">
  <autoFilter ref="B3:H33" xr:uid="{A9C8FEF3-9C6A-4D38-9214-652106BB2993}">
    <filterColumn colId="4">
      <filters>
        <filter val="Açık"/>
      </filters>
    </filterColumn>
  </autoFilter>
  <tableColumns count="7">
    <tableColumn id="1" xr3:uid="{139B2838-881E-4090-89C2-4CACBCE24503}" name="TARİH" dataDxfId="447"/>
    <tableColumn id="2" xr3:uid="{1CABDB9C-C891-4924-B99E-77C947E9CA8B}" name="ADET" dataDxfId="446"/>
    <tableColumn id="3" xr3:uid="{32E7DE92-7A35-4500-9EEB-1E6CBBFA59EA}" name="ALIŞ" dataDxfId="445" dataCellStyle="ParaBirimi"/>
    <tableColumn id="4" xr3:uid="{5B95DEA7-6E33-4914-BBA5-02B8F83C35EB}" name="SATIŞ" dataDxfId="444" dataCellStyle="ParaBirimi"/>
    <tableColumn id="5" xr3:uid="{C83FFF10-7EE7-4022-96BA-688A92F7B1CA}" name="KAR" dataDxfId="443" dataCellStyle="ParaBirimi">
      <calculatedColumnFormula>IF(Tablo1456789101112131415161718192021222324252627282930313233[[#This Row],[SATIŞ]]=0,"Açık",(E4-D4)*C4)</calculatedColumnFormula>
    </tableColumn>
    <tableColumn id="6" xr3:uid="{51F457E7-B7ED-442D-9218-88558B610C6A}" name="ALIŞ TUTAR" dataDxfId="442" dataCellStyle="ParaBirimi">
      <calculatedColumnFormula>Tablo1456789101112131415161718192021222324252627282930313233[[#This Row],[ADET]]*Tablo1456789101112131415161718192021222324252627282930313233[[#This Row],[ALIŞ]]</calculatedColumnFormula>
    </tableColumn>
    <tableColumn id="7" xr3:uid="{6E9EB699-2E59-4FB9-BD6A-98549301BDA7}" name="SATIŞ TUTAR" dataDxfId="441" dataCellStyle="ParaBirimi">
      <calculatedColumnFormula>Tablo1456789101112131415161718192021222324252627282930313233[[#This Row],[ADET]]*Tablo1456789101112131415161718192021222324252627282930313233[[#This Row],[SATIŞ]]</calculatedColumnFormula>
    </tableColumn>
  </tableColumns>
  <tableStyleInfo name="TableStyleLight14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B1FE9984-E299-4C0C-9B2E-D64D63312F87}" name="Tablo145678910111213141516171819202122232425262728293031323334" displayName="Tablo145678910111213141516171819202122232425262728293031323334" ref="B3:H12" totalsRowShown="0" headerRowDxfId="440" dataDxfId="439" headerRowCellStyle="ParaBirimi" dataCellStyle="ParaBirimi">
  <autoFilter ref="B3:H12" xr:uid="{A9C8FEF3-9C6A-4D38-9214-652106BB2993}"/>
  <tableColumns count="7">
    <tableColumn id="1" xr3:uid="{9073EA0A-7C1F-4C9F-9A30-27ECB7F85729}" name="TARİH" dataDxfId="438"/>
    <tableColumn id="2" xr3:uid="{45D231D6-94D4-40F6-861C-6297B02A4DC2}" name="ADET" dataDxfId="437"/>
    <tableColumn id="3" xr3:uid="{DD0ADBA2-33FE-45AA-A440-948168B4FA0F}" name="ALIŞ" dataDxfId="436" dataCellStyle="ParaBirimi"/>
    <tableColumn id="4" xr3:uid="{4026FAAC-E3A6-45DF-B8B0-3DF6CCFE12B6}" name="SATIŞ" dataDxfId="435" dataCellStyle="ParaBirimi"/>
    <tableColumn id="5" xr3:uid="{40CEF3CB-33D8-4A80-9787-5106B9C7278B}" name="KAR" dataDxfId="434" dataCellStyle="ParaBirimi">
      <calculatedColumnFormula>IF(Tablo145678910111213141516171819202122232425262728293031323334[[#This Row],[SATIŞ]]=0,"Açık",(E4-D4)*C4)</calculatedColumnFormula>
    </tableColumn>
    <tableColumn id="6" xr3:uid="{A439D152-CD35-4E0D-A373-2B80A2DD1888}" name="ALIŞ TUTAR" dataDxfId="433" dataCellStyle="ParaBirimi">
      <calculatedColumnFormula>Tablo145678910111213141516171819202122232425262728293031323334[[#This Row],[ADET]]*Tablo145678910111213141516171819202122232425262728293031323334[[#This Row],[ALIŞ]]</calculatedColumnFormula>
    </tableColumn>
    <tableColumn id="7" xr3:uid="{0417381C-B01E-4A4A-AB0C-C534DD6F07D0}" name="SATIŞ TUTAR" dataDxfId="432" dataCellStyle="ParaBirimi">
      <calculatedColumnFormula>Tablo145678910111213141516171819202122232425262728293031323334[[#This Row],[ADET]]*Tablo145678910111213141516171819202122232425262728293031323334[[#This Row],[SATIŞ]]</calculatedColumnFormula>
    </tableColumn>
  </tableColumns>
  <tableStyleInfo name="TableStyleLight14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C0C8FA71-8593-4175-B12E-75F9A1E3965E}" name="Tablo14567891011121314151617181920212223242526272829303132333435" displayName="Tablo14567891011121314151617181920212223242526272829303132333435" ref="B3:H63" totalsRowShown="0" headerRowDxfId="431" dataDxfId="430" headerRowCellStyle="ParaBirimi" dataCellStyle="ParaBirimi">
  <autoFilter ref="B3:H63" xr:uid="{A9C8FEF3-9C6A-4D38-9214-652106BB2993}">
    <filterColumn colId="4">
      <filters>
        <filter val="Açık"/>
      </filters>
    </filterColumn>
  </autoFilter>
  <tableColumns count="7">
    <tableColumn id="1" xr3:uid="{29489D75-1267-4A91-B9AD-DE2080FFFE63}" name="TARİH" dataDxfId="429"/>
    <tableColumn id="2" xr3:uid="{692CCFD8-A409-4B03-9DFC-7B5B83161125}" name="ADET" dataDxfId="428"/>
    <tableColumn id="3" xr3:uid="{DEA471FE-7B0C-4170-AC83-40DDF9D6D937}" name="ALIŞ" dataDxfId="427" dataCellStyle="ParaBirimi"/>
    <tableColumn id="4" xr3:uid="{71E25CBA-5AEA-45DF-AEA8-CF998C932A1D}" name="SATIŞ" dataDxfId="426" dataCellStyle="ParaBirimi"/>
    <tableColumn id="5" xr3:uid="{B938C9A9-A080-4A0F-AC51-5D602633CB5A}" name="KAR" dataDxfId="425" dataCellStyle="ParaBirimi">
      <calculatedColumnFormula>IF(Tablo14567891011121314151617181920212223242526272829303132333435[[#This Row],[SATIŞ]]=0,"Açık",(E4-D4)*C4)</calculatedColumnFormula>
    </tableColumn>
    <tableColumn id="6" xr3:uid="{D96AA196-07C0-4683-B12A-B73442C41BA9}" name="ALIŞ TUTAR" dataDxfId="424" dataCellStyle="ParaBirimi">
      <calculatedColumnFormula>Tablo14567891011121314151617181920212223242526272829303132333435[[#This Row],[ADET]]*Tablo14567891011121314151617181920212223242526272829303132333435[[#This Row],[ALIŞ]]</calculatedColumnFormula>
    </tableColumn>
    <tableColumn id="7" xr3:uid="{8F2B542B-79B8-4801-8770-8E6141216C39}" name="SATIŞ TUTAR" dataDxfId="423" dataCellStyle="ParaBirimi">
      <calculatedColumnFormula>Tablo14567891011121314151617181920212223242526272829303132333435[[#This Row],[ADET]]*Tablo14567891011121314151617181920212223242526272829303132333435[[#This Row],[SATIŞ]]</calculatedColumnFormula>
    </tableColumn>
  </tableColumns>
  <tableStyleInfo name="TableStyleLight14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159FF3CF-A8B0-44CB-9847-352DA29938B1}" name="Tablo1456789101112131415161718192021222324252627282930313233343536" displayName="Tablo1456789101112131415161718192021222324252627282930313233343536" ref="B3:H69" totalsRowShown="0" headerRowDxfId="422" dataDxfId="421" headerRowCellStyle="ParaBirimi" dataCellStyle="ParaBirimi">
  <autoFilter ref="B3:H69" xr:uid="{A9C8FEF3-9C6A-4D38-9214-652106BB2993}">
    <filterColumn colId="4">
      <filters>
        <filter val="Açık"/>
      </filters>
    </filterColumn>
  </autoFilter>
  <tableColumns count="7">
    <tableColumn id="1" xr3:uid="{92E09B20-EF90-48DF-B59F-7460641F0F6A}" name="TARİH" dataDxfId="420"/>
    <tableColumn id="2" xr3:uid="{838C3168-FF9F-4436-947C-D12E66F7A27F}" name="ADET" dataDxfId="419"/>
    <tableColumn id="3" xr3:uid="{F6985849-2048-4A3B-973E-70089B7EFD37}" name="ALIŞ" dataDxfId="418" dataCellStyle="ParaBirimi"/>
    <tableColumn id="4" xr3:uid="{3D859BD8-36AA-4FCE-B202-DBAAACED4400}" name="SATIŞ" dataDxfId="417" dataCellStyle="ParaBirimi"/>
    <tableColumn id="5" xr3:uid="{E3B0221E-518A-47A1-8A2E-6F8A70D26012}" name="KAR" dataDxfId="416" dataCellStyle="ParaBirimi">
      <calculatedColumnFormula>IF(Tablo1456789101112131415161718192021222324252627282930313233343536[[#This Row],[SATIŞ]]=0,"Açık",(E4-D4)*C4)</calculatedColumnFormula>
    </tableColumn>
    <tableColumn id="6" xr3:uid="{AF90001F-0A2D-49DE-9F99-F6499580427F}" name="ALIŞ TUTAR" dataDxfId="415" dataCellStyle="ParaBirimi">
      <calculatedColumnFormula>Tablo1456789101112131415161718192021222324252627282930313233343536[[#This Row],[ADET]]*Tablo1456789101112131415161718192021222324252627282930313233343536[[#This Row],[ALIŞ]]</calculatedColumnFormula>
    </tableColumn>
    <tableColumn id="7" xr3:uid="{AC705A17-26CB-4A9B-9D0C-A201A92F99EA}" name="SATIŞ TUTAR" dataDxfId="414" dataCellStyle="ParaBirimi">
      <calculatedColumnFormula>Tablo1456789101112131415161718192021222324252627282930313233343536[[#This Row],[ADET]]*Tablo1456789101112131415161718192021222324252627282930313233343536[[#This Row],[SATIŞ]]</calculatedColumnFormula>
    </tableColumn>
  </tableColumns>
  <tableStyleInfo name="TableStyleLight14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C2719CA9-29DD-45C1-AD10-D91C6CB497B4}" name="Tablo14567891011121366" displayName="Tablo14567891011121366" ref="B3:H27" totalsRowShown="0" headerRowDxfId="413" dataDxfId="412" headerRowCellStyle="ParaBirimi" dataCellStyle="ParaBirimi">
  <autoFilter ref="B3:H27" xr:uid="{A9C8FEF3-9C6A-4D38-9214-652106BB2993}">
    <filterColumn colId="4">
      <filters>
        <filter val="Açık"/>
      </filters>
    </filterColumn>
  </autoFilter>
  <tableColumns count="7">
    <tableColumn id="1" xr3:uid="{C1CCFEDB-256A-4478-9B96-FA0F05BF6698}" name="TARİH" dataDxfId="411"/>
    <tableColumn id="2" xr3:uid="{0650E07D-9FF0-42FF-A7D9-1D216AE63392}" name="ADET" dataDxfId="410"/>
    <tableColumn id="3" xr3:uid="{39B606A3-9D20-4D69-89FB-13C213443402}" name="ALIŞ" dataDxfId="409" dataCellStyle="ParaBirimi"/>
    <tableColumn id="4" xr3:uid="{7E2EE041-91C8-4174-B6AA-A6D2EEAA2F89}" name="SATIŞ" dataDxfId="408" dataCellStyle="ParaBirimi"/>
    <tableColumn id="5" xr3:uid="{F48090EB-5B44-40F3-8CF7-5EB5A56BB674}" name="KAR" dataDxfId="407" dataCellStyle="ParaBirimi">
      <calculatedColumnFormula>IF(Tablo14567891011121366[[#This Row],[SATIŞ]]=0,"Açık",(E4-D4)*C4)</calculatedColumnFormula>
    </tableColumn>
    <tableColumn id="6" xr3:uid="{DFEBDE08-AEA0-4FFA-B7C5-EBF2A432F36E}" name="ALIŞ TUTAR" dataDxfId="406" dataCellStyle="ParaBirimi">
      <calculatedColumnFormula>Tablo14567891011121366[[#This Row],[ADET]]*Tablo14567891011121366[[#This Row],[ALIŞ]]</calculatedColumnFormula>
    </tableColumn>
    <tableColumn id="7" xr3:uid="{5E9D869C-9AE4-488A-97F0-8C0778832CE8}" name="SATIŞ TUTAR" dataDxfId="405" dataCellStyle="ParaBirimi">
      <calculatedColumnFormula>Tablo14567891011121366[[#This Row],[ADET]]*Tablo14567891011121366[[#This Row],[SATIŞ]]</calculatedColumnFormula>
    </tableColumn>
  </tableColumns>
  <tableStyleInfo name="TableStyleLight14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4AA6C22E-8F2C-41DB-9342-B64F9926FAFD}" name="Tablo145678910111213141516171819202122232425262728293031323334353637" displayName="Tablo145678910111213141516171819202122232425262728293031323334353637" ref="B3:H34" totalsRowShown="0" headerRowDxfId="404" dataDxfId="403" headerRowCellStyle="ParaBirimi" dataCellStyle="ParaBirimi">
  <autoFilter ref="B3:H34" xr:uid="{A9C8FEF3-9C6A-4D38-9214-652106BB2993}">
    <filterColumn colId="4">
      <filters>
        <filter val="Açık"/>
      </filters>
    </filterColumn>
  </autoFilter>
  <tableColumns count="7">
    <tableColumn id="1" xr3:uid="{FB54400C-4331-4815-A849-509053B44585}" name="TARİH" dataDxfId="402"/>
    <tableColumn id="2" xr3:uid="{FF3B4ED9-78B8-481D-A07C-75CB2A959538}" name="ADET" dataDxfId="401"/>
    <tableColumn id="3" xr3:uid="{FFF91909-843A-4749-B8AD-F9B173072D6B}" name="ALIŞ" dataDxfId="400" dataCellStyle="ParaBirimi"/>
    <tableColumn id="4" xr3:uid="{78E88A3D-7F67-461E-9C9A-E80AB34BBC96}" name="SATIŞ" dataDxfId="399" dataCellStyle="ParaBirimi"/>
    <tableColumn id="5" xr3:uid="{432E0923-B810-47A1-B0EF-50EFF9E832ED}" name="KAR" dataDxfId="398" dataCellStyle="ParaBirimi">
      <calculatedColumnFormula>IF(Tablo145678910111213141516171819202122232425262728293031323334353637[[#This Row],[SATIŞ]]=0,"Açık",(E4-D4)*C4)</calculatedColumnFormula>
    </tableColumn>
    <tableColumn id="6" xr3:uid="{D999F6B4-69E5-4712-A4BE-D0E2618E65ED}" name="ALIŞ TUTAR" dataDxfId="397" dataCellStyle="ParaBirimi">
      <calculatedColumnFormula>Tablo145678910111213141516171819202122232425262728293031323334353637[[#This Row],[ADET]]*Tablo145678910111213141516171819202122232425262728293031323334353637[[#This Row],[ALIŞ]]</calculatedColumnFormula>
    </tableColumn>
    <tableColumn id="7" xr3:uid="{9012FB6D-A873-4FCA-9093-EB7CC66ABD3E}" name="SATIŞ TUTAR" dataDxfId="396" dataCellStyle="ParaBirimi">
      <calculatedColumnFormula>Tablo145678910111213141516171819202122232425262728293031323334353637[[#This Row],[ADET]]*Tablo145678910111213141516171819202122232425262728293031323334353637[[#This Row],[SATIŞ]]</calculatedColumnFormula>
    </tableColumn>
  </tableColumns>
  <tableStyleInfo name="TableStyleLight14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C0A3A62B-0354-4C43-83D4-0F32008CF0BA}" name="Tablo158" displayName="Tablo158" ref="B3:H23" totalsRowShown="0" headerRowDxfId="395" dataDxfId="394" headerRowCellStyle="ParaBirimi" dataCellStyle="ParaBirimi">
  <autoFilter ref="B3:H23" xr:uid="{A9C8FEF3-9C6A-4D38-9214-652106BB2993}"/>
  <tableColumns count="7">
    <tableColumn id="1" xr3:uid="{9B416714-7F41-40A5-A562-91B13DF79F69}" name="TARİH" dataDxfId="393"/>
    <tableColumn id="2" xr3:uid="{43DDB82A-E6B3-4077-B566-511BF6B37F88}" name="ADET" dataDxfId="392"/>
    <tableColumn id="3" xr3:uid="{69857929-C573-457D-A6BF-FF10210DCE6D}" name="ALIŞ" dataDxfId="391" dataCellStyle="ParaBirimi"/>
    <tableColumn id="4" xr3:uid="{8751484C-2F6D-4385-833A-94AE69B77762}" name="SATIŞ" dataDxfId="390" dataCellStyle="ParaBirimi"/>
    <tableColumn id="5" xr3:uid="{C3137091-02D4-49C2-8711-9710F3B5692D}" name="KAR" dataDxfId="389" dataCellStyle="ParaBirimi">
      <calculatedColumnFormula>IF(Tablo158[[#This Row],[SATIŞ]]=0,"Açık",(E4-D4)*C4)</calculatedColumnFormula>
    </tableColumn>
    <tableColumn id="6" xr3:uid="{1FADBEAB-06C2-4C9B-80CE-C1367F2D859D}" name="ALIŞ TUTAR" dataDxfId="388" dataCellStyle="ParaBirimi">
      <calculatedColumnFormula>Tablo158[[#This Row],[ADET]]*Tablo158[[#This Row],[ALIŞ]]</calculatedColumnFormula>
    </tableColumn>
    <tableColumn id="7" xr3:uid="{BE185687-D8EC-4ED0-8138-92C3EF637EA0}" name="SATIŞ TUTAR" dataDxfId="387" dataCellStyle="ParaBirimi">
      <calculatedColumnFormula>Tablo158[[#This Row],[ADET]]*Tablo158[[#This Row],[SATIŞ]]</calculatedColumnFormula>
    </tableColumn>
  </tableColumns>
  <tableStyleInfo name="TableStyleLight14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922858AC-5413-44CD-941C-CAA13C915691}" name="Tablo14567891011121314151617181920212223242526272829303132333435363738" displayName="Tablo14567891011121314151617181920212223242526272829303132333435363738" ref="B3:H34" totalsRowShown="0" headerRowDxfId="386" dataDxfId="385" headerRowCellStyle="ParaBirimi" dataCellStyle="ParaBirimi">
  <autoFilter ref="B3:H34" xr:uid="{A9C8FEF3-9C6A-4D38-9214-652106BB2993}">
    <filterColumn colId="4">
      <filters>
        <filter val="Açık"/>
      </filters>
    </filterColumn>
  </autoFilter>
  <tableColumns count="7">
    <tableColumn id="1" xr3:uid="{48CC7709-B2FD-4594-93DC-39029616D490}" name="TARİH" dataDxfId="384"/>
    <tableColumn id="2" xr3:uid="{A0D73723-607A-46B4-B116-80A504AE92B1}" name="ADET" dataDxfId="383"/>
    <tableColumn id="3" xr3:uid="{66918ADD-4B92-4029-8D15-D8BA5789E9CE}" name="ALIŞ" dataDxfId="382" dataCellStyle="ParaBirimi"/>
    <tableColumn id="4" xr3:uid="{28433F05-2230-47D8-B112-D16A250677B6}" name="SATIŞ" dataDxfId="381" dataCellStyle="ParaBirimi"/>
    <tableColumn id="5" xr3:uid="{376373A9-5D9E-4424-A4C3-BA7C07262A48}" name="KAR" dataDxfId="380" dataCellStyle="ParaBirimi">
      <calculatedColumnFormula>IF(Tablo14567891011121314151617181920212223242526272829303132333435363738[[#This Row],[SATIŞ]]=0,"Açık",(E4-D4)*C4)</calculatedColumnFormula>
    </tableColumn>
    <tableColumn id="6" xr3:uid="{C862F73C-BD02-4AD7-A504-451BAB9EE6DC}" name="ALIŞ TUTAR" dataDxfId="379" dataCellStyle="ParaBirimi">
      <calculatedColumnFormula>Tablo14567891011121314151617181920212223242526272829303132333435363738[[#This Row],[ADET]]*Tablo14567891011121314151617181920212223242526272829303132333435363738[[#This Row],[ALIŞ]]</calculatedColumnFormula>
    </tableColumn>
    <tableColumn id="7" xr3:uid="{5DB6F788-1E12-41D5-AE51-F7D2AADE3336}" name="SATIŞ TUTAR" dataDxfId="378" dataCellStyle="ParaBirimi">
      <calculatedColumnFormula>Tablo14567891011121314151617181920212223242526272829303132333435363738[[#This Row],[ADET]]*Tablo14567891011121314151617181920212223242526272829303132333435363738[[#This Row],[SATIŞ]]</calculatedColumnFormula>
    </tableColumn>
  </tableColumns>
  <tableStyleInfo name="TableStyleLight14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69A81D76-D02E-40EE-9947-02735073F491}" name="Tablo1456789101112131415161718192021222324252627282930313233343536373839" displayName="Tablo1456789101112131415161718192021222324252627282930313233343536373839" ref="B3:H23" totalsRowShown="0" headerRowDxfId="377" dataDxfId="376" headerRowCellStyle="ParaBirimi" dataCellStyle="ParaBirimi">
  <autoFilter ref="B3:H23" xr:uid="{A9C8FEF3-9C6A-4D38-9214-652106BB2993}">
    <filterColumn colId="4">
      <filters>
        <filter val="Açık"/>
      </filters>
    </filterColumn>
  </autoFilter>
  <tableColumns count="7">
    <tableColumn id="1" xr3:uid="{785E89E3-AA1C-4B29-88B0-08344371BBC5}" name="TARİH" dataDxfId="375"/>
    <tableColumn id="2" xr3:uid="{388EA31B-88B8-420B-B7AE-E3EA847D2408}" name="ADET" dataDxfId="374"/>
    <tableColumn id="3" xr3:uid="{DE3B33CA-BEC2-4193-B254-BC63D7E228B8}" name="ALIŞ" dataDxfId="373" dataCellStyle="ParaBirimi"/>
    <tableColumn id="4" xr3:uid="{DEA40B71-E6E3-42EC-86D4-A658AF8632CC}" name="SATIŞ" dataDxfId="372" dataCellStyle="ParaBirimi"/>
    <tableColumn id="5" xr3:uid="{6BC4612D-D81F-4B24-857B-31E5487F3A07}" name="KAR" dataDxfId="371" dataCellStyle="ParaBirimi">
      <calculatedColumnFormula>IF(Tablo1456789101112131415161718192021222324252627282930313233343536373839[[#This Row],[SATIŞ]]=0,"Açık",(E4-D4)*C4)</calculatedColumnFormula>
    </tableColumn>
    <tableColumn id="6" xr3:uid="{D403A894-ABA6-443F-A54B-0A6DCBA9B438}" name="ALIŞ TUTAR" dataDxfId="370" dataCellStyle="ParaBirimi">
      <calculatedColumnFormula>Tablo1456789101112131415161718192021222324252627282930313233343536373839[[#This Row],[ADET]]*Tablo1456789101112131415161718192021222324252627282930313233343536373839[[#This Row],[ALIŞ]]</calculatedColumnFormula>
    </tableColumn>
    <tableColumn id="7" xr3:uid="{25816849-2B57-4906-9C8F-10477E482A21}" name="SATIŞ TUTAR" dataDxfId="369" dataCellStyle="ParaBirimi">
      <calculatedColumnFormula>Tablo1456789101112131415161718192021222324252627282930313233343536373839[[#This Row],[ADET]]*Tablo1456789101112131415161718192021222324252627282930313233343536373839[[#This Row],[SATIŞ]]</calculatedColumnFormula>
    </tableColumn>
  </tableColumns>
  <tableStyleInfo name="TableStyleLight14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D14FF6A2-09A9-40DE-B73E-C65F9F733C0D}" name="Tablo145678910111213141516171819202122232425262728293031323334353637383940" displayName="Tablo145678910111213141516171819202122232425262728293031323334353637383940" ref="B3:H10" totalsRowShown="0" headerRowDxfId="368" dataDxfId="367" headerRowCellStyle="ParaBirimi" dataCellStyle="ParaBirimi">
  <autoFilter ref="B3:H10" xr:uid="{A9C8FEF3-9C6A-4D38-9214-652106BB2993}"/>
  <tableColumns count="7">
    <tableColumn id="1" xr3:uid="{EAC99BB7-8F55-4594-A014-77572F2BAE9A}" name="TARİH" dataDxfId="366"/>
    <tableColumn id="2" xr3:uid="{F869DA00-0F5C-4AD7-9FED-8A4AE460D546}" name="ADET" dataDxfId="365"/>
    <tableColumn id="3" xr3:uid="{DDF0BE85-8AE2-4109-9000-D739AE26FF37}" name="ALIŞ" dataDxfId="364" dataCellStyle="ParaBirimi"/>
    <tableColumn id="4" xr3:uid="{59A8ECDF-FC23-4306-84C2-5091E09200EA}" name="SATIŞ" dataDxfId="363" dataCellStyle="ParaBirimi"/>
    <tableColumn id="5" xr3:uid="{6003A3A7-1A57-40B9-94C2-8793AAC2CBC4}" name="KAR" dataDxfId="362" dataCellStyle="ParaBirimi">
      <calculatedColumnFormula>IF(Tablo145678910111213141516171819202122232425262728293031323334353637383940[[#This Row],[SATIŞ]]=0,"Açık",(E4-D4)*C4)</calculatedColumnFormula>
    </tableColumn>
    <tableColumn id="6" xr3:uid="{8F5C20C0-F018-4596-AC41-AEBA616A9942}" name="ALIŞ TUTAR" dataDxfId="361" dataCellStyle="ParaBirimi">
      <calculatedColumnFormula>Tablo145678910111213141516171819202122232425262728293031323334353637383940[[#This Row],[ADET]]*Tablo145678910111213141516171819202122232425262728293031323334353637383940[[#This Row],[ALIŞ]]</calculatedColumnFormula>
    </tableColumn>
    <tableColumn id="7" xr3:uid="{9CEBCE02-B3F7-4D3F-92E1-DBE475493EF1}" name="SATIŞ TUTAR" dataDxfId="360" dataCellStyle="ParaBirimi">
      <calculatedColumnFormula>Tablo145678910111213141516171819202122232425262728293031323334353637383940[[#This Row],[ADET]]*Tablo145678910111213141516171819202122232425262728293031323334353637383940[[#This Row],[SATIŞ]]</calculatedColumnFormula>
    </tableColumn>
  </tableColumns>
  <tableStyleInfo name="TableStyleLight14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1E9DE7F7-60D3-4A61-B962-74638BEFED10}" name="Tablo14567891011121314151617181920212223242526272829303132333435363738394041" displayName="Tablo14567891011121314151617181920212223242526272829303132333435363738394041" ref="B3:H285" totalsRowShown="0" headerRowDxfId="359" dataDxfId="358" headerRowCellStyle="ParaBirimi" dataCellStyle="ParaBirimi">
  <autoFilter ref="B3:H285" xr:uid="{A9C8FEF3-9C6A-4D38-9214-652106BB2993}">
    <filterColumn colId="4">
      <filters>
        <filter val="Açık"/>
      </filters>
    </filterColumn>
  </autoFilter>
  <tableColumns count="7">
    <tableColumn id="1" xr3:uid="{8441308E-844C-4D78-8A6F-D11C3CC4030E}" name="TARİH" dataDxfId="357"/>
    <tableColumn id="2" xr3:uid="{1F1F7E32-4691-496D-AAA2-CA48F4A5C6E0}" name="ADET" dataDxfId="356"/>
    <tableColumn id="3" xr3:uid="{899C2C6D-01BD-4E3C-B04E-76A17EA08028}" name="ALIŞ" dataDxfId="355" dataCellStyle="ParaBirimi"/>
    <tableColumn id="4" xr3:uid="{4E5BAAA4-EAFF-4A73-B87C-8572E8D6893B}" name="SATIŞ" dataDxfId="354" dataCellStyle="ParaBirimi"/>
    <tableColumn id="5" xr3:uid="{EED13CD6-B5E2-461B-901C-49657CAE398C}" name="KAR" dataDxfId="353" dataCellStyle="ParaBirimi">
      <calculatedColumnFormula>IF(Tablo14567891011121314151617181920212223242526272829303132333435363738394041[[#This Row],[SATIŞ]]=0,"Açık",(E4-D4)*C4)</calculatedColumnFormula>
    </tableColumn>
    <tableColumn id="6" xr3:uid="{D0E83061-D62F-4ADE-957F-4BD78391120B}" name="ALIŞ TUTAR" dataDxfId="352" dataCellStyle="ParaBirimi">
      <calculatedColumnFormula>Tablo14567891011121314151617181920212223242526272829303132333435363738394041[[#This Row],[ADET]]*Tablo14567891011121314151617181920212223242526272829303132333435363738394041[[#This Row],[ALIŞ]]</calculatedColumnFormula>
    </tableColumn>
    <tableColumn id="7" xr3:uid="{E06ABA0A-F411-4A75-9039-63100BA6C5AE}" name="SATIŞ TUTAR" dataDxfId="351" dataCellStyle="ParaBirimi">
      <calculatedColumnFormula>Tablo14567891011121314151617181920212223242526272829303132333435363738394041[[#This Row],[ADET]]*Tablo14567891011121314151617181920212223242526272829303132333435363738394041[[#This Row],[SATIŞ]]</calculatedColumnFormula>
    </tableColumn>
  </tableColumns>
  <tableStyleInfo name="TableStyleLight14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038BF996-4A4B-407B-981A-08929E9D41B3}" name="Tablo1456789101112131415161718192021222324252627282930313233343536373839404142" displayName="Tablo1456789101112131415161718192021222324252627282930313233343536373839404142" ref="B3:H115" totalsRowShown="0" headerRowDxfId="350" dataDxfId="349" headerRowCellStyle="ParaBirimi" dataCellStyle="ParaBirimi">
  <autoFilter ref="B3:H115" xr:uid="{A9C8FEF3-9C6A-4D38-9214-652106BB2993}">
    <filterColumn colId="4">
      <filters>
        <filter val="Açık"/>
      </filters>
    </filterColumn>
  </autoFilter>
  <tableColumns count="7">
    <tableColumn id="1" xr3:uid="{DCED8271-B464-4B3F-9E4B-05BA5B7AEBF3}" name="TARİH" dataDxfId="348"/>
    <tableColumn id="2" xr3:uid="{AADEE214-7BF9-4807-AD40-426797E5150D}" name="ADET" dataDxfId="347"/>
    <tableColumn id="3" xr3:uid="{0F00E076-FC68-442B-9DC4-90A8DE08F882}" name="ALIŞ" dataDxfId="346" dataCellStyle="ParaBirimi"/>
    <tableColumn id="4" xr3:uid="{5074D42C-97BD-4867-900F-33EB29D72957}" name="SATIŞ" dataDxfId="345" dataCellStyle="ParaBirimi"/>
    <tableColumn id="5" xr3:uid="{58180506-A43A-41E2-A830-BB317C82A2E4}" name="KAR" dataDxfId="344" dataCellStyle="ParaBirimi">
      <calculatedColumnFormula>IF(Tablo1456789101112131415161718192021222324252627282930313233343536373839404142[[#This Row],[SATIŞ]]=0,"Açık",(E4-D4)*C4)</calculatedColumnFormula>
    </tableColumn>
    <tableColumn id="6" xr3:uid="{9B67264B-D359-4C58-B52F-54EB87F2FD9F}" name="ALIŞ TUTAR" dataDxfId="343" dataCellStyle="ParaBirimi">
      <calculatedColumnFormula>Tablo1456789101112131415161718192021222324252627282930313233343536373839404142[[#This Row],[ADET]]*Tablo1456789101112131415161718192021222324252627282930313233343536373839404142[[#This Row],[ALIŞ]]</calculatedColumnFormula>
    </tableColumn>
    <tableColumn id="7" xr3:uid="{088258DB-EB3C-4210-965E-42C5BBF5A3A0}" name="SATIŞ TUTAR" dataDxfId="342" dataCellStyle="ParaBirimi">
      <calculatedColumnFormula>Tablo1456789101112131415161718192021222324252627282930313233343536373839404142[[#This Row],[ADET]]*Tablo1456789101112131415161718192021222324252627282930313233343536373839404142[[#This Row],[SATIŞ]]</calculatedColumnFormula>
    </tableColumn>
  </tableColumns>
  <tableStyleInfo name="TableStyleLight14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039D2B18-F61A-4A74-A469-90C6A0C5C898}" name="Tablo145678910111213141516171819202122232425262728293031323334353637383940414243" displayName="Tablo145678910111213141516171819202122232425262728293031323334353637383940414243" ref="B3:H51" totalsRowShown="0" headerRowDxfId="341" dataDxfId="340" headerRowCellStyle="ParaBirimi" dataCellStyle="ParaBirimi">
  <autoFilter ref="B3:H51" xr:uid="{A9C8FEF3-9C6A-4D38-9214-652106BB2993}">
    <filterColumn colId="4">
      <filters>
        <filter val="Açık"/>
      </filters>
    </filterColumn>
  </autoFilter>
  <tableColumns count="7">
    <tableColumn id="1" xr3:uid="{E0D1D402-71C3-4E9D-9708-8FE8E8FA985A}" name="TARİH" dataDxfId="339"/>
    <tableColumn id="2" xr3:uid="{83DBD610-FC72-49E0-A9B8-4F7C4EFEF072}" name="ADET" dataDxfId="338"/>
    <tableColumn id="3" xr3:uid="{54147829-01A8-4F02-A085-7237D041625F}" name="ALIŞ" dataDxfId="337" dataCellStyle="ParaBirimi"/>
    <tableColumn id="4" xr3:uid="{C42407FC-EC0E-4EBE-A13F-177632D5E537}" name="SATIŞ" dataDxfId="336" dataCellStyle="ParaBirimi"/>
    <tableColumn id="5" xr3:uid="{664F9945-3B3A-43B9-A967-21CFE8C66D23}" name="KAR" dataDxfId="335" dataCellStyle="ParaBirimi">
      <calculatedColumnFormula>IF(Tablo145678910111213141516171819202122232425262728293031323334353637383940414243[[#This Row],[SATIŞ]]=0,"Açık",(E4-D4)*C4)</calculatedColumnFormula>
    </tableColumn>
    <tableColumn id="6" xr3:uid="{2353384D-FD02-4843-822C-31177629B511}" name="ALIŞ TUTAR" dataDxfId="334" dataCellStyle="ParaBirimi">
      <calculatedColumnFormula>Tablo145678910111213141516171819202122232425262728293031323334353637383940414243[[#This Row],[ADET]]*Tablo145678910111213141516171819202122232425262728293031323334353637383940414243[[#This Row],[ALIŞ]]</calculatedColumnFormula>
    </tableColumn>
    <tableColumn id="7" xr3:uid="{BD312D20-0A06-4730-A802-A0AD823426B0}" name="SATIŞ TUTAR" dataDxfId="333" dataCellStyle="ParaBirimi">
      <calculatedColumnFormula>Tablo145678910111213141516171819202122232425262728293031323334353637383940414243[[#This Row],[ADET]]*Tablo145678910111213141516171819202122232425262728293031323334353637383940414243[[#This Row],[SATIŞ]]</calculatedColumnFormula>
    </tableColumn>
  </tableColumns>
  <tableStyleInfo name="TableStyleLight14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7D80BF43-13DB-4D01-9C1F-84988D33B2F0}" name="Tablo14567891011121314151617181920212223242526272829303132333435363738394041424344" displayName="Tablo14567891011121314151617181920212223242526272829303132333435363738394041424344" ref="B3:H38" totalsRowShown="0" headerRowDxfId="332" dataDxfId="331" headerRowCellStyle="ParaBirimi" dataCellStyle="ParaBirimi">
  <autoFilter ref="B3:H38" xr:uid="{A9C8FEF3-9C6A-4D38-9214-652106BB2993}">
    <filterColumn colId="4">
      <filters>
        <filter val="Açık"/>
      </filters>
    </filterColumn>
  </autoFilter>
  <tableColumns count="7">
    <tableColumn id="1" xr3:uid="{81D6FF5D-DA38-4A8D-9CCF-BAE883A3A9E0}" name="TARİH" dataDxfId="330"/>
    <tableColumn id="2" xr3:uid="{57AD34DB-4985-4364-8B68-3A9AA6642925}" name="ADET" dataDxfId="329"/>
    <tableColumn id="3" xr3:uid="{7F4C4D40-60C6-4892-81B3-ED5B8AA51F55}" name="ALIŞ" dataDxfId="328" dataCellStyle="ParaBirimi"/>
    <tableColumn id="4" xr3:uid="{ABBF8016-2B0F-497F-B0F9-F8ABEB212168}" name="SATIŞ" dataDxfId="327" dataCellStyle="ParaBirimi"/>
    <tableColumn id="5" xr3:uid="{2F5F852B-2B7D-4112-AB06-C5E912C440B0}" name="KAR" dataDxfId="326" dataCellStyle="ParaBirimi">
      <calculatedColumnFormula>IF(Tablo14567891011121314151617181920212223242526272829303132333435363738394041424344[[#This Row],[SATIŞ]]=0,"Açık",(E4-D4)*C4)</calculatedColumnFormula>
    </tableColumn>
    <tableColumn id="6" xr3:uid="{6DB96DA1-BA3D-4CE1-8BA4-C8F9AAC810CA}" name="ALIŞ TUTAR" dataDxfId="325" dataCellStyle="ParaBirimi">
      <calculatedColumnFormula>Tablo14567891011121314151617181920212223242526272829303132333435363738394041424344[[#This Row],[ADET]]*Tablo14567891011121314151617181920212223242526272829303132333435363738394041424344[[#This Row],[ALIŞ]]</calculatedColumnFormula>
    </tableColumn>
    <tableColumn id="7" xr3:uid="{5EECCC6E-5FD3-4764-A0A6-1C08669C8B0F}" name="SATIŞ TUTAR" dataDxfId="324" dataCellStyle="ParaBirimi">
      <calculatedColumnFormula>Tablo14567891011121314151617181920212223242526272829303132333435363738394041424344[[#This Row],[ADET]]*Tablo14567891011121314151617181920212223242526272829303132333435363738394041424344[[#This Row],[SATIŞ]]</calculatedColumnFormula>
    </tableColumn>
  </tableColumns>
  <tableStyleInfo name="TableStyleLight14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DE8DCDDF-548A-4DE3-8D84-3170AFE879BD}" name="Tablo1456789101112131415161718192021222324252627282930313233343536373839404142434445" displayName="Tablo1456789101112131415161718192021222324252627282930313233343536373839404142434445" ref="B3:H30" totalsRowShown="0" headerRowDxfId="323" dataDxfId="322" headerRowCellStyle="ParaBirimi" dataCellStyle="ParaBirimi">
  <autoFilter ref="B3:H30" xr:uid="{A9C8FEF3-9C6A-4D38-9214-652106BB2993}">
    <filterColumn colId="4">
      <filters>
        <filter val="Açık"/>
      </filters>
    </filterColumn>
  </autoFilter>
  <tableColumns count="7">
    <tableColumn id="1" xr3:uid="{F44EB272-289A-4D39-BAAA-9D6486406BF1}" name="TARİH" dataDxfId="321"/>
    <tableColumn id="2" xr3:uid="{A9E58F58-6E44-4FD8-BBEA-E0E0008558B4}" name="ADET" dataDxfId="320"/>
    <tableColumn id="3" xr3:uid="{FC6A9B92-27E7-4735-BED9-295EEEC4DB22}" name="ALIŞ" dataDxfId="319" dataCellStyle="ParaBirimi"/>
    <tableColumn id="4" xr3:uid="{7B9AAEEF-687C-414E-A549-2C407AC23FD4}" name="SATIŞ" dataDxfId="318" dataCellStyle="ParaBirimi"/>
    <tableColumn id="5" xr3:uid="{2DC16FD4-0978-4E23-863B-9A34AEC5E90A}" name="KAR" dataDxfId="317" dataCellStyle="ParaBirimi">
      <calculatedColumnFormula>IF(Tablo1456789101112131415161718192021222324252627282930313233343536373839404142434445[[#This Row],[SATIŞ]]=0,"Açık",(E4-D4)*C4)</calculatedColumnFormula>
    </tableColumn>
    <tableColumn id="6" xr3:uid="{7A894E14-2998-42B5-B266-4E6AD020414A}" name="ALIŞ TUTAR" dataDxfId="316" dataCellStyle="ParaBirimi">
      <calculatedColumnFormula>Tablo1456789101112131415161718192021222324252627282930313233343536373839404142434445[[#This Row],[ADET]]*Tablo1456789101112131415161718192021222324252627282930313233343536373839404142434445[[#This Row],[ALIŞ]]</calculatedColumnFormula>
    </tableColumn>
    <tableColumn id="7" xr3:uid="{096E41BC-31A0-459F-B8B3-A7E2F880E5CC}" name="SATIŞ TUTAR" dataDxfId="315" dataCellStyle="ParaBirimi">
      <calculatedColumnFormula>Tablo1456789101112131415161718192021222324252627282930313233343536373839404142434445[[#This Row],[ADET]]*Tablo1456789101112131415161718192021222324252627282930313233343536373839404142434445[[#This Row],[SATIŞ]]</calculatedColumnFormula>
    </tableColumn>
  </tableColumns>
  <tableStyleInfo name="TableStyleLight14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5923BEE4-2CB7-4F9F-968A-F5E61B4BB19D}" name="Tablo145678910111213141516171819202122232425262728293031323334353637383940414243444546" displayName="Tablo145678910111213141516171819202122232425262728293031323334353637383940414243444546" ref="B3:H70" totalsRowShown="0" headerRowDxfId="314" dataDxfId="313" headerRowCellStyle="ParaBirimi" dataCellStyle="ParaBirimi">
  <autoFilter ref="B3:H70" xr:uid="{A9C8FEF3-9C6A-4D38-9214-652106BB2993}">
    <filterColumn colId="4">
      <filters>
        <filter val="Açık"/>
      </filters>
    </filterColumn>
  </autoFilter>
  <tableColumns count="7">
    <tableColumn id="1" xr3:uid="{6B3A4C75-2CEF-4425-B2FB-0B7B8673E8F2}" name="TARİH" dataDxfId="312"/>
    <tableColumn id="2" xr3:uid="{6E79C852-831F-4DE3-B443-8CF8CF81CD0E}" name="ADET" dataDxfId="311"/>
    <tableColumn id="3" xr3:uid="{76373CEE-2172-4398-88E7-D0811FA397BA}" name="ALIŞ" dataDxfId="310" dataCellStyle="ParaBirimi"/>
    <tableColumn id="4" xr3:uid="{E925F268-23E4-449A-9FD7-C0326A601A21}" name="SATIŞ" dataDxfId="309" dataCellStyle="ParaBirimi"/>
    <tableColumn id="5" xr3:uid="{E3A66BD2-C079-4A8F-90A2-DF6BEF6449EB}" name="KAR" dataDxfId="308" dataCellStyle="ParaBirimi">
      <calculatedColumnFormula>IF(Tablo145678910111213141516171819202122232425262728293031323334353637383940414243444546[[#This Row],[SATIŞ]]=0,"Açık",(E4-D4)*C4)</calculatedColumnFormula>
    </tableColumn>
    <tableColumn id="6" xr3:uid="{754C0716-1AB5-467A-A500-4B3E6080DD04}" name="ALIŞ TUTAR" dataDxfId="307" dataCellStyle="ParaBirimi">
      <calculatedColumnFormula>Tablo145678910111213141516171819202122232425262728293031323334353637383940414243444546[[#This Row],[ADET]]*Tablo145678910111213141516171819202122232425262728293031323334353637383940414243444546[[#This Row],[ALIŞ]]</calculatedColumnFormula>
    </tableColumn>
    <tableColumn id="7" xr3:uid="{BF126957-3EB1-4E4D-B2CD-D508189DA67F}" name="SATIŞ TUTAR" dataDxfId="306" dataCellStyle="ParaBirimi">
      <calculatedColumnFormula>Tablo145678910111213141516171819202122232425262728293031323334353637383940414243444546[[#This Row],[ADET]]*Tablo145678910111213141516171819202122232425262728293031323334353637383940414243444546[[#This Row],[SATIŞ]]</calculatedColumnFormula>
    </tableColumn>
  </tableColumns>
  <tableStyleInfo name="TableStyleLight14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B139775B-CE30-47E6-A426-F5D3F45080FA}" name="Tablo14567891011121314151617181920212223242526272829303132333435363738394041424344454647" displayName="Tablo14567891011121314151617181920212223242526272829303132333435363738394041424344454647" ref="B3:H21" totalsRowShown="0" headerRowDxfId="305" dataDxfId="304" headerRowCellStyle="ParaBirimi" dataCellStyle="ParaBirimi">
  <autoFilter ref="B3:H21" xr:uid="{A9C8FEF3-9C6A-4D38-9214-652106BB2993}"/>
  <tableColumns count="7">
    <tableColumn id="1" xr3:uid="{C01B5441-BB66-4DC5-B3B0-116D94F76F8C}" name="TARİH" dataDxfId="303"/>
    <tableColumn id="2" xr3:uid="{BED4BF85-9320-42A0-831F-B66D3EBA09EF}" name="ADET" dataDxfId="302"/>
    <tableColumn id="3" xr3:uid="{7290E9DC-6CDE-48BE-914A-AA51C0FFAD30}" name="ALIŞ" dataDxfId="301" dataCellStyle="ParaBirimi"/>
    <tableColumn id="4" xr3:uid="{A5E1477A-12D0-4C47-884D-2FE99DADB2EE}" name="SATIŞ" dataDxfId="300" dataCellStyle="ParaBirimi"/>
    <tableColumn id="5" xr3:uid="{EAAC50DA-BB91-4C16-BA86-1F7A73F37A69}" name="KAR" dataDxfId="299" dataCellStyle="ParaBirimi">
      <calculatedColumnFormula>IF(Tablo14567891011121314151617181920212223242526272829303132333435363738394041424344454647[[#This Row],[SATIŞ]]=0,"Açık",(E4-D4)*C4)</calculatedColumnFormula>
    </tableColumn>
    <tableColumn id="6" xr3:uid="{6C8F0B97-548A-49F7-8DE9-447B783D0C47}" name="ALIŞ TUTAR" dataDxfId="298" dataCellStyle="ParaBirimi">
      <calculatedColumnFormula>Tablo14567891011121314151617181920212223242526272829303132333435363738394041424344454647[[#This Row],[ADET]]*Tablo14567891011121314151617181920212223242526272829303132333435363738394041424344454647[[#This Row],[ALIŞ]]</calculatedColumnFormula>
    </tableColumn>
    <tableColumn id="7" xr3:uid="{127BA435-CD0A-4FEF-9B03-9447FA7006F9}" name="SATIŞ TUTAR" dataDxfId="297" dataCellStyle="ParaBirimi">
      <calculatedColumnFormula>Tablo14567891011121314151617181920212223242526272829303132333435363738394041424344454647[[#This Row],[ADET]]*Tablo14567891011121314151617181920212223242526272829303132333435363738394041424344454647[[#This Row],[SATIŞ]]</calculatedColumnFormula>
    </tableColumn>
  </tableColumns>
  <tableStyleInfo name="TableStyleLight14"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3309EC13-14BD-47A0-94D3-7E962F958825}" name="Tablo14567891011121314151617181920212223242526272829303132333435363738394041424344454647596870" displayName="Tablo14567891011121314151617181920212223242526272829303132333435363738394041424344454647596870" ref="B3:H49" totalsRowShown="0" headerRowDxfId="296" dataDxfId="295" headerRowCellStyle="ParaBirimi" dataCellStyle="ParaBirimi">
  <autoFilter ref="B3:H49" xr:uid="{A9C8FEF3-9C6A-4D38-9214-652106BB2993}"/>
  <tableColumns count="7">
    <tableColumn id="1" xr3:uid="{785A4207-3F1E-4F8E-9DFF-2BA400986823}" name="TARİH" dataDxfId="294"/>
    <tableColumn id="2" xr3:uid="{E5997A46-0404-409F-B7C4-B9CD9D7D2697}" name="ADET" dataDxfId="293"/>
    <tableColumn id="3" xr3:uid="{4164DC47-1498-4F0E-9555-E59D51C20EB2}" name="ALIŞ" dataDxfId="292" dataCellStyle="ParaBirimi"/>
    <tableColumn id="4" xr3:uid="{5839776A-0D30-4F10-BBA5-8FA8B9D360F0}" name="SATIŞ" dataDxfId="291" dataCellStyle="ParaBirimi"/>
    <tableColumn id="5" xr3:uid="{CAFF2CE9-3AC7-4B41-B080-23A0D0FF6B89}" name="KAR" dataDxfId="290" dataCellStyle="ParaBirimi">
      <calculatedColumnFormula>IF(Tablo14567891011121314151617181920212223242526272829303132333435363738394041424344454647596870[[#This Row],[SATIŞ]]=0,"Açık",(E4-D4)*C4)</calculatedColumnFormula>
    </tableColumn>
    <tableColumn id="6" xr3:uid="{CA01ECBB-4AC7-4F76-BB22-E14EF9EC96EB}" name="ALIŞ TUTAR" dataDxfId="289" dataCellStyle="ParaBirimi">
      <calculatedColumnFormula>Tablo14567891011121314151617181920212223242526272829303132333435363738394041424344454647596870[[#This Row],[ADET]]*Tablo14567891011121314151617181920212223242526272829303132333435363738394041424344454647596870[[#This Row],[ALIŞ]]</calculatedColumnFormula>
    </tableColumn>
    <tableColumn id="7" xr3:uid="{CF05DB19-9887-471A-A716-0DA64622DF91}" name="SATIŞ TUTAR" dataDxfId="288" dataCellStyle="ParaBirimi">
      <calculatedColumnFormula>Tablo14567891011121314151617181920212223242526272829303132333435363738394041424344454647596870[[#This Row],[ADET]]*Tablo14567891011121314151617181920212223242526272829303132333435363738394041424344454647596870[[#This Row],[SATIŞ]]</calculatedColumnFormula>
    </tableColumn>
  </tableColumns>
  <tableStyleInfo name="TableStyleLight14"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A7AD1904-CFFA-42BB-84D1-729710ED4A0F}" name="Tablo1456789101112131415161718192021222324252627282930313233343536373839404142434445464748" displayName="Tablo1456789101112131415161718192021222324252627282930313233343536373839404142434445464748" ref="B3:H18" totalsRowShown="0" headerRowDxfId="287" dataDxfId="286" headerRowCellStyle="ParaBirimi" dataCellStyle="ParaBirimi">
  <autoFilter ref="B3:H18" xr:uid="{A9C8FEF3-9C6A-4D38-9214-652106BB2993}">
    <filterColumn colId="4">
      <filters>
        <filter val="Açık"/>
      </filters>
    </filterColumn>
  </autoFilter>
  <tableColumns count="7">
    <tableColumn id="1" xr3:uid="{FE6C5E9A-ED57-4383-9AD2-0E0A398A561C}" name="TARİH" dataDxfId="285"/>
    <tableColumn id="2" xr3:uid="{8E7AD095-5205-4791-BBF6-EFDC5D16C2B5}" name="ADET" dataDxfId="284"/>
    <tableColumn id="3" xr3:uid="{DC0AC652-46E7-4D0F-9B9E-3A499930C865}" name="ALIŞ" dataDxfId="283" dataCellStyle="ParaBirimi"/>
    <tableColumn id="4" xr3:uid="{45459B42-E394-410A-A743-5494C0A604FF}" name="SATIŞ" dataDxfId="282" dataCellStyle="ParaBirimi"/>
    <tableColumn id="5" xr3:uid="{BB2D6C0C-75DF-4BF1-9112-089F74722142}" name="KAR" dataDxfId="281" dataCellStyle="ParaBirimi">
      <calculatedColumnFormula>IF(Tablo1456789101112131415161718192021222324252627282930313233343536373839404142434445464748[[#This Row],[SATIŞ]]=0,"Açık",(E4-D4)*C4)</calculatedColumnFormula>
    </tableColumn>
    <tableColumn id="6" xr3:uid="{57CE30B2-39FA-4BCE-9F14-F989CA785DBD}" name="ALIŞ TUTAR" dataDxfId="280" dataCellStyle="ParaBirimi">
      <calculatedColumnFormula>Tablo1456789101112131415161718192021222324252627282930313233343536373839404142434445464748[[#This Row],[ADET]]*Tablo1456789101112131415161718192021222324252627282930313233343536373839404142434445464748[[#This Row],[ALIŞ]]</calculatedColumnFormula>
    </tableColumn>
    <tableColumn id="7" xr3:uid="{0DC5C850-73DA-40BE-B1C4-F277D2B1517F}" name="SATIŞ TUTAR" dataDxfId="279" dataCellStyle="ParaBirimi">
      <calculatedColumnFormula>Tablo1456789101112131415161718192021222324252627282930313233343536373839404142434445464748[[#This Row],[ADET]]*Tablo1456789101112131415161718192021222324252627282930313233343536373839404142434445464748[[#This Row],[SATIŞ]]</calculatedColumnFormula>
    </tableColumn>
  </tableColumns>
  <tableStyleInfo name="TableStyleLight14"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E7ACFC11-AC6F-48C3-B9A9-EE49C75C6287}" name="Tablo145678910111213141516171819202122232425262728293031323334353637383940414243444546474849" displayName="Tablo145678910111213141516171819202122232425262728293031323334353637383940414243444546474849" ref="B3:H41" totalsRowShown="0" headerRowDxfId="278" dataDxfId="277" headerRowCellStyle="ParaBirimi" dataCellStyle="ParaBirimi">
  <autoFilter ref="B3:H41" xr:uid="{A9C8FEF3-9C6A-4D38-9214-652106BB2993}">
    <filterColumn colId="4">
      <filters>
        <filter val="Açık"/>
      </filters>
    </filterColumn>
  </autoFilter>
  <tableColumns count="7">
    <tableColumn id="1" xr3:uid="{954190DD-0C49-4F93-A6ED-DDB0E94562D8}" name="TARİH" dataDxfId="276"/>
    <tableColumn id="2" xr3:uid="{2CE43E68-0AAD-4AC0-A948-93EF363DD6B8}" name="ADET" dataDxfId="275"/>
    <tableColumn id="3" xr3:uid="{D9B74783-28E6-4139-ADD7-FB208D22F63F}" name="ALIŞ" dataDxfId="274" dataCellStyle="ParaBirimi"/>
    <tableColumn id="4" xr3:uid="{2CF15E9E-91DA-4D27-A96D-68AA7916E098}" name="SATIŞ" dataDxfId="273" dataCellStyle="ParaBirimi"/>
    <tableColumn id="5" xr3:uid="{45429AE9-F245-4DA4-B5CA-0BBEE99162DA}" name="KAR" dataDxfId="272" dataCellStyle="ParaBirimi">
      <calculatedColumnFormula>IF(Tablo145678910111213141516171819202122232425262728293031323334353637383940414243444546474849[[#This Row],[SATIŞ]]=0,"Açık",(E4-D4)*C4)</calculatedColumnFormula>
    </tableColumn>
    <tableColumn id="6" xr3:uid="{FD759C59-BF5D-43A4-A508-EDB4A8B65566}" name="ALIŞ TUTAR" dataDxfId="271" dataCellStyle="ParaBirimi">
      <calculatedColumnFormula>Tablo145678910111213141516171819202122232425262728293031323334353637383940414243444546474849[[#This Row],[ADET]]*Tablo145678910111213141516171819202122232425262728293031323334353637383940414243444546474849[[#This Row],[ALIŞ]]</calculatedColumnFormula>
    </tableColumn>
    <tableColumn id="7" xr3:uid="{DAC4E06B-4BF7-4EAF-ACC0-12B372DF905F}" name="SATIŞ TUTAR" dataDxfId="270" dataCellStyle="ParaBirimi">
      <calculatedColumnFormula>Tablo145678910111213141516171819202122232425262728293031323334353637383940414243444546474849[[#This Row],[ADET]]*Tablo145678910111213141516171819202122232425262728293031323334353637383940414243444546474849[[#This Row],[SATIŞ]]</calculatedColumnFormula>
    </tableColumn>
  </tableColumns>
  <tableStyleInfo name="TableStyleLight14" showFirstColumn="0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B0744202-A2D1-4F7F-916C-C3A5C4D6BB04}" name="Tablo1456789101112131415161718192021222324252627282930313233343536373839404142434445464759" displayName="Tablo1456789101112131415161718192021222324252627282930313233343536373839404142434445464759" ref="B3:H51" totalsRowShown="0" headerRowDxfId="269" dataDxfId="268" headerRowCellStyle="ParaBirimi" dataCellStyle="ParaBirimi">
  <autoFilter ref="B3:H51" xr:uid="{A9C8FEF3-9C6A-4D38-9214-652106BB2993}">
    <filterColumn colId="4">
      <filters>
        <filter val="Açık"/>
      </filters>
    </filterColumn>
  </autoFilter>
  <tableColumns count="7">
    <tableColumn id="1" xr3:uid="{49428807-7C0A-49FC-96FA-E7713B8C1FEE}" name="TARİH" dataDxfId="267"/>
    <tableColumn id="2" xr3:uid="{24CA8426-EC31-4599-AB85-BD78D76D3671}" name="ADET" dataDxfId="266"/>
    <tableColumn id="3" xr3:uid="{50241752-DD5F-4D84-BEF5-A72F84058E1F}" name="ALIŞ" dataDxfId="265" dataCellStyle="ParaBirimi"/>
    <tableColumn id="4" xr3:uid="{CC4C1143-D906-4E43-8F1D-45FF024DA609}" name="SATIŞ" dataDxfId="264" dataCellStyle="ParaBirimi"/>
    <tableColumn id="5" xr3:uid="{C6D81802-F3BD-4C3A-A7B1-B0582154398C}" name="KAR" dataDxfId="263" dataCellStyle="ParaBirimi">
      <calculatedColumnFormula>IF(Tablo1456789101112131415161718192021222324252627282930313233343536373839404142434445464759[[#This Row],[SATIŞ]]=0,"Açık",(E4-D4)*C4)</calculatedColumnFormula>
    </tableColumn>
    <tableColumn id="6" xr3:uid="{D5421F8B-A7FC-44FA-B415-CF4A477903BC}" name="ALIŞ TUTAR" dataDxfId="262" dataCellStyle="ParaBirimi">
      <calculatedColumnFormula>Tablo1456789101112131415161718192021222324252627282930313233343536373839404142434445464759[[#This Row],[ADET]]*Tablo1456789101112131415161718192021222324252627282930313233343536373839404142434445464759[[#This Row],[ALIŞ]]</calculatedColumnFormula>
    </tableColumn>
    <tableColumn id="7" xr3:uid="{20F20C5E-9854-4F93-90F1-5EE1677BFAA0}" name="SATIŞ TUTAR" dataDxfId="261" dataCellStyle="ParaBirimi">
      <calculatedColumnFormula>Tablo1456789101112131415161718192021222324252627282930313233343536373839404142434445464759[[#This Row],[ADET]]*Tablo1456789101112131415161718192021222324252627282930313233343536373839404142434445464759[[#This Row],[SATIŞ]]</calculatedColumnFormula>
    </tableColumn>
  </tableColumns>
  <tableStyleInfo name="TableStyleLight14" showFirstColumn="0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511E0746-3DFB-45D1-B8F4-266DE38CE494}" name="Tablo145678910111213141516171819202122232425262728293031323334353637383940414243444546475968" displayName="Tablo145678910111213141516171819202122232425262728293031323334353637383940414243444546475968" ref="B3:H49" totalsRowShown="0" headerRowDxfId="260" dataDxfId="259" headerRowCellStyle="ParaBirimi" dataCellStyle="ParaBirimi">
  <autoFilter ref="B3:H49" xr:uid="{A9C8FEF3-9C6A-4D38-9214-652106BB2993}">
    <filterColumn colId="4">
      <filters>
        <filter val="Açık"/>
      </filters>
    </filterColumn>
  </autoFilter>
  <tableColumns count="7">
    <tableColumn id="1" xr3:uid="{0E9E56BB-0244-40E3-A961-EB2F7428A06D}" name="TARİH" dataDxfId="258"/>
    <tableColumn id="2" xr3:uid="{C9796BE8-F1E6-41E2-923F-96DF3E90A9C4}" name="ADET" dataDxfId="257"/>
    <tableColumn id="3" xr3:uid="{5767CBE4-271F-4ECB-8DB7-65DE4ED9ABF6}" name="ALIŞ" dataDxfId="256" dataCellStyle="ParaBirimi"/>
    <tableColumn id="4" xr3:uid="{F9E9ED1F-64F6-4085-BFB4-423DF38CAA9C}" name="SATIŞ" dataDxfId="255" dataCellStyle="ParaBirimi"/>
    <tableColumn id="5" xr3:uid="{944E9FE2-385A-4B15-B6C5-4F2796909313}" name="KAR" dataDxfId="254" dataCellStyle="ParaBirimi">
      <calculatedColumnFormula>IF(Tablo145678910111213141516171819202122232425262728293031323334353637383940414243444546475968[[#This Row],[SATIŞ]]=0,"Açık",(E4-D4)*C4)</calculatedColumnFormula>
    </tableColumn>
    <tableColumn id="6" xr3:uid="{16FA5790-B6A5-474A-8790-C64641AB1102}" name="ALIŞ TUTAR" dataDxfId="253" dataCellStyle="ParaBirimi">
      <calculatedColumnFormula>Tablo145678910111213141516171819202122232425262728293031323334353637383940414243444546475968[[#This Row],[ADET]]*Tablo145678910111213141516171819202122232425262728293031323334353637383940414243444546475968[[#This Row],[ALIŞ]]</calculatedColumnFormula>
    </tableColumn>
    <tableColumn id="7" xr3:uid="{443BFD79-354F-4B84-A15B-AE2640F357DB}" name="SATIŞ TUTAR" dataDxfId="252" dataCellStyle="ParaBirimi">
      <calculatedColumnFormula>Tablo145678910111213141516171819202122232425262728293031323334353637383940414243444546475968[[#This Row],[ADET]]*Tablo145678910111213141516171819202122232425262728293031323334353637383940414243444546475968[[#This Row],[SATIŞ]]</calculatedColumnFormula>
    </tableColumn>
  </tableColumns>
  <tableStyleInfo name="TableStyleLight14" showFirstColumn="0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1AADAC02-630E-47B6-900D-31AC21F33723}" name="Tablo14567891011121314151617181920212223242526272829303132333435363738394041424344454647484950" displayName="Tablo14567891011121314151617181920212223242526272829303132333435363738394041424344454647484950" ref="B3:H104" totalsRowShown="0" headerRowDxfId="251" dataDxfId="250" headerRowCellStyle="ParaBirimi" dataCellStyle="ParaBirimi">
  <autoFilter ref="B3:H104" xr:uid="{A9C8FEF3-9C6A-4D38-9214-652106BB2993}">
    <filterColumn colId="4">
      <filters>
        <filter val="Açık"/>
      </filters>
    </filterColumn>
  </autoFilter>
  <tableColumns count="7">
    <tableColumn id="1" xr3:uid="{AB3F4F87-B9E1-4DA4-884C-BE4DA0461889}" name="TARİH" dataDxfId="249"/>
    <tableColumn id="2" xr3:uid="{86263A1E-0448-4DB1-A209-2D961E105997}" name="ADET" dataDxfId="248"/>
    <tableColumn id="3" xr3:uid="{2A536D83-3DBE-4C26-8499-0B652B3E871F}" name="ALIŞ" dataDxfId="247" dataCellStyle="ParaBirimi"/>
    <tableColumn id="4" xr3:uid="{5820C2EC-4F1F-4E38-BEA3-40D95A3E1EA8}" name="SATIŞ" dataDxfId="246" dataCellStyle="ParaBirimi"/>
    <tableColumn id="5" xr3:uid="{A51F2479-A9B8-4E7F-A0DF-96AE65DDEC97}" name="KAR" dataDxfId="245" dataCellStyle="ParaBirimi">
      <calculatedColumnFormula>IF(Tablo14567891011121314151617181920212223242526272829303132333435363738394041424344454647484950[[#This Row],[SATIŞ]]=0,"Açık",(E4-D4)*C4)</calculatedColumnFormula>
    </tableColumn>
    <tableColumn id="6" xr3:uid="{C48E9EC6-8471-4841-B3A7-3054930F882C}" name="ALIŞ TUTAR" dataDxfId="244" dataCellStyle="ParaBirimi">
      <calculatedColumnFormula>Tablo14567891011121314151617181920212223242526272829303132333435363738394041424344454647484950[[#This Row],[ADET]]*Tablo14567891011121314151617181920212223242526272829303132333435363738394041424344454647484950[[#This Row],[ALIŞ]]</calculatedColumnFormula>
    </tableColumn>
    <tableColumn id="7" xr3:uid="{7313391B-8E3E-46B4-9F0D-21DB76E4DC92}" name="SATIŞ TUTAR" dataDxfId="243" dataCellStyle="ParaBirimi">
      <calculatedColumnFormula>Tablo14567891011121314151617181920212223242526272829303132333435363738394041424344454647484950[[#This Row],[ADET]]*Tablo14567891011121314151617181920212223242526272829303132333435363738394041424344454647484950[[#This Row],[SATIŞ]]</calculatedColumnFormula>
    </tableColumn>
  </tableColumns>
  <tableStyleInfo name="TableStyleLight14" showFirstColumn="0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941EE302-EB03-4B9B-A769-FE5283B5CEE0}" name="Tablo1456789101112131415161718192021222324252627282930313233343536373839404142434445464748495051" displayName="Tablo1456789101112131415161718192021222324252627282930313233343536373839404142434445464748495051" ref="B3:H86" totalsRowShown="0" headerRowDxfId="242" dataDxfId="241" headerRowCellStyle="ParaBirimi" dataCellStyle="ParaBirimi">
  <autoFilter ref="B3:H86" xr:uid="{A9C8FEF3-9C6A-4D38-9214-652106BB2993}">
    <filterColumn colId="4">
      <filters>
        <filter val="Açık"/>
      </filters>
    </filterColumn>
  </autoFilter>
  <tableColumns count="7">
    <tableColumn id="1" xr3:uid="{AE1BDD97-57A7-4BE1-8D26-C2A9CE3BDDEB}" name="TARİH" dataDxfId="240"/>
    <tableColumn id="2" xr3:uid="{1672A4AB-318D-4688-AB5B-297A4740E8D4}" name="ADET" dataDxfId="239"/>
    <tableColumn id="3" xr3:uid="{93946CC8-E631-4E69-966F-6A0C58E238C4}" name="ALIŞ" dataDxfId="238" dataCellStyle="ParaBirimi"/>
    <tableColumn id="4" xr3:uid="{6D65242B-440A-4659-9C79-76DAB2A4D538}" name="SATIŞ" dataDxfId="237" dataCellStyle="ParaBirimi"/>
    <tableColumn id="5" xr3:uid="{C5FC8F40-67DF-4CB0-8D48-BAD2A6610C4C}" name="KAR" dataDxfId="236" dataCellStyle="ParaBirimi">
      <calculatedColumnFormula>IF(Tablo1456789101112131415161718192021222324252627282930313233343536373839404142434445464748495051[[#This Row],[SATIŞ]]=0,"Açık",(E4-D4)*C4)</calculatedColumnFormula>
    </tableColumn>
    <tableColumn id="6" xr3:uid="{EBC49290-7414-4B57-A6EA-9E7705538E5A}" name="ALIŞ TUTAR" dataDxfId="235" dataCellStyle="ParaBirimi">
      <calculatedColumnFormula>Tablo1456789101112131415161718192021222324252627282930313233343536373839404142434445464748495051[[#This Row],[ADET]]*Tablo1456789101112131415161718192021222324252627282930313233343536373839404142434445464748495051[[#This Row],[ALIŞ]]</calculatedColumnFormula>
    </tableColumn>
    <tableColumn id="7" xr3:uid="{D801D71C-7356-4EFC-9685-2CEB74ED1104}" name="SATIŞ TUTAR" dataDxfId="234" dataCellStyle="ParaBirimi">
      <calculatedColumnFormula>Tablo1456789101112131415161718192021222324252627282930313233343536373839404142434445464748495051[[#This Row],[ADET]]*Tablo1456789101112131415161718192021222324252627282930313233343536373839404142434445464748495051[[#This Row],[SATIŞ]]</calculatedColumnFormula>
    </tableColumn>
  </tableColumns>
  <tableStyleInfo name="TableStyleLight14" showFirstColumn="0" showLastColumn="0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3CD80E3E-5C34-4A43-9087-070BD63FC2B1}" name="Tablo145678910111213141516171819202122232425262728293031323334353637383940414243444546474849505152" displayName="Tablo145678910111213141516171819202122232425262728293031323334353637383940414243444546474849505152" ref="B3:H54" totalsRowShown="0" headerRowDxfId="233" dataDxfId="232" headerRowCellStyle="ParaBirimi" dataCellStyle="ParaBirimi">
  <autoFilter ref="B3:H54" xr:uid="{A9C8FEF3-9C6A-4D38-9214-652106BB2993}">
    <filterColumn colId="4">
      <filters>
        <filter val="Açık"/>
      </filters>
    </filterColumn>
  </autoFilter>
  <tableColumns count="7">
    <tableColumn id="1" xr3:uid="{926030B2-A41E-4158-8B23-E418A3D68F6C}" name="TARİH" dataDxfId="231"/>
    <tableColumn id="2" xr3:uid="{FC5CB995-D37F-44D7-A1B3-DD52E6B7846F}" name="ADET" dataDxfId="230"/>
    <tableColumn id="3" xr3:uid="{E80A1070-30D2-4300-9B07-172CB08AD46A}" name="ALIŞ" dataDxfId="229" dataCellStyle="ParaBirimi"/>
    <tableColumn id="4" xr3:uid="{001BF3F8-AE4D-4F1B-AC99-162EBD51F08D}" name="SATIŞ" dataDxfId="228" dataCellStyle="ParaBirimi"/>
    <tableColumn id="5" xr3:uid="{92C2BFEF-3F35-459C-AB7E-A63BD431EB16}" name="KAR" dataDxfId="227" dataCellStyle="ParaBirimi">
      <calculatedColumnFormula>IF(Tablo145678910111213141516171819202122232425262728293031323334353637383940414243444546474849505152[[#This Row],[SATIŞ]]=0,"Açık",(E4-D4)*C4)</calculatedColumnFormula>
    </tableColumn>
    <tableColumn id="6" xr3:uid="{A795C08A-9BA4-4892-8C4E-E9935325D846}" name="ALIŞ TUTAR" dataDxfId="226" dataCellStyle="ParaBirimi">
      <calculatedColumnFormula>Tablo145678910111213141516171819202122232425262728293031323334353637383940414243444546474849505152[[#This Row],[ADET]]*Tablo145678910111213141516171819202122232425262728293031323334353637383940414243444546474849505152[[#This Row],[ALIŞ]]</calculatedColumnFormula>
    </tableColumn>
    <tableColumn id="7" xr3:uid="{EC70954B-5F9E-47F8-B62A-ABB6C3DC305B}" name="SATIŞ TUTAR" dataDxfId="225" dataCellStyle="ParaBirimi">
      <calculatedColumnFormula>Tablo145678910111213141516171819202122232425262728293031323334353637383940414243444546474849505152[[#This Row],[ADET]]*Tablo145678910111213141516171819202122232425262728293031323334353637383940414243444546474849505152[[#This Row],[SATIŞ]]</calculatedColumnFormula>
    </tableColumn>
  </tableColumns>
  <tableStyleInfo name="TableStyleLight14" showFirstColumn="0" showLastColumn="0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4454C077-4E77-407E-A1F1-FD36A03C8203}" name="Tablo14567891011121314151617181920212223242526272829303132333435363738394041424344454647484950515253" displayName="Tablo14567891011121314151617181920212223242526272829303132333435363738394041424344454647484950515253" ref="B3:H27" totalsRowShown="0" headerRowDxfId="224" dataDxfId="223" headerRowCellStyle="ParaBirimi" dataCellStyle="ParaBirimi">
  <autoFilter ref="B3:H27" xr:uid="{A9C8FEF3-9C6A-4D38-9214-652106BB2993}">
    <filterColumn colId="4">
      <filters>
        <filter val="Açık"/>
      </filters>
    </filterColumn>
  </autoFilter>
  <tableColumns count="7">
    <tableColumn id="1" xr3:uid="{8B05F202-563D-4607-B008-914488D0D12A}" name="TARİH" dataDxfId="222"/>
    <tableColumn id="2" xr3:uid="{CF8ADF38-043E-4C43-A35F-4EA3007F921E}" name="ADET" dataDxfId="221"/>
    <tableColumn id="3" xr3:uid="{C3F8758A-FA97-45F3-A302-7CBE4A4217D1}" name="ALIŞ" dataDxfId="220" dataCellStyle="ParaBirimi"/>
    <tableColumn id="4" xr3:uid="{ACB6AD9F-667D-46EF-A058-8133C47E04F3}" name="SATIŞ" dataDxfId="219" dataCellStyle="ParaBirimi"/>
    <tableColumn id="5" xr3:uid="{4883801A-3508-47E5-BAE1-719DE6A9191F}" name="KAR" dataDxfId="218" dataCellStyle="ParaBirimi">
      <calculatedColumnFormula>IF(Tablo14567891011121314151617181920212223242526272829303132333435363738394041424344454647484950515253[[#This Row],[SATIŞ]]=0,"Açık",(E4-D4)*C4)</calculatedColumnFormula>
    </tableColumn>
    <tableColumn id="6" xr3:uid="{C5C83B11-B594-4530-B1BC-2716436CC895}" name="ALIŞ TUTAR" dataDxfId="217" dataCellStyle="ParaBirimi">
      <calculatedColumnFormula>Tablo14567891011121314151617181920212223242526272829303132333435363738394041424344454647484950515253[[#This Row],[ADET]]*Tablo14567891011121314151617181920212223242526272829303132333435363738394041424344454647484950515253[[#This Row],[ALIŞ]]</calculatedColumnFormula>
    </tableColumn>
    <tableColumn id="7" xr3:uid="{8F6CE046-470F-445B-8241-BB40C8DF4B48}" name="SATIŞ TUTAR" dataDxfId="216" dataCellStyle="ParaBirimi">
      <calculatedColumnFormula>Tablo14567891011121314151617181920212223242526272829303132333435363738394041424344454647484950515253[[#This Row],[ADET]]*Tablo14567891011121314151617181920212223242526272829303132333435363738394041424344454647484950515253[[#This Row],[SATIŞ]]</calculatedColumnFormula>
    </tableColumn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2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3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4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5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6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7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8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9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0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1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2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3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4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5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6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7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8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9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0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1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2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3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4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5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6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7.x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8.xml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9.xml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0.xml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1.xml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2.xml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3.xml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4.xml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5.xml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6.xml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7.xml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8.xml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75B91-9BA6-43DF-A238-E21C7B162DB1}">
  <dimension ref="B4:Z64"/>
  <sheetViews>
    <sheetView workbookViewId="0">
      <selection activeCell="Q5" sqref="Q5:Q6"/>
    </sheetView>
  </sheetViews>
  <sheetFormatPr defaultRowHeight="14.4" x14ac:dyDescent="0.3"/>
  <cols>
    <col min="1" max="1" width="3.33203125" customWidth="1"/>
    <col min="3" max="3" width="19" customWidth="1"/>
    <col min="4" max="15" width="14.109375" style="31" bestFit="1" customWidth="1"/>
    <col min="16" max="17" width="14.5546875" style="31" bestFit="1" customWidth="1"/>
    <col min="18" max="19" width="14.109375" style="31" bestFit="1" customWidth="1"/>
    <col min="20" max="20" width="14" style="31" customWidth="1"/>
    <col min="21" max="21" width="14.44140625" style="31" bestFit="1" customWidth="1"/>
    <col min="22" max="22" width="14.109375" style="31" bestFit="1" customWidth="1"/>
    <col min="23" max="23" width="14.44140625" style="31" bestFit="1" customWidth="1"/>
    <col min="24" max="24" width="14.109375" style="31" bestFit="1" customWidth="1"/>
    <col min="25" max="25" width="14.5546875" style="31" bestFit="1" customWidth="1"/>
    <col min="26" max="26" width="12.88671875" style="31" bestFit="1" customWidth="1"/>
  </cols>
  <sheetData>
    <row r="4" spans="2:26" x14ac:dyDescent="0.3">
      <c r="D4" s="2" t="s">
        <v>85</v>
      </c>
      <c r="E4" s="2">
        <v>45383</v>
      </c>
      <c r="F4" s="2">
        <f>+E4+1</f>
        <v>45384</v>
      </c>
      <c r="G4" s="2">
        <f>+F4+1</f>
        <v>45385</v>
      </c>
      <c r="H4" s="2">
        <f t="shared" ref="H4:Y4" si="0">+G4+1</f>
        <v>45386</v>
      </c>
      <c r="I4" s="2">
        <f t="shared" si="0"/>
        <v>45387</v>
      </c>
      <c r="J4" s="2">
        <v>45390</v>
      </c>
      <c r="K4" s="2">
        <f t="shared" si="0"/>
        <v>45391</v>
      </c>
      <c r="L4" s="2">
        <v>45397</v>
      </c>
      <c r="M4" s="2">
        <f t="shared" si="0"/>
        <v>45398</v>
      </c>
      <c r="N4" s="2">
        <f t="shared" si="0"/>
        <v>45399</v>
      </c>
      <c r="O4" s="2">
        <f t="shared" si="0"/>
        <v>45400</v>
      </c>
      <c r="P4" s="2">
        <f t="shared" si="0"/>
        <v>45401</v>
      </c>
      <c r="Q4" s="2">
        <v>45404</v>
      </c>
      <c r="R4" s="2">
        <f t="shared" si="0"/>
        <v>45405</v>
      </c>
      <c r="S4" s="2">
        <f t="shared" si="0"/>
        <v>45406</v>
      </c>
      <c r="T4" s="2">
        <f t="shared" si="0"/>
        <v>45407</v>
      </c>
      <c r="U4" s="2">
        <f t="shared" si="0"/>
        <v>45408</v>
      </c>
      <c r="V4" s="2">
        <f t="shared" si="0"/>
        <v>45409</v>
      </c>
      <c r="W4" s="2">
        <f t="shared" si="0"/>
        <v>45410</v>
      </c>
      <c r="X4" s="2">
        <f t="shared" si="0"/>
        <v>45411</v>
      </c>
      <c r="Y4" s="2">
        <f t="shared" si="0"/>
        <v>45412</v>
      </c>
      <c r="Z4" s="2"/>
    </row>
    <row r="5" spans="2:26" x14ac:dyDescent="0.3">
      <c r="B5" t="s">
        <v>73</v>
      </c>
      <c r="D5" s="30">
        <f>72856.0034747703-50000/32.5</f>
        <v>71317.541936308771</v>
      </c>
      <c r="E5" s="30">
        <v>70716.193478260873</v>
      </c>
      <c r="F5" s="30">
        <v>69265.422284644199</v>
      </c>
      <c r="G5" s="30">
        <v>68946.793924209225</v>
      </c>
      <c r="H5" s="30">
        <v>69384.162390488113</v>
      </c>
      <c r="I5" s="30">
        <v>71368.397058823539</v>
      </c>
      <c r="J5" s="30">
        <v>74001.33644278608</v>
      </c>
      <c r="K5" s="30">
        <v>74448.942546583829</v>
      </c>
      <c r="L5" s="30">
        <v>73292.314021571641</v>
      </c>
      <c r="M5" s="30">
        <v>71016.206163328199</v>
      </c>
      <c r="N5" s="30">
        <v>70979.347384615379</v>
      </c>
      <c r="O5" s="30">
        <v>70840.531816784511</v>
      </c>
      <c r="P5" s="30">
        <v>71510.190827947052</v>
      </c>
      <c r="Q5" s="30">
        <v>71350.909929296031</v>
      </c>
      <c r="R5" s="30">
        <f>+İcmal!$U$6</f>
        <v>71350.909929296031</v>
      </c>
      <c r="S5" s="30"/>
      <c r="T5" s="30"/>
      <c r="U5" s="30"/>
      <c r="V5" s="30"/>
      <c r="W5" s="30"/>
      <c r="X5" s="30"/>
      <c r="Y5" s="30"/>
      <c r="Z5" s="30"/>
    </row>
    <row r="6" spans="2:26" x14ac:dyDescent="0.3">
      <c r="B6" t="s">
        <v>72</v>
      </c>
      <c r="D6" s="30">
        <v>17165.255639097697</v>
      </c>
      <c r="E6" s="30">
        <v>22516.73913043478</v>
      </c>
      <c r="F6" s="30">
        <v>22086.173533083645</v>
      </c>
      <c r="G6" s="30">
        <v>22255.72063889759</v>
      </c>
      <c r="H6" s="30">
        <v>21716.113892365458</v>
      </c>
      <c r="I6" s="30">
        <v>21716.113892365458</v>
      </c>
      <c r="J6" s="30">
        <v>22149.47139303483</v>
      </c>
      <c r="K6" s="30">
        <v>22095.37267080745</v>
      </c>
      <c r="L6" s="30">
        <v>21007.858243451461</v>
      </c>
      <c r="M6" s="30">
        <v>21007.858243451461</v>
      </c>
      <c r="N6" s="30">
        <v>20559.599999999999</v>
      </c>
      <c r="O6" s="30">
        <v>20436.243467568398</v>
      </c>
      <c r="P6" s="30">
        <v>20168.975069252076</v>
      </c>
      <c r="Q6" s="30">
        <v>20266.000614817091</v>
      </c>
      <c r="R6" s="30">
        <f>+İcmal!$U$13</f>
        <v>20266.000614817091</v>
      </c>
      <c r="S6" s="30"/>
      <c r="T6" s="30"/>
      <c r="U6" s="30"/>
      <c r="V6" s="30"/>
      <c r="W6" s="30"/>
      <c r="X6" s="30"/>
      <c r="Y6" s="30"/>
      <c r="Z6" s="30"/>
    </row>
    <row r="7" spans="2:26" x14ac:dyDescent="0.3"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</row>
    <row r="8" spans="2:26" x14ac:dyDescent="0.3">
      <c r="B8" t="s">
        <v>74</v>
      </c>
      <c r="D8" s="30">
        <f t="shared" ref="D8:U8" si="1">SUM(D5:D6)</f>
        <v>88482.797575406468</v>
      </c>
      <c r="E8" s="30">
        <f t="shared" si="1"/>
        <v>93232.932608695657</v>
      </c>
      <c r="F8" s="30">
        <f t="shared" si="1"/>
        <v>91351.595817727852</v>
      </c>
      <c r="G8" s="30">
        <f t="shared" si="1"/>
        <v>91202.514563106815</v>
      </c>
      <c r="H8" s="30">
        <f t="shared" si="1"/>
        <v>91100.276282853563</v>
      </c>
      <c r="I8" s="30">
        <f t="shared" si="1"/>
        <v>93084.510951189004</v>
      </c>
      <c r="J8" s="30">
        <f t="shared" si="1"/>
        <v>96150.807835820917</v>
      </c>
      <c r="K8" s="30">
        <f t="shared" si="1"/>
        <v>96544.315217391282</v>
      </c>
      <c r="L8" s="30">
        <f t="shared" si="1"/>
        <v>94300.17226502311</v>
      </c>
      <c r="M8" s="30">
        <f t="shared" si="1"/>
        <v>92024.064406779653</v>
      </c>
      <c r="N8" s="30">
        <f t="shared" si="1"/>
        <v>91538.947384615371</v>
      </c>
      <c r="O8" s="30">
        <f t="shared" si="1"/>
        <v>91276.775284352916</v>
      </c>
      <c r="P8" s="30">
        <f t="shared" si="1"/>
        <v>91679.165897199127</v>
      </c>
      <c r="Q8" s="30">
        <f t="shared" si="1"/>
        <v>91616.910544113125</v>
      </c>
      <c r="R8" s="30">
        <f t="shared" si="1"/>
        <v>91616.910544113125</v>
      </c>
      <c r="S8" s="30">
        <f t="shared" si="1"/>
        <v>0</v>
      </c>
      <c r="T8" s="30">
        <f t="shared" si="1"/>
        <v>0</v>
      </c>
      <c r="U8" s="30">
        <f t="shared" si="1"/>
        <v>0</v>
      </c>
      <c r="V8" s="30">
        <f>SUM(V5:V6)</f>
        <v>0</v>
      </c>
      <c r="W8" s="30">
        <f>SUM(W5:W6)</f>
        <v>0</v>
      </c>
      <c r="X8" s="30">
        <f>SUM(X5:X6)</f>
        <v>0</v>
      </c>
      <c r="Y8" s="30">
        <f>SUM(Y5:Y6)</f>
        <v>0</v>
      </c>
      <c r="Z8" s="30"/>
    </row>
    <row r="10" spans="2:26" x14ac:dyDescent="0.3">
      <c r="D10" s="36">
        <f t="shared" ref="D10:T10" si="2">+D5-350000/32.18</f>
        <v>60441.221240224244</v>
      </c>
      <c r="E10" s="36">
        <f t="shared" si="2"/>
        <v>59839.872782176346</v>
      </c>
      <c r="F10" s="36">
        <f t="shared" si="2"/>
        <v>58389.101588559672</v>
      </c>
      <c r="G10" s="36">
        <f t="shared" si="2"/>
        <v>58070.473228124698</v>
      </c>
      <c r="H10" s="36">
        <f t="shared" si="2"/>
        <v>58507.841694403585</v>
      </c>
      <c r="I10" s="36">
        <f t="shared" si="2"/>
        <v>60492.076362739012</v>
      </c>
      <c r="J10" s="36">
        <f t="shared" si="2"/>
        <v>63125.015746701552</v>
      </c>
      <c r="K10" s="36">
        <f t="shared" si="2"/>
        <v>63572.621850499301</v>
      </c>
      <c r="L10" s="36">
        <f t="shared" si="2"/>
        <v>62415.993325487114</v>
      </c>
      <c r="M10" s="36">
        <f t="shared" si="2"/>
        <v>60139.885467243672</v>
      </c>
      <c r="N10" s="36">
        <f t="shared" si="2"/>
        <v>60103.026688530852</v>
      </c>
      <c r="O10" s="36">
        <f t="shared" si="2"/>
        <v>59964.211120699983</v>
      </c>
      <c r="P10" s="36">
        <f t="shared" si="2"/>
        <v>60633.870131862524</v>
      </c>
      <c r="Q10" s="36">
        <f t="shared" si="2"/>
        <v>60474.589233211504</v>
      </c>
      <c r="R10" s="36">
        <f t="shared" si="2"/>
        <v>60474.589233211504</v>
      </c>
      <c r="S10" s="36">
        <f t="shared" si="2"/>
        <v>-10876.320696084525</v>
      </c>
      <c r="T10" s="36">
        <f t="shared" si="2"/>
        <v>-10876.320696084525</v>
      </c>
      <c r="U10" s="36">
        <f>+U5-350000/32.18</f>
        <v>-10876.320696084525</v>
      </c>
      <c r="V10" s="36">
        <f>+V5+350000/32.18</f>
        <v>10876.320696084525</v>
      </c>
    </row>
    <row r="13" spans="2:26" x14ac:dyDescent="0.3">
      <c r="D13" s="2" t="str">
        <f t="shared" ref="D13:U13" si="3">+D4</f>
        <v>Önceki</v>
      </c>
      <c r="E13" s="2">
        <f t="shared" si="3"/>
        <v>45383</v>
      </c>
      <c r="F13" s="2">
        <f t="shared" si="3"/>
        <v>45384</v>
      </c>
      <c r="G13" s="2">
        <f t="shared" si="3"/>
        <v>45385</v>
      </c>
      <c r="H13" s="2">
        <f t="shared" si="3"/>
        <v>45386</v>
      </c>
      <c r="I13" s="2">
        <f t="shared" si="3"/>
        <v>45387</v>
      </c>
      <c r="J13" s="2">
        <f t="shared" si="3"/>
        <v>45390</v>
      </c>
      <c r="K13" s="2">
        <f t="shared" si="3"/>
        <v>45391</v>
      </c>
      <c r="L13" s="2">
        <f t="shared" si="3"/>
        <v>45397</v>
      </c>
      <c r="M13" s="2">
        <f t="shared" si="3"/>
        <v>45398</v>
      </c>
      <c r="N13" s="2">
        <f t="shared" si="3"/>
        <v>45399</v>
      </c>
      <c r="O13" s="2">
        <f t="shared" si="3"/>
        <v>45400</v>
      </c>
      <c r="P13" s="2">
        <f t="shared" si="3"/>
        <v>45401</v>
      </c>
      <c r="Q13" s="2">
        <f t="shared" si="3"/>
        <v>45404</v>
      </c>
      <c r="R13" s="2">
        <f t="shared" si="3"/>
        <v>45405</v>
      </c>
      <c r="S13" s="2">
        <f t="shared" si="3"/>
        <v>45406</v>
      </c>
      <c r="T13" s="2">
        <f t="shared" si="3"/>
        <v>45407</v>
      </c>
      <c r="U13" s="2">
        <f t="shared" si="3"/>
        <v>45408</v>
      </c>
      <c r="V13" s="2"/>
      <c r="W13" s="2"/>
      <c r="X13" s="2"/>
      <c r="Y13" s="2"/>
      <c r="Z13" s="2"/>
    </row>
    <row r="14" spans="2:26" x14ac:dyDescent="0.3">
      <c r="B14" t="s">
        <v>73</v>
      </c>
      <c r="C14" s="36">
        <f>SUM(E14:Y14)</f>
        <v>33.36799298725964</v>
      </c>
      <c r="D14" s="30">
        <f>+D5</f>
        <v>71317.541936308771</v>
      </c>
      <c r="E14" s="30">
        <f t="shared" ref="E14:K15" si="4">+IF(E5="",0,E5-D5)</f>
        <v>-601.34845804789802</v>
      </c>
      <c r="F14" s="30">
        <f t="shared" si="4"/>
        <v>-1450.7711936166743</v>
      </c>
      <c r="G14" s="30">
        <f t="shared" si="4"/>
        <v>-318.62836043497373</v>
      </c>
      <c r="H14" s="30">
        <f t="shared" si="4"/>
        <v>437.36846627888735</v>
      </c>
      <c r="I14" s="30">
        <f t="shared" si="4"/>
        <v>1984.2346683354262</v>
      </c>
      <c r="J14" s="30">
        <f t="shared" si="4"/>
        <v>2632.9393839625409</v>
      </c>
      <c r="K14" s="30">
        <f t="shared" si="4"/>
        <v>447.6061037977488</v>
      </c>
      <c r="L14" s="30">
        <f t="shared" ref="L14:S14" si="5">+IF(L5="",0,L5-K5)</f>
        <v>-1156.6285250121873</v>
      </c>
      <c r="M14" s="30">
        <f t="shared" si="5"/>
        <v>-2276.107858243442</v>
      </c>
      <c r="N14" s="30">
        <f t="shared" si="5"/>
        <v>-36.858778712819912</v>
      </c>
      <c r="O14" s="30">
        <f t="shared" si="5"/>
        <v>-138.81556783086853</v>
      </c>
      <c r="P14" s="30">
        <f t="shared" si="5"/>
        <v>669.65901116254099</v>
      </c>
      <c r="Q14" s="30">
        <f t="shared" si="5"/>
        <v>-159.28089865102083</v>
      </c>
      <c r="R14" s="30">
        <f t="shared" si="5"/>
        <v>0</v>
      </c>
      <c r="S14" s="30">
        <f t="shared" si="5"/>
        <v>0</v>
      </c>
      <c r="T14" s="30">
        <f t="shared" ref="T14:Y15" si="6">+IF(T5="",0,T5-S5)</f>
        <v>0</v>
      </c>
      <c r="U14" s="30">
        <f t="shared" si="6"/>
        <v>0</v>
      </c>
      <c r="V14" s="30">
        <f t="shared" si="6"/>
        <v>0</v>
      </c>
      <c r="W14" s="30">
        <f t="shared" si="6"/>
        <v>0</v>
      </c>
      <c r="X14" s="30">
        <f t="shared" si="6"/>
        <v>0</v>
      </c>
      <c r="Y14" s="30">
        <f t="shared" si="6"/>
        <v>0</v>
      </c>
      <c r="Z14" s="30"/>
    </row>
    <row r="15" spans="2:26" x14ac:dyDescent="0.3">
      <c r="B15" t="s">
        <v>72</v>
      </c>
      <c r="C15" s="36">
        <f>SUM(E15:Y15)</f>
        <v>3100.7449757193936</v>
      </c>
      <c r="D15" s="30">
        <f>+D6</f>
        <v>17165.255639097697</v>
      </c>
      <c r="E15" s="30">
        <f t="shared" si="4"/>
        <v>5351.4834913370833</v>
      </c>
      <c r="F15" s="30">
        <f t="shared" si="4"/>
        <v>-430.56559735113478</v>
      </c>
      <c r="G15" s="30">
        <f t="shared" si="4"/>
        <v>169.54710581394465</v>
      </c>
      <c r="H15" s="30">
        <f t="shared" si="4"/>
        <v>-539.60674653213209</v>
      </c>
      <c r="I15" s="30">
        <f t="shared" si="4"/>
        <v>0</v>
      </c>
      <c r="J15" s="30">
        <f t="shared" si="4"/>
        <v>433.3575006693718</v>
      </c>
      <c r="K15" s="30">
        <f t="shared" si="4"/>
        <v>-54.098722227379767</v>
      </c>
      <c r="L15" s="30">
        <f>+IF(L6="",0,L6-K6)</f>
        <v>-1087.514427355989</v>
      </c>
      <c r="M15" s="30">
        <f t="shared" ref="M15:S15" si="7">+IF(M6="",0,M6-L6)</f>
        <v>0</v>
      </c>
      <c r="N15" s="30">
        <f t="shared" si="7"/>
        <v>-448.25824345146248</v>
      </c>
      <c r="O15" s="30">
        <f t="shared" si="7"/>
        <v>-123.3565324316005</v>
      </c>
      <c r="P15" s="30">
        <f t="shared" si="7"/>
        <v>-267.26839831632242</v>
      </c>
      <c r="Q15" s="30">
        <f t="shared" si="7"/>
        <v>97.025545565014909</v>
      </c>
      <c r="R15" s="30">
        <f t="shared" si="7"/>
        <v>0</v>
      </c>
      <c r="S15" s="30">
        <f t="shared" si="7"/>
        <v>0</v>
      </c>
      <c r="T15" s="30">
        <f t="shared" si="6"/>
        <v>0</v>
      </c>
      <c r="U15" s="30">
        <f t="shared" si="6"/>
        <v>0</v>
      </c>
      <c r="V15" s="30">
        <f t="shared" si="6"/>
        <v>0</v>
      </c>
      <c r="W15" s="30">
        <f t="shared" si="6"/>
        <v>0</v>
      </c>
      <c r="X15" s="30">
        <f t="shared" si="6"/>
        <v>0</v>
      </c>
      <c r="Y15" s="30">
        <f t="shared" si="6"/>
        <v>0</v>
      </c>
      <c r="Z15" s="30"/>
    </row>
    <row r="16" spans="2:26" x14ac:dyDescent="0.3"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</row>
    <row r="17" spans="2:25" x14ac:dyDescent="0.3">
      <c r="B17" t="s">
        <v>74</v>
      </c>
      <c r="C17" s="36">
        <f>SUM(E17:Y17)</f>
        <v>3134.1129687066532</v>
      </c>
      <c r="D17" s="30">
        <f t="shared" ref="D17:Q17" si="8">SUM(D14:D15)</f>
        <v>88482.797575406468</v>
      </c>
      <c r="E17" s="30">
        <f t="shared" ref="E17:K17" si="9">SUM(E14:E15)</f>
        <v>4750.1350332891852</v>
      </c>
      <c r="F17" s="30">
        <f t="shared" si="9"/>
        <v>-1881.3367909678091</v>
      </c>
      <c r="G17" s="30">
        <f t="shared" si="9"/>
        <v>-149.08125462102907</v>
      </c>
      <c r="H17" s="30">
        <f t="shared" si="9"/>
        <v>-102.23828025324474</v>
      </c>
      <c r="I17" s="30">
        <f t="shared" si="9"/>
        <v>1984.2346683354262</v>
      </c>
      <c r="J17" s="30">
        <f t="shared" si="9"/>
        <v>3066.2968846319127</v>
      </c>
      <c r="K17" s="30">
        <f t="shared" si="9"/>
        <v>393.50738157036903</v>
      </c>
      <c r="L17" s="30">
        <f t="shared" si="8"/>
        <v>-2244.1429523681763</v>
      </c>
      <c r="M17" s="30">
        <f t="shared" si="8"/>
        <v>-2276.107858243442</v>
      </c>
      <c r="N17" s="30">
        <f t="shared" si="8"/>
        <v>-485.11702216428239</v>
      </c>
      <c r="O17" s="30">
        <f t="shared" si="8"/>
        <v>-262.17210026246903</v>
      </c>
      <c r="P17" s="30">
        <f t="shared" si="8"/>
        <v>402.39061284621857</v>
      </c>
      <c r="Q17" s="30">
        <f t="shared" si="8"/>
        <v>-62.255353086005925</v>
      </c>
      <c r="R17" s="30">
        <f t="shared" ref="R17:Y17" si="10">SUM(R14:R15)</f>
        <v>0</v>
      </c>
      <c r="S17" s="30">
        <f t="shared" si="10"/>
        <v>0</v>
      </c>
      <c r="T17" s="30">
        <f t="shared" si="10"/>
        <v>0</v>
      </c>
      <c r="U17" s="30">
        <f t="shared" si="10"/>
        <v>0</v>
      </c>
      <c r="V17" s="30">
        <f t="shared" si="10"/>
        <v>0</v>
      </c>
      <c r="W17" s="30">
        <f t="shared" si="10"/>
        <v>0</v>
      </c>
      <c r="X17" s="30">
        <f t="shared" si="10"/>
        <v>0</v>
      </c>
      <c r="Y17" s="30">
        <f t="shared" si="10"/>
        <v>0</v>
      </c>
    </row>
    <row r="19" spans="2:25" x14ac:dyDescent="0.3">
      <c r="E19" s="32">
        <f t="shared" ref="E19:S19" si="11">+E17/D8</f>
        <v>5.3684277209262554E-2</v>
      </c>
      <c r="F19" s="32">
        <f t="shared" si="11"/>
        <v>-2.0178886776670377E-2</v>
      </c>
      <c r="G19" s="32">
        <f t="shared" si="11"/>
        <v>-1.631950195139318E-3</v>
      </c>
      <c r="H19" s="32">
        <f t="shared" si="11"/>
        <v>-1.1210028664560758E-3</v>
      </c>
      <c r="I19" s="32">
        <f t="shared" si="11"/>
        <v>2.1780775528876074E-2</v>
      </c>
      <c r="J19" s="32">
        <f t="shared" si="11"/>
        <v>3.2941000100863135E-2</v>
      </c>
      <c r="K19" s="32">
        <f t="shared" si="11"/>
        <v>4.0926060885758684E-3</v>
      </c>
      <c r="L19" s="32">
        <f t="shared" si="11"/>
        <v>-2.3244692836807457E-2</v>
      </c>
      <c r="M19" s="32">
        <f t="shared" si="11"/>
        <v>-2.4136836694705312E-2</v>
      </c>
      <c r="N19" s="32">
        <f t="shared" si="11"/>
        <v>-5.2716322115472936E-3</v>
      </c>
      <c r="O19" s="32">
        <f t="shared" si="11"/>
        <v>-2.8640497597258955E-3</v>
      </c>
      <c r="P19" s="32">
        <f t="shared" si="11"/>
        <v>4.40846657424803E-3</v>
      </c>
      <c r="Q19" s="32">
        <f t="shared" si="11"/>
        <v>-6.790567134501807E-4</v>
      </c>
      <c r="R19" s="32">
        <f t="shared" si="11"/>
        <v>0</v>
      </c>
      <c r="S19" s="32">
        <f t="shared" si="11"/>
        <v>0</v>
      </c>
      <c r="T19" s="32" t="e">
        <f t="shared" ref="T19:Y19" si="12">+T17/S8</f>
        <v>#DIV/0!</v>
      </c>
      <c r="U19" s="32" t="e">
        <f t="shared" si="12"/>
        <v>#DIV/0!</v>
      </c>
      <c r="V19" s="32" t="e">
        <f t="shared" si="12"/>
        <v>#DIV/0!</v>
      </c>
      <c r="W19" s="32" t="e">
        <f t="shared" si="12"/>
        <v>#DIV/0!</v>
      </c>
      <c r="X19" s="32" t="e">
        <f t="shared" si="12"/>
        <v>#DIV/0!</v>
      </c>
      <c r="Y19" s="32" t="e">
        <f t="shared" si="12"/>
        <v>#DIV/0!</v>
      </c>
    </row>
    <row r="21" spans="2:25" x14ac:dyDescent="0.3">
      <c r="C21" s="21">
        <f>SUM(D21:Y21)</f>
        <v>2980298.0999999996</v>
      </c>
      <c r="D21" s="21">
        <f>D17*İcmal!$P$2</f>
        <v>2878345.4051279724</v>
      </c>
      <c r="E21" s="21">
        <f>E17*İcmal!$P$2</f>
        <v>154521.89263289719</v>
      </c>
      <c r="F21" s="21">
        <f>F17*İcmal!$P$2</f>
        <v>-61199.88581018283</v>
      </c>
      <c r="G21" s="21">
        <f>G17*İcmal!$P$2</f>
        <v>-4849.6132128220761</v>
      </c>
      <c r="H21" s="21">
        <f>H17*İcmal!$P$2</f>
        <v>-3325.8112566380514</v>
      </c>
      <c r="I21" s="21">
        <f>I17*İcmal!$P$2</f>
        <v>64547.15376095142</v>
      </c>
      <c r="J21" s="21">
        <f>J17*İcmal!$P$2</f>
        <v>99746.63765707612</v>
      </c>
      <c r="K21" s="21">
        <f>K17*İcmal!$P$2</f>
        <v>12800.795122484105</v>
      </c>
      <c r="L21" s="21">
        <f>L17*İcmal!$P$2</f>
        <v>-73001.970240536772</v>
      </c>
      <c r="M21" s="21">
        <f>M17*İcmal!$P$2</f>
        <v>-74041.788628659167</v>
      </c>
      <c r="N21" s="21">
        <f>N17*İcmal!$P$2</f>
        <v>-15780.856731004107</v>
      </c>
      <c r="O21" s="21">
        <f>O17*İcmal!$P$2</f>
        <v>-8528.4584215381183</v>
      </c>
      <c r="P21" s="21">
        <f>P17*İcmal!$P$2</f>
        <v>13089.76663588749</v>
      </c>
      <c r="Q21" s="21">
        <f>Q17*İcmal!$P$2</f>
        <v>-2025.1666358877728</v>
      </c>
      <c r="R21" s="21">
        <f>R17*İcmal!$P$2</f>
        <v>0</v>
      </c>
      <c r="S21" s="21">
        <f>S17*İcmal!$P$2</f>
        <v>0</v>
      </c>
      <c r="T21" s="21">
        <f>T17*İcmal!$P$2</f>
        <v>0</v>
      </c>
      <c r="U21" s="21">
        <f>U17*İcmal!$P$2</f>
        <v>0</v>
      </c>
      <c r="V21" s="21">
        <f>V17*İcmal!$P$2</f>
        <v>0</v>
      </c>
      <c r="W21" s="21">
        <f>W17*İcmal!$P$2</f>
        <v>0</v>
      </c>
      <c r="X21" s="21">
        <f>X17*İcmal!$P$2</f>
        <v>0</v>
      </c>
      <c r="Y21" s="21">
        <f>Y17*İcmal!$P$2</f>
        <v>0</v>
      </c>
    </row>
    <row r="22" spans="2:25" x14ac:dyDescent="0.3">
      <c r="C22" s="21"/>
      <c r="D22" s="21">
        <f>+D8*30.65</f>
        <v>2711997.7456862079</v>
      </c>
      <c r="E22" s="21">
        <f>+E8*32.42</f>
        <v>3022611.6751739136</v>
      </c>
      <c r="F22" s="21">
        <f>+F8*30.72</f>
        <v>2806321.0235205996</v>
      </c>
      <c r="G22" s="21">
        <f>+G8*30.72</f>
        <v>2801741.2473786413</v>
      </c>
      <c r="H22" s="21">
        <f>+H8*30.72</f>
        <v>2798600.4874092615</v>
      </c>
      <c r="I22" s="21">
        <f>+I8*30.72</f>
        <v>2859556.1764205261</v>
      </c>
      <c r="J22" s="21">
        <f>+J8*32.16</f>
        <v>3092209.9800000004</v>
      </c>
      <c r="K22" s="21">
        <f>+K8*32.2</f>
        <v>3108726.9499999997</v>
      </c>
      <c r="L22" s="21">
        <f>+L8*32.2</f>
        <v>3036465.5469337446</v>
      </c>
      <c r="M22" s="21">
        <f>+M8*32.45</f>
        <v>2986180.89</v>
      </c>
      <c r="N22" s="21">
        <f>+N8*32.5</f>
        <v>2975015.7899999996</v>
      </c>
      <c r="O22" s="21">
        <f t="shared" ref="O22:U22" si="13">+O8*30.72</f>
        <v>2804022.5367353214</v>
      </c>
      <c r="P22" s="21">
        <f t="shared" si="13"/>
        <v>2816383.9763619569</v>
      </c>
      <c r="Q22" s="21">
        <f t="shared" si="13"/>
        <v>2814471.4919151552</v>
      </c>
      <c r="R22" s="21">
        <f t="shared" si="13"/>
        <v>2814471.4919151552</v>
      </c>
      <c r="S22" s="21">
        <f t="shared" si="13"/>
        <v>0</v>
      </c>
      <c r="T22" s="21">
        <f t="shared" si="13"/>
        <v>0</v>
      </c>
      <c r="U22" s="21">
        <f t="shared" si="13"/>
        <v>0</v>
      </c>
      <c r="V22" s="21">
        <f>+V8*32.19</f>
        <v>0</v>
      </c>
      <c r="W22" s="21">
        <f>+W8*32.2</f>
        <v>0</v>
      </c>
      <c r="X22" s="21">
        <f>+X8*32.26</f>
        <v>0</v>
      </c>
      <c r="Y22" s="21">
        <f>+Y8*32.38</f>
        <v>0</v>
      </c>
    </row>
    <row r="26" spans="2:25" x14ac:dyDescent="0.3">
      <c r="C26">
        <v>88482.797575406468</v>
      </c>
    </row>
    <row r="27" spans="2:25" x14ac:dyDescent="0.3">
      <c r="D27" s="62" t="s">
        <v>73</v>
      </c>
      <c r="E27" s="62"/>
      <c r="F27" s="62"/>
      <c r="G27" s="62"/>
      <c r="H27" s="62" t="s">
        <v>72</v>
      </c>
      <c r="I27" s="62"/>
      <c r="J27" s="62" t="s">
        <v>74</v>
      </c>
      <c r="K27" s="62"/>
      <c r="L27" s="62" t="s">
        <v>78</v>
      </c>
      <c r="M27" s="62"/>
    </row>
    <row r="28" spans="2:25" x14ac:dyDescent="0.3">
      <c r="C28" t="s">
        <v>76</v>
      </c>
      <c r="D28" s="30">
        <v>658.03923169028712</v>
      </c>
      <c r="E28" s="30">
        <f>+D28</f>
        <v>658.03923169028712</v>
      </c>
      <c r="F28" s="30"/>
      <c r="G28" s="30"/>
      <c r="H28" s="30">
        <v>727.09196142106157</v>
      </c>
      <c r="I28" s="30">
        <f>+H28</f>
        <v>727.09196142106157</v>
      </c>
      <c r="J28" s="30">
        <f t="shared" ref="J28:J36" si="14">+H28+D28</f>
        <v>1385.1311931113487</v>
      </c>
      <c r="K28" s="30">
        <f>+J28</f>
        <v>1385.1311931113487</v>
      </c>
      <c r="L28" s="38">
        <f t="shared" ref="L28:L38" si="15">+J28/$C$26</f>
        <v>1.5654242757536203E-2</v>
      </c>
      <c r="M28" s="38">
        <f t="shared" ref="M28:M38" si="16">+K28/$C$26</f>
        <v>1.5654242757536203E-2</v>
      </c>
      <c r="O28" s="40">
        <f t="shared" ref="O28:O38" si="17">40000*M28+40000</f>
        <v>40626.169710301445</v>
      </c>
    </row>
    <row r="29" spans="2:25" x14ac:dyDescent="0.3">
      <c r="C29" t="s">
        <v>77</v>
      </c>
      <c r="D29" s="30">
        <v>463.07490824726119</v>
      </c>
      <c r="E29" s="30">
        <f>+D29+E28</f>
        <v>1121.1141399375483</v>
      </c>
      <c r="F29" s="30"/>
      <c r="G29" s="30"/>
      <c r="H29" s="30">
        <v>1138.2410131833458</v>
      </c>
      <c r="I29" s="30">
        <f t="shared" ref="I29:I38" si="18">+H29+I28</f>
        <v>1865.3329746044074</v>
      </c>
      <c r="J29" s="30">
        <f t="shared" si="14"/>
        <v>1601.315921430607</v>
      </c>
      <c r="K29" s="30">
        <f t="shared" ref="K29:K38" si="19">+J29+K28</f>
        <v>2986.4471145419557</v>
      </c>
      <c r="L29" s="38">
        <f t="shared" si="15"/>
        <v>1.8097482960639209E-2</v>
      </c>
      <c r="M29" s="38">
        <f t="shared" si="16"/>
        <v>3.3751725718175411E-2</v>
      </c>
      <c r="O29" s="40">
        <f t="shared" si="17"/>
        <v>41350.069028727019</v>
      </c>
    </row>
    <row r="30" spans="2:25" x14ac:dyDescent="0.3">
      <c r="C30" t="s">
        <v>84</v>
      </c>
      <c r="D30" s="30">
        <v>-750.93537574798756</v>
      </c>
      <c r="E30" s="30">
        <f>+D30+E29</f>
        <v>370.17876418956075</v>
      </c>
      <c r="F30" s="30"/>
      <c r="G30" s="30"/>
      <c r="H30" s="30">
        <v>1581.3973601582293</v>
      </c>
      <c r="I30" s="30">
        <f t="shared" si="18"/>
        <v>3446.7303347626366</v>
      </c>
      <c r="J30" s="30">
        <f t="shared" si="14"/>
        <v>830.46198441024171</v>
      </c>
      <c r="K30" s="30">
        <f t="shared" si="19"/>
        <v>3816.9090989521974</v>
      </c>
      <c r="L30" s="38">
        <f t="shared" si="15"/>
        <v>9.3855755826719716E-3</v>
      </c>
      <c r="M30" s="38">
        <f t="shared" si="16"/>
        <v>4.3137301300847385E-2</v>
      </c>
      <c r="O30" s="40">
        <f t="shared" si="17"/>
        <v>41725.492052033893</v>
      </c>
    </row>
    <row r="31" spans="2:25" x14ac:dyDescent="0.3">
      <c r="C31" t="s">
        <v>86</v>
      </c>
      <c r="D31" s="30">
        <v>-533.68060449562836</v>
      </c>
      <c r="E31" s="30">
        <f t="shared" ref="E31:E38" si="20">+D31+E30</f>
        <v>-163.50184030606761</v>
      </c>
      <c r="F31" s="30"/>
      <c r="G31" s="30"/>
      <c r="H31" s="30">
        <v>1468.9961969247815</v>
      </c>
      <c r="I31" s="30">
        <f t="shared" si="18"/>
        <v>4915.7265316874182</v>
      </c>
      <c r="J31" s="30">
        <f t="shared" si="14"/>
        <v>935.31559242915318</v>
      </c>
      <c r="K31" s="30">
        <f t="shared" si="19"/>
        <v>4752.2246913813506</v>
      </c>
      <c r="L31" s="38">
        <f t="shared" si="15"/>
        <v>1.0570592454788313E-2</v>
      </c>
      <c r="M31" s="38">
        <f t="shared" si="16"/>
        <v>5.3707893755635699E-2</v>
      </c>
      <c r="O31" s="40">
        <f t="shared" si="17"/>
        <v>42148.315750225425</v>
      </c>
    </row>
    <row r="32" spans="2:25" x14ac:dyDescent="0.3">
      <c r="C32" t="s">
        <v>89</v>
      </c>
      <c r="D32" s="30">
        <v>-1588.1563047657692</v>
      </c>
      <c r="E32" s="30">
        <f t="shared" si="20"/>
        <v>-1751.6581450718368</v>
      </c>
      <c r="F32" s="30"/>
      <c r="G32" s="30"/>
      <c r="H32" s="30">
        <v>-840.63293473896556</v>
      </c>
      <c r="I32" s="30">
        <f t="shared" si="18"/>
        <v>4075.0935969484526</v>
      </c>
      <c r="J32" s="30">
        <f t="shared" si="14"/>
        <v>-2428.7892395047347</v>
      </c>
      <c r="K32" s="30">
        <f t="shared" si="19"/>
        <v>2323.4354518766158</v>
      </c>
      <c r="L32" s="38">
        <f t="shared" si="15"/>
        <v>-2.7449281736767889E-2</v>
      </c>
      <c r="M32" s="38">
        <f t="shared" si="16"/>
        <v>2.6258612018867811E-2</v>
      </c>
      <c r="O32" s="40">
        <f t="shared" si="17"/>
        <v>41050.344480754713</v>
      </c>
    </row>
    <row r="33" spans="3:15" x14ac:dyDescent="0.3">
      <c r="C33" t="s">
        <v>93</v>
      </c>
      <c r="D33" s="30">
        <v>-2588.2266678991145</v>
      </c>
      <c r="E33" s="30">
        <f t="shared" si="20"/>
        <v>-4339.8848129709513</v>
      </c>
      <c r="F33" s="30"/>
      <c r="G33" s="30"/>
      <c r="H33" s="30">
        <v>882.31701434410934</v>
      </c>
      <c r="I33" s="30">
        <f t="shared" si="18"/>
        <v>4957.410611292562</v>
      </c>
      <c r="J33" s="30">
        <f t="shared" si="14"/>
        <v>-1705.9096535550052</v>
      </c>
      <c r="K33" s="30">
        <f t="shared" si="19"/>
        <v>617.52579832161064</v>
      </c>
      <c r="L33" s="38">
        <f t="shared" si="15"/>
        <v>-1.9279562811078635E-2</v>
      </c>
      <c r="M33" s="38">
        <f t="shared" si="16"/>
        <v>6.9790492077891775E-3</v>
      </c>
      <c r="O33" s="40">
        <f t="shared" si="17"/>
        <v>40279.161968311564</v>
      </c>
    </row>
    <row r="34" spans="3:15" x14ac:dyDescent="0.3">
      <c r="C34" t="s">
        <v>113</v>
      </c>
      <c r="D34" s="30">
        <v>2022.5289454105368</v>
      </c>
      <c r="E34" s="30">
        <f t="shared" si="20"/>
        <v>-2317.3558675604145</v>
      </c>
      <c r="F34" s="30"/>
      <c r="G34" s="30"/>
      <c r="H34" s="30">
        <v>454.73418184191178</v>
      </c>
      <c r="I34" s="30">
        <f t="shared" si="18"/>
        <v>5412.1447931344737</v>
      </c>
      <c r="J34" s="30">
        <f t="shared" si="14"/>
        <v>2477.2631272524486</v>
      </c>
      <c r="K34" s="30">
        <f t="shared" si="19"/>
        <v>3094.7889255740592</v>
      </c>
      <c r="L34" s="38">
        <f t="shared" si="15"/>
        <v>2.7997115768647402E-2</v>
      </c>
      <c r="M34" s="38">
        <f t="shared" si="16"/>
        <v>3.4976164976436581E-2</v>
      </c>
      <c r="O34" s="40">
        <f t="shared" si="17"/>
        <v>41399.046599057467</v>
      </c>
    </row>
    <row r="35" spans="3:15" x14ac:dyDescent="0.3">
      <c r="C35" t="s">
        <v>115</v>
      </c>
      <c r="D35" s="30">
        <v>3716.6715815576463</v>
      </c>
      <c r="E35" s="30">
        <f t="shared" si="20"/>
        <v>1399.3157139972318</v>
      </c>
      <c r="F35" s="30"/>
      <c r="G35" s="30"/>
      <c r="H35" s="30">
        <v>-569.38171148334004</v>
      </c>
      <c r="I35" s="30">
        <f t="shared" si="18"/>
        <v>4842.7630816511337</v>
      </c>
      <c r="J35" s="30">
        <f t="shared" si="14"/>
        <v>3147.2898700743062</v>
      </c>
      <c r="K35" s="30">
        <f t="shared" si="19"/>
        <v>6242.0787956483655</v>
      </c>
      <c r="L35" s="38">
        <f t="shared" si="15"/>
        <v>3.5569511321024122E-2</v>
      </c>
      <c r="M35" s="38">
        <f t="shared" si="16"/>
        <v>7.0545676297460697E-2</v>
      </c>
      <c r="O35" s="40">
        <f t="shared" si="17"/>
        <v>42821.827051898428</v>
      </c>
    </row>
    <row r="36" spans="3:15" x14ac:dyDescent="0.3">
      <c r="C36" t="s">
        <v>130</v>
      </c>
      <c r="D36" s="30">
        <v>193.62335781626462</v>
      </c>
      <c r="E36" s="30">
        <f t="shared" si="20"/>
        <v>1592.9390718134964</v>
      </c>
      <c r="F36" s="30"/>
      <c r="G36" s="30"/>
      <c r="H36" s="30">
        <v>87.353950058619375</v>
      </c>
      <c r="I36" s="30">
        <f t="shared" si="18"/>
        <v>4930.1170317097531</v>
      </c>
      <c r="J36" s="30">
        <f t="shared" si="14"/>
        <v>280.97730787488399</v>
      </c>
      <c r="K36" s="30">
        <f t="shared" si="19"/>
        <v>6523.0561035232495</v>
      </c>
      <c r="L36" s="38">
        <f t="shared" si="15"/>
        <v>3.1755020814687803E-3</v>
      </c>
      <c r="M36" s="38">
        <f t="shared" si="16"/>
        <v>7.3721178378929483E-2</v>
      </c>
      <c r="O36" s="40">
        <f t="shared" si="17"/>
        <v>42948.847135157179</v>
      </c>
    </row>
    <row r="37" spans="3:15" x14ac:dyDescent="0.3">
      <c r="C37" t="s">
        <v>132</v>
      </c>
      <c r="D37" s="30">
        <v>-1400.2901801752159</v>
      </c>
      <c r="E37" s="30">
        <f t="shared" si="20"/>
        <v>192.64889163828047</v>
      </c>
      <c r="F37" s="30"/>
      <c r="G37" s="30"/>
      <c r="H37" s="30">
        <v>-1926.3976015553744</v>
      </c>
      <c r="I37" s="30">
        <f t="shared" si="18"/>
        <v>3003.7194301543786</v>
      </c>
      <c r="J37" s="30">
        <f>+$C$17-K36</f>
        <v>-3388.9431348165963</v>
      </c>
      <c r="K37" s="30">
        <f t="shared" si="19"/>
        <v>3134.1129687066532</v>
      </c>
      <c r="L37" s="38">
        <f t="shared" si="15"/>
        <v>-3.8300587545601554E-2</v>
      </c>
      <c r="M37" s="38">
        <f t="shared" si="16"/>
        <v>3.5420590833327929E-2</v>
      </c>
      <c r="O37" s="40">
        <f t="shared" si="17"/>
        <v>41416.823633333115</v>
      </c>
    </row>
    <row r="38" spans="3:15" x14ac:dyDescent="0.3">
      <c r="C38" t="s">
        <v>133</v>
      </c>
      <c r="D38" s="30">
        <f>+$C$14-E37</f>
        <v>-159.28089865102083</v>
      </c>
      <c r="E38" s="30">
        <f t="shared" si="20"/>
        <v>33.36799298725964</v>
      </c>
      <c r="F38" s="30"/>
      <c r="G38" s="30"/>
      <c r="H38" s="30">
        <f>+$C$15-I37</f>
        <v>97.025545565014909</v>
      </c>
      <c r="I38" s="30">
        <f t="shared" si="18"/>
        <v>3100.7449757193936</v>
      </c>
      <c r="J38" s="30">
        <f>+$C$17-K37</f>
        <v>0</v>
      </c>
      <c r="K38" s="30">
        <f t="shared" si="19"/>
        <v>3134.1129687066532</v>
      </c>
      <c r="L38" s="38">
        <f t="shared" si="15"/>
        <v>0</v>
      </c>
      <c r="M38" s="38">
        <f t="shared" si="16"/>
        <v>3.5420590833327929E-2</v>
      </c>
      <c r="O38" s="40">
        <f t="shared" si="17"/>
        <v>41416.823633333115</v>
      </c>
    </row>
    <row r="39" spans="3:15" x14ac:dyDescent="0.3">
      <c r="D39" s="30">
        <f t="shared" ref="D39:D50" si="21">+$C$14-E38</f>
        <v>0</v>
      </c>
      <c r="E39" s="30">
        <f t="shared" ref="E39:E50" si="22">+D39+E38</f>
        <v>33.36799298725964</v>
      </c>
      <c r="F39" s="30"/>
      <c r="G39" s="30"/>
      <c r="H39" s="30">
        <f t="shared" ref="H39:H50" si="23">+$C$15-I38</f>
        <v>0</v>
      </c>
      <c r="I39" s="30">
        <f t="shared" ref="I39:I50" si="24">+H39+I38</f>
        <v>3100.7449757193936</v>
      </c>
      <c r="J39" s="30">
        <f t="shared" ref="J39:J50" si="25">+$C$17-K38</f>
        <v>0</v>
      </c>
      <c r="K39" s="30">
        <f t="shared" ref="K39:K50" si="26">+J39+K38</f>
        <v>3134.1129687066532</v>
      </c>
      <c r="L39" s="38">
        <f t="shared" ref="L39:L50" si="27">+J39/$C$26</f>
        <v>0</v>
      </c>
      <c r="M39" s="38">
        <f t="shared" ref="M39:M50" si="28">+K39/$C$26</f>
        <v>3.5420590833327929E-2</v>
      </c>
      <c r="O39" s="40">
        <f t="shared" ref="O39:O50" si="29">40000*M39+40000</f>
        <v>41416.823633333115</v>
      </c>
    </row>
    <row r="40" spans="3:15" x14ac:dyDescent="0.3">
      <c r="D40" s="30">
        <f t="shared" si="21"/>
        <v>0</v>
      </c>
      <c r="E40" s="30">
        <f t="shared" si="22"/>
        <v>33.36799298725964</v>
      </c>
      <c r="F40" s="30"/>
      <c r="G40" s="30"/>
      <c r="H40" s="30">
        <f t="shared" si="23"/>
        <v>0</v>
      </c>
      <c r="I40" s="30">
        <f t="shared" si="24"/>
        <v>3100.7449757193936</v>
      </c>
      <c r="J40" s="30">
        <f t="shared" si="25"/>
        <v>0</v>
      </c>
      <c r="K40" s="30">
        <f t="shared" si="26"/>
        <v>3134.1129687066532</v>
      </c>
      <c r="L40" s="38">
        <f t="shared" si="27"/>
        <v>0</v>
      </c>
      <c r="M40" s="38">
        <f t="shared" si="28"/>
        <v>3.5420590833327929E-2</v>
      </c>
      <c r="O40" s="40">
        <f t="shared" si="29"/>
        <v>41416.823633333115</v>
      </c>
    </row>
    <row r="41" spans="3:15" x14ac:dyDescent="0.3">
      <c r="D41" s="30">
        <f t="shared" si="21"/>
        <v>0</v>
      </c>
      <c r="E41" s="30">
        <f t="shared" si="22"/>
        <v>33.36799298725964</v>
      </c>
      <c r="F41" s="30"/>
      <c r="G41" s="30"/>
      <c r="H41" s="30">
        <f t="shared" si="23"/>
        <v>0</v>
      </c>
      <c r="I41" s="30">
        <f t="shared" si="24"/>
        <v>3100.7449757193936</v>
      </c>
      <c r="J41" s="30">
        <f t="shared" si="25"/>
        <v>0</v>
      </c>
      <c r="K41" s="30">
        <f t="shared" si="26"/>
        <v>3134.1129687066532</v>
      </c>
      <c r="L41" s="38">
        <f t="shared" si="27"/>
        <v>0</v>
      </c>
      <c r="M41" s="38">
        <f t="shared" si="28"/>
        <v>3.5420590833327929E-2</v>
      </c>
      <c r="O41" s="40">
        <f t="shared" si="29"/>
        <v>41416.823633333115</v>
      </c>
    </row>
    <row r="42" spans="3:15" x14ac:dyDescent="0.3">
      <c r="D42" s="30">
        <f t="shared" si="21"/>
        <v>0</v>
      </c>
      <c r="E42" s="30">
        <f t="shared" si="22"/>
        <v>33.36799298725964</v>
      </c>
      <c r="F42" s="30"/>
      <c r="G42" s="30"/>
      <c r="H42" s="30">
        <f t="shared" si="23"/>
        <v>0</v>
      </c>
      <c r="I42" s="30">
        <f t="shared" si="24"/>
        <v>3100.7449757193936</v>
      </c>
      <c r="J42" s="30">
        <f t="shared" si="25"/>
        <v>0</v>
      </c>
      <c r="K42" s="30">
        <f t="shared" si="26"/>
        <v>3134.1129687066532</v>
      </c>
      <c r="L42" s="38">
        <f t="shared" si="27"/>
        <v>0</v>
      </c>
      <c r="M42" s="38">
        <f t="shared" si="28"/>
        <v>3.5420590833327929E-2</v>
      </c>
      <c r="O42" s="40">
        <f t="shared" si="29"/>
        <v>41416.823633333115</v>
      </c>
    </row>
    <row r="43" spans="3:15" x14ac:dyDescent="0.3">
      <c r="D43" s="30">
        <f t="shared" si="21"/>
        <v>0</v>
      </c>
      <c r="E43" s="30">
        <f t="shared" si="22"/>
        <v>33.36799298725964</v>
      </c>
      <c r="F43" s="30"/>
      <c r="G43" s="30"/>
      <c r="H43" s="30">
        <f t="shared" si="23"/>
        <v>0</v>
      </c>
      <c r="I43" s="30">
        <f t="shared" si="24"/>
        <v>3100.7449757193936</v>
      </c>
      <c r="J43" s="30">
        <f t="shared" si="25"/>
        <v>0</v>
      </c>
      <c r="K43" s="30">
        <f t="shared" si="26"/>
        <v>3134.1129687066532</v>
      </c>
      <c r="L43" s="38">
        <f t="shared" si="27"/>
        <v>0</v>
      </c>
      <c r="M43" s="38">
        <f t="shared" si="28"/>
        <v>3.5420590833327929E-2</v>
      </c>
      <c r="O43" s="40">
        <f t="shared" si="29"/>
        <v>41416.823633333115</v>
      </c>
    </row>
    <row r="44" spans="3:15" x14ac:dyDescent="0.3">
      <c r="D44" s="30">
        <f t="shared" si="21"/>
        <v>0</v>
      </c>
      <c r="E44" s="30">
        <f t="shared" si="22"/>
        <v>33.36799298725964</v>
      </c>
      <c r="F44" s="30"/>
      <c r="G44" s="30"/>
      <c r="H44" s="30">
        <f t="shared" si="23"/>
        <v>0</v>
      </c>
      <c r="I44" s="30">
        <f t="shared" si="24"/>
        <v>3100.7449757193936</v>
      </c>
      <c r="J44" s="30">
        <f t="shared" si="25"/>
        <v>0</v>
      </c>
      <c r="K44" s="30">
        <f t="shared" si="26"/>
        <v>3134.1129687066532</v>
      </c>
      <c r="L44" s="38">
        <f t="shared" si="27"/>
        <v>0</v>
      </c>
      <c r="M44" s="38">
        <f t="shared" si="28"/>
        <v>3.5420590833327929E-2</v>
      </c>
      <c r="O44" s="40">
        <f t="shared" si="29"/>
        <v>41416.823633333115</v>
      </c>
    </row>
    <row r="45" spans="3:15" x14ac:dyDescent="0.3">
      <c r="D45" s="30">
        <f t="shared" si="21"/>
        <v>0</v>
      </c>
      <c r="E45" s="30">
        <f t="shared" si="22"/>
        <v>33.36799298725964</v>
      </c>
      <c r="F45" s="30"/>
      <c r="G45" s="30"/>
      <c r="H45" s="30">
        <f t="shared" si="23"/>
        <v>0</v>
      </c>
      <c r="I45" s="30">
        <f t="shared" si="24"/>
        <v>3100.7449757193936</v>
      </c>
      <c r="J45" s="30">
        <f t="shared" si="25"/>
        <v>0</v>
      </c>
      <c r="K45" s="30">
        <f t="shared" si="26"/>
        <v>3134.1129687066532</v>
      </c>
      <c r="L45" s="38">
        <f t="shared" si="27"/>
        <v>0</v>
      </c>
      <c r="M45" s="38">
        <f t="shared" si="28"/>
        <v>3.5420590833327929E-2</v>
      </c>
      <c r="O45" s="40">
        <f t="shared" si="29"/>
        <v>41416.823633333115</v>
      </c>
    </row>
    <row r="46" spans="3:15" x14ac:dyDescent="0.3">
      <c r="D46" s="30">
        <f t="shared" si="21"/>
        <v>0</v>
      </c>
      <c r="E46" s="30">
        <f t="shared" si="22"/>
        <v>33.36799298725964</v>
      </c>
      <c r="F46" s="30"/>
      <c r="G46" s="30"/>
      <c r="H46" s="30">
        <f t="shared" si="23"/>
        <v>0</v>
      </c>
      <c r="I46" s="30">
        <f t="shared" si="24"/>
        <v>3100.7449757193936</v>
      </c>
      <c r="J46" s="30">
        <f t="shared" si="25"/>
        <v>0</v>
      </c>
      <c r="K46" s="30">
        <f t="shared" si="26"/>
        <v>3134.1129687066532</v>
      </c>
      <c r="L46" s="38">
        <f t="shared" si="27"/>
        <v>0</v>
      </c>
      <c r="M46" s="38">
        <f t="shared" si="28"/>
        <v>3.5420590833327929E-2</v>
      </c>
      <c r="O46" s="40">
        <f t="shared" si="29"/>
        <v>41416.823633333115</v>
      </c>
    </row>
    <row r="47" spans="3:15" x14ac:dyDescent="0.3">
      <c r="D47" s="30">
        <f t="shared" si="21"/>
        <v>0</v>
      </c>
      <c r="E47" s="30">
        <f t="shared" si="22"/>
        <v>33.36799298725964</v>
      </c>
      <c r="F47" s="30"/>
      <c r="G47" s="30"/>
      <c r="H47" s="30">
        <f t="shared" si="23"/>
        <v>0</v>
      </c>
      <c r="I47" s="30">
        <f t="shared" si="24"/>
        <v>3100.7449757193936</v>
      </c>
      <c r="J47" s="30">
        <f t="shared" si="25"/>
        <v>0</v>
      </c>
      <c r="K47" s="30">
        <f t="shared" si="26"/>
        <v>3134.1129687066532</v>
      </c>
      <c r="L47" s="38">
        <f t="shared" si="27"/>
        <v>0</v>
      </c>
      <c r="M47" s="38">
        <f t="shared" si="28"/>
        <v>3.5420590833327929E-2</v>
      </c>
      <c r="O47" s="40">
        <f t="shared" si="29"/>
        <v>41416.823633333115</v>
      </c>
    </row>
    <row r="48" spans="3:15" x14ac:dyDescent="0.3">
      <c r="D48" s="30">
        <f t="shared" si="21"/>
        <v>0</v>
      </c>
      <c r="E48" s="30">
        <f t="shared" si="22"/>
        <v>33.36799298725964</v>
      </c>
      <c r="F48" s="30"/>
      <c r="G48" s="30"/>
      <c r="H48" s="30">
        <f t="shared" si="23"/>
        <v>0</v>
      </c>
      <c r="I48" s="30">
        <f t="shared" si="24"/>
        <v>3100.7449757193936</v>
      </c>
      <c r="J48" s="30">
        <f t="shared" si="25"/>
        <v>0</v>
      </c>
      <c r="K48" s="30">
        <f t="shared" si="26"/>
        <v>3134.1129687066532</v>
      </c>
      <c r="L48" s="38">
        <f t="shared" si="27"/>
        <v>0</v>
      </c>
      <c r="M48" s="38">
        <f t="shared" si="28"/>
        <v>3.5420590833327929E-2</v>
      </c>
      <c r="O48" s="40">
        <f t="shared" si="29"/>
        <v>41416.823633333115</v>
      </c>
    </row>
    <row r="49" spans="4:20" ht="21" x14ac:dyDescent="0.4">
      <c r="D49" s="30">
        <f t="shared" si="21"/>
        <v>0</v>
      </c>
      <c r="E49" s="30">
        <f t="shared" si="22"/>
        <v>33.36799298725964</v>
      </c>
      <c r="F49" s="30"/>
      <c r="G49" s="30"/>
      <c r="H49" s="30">
        <f t="shared" si="23"/>
        <v>0</v>
      </c>
      <c r="I49" s="30">
        <f t="shared" si="24"/>
        <v>3100.7449757193936</v>
      </c>
      <c r="J49" s="30">
        <f t="shared" si="25"/>
        <v>0</v>
      </c>
      <c r="K49" s="30">
        <f t="shared" si="26"/>
        <v>3134.1129687066532</v>
      </c>
      <c r="L49" s="38">
        <f t="shared" si="27"/>
        <v>0</v>
      </c>
      <c r="M49" s="38">
        <f t="shared" si="28"/>
        <v>3.5420590833327929E-2</v>
      </c>
      <c r="O49" s="40">
        <f t="shared" si="29"/>
        <v>41416.823633333115</v>
      </c>
      <c r="Q49" s="61">
        <f>+Q51+T51</f>
        <v>11304.1</v>
      </c>
    </row>
    <row r="50" spans="4:20" x14ac:dyDescent="0.3">
      <c r="D50" s="30">
        <f t="shared" si="21"/>
        <v>0</v>
      </c>
      <c r="E50" s="30">
        <f t="shared" si="22"/>
        <v>33.36799298725964</v>
      </c>
      <c r="F50" s="30"/>
      <c r="G50" s="30"/>
      <c r="H50" s="30">
        <f t="shared" si="23"/>
        <v>0</v>
      </c>
      <c r="I50" s="30">
        <f t="shared" si="24"/>
        <v>3100.7449757193936</v>
      </c>
      <c r="J50" s="30">
        <f t="shared" si="25"/>
        <v>0</v>
      </c>
      <c r="K50" s="30">
        <f t="shared" si="26"/>
        <v>3134.1129687066532</v>
      </c>
      <c r="L50" s="38">
        <f t="shared" si="27"/>
        <v>0</v>
      </c>
      <c r="M50" s="38">
        <f t="shared" si="28"/>
        <v>3.5420590833327929E-2</v>
      </c>
      <c r="O50" s="40">
        <f t="shared" si="29"/>
        <v>41416.823633333115</v>
      </c>
    </row>
    <row r="51" spans="4:20" ht="22.5" customHeight="1" x14ac:dyDescent="0.4">
      <c r="D51" s="30"/>
      <c r="E51" s="30"/>
      <c r="F51" s="30"/>
      <c r="G51" s="30"/>
      <c r="H51" s="30"/>
      <c r="I51" s="30"/>
      <c r="Q51" s="61">
        <f>SUM(Q53:Q60)</f>
        <v>12176.2</v>
      </c>
      <c r="T51" s="61">
        <f>SUM(T53:T60)</f>
        <v>-872.09999999999991</v>
      </c>
    </row>
    <row r="52" spans="4:20" x14ac:dyDescent="0.3">
      <c r="O52" s="31" t="s">
        <v>123</v>
      </c>
      <c r="P52" s="31" t="s">
        <v>124</v>
      </c>
      <c r="Q52" s="31" t="s">
        <v>125</v>
      </c>
    </row>
    <row r="53" spans="4:20" x14ac:dyDescent="0.3">
      <c r="G53" s="60">
        <v>1</v>
      </c>
      <c r="I53" s="31" t="s">
        <v>121</v>
      </c>
      <c r="J53" s="31" t="s">
        <v>116</v>
      </c>
      <c r="O53" s="60">
        <v>70</v>
      </c>
      <c r="P53" s="60">
        <v>13.49</v>
      </c>
      <c r="Q53" s="60">
        <f t="shared" ref="Q53:Q60" si="30">+P53*O53</f>
        <v>944.30000000000007</v>
      </c>
      <c r="R53" s="60"/>
      <c r="S53" s="60">
        <v>12.8</v>
      </c>
      <c r="T53" s="60">
        <f>(S53-P53)*O53</f>
        <v>-48.299999999999969</v>
      </c>
    </row>
    <row r="54" spans="4:20" x14ac:dyDescent="0.3">
      <c r="G54" s="60">
        <v>1</v>
      </c>
      <c r="I54" s="31" t="s">
        <v>122</v>
      </c>
      <c r="J54" s="31" t="s">
        <v>116</v>
      </c>
      <c r="O54" s="60">
        <v>20</v>
      </c>
      <c r="P54" s="60">
        <v>45.64</v>
      </c>
      <c r="Q54" s="60">
        <f t="shared" si="30"/>
        <v>912.8</v>
      </c>
      <c r="R54" s="60"/>
      <c r="S54" s="60">
        <v>41.78</v>
      </c>
      <c r="T54" s="60">
        <f t="shared" ref="T54:T60" si="31">(S54-P54)*O54</f>
        <v>-77.199999999999989</v>
      </c>
    </row>
    <row r="55" spans="4:20" x14ac:dyDescent="0.3">
      <c r="G55" s="60">
        <v>1</v>
      </c>
      <c r="I55" s="31" t="s">
        <v>117</v>
      </c>
      <c r="J55" s="31" t="s">
        <v>116</v>
      </c>
      <c r="O55" s="60">
        <v>4</v>
      </c>
      <c r="P55" s="60">
        <v>301.5</v>
      </c>
      <c r="Q55" s="60">
        <f t="shared" si="30"/>
        <v>1206</v>
      </c>
      <c r="S55" s="60">
        <v>289.75</v>
      </c>
      <c r="T55" s="60">
        <f t="shared" si="31"/>
        <v>-47</v>
      </c>
    </row>
    <row r="56" spans="4:20" x14ac:dyDescent="0.3">
      <c r="G56" s="60">
        <v>4</v>
      </c>
      <c r="I56" s="31" t="s">
        <v>118</v>
      </c>
      <c r="J56" s="31" t="s">
        <v>116</v>
      </c>
      <c r="K56" s="31" t="s">
        <v>116</v>
      </c>
      <c r="L56" s="31" t="s">
        <v>116</v>
      </c>
      <c r="M56" s="31" t="s">
        <v>116</v>
      </c>
      <c r="O56" s="60">
        <v>320</v>
      </c>
      <c r="P56" s="60">
        <v>16.518750000000001</v>
      </c>
      <c r="Q56" s="60">
        <f t="shared" si="30"/>
        <v>5286</v>
      </c>
      <c r="S56" s="60">
        <v>16.100000000000001</v>
      </c>
      <c r="T56" s="60">
        <f t="shared" si="31"/>
        <v>-133.99999999999977</v>
      </c>
    </row>
    <row r="57" spans="4:20" x14ac:dyDescent="0.3">
      <c r="G57" s="60">
        <v>1</v>
      </c>
      <c r="I57" s="31" t="s">
        <v>120</v>
      </c>
      <c r="J57" s="31" t="s">
        <v>116</v>
      </c>
      <c r="O57" s="60">
        <v>60</v>
      </c>
      <c r="P57" s="60">
        <v>17.5</v>
      </c>
      <c r="Q57" s="60">
        <f t="shared" si="30"/>
        <v>1050</v>
      </c>
      <c r="S57" s="60">
        <v>17.47</v>
      </c>
      <c r="T57" s="60">
        <f t="shared" si="31"/>
        <v>-1.8000000000000682</v>
      </c>
    </row>
    <row r="58" spans="4:20" x14ac:dyDescent="0.3">
      <c r="G58" s="60">
        <v>1</v>
      </c>
      <c r="I58" s="31" t="s">
        <v>119</v>
      </c>
      <c r="J58" s="31" t="s">
        <v>116</v>
      </c>
      <c r="O58" s="60">
        <v>25</v>
      </c>
      <c r="P58" s="60">
        <v>45.06</v>
      </c>
      <c r="Q58" s="60">
        <f t="shared" si="30"/>
        <v>1126.5</v>
      </c>
      <c r="S58" s="60">
        <v>43.22</v>
      </c>
      <c r="T58" s="60">
        <f t="shared" si="31"/>
        <v>-46.000000000000085</v>
      </c>
    </row>
    <row r="59" spans="4:20" x14ac:dyDescent="0.3">
      <c r="G59" s="60"/>
      <c r="I59" s="31" t="s">
        <v>126</v>
      </c>
      <c r="O59" s="60">
        <v>10</v>
      </c>
      <c r="P59" s="60">
        <v>40.56</v>
      </c>
      <c r="Q59" s="60">
        <f t="shared" si="30"/>
        <v>405.6</v>
      </c>
      <c r="S59" s="60">
        <v>34.979999999999997</v>
      </c>
      <c r="T59" s="60">
        <f t="shared" si="31"/>
        <v>-55.800000000000054</v>
      </c>
    </row>
    <row r="60" spans="4:20" x14ac:dyDescent="0.3">
      <c r="G60" s="60"/>
      <c r="I60" s="31" t="s">
        <v>127</v>
      </c>
      <c r="O60" s="60">
        <v>100</v>
      </c>
      <c r="P60" s="60">
        <v>12.45</v>
      </c>
      <c r="Q60" s="60">
        <f t="shared" si="30"/>
        <v>1245</v>
      </c>
      <c r="S60" s="60">
        <v>7.83</v>
      </c>
      <c r="T60" s="60">
        <f t="shared" si="31"/>
        <v>-461.99999999999994</v>
      </c>
    </row>
    <row r="61" spans="4:20" x14ac:dyDescent="0.3">
      <c r="G61" s="60"/>
      <c r="O61" s="60"/>
      <c r="P61" s="60"/>
      <c r="Q61" s="60"/>
      <c r="S61" s="60"/>
      <c r="T61" s="60"/>
    </row>
    <row r="62" spans="4:20" x14ac:dyDescent="0.3">
      <c r="G62" s="60"/>
      <c r="O62" s="60"/>
      <c r="P62" s="60"/>
      <c r="Q62" s="60"/>
      <c r="S62" s="60"/>
      <c r="T62" s="60"/>
    </row>
    <row r="63" spans="4:20" x14ac:dyDescent="0.3">
      <c r="G63" s="60"/>
      <c r="O63" s="60"/>
      <c r="P63" s="60"/>
      <c r="Q63" s="60"/>
      <c r="S63" s="60"/>
      <c r="T63" s="60"/>
    </row>
    <row r="64" spans="4:20" x14ac:dyDescent="0.3">
      <c r="G64" s="60"/>
      <c r="O64" s="60"/>
      <c r="P64" s="60"/>
      <c r="Q64" s="60"/>
      <c r="S64" s="60"/>
      <c r="T64" s="60"/>
    </row>
  </sheetData>
  <mergeCells count="5">
    <mergeCell ref="L27:M27"/>
    <mergeCell ref="D27:E27"/>
    <mergeCell ref="F27:G27"/>
    <mergeCell ref="H27:I27"/>
    <mergeCell ref="J27:K27"/>
  </mergeCells>
  <conditionalFormatting sqref="C14:Y17">
    <cfRule type="colorScale" priority="1">
      <colorScale>
        <cfvo type="num" val="-1000"/>
        <cfvo type="num" val="0"/>
        <cfvo type="num" val="1000"/>
        <color rgb="FFFFC1C1"/>
        <color theme="0"/>
        <color rgb="FFABFFD1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57A48-4025-447E-9063-B132391DC731}">
  <dimension ref="B1:AD71"/>
  <sheetViews>
    <sheetView showGridLines="0" topLeftCell="D1" workbookViewId="0">
      <pane ySplit="2" topLeftCell="A3" activePane="bottomLeft" state="frozen"/>
      <selection pane="bottomLeft" activeCell="P3" sqref="P3"/>
    </sheetView>
  </sheetViews>
  <sheetFormatPr defaultColWidth="8.88671875" defaultRowHeight="21" customHeight="1" x14ac:dyDescent="0.3"/>
  <cols>
    <col min="1" max="1" width="1.44140625" style="13" customWidth="1"/>
    <col min="2" max="2" width="12" style="19" customWidth="1"/>
    <col min="3" max="3" width="7.88671875" style="14" customWidth="1"/>
    <col min="4" max="4" width="12.33203125" style="19" customWidth="1"/>
    <col min="5" max="5" width="12.33203125" style="13" customWidth="1"/>
    <col min="6" max="6" width="15.6640625" style="19" customWidth="1"/>
    <col min="7" max="7" width="14.6640625" style="19" customWidth="1"/>
    <col min="8" max="8" width="14.6640625" style="38" customWidth="1"/>
    <col min="9" max="9" width="10.5546875" style="48" customWidth="1"/>
    <col min="10" max="10" width="14.6640625" style="51" hidden="1" customWidth="1"/>
    <col min="11" max="11" width="11.6640625" style="53" customWidth="1"/>
    <col min="12" max="12" width="11.6640625" style="56" customWidth="1"/>
    <col min="13" max="14" width="11.6640625" style="19" customWidth="1"/>
    <col min="15" max="15" width="8.88671875" style="13"/>
    <col min="16" max="16" width="18.6640625" style="13" bestFit="1" customWidth="1"/>
    <col min="17" max="17" width="10.44140625" style="13" customWidth="1"/>
    <col min="18" max="18" width="19.6640625" style="13" bestFit="1" customWidth="1"/>
    <col min="19" max="19" width="19.6640625" style="13" customWidth="1"/>
    <col min="20" max="20" width="5.33203125" style="13" customWidth="1"/>
    <col min="21" max="21" width="17.6640625" style="13" bestFit="1" customWidth="1"/>
    <col min="22" max="22" width="10.33203125" style="13" bestFit="1" customWidth="1"/>
    <col min="23" max="23" width="8.88671875" style="13"/>
    <col min="24" max="24" width="19.109375" style="13" bestFit="1" customWidth="1"/>
    <col min="25" max="27" width="8.88671875" style="13"/>
    <col min="28" max="28" width="10.109375" style="13" customWidth="1"/>
    <col min="29" max="16384" width="8.88671875" style="13"/>
  </cols>
  <sheetData>
    <row r="1" spans="2:30" ht="16.2" customHeight="1" x14ac:dyDescent="0.3"/>
    <row r="2" spans="2:30" s="15" customFormat="1" ht="28.8" x14ac:dyDescent="0.3">
      <c r="B2" s="15" t="s">
        <v>5</v>
      </c>
      <c r="C2" s="16" t="s">
        <v>4</v>
      </c>
      <c r="D2" s="16" t="s">
        <v>7</v>
      </c>
      <c r="E2" s="16" t="s">
        <v>10</v>
      </c>
      <c r="F2" s="16" t="s">
        <v>11</v>
      </c>
      <c r="G2" s="16" t="s">
        <v>12</v>
      </c>
      <c r="H2" s="50" t="s">
        <v>98</v>
      </c>
      <c r="I2" s="47" t="s">
        <v>94</v>
      </c>
      <c r="J2" s="52" t="s">
        <v>110</v>
      </c>
      <c r="K2" s="16" t="s">
        <v>97</v>
      </c>
      <c r="L2" s="55" t="s">
        <v>108</v>
      </c>
      <c r="M2" s="15" t="s">
        <v>109</v>
      </c>
      <c r="N2" s="16" t="s">
        <v>111</v>
      </c>
      <c r="P2" s="23">
        <v>32.53</v>
      </c>
      <c r="V2" s="26"/>
      <c r="X2" s="23"/>
    </row>
    <row r="3" spans="2:30" s="15" customFormat="1" ht="18" x14ac:dyDescent="0.3">
      <c r="B3" s="42" t="s">
        <v>92</v>
      </c>
      <c r="C3" s="43">
        <f>+ADESE!C1</f>
        <v>4200</v>
      </c>
      <c r="D3" s="44">
        <f>+ADESE!F1</f>
        <v>2.6280952380952383</v>
      </c>
      <c r="E3" s="44">
        <v>2.33</v>
      </c>
      <c r="F3" s="21">
        <f>E3*C3</f>
        <v>9786</v>
      </c>
      <c r="G3" s="44">
        <f>+ADESE!G1</f>
        <v>-1252.0000000000005</v>
      </c>
      <c r="H3" s="50">
        <f>IFERROR(Tablo2[[#This Row],[FİYAT]]/Tablo2[[#This Row],[MALİYET]]-1,"")</f>
        <v>-0.11342634535241891</v>
      </c>
      <c r="I3" s="47">
        <f>+ADESE!$K$2/ADESE!$J$2</f>
        <v>0.60166000614817083</v>
      </c>
      <c r="J3" s="52">
        <f>IF(Tablo2[[#This Row],[MALİYET]]&lt;1,6,IF(Tablo2[[#This Row],[HEDEF]]&gt;1,1,LOOKUP(Tablo2[[#This Row],[ANALIZ]],{-1000000,-0.15,-0.1,-0.05,0,0.05,0.1,0.15,0.2;-4,-3,-2,-1,0,1,2,3,4})))</f>
        <v>-3</v>
      </c>
      <c r="K3" s="44" t="str">
        <f>IF(Tablo2[[#This Row],[MALİYET]]&lt;1,"TUT",IF(Tablo2[[#This Row],[HEDEF]]&gt;2,"SAT",IFERROR(INDEX($AA$6:$AC$14,MATCH(Tablo2[[#This Row],[DATA]],$AC$6:$AC$14,0),1),"")))</f>
        <v>AL-3</v>
      </c>
      <c r="L3" s="55">
        <f>IF(Tablo2[[#This Row],[DURUM]]="SAT",Tablo2[[#This Row],[ADET]]*0.5,ROUND(-IFERROR(INDEX($AA$6:$AD$14,MATCH(Tablo2[[#This Row],[DATA]],$AC$6:$AC$14,0),4),"")*Tablo2[[#This Row],[ADET]],0))</f>
        <v>840</v>
      </c>
      <c r="M3" s="57">
        <f>IF(Tablo2[[#This Row],[DURUM]]="SAT",IF(Tablo2[[#This Row],[MALİYET]]&lt;Tablo2[[#This Row],[FİYAT]],Tablo2[[#This Row],[FİYAT]],Tablo2[[#This Row],[MALİYET]])*1.1,IF(Tablo2[[#This Row],[DATA]]=0,"",IFERROR((1+INDEX($AA$6:$AD$14,MATCH(Tablo2[[#This Row],[DATA]],$AC$6:$AC$14,0),2))*IF(Tablo2[[#This Row],[DATA]]&lt;0,Tablo2[[#This Row],[MALİYET]],Tablo2[[#This Row],[FİYAT]]),0)))</f>
        <v>2.2338809523809524</v>
      </c>
      <c r="N3" s="58">
        <v>500</v>
      </c>
      <c r="U3" s="23"/>
      <c r="V3" s="26"/>
      <c r="X3" s="23"/>
    </row>
    <row r="4" spans="2:30" ht="21" customHeight="1" x14ac:dyDescent="0.3">
      <c r="B4" s="20" t="s">
        <v>6</v>
      </c>
      <c r="C4" s="17">
        <f>+AKBNK!C1</f>
        <v>0</v>
      </c>
      <c r="D4" s="21" t="str">
        <f>+AKBNK!F1</f>
        <v/>
      </c>
      <c r="E4" s="18">
        <v>56.05</v>
      </c>
      <c r="F4" s="21">
        <f t="shared" ref="F4:F21" si="0">E4*C4</f>
        <v>0</v>
      </c>
      <c r="G4" s="21">
        <f>+AKBNK!G1</f>
        <v>3643.7904999999982</v>
      </c>
      <c r="H4" s="38" t="str">
        <f>IFERROR(Tablo2[[#This Row],[FİYAT]]/Tablo2[[#This Row],[MALİYET]]-1,"")</f>
        <v/>
      </c>
      <c r="I4" s="48">
        <f>+AKBNK!$K$2/AKBNK!$J$2</f>
        <v>0</v>
      </c>
      <c r="J4" s="51" t="e">
        <f>IF(Tablo2[[#This Row],[MALİYET]]&lt;1,6,IF(Tablo2[[#This Row],[HEDEF]]&gt;1,1,LOOKUP(Tablo2[[#This Row],[ANALIZ]],{-1000000,-0.15,-0.1,-0.05,0,0.05,0.1,0.15,0.2;-4,-3,-2,-1,0,1,2,3,4})))</f>
        <v>#N/A</v>
      </c>
      <c r="K4" s="54" t="str">
        <f>IF(Tablo2[[#This Row],[MALİYET]]&lt;1,"TUT",IF(Tablo2[[#This Row],[HEDEF]]&gt;2,"SAT",IFERROR(INDEX($AA$6:$AC$14,MATCH(Tablo2[[#This Row],[DATA]],$AC$6:$AC$14,0),1),"")))</f>
        <v/>
      </c>
      <c r="L4" s="56" t="e">
        <f>IF(Tablo2[[#This Row],[DURUM]]="SAT",Tablo2[[#This Row],[ADET]]*0.5,ROUND(-IFERROR(INDEX($AA$6:$AD$14,MATCH(Tablo2[[#This Row],[DATA]],$AC$6:$AC$14,0),4),"")*Tablo2[[#This Row],[ADET]],0))</f>
        <v>#VALUE!</v>
      </c>
      <c r="M4" s="21" t="e">
        <f>IF(Tablo2[[#This Row],[DURUM]]="SAT",IF(Tablo2[[#This Row],[MALİYET]]&lt;Tablo2[[#This Row],[FİYAT]],Tablo2[[#This Row],[FİYAT]],Tablo2[[#This Row],[MALİYET]])*1.1,IF(Tablo2[[#This Row],[DATA]]=0,"",IFERROR((1+INDEX($AA$6:$AD$14,MATCH(Tablo2[[#This Row],[DATA]],$AC$6:$AC$14,0),2))*IF(Tablo2[[#This Row],[DATA]]&lt;0,Tablo2[[#This Row],[MALİYET]],Tablo2[[#This Row],[FİYAT]]),0)))</f>
        <v>#N/A</v>
      </c>
      <c r="N4" s="59">
        <v>1000</v>
      </c>
      <c r="P4" s="22" t="s">
        <v>65</v>
      </c>
      <c r="Q4" s="22"/>
      <c r="R4" s="23">
        <f>955000+380000+350000+290000+350000-50000</f>
        <v>2275000</v>
      </c>
      <c r="U4" s="27">
        <f>30235.5027786858+380000/32.04</f>
        <v>42095.677560208896</v>
      </c>
      <c r="V4" s="22"/>
      <c r="X4" s="27"/>
    </row>
    <row r="5" spans="2:30" ht="21" customHeight="1" x14ac:dyDescent="0.3">
      <c r="B5" s="20" t="s">
        <v>129</v>
      </c>
      <c r="C5" s="17">
        <f>ALARK!$C$1</f>
        <v>530</v>
      </c>
      <c r="D5" s="21">
        <f>ALARK!$F$1</f>
        <v>137.48113207547169</v>
      </c>
      <c r="E5" s="18">
        <v>114.7</v>
      </c>
      <c r="F5" s="21">
        <f t="shared" si="0"/>
        <v>60791</v>
      </c>
      <c r="G5" s="21">
        <f>ALARK!$G$1</f>
        <v>-12073.999999999995</v>
      </c>
      <c r="H5" s="38">
        <f>IFERROR(Tablo2[[#This Row],[FİYAT]]/Tablo2[[#This Row],[MALİYET]]-1,"")</f>
        <v>-0.16570369862073697</v>
      </c>
      <c r="I5" s="48">
        <f>+ALARK!$K$2/ALARK!$J$2</f>
        <v>1.8687672917307099</v>
      </c>
      <c r="J5" s="51">
        <f>IF(Tablo2[[#This Row],[MALİYET]]&lt;1,6,IF(Tablo2[[#This Row],[HEDEF]]&gt;1,1,LOOKUP(Tablo2[[#This Row],[ANALIZ]],{-1000000,-0.15,-0.1,-0.05,0,0.05,0.1,0.15,0.2;-4,-3,-2,-1,0,1,2,3,4})))</f>
        <v>1</v>
      </c>
      <c r="K5" s="54" t="str">
        <f>IF(Tablo2[[#This Row],[MALİYET]]&lt;1,"TUT",IF(Tablo2[[#This Row],[HEDEF]]&gt;2,"SAT",IFERROR(INDEX($AA$6:$AC$14,MATCH(Tablo2[[#This Row],[DATA]],$AC$6:$AC$14,0),1),"")))</f>
        <v>SAT-1</v>
      </c>
      <c r="L5" s="56">
        <f>IF(Tablo2[[#This Row],[DURUM]]="SAT",Tablo2[[#This Row],[ADET]]*0.5,ROUND(-IFERROR(INDEX($AA$6:$AD$14,MATCH(Tablo2[[#This Row],[DATA]],$AC$6:$AC$14,0),4),"")*Tablo2[[#This Row],[ADET]],0))</f>
        <v>-53</v>
      </c>
      <c r="M5" s="21">
        <f>IF(Tablo2[[#This Row],[DURUM]]="SAT",IF(Tablo2[[#This Row],[MALİYET]]&lt;Tablo2[[#This Row],[FİYAT]],Tablo2[[#This Row],[FİYAT]],Tablo2[[#This Row],[MALİYET]])*1.1,IF(Tablo2[[#This Row],[DATA]]=0,"",IFERROR((1+INDEX($AA$6:$AD$14,MATCH(Tablo2[[#This Row],[DATA]],$AC$6:$AC$14,0),2))*IF(Tablo2[[#This Row],[DATA]]&lt;0,Tablo2[[#This Row],[MALİYET]],Tablo2[[#This Row],[FİYAT]]),0)))</f>
        <v>120.435</v>
      </c>
      <c r="N5" s="59">
        <v>1000</v>
      </c>
      <c r="P5" s="22"/>
      <c r="Q5" s="22"/>
      <c r="R5" s="23"/>
      <c r="U5" s="27"/>
      <c r="V5" s="22"/>
      <c r="X5" s="27"/>
    </row>
    <row r="6" spans="2:30" ht="21" customHeight="1" x14ac:dyDescent="0.3">
      <c r="B6" s="20" t="s">
        <v>13</v>
      </c>
      <c r="C6" s="17">
        <f>+ARASE!C1</f>
        <v>1200</v>
      </c>
      <c r="D6" s="21">
        <f>+ARASE!F1</f>
        <v>70.334332749999987</v>
      </c>
      <c r="E6" s="18">
        <v>69.099999999999994</v>
      </c>
      <c r="F6" s="21">
        <f t="shared" si="0"/>
        <v>82920</v>
      </c>
      <c r="G6" s="21">
        <f>+ARASE!G1</f>
        <v>7182.6014000000087</v>
      </c>
      <c r="H6" s="38">
        <f>IFERROR(Tablo2[[#This Row],[FİYAT]]/Tablo2[[#This Row],[MALİYET]]-1,"")</f>
        <v>-1.7549505365855533E-2</v>
      </c>
      <c r="I6" s="48">
        <f>+ARASE!$K$2/ARASE!$J$2</f>
        <v>1.2745158315401168</v>
      </c>
      <c r="J6" s="51">
        <f>IF(Tablo2[[#This Row],[MALİYET]]&lt;1,6,IF(Tablo2[[#This Row],[HEDEF]]&gt;1,1,LOOKUP(Tablo2[[#This Row],[ANALIZ]],{-1000000,-0.15,-0.1,-0.05,0,0.05,0.1,0.15,0.2;-4,-3,-2,-1,0,1,2,3,4})))</f>
        <v>1</v>
      </c>
      <c r="K6" s="54" t="str">
        <f>IF(Tablo2[[#This Row],[MALİYET]]&lt;1,"TUT",IF(Tablo2[[#This Row],[HEDEF]]&gt;2,"SAT",IFERROR(INDEX($AA$6:$AC$14,MATCH(Tablo2[[#This Row],[DATA]],$AC$6:$AC$14,0),1),"")))</f>
        <v>SAT-1</v>
      </c>
      <c r="L6" s="56">
        <f>IF(Tablo2[[#This Row],[DURUM]]="SAT",Tablo2[[#This Row],[ADET]]*0.5,ROUND(-IFERROR(INDEX($AA$6:$AD$14,MATCH(Tablo2[[#This Row],[DATA]],$AC$6:$AC$14,0),4),"")*Tablo2[[#This Row],[ADET]],0))</f>
        <v>-120</v>
      </c>
      <c r="M6" s="21">
        <f>IF(Tablo2[[#This Row],[DURUM]]="SAT",IF(Tablo2[[#This Row],[MALİYET]]&lt;Tablo2[[#This Row],[FİYAT]],Tablo2[[#This Row],[FİYAT]],Tablo2[[#This Row],[MALİYET]])*1.1,IF(Tablo2[[#This Row],[DATA]]=0,"",IFERROR((1+INDEX($AA$6:$AD$14,MATCH(Tablo2[[#This Row],[DATA]],$AC$6:$AC$14,0),2))*IF(Tablo2[[#This Row],[DATA]]&lt;0,Tablo2[[#This Row],[MALİYET]],Tablo2[[#This Row],[FİYAT]]),0)))</f>
        <v>72.554999999999993</v>
      </c>
      <c r="N6" s="59">
        <v>2000</v>
      </c>
      <c r="P6" s="22" t="s">
        <v>66</v>
      </c>
      <c r="Q6" s="22"/>
      <c r="R6" s="23">
        <f>SUM(Tablo2[GÜNCEL TUTAT])</f>
        <v>2002038</v>
      </c>
      <c r="U6" s="27">
        <f>(R6+R7)/P2</f>
        <v>71350.909929296031</v>
      </c>
      <c r="V6" s="22"/>
      <c r="X6" s="23">
        <f>+U6*$P$2</f>
        <v>2321045.1</v>
      </c>
      <c r="AA6" s="13" t="s">
        <v>99</v>
      </c>
      <c r="AB6" s="49">
        <v>-0.2</v>
      </c>
      <c r="AC6" s="13">
        <f>LOOKUP(AB6,{-1000,-0.15,-0.1,-0.05,0,0.05,0.1,0.15,0.2;-4,-3,-2,-1,0,1,2,3,4})</f>
        <v>-4</v>
      </c>
      <c r="AD6" s="49">
        <v>-0.25</v>
      </c>
    </row>
    <row r="7" spans="2:30" ht="21" customHeight="1" x14ac:dyDescent="0.3">
      <c r="B7" s="20" t="s">
        <v>14</v>
      </c>
      <c r="C7" s="17">
        <f>ARCLK!C1</f>
        <v>100</v>
      </c>
      <c r="D7" s="21">
        <f>ARCLK!F1</f>
        <v>122.75686799999995</v>
      </c>
      <c r="E7" s="18">
        <v>161</v>
      </c>
      <c r="F7" s="21">
        <f t="shared" si="0"/>
        <v>16100</v>
      </c>
      <c r="G7" s="21">
        <f>+ARCLK!G1</f>
        <v>3824.3132000000046</v>
      </c>
      <c r="H7" s="38">
        <f>IFERROR(Tablo2[[#This Row],[FİYAT]]/Tablo2[[#This Row],[MALİYET]]-1,"")</f>
        <v>0.31153557941866072</v>
      </c>
      <c r="I7" s="48">
        <f>+ARCLK!$K$2/ARCLK!$J$2</f>
        <v>0.24746387949584997</v>
      </c>
      <c r="J7" s="51">
        <f>IF(Tablo2[[#This Row],[MALİYET]]&lt;1,6,IF(Tablo2[[#This Row],[HEDEF]]&gt;1,1,LOOKUP(Tablo2[[#This Row],[ANALIZ]],{-1000000,-0.15,-0.1,-0.05,0,0.05,0.1,0.15,0.2;-4,-3,-2,-1,0,1,2,3,4})))</f>
        <v>4</v>
      </c>
      <c r="K7" s="54" t="str">
        <f>IF(Tablo2[[#This Row],[MALİYET]]&lt;1,"TUT",IF(Tablo2[[#This Row],[HEDEF]]&gt;2,"SAT",IFERROR(INDEX($AA$6:$AC$14,MATCH(Tablo2[[#This Row],[DATA]],$AC$6:$AC$14,0),1),"")))</f>
        <v>SAT-4</v>
      </c>
      <c r="L7" s="56">
        <f>IF(Tablo2[[#This Row],[DURUM]]="SAT",Tablo2[[#This Row],[ADET]]*0.5,ROUND(-IFERROR(INDEX($AA$6:$AD$14,MATCH(Tablo2[[#This Row],[DATA]],$AC$6:$AC$14,0),4),"")*Tablo2[[#This Row],[ADET]],0))</f>
        <v>-25</v>
      </c>
      <c r="M7" s="21">
        <f>IF(Tablo2[[#This Row],[DURUM]]="SAT",IF(Tablo2[[#This Row],[MALİYET]]&lt;Tablo2[[#This Row],[FİYAT]],Tablo2[[#This Row],[FİYAT]],Tablo2[[#This Row],[MALİYET]])*1.1,IF(Tablo2[[#This Row],[DATA]]=0,"",IFERROR((1+INDEX($AA$6:$AD$14,MATCH(Tablo2[[#This Row],[DATA]],$AC$6:$AC$14,0),2))*IF(Tablo2[[#This Row],[DATA]]&lt;0,Tablo2[[#This Row],[MALİYET]],Tablo2[[#This Row],[FİYAT]]),0)))</f>
        <v>193.2</v>
      </c>
      <c r="N7" s="59">
        <v>2000</v>
      </c>
      <c r="P7" s="22" t="s">
        <v>68</v>
      </c>
      <c r="Q7" s="22"/>
      <c r="R7" s="23">
        <f>307703+Sayfa1!Q49</f>
        <v>319007.09999999998</v>
      </c>
      <c r="U7" s="22"/>
      <c r="V7" s="22"/>
      <c r="X7" s="22"/>
      <c r="AA7" s="13" t="s">
        <v>100</v>
      </c>
      <c r="AB7" s="49">
        <v>-0.15</v>
      </c>
      <c r="AC7" s="13">
        <f>LOOKUP(AB7,{-1000,-0.15,-0.1,-0.05,0,0.05,0.1,0.15,0.2;-4,-3,-2,-1,0,1,2,3,4})</f>
        <v>-3</v>
      </c>
      <c r="AD7" s="49">
        <v>-0.2</v>
      </c>
    </row>
    <row r="8" spans="2:30" ht="21" customHeight="1" x14ac:dyDescent="0.3">
      <c r="B8" s="20" t="s">
        <v>15</v>
      </c>
      <c r="C8" s="17">
        <f>+ARENA!C1</f>
        <v>150</v>
      </c>
      <c r="D8" s="21">
        <f>+ARENA!F1</f>
        <v>7.0947850666668577</v>
      </c>
      <c r="E8" s="18">
        <v>51.2</v>
      </c>
      <c r="F8" s="21">
        <f t="shared" si="0"/>
        <v>7680</v>
      </c>
      <c r="G8" s="21">
        <f>+ARENA!G1</f>
        <v>6615.7822399999714</v>
      </c>
      <c r="H8" s="38">
        <f>IFERROR(Tablo2[[#This Row],[FİYAT]]/Tablo2[[#This Row],[MALİYET]]-1,"")</f>
        <v>6.2165681580053631</v>
      </c>
      <c r="I8" s="48">
        <f>+ARENA!$K$2/ARENA!$J$2</f>
        <v>0.23608976329541961</v>
      </c>
      <c r="J8" s="51">
        <f>IF(Tablo2[[#This Row],[MALİYET]]&lt;1,6,IF(Tablo2[[#This Row],[HEDEF]]&gt;1,1,LOOKUP(Tablo2[[#This Row],[ANALIZ]],{-1000000,-0.15,-0.1,-0.05,0,0.05,0.1,0.15,0.2;-4,-3,-2,-1,0,1,2,3,4})))</f>
        <v>4</v>
      </c>
      <c r="K8" s="54" t="str">
        <f>IF(Tablo2[[#This Row],[MALİYET]]&lt;1,"TUT",IF(Tablo2[[#This Row],[HEDEF]]&gt;2,"SAT",IFERROR(INDEX($AA$6:$AC$14,MATCH(Tablo2[[#This Row],[DATA]],$AC$6:$AC$14,0),1),"")))</f>
        <v>SAT-4</v>
      </c>
      <c r="L8" s="56">
        <f>IF(Tablo2[[#This Row],[DURUM]]="SAT",Tablo2[[#This Row],[ADET]]*0.5,ROUND(-IFERROR(INDEX($AA$6:$AD$14,MATCH(Tablo2[[#This Row],[DATA]],$AC$6:$AC$14,0),4),"")*Tablo2[[#This Row],[ADET]],0))</f>
        <v>-38</v>
      </c>
      <c r="M8" s="21">
        <f>IF(Tablo2[[#This Row],[DURUM]]="SAT",IF(Tablo2[[#This Row],[MALİYET]]&lt;Tablo2[[#This Row],[FİYAT]],Tablo2[[#This Row],[FİYAT]],Tablo2[[#This Row],[MALİYET]])*1.1,IF(Tablo2[[#This Row],[DATA]]=0,"",IFERROR((1+INDEX($AA$6:$AD$14,MATCH(Tablo2[[#This Row],[DATA]],$AC$6:$AC$14,0),2))*IF(Tablo2[[#This Row],[DATA]]&lt;0,Tablo2[[#This Row],[MALİYET]],Tablo2[[#This Row],[FİYAT]]),0)))</f>
        <v>61.44</v>
      </c>
      <c r="N8" s="59">
        <v>1000</v>
      </c>
      <c r="P8" s="22" t="s">
        <v>67</v>
      </c>
      <c r="Q8" s="22"/>
      <c r="R8" s="24">
        <f>+R6+R7-R4</f>
        <v>46045.100000000093</v>
      </c>
      <c r="S8" s="29">
        <f>R8/R4</f>
        <v>2.0239604395604436E-2</v>
      </c>
      <c r="T8" s="25"/>
      <c r="U8" s="28">
        <f>+U6-U4</f>
        <v>29255.232369087134</v>
      </c>
      <c r="V8" s="25">
        <f>+U8/U4</f>
        <v>0.69496998420428702</v>
      </c>
      <c r="X8" s="28"/>
      <c r="AA8" s="13" t="s">
        <v>101</v>
      </c>
      <c r="AB8" s="49">
        <v>-0.1</v>
      </c>
      <c r="AC8" s="13">
        <f>LOOKUP(AB8,{-1000,-0.15,-0.1,-0.05,0,0.05,0.1,0.15,0.2;-4,-3,-2,-1,0,1,2,3,4})</f>
        <v>-2</v>
      </c>
      <c r="AD8" s="49">
        <v>-0.15</v>
      </c>
    </row>
    <row r="9" spans="2:30" ht="21" customHeight="1" x14ac:dyDescent="0.3">
      <c r="B9" s="20" t="s">
        <v>16</v>
      </c>
      <c r="C9" s="17">
        <f>+ARZUM!C1</f>
        <v>450</v>
      </c>
      <c r="D9" s="21">
        <f>+ARZUM!F1</f>
        <v>36.361528888888941</v>
      </c>
      <c r="E9" s="18">
        <v>46</v>
      </c>
      <c r="F9" s="21">
        <f t="shared" si="0"/>
        <v>20700</v>
      </c>
      <c r="G9" s="21">
        <f>+ARZUM!G1</f>
        <v>4337.3119999999763</v>
      </c>
      <c r="H9" s="38">
        <f>IFERROR(Tablo2[[#This Row],[FİYAT]]/Tablo2[[#This Row],[MALİYET]]-1,"")</f>
        <v>0.26507331802696288</v>
      </c>
      <c r="I9" s="48">
        <f>+ARZUM!$K$2/ARZUM!$J$2</f>
        <v>1.2726713802643712</v>
      </c>
      <c r="J9" s="51">
        <f>IF(Tablo2[[#This Row],[MALİYET]]&lt;1,6,IF(Tablo2[[#This Row],[HEDEF]]&gt;1,1,LOOKUP(Tablo2[[#This Row],[ANALIZ]],{-1000000,-0.15,-0.1,-0.05,0,0.05,0.1,0.15,0.2;-4,-3,-2,-1,0,1,2,3,4})))</f>
        <v>1</v>
      </c>
      <c r="K9" s="54" t="str">
        <f>IF(Tablo2[[#This Row],[MALİYET]]&lt;1,"TUT",IF(Tablo2[[#This Row],[HEDEF]]&gt;2,"SAT",IFERROR(INDEX($AA$6:$AC$14,MATCH(Tablo2[[#This Row],[DATA]],$AC$6:$AC$14,0),1),"")))</f>
        <v>SAT-1</v>
      </c>
      <c r="L9" s="56">
        <f>IF(Tablo2[[#This Row],[DURUM]]="SAT",Tablo2[[#This Row],[ADET]]*0.5,ROUND(-IFERROR(INDEX($AA$6:$AD$14,MATCH(Tablo2[[#This Row],[DATA]],$AC$6:$AC$14,0),4),"")*Tablo2[[#This Row],[ADET]],0))</f>
        <v>-45</v>
      </c>
      <c r="M9" s="21">
        <f>IF(Tablo2[[#This Row],[DURUM]]="SAT",IF(Tablo2[[#This Row],[MALİYET]]&lt;Tablo2[[#This Row],[FİYAT]],Tablo2[[#This Row],[FİYAT]],Tablo2[[#This Row],[MALİYET]])*1.1,IF(Tablo2[[#This Row],[DATA]]=0,"",IFERROR((1+INDEX($AA$6:$AD$14,MATCH(Tablo2[[#This Row],[DATA]],$AC$6:$AC$14,0),2))*IF(Tablo2[[#This Row],[DATA]]&lt;0,Tablo2[[#This Row],[MALİYET]],Tablo2[[#This Row],[FİYAT]]),0)))</f>
        <v>48.300000000000004</v>
      </c>
      <c r="N9" s="21">
        <v>500</v>
      </c>
      <c r="AA9" s="13" t="s">
        <v>102</v>
      </c>
      <c r="AB9" s="49">
        <v>-0.05</v>
      </c>
      <c r="AC9" s="13">
        <f>LOOKUP(AB9,{-1000,-0.15,-0.1,-0.05,0,0.05,0.1,0.15,0.2;-4,-3,-2,-1,0,1,2,3,4})</f>
        <v>-1</v>
      </c>
      <c r="AD9" s="49">
        <v>-0.1</v>
      </c>
    </row>
    <row r="10" spans="2:30" ht="21" customHeight="1" x14ac:dyDescent="0.3">
      <c r="B10" s="20" t="s">
        <v>17</v>
      </c>
      <c r="C10" s="17">
        <f>+ASELS!C1</f>
        <v>200</v>
      </c>
      <c r="D10" s="21">
        <v>51.25</v>
      </c>
      <c r="E10" s="18">
        <v>57.8</v>
      </c>
      <c r="F10" s="21">
        <f t="shared" si="0"/>
        <v>11560</v>
      </c>
      <c r="G10" s="21">
        <f>+ASELS!G1</f>
        <v>1932.658999999984</v>
      </c>
      <c r="H10" s="38">
        <f>IFERROR(Tablo2[[#This Row],[FİYAT]]/Tablo2[[#This Row],[MALİYET]]-1,"")</f>
        <v>0.12780487804878038</v>
      </c>
      <c r="I10" s="48">
        <f>+ASELS!$K$2/ASELS!$J$2</f>
        <v>0.17768213956347986</v>
      </c>
      <c r="J10" s="51">
        <f>IF(Tablo2[[#This Row],[MALİYET]]&lt;1,6,IF(Tablo2[[#This Row],[HEDEF]]&gt;1,1,LOOKUP(Tablo2[[#This Row],[ANALIZ]],{-1000000,-0.15,-0.1,-0.05,0,0.05,0.1,0.15,0.2;-4,-3,-2,-1,0,1,2,3,4})))</f>
        <v>2</v>
      </c>
      <c r="K10" s="54" t="str">
        <f>IF(Tablo2[[#This Row],[MALİYET]]&lt;1,"TUT",IF(Tablo2[[#This Row],[HEDEF]]&gt;2,"SAT",IFERROR(INDEX($AA$6:$AC$14,MATCH(Tablo2[[#This Row],[DATA]],$AC$6:$AC$14,0),1),"")))</f>
        <v>SAT-2</v>
      </c>
      <c r="L10" s="56">
        <f>IF(Tablo2[[#This Row],[DURUM]]="SAT",Tablo2[[#This Row],[ADET]]*0.5,ROUND(-IFERROR(INDEX($AA$6:$AD$14,MATCH(Tablo2[[#This Row],[DATA]],$AC$6:$AC$14,0),4),"")*Tablo2[[#This Row],[ADET]],0))</f>
        <v>-30</v>
      </c>
      <c r="M10" s="21">
        <f>IF(Tablo2[[#This Row],[DURUM]]="SAT",IF(Tablo2[[#This Row],[MALİYET]]&lt;Tablo2[[#This Row],[FİYAT]],Tablo2[[#This Row],[FİYAT]],Tablo2[[#This Row],[MALİYET]])*1.1,IF(Tablo2[[#This Row],[DATA]]=0,"",IFERROR((1+INDEX($AA$6:$AD$14,MATCH(Tablo2[[#This Row],[DATA]],$AC$6:$AC$14,0),2))*IF(Tablo2[[#This Row],[DATA]]&lt;0,Tablo2[[#This Row],[MALİYET]],Tablo2[[#This Row],[FİYAT]]),0)))</f>
        <v>63.580000000000005</v>
      </c>
      <c r="N10" s="59">
        <v>2000</v>
      </c>
      <c r="S10" s="23"/>
      <c r="U10" s="27">
        <f>+S10/P2</f>
        <v>0</v>
      </c>
      <c r="X10" s="23">
        <f>+U10*$P$2</f>
        <v>0</v>
      </c>
      <c r="AA10" s="13" t="s">
        <v>103</v>
      </c>
      <c r="AB10" s="49">
        <v>0</v>
      </c>
      <c r="AC10" s="13">
        <f>LOOKUP(AB10,{-1000,-0.15,-0.1,-0.05,0,0.05,0.1,0.15,0.2;-4,-3,-2,-1,0,1,2,3,4})</f>
        <v>0</v>
      </c>
      <c r="AD10" s="49">
        <v>0</v>
      </c>
    </row>
    <row r="11" spans="2:30" ht="21" customHeight="1" x14ac:dyDescent="0.3">
      <c r="B11" s="20" t="s">
        <v>18</v>
      </c>
      <c r="C11" s="17">
        <f>+ASTOR!C1</f>
        <v>990</v>
      </c>
      <c r="D11" s="21">
        <f>+ASTOR!F1</f>
        <v>123.21313680808079</v>
      </c>
      <c r="E11" s="18">
        <v>95.1</v>
      </c>
      <c r="F11" s="21">
        <f t="shared" si="0"/>
        <v>94149</v>
      </c>
      <c r="G11" s="21">
        <f>+ASTOR!G1</f>
        <v>-42638.010879999994</v>
      </c>
      <c r="H11" s="38">
        <f>IFERROR(Tablo2[[#This Row],[FİYAT]]/Tablo2[[#This Row],[MALİYET]]-1,"")</f>
        <v>-0.2281667161178631</v>
      </c>
      <c r="I11" s="48">
        <f>+ASTOR!$K$2/ASTOR!$J$2</f>
        <v>1.4471103596679986</v>
      </c>
      <c r="J11" s="51">
        <f>IF(Tablo2[[#This Row],[MALİYET]]&lt;1,6,IF(Tablo2[[#This Row],[HEDEF]]&gt;1,1,LOOKUP(Tablo2[[#This Row],[ANALIZ]],{-1000000,-0.15,-0.1,-0.05,0,0.05,0.1,0.15,0.2;-4,-3,-2,-1,0,1,2,3,4})))</f>
        <v>1</v>
      </c>
      <c r="K11" s="54" t="str">
        <f>IF(Tablo2[[#This Row],[MALİYET]]&lt;1,"TUT",IF(Tablo2[[#This Row],[HEDEF]]&gt;2,"SAT",IFERROR(INDEX($AA$6:$AC$14,MATCH(Tablo2[[#This Row],[DATA]],$AC$6:$AC$14,0),1),"")))</f>
        <v>SAT-1</v>
      </c>
      <c r="L11" s="56">
        <f>IF(Tablo2[[#This Row],[DURUM]]="SAT",Tablo2[[#This Row],[ADET]]*0.5,ROUND(-IFERROR(INDEX($AA$6:$AD$14,MATCH(Tablo2[[#This Row],[DATA]],$AC$6:$AC$14,0),4),"")*Tablo2[[#This Row],[ADET]],0))</f>
        <v>-99</v>
      </c>
      <c r="M11" s="21">
        <f>IF(Tablo2[[#This Row],[DURUM]]="SAT",IF(Tablo2[[#This Row],[MALİYET]]&lt;Tablo2[[#This Row],[FİYAT]],Tablo2[[#This Row],[FİYAT]],Tablo2[[#This Row],[MALİYET]])*1.1,IF(Tablo2[[#This Row],[DATA]]=0,"",IFERROR((1+INDEX($AA$6:$AD$14,MATCH(Tablo2[[#This Row],[DATA]],$AC$6:$AC$14,0),2))*IF(Tablo2[[#This Row],[DATA]]&lt;0,Tablo2[[#This Row],[MALİYET]],Tablo2[[#This Row],[FİYAT]]),0)))</f>
        <v>99.855000000000004</v>
      </c>
      <c r="N11" s="59">
        <v>2000</v>
      </c>
      <c r="P11" s="13" t="s">
        <v>70</v>
      </c>
      <c r="U11" s="27"/>
      <c r="X11" s="23">
        <f>+U11*$P$2</f>
        <v>0</v>
      </c>
      <c r="AA11" s="13" t="s">
        <v>104</v>
      </c>
      <c r="AB11" s="49">
        <v>0.05</v>
      </c>
      <c r="AC11" s="13">
        <f>LOOKUP(AB11,{-1000,-0.15,-0.1,-0.05,0,0.05,0.1,0.15,0.2;-4,-3,-2,-1,0,1,2,3,4})</f>
        <v>1</v>
      </c>
      <c r="AD11" s="49">
        <v>0.1</v>
      </c>
    </row>
    <row r="12" spans="2:30" ht="21" customHeight="1" x14ac:dyDescent="0.3">
      <c r="B12" s="20" t="s">
        <v>19</v>
      </c>
      <c r="C12" s="17">
        <f>+BIMAS!C1</f>
        <v>120</v>
      </c>
      <c r="D12" s="21">
        <f>+BIMAS!F1</f>
        <v>364.42615999999981</v>
      </c>
      <c r="E12" s="18">
        <v>370</v>
      </c>
      <c r="F12" s="21">
        <f t="shared" si="0"/>
        <v>44400</v>
      </c>
      <c r="G12" s="21">
        <f>+BIMAS!G1</f>
        <v>668.86080000002266</v>
      </c>
      <c r="H12" s="38">
        <f>IFERROR(Tablo2[[#This Row],[FİYAT]]/Tablo2[[#This Row],[MALİYET]]-1,"")</f>
        <v>1.5294840524072706E-2</v>
      </c>
      <c r="I12" s="48">
        <f>+BIMAS!$K$2/BIMAS!$J$2</f>
        <v>0.68244697202582238</v>
      </c>
      <c r="J12" s="51">
        <f>IF(Tablo2[[#This Row],[MALİYET]]&lt;1,6,IF(Tablo2[[#This Row],[HEDEF]]&gt;1,1,LOOKUP(Tablo2[[#This Row],[ANALIZ]],{-1000000,-0.15,-0.1,-0.05,0,0.05,0.1,0.15,0.2;-4,-3,-2,-1,0,1,2,3,4})))</f>
        <v>0</v>
      </c>
      <c r="K12" s="54" t="str">
        <f>IF(Tablo2[[#This Row],[MALİYET]]&lt;1,"TUT",IF(Tablo2[[#This Row],[HEDEF]]&gt;2,"SAT",IFERROR(INDEX($AA$6:$AC$14,MATCH(Tablo2[[#This Row],[DATA]],$AC$6:$AC$14,0),1),"")))</f>
        <v>TUT</v>
      </c>
      <c r="L12" s="56">
        <f>IF(Tablo2[[#This Row],[DURUM]]="SAT",Tablo2[[#This Row],[ADET]]*0.5,ROUND(-IFERROR(INDEX($AA$6:$AD$14,MATCH(Tablo2[[#This Row],[DATA]],$AC$6:$AC$14,0),4),"")*Tablo2[[#This Row],[ADET]],0))</f>
        <v>0</v>
      </c>
      <c r="M12" s="21" t="str">
        <f>IF(Tablo2[[#This Row],[DURUM]]="SAT",IF(Tablo2[[#This Row],[MALİYET]]&lt;Tablo2[[#This Row],[FİYAT]],Tablo2[[#This Row],[FİYAT]],Tablo2[[#This Row],[MALİYET]])*1.1,IF(Tablo2[[#This Row],[DATA]]=0,"",IFERROR((1+INDEX($AA$6:$AD$14,MATCH(Tablo2[[#This Row],[DATA]],$AC$6:$AC$14,0),2))*IF(Tablo2[[#This Row],[DATA]]&lt;0,Tablo2[[#This Row],[MALİYET]],Tablo2[[#This Row],[FİYAT]]),0)))</f>
        <v/>
      </c>
      <c r="N12" s="59">
        <v>2000</v>
      </c>
      <c r="P12" s="13" t="s">
        <v>71</v>
      </c>
      <c r="S12" s="23">
        <v>0</v>
      </c>
      <c r="U12" s="27">
        <f>+S12/P2</f>
        <v>0</v>
      </c>
      <c r="X12" s="23">
        <f>+U12*$P$2</f>
        <v>0</v>
      </c>
      <c r="AA12" s="13" t="s">
        <v>105</v>
      </c>
      <c r="AB12" s="49">
        <v>0.1</v>
      </c>
      <c r="AC12" s="13">
        <f>LOOKUP(AB12,{-1000,-0.15,-0.1,-0.05,0,0.05,0.1,0.15,0.2;-4,-3,-2,-1,0,1,2,3,4})</f>
        <v>2</v>
      </c>
      <c r="AD12" s="49">
        <v>0.15</v>
      </c>
    </row>
    <row r="13" spans="2:30" ht="21" customHeight="1" x14ac:dyDescent="0.3">
      <c r="B13" s="20" t="s">
        <v>20</v>
      </c>
      <c r="C13" s="17">
        <f>BRLSM!C1</f>
        <v>2000</v>
      </c>
      <c r="D13" s="21">
        <f>BRLSM!F1</f>
        <v>23.832110099999873</v>
      </c>
      <c r="E13" s="18">
        <v>27.8</v>
      </c>
      <c r="F13" s="21">
        <f t="shared" si="0"/>
        <v>55600</v>
      </c>
      <c r="G13" s="21">
        <f>+BRLSM!G1</f>
        <v>7935.7798000002549</v>
      </c>
      <c r="H13" s="38">
        <f>IFERROR(Tablo2[[#This Row],[FİYAT]]/Tablo2[[#This Row],[MALİYET]]-1,"")</f>
        <v>0.1664934360973831</v>
      </c>
      <c r="I13" s="48">
        <f>+BRLSM!$K$2/BRLSM!$J$2</f>
        <v>1.7091915155241315</v>
      </c>
      <c r="J13" s="51">
        <f>IF(Tablo2[[#This Row],[MALİYET]]&lt;1,6,IF(Tablo2[[#This Row],[HEDEF]]&gt;1,1,LOOKUP(Tablo2[[#This Row],[ANALIZ]],{-1000000,-0.15,-0.1,-0.05,0,0.05,0.1,0.15,0.2;-4,-3,-2,-1,0,1,2,3,4})))</f>
        <v>1</v>
      </c>
      <c r="K13" s="54" t="str">
        <f>IF(Tablo2[[#This Row],[MALİYET]]&lt;1,"TUT",IF(Tablo2[[#This Row],[HEDEF]]&gt;2,"SAT",IFERROR(INDEX($AA$6:$AC$14,MATCH(Tablo2[[#This Row],[DATA]],$AC$6:$AC$14,0),1),"")))</f>
        <v>SAT-1</v>
      </c>
      <c r="L13" s="56">
        <f>IF(Tablo2[[#This Row],[DURUM]]="SAT",Tablo2[[#This Row],[ADET]]*0.5,ROUND(-IFERROR(INDEX($AA$6:$AD$14,MATCH(Tablo2[[#This Row],[DATA]],$AC$6:$AC$14,0),4),"")*Tablo2[[#This Row],[ADET]],0))</f>
        <v>-200</v>
      </c>
      <c r="M13" s="21">
        <f>IF(Tablo2[[#This Row],[DURUM]]="SAT",IF(Tablo2[[#This Row],[MALİYET]]&lt;Tablo2[[#This Row],[FİYAT]],Tablo2[[#This Row],[FİYAT]],Tablo2[[#This Row],[MALİYET]])*1.1,IF(Tablo2[[#This Row],[DATA]]=0,"",IFERROR((1+INDEX($AA$6:$AD$14,MATCH(Tablo2[[#This Row],[DATA]],$AC$6:$AC$14,0),2))*IF(Tablo2[[#This Row],[DATA]]&lt;0,Tablo2[[#This Row],[MALİYET]],Tablo2[[#This Row],[FİYAT]]),0)))</f>
        <v>29.19</v>
      </c>
      <c r="N13" s="59">
        <v>1000</v>
      </c>
      <c r="P13" s="13" t="s">
        <v>72</v>
      </c>
      <c r="S13" s="23">
        <v>659253</v>
      </c>
      <c r="U13" s="27">
        <f>S13/P2</f>
        <v>20266.000614817091</v>
      </c>
      <c r="X13" s="23">
        <f>+U13*$P$2</f>
        <v>659253</v>
      </c>
      <c r="AA13" s="13" t="s">
        <v>106</v>
      </c>
      <c r="AB13" s="49">
        <v>0.15</v>
      </c>
      <c r="AC13" s="13">
        <f>LOOKUP(AB13,{-1000,-0.15,-0.1,-0.05,0,0.05,0.1,0.15,0.2;-4,-3,-2,-1,0,1,2,3,4})</f>
        <v>3</v>
      </c>
      <c r="AD13" s="49">
        <v>0.2</v>
      </c>
    </row>
    <row r="14" spans="2:30" ht="21" customHeight="1" x14ac:dyDescent="0.3">
      <c r="B14" s="20" t="s">
        <v>21</v>
      </c>
      <c r="C14" s="17">
        <f>BURVA!C1</f>
        <v>100</v>
      </c>
      <c r="D14" s="21">
        <f>+BURVA!F1</f>
        <v>1.351978999999992</v>
      </c>
      <c r="E14" s="18">
        <v>171.1</v>
      </c>
      <c r="F14" s="21">
        <f t="shared" si="0"/>
        <v>17110</v>
      </c>
      <c r="G14" s="21">
        <f>+BURVA!G1</f>
        <v>16974.802100000001</v>
      </c>
      <c r="H14" s="38">
        <f>IFERROR(Tablo2[[#This Row],[FİYAT]]/Tablo2[[#This Row],[MALİYET]]-1,"")</f>
        <v>125.55522016244409</v>
      </c>
      <c r="I14" s="48">
        <f>+BURVA!$K$2/BURVA!$J$2</f>
        <v>0.52597602213341532</v>
      </c>
      <c r="J14" s="51">
        <f>IF(Tablo2[[#This Row],[MALİYET]]&lt;1,6,IF(Tablo2[[#This Row],[HEDEF]]&gt;1,1,LOOKUP(Tablo2[[#This Row],[ANALIZ]],{-1000000,-0.15,-0.1,-0.05,0,0.05,0.1,0.15,0.2;-4,-3,-2,-1,0,1,2,3,4})))</f>
        <v>4</v>
      </c>
      <c r="K14" s="54" t="str">
        <f>IF(Tablo2[[#This Row],[MALİYET]]&lt;1,"TUT",IF(Tablo2[[#This Row],[HEDEF]]&gt;2,"SAT",IFERROR(INDEX($AA$6:$AC$14,MATCH(Tablo2[[#This Row],[DATA]],$AC$6:$AC$14,0),1),"")))</f>
        <v>SAT-4</v>
      </c>
      <c r="L14" s="56">
        <f>IF(Tablo2[[#This Row],[DURUM]]="SAT",Tablo2[[#This Row],[ADET]]*0.5,ROUND(-IFERROR(INDEX($AA$6:$AD$14,MATCH(Tablo2[[#This Row],[DATA]],$AC$6:$AC$14,0),4),"")*Tablo2[[#This Row],[ADET]],0))</f>
        <v>-25</v>
      </c>
      <c r="M14" s="21">
        <f>IF(Tablo2[[#This Row],[DURUM]]="SAT",IF(Tablo2[[#This Row],[MALİYET]]&lt;Tablo2[[#This Row],[FİYAT]],Tablo2[[#This Row],[FİYAT]],Tablo2[[#This Row],[MALİYET]])*1.1,IF(Tablo2[[#This Row],[DATA]]=0,"",IFERROR((1+INDEX($AA$6:$AD$14,MATCH(Tablo2[[#This Row],[DATA]],$AC$6:$AC$14,0),2))*IF(Tablo2[[#This Row],[DATA]]&lt;0,Tablo2[[#This Row],[MALİYET]],Tablo2[[#This Row],[FİYAT]]),0)))</f>
        <v>205.32</v>
      </c>
      <c r="N14" s="59">
        <v>1000</v>
      </c>
      <c r="AA14" s="13" t="s">
        <v>107</v>
      </c>
      <c r="AB14" s="49">
        <v>0.2</v>
      </c>
      <c r="AC14" s="13">
        <f>LOOKUP(AB14,{-1000,-0.15,-0.1,-0.05,0,0.05,0.1,0.15,0.2;-4,-3,-2,-1,0,1,2,3,4})</f>
        <v>4</v>
      </c>
      <c r="AD14" s="49">
        <v>0.25</v>
      </c>
    </row>
    <row r="15" spans="2:30" ht="21" customHeight="1" x14ac:dyDescent="0.3">
      <c r="B15" s="20" t="s">
        <v>22</v>
      </c>
      <c r="C15" s="17">
        <f>+CATES!C1</f>
        <v>150</v>
      </c>
      <c r="D15" s="21">
        <f>+CATES!F1</f>
        <v>57.314999999999998</v>
      </c>
      <c r="E15" s="18">
        <v>58</v>
      </c>
      <c r="F15" s="21">
        <f t="shared" si="0"/>
        <v>8700</v>
      </c>
      <c r="G15" s="21">
        <f>+CATES!G1</f>
        <v>102.75000000000034</v>
      </c>
      <c r="H15" s="38">
        <f>IFERROR(Tablo2[[#This Row],[FİYAT]]/Tablo2[[#This Row],[MALİYET]]-1,"")</f>
        <v>1.1951496117944771E-2</v>
      </c>
      <c r="I15" s="48">
        <f>+CATES!$K$2/CATES!$J$2</f>
        <v>267.44543498309253</v>
      </c>
      <c r="J15" s="51">
        <f>IF(Tablo2[[#This Row],[MALİYET]]&lt;1,6,IF(Tablo2[[#This Row],[HEDEF]]&gt;1,1,LOOKUP(Tablo2[[#This Row],[ANALIZ]],{-1000000,-0.15,-0.1,-0.05,0,0.05,0.1,0.15,0.2;-4,-3,-2,-1,0,1,2,3,4})))</f>
        <v>1</v>
      </c>
      <c r="K15" s="54" t="str">
        <f>IF(Tablo2[[#This Row],[MALİYET]]&lt;1,"TUT",IF(Tablo2[[#This Row],[HEDEF]]&gt;2,"SAT",IFERROR(INDEX($AA$6:$AC$14,MATCH(Tablo2[[#This Row],[DATA]],$AC$6:$AC$14,0),1),"")))</f>
        <v>SAT</v>
      </c>
      <c r="L15" s="56">
        <f>IF(Tablo2[[#This Row],[DURUM]]="SAT",Tablo2[[#This Row],[ADET]]*0.5,ROUND(-IFERROR(INDEX($AA$6:$AD$14,MATCH(Tablo2[[#This Row],[DATA]],$AC$6:$AC$14,0),4),"")*Tablo2[[#This Row],[ADET]],0))</f>
        <v>75</v>
      </c>
      <c r="M15" s="21">
        <f>IF(Tablo2[[#This Row],[DURUM]]="SAT",IF(Tablo2[[#This Row],[MALİYET]]&lt;Tablo2[[#This Row],[FİYAT]],Tablo2[[#This Row],[FİYAT]],Tablo2[[#This Row],[MALİYET]])*1.1,IF(Tablo2[[#This Row],[DATA]]=0,"",IFERROR((1+INDEX($AA$6:$AD$14,MATCH(Tablo2[[#This Row],[DATA]],$AC$6:$AC$14,0),2))*IF(Tablo2[[#This Row],[DATA]]&lt;0,Tablo2[[#This Row],[MALİYET]],Tablo2[[#This Row],[FİYAT]]),0)))</f>
        <v>63.800000000000004</v>
      </c>
      <c r="N15" s="59">
        <v>1</v>
      </c>
    </row>
    <row r="16" spans="2:30" ht="21" customHeight="1" x14ac:dyDescent="0.3">
      <c r="B16" s="20" t="s">
        <v>69</v>
      </c>
      <c r="C16" s="17">
        <f>+CWENE!C1</f>
        <v>85</v>
      </c>
      <c r="D16" s="21">
        <f>+CWENE!F1</f>
        <v>310.01470588235293</v>
      </c>
      <c r="E16" s="18">
        <v>305</v>
      </c>
      <c r="F16" s="21">
        <f>E16*C16</f>
        <v>25925</v>
      </c>
      <c r="G16" s="21">
        <f>+CWENE!G1</f>
        <v>-426.24999999999886</v>
      </c>
      <c r="H16" s="38">
        <f>IFERROR(Tablo2[[#This Row],[FİYAT]]/Tablo2[[#This Row],[MALİYET]]-1,"")</f>
        <v>-1.6175703239884265E-2</v>
      </c>
      <c r="I16" s="48">
        <f>+CWENE!$K$2/CWENE!$J$2</f>
        <v>0.79695665539502003</v>
      </c>
      <c r="J16" s="51">
        <f>IF(Tablo2[[#This Row],[MALİYET]]&lt;1,6,IF(Tablo2[[#This Row],[HEDEF]]&gt;1,1,LOOKUP(Tablo2[[#This Row],[ANALIZ]],{-1000000,-0.15,-0.1,-0.05,0,0.05,0.1,0.15,0.2;-4,-3,-2,-1,0,1,2,3,4})))</f>
        <v>-1</v>
      </c>
      <c r="K16" s="54" t="str">
        <f>IF(Tablo2[[#This Row],[MALİYET]]&lt;1,"TUT",IF(Tablo2[[#This Row],[HEDEF]]&gt;2,"SAT",IFERROR(INDEX($AA$6:$AC$14,MATCH(Tablo2[[#This Row],[DATA]],$AC$6:$AC$14,0),1),"")))</f>
        <v>AL-1</v>
      </c>
      <c r="L16" s="56">
        <f>IF(Tablo2[[#This Row],[DURUM]]="SAT",Tablo2[[#This Row],[ADET]]*0.5,ROUND(-IFERROR(INDEX($AA$6:$AD$14,MATCH(Tablo2[[#This Row],[DATA]],$AC$6:$AC$14,0),4),"")*Tablo2[[#This Row],[ADET]],0))</f>
        <v>9</v>
      </c>
      <c r="M16" s="21">
        <f>IF(Tablo2[[#This Row],[DURUM]]="SAT",IF(Tablo2[[#This Row],[MALİYET]]&lt;Tablo2[[#This Row],[FİYAT]],Tablo2[[#This Row],[FİYAT]],Tablo2[[#This Row],[MALİYET]])*1.1,IF(Tablo2[[#This Row],[DATA]]=0,"",IFERROR((1+INDEX($AA$6:$AD$14,MATCH(Tablo2[[#This Row],[DATA]],$AC$6:$AC$14,0),2))*IF(Tablo2[[#This Row],[DATA]]&lt;0,Tablo2[[#This Row],[MALİYET]],Tablo2[[#This Row],[FİYAT]]),0)))</f>
        <v>294.51397058823528</v>
      </c>
      <c r="N16" s="59">
        <v>1000</v>
      </c>
    </row>
    <row r="17" spans="2:24" ht="21" customHeight="1" x14ac:dyDescent="0.3">
      <c r="B17" s="20" t="s">
        <v>79</v>
      </c>
      <c r="C17" s="17">
        <f>+DEVA!C1</f>
        <v>400</v>
      </c>
      <c r="D17" s="21">
        <f>+DEVA!F1</f>
        <v>79.012500000000003</v>
      </c>
      <c r="E17" s="18">
        <v>73.900000000000006</v>
      </c>
      <c r="F17" s="21">
        <f>E17*C17</f>
        <v>29560.000000000004</v>
      </c>
      <c r="G17" s="21">
        <f>+DEVA!G1</f>
        <v>-645.99999999999886</v>
      </c>
      <c r="H17" s="38">
        <f>IFERROR(Tablo2[[#This Row],[FİYAT]]/Tablo2[[#This Row],[MALİYET]]-1,"")</f>
        <v>-6.470495174814106E-2</v>
      </c>
      <c r="I17" s="48">
        <f>+DEVA!$K$2/DEVA!$J$2</f>
        <v>0.90869966185059958</v>
      </c>
      <c r="J17" s="51">
        <f>IF(Tablo2[[#This Row],[MALİYET]]&lt;1,6,IF(Tablo2[[#This Row],[HEDEF]]&gt;1,1,LOOKUP(Tablo2[[#This Row],[ANALIZ]],{-1000000,-0.15,-0.1,-0.05,0,0.05,0.1,0.15,0.2;-4,-3,-2,-1,0,1,2,3,4})))</f>
        <v>-2</v>
      </c>
      <c r="K17" s="54" t="str">
        <f>IF(Tablo2[[#This Row],[MALİYET]]&lt;1,"TUT",IF(Tablo2[[#This Row],[HEDEF]]&gt;2,"SAT",IFERROR(INDEX($AA$6:$AC$14,MATCH(Tablo2[[#This Row],[DATA]],$AC$6:$AC$14,0),1),"")))</f>
        <v>AL-2</v>
      </c>
      <c r="L17" s="56">
        <f>IF(Tablo2[[#This Row],[DURUM]]="SAT",Tablo2[[#This Row],[ADET]]*0.5,ROUND(-IFERROR(INDEX($AA$6:$AD$14,MATCH(Tablo2[[#This Row],[DATA]],$AC$6:$AC$14,0),4),"")*Tablo2[[#This Row],[ADET]],0))</f>
        <v>60</v>
      </c>
      <c r="M17" s="21">
        <f>IF(Tablo2[[#This Row],[DURUM]]="SAT",IF(Tablo2[[#This Row],[MALİYET]]&lt;Tablo2[[#This Row],[FİYAT]],Tablo2[[#This Row],[FİYAT]],Tablo2[[#This Row],[MALİYET]])*1.1,IF(Tablo2[[#This Row],[DATA]]=0,"",IFERROR((1+INDEX($AA$6:$AD$14,MATCH(Tablo2[[#This Row],[DATA]],$AC$6:$AC$14,0),2))*IF(Tablo2[[#This Row],[DATA]]&lt;0,Tablo2[[#This Row],[MALİYET]],Tablo2[[#This Row],[FİYAT]]),0)))</f>
        <v>71.111249999999998</v>
      </c>
      <c r="N17" s="59">
        <v>1000</v>
      </c>
    </row>
    <row r="18" spans="2:24" ht="21" customHeight="1" x14ac:dyDescent="0.3">
      <c r="B18" s="20" t="s">
        <v>23</v>
      </c>
      <c r="C18" s="17">
        <f>+DOAS!C1</f>
        <v>530</v>
      </c>
      <c r="D18" s="21">
        <f>+DOAS!$F$1</f>
        <v>339.49058792452831</v>
      </c>
      <c r="E18" s="18">
        <v>319</v>
      </c>
      <c r="F18" s="21">
        <f t="shared" si="0"/>
        <v>169070</v>
      </c>
      <c r="G18" s="21">
        <f>+DOAS!$G$1</f>
        <v>-10860.011600000005</v>
      </c>
      <c r="H18" s="38">
        <f>IFERROR(Tablo2[[#This Row],[FİYAT]]/Tablo2[[#This Row],[MALİYET]]-1,"")</f>
        <v>-6.0356866002669651E-2</v>
      </c>
      <c r="I18" s="48">
        <f>+DOAS!$K$2/DOAS!$J$2</f>
        <v>1.7324520955015881</v>
      </c>
      <c r="J18" s="51">
        <f>IF(Tablo2[[#This Row],[MALİYET]]&lt;1,6,IF(Tablo2[[#This Row],[HEDEF]]&gt;1,1,LOOKUP(Tablo2[[#This Row],[ANALIZ]],{-1000000,-0.15,-0.1,-0.05,0,0.05,0.1,0.15,0.2;-4,-3,-2,-1,0,1,2,3,4})))</f>
        <v>1</v>
      </c>
      <c r="K18" s="54" t="str">
        <f>IF(Tablo2[[#This Row],[MALİYET]]&lt;1,"TUT",IF(Tablo2[[#This Row],[HEDEF]]&gt;2,"SAT",IFERROR(INDEX($AA$6:$AC$14,MATCH(Tablo2[[#This Row],[DATA]],$AC$6:$AC$14,0),1),"")))</f>
        <v>SAT-1</v>
      </c>
      <c r="L18" s="56">
        <f>IF(Tablo2[[#This Row],[DURUM]]="SAT",Tablo2[[#This Row],[ADET]]*0.5,ROUND(-IFERROR(INDEX($AA$6:$AD$14,MATCH(Tablo2[[#This Row],[DATA]],$AC$6:$AC$14,0),4),"")*Tablo2[[#This Row],[ADET]],0))</f>
        <v>-53</v>
      </c>
      <c r="M18" s="21">
        <f>IF(Tablo2[[#This Row],[DURUM]]="SAT",IF(Tablo2[[#This Row],[MALİYET]]&lt;Tablo2[[#This Row],[FİYAT]],Tablo2[[#This Row],[FİYAT]],Tablo2[[#This Row],[MALİYET]])*1.1,IF(Tablo2[[#This Row],[DATA]]=0,"",IFERROR((1+INDEX($AA$6:$AD$14,MATCH(Tablo2[[#This Row],[DATA]],$AC$6:$AC$14,0),2))*IF(Tablo2[[#This Row],[DATA]]&lt;0,Tablo2[[#This Row],[MALİYET]],Tablo2[[#This Row],[FİYAT]]),0)))</f>
        <v>334.95</v>
      </c>
      <c r="N18" s="59">
        <v>3000</v>
      </c>
    </row>
    <row r="19" spans="2:24" ht="21" customHeight="1" x14ac:dyDescent="0.3">
      <c r="B19" s="20" t="s">
        <v>91</v>
      </c>
      <c r="C19" s="17">
        <f>+DOKTA!$C$1</f>
        <v>4000</v>
      </c>
      <c r="D19" s="21">
        <f>+DOKTA!$F$1</f>
        <v>36.613250000000001</v>
      </c>
      <c r="E19" s="18">
        <v>36.18</v>
      </c>
      <c r="F19" s="21">
        <f t="shared" si="0"/>
        <v>144720</v>
      </c>
      <c r="G19" s="21">
        <f>+DOKTA!$G$1</f>
        <v>-1733.0000000000041</v>
      </c>
      <c r="H19" s="38">
        <f>IFERROR(Tablo2[[#This Row],[FİYAT]]/Tablo2[[#This Row],[MALİYET]]-1,"")</f>
        <v>-1.1833147835824454E-2</v>
      </c>
      <c r="I19" s="48">
        <f>+DOKTA!$K$2/DOKTA!$J$2</f>
        <v>4.4488164770980632</v>
      </c>
      <c r="J19" s="51">
        <f>IF(Tablo2[[#This Row],[MALİYET]]&lt;1,6,IF(Tablo2[[#This Row],[HEDEF]]&gt;1,1,LOOKUP(Tablo2[[#This Row],[ANALIZ]],{-1000000,-0.15,-0.1,-0.05,0,0.05,0.1,0.15,0.2;-4,-3,-2,-1,0,1,2,3,4})))</f>
        <v>1</v>
      </c>
      <c r="K19" s="54" t="str">
        <f>IF(Tablo2[[#This Row],[MALİYET]]&lt;1,"TUT",IF(Tablo2[[#This Row],[HEDEF]]&gt;2,"SAT",IFERROR(INDEX($AA$6:$AC$14,MATCH(Tablo2[[#This Row],[DATA]],$AC$6:$AC$14,0),1),"")))</f>
        <v>SAT</v>
      </c>
      <c r="L19" s="56">
        <f>IF(Tablo2[[#This Row],[DURUM]]="SAT",Tablo2[[#This Row],[ADET]]*0.5,ROUND(-IFERROR(INDEX($AA$6:$AD$14,MATCH(Tablo2[[#This Row],[DATA]],$AC$6:$AC$14,0),4),"")*Tablo2[[#This Row],[ADET]],0))</f>
        <v>2000</v>
      </c>
      <c r="M19" s="21">
        <f>IF(Tablo2[[#This Row],[DURUM]]="SAT",IF(Tablo2[[#This Row],[MALİYET]]&lt;Tablo2[[#This Row],[FİYAT]],Tablo2[[#This Row],[FİYAT]],Tablo2[[#This Row],[MALİYET]])*1.1,IF(Tablo2[[#This Row],[DATA]]=0,"",IFERROR((1+INDEX($AA$6:$AD$14,MATCH(Tablo2[[#This Row],[DATA]],$AC$6:$AC$14,0),2))*IF(Tablo2[[#This Row],[DATA]]&lt;0,Tablo2[[#This Row],[MALİYET]],Tablo2[[#This Row],[FİYAT]]),0)))</f>
        <v>40.274575000000006</v>
      </c>
      <c r="N19" s="59">
        <v>1000</v>
      </c>
    </row>
    <row r="20" spans="2:24" ht="21" customHeight="1" x14ac:dyDescent="0.3">
      <c r="B20" s="20" t="s">
        <v>24</v>
      </c>
      <c r="C20" s="17">
        <f>+EDATA!$C$1</f>
        <v>1000</v>
      </c>
      <c r="D20" s="21">
        <f>EDATA!$F$1</f>
        <v>16.857092489999836</v>
      </c>
      <c r="E20" s="18">
        <v>22.5</v>
      </c>
      <c r="F20" s="21">
        <f t="shared" si="0"/>
        <v>22500</v>
      </c>
      <c r="G20" s="21">
        <f>EDATA!$G$1</f>
        <v>5642.9075100001637</v>
      </c>
      <c r="H20" s="38">
        <f>IFERROR(Tablo2[[#This Row],[FİYAT]]/Tablo2[[#This Row],[MALİYET]]-1,"")</f>
        <v>0.33474975078577263</v>
      </c>
      <c r="I20" s="48">
        <f>+EDATA!$K$2/EDATA!$J$2</f>
        <v>0.69166922840454959</v>
      </c>
      <c r="J20" s="51">
        <f>IF(Tablo2[[#This Row],[MALİYET]]&lt;1,6,IF(Tablo2[[#This Row],[HEDEF]]&gt;1,1,LOOKUP(Tablo2[[#This Row],[ANALIZ]],{-1000000,-0.15,-0.1,-0.05,0,0.05,0.1,0.15,0.2;-4,-3,-2,-1,0,1,2,3,4})))</f>
        <v>4</v>
      </c>
      <c r="K20" s="54" t="str">
        <f>IF(Tablo2[[#This Row],[MALİYET]]&lt;1,"TUT",IF(Tablo2[[#This Row],[HEDEF]]&gt;2,"SAT",IFERROR(INDEX($AA$6:$AC$14,MATCH(Tablo2[[#This Row],[DATA]],$AC$6:$AC$14,0),1),"")))</f>
        <v>SAT-4</v>
      </c>
      <c r="L20" s="56">
        <f>IF(Tablo2[[#This Row],[DURUM]]="SAT",Tablo2[[#This Row],[ADET]]*0.5,ROUND(-IFERROR(INDEX($AA$6:$AD$14,MATCH(Tablo2[[#This Row],[DATA]],$AC$6:$AC$14,0),4),"")*Tablo2[[#This Row],[ADET]],0))</f>
        <v>-250</v>
      </c>
      <c r="M20" s="21">
        <f>IF(Tablo2[[#This Row],[DURUM]]="SAT",IF(Tablo2[[#This Row],[MALİYET]]&lt;Tablo2[[#This Row],[FİYAT]],Tablo2[[#This Row],[FİYAT]],Tablo2[[#This Row],[MALİYET]])*1.1,IF(Tablo2[[#This Row],[DATA]]=0,"",IFERROR((1+INDEX($AA$6:$AD$14,MATCH(Tablo2[[#This Row],[DATA]],$AC$6:$AC$14,0),2))*IF(Tablo2[[#This Row],[DATA]]&lt;0,Tablo2[[#This Row],[MALİYET]],Tablo2[[#This Row],[FİYAT]]),0)))</f>
        <v>27</v>
      </c>
      <c r="N20" s="59">
        <v>1000</v>
      </c>
      <c r="S20" s="23">
        <f>U20*P2</f>
        <v>2980298.1</v>
      </c>
      <c r="U20" s="27">
        <f>U12+U11+U10+U6+U13</f>
        <v>91616.910544113125</v>
      </c>
      <c r="X20" s="23">
        <f>X12+X11+X10+X6+X13</f>
        <v>2980298.1</v>
      </c>
    </row>
    <row r="21" spans="2:24" ht="21" customHeight="1" x14ac:dyDescent="0.3">
      <c r="B21" s="20" t="s">
        <v>25</v>
      </c>
      <c r="C21" s="17">
        <f>EDIP!$C$1</f>
        <v>0</v>
      </c>
      <c r="D21" s="21" t="str">
        <f>EDIP!$F$1</f>
        <v/>
      </c>
      <c r="E21" s="18">
        <v>19.649999999999999</v>
      </c>
      <c r="F21" s="21">
        <f t="shared" si="0"/>
        <v>0</v>
      </c>
      <c r="G21" s="21">
        <f>EDIP!$G$1</f>
        <v>3195.7884500000027</v>
      </c>
      <c r="H21" s="38" t="str">
        <f>IFERROR(Tablo2[[#This Row],[FİYAT]]/Tablo2[[#This Row],[MALİYET]]-1,"")</f>
        <v/>
      </c>
      <c r="I21" s="48">
        <f>+EDIP!$K$2/EDIP!$J$2</f>
        <v>0</v>
      </c>
      <c r="J21" s="51" t="e">
        <f>IF(Tablo2[[#This Row],[MALİYET]]&lt;1,6,IF(Tablo2[[#This Row],[HEDEF]]&gt;1,1,LOOKUP(Tablo2[[#This Row],[ANALIZ]],{-1000000,-0.15,-0.1,-0.05,0,0.05,0.1,0.15,0.2;-4,-3,-2,-1,0,1,2,3,4})))</f>
        <v>#N/A</v>
      </c>
      <c r="K21" s="54" t="str">
        <f>IF(Tablo2[[#This Row],[MALİYET]]&lt;1,"TUT",IF(Tablo2[[#This Row],[HEDEF]]&gt;2,"SAT",IFERROR(INDEX($AA$6:$AC$14,MATCH(Tablo2[[#This Row],[DATA]],$AC$6:$AC$14,0),1),"")))</f>
        <v/>
      </c>
      <c r="L21" s="56" t="e">
        <f>IF(Tablo2[[#This Row],[DURUM]]="SAT",Tablo2[[#This Row],[ADET]]*0.5,ROUND(-IFERROR(INDEX($AA$6:$AD$14,MATCH(Tablo2[[#This Row],[DATA]],$AC$6:$AC$14,0),4),"")*Tablo2[[#This Row],[ADET]],0))</f>
        <v>#VALUE!</v>
      </c>
      <c r="M21" s="21" t="e">
        <f>IF(Tablo2[[#This Row],[DURUM]]="SAT",IF(Tablo2[[#This Row],[MALİYET]]&lt;Tablo2[[#This Row],[FİYAT]],Tablo2[[#This Row],[FİYAT]],Tablo2[[#This Row],[MALİYET]])*1.1,IF(Tablo2[[#This Row],[DATA]]=0,"",IFERROR((1+INDEX($AA$6:$AD$14,MATCH(Tablo2[[#This Row],[DATA]],$AC$6:$AC$14,0),2))*IF(Tablo2[[#This Row],[DATA]]&lt;0,Tablo2[[#This Row],[MALİYET]],Tablo2[[#This Row],[FİYAT]]),0)))</f>
        <v>#N/A</v>
      </c>
      <c r="N21" s="59">
        <v>1000</v>
      </c>
    </row>
    <row r="22" spans="2:24" ht="21" hidden="1" customHeight="1" x14ac:dyDescent="0.3">
      <c r="B22" s="20" t="s">
        <v>88</v>
      </c>
      <c r="C22" s="17">
        <f>EKOS!$C$1</f>
        <v>0</v>
      </c>
      <c r="D22" s="21" t="str">
        <f>EKOS!$F$1</f>
        <v/>
      </c>
      <c r="E22" s="18">
        <v>48.6</v>
      </c>
      <c r="F22" s="21">
        <f>E22*C22</f>
        <v>0</v>
      </c>
      <c r="G22" s="21">
        <f>EKOS!$G$1</f>
        <v>428.00000000000011</v>
      </c>
      <c r="H22" s="38" t="str">
        <f>IFERROR(Tablo2[[#This Row],[FİYAT]]/Tablo2[[#This Row],[MALİYET]]-1,"")</f>
        <v/>
      </c>
      <c r="I22" s="48">
        <f>+EKOS!$K$2/EKOS!$J$2</f>
        <v>0</v>
      </c>
      <c r="J22" s="51" t="e">
        <f>IF(Tablo2[[#This Row],[MALİYET]]&lt;1,6,IF(Tablo2[[#This Row],[HEDEF]]&gt;1,1,LOOKUP(Tablo2[[#This Row],[ANALIZ]],{-1000000,-0.15,-0.1,-0.05,0,0.05,0.1,0.15,0.2;-4,-3,-2,-1,0,1,2,3,4})))</f>
        <v>#N/A</v>
      </c>
      <c r="K22" s="54" t="str">
        <f>IF(Tablo2[[#This Row],[MALİYET]]&lt;1,"TUT",IF(Tablo2[[#This Row],[HEDEF]]&gt;2,"SAT",IFERROR(INDEX($AA$6:$AC$14,MATCH(Tablo2[[#This Row],[DATA]],$AC$6:$AC$14,0),1),"")))</f>
        <v/>
      </c>
      <c r="L22" s="56" t="e">
        <f>IF(Tablo2[[#This Row],[DURUM]]="SAT",Tablo2[[#This Row],[ADET]]*0.5,ROUND(-IFERROR(INDEX($AA$6:$AD$14,MATCH(Tablo2[[#This Row],[DATA]],$AC$6:$AC$14,0),4),"")*Tablo2[[#This Row],[ADET]],0))</f>
        <v>#VALUE!</v>
      </c>
      <c r="M22" s="21" t="e">
        <f>IF(Tablo2[[#This Row],[DURUM]]="SAT",IF(Tablo2[[#This Row],[MALİYET]]&lt;Tablo2[[#This Row],[FİYAT]],Tablo2[[#This Row],[FİYAT]],Tablo2[[#This Row],[MALİYET]])*1.1,IF(Tablo2[[#This Row],[DATA]]=0,"",IFERROR((1+INDEX($AA$6:$AD$14,MATCH(Tablo2[[#This Row],[DATA]],$AC$6:$AC$14,0),2))*IF(Tablo2[[#This Row],[DATA]]&lt;0,Tablo2[[#This Row],[MALİYET]],Tablo2[[#This Row],[FİYAT]]),0)))</f>
        <v>#N/A</v>
      </c>
      <c r="N22" s="59">
        <v>1</v>
      </c>
    </row>
    <row r="23" spans="2:24" ht="21" customHeight="1" x14ac:dyDescent="0.3">
      <c r="B23" s="20" t="s">
        <v>26</v>
      </c>
      <c r="C23" s="17">
        <f>ENJSA!$C$1</f>
        <v>800</v>
      </c>
      <c r="D23" s="21">
        <f>ENJSA!$F$1</f>
        <v>50.885108049999978</v>
      </c>
      <c r="E23" s="18">
        <v>63.05</v>
      </c>
      <c r="F23" s="21">
        <f t="shared" ref="F23:F34" si="1">E23*C23</f>
        <v>50440</v>
      </c>
      <c r="G23" s="21">
        <f>ENJSA!$G$1</f>
        <v>17598.827120000034</v>
      </c>
      <c r="H23" s="38">
        <f>IFERROR(Tablo2[[#This Row],[FİYAT]]/Tablo2[[#This Row],[MALİYET]]-1,"")</f>
        <v>0.2390658567148316</v>
      </c>
      <c r="I23" s="48">
        <f>+ENJSA!$K$2/ENJSA!$J$2</f>
        <v>0.77528435290501063</v>
      </c>
      <c r="J23" s="51">
        <f>IF(Tablo2[[#This Row],[MALİYET]]&lt;1,6,IF(Tablo2[[#This Row],[HEDEF]]&gt;1,1,LOOKUP(Tablo2[[#This Row],[ANALIZ]],{-1000000,-0.15,-0.1,-0.05,0,0.05,0.1,0.15,0.2;-4,-3,-2,-1,0,1,2,3,4})))</f>
        <v>4</v>
      </c>
      <c r="K23" s="54" t="str">
        <f>IF(Tablo2[[#This Row],[MALİYET]]&lt;1,"TUT",IF(Tablo2[[#This Row],[HEDEF]]&gt;2,"SAT",IFERROR(INDEX($AA$6:$AC$14,MATCH(Tablo2[[#This Row],[DATA]],$AC$6:$AC$14,0),1),"")))</f>
        <v>SAT-4</v>
      </c>
      <c r="L23" s="56">
        <f>IF(Tablo2[[#This Row],[DURUM]]="SAT",Tablo2[[#This Row],[ADET]]*0.5,ROUND(-IFERROR(INDEX($AA$6:$AD$14,MATCH(Tablo2[[#This Row],[DATA]],$AC$6:$AC$14,0),4),"")*Tablo2[[#This Row],[ADET]],0))</f>
        <v>-200</v>
      </c>
      <c r="M23" s="21">
        <f>IF(Tablo2[[#This Row],[DURUM]]="SAT",IF(Tablo2[[#This Row],[MALİYET]]&lt;Tablo2[[#This Row],[FİYAT]],Tablo2[[#This Row],[FİYAT]],Tablo2[[#This Row],[MALİYET]])*1.1,IF(Tablo2[[#This Row],[DATA]]=0,"",IFERROR((1+INDEX($AA$6:$AD$14,MATCH(Tablo2[[#This Row],[DATA]],$AC$6:$AC$14,0),2))*IF(Tablo2[[#This Row],[DATA]]&lt;0,Tablo2[[#This Row],[MALİYET]],Tablo2[[#This Row],[FİYAT]]),0)))</f>
        <v>75.66</v>
      </c>
      <c r="N23" s="59">
        <v>2000</v>
      </c>
    </row>
    <row r="24" spans="2:24" ht="21" customHeight="1" x14ac:dyDescent="0.3">
      <c r="B24" s="20" t="s">
        <v>90</v>
      </c>
      <c r="C24" s="17">
        <f>ENKAI!$C$1</f>
        <v>500</v>
      </c>
      <c r="D24" s="21">
        <f>ENKAI!$F$1</f>
        <v>35.590000000000003</v>
      </c>
      <c r="E24" s="18">
        <v>36.14</v>
      </c>
      <c r="F24" s="21">
        <f>E24*C24</f>
        <v>18070</v>
      </c>
      <c r="G24" s="21">
        <f>ENKAI!$G$1</f>
        <v>274.99999999999858</v>
      </c>
      <c r="H24" s="38">
        <f>IFERROR(Tablo2[[#This Row],[FİYAT]]/Tablo2[[#This Row],[MALİYET]]-1,"")</f>
        <v>1.5453779151446856E-2</v>
      </c>
      <c r="I24" s="48">
        <f>+ENKAI!$K$2/ENKAI!$J$2</f>
        <v>0.55548724254534276</v>
      </c>
      <c r="J24" s="51">
        <f>IF(Tablo2[[#This Row],[MALİYET]]&lt;1,6,IF(Tablo2[[#This Row],[HEDEF]]&gt;1,1,LOOKUP(Tablo2[[#This Row],[ANALIZ]],{-1000000,-0.15,-0.1,-0.05,0,0.05,0.1,0.15,0.2;-4,-3,-2,-1,0,1,2,3,4})))</f>
        <v>0</v>
      </c>
      <c r="K24" s="54" t="str">
        <f>IF(Tablo2[[#This Row],[MALİYET]]&lt;1,"TUT",IF(Tablo2[[#This Row],[HEDEF]]&gt;2,"SAT",IFERROR(INDEX($AA$6:$AC$14,MATCH(Tablo2[[#This Row],[DATA]],$AC$6:$AC$14,0),1),"")))</f>
        <v>TUT</v>
      </c>
      <c r="L24" s="56">
        <f>IF(Tablo2[[#This Row],[DURUM]]="SAT",Tablo2[[#This Row],[ADET]]*0.5,ROUND(-IFERROR(INDEX($AA$6:$AD$14,MATCH(Tablo2[[#This Row],[DATA]],$AC$6:$AC$14,0),4),"")*Tablo2[[#This Row],[ADET]],0))</f>
        <v>0</v>
      </c>
      <c r="M24" s="21" t="str">
        <f>IF(Tablo2[[#This Row],[DURUM]]="SAT",IF(Tablo2[[#This Row],[MALİYET]]&lt;Tablo2[[#This Row],[FİYAT]],Tablo2[[#This Row],[FİYAT]],Tablo2[[#This Row],[MALİYET]])*1.1,IF(Tablo2[[#This Row],[DATA]]=0,"",IFERROR((1+INDEX($AA$6:$AD$14,MATCH(Tablo2[[#This Row],[DATA]],$AC$6:$AC$14,0),2))*IF(Tablo2[[#This Row],[DATA]]&lt;0,Tablo2[[#This Row],[MALİYET]],Tablo2[[#This Row],[FİYAT]]),0)))</f>
        <v/>
      </c>
      <c r="N24" s="59">
        <v>1000</v>
      </c>
    </row>
    <row r="25" spans="2:24" ht="21" hidden="1" customHeight="1" x14ac:dyDescent="0.3">
      <c r="B25" s="20" t="s">
        <v>83</v>
      </c>
      <c r="C25" s="17">
        <f>ENSRI!$C$1</f>
        <v>0</v>
      </c>
      <c r="D25" s="21" t="str">
        <f>ENSRI!$F$1</f>
        <v/>
      </c>
      <c r="E25" s="18">
        <v>37.979999999999997</v>
      </c>
      <c r="F25" s="21">
        <f>E25*C25</f>
        <v>0</v>
      </c>
      <c r="G25" s="21">
        <f>ENSRI!$G$1</f>
        <v>679.99999999999977</v>
      </c>
      <c r="H25" s="38" t="str">
        <f>IFERROR(Tablo2[[#This Row],[FİYAT]]/Tablo2[[#This Row],[MALİYET]]-1,"")</f>
        <v/>
      </c>
      <c r="I25" s="48">
        <f>+ADESE!$K$2/ADESE!$J$2</f>
        <v>0.60166000614817083</v>
      </c>
      <c r="J25" s="51" t="e">
        <f>IF(Tablo2[[#This Row],[MALİYET]]&lt;1,6,IF(Tablo2[[#This Row],[HEDEF]]&gt;1,1,LOOKUP(Tablo2[[#This Row],[ANALIZ]],{-1000000,-0.15,-0.1,-0.05,0,0.05,0.1,0.15,0.2;-4,-3,-2,-1,0,1,2,3,4})))</f>
        <v>#N/A</v>
      </c>
      <c r="K25" s="54" t="str">
        <f>IF(Tablo2[[#This Row],[MALİYET]]&lt;1,"TUT",IF(Tablo2[[#This Row],[HEDEF]]&gt;2,"SAT",IFERROR(INDEX($AA$6:$AC$14,MATCH(Tablo2[[#This Row],[DATA]],$AC$6:$AC$14,0),1),"")))</f>
        <v/>
      </c>
      <c r="L25" s="56" t="e">
        <f>IF(Tablo2[[#This Row],[DURUM]]="SAT",Tablo2[[#This Row],[ADET]]*0.5,ROUND(-IFERROR(INDEX($AA$6:$AD$14,MATCH(Tablo2[[#This Row],[DATA]],$AC$6:$AC$14,0),4),"")*Tablo2[[#This Row],[ADET]],0))</f>
        <v>#VALUE!</v>
      </c>
      <c r="M25" s="21" t="e">
        <f>IF(Tablo2[[#This Row],[DURUM]]="SAT",IF(Tablo2[[#This Row],[MALİYET]]&lt;Tablo2[[#This Row],[FİYAT]],Tablo2[[#This Row],[FİYAT]],Tablo2[[#This Row],[MALİYET]])*1.1,IF(Tablo2[[#This Row],[DATA]]=0,"",IFERROR((1+INDEX($AA$6:$AD$14,MATCH(Tablo2[[#This Row],[DATA]],$AC$6:$AC$14,0),2))*IF(Tablo2[[#This Row],[DATA]]&lt;0,Tablo2[[#This Row],[MALİYET]],Tablo2[[#This Row],[FİYAT]]),0)))</f>
        <v>#N/A</v>
      </c>
      <c r="N25" s="21"/>
    </row>
    <row r="26" spans="2:24" ht="21" hidden="1" customHeight="1" x14ac:dyDescent="0.3">
      <c r="B26" s="20" t="s">
        <v>27</v>
      </c>
      <c r="C26" s="17">
        <f>FENER!$C$1</f>
        <v>0</v>
      </c>
      <c r="D26" s="21" t="str">
        <f>FENER!$F$1</f>
        <v/>
      </c>
      <c r="E26" s="18">
        <v>103</v>
      </c>
      <c r="F26" s="21">
        <f t="shared" si="1"/>
        <v>0</v>
      </c>
      <c r="G26" s="21" t="e">
        <f>FENER!$G$1</f>
        <v>#VALUE!</v>
      </c>
      <c r="H26" s="38" t="str">
        <f>IFERROR(Tablo2[[#This Row],[FİYAT]]/Tablo2[[#This Row],[MALİYET]]-1,"")</f>
        <v/>
      </c>
      <c r="I26" s="48">
        <f>+ADESE!$K$2/ADESE!$J$2</f>
        <v>0.60166000614817083</v>
      </c>
      <c r="J26" s="51" t="e">
        <f>IF(Tablo2[[#This Row],[MALİYET]]&lt;1,6,IF(Tablo2[[#This Row],[HEDEF]]&gt;1,1,LOOKUP(Tablo2[[#This Row],[ANALIZ]],{-1000000,-0.15,-0.1,-0.05,0,0.05,0.1,0.15,0.2;-4,-3,-2,-1,0,1,2,3,4})))</f>
        <v>#N/A</v>
      </c>
      <c r="K26" s="54" t="str">
        <f>IF(Tablo2[[#This Row],[MALİYET]]&lt;1,"TUT",IF(Tablo2[[#This Row],[HEDEF]]&gt;2,"SAT",IFERROR(INDEX($AA$6:$AC$14,MATCH(Tablo2[[#This Row],[DATA]],$AC$6:$AC$14,0),1),"")))</f>
        <v/>
      </c>
      <c r="L26" s="56" t="e">
        <f>IF(Tablo2[[#This Row],[DURUM]]="SAT",Tablo2[[#This Row],[ADET]]*0.5,ROUND(-IFERROR(INDEX($AA$6:$AD$14,MATCH(Tablo2[[#This Row],[DATA]],$AC$6:$AC$14,0),4),"")*Tablo2[[#This Row],[ADET]],0))</f>
        <v>#VALUE!</v>
      </c>
      <c r="M26" s="21" t="e">
        <f>IF(Tablo2[[#This Row],[DURUM]]="SAT",IF(Tablo2[[#This Row],[MALİYET]]&lt;Tablo2[[#This Row],[FİYAT]],Tablo2[[#This Row],[FİYAT]],Tablo2[[#This Row],[MALİYET]])*1.1,IF(Tablo2[[#This Row],[DATA]]=0,"",IFERROR((1+INDEX($AA$6:$AD$14,MATCH(Tablo2[[#This Row],[DATA]],$AC$6:$AC$14,0),2))*IF(Tablo2[[#This Row],[DATA]]&lt;0,Tablo2[[#This Row],[MALİYET]],Tablo2[[#This Row],[FİYAT]]),0)))</f>
        <v>#N/A</v>
      </c>
      <c r="N26" s="21"/>
    </row>
    <row r="27" spans="2:24" ht="21" customHeight="1" x14ac:dyDescent="0.3">
      <c r="B27" s="20" t="s">
        <v>28</v>
      </c>
      <c r="C27" s="17">
        <f>FROTO!$C$1</f>
        <v>30</v>
      </c>
      <c r="D27" s="21">
        <f>FROTO!$F$1</f>
        <v>979.0093099999998</v>
      </c>
      <c r="E27" s="18">
        <v>1122</v>
      </c>
      <c r="F27" s="21">
        <f t="shared" si="1"/>
        <v>33660</v>
      </c>
      <c r="G27" s="21">
        <f>FROTO!$G$1</f>
        <v>4289.7207000000062</v>
      </c>
      <c r="H27" s="38">
        <f>IFERROR(Tablo2[[#This Row],[FİYAT]]/Tablo2[[#This Row],[MALİYET]]-1,"")</f>
        <v>0.14605651707234557</v>
      </c>
      <c r="I27" s="48">
        <f>+FROTO!$K$2/FROTO!$J$2</f>
        <v>1.0347371656932063</v>
      </c>
      <c r="J27" s="51">
        <f>IF(Tablo2[[#This Row],[MALİYET]]&lt;1,6,IF(Tablo2[[#This Row],[HEDEF]]&gt;1,1,LOOKUP(Tablo2[[#This Row],[ANALIZ]],{-1000000,-0.15,-0.1,-0.05,0,0.05,0.1,0.15,0.2;-4,-3,-2,-1,0,1,2,3,4})))</f>
        <v>1</v>
      </c>
      <c r="K27" s="54" t="str">
        <f>IF(Tablo2[[#This Row],[MALİYET]]&lt;1,"TUT",IF(Tablo2[[#This Row],[HEDEF]]&gt;2,"SAT",IFERROR(INDEX($AA$6:$AC$14,MATCH(Tablo2[[#This Row],[DATA]],$AC$6:$AC$14,0),1),"")))</f>
        <v>SAT-1</v>
      </c>
      <c r="L27" s="56">
        <f>IF(Tablo2[[#This Row],[DURUM]]="SAT",Tablo2[[#This Row],[ADET]]*0.5,ROUND(-IFERROR(INDEX($AA$6:$AD$14,MATCH(Tablo2[[#This Row],[DATA]],$AC$6:$AC$14,0),4),"")*Tablo2[[#This Row],[ADET]],0))</f>
        <v>-3</v>
      </c>
      <c r="M27" s="21">
        <f>IF(Tablo2[[#This Row],[DURUM]]="SAT",IF(Tablo2[[#This Row],[MALİYET]]&lt;Tablo2[[#This Row],[FİYAT]],Tablo2[[#This Row],[FİYAT]],Tablo2[[#This Row],[MALİYET]])*1.1,IF(Tablo2[[#This Row],[DATA]]=0,"",IFERROR((1+INDEX($AA$6:$AD$14,MATCH(Tablo2[[#This Row],[DATA]],$AC$6:$AC$14,0),2))*IF(Tablo2[[#This Row],[DATA]]&lt;0,Tablo2[[#This Row],[MALİYET]],Tablo2[[#This Row],[FİYAT]]),0)))</f>
        <v>1178.1000000000001</v>
      </c>
      <c r="N27" s="59">
        <v>1000</v>
      </c>
    </row>
    <row r="28" spans="2:24" ht="21" hidden="1" customHeight="1" x14ac:dyDescent="0.3">
      <c r="B28" s="20" t="s">
        <v>29</v>
      </c>
      <c r="C28" s="17">
        <f>GENTS!$C$1</f>
        <v>0</v>
      </c>
      <c r="D28" s="21" t="str">
        <f>GENTS!$F$1</f>
        <v/>
      </c>
      <c r="E28" s="18">
        <v>9.23</v>
      </c>
      <c r="F28" s="21">
        <f t="shared" si="1"/>
        <v>0</v>
      </c>
      <c r="G28" s="21">
        <f>GENTS!$G$1</f>
        <v>460.44998999999973</v>
      </c>
      <c r="H28" s="38" t="str">
        <f>IFERROR(Tablo2[[#This Row],[FİYAT]]/Tablo2[[#This Row],[MALİYET]]-1,"")</f>
        <v/>
      </c>
      <c r="I28" s="48">
        <f>+ADESE!$K$2/ADESE!$J$2</f>
        <v>0.60166000614817083</v>
      </c>
      <c r="J28" s="51" t="e">
        <f>IF(Tablo2[[#This Row],[MALİYET]]&lt;1,6,IF(Tablo2[[#This Row],[HEDEF]]&gt;1,1,LOOKUP(Tablo2[[#This Row],[ANALIZ]],{-1000000,-0.15,-0.1,-0.05,0,0.05,0.1,0.15,0.2;-4,-3,-2,-1,0,1,2,3,4})))</f>
        <v>#N/A</v>
      </c>
      <c r="K28" s="54" t="str">
        <f>IF(Tablo2[[#This Row],[MALİYET]]&lt;1,"TUT",IF(Tablo2[[#This Row],[HEDEF]]&gt;2,"SAT",IFERROR(INDEX($AA$6:$AC$14,MATCH(Tablo2[[#This Row],[DATA]],$AC$6:$AC$14,0),1),"")))</f>
        <v/>
      </c>
      <c r="L28" s="56" t="e">
        <f>IF(Tablo2[[#This Row],[DURUM]]="SAT",Tablo2[[#This Row],[ADET]]*0.5,ROUND(-IFERROR(INDEX($AA$6:$AD$14,MATCH(Tablo2[[#This Row],[DATA]],$AC$6:$AC$14,0),4),"")*Tablo2[[#This Row],[ADET]],0))</f>
        <v>#VALUE!</v>
      </c>
      <c r="M28" s="21" t="e">
        <f>IF(Tablo2[[#This Row],[DURUM]]="SAT",IF(Tablo2[[#This Row],[MALİYET]]&lt;Tablo2[[#This Row],[FİYAT]],Tablo2[[#This Row],[FİYAT]],Tablo2[[#This Row],[MALİYET]])*1.1,IF(Tablo2[[#This Row],[DATA]]=0,"",IFERROR((1+INDEX($AA$6:$AD$14,MATCH(Tablo2[[#This Row],[DATA]],$AC$6:$AC$14,0),2))*IF(Tablo2[[#This Row],[DATA]]&lt;0,Tablo2[[#This Row],[MALİYET]],Tablo2[[#This Row],[FİYAT]]),0)))</f>
        <v>#N/A</v>
      </c>
      <c r="N28" s="21"/>
    </row>
    <row r="29" spans="2:24" ht="21" hidden="1" customHeight="1" x14ac:dyDescent="0.3">
      <c r="B29" s="20" t="s">
        <v>114</v>
      </c>
      <c r="C29" s="17">
        <f>GEREL!$C$1</f>
        <v>0</v>
      </c>
      <c r="D29" s="21" t="str">
        <f>GEREL!$F$1</f>
        <v/>
      </c>
      <c r="E29" s="18">
        <v>32.42</v>
      </c>
      <c r="F29" s="21">
        <f>E29*C29</f>
        <v>0</v>
      </c>
      <c r="G29" s="21">
        <f>GEREL!$G$1</f>
        <v>-2273.9999999999995</v>
      </c>
      <c r="H29" s="38" t="str">
        <f>IFERROR(Tablo2[[#This Row],[FİYAT]]/Tablo2[[#This Row],[MALİYET]]-1,"")</f>
        <v/>
      </c>
      <c r="I29" s="48">
        <f>+GEREL!$K$2/GEREL!$J$2</f>
        <v>0</v>
      </c>
      <c r="J29" s="51" t="e">
        <f>IF(Tablo2[[#This Row],[MALİYET]]&lt;1,6,IF(Tablo2[[#This Row],[HEDEF]]&gt;1,1,LOOKUP(Tablo2[[#This Row],[ANALIZ]],{-1000000,-0.15,-0.1,-0.05,0,0.05,0.1,0.15,0.2;-4,-3,-2,-1,0,1,2,3,4})))</f>
        <v>#N/A</v>
      </c>
      <c r="K29" s="54" t="str">
        <f>IF(Tablo2[[#This Row],[MALİYET]]&lt;1,"TUT",IF(Tablo2[[#This Row],[HEDEF]]&gt;2,"SAT",IFERROR(INDEX($AA$6:$AC$14,MATCH(Tablo2[[#This Row],[DATA]],$AC$6:$AC$14,0),1),"")))</f>
        <v/>
      </c>
      <c r="L29" s="56" t="e">
        <f>IF(Tablo2[[#This Row],[DURUM]]="SAT",Tablo2[[#This Row],[ADET]]*0.5,ROUND(-IFERROR(INDEX($AA$6:$AD$14,MATCH(Tablo2[[#This Row],[DATA]],$AC$6:$AC$14,0),4),"")*Tablo2[[#This Row],[ADET]],0))</f>
        <v>#VALUE!</v>
      </c>
      <c r="M29" s="21" t="e">
        <f>IF(Tablo2[[#This Row],[DURUM]]="SAT",IF(Tablo2[[#This Row],[MALİYET]]&lt;Tablo2[[#This Row],[FİYAT]],Tablo2[[#This Row],[FİYAT]],Tablo2[[#This Row],[MALİYET]])*1.1,IF(Tablo2[[#This Row],[DATA]]=0,"",IFERROR((1+INDEX($AA$6:$AD$14,MATCH(Tablo2[[#This Row],[DATA]],$AC$6:$AC$14,0),2))*IF(Tablo2[[#This Row],[DATA]]&lt;0,Tablo2[[#This Row],[MALİYET]],Tablo2[[#This Row],[FİYAT]]),0)))</f>
        <v>#N/A</v>
      </c>
      <c r="N29" s="21">
        <v>1000</v>
      </c>
    </row>
    <row r="30" spans="2:24" ht="21" customHeight="1" x14ac:dyDescent="0.3">
      <c r="B30" s="20" t="s">
        <v>30</v>
      </c>
      <c r="C30" s="17">
        <f>GRSEL!$C$1</f>
        <v>150</v>
      </c>
      <c r="D30" s="21">
        <f>GRSEL!$F$1</f>
        <v>47.993929666666666</v>
      </c>
      <c r="E30" s="18">
        <v>90.7</v>
      </c>
      <c r="F30" s="21">
        <f t="shared" si="1"/>
        <v>13605</v>
      </c>
      <c r="G30" s="21">
        <f>GRSEL!$G$1</f>
        <v>6405.9105500000005</v>
      </c>
      <c r="H30" s="38">
        <f>IFERROR(Tablo2[[#This Row],[FİYAT]]/Tablo2[[#This Row],[MALİYET]]-1,"")</f>
        <v>0.88982233023927781</v>
      </c>
      <c r="I30" s="48">
        <f>+GRSEL!$K$2/GRSEL!$J$2</f>
        <v>0.41822932677528435</v>
      </c>
      <c r="J30" s="51">
        <f>IF(Tablo2[[#This Row],[MALİYET]]&lt;1,6,IF(Tablo2[[#This Row],[HEDEF]]&gt;1,1,LOOKUP(Tablo2[[#This Row],[ANALIZ]],{-1000000,-0.15,-0.1,-0.05,0,0.05,0.1,0.15,0.2;-4,-3,-2,-1,0,1,2,3,4})))</f>
        <v>4</v>
      </c>
      <c r="K30" s="54" t="str">
        <f>IF(Tablo2[[#This Row],[MALİYET]]&lt;1,"TUT",IF(Tablo2[[#This Row],[HEDEF]]&gt;2,"SAT",IFERROR(INDEX($AA$6:$AC$14,MATCH(Tablo2[[#This Row],[DATA]],$AC$6:$AC$14,0),1),"")))</f>
        <v>SAT-4</v>
      </c>
      <c r="L30" s="56">
        <f>IF(Tablo2[[#This Row],[DURUM]]="SAT",Tablo2[[#This Row],[ADET]]*0.5,ROUND(-IFERROR(INDEX($AA$6:$AD$14,MATCH(Tablo2[[#This Row],[DATA]],$AC$6:$AC$14,0),4),"")*Tablo2[[#This Row],[ADET]],0))</f>
        <v>-38</v>
      </c>
      <c r="M30" s="21">
        <f>IF(Tablo2[[#This Row],[DURUM]]="SAT",IF(Tablo2[[#This Row],[MALİYET]]&lt;Tablo2[[#This Row],[FİYAT]],Tablo2[[#This Row],[FİYAT]],Tablo2[[#This Row],[MALİYET]])*1.1,IF(Tablo2[[#This Row],[DATA]]=0,"",IFERROR((1+INDEX($AA$6:$AD$14,MATCH(Tablo2[[#This Row],[DATA]],$AC$6:$AC$14,0),2))*IF(Tablo2[[#This Row],[DATA]]&lt;0,Tablo2[[#This Row],[MALİYET]],Tablo2[[#This Row],[FİYAT]]),0)))</f>
        <v>108.84</v>
      </c>
      <c r="N30" s="59">
        <v>1000</v>
      </c>
    </row>
    <row r="31" spans="2:24" ht="21" customHeight="1" x14ac:dyDescent="0.3">
      <c r="B31" s="20" t="s">
        <v>31</v>
      </c>
      <c r="C31" s="17">
        <f>GWIND!$C$1</f>
        <v>300</v>
      </c>
      <c r="D31" s="21">
        <f>GWIND!$F$1</f>
        <v>19.290062000000034</v>
      </c>
      <c r="E31" s="18">
        <v>27.06</v>
      </c>
      <c r="F31" s="21">
        <f t="shared" si="1"/>
        <v>8118</v>
      </c>
      <c r="G31" s="21">
        <f>GWIND!$G$1</f>
        <v>4983.9627999999884</v>
      </c>
      <c r="H31" s="38">
        <f>IFERROR(Tablo2[[#This Row],[FİYAT]]/Tablo2[[#This Row],[MALİYET]]-1,"")</f>
        <v>0.40279486919222718</v>
      </c>
      <c r="I31" s="48">
        <f>+GWIND!$K$2/GWIND!$J$2</f>
        <v>0.2495542576083615</v>
      </c>
      <c r="J31" s="51">
        <f>IF(Tablo2[[#This Row],[MALİYET]]&lt;1,6,IF(Tablo2[[#This Row],[HEDEF]]&gt;1,1,LOOKUP(Tablo2[[#This Row],[ANALIZ]],{-1000000,-0.15,-0.1,-0.05,0,0.05,0.1,0.15,0.2;-4,-3,-2,-1,0,1,2,3,4})))</f>
        <v>4</v>
      </c>
      <c r="K31" s="54" t="str">
        <f>IF(Tablo2[[#This Row],[MALİYET]]&lt;1,"TUT",IF(Tablo2[[#This Row],[HEDEF]]&gt;2,"SAT",IFERROR(INDEX($AA$6:$AC$14,MATCH(Tablo2[[#This Row],[DATA]],$AC$6:$AC$14,0),1),"")))</f>
        <v>SAT-4</v>
      </c>
      <c r="L31" s="56">
        <f>IF(Tablo2[[#This Row],[DURUM]]="SAT",Tablo2[[#This Row],[ADET]]*0.5,ROUND(-IFERROR(INDEX($AA$6:$AD$14,MATCH(Tablo2[[#This Row],[DATA]],$AC$6:$AC$14,0),4),"")*Tablo2[[#This Row],[ADET]],0))</f>
        <v>-75</v>
      </c>
      <c r="M31" s="21">
        <f>IF(Tablo2[[#This Row],[DURUM]]="SAT",IF(Tablo2[[#This Row],[MALİYET]]&lt;Tablo2[[#This Row],[FİYAT]],Tablo2[[#This Row],[FİYAT]],Tablo2[[#This Row],[MALİYET]])*1.1,IF(Tablo2[[#This Row],[DATA]]=0,"",IFERROR((1+INDEX($AA$6:$AD$14,MATCH(Tablo2[[#This Row],[DATA]],$AC$6:$AC$14,0),2))*IF(Tablo2[[#This Row],[DATA]]&lt;0,Tablo2[[#This Row],[MALİYET]],Tablo2[[#This Row],[FİYAT]]),0)))</f>
        <v>32.471999999999994</v>
      </c>
      <c r="N31" s="59">
        <v>1000</v>
      </c>
    </row>
    <row r="32" spans="2:24" ht="21" customHeight="1" x14ac:dyDescent="0.3">
      <c r="B32" s="20" t="s">
        <v>87</v>
      </c>
      <c r="C32" s="17">
        <f>HTTBT!$C$1</f>
        <v>100</v>
      </c>
      <c r="D32" s="21">
        <f>HTTBT!$F$1</f>
        <v>32.424999999999997</v>
      </c>
      <c r="E32" s="18">
        <v>71.55</v>
      </c>
      <c r="F32" s="21">
        <f>E32*C32</f>
        <v>7155</v>
      </c>
      <c r="G32" s="21">
        <f>HTTBT!$G$1</f>
        <v>3912.5</v>
      </c>
      <c r="H32" s="38">
        <f>IFERROR(Tablo2[[#This Row],[FİYAT]]/Tablo2[[#This Row],[MALİYET]]-1,"")</f>
        <v>1.2066306861989209</v>
      </c>
      <c r="I32" s="48">
        <f>+HTTBT!$K$2/HTTBT!$J$2</f>
        <v>0.21995081463264676</v>
      </c>
      <c r="J32" s="51">
        <f>IF(Tablo2[[#This Row],[MALİYET]]&lt;1,6,IF(Tablo2[[#This Row],[HEDEF]]&gt;1,1,LOOKUP(Tablo2[[#This Row],[ANALIZ]],{-1000000,-0.15,-0.1,-0.05,0,0.05,0.1,0.15,0.2;-4,-3,-2,-1,0,1,2,3,4})))</f>
        <v>4</v>
      </c>
      <c r="K32" s="54" t="str">
        <f>IF(Tablo2[[#This Row],[MALİYET]]&lt;1,"TUT",IF(Tablo2[[#This Row],[HEDEF]]&gt;2,"SAT",IFERROR(INDEX($AA$6:$AC$14,MATCH(Tablo2[[#This Row],[DATA]],$AC$6:$AC$14,0),1),"")))</f>
        <v>SAT-4</v>
      </c>
      <c r="L32" s="56">
        <f>IF(Tablo2[[#This Row],[DURUM]]="SAT",Tablo2[[#This Row],[ADET]]*0.5,ROUND(-IFERROR(INDEX($AA$6:$AD$14,MATCH(Tablo2[[#This Row],[DATA]],$AC$6:$AC$14,0),4),"")*Tablo2[[#This Row],[ADET]],0))</f>
        <v>-25</v>
      </c>
      <c r="M32" s="21">
        <f>IF(Tablo2[[#This Row],[DURUM]]="SAT",IF(Tablo2[[#This Row],[MALİYET]]&lt;Tablo2[[#This Row],[FİYAT]],Tablo2[[#This Row],[FİYAT]],Tablo2[[#This Row],[MALİYET]])*1.1,IF(Tablo2[[#This Row],[DATA]]=0,"",IFERROR((1+INDEX($AA$6:$AD$14,MATCH(Tablo2[[#This Row],[DATA]],$AC$6:$AC$14,0),2))*IF(Tablo2[[#This Row],[DATA]]&lt;0,Tablo2[[#This Row],[MALİYET]],Tablo2[[#This Row],[FİYAT]]),0)))</f>
        <v>85.86</v>
      </c>
      <c r="N32" s="59">
        <v>1000</v>
      </c>
    </row>
    <row r="33" spans="2:14" ht="21" hidden="1" customHeight="1" x14ac:dyDescent="0.3">
      <c r="B33" s="20" t="s">
        <v>32</v>
      </c>
      <c r="C33" s="17">
        <f>INDES!$C$1</f>
        <v>0</v>
      </c>
      <c r="D33" s="21" t="str">
        <f>INDES!$F$1</f>
        <v/>
      </c>
      <c r="E33" s="18">
        <v>10.6</v>
      </c>
      <c r="F33" s="21">
        <f t="shared" si="1"/>
        <v>0</v>
      </c>
      <c r="G33" s="21">
        <f>INDES!$G$1</f>
        <v>898.39809999999943</v>
      </c>
      <c r="H33" s="38" t="str">
        <f>IFERROR(Tablo2[[#This Row],[FİYAT]]/Tablo2[[#This Row],[MALİYET]]-1,"")</f>
        <v/>
      </c>
      <c r="I33" s="48">
        <f>+ADESE!$K$2/ADESE!$J$2</f>
        <v>0.60166000614817083</v>
      </c>
      <c r="J33" s="51" t="e">
        <f>IF(Tablo2[[#This Row],[MALİYET]]&lt;1,6,IF(Tablo2[[#This Row],[HEDEF]]&gt;1,1,LOOKUP(Tablo2[[#This Row],[ANALIZ]],{-1000000,-0.15,-0.1,-0.05,0,0.05,0.1,0.15,0.2;-4,-3,-2,-1,0,1,2,3,4})))</f>
        <v>#N/A</v>
      </c>
      <c r="K33" s="54" t="str">
        <f>IF(Tablo2[[#This Row],[MALİYET]]&lt;1,"TUT",IF(Tablo2[[#This Row],[HEDEF]]&gt;2,"SAT",IFERROR(INDEX($AA$6:$AC$14,MATCH(Tablo2[[#This Row],[DATA]],$AC$6:$AC$14,0),1),"")))</f>
        <v/>
      </c>
      <c r="L33" s="56" t="e">
        <f>IF(Tablo2[[#This Row],[DURUM]]="SAT",Tablo2[[#This Row],[ADET]]*0.5,ROUND(-IFERROR(INDEX($AA$6:$AD$14,MATCH(Tablo2[[#This Row],[DATA]],$AC$6:$AC$14,0),4),"")*Tablo2[[#This Row],[ADET]],0))</f>
        <v>#VALUE!</v>
      </c>
      <c r="M33" s="21" t="e">
        <f>IF(Tablo2[[#This Row],[DURUM]]="SAT",IF(Tablo2[[#This Row],[MALİYET]]&lt;Tablo2[[#This Row],[FİYAT]],Tablo2[[#This Row],[FİYAT]],Tablo2[[#This Row],[MALİYET]])*1.1,IF(Tablo2[[#This Row],[DATA]]=0,"",IFERROR((1+INDEX($AA$6:$AD$14,MATCH(Tablo2[[#This Row],[DATA]],$AC$6:$AC$14,0),2))*IF(Tablo2[[#This Row],[DATA]]&lt;0,Tablo2[[#This Row],[MALİYET]],Tablo2[[#This Row],[FİYAT]]),0)))</f>
        <v>#N/A</v>
      </c>
      <c r="N33" s="21"/>
    </row>
    <row r="34" spans="2:14" ht="21" customHeight="1" x14ac:dyDescent="0.3">
      <c r="B34" s="20" t="s">
        <v>33</v>
      </c>
      <c r="C34" s="17">
        <f>KBORU!$C$1</f>
        <v>90</v>
      </c>
      <c r="D34" s="21">
        <f>KBORU!$F$1</f>
        <v>119.55555555555556</v>
      </c>
      <c r="E34" s="18">
        <v>110.6</v>
      </c>
      <c r="F34" s="21">
        <f t="shared" si="1"/>
        <v>9954</v>
      </c>
      <c r="G34" s="21">
        <f>KBORU!$G$1</f>
        <v>-806.00000000000068</v>
      </c>
      <c r="H34" s="38">
        <f>IFERROR(Tablo2[[#This Row],[FİYAT]]/Tablo2[[#This Row],[MALİYET]]-1,"")</f>
        <v>-7.4907063197026114E-2</v>
      </c>
      <c r="I34" s="48">
        <f>+KBORU!$K$2/KBORU!$J$2</f>
        <v>305.99446664617273</v>
      </c>
      <c r="J34" s="51">
        <f>IF(Tablo2[[#This Row],[MALİYET]]&lt;1,6,IF(Tablo2[[#This Row],[HEDEF]]&gt;1,1,LOOKUP(Tablo2[[#This Row],[ANALIZ]],{-1000000,-0.15,-0.1,-0.05,0,0.05,0.1,0.15,0.2;-4,-3,-2,-1,0,1,2,3,4})))</f>
        <v>1</v>
      </c>
      <c r="K34" s="54" t="str">
        <f>IF(Tablo2[[#This Row],[MALİYET]]&lt;1,"TUT",IF(Tablo2[[#This Row],[HEDEF]]&gt;2,"SAT",IFERROR(INDEX($AA$6:$AC$14,MATCH(Tablo2[[#This Row],[DATA]],$AC$6:$AC$14,0),1),"")))</f>
        <v>SAT</v>
      </c>
      <c r="L34" s="56">
        <f>IF(Tablo2[[#This Row],[DURUM]]="SAT",Tablo2[[#This Row],[ADET]]*0.5,ROUND(-IFERROR(INDEX($AA$6:$AD$14,MATCH(Tablo2[[#This Row],[DATA]],$AC$6:$AC$14,0),4),"")*Tablo2[[#This Row],[ADET]],0))</f>
        <v>45</v>
      </c>
      <c r="M34" s="21">
        <f>IF(Tablo2[[#This Row],[DURUM]]="SAT",IF(Tablo2[[#This Row],[MALİYET]]&lt;Tablo2[[#This Row],[FİYAT]],Tablo2[[#This Row],[FİYAT]],Tablo2[[#This Row],[MALİYET]])*1.1,IF(Tablo2[[#This Row],[DATA]]=0,"",IFERROR((1+INDEX($AA$6:$AD$14,MATCH(Tablo2[[#This Row],[DATA]],$AC$6:$AC$14,0),2))*IF(Tablo2[[#This Row],[DATA]]&lt;0,Tablo2[[#This Row],[MALİYET]],Tablo2[[#This Row],[FİYAT]]),0)))</f>
        <v>131.51111111111112</v>
      </c>
      <c r="N34" s="59">
        <v>1</v>
      </c>
    </row>
    <row r="35" spans="2:14" ht="21" customHeight="1" x14ac:dyDescent="0.3">
      <c r="B35" s="20" t="s">
        <v>34</v>
      </c>
      <c r="C35" s="17">
        <f>KCHOL!$C$1</f>
        <v>230</v>
      </c>
      <c r="D35" s="21">
        <f>KCHOL!$F$1</f>
        <v>182.55283913043462</v>
      </c>
      <c r="E35" s="18">
        <v>216</v>
      </c>
      <c r="F35" s="21">
        <f t="shared" ref="F35:F71" si="2">E35*C35</f>
        <v>49680</v>
      </c>
      <c r="G35" s="21">
        <f>KCHOL!$G$1</f>
        <v>7692.847000000037</v>
      </c>
      <c r="H35" s="38">
        <f>IFERROR(Tablo2[[#This Row],[FİYAT]]/Tablo2[[#This Row],[MALİYET]]-1,"")</f>
        <v>0.18321906703224311</v>
      </c>
      <c r="I35" s="48">
        <f>+KCHOL!$K$2/KCHOL!$J$2</f>
        <v>0.76360282815862279</v>
      </c>
      <c r="J35" s="51">
        <f>IF(Tablo2[[#This Row],[MALİYET]]&lt;1,6,IF(Tablo2[[#This Row],[HEDEF]]&gt;1,1,LOOKUP(Tablo2[[#This Row],[ANALIZ]],{-1000000,-0.15,-0.1,-0.05,0,0.05,0.1,0.15,0.2;-4,-3,-2,-1,0,1,2,3,4})))</f>
        <v>3</v>
      </c>
      <c r="K35" s="54" t="str">
        <f>IF(Tablo2[[#This Row],[MALİYET]]&lt;1,"TUT",IF(Tablo2[[#This Row],[HEDEF]]&gt;2,"SAT",IFERROR(INDEX($AA$6:$AC$14,MATCH(Tablo2[[#This Row],[DATA]],$AC$6:$AC$14,0),1),"")))</f>
        <v>SAT-3</v>
      </c>
      <c r="L35" s="56">
        <f>IF(Tablo2[[#This Row],[DURUM]]="SAT",Tablo2[[#This Row],[ADET]]*0.5,ROUND(-IFERROR(INDEX($AA$6:$AD$14,MATCH(Tablo2[[#This Row],[DATA]],$AC$6:$AC$14,0),4),"")*Tablo2[[#This Row],[ADET]],0))</f>
        <v>-46</v>
      </c>
      <c r="M35" s="21">
        <f>IF(Tablo2[[#This Row],[DURUM]]="SAT",IF(Tablo2[[#This Row],[MALİYET]]&lt;Tablo2[[#This Row],[FİYAT]],Tablo2[[#This Row],[FİYAT]],Tablo2[[#This Row],[MALİYET]])*1.1,IF(Tablo2[[#This Row],[DATA]]=0,"",IFERROR((1+INDEX($AA$6:$AD$14,MATCH(Tablo2[[#This Row],[DATA]],$AC$6:$AC$14,0),2))*IF(Tablo2[[#This Row],[DATA]]&lt;0,Tablo2[[#This Row],[MALİYET]],Tablo2[[#This Row],[FİYAT]]),0)))</f>
        <v>248.39999999999998</v>
      </c>
      <c r="N35" s="59">
        <v>2000</v>
      </c>
    </row>
    <row r="36" spans="2:14" ht="21" hidden="1" customHeight="1" x14ac:dyDescent="0.3">
      <c r="B36" s="20" t="s">
        <v>35</v>
      </c>
      <c r="C36" s="17">
        <f>KIMMR!$C$1</f>
        <v>0</v>
      </c>
      <c r="D36" s="21" t="str">
        <f>KIMMR!$F$1</f>
        <v/>
      </c>
      <c r="E36" s="18">
        <v>9.9700000000000006</v>
      </c>
      <c r="F36" s="21">
        <f t="shared" si="2"/>
        <v>0</v>
      </c>
      <c r="G36" s="21">
        <f>KIMMR!$G$1</f>
        <v>2420.7022399999996</v>
      </c>
      <c r="H36" s="38" t="str">
        <f>IFERROR(Tablo2[[#This Row],[FİYAT]]/Tablo2[[#This Row],[MALİYET]]-1,"")</f>
        <v/>
      </c>
      <c r="I36" s="48">
        <f>+ADESE!$K$2/ADESE!$J$2</f>
        <v>0.60166000614817083</v>
      </c>
      <c r="J36" s="51" t="e">
        <f>IF(Tablo2[[#This Row],[MALİYET]]&lt;1,6,IF(Tablo2[[#This Row],[HEDEF]]&gt;1,1,LOOKUP(Tablo2[[#This Row],[ANALIZ]],{-1000000,-0.15,-0.1,-0.05,0,0.05,0.1,0.15,0.2;-4,-3,-2,-1,0,1,2,3,4})))</f>
        <v>#N/A</v>
      </c>
      <c r="K36" s="54" t="str">
        <f>IF(Tablo2[[#This Row],[MALİYET]]&lt;1,"TUT",IF(Tablo2[[#This Row],[HEDEF]]&gt;2,"SAT",IFERROR(INDEX($AA$6:$AC$14,MATCH(Tablo2[[#This Row],[DATA]],$AC$6:$AC$14,0),1),"")))</f>
        <v/>
      </c>
      <c r="L36" s="56" t="e">
        <f>IF(Tablo2[[#This Row],[DURUM]]="SAT",Tablo2[[#This Row],[ADET]]*0.5,ROUND(-IFERROR(INDEX($AA$6:$AD$14,MATCH(Tablo2[[#This Row],[DATA]],$AC$6:$AC$14,0),4),"")*Tablo2[[#This Row],[ADET]],0))</f>
        <v>#VALUE!</v>
      </c>
      <c r="M36" s="21" t="e">
        <f>IF(Tablo2[[#This Row],[DURUM]]="SAT",IF(Tablo2[[#This Row],[MALİYET]]&lt;Tablo2[[#This Row],[FİYAT]],Tablo2[[#This Row],[FİYAT]],Tablo2[[#This Row],[MALİYET]])*1.1,IF(Tablo2[[#This Row],[DATA]]=0,"",IFERROR((1+INDEX($AA$6:$AD$14,MATCH(Tablo2[[#This Row],[DATA]],$AC$6:$AC$14,0),2))*IF(Tablo2[[#This Row],[DATA]]&lt;0,Tablo2[[#This Row],[MALİYET]],Tablo2[[#This Row],[FİYAT]]),0)))</f>
        <v>#N/A</v>
      </c>
      <c r="N36" s="21"/>
    </row>
    <row r="37" spans="2:14" ht="21" hidden="1" customHeight="1" x14ac:dyDescent="0.3">
      <c r="B37" s="39" t="s">
        <v>80</v>
      </c>
      <c r="C37" s="17">
        <f>+KRVGD!C1</f>
        <v>0</v>
      </c>
      <c r="D37" s="21" t="str">
        <f>KRVGD!$F$1</f>
        <v/>
      </c>
      <c r="E37" s="18">
        <v>27.2</v>
      </c>
      <c r="F37" s="21">
        <f>E37*C37</f>
        <v>0</v>
      </c>
      <c r="G37" s="21">
        <f>KRVGD!$G$1</f>
        <v>602.49999999999989</v>
      </c>
      <c r="H37" s="38" t="str">
        <f>IFERROR(Tablo2[[#This Row],[FİYAT]]/Tablo2[[#This Row],[MALİYET]]-1,"")</f>
        <v/>
      </c>
      <c r="I37" s="48">
        <f>+ADESE!$K$2/ADESE!$J$2</f>
        <v>0.60166000614817083</v>
      </c>
      <c r="J37" s="51" t="e">
        <f>IF(Tablo2[[#This Row],[MALİYET]]&lt;1,6,IF(Tablo2[[#This Row],[HEDEF]]&gt;1,1,LOOKUP(Tablo2[[#This Row],[ANALIZ]],{-1000000,-0.15,-0.1,-0.05,0,0.05,0.1,0.15,0.2;-4,-3,-2,-1,0,1,2,3,4})))</f>
        <v>#N/A</v>
      </c>
      <c r="K37" s="54" t="str">
        <f>IF(Tablo2[[#This Row],[MALİYET]]&lt;1,"TUT",IF(Tablo2[[#This Row],[HEDEF]]&gt;2,"SAT",IFERROR(INDEX($AA$6:$AC$14,MATCH(Tablo2[[#This Row],[DATA]],$AC$6:$AC$14,0),1),"")))</f>
        <v/>
      </c>
      <c r="L37" s="56" t="e">
        <f>IF(Tablo2[[#This Row],[DURUM]]="SAT",Tablo2[[#This Row],[ADET]]*0.5,ROUND(-IFERROR(INDEX($AA$6:$AD$14,MATCH(Tablo2[[#This Row],[DATA]],$AC$6:$AC$14,0),4),"")*Tablo2[[#This Row],[ADET]],0))</f>
        <v>#VALUE!</v>
      </c>
      <c r="M37" s="21" t="e">
        <f>IF(Tablo2[[#This Row],[DURUM]]="SAT",IF(Tablo2[[#This Row],[MALİYET]]&lt;Tablo2[[#This Row],[FİYAT]],Tablo2[[#This Row],[FİYAT]],Tablo2[[#This Row],[MALİYET]])*1.1,IF(Tablo2[[#This Row],[DATA]]=0,"",IFERROR((1+INDEX($AA$6:$AD$14,MATCH(Tablo2[[#This Row],[DATA]],$AC$6:$AC$14,0),2))*IF(Tablo2[[#This Row],[DATA]]&lt;0,Tablo2[[#This Row],[MALİYET]],Tablo2[[#This Row],[FİYAT]]),0)))</f>
        <v>#N/A</v>
      </c>
      <c r="N37" s="21"/>
    </row>
    <row r="38" spans="2:14" ht="21" customHeight="1" x14ac:dyDescent="0.3">
      <c r="B38" s="20" t="s">
        <v>36</v>
      </c>
      <c r="C38" s="17">
        <f>KONTR!$C$1</f>
        <v>30</v>
      </c>
      <c r="D38" s="21">
        <f>KONTR!$F$1</f>
        <v>464.45689333333286</v>
      </c>
      <c r="E38" s="18">
        <v>233.5</v>
      </c>
      <c r="F38" s="21">
        <f t="shared" si="2"/>
        <v>7005</v>
      </c>
      <c r="G38" s="21">
        <f>KONTR!$G$1</f>
        <v>-6928.7067999999854</v>
      </c>
      <c r="H38" s="38">
        <f>IFERROR(Tablo2[[#This Row],[FİYAT]]/Tablo2[[#This Row],[MALİYET]]-1,"")</f>
        <v>-0.49726227912302512</v>
      </c>
      <c r="I38" s="48">
        <f>+KONTR!$K$2/KONTR!$J$2</f>
        <v>0.21533968644328311</v>
      </c>
      <c r="J38" s="51">
        <f>IF(Tablo2[[#This Row],[MALİYET]]&lt;1,6,IF(Tablo2[[#This Row],[HEDEF]]&gt;1,1,LOOKUP(Tablo2[[#This Row],[ANALIZ]],{-1000000,-0.15,-0.1,-0.05,0,0.05,0.1,0.15,0.2;-4,-3,-2,-1,0,1,2,3,4})))</f>
        <v>-4</v>
      </c>
      <c r="K38" s="54" t="str">
        <f>IF(Tablo2[[#This Row],[MALİYET]]&lt;1,"TUT",IF(Tablo2[[#This Row],[HEDEF]]&gt;2,"SAT",IFERROR(INDEX($AA$6:$AC$14,MATCH(Tablo2[[#This Row],[DATA]],$AC$6:$AC$14,0),1),"")))</f>
        <v>AL-4</v>
      </c>
      <c r="L38" s="56">
        <f>IF(Tablo2[[#This Row],[DURUM]]="SAT",Tablo2[[#This Row],[ADET]]*0.5,ROUND(-IFERROR(INDEX($AA$6:$AD$14,MATCH(Tablo2[[#This Row],[DATA]],$AC$6:$AC$14,0),4),"")*Tablo2[[#This Row],[ADET]],0))</f>
        <v>8</v>
      </c>
      <c r="M38" s="21">
        <f>IF(Tablo2[[#This Row],[DURUM]]="SAT",IF(Tablo2[[#This Row],[MALİYET]]&lt;Tablo2[[#This Row],[FİYAT]],Tablo2[[#This Row],[FİYAT]],Tablo2[[#This Row],[MALİYET]])*1.1,IF(Tablo2[[#This Row],[DATA]]=0,"",IFERROR((1+INDEX($AA$6:$AD$14,MATCH(Tablo2[[#This Row],[DATA]],$AC$6:$AC$14,0),2))*IF(Tablo2[[#This Row],[DATA]]&lt;0,Tablo2[[#This Row],[MALİYET]],Tablo2[[#This Row],[FİYAT]]),0)))</f>
        <v>371.56551466666633</v>
      </c>
      <c r="N38" s="59">
        <v>1000</v>
      </c>
    </row>
    <row r="39" spans="2:14" ht="21" customHeight="1" x14ac:dyDescent="0.3">
      <c r="B39" s="20" t="s">
        <v>37</v>
      </c>
      <c r="C39" s="17">
        <f>MAVI!$C$1</f>
        <v>450</v>
      </c>
      <c r="D39" s="21">
        <f>MAVI!$F$1</f>
        <v>64.178177777777833</v>
      </c>
      <c r="E39" s="18">
        <v>81.05</v>
      </c>
      <c r="F39" s="21">
        <f t="shared" si="2"/>
        <v>36472.5</v>
      </c>
      <c r="G39" s="21">
        <f>MAVI!$G$1</f>
        <v>7592.3199999999742</v>
      </c>
      <c r="H39" s="38">
        <f>IFERROR(Tablo2[[#This Row],[FİYAT]]/Tablo2[[#This Row],[MALİYET]]-1,"")</f>
        <v>0.26289032824587544</v>
      </c>
      <c r="I39" s="48">
        <f>+ADESE!$K$2/ADESE!$J$2</f>
        <v>0.60166000614817083</v>
      </c>
      <c r="J39" s="51">
        <f>IF(Tablo2[[#This Row],[MALİYET]]&lt;1,6,IF(Tablo2[[#This Row],[HEDEF]]&gt;1,1,LOOKUP(Tablo2[[#This Row],[ANALIZ]],{-1000000,-0.15,-0.1,-0.05,0,0.05,0.1,0.15,0.2;-4,-3,-2,-1,0,1,2,3,4})))</f>
        <v>4</v>
      </c>
      <c r="K39" s="54" t="str">
        <f>IF(Tablo2[[#This Row],[MALİYET]]&lt;1,"TUT",IF(Tablo2[[#This Row],[HEDEF]]&gt;2,"SAT",IFERROR(INDEX($AA$6:$AC$14,MATCH(Tablo2[[#This Row],[DATA]],$AC$6:$AC$14,0),1),"")))</f>
        <v>SAT-4</v>
      </c>
      <c r="L39" s="56">
        <f>IF(Tablo2[[#This Row],[DURUM]]="SAT",Tablo2[[#This Row],[ADET]]*0.5,ROUND(-IFERROR(INDEX($AA$6:$AD$14,MATCH(Tablo2[[#This Row],[DATA]],$AC$6:$AC$14,0),4),"")*Tablo2[[#This Row],[ADET]],0))</f>
        <v>-113</v>
      </c>
      <c r="M39" s="21">
        <f>IF(Tablo2[[#This Row],[DURUM]]="SAT",IF(Tablo2[[#This Row],[MALİYET]]&lt;Tablo2[[#This Row],[FİYAT]],Tablo2[[#This Row],[FİYAT]],Tablo2[[#This Row],[MALİYET]])*1.1,IF(Tablo2[[#This Row],[DATA]]=0,"",IFERROR((1+INDEX($AA$6:$AD$14,MATCH(Tablo2[[#This Row],[DATA]],$AC$6:$AC$14,0),2))*IF(Tablo2[[#This Row],[DATA]]&lt;0,Tablo2[[#This Row],[MALİYET]],Tablo2[[#This Row],[FİYAT]]),0)))</f>
        <v>97.259999999999991</v>
      </c>
      <c r="N39" s="59">
        <v>1000</v>
      </c>
    </row>
    <row r="40" spans="2:14" ht="21" customHeight="1" x14ac:dyDescent="0.3">
      <c r="B40" s="20" t="s">
        <v>38</v>
      </c>
      <c r="C40" s="17">
        <f>MEKAG!$C$1</f>
        <v>270</v>
      </c>
      <c r="D40" s="21">
        <f>MEKAG!$F$1</f>
        <v>63.112222592592623</v>
      </c>
      <c r="E40" s="18">
        <v>61.35</v>
      </c>
      <c r="F40" s="21">
        <f t="shared" si="2"/>
        <v>16564.5</v>
      </c>
      <c r="G40" s="21">
        <f>MEKAG!$G$1</f>
        <v>-475.80010000000783</v>
      </c>
      <c r="H40" s="38">
        <f>IFERROR(Tablo2[[#This Row],[FİYAT]]/Tablo2[[#This Row],[MALİYET]]-1,"")</f>
        <v>-2.7922049330575294E-2</v>
      </c>
      <c r="I40" s="48">
        <f>+MEKAG!$K$2/MEKAG!$J$2</f>
        <v>0.50920688595142949</v>
      </c>
      <c r="J40" s="51">
        <f>IF(Tablo2[[#This Row],[MALİYET]]&lt;1,6,IF(Tablo2[[#This Row],[HEDEF]]&gt;1,1,LOOKUP(Tablo2[[#This Row],[ANALIZ]],{-1000000,-0.15,-0.1,-0.05,0,0.05,0.1,0.15,0.2;-4,-3,-2,-1,0,1,2,3,4})))</f>
        <v>-1</v>
      </c>
      <c r="K40" s="54" t="str">
        <f>IF(Tablo2[[#This Row],[MALİYET]]&lt;1,"TUT",IF(Tablo2[[#This Row],[HEDEF]]&gt;2,"SAT",IFERROR(INDEX($AA$6:$AC$14,MATCH(Tablo2[[#This Row],[DATA]],$AC$6:$AC$14,0),1),"")))</f>
        <v>AL-1</v>
      </c>
      <c r="L40" s="56">
        <f>IF(Tablo2[[#This Row],[DURUM]]="SAT",Tablo2[[#This Row],[ADET]]*0.5,ROUND(-IFERROR(INDEX($AA$6:$AD$14,MATCH(Tablo2[[#This Row],[DATA]],$AC$6:$AC$14,0),4),"")*Tablo2[[#This Row],[ADET]],0))</f>
        <v>27</v>
      </c>
      <c r="M40" s="21">
        <f>IF(Tablo2[[#This Row],[DURUM]]="SAT",IF(Tablo2[[#This Row],[MALİYET]]&lt;Tablo2[[#This Row],[FİYAT]],Tablo2[[#This Row],[FİYAT]],Tablo2[[#This Row],[MALİYET]])*1.1,IF(Tablo2[[#This Row],[DATA]]=0,"",IFERROR((1+INDEX($AA$6:$AD$14,MATCH(Tablo2[[#This Row],[DATA]],$AC$6:$AC$14,0),2))*IF(Tablo2[[#This Row],[DATA]]&lt;0,Tablo2[[#This Row],[MALİYET]],Tablo2[[#This Row],[FİYAT]]),0)))</f>
        <v>59.956611462962989</v>
      </c>
      <c r="N40" s="59">
        <v>1000</v>
      </c>
    </row>
    <row r="41" spans="2:14" ht="21" hidden="1" customHeight="1" x14ac:dyDescent="0.3">
      <c r="B41" s="35" t="s">
        <v>39</v>
      </c>
      <c r="C41" s="17">
        <f>MIATK!$C$1</f>
        <v>0</v>
      </c>
      <c r="D41" s="21" t="str">
        <f>MIATK!$F$1</f>
        <v/>
      </c>
      <c r="E41" s="18">
        <v>79</v>
      </c>
      <c r="F41" s="21">
        <f t="shared" si="2"/>
        <v>0</v>
      </c>
      <c r="G41" s="21">
        <f>MIATK!$G$1</f>
        <v>154.86438000000015</v>
      </c>
      <c r="H41" s="38" t="str">
        <f>IFERROR(Tablo2[[#This Row],[FİYAT]]/Tablo2[[#This Row],[MALİYET]]-1,"")</f>
        <v/>
      </c>
      <c r="I41" s="48">
        <f>+ADESE!$K$2/ADESE!$J$2</f>
        <v>0.60166000614817083</v>
      </c>
      <c r="J41" s="51" t="e">
        <f>IF(Tablo2[[#This Row],[MALİYET]]&lt;1,6,IF(Tablo2[[#This Row],[HEDEF]]&gt;1,1,LOOKUP(Tablo2[[#This Row],[ANALIZ]],{-1000000,-0.15,-0.1,-0.05,0,0.05,0.1,0.15,0.2;-4,-3,-2,-1,0,1,2,3,4})))</f>
        <v>#N/A</v>
      </c>
      <c r="K41" s="54" t="str">
        <f>IF(Tablo2[[#This Row],[MALİYET]]&lt;1,"TUT",IF(Tablo2[[#This Row],[HEDEF]]&gt;2,"SAT",IFERROR(INDEX($AA$6:$AC$14,MATCH(Tablo2[[#This Row],[DATA]],$AC$6:$AC$14,0),1),"")))</f>
        <v/>
      </c>
      <c r="L41" s="56" t="e">
        <f>IF(Tablo2[[#This Row],[DURUM]]="SAT",Tablo2[[#This Row],[ADET]]*0.5,ROUND(-IFERROR(INDEX($AA$6:$AD$14,MATCH(Tablo2[[#This Row],[DATA]],$AC$6:$AC$14,0),4),"")*Tablo2[[#This Row],[ADET]],0))</f>
        <v>#VALUE!</v>
      </c>
      <c r="M41" s="21" t="e">
        <f>IF(Tablo2[[#This Row],[DURUM]]="SAT",IF(Tablo2[[#This Row],[MALİYET]]&lt;Tablo2[[#This Row],[FİYAT]],Tablo2[[#This Row],[FİYAT]],Tablo2[[#This Row],[MALİYET]])*1.1,IF(Tablo2[[#This Row],[DATA]]=0,"",IFERROR((1+INDEX($AA$6:$AD$14,MATCH(Tablo2[[#This Row],[DATA]],$AC$6:$AC$14,0),2))*IF(Tablo2[[#This Row],[DATA]]&lt;0,Tablo2[[#This Row],[MALİYET]],Tablo2[[#This Row],[FİYAT]]),0)))</f>
        <v>#N/A</v>
      </c>
      <c r="N41" s="21"/>
    </row>
    <row r="42" spans="2:14" ht="21" customHeight="1" x14ac:dyDescent="0.3">
      <c r="B42" s="41" t="s">
        <v>75</v>
      </c>
      <c r="C42" s="17">
        <f>ONCSM!$C$1</f>
        <v>430</v>
      </c>
      <c r="D42" s="21">
        <f>ONCSM!$F$1</f>
        <v>184.31744186046512</v>
      </c>
      <c r="E42" s="18">
        <v>174.2</v>
      </c>
      <c r="F42" s="21">
        <f>E42*C42</f>
        <v>74906</v>
      </c>
      <c r="G42" s="21">
        <f>ONCSM!$G$1</f>
        <v>-4350.5000000000082</v>
      </c>
      <c r="H42" s="38">
        <f>IFERROR(Tablo2[[#This Row],[FİYAT]]/Tablo2[[#This Row],[MALİYET]]-1,"")</f>
        <v>-5.4891396920126567E-2</v>
      </c>
      <c r="I42" s="48">
        <f>+ONCSM!$K$2/ONCSM!$J$2</f>
        <v>2.3026744543498308</v>
      </c>
      <c r="J42" s="51">
        <f>IF(Tablo2[[#This Row],[MALİYET]]&lt;1,6,IF(Tablo2[[#This Row],[HEDEF]]&gt;1,1,LOOKUP(Tablo2[[#This Row],[ANALIZ]],{-1000000,-0.15,-0.1,-0.05,0,0.05,0.1,0.15,0.2;-4,-3,-2,-1,0,1,2,3,4})))</f>
        <v>1</v>
      </c>
      <c r="K42" s="54" t="str">
        <f>IF(Tablo2[[#This Row],[MALİYET]]&lt;1,"TUT",IF(Tablo2[[#This Row],[HEDEF]]&gt;2,"SAT",IFERROR(INDEX($AA$6:$AC$14,MATCH(Tablo2[[#This Row],[DATA]],$AC$6:$AC$14,0),1),"")))</f>
        <v>SAT</v>
      </c>
      <c r="L42" s="56">
        <f>IF(Tablo2[[#This Row],[DURUM]]="SAT",Tablo2[[#This Row],[ADET]]*0.5,ROUND(-IFERROR(INDEX($AA$6:$AD$14,MATCH(Tablo2[[#This Row],[DATA]],$AC$6:$AC$14,0),4),"")*Tablo2[[#This Row],[ADET]],0))</f>
        <v>215</v>
      </c>
      <c r="M42" s="21">
        <f>IF(Tablo2[[#This Row],[DURUM]]="SAT",IF(Tablo2[[#This Row],[MALİYET]]&lt;Tablo2[[#This Row],[FİYAT]],Tablo2[[#This Row],[FİYAT]],Tablo2[[#This Row],[MALİYET]])*1.1,IF(Tablo2[[#This Row],[DATA]]=0,"",IFERROR((1+INDEX($AA$6:$AD$14,MATCH(Tablo2[[#This Row],[DATA]],$AC$6:$AC$14,0),2))*IF(Tablo2[[#This Row],[DATA]]&lt;0,Tablo2[[#This Row],[MALİYET]],Tablo2[[#This Row],[FİYAT]]),0)))</f>
        <v>202.74918604651165</v>
      </c>
      <c r="N42" s="59">
        <v>1000</v>
      </c>
    </row>
    <row r="43" spans="2:14" ht="21" customHeight="1" x14ac:dyDescent="0.3">
      <c r="B43" s="20" t="s">
        <v>40</v>
      </c>
      <c r="C43" s="17">
        <f>ORGE!$C$1</f>
        <v>450</v>
      </c>
      <c r="D43" s="21">
        <f>ORGE!$F$1</f>
        <v>65.811035822222735</v>
      </c>
      <c r="E43" s="18">
        <v>70.3</v>
      </c>
      <c r="F43" s="21">
        <f t="shared" si="2"/>
        <v>31635</v>
      </c>
      <c r="G43" s="21">
        <f>ORGE!$G$1</f>
        <v>2020.033879999768</v>
      </c>
      <c r="H43" s="38">
        <f>IFERROR(Tablo2[[#This Row],[FİYAT]]/Tablo2[[#This Row],[MALİYET]]-1,"")</f>
        <v>6.8209900082767838E-2</v>
      </c>
      <c r="I43" s="48">
        <f>+ORGE!$K$2/ORGE!$J$2</f>
        <v>0.97248693513679674</v>
      </c>
      <c r="J43" s="51">
        <f>IF(Tablo2[[#This Row],[MALİYET]]&lt;1,6,IF(Tablo2[[#This Row],[HEDEF]]&gt;1,1,LOOKUP(Tablo2[[#This Row],[ANALIZ]],{-1000000,-0.15,-0.1,-0.05,0,0.05,0.1,0.15,0.2;-4,-3,-2,-1,0,1,2,3,4})))</f>
        <v>1</v>
      </c>
      <c r="K43" s="54" t="str">
        <f>IF(Tablo2[[#This Row],[MALİYET]]&lt;1,"TUT",IF(Tablo2[[#This Row],[HEDEF]]&gt;2,"SAT",IFERROR(INDEX($AA$6:$AC$14,MATCH(Tablo2[[#This Row],[DATA]],$AC$6:$AC$14,0),1),"")))</f>
        <v>SAT-1</v>
      </c>
      <c r="L43" s="56">
        <f>IF(Tablo2[[#This Row],[DURUM]]="SAT",Tablo2[[#This Row],[ADET]]*0.5,ROUND(-IFERROR(INDEX($AA$6:$AD$14,MATCH(Tablo2[[#This Row],[DATA]],$AC$6:$AC$14,0),4),"")*Tablo2[[#This Row],[ADET]],0))</f>
        <v>-45</v>
      </c>
      <c r="M43" s="21">
        <f>IF(Tablo2[[#This Row],[DURUM]]="SAT",IF(Tablo2[[#This Row],[MALİYET]]&lt;Tablo2[[#This Row],[FİYAT]],Tablo2[[#This Row],[FİYAT]],Tablo2[[#This Row],[MALİYET]])*1.1,IF(Tablo2[[#This Row],[DATA]]=0,"",IFERROR((1+INDEX($AA$6:$AD$14,MATCH(Tablo2[[#This Row],[DATA]],$AC$6:$AC$14,0),2))*IF(Tablo2[[#This Row],[DATA]]&lt;0,Tablo2[[#This Row],[MALİYET]],Tablo2[[#This Row],[FİYAT]]),0)))</f>
        <v>73.814999999999998</v>
      </c>
      <c r="N43" s="59">
        <v>1000</v>
      </c>
    </row>
    <row r="44" spans="2:14" ht="21" hidden="1" customHeight="1" x14ac:dyDescent="0.3">
      <c r="B44" s="35" t="s">
        <v>41</v>
      </c>
      <c r="C44" s="17">
        <f>OTTO!$C$1</f>
        <v>0</v>
      </c>
      <c r="D44" s="21" t="str">
        <f>OTTO!$F$1</f>
        <v/>
      </c>
      <c r="E44" s="18">
        <v>315</v>
      </c>
      <c r="F44" s="21">
        <f t="shared" si="2"/>
        <v>0</v>
      </c>
      <c r="G44" s="21" t="e">
        <f>OTTO!$G$1</f>
        <v>#VALUE!</v>
      </c>
      <c r="H44" s="38" t="str">
        <f>IFERROR(Tablo2[[#This Row],[FİYAT]]/Tablo2[[#This Row],[MALİYET]]-1,"")</f>
        <v/>
      </c>
      <c r="I44" s="48">
        <f>+ADESE!$K$2/ADESE!$J$2</f>
        <v>0.60166000614817083</v>
      </c>
      <c r="J44" s="51" t="e">
        <f>IF(Tablo2[[#This Row],[MALİYET]]&lt;1,6,IF(Tablo2[[#This Row],[HEDEF]]&gt;1,1,LOOKUP(Tablo2[[#This Row],[ANALIZ]],{-1000000,-0.15,-0.1,-0.05,0,0.05,0.1,0.15,0.2;-4,-3,-2,-1,0,1,2,3,4})))</f>
        <v>#N/A</v>
      </c>
      <c r="K44" s="54" t="str">
        <f>IF(Tablo2[[#This Row],[MALİYET]]&lt;1,"TUT",IF(Tablo2[[#This Row],[HEDEF]]&gt;2,"SAT",IFERROR(INDEX($AA$6:$AC$14,MATCH(Tablo2[[#This Row],[DATA]],$AC$6:$AC$14,0),1),"")))</f>
        <v/>
      </c>
      <c r="L44" s="56" t="e">
        <f>IF(Tablo2[[#This Row],[DURUM]]="SAT",Tablo2[[#This Row],[ADET]]*0.5,ROUND(-IFERROR(INDEX($AA$6:$AD$14,MATCH(Tablo2[[#This Row],[DATA]],$AC$6:$AC$14,0),4),"")*Tablo2[[#This Row],[ADET]],0))</f>
        <v>#VALUE!</v>
      </c>
      <c r="M44" s="21" t="e">
        <f>IF(Tablo2[[#This Row],[DURUM]]="SAT",IF(Tablo2[[#This Row],[MALİYET]]&lt;Tablo2[[#This Row],[FİYAT]],Tablo2[[#This Row],[FİYAT]],Tablo2[[#This Row],[MALİYET]])*1.1,IF(Tablo2[[#This Row],[DATA]]=0,"",IFERROR((1+INDEX($AA$6:$AD$14,MATCH(Tablo2[[#This Row],[DATA]],$AC$6:$AC$14,0),2))*IF(Tablo2[[#This Row],[DATA]]&lt;0,Tablo2[[#This Row],[MALİYET]],Tablo2[[#This Row],[FİYAT]]),0)))</f>
        <v>#N/A</v>
      </c>
      <c r="N44" s="21"/>
    </row>
    <row r="45" spans="2:14" ht="21" customHeight="1" x14ac:dyDescent="0.3">
      <c r="B45" s="20" t="s">
        <v>42</v>
      </c>
      <c r="C45" s="17">
        <f>OYAKC!$C$1</f>
        <v>700</v>
      </c>
      <c r="D45" s="21">
        <f>OYAKC!$F$1</f>
        <v>62.28293428571429</v>
      </c>
      <c r="E45" s="18">
        <v>57.65</v>
      </c>
      <c r="F45" s="21">
        <f t="shared" si="2"/>
        <v>40355</v>
      </c>
      <c r="G45" s="21">
        <f>OYAKC!$G$1</f>
        <v>-3243.0540000000042</v>
      </c>
      <c r="H45" s="38">
        <f>IFERROR(Tablo2[[#This Row],[FİYAT]]/Tablo2[[#This Row],[MALİYET]]-1,"")</f>
        <v>-7.4385292517872514E-2</v>
      </c>
      <c r="I45" s="48">
        <f>+OYAKC!$K$2/OYAKC!$J$2</f>
        <v>0.62027359360590217</v>
      </c>
      <c r="J45" s="51">
        <f>IF(Tablo2[[#This Row],[MALİYET]]&lt;1,6,IF(Tablo2[[#This Row],[HEDEF]]&gt;1,1,LOOKUP(Tablo2[[#This Row],[ANALIZ]],{-1000000,-0.15,-0.1,-0.05,0,0.05,0.1,0.15,0.2;-4,-3,-2,-1,0,1,2,3,4})))</f>
        <v>-2</v>
      </c>
      <c r="K45" s="54" t="str">
        <f>IF(Tablo2[[#This Row],[MALİYET]]&lt;1,"TUT",IF(Tablo2[[#This Row],[HEDEF]]&gt;2,"SAT",IFERROR(INDEX($AA$6:$AC$14,MATCH(Tablo2[[#This Row],[DATA]],$AC$6:$AC$14,0),1),"")))</f>
        <v>AL-2</v>
      </c>
      <c r="L45" s="56">
        <f>IF(Tablo2[[#This Row],[DURUM]]="SAT",Tablo2[[#This Row],[ADET]]*0.5,ROUND(-IFERROR(INDEX($AA$6:$AD$14,MATCH(Tablo2[[#This Row],[DATA]],$AC$6:$AC$14,0),4),"")*Tablo2[[#This Row],[ADET]],0))</f>
        <v>105</v>
      </c>
      <c r="M45" s="21">
        <f>IF(Tablo2[[#This Row],[DURUM]]="SAT",IF(Tablo2[[#This Row],[MALİYET]]&lt;Tablo2[[#This Row],[FİYAT]],Tablo2[[#This Row],[FİYAT]],Tablo2[[#This Row],[MALİYET]])*1.1,IF(Tablo2[[#This Row],[DATA]]=0,"",IFERROR((1+INDEX($AA$6:$AD$14,MATCH(Tablo2[[#This Row],[DATA]],$AC$6:$AC$14,0),2))*IF(Tablo2[[#This Row],[DATA]]&lt;0,Tablo2[[#This Row],[MALİYET]],Tablo2[[#This Row],[FİYAT]]),0)))</f>
        <v>56.054640857142864</v>
      </c>
      <c r="N45" s="59">
        <v>2000</v>
      </c>
    </row>
    <row r="46" spans="2:14" ht="21" hidden="1" customHeight="1" x14ac:dyDescent="0.3">
      <c r="B46" s="20" t="s">
        <v>43</v>
      </c>
      <c r="C46" s="17">
        <f>OYLUM!$C$1</f>
        <v>0</v>
      </c>
      <c r="D46" s="21" t="str">
        <f>OYLUM!$F$1</f>
        <v/>
      </c>
      <c r="E46" s="18">
        <v>11.9</v>
      </c>
      <c r="F46" s="21">
        <f t="shared" si="2"/>
        <v>0</v>
      </c>
      <c r="G46" s="21" t="e">
        <f>OYLUM!$G$1</f>
        <v>#VALUE!</v>
      </c>
      <c r="H46" s="38" t="str">
        <f>IFERROR(Tablo2[[#This Row],[FİYAT]]/Tablo2[[#This Row],[MALİYET]]-1,"")</f>
        <v/>
      </c>
      <c r="I46" s="48">
        <f>+ADESE!$K$2/ADESE!$J$2</f>
        <v>0.60166000614817083</v>
      </c>
      <c r="J46" s="51" t="e">
        <f>IF(Tablo2[[#This Row],[MALİYET]]&lt;1,6,IF(Tablo2[[#This Row],[HEDEF]]&gt;1,1,LOOKUP(Tablo2[[#This Row],[ANALIZ]],{-1000000,-0.15,-0.1,-0.05,0,0.05,0.1,0.15,0.2;-4,-3,-2,-1,0,1,2,3,4})))</f>
        <v>#N/A</v>
      </c>
      <c r="K46" s="54" t="str">
        <f>IF(Tablo2[[#This Row],[MALİYET]]&lt;1,"TUT",IF(Tablo2[[#This Row],[HEDEF]]&gt;2,"SAT",IFERROR(INDEX($AA$6:$AC$14,MATCH(Tablo2[[#This Row],[DATA]],$AC$6:$AC$14,0),1),"")))</f>
        <v/>
      </c>
      <c r="L46" s="56" t="e">
        <f>IF(Tablo2[[#This Row],[DURUM]]="SAT",Tablo2[[#This Row],[ADET]]*0.5,ROUND(-IFERROR(INDEX($AA$6:$AD$14,MATCH(Tablo2[[#This Row],[DATA]],$AC$6:$AC$14,0),4),"")*Tablo2[[#This Row],[ADET]],0))</f>
        <v>#VALUE!</v>
      </c>
      <c r="M46" s="21" t="e">
        <f>IF(Tablo2[[#This Row],[DURUM]]="SAT",IF(Tablo2[[#This Row],[MALİYET]]&lt;Tablo2[[#This Row],[FİYAT]],Tablo2[[#This Row],[FİYAT]],Tablo2[[#This Row],[MALİYET]])*1.1,IF(Tablo2[[#This Row],[DATA]]=0,"",IFERROR((1+INDEX($AA$6:$AD$14,MATCH(Tablo2[[#This Row],[DATA]],$AC$6:$AC$14,0),2))*IF(Tablo2[[#This Row],[DATA]]&lt;0,Tablo2[[#This Row],[MALİYET]],Tablo2[[#This Row],[FİYAT]]),0)))</f>
        <v>#N/A</v>
      </c>
      <c r="N46" s="21"/>
    </row>
    <row r="47" spans="2:14" ht="21" customHeight="1" x14ac:dyDescent="0.3">
      <c r="B47" s="20" t="s">
        <v>44</v>
      </c>
      <c r="C47" s="17">
        <f>OZRDN!$C$1</f>
        <v>200</v>
      </c>
      <c r="D47" s="21">
        <f>OZRDN!$F$1</f>
        <v>55.083879999999773</v>
      </c>
      <c r="E47" s="18">
        <v>60.85</v>
      </c>
      <c r="F47" s="21">
        <f t="shared" si="2"/>
        <v>12170</v>
      </c>
      <c r="G47" s="21">
        <f>OZRDN!$G$1</f>
        <v>1153.2240000000456</v>
      </c>
      <c r="H47" s="38">
        <f>IFERROR(Tablo2[[#This Row],[FİYAT]]/Tablo2[[#This Row],[MALİYET]]-1,"")</f>
        <v>0.10467890061484875</v>
      </c>
      <c r="I47" s="48">
        <f>+OZRDN!$K$2/OZRDN!$J$2</f>
        <v>0.37411620043037197</v>
      </c>
      <c r="J47" s="51">
        <f>IF(Tablo2[[#This Row],[MALİYET]]&lt;1,6,IF(Tablo2[[#This Row],[HEDEF]]&gt;1,1,LOOKUP(Tablo2[[#This Row],[ANALIZ]],{-1000000,-0.15,-0.1,-0.05,0,0.05,0.1,0.15,0.2;-4,-3,-2,-1,0,1,2,3,4})))</f>
        <v>2</v>
      </c>
      <c r="K47" s="54" t="str">
        <f>IF(Tablo2[[#This Row],[MALİYET]]&lt;1,"TUT",IF(Tablo2[[#This Row],[HEDEF]]&gt;2,"SAT",IFERROR(INDEX($AA$6:$AC$14,MATCH(Tablo2[[#This Row],[DATA]],$AC$6:$AC$14,0),1),"")))</f>
        <v>SAT-2</v>
      </c>
      <c r="L47" s="56">
        <f>IF(Tablo2[[#This Row],[DURUM]]="SAT",Tablo2[[#This Row],[ADET]]*0.5,ROUND(-IFERROR(INDEX($AA$6:$AD$14,MATCH(Tablo2[[#This Row],[DATA]],$AC$6:$AC$14,0),4),"")*Tablo2[[#This Row],[ADET]],0))</f>
        <v>-30</v>
      </c>
      <c r="M47" s="21">
        <f>IF(Tablo2[[#This Row],[DURUM]]="SAT",IF(Tablo2[[#This Row],[MALİYET]]&lt;Tablo2[[#This Row],[FİYAT]],Tablo2[[#This Row],[FİYAT]],Tablo2[[#This Row],[MALİYET]])*1.1,IF(Tablo2[[#This Row],[DATA]]=0,"",IFERROR((1+INDEX($AA$6:$AD$14,MATCH(Tablo2[[#This Row],[DATA]],$AC$6:$AC$14,0),2))*IF(Tablo2[[#This Row],[DATA]]&lt;0,Tablo2[[#This Row],[MALİYET]],Tablo2[[#This Row],[FİYAT]]),0)))</f>
        <v>66.935000000000002</v>
      </c>
      <c r="N47" s="59">
        <v>1000</v>
      </c>
    </row>
    <row r="48" spans="2:14" ht="21" customHeight="1" x14ac:dyDescent="0.3">
      <c r="B48" s="20" t="s">
        <v>45</v>
      </c>
      <c r="C48" s="17">
        <f>PCILT!$C$1</f>
        <v>1100</v>
      </c>
      <c r="D48" s="21">
        <f>PCILT!$F$1</f>
        <v>12.625346272727276</v>
      </c>
      <c r="E48" s="18">
        <v>13.52</v>
      </c>
      <c r="F48" s="21">
        <f t="shared" si="2"/>
        <v>14872</v>
      </c>
      <c r="G48" s="21">
        <f>PCILT!$G$1</f>
        <v>984.11909999999614</v>
      </c>
      <c r="H48" s="38">
        <f>IFERROR(Tablo2[[#This Row],[FİYAT]]/Tablo2[[#This Row],[MALİYET]]-1,"")</f>
        <v>7.0861718003356167E-2</v>
      </c>
      <c r="I48" s="48">
        <f>+PCILT!$K$2/PCILT!$J$2</f>
        <v>0.4571779895481094</v>
      </c>
      <c r="J48" s="51">
        <f>IF(Tablo2[[#This Row],[MALİYET]]&lt;1,6,IF(Tablo2[[#This Row],[HEDEF]]&gt;1,1,LOOKUP(Tablo2[[#This Row],[ANALIZ]],{-1000000,-0.15,-0.1,-0.05,0,0.05,0.1,0.15,0.2;-4,-3,-2,-1,0,1,2,3,4})))</f>
        <v>1</v>
      </c>
      <c r="K48" s="54" t="str">
        <f>IF(Tablo2[[#This Row],[MALİYET]]&lt;1,"TUT",IF(Tablo2[[#This Row],[HEDEF]]&gt;2,"SAT",IFERROR(INDEX($AA$6:$AC$14,MATCH(Tablo2[[#This Row],[DATA]],$AC$6:$AC$14,0),1),"")))</f>
        <v>SAT-1</v>
      </c>
      <c r="L48" s="56">
        <f>IF(Tablo2[[#This Row],[DURUM]]="SAT",Tablo2[[#This Row],[ADET]]*0.5,ROUND(-IFERROR(INDEX($AA$6:$AD$14,MATCH(Tablo2[[#This Row],[DATA]],$AC$6:$AC$14,0),4),"")*Tablo2[[#This Row],[ADET]],0))</f>
        <v>-110</v>
      </c>
      <c r="M48" s="21">
        <f>IF(Tablo2[[#This Row],[DURUM]]="SAT",IF(Tablo2[[#This Row],[MALİYET]]&lt;Tablo2[[#This Row],[FİYAT]],Tablo2[[#This Row],[FİYAT]],Tablo2[[#This Row],[MALİYET]])*1.1,IF(Tablo2[[#This Row],[DATA]]=0,"",IFERROR((1+INDEX($AA$6:$AD$14,MATCH(Tablo2[[#This Row],[DATA]],$AC$6:$AC$14,0),2))*IF(Tablo2[[#This Row],[DATA]]&lt;0,Tablo2[[#This Row],[MALİYET]],Tablo2[[#This Row],[FİYAT]]),0)))</f>
        <v>14.196</v>
      </c>
      <c r="N48" s="59">
        <v>1000</v>
      </c>
    </row>
    <row r="49" spans="2:14" ht="21" customHeight="1" x14ac:dyDescent="0.3">
      <c r="B49" s="20" t="s">
        <v>112</v>
      </c>
      <c r="C49" s="17">
        <f>PRDGS!$C$1</f>
        <v>1000</v>
      </c>
      <c r="D49" s="21">
        <f>PRDGS!$F$1</f>
        <v>5.9409999999999998</v>
      </c>
      <c r="E49" s="18">
        <v>6.75</v>
      </c>
      <c r="F49" s="21">
        <f>E49*C49</f>
        <v>6750</v>
      </c>
      <c r="G49" s="21">
        <f>PRDGS!$G$1</f>
        <v>809.00000000000011</v>
      </c>
      <c r="H49" s="38">
        <f>IFERROR(Tablo2[[#This Row],[FİYAT]]/Tablo2[[#This Row],[MALİYET]]-1,"")</f>
        <v>0.13617236155529366</v>
      </c>
      <c r="I49" s="48">
        <f>+PRDGS!$K$2/PRDGS!$J$2</f>
        <v>0.41500153704272974</v>
      </c>
      <c r="J49" s="51">
        <f>IF(Tablo2[[#This Row],[MALİYET]]&lt;1,6,IF(Tablo2[[#This Row],[HEDEF]]&gt;1,1,LOOKUP(Tablo2[[#This Row],[ANALIZ]],{-1000000,-0.15,-0.1,-0.05,0,0.05,0.1,0.15,0.2;-4,-3,-2,-1,0,1,2,3,4})))</f>
        <v>2</v>
      </c>
      <c r="K49" s="54" t="str">
        <f>IF(Tablo2[[#This Row],[MALİYET]]&lt;1,"TUT",IF(Tablo2[[#This Row],[HEDEF]]&gt;2,"SAT",IFERROR(INDEX($AA$6:$AC$14,MATCH(Tablo2[[#This Row],[DATA]],$AC$6:$AC$14,0),1),"")))</f>
        <v>SAT-2</v>
      </c>
      <c r="L49" s="56">
        <f>IF(Tablo2[[#This Row],[DURUM]]="SAT",Tablo2[[#This Row],[ADET]]*0.5,ROUND(-IFERROR(INDEX($AA$6:$AD$14,MATCH(Tablo2[[#This Row],[DATA]],$AC$6:$AC$14,0),4),"")*Tablo2[[#This Row],[ADET]],0))</f>
        <v>-150</v>
      </c>
      <c r="M49" s="21">
        <f>IF(Tablo2[[#This Row],[DURUM]]="SAT",IF(Tablo2[[#This Row],[MALİYET]]&lt;Tablo2[[#This Row],[FİYAT]],Tablo2[[#This Row],[FİYAT]],Tablo2[[#This Row],[MALİYET]])*1.1,IF(Tablo2[[#This Row],[DATA]]=0,"",IFERROR((1+INDEX($AA$6:$AD$14,MATCH(Tablo2[[#This Row],[DATA]],$AC$6:$AC$14,0),2))*IF(Tablo2[[#This Row],[DATA]]&lt;0,Tablo2[[#This Row],[MALİYET]],Tablo2[[#This Row],[FİYAT]]),0)))</f>
        <v>7.4250000000000007</v>
      </c>
      <c r="N49" s="59">
        <v>500</v>
      </c>
    </row>
    <row r="50" spans="2:14" ht="21" customHeight="1" x14ac:dyDescent="0.3">
      <c r="B50" s="46" t="s">
        <v>46</v>
      </c>
      <c r="C50" s="17">
        <f>QUAGR!$C$1</f>
        <v>2500</v>
      </c>
      <c r="D50" s="21">
        <f>QUAGR!$F$1</f>
        <v>4.3946958799999996</v>
      </c>
      <c r="E50" s="18">
        <v>4.1100000000000003</v>
      </c>
      <c r="F50" s="21">
        <f t="shared" si="2"/>
        <v>10275</v>
      </c>
      <c r="G50" s="21">
        <f>QUAGR!$G$1</f>
        <v>-711.73969999999804</v>
      </c>
      <c r="H50" s="38">
        <f>IFERROR(Tablo2[[#This Row],[FİYAT]]/Tablo2[[#This Row],[MALİYET]]-1,"")</f>
        <v>-6.4781702255128359E-2</v>
      </c>
      <c r="I50" s="48">
        <f>+QUAGR!$K$2/QUAGR!$J$2</f>
        <v>0.315862280971411</v>
      </c>
      <c r="J50" s="51">
        <f>IF(Tablo2[[#This Row],[MALİYET]]&lt;1,6,IF(Tablo2[[#This Row],[HEDEF]]&gt;1,1,LOOKUP(Tablo2[[#This Row],[ANALIZ]],{-1000000,-0.15,-0.1,-0.05,0,0.05,0.1,0.15,0.2;-4,-3,-2,-1,0,1,2,3,4})))</f>
        <v>-2</v>
      </c>
      <c r="K50" s="54" t="str">
        <f>IF(Tablo2[[#This Row],[MALİYET]]&lt;1,"TUT",IF(Tablo2[[#This Row],[HEDEF]]&gt;2,"SAT",IFERROR(INDEX($AA$6:$AC$14,MATCH(Tablo2[[#This Row],[DATA]],$AC$6:$AC$14,0),1),"")))</f>
        <v>AL-2</v>
      </c>
      <c r="L50" s="56">
        <f>IF(Tablo2[[#This Row],[DURUM]]="SAT",Tablo2[[#This Row],[ADET]]*0.5,ROUND(-IFERROR(INDEX($AA$6:$AD$14,MATCH(Tablo2[[#This Row],[DATA]],$AC$6:$AC$14,0),4),"")*Tablo2[[#This Row],[ADET]],0))</f>
        <v>375</v>
      </c>
      <c r="M50" s="21">
        <f>IF(Tablo2[[#This Row],[DURUM]]="SAT",IF(Tablo2[[#This Row],[MALİYET]]&lt;Tablo2[[#This Row],[FİYAT]],Tablo2[[#This Row],[FİYAT]],Tablo2[[#This Row],[MALİYET]])*1.1,IF(Tablo2[[#This Row],[DATA]]=0,"",IFERROR((1+INDEX($AA$6:$AD$14,MATCH(Tablo2[[#This Row],[DATA]],$AC$6:$AC$14,0),2))*IF(Tablo2[[#This Row],[DATA]]&lt;0,Tablo2[[#This Row],[MALİYET]],Tablo2[[#This Row],[FİYAT]]),0)))</f>
        <v>3.9552262919999999</v>
      </c>
      <c r="N50" s="59">
        <v>1000</v>
      </c>
    </row>
    <row r="51" spans="2:14" ht="21" hidden="1" customHeight="1" x14ac:dyDescent="0.3">
      <c r="B51" s="41" t="s">
        <v>81</v>
      </c>
      <c r="C51" s="17">
        <f>SAFKR!$C$1</f>
        <v>0</v>
      </c>
      <c r="D51" s="21" t="str">
        <f>SAFKR!$F$1</f>
        <v/>
      </c>
      <c r="E51" s="18">
        <v>44.04</v>
      </c>
      <c r="F51" s="21">
        <f>E51*C51</f>
        <v>0</v>
      </c>
      <c r="G51" s="21">
        <f>SAFKR!$G$1</f>
        <v>2070.0000000000005</v>
      </c>
      <c r="H51" s="38" t="str">
        <f>IFERROR(Tablo2[[#This Row],[FİYAT]]/Tablo2[[#This Row],[MALİYET]]-1,"")</f>
        <v/>
      </c>
      <c r="I51" s="48">
        <f>+ADESE!$K$2/ADESE!$J$2</f>
        <v>0.60166000614817083</v>
      </c>
      <c r="J51" s="51" t="e">
        <f>IF(Tablo2[[#This Row],[MALİYET]]&lt;1,6,IF(Tablo2[[#This Row],[HEDEF]]&gt;1,1,LOOKUP(Tablo2[[#This Row],[ANALIZ]],{-1000000,-0.15,-0.1,-0.05,0,0.05,0.1,0.15,0.2;-4,-3,-2,-1,0,1,2,3,4})))</f>
        <v>#N/A</v>
      </c>
      <c r="K51" s="54" t="str">
        <f>IF(Tablo2[[#This Row],[MALİYET]]&lt;1,"TUT",IF(Tablo2[[#This Row],[HEDEF]]&gt;2,"SAT",IFERROR(INDEX($AA$6:$AC$14,MATCH(Tablo2[[#This Row],[DATA]],$AC$6:$AC$14,0),1),"")))</f>
        <v/>
      </c>
      <c r="L51" s="56" t="e">
        <f>IF(Tablo2[[#This Row],[DURUM]]="SAT",Tablo2[[#This Row],[ADET]]*0.5,ROUND(-IFERROR(INDEX($AA$6:$AD$14,MATCH(Tablo2[[#This Row],[DATA]],$AC$6:$AC$14,0),4),"")*Tablo2[[#This Row],[ADET]],0))</f>
        <v>#VALUE!</v>
      </c>
      <c r="M51" s="21" t="e">
        <f>IF(Tablo2[[#This Row],[DURUM]]="SAT",IF(Tablo2[[#This Row],[MALİYET]]&lt;Tablo2[[#This Row],[FİYAT]],Tablo2[[#This Row],[FİYAT]],Tablo2[[#This Row],[MALİYET]])*1.1,IF(Tablo2[[#This Row],[DATA]]=0,"",IFERROR((1+INDEX($AA$6:$AD$14,MATCH(Tablo2[[#This Row],[DATA]],$AC$6:$AC$14,0),2))*IF(Tablo2[[#This Row],[DATA]]&lt;0,Tablo2[[#This Row],[MALİYET]],Tablo2[[#This Row],[FİYAT]]),0)))</f>
        <v>#N/A</v>
      </c>
      <c r="N51" s="21"/>
    </row>
    <row r="52" spans="2:14" ht="21" customHeight="1" x14ac:dyDescent="0.3">
      <c r="B52" s="20" t="s">
        <v>47</v>
      </c>
      <c r="C52" s="17">
        <f>SAHOL!$C$1</f>
        <v>410</v>
      </c>
      <c r="D52" s="21">
        <f>SAHOL!$F$1</f>
        <v>77.316260975609765</v>
      </c>
      <c r="E52" s="18">
        <v>85.7</v>
      </c>
      <c r="F52" s="21">
        <f t="shared" si="2"/>
        <v>35137</v>
      </c>
      <c r="G52" s="21">
        <f>SAHOL!$G$1</f>
        <v>3437.3329999999974</v>
      </c>
      <c r="H52" s="38">
        <f>IFERROR(Tablo2[[#This Row],[FİYAT]]/Tablo2[[#This Row],[MALİYET]]-1,"")</f>
        <v>0.10843435673945723</v>
      </c>
      <c r="I52" s="48">
        <f>+SAHOL!$K$2/SAHOL!$J$2</f>
        <v>0.54007070396557022</v>
      </c>
      <c r="J52" s="51">
        <f>IF(Tablo2[[#This Row],[MALİYET]]&lt;1,6,IF(Tablo2[[#This Row],[HEDEF]]&gt;1,1,LOOKUP(Tablo2[[#This Row],[ANALIZ]],{-1000000,-0.15,-0.1,-0.05,0,0.05,0.1,0.15,0.2;-4,-3,-2,-1,0,1,2,3,4})))</f>
        <v>2</v>
      </c>
      <c r="K52" s="54" t="str">
        <f>IF(Tablo2[[#This Row],[MALİYET]]&lt;1,"TUT",IF(Tablo2[[#This Row],[HEDEF]]&gt;2,"SAT",IFERROR(INDEX($AA$6:$AC$14,MATCH(Tablo2[[#This Row],[DATA]],$AC$6:$AC$14,0),1),"")))</f>
        <v>SAT-2</v>
      </c>
      <c r="L52" s="56">
        <f>IF(Tablo2[[#This Row],[DURUM]]="SAT",Tablo2[[#This Row],[ADET]]*0.5,ROUND(-IFERROR(INDEX($AA$6:$AD$14,MATCH(Tablo2[[#This Row],[DATA]],$AC$6:$AC$14,0),4),"")*Tablo2[[#This Row],[ADET]],0))</f>
        <v>-62</v>
      </c>
      <c r="M52" s="21">
        <f>IF(Tablo2[[#This Row],[DURUM]]="SAT",IF(Tablo2[[#This Row],[MALİYET]]&lt;Tablo2[[#This Row],[FİYAT]],Tablo2[[#This Row],[FİYAT]],Tablo2[[#This Row],[MALİYET]])*1.1,IF(Tablo2[[#This Row],[DATA]]=0,"",IFERROR((1+INDEX($AA$6:$AD$14,MATCH(Tablo2[[#This Row],[DATA]],$AC$6:$AC$14,0),2))*IF(Tablo2[[#This Row],[DATA]]&lt;0,Tablo2[[#This Row],[MALİYET]],Tablo2[[#This Row],[FİYAT]]),0)))</f>
        <v>94.27000000000001</v>
      </c>
      <c r="N52" s="59">
        <v>2000</v>
      </c>
    </row>
    <row r="53" spans="2:14" ht="21" customHeight="1" x14ac:dyDescent="0.3">
      <c r="B53" s="20" t="s">
        <v>48</v>
      </c>
      <c r="C53" s="17">
        <f>SASA!$C$1</f>
        <v>240</v>
      </c>
      <c r="D53" s="21">
        <f>SASA!$F$1</f>
        <v>29.838412375000068</v>
      </c>
      <c r="E53" s="18">
        <v>40</v>
      </c>
      <c r="F53" s="21">
        <f t="shared" si="2"/>
        <v>9600</v>
      </c>
      <c r="G53" s="21">
        <f>SASA!$G$1</f>
        <v>2438.7810299999837</v>
      </c>
      <c r="H53" s="38">
        <f>IFERROR(Tablo2[[#This Row],[FİYAT]]/Tablo2[[#This Row],[MALİYET]]-1,"")</f>
        <v>0.34055389734856534</v>
      </c>
      <c r="I53" s="48">
        <f>+SASA!$K$2/SASA!$J$2</f>
        <v>0.14755610205963726</v>
      </c>
      <c r="J53" s="51">
        <f>IF(Tablo2[[#This Row],[MALİYET]]&lt;1,6,IF(Tablo2[[#This Row],[HEDEF]]&gt;1,1,LOOKUP(Tablo2[[#This Row],[ANALIZ]],{-1000000,-0.15,-0.1,-0.05,0,0.05,0.1,0.15,0.2;-4,-3,-2,-1,0,1,2,3,4})))</f>
        <v>4</v>
      </c>
      <c r="K53" s="54" t="str">
        <f>IF(Tablo2[[#This Row],[MALİYET]]&lt;1,"TUT",IF(Tablo2[[#This Row],[HEDEF]]&gt;2,"SAT",IFERROR(INDEX($AA$6:$AC$14,MATCH(Tablo2[[#This Row],[DATA]],$AC$6:$AC$14,0),1),"")))</f>
        <v>SAT-4</v>
      </c>
      <c r="L53" s="56">
        <f>IF(Tablo2[[#This Row],[DURUM]]="SAT",Tablo2[[#This Row],[ADET]]*0.5,ROUND(-IFERROR(INDEX($AA$6:$AD$14,MATCH(Tablo2[[#This Row],[DATA]],$AC$6:$AC$14,0),4),"")*Tablo2[[#This Row],[ADET]],0))</f>
        <v>-60</v>
      </c>
      <c r="M53" s="21">
        <f>IF(Tablo2[[#This Row],[DURUM]]="SAT",IF(Tablo2[[#This Row],[MALİYET]]&lt;Tablo2[[#This Row],[FİYAT]],Tablo2[[#This Row],[FİYAT]],Tablo2[[#This Row],[MALİYET]])*1.1,IF(Tablo2[[#This Row],[DATA]]=0,"",IFERROR((1+INDEX($AA$6:$AD$14,MATCH(Tablo2[[#This Row],[DATA]],$AC$6:$AC$14,0),2))*IF(Tablo2[[#This Row],[DATA]]&lt;0,Tablo2[[#This Row],[MALİYET]],Tablo2[[#This Row],[FİYAT]]),0)))</f>
        <v>48</v>
      </c>
      <c r="N53" s="59">
        <v>2000</v>
      </c>
    </row>
    <row r="54" spans="2:14" ht="21" customHeight="1" x14ac:dyDescent="0.3">
      <c r="B54" s="20" t="s">
        <v>49</v>
      </c>
      <c r="C54" s="17">
        <f>SEYKM!$C$1</f>
        <v>100</v>
      </c>
      <c r="D54" s="21">
        <f>SEYKM!$F$1</f>
        <v>13.484572000000007</v>
      </c>
      <c r="E54" s="18">
        <v>8</v>
      </c>
      <c r="F54" s="21">
        <f t="shared" si="2"/>
        <v>800</v>
      </c>
      <c r="G54" s="21">
        <f>SEYKM!$G$1</f>
        <v>-1064.0156000000015</v>
      </c>
      <c r="H54" s="38">
        <f>IFERROR(Tablo2[[#This Row],[FİYAT]]/Tablo2[[#This Row],[MALİYET]]-1,"")</f>
        <v>-0.40672940898680388</v>
      </c>
      <c r="I54" s="48">
        <f>+SEYKM!$K$2/SEYKM!$J$2</f>
        <v>24.59268367660621</v>
      </c>
      <c r="J54" s="51">
        <f>IF(Tablo2[[#This Row],[MALİYET]]&lt;1,6,IF(Tablo2[[#This Row],[HEDEF]]&gt;1,1,LOOKUP(Tablo2[[#This Row],[ANALIZ]],{-1000000,-0.15,-0.1,-0.05,0,0.05,0.1,0.15,0.2;-4,-3,-2,-1,0,1,2,3,4})))</f>
        <v>1</v>
      </c>
      <c r="K54" s="54" t="str">
        <f>IF(Tablo2[[#This Row],[MALİYET]]&lt;1,"TUT",IF(Tablo2[[#This Row],[HEDEF]]&gt;2,"SAT",IFERROR(INDEX($AA$6:$AC$14,MATCH(Tablo2[[#This Row],[DATA]],$AC$6:$AC$14,0),1),"")))</f>
        <v>SAT</v>
      </c>
      <c r="L54" s="56">
        <f>IF(Tablo2[[#This Row],[DURUM]]="SAT",Tablo2[[#This Row],[ADET]]*0.5,ROUND(-IFERROR(INDEX($AA$6:$AD$14,MATCH(Tablo2[[#This Row],[DATA]],$AC$6:$AC$14,0),4),"")*Tablo2[[#This Row],[ADET]],0))</f>
        <v>50</v>
      </c>
      <c r="M54" s="21">
        <f>IF(Tablo2[[#This Row],[DURUM]]="SAT",IF(Tablo2[[#This Row],[MALİYET]]&lt;Tablo2[[#This Row],[FİYAT]],Tablo2[[#This Row],[FİYAT]],Tablo2[[#This Row],[MALİYET]])*1.1,IF(Tablo2[[#This Row],[DATA]]=0,"",IFERROR((1+INDEX($AA$6:$AD$14,MATCH(Tablo2[[#This Row],[DATA]],$AC$6:$AC$14,0),2))*IF(Tablo2[[#This Row],[DATA]]&lt;0,Tablo2[[#This Row],[MALİYET]],Tablo2[[#This Row],[FİYAT]]),0)))</f>
        <v>14.833029200000009</v>
      </c>
      <c r="N54" s="59">
        <v>1</v>
      </c>
    </row>
    <row r="55" spans="2:14" ht="21" customHeight="1" x14ac:dyDescent="0.3">
      <c r="B55" s="20" t="s">
        <v>50</v>
      </c>
      <c r="C55" s="17">
        <f>SMART!$C$1</f>
        <v>0</v>
      </c>
      <c r="D55" s="21" t="str">
        <f>SMART!$F$1</f>
        <v/>
      </c>
      <c r="E55" s="18">
        <v>45</v>
      </c>
      <c r="F55" s="21">
        <f t="shared" si="2"/>
        <v>0</v>
      </c>
      <c r="G55" s="21">
        <f>SMART!$G$1</f>
        <v>24606.57439999999</v>
      </c>
      <c r="H55" s="38" t="str">
        <f>IFERROR(Tablo2[[#This Row],[FİYAT]]/Tablo2[[#This Row],[MALİYET]]-1,"")</f>
        <v/>
      </c>
      <c r="I55" s="48">
        <f>+SMART!$K$2/SMART!$J$2</f>
        <v>0</v>
      </c>
      <c r="J55" s="51" t="e">
        <f>IF(Tablo2[[#This Row],[MALİYET]]&lt;1,6,IF(Tablo2[[#This Row],[HEDEF]]&gt;1,1,LOOKUP(Tablo2[[#This Row],[ANALIZ]],{-1000000,-0.15,-0.1,-0.05,0,0.05,0.1,0.15,0.2;-4,-3,-2,-1,0,1,2,3,4})))</f>
        <v>#N/A</v>
      </c>
      <c r="K55" s="54" t="str">
        <f>IF(Tablo2[[#This Row],[MALİYET]]&lt;1,"TUT",IF(Tablo2[[#This Row],[HEDEF]]&gt;2,"SAT",IFERROR(INDEX($AA$6:$AC$14,MATCH(Tablo2[[#This Row],[DATA]],$AC$6:$AC$14,0),1),"")))</f>
        <v/>
      </c>
      <c r="L55" s="56" t="e">
        <f>IF(Tablo2[[#This Row],[DURUM]]="SAT",Tablo2[[#This Row],[ADET]]*0.5,ROUND(-IF(Tablo2[[#This Row],[MALİYET]]&lt;1,0,INDEX($AA$6:$AD$14,MATCH(Tablo2[[#This Row],[DATA]],$AC$6:$AC$14,0),4))*Tablo2[[#This Row],[ADET]],0))</f>
        <v>#N/A</v>
      </c>
      <c r="M55" s="21" t="e">
        <f>IF(Tablo2[[#This Row],[DURUM]]="SAT",IF(Tablo2[[#This Row],[MALİYET]]&lt;Tablo2[[#This Row],[FİYAT]],Tablo2[[#This Row],[FİYAT]],Tablo2[[#This Row],[MALİYET]])*1.1,IF(Tablo2[[#This Row],[DATA]]=0,"",IFERROR((1+INDEX($AA$6:$AD$14,MATCH(Tablo2[[#This Row],[DATA]],$AC$6:$AC$14,0),2))*IF(Tablo2[[#This Row],[DATA]]&lt;0,Tablo2[[#This Row],[MALİYET]],Tablo2[[#This Row],[FİYAT]]),0)))</f>
        <v>#N/A</v>
      </c>
      <c r="N55" s="59">
        <v>1000</v>
      </c>
    </row>
    <row r="56" spans="2:14" ht="21" customHeight="1" x14ac:dyDescent="0.3">
      <c r="B56" s="20" t="s">
        <v>51</v>
      </c>
      <c r="C56" s="17">
        <f>SMRTG!$C$1</f>
        <v>1500</v>
      </c>
      <c r="D56" s="21">
        <f>SMRTG!$F$1</f>
        <v>58.421442986666669</v>
      </c>
      <c r="E56" s="18">
        <v>56.1</v>
      </c>
      <c r="F56" s="21">
        <f t="shared" si="2"/>
        <v>84150</v>
      </c>
      <c r="G56" s="21">
        <f>SMRTG!$G$1</f>
        <v>-3482.1644800000017</v>
      </c>
      <c r="H56" s="38">
        <f>IFERROR(Tablo2[[#This Row],[FİYAT]]/Tablo2[[#This Row],[MALİYET]]-1,"")</f>
        <v>-3.9736145976341009E-2</v>
      </c>
      <c r="I56" s="48">
        <f>+SMRTG!$K$2/SMRTG!$J$2</f>
        <v>2.5868429142330154</v>
      </c>
      <c r="J56" s="51">
        <f>IF(Tablo2[[#This Row],[MALİYET]]&lt;1,6,IF(Tablo2[[#This Row],[HEDEF]]&gt;1,1,LOOKUP(Tablo2[[#This Row],[ANALIZ]],{-1000000,-0.15,-0.1,-0.05,0,0.05,0.1,0.15,0.2;-4,-3,-2,-1,0,1,2,3,4})))</f>
        <v>1</v>
      </c>
      <c r="K56" s="54" t="str">
        <f>IF(Tablo2[[#This Row],[MALİYET]]&lt;1,"TUT",IF(Tablo2[[#This Row],[HEDEF]]&gt;2,"SAT",IFERROR(INDEX($AA$6:$AC$14,MATCH(Tablo2[[#This Row],[DATA]],$AC$6:$AC$14,0),1),"")))</f>
        <v>SAT</v>
      </c>
      <c r="L56" s="56">
        <f>IF(Tablo2[[#This Row],[DURUM]]="SAT",Tablo2[[#This Row],[ADET]]*0.5,ROUND(-IFERROR(INDEX($AA$6:$AD$14,MATCH(Tablo2[[#This Row],[DATA]],$AC$6:$AC$14,0),4),"")*Tablo2[[#This Row],[ADET]],0))</f>
        <v>750</v>
      </c>
      <c r="M56" s="21">
        <f>IF(Tablo2[[#This Row],[DURUM]]="SAT",IF(Tablo2[[#This Row],[MALİYET]]&lt;Tablo2[[#This Row],[FİYAT]],Tablo2[[#This Row],[FİYAT]],Tablo2[[#This Row],[MALİYET]])*1.1,IF(Tablo2[[#This Row],[DATA]]=0,"",IFERROR((1+INDEX($AA$6:$AD$14,MATCH(Tablo2[[#This Row],[DATA]],$AC$6:$AC$14,0),2))*IF(Tablo2[[#This Row],[DATA]]&lt;0,Tablo2[[#This Row],[MALİYET]],Tablo2[[#This Row],[FİYAT]]),0)))</f>
        <v>64.263587285333344</v>
      </c>
      <c r="N56" s="59">
        <v>1000</v>
      </c>
    </row>
    <row r="57" spans="2:14" ht="21" customHeight="1" x14ac:dyDescent="0.3">
      <c r="B57" s="20" t="s">
        <v>52</v>
      </c>
      <c r="C57" s="17">
        <f>TARKM!$C$1</f>
        <v>85</v>
      </c>
      <c r="D57" s="21">
        <f>TARKM!$F$1</f>
        <v>660.45586235294127</v>
      </c>
      <c r="E57" s="18">
        <v>569</v>
      </c>
      <c r="F57" s="21">
        <f t="shared" si="2"/>
        <v>48365</v>
      </c>
      <c r="G57" s="21">
        <f>TARKM!$G$1</f>
        <v>-7773.7483000000075</v>
      </c>
      <c r="H57" s="38">
        <f>IFERROR(Tablo2[[#This Row],[FİYAT]]/Tablo2[[#This Row],[MALİYET]]-1,"")</f>
        <v>-0.138473844455132</v>
      </c>
      <c r="I57" s="48">
        <f>+TARKM!$K$2/TARKM!$J$2</f>
        <v>1.4867814325238242</v>
      </c>
      <c r="J57" s="51">
        <f>IF(Tablo2[[#This Row],[MALİYET]]&lt;1,6,IF(Tablo2[[#This Row],[HEDEF]]&gt;1,1,LOOKUP(Tablo2[[#This Row],[ANALIZ]],{-1000000,-0.15,-0.1,-0.05,0,0.05,0.1,0.15,0.2;-4,-3,-2,-1,0,1,2,3,4})))</f>
        <v>1</v>
      </c>
      <c r="K57" s="54" t="str">
        <f>IF(Tablo2[[#This Row],[MALİYET]]&lt;1,"TUT",IF(Tablo2[[#This Row],[HEDEF]]&gt;2,"SAT",IFERROR(INDEX($AA$6:$AC$14,MATCH(Tablo2[[#This Row],[DATA]],$AC$6:$AC$14,0),1),"")))</f>
        <v>SAT-1</v>
      </c>
      <c r="L57" s="56">
        <f>IF(Tablo2[[#This Row],[DURUM]]="SAT",Tablo2[[#This Row],[ADET]]*0.5,ROUND(-IFERROR(INDEX($AA$6:$AD$14,MATCH(Tablo2[[#This Row],[DATA]],$AC$6:$AC$14,0),4),"")*Tablo2[[#This Row],[ADET]],0))</f>
        <v>-9</v>
      </c>
      <c r="M57" s="21">
        <f>IF(Tablo2[[#This Row],[DURUM]]="SAT",IF(Tablo2[[#This Row],[MALİYET]]&lt;Tablo2[[#This Row],[FİYAT]],Tablo2[[#This Row],[FİYAT]],Tablo2[[#This Row],[MALİYET]])*1.1,IF(Tablo2[[#This Row],[DATA]]=0,"",IFERROR((1+INDEX($AA$6:$AD$14,MATCH(Tablo2[[#This Row],[DATA]],$AC$6:$AC$14,0),2))*IF(Tablo2[[#This Row],[DATA]]&lt;0,Tablo2[[#This Row],[MALİYET]],Tablo2[[#This Row],[FİYAT]]),0)))</f>
        <v>597.45000000000005</v>
      </c>
      <c r="N57" s="59">
        <v>1000</v>
      </c>
    </row>
    <row r="58" spans="2:14" ht="21" customHeight="1" x14ac:dyDescent="0.3">
      <c r="B58" s="20" t="s">
        <v>53</v>
      </c>
      <c r="C58" s="17">
        <f>TAVHL!$C$1</f>
        <v>240</v>
      </c>
      <c r="D58" s="21">
        <f>TAVHL!$F$1</f>
        <v>173.72668916666669</v>
      </c>
      <c r="E58" s="18">
        <v>194.3</v>
      </c>
      <c r="F58" s="21">
        <f t="shared" si="2"/>
        <v>46632</v>
      </c>
      <c r="G58" s="21">
        <f>TAVHL!$G$1</f>
        <v>4937.5945999999976</v>
      </c>
      <c r="H58" s="38">
        <f>IFERROR(Tablo2[[#This Row],[FİYAT]]/Tablo2[[#This Row],[MALİYET]]-1,"")</f>
        <v>0.11842343241570719</v>
      </c>
      <c r="I58" s="48">
        <f>+TAVHL!$K$2/TAVHL!$J$2</f>
        <v>1.4335075315093759</v>
      </c>
      <c r="J58" s="51">
        <f>IF(Tablo2[[#This Row],[MALİYET]]&lt;1,6,IF(Tablo2[[#This Row],[HEDEF]]&gt;1,1,LOOKUP(Tablo2[[#This Row],[ANALIZ]],{-1000000,-0.15,-0.1,-0.05,0,0.05,0.1,0.15,0.2;-4,-3,-2,-1,0,1,2,3,4})))</f>
        <v>1</v>
      </c>
      <c r="K58" s="54" t="str">
        <f>IF(Tablo2[[#This Row],[MALİYET]]&lt;1,"TUT",IF(Tablo2[[#This Row],[HEDEF]]&gt;2,"SAT",IFERROR(INDEX($AA$6:$AC$14,MATCH(Tablo2[[#This Row],[DATA]],$AC$6:$AC$14,0),1),"")))</f>
        <v>SAT-1</v>
      </c>
      <c r="L58" s="56">
        <f>IF(Tablo2[[#This Row],[DURUM]]="SAT",Tablo2[[#This Row],[ADET]]*0.5,ROUND(-IFERROR(INDEX($AA$6:$AD$14,MATCH(Tablo2[[#This Row],[DATA]],$AC$6:$AC$14,0),4),"")*Tablo2[[#This Row],[ADET]],0))</f>
        <v>-24</v>
      </c>
      <c r="M58" s="21">
        <f>IF(Tablo2[[#This Row],[DURUM]]="SAT",IF(Tablo2[[#This Row],[MALİYET]]&lt;Tablo2[[#This Row],[FİYAT]],Tablo2[[#This Row],[FİYAT]],Tablo2[[#This Row],[MALİYET]])*1.1,IF(Tablo2[[#This Row],[DATA]]=0,"",IFERROR((1+INDEX($AA$6:$AD$14,MATCH(Tablo2[[#This Row],[DATA]],$AC$6:$AC$14,0),2))*IF(Tablo2[[#This Row],[DATA]]&lt;0,Tablo2[[#This Row],[MALİYET]],Tablo2[[#This Row],[FİYAT]]),0)))</f>
        <v>204.01500000000001</v>
      </c>
      <c r="N58" s="59">
        <v>1000</v>
      </c>
    </row>
    <row r="59" spans="2:14" ht="21" customHeight="1" x14ac:dyDescent="0.3">
      <c r="B59" s="20" t="s">
        <v>54</v>
      </c>
      <c r="C59" s="17">
        <f>TCELL!$C$1</f>
        <v>0</v>
      </c>
      <c r="D59" s="21" t="str">
        <f>TCELL!$F$1</f>
        <v/>
      </c>
      <c r="E59" s="18">
        <v>76.55</v>
      </c>
      <c r="F59" s="21">
        <f t="shared" si="2"/>
        <v>0</v>
      </c>
      <c r="G59" s="21">
        <f>TCELL!$G$1</f>
        <v>2211.8489399999999</v>
      </c>
      <c r="H59" s="38" t="str">
        <f>IFERROR(Tablo2[[#This Row],[FİYAT]]/Tablo2[[#This Row],[MALİYET]]-1,"")</f>
        <v/>
      </c>
      <c r="I59" s="48">
        <f>+TCELL!$K$2/TCELL!$J$2</f>
        <v>0</v>
      </c>
      <c r="J59" s="51" t="e">
        <f>IF(Tablo2[[#This Row],[MALİYET]]&lt;1,6,IF(Tablo2[[#This Row],[HEDEF]]&gt;1,1,LOOKUP(Tablo2[[#This Row],[ANALIZ]],{-1000000,-0.15,-0.1,-0.05,0,0.05,0.1,0.15,0.2;-4,-3,-2,-1,0,1,2,3,4})))</f>
        <v>#N/A</v>
      </c>
      <c r="K59" s="54" t="str">
        <f>IF(Tablo2[[#This Row],[MALİYET]]&lt;1,"TUT",IF(Tablo2[[#This Row],[HEDEF]]&gt;2,"SAT",IFERROR(INDEX($AA$6:$AC$14,MATCH(Tablo2[[#This Row],[DATA]],$AC$6:$AC$14,0),1),"")))</f>
        <v/>
      </c>
      <c r="L59" s="56" t="e">
        <f>IF(Tablo2[[#This Row],[DURUM]]="SAT",Tablo2[[#This Row],[ADET]]*0.5,ROUND(-IFERROR(INDEX($AA$6:$AD$14,MATCH(Tablo2[[#This Row],[DATA]],$AC$6:$AC$14,0),4),"")*Tablo2[[#This Row],[ADET]],0))</f>
        <v>#VALUE!</v>
      </c>
      <c r="M59" s="21" t="e">
        <f>IF(Tablo2[[#This Row],[DURUM]]="SAT",IF(Tablo2[[#This Row],[MALİYET]]&lt;Tablo2[[#This Row],[FİYAT]],Tablo2[[#This Row],[FİYAT]],Tablo2[[#This Row],[MALİYET]])*1.1,IF(Tablo2[[#This Row],[DATA]]=0,"",IFERROR((1+INDEX($AA$6:$AD$14,MATCH(Tablo2[[#This Row],[DATA]],$AC$6:$AC$14,0),2))*IF(Tablo2[[#This Row],[DATA]]&lt;0,Tablo2[[#This Row],[MALİYET]],Tablo2[[#This Row],[FİYAT]]),0)))</f>
        <v>#N/A</v>
      </c>
      <c r="N59" s="59">
        <v>1000</v>
      </c>
    </row>
    <row r="60" spans="2:14" ht="21" customHeight="1" x14ac:dyDescent="0.3">
      <c r="B60" s="20" t="s">
        <v>55</v>
      </c>
      <c r="C60" s="17">
        <f>THYAO!$C$1</f>
        <v>300</v>
      </c>
      <c r="D60" s="21">
        <f>THYAO!$F$1</f>
        <v>270.08475466666658</v>
      </c>
      <c r="E60" s="18">
        <v>302.75</v>
      </c>
      <c r="F60" s="21">
        <f t="shared" si="2"/>
        <v>90825</v>
      </c>
      <c r="G60" s="21">
        <f>THYAO!$G$1</f>
        <v>9799.5736000000252</v>
      </c>
      <c r="H60" s="38">
        <f>IFERROR(Tablo2[[#This Row],[FİYAT]]/Tablo2[[#This Row],[MALİYET]]-1,"")</f>
        <v>0.1209444249219036</v>
      </c>
      <c r="I60" s="48">
        <f>+THYAO!$K$2/THYAO!$J$2</f>
        <v>1.3960190593298494</v>
      </c>
      <c r="J60" s="51">
        <f>IF(Tablo2[[#This Row],[MALİYET]]&lt;1,6,IF(Tablo2[[#This Row],[HEDEF]]&gt;1,1,LOOKUP(Tablo2[[#This Row],[ANALIZ]],{-1000000,-0.15,-0.1,-0.05,0,0.05,0.1,0.15,0.2;-4,-3,-2,-1,0,1,2,3,4})))</f>
        <v>1</v>
      </c>
      <c r="K60" s="54" t="str">
        <f>IF(Tablo2[[#This Row],[MALİYET]]&lt;1,"TUT",IF(Tablo2[[#This Row],[HEDEF]]&gt;2,"SAT",IFERROR(INDEX($AA$6:$AC$14,MATCH(Tablo2[[#This Row],[DATA]],$AC$6:$AC$14,0),1),"")))</f>
        <v>SAT-1</v>
      </c>
      <c r="L60" s="56">
        <f>IF(Tablo2[[#This Row],[DURUM]]="SAT",Tablo2[[#This Row],[ADET]]*0.5,ROUND(-IFERROR(INDEX($AA$6:$AD$14,MATCH(Tablo2[[#This Row],[DATA]],$AC$6:$AC$14,0),4),"")*Tablo2[[#This Row],[ADET]],0))</f>
        <v>-30</v>
      </c>
      <c r="M60" s="21">
        <f>IF(Tablo2[[#This Row],[DURUM]]="SAT",IF(Tablo2[[#This Row],[MALİYET]]&lt;Tablo2[[#This Row],[FİYAT]],Tablo2[[#This Row],[FİYAT]],Tablo2[[#This Row],[MALİYET]])*1.1,IF(Tablo2[[#This Row],[DATA]]=0,"",IFERROR((1+INDEX($AA$6:$AD$14,MATCH(Tablo2[[#This Row],[DATA]],$AC$6:$AC$14,0),2))*IF(Tablo2[[#This Row],[DATA]]&lt;0,Tablo2[[#This Row],[MALİYET]],Tablo2[[#This Row],[FİYAT]]),0)))</f>
        <v>317.88749999999999</v>
      </c>
      <c r="N60" s="59">
        <v>2000</v>
      </c>
    </row>
    <row r="61" spans="2:14" ht="21" hidden="1" customHeight="1" x14ac:dyDescent="0.3">
      <c r="B61" s="35" t="s">
        <v>56</v>
      </c>
      <c r="C61" s="17">
        <f>TKFEN!$C$1</f>
        <v>0</v>
      </c>
      <c r="D61" s="21" t="str">
        <f>TKFEN!$F$1</f>
        <v/>
      </c>
      <c r="E61" s="18">
        <v>46.34</v>
      </c>
      <c r="F61" s="21">
        <f t="shared" si="2"/>
        <v>0</v>
      </c>
      <c r="G61" s="21">
        <f>TKFEN!$G$1</f>
        <v>7243.7643999999955</v>
      </c>
      <c r="H61" s="38" t="str">
        <f>IFERROR(Tablo2[[#This Row],[FİYAT]]/Tablo2[[#This Row],[MALİYET]]-1,"")</f>
        <v/>
      </c>
      <c r="I61" s="48">
        <f>+ADESE!$K$2/ADESE!$J$2</f>
        <v>0.60166000614817083</v>
      </c>
      <c r="J61" s="51" t="e">
        <f>IF(Tablo2[[#This Row],[MALİYET]]&lt;1,6,IF(Tablo2[[#This Row],[HEDEF]]&gt;1,1,LOOKUP(Tablo2[[#This Row],[ANALIZ]],{-1000000,-0.15,-0.1,-0.05,0,0.05,0.1,0.15,0.2;-4,-3,-2,-1,0,1,2,3,4})))</f>
        <v>#N/A</v>
      </c>
      <c r="K61" s="54" t="str">
        <f>IF(Tablo2[[#This Row],[MALİYET]]&lt;1,"TUT",IF(Tablo2[[#This Row],[HEDEF]]&gt;2,"SAT",IFERROR(INDEX($AA$6:$AC$14,MATCH(Tablo2[[#This Row],[DATA]],$AC$6:$AC$14,0),1),"")))</f>
        <v/>
      </c>
      <c r="L61" s="56" t="e">
        <f>IF(Tablo2[[#This Row],[DURUM]]="SAT",Tablo2[[#This Row],[ADET]]*0.5,ROUND(-IFERROR(INDEX($AA$6:$AD$14,MATCH(Tablo2[[#This Row],[DATA]],$AC$6:$AC$14,0),4),"")*Tablo2[[#This Row],[ADET]],0))</f>
        <v>#VALUE!</v>
      </c>
      <c r="M61" s="21" t="e">
        <f>IF(Tablo2[[#This Row],[DURUM]]="SAT",IF(Tablo2[[#This Row],[MALİYET]]&lt;Tablo2[[#This Row],[FİYAT]],Tablo2[[#This Row],[FİYAT]],Tablo2[[#This Row],[MALİYET]])*1.1,IF(Tablo2[[#This Row],[DATA]]=0,"",IFERROR((1+INDEX($AA$6:$AD$14,MATCH(Tablo2[[#This Row],[DATA]],$AC$6:$AC$14,0),2))*IF(Tablo2[[#This Row],[DATA]]&lt;0,Tablo2[[#This Row],[MALİYET]],Tablo2[[#This Row],[FİYAT]]),0)))</f>
        <v>#N/A</v>
      </c>
      <c r="N61" s="21"/>
    </row>
    <row r="62" spans="2:14" ht="21" customHeight="1" x14ac:dyDescent="0.3">
      <c r="B62" s="46" t="s">
        <v>131</v>
      </c>
      <c r="C62" s="17">
        <f>TNZTP!$C$1</f>
        <v>400</v>
      </c>
      <c r="D62" s="21">
        <f>TNZTP!$F$1</f>
        <v>69</v>
      </c>
      <c r="E62" s="18">
        <v>62.25</v>
      </c>
      <c r="F62" s="21">
        <f>E62*C62</f>
        <v>24900</v>
      </c>
      <c r="G62" s="21">
        <f>TNZTP!$G$1</f>
        <v>-2700</v>
      </c>
      <c r="H62" s="38">
        <f>IFERROR(Tablo2[[#This Row],[FİYAT]]/Tablo2[[#This Row],[MALİYET]]-1,"")</f>
        <v>-9.7826086956521729E-2</v>
      </c>
      <c r="I62" s="48">
        <f>+TNZTP!$K$2/ADESE!$J$2</f>
        <v>1.5308945588687366</v>
      </c>
      <c r="J62" s="51">
        <f>IF(Tablo2[[#This Row],[MALİYET]]&lt;1,6,IF(Tablo2[[#This Row],[HEDEF]]&gt;1,1,LOOKUP(Tablo2[[#This Row],[ANALIZ]],{-1000000,-0.15,-0.1,-0.05,0,0.05,0.1,0.15,0.2;-4,-3,-2,-1,0,1,2,3,4})))</f>
        <v>1</v>
      </c>
      <c r="K62" s="54" t="str">
        <f>IF(Tablo2[[#This Row],[MALİYET]]&lt;1,"TUT",IF(Tablo2[[#This Row],[HEDEF]]&gt;2,"SAT",IFERROR(INDEX($AA$6:$AC$14,MATCH(Tablo2[[#This Row],[DATA]],$AC$6:$AC$14,0),1),"")))</f>
        <v>SAT-1</v>
      </c>
      <c r="L62" s="56">
        <f>IF(Tablo2[[#This Row],[DURUM]]="SAT",Tablo2[[#This Row],[ADET]]*0.5,ROUND(-IFERROR(INDEX($AA$6:$AD$14,MATCH(Tablo2[[#This Row],[DATA]],$AC$6:$AC$14,0),4),"")*Tablo2[[#This Row],[ADET]],0))</f>
        <v>-40</v>
      </c>
      <c r="M62" s="21">
        <f>IF(Tablo2[[#This Row],[DURUM]]="SAT",IF(Tablo2[[#This Row],[MALİYET]]&lt;Tablo2[[#This Row],[FİYAT]],Tablo2[[#This Row],[FİYAT]],Tablo2[[#This Row],[MALİYET]])*1.1,IF(Tablo2[[#This Row],[DATA]]=0,"",IFERROR((1+INDEX($AA$6:$AD$14,MATCH(Tablo2[[#This Row],[DATA]],$AC$6:$AC$14,0),2))*IF(Tablo2[[#This Row],[DATA]]&lt;0,Tablo2[[#This Row],[MALİYET]],Tablo2[[#This Row],[FİYAT]]),0)))</f>
        <v>65.362499999999997</v>
      </c>
      <c r="N62" s="21">
        <v>1000</v>
      </c>
    </row>
    <row r="63" spans="2:14" ht="21" customHeight="1" x14ac:dyDescent="0.3">
      <c r="B63" s="20" t="s">
        <v>57</v>
      </c>
      <c r="C63" s="17">
        <f>TOASO!$C$1</f>
        <v>65</v>
      </c>
      <c r="D63" s="21">
        <f>TOASO!$F$1</f>
        <v>193.11082769230796</v>
      </c>
      <c r="E63" s="18">
        <v>264</v>
      </c>
      <c r="F63" s="21">
        <f t="shared" si="2"/>
        <v>17160</v>
      </c>
      <c r="G63" s="21">
        <f>TOASO!$G$1</f>
        <v>4607.7961999999825</v>
      </c>
      <c r="H63" s="38">
        <f>IFERROR(Tablo2[[#This Row],[FİYAT]]/Tablo2[[#This Row],[MALİYET]]-1,"")</f>
        <v>0.36709061400038578</v>
      </c>
      <c r="I63" s="48">
        <f>+TOASO!$K$2/TOASO!$J$2</f>
        <v>0.26375653243160163</v>
      </c>
      <c r="J63" s="51">
        <f>IF(Tablo2[[#This Row],[MALİYET]]&lt;1,6,IF(Tablo2[[#This Row],[HEDEF]]&gt;1,1,LOOKUP(Tablo2[[#This Row],[ANALIZ]],{-1000000,-0.15,-0.1,-0.05,0,0.05,0.1,0.15,0.2;-4,-3,-2,-1,0,1,2,3,4})))</f>
        <v>4</v>
      </c>
      <c r="K63" s="54" t="str">
        <f>IF(Tablo2[[#This Row],[MALİYET]]&lt;1,"TUT",IF(Tablo2[[#This Row],[HEDEF]]&gt;2,"SAT",IFERROR(INDEX($AA$6:$AC$14,MATCH(Tablo2[[#This Row],[DATA]],$AC$6:$AC$14,0),1),"")))</f>
        <v>SAT-4</v>
      </c>
      <c r="L63" s="56">
        <f>IF(Tablo2[[#This Row],[DURUM]]="SAT",Tablo2[[#This Row],[ADET]]*0.5,ROUND(-IFERROR(INDEX($AA$6:$AD$14,MATCH(Tablo2[[#This Row],[DATA]],$AC$6:$AC$14,0),4),"")*Tablo2[[#This Row],[ADET]],0))</f>
        <v>-16</v>
      </c>
      <c r="M63" s="21">
        <f>IF(Tablo2[[#This Row],[DURUM]]="SAT",IF(Tablo2[[#This Row],[MALİYET]]&lt;Tablo2[[#This Row],[FİYAT]],Tablo2[[#This Row],[FİYAT]],Tablo2[[#This Row],[MALİYET]])*1.1,IF(Tablo2[[#This Row],[DATA]]=0,"",IFERROR((1+INDEX($AA$6:$AD$14,MATCH(Tablo2[[#This Row],[DATA]],$AC$6:$AC$14,0),2))*IF(Tablo2[[#This Row],[DATA]]&lt;0,Tablo2[[#This Row],[MALİYET]],Tablo2[[#This Row],[FİYAT]]),0)))</f>
        <v>316.8</v>
      </c>
      <c r="N63" s="59">
        <v>2000</v>
      </c>
    </row>
    <row r="64" spans="2:14" ht="21" customHeight="1" x14ac:dyDescent="0.3">
      <c r="B64" s="20" t="s">
        <v>58</v>
      </c>
      <c r="C64" s="17">
        <f>TTRAK!$C$1</f>
        <v>60</v>
      </c>
      <c r="D64" s="21">
        <f>TTRAK!$F$1</f>
        <v>793.99473999999952</v>
      </c>
      <c r="E64" s="18">
        <v>902</v>
      </c>
      <c r="F64" s="21">
        <f t="shared" si="2"/>
        <v>54120</v>
      </c>
      <c r="G64" s="21">
        <f>TTRAK!$G$1</f>
        <v>6480.315600000029</v>
      </c>
      <c r="H64" s="38">
        <f>IFERROR(Tablo2[[#This Row],[FİYAT]]/Tablo2[[#This Row],[MALİYET]]-1,"")</f>
        <v>0.1360276769591704</v>
      </c>
      <c r="I64" s="48">
        <f>+TTRAK!$K$2/TTRAK!$J$2</f>
        <v>3.3273901014448204</v>
      </c>
      <c r="J64" s="51">
        <f>IF(Tablo2[[#This Row],[MALİYET]]&lt;1,6,IF(Tablo2[[#This Row],[HEDEF]]&gt;1,1,LOOKUP(Tablo2[[#This Row],[ANALIZ]],{-1000000,-0.15,-0.1,-0.05,0,0.05,0.1,0.15,0.2;-4,-3,-2,-1,0,1,2,3,4})))</f>
        <v>1</v>
      </c>
      <c r="K64" s="54" t="str">
        <f>IF(Tablo2[[#This Row],[MALİYET]]&lt;1,"TUT",IF(Tablo2[[#This Row],[HEDEF]]&gt;2,"SAT",IFERROR(INDEX($AA$6:$AC$14,MATCH(Tablo2[[#This Row],[DATA]],$AC$6:$AC$14,0),1),"")))</f>
        <v>SAT</v>
      </c>
      <c r="L64" s="56">
        <f>IF(Tablo2[[#This Row],[DURUM]]="SAT",Tablo2[[#This Row],[ADET]]*0.5,ROUND(-IFERROR(INDEX($AA$6:$AD$14,MATCH(Tablo2[[#This Row],[DATA]],$AC$6:$AC$14,0),4),"")*Tablo2[[#This Row],[ADET]],0))</f>
        <v>30</v>
      </c>
      <c r="M64" s="21">
        <f>IF(Tablo2[[#This Row],[DURUM]]="SAT",IF(Tablo2[[#This Row],[MALİYET]]&lt;Tablo2[[#This Row],[FİYAT]],Tablo2[[#This Row],[FİYAT]],Tablo2[[#This Row],[MALİYET]])*1.1,IF(Tablo2[[#This Row],[DATA]]=0,"",IFERROR((1+INDEX($AA$6:$AD$14,MATCH(Tablo2[[#This Row],[DATA]],$AC$6:$AC$14,0),2))*IF(Tablo2[[#This Row],[DATA]]&lt;0,Tablo2[[#This Row],[MALİYET]],Tablo2[[#This Row],[FİYAT]]),0)))</f>
        <v>992.2</v>
      </c>
      <c r="N64" s="59">
        <v>2000</v>
      </c>
    </row>
    <row r="65" spans="2:14" ht="21" customHeight="1" x14ac:dyDescent="0.3">
      <c r="B65" s="20" t="s">
        <v>128</v>
      </c>
      <c r="C65" s="17">
        <f>TURSG!$C$1</f>
        <v>300</v>
      </c>
      <c r="D65" s="21">
        <f>TURSG!$F$1</f>
        <v>54.833333333333336</v>
      </c>
      <c r="E65" s="18">
        <v>62.9</v>
      </c>
      <c r="F65" s="21">
        <f>E65*C65</f>
        <v>18870</v>
      </c>
      <c r="G65" s="21">
        <f>TURSG!$G$1</f>
        <v>2419.9999999999991</v>
      </c>
      <c r="H65" s="38">
        <f>IFERROR(Tablo2[[#This Row],[FİYAT]]/Tablo2[[#This Row],[MALİYET]]-1,"")</f>
        <v>0.14711246200607886</v>
      </c>
      <c r="I65" s="48">
        <f>+TURSG!$K$2/TURSG!$J$2</f>
        <v>0.29003996311097452</v>
      </c>
      <c r="J65" s="51">
        <f>IF(Tablo2[[#This Row],[MALİYET]]&lt;1,6,IF(Tablo2[[#This Row],[HEDEF]]&gt;1,1,LOOKUP(Tablo2[[#This Row],[ANALIZ]],{-1000000,-0.15,-0.1,-0.05,0,0.05,0.1,0.15,0.2;-4,-3,-2,-1,0,1,2,3,4})))</f>
        <v>2</v>
      </c>
      <c r="K65" s="54" t="str">
        <f>IF(Tablo2[[#This Row],[MALİYET]]&lt;1,"TUT",IF(Tablo2[[#This Row],[HEDEF]]&gt;2,"SAT",IFERROR(INDEX($AA$6:$AC$14,MATCH(Tablo2[[#This Row],[DATA]],$AC$6:$AC$14,0),1),"")))</f>
        <v>SAT-2</v>
      </c>
      <c r="L65" s="56">
        <f>IF(Tablo2[[#This Row],[DURUM]]="SAT",Tablo2[[#This Row],[ADET]]*0.5,ROUND(-IFERROR(INDEX($AA$6:$AD$14,MATCH(Tablo2[[#This Row],[DATA]],$AC$6:$AC$14,0),4),"")*Tablo2[[#This Row],[ADET]],0))</f>
        <v>-45</v>
      </c>
      <c r="M65" s="21">
        <f>IF(Tablo2[[#This Row],[DURUM]]="SAT",IF(Tablo2[[#This Row],[MALİYET]]&lt;Tablo2[[#This Row],[FİYAT]],Tablo2[[#This Row],[FİYAT]],Tablo2[[#This Row],[MALİYET]])*1.1,IF(Tablo2[[#This Row],[DATA]]=0,"",IFERROR((1+INDEX($AA$6:$AD$14,MATCH(Tablo2[[#This Row],[DATA]],$AC$6:$AC$14,0),2))*IF(Tablo2[[#This Row],[DATA]]&lt;0,Tablo2[[#This Row],[MALİYET]],Tablo2[[#This Row],[FİYAT]]),0)))</f>
        <v>69.19</v>
      </c>
      <c r="N65" s="59">
        <v>2000</v>
      </c>
    </row>
    <row r="66" spans="2:14" ht="21" customHeight="1" x14ac:dyDescent="0.3">
      <c r="B66" s="20" t="s">
        <v>59</v>
      </c>
      <c r="C66" s="17">
        <f>TUPRS!$C$1</f>
        <v>1100</v>
      </c>
      <c r="D66" s="21">
        <f>TUPRS!$F$1</f>
        <v>155.87406000000013</v>
      </c>
      <c r="E66" s="18">
        <v>188.5</v>
      </c>
      <c r="F66" s="21">
        <f t="shared" si="2"/>
        <v>207350</v>
      </c>
      <c r="G66" s="21">
        <f>TUPRS!$G$1</f>
        <v>35888.533999999861</v>
      </c>
      <c r="H66" s="38">
        <f>IFERROR(Tablo2[[#This Row],[FİYAT]]/Tablo2[[#This Row],[MALİYET]]-1,"")</f>
        <v>0.20930961829056005</v>
      </c>
      <c r="I66" s="48">
        <f>+TUPRS!$K$2/TUPRS!$J$2</f>
        <v>2.1247054001434571</v>
      </c>
      <c r="J66" s="51">
        <f>IF(Tablo2[[#This Row],[MALİYET]]&lt;1,6,IF(Tablo2[[#This Row],[HEDEF]]&gt;1,1,LOOKUP(Tablo2[[#This Row],[ANALIZ]],{-1000000,-0.15,-0.1,-0.05,0,0.05,0.1,0.15,0.2;-4,-3,-2,-1,0,1,2,3,4})))</f>
        <v>1</v>
      </c>
      <c r="K66" s="54" t="str">
        <f>IF(Tablo2[[#This Row],[MALİYET]]&lt;1,"TUT",IF(Tablo2[[#This Row],[HEDEF]]&gt;2,"SAT",IFERROR(INDEX($AA$6:$AC$14,MATCH(Tablo2[[#This Row],[DATA]],$AC$6:$AC$14,0),1),"")))</f>
        <v>SAT</v>
      </c>
      <c r="L66" s="56">
        <f>IF(Tablo2[[#This Row],[DURUM]]="SAT",Tablo2[[#This Row],[ADET]]*0.5,ROUND(-IFERROR(INDEX($AA$6:$AD$14,MATCH(Tablo2[[#This Row],[DATA]],$AC$6:$AC$14,0),4),"")*Tablo2[[#This Row],[ADET]],0))</f>
        <v>550</v>
      </c>
      <c r="M66" s="21">
        <f>IF(Tablo2[[#This Row],[DURUM]]="SAT",IF(Tablo2[[#This Row],[MALİYET]]&lt;Tablo2[[#This Row],[FİYAT]],Tablo2[[#This Row],[FİYAT]],Tablo2[[#This Row],[MALİYET]])*1.1,IF(Tablo2[[#This Row],[DATA]]=0,"",IFERROR((1+INDEX($AA$6:$AD$14,MATCH(Tablo2[[#This Row],[DATA]],$AC$6:$AC$14,0),2))*IF(Tablo2[[#This Row],[DATA]]&lt;0,Tablo2[[#This Row],[MALİYET]],Tablo2[[#This Row],[FİYAT]]),0)))</f>
        <v>207.35000000000002</v>
      </c>
      <c r="N66" s="59">
        <v>3000</v>
      </c>
    </row>
    <row r="67" spans="2:14" ht="21" customHeight="1" x14ac:dyDescent="0.3">
      <c r="B67" s="39" t="s">
        <v>82</v>
      </c>
      <c r="C67" s="17">
        <f>TUCLK!$C$1</f>
        <v>3100</v>
      </c>
      <c r="D67" s="21">
        <f>TUCLK!$F$1</f>
        <v>12.433096774193551</v>
      </c>
      <c r="E67" s="18">
        <v>11.39</v>
      </c>
      <c r="F67" s="21">
        <f>E67*C67</f>
        <v>35309</v>
      </c>
      <c r="G67" s="21">
        <f>TUCLK!$G$1</f>
        <v>-3233.6000000000063</v>
      </c>
      <c r="H67" s="38">
        <f>IFERROR(Tablo2[[#This Row],[FİYAT]]/Tablo2[[#This Row],[MALİYET]]-1,"")</f>
        <v>-8.3896779148267209E-2</v>
      </c>
      <c r="I67" s="48">
        <f>+TUCLK!$K$2/TUCLK!$J$2</f>
        <v>1085.4288349216108</v>
      </c>
      <c r="J67" s="51">
        <f>IF(Tablo2[[#This Row],[MALİYET]]&lt;1,6,IF(Tablo2[[#This Row],[HEDEF]]&gt;1,1,LOOKUP(Tablo2[[#This Row],[ANALIZ]],{-1000000,-0.15,-0.1,-0.05,0,0.05,0.1,0.15,0.2;-4,-3,-2,-1,0,1,2,3,4})))</f>
        <v>1</v>
      </c>
      <c r="K67" s="54" t="str">
        <f>IF(Tablo2[[#This Row],[MALİYET]]&lt;1,"TUT",IF(Tablo2[[#This Row],[HEDEF]]&gt;2,"SAT",IFERROR(INDEX($AA$6:$AC$14,MATCH(Tablo2[[#This Row],[DATA]],$AC$6:$AC$14,0),1),"")))</f>
        <v>SAT</v>
      </c>
      <c r="L67" s="56">
        <f>IF(Tablo2[[#This Row],[DURUM]]="SAT",Tablo2[[#This Row],[ADET]]*0.5,ROUND(-IFERROR(INDEX($AA$6:$AD$14,MATCH(Tablo2[[#This Row],[DATA]],$AC$6:$AC$14,0),4),"")*Tablo2[[#This Row],[ADET]],0))</f>
        <v>1550</v>
      </c>
      <c r="M67" s="21">
        <f>IF(Tablo2[[#This Row],[DURUM]]="SAT",IF(Tablo2[[#This Row],[MALİYET]]&lt;Tablo2[[#This Row],[FİYAT]],Tablo2[[#This Row],[FİYAT]],Tablo2[[#This Row],[MALİYET]])*1.1,IF(Tablo2[[#This Row],[DATA]]=0,"",IFERROR((1+INDEX($AA$6:$AD$14,MATCH(Tablo2[[#This Row],[DATA]],$AC$6:$AC$14,0),2))*IF(Tablo2[[#This Row],[DATA]]&lt;0,Tablo2[[#This Row],[MALİYET]],Tablo2[[#This Row],[FİYAT]]),0)))</f>
        <v>13.676406451612907</v>
      </c>
      <c r="N67" s="59">
        <v>1</v>
      </c>
    </row>
    <row r="68" spans="2:14" ht="21" customHeight="1" x14ac:dyDescent="0.3">
      <c r="B68" s="20" t="s">
        <v>60</v>
      </c>
      <c r="C68" s="17">
        <f>UNLU!$C$1</f>
        <v>1900</v>
      </c>
      <c r="D68" s="21">
        <f>UNLU!$F$1</f>
        <v>14.402526315789467</v>
      </c>
      <c r="E68" s="18">
        <v>15.32</v>
      </c>
      <c r="F68" s="21">
        <f t="shared" si="2"/>
        <v>29108</v>
      </c>
      <c r="G68" s="21">
        <f>UNLU!$G$1</f>
        <v>1743.2000000000126</v>
      </c>
      <c r="H68" s="38">
        <f>IFERROR(Tablo2[[#This Row],[FİYAT]]/Tablo2[[#This Row],[MALİYET]]-1,"")</f>
        <v>6.370227445477461E-2</v>
      </c>
      <c r="I68" s="48">
        <f>+UNLU!$K$2/UNLU!$J$2</f>
        <v>894.80479557331694</v>
      </c>
      <c r="J68" s="51">
        <f>IF(Tablo2[[#This Row],[MALİYET]]&lt;1,6,IF(Tablo2[[#This Row],[HEDEF]]&gt;1,1,LOOKUP(Tablo2[[#This Row],[ANALIZ]],{-1000000,-0.15,-0.1,-0.05,0,0.05,0.1,0.15,0.2;-4,-3,-2,-1,0,1,2,3,4})))</f>
        <v>1</v>
      </c>
      <c r="K68" s="54" t="str">
        <f>IF(Tablo2[[#This Row],[MALİYET]]&lt;1,"TUT",IF(Tablo2[[#This Row],[HEDEF]]&gt;2,"SAT",IFERROR(INDEX($AA$6:$AC$14,MATCH(Tablo2[[#This Row],[DATA]],$AC$6:$AC$14,0),1),"")))</f>
        <v>SAT</v>
      </c>
      <c r="L68" s="56">
        <f>IF(Tablo2[[#This Row],[DURUM]]="SAT",Tablo2[[#This Row],[ADET]]*0.5,ROUND(-IFERROR(INDEX($AA$6:$AD$14,MATCH(Tablo2[[#This Row],[DATA]],$AC$6:$AC$14,0),4),"")*Tablo2[[#This Row],[ADET]],0))</f>
        <v>950</v>
      </c>
      <c r="M68" s="21">
        <f>IF(Tablo2[[#This Row],[DURUM]]="SAT",IF(Tablo2[[#This Row],[MALİYET]]&lt;Tablo2[[#This Row],[FİYAT]],Tablo2[[#This Row],[FİYAT]],Tablo2[[#This Row],[MALİYET]])*1.1,IF(Tablo2[[#This Row],[DATA]]=0,"",IFERROR((1+INDEX($AA$6:$AD$14,MATCH(Tablo2[[#This Row],[DATA]],$AC$6:$AC$14,0),2))*IF(Tablo2[[#This Row],[DATA]]&lt;0,Tablo2[[#This Row],[MALİYET]],Tablo2[[#This Row],[FİYAT]]),0)))</f>
        <v>16.852</v>
      </c>
      <c r="N68" s="59">
        <v>1</v>
      </c>
    </row>
    <row r="69" spans="2:14" ht="21" customHeight="1" x14ac:dyDescent="0.3">
      <c r="B69" s="20" t="s">
        <v>61</v>
      </c>
      <c r="C69" s="17">
        <f>YEOTK!$C$1</f>
        <v>50</v>
      </c>
      <c r="D69" s="21">
        <f>YEOTK!$F$1</f>
        <v>188.42063999999985</v>
      </c>
      <c r="E69" s="18">
        <v>213.8</v>
      </c>
      <c r="F69" s="21">
        <f t="shared" si="2"/>
        <v>10690</v>
      </c>
      <c r="G69" s="21">
        <f>YEOTK!$G$1</f>
        <v>1268.968000000008</v>
      </c>
      <c r="H69" s="38">
        <f>IFERROR(Tablo2[[#This Row],[FİYAT]]/Tablo2[[#This Row],[MALİYET]]-1,"")</f>
        <v>0.13469522234931475</v>
      </c>
      <c r="I69" s="48">
        <f>+YEOTK!$K$2/YEOTK!$J$2</f>
        <v>0.32861973562865043</v>
      </c>
      <c r="J69" s="51">
        <f>IF(Tablo2[[#This Row],[MALİYET]]&lt;1,6,IF(Tablo2[[#This Row],[HEDEF]]&gt;1,1,LOOKUP(Tablo2[[#This Row],[ANALIZ]],{-1000000,-0.15,-0.1,-0.05,0,0.05,0.1,0.15,0.2;-4,-3,-2,-1,0,1,2,3,4})))</f>
        <v>2</v>
      </c>
      <c r="K69" s="54" t="str">
        <f>IF(Tablo2[[#This Row],[MALİYET]]&lt;1,"TUT",IF(Tablo2[[#This Row],[HEDEF]]&gt;2,"SAT",IFERROR(INDEX($AA$6:$AC$14,MATCH(Tablo2[[#This Row],[DATA]],$AC$6:$AC$14,0),1),"")))</f>
        <v>SAT-2</v>
      </c>
      <c r="L69" s="56">
        <f>IF(Tablo2[[#This Row],[DURUM]]="SAT",Tablo2[[#This Row],[ADET]]*0.5,ROUND(-IFERROR(INDEX($AA$6:$AD$14,MATCH(Tablo2[[#This Row],[DATA]],$AC$6:$AC$14,0),4),"")*Tablo2[[#This Row],[ADET]],0))</f>
        <v>-8</v>
      </c>
      <c r="M69" s="21">
        <f>IF(Tablo2[[#This Row],[DURUM]]="SAT",IF(Tablo2[[#This Row],[MALİYET]]&lt;Tablo2[[#This Row],[FİYAT]],Tablo2[[#This Row],[FİYAT]],Tablo2[[#This Row],[MALİYET]])*1.1,IF(Tablo2[[#This Row],[DATA]]=0,"",IFERROR((1+INDEX($AA$6:$AD$14,MATCH(Tablo2[[#This Row],[DATA]],$AC$6:$AC$14,0),2))*IF(Tablo2[[#This Row],[DATA]]&lt;0,Tablo2[[#This Row],[MALİYET]],Tablo2[[#This Row],[FİYAT]]),0)))</f>
        <v>235.18000000000004</v>
      </c>
      <c r="N69" s="59">
        <v>1000</v>
      </c>
    </row>
    <row r="70" spans="2:14" ht="21" customHeight="1" x14ac:dyDescent="0.3">
      <c r="B70" s="46" t="s">
        <v>62</v>
      </c>
      <c r="C70" s="17">
        <f>YKBNK!$C$1</f>
        <v>300</v>
      </c>
      <c r="D70" s="21">
        <f>YKBNK!$F$1</f>
        <v>25.122236666666673</v>
      </c>
      <c r="E70" s="18">
        <v>30.58</v>
      </c>
      <c r="F70" s="21">
        <f t="shared" si="2"/>
        <v>9174</v>
      </c>
      <c r="G70" s="21">
        <f>YKBNK!$G$1</f>
        <v>1637.3289999999977</v>
      </c>
      <c r="H70" s="38">
        <f>IFERROR(Tablo2[[#This Row],[FİYAT]]/Tablo2[[#This Row],[MALİYET]]-1,"")</f>
        <v>0.21724830498770564</v>
      </c>
      <c r="I70" s="48">
        <f>+YKBNK!$K$2/YKBNK!$J$2</f>
        <v>282.01660006148171</v>
      </c>
      <c r="J70" s="51">
        <f>IF(Tablo2[[#This Row],[MALİYET]]&lt;1,6,IF(Tablo2[[#This Row],[HEDEF]]&gt;1,1,LOOKUP(Tablo2[[#This Row],[ANALIZ]],{-1000000,-0.15,-0.1,-0.05,0,0.05,0.1,0.15,0.2;-4,-3,-2,-1,0,1,2,3,4})))</f>
        <v>1</v>
      </c>
      <c r="K70" s="54" t="str">
        <f>IF(Tablo2[[#This Row],[MALİYET]]&lt;1,"TUT",IF(Tablo2[[#This Row],[HEDEF]]&gt;2,"SAT",IFERROR(INDEX($AA$6:$AC$14,MATCH(Tablo2[[#This Row],[DATA]],$AC$6:$AC$14,0),1),"")))</f>
        <v>SAT</v>
      </c>
      <c r="L70" s="56">
        <f>IF(Tablo2[[#This Row],[DURUM]]="SAT",Tablo2[[#This Row],[ADET]]*0.5,ROUND(-IFERROR(INDEX($AA$6:$AD$14,MATCH(Tablo2[[#This Row],[DATA]],$AC$6:$AC$14,0),4),"")*Tablo2[[#This Row],[ADET]],0))</f>
        <v>150</v>
      </c>
      <c r="M70" s="21">
        <f>IF(Tablo2[[#This Row],[DURUM]]="SAT",IF(Tablo2[[#This Row],[MALİYET]]&lt;Tablo2[[#This Row],[FİYAT]],Tablo2[[#This Row],[FİYAT]],Tablo2[[#This Row],[MALİYET]])*1.1,IF(Tablo2[[#This Row],[DATA]]=0,"",IFERROR((1+INDEX($AA$6:$AD$14,MATCH(Tablo2[[#This Row],[DATA]],$AC$6:$AC$14,0),2))*IF(Tablo2[[#This Row],[DATA]]&lt;0,Tablo2[[#This Row],[MALİYET]],Tablo2[[#This Row],[FİYAT]]),0)))</f>
        <v>33.637999999999998</v>
      </c>
      <c r="N70" s="59">
        <v>1</v>
      </c>
    </row>
    <row r="71" spans="2:14" ht="21" customHeight="1" x14ac:dyDescent="0.3">
      <c r="B71" s="20" t="s">
        <v>63</v>
      </c>
      <c r="C71" s="17">
        <v>1</v>
      </c>
      <c r="D71" s="21">
        <v>7024.94</v>
      </c>
      <c r="E71" s="18">
        <v>16890</v>
      </c>
      <c r="F71" s="21">
        <f t="shared" si="2"/>
        <v>16890</v>
      </c>
      <c r="G71" s="21">
        <f>+Tablo2[[#This Row],[GÜNCEL TUTAT]]-Tablo2[[#This Row],[MALİYET]]</f>
        <v>9865.0600000000013</v>
      </c>
      <c r="H71" s="38">
        <f>IFERROR(Tablo2[[#This Row],[FİYAT]]/Tablo2[[#This Row],[MALİYET]]-1,"")</f>
        <v>1.4042909975031819</v>
      </c>
      <c r="J71" s="51">
        <f>IF(Tablo2[[#This Row],[MALİYET]]&lt;1,6,IF(Tablo2[[#This Row],[HEDEF]]&gt;1,1,LOOKUP(Tablo2[[#This Row],[ANALIZ]],{-1000000,-0.15,-0.1,-0.05,0,0.05,0.1,0.15,0.2;-4,-3,-2,-1,0,1,2,3,4})))</f>
        <v>4</v>
      </c>
      <c r="K71" s="54" t="str">
        <f>IF(Tablo2[[#This Row],[MALİYET]]&lt;1,"TUT",IF(Tablo2[[#This Row],[HEDEF]]&gt;2,"SAT",IFERROR(INDEX($AA$6:$AC$14,MATCH(Tablo2[[#This Row],[DATA]],$AC$6:$AC$14,0),1),"")))</f>
        <v>SAT-4</v>
      </c>
      <c r="M71" s="21"/>
      <c r="N71" s="59"/>
    </row>
  </sheetData>
  <conditionalFormatting sqref="B3:N71">
    <cfRule type="expression" dxfId="215" priority="1">
      <formula>$J3=6</formula>
    </cfRule>
    <cfRule type="expression" dxfId="214" priority="2">
      <formula>$J3=-4</formula>
    </cfRule>
    <cfRule type="expression" dxfId="213" priority="3">
      <formula>$J3=-3</formula>
    </cfRule>
    <cfRule type="expression" dxfId="212" priority="4">
      <formula>$J3=-2</formula>
    </cfRule>
    <cfRule type="expression" dxfId="211" priority="5">
      <formula>$J3=-1</formula>
    </cfRule>
    <cfRule type="expression" dxfId="210" priority="6">
      <formula>$J3=4</formula>
    </cfRule>
    <cfRule type="expression" dxfId="209" priority="7">
      <formula>$J3=3</formula>
    </cfRule>
    <cfRule type="expression" dxfId="208" priority="8">
      <formula>$J3=2</formula>
    </cfRule>
    <cfRule type="expression" dxfId="207" priority="9">
      <formula>$J3=1</formula>
    </cfRule>
  </conditionalFormatting>
  <hyperlinks>
    <hyperlink ref="B4" location="AKBNK!A1" display="AKBNK" xr:uid="{0016F1EA-68DF-4D51-9E01-A4682431E94D}"/>
    <hyperlink ref="B6" location="ARASE!A1" display="ARASE" xr:uid="{94D21A16-4BED-4A0C-A876-EB1528CD5978}"/>
    <hyperlink ref="B7" location="ARCLK!A1" display="ARCLK" xr:uid="{1F8F7FBC-4E87-4B7E-BBCA-A5B9B0447044}"/>
    <hyperlink ref="B8" location="ARENA!A1" display="ARENA" xr:uid="{14BAA9C5-0818-4CC4-8088-655BC59DB5E1}"/>
    <hyperlink ref="B9" location="ARZUM!A1" display="ARZUM" xr:uid="{BED1FFED-2A3D-4204-B953-CC7AB6E205AA}"/>
    <hyperlink ref="B10" location="ASELS!A1" display="ASELS" xr:uid="{8A1E01A0-C1F6-4B3F-A249-460FC013D8CA}"/>
    <hyperlink ref="B11" location="ASTOR!A1" display="ASTOR" xr:uid="{9BFCFE0B-3147-4D86-820F-4904303052B9}"/>
    <hyperlink ref="B12" location="BIMAS!A1" display="BIMAS" xr:uid="{9ACF7A4C-AFE2-4C73-ADD5-C9745DBC4273}"/>
    <hyperlink ref="B13" location="BRLSM!A1" display="BRLSM" xr:uid="{C7B746C2-932C-420D-8118-79ACFBAF79DB}"/>
    <hyperlink ref="B14" location="BURVA!A1" display="BURVA" xr:uid="{D553C156-175E-441D-87A4-30FB0A058907}"/>
    <hyperlink ref="B20" location="EDATA!A1" display="EDATA" xr:uid="{E8C1970D-89DF-4053-B284-900D5973469E}"/>
    <hyperlink ref="B56" location="SMRTG!A1" display="SMRTG" xr:uid="{1C778FFF-514A-4C9E-BA2E-E59D6D2F8021}"/>
    <hyperlink ref="B31" location="GWIND!A1" display="GWIND" xr:uid="{4AC39DC1-D9C0-4FAB-93D1-ADA1FF7D9FEA}"/>
    <hyperlink ref="B64" location="TTRAK!A1" display="TTRAK" xr:uid="{A5C07022-60E1-495B-B226-6089AD0AAE33}"/>
    <hyperlink ref="B50" location="QUAGR!A1" display="QUAGR" xr:uid="{E62C56FA-A31D-448F-837F-6AB42156389E}"/>
    <hyperlink ref="B66" location="TUPRS!A1" display="TUPRS" xr:uid="{08DBA38A-DA6C-4F6C-87AA-692B12C336C1}"/>
    <hyperlink ref="B36" location="KIMMR!A1" display="KIMMR" xr:uid="{04979308-4379-49E8-A7DC-63595BA8BD87}"/>
    <hyperlink ref="B47" location="OZRDN!A1" display="OZRDN" xr:uid="{303AA1F6-52E9-4609-8C2B-A1D6DC32F6F3}"/>
    <hyperlink ref="B55" location="SMART!A1" display="SMART" xr:uid="{A9069AD2-D2DF-4EBC-B27C-1598FB4ACED2}"/>
    <hyperlink ref="B61" location="TKFEN!A1" display="TKFEN" xr:uid="{F5797F62-EB3B-46D4-8941-323F97E423B1}"/>
    <hyperlink ref="B68" location="UNLU!A1" display="UNLU" xr:uid="{B18174A9-17AE-4C16-982D-A10B99284A4B}"/>
    <hyperlink ref="B43" location="ORGE!A1" display="ORGE" xr:uid="{2368F759-56DC-4DF8-9B71-250B295DBE44}"/>
    <hyperlink ref="B69" location="YEOTK!A1" display="YEOTK" xr:uid="{3D1532EB-FD80-4CE1-B501-C0E553999A9B}"/>
    <hyperlink ref="B38" location="KONTR!A1" display="KONTR" xr:uid="{BF2A3465-CB34-42BB-A87F-79480443B6FE}"/>
    <hyperlink ref="B15" location="CATES!A1" display="CATES" xr:uid="{B779954C-B406-4ED6-8E84-15F1BB174BF7}"/>
    <hyperlink ref="B18" location="DOAS!A1" display="DOAS" xr:uid="{ED8507C7-E88F-4EB0-8E81-BB12A84DC55D}"/>
    <hyperlink ref="B21" location="EDIP!A1" display="EDIP" xr:uid="{77C26982-A3D3-43BB-BDD6-C3B76157BF47}"/>
    <hyperlink ref="B23" location="ENJSA!A1" display="ENJSA" xr:uid="{6ECA5B8B-5A42-41F3-AF4D-7FF488F93931}"/>
    <hyperlink ref="B26" location="FENER!A1" display="FENER" xr:uid="{650EC78D-CEA3-41DE-9CE4-66C44150F92F}"/>
    <hyperlink ref="B27" location="FROTO!A1" display="FROTO" xr:uid="{1CCCE256-5EEE-4778-81CE-9311B2A90376}"/>
    <hyperlink ref="B28" location="GENTS!A1" display="GENTS" xr:uid="{45926D4E-94F1-4E2D-BB1A-AD5399273ECE}"/>
    <hyperlink ref="B30" location="GRSEL!A1" display="GRSEL" xr:uid="{1D9B57D2-2C94-4C2A-908E-921B0EDDD2D3}"/>
    <hyperlink ref="B33" location="INDES!A1" display="INDES" xr:uid="{8B660D8A-B87E-4F6C-9887-4785EC15789E}"/>
    <hyperlink ref="B63" location="TOASO!A1" display="TOASO" xr:uid="{4E6B18A4-0D75-40A9-B752-FE6B6D1C52FA}"/>
    <hyperlink ref="B34" location="KBORU!A1" display="KBORU" xr:uid="{3755D32F-D0BE-4D4A-9905-4DCDABBA5E3A}"/>
    <hyperlink ref="B35" location="KCHOL!A1" display="KCHOL" xr:uid="{1758632F-7499-46CD-ACA4-38F7A19B0E92}"/>
    <hyperlink ref="B39" location="MAVI!A1" display="MAVI" xr:uid="{9AF23726-8E96-4C7A-B7DA-80BB04C188FD}"/>
    <hyperlink ref="B40" location="MEKAG!A1" display="MEKAG" xr:uid="{D4528D5D-7A89-4E62-BF9A-CF146D93519B}"/>
    <hyperlink ref="B41" location="MIATK!A1" display="MIATK" xr:uid="{D915487B-743F-4DCC-926F-E998A08987BA}"/>
    <hyperlink ref="B44" location="OTTO!A1" display="OTTO" xr:uid="{D784FA85-E7E3-4719-A333-1F3C475CCA99}"/>
    <hyperlink ref="B45" location="OYAKC!A1" display="OYAKC" xr:uid="{893E5575-087E-4177-85A3-0A86C90964AF}"/>
    <hyperlink ref="B46" location="OYLUM!A1" display="OYLUM" xr:uid="{4540540D-20CE-4ED2-A7E8-0495C67939FA}"/>
    <hyperlink ref="B48" location="PCILT!A1" display="PCILT" xr:uid="{D76F22CE-E80C-467D-8868-849793D1187B}"/>
    <hyperlink ref="B52" location="SAHOL!A1" display="SAHOL" xr:uid="{98E7339E-248E-4499-AF74-4FADCE0F613D}"/>
    <hyperlink ref="B53" location="SASA!A1" display="SASA" xr:uid="{CF48231E-4F93-4A10-9990-10A7E5060DA4}"/>
    <hyperlink ref="B54" location="SEYKM!A1" display="SEYKM" xr:uid="{056C729C-1B9E-48A8-8491-A6218C96DC71}"/>
    <hyperlink ref="B57" location="TARKM!A1" display="TARKM" xr:uid="{2D5FF960-B5CF-4FB6-8016-ABB0A3C0A8FD}"/>
    <hyperlink ref="B58" location="TAVHL!A1" display="TAVHL" xr:uid="{67DBC574-FAE8-4767-8F51-82E52C04A341}"/>
    <hyperlink ref="B59" location="TCELL!A1" display="TCELL" xr:uid="{3C3E746D-4478-4D53-8AA2-1382DE5A81CC}"/>
    <hyperlink ref="B60" location="THYAO!A1" display="THYAO" xr:uid="{FA04FEAB-8762-4179-970D-267A98195C4D}"/>
    <hyperlink ref="B70" location="YKBNK!A1" display="YKBNK" xr:uid="{62897F15-5206-4EF7-87F0-3A3EC11E9B83}"/>
    <hyperlink ref="B42" location="ONCSM!A1" display="ONCSM" xr:uid="{AC40FDB1-9B5F-4BFE-B5C9-E1B29C0E788C}"/>
    <hyperlink ref="B37" location="KRVGD!A1" display="KRVGD" xr:uid="{41D0365C-FD65-4670-88C8-F83A343E5773}"/>
    <hyperlink ref="B67" location="TUCLK!A1" display="TUCLK" xr:uid="{B5D692B1-0BC6-4D29-A8C1-3857E496EE7B}"/>
    <hyperlink ref="B51" location="SAFKR!A1" display="SAFKR" xr:uid="{CDDA44B7-12F5-4CE8-B522-EC0F46D01665}"/>
    <hyperlink ref="B62" location="TKFEN!A1" display="TKFEN" xr:uid="{C03808CD-F9CB-48B3-A24D-6C1721F53BCF}"/>
  </hyperlink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AFDB2-B9FC-4E40-BFE8-B745AA509393}">
  <sheetPr>
    <tabColor rgb="FFFFABAB"/>
  </sheetPr>
  <dimension ref="B1:R37"/>
  <sheetViews>
    <sheetView showGridLines="0" showZeros="0" zoomScale="110" zoomScaleNormal="110" workbookViewId="0">
      <pane ySplit="3" topLeftCell="A20" activePane="bottomLeft" state="frozen"/>
      <selection activeCell="G22" sqref="G22"/>
      <selection pane="bottomLeft" activeCell="G22" sqref="G22"/>
    </sheetView>
  </sheetViews>
  <sheetFormatPr defaultRowHeight="21" customHeight="1" x14ac:dyDescent="0.3"/>
  <cols>
    <col min="2" max="2" width="20.6640625" style="1" customWidth="1"/>
    <col min="3" max="3" width="11.33203125" style="6" customWidth="1"/>
    <col min="4" max="5" width="12.88671875" style="3" customWidth="1"/>
    <col min="6" max="6" width="12.88671875" style="5" customWidth="1"/>
    <col min="7" max="8" width="11.33203125" bestFit="1" customWidth="1"/>
    <col min="10" max="10" width="11.6640625" bestFit="1" customWidth="1"/>
    <col min="11" max="11" width="10.6640625" customWidth="1"/>
    <col min="12" max="13" width="11.33203125" bestFit="1" customWidth="1"/>
    <col min="14" max="14" width="10.33203125" bestFit="1" customWidth="1"/>
  </cols>
  <sheetData>
    <row r="1" spans="2:18" ht="21" customHeight="1" x14ac:dyDescent="0.3">
      <c r="B1" s="12" t="s">
        <v>64</v>
      </c>
      <c r="C1" s="4">
        <f>SUMIF(Tablo165[KAR],"Açık",Tablo165[ADET])</f>
        <v>4200</v>
      </c>
      <c r="D1" s="10">
        <f>+İcmal!E3</f>
        <v>2.33</v>
      </c>
      <c r="E1" s="10">
        <f>C1*D1</f>
        <v>9786</v>
      </c>
      <c r="F1" s="10">
        <f>IFERROR(((SUM(Tablo165[ALIŞ TUTAR])-SUM(Tablo165[SATIŞ TUTAR]))/C1),"")</f>
        <v>2.6280952380952383</v>
      </c>
      <c r="G1" s="10">
        <f>IF(M3=0,L3,C1*(D1-F1))</f>
        <v>-1252.0000000000005</v>
      </c>
      <c r="J1" s="45" t="s">
        <v>94</v>
      </c>
      <c r="K1" s="45" t="s">
        <v>95</v>
      </c>
      <c r="L1" s="45" t="s">
        <v>96</v>
      </c>
      <c r="M1" s="33"/>
      <c r="N1" s="8"/>
      <c r="P1" s="8"/>
      <c r="Q1" s="33"/>
      <c r="R1" s="8"/>
    </row>
    <row r="2" spans="2:18" ht="21" customHeight="1" x14ac:dyDescent="0.3">
      <c r="B2" s="7" t="s">
        <v>92</v>
      </c>
      <c r="J2" s="45">
        <f>SUMIFS(Tablo2[HEDEF2],Tablo2[HİSSE],B2)</f>
        <v>500</v>
      </c>
      <c r="K2" s="45">
        <f>+E1/İcmal!$P$2</f>
        <v>300.83000307408543</v>
      </c>
      <c r="L2" s="45">
        <f>+J2-K2</f>
        <v>199.16999692591457</v>
      </c>
    </row>
    <row r="3" spans="2:18" ht="21" customHeight="1" x14ac:dyDescent="0.3">
      <c r="B3" s="1" t="s">
        <v>0</v>
      </c>
      <c r="C3" s="6" t="s">
        <v>4</v>
      </c>
      <c r="D3" s="3" t="s">
        <v>1</v>
      </c>
      <c r="E3" s="3" t="s">
        <v>3</v>
      </c>
      <c r="F3" s="5" t="s">
        <v>2</v>
      </c>
      <c r="G3" s="3" t="s">
        <v>8</v>
      </c>
      <c r="H3" s="3" t="s">
        <v>9</v>
      </c>
      <c r="L3" s="33">
        <f>SUM(Tablo165[KAR])</f>
        <v>19.999999999999972</v>
      </c>
      <c r="M3" s="37">
        <f>C1</f>
        <v>4200</v>
      </c>
    </row>
    <row r="4" spans="2:18" ht="21" customHeight="1" x14ac:dyDescent="0.3">
      <c r="B4" s="2">
        <v>45366</v>
      </c>
      <c r="C4" s="6">
        <v>1000</v>
      </c>
      <c r="D4" s="10">
        <v>2.8</v>
      </c>
      <c r="E4" s="10"/>
      <c r="F4" s="9" t="str">
        <f>IF(Tablo165[[#This Row],[SATIŞ]]=0,"Açık",(E4-D4)*C4)</f>
        <v>Açık</v>
      </c>
      <c r="G4" s="11">
        <f>Tablo165[[#This Row],[ADET]]*Tablo165[[#This Row],[ALIŞ]]</f>
        <v>2800</v>
      </c>
      <c r="H4" s="11">
        <f>Tablo165[[#This Row],[ADET]]*Tablo165[[#This Row],[SATIŞ]]</f>
        <v>0</v>
      </c>
      <c r="J4" s="40">
        <f t="shared" ref="J4:J22" si="0">IF(E4=0,D4*1.05,"")</f>
        <v>2.94</v>
      </c>
      <c r="L4" s="8"/>
      <c r="M4" s="8"/>
      <c r="N4" s="8"/>
    </row>
    <row r="5" spans="2:18" ht="21" customHeight="1" x14ac:dyDescent="0.3">
      <c r="B5" s="2">
        <v>45369</v>
      </c>
      <c r="C5" s="6">
        <v>1000</v>
      </c>
      <c r="D5" s="10">
        <v>2.7</v>
      </c>
      <c r="E5" s="10"/>
      <c r="F5" s="9" t="str">
        <f>IF(Tablo165[[#This Row],[SATIŞ]]=0,"Açık",(E5-D5)*C5)</f>
        <v>Açık</v>
      </c>
      <c r="G5" s="11">
        <f>Tablo165[[#This Row],[ADET]]*Tablo165[[#This Row],[ALIŞ]]</f>
        <v>2700</v>
      </c>
      <c r="H5" s="11">
        <f>Tablo165[[#This Row],[ADET]]*Tablo165[[#This Row],[SATIŞ]]</f>
        <v>0</v>
      </c>
      <c r="J5" s="40">
        <f t="shared" si="0"/>
        <v>2.8350000000000004</v>
      </c>
    </row>
    <row r="6" spans="2:18" ht="21" customHeight="1" x14ac:dyDescent="0.3">
      <c r="B6" s="2">
        <v>45371</v>
      </c>
      <c r="C6" s="6">
        <v>100</v>
      </c>
      <c r="D6" s="10">
        <v>2.63</v>
      </c>
      <c r="E6" s="10"/>
      <c r="F6" s="9" t="str">
        <f>IF(Tablo165[[#This Row],[SATIŞ]]=0,"Açık",(E6-D6)*C6)</f>
        <v>Açık</v>
      </c>
      <c r="G6" s="11">
        <f>Tablo165[[#This Row],[ADET]]*Tablo165[[#This Row],[ALIŞ]]</f>
        <v>263</v>
      </c>
      <c r="H6" s="11">
        <f>Tablo165[[#This Row],[ADET]]*Tablo165[[#This Row],[SATIŞ]]</f>
        <v>0</v>
      </c>
      <c r="J6" s="40">
        <f t="shared" si="0"/>
        <v>2.7614999999999998</v>
      </c>
    </row>
    <row r="7" spans="2:18" ht="21" customHeight="1" x14ac:dyDescent="0.3">
      <c r="B7" s="2">
        <v>45371</v>
      </c>
      <c r="C7" s="6">
        <v>200</v>
      </c>
      <c r="D7" s="10">
        <v>2.61</v>
      </c>
      <c r="E7" s="10"/>
      <c r="F7" s="9" t="str">
        <f>IF(Tablo165[[#This Row],[SATIŞ]]=0,"Açık",(E7-D7)*C7)</f>
        <v>Açık</v>
      </c>
      <c r="G7" s="11">
        <f>Tablo165[[#This Row],[ADET]]*Tablo165[[#This Row],[ALIŞ]]</f>
        <v>522</v>
      </c>
      <c r="H7" s="11">
        <f>Tablo165[[#This Row],[ADET]]*Tablo165[[#This Row],[SATIŞ]]</f>
        <v>0</v>
      </c>
      <c r="J7" s="40">
        <f t="shared" si="0"/>
        <v>2.7404999999999999</v>
      </c>
    </row>
    <row r="8" spans="2:18" ht="21" customHeight="1" x14ac:dyDescent="0.3">
      <c r="B8" s="2">
        <v>45371</v>
      </c>
      <c r="C8" s="6">
        <v>200</v>
      </c>
      <c r="D8" s="10">
        <v>2.59</v>
      </c>
      <c r="E8" s="10"/>
      <c r="F8" s="9" t="str">
        <f>IF(Tablo165[[#This Row],[SATIŞ]]=0,"Açık",(E8-D8)*C8)</f>
        <v>Açık</v>
      </c>
      <c r="G8" s="11">
        <f>Tablo165[[#This Row],[ADET]]*Tablo165[[#This Row],[ALIŞ]]</f>
        <v>518</v>
      </c>
      <c r="H8" s="11">
        <f>Tablo165[[#This Row],[ADET]]*Tablo165[[#This Row],[SATIŞ]]</f>
        <v>0</v>
      </c>
      <c r="J8" s="40">
        <f t="shared" si="0"/>
        <v>2.7195</v>
      </c>
    </row>
    <row r="9" spans="2:18" ht="21" customHeight="1" x14ac:dyDescent="0.3">
      <c r="B9" s="2">
        <v>45371</v>
      </c>
      <c r="C9" s="6">
        <v>200</v>
      </c>
      <c r="D9" s="10">
        <v>2.57</v>
      </c>
      <c r="E9" s="10"/>
      <c r="F9" s="9" t="str">
        <f>IF(Tablo165[[#This Row],[SATIŞ]]=0,"Açık",(E9-D9)*C9)</f>
        <v>Açık</v>
      </c>
      <c r="G9" s="11">
        <f>Tablo165[[#This Row],[ADET]]*Tablo165[[#This Row],[ALIŞ]]</f>
        <v>514</v>
      </c>
      <c r="H9" s="11">
        <f>Tablo165[[#This Row],[ADET]]*Tablo165[[#This Row],[SATIŞ]]</f>
        <v>0</v>
      </c>
      <c r="J9" s="40">
        <f t="shared" si="0"/>
        <v>2.6985000000000001</v>
      </c>
    </row>
    <row r="10" spans="2:18" ht="21" customHeight="1" x14ac:dyDescent="0.3">
      <c r="B10" s="2">
        <v>45371</v>
      </c>
      <c r="C10" s="6">
        <v>100</v>
      </c>
      <c r="D10" s="10">
        <v>2.58</v>
      </c>
      <c r="E10" s="10"/>
      <c r="F10" s="9" t="str">
        <f>IF(Tablo165[[#This Row],[SATIŞ]]=0,"Açık",(E10-D10)*C10)</f>
        <v>Açık</v>
      </c>
      <c r="G10" s="11">
        <f>Tablo165[[#This Row],[ADET]]*Tablo165[[#This Row],[ALIŞ]]</f>
        <v>258</v>
      </c>
      <c r="H10" s="11">
        <f>Tablo165[[#This Row],[ADET]]*Tablo165[[#This Row],[SATIŞ]]</f>
        <v>0</v>
      </c>
      <c r="J10" s="40">
        <f t="shared" si="0"/>
        <v>2.7090000000000001</v>
      </c>
    </row>
    <row r="11" spans="2:18" ht="21" hidden="1" customHeight="1" x14ac:dyDescent="0.3">
      <c r="B11" s="2">
        <v>45371</v>
      </c>
      <c r="C11" s="6">
        <v>100</v>
      </c>
      <c r="D11" s="10">
        <v>2.5499999999999998</v>
      </c>
      <c r="E11" s="10">
        <v>2.57</v>
      </c>
      <c r="F11" s="9">
        <f>IF(Tablo165[[#This Row],[SATIŞ]]=0,"Açık",(E11-D11)*C11)</f>
        <v>2.0000000000000018</v>
      </c>
      <c r="G11" s="11">
        <f>Tablo165[[#This Row],[ADET]]*Tablo165[[#This Row],[ALIŞ]]</f>
        <v>254.99999999999997</v>
      </c>
      <c r="H11" s="11">
        <f>Tablo165[[#This Row],[ADET]]*Tablo165[[#This Row],[SATIŞ]]</f>
        <v>257</v>
      </c>
      <c r="J11" s="40" t="str">
        <f t="shared" si="0"/>
        <v/>
      </c>
    </row>
    <row r="12" spans="2:18" ht="21" customHeight="1" x14ac:dyDescent="0.3">
      <c r="B12" s="2">
        <v>45371</v>
      </c>
      <c r="C12" s="6">
        <v>400</v>
      </c>
      <c r="D12" s="10">
        <v>2.5499999999999998</v>
      </c>
      <c r="E12" s="10"/>
      <c r="F12" s="9" t="str">
        <f>IF(Tablo165[[#This Row],[SATIŞ]]=0,"Açık",(E12-D12)*C12)</f>
        <v>Açık</v>
      </c>
      <c r="G12" s="11">
        <f>Tablo165[[#This Row],[ADET]]*Tablo165[[#This Row],[ALIŞ]]</f>
        <v>1019.9999999999999</v>
      </c>
      <c r="H12" s="11">
        <f>Tablo165[[#This Row],[ADET]]*Tablo165[[#This Row],[SATIŞ]]</f>
        <v>0</v>
      </c>
      <c r="J12" s="40">
        <f t="shared" si="0"/>
        <v>2.6774999999999998</v>
      </c>
    </row>
    <row r="13" spans="2:18" ht="21" customHeight="1" x14ac:dyDescent="0.3">
      <c r="B13" s="2">
        <v>45372</v>
      </c>
      <c r="C13" s="6">
        <v>100</v>
      </c>
      <c r="D13" s="10">
        <v>2.52</v>
      </c>
      <c r="E13" s="10"/>
      <c r="F13" s="9" t="str">
        <f>IF(Tablo165[[#This Row],[SATIŞ]]=0,"Açık",(E13-D13)*C13)</f>
        <v>Açık</v>
      </c>
      <c r="G13" s="11">
        <f>Tablo165[[#This Row],[ADET]]*Tablo165[[#This Row],[ALIŞ]]</f>
        <v>252</v>
      </c>
      <c r="H13" s="11">
        <f>Tablo165[[#This Row],[ADET]]*Tablo165[[#This Row],[SATIŞ]]</f>
        <v>0</v>
      </c>
      <c r="J13" s="40">
        <f t="shared" si="0"/>
        <v>2.6460000000000004</v>
      </c>
    </row>
    <row r="14" spans="2:18" ht="21" customHeight="1" x14ac:dyDescent="0.3">
      <c r="B14" s="2">
        <v>45372</v>
      </c>
      <c r="C14" s="6">
        <v>100</v>
      </c>
      <c r="D14" s="10">
        <v>2.5099999999999998</v>
      </c>
      <c r="E14" s="10"/>
      <c r="F14" s="9" t="str">
        <f>IF(Tablo165[[#This Row],[SATIŞ]]=0,"Açık",(E14-D14)*C14)</f>
        <v>Açık</v>
      </c>
      <c r="G14" s="11">
        <f>Tablo165[[#This Row],[ADET]]*Tablo165[[#This Row],[ALIŞ]]</f>
        <v>250.99999999999997</v>
      </c>
      <c r="H14" s="11">
        <f>Tablo165[[#This Row],[ADET]]*Tablo165[[#This Row],[SATIŞ]]</f>
        <v>0</v>
      </c>
      <c r="J14" s="40">
        <f t="shared" si="0"/>
        <v>2.6355</v>
      </c>
    </row>
    <row r="15" spans="2:18" ht="21" customHeight="1" x14ac:dyDescent="0.3">
      <c r="B15" s="2">
        <v>45372</v>
      </c>
      <c r="C15" s="6">
        <v>100</v>
      </c>
      <c r="D15" s="10">
        <v>2.5</v>
      </c>
      <c r="E15" s="10"/>
      <c r="F15" s="9" t="str">
        <f>IF(Tablo165[[#This Row],[SATIŞ]]=0,"Açık",(E15-D15)*C15)</f>
        <v>Açık</v>
      </c>
      <c r="G15" s="11">
        <f>Tablo165[[#This Row],[ADET]]*Tablo165[[#This Row],[ALIŞ]]</f>
        <v>250</v>
      </c>
      <c r="H15" s="11">
        <f>Tablo165[[#This Row],[ADET]]*Tablo165[[#This Row],[SATIŞ]]</f>
        <v>0</v>
      </c>
      <c r="J15" s="40">
        <f t="shared" si="0"/>
        <v>2.625</v>
      </c>
    </row>
    <row r="16" spans="2:18" ht="21" customHeight="1" x14ac:dyDescent="0.3">
      <c r="B16" s="2">
        <v>45372</v>
      </c>
      <c r="C16" s="6">
        <v>100</v>
      </c>
      <c r="D16" s="10">
        <v>2.4900000000000002</v>
      </c>
      <c r="E16" s="10"/>
      <c r="F16" s="9" t="str">
        <f>IF(Tablo165[[#This Row],[SATIŞ]]=0,"Açık",(E16-D16)*C16)</f>
        <v>Açık</v>
      </c>
      <c r="G16" s="11">
        <f>Tablo165[[#This Row],[ADET]]*Tablo165[[#This Row],[ALIŞ]]</f>
        <v>249.00000000000003</v>
      </c>
      <c r="H16" s="11">
        <f>Tablo165[[#This Row],[ADET]]*Tablo165[[#This Row],[SATIŞ]]</f>
        <v>0</v>
      </c>
      <c r="J16" s="40">
        <f t="shared" si="0"/>
        <v>2.6145000000000005</v>
      </c>
    </row>
    <row r="17" spans="2:10" ht="21" customHeight="1" x14ac:dyDescent="0.3">
      <c r="B17" s="2">
        <v>45372</v>
      </c>
      <c r="C17" s="6">
        <v>100</v>
      </c>
      <c r="D17" s="10">
        <v>2.48</v>
      </c>
      <c r="E17" s="10"/>
      <c r="F17" s="9" t="str">
        <f>IF(Tablo165[[#This Row],[SATIŞ]]=0,"Açık",(E17-D17)*C17)</f>
        <v>Açık</v>
      </c>
      <c r="G17" s="11">
        <f>Tablo165[[#This Row],[ADET]]*Tablo165[[#This Row],[ALIŞ]]</f>
        <v>248</v>
      </c>
      <c r="H17" s="11">
        <f>Tablo165[[#This Row],[ADET]]*Tablo165[[#This Row],[SATIŞ]]</f>
        <v>0</v>
      </c>
      <c r="J17" s="40">
        <f t="shared" si="0"/>
        <v>2.6040000000000001</v>
      </c>
    </row>
    <row r="18" spans="2:10" ht="21" customHeight="1" x14ac:dyDescent="0.3">
      <c r="B18" s="2">
        <v>45372</v>
      </c>
      <c r="C18" s="6">
        <v>100</v>
      </c>
      <c r="D18" s="10">
        <v>2.4700000000000002</v>
      </c>
      <c r="E18" s="10"/>
      <c r="F18" s="9" t="str">
        <f>IF(Tablo165[[#This Row],[SATIŞ]]=0,"Açık",(E18-D18)*C18)</f>
        <v>Açık</v>
      </c>
      <c r="G18" s="11">
        <f>Tablo165[[#This Row],[ADET]]*Tablo165[[#This Row],[ALIŞ]]</f>
        <v>247.00000000000003</v>
      </c>
      <c r="H18" s="11">
        <f>Tablo165[[#This Row],[ADET]]*Tablo165[[#This Row],[SATIŞ]]</f>
        <v>0</v>
      </c>
      <c r="J18" s="40">
        <f t="shared" si="0"/>
        <v>2.5935000000000001</v>
      </c>
    </row>
    <row r="19" spans="2:10" ht="21" customHeight="1" x14ac:dyDescent="0.3">
      <c r="B19" s="2">
        <v>45373</v>
      </c>
      <c r="C19" s="6">
        <v>100</v>
      </c>
      <c r="D19" s="10">
        <v>2.4300000000000002</v>
      </c>
      <c r="E19" s="10"/>
      <c r="F19" s="9" t="str">
        <f>IF(Tablo165[[#This Row],[SATIŞ]]=0,"Açık",(E19-D19)*C19)</f>
        <v>Açık</v>
      </c>
      <c r="G19" s="11">
        <f>Tablo165[[#This Row],[ADET]]*Tablo165[[#This Row],[ALIŞ]]</f>
        <v>243.00000000000003</v>
      </c>
      <c r="H19" s="11">
        <f>Tablo165[[#This Row],[ADET]]*Tablo165[[#This Row],[SATIŞ]]</f>
        <v>0</v>
      </c>
      <c r="J19" s="40">
        <f t="shared" si="0"/>
        <v>2.5515000000000003</v>
      </c>
    </row>
    <row r="20" spans="2:10" ht="21" customHeight="1" x14ac:dyDescent="0.3">
      <c r="B20" s="2">
        <v>45373</v>
      </c>
      <c r="C20" s="6">
        <v>100</v>
      </c>
      <c r="D20" s="10">
        <v>2.42</v>
      </c>
      <c r="E20" s="10"/>
      <c r="F20" s="9" t="str">
        <f>IF(Tablo165[[#This Row],[SATIŞ]]=0,"Açık",(E20-D20)*C20)</f>
        <v>Açık</v>
      </c>
      <c r="G20" s="11">
        <f>Tablo165[[#This Row],[ADET]]*Tablo165[[#This Row],[ALIŞ]]</f>
        <v>242</v>
      </c>
      <c r="H20" s="11">
        <f>Tablo165[[#This Row],[ADET]]*Tablo165[[#This Row],[SATIŞ]]</f>
        <v>0</v>
      </c>
      <c r="J20" s="40">
        <f t="shared" si="0"/>
        <v>2.5409999999999999</v>
      </c>
    </row>
    <row r="21" spans="2:10" ht="21" customHeight="1" x14ac:dyDescent="0.3">
      <c r="B21" s="2">
        <v>45373</v>
      </c>
      <c r="C21" s="6">
        <v>100</v>
      </c>
      <c r="D21" s="10">
        <v>2.41</v>
      </c>
      <c r="E21" s="10"/>
      <c r="F21" s="9" t="str">
        <f>IF(Tablo165[[#This Row],[SATIŞ]]=0,"Açık",(E21-D21)*C21)</f>
        <v>Açık</v>
      </c>
      <c r="G21" s="11">
        <f>Tablo165[[#This Row],[ADET]]*Tablo165[[#This Row],[ALIŞ]]</f>
        <v>241</v>
      </c>
      <c r="H21" s="11">
        <f>Tablo165[[#This Row],[ADET]]*Tablo165[[#This Row],[SATIŞ]]</f>
        <v>0</v>
      </c>
      <c r="J21" s="40">
        <f t="shared" si="0"/>
        <v>2.5305000000000004</v>
      </c>
    </row>
    <row r="22" spans="2:10" ht="21" customHeight="1" x14ac:dyDescent="0.3">
      <c r="B22" s="2">
        <v>45373</v>
      </c>
      <c r="C22" s="6">
        <v>100</v>
      </c>
      <c r="D22" s="10">
        <v>2.4</v>
      </c>
      <c r="E22" s="10"/>
      <c r="F22" s="9" t="str">
        <f>IF(Tablo165[[#This Row],[SATIŞ]]=0,"Açık",(E22-D22)*C22)</f>
        <v>Açık</v>
      </c>
      <c r="G22" s="11">
        <f>Tablo165[[#This Row],[ADET]]*Tablo165[[#This Row],[ALIŞ]]</f>
        <v>240</v>
      </c>
      <c r="H22" s="11">
        <f>Tablo165[[#This Row],[ADET]]*Tablo165[[#This Row],[SATIŞ]]</f>
        <v>0</v>
      </c>
      <c r="J22" s="40">
        <f t="shared" si="0"/>
        <v>2.52</v>
      </c>
    </row>
    <row r="23" spans="2:10" ht="21" hidden="1" customHeight="1" x14ac:dyDescent="0.3">
      <c r="B23" s="2">
        <v>45373</v>
      </c>
      <c r="C23" s="6">
        <v>100</v>
      </c>
      <c r="D23" s="10">
        <v>2.39</v>
      </c>
      <c r="E23" s="10">
        <v>2.4</v>
      </c>
      <c r="F23" s="9">
        <f>IF(Tablo165[[#This Row],[SATIŞ]]=0,"Açık",(E23-D23)*C23)</f>
        <v>0.99999999999997868</v>
      </c>
      <c r="G23" s="11">
        <f>Tablo165[[#This Row],[ADET]]*Tablo165[[#This Row],[ALIŞ]]</f>
        <v>239</v>
      </c>
      <c r="H23" s="11">
        <f>Tablo165[[#This Row],[ADET]]*Tablo165[[#This Row],[SATIŞ]]</f>
        <v>240</v>
      </c>
      <c r="J23" s="40" t="str">
        <f>IF(E23=0,D23*1.05,"")</f>
        <v/>
      </c>
    </row>
    <row r="24" spans="2:10" ht="21" hidden="1" customHeight="1" x14ac:dyDescent="0.3">
      <c r="B24" s="2">
        <v>45377</v>
      </c>
      <c r="C24" s="6">
        <v>100</v>
      </c>
      <c r="D24" s="10">
        <v>2.2799999999999998</v>
      </c>
      <c r="E24" s="10">
        <v>2.2999999999999998</v>
      </c>
      <c r="F24" s="9">
        <f>IF(Tablo165[[#This Row],[SATIŞ]]=0,"Açık",(E24-D24)*C24)</f>
        <v>2.0000000000000018</v>
      </c>
      <c r="G24" s="11">
        <f>Tablo165[[#This Row],[ADET]]*Tablo165[[#This Row],[ALIŞ]]</f>
        <v>227.99999999999997</v>
      </c>
      <c r="H24" s="11">
        <f>Tablo165[[#This Row],[ADET]]*Tablo165[[#This Row],[SATIŞ]]</f>
        <v>229.99999999999997</v>
      </c>
      <c r="J24" s="40" t="str">
        <f t="shared" ref="J24:J36" si="1">IF(E24=0,D24*1.05,"")</f>
        <v/>
      </c>
    </row>
    <row r="25" spans="2:10" ht="21" hidden="1" customHeight="1" x14ac:dyDescent="0.3">
      <c r="B25" s="2">
        <v>45377</v>
      </c>
      <c r="C25" s="6">
        <v>100</v>
      </c>
      <c r="D25" s="10">
        <v>2.25</v>
      </c>
      <c r="E25" s="10">
        <v>2.2999999999999998</v>
      </c>
      <c r="F25" s="9">
        <f>IF(Tablo165[[#This Row],[SATIŞ]]=0,"Açık",(E25-D25)*C25)</f>
        <v>4.9999999999999822</v>
      </c>
      <c r="G25" s="11">
        <f>Tablo165[[#This Row],[ADET]]*Tablo165[[#This Row],[ALIŞ]]</f>
        <v>225</v>
      </c>
      <c r="H25" s="11">
        <f>Tablo165[[#This Row],[ADET]]*Tablo165[[#This Row],[SATIŞ]]</f>
        <v>229.99999999999997</v>
      </c>
      <c r="J25" s="40" t="str">
        <f t="shared" si="1"/>
        <v/>
      </c>
    </row>
    <row r="26" spans="2:10" ht="21" hidden="1" customHeight="1" x14ac:dyDescent="0.3">
      <c r="B26" s="2">
        <v>45383</v>
      </c>
      <c r="C26" s="6">
        <v>100</v>
      </c>
      <c r="D26" s="10">
        <v>2.2000000000000002</v>
      </c>
      <c r="E26" s="10">
        <v>2.25</v>
      </c>
      <c r="F26" s="9">
        <f>IF(Tablo165[[#This Row],[SATIŞ]]=0,"Açık",(E26-D26)*C26)</f>
        <v>4.9999999999999822</v>
      </c>
      <c r="G26" s="11">
        <f>Tablo165[[#This Row],[ADET]]*Tablo165[[#This Row],[ALIŞ]]</f>
        <v>220.00000000000003</v>
      </c>
      <c r="H26" s="11">
        <f>Tablo165[[#This Row],[ADET]]*Tablo165[[#This Row],[SATIŞ]]</f>
        <v>225</v>
      </c>
      <c r="J26" s="40" t="str">
        <f t="shared" si="1"/>
        <v/>
      </c>
    </row>
    <row r="27" spans="2:10" ht="21" hidden="1" customHeight="1" x14ac:dyDescent="0.3">
      <c r="B27" s="2">
        <v>45384</v>
      </c>
      <c r="C27" s="6">
        <v>100</v>
      </c>
      <c r="D27" s="10">
        <v>2.15</v>
      </c>
      <c r="E27" s="10">
        <v>2.2000000000000002</v>
      </c>
      <c r="F27" s="9">
        <f>IF(Tablo165[[#This Row],[SATIŞ]]=0,"Açık",(E27-D27)*C27)</f>
        <v>5.0000000000000266</v>
      </c>
      <c r="G27" s="11">
        <f>Tablo165[[#This Row],[ADET]]*Tablo165[[#This Row],[ALIŞ]]</f>
        <v>215</v>
      </c>
      <c r="H27" s="11">
        <f>Tablo165[[#This Row],[ADET]]*Tablo165[[#This Row],[SATIŞ]]</f>
        <v>220.00000000000003</v>
      </c>
      <c r="J27" s="40" t="str">
        <f t="shared" si="1"/>
        <v/>
      </c>
    </row>
    <row r="28" spans="2:10" ht="21" customHeight="1" x14ac:dyDescent="0.3">
      <c r="B28" s="2"/>
      <c r="D28" s="10"/>
      <c r="E28" s="10"/>
      <c r="F28" s="9" t="str">
        <f>IF(Tablo165[[#This Row],[SATIŞ]]=0,"Açık",(E28-D28)*C28)</f>
        <v>Açık</v>
      </c>
      <c r="G28" s="11">
        <f>Tablo165[[#This Row],[ADET]]*Tablo165[[#This Row],[ALIŞ]]</f>
        <v>0</v>
      </c>
      <c r="H28" s="11">
        <f>Tablo165[[#This Row],[ADET]]*Tablo165[[#This Row],[SATIŞ]]</f>
        <v>0</v>
      </c>
      <c r="J28" s="40">
        <f t="shared" si="1"/>
        <v>0</v>
      </c>
    </row>
    <row r="29" spans="2:10" ht="21" customHeight="1" x14ac:dyDescent="0.3">
      <c r="B29" s="2"/>
      <c r="D29" s="10"/>
      <c r="E29" s="10"/>
      <c r="F29" s="9" t="str">
        <f>IF(Tablo165[[#This Row],[SATIŞ]]=0,"Açık",(E29-D29)*C29)</f>
        <v>Açık</v>
      </c>
      <c r="G29" s="11">
        <f>Tablo165[[#This Row],[ADET]]*Tablo165[[#This Row],[ALIŞ]]</f>
        <v>0</v>
      </c>
      <c r="H29" s="11">
        <f>Tablo165[[#This Row],[ADET]]*Tablo165[[#This Row],[SATIŞ]]</f>
        <v>0</v>
      </c>
      <c r="J29" s="40">
        <f t="shared" si="1"/>
        <v>0</v>
      </c>
    </row>
    <row r="30" spans="2:10" ht="21" customHeight="1" x14ac:dyDescent="0.3">
      <c r="B30" s="2"/>
      <c r="D30" s="10"/>
      <c r="E30" s="10"/>
      <c r="F30" s="9" t="str">
        <f>IF(Tablo165[[#This Row],[SATIŞ]]=0,"Açık",(E30-D30)*C30)</f>
        <v>Açık</v>
      </c>
      <c r="G30" s="11">
        <f>Tablo165[[#This Row],[ADET]]*Tablo165[[#This Row],[ALIŞ]]</f>
        <v>0</v>
      </c>
      <c r="H30" s="11">
        <f>Tablo165[[#This Row],[ADET]]*Tablo165[[#This Row],[SATIŞ]]</f>
        <v>0</v>
      </c>
      <c r="J30" s="40">
        <f t="shared" si="1"/>
        <v>0</v>
      </c>
    </row>
    <row r="31" spans="2:10" ht="21" customHeight="1" x14ac:dyDescent="0.3">
      <c r="B31" s="2"/>
      <c r="D31" s="10"/>
      <c r="E31" s="10"/>
      <c r="F31" s="9" t="str">
        <f>IF(Tablo165[[#This Row],[SATIŞ]]=0,"Açık",(E31-D31)*C31)</f>
        <v>Açık</v>
      </c>
      <c r="G31" s="11">
        <f>Tablo165[[#This Row],[ADET]]*Tablo165[[#This Row],[ALIŞ]]</f>
        <v>0</v>
      </c>
      <c r="H31" s="11">
        <f>Tablo165[[#This Row],[ADET]]*Tablo165[[#This Row],[SATIŞ]]</f>
        <v>0</v>
      </c>
      <c r="J31" s="40">
        <f t="shared" si="1"/>
        <v>0</v>
      </c>
    </row>
    <row r="32" spans="2:10" ht="21" customHeight="1" x14ac:dyDescent="0.3">
      <c r="B32" s="2"/>
      <c r="D32" s="10"/>
      <c r="E32" s="10"/>
      <c r="F32" s="9" t="str">
        <f>IF(Tablo165[[#This Row],[SATIŞ]]=0,"Açık",(E32-D32)*C32)</f>
        <v>Açık</v>
      </c>
      <c r="G32" s="11">
        <f>Tablo165[[#This Row],[ADET]]*Tablo165[[#This Row],[ALIŞ]]</f>
        <v>0</v>
      </c>
      <c r="H32" s="11">
        <f>Tablo165[[#This Row],[ADET]]*Tablo165[[#This Row],[SATIŞ]]</f>
        <v>0</v>
      </c>
      <c r="J32" s="40">
        <f t="shared" si="1"/>
        <v>0</v>
      </c>
    </row>
    <row r="33" spans="2:10" ht="21" customHeight="1" x14ac:dyDescent="0.3">
      <c r="B33" s="2"/>
      <c r="D33" s="10"/>
      <c r="E33" s="10"/>
      <c r="F33" s="9" t="str">
        <f>IF(Tablo165[[#This Row],[SATIŞ]]=0,"Açık",(E33-D33)*C33)</f>
        <v>Açık</v>
      </c>
      <c r="G33" s="11">
        <f>Tablo165[[#This Row],[ADET]]*Tablo165[[#This Row],[ALIŞ]]</f>
        <v>0</v>
      </c>
      <c r="H33" s="11">
        <f>Tablo165[[#This Row],[ADET]]*Tablo165[[#This Row],[SATIŞ]]</f>
        <v>0</v>
      </c>
      <c r="J33" s="40">
        <f t="shared" si="1"/>
        <v>0</v>
      </c>
    </row>
    <row r="34" spans="2:10" ht="21" customHeight="1" x14ac:dyDescent="0.3">
      <c r="B34" s="2"/>
      <c r="D34" s="10"/>
      <c r="E34" s="10"/>
      <c r="F34" s="9" t="str">
        <f>IF(Tablo165[[#This Row],[SATIŞ]]=0,"Açık",(E34-D34)*C34)</f>
        <v>Açık</v>
      </c>
      <c r="G34" s="11">
        <f>Tablo165[[#This Row],[ADET]]*Tablo165[[#This Row],[ALIŞ]]</f>
        <v>0</v>
      </c>
      <c r="H34" s="11">
        <f>Tablo165[[#This Row],[ADET]]*Tablo165[[#This Row],[SATIŞ]]</f>
        <v>0</v>
      </c>
      <c r="J34" s="40">
        <f t="shared" si="1"/>
        <v>0</v>
      </c>
    </row>
    <row r="35" spans="2:10" ht="21" customHeight="1" x14ac:dyDescent="0.3">
      <c r="B35" s="2"/>
      <c r="D35" s="10"/>
      <c r="E35" s="10"/>
      <c r="F35" s="9" t="str">
        <f>IF(Tablo165[[#This Row],[SATIŞ]]=0,"Açık",(E35-D35)*C35)</f>
        <v>Açık</v>
      </c>
      <c r="G35" s="11">
        <f>Tablo165[[#This Row],[ADET]]*Tablo165[[#This Row],[ALIŞ]]</f>
        <v>0</v>
      </c>
      <c r="H35" s="11">
        <f>Tablo165[[#This Row],[ADET]]*Tablo165[[#This Row],[SATIŞ]]</f>
        <v>0</v>
      </c>
      <c r="J35" s="40">
        <f t="shared" si="1"/>
        <v>0</v>
      </c>
    </row>
    <row r="36" spans="2:10" ht="21" customHeight="1" x14ac:dyDescent="0.3">
      <c r="B36" s="2"/>
      <c r="D36" s="10"/>
      <c r="E36" s="10"/>
      <c r="F36" s="9" t="str">
        <f>IF(Tablo165[[#This Row],[SATIŞ]]=0,"Açık",(E36-D36)*C36)</f>
        <v>Açık</v>
      </c>
      <c r="G36" s="11">
        <f>Tablo165[[#This Row],[ADET]]*Tablo165[[#This Row],[ALIŞ]]</f>
        <v>0</v>
      </c>
      <c r="H36" s="11">
        <f>Tablo165[[#This Row],[ADET]]*Tablo165[[#This Row],[SATIŞ]]</f>
        <v>0</v>
      </c>
      <c r="J36" s="40">
        <f t="shared" si="1"/>
        <v>0</v>
      </c>
    </row>
    <row r="37" spans="2:10" ht="21" customHeight="1" x14ac:dyDescent="0.3">
      <c r="B37" s="2"/>
      <c r="D37" s="10"/>
      <c r="E37" s="10"/>
      <c r="F37" s="9" t="str">
        <f>IF(Tablo165[[#This Row],[SATIŞ]]=0,"Açık",(E37-D37)*C37)</f>
        <v>Açık</v>
      </c>
      <c r="G37" s="11">
        <f>Tablo165[[#This Row],[ADET]]*Tablo165[[#This Row],[ALIŞ]]</f>
        <v>0</v>
      </c>
      <c r="H37" s="11">
        <f>Tablo165[[#This Row],[ADET]]*Tablo165[[#This Row],[SATIŞ]]</f>
        <v>0</v>
      </c>
    </row>
  </sheetData>
  <conditionalFormatting sqref="B4:F37">
    <cfRule type="expression" dxfId="206" priority="1">
      <formula>$F4&lt;0</formula>
    </cfRule>
    <cfRule type="expression" dxfId="205" priority="2">
      <formula>$F4="Açık"</formula>
    </cfRule>
    <cfRule type="expression" dxfId="204" priority="3">
      <formula>$F4&gt;0</formula>
    </cfRule>
  </conditionalFormatting>
  <hyperlinks>
    <hyperlink ref="B1" location="İcmal!A1" display="ANA SAYFA" xr:uid="{A94FB1E2-C0E5-4D32-97D8-4D1FFDA726DA}"/>
  </hyperlink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ABAB"/>
  </sheetPr>
  <dimension ref="B1:R47"/>
  <sheetViews>
    <sheetView showGridLines="0" showZeros="0" zoomScale="107" zoomScaleNormal="107" workbookViewId="0">
      <pane ySplit="3" topLeftCell="A43" activePane="bottomLeft" state="frozen"/>
      <selection pane="bottomLeft" activeCell="E45" sqref="E45"/>
    </sheetView>
  </sheetViews>
  <sheetFormatPr defaultRowHeight="21" customHeight="1" x14ac:dyDescent="0.3"/>
  <cols>
    <col min="2" max="2" width="20.6640625" style="1" customWidth="1"/>
    <col min="3" max="3" width="11.33203125" style="6" customWidth="1"/>
    <col min="4" max="5" width="12.88671875" style="3" customWidth="1"/>
    <col min="6" max="6" width="12.88671875" style="5" customWidth="1"/>
    <col min="7" max="8" width="11.6640625" bestFit="1" customWidth="1"/>
    <col min="10" max="10" width="11.5546875" bestFit="1" customWidth="1"/>
    <col min="11" max="11" width="10" bestFit="1" customWidth="1"/>
    <col min="12" max="13" width="11.44140625" bestFit="1" customWidth="1"/>
    <col min="14" max="14" width="10.33203125" bestFit="1" customWidth="1"/>
  </cols>
  <sheetData>
    <row r="1" spans="2:18" ht="21" customHeight="1" x14ac:dyDescent="0.3">
      <c r="B1" s="12" t="s">
        <v>64</v>
      </c>
      <c r="C1" s="4">
        <f>SUMIF(Tablo1[KAR],"Açık",Tablo1[ADET])</f>
        <v>0</v>
      </c>
      <c r="D1" s="10">
        <f>+İcmal!E4</f>
        <v>56.05</v>
      </c>
      <c r="E1" s="10">
        <f>C1*D1</f>
        <v>0</v>
      </c>
      <c r="F1" s="10" t="str">
        <f>IFERROR(((SUM(Tablo1[ALIŞ TUTAR])-SUM(Tablo1[SATIŞ TUTAR]))/C1),"")</f>
        <v/>
      </c>
      <c r="G1" s="10">
        <f>IF(M3=0,L3,C1*(D1-F1))</f>
        <v>3643.7904999999982</v>
      </c>
      <c r="J1" s="45" t="s">
        <v>94</v>
      </c>
      <c r="K1" s="45" t="s">
        <v>95</v>
      </c>
      <c r="L1" s="45" t="s">
        <v>96</v>
      </c>
      <c r="M1" s="33" t="str">
        <f>F1</f>
        <v/>
      </c>
      <c r="N1" s="8" t="e">
        <f>M1*(1+$J$1)</f>
        <v>#VALUE!</v>
      </c>
      <c r="P1" s="8" t="e">
        <f>Q1*(1-$J$1)</f>
        <v>#VALUE!</v>
      </c>
      <c r="Q1" s="33">
        <f>+D1</f>
        <v>56.05</v>
      </c>
      <c r="R1" s="8" t="e">
        <f>Q1*(1+$J$1)</f>
        <v>#VALUE!</v>
      </c>
    </row>
    <row r="2" spans="2:18" ht="21" customHeight="1" x14ac:dyDescent="0.3">
      <c r="B2" s="7" t="s">
        <v>6</v>
      </c>
      <c r="J2" s="45">
        <f>SUMIFS(Tablo2[HEDEF2],Tablo2[HİSSE],B2)</f>
        <v>1000</v>
      </c>
      <c r="K2" s="45">
        <f>+E1/İcmal!$P$2</f>
        <v>0</v>
      </c>
      <c r="L2" s="45">
        <f>+J2-K2</f>
        <v>1000</v>
      </c>
    </row>
    <row r="3" spans="2:18" ht="21" customHeight="1" x14ac:dyDescent="0.3">
      <c r="B3" s="1" t="s">
        <v>0</v>
      </c>
      <c r="C3" s="6" t="s">
        <v>4</v>
      </c>
      <c r="D3" s="3" t="s">
        <v>1</v>
      </c>
      <c r="E3" s="3" t="s">
        <v>3</v>
      </c>
      <c r="F3" s="5" t="s">
        <v>2</v>
      </c>
      <c r="G3" s="3" t="s">
        <v>8</v>
      </c>
      <c r="H3" s="3" t="s">
        <v>9</v>
      </c>
      <c r="L3" s="33">
        <f>SUM(Tablo1[KAR])</f>
        <v>3643.7904999999982</v>
      </c>
      <c r="M3" s="37">
        <f>C1</f>
        <v>0</v>
      </c>
    </row>
    <row r="4" spans="2:18" ht="21" hidden="1" customHeight="1" x14ac:dyDescent="0.3">
      <c r="B4" s="2">
        <v>45291</v>
      </c>
      <c r="C4" s="6">
        <v>950</v>
      </c>
      <c r="D4" s="10">
        <v>16.942440000000001</v>
      </c>
      <c r="E4" s="10">
        <v>16.80143</v>
      </c>
      <c r="F4" s="9">
        <f>IF(Tablo1[[#This Row],[SATIŞ]]=0,"Açık",(E4-D4)*C4)</f>
        <v>-133.95950000000136</v>
      </c>
      <c r="G4" s="11">
        <f>Tablo1[[#This Row],[ADET]]*Tablo1[[#This Row],[ALIŞ]]</f>
        <v>16095.318000000001</v>
      </c>
      <c r="H4" s="11">
        <f>Tablo1[[#This Row],[ADET]]*Tablo1[[#This Row],[SATIŞ]]</f>
        <v>15961.3585</v>
      </c>
      <c r="L4" s="8"/>
      <c r="M4" s="8"/>
      <c r="N4" s="8"/>
    </row>
    <row r="5" spans="2:18" ht="21" hidden="1" customHeight="1" x14ac:dyDescent="0.3">
      <c r="B5" s="2">
        <v>45329</v>
      </c>
      <c r="C5" s="6">
        <v>10</v>
      </c>
      <c r="D5" s="10">
        <v>41</v>
      </c>
      <c r="E5" s="10">
        <v>41.2</v>
      </c>
      <c r="F5" s="9">
        <f>IF(Tablo1[[#This Row],[SATIŞ]]=0,"Açık",(E5-D5)*C5)</f>
        <v>2.0000000000000284</v>
      </c>
      <c r="G5" s="11">
        <f>Tablo1[[#This Row],[ADET]]*Tablo1[[#This Row],[ALIŞ]]</f>
        <v>410</v>
      </c>
      <c r="H5" s="11">
        <f>Tablo1[[#This Row],[ADET]]*Tablo1[[#This Row],[SATIŞ]]</f>
        <v>412</v>
      </c>
    </row>
    <row r="6" spans="2:18" ht="21" hidden="1" customHeight="1" x14ac:dyDescent="0.3">
      <c r="B6" s="2">
        <v>45329</v>
      </c>
      <c r="C6" s="6">
        <v>15</v>
      </c>
      <c r="D6" s="10">
        <v>40.9</v>
      </c>
      <c r="E6" s="10">
        <v>41.2</v>
      </c>
      <c r="F6" s="9">
        <f>IF(Tablo1[[#This Row],[SATIŞ]]=0,"Açık",(E6-D6)*C6)</f>
        <v>4.5000000000000639</v>
      </c>
      <c r="G6" s="11">
        <f>Tablo1[[#This Row],[ADET]]*Tablo1[[#This Row],[ALIŞ]]</f>
        <v>613.5</v>
      </c>
      <c r="H6" s="11">
        <f>Tablo1[[#This Row],[ADET]]*Tablo1[[#This Row],[SATIŞ]]</f>
        <v>618</v>
      </c>
    </row>
    <row r="7" spans="2:18" ht="21" hidden="1" customHeight="1" x14ac:dyDescent="0.3">
      <c r="B7" s="2">
        <v>45329</v>
      </c>
      <c r="C7" s="6">
        <v>20</v>
      </c>
      <c r="D7" s="10">
        <v>40.9</v>
      </c>
      <c r="E7" s="10">
        <v>41.7</v>
      </c>
      <c r="F7" s="9">
        <f>IF(Tablo1[[#This Row],[SATIŞ]]=0,"Açık",(E7-D7)*C7)</f>
        <v>16.000000000000085</v>
      </c>
      <c r="G7" s="11">
        <f>Tablo1[[#This Row],[ADET]]*Tablo1[[#This Row],[ALIŞ]]</f>
        <v>818</v>
      </c>
      <c r="H7" s="11">
        <f>Tablo1[[#This Row],[ADET]]*Tablo1[[#This Row],[SATIŞ]]</f>
        <v>834</v>
      </c>
    </row>
    <row r="8" spans="2:18" ht="21" hidden="1" customHeight="1" x14ac:dyDescent="0.3">
      <c r="B8" s="2">
        <v>45329</v>
      </c>
      <c r="C8" s="6">
        <v>20</v>
      </c>
      <c r="D8" s="10">
        <v>41.1</v>
      </c>
      <c r="E8" s="10">
        <v>41.7</v>
      </c>
      <c r="F8" s="9">
        <f>IF(Tablo1[[#This Row],[SATIŞ]]=0,"Açık",(E8-D8)*C8)</f>
        <v>12.000000000000028</v>
      </c>
      <c r="G8" s="11">
        <f>Tablo1[[#This Row],[ADET]]*Tablo1[[#This Row],[ALIŞ]]</f>
        <v>822</v>
      </c>
      <c r="H8" s="11">
        <f>Tablo1[[#This Row],[ADET]]*Tablo1[[#This Row],[SATIŞ]]</f>
        <v>834</v>
      </c>
    </row>
    <row r="9" spans="2:18" ht="21" hidden="1" customHeight="1" x14ac:dyDescent="0.3">
      <c r="B9" s="2">
        <v>45329</v>
      </c>
      <c r="C9" s="6">
        <v>30</v>
      </c>
      <c r="D9" s="10">
        <v>41</v>
      </c>
      <c r="E9" s="10">
        <v>42.3</v>
      </c>
      <c r="F9" s="9">
        <f>IF(Tablo1[[#This Row],[SATIŞ]]=0,"Açık",(E9-D9)*C9)</f>
        <v>38.999999999999915</v>
      </c>
      <c r="G9" s="11">
        <f>Tablo1[[#This Row],[ADET]]*Tablo1[[#This Row],[ALIŞ]]</f>
        <v>1230</v>
      </c>
      <c r="H9" s="11">
        <f>Tablo1[[#This Row],[ADET]]*Tablo1[[#This Row],[SATIŞ]]</f>
        <v>1269</v>
      </c>
    </row>
    <row r="10" spans="2:18" ht="21" hidden="1" customHeight="1" x14ac:dyDescent="0.3">
      <c r="B10" s="2">
        <v>45329</v>
      </c>
      <c r="C10" s="6">
        <v>20</v>
      </c>
      <c r="D10" s="10">
        <v>40.799999999999997</v>
      </c>
      <c r="E10" s="10">
        <v>42.3</v>
      </c>
      <c r="F10" s="9">
        <f>IF(Tablo1[[#This Row],[SATIŞ]]=0,"Açık",(E10-D10)*C10)</f>
        <v>30</v>
      </c>
      <c r="G10" s="11">
        <f>Tablo1[[#This Row],[ADET]]*Tablo1[[#This Row],[ALIŞ]]</f>
        <v>816</v>
      </c>
      <c r="H10" s="11">
        <f>Tablo1[[#This Row],[ADET]]*Tablo1[[#This Row],[SATIŞ]]</f>
        <v>846</v>
      </c>
    </row>
    <row r="11" spans="2:18" ht="21" hidden="1" customHeight="1" x14ac:dyDescent="0.3">
      <c r="B11" s="2">
        <v>45329</v>
      </c>
      <c r="C11" s="6">
        <v>25</v>
      </c>
      <c r="D11" s="10">
        <v>40.5</v>
      </c>
      <c r="E11" s="10">
        <v>42.3</v>
      </c>
      <c r="F11" s="9">
        <f>IF(Tablo1[[#This Row],[SATIŞ]]=0,"Açık",(E11-D11)*C11)</f>
        <v>44.999999999999929</v>
      </c>
      <c r="G11" s="11">
        <f>Tablo1[[#This Row],[ADET]]*Tablo1[[#This Row],[ALIŞ]]</f>
        <v>1012.5</v>
      </c>
      <c r="H11" s="11">
        <f>Tablo1[[#This Row],[ADET]]*Tablo1[[#This Row],[SATIŞ]]</f>
        <v>1057.5</v>
      </c>
      <c r="J11">
        <f>+Tablo1[[#This Row],[ALIŞ]]*1.02</f>
        <v>41.31</v>
      </c>
    </row>
    <row r="12" spans="2:18" ht="21" hidden="1" customHeight="1" x14ac:dyDescent="0.3">
      <c r="B12" s="2">
        <v>45329</v>
      </c>
      <c r="C12" s="6">
        <v>75</v>
      </c>
      <c r="D12" s="10">
        <v>40.5</v>
      </c>
      <c r="E12" s="10">
        <v>42.1</v>
      </c>
      <c r="F12" s="9">
        <f>IF(Tablo1[[#This Row],[SATIŞ]]=0,"Açık",(E12-D12)*C12)</f>
        <v>120.00000000000011</v>
      </c>
      <c r="G12" s="11">
        <f>Tablo1[[#This Row],[ADET]]*Tablo1[[#This Row],[ALIŞ]]</f>
        <v>3037.5</v>
      </c>
      <c r="H12" s="11">
        <f>Tablo1[[#This Row],[ADET]]*Tablo1[[#This Row],[SATIŞ]]</f>
        <v>3157.5</v>
      </c>
    </row>
    <row r="13" spans="2:18" ht="21" hidden="1" customHeight="1" x14ac:dyDescent="0.3">
      <c r="B13" s="2">
        <v>45331</v>
      </c>
      <c r="C13" s="6">
        <v>15</v>
      </c>
      <c r="D13" s="10">
        <v>40</v>
      </c>
      <c r="E13" s="10">
        <v>41.2</v>
      </c>
      <c r="F13" s="9">
        <f>IF(Tablo1[[#This Row],[SATIŞ]]=0,"Açık",(E13-D13)*C13)</f>
        <v>18.000000000000043</v>
      </c>
      <c r="G13" s="11">
        <f>Tablo1[[#This Row],[ADET]]*Tablo1[[#This Row],[ALIŞ]]</f>
        <v>600</v>
      </c>
      <c r="H13" s="11">
        <f>Tablo1[[#This Row],[ADET]]*Tablo1[[#This Row],[SATIŞ]]</f>
        <v>618</v>
      </c>
    </row>
    <row r="14" spans="2:18" ht="21" hidden="1" customHeight="1" x14ac:dyDescent="0.3">
      <c r="B14" s="2">
        <v>45331</v>
      </c>
      <c r="C14" s="6">
        <v>25</v>
      </c>
      <c r="D14" s="10">
        <v>40</v>
      </c>
      <c r="E14" s="10">
        <v>40.99</v>
      </c>
      <c r="F14" s="9">
        <f>IF(Tablo1[[#This Row],[SATIŞ]]=0,"Açık",(E14-D14)*C14)</f>
        <v>24.75000000000005</v>
      </c>
      <c r="G14" s="11">
        <f>Tablo1[[#This Row],[ADET]]*Tablo1[[#This Row],[ALIŞ]]</f>
        <v>1000</v>
      </c>
      <c r="H14" s="11">
        <f>Tablo1[[#This Row],[ADET]]*Tablo1[[#This Row],[SATIŞ]]</f>
        <v>1024.75</v>
      </c>
    </row>
    <row r="15" spans="2:18" ht="21" hidden="1" customHeight="1" x14ac:dyDescent="0.3">
      <c r="B15" s="2">
        <v>45334</v>
      </c>
      <c r="C15" s="6">
        <v>25</v>
      </c>
      <c r="D15" s="10">
        <v>40.5</v>
      </c>
      <c r="E15" s="10">
        <v>41</v>
      </c>
      <c r="F15" s="9">
        <f>IF(Tablo1[[#This Row],[SATIŞ]]=0,"Açık",(E15-D15)*C15)</f>
        <v>12.5</v>
      </c>
      <c r="G15" s="11">
        <f>Tablo1[[#This Row],[ADET]]*Tablo1[[#This Row],[ALIŞ]]</f>
        <v>1012.5</v>
      </c>
      <c r="H15" s="11">
        <f>Tablo1[[#This Row],[ADET]]*Tablo1[[#This Row],[SATIŞ]]</f>
        <v>1025</v>
      </c>
    </row>
    <row r="16" spans="2:18" ht="21" hidden="1" customHeight="1" x14ac:dyDescent="0.3">
      <c r="B16" s="2">
        <v>45334</v>
      </c>
      <c r="C16" s="6">
        <v>25</v>
      </c>
      <c r="D16" s="10">
        <v>40.5</v>
      </c>
      <c r="E16" s="10">
        <v>40.619999999999997</v>
      </c>
      <c r="F16" s="9">
        <f>IF(Tablo1[[#This Row],[SATIŞ]]=0,"Açık",(E16-D16)*C16)</f>
        <v>2.9999999999999361</v>
      </c>
      <c r="G16" s="11">
        <f>Tablo1[[#This Row],[ADET]]*Tablo1[[#This Row],[ALIŞ]]</f>
        <v>1012.5</v>
      </c>
      <c r="H16" s="11">
        <f>Tablo1[[#This Row],[ADET]]*Tablo1[[#This Row],[SATIŞ]]</f>
        <v>1015.4999999999999</v>
      </c>
    </row>
    <row r="17" spans="2:8" ht="21" hidden="1" customHeight="1" x14ac:dyDescent="0.3">
      <c r="B17" s="2">
        <v>45334</v>
      </c>
      <c r="C17" s="6">
        <v>35</v>
      </c>
      <c r="D17" s="10">
        <v>40.5</v>
      </c>
      <c r="E17" s="10">
        <v>41.7</v>
      </c>
      <c r="F17" s="9">
        <f>IF(Tablo1[[#This Row],[SATIŞ]]=0,"Açık",(E17-D17)*C17)</f>
        <v>42.000000000000099</v>
      </c>
      <c r="G17" s="11">
        <f>Tablo1[[#This Row],[ADET]]*Tablo1[[#This Row],[ALIŞ]]</f>
        <v>1417.5</v>
      </c>
      <c r="H17" s="11">
        <f>Tablo1[[#This Row],[ADET]]*Tablo1[[#This Row],[SATIŞ]]</f>
        <v>1459.5</v>
      </c>
    </row>
    <row r="18" spans="2:8" ht="21" hidden="1" customHeight="1" x14ac:dyDescent="0.3">
      <c r="B18" s="2">
        <v>45336</v>
      </c>
      <c r="C18" s="6">
        <v>25</v>
      </c>
      <c r="D18" s="10">
        <v>40</v>
      </c>
      <c r="E18" s="10">
        <v>42.1</v>
      </c>
      <c r="F18" s="9">
        <f>IF(Tablo1[[#This Row],[SATIŞ]]=0,"Açık",(E18-D18)*C18)</f>
        <v>52.500000000000036</v>
      </c>
      <c r="G18" s="11">
        <f>Tablo1[[#This Row],[ADET]]*Tablo1[[#This Row],[ALIŞ]]</f>
        <v>1000</v>
      </c>
      <c r="H18" s="11">
        <f>Tablo1[[#This Row],[ADET]]*Tablo1[[#This Row],[SATIŞ]]</f>
        <v>1052.5</v>
      </c>
    </row>
    <row r="19" spans="2:8" ht="21" hidden="1" customHeight="1" x14ac:dyDescent="0.3">
      <c r="B19" s="2">
        <v>45336</v>
      </c>
      <c r="C19" s="6">
        <v>25</v>
      </c>
      <c r="D19" s="10">
        <v>40</v>
      </c>
      <c r="E19" s="10">
        <v>42.5</v>
      </c>
      <c r="F19" s="9">
        <f>IF(Tablo1[[#This Row],[SATIŞ]]=0,"Açık",(E19-D19)*C19)</f>
        <v>62.5</v>
      </c>
      <c r="G19" s="11">
        <f>Tablo1[[#This Row],[ADET]]*Tablo1[[#This Row],[ALIŞ]]</f>
        <v>1000</v>
      </c>
      <c r="H19" s="11">
        <f>Tablo1[[#This Row],[ADET]]*Tablo1[[#This Row],[SATIŞ]]</f>
        <v>1062.5</v>
      </c>
    </row>
    <row r="20" spans="2:8" ht="21" hidden="1" customHeight="1" x14ac:dyDescent="0.3">
      <c r="B20" s="2">
        <v>45337</v>
      </c>
      <c r="C20" s="6">
        <v>50</v>
      </c>
      <c r="D20" s="10">
        <v>42</v>
      </c>
      <c r="E20" s="10">
        <v>43</v>
      </c>
      <c r="F20" s="9">
        <f>IF(Tablo1[[#This Row],[SATIŞ]]=0,"Açık",(E20-D20)*C20)</f>
        <v>50</v>
      </c>
      <c r="G20" s="11">
        <f>Tablo1[[#This Row],[ADET]]*Tablo1[[#This Row],[ALIŞ]]</f>
        <v>2100</v>
      </c>
      <c r="H20" s="11">
        <f>Tablo1[[#This Row],[ADET]]*Tablo1[[#This Row],[SATIŞ]]</f>
        <v>2150</v>
      </c>
    </row>
    <row r="21" spans="2:8" ht="21" hidden="1" customHeight="1" x14ac:dyDescent="0.3">
      <c r="B21" s="2">
        <v>45337</v>
      </c>
      <c r="C21" s="6">
        <v>75</v>
      </c>
      <c r="D21" s="10">
        <v>42</v>
      </c>
      <c r="E21" s="10">
        <v>42.02</v>
      </c>
      <c r="F21" s="9">
        <f>IF(Tablo1[[#This Row],[SATIŞ]]=0,"Açık",(E21-D21)*C21)</f>
        <v>1.5000000000002345</v>
      </c>
      <c r="G21" s="11">
        <f>Tablo1[[#This Row],[ADET]]*Tablo1[[#This Row],[ALIŞ]]</f>
        <v>3150</v>
      </c>
      <c r="H21" s="11">
        <f>Tablo1[[#This Row],[ADET]]*Tablo1[[#This Row],[SATIŞ]]</f>
        <v>3151.5000000000005</v>
      </c>
    </row>
    <row r="22" spans="2:8" ht="21" hidden="1" customHeight="1" x14ac:dyDescent="0.3">
      <c r="B22" s="2">
        <v>45338</v>
      </c>
      <c r="C22" s="6">
        <v>75</v>
      </c>
      <c r="D22" s="10">
        <v>41.5</v>
      </c>
      <c r="E22" s="10">
        <v>42.3</v>
      </c>
      <c r="F22" s="9">
        <f>IF(Tablo1[[#This Row],[SATIŞ]]=0,"Açık",(E22-D22)*C22)</f>
        <v>59.999999999999787</v>
      </c>
      <c r="G22" s="11">
        <f>Tablo1[[#This Row],[ADET]]*Tablo1[[#This Row],[ALIŞ]]</f>
        <v>3112.5</v>
      </c>
      <c r="H22" s="11">
        <f>Tablo1[[#This Row],[ADET]]*Tablo1[[#This Row],[SATIŞ]]</f>
        <v>3172.5</v>
      </c>
    </row>
    <row r="23" spans="2:8" ht="21" hidden="1" customHeight="1" x14ac:dyDescent="0.3">
      <c r="B23" s="2">
        <v>45341</v>
      </c>
      <c r="C23" s="6">
        <v>50</v>
      </c>
      <c r="D23" s="10">
        <v>42.5</v>
      </c>
      <c r="E23" s="10">
        <v>42.3</v>
      </c>
      <c r="F23" s="9">
        <f>IF(Tablo1[[#This Row],[SATIŞ]]=0,"Açık",(E23-D23)*C23)</f>
        <v>-10.000000000000142</v>
      </c>
      <c r="G23" s="11">
        <f>Tablo1[[#This Row],[ADET]]*Tablo1[[#This Row],[ALIŞ]]</f>
        <v>2125</v>
      </c>
      <c r="H23" s="11">
        <f>Tablo1[[#This Row],[ADET]]*Tablo1[[#This Row],[SATIŞ]]</f>
        <v>2115</v>
      </c>
    </row>
    <row r="24" spans="2:8" ht="21" hidden="1" customHeight="1" x14ac:dyDescent="0.3">
      <c r="B24" s="2">
        <v>45341</v>
      </c>
      <c r="C24" s="6">
        <v>50</v>
      </c>
      <c r="D24" s="10">
        <v>42</v>
      </c>
      <c r="E24" s="10">
        <v>42.3</v>
      </c>
      <c r="F24" s="9">
        <f>IF(Tablo1[[#This Row],[SATIŞ]]=0,"Açık",(E24-D24)*C24)</f>
        <v>14.999999999999858</v>
      </c>
      <c r="G24" s="11">
        <f>Tablo1[[#This Row],[ADET]]*Tablo1[[#This Row],[ALIŞ]]</f>
        <v>2100</v>
      </c>
      <c r="H24" s="11">
        <f>Tablo1[[#This Row],[ADET]]*Tablo1[[#This Row],[SATIŞ]]</f>
        <v>2115</v>
      </c>
    </row>
    <row r="25" spans="2:8" ht="21" hidden="1" customHeight="1" x14ac:dyDescent="0.3">
      <c r="B25" s="2">
        <v>45341</v>
      </c>
      <c r="C25" s="6">
        <v>25</v>
      </c>
      <c r="D25" s="10">
        <v>42</v>
      </c>
      <c r="E25" s="10">
        <v>42.5</v>
      </c>
      <c r="F25" s="9">
        <f>IF(Tablo1[[#This Row],[SATIŞ]]=0,"Açık",(E25-D25)*C25)</f>
        <v>12.5</v>
      </c>
      <c r="G25" s="11">
        <f>Tablo1[[#This Row],[ADET]]*Tablo1[[#This Row],[ALIŞ]]</f>
        <v>1050</v>
      </c>
      <c r="H25" s="11">
        <f>Tablo1[[#This Row],[ADET]]*Tablo1[[#This Row],[SATIŞ]]</f>
        <v>1062.5</v>
      </c>
    </row>
    <row r="26" spans="2:8" ht="21" hidden="1" customHeight="1" x14ac:dyDescent="0.3">
      <c r="B26" s="2">
        <v>45341</v>
      </c>
      <c r="C26" s="6">
        <v>75</v>
      </c>
      <c r="D26" s="10">
        <v>41.5</v>
      </c>
      <c r="E26" s="10">
        <v>42.5</v>
      </c>
      <c r="F26" s="9">
        <f>IF(Tablo1[[#This Row],[SATIŞ]]=0,"Açık",(E26-D26)*C26)</f>
        <v>75</v>
      </c>
      <c r="G26" s="11">
        <f>Tablo1[[#This Row],[ADET]]*Tablo1[[#This Row],[ALIŞ]]</f>
        <v>3112.5</v>
      </c>
      <c r="H26" s="11">
        <f>Tablo1[[#This Row],[ADET]]*Tablo1[[#This Row],[SATIŞ]]</f>
        <v>3187.5</v>
      </c>
    </row>
    <row r="27" spans="2:8" ht="21" hidden="1" customHeight="1" x14ac:dyDescent="0.3">
      <c r="B27" s="2">
        <v>45342</v>
      </c>
      <c r="C27" s="6">
        <v>100</v>
      </c>
      <c r="D27" s="10">
        <v>42</v>
      </c>
      <c r="E27" s="10">
        <v>44</v>
      </c>
      <c r="F27" s="9">
        <f>IF(Tablo1[[#This Row],[SATIŞ]]=0,"Açık",(E27-D27)*C27)</f>
        <v>200</v>
      </c>
      <c r="G27" s="11">
        <f>Tablo1[[#This Row],[ADET]]*Tablo1[[#This Row],[ALIŞ]]</f>
        <v>4200</v>
      </c>
      <c r="H27" s="11">
        <f>Tablo1[[#This Row],[ADET]]*Tablo1[[#This Row],[SATIŞ]]</f>
        <v>4400</v>
      </c>
    </row>
    <row r="28" spans="2:8" ht="21" hidden="1" customHeight="1" x14ac:dyDescent="0.3">
      <c r="B28" s="2">
        <v>45343</v>
      </c>
      <c r="C28" s="6">
        <v>100</v>
      </c>
      <c r="D28" s="10">
        <v>43</v>
      </c>
      <c r="E28" s="10">
        <v>43.5</v>
      </c>
      <c r="F28" s="9">
        <f>IF(Tablo1[[#This Row],[SATIŞ]]=0,"Açık",(E28-D28)*C28)</f>
        <v>50</v>
      </c>
      <c r="G28" s="11">
        <f>Tablo1[[#This Row],[ADET]]*Tablo1[[#This Row],[ALIŞ]]</f>
        <v>4300</v>
      </c>
      <c r="H28" s="11">
        <f>Tablo1[[#This Row],[ADET]]*Tablo1[[#This Row],[SATIŞ]]</f>
        <v>4350</v>
      </c>
    </row>
    <row r="29" spans="2:8" ht="21" hidden="1" customHeight="1" x14ac:dyDescent="0.3">
      <c r="B29" s="2">
        <v>45344</v>
      </c>
      <c r="C29" s="6">
        <v>100</v>
      </c>
      <c r="D29" s="10">
        <v>42.7</v>
      </c>
      <c r="E29" s="10">
        <v>44</v>
      </c>
      <c r="F29" s="9">
        <f>IF(Tablo1[[#This Row],[SATIŞ]]=0,"Açık",(E29-D29)*C29)</f>
        <v>129.99999999999972</v>
      </c>
      <c r="G29" s="11">
        <f>Tablo1[[#This Row],[ADET]]*Tablo1[[#This Row],[ALIŞ]]</f>
        <v>4270</v>
      </c>
      <c r="H29" s="11">
        <f>Tablo1[[#This Row],[ADET]]*Tablo1[[#This Row],[SATIŞ]]</f>
        <v>4400</v>
      </c>
    </row>
    <row r="30" spans="2:8" ht="21" hidden="1" customHeight="1" x14ac:dyDescent="0.3">
      <c r="B30" s="2">
        <v>45348</v>
      </c>
      <c r="C30" s="6">
        <v>100</v>
      </c>
      <c r="D30" s="10">
        <v>42</v>
      </c>
      <c r="E30" s="10">
        <v>44.4</v>
      </c>
      <c r="F30" s="9">
        <f>IF(Tablo1[[#This Row],[SATIŞ]]=0,"Açık",(E30-D30)*C30)</f>
        <v>239.99999999999986</v>
      </c>
      <c r="G30" s="11">
        <f>Tablo1[[#This Row],[ADET]]*Tablo1[[#This Row],[ALIŞ]]</f>
        <v>4200</v>
      </c>
      <c r="H30" s="11">
        <f>Tablo1[[#This Row],[ADET]]*Tablo1[[#This Row],[SATIŞ]]</f>
        <v>4440</v>
      </c>
    </row>
    <row r="31" spans="2:8" ht="21" hidden="1" customHeight="1" x14ac:dyDescent="0.3">
      <c r="B31" s="2">
        <v>45350</v>
      </c>
      <c r="C31" s="6">
        <v>50</v>
      </c>
      <c r="D31" s="10">
        <v>41</v>
      </c>
      <c r="E31" s="10">
        <v>41.5</v>
      </c>
      <c r="F31" s="9">
        <f>IF(Tablo1[[#This Row],[SATIŞ]]=0,"Açık",(E31-D31)*C31)</f>
        <v>25</v>
      </c>
      <c r="G31" s="11">
        <f>Tablo1[[#This Row],[ADET]]*Tablo1[[#This Row],[ALIŞ]]</f>
        <v>2050</v>
      </c>
      <c r="H31" s="11">
        <f>Tablo1[[#This Row],[ADET]]*Tablo1[[#This Row],[SATIŞ]]</f>
        <v>2075</v>
      </c>
    </row>
    <row r="32" spans="2:8" ht="21" hidden="1" customHeight="1" x14ac:dyDescent="0.3">
      <c r="B32" s="2">
        <v>45355</v>
      </c>
      <c r="C32" s="6">
        <v>50</v>
      </c>
      <c r="D32" s="10">
        <v>40</v>
      </c>
      <c r="E32" s="10">
        <v>40.5</v>
      </c>
      <c r="F32" s="9">
        <f>IF(Tablo1[[#This Row],[SATIŞ]]=0,"Açık",(E32-D32)*C32)</f>
        <v>25</v>
      </c>
      <c r="G32" s="11">
        <f>Tablo1[[#This Row],[ADET]]*Tablo1[[#This Row],[ALIŞ]]</f>
        <v>2000</v>
      </c>
      <c r="H32" s="11">
        <f>Tablo1[[#This Row],[ADET]]*Tablo1[[#This Row],[SATIŞ]]</f>
        <v>2025</v>
      </c>
    </row>
    <row r="33" spans="2:10" ht="21" hidden="1" customHeight="1" x14ac:dyDescent="0.3">
      <c r="B33" s="2">
        <v>45356</v>
      </c>
      <c r="C33" s="6">
        <v>50</v>
      </c>
      <c r="D33" s="10">
        <v>38.799999999999997</v>
      </c>
      <c r="E33" s="10">
        <v>39.5</v>
      </c>
      <c r="F33" s="9">
        <f>IF(Tablo1[[#This Row],[SATIŞ]]=0,"Açık",(E33-D33)*C33)</f>
        <v>35.000000000000142</v>
      </c>
      <c r="G33" s="11">
        <f>Tablo1[[#This Row],[ADET]]*Tablo1[[#This Row],[ALIŞ]]</f>
        <v>1939.9999999999998</v>
      </c>
      <c r="H33" s="11">
        <f>Tablo1[[#This Row],[ADET]]*Tablo1[[#This Row],[SATIŞ]]</f>
        <v>1975</v>
      </c>
    </row>
    <row r="34" spans="2:10" ht="21" hidden="1" customHeight="1" x14ac:dyDescent="0.3">
      <c r="B34" s="2">
        <v>45362</v>
      </c>
      <c r="C34" s="6">
        <v>100</v>
      </c>
      <c r="D34" s="10">
        <v>44</v>
      </c>
      <c r="E34" s="10">
        <v>46</v>
      </c>
      <c r="F34" s="9">
        <f>IF(Tablo1[[#This Row],[SATIŞ]]=0,"Açık",(E34-D34)*C34)</f>
        <v>200</v>
      </c>
      <c r="G34" s="11">
        <f>Tablo1[[#This Row],[ADET]]*Tablo1[[#This Row],[ALIŞ]]</f>
        <v>4400</v>
      </c>
      <c r="H34" s="11">
        <f>Tablo1[[#This Row],[ADET]]*Tablo1[[#This Row],[SATIŞ]]</f>
        <v>4600</v>
      </c>
      <c r="J34" s="40" t="str">
        <f t="shared" ref="J34:J47" si="0">IF(E34=0,D34*1.05,"")</f>
        <v/>
      </c>
    </row>
    <row r="35" spans="2:10" ht="21" hidden="1" customHeight="1" x14ac:dyDescent="0.3">
      <c r="B35" s="2">
        <v>45362</v>
      </c>
      <c r="C35" s="6">
        <v>100</v>
      </c>
      <c r="D35" s="10">
        <v>43</v>
      </c>
      <c r="E35" s="10">
        <v>44</v>
      </c>
      <c r="F35" s="9">
        <f>IF(Tablo1[[#This Row],[SATIŞ]]=0,"Açık",(E35-D35)*C35)</f>
        <v>100</v>
      </c>
      <c r="G35" s="11">
        <f>Tablo1[[#This Row],[ADET]]*Tablo1[[#This Row],[ALIŞ]]</f>
        <v>4300</v>
      </c>
      <c r="H35" s="11">
        <f>Tablo1[[#This Row],[ADET]]*Tablo1[[#This Row],[SATIŞ]]</f>
        <v>4400</v>
      </c>
      <c r="J35" s="40" t="str">
        <f t="shared" si="0"/>
        <v/>
      </c>
    </row>
    <row r="36" spans="2:10" ht="21" hidden="1" customHeight="1" x14ac:dyDescent="0.3">
      <c r="B36" s="2">
        <v>45362</v>
      </c>
      <c r="C36" s="6">
        <v>100</v>
      </c>
      <c r="D36" s="10">
        <v>43</v>
      </c>
      <c r="E36" s="10">
        <v>46</v>
      </c>
      <c r="F36" s="9">
        <f>IF(Tablo1[[#This Row],[SATIŞ]]=0,"Açık",(E36-D36)*C36)</f>
        <v>300</v>
      </c>
      <c r="G36" s="11">
        <f>Tablo1[[#This Row],[ADET]]*Tablo1[[#This Row],[ALIŞ]]</f>
        <v>4300</v>
      </c>
      <c r="H36" s="11">
        <f>Tablo1[[#This Row],[ADET]]*Tablo1[[#This Row],[SATIŞ]]</f>
        <v>4600</v>
      </c>
      <c r="J36" s="40" t="str">
        <f t="shared" si="0"/>
        <v/>
      </c>
    </row>
    <row r="37" spans="2:10" ht="21" hidden="1" customHeight="1" x14ac:dyDescent="0.3">
      <c r="B37" s="2">
        <v>45364</v>
      </c>
      <c r="C37" s="6">
        <v>100</v>
      </c>
      <c r="D37" s="10">
        <v>42</v>
      </c>
      <c r="E37" s="10">
        <v>44</v>
      </c>
      <c r="F37" s="9">
        <f>IF(Tablo1[[#This Row],[SATIŞ]]=0,"Açık",(E37-D37)*C37)</f>
        <v>200</v>
      </c>
      <c r="G37" s="11">
        <f>Tablo1[[#This Row],[ADET]]*Tablo1[[#This Row],[ALIŞ]]</f>
        <v>4200</v>
      </c>
      <c r="H37" s="11">
        <f>Tablo1[[#This Row],[ADET]]*Tablo1[[#This Row],[SATIŞ]]</f>
        <v>4400</v>
      </c>
      <c r="J37" s="40" t="str">
        <f t="shared" si="0"/>
        <v/>
      </c>
    </row>
    <row r="38" spans="2:10" ht="21" hidden="1" customHeight="1" x14ac:dyDescent="0.3">
      <c r="B38" s="2">
        <v>45366</v>
      </c>
      <c r="C38" s="6">
        <v>100</v>
      </c>
      <c r="D38" s="10">
        <v>40</v>
      </c>
      <c r="E38" s="10">
        <v>42</v>
      </c>
      <c r="F38" s="9">
        <f>IF(Tablo1[[#This Row],[SATIŞ]]=0,"Açık",(E38-D38)*C38)</f>
        <v>200</v>
      </c>
      <c r="G38" s="11">
        <f>Tablo1[[#This Row],[ADET]]*Tablo1[[#This Row],[ALIŞ]]</f>
        <v>4000</v>
      </c>
      <c r="H38" s="11">
        <f>Tablo1[[#This Row],[ADET]]*Tablo1[[#This Row],[SATIŞ]]</f>
        <v>4200</v>
      </c>
      <c r="J38" s="40" t="str">
        <f t="shared" si="0"/>
        <v/>
      </c>
    </row>
    <row r="39" spans="2:10" ht="21" hidden="1" customHeight="1" x14ac:dyDescent="0.3">
      <c r="B39" s="2">
        <v>45371</v>
      </c>
      <c r="C39" s="6">
        <v>100</v>
      </c>
      <c r="D39" s="10">
        <v>41.9</v>
      </c>
      <c r="E39" s="10">
        <v>43.2</v>
      </c>
      <c r="F39" s="9">
        <f>IF(Tablo1[[#This Row],[SATIŞ]]=0,"Açık",(E39-D39)*C39)</f>
        <v>130.00000000000043</v>
      </c>
      <c r="G39" s="11">
        <f>Tablo1[[#This Row],[ADET]]*Tablo1[[#This Row],[ALIŞ]]</f>
        <v>4190</v>
      </c>
      <c r="H39" s="11">
        <f>Tablo1[[#This Row],[ADET]]*Tablo1[[#This Row],[SATIŞ]]</f>
        <v>4320</v>
      </c>
      <c r="J39" s="40" t="str">
        <f t="shared" si="0"/>
        <v/>
      </c>
    </row>
    <row r="40" spans="2:10" ht="21" hidden="1" customHeight="1" x14ac:dyDescent="0.3">
      <c r="B40" s="2">
        <v>45390</v>
      </c>
      <c r="C40" s="6">
        <v>100</v>
      </c>
      <c r="D40" s="10">
        <v>55.95</v>
      </c>
      <c r="E40" s="10">
        <v>58.5</v>
      </c>
      <c r="F40" s="9">
        <f>IF(Tablo1[[#This Row],[SATIŞ]]=0,"Açık",(E40-D40)*C40)</f>
        <v>254.99999999999972</v>
      </c>
      <c r="G40" s="11">
        <f>Tablo1[[#This Row],[ADET]]*Tablo1[[#This Row],[ALIŞ]]</f>
        <v>5595</v>
      </c>
      <c r="H40" s="11">
        <f>Tablo1[[#This Row],[ADET]]*Tablo1[[#This Row],[SATIŞ]]</f>
        <v>5850</v>
      </c>
      <c r="J40" s="40" t="str">
        <f t="shared" si="0"/>
        <v/>
      </c>
    </row>
    <row r="41" spans="2:10" ht="21" hidden="1" customHeight="1" x14ac:dyDescent="0.3">
      <c r="B41" s="2">
        <v>45390</v>
      </c>
      <c r="C41" s="6">
        <v>100</v>
      </c>
      <c r="D41" s="10">
        <v>55.8</v>
      </c>
      <c r="E41" s="10">
        <v>59</v>
      </c>
      <c r="F41" s="9">
        <f>IF(Tablo1[[#This Row],[SATIŞ]]=0,"Açık",(E41-D41)*C41)</f>
        <v>320.00000000000028</v>
      </c>
      <c r="G41" s="11">
        <f>Tablo1[[#This Row],[ADET]]*Tablo1[[#This Row],[ALIŞ]]</f>
        <v>5580</v>
      </c>
      <c r="H41" s="11">
        <f>Tablo1[[#This Row],[ADET]]*Tablo1[[#This Row],[SATIŞ]]</f>
        <v>5900</v>
      </c>
      <c r="J41" s="40" t="str">
        <f t="shared" si="0"/>
        <v/>
      </c>
    </row>
    <row r="42" spans="2:10" ht="21" hidden="1" customHeight="1" x14ac:dyDescent="0.3">
      <c r="B42" s="2">
        <v>45390</v>
      </c>
      <c r="C42" s="6">
        <v>200</v>
      </c>
      <c r="D42" s="10">
        <v>55.6</v>
      </c>
      <c r="E42" s="10">
        <v>57.5</v>
      </c>
      <c r="F42" s="9">
        <f>IF(Tablo1[[#This Row],[SATIŞ]]=0,"Açık",(E42-D42)*C42)</f>
        <v>379.99999999999972</v>
      </c>
      <c r="G42" s="11">
        <f>Tablo1[[#This Row],[ADET]]*Tablo1[[#This Row],[ALIŞ]]</f>
        <v>11120</v>
      </c>
      <c r="H42" s="11">
        <f>Tablo1[[#This Row],[ADET]]*Tablo1[[#This Row],[SATIŞ]]</f>
        <v>11500</v>
      </c>
      <c r="J42" s="40" t="str">
        <f t="shared" si="0"/>
        <v/>
      </c>
    </row>
    <row r="43" spans="2:10" ht="21" customHeight="1" x14ac:dyDescent="0.3">
      <c r="B43" s="2">
        <v>45398</v>
      </c>
      <c r="C43" s="6">
        <v>100</v>
      </c>
      <c r="D43" s="10">
        <v>56</v>
      </c>
      <c r="E43" s="10">
        <v>58</v>
      </c>
      <c r="F43" s="9">
        <f>IF(Tablo1[[#This Row],[SATIŞ]]=0,"Açık",(E43-D43)*C43)</f>
        <v>200</v>
      </c>
      <c r="G43" s="11">
        <f>Tablo1[[#This Row],[ADET]]*Tablo1[[#This Row],[ALIŞ]]</f>
        <v>5600</v>
      </c>
      <c r="H43" s="11">
        <f>Tablo1[[#This Row],[ADET]]*Tablo1[[#This Row],[SATIŞ]]</f>
        <v>5800</v>
      </c>
      <c r="J43" s="40" t="str">
        <f t="shared" si="0"/>
        <v/>
      </c>
    </row>
    <row r="44" spans="2:10" ht="21" customHeight="1" x14ac:dyDescent="0.3">
      <c r="B44" s="2">
        <v>45399</v>
      </c>
      <c r="C44" s="6">
        <v>100</v>
      </c>
      <c r="D44" s="10">
        <v>57</v>
      </c>
      <c r="E44" s="10">
        <v>58</v>
      </c>
      <c r="F44" s="9">
        <f>IF(Tablo1[[#This Row],[SATIŞ]]=0,"Açık",(E44-D44)*C44)</f>
        <v>100</v>
      </c>
      <c r="G44" s="11">
        <f>Tablo1[[#This Row],[ADET]]*Tablo1[[#This Row],[ALIŞ]]</f>
        <v>5700</v>
      </c>
      <c r="H44" s="11">
        <f>Tablo1[[#This Row],[ADET]]*Tablo1[[#This Row],[SATIŞ]]</f>
        <v>5800</v>
      </c>
      <c r="J44" s="40" t="str">
        <f t="shared" si="0"/>
        <v/>
      </c>
    </row>
    <row r="45" spans="2:10" ht="21" customHeight="1" x14ac:dyDescent="0.3">
      <c r="J45" s="40">
        <f t="shared" si="0"/>
        <v>0</v>
      </c>
    </row>
    <row r="46" spans="2:10" ht="21" customHeight="1" x14ac:dyDescent="0.3">
      <c r="J46" s="40">
        <f t="shared" si="0"/>
        <v>0</v>
      </c>
    </row>
    <row r="47" spans="2:10" ht="21" customHeight="1" x14ac:dyDescent="0.3">
      <c r="J47" s="40">
        <f t="shared" si="0"/>
        <v>0</v>
      </c>
    </row>
  </sheetData>
  <phoneticPr fontId="4" type="noConversion"/>
  <conditionalFormatting sqref="B4:F44">
    <cfRule type="expression" dxfId="203" priority="1">
      <formula>$F4&lt;0</formula>
    </cfRule>
    <cfRule type="expression" dxfId="202" priority="2">
      <formula>$F4="Açık"</formula>
    </cfRule>
    <cfRule type="expression" dxfId="201" priority="3">
      <formula>$F4&gt;0</formula>
    </cfRule>
  </conditionalFormatting>
  <hyperlinks>
    <hyperlink ref="B1" location="İcmal!A1" display="ANA SAYFA" xr:uid="{CF05FBE9-2478-4EC8-AE89-4841A238076D}"/>
  </hyperlink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5F532-63C1-46CB-860A-FF4883E2BE9A}">
  <sheetPr>
    <tabColor rgb="FF2FFF8D"/>
  </sheetPr>
  <dimension ref="B1:R48"/>
  <sheetViews>
    <sheetView showGridLines="0" showZeros="0" zoomScale="110" zoomScaleNormal="110" workbookViewId="0">
      <pane ySplit="3" topLeftCell="A4" activePane="bottomLeft" state="frozen"/>
      <selection pane="bottomLeft" activeCell="B17" sqref="B17"/>
    </sheetView>
  </sheetViews>
  <sheetFormatPr defaultRowHeight="21" customHeight="1" x14ac:dyDescent="0.3"/>
  <cols>
    <col min="2" max="2" width="20.6640625" style="1" customWidth="1"/>
    <col min="3" max="3" width="11.33203125" style="6" customWidth="1"/>
    <col min="4" max="5" width="12.88671875" style="3" customWidth="1"/>
    <col min="6" max="6" width="12.88671875" style="5" customWidth="1"/>
    <col min="7" max="8" width="11.6640625" bestFit="1" customWidth="1"/>
    <col min="10" max="12" width="12.44140625" customWidth="1"/>
    <col min="13" max="13" width="12.6640625" bestFit="1" customWidth="1"/>
    <col min="14" max="14" width="11.6640625" bestFit="1" customWidth="1"/>
  </cols>
  <sheetData>
    <row r="1" spans="2:18" ht="21" customHeight="1" x14ac:dyDescent="0.3">
      <c r="B1" s="12" t="s">
        <v>64</v>
      </c>
      <c r="C1" s="4">
        <f>SUMIF(Tablo14567891011121314151617181920212223242526272829303132333435363738394041424344454647596869[KAR],"Açık",Tablo14567891011121314151617181920212223242526272829303132333435363738394041424344454647596869[ADET])</f>
        <v>530</v>
      </c>
      <c r="D1" s="10">
        <f>+İcmal!E5</f>
        <v>114.7</v>
      </c>
      <c r="E1" s="10">
        <f>C1*D1</f>
        <v>60791</v>
      </c>
      <c r="F1" s="10">
        <f>IFERROR(((SUM(Tablo14567891011121314151617181920212223242526272829303132333435363738394041424344454647596869[ALIŞ TUTAR])-SUM(Tablo14567891011121314151617181920212223242526272829303132333435363738394041424344454647596869[SATIŞ TUTAR]))/C1),"")</f>
        <v>137.48113207547169</v>
      </c>
      <c r="G1" s="10">
        <f>IF(M3=0,L3,C1*(D1-F1))</f>
        <v>-12073.999999999995</v>
      </c>
      <c r="J1" s="45" t="s">
        <v>94</v>
      </c>
      <c r="K1" s="45" t="s">
        <v>95</v>
      </c>
      <c r="L1" s="45" t="s">
        <v>96</v>
      </c>
      <c r="M1" s="33">
        <f>F1</f>
        <v>137.48113207547169</v>
      </c>
      <c r="N1" s="8" t="e">
        <f>M1*(1+$J$1)</f>
        <v>#VALUE!</v>
      </c>
      <c r="P1" s="8" t="e">
        <f>Q1*(1-$J$1)</f>
        <v>#VALUE!</v>
      </c>
      <c r="Q1" s="33">
        <f>+D1</f>
        <v>114.7</v>
      </c>
      <c r="R1" s="8" t="e">
        <f>Q1*(1+$J$1)</f>
        <v>#VALUE!</v>
      </c>
    </row>
    <row r="2" spans="2:18" ht="21" customHeight="1" x14ac:dyDescent="0.3">
      <c r="B2" s="7" t="s">
        <v>129</v>
      </c>
      <c r="J2" s="45">
        <f>SUMIFS(Tablo2[HEDEF2],Tablo2[HİSSE],B2)</f>
        <v>1000</v>
      </c>
      <c r="K2" s="45">
        <f>+E1/İcmal!$P$2</f>
        <v>1868.76729173071</v>
      </c>
      <c r="L2" s="45">
        <f>+J2-K2</f>
        <v>-868.76729173070999</v>
      </c>
    </row>
    <row r="3" spans="2:18" ht="21" customHeight="1" x14ac:dyDescent="0.3">
      <c r="B3" s="1" t="s">
        <v>0</v>
      </c>
      <c r="C3" s="6" t="s">
        <v>4</v>
      </c>
      <c r="D3" s="3" t="s">
        <v>1</v>
      </c>
      <c r="E3" s="3" t="s">
        <v>3</v>
      </c>
      <c r="F3" s="5" t="s">
        <v>2</v>
      </c>
      <c r="G3" s="3" t="s">
        <v>8</v>
      </c>
      <c r="H3" s="3" t="s">
        <v>9</v>
      </c>
      <c r="L3" s="33">
        <f>SUM(Tablo14567891011121314151617181920212223242526272829303132333435363738394041424344454647596869[KAR])</f>
        <v>48.999999999999773</v>
      </c>
      <c r="M3" s="37">
        <f>C1</f>
        <v>530</v>
      </c>
    </row>
    <row r="4" spans="2:18" ht="21" customHeight="1" x14ac:dyDescent="0.3">
      <c r="B4" s="2">
        <v>45390</v>
      </c>
      <c r="C4" s="6">
        <v>100</v>
      </c>
      <c r="D4" s="10">
        <v>142.5</v>
      </c>
      <c r="E4" s="10"/>
      <c r="F4" s="9" t="str">
        <f>IF(Tablo14567891011121314151617181920212223242526272829303132333435363738394041424344454647596869[[#This Row],[SATIŞ]]=0,"Açık",(E4-D4)*C4)</f>
        <v>Açık</v>
      </c>
      <c r="G4" s="11">
        <f>Tablo14567891011121314151617181920212223242526272829303132333435363738394041424344454647596869[[#This Row],[ADET]]*Tablo14567891011121314151617181920212223242526272829303132333435363738394041424344454647596869[[#This Row],[ALIŞ]]</f>
        <v>14250</v>
      </c>
      <c r="H4" s="11">
        <f>Tablo14567891011121314151617181920212223242526272829303132333435363738394041424344454647596869[[#This Row],[ADET]]*Tablo14567891011121314151617181920212223242526272829303132333435363738394041424344454647596869[[#This Row],[SATIŞ]]</f>
        <v>0</v>
      </c>
      <c r="L4" s="8">
        <f>SUM(Tablo14567891011121314151617181920212223242526272829303132333435363738394041424344454647596869[ALIŞ TUTAR])</f>
        <v>76895</v>
      </c>
      <c r="M4" s="8">
        <f>SUM(Tablo14567891011121314151617181920212223242526272829303132333435363738394041424344454647596869[SATIŞ TUTAR])</f>
        <v>4030</v>
      </c>
      <c r="N4" s="8">
        <f>L4-M4</f>
        <v>72865</v>
      </c>
    </row>
    <row r="5" spans="2:18" ht="21" customHeight="1" x14ac:dyDescent="0.3">
      <c r="B5" s="2">
        <v>45390</v>
      </c>
      <c r="C5" s="6">
        <v>100</v>
      </c>
      <c r="D5" s="10">
        <v>142</v>
      </c>
      <c r="E5" s="10"/>
      <c r="F5" s="9" t="str">
        <f>IF(Tablo14567891011121314151617181920212223242526272829303132333435363738394041424344454647596869[[#This Row],[SATIŞ]]=0,"Açık",(E5-D5)*C5)</f>
        <v>Açık</v>
      </c>
      <c r="G5" s="11">
        <f>Tablo14567891011121314151617181920212223242526272829303132333435363738394041424344454647596869[[#This Row],[ADET]]*Tablo14567891011121314151617181920212223242526272829303132333435363738394041424344454647596869[[#This Row],[ALIŞ]]</f>
        <v>14200</v>
      </c>
      <c r="H5" s="11">
        <f>Tablo14567891011121314151617181920212223242526272829303132333435363738394041424344454647596869[[#This Row],[ADET]]*Tablo14567891011121314151617181920212223242526272829303132333435363738394041424344454647596869[[#This Row],[SATIŞ]]</f>
        <v>0</v>
      </c>
      <c r="N5">
        <f>+N4/80</f>
        <v>910.8125</v>
      </c>
    </row>
    <row r="6" spans="2:18" ht="21" customHeight="1" x14ac:dyDescent="0.3">
      <c r="B6" s="2">
        <v>45391</v>
      </c>
      <c r="C6" s="6">
        <v>100</v>
      </c>
      <c r="D6" s="10">
        <v>141</v>
      </c>
      <c r="E6" s="10"/>
      <c r="F6" s="9" t="str">
        <f>IF(Tablo14567891011121314151617181920212223242526272829303132333435363738394041424344454647596869[[#This Row],[SATIŞ]]=0,"Açık",(E6-D6)*C6)</f>
        <v>Açık</v>
      </c>
      <c r="G6" s="11">
        <f>Tablo14567891011121314151617181920212223242526272829303132333435363738394041424344454647596869[[#This Row],[ADET]]*Tablo14567891011121314151617181920212223242526272829303132333435363738394041424344454647596869[[#This Row],[ALIŞ]]</f>
        <v>14100</v>
      </c>
      <c r="H6" s="11">
        <f>Tablo14567891011121314151617181920212223242526272829303132333435363738394041424344454647596869[[#This Row],[ADET]]*Tablo14567891011121314151617181920212223242526272829303132333435363738394041424344454647596869[[#This Row],[SATIŞ]]</f>
        <v>0</v>
      </c>
    </row>
    <row r="7" spans="2:18" ht="21" customHeight="1" x14ac:dyDescent="0.3">
      <c r="B7" s="2">
        <v>45397</v>
      </c>
      <c r="C7" s="6">
        <v>100</v>
      </c>
      <c r="D7" s="10">
        <v>140</v>
      </c>
      <c r="E7" s="10"/>
      <c r="F7" s="9" t="str">
        <f>IF(Tablo14567891011121314151617181920212223242526272829303132333435363738394041424344454647596869[[#This Row],[SATIŞ]]=0,"Açık",(E7-D7)*C7)</f>
        <v>Açık</v>
      </c>
      <c r="G7" s="11">
        <f>Tablo14567891011121314151617181920212223242526272829303132333435363738394041424344454647596869[[#This Row],[ADET]]*Tablo14567891011121314151617181920212223242526272829303132333435363738394041424344454647596869[[#This Row],[ALIŞ]]</f>
        <v>14000</v>
      </c>
      <c r="H7" s="11">
        <f>Tablo14567891011121314151617181920212223242526272829303132333435363738394041424344454647596869[[#This Row],[ADET]]*Tablo14567891011121314151617181920212223242526272829303132333435363738394041424344454647596869[[#This Row],[SATIŞ]]</f>
        <v>0</v>
      </c>
      <c r="J7" s="40">
        <f t="shared" ref="J7:J44" si="0">IF(E7=0,D7*1.05,"")</f>
        <v>147</v>
      </c>
    </row>
    <row r="8" spans="2:18" ht="21" customHeight="1" x14ac:dyDescent="0.3">
      <c r="B8" s="2">
        <v>45398</v>
      </c>
      <c r="C8" s="6">
        <v>10</v>
      </c>
      <c r="D8" s="10">
        <v>139.5</v>
      </c>
      <c r="E8" s="10"/>
      <c r="F8" s="9" t="str">
        <f>IF(Tablo14567891011121314151617181920212223242526272829303132333435363738394041424344454647596869[[#This Row],[SATIŞ]]=0,"Açık",(E8-D8)*C8)</f>
        <v>Açık</v>
      </c>
      <c r="G8" s="11">
        <f>Tablo14567891011121314151617181920212223242526272829303132333435363738394041424344454647596869[[#This Row],[ADET]]*Tablo14567891011121314151617181920212223242526272829303132333435363738394041424344454647596869[[#This Row],[ALIŞ]]</f>
        <v>1395</v>
      </c>
      <c r="H8" s="11">
        <f>Tablo14567891011121314151617181920212223242526272829303132333435363738394041424344454647596869[[#This Row],[ADET]]*Tablo14567891011121314151617181920212223242526272829303132333435363738394041424344454647596869[[#This Row],[SATIŞ]]</f>
        <v>0</v>
      </c>
      <c r="J8" s="40">
        <f t="shared" si="0"/>
        <v>146.47499999999999</v>
      </c>
    </row>
    <row r="9" spans="2:18" ht="21" customHeight="1" x14ac:dyDescent="0.3">
      <c r="B9" s="2">
        <v>45398</v>
      </c>
      <c r="C9" s="6">
        <v>10</v>
      </c>
      <c r="D9" s="10">
        <v>139</v>
      </c>
      <c r="E9" s="10"/>
      <c r="F9" s="9" t="str">
        <f>IF(Tablo14567891011121314151617181920212223242526272829303132333435363738394041424344454647596869[[#This Row],[SATIŞ]]=0,"Açık",(E9-D9)*C9)</f>
        <v>Açık</v>
      </c>
      <c r="G9" s="11">
        <f>Tablo14567891011121314151617181920212223242526272829303132333435363738394041424344454647596869[[#This Row],[ADET]]*Tablo14567891011121314151617181920212223242526272829303132333435363738394041424344454647596869[[#This Row],[ALIŞ]]</f>
        <v>1390</v>
      </c>
      <c r="H9" s="11">
        <f>Tablo14567891011121314151617181920212223242526272829303132333435363738394041424344454647596869[[#This Row],[ADET]]*Tablo14567891011121314151617181920212223242526272829303132333435363738394041424344454647596869[[#This Row],[SATIŞ]]</f>
        <v>0</v>
      </c>
      <c r="J9" s="40">
        <f t="shared" si="0"/>
        <v>145.95000000000002</v>
      </c>
    </row>
    <row r="10" spans="2:18" ht="21" hidden="1" customHeight="1" x14ac:dyDescent="0.3">
      <c r="B10" s="2">
        <v>45398</v>
      </c>
      <c r="C10" s="6">
        <v>10</v>
      </c>
      <c r="D10" s="10">
        <v>138.5</v>
      </c>
      <c r="E10" s="10">
        <v>140</v>
      </c>
      <c r="F10" s="9">
        <f>IF(Tablo14567891011121314151617181920212223242526272829303132333435363738394041424344454647596869[[#This Row],[SATIŞ]]=0,"Açık",(E10-D10)*C10)</f>
        <v>15</v>
      </c>
      <c r="G10" s="11">
        <f>Tablo14567891011121314151617181920212223242526272829303132333435363738394041424344454647596869[[#This Row],[ADET]]*Tablo14567891011121314151617181920212223242526272829303132333435363738394041424344454647596869[[#This Row],[ALIŞ]]</f>
        <v>1385</v>
      </c>
      <c r="H10" s="11">
        <f>Tablo14567891011121314151617181920212223242526272829303132333435363738394041424344454647596869[[#This Row],[ADET]]*Tablo14567891011121314151617181920212223242526272829303132333435363738394041424344454647596869[[#This Row],[SATIŞ]]</f>
        <v>1400</v>
      </c>
      <c r="J10" s="40" t="str">
        <f t="shared" si="0"/>
        <v/>
      </c>
    </row>
    <row r="11" spans="2:18" ht="21" customHeight="1" x14ac:dyDescent="0.3">
      <c r="B11" s="2">
        <v>45400</v>
      </c>
      <c r="C11" s="6">
        <v>10</v>
      </c>
      <c r="D11" s="10">
        <v>131</v>
      </c>
      <c r="E11" s="10"/>
      <c r="F11" s="9" t="str">
        <f>IF(Tablo14567891011121314151617181920212223242526272829303132333435363738394041424344454647596869[[#This Row],[SATIŞ]]=0,"Açık",(E11-D11)*C11)</f>
        <v>Açık</v>
      </c>
      <c r="G11" s="11">
        <f>Tablo14567891011121314151617181920212223242526272829303132333435363738394041424344454647596869[[#This Row],[ADET]]*Tablo14567891011121314151617181920212223242526272829303132333435363738394041424344454647596869[[#This Row],[ALIŞ]]</f>
        <v>1310</v>
      </c>
      <c r="H11" s="11">
        <f>Tablo14567891011121314151617181920212223242526272829303132333435363738394041424344454647596869[[#This Row],[ADET]]*Tablo14567891011121314151617181920212223242526272829303132333435363738394041424344454647596869[[#This Row],[SATIŞ]]</f>
        <v>0</v>
      </c>
      <c r="J11" s="40">
        <f t="shared" si="0"/>
        <v>137.55000000000001</v>
      </c>
    </row>
    <row r="12" spans="2:18" ht="21" customHeight="1" x14ac:dyDescent="0.3">
      <c r="B12" s="2">
        <v>45400</v>
      </c>
      <c r="C12" s="6">
        <v>20</v>
      </c>
      <c r="D12" s="10">
        <v>130</v>
      </c>
      <c r="E12" s="10"/>
      <c r="F12" s="9" t="str">
        <f>IF(Tablo14567891011121314151617181920212223242526272829303132333435363738394041424344454647596869[[#This Row],[SATIŞ]]=0,"Açık",(E12-D12)*C12)</f>
        <v>Açık</v>
      </c>
      <c r="G12" s="11">
        <f>Tablo14567891011121314151617181920212223242526272829303132333435363738394041424344454647596869[[#This Row],[ADET]]*Tablo14567891011121314151617181920212223242526272829303132333435363738394041424344454647596869[[#This Row],[ALIŞ]]</f>
        <v>2600</v>
      </c>
      <c r="H12" s="11">
        <f>Tablo14567891011121314151617181920212223242526272829303132333435363738394041424344454647596869[[#This Row],[ADET]]*Tablo14567891011121314151617181920212223242526272829303132333435363738394041424344454647596869[[#This Row],[SATIŞ]]</f>
        <v>0</v>
      </c>
      <c r="J12" s="40">
        <f t="shared" si="0"/>
        <v>136.5</v>
      </c>
    </row>
    <row r="13" spans="2:18" ht="21" hidden="1" customHeight="1" x14ac:dyDescent="0.3">
      <c r="B13" s="2">
        <v>45400</v>
      </c>
      <c r="C13" s="6">
        <v>10</v>
      </c>
      <c r="D13" s="10">
        <v>129.80000000000001</v>
      </c>
      <c r="E13" s="10">
        <v>131</v>
      </c>
      <c r="F13" s="9">
        <f>IF(Tablo14567891011121314151617181920212223242526272829303132333435363738394041424344454647596869[[#This Row],[SATIŞ]]=0,"Açık",(E13-D13)*C13)</f>
        <v>11.999999999999886</v>
      </c>
      <c r="G13" s="11">
        <f>Tablo14567891011121314151617181920212223242526272829303132333435363738394041424344454647596869[[#This Row],[ADET]]*Tablo14567891011121314151617181920212223242526272829303132333435363738394041424344454647596869[[#This Row],[ALIŞ]]</f>
        <v>1298</v>
      </c>
      <c r="H13" s="11">
        <f>Tablo14567891011121314151617181920212223242526272829303132333435363738394041424344454647596869[[#This Row],[ADET]]*Tablo14567891011121314151617181920212223242526272829303132333435363738394041424344454647596869[[#This Row],[SATIŞ]]</f>
        <v>1310</v>
      </c>
      <c r="J13" s="40" t="str">
        <f t="shared" si="0"/>
        <v/>
      </c>
    </row>
    <row r="14" spans="2:18" ht="21" hidden="1" customHeight="1" x14ac:dyDescent="0.3">
      <c r="B14" s="2">
        <v>45400</v>
      </c>
      <c r="C14" s="6">
        <v>10</v>
      </c>
      <c r="D14" s="10">
        <v>129.80000000000001</v>
      </c>
      <c r="E14" s="10">
        <v>132</v>
      </c>
      <c r="F14" s="9">
        <f>IF(Tablo14567891011121314151617181920212223242526272829303132333435363738394041424344454647596869[[#This Row],[SATIŞ]]=0,"Açık",(E14-D14)*C14)</f>
        <v>21.999999999999886</v>
      </c>
      <c r="G14" s="11">
        <f>Tablo14567891011121314151617181920212223242526272829303132333435363738394041424344454647596869[[#This Row],[ADET]]*Tablo14567891011121314151617181920212223242526272829303132333435363738394041424344454647596869[[#This Row],[ALIŞ]]</f>
        <v>1298</v>
      </c>
      <c r="H14" s="11">
        <f>Tablo14567891011121314151617181920212223242526272829303132333435363738394041424344454647596869[[#This Row],[ADET]]*Tablo14567891011121314151617181920212223242526272829303132333435363738394041424344454647596869[[#This Row],[SATIŞ]]</f>
        <v>1320</v>
      </c>
      <c r="J14" s="40" t="str">
        <f t="shared" si="0"/>
        <v/>
      </c>
    </row>
    <row r="15" spans="2:18" ht="21" customHeight="1" x14ac:dyDescent="0.3">
      <c r="B15" s="2">
        <v>45400</v>
      </c>
      <c r="C15" s="6">
        <v>30</v>
      </c>
      <c r="D15" s="10">
        <v>129.80000000000001</v>
      </c>
      <c r="E15" s="10"/>
      <c r="F15" s="9" t="str">
        <f>IF(Tablo14567891011121314151617181920212223242526272829303132333435363738394041424344454647596869[[#This Row],[SATIŞ]]=0,"Açık",(E15-D15)*C15)</f>
        <v>Açık</v>
      </c>
      <c r="G15" s="11">
        <f>Tablo14567891011121314151617181920212223242526272829303132333435363738394041424344454647596869[[#This Row],[ADET]]*Tablo14567891011121314151617181920212223242526272829303132333435363738394041424344454647596869[[#This Row],[ALIŞ]]</f>
        <v>3894.0000000000005</v>
      </c>
      <c r="H15" s="11">
        <f>Tablo14567891011121314151617181920212223242526272829303132333435363738394041424344454647596869[[#This Row],[ADET]]*Tablo14567891011121314151617181920212223242526272829303132333435363738394041424344454647596869[[#This Row],[SATIŞ]]</f>
        <v>0</v>
      </c>
      <c r="J15" s="40">
        <f t="shared" si="0"/>
        <v>136.29000000000002</v>
      </c>
    </row>
    <row r="16" spans="2:18" ht="21" customHeight="1" x14ac:dyDescent="0.3">
      <c r="B16" s="2">
        <v>45404</v>
      </c>
      <c r="C16" s="6">
        <v>50</v>
      </c>
      <c r="D16" s="10">
        <v>115.5</v>
      </c>
      <c r="E16" s="10"/>
      <c r="F16" s="9" t="str">
        <f>IF(Tablo14567891011121314151617181920212223242526272829303132333435363738394041424344454647596869[[#This Row],[SATIŞ]]=0,"Açık",(E16-D16)*C16)</f>
        <v>Açık</v>
      </c>
      <c r="G16" s="11">
        <f>Tablo14567891011121314151617181920212223242526272829303132333435363738394041424344454647596869[[#This Row],[ADET]]*Tablo14567891011121314151617181920212223242526272829303132333435363738394041424344454647596869[[#This Row],[ALIŞ]]</f>
        <v>5775</v>
      </c>
      <c r="H16" s="11">
        <f>Tablo14567891011121314151617181920212223242526272829303132333435363738394041424344454647596869[[#This Row],[ADET]]*Tablo14567891011121314151617181920212223242526272829303132333435363738394041424344454647596869[[#This Row],[SATIŞ]]</f>
        <v>0</v>
      </c>
      <c r="J16" s="40">
        <f t="shared" si="0"/>
        <v>121.27500000000001</v>
      </c>
    </row>
    <row r="17" spans="2:10" ht="21" customHeight="1" x14ac:dyDescent="0.3">
      <c r="B17" s="2"/>
      <c r="D17" s="10"/>
      <c r="E17" s="10"/>
      <c r="F17" s="9" t="str">
        <f>IF(Tablo14567891011121314151617181920212223242526272829303132333435363738394041424344454647596869[[#This Row],[SATIŞ]]=0,"Açık",(E17-D17)*C17)</f>
        <v>Açık</v>
      </c>
      <c r="G17" s="11">
        <f>Tablo14567891011121314151617181920212223242526272829303132333435363738394041424344454647596869[[#This Row],[ADET]]*Tablo14567891011121314151617181920212223242526272829303132333435363738394041424344454647596869[[#This Row],[ALIŞ]]</f>
        <v>0</v>
      </c>
      <c r="H17" s="11">
        <f>Tablo14567891011121314151617181920212223242526272829303132333435363738394041424344454647596869[[#This Row],[ADET]]*Tablo14567891011121314151617181920212223242526272829303132333435363738394041424344454647596869[[#This Row],[SATIŞ]]</f>
        <v>0</v>
      </c>
      <c r="J17" s="40">
        <f t="shared" si="0"/>
        <v>0</v>
      </c>
    </row>
    <row r="18" spans="2:10" ht="21" customHeight="1" x14ac:dyDescent="0.3">
      <c r="B18" s="2"/>
      <c r="D18" s="10"/>
      <c r="E18" s="10"/>
      <c r="F18" s="9" t="str">
        <f>IF(Tablo14567891011121314151617181920212223242526272829303132333435363738394041424344454647596869[[#This Row],[SATIŞ]]=0,"Açık",(E18-D18)*C18)</f>
        <v>Açık</v>
      </c>
      <c r="G18" s="11">
        <f>Tablo14567891011121314151617181920212223242526272829303132333435363738394041424344454647596869[[#This Row],[ADET]]*Tablo14567891011121314151617181920212223242526272829303132333435363738394041424344454647596869[[#This Row],[ALIŞ]]</f>
        <v>0</v>
      </c>
      <c r="H18" s="11">
        <f>Tablo14567891011121314151617181920212223242526272829303132333435363738394041424344454647596869[[#This Row],[ADET]]*Tablo14567891011121314151617181920212223242526272829303132333435363738394041424344454647596869[[#This Row],[SATIŞ]]</f>
        <v>0</v>
      </c>
      <c r="J18" s="40">
        <f t="shared" si="0"/>
        <v>0</v>
      </c>
    </row>
    <row r="19" spans="2:10" ht="21" customHeight="1" x14ac:dyDescent="0.3">
      <c r="B19" s="2"/>
      <c r="D19" s="10"/>
      <c r="E19" s="10"/>
      <c r="F19" s="9" t="str">
        <f>IF(Tablo14567891011121314151617181920212223242526272829303132333435363738394041424344454647596869[[#This Row],[SATIŞ]]=0,"Açık",(E19-D19)*C19)</f>
        <v>Açık</v>
      </c>
      <c r="G19" s="11">
        <f>Tablo14567891011121314151617181920212223242526272829303132333435363738394041424344454647596869[[#This Row],[ADET]]*Tablo14567891011121314151617181920212223242526272829303132333435363738394041424344454647596869[[#This Row],[ALIŞ]]</f>
        <v>0</v>
      </c>
      <c r="H19" s="11">
        <f>Tablo14567891011121314151617181920212223242526272829303132333435363738394041424344454647596869[[#This Row],[ADET]]*Tablo14567891011121314151617181920212223242526272829303132333435363738394041424344454647596869[[#This Row],[SATIŞ]]</f>
        <v>0</v>
      </c>
      <c r="J19" s="40">
        <f t="shared" si="0"/>
        <v>0</v>
      </c>
    </row>
    <row r="20" spans="2:10" ht="21" customHeight="1" x14ac:dyDescent="0.3">
      <c r="B20" s="2"/>
      <c r="D20" s="10"/>
      <c r="E20" s="10"/>
      <c r="F20" s="9" t="str">
        <f>IF(Tablo14567891011121314151617181920212223242526272829303132333435363738394041424344454647596869[[#This Row],[SATIŞ]]=0,"Açık",(E20-D20)*C20)</f>
        <v>Açık</v>
      </c>
      <c r="G20" s="11">
        <f>Tablo14567891011121314151617181920212223242526272829303132333435363738394041424344454647596869[[#This Row],[ADET]]*Tablo14567891011121314151617181920212223242526272829303132333435363738394041424344454647596869[[#This Row],[ALIŞ]]</f>
        <v>0</v>
      </c>
      <c r="H20" s="11">
        <f>Tablo14567891011121314151617181920212223242526272829303132333435363738394041424344454647596869[[#This Row],[ADET]]*Tablo14567891011121314151617181920212223242526272829303132333435363738394041424344454647596869[[#This Row],[SATIŞ]]</f>
        <v>0</v>
      </c>
      <c r="J20" s="40">
        <f t="shared" si="0"/>
        <v>0</v>
      </c>
    </row>
    <row r="21" spans="2:10" ht="21" customHeight="1" x14ac:dyDescent="0.3">
      <c r="B21" s="2"/>
      <c r="D21" s="10"/>
      <c r="E21" s="10"/>
      <c r="F21" s="9" t="str">
        <f>IF(Tablo14567891011121314151617181920212223242526272829303132333435363738394041424344454647596869[[#This Row],[SATIŞ]]=0,"Açık",(E21-D21)*C21)</f>
        <v>Açık</v>
      </c>
      <c r="G21" s="11">
        <f>Tablo14567891011121314151617181920212223242526272829303132333435363738394041424344454647596869[[#This Row],[ADET]]*Tablo14567891011121314151617181920212223242526272829303132333435363738394041424344454647596869[[#This Row],[ALIŞ]]</f>
        <v>0</v>
      </c>
      <c r="H21" s="11">
        <f>Tablo14567891011121314151617181920212223242526272829303132333435363738394041424344454647596869[[#This Row],[ADET]]*Tablo14567891011121314151617181920212223242526272829303132333435363738394041424344454647596869[[#This Row],[SATIŞ]]</f>
        <v>0</v>
      </c>
      <c r="J21" s="40">
        <f t="shared" si="0"/>
        <v>0</v>
      </c>
    </row>
    <row r="22" spans="2:10" ht="21" customHeight="1" x14ac:dyDescent="0.3">
      <c r="B22" s="2"/>
      <c r="D22" s="10"/>
      <c r="E22" s="10"/>
      <c r="F22" s="9" t="str">
        <f>IF(Tablo14567891011121314151617181920212223242526272829303132333435363738394041424344454647596869[[#This Row],[SATIŞ]]=0,"Açık",(E22-D22)*C22)</f>
        <v>Açık</v>
      </c>
      <c r="G22" s="11">
        <f>Tablo14567891011121314151617181920212223242526272829303132333435363738394041424344454647596869[[#This Row],[ADET]]*Tablo14567891011121314151617181920212223242526272829303132333435363738394041424344454647596869[[#This Row],[ALIŞ]]</f>
        <v>0</v>
      </c>
      <c r="H22" s="11">
        <f>Tablo14567891011121314151617181920212223242526272829303132333435363738394041424344454647596869[[#This Row],[ADET]]*Tablo14567891011121314151617181920212223242526272829303132333435363738394041424344454647596869[[#This Row],[SATIŞ]]</f>
        <v>0</v>
      </c>
      <c r="J22" s="40">
        <f t="shared" si="0"/>
        <v>0</v>
      </c>
    </row>
    <row r="23" spans="2:10" ht="21" customHeight="1" x14ac:dyDescent="0.3">
      <c r="B23" s="2"/>
      <c r="D23" s="10"/>
      <c r="E23" s="10"/>
      <c r="F23" s="9" t="str">
        <f>IF(Tablo14567891011121314151617181920212223242526272829303132333435363738394041424344454647596869[[#This Row],[SATIŞ]]=0,"Açık",(E23-D23)*C23)</f>
        <v>Açık</v>
      </c>
      <c r="G23" s="11">
        <f>Tablo14567891011121314151617181920212223242526272829303132333435363738394041424344454647596869[[#This Row],[ADET]]*Tablo14567891011121314151617181920212223242526272829303132333435363738394041424344454647596869[[#This Row],[ALIŞ]]</f>
        <v>0</v>
      </c>
      <c r="H23" s="11">
        <f>Tablo14567891011121314151617181920212223242526272829303132333435363738394041424344454647596869[[#This Row],[ADET]]*Tablo14567891011121314151617181920212223242526272829303132333435363738394041424344454647596869[[#This Row],[SATIŞ]]</f>
        <v>0</v>
      </c>
      <c r="J23" s="40">
        <f t="shared" si="0"/>
        <v>0</v>
      </c>
    </row>
    <row r="24" spans="2:10" ht="21" customHeight="1" x14ac:dyDescent="0.3">
      <c r="B24" s="2"/>
      <c r="D24" s="10"/>
      <c r="E24" s="10"/>
      <c r="F24" s="9" t="str">
        <f>IF(Tablo14567891011121314151617181920212223242526272829303132333435363738394041424344454647596869[[#This Row],[SATIŞ]]=0,"Açık",(E24-D24)*C24)</f>
        <v>Açık</v>
      </c>
      <c r="G24" s="11">
        <f>Tablo14567891011121314151617181920212223242526272829303132333435363738394041424344454647596869[[#This Row],[ADET]]*Tablo14567891011121314151617181920212223242526272829303132333435363738394041424344454647596869[[#This Row],[ALIŞ]]</f>
        <v>0</v>
      </c>
      <c r="H24" s="11">
        <f>Tablo14567891011121314151617181920212223242526272829303132333435363738394041424344454647596869[[#This Row],[ADET]]*Tablo14567891011121314151617181920212223242526272829303132333435363738394041424344454647596869[[#This Row],[SATIŞ]]</f>
        <v>0</v>
      </c>
      <c r="J24" s="40">
        <f t="shared" si="0"/>
        <v>0</v>
      </c>
    </row>
    <row r="25" spans="2:10" ht="21" customHeight="1" x14ac:dyDescent="0.3">
      <c r="B25" s="2"/>
      <c r="D25" s="10"/>
      <c r="E25" s="10"/>
      <c r="F25" s="9" t="str">
        <f>IF(Tablo14567891011121314151617181920212223242526272829303132333435363738394041424344454647596869[[#This Row],[SATIŞ]]=0,"Açık",(E25-D25)*C25)</f>
        <v>Açık</v>
      </c>
      <c r="G25" s="11">
        <f>Tablo14567891011121314151617181920212223242526272829303132333435363738394041424344454647596869[[#This Row],[ADET]]*Tablo14567891011121314151617181920212223242526272829303132333435363738394041424344454647596869[[#This Row],[ALIŞ]]</f>
        <v>0</v>
      </c>
      <c r="H25" s="11">
        <f>Tablo14567891011121314151617181920212223242526272829303132333435363738394041424344454647596869[[#This Row],[ADET]]*Tablo14567891011121314151617181920212223242526272829303132333435363738394041424344454647596869[[#This Row],[SATIŞ]]</f>
        <v>0</v>
      </c>
      <c r="J25" s="40">
        <f t="shared" si="0"/>
        <v>0</v>
      </c>
    </row>
    <row r="26" spans="2:10" ht="21" customHeight="1" x14ac:dyDescent="0.3">
      <c r="B26" s="2"/>
      <c r="D26" s="10"/>
      <c r="E26" s="10"/>
      <c r="F26" s="9" t="str">
        <f>IF(Tablo14567891011121314151617181920212223242526272829303132333435363738394041424344454647596869[[#This Row],[SATIŞ]]=0,"Açık",(E26-D26)*C26)</f>
        <v>Açık</v>
      </c>
      <c r="G26" s="11">
        <f>Tablo14567891011121314151617181920212223242526272829303132333435363738394041424344454647596869[[#This Row],[ADET]]*Tablo14567891011121314151617181920212223242526272829303132333435363738394041424344454647596869[[#This Row],[ALIŞ]]</f>
        <v>0</v>
      </c>
      <c r="H26" s="11">
        <f>Tablo14567891011121314151617181920212223242526272829303132333435363738394041424344454647596869[[#This Row],[ADET]]*Tablo14567891011121314151617181920212223242526272829303132333435363738394041424344454647596869[[#This Row],[SATIŞ]]</f>
        <v>0</v>
      </c>
      <c r="J26" s="40">
        <f t="shared" si="0"/>
        <v>0</v>
      </c>
    </row>
    <row r="27" spans="2:10" ht="21" customHeight="1" x14ac:dyDescent="0.3">
      <c r="B27" s="2"/>
      <c r="D27" s="10"/>
      <c r="E27" s="10"/>
      <c r="F27" s="9" t="str">
        <f>IF(Tablo14567891011121314151617181920212223242526272829303132333435363738394041424344454647596869[[#This Row],[SATIŞ]]=0,"Açık",(E27-D27)*C27)</f>
        <v>Açık</v>
      </c>
      <c r="G27" s="11">
        <f>Tablo14567891011121314151617181920212223242526272829303132333435363738394041424344454647596869[[#This Row],[ADET]]*Tablo14567891011121314151617181920212223242526272829303132333435363738394041424344454647596869[[#This Row],[ALIŞ]]</f>
        <v>0</v>
      </c>
      <c r="H27" s="11">
        <f>Tablo14567891011121314151617181920212223242526272829303132333435363738394041424344454647596869[[#This Row],[ADET]]*Tablo14567891011121314151617181920212223242526272829303132333435363738394041424344454647596869[[#This Row],[SATIŞ]]</f>
        <v>0</v>
      </c>
      <c r="J27" s="40">
        <f t="shared" si="0"/>
        <v>0</v>
      </c>
    </row>
    <row r="28" spans="2:10" ht="21" customHeight="1" x14ac:dyDescent="0.3">
      <c r="B28" s="2"/>
      <c r="D28" s="10"/>
      <c r="E28" s="10"/>
      <c r="F28" s="9" t="str">
        <f>IF(Tablo14567891011121314151617181920212223242526272829303132333435363738394041424344454647596869[[#This Row],[SATIŞ]]=0,"Açık",(E28-D28)*C28)</f>
        <v>Açık</v>
      </c>
      <c r="G28" s="11">
        <f>Tablo14567891011121314151617181920212223242526272829303132333435363738394041424344454647596869[[#This Row],[ADET]]*Tablo14567891011121314151617181920212223242526272829303132333435363738394041424344454647596869[[#This Row],[ALIŞ]]</f>
        <v>0</v>
      </c>
      <c r="H28" s="11">
        <f>Tablo14567891011121314151617181920212223242526272829303132333435363738394041424344454647596869[[#This Row],[ADET]]*Tablo14567891011121314151617181920212223242526272829303132333435363738394041424344454647596869[[#This Row],[SATIŞ]]</f>
        <v>0</v>
      </c>
      <c r="J28" s="40">
        <f t="shared" si="0"/>
        <v>0</v>
      </c>
    </row>
    <row r="29" spans="2:10" ht="21" customHeight="1" x14ac:dyDescent="0.3">
      <c r="B29" s="2"/>
      <c r="D29" s="10"/>
      <c r="E29" s="10"/>
      <c r="F29" s="9" t="str">
        <f>IF(Tablo14567891011121314151617181920212223242526272829303132333435363738394041424344454647596869[[#This Row],[SATIŞ]]=0,"Açık",(E29-D29)*C29)</f>
        <v>Açık</v>
      </c>
      <c r="G29" s="11">
        <f>Tablo14567891011121314151617181920212223242526272829303132333435363738394041424344454647596869[[#This Row],[ADET]]*Tablo14567891011121314151617181920212223242526272829303132333435363738394041424344454647596869[[#This Row],[ALIŞ]]</f>
        <v>0</v>
      </c>
      <c r="H29" s="11">
        <f>Tablo14567891011121314151617181920212223242526272829303132333435363738394041424344454647596869[[#This Row],[ADET]]*Tablo14567891011121314151617181920212223242526272829303132333435363738394041424344454647596869[[#This Row],[SATIŞ]]</f>
        <v>0</v>
      </c>
      <c r="J29" s="40">
        <f t="shared" si="0"/>
        <v>0</v>
      </c>
    </row>
    <row r="30" spans="2:10" ht="21" customHeight="1" x14ac:dyDescent="0.3">
      <c r="B30" s="2"/>
      <c r="D30" s="10"/>
      <c r="E30" s="10"/>
      <c r="F30" s="9" t="str">
        <f>IF(Tablo14567891011121314151617181920212223242526272829303132333435363738394041424344454647596869[[#This Row],[SATIŞ]]=0,"Açık",(E30-D30)*C30)</f>
        <v>Açık</v>
      </c>
      <c r="G30" s="11">
        <f>Tablo14567891011121314151617181920212223242526272829303132333435363738394041424344454647596869[[#This Row],[ADET]]*Tablo14567891011121314151617181920212223242526272829303132333435363738394041424344454647596869[[#This Row],[ALIŞ]]</f>
        <v>0</v>
      </c>
      <c r="H30" s="11">
        <f>Tablo14567891011121314151617181920212223242526272829303132333435363738394041424344454647596869[[#This Row],[ADET]]*Tablo14567891011121314151617181920212223242526272829303132333435363738394041424344454647596869[[#This Row],[SATIŞ]]</f>
        <v>0</v>
      </c>
      <c r="J30" s="40">
        <f t="shared" si="0"/>
        <v>0</v>
      </c>
    </row>
    <row r="31" spans="2:10" ht="21" customHeight="1" x14ac:dyDescent="0.3">
      <c r="B31" s="2"/>
      <c r="D31" s="10"/>
      <c r="E31" s="10"/>
      <c r="F31" s="9" t="str">
        <f>IF(Tablo14567891011121314151617181920212223242526272829303132333435363738394041424344454647596869[[#This Row],[SATIŞ]]=0,"Açık",(E31-D31)*C31)</f>
        <v>Açık</v>
      </c>
      <c r="G31" s="11">
        <f>Tablo14567891011121314151617181920212223242526272829303132333435363738394041424344454647596869[[#This Row],[ADET]]*Tablo14567891011121314151617181920212223242526272829303132333435363738394041424344454647596869[[#This Row],[ALIŞ]]</f>
        <v>0</v>
      </c>
      <c r="H31" s="11">
        <f>Tablo14567891011121314151617181920212223242526272829303132333435363738394041424344454647596869[[#This Row],[ADET]]*Tablo14567891011121314151617181920212223242526272829303132333435363738394041424344454647596869[[#This Row],[SATIŞ]]</f>
        <v>0</v>
      </c>
      <c r="J31" s="40">
        <f t="shared" si="0"/>
        <v>0</v>
      </c>
    </row>
    <row r="32" spans="2:10" ht="21" customHeight="1" x14ac:dyDescent="0.3">
      <c r="B32" s="2"/>
      <c r="D32" s="10"/>
      <c r="E32" s="10"/>
      <c r="F32" s="9" t="str">
        <f>IF(Tablo14567891011121314151617181920212223242526272829303132333435363738394041424344454647596869[[#This Row],[SATIŞ]]=0,"Açık",(E32-D32)*C32)</f>
        <v>Açık</v>
      </c>
      <c r="G32" s="11">
        <f>Tablo14567891011121314151617181920212223242526272829303132333435363738394041424344454647596869[[#This Row],[ADET]]*Tablo14567891011121314151617181920212223242526272829303132333435363738394041424344454647596869[[#This Row],[ALIŞ]]</f>
        <v>0</v>
      </c>
      <c r="H32" s="11">
        <f>Tablo14567891011121314151617181920212223242526272829303132333435363738394041424344454647596869[[#This Row],[ADET]]*Tablo14567891011121314151617181920212223242526272829303132333435363738394041424344454647596869[[#This Row],[SATIŞ]]</f>
        <v>0</v>
      </c>
      <c r="J32" s="40">
        <f t="shared" si="0"/>
        <v>0</v>
      </c>
    </row>
    <row r="33" spans="2:10" ht="21" customHeight="1" x14ac:dyDescent="0.3">
      <c r="B33" s="2"/>
      <c r="D33" s="10"/>
      <c r="E33" s="10"/>
      <c r="F33" s="9" t="str">
        <f>IF(Tablo14567891011121314151617181920212223242526272829303132333435363738394041424344454647596869[[#This Row],[SATIŞ]]=0,"Açık",(E33-D33)*C33)</f>
        <v>Açık</v>
      </c>
      <c r="G33" s="11">
        <f>Tablo14567891011121314151617181920212223242526272829303132333435363738394041424344454647596869[[#This Row],[ADET]]*Tablo14567891011121314151617181920212223242526272829303132333435363738394041424344454647596869[[#This Row],[ALIŞ]]</f>
        <v>0</v>
      </c>
      <c r="H33" s="11">
        <f>Tablo14567891011121314151617181920212223242526272829303132333435363738394041424344454647596869[[#This Row],[ADET]]*Tablo14567891011121314151617181920212223242526272829303132333435363738394041424344454647596869[[#This Row],[SATIŞ]]</f>
        <v>0</v>
      </c>
      <c r="J33" s="40">
        <f t="shared" si="0"/>
        <v>0</v>
      </c>
    </row>
    <row r="34" spans="2:10" ht="21" customHeight="1" x14ac:dyDescent="0.3">
      <c r="B34" s="2"/>
      <c r="D34" s="10"/>
      <c r="E34" s="10"/>
      <c r="F34" s="9" t="str">
        <f>IF(Tablo14567891011121314151617181920212223242526272829303132333435363738394041424344454647596869[[#This Row],[SATIŞ]]=0,"Açık",(E34-D34)*C34)</f>
        <v>Açık</v>
      </c>
      <c r="G34" s="11">
        <f>Tablo14567891011121314151617181920212223242526272829303132333435363738394041424344454647596869[[#This Row],[ADET]]*Tablo14567891011121314151617181920212223242526272829303132333435363738394041424344454647596869[[#This Row],[ALIŞ]]</f>
        <v>0</v>
      </c>
      <c r="H34" s="11">
        <f>Tablo14567891011121314151617181920212223242526272829303132333435363738394041424344454647596869[[#This Row],[ADET]]*Tablo14567891011121314151617181920212223242526272829303132333435363738394041424344454647596869[[#This Row],[SATIŞ]]</f>
        <v>0</v>
      </c>
      <c r="J34" s="40">
        <f t="shared" si="0"/>
        <v>0</v>
      </c>
    </row>
    <row r="35" spans="2:10" ht="21" customHeight="1" x14ac:dyDescent="0.3">
      <c r="B35" s="2"/>
      <c r="D35" s="10"/>
      <c r="E35" s="10"/>
      <c r="F35" s="9" t="str">
        <f>IF(Tablo14567891011121314151617181920212223242526272829303132333435363738394041424344454647596869[[#This Row],[SATIŞ]]=0,"Açık",(E35-D35)*C35)</f>
        <v>Açık</v>
      </c>
      <c r="G35" s="11">
        <f>Tablo14567891011121314151617181920212223242526272829303132333435363738394041424344454647596869[[#This Row],[ADET]]*Tablo14567891011121314151617181920212223242526272829303132333435363738394041424344454647596869[[#This Row],[ALIŞ]]</f>
        <v>0</v>
      </c>
      <c r="H35" s="11">
        <f>Tablo14567891011121314151617181920212223242526272829303132333435363738394041424344454647596869[[#This Row],[ADET]]*Tablo14567891011121314151617181920212223242526272829303132333435363738394041424344454647596869[[#This Row],[SATIŞ]]</f>
        <v>0</v>
      </c>
      <c r="J35" s="40">
        <f t="shared" si="0"/>
        <v>0</v>
      </c>
    </row>
    <row r="36" spans="2:10" ht="21" customHeight="1" x14ac:dyDescent="0.3">
      <c r="B36" s="2"/>
      <c r="D36" s="10"/>
      <c r="E36" s="10"/>
      <c r="F36" s="9" t="str">
        <f>IF(Tablo14567891011121314151617181920212223242526272829303132333435363738394041424344454647596869[[#This Row],[SATIŞ]]=0,"Açık",(E36-D36)*C36)</f>
        <v>Açık</v>
      </c>
      <c r="G36" s="11">
        <f>Tablo14567891011121314151617181920212223242526272829303132333435363738394041424344454647596869[[#This Row],[ADET]]*Tablo14567891011121314151617181920212223242526272829303132333435363738394041424344454647596869[[#This Row],[ALIŞ]]</f>
        <v>0</v>
      </c>
      <c r="H36" s="11">
        <f>Tablo14567891011121314151617181920212223242526272829303132333435363738394041424344454647596869[[#This Row],[ADET]]*Tablo14567891011121314151617181920212223242526272829303132333435363738394041424344454647596869[[#This Row],[SATIŞ]]</f>
        <v>0</v>
      </c>
      <c r="J36" s="40">
        <f t="shared" si="0"/>
        <v>0</v>
      </c>
    </row>
    <row r="37" spans="2:10" ht="21" customHeight="1" x14ac:dyDescent="0.3">
      <c r="B37" s="2"/>
      <c r="D37" s="10"/>
      <c r="E37" s="10"/>
      <c r="F37" s="9" t="str">
        <f>IF(Tablo14567891011121314151617181920212223242526272829303132333435363738394041424344454647596869[[#This Row],[SATIŞ]]=0,"Açık",(E37-D37)*C37)</f>
        <v>Açık</v>
      </c>
      <c r="G37" s="11">
        <f>Tablo14567891011121314151617181920212223242526272829303132333435363738394041424344454647596869[[#This Row],[ADET]]*Tablo14567891011121314151617181920212223242526272829303132333435363738394041424344454647596869[[#This Row],[ALIŞ]]</f>
        <v>0</v>
      </c>
      <c r="H37" s="11">
        <f>Tablo14567891011121314151617181920212223242526272829303132333435363738394041424344454647596869[[#This Row],[ADET]]*Tablo14567891011121314151617181920212223242526272829303132333435363738394041424344454647596869[[#This Row],[SATIŞ]]</f>
        <v>0</v>
      </c>
      <c r="J37" s="40">
        <f t="shared" si="0"/>
        <v>0</v>
      </c>
    </row>
    <row r="38" spans="2:10" ht="21" customHeight="1" x14ac:dyDescent="0.3">
      <c r="B38" s="2"/>
      <c r="D38" s="10"/>
      <c r="E38" s="10"/>
      <c r="F38" s="9" t="str">
        <f>IF(Tablo14567891011121314151617181920212223242526272829303132333435363738394041424344454647596869[[#This Row],[SATIŞ]]=0,"Açık",(E38-D38)*C38)</f>
        <v>Açık</v>
      </c>
      <c r="G38" s="11">
        <f>Tablo14567891011121314151617181920212223242526272829303132333435363738394041424344454647596869[[#This Row],[ADET]]*Tablo14567891011121314151617181920212223242526272829303132333435363738394041424344454647596869[[#This Row],[ALIŞ]]</f>
        <v>0</v>
      </c>
      <c r="H38" s="11">
        <f>Tablo14567891011121314151617181920212223242526272829303132333435363738394041424344454647596869[[#This Row],[ADET]]*Tablo14567891011121314151617181920212223242526272829303132333435363738394041424344454647596869[[#This Row],[SATIŞ]]</f>
        <v>0</v>
      </c>
      <c r="J38" s="40">
        <f t="shared" si="0"/>
        <v>0</v>
      </c>
    </row>
    <row r="39" spans="2:10" ht="21" customHeight="1" x14ac:dyDescent="0.3">
      <c r="B39" s="2"/>
      <c r="D39" s="10"/>
      <c r="E39" s="10"/>
      <c r="F39" s="9" t="str">
        <f>IF(Tablo14567891011121314151617181920212223242526272829303132333435363738394041424344454647596869[[#This Row],[SATIŞ]]=0,"Açık",(E39-D39)*C39)</f>
        <v>Açık</v>
      </c>
      <c r="G39" s="11">
        <f>Tablo14567891011121314151617181920212223242526272829303132333435363738394041424344454647596869[[#This Row],[ADET]]*Tablo14567891011121314151617181920212223242526272829303132333435363738394041424344454647596869[[#This Row],[ALIŞ]]</f>
        <v>0</v>
      </c>
      <c r="H39" s="11">
        <f>Tablo14567891011121314151617181920212223242526272829303132333435363738394041424344454647596869[[#This Row],[ADET]]*Tablo14567891011121314151617181920212223242526272829303132333435363738394041424344454647596869[[#This Row],[SATIŞ]]</f>
        <v>0</v>
      </c>
      <c r="J39" s="40">
        <f t="shared" si="0"/>
        <v>0</v>
      </c>
    </row>
    <row r="40" spans="2:10" ht="21" customHeight="1" x14ac:dyDescent="0.3">
      <c r="B40" s="2"/>
      <c r="D40" s="10"/>
      <c r="E40" s="10"/>
      <c r="F40" s="9" t="str">
        <f>IF(Tablo14567891011121314151617181920212223242526272829303132333435363738394041424344454647596869[[#This Row],[SATIŞ]]=0,"Açık",(E40-D40)*C40)</f>
        <v>Açık</v>
      </c>
      <c r="G40" s="11">
        <f>Tablo14567891011121314151617181920212223242526272829303132333435363738394041424344454647596869[[#This Row],[ADET]]*Tablo14567891011121314151617181920212223242526272829303132333435363738394041424344454647596869[[#This Row],[ALIŞ]]</f>
        <v>0</v>
      </c>
      <c r="H40" s="11">
        <f>Tablo14567891011121314151617181920212223242526272829303132333435363738394041424344454647596869[[#This Row],[ADET]]*Tablo14567891011121314151617181920212223242526272829303132333435363738394041424344454647596869[[#This Row],[SATIŞ]]</f>
        <v>0</v>
      </c>
      <c r="J40" s="40">
        <f t="shared" si="0"/>
        <v>0</v>
      </c>
    </row>
    <row r="41" spans="2:10" ht="21" customHeight="1" x14ac:dyDescent="0.3">
      <c r="B41" s="2"/>
      <c r="D41" s="10"/>
      <c r="E41" s="10"/>
      <c r="F41" s="9" t="str">
        <f>IF(Tablo14567891011121314151617181920212223242526272829303132333435363738394041424344454647596869[[#This Row],[SATIŞ]]=0,"Açık",(E41-D41)*C41)</f>
        <v>Açık</v>
      </c>
      <c r="G41" s="11">
        <f>Tablo14567891011121314151617181920212223242526272829303132333435363738394041424344454647596869[[#This Row],[ADET]]*Tablo14567891011121314151617181920212223242526272829303132333435363738394041424344454647596869[[#This Row],[ALIŞ]]</f>
        <v>0</v>
      </c>
      <c r="H41" s="11">
        <f>Tablo14567891011121314151617181920212223242526272829303132333435363738394041424344454647596869[[#This Row],[ADET]]*Tablo14567891011121314151617181920212223242526272829303132333435363738394041424344454647596869[[#This Row],[SATIŞ]]</f>
        <v>0</v>
      </c>
      <c r="J41" s="40">
        <f t="shared" si="0"/>
        <v>0</v>
      </c>
    </row>
    <row r="42" spans="2:10" ht="21" customHeight="1" x14ac:dyDescent="0.3">
      <c r="B42" s="2"/>
      <c r="D42" s="10"/>
      <c r="E42" s="10"/>
      <c r="F42" s="9" t="str">
        <f>IF(Tablo14567891011121314151617181920212223242526272829303132333435363738394041424344454647596869[[#This Row],[SATIŞ]]=0,"Açık",(E42-D42)*C42)</f>
        <v>Açık</v>
      </c>
      <c r="G42" s="11">
        <f>Tablo14567891011121314151617181920212223242526272829303132333435363738394041424344454647596869[[#This Row],[ADET]]*Tablo14567891011121314151617181920212223242526272829303132333435363738394041424344454647596869[[#This Row],[ALIŞ]]</f>
        <v>0</v>
      </c>
      <c r="H42" s="11">
        <f>Tablo14567891011121314151617181920212223242526272829303132333435363738394041424344454647596869[[#This Row],[ADET]]*Tablo14567891011121314151617181920212223242526272829303132333435363738394041424344454647596869[[#This Row],[SATIŞ]]</f>
        <v>0</v>
      </c>
      <c r="J42" s="40">
        <f t="shared" si="0"/>
        <v>0</v>
      </c>
    </row>
    <row r="43" spans="2:10" ht="21" customHeight="1" x14ac:dyDescent="0.3">
      <c r="B43" s="2"/>
      <c r="D43" s="10"/>
      <c r="E43" s="10"/>
      <c r="F43" s="9" t="str">
        <f>IF(Tablo14567891011121314151617181920212223242526272829303132333435363738394041424344454647596869[[#This Row],[SATIŞ]]=0,"Açık",(E43-D43)*C43)</f>
        <v>Açık</v>
      </c>
      <c r="G43" s="11">
        <f>Tablo14567891011121314151617181920212223242526272829303132333435363738394041424344454647596869[[#This Row],[ADET]]*Tablo14567891011121314151617181920212223242526272829303132333435363738394041424344454647596869[[#This Row],[ALIŞ]]</f>
        <v>0</v>
      </c>
      <c r="H43" s="11">
        <f>Tablo14567891011121314151617181920212223242526272829303132333435363738394041424344454647596869[[#This Row],[ADET]]*Tablo14567891011121314151617181920212223242526272829303132333435363738394041424344454647596869[[#This Row],[SATIŞ]]</f>
        <v>0</v>
      </c>
      <c r="J43" s="40">
        <f t="shared" si="0"/>
        <v>0</v>
      </c>
    </row>
    <row r="44" spans="2:10" ht="21" customHeight="1" x14ac:dyDescent="0.3">
      <c r="B44" s="2"/>
      <c r="D44" s="10"/>
      <c r="E44" s="10"/>
      <c r="F44" s="9" t="str">
        <f>IF(Tablo14567891011121314151617181920212223242526272829303132333435363738394041424344454647596869[[#This Row],[SATIŞ]]=0,"Açık",(E44-D44)*C44)</f>
        <v>Açık</v>
      </c>
      <c r="G44" s="11">
        <f>Tablo14567891011121314151617181920212223242526272829303132333435363738394041424344454647596869[[#This Row],[ADET]]*Tablo14567891011121314151617181920212223242526272829303132333435363738394041424344454647596869[[#This Row],[ALIŞ]]</f>
        <v>0</v>
      </c>
      <c r="H44" s="11">
        <f>Tablo14567891011121314151617181920212223242526272829303132333435363738394041424344454647596869[[#This Row],[ADET]]*Tablo14567891011121314151617181920212223242526272829303132333435363738394041424344454647596869[[#This Row],[SATIŞ]]</f>
        <v>0</v>
      </c>
      <c r="J44" s="40">
        <f t="shared" si="0"/>
        <v>0</v>
      </c>
    </row>
    <row r="45" spans="2:10" ht="21" customHeight="1" x14ac:dyDescent="0.3">
      <c r="B45" s="2"/>
      <c r="D45" s="10"/>
      <c r="E45" s="10"/>
      <c r="F45" s="9" t="str">
        <f>IF(Tablo14567891011121314151617181920212223242526272829303132333435363738394041424344454647596869[[#This Row],[SATIŞ]]=0,"Açık",(E45-D45)*C45)</f>
        <v>Açık</v>
      </c>
      <c r="G45" s="11">
        <f>Tablo14567891011121314151617181920212223242526272829303132333435363738394041424344454647596869[[#This Row],[ADET]]*Tablo14567891011121314151617181920212223242526272829303132333435363738394041424344454647596869[[#This Row],[ALIŞ]]</f>
        <v>0</v>
      </c>
      <c r="H45" s="11">
        <f>Tablo14567891011121314151617181920212223242526272829303132333435363738394041424344454647596869[[#This Row],[ADET]]*Tablo14567891011121314151617181920212223242526272829303132333435363738394041424344454647596869[[#This Row],[SATIŞ]]</f>
        <v>0</v>
      </c>
    </row>
    <row r="46" spans="2:10" ht="21" customHeight="1" x14ac:dyDescent="0.3">
      <c r="B46" s="2"/>
      <c r="D46" s="10"/>
      <c r="E46" s="10"/>
      <c r="F46" s="9" t="str">
        <f>IF(Tablo14567891011121314151617181920212223242526272829303132333435363738394041424344454647596869[[#This Row],[SATIŞ]]=0,"Açık",(E46-D46)*C46)</f>
        <v>Açık</v>
      </c>
      <c r="G46" s="11">
        <f>Tablo14567891011121314151617181920212223242526272829303132333435363738394041424344454647596869[[#This Row],[ADET]]*Tablo14567891011121314151617181920212223242526272829303132333435363738394041424344454647596869[[#This Row],[ALIŞ]]</f>
        <v>0</v>
      </c>
      <c r="H46" s="11">
        <f>Tablo14567891011121314151617181920212223242526272829303132333435363738394041424344454647596869[[#This Row],[ADET]]*Tablo14567891011121314151617181920212223242526272829303132333435363738394041424344454647596869[[#This Row],[SATIŞ]]</f>
        <v>0</v>
      </c>
    </row>
    <row r="47" spans="2:10" ht="21" customHeight="1" x14ac:dyDescent="0.3">
      <c r="B47" s="2"/>
      <c r="D47" s="10"/>
      <c r="E47" s="10"/>
      <c r="F47" s="9" t="str">
        <f>IF(Tablo14567891011121314151617181920212223242526272829303132333435363738394041424344454647596869[[#This Row],[SATIŞ]]=0,"Açık",(E47-D47)*C47)</f>
        <v>Açık</v>
      </c>
      <c r="G47" s="11">
        <f>Tablo14567891011121314151617181920212223242526272829303132333435363738394041424344454647596869[[#This Row],[ADET]]*Tablo14567891011121314151617181920212223242526272829303132333435363738394041424344454647596869[[#This Row],[ALIŞ]]</f>
        <v>0</v>
      </c>
      <c r="H47" s="11">
        <f>Tablo14567891011121314151617181920212223242526272829303132333435363738394041424344454647596869[[#This Row],[ADET]]*Tablo14567891011121314151617181920212223242526272829303132333435363738394041424344454647596869[[#This Row],[SATIŞ]]</f>
        <v>0</v>
      </c>
    </row>
    <row r="48" spans="2:10" ht="21" customHeight="1" x14ac:dyDescent="0.3">
      <c r="B48" s="2"/>
      <c r="D48" s="10"/>
      <c r="E48" s="10"/>
      <c r="F48" s="9" t="str">
        <f>IF(Tablo14567891011121314151617181920212223242526272829303132333435363738394041424344454647596869[[#This Row],[SATIŞ]]=0,"Açık",(E48-D48)*C48)</f>
        <v>Açık</v>
      </c>
      <c r="G48" s="11">
        <f>Tablo14567891011121314151617181920212223242526272829303132333435363738394041424344454647596869[[#This Row],[ADET]]*Tablo14567891011121314151617181920212223242526272829303132333435363738394041424344454647596869[[#This Row],[ALIŞ]]</f>
        <v>0</v>
      </c>
      <c r="H48" s="11">
        <f>Tablo14567891011121314151617181920212223242526272829303132333435363738394041424344454647596869[[#This Row],[ADET]]*Tablo14567891011121314151617181920212223242526272829303132333435363738394041424344454647596869[[#This Row],[SATIŞ]]</f>
        <v>0</v>
      </c>
    </row>
  </sheetData>
  <conditionalFormatting sqref="B4:F48">
    <cfRule type="expression" dxfId="200" priority="1">
      <formula>$F4&lt;0</formula>
    </cfRule>
    <cfRule type="expression" dxfId="199" priority="2">
      <formula>$F4="Açık"</formula>
    </cfRule>
    <cfRule type="expression" dxfId="198" priority="3">
      <formula>$F4&gt;0</formula>
    </cfRule>
  </conditionalFormatting>
  <hyperlinks>
    <hyperlink ref="B1" location="İcmal!A1" display="ANA SAYFA" xr:uid="{675F770C-03B0-407E-956C-5D0CCE6DEEF1}"/>
  </hyperlink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623F3-A993-4A4B-ADBF-C1985F00EFFE}">
  <sheetPr>
    <tabColor rgb="FFFFABAB"/>
  </sheetPr>
  <dimension ref="B1:R156"/>
  <sheetViews>
    <sheetView showGridLines="0" showZeros="0" zoomScale="110" zoomScaleNormal="110" workbookViewId="0">
      <pane ySplit="3" topLeftCell="A46" activePane="bottomLeft" state="frozen"/>
      <selection pane="bottomLeft" activeCell="E156" sqref="E156"/>
    </sheetView>
  </sheetViews>
  <sheetFormatPr defaultRowHeight="21" customHeight="1" x14ac:dyDescent="0.3"/>
  <cols>
    <col min="2" max="2" width="20.6640625" style="1" customWidth="1"/>
    <col min="3" max="3" width="11.33203125" style="6" customWidth="1"/>
    <col min="4" max="5" width="12.88671875" style="3" customWidth="1"/>
    <col min="6" max="6" width="12.88671875" style="5" customWidth="1"/>
    <col min="7" max="8" width="11.44140625" bestFit="1" customWidth="1"/>
    <col min="10" max="12" width="12.44140625" customWidth="1"/>
    <col min="13" max="14" width="12.6640625" bestFit="1" customWidth="1"/>
  </cols>
  <sheetData>
    <row r="1" spans="2:18" ht="21" customHeight="1" x14ac:dyDescent="0.3">
      <c r="B1" s="12" t="s">
        <v>64</v>
      </c>
      <c r="C1" s="4">
        <f>SUMIF(Tablo14[KAR],"Açık",Tablo14[ADET])</f>
        <v>1200</v>
      </c>
      <c r="D1" s="10">
        <f>+İcmal!E6</f>
        <v>69.099999999999994</v>
      </c>
      <c r="E1" s="10">
        <f>C1*D1</f>
        <v>82920</v>
      </c>
      <c r="F1" s="10">
        <f>IFERROR(((SUM(Tablo14[ALIŞ TUTAR])-SUM(Tablo14[SATIŞ TUTAR]))/C1),"")</f>
        <v>70.334332749999987</v>
      </c>
      <c r="G1" s="10">
        <f>SUM(Tablo14[KAR])+C1*(D1-F1)</f>
        <v>7182.6014000000087</v>
      </c>
      <c r="J1" s="45" t="s">
        <v>94</v>
      </c>
      <c r="K1" s="45" t="s">
        <v>95</v>
      </c>
      <c r="L1" s="45" t="s">
        <v>96</v>
      </c>
      <c r="M1" s="33">
        <f>F1</f>
        <v>70.334332749999987</v>
      </c>
      <c r="N1" s="8" t="e">
        <f>M1*(1+$J$1)</f>
        <v>#VALUE!</v>
      </c>
      <c r="P1" s="8" t="e">
        <f>Q1*(1-$J$1)</f>
        <v>#VALUE!</v>
      </c>
      <c r="Q1" s="33">
        <f>+D1</f>
        <v>69.099999999999994</v>
      </c>
      <c r="R1" s="8" t="e">
        <f>Q1*(1+$J$1)</f>
        <v>#VALUE!</v>
      </c>
    </row>
    <row r="2" spans="2:18" ht="21" customHeight="1" x14ac:dyDescent="0.3">
      <c r="B2" s="7" t="s">
        <v>13</v>
      </c>
      <c r="J2" s="45">
        <f>SUMIFS(Tablo2[HEDEF2],Tablo2[HİSSE],B2)</f>
        <v>2000</v>
      </c>
      <c r="K2" s="45">
        <f>+E1/İcmal!$P$2</f>
        <v>2549.0316630802336</v>
      </c>
      <c r="L2" s="45">
        <f>+J2-K2</f>
        <v>-549.03166308023356</v>
      </c>
    </row>
    <row r="3" spans="2:18" ht="21" customHeight="1" x14ac:dyDescent="0.3">
      <c r="B3" s="1" t="s">
        <v>0</v>
      </c>
      <c r="C3" s="6" t="s">
        <v>4</v>
      </c>
      <c r="D3" s="3" t="s">
        <v>1</v>
      </c>
      <c r="E3" s="3" t="s">
        <v>3</v>
      </c>
      <c r="F3" s="5" t="s">
        <v>2</v>
      </c>
      <c r="G3" s="3" t="s">
        <v>8</v>
      </c>
      <c r="H3" s="3" t="s">
        <v>9</v>
      </c>
      <c r="L3" s="33">
        <f>SUM(Tablo14[KAR])</f>
        <v>8663.8006999999998</v>
      </c>
      <c r="M3" s="37">
        <f>C1</f>
        <v>1200</v>
      </c>
    </row>
    <row r="4" spans="2:18" ht="21" hidden="1" customHeight="1" x14ac:dyDescent="0.3">
      <c r="B4" s="2">
        <v>45291</v>
      </c>
      <c r="C4" s="6">
        <v>110</v>
      </c>
      <c r="D4" s="10">
        <v>60.962119999999999</v>
      </c>
      <c r="E4" s="10">
        <v>62.704549999999998</v>
      </c>
      <c r="F4" s="9">
        <f>IF(Tablo14[[#This Row],[SATIŞ]]=0,"Açık",(E4-D4)*C4)</f>
        <v>191.66729999999987</v>
      </c>
      <c r="G4" s="11">
        <f>Tablo14[[#This Row],[ADET]]*Tablo14[[#This Row],[ALIŞ]]</f>
        <v>6705.8332</v>
      </c>
      <c r="H4" s="11">
        <f>Tablo14[[#This Row],[ADET]]*Tablo14[[#This Row],[SATIŞ]]</f>
        <v>6897.5005000000001</v>
      </c>
      <c r="L4" s="8">
        <f>SUM(Tablo14[ALIŞ TUTAR])</f>
        <v>444030.99979999999</v>
      </c>
      <c r="M4" s="8">
        <f>SUM(Tablo14[SATIŞ TUTAR])</f>
        <v>359629.80050000001</v>
      </c>
      <c r="N4" s="8">
        <f>L4-M4</f>
        <v>84401.199299999978</v>
      </c>
    </row>
    <row r="5" spans="2:18" ht="21" hidden="1" customHeight="1" x14ac:dyDescent="0.3">
      <c r="B5" s="2">
        <v>45291</v>
      </c>
      <c r="C5" s="6">
        <v>20</v>
      </c>
      <c r="D5" s="10">
        <v>60.962119999999999</v>
      </c>
      <c r="E5" s="10">
        <v>68.5</v>
      </c>
      <c r="F5" s="9">
        <f>IF(Tablo14[[#This Row],[SATIŞ]]=0,"Açık",(E5-D5)*C5)</f>
        <v>150.75760000000002</v>
      </c>
      <c r="G5" s="11">
        <f>Tablo14[[#This Row],[ADET]]*Tablo14[[#This Row],[ALIŞ]]</f>
        <v>1219.2424000000001</v>
      </c>
      <c r="H5" s="11">
        <f>Tablo14[[#This Row],[ADET]]*Tablo14[[#This Row],[SATIŞ]]</f>
        <v>1370</v>
      </c>
      <c r="N5">
        <f>+N4/80</f>
        <v>1055.0149912499996</v>
      </c>
    </row>
    <row r="6" spans="2:18" ht="21" hidden="1" customHeight="1" x14ac:dyDescent="0.3">
      <c r="B6" s="2">
        <v>45291</v>
      </c>
      <c r="C6" s="6">
        <v>20</v>
      </c>
      <c r="D6" s="10">
        <v>60.962119999999999</v>
      </c>
      <c r="E6" s="10">
        <v>70.8</v>
      </c>
      <c r="F6" s="9">
        <f>IF(Tablo14[[#This Row],[SATIŞ]]=0,"Açık",(E6-D6)*C6)</f>
        <v>196.75759999999997</v>
      </c>
      <c r="G6" s="11">
        <f>Tablo14[[#This Row],[ADET]]*Tablo14[[#This Row],[ALIŞ]]</f>
        <v>1219.2424000000001</v>
      </c>
      <c r="H6" s="11">
        <f>Tablo14[[#This Row],[ADET]]*Tablo14[[#This Row],[SATIŞ]]</f>
        <v>1416</v>
      </c>
    </row>
    <row r="7" spans="2:18" ht="21" hidden="1" customHeight="1" x14ac:dyDescent="0.3">
      <c r="B7" s="2">
        <v>45291</v>
      </c>
      <c r="C7" s="6">
        <v>15</v>
      </c>
      <c r="D7" s="10">
        <v>60.962119999999999</v>
      </c>
      <c r="E7" s="10">
        <v>68</v>
      </c>
      <c r="F7" s="9">
        <f>IF(Tablo14[[#This Row],[SATIŞ]]=0,"Açık",(E7-D7)*C7)</f>
        <v>105.56820000000002</v>
      </c>
      <c r="G7" s="11">
        <f>Tablo14[[#This Row],[ADET]]*Tablo14[[#This Row],[ALIŞ]]</f>
        <v>914.43179999999995</v>
      </c>
      <c r="H7" s="11">
        <f>Tablo14[[#This Row],[ADET]]*Tablo14[[#This Row],[SATIŞ]]</f>
        <v>1020</v>
      </c>
    </row>
    <row r="8" spans="2:18" ht="21" hidden="1" customHeight="1" x14ac:dyDescent="0.3">
      <c r="B8" s="2">
        <v>45327</v>
      </c>
      <c r="C8" s="6">
        <v>5</v>
      </c>
      <c r="D8" s="10">
        <v>66</v>
      </c>
      <c r="E8" s="10">
        <v>66</v>
      </c>
      <c r="F8" s="9">
        <f>IF(Tablo14[[#This Row],[SATIŞ]]=0,"Açık",(E8-D8)*C8)</f>
        <v>0</v>
      </c>
      <c r="G8" s="11">
        <f>Tablo14[[#This Row],[ADET]]*Tablo14[[#This Row],[ALIŞ]]</f>
        <v>330</v>
      </c>
      <c r="H8" s="11">
        <f>Tablo14[[#This Row],[ADET]]*Tablo14[[#This Row],[SATIŞ]]</f>
        <v>330</v>
      </c>
    </row>
    <row r="9" spans="2:18" ht="21" hidden="1" customHeight="1" x14ac:dyDescent="0.3">
      <c r="B9" s="2">
        <v>45328</v>
      </c>
      <c r="C9" s="6">
        <v>10</v>
      </c>
      <c r="D9" s="10">
        <v>67</v>
      </c>
      <c r="E9" s="10">
        <v>67</v>
      </c>
      <c r="F9" s="9">
        <f>IF(Tablo14[[#This Row],[SATIŞ]]=0,"Açık",(E9-D9)*C9)</f>
        <v>0</v>
      </c>
      <c r="G9" s="11">
        <f>Tablo14[[#This Row],[ADET]]*Tablo14[[#This Row],[ALIŞ]]</f>
        <v>670</v>
      </c>
      <c r="H9" s="11">
        <f>Tablo14[[#This Row],[ADET]]*Tablo14[[#This Row],[SATIŞ]]</f>
        <v>670</v>
      </c>
    </row>
    <row r="10" spans="2:18" ht="21" hidden="1" customHeight="1" x14ac:dyDescent="0.3">
      <c r="B10" s="2">
        <v>45328</v>
      </c>
      <c r="C10" s="6">
        <v>10</v>
      </c>
      <c r="D10" s="10">
        <v>66.75</v>
      </c>
      <c r="E10" s="10">
        <v>67.5</v>
      </c>
      <c r="F10" s="9">
        <f>IF(Tablo14[[#This Row],[SATIŞ]]=0,"Açık",(E10-D10)*C10)</f>
        <v>7.5</v>
      </c>
      <c r="G10" s="11">
        <f>Tablo14[[#This Row],[ADET]]*Tablo14[[#This Row],[ALIŞ]]</f>
        <v>667.5</v>
      </c>
      <c r="H10" s="11">
        <f>Tablo14[[#This Row],[ADET]]*Tablo14[[#This Row],[SATIŞ]]</f>
        <v>675</v>
      </c>
    </row>
    <row r="11" spans="2:18" ht="21" hidden="1" customHeight="1" x14ac:dyDescent="0.3">
      <c r="B11" s="2">
        <v>45328</v>
      </c>
      <c r="C11" s="6">
        <v>20</v>
      </c>
      <c r="D11" s="10">
        <v>67</v>
      </c>
      <c r="E11" s="10">
        <v>69.599999999999994</v>
      </c>
      <c r="F11" s="9">
        <f>IF(Tablo14[[#This Row],[SATIŞ]]=0,"Açık",(E11-D11)*C11)</f>
        <v>51.999999999999886</v>
      </c>
      <c r="G11" s="11">
        <f>Tablo14[[#This Row],[ADET]]*Tablo14[[#This Row],[ALIŞ]]</f>
        <v>1340</v>
      </c>
      <c r="H11" s="11">
        <f>Tablo14[[#This Row],[ADET]]*Tablo14[[#This Row],[SATIŞ]]</f>
        <v>1392</v>
      </c>
    </row>
    <row r="12" spans="2:18" ht="21" hidden="1" customHeight="1" x14ac:dyDescent="0.3">
      <c r="B12" s="2">
        <v>45328</v>
      </c>
      <c r="C12" s="6">
        <v>20</v>
      </c>
      <c r="D12" s="10">
        <v>67</v>
      </c>
      <c r="E12" s="10">
        <v>70.8</v>
      </c>
      <c r="F12" s="9">
        <f>IF(Tablo14[[#This Row],[SATIŞ]]=0,"Açık",(E12-D12)*C12)</f>
        <v>75.999999999999943</v>
      </c>
      <c r="G12" s="11">
        <f>Tablo14[[#This Row],[ADET]]*Tablo14[[#This Row],[ALIŞ]]</f>
        <v>1340</v>
      </c>
      <c r="H12" s="11">
        <f>Tablo14[[#This Row],[ADET]]*Tablo14[[#This Row],[SATIŞ]]</f>
        <v>1416</v>
      </c>
    </row>
    <row r="13" spans="2:18" ht="21" hidden="1" customHeight="1" x14ac:dyDescent="0.3">
      <c r="B13" s="2">
        <v>45328</v>
      </c>
      <c r="C13" s="6">
        <v>50</v>
      </c>
      <c r="D13" s="10">
        <v>67</v>
      </c>
      <c r="E13" s="10">
        <v>75</v>
      </c>
      <c r="F13" s="9">
        <f>IF(Tablo14[[#This Row],[SATIŞ]]=0,"Açık",(E13-D13)*C13)</f>
        <v>400</v>
      </c>
      <c r="G13" s="11">
        <f>Tablo14[[#This Row],[ADET]]*Tablo14[[#This Row],[ALIŞ]]</f>
        <v>3350</v>
      </c>
      <c r="H13" s="11">
        <f>Tablo14[[#This Row],[ADET]]*Tablo14[[#This Row],[SATIŞ]]</f>
        <v>3750</v>
      </c>
    </row>
    <row r="14" spans="2:18" ht="21" hidden="1" customHeight="1" x14ac:dyDescent="0.3">
      <c r="B14" s="2">
        <v>45328</v>
      </c>
      <c r="C14" s="6">
        <v>40</v>
      </c>
      <c r="D14" s="10">
        <v>66.5</v>
      </c>
      <c r="E14" s="10">
        <v>73</v>
      </c>
      <c r="F14" s="9">
        <f>IF(Tablo14[[#This Row],[SATIŞ]]=0,"Açık",(E14-D14)*C14)</f>
        <v>260</v>
      </c>
      <c r="G14" s="11">
        <f>Tablo14[[#This Row],[ADET]]*Tablo14[[#This Row],[ALIŞ]]</f>
        <v>2660</v>
      </c>
      <c r="H14" s="11">
        <f>Tablo14[[#This Row],[ADET]]*Tablo14[[#This Row],[SATIŞ]]</f>
        <v>2920</v>
      </c>
    </row>
    <row r="15" spans="2:18" ht="21" hidden="1" customHeight="1" x14ac:dyDescent="0.3">
      <c r="B15" s="2">
        <v>45329</v>
      </c>
      <c r="C15" s="6">
        <v>5</v>
      </c>
      <c r="D15" s="10">
        <v>67.5</v>
      </c>
      <c r="E15" s="10">
        <v>67.5</v>
      </c>
      <c r="F15" s="9">
        <f>IF(Tablo14[[#This Row],[SATIŞ]]=0,"Açık",(E15-D15)*C15)</f>
        <v>0</v>
      </c>
      <c r="G15" s="11">
        <f>Tablo14[[#This Row],[ADET]]*Tablo14[[#This Row],[ALIŞ]]</f>
        <v>337.5</v>
      </c>
      <c r="H15" s="11">
        <f>Tablo14[[#This Row],[ADET]]*Tablo14[[#This Row],[SATIŞ]]</f>
        <v>337.5</v>
      </c>
    </row>
    <row r="16" spans="2:18" ht="21" hidden="1" customHeight="1" x14ac:dyDescent="0.3">
      <c r="B16" s="2">
        <v>45329</v>
      </c>
      <c r="C16" s="6">
        <v>5</v>
      </c>
      <c r="D16" s="10">
        <v>67.5</v>
      </c>
      <c r="E16" s="10">
        <v>67.5</v>
      </c>
      <c r="F16" s="9">
        <f>IF(Tablo14[[#This Row],[SATIŞ]]=0,"Açık",(E16-D16)*C16)</f>
        <v>0</v>
      </c>
      <c r="G16" s="11">
        <f>Tablo14[[#This Row],[ADET]]*Tablo14[[#This Row],[ALIŞ]]</f>
        <v>337.5</v>
      </c>
      <c r="H16" s="11">
        <f>Tablo14[[#This Row],[ADET]]*Tablo14[[#This Row],[SATIŞ]]</f>
        <v>337.5</v>
      </c>
    </row>
    <row r="17" spans="2:10" ht="21" hidden="1" customHeight="1" x14ac:dyDescent="0.3">
      <c r="B17" s="2">
        <v>45329</v>
      </c>
      <c r="C17" s="6">
        <v>2</v>
      </c>
      <c r="D17" s="10">
        <v>67.5</v>
      </c>
      <c r="E17" s="10">
        <v>68</v>
      </c>
      <c r="F17" s="9">
        <f>IF(Tablo14[[#This Row],[SATIŞ]]=0,"Açık",(E17-D17)*C17)</f>
        <v>1</v>
      </c>
      <c r="G17" s="11">
        <f>Tablo14[[#This Row],[ADET]]*Tablo14[[#This Row],[ALIŞ]]</f>
        <v>135</v>
      </c>
      <c r="H17" s="11">
        <f>Tablo14[[#This Row],[ADET]]*Tablo14[[#This Row],[SATIŞ]]</f>
        <v>136</v>
      </c>
    </row>
    <row r="18" spans="2:10" ht="21" hidden="1" customHeight="1" x14ac:dyDescent="0.3">
      <c r="B18" s="2">
        <v>45329</v>
      </c>
      <c r="C18" s="6">
        <v>8</v>
      </c>
      <c r="D18" s="10">
        <v>67.5</v>
      </c>
      <c r="E18" s="10">
        <v>67</v>
      </c>
      <c r="F18" s="9">
        <f>IF(Tablo14[[#This Row],[SATIŞ]]=0,"Açık",(E18-D18)*C18)</f>
        <v>-4</v>
      </c>
      <c r="G18" s="11">
        <f>Tablo14[[#This Row],[ADET]]*Tablo14[[#This Row],[ALIŞ]]</f>
        <v>540</v>
      </c>
      <c r="H18" s="11">
        <f>Tablo14[[#This Row],[ADET]]*Tablo14[[#This Row],[SATIŞ]]</f>
        <v>536</v>
      </c>
    </row>
    <row r="19" spans="2:10" ht="21" hidden="1" customHeight="1" x14ac:dyDescent="0.3">
      <c r="B19" s="2">
        <v>45328</v>
      </c>
      <c r="C19" s="6">
        <v>100</v>
      </c>
      <c r="D19" s="10">
        <v>66.5</v>
      </c>
      <c r="E19" s="10">
        <v>69.2</v>
      </c>
      <c r="F19" s="9">
        <f>IF(Tablo14[[#This Row],[SATIŞ]]=0,"Açık",(E19-D19)*C19)</f>
        <v>270.00000000000028</v>
      </c>
      <c r="G19" s="11">
        <f>Tablo14[[#This Row],[ADET]]*Tablo14[[#This Row],[ALIŞ]]</f>
        <v>6650</v>
      </c>
      <c r="H19" s="11">
        <f>Tablo14[[#This Row],[ADET]]*Tablo14[[#This Row],[SATIŞ]]</f>
        <v>6920</v>
      </c>
    </row>
    <row r="20" spans="2:10" ht="21" hidden="1" customHeight="1" x14ac:dyDescent="0.3">
      <c r="B20" s="2">
        <v>45330</v>
      </c>
      <c r="C20" s="6">
        <v>30</v>
      </c>
      <c r="D20" s="10">
        <v>69</v>
      </c>
      <c r="E20" s="10">
        <v>69.7</v>
      </c>
      <c r="F20" s="9">
        <f>IF(Tablo14[[#This Row],[SATIŞ]]=0,"Açık",(E20-D20)*C20)</f>
        <v>21.000000000000085</v>
      </c>
      <c r="G20" s="11">
        <f>Tablo14[[#This Row],[ADET]]*Tablo14[[#This Row],[ALIŞ]]</f>
        <v>2070</v>
      </c>
      <c r="H20" s="11">
        <f>Tablo14[[#This Row],[ADET]]*Tablo14[[#This Row],[SATIŞ]]</f>
        <v>2091</v>
      </c>
    </row>
    <row r="21" spans="2:10" ht="21" hidden="1" customHeight="1" x14ac:dyDescent="0.3">
      <c r="B21" s="2">
        <v>45330</v>
      </c>
      <c r="C21" s="6">
        <v>10</v>
      </c>
      <c r="D21" s="10">
        <v>67.5</v>
      </c>
      <c r="E21" s="10">
        <v>75</v>
      </c>
      <c r="F21" s="9">
        <f>IF(Tablo14[[#This Row],[SATIŞ]]=0,"Açık",(E21-D21)*C21)</f>
        <v>75</v>
      </c>
      <c r="G21" s="11">
        <f>Tablo14[[#This Row],[ADET]]*Tablo14[[#This Row],[ALIŞ]]</f>
        <v>675</v>
      </c>
      <c r="H21" s="11">
        <f>Tablo14[[#This Row],[ADET]]*Tablo14[[#This Row],[SATIŞ]]</f>
        <v>750</v>
      </c>
      <c r="J21">
        <f>68.72*1.02</f>
        <v>70.094399999999993</v>
      </c>
    </row>
    <row r="22" spans="2:10" ht="21" hidden="1" customHeight="1" x14ac:dyDescent="0.3">
      <c r="B22" s="2">
        <v>45334</v>
      </c>
      <c r="C22" s="6">
        <v>25</v>
      </c>
      <c r="D22" s="10">
        <v>69</v>
      </c>
      <c r="E22" s="10">
        <v>73</v>
      </c>
      <c r="F22" s="9">
        <f>IF(Tablo14[[#This Row],[SATIŞ]]=0,"Açık",(E22-D22)*C22)</f>
        <v>100</v>
      </c>
      <c r="G22" s="11">
        <f>Tablo14[[#This Row],[ADET]]*Tablo14[[#This Row],[ALIŞ]]</f>
        <v>1725</v>
      </c>
      <c r="H22" s="11">
        <f>Tablo14[[#This Row],[ADET]]*Tablo14[[#This Row],[SATIŞ]]</f>
        <v>1825</v>
      </c>
    </row>
    <row r="23" spans="2:10" ht="21" hidden="1" customHeight="1" x14ac:dyDescent="0.3">
      <c r="B23" s="2">
        <v>45335</v>
      </c>
      <c r="C23" s="6">
        <v>25</v>
      </c>
      <c r="D23" s="10">
        <v>68</v>
      </c>
      <c r="E23" s="10">
        <v>73</v>
      </c>
      <c r="F23" s="9">
        <f>IF(Tablo14[[#This Row],[SATIŞ]]=0,"Açık",(E23-D23)*C23)</f>
        <v>125</v>
      </c>
      <c r="G23" s="11">
        <f>Tablo14[[#This Row],[ADET]]*Tablo14[[#This Row],[ALIŞ]]</f>
        <v>1700</v>
      </c>
      <c r="H23" s="11">
        <f>Tablo14[[#This Row],[ADET]]*Tablo14[[#This Row],[SATIŞ]]</f>
        <v>1825</v>
      </c>
    </row>
    <row r="24" spans="2:10" ht="21" hidden="1" customHeight="1" x14ac:dyDescent="0.3">
      <c r="B24" s="2">
        <v>45336</v>
      </c>
      <c r="C24" s="6">
        <v>50</v>
      </c>
      <c r="D24" s="10">
        <v>66</v>
      </c>
      <c r="E24" s="10">
        <v>71.5</v>
      </c>
      <c r="F24" s="9">
        <f>IF(Tablo14[[#This Row],[SATIŞ]]=0,"Açık",(E24-D24)*C24)</f>
        <v>275</v>
      </c>
      <c r="G24" s="11">
        <f>Tablo14[[#This Row],[ADET]]*Tablo14[[#This Row],[ALIŞ]]</f>
        <v>3300</v>
      </c>
      <c r="H24" s="11">
        <f>Tablo14[[#This Row],[ADET]]*Tablo14[[#This Row],[SATIŞ]]</f>
        <v>3575</v>
      </c>
    </row>
    <row r="25" spans="2:10" ht="21" hidden="1" customHeight="1" x14ac:dyDescent="0.3">
      <c r="B25" s="2">
        <v>45336</v>
      </c>
      <c r="C25" s="6">
        <v>30</v>
      </c>
      <c r="D25" s="10">
        <v>65</v>
      </c>
      <c r="E25" s="10">
        <v>66.66</v>
      </c>
      <c r="F25" s="9">
        <f>IF(Tablo14[[#This Row],[SATIŞ]]=0,"Açık",(E25-D25)*C25)</f>
        <v>49.799999999999898</v>
      </c>
      <c r="G25" s="11">
        <f>Tablo14[[#This Row],[ADET]]*Tablo14[[#This Row],[ALIŞ]]</f>
        <v>1950</v>
      </c>
      <c r="H25" s="11">
        <f>Tablo14[[#This Row],[ADET]]*Tablo14[[#This Row],[SATIŞ]]</f>
        <v>1999.8</v>
      </c>
    </row>
    <row r="26" spans="2:10" ht="21" hidden="1" customHeight="1" x14ac:dyDescent="0.3">
      <c r="B26" s="2">
        <v>45336</v>
      </c>
      <c r="C26" s="6">
        <v>20</v>
      </c>
      <c r="D26" s="10">
        <v>65</v>
      </c>
      <c r="E26" s="10">
        <v>67</v>
      </c>
      <c r="F26" s="9">
        <f>IF(Tablo14[[#This Row],[SATIŞ]]=0,"Açık",(E26-D26)*C26)</f>
        <v>40</v>
      </c>
      <c r="G26" s="11">
        <f>Tablo14[[#This Row],[ADET]]*Tablo14[[#This Row],[ALIŞ]]</f>
        <v>1300</v>
      </c>
      <c r="H26" s="11">
        <f>Tablo14[[#This Row],[ADET]]*Tablo14[[#This Row],[SATIŞ]]</f>
        <v>1340</v>
      </c>
    </row>
    <row r="27" spans="2:10" ht="21" hidden="1" customHeight="1" x14ac:dyDescent="0.3">
      <c r="B27" s="2">
        <v>45336</v>
      </c>
      <c r="C27" s="6">
        <v>25</v>
      </c>
      <c r="D27" s="10">
        <v>66</v>
      </c>
      <c r="E27" s="10">
        <v>68</v>
      </c>
      <c r="F27" s="9">
        <f>IF(Tablo14[[#This Row],[SATIŞ]]=0,"Açık",(E27-D27)*C27)</f>
        <v>50</v>
      </c>
      <c r="G27" s="11">
        <f>Tablo14[[#This Row],[ADET]]*Tablo14[[#This Row],[ALIŞ]]</f>
        <v>1650</v>
      </c>
      <c r="H27" s="11">
        <f>Tablo14[[#This Row],[ADET]]*Tablo14[[#This Row],[SATIŞ]]</f>
        <v>1700</v>
      </c>
    </row>
    <row r="28" spans="2:10" ht="21" hidden="1" customHeight="1" x14ac:dyDescent="0.3">
      <c r="B28" s="2">
        <v>45336</v>
      </c>
      <c r="C28" s="6">
        <v>25</v>
      </c>
      <c r="D28" s="10">
        <v>66</v>
      </c>
      <c r="E28" s="10">
        <v>68.099999999999994</v>
      </c>
      <c r="F28" s="9">
        <f>IF(Tablo14[[#This Row],[SATIŞ]]=0,"Açık",(E28-D28)*C28)</f>
        <v>52.499999999999858</v>
      </c>
      <c r="G28" s="11">
        <f>Tablo14[[#This Row],[ADET]]*Tablo14[[#This Row],[ALIŞ]]</f>
        <v>1650</v>
      </c>
      <c r="H28" s="11">
        <f>Tablo14[[#This Row],[ADET]]*Tablo14[[#This Row],[SATIŞ]]</f>
        <v>1702.4999999999998</v>
      </c>
    </row>
    <row r="29" spans="2:10" ht="21" hidden="1" customHeight="1" x14ac:dyDescent="0.3">
      <c r="B29" s="2">
        <v>45341</v>
      </c>
      <c r="C29" s="6">
        <v>50</v>
      </c>
      <c r="D29" s="10">
        <v>73</v>
      </c>
      <c r="E29" s="10">
        <v>72.5</v>
      </c>
      <c r="F29" s="9">
        <f>IF(Tablo14[[#This Row],[SATIŞ]]=0,"Açık",(E29-D29)*C29)</f>
        <v>-25</v>
      </c>
      <c r="G29" s="11">
        <f>Tablo14[[#This Row],[ADET]]*Tablo14[[#This Row],[ALIŞ]]</f>
        <v>3650</v>
      </c>
      <c r="H29" s="11">
        <f>Tablo14[[#This Row],[ADET]]*Tablo14[[#This Row],[SATIŞ]]</f>
        <v>3625</v>
      </c>
    </row>
    <row r="30" spans="2:10" ht="21" hidden="1" customHeight="1" x14ac:dyDescent="0.3">
      <c r="B30" s="2">
        <v>45341</v>
      </c>
      <c r="C30" s="6">
        <v>10</v>
      </c>
      <c r="D30" s="10">
        <v>72</v>
      </c>
      <c r="E30" s="10">
        <v>72.5</v>
      </c>
      <c r="F30" s="9">
        <f>IF(Tablo14[[#This Row],[SATIŞ]]=0,"Açık",(E30-D30)*C30)</f>
        <v>5</v>
      </c>
      <c r="G30" s="11">
        <f>Tablo14[[#This Row],[ADET]]*Tablo14[[#This Row],[ALIŞ]]</f>
        <v>720</v>
      </c>
      <c r="H30" s="11">
        <f>Tablo14[[#This Row],[ADET]]*Tablo14[[#This Row],[SATIŞ]]</f>
        <v>725</v>
      </c>
    </row>
    <row r="31" spans="2:10" ht="21" hidden="1" customHeight="1" x14ac:dyDescent="0.3">
      <c r="B31" s="2">
        <v>45341</v>
      </c>
      <c r="C31" s="6">
        <v>40</v>
      </c>
      <c r="D31" s="10">
        <v>72</v>
      </c>
      <c r="E31" s="10">
        <v>75</v>
      </c>
      <c r="F31" s="9">
        <f>IF(Tablo14[[#This Row],[SATIŞ]]=0,"Açık",(E31-D31)*C31)</f>
        <v>120</v>
      </c>
      <c r="G31" s="11">
        <f>Tablo14[[#This Row],[ADET]]*Tablo14[[#This Row],[ALIŞ]]</f>
        <v>2880</v>
      </c>
      <c r="H31" s="11">
        <f>Tablo14[[#This Row],[ADET]]*Tablo14[[#This Row],[SATIŞ]]</f>
        <v>3000</v>
      </c>
    </row>
    <row r="32" spans="2:10" ht="21" hidden="1" customHeight="1" x14ac:dyDescent="0.3">
      <c r="B32" s="2">
        <v>45341</v>
      </c>
      <c r="C32" s="6">
        <v>50</v>
      </c>
      <c r="D32" s="10">
        <v>71</v>
      </c>
      <c r="E32" s="10">
        <v>80</v>
      </c>
      <c r="F32" s="9">
        <f>IF(Tablo14[[#This Row],[SATIŞ]]=0,"Açık",(E32-D32)*C32)</f>
        <v>450</v>
      </c>
      <c r="G32" s="11">
        <f>Tablo14[[#This Row],[ADET]]*Tablo14[[#This Row],[ALIŞ]]</f>
        <v>3550</v>
      </c>
      <c r="H32" s="11">
        <f>Tablo14[[#This Row],[ADET]]*Tablo14[[#This Row],[SATIŞ]]</f>
        <v>4000</v>
      </c>
    </row>
    <row r="33" spans="2:10" ht="21" hidden="1" customHeight="1" x14ac:dyDescent="0.3">
      <c r="B33" s="2">
        <v>45341</v>
      </c>
      <c r="C33" s="6">
        <v>50</v>
      </c>
      <c r="D33" s="10">
        <v>70</v>
      </c>
      <c r="E33" s="10">
        <v>84</v>
      </c>
      <c r="F33" s="9">
        <f>IF(Tablo14[[#This Row],[SATIŞ]]=0,"Açık",(E33-D33)*C33)</f>
        <v>700</v>
      </c>
      <c r="G33" s="11">
        <f>Tablo14[[#This Row],[ADET]]*Tablo14[[#This Row],[ALIŞ]]</f>
        <v>3500</v>
      </c>
      <c r="H33" s="11">
        <f>Tablo14[[#This Row],[ADET]]*Tablo14[[#This Row],[SATIŞ]]</f>
        <v>4200</v>
      </c>
    </row>
    <row r="34" spans="2:10" ht="21" customHeight="1" x14ac:dyDescent="0.3">
      <c r="B34" s="2">
        <v>45345</v>
      </c>
      <c r="C34" s="6">
        <v>50</v>
      </c>
      <c r="D34" s="10">
        <v>82</v>
      </c>
      <c r="E34" s="10"/>
      <c r="F34" s="9" t="str">
        <f>IF(Tablo14[[#This Row],[SATIŞ]]=0,"Açık",(E34-D34)*C34)</f>
        <v>Açık</v>
      </c>
      <c r="G34" s="11">
        <f>Tablo14[[#This Row],[ADET]]*Tablo14[[#This Row],[ALIŞ]]</f>
        <v>4100</v>
      </c>
      <c r="H34" s="11">
        <f>Tablo14[[#This Row],[ADET]]*Tablo14[[#This Row],[SATIŞ]]</f>
        <v>0</v>
      </c>
      <c r="J34" s="40">
        <f t="shared" ref="J34:J65" si="0">IF(E34=0,D34*1.05,"")</f>
        <v>86.100000000000009</v>
      </c>
    </row>
    <row r="35" spans="2:10" ht="21" customHeight="1" x14ac:dyDescent="0.3">
      <c r="B35" s="2">
        <v>45345</v>
      </c>
      <c r="C35" s="6">
        <v>50</v>
      </c>
      <c r="D35" s="10">
        <v>81</v>
      </c>
      <c r="E35" s="10"/>
      <c r="F35" s="9" t="str">
        <f>IF(Tablo14[[#This Row],[SATIŞ]]=0,"Açık",(E35-D35)*C35)</f>
        <v>Açık</v>
      </c>
      <c r="G35" s="11">
        <f>Tablo14[[#This Row],[ADET]]*Tablo14[[#This Row],[ALIŞ]]</f>
        <v>4050</v>
      </c>
      <c r="H35" s="11">
        <f>Tablo14[[#This Row],[ADET]]*Tablo14[[#This Row],[SATIŞ]]</f>
        <v>0</v>
      </c>
      <c r="J35" s="40">
        <f t="shared" si="0"/>
        <v>85.05</v>
      </c>
    </row>
    <row r="36" spans="2:10" ht="21" customHeight="1" x14ac:dyDescent="0.3">
      <c r="B36" s="2">
        <v>45345</v>
      </c>
      <c r="C36" s="6">
        <v>50</v>
      </c>
      <c r="D36" s="10">
        <v>81</v>
      </c>
      <c r="E36" s="10"/>
      <c r="F36" s="9" t="str">
        <f>IF(Tablo14[[#This Row],[SATIŞ]]=0,"Açık",(E36-D36)*C36)</f>
        <v>Açık</v>
      </c>
      <c r="G36" s="11">
        <f>Tablo14[[#This Row],[ADET]]*Tablo14[[#This Row],[ALIŞ]]</f>
        <v>4050</v>
      </c>
      <c r="H36" s="11">
        <f>Tablo14[[#This Row],[ADET]]*Tablo14[[#This Row],[SATIŞ]]</f>
        <v>0</v>
      </c>
      <c r="J36" s="40">
        <f t="shared" si="0"/>
        <v>85.05</v>
      </c>
    </row>
    <row r="37" spans="2:10" ht="21" customHeight="1" x14ac:dyDescent="0.3">
      <c r="B37" s="2">
        <v>45345</v>
      </c>
      <c r="C37" s="6">
        <v>50</v>
      </c>
      <c r="D37" s="10">
        <v>79.8</v>
      </c>
      <c r="E37" s="10"/>
      <c r="F37" s="9" t="str">
        <f>IF(Tablo14[[#This Row],[SATIŞ]]=0,"Açık",(E37-D37)*C37)</f>
        <v>Açık</v>
      </c>
      <c r="G37" s="11">
        <f>Tablo14[[#This Row],[ADET]]*Tablo14[[#This Row],[ALIŞ]]</f>
        <v>3990</v>
      </c>
      <c r="H37" s="11">
        <f>Tablo14[[#This Row],[ADET]]*Tablo14[[#This Row],[SATIŞ]]</f>
        <v>0</v>
      </c>
      <c r="J37" s="40">
        <f t="shared" si="0"/>
        <v>83.79</v>
      </c>
    </row>
    <row r="38" spans="2:10" ht="21" customHeight="1" x14ac:dyDescent="0.3">
      <c r="B38" s="2">
        <v>45345</v>
      </c>
      <c r="C38" s="6">
        <v>50</v>
      </c>
      <c r="D38" s="10">
        <v>79.8</v>
      </c>
      <c r="E38" s="10"/>
      <c r="F38" s="9" t="str">
        <f>IF(Tablo14[[#This Row],[SATIŞ]]=0,"Açık",(E38-D38)*C38)</f>
        <v>Açık</v>
      </c>
      <c r="G38" s="11">
        <f>Tablo14[[#This Row],[ADET]]*Tablo14[[#This Row],[ALIŞ]]</f>
        <v>3990</v>
      </c>
      <c r="H38" s="11">
        <f>Tablo14[[#This Row],[ADET]]*Tablo14[[#This Row],[SATIŞ]]</f>
        <v>0</v>
      </c>
      <c r="J38" s="40">
        <f t="shared" si="0"/>
        <v>83.79</v>
      </c>
    </row>
    <row r="39" spans="2:10" ht="21" customHeight="1" x14ac:dyDescent="0.3">
      <c r="B39" s="2">
        <v>45345</v>
      </c>
      <c r="C39" s="6">
        <v>50</v>
      </c>
      <c r="D39" s="10">
        <v>79.7</v>
      </c>
      <c r="E39" s="10"/>
      <c r="F39" s="9" t="str">
        <f>IF(Tablo14[[#This Row],[SATIŞ]]=0,"Açık",(E39-D39)*C39)</f>
        <v>Açık</v>
      </c>
      <c r="G39" s="11">
        <f>Tablo14[[#This Row],[ADET]]*Tablo14[[#This Row],[ALIŞ]]</f>
        <v>3985</v>
      </c>
      <c r="H39" s="11">
        <f>Tablo14[[#This Row],[ADET]]*Tablo14[[#This Row],[SATIŞ]]</f>
        <v>0</v>
      </c>
      <c r="J39" s="40">
        <f t="shared" si="0"/>
        <v>83.685000000000002</v>
      </c>
    </row>
    <row r="40" spans="2:10" ht="21" customHeight="1" x14ac:dyDescent="0.3">
      <c r="B40" s="2">
        <v>45345</v>
      </c>
      <c r="C40" s="6">
        <v>50</v>
      </c>
      <c r="D40" s="10">
        <v>79.7</v>
      </c>
      <c r="E40" s="10"/>
      <c r="F40" s="9" t="str">
        <f>IF(Tablo14[[#This Row],[SATIŞ]]=0,"Açık",(E40-D40)*C40)</f>
        <v>Açık</v>
      </c>
      <c r="G40" s="11">
        <f>Tablo14[[#This Row],[ADET]]*Tablo14[[#This Row],[ALIŞ]]</f>
        <v>3985</v>
      </c>
      <c r="H40" s="11">
        <f>Tablo14[[#This Row],[ADET]]*Tablo14[[#This Row],[SATIŞ]]</f>
        <v>0</v>
      </c>
      <c r="J40" s="40">
        <f t="shared" si="0"/>
        <v>83.685000000000002</v>
      </c>
    </row>
    <row r="41" spans="2:10" ht="21" customHeight="1" x14ac:dyDescent="0.3">
      <c r="B41" s="2">
        <v>45345</v>
      </c>
      <c r="C41" s="6">
        <v>50</v>
      </c>
      <c r="D41" s="10">
        <v>79</v>
      </c>
      <c r="E41" s="10"/>
      <c r="F41" s="9" t="str">
        <f>IF(Tablo14[[#This Row],[SATIŞ]]=0,"Açık",(E41-D41)*C41)</f>
        <v>Açık</v>
      </c>
      <c r="G41" s="11">
        <f>Tablo14[[#This Row],[ADET]]*Tablo14[[#This Row],[ALIŞ]]</f>
        <v>3950</v>
      </c>
      <c r="H41" s="11">
        <f>Tablo14[[#This Row],[ADET]]*Tablo14[[#This Row],[SATIŞ]]</f>
        <v>0</v>
      </c>
      <c r="J41" s="40">
        <f t="shared" si="0"/>
        <v>82.95</v>
      </c>
    </row>
    <row r="42" spans="2:10" ht="21" customHeight="1" x14ac:dyDescent="0.3">
      <c r="B42" s="2">
        <v>45345</v>
      </c>
      <c r="C42" s="6">
        <v>50</v>
      </c>
      <c r="D42" s="10">
        <v>79</v>
      </c>
      <c r="E42" s="10"/>
      <c r="F42" s="9" t="str">
        <f>IF(Tablo14[[#This Row],[SATIŞ]]=0,"Açık",(E42-D42)*C42)</f>
        <v>Açık</v>
      </c>
      <c r="G42" s="11">
        <f>Tablo14[[#This Row],[ADET]]*Tablo14[[#This Row],[ALIŞ]]</f>
        <v>3950</v>
      </c>
      <c r="H42" s="11">
        <f>Tablo14[[#This Row],[ADET]]*Tablo14[[#This Row],[SATIŞ]]</f>
        <v>0</v>
      </c>
      <c r="J42" s="40">
        <f t="shared" si="0"/>
        <v>82.95</v>
      </c>
    </row>
    <row r="43" spans="2:10" ht="21" customHeight="1" x14ac:dyDescent="0.3">
      <c r="B43" s="2">
        <v>45345</v>
      </c>
      <c r="C43" s="6">
        <v>50</v>
      </c>
      <c r="D43" s="10">
        <v>79.3</v>
      </c>
      <c r="E43" s="10"/>
      <c r="F43" s="9" t="str">
        <f>IF(Tablo14[[#This Row],[SATIŞ]]=0,"Açık",(E43-D43)*C43)</f>
        <v>Açık</v>
      </c>
      <c r="G43" s="11">
        <f>Tablo14[[#This Row],[ADET]]*Tablo14[[#This Row],[ALIŞ]]</f>
        <v>3965</v>
      </c>
      <c r="H43" s="11">
        <f>Tablo14[[#This Row],[ADET]]*Tablo14[[#This Row],[SATIŞ]]</f>
        <v>0</v>
      </c>
      <c r="J43" s="40">
        <f t="shared" si="0"/>
        <v>83.265000000000001</v>
      </c>
    </row>
    <row r="44" spans="2:10" ht="21" customHeight="1" x14ac:dyDescent="0.3">
      <c r="B44" s="2">
        <v>45345</v>
      </c>
      <c r="C44" s="6">
        <v>50</v>
      </c>
      <c r="D44" s="10">
        <v>79.400000000000006</v>
      </c>
      <c r="E44" s="10"/>
      <c r="F44" s="9" t="str">
        <f>IF(Tablo14[[#This Row],[SATIŞ]]=0,"Açık",(E44-D44)*C44)</f>
        <v>Açık</v>
      </c>
      <c r="G44" s="11">
        <f>Tablo14[[#This Row],[ADET]]*Tablo14[[#This Row],[ALIŞ]]</f>
        <v>3970.0000000000005</v>
      </c>
      <c r="H44" s="11">
        <f>Tablo14[[#This Row],[ADET]]*Tablo14[[#This Row],[SATIŞ]]</f>
        <v>0</v>
      </c>
      <c r="J44" s="40">
        <f t="shared" si="0"/>
        <v>83.37</v>
      </c>
    </row>
    <row r="45" spans="2:10" ht="21" customHeight="1" x14ac:dyDescent="0.3">
      <c r="B45" s="2">
        <v>45345</v>
      </c>
      <c r="C45" s="6">
        <v>50</v>
      </c>
      <c r="D45" s="10">
        <v>79.5</v>
      </c>
      <c r="E45" s="10"/>
      <c r="F45" s="9" t="str">
        <f>IF(Tablo14[[#This Row],[SATIŞ]]=0,"Açık",(E45-D45)*C45)</f>
        <v>Açık</v>
      </c>
      <c r="G45" s="11">
        <f>Tablo14[[#This Row],[ADET]]*Tablo14[[#This Row],[ALIŞ]]</f>
        <v>3975</v>
      </c>
      <c r="H45" s="11">
        <f>Tablo14[[#This Row],[ADET]]*Tablo14[[#This Row],[SATIŞ]]</f>
        <v>0</v>
      </c>
      <c r="J45" s="40">
        <f t="shared" si="0"/>
        <v>83.475000000000009</v>
      </c>
    </row>
    <row r="46" spans="2:10" ht="21" customHeight="1" x14ac:dyDescent="0.3">
      <c r="B46" s="2">
        <v>45345</v>
      </c>
      <c r="C46" s="6">
        <v>50</v>
      </c>
      <c r="D46" s="10">
        <v>79.599999999999994</v>
      </c>
      <c r="E46" s="10"/>
      <c r="F46" s="9" t="str">
        <f>IF(Tablo14[[#This Row],[SATIŞ]]=0,"Açık",(E46-D46)*C46)</f>
        <v>Açık</v>
      </c>
      <c r="G46" s="11">
        <f>Tablo14[[#This Row],[ADET]]*Tablo14[[#This Row],[ALIŞ]]</f>
        <v>3979.9999999999995</v>
      </c>
      <c r="H46" s="11">
        <f>Tablo14[[#This Row],[ADET]]*Tablo14[[#This Row],[SATIŞ]]</f>
        <v>0</v>
      </c>
      <c r="J46" s="40">
        <f t="shared" si="0"/>
        <v>83.58</v>
      </c>
    </row>
    <row r="47" spans="2:10" ht="21" hidden="1" customHeight="1" x14ac:dyDescent="0.3">
      <c r="B47" s="2">
        <v>45345</v>
      </c>
      <c r="C47" s="6">
        <v>50</v>
      </c>
      <c r="D47" s="10">
        <v>78</v>
      </c>
      <c r="E47" s="10">
        <v>78.5</v>
      </c>
      <c r="F47" s="9">
        <f>IF(Tablo14[[#This Row],[SATIŞ]]=0,"Açık",(E47-D47)*C47)</f>
        <v>25</v>
      </c>
      <c r="G47" s="11">
        <f>Tablo14[[#This Row],[ADET]]*Tablo14[[#This Row],[ALIŞ]]</f>
        <v>3900</v>
      </c>
      <c r="H47" s="11">
        <f>Tablo14[[#This Row],[ADET]]*Tablo14[[#This Row],[SATIŞ]]</f>
        <v>3925</v>
      </c>
      <c r="J47" s="40" t="str">
        <f t="shared" si="0"/>
        <v/>
      </c>
    </row>
    <row r="48" spans="2:10" ht="21" customHeight="1" x14ac:dyDescent="0.3">
      <c r="B48" s="2">
        <v>45345</v>
      </c>
      <c r="C48" s="6">
        <v>50</v>
      </c>
      <c r="D48" s="10">
        <v>78</v>
      </c>
      <c r="E48" s="10"/>
      <c r="F48" s="9" t="str">
        <f>IF(Tablo14[[#This Row],[SATIŞ]]=0,"Açık",(E48-D48)*C48)</f>
        <v>Açık</v>
      </c>
      <c r="G48" s="11">
        <f>Tablo14[[#This Row],[ADET]]*Tablo14[[#This Row],[ALIŞ]]</f>
        <v>3900</v>
      </c>
      <c r="H48" s="11">
        <f>Tablo14[[#This Row],[ADET]]*Tablo14[[#This Row],[SATIŞ]]</f>
        <v>0</v>
      </c>
      <c r="J48" s="40">
        <f t="shared" si="0"/>
        <v>81.900000000000006</v>
      </c>
    </row>
    <row r="49" spans="2:10" ht="21" customHeight="1" x14ac:dyDescent="0.3">
      <c r="B49" s="2">
        <v>45345</v>
      </c>
      <c r="C49" s="6">
        <v>50</v>
      </c>
      <c r="D49" s="10">
        <v>78</v>
      </c>
      <c r="E49" s="10"/>
      <c r="F49" s="9" t="str">
        <f>IF(Tablo14[[#This Row],[SATIŞ]]=0,"Açık",(E49-D49)*C49)</f>
        <v>Açık</v>
      </c>
      <c r="G49" s="11">
        <f>Tablo14[[#This Row],[ADET]]*Tablo14[[#This Row],[ALIŞ]]</f>
        <v>3900</v>
      </c>
      <c r="H49" s="11">
        <f>Tablo14[[#This Row],[ADET]]*Tablo14[[#This Row],[SATIŞ]]</f>
        <v>0</v>
      </c>
      <c r="J49" s="40">
        <f t="shared" si="0"/>
        <v>81.900000000000006</v>
      </c>
    </row>
    <row r="50" spans="2:10" ht="21" hidden="1" customHeight="1" x14ac:dyDescent="0.3">
      <c r="B50" s="2">
        <v>45345</v>
      </c>
      <c r="C50" s="6">
        <v>50</v>
      </c>
      <c r="D50" s="10">
        <v>77</v>
      </c>
      <c r="E50" s="10">
        <v>77.5</v>
      </c>
      <c r="F50" s="9">
        <f>IF(Tablo14[[#This Row],[SATIŞ]]=0,"Açık",(E50-D50)*C50)</f>
        <v>25</v>
      </c>
      <c r="G50" s="11">
        <f>Tablo14[[#This Row],[ADET]]*Tablo14[[#This Row],[ALIŞ]]</f>
        <v>3850</v>
      </c>
      <c r="H50" s="11">
        <f>Tablo14[[#This Row],[ADET]]*Tablo14[[#This Row],[SATIŞ]]</f>
        <v>3875</v>
      </c>
      <c r="J50" s="40" t="str">
        <f t="shared" si="0"/>
        <v/>
      </c>
    </row>
    <row r="51" spans="2:10" ht="21" hidden="1" customHeight="1" x14ac:dyDescent="0.3">
      <c r="B51" s="2">
        <v>45345</v>
      </c>
      <c r="C51" s="6">
        <v>50</v>
      </c>
      <c r="D51" s="10">
        <v>77</v>
      </c>
      <c r="E51" s="10">
        <v>78</v>
      </c>
      <c r="F51" s="9">
        <f>IF(Tablo14[[#This Row],[SATIŞ]]=0,"Açık",(E51-D51)*C51)</f>
        <v>50</v>
      </c>
      <c r="G51" s="11">
        <f>Tablo14[[#This Row],[ADET]]*Tablo14[[#This Row],[ALIŞ]]</f>
        <v>3850</v>
      </c>
      <c r="H51" s="11">
        <f>Tablo14[[#This Row],[ADET]]*Tablo14[[#This Row],[SATIŞ]]</f>
        <v>3900</v>
      </c>
      <c r="J51" s="40" t="str">
        <f t="shared" si="0"/>
        <v/>
      </c>
    </row>
    <row r="52" spans="2:10" ht="21" customHeight="1" x14ac:dyDescent="0.3">
      <c r="B52" s="2">
        <v>45345</v>
      </c>
      <c r="C52" s="6">
        <v>50</v>
      </c>
      <c r="D52" s="10">
        <v>77</v>
      </c>
      <c r="E52" s="10"/>
      <c r="F52" s="9" t="str">
        <f>IF(Tablo14[[#This Row],[SATIŞ]]=0,"Açık",(E52-D52)*C52)</f>
        <v>Açık</v>
      </c>
      <c r="G52" s="11">
        <f>Tablo14[[#This Row],[ADET]]*Tablo14[[#This Row],[ALIŞ]]</f>
        <v>3850</v>
      </c>
      <c r="H52" s="11">
        <f>Tablo14[[#This Row],[ADET]]*Tablo14[[#This Row],[SATIŞ]]</f>
        <v>0</v>
      </c>
      <c r="J52" s="40">
        <f t="shared" si="0"/>
        <v>80.850000000000009</v>
      </c>
    </row>
    <row r="53" spans="2:10" ht="21" customHeight="1" x14ac:dyDescent="0.3">
      <c r="B53" s="2">
        <v>45345</v>
      </c>
      <c r="C53" s="6">
        <v>50</v>
      </c>
      <c r="D53" s="10">
        <v>77</v>
      </c>
      <c r="E53" s="10"/>
      <c r="F53" s="9" t="str">
        <f>IF(Tablo14[[#This Row],[SATIŞ]]=0,"Açık",(E53-D53)*C53)</f>
        <v>Açık</v>
      </c>
      <c r="G53" s="11">
        <f>Tablo14[[#This Row],[ADET]]*Tablo14[[#This Row],[ALIŞ]]</f>
        <v>3850</v>
      </c>
      <c r="H53" s="11">
        <f>Tablo14[[#This Row],[ADET]]*Tablo14[[#This Row],[SATIŞ]]</f>
        <v>0</v>
      </c>
      <c r="J53" s="40">
        <f t="shared" si="0"/>
        <v>80.850000000000009</v>
      </c>
    </row>
    <row r="54" spans="2:10" ht="21" hidden="1" customHeight="1" x14ac:dyDescent="0.3">
      <c r="B54" s="2">
        <v>45345</v>
      </c>
      <c r="C54" s="6">
        <v>50</v>
      </c>
      <c r="D54" s="10">
        <v>77.5</v>
      </c>
      <c r="E54" s="10">
        <v>78</v>
      </c>
      <c r="F54" s="9">
        <f>IF(Tablo14[[#This Row],[SATIŞ]]=0,"Açık",(E54-D54)*C54)</f>
        <v>25</v>
      </c>
      <c r="G54" s="11">
        <f>Tablo14[[#This Row],[ADET]]*Tablo14[[#This Row],[ALIŞ]]</f>
        <v>3875</v>
      </c>
      <c r="H54" s="11">
        <f>Tablo14[[#This Row],[ADET]]*Tablo14[[#This Row],[SATIŞ]]</f>
        <v>3900</v>
      </c>
      <c r="J54" s="40" t="str">
        <f t="shared" si="0"/>
        <v/>
      </c>
    </row>
    <row r="55" spans="2:10" ht="21" hidden="1" customHeight="1" x14ac:dyDescent="0.3">
      <c r="B55" s="2">
        <v>45348</v>
      </c>
      <c r="C55" s="6">
        <v>50</v>
      </c>
      <c r="D55" s="10">
        <v>74</v>
      </c>
      <c r="E55" s="10">
        <v>77</v>
      </c>
      <c r="F55" s="9">
        <f>IF(Tablo14[[#This Row],[SATIŞ]]=0,"Açık",(E55-D55)*C55)</f>
        <v>150</v>
      </c>
      <c r="G55" s="11">
        <f>Tablo14[[#This Row],[ADET]]*Tablo14[[#This Row],[ALIŞ]]</f>
        <v>3700</v>
      </c>
      <c r="H55" s="11">
        <f>Tablo14[[#This Row],[ADET]]*Tablo14[[#This Row],[SATIŞ]]</f>
        <v>3850</v>
      </c>
      <c r="J55" s="40" t="str">
        <f t="shared" si="0"/>
        <v/>
      </c>
    </row>
    <row r="56" spans="2:10" ht="21" customHeight="1" x14ac:dyDescent="0.3">
      <c r="B56" s="2">
        <v>45348</v>
      </c>
      <c r="C56" s="6">
        <v>50</v>
      </c>
      <c r="D56" s="10">
        <v>74</v>
      </c>
      <c r="E56" s="10"/>
      <c r="F56" s="9" t="str">
        <f>IF(Tablo14[[#This Row],[SATIŞ]]=0,"Açık",(E56-D56)*C56)</f>
        <v>Açık</v>
      </c>
      <c r="G56" s="11">
        <f>Tablo14[[#This Row],[ADET]]*Tablo14[[#This Row],[ALIŞ]]</f>
        <v>3700</v>
      </c>
      <c r="H56" s="11">
        <f>Tablo14[[#This Row],[ADET]]*Tablo14[[#This Row],[SATIŞ]]</f>
        <v>0</v>
      </c>
      <c r="J56" s="40">
        <f t="shared" si="0"/>
        <v>77.7</v>
      </c>
    </row>
    <row r="57" spans="2:10" ht="21" customHeight="1" x14ac:dyDescent="0.3">
      <c r="B57" s="2">
        <v>45348</v>
      </c>
      <c r="C57" s="6">
        <v>50</v>
      </c>
      <c r="D57" s="10">
        <v>74</v>
      </c>
      <c r="E57" s="10"/>
      <c r="F57" s="9" t="str">
        <f>IF(Tablo14[[#This Row],[SATIŞ]]=0,"Açık",(E57-D57)*C57)</f>
        <v>Açık</v>
      </c>
      <c r="G57" s="11">
        <f>Tablo14[[#This Row],[ADET]]*Tablo14[[#This Row],[ALIŞ]]</f>
        <v>3700</v>
      </c>
      <c r="H57" s="11">
        <f>Tablo14[[#This Row],[ADET]]*Tablo14[[#This Row],[SATIŞ]]</f>
        <v>0</v>
      </c>
      <c r="J57" s="40">
        <f t="shared" si="0"/>
        <v>77.7</v>
      </c>
    </row>
    <row r="58" spans="2:10" ht="21" customHeight="1" x14ac:dyDescent="0.3">
      <c r="B58" s="2">
        <v>45348</v>
      </c>
      <c r="C58" s="6">
        <v>50</v>
      </c>
      <c r="D58" s="10">
        <v>74</v>
      </c>
      <c r="E58" s="10"/>
      <c r="F58" s="9" t="str">
        <f>IF(Tablo14[[#This Row],[SATIŞ]]=0,"Açık",(E58-D58)*C58)</f>
        <v>Açık</v>
      </c>
      <c r="G58" s="11">
        <f>Tablo14[[#This Row],[ADET]]*Tablo14[[#This Row],[ALIŞ]]</f>
        <v>3700</v>
      </c>
      <c r="H58" s="11">
        <f>Tablo14[[#This Row],[ADET]]*Tablo14[[#This Row],[SATIŞ]]</f>
        <v>0</v>
      </c>
      <c r="J58" s="40">
        <f t="shared" si="0"/>
        <v>77.7</v>
      </c>
    </row>
    <row r="59" spans="2:10" ht="21" customHeight="1" x14ac:dyDescent="0.3">
      <c r="B59" s="2">
        <v>45348</v>
      </c>
      <c r="C59" s="6">
        <v>50</v>
      </c>
      <c r="D59" s="10">
        <v>75</v>
      </c>
      <c r="E59" s="10"/>
      <c r="F59" s="9" t="str">
        <f>IF(Tablo14[[#This Row],[SATIŞ]]=0,"Açık",(E59-D59)*C59)</f>
        <v>Açık</v>
      </c>
      <c r="G59" s="11">
        <f>Tablo14[[#This Row],[ADET]]*Tablo14[[#This Row],[ALIŞ]]</f>
        <v>3750</v>
      </c>
      <c r="H59" s="11">
        <f>Tablo14[[#This Row],[ADET]]*Tablo14[[#This Row],[SATIŞ]]</f>
        <v>0</v>
      </c>
      <c r="J59" s="40">
        <f t="shared" si="0"/>
        <v>78.75</v>
      </c>
    </row>
    <row r="60" spans="2:10" ht="21" customHeight="1" x14ac:dyDescent="0.3">
      <c r="B60" s="2">
        <v>45348</v>
      </c>
      <c r="C60" s="6">
        <v>50</v>
      </c>
      <c r="D60" s="10">
        <v>76</v>
      </c>
      <c r="E60" s="10"/>
      <c r="F60" s="9" t="str">
        <f>IF(Tablo14[[#This Row],[SATIŞ]]=0,"Açık",(E60-D60)*C60)</f>
        <v>Açık</v>
      </c>
      <c r="G60" s="11">
        <f>Tablo14[[#This Row],[ADET]]*Tablo14[[#This Row],[ALIŞ]]</f>
        <v>3800</v>
      </c>
      <c r="H60" s="11">
        <f>Tablo14[[#This Row],[ADET]]*Tablo14[[#This Row],[SATIŞ]]</f>
        <v>0</v>
      </c>
      <c r="J60" s="40">
        <f t="shared" si="0"/>
        <v>79.8</v>
      </c>
    </row>
    <row r="61" spans="2:10" ht="21" customHeight="1" x14ac:dyDescent="0.3">
      <c r="B61" s="2">
        <v>45348</v>
      </c>
      <c r="C61" s="6">
        <v>50</v>
      </c>
      <c r="D61" s="10">
        <v>72</v>
      </c>
      <c r="E61" s="10"/>
      <c r="F61" s="9" t="str">
        <f>IF(Tablo14[[#This Row],[SATIŞ]]=0,"Açık",(E61-D61)*C61)</f>
        <v>Açık</v>
      </c>
      <c r="G61" s="11">
        <f>Tablo14[[#This Row],[ADET]]*Tablo14[[#This Row],[ALIŞ]]</f>
        <v>3600</v>
      </c>
      <c r="H61" s="11">
        <f>Tablo14[[#This Row],[ADET]]*Tablo14[[#This Row],[SATIŞ]]</f>
        <v>0</v>
      </c>
      <c r="J61" s="40">
        <f t="shared" si="0"/>
        <v>75.600000000000009</v>
      </c>
    </row>
    <row r="62" spans="2:10" ht="21" hidden="1" customHeight="1" x14ac:dyDescent="0.3">
      <c r="B62" s="2">
        <v>45348</v>
      </c>
      <c r="C62" s="6">
        <v>50</v>
      </c>
      <c r="D62" s="10">
        <v>72</v>
      </c>
      <c r="E62" s="10">
        <v>73</v>
      </c>
      <c r="F62" s="9">
        <f>IF(Tablo14[[#This Row],[SATIŞ]]=0,"Açık",(E62-D62)*C62)</f>
        <v>50</v>
      </c>
      <c r="G62" s="11">
        <f>Tablo14[[#This Row],[ADET]]*Tablo14[[#This Row],[ALIŞ]]</f>
        <v>3600</v>
      </c>
      <c r="H62" s="11">
        <f>Tablo14[[#This Row],[ADET]]*Tablo14[[#This Row],[SATIŞ]]</f>
        <v>3650</v>
      </c>
      <c r="J62" s="40" t="str">
        <f t="shared" si="0"/>
        <v/>
      </c>
    </row>
    <row r="63" spans="2:10" ht="21" hidden="1" customHeight="1" x14ac:dyDescent="0.3">
      <c r="B63" s="2">
        <v>45348</v>
      </c>
      <c r="C63" s="6">
        <v>50</v>
      </c>
      <c r="D63" s="10">
        <v>71</v>
      </c>
      <c r="E63" s="10">
        <v>72</v>
      </c>
      <c r="F63" s="9">
        <f>IF(Tablo14[[#This Row],[SATIŞ]]=0,"Açık",(E63-D63)*C63)</f>
        <v>50</v>
      </c>
      <c r="G63" s="11">
        <f>Tablo14[[#This Row],[ADET]]*Tablo14[[#This Row],[ALIŞ]]</f>
        <v>3550</v>
      </c>
      <c r="H63" s="11">
        <f>Tablo14[[#This Row],[ADET]]*Tablo14[[#This Row],[SATIŞ]]</f>
        <v>3600</v>
      </c>
      <c r="J63" s="40" t="str">
        <f t="shared" si="0"/>
        <v/>
      </c>
    </row>
    <row r="64" spans="2:10" ht="21" hidden="1" customHeight="1" x14ac:dyDescent="0.3">
      <c r="B64" s="2">
        <v>45348</v>
      </c>
      <c r="C64" s="6">
        <v>50</v>
      </c>
      <c r="D64" s="10">
        <v>71</v>
      </c>
      <c r="E64" s="10">
        <v>72</v>
      </c>
      <c r="F64" s="9">
        <f>IF(Tablo14[[#This Row],[SATIŞ]]=0,"Açık",(E64-D64)*C64)</f>
        <v>50</v>
      </c>
      <c r="G64" s="11">
        <f>Tablo14[[#This Row],[ADET]]*Tablo14[[#This Row],[ALIŞ]]</f>
        <v>3550</v>
      </c>
      <c r="H64" s="11">
        <f>Tablo14[[#This Row],[ADET]]*Tablo14[[#This Row],[SATIŞ]]</f>
        <v>3600</v>
      </c>
      <c r="J64" s="40" t="str">
        <f t="shared" si="0"/>
        <v/>
      </c>
    </row>
    <row r="65" spans="2:10" ht="21" hidden="1" customHeight="1" x14ac:dyDescent="0.3">
      <c r="B65" s="2">
        <v>45348</v>
      </c>
      <c r="C65" s="6">
        <v>50</v>
      </c>
      <c r="D65" s="10">
        <v>70</v>
      </c>
      <c r="E65" s="10">
        <v>71</v>
      </c>
      <c r="F65" s="9">
        <f>IF(Tablo14[[#This Row],[SATIŞ]]=0,"Açık",(E65-D65)*C65)</f>
        <v>50</v>
      </c>
      <c r="G65" s="11">
        <f>Tablo14[[#This Row],[ADET]]*Tablo14[[#This Row],[ALIŞ]]</f>
        <v>3500</v>
      </c>
      <c r="H65" s="11">
        <f>Tablo14[[#This Row],[ADET]]*Tablo14[[#This Row],[SATIŞ]]</f>
        <v>3550</v>
      </c>
      <c r="J65" s="40" t="str">
        <f t="shared" si="0"/>
        <v/>
      </c>
    </row>
    <row r="66" spans="2:10" ht="21" hidden="1" customHeight="1" x14ac:dyDescent="0.3">
      <c r="B66" s="2">
        <v>45349</v>
      </c>
      <c r="C66" s="6">
        <v>50</v>
      </c>
      <c r="D66" s="10">
        <v>68</v>
      </c>
      <c r="E66" s="10">
        <v>69</v>
      </c>
      <c r="F66" s="9">
        <f>IF(Tablo14[[#This Row],[SATIŞ]]=0,"Açık",(E66-D66)*C66)</f>
        <v>50</v>
      </c>
      <c r="G66" s="11">
        <f>Tablo14[[#This Row],[ADET]]*Tablo14[[#This Row],[ALIŞ]]</f>
        <v>3400</v>
      </c>
      <c r="H66" s="11">
        <f>Tablo14[[#This Row],[ADET]]*Tablo14[[#This Row],[SATIŞ]]</f>
        <v>3450</v>
      </c>
      <c r="J66" s="40" t="str">
        <f t="shared" ref="J66:J97" si="1">IF(E66=0,D66*1.05,"")</f>
        <v/>
      </c>
    </row>
    <row r="67" spans="2:10" ht="21" hidden="1" customHeight="1" x14ac:dyDescent="0.3">
      <c r="B67" s="2">
        <v>45349</v>
      </c>
      <c r="C67" s="6">
        <v>50</v>
      </c>
      <c r="D67" s="10">
        <v>69</v>
      </c>
      <c r="E67" s="10">
        <v>70</v>
      </c>
      <c r="F67" s="9">
        <f>IF(Tablo14[[#This Row],[SATIŞ]]=0,"Açık",(E67-D67)*C67)</f>
        <v>50</v>
      </c>
      <c r="G67" s="11">
        <f>Tablo14[[#This Row],[ADET]]*Tablo14[[#This Row],[ALIŞ]]</f>
        <v>3450</v>
      </c>
      <c r="H67" s="11">
        <f>Tablo14[[#This Row],[ADET]]*Tablo14[[#This Row],[SATIŞ]]</f>
        <v>3500</v>
      </c>
      <c r="J67" s="40" t="str">
        <f t="shared" si="1"/>
        <v/>
      </c>
    </row>
    <row r="68" spans="2:10" ht="21" hidden="1" customHeight="1" x14ac:dyDescent="0.3">
      <c r="B68" s="2">
        <v>45349</v>
      </c>
      <c r="C68" s="6">
        <v>50</v>
      </c>
      <c r="D68" s="10">
        <v>68</v>
      </c>
      <c r="E68" s="10">
        <v>70</v>
      </c>
      <c r="F68" s="9">
        <f>IF(Tablo14[[#This Row],[SATIŞ]]=0,"Açık",(E68-D68)*C68)</f>
        <v>100</v>
      </c>
      <c r="G68" s="11">
        <f>Tablo14[[#This Row],[ADET]]*Tablo14[[#This Row],[ALIŞ]]</f>
        <v>3400</v>
      </c>
      <c r="H68" s="11">
        <f>Tablo14[[#This Row],[ADET]]*Tablo14[[#This Row],[SATIŞ]]</f>
        <v>3500</v>
      </c>
      <c r="J68" s="40" t="str">
        <f t="shared" si="1"/>
        <v/>
      </c>
    </row>
    <row r="69" spans="2:10" ht="21" hidden="1" customHeight="1" x14ac:dyDescent="0.3">
      <c r="B69" s="2">
        <v>45350</v>
      </c>
      <c r="C69" s="6">
        <v>50</v>
      </c>
      <c r="D69" s="10">
        <v>68</v>
      </c>
      <c r="E69" s="10">
        <v>68</v>
      </c>
      <c r="F69" s="9">
        <f>IF(Tablo14[[#This Row],[SATIŞ]]=0,"Açık",(E69-D69)*C69)</f>
        <v>0</v>
      </c>
      <c r="G69" s="11">
        <f>Tablo14[[#This Row],[ADET]]*Tablo14[[#This Row],[ALIŞ]]</f>
        <v>3400</v>
      </c>
      <c r="H69" s="11">
        <f>Tablo14[[#This Row],[ADET]]*Tablo14[[#This Row],[SATIŞ]]</f>
        <v>3400</v>
      </c>
      <c r="J69" s="40" t="str">
        <f t="shared" si="1"/>
        <v/>
      </c>
    </row>
    <row r="70" spans="2:10" ht="21" hidden="1" customHeight="1" x14ac:dyDescent="0.3">
      <c r="B70" s="2">
        <v>45352</v>
      </c>
      <c r="C70" s="6">
        <v>50</v>
      </c>
      <c r="D70" s="10">
        <v>67</v>
      </c>
      <c r="E70" s="10">
        <v>67.5</v>
      </c>
      <c r="F70" s="9">
        <f>IF(Tablo14[[#This Row],[SATIŞ]]=0,"Açık",(E70-D70)*C70)</f>
        <v>25</v>
      </c>
      <c r="G70" s="11">
        <f>Tablo14[[#This Row],[ADET]]*Tablo14[[#This Row],[ALIŞ]]</f>
        <v>3350</v>
      </c>
      <c r="H70" s="11">
        <f>Tablo14[[#This Row],[ADET]]*Tablo14[[#This Row],[SATIŞ]]</f>
        <v>3375</v>
      </c>
      <c r="J70" s="40" t="str">
        <f t="shared" si="1"/>
        <v/>
      </c>
    </row>
    <row r="71" spans="2:10" ht="21" hidden="1" customHeight="1" x14ac:dyDescent="0.3">
      <c r="B71" s="2">
        <v>45352</v>
      </c>
      <c r="C71" s="6">
        <v>25</v>
      </c>
      <c r="D71" s="10">
        <v>67</v>
      </c>
      <c r="E71" s="10">
        <v>67.349999999999994</v>
      </c>
      <c r="F71" s="9">
        <f>IF(Tablo14[[#This Row],[SATIŞ]]=0,"Açık",(E71-D71)*C71)</f>
        <v>8.7499999999998579</v>
      </c>
      <c r="G71" s="11">
        <f>Tablo14[[#This Row],[ADET]]*Tablo14[[#This Row],[ALIŞ]]</f>
        <v>1675</v>
      </c>
      <c r="H71" s="11">
        <f>Tablo14[[#This Row],[ADET]]*Tablo14[[#This Row],[SATIŞ]]</f>
        <v>1683.7499999999998</v>
      </c>
      <c r="J71" s="40" t="str">
        <f t="shared" si="1"/>
        <v/>
      </c>
    </row>
    <row r="72" spans="2:10" ht="21" hidden="1" customHeight="1" x14ac:dyDescent="0.3">
      <c r="B72" s="2">
        <v>45352</v>
      </c>
      <c r="C72" s="6">
        <v>25</v>
      </c>
      <c r="D72" s="10">
        <v>67</v>
      </c>
      <c r="E72" s="10">
        <v>67.349999999999994</v>
      </c>
      <c r="F72" s="9">
        <f>IF(Tablo14[[#This Row],[SATIŞ]]=0,"Açık",(E72-D72)*C72)</f>
        <v>8.7499999999998579</v>
      </c>
      <c r="G72" s="11">
        <f>Tablo14[[#This Row],[ADET]]*Tablo14[[#This Row],[ALIŞ]]</f>
        <v>1675</v>
      </c>
      <c r="H72" s="11">
        <f>Tablo14[[#This Row],[ADET]]*Tablo14[[#This Row],[SATIŞ]]</f>
        <v>1683.7499999999998</v>
      </c>
      <c r="J72" s="40" t="str">
        <f t="shared" si="1"/>
        <v/>
      </c>
    </row>
    <row r="73" spans="2:10" ht="21" hidden="1" customHeight="1" x14ac:dyDescent="0.3">
      <c r="B73" s="2">
        <v>45355</v>
      </c>
      <c r="C73" s="6">
        <v>25</v>
      </c>
      <c r="D73" s="10">
        <v>65</v>
      </c>
      <c r="E73" s="10">
        <v>66.2</v>
      </c>
      <c r="F73" s="9">
        <f>IF(Tablo14[[#This Row],[SATIŞ]]=0,"Açık",(E73-D73)*C73)</f>
        <v>30.000000000000071</v>
      </c>
      <c r="G73" s="11">
        <f>Tablo14[[#This Row],[ADET]]*Tablo14[[#This Row],[ALIŞ]]</f>
        <v>1625</v>
      </c>
      <c r="H73" s="11">
        <f>Tablo14[[#This Row],[ADET]]*Tablo14[[#This Row],[SATIŞ]]</f>
        <v>1655</v>
      </c>
      <c r="J73" s="40" t="str">
        <f t="shared" si="1"/>
        <v/>
      </c>
    </row>
    <row r="74" spans="2:10" ht="21" hidden="1" customHeight="1" x14ac:dyDescent="0.3">
      <c r="B74" s="2">
        <v>45355</v>
      </c>
      <c r="C74" s="6">
        <v>25</v>
      </c>
      <c r="D74" s="10">
        <v>65</v>
      </c>
      <c r="E74" s="10">
        <v>65.5</v>
      </c>
      <c r="F74" s="9">
        <f>IF(Tablo14[[#This Row],[SATIŞ]]=0,"Açık",(E74-D74)*C74)</f>
        <v>12.5</v>
      </c>
      <c r="G74" s="11">
        <f>Tablo14[[#This Row],[ADET]]*Tablo14[[#This Row],[ALIŞ]]</f>
        <v>1625</v>
      </c>
      <c r="H74" s="11">
        <f>Tablo14[[#This Row],[ADET]]*Tablo14[[#This Row],[SATIŞ]]</f>
        <v>1637.5</v>
      </c>
      <c r="J74" s="40" t="str">
        <f t="shared" si="1"/>
        <v/>
      </c>
    </row>
    <row r="75" spans="2:10" ht="21" hidden="1" customHeight="1" x14ac:dyDescent="0.3">
      <c r="B75" s="2">
        <v>45355</v>
      </c>
      <c r="C75" s="6">
        <v>25</v>
      </c>
      <c r="D75" s="10">
        <v>65</v>
      </c>
      <c r="E75" s="10">
        <v>64</v>
      </c>
      <c r="F75" s="9">
        <f>IF(Tablo14[[#This Row],[SATIŞ]]=0,"Açık",(E75-D75)*C75)</f>
        <v>-25</v>
      </c>
      <c r="G75" s="11">
        <f>Tablo14[[#This Row],[ADET]]*Tablo14[[#This Row],[ALIŞ]]</f>
        <v>1625</v>
      </c>
      <c r="H75" s="11">
        <f>Tablo14[[#This Row],[ADET]]*Tablo14[[#This Row],[SATIŞ]]</f>
        <v>1600</v>
      </c>
      <c r="J75" s="40" t="str">
        <f t="shared" si="1"/>
        <v/>
      </c>
    </row>
    <row r="76" spans="2:10" ht="21" hidden="1" customHeight="1" x14ac:dyDescent="0.3">
      <c r="B76" s="2">
        <v>45357</v>
      </c>
      <c r="C76" s="6">
        <v>25</v>
      </c>
      <c r="D76" s="10">
        <v>63.5</v>
      </c>
      <c r="E76" s="10">
        <v>63.5</v>
      </c>
      <c r="F76" s="9">
        <f>IF(Tablo14[[#This Row],[SATIŞ]]=0,"Açık",(E76-D76)*C76)</f>
        <v>0</v>
      </c>
      <c r="G76" s="11">
        <f>Tablo14[[#This Row],[ADET]]*Tablo14[[#This Row],[ALIŞ]]</f>
        <v>1587.5</v>
      </c>
      <c r="H76" s="11">
        <f>Tablo14[[#This Row],[ADET]]*Tablo14[[#This Row],[SATIŞ]]</f>
        <v>1587.5</v>
      </c>
      <c r="J76" s="40" t="str">
        <f t="shared" si="1"/>
        <v/>
      </c>
    </row>
    <row r="77" spans="2:10" ht="21" hidden="1" customHeight="1" x14ac:dyDescent="0.3">
      <c r="B77" s="2">
        <v>45357</v>
      </c>
      <c r="C77" s="6">
        <v>25</v>
      </c>
      <c r="D77" s="10">
        <v>63.5</v>
      </c>
      <c r="E77" s="10">
        <v>63</v>
      </c>
      <c r="F77" s="9">
        <f>IF(Tablo14[[#This Row],[SATIŞ]]=0,"Açık",(E77-D77)*C77)</f>
        <v>-12.5</v>
      </c>
      <c r="G77" s="11">
        <f>Tablo14[[#This Row],[ADET]]*Tablo14[[#This Row],[ALIŞ]]</f>
        <v>1587.5</v>
      </c>
      <c r="H77" s="11">
        <f>Tablo14[[#This Row],[ADET]]*Tablo14[[#This Row],[SATIŞ]]</f>
        <v>1575</v>
      </c>
      <c r="J77" s="40" t="str">
        <f t="shared" si="1"/>
        <v/>
      </c>
    </row>
    <row r="78" spans="2:10" ht="21" hidden="1" customHeight="1" x14ac:dyDescent="0.3">
      <c r="B78" s="2">
        <v>45357</v>
      </c>
      <c r="C78" s="6">
        <v>25</v>
      </c>
      <c r="D78" s="10">
        <v>63</v>
      </c>
      <c r="E78" s="10">
        <v>61.5</v>
      </c>
      <c r="F78" s="9">
        <f>IF(Tablo14[[#This Row],[SATIŞ]]=0,"Açık",(E78-D78)*C78)</f>
        <v>-37.5</v>
      </c>
      <c r="G78" s="11">
        <f>Tablo14[[#This Row],[ADET]]*Tablo14[[#This Row],[ALIŞ]]</f>
        <v>1575</v>
      </c>
      <c r="H78" s="11">
        <f>Tablo14[[#This Row],[ADET]]*Tablo14[[#This Row],[SATIŞ]]</f>
        <v>1537.5</v>
      </c>
      <c r="J78" s="40" t="str">
        <f t="shared" si="1"/>
        <v/>
      </c>
    </row>
    <row r="79" spans="2:10" ht="21" hidden="1" customHeight="1" x14ac:dyDescent="0.3">
      <c r="B79" s="2">
        <v>45357</v>
      </c>
      <c r="C79" s="6">
        <v>50</v>
      </c>
      <c r="D79" s="10">
        <v>62</v>
      </c>
      <c r="E79" s="10">
        <v>62.5</v>
      </c>
      <c r="F79" s="9">
        <f>IF(Tablo14[[#This Row],[SATIŞ]]=0,"Açık",(E79-D79)*C79)</f>
        <v>25</v>
      </c>
      <c r="G79" s="11">
        <f>Tablo14[[#This Row],[ADET]]*Tablo14[[#This Row],[ALIŞ]]</f>
        <v>3100</v>
      </c>
      <c r="H79" s="11">
        <f>Tablo14[[#This Row],[ADET]]*Tablo14[[#This Row],[SATIŞ]]</f>
        <v>3125</v>
      </c>
      <c r="J79" s="40" t="str">
        <f t="shared" si="1"/>
        <v/>
      </c>
    </row>
    <row r="80" spans="2:10" ht="21" hidden="1" customHeight="1" x14ac:dyDescent="0.3">
      <c r="B80" s="2">
        <v>45357</v>
      </c>
      <c r="C80" s="6">
        <v>25</v>
      </c>
      <c r="D80" s="10">
        <v>61.25</v>
      </c>
      <c r="E80" s="10">
        <v>61.75</v>
      </c>
      <c r="F80" s="9">
        <f>IF(Tablo14[[#This Row],[SATIŞ]]=0,"Açık",(E80-D80)*C80)</f>
        <v>12.5</v>
      </c>
      <c r="G80" s="11">
        <f>Tablo14[[#This Row],[ADET]]*Tablo14[[#This Row],[ALIŞ]]</f>
        <v>1531.25</v>
      </c>
      <c r="H80" s="11">
        <f>Tablo14[[#This Row],[ADET]]*Tablo14[[#This Row],[SATIŞ]]</f>
        <v>1543.75</v>
      </c>
      <c r="J80" s="40" t="str">
        <f t="shared" si="1"/>
        <v/>
      </c>
    </row>
    <row r="81" spans="2:10" ht="21" hidden="1" customHeight="1" x14ac:dyDescent="0.3">
      <c r="B81" s="2">
        <v>45357</v>
      </c>
      <c r="C81" s="6">
        <v>25</v>
      </c>
      <c r="D81" s="10">
        <v>61</v>
      </c>
      <c r="E81" s="10">
        <v>61.5</v>
      </c>
      <c r="F81" s="9">
        <f>IF(Tablo14[[#This Row],[SATIŞ]]=0,"Açık",(E81-D81)*C81)</f>
        <v>12.5</v>
      </c>
      <c r="G81" s="11">
        <f>Tablo14[[#This Row],[ADET]]*Tablo14[[#This Row],[ALIŞ]]</f>
        <v>1525</v>
      </c>
      <c r="H81" s="11">
        <f>Tablo14[[#This Row],[ADET]]*Tablo14[[#This Row],[SATIŞ]]</f>
        <v>1537.5</v>
      </c>
      <c r="J81" s="40" t="str">
        <f t="shared" si="1"/>
        <v/>
      </c>
    </row>
    <row r="82" spans="2:10" ht="21" hidden="1" customHeight="1" x14ac:dyDescent="0.3">
      <c r="B82" s="2">
        <v>45357</v>
      </c>
      <c r="C82" s="6">
        <v>25</v>
      </c>
      <c r="D82" s="10">
        <v>61</v>
      </c>
      <c r="E82" s="10">
        <v>62</v>
      </c>
      <c r="F82" s="9">
        <f>IF(Tablo14[[#This Row],[SATIŞ]]=0,"Açık",(E82-D82)*C82)</f>
        <v>25</v>
      </c>
      <c r="G82" s="11">
        <f>Tablo14[[#This Row],[ADET]]*Tablo14[[#This Row],[ALIŞ]]</f>
        <v>1525</v>
      </c>
      <c r="H82" s="11">
        <f>Tablo14[[#This Row],[ADET]]*Tablo14[[#This Row],[SATIŞ]]</f>
        <v>1550</v>
      </c>
      <c r="J82" s="40" t="str">
        <f t="shared" si="1"/>
        <v/>
      </c>
    </row>
    <row r="83" spans="2:10" ht="21" hidden="1" customHeight="1" x14ac:dyDescent="0.3">
      <c r="B83" s="2">
        <v>45359</v>
      </c>
      <c r="C83" s="6">
        <v>25</v>
      </c>
      <c r="D83" s="10">
        <v>65</v>
      </c>
      <c r="E83" s="10">
        <v>65.5</v>
      </c>
      <c r="F83" s="9">
        <f>IF(Tablo14[[#This Row],[SATIŞ]]=0,"Açık",(E83-D83)*C83)</f>
        <v>12.5</v>
      </c>
      <c r="G83" s="11">
        <f>Tablo14[[#This Row],[ADET]]*Tablo14[[#This Row],[ALIŞ]]</f>
        <v>1625</v>
      </c>
      <c r="H83" s="11">
        <f>Tablo14[[#This Row],[ADET]]*Tablo14[[#This Row],[SATIŞ]]</f>
        <v>1637.5</v>
      </c>
      <c r="J83" s="40" t="str">
        <f t="shared" si="1"/>
        <v/>
      </c>
    </row>
    <row r="84" spans="2:10" ht="21" hidden="1" customHeight="1" x14ac:dyDescent="0.3">
      <c r="B84" s="2">
        <v>45359</v>
      </c>
      <c r="C84" s="6">
        <v>25</v>
      </c>
      <c r="D84" s="10">
        <v>64.5</v>
      </c>
      <c r="E84" s="10">
        <v>65</v>
      </c>
      <c r="F84" s="9">
        <f>IF(Tablo14[[#This Row],[SATIŞ]]=0,"Açık",(E84-D84)*C84)</f>
        <v>12.5</v>
      </c>
      <c r="G84" s="11">
        <f>Tablo14[[#This Row],[ADET]]*Tablo14[[#This Row],[ALIŞ]]</f>
        <v>1612.5</v>
      </c>
      <c r="H84" s="11">
        <f>Tablo14[[#This Row],[ADET]]*Tablo14[[#This Row],[SATIŞ]]</f>
        <v>1625</v>
      </c>
      <c r="J84" s="40" t="str">
        <f t="shared" si="1"/>
        <v/>
      </c>
    </row>
    <row r="85" spans="2:10" ht="21" hidden="1" customHeight="1" x14ac:dyDescent="0.3">
      <c r="B85" s="2">
        <v>45359</v>
      </c>
      <c r="C85" s="6">
        <v>25</v>
      </c>
      <c r="D85" s="10">
        <v>64</v>
      </c>
      <c r="E85" s="10">
        <v>64.5</v>
      </c>
      <c r="F85" s="9">
        <f>IF(Tablo14[[#This Row],[SATIŞ]]=0,"Açık",(E85-D85)*C85)</f>
        <v>12.5</v>
      </c>
      <c r="G85" s="11">
        <f>Tablo14[[#This Row],[ADET]]*Tablo14[[#This Row],[ALIŞ]]</f>
        <v>1600</v>
      </c>
      <c r="H85" s="11">
        <f>Tablo14[[#This Row],[ADET]]*Tablo14[[#This Row],[SATIŞ]]</f>
        <v>1612.5</v>
      </c>
      <c r="J85" s="40" t="str">
        <f t="shared" si="1"/>
        <v/>
      </c>
    </row>
    <row r="86" spans="2:10" ht="21" hidden="1" customHeight="1" x14ac:dyDescent="0.3">
      <c r="B86" s="2">
        <v>45359</v>
      </c>
      <c r="C86" s="6">
        <v>25</v>
      </c>
      <c r="D86" s="10">
        <v>64</v>
      </c>
      <c r="E86" s="10">
        <v>64.5</v>
      </c>
      <c r="F86" s="9">
        <f>IF(Tablo14[[#This Row],[SATIŞ]]=0,"Açık",(E86-D86)*C86)</f>
        <v>12.5</v>
      </c>
      <c r="G86" s="11">
        <f>Tablo14[[#This Row],[ADET]]*Tablo14[[#This Row],[ALIŞ]]</f>
        <v>1600</v>
      </c>
      <c r="H86" s="11">
        <f>Tablo14[[#This Row],[ADET]]*Tablo14[[#This Row],[SATIŞ]]</f>
        <v>1612.5</v>
      </c>
      <c r="J86" s="40" t="str">
        <f t="shared" si="1"/>
        <v/>
      </c>
    </row>
    <row r="87" spans="2:10" ht="21" hidden="1" customHeight="1" x14ac:dyDescent="0.3">
      <c r="B87" s="2">
        <v>45362</v>
      </c>
      <c r="C87" s="6">
        <v>25</v>
      </c>
      <c r="D87" s="10">
        <v>65.5</v>
      </c>
      <c r="E87" s="10">
        <v>66.5</v>
      </c>
      <c r="F87" s="9">
        <f>IF(Tablo14[[#This Row],[SATIŞ]]=0,"Açık",(E87-D87)*C87)</f>
        <v>25</v>
      </c>
      <c r="G87" s="11">
        <f>Tablo14[[#This Row],[ADET]]*Tablo14[[#This Row],[ALIŞ]]</f>
        <v>1637.5</v>
      </c>
      <c r="H87" s="11">
        <f>Tablo14[[#This Row],[ADET]]*Tablo14[[#This Row],[SATIŞ]]</f>
        <v>1662.5</v>
      </c>
      <c r="J87" s="40" t="str">
        <f t="shared" si="1"/>
        <v/>
      </c>
    </row>
    <row r="88" spans="2:10" ht="21" hidden="1" customHeight="1" x14ac:dyDescent="0.3">
      <c r="B88" s="2">
        <v>45362</v>
      </c>
      <c r="C88" s="6">
        <v>25</v>
      </c>
      <c r="D88" s="10">
        <v>65</v>
      </c>
      <c r="E88" s="10">
        <v>64.5</v>
      </c>
      <c r="F88" s="9">
        <f>IF(Tablo14[[#This Row],[SATIŞ]]=0,"Açık",(E88-D88)*C88)</f>
        <v>-12.5</v>
      </c>
      <c r="G88" s="11">
        <f>Tablo14[[#This Row],[ADET]]*Tablo14[[#This Row],[ALIŞ]]</f>
        <v>1625</v>
      </c>
      <c r="H88" s="11">
        <f>Tablo14[[#This Row],[ADET]]*Tablo14[[#This Row],[SATIŞ]]</f>
        <v>1612.5</v>
      </c>
      <c r="J88" s="40" t="str">
        <f t="shared" si="1"/>
        <v/>
      </c>
    </row>
    <row r="89" spans="2:10" ht="21" hidden="1" customHeight="1" x14ac:dyDescent="0.3">
      <c r="B89" s="2">
        <v>45363</v>
      </c>
      <c r="C89" s="6">
        <v>25</v>
      </c>
      <c r="D89" s="10">
        <v>63.5</v>
      </c>
      <c r="E89" s="10">
        <v>63.8</v>
      </c>
      <c r="F89" s="9">
        <f>IF(Tablo14[[#This Row],[SATIŞ]]=0,"Açık",(E89-D89)*C89)</f>
        <v>7.4999999999999289</v>
      </c>
      <c r="G89" s="11">
        <f>Tablo14[[#This Row],[ADET]]*Tablo14[[#This Row],[ALIŞ]]</f>
        <v>1587.5</v>
      </c>
      <c r="H89" s="11">
        <f>Tablo14[[#This Row],[ADET]]*Tablo14[[#This Row],[SATIŞ]]</f>
        <v>1595</v>
      </c>
      <c r="J89" s="40" t="str">
        <f t="shared" si="1"/>
        <v/>
      </c>
    </row>
    <row r="90" spans="2:10" ht="21" hidden="1" customHeight="1" x14ac:dyDescent="0.3">
      <c r="B90" s="2">
        <v>45363</v>
      </c>
      <c r="C90" s="6">
        <v>25</v>
      </c>
      <c r="D90" s="10">
        <v>63.5</v>
      </c>
      <c r="E90" s="10">
        <v>64.5</v>
      </c>
      <c r="F90" s="9">
        <f>IF(Tablo14[[#This Row],[SATIŞ]]=0,"Açık",(E90-D90)*C90)</f>
        <v>25</v>
      </c>
      <c r="G90" s="11">
        <f>Tablo14[[#This Row],[ADET]]*Tablo14[[#This Row],[ALIŞ]]</f>
        <v>1587.5</v>
      </c>
      <c r="H90" s="11">
        <f>Tablo14[[#This Row],[ADET]]*Tablo14[[#This Row],[SATIŞ]]</f>
        <v>1612.5</v>
      </c>
      <c r="J90" s="40" t="str">
        <f t="shared" si="1"/>
        <v/>
      </c>
    </row>
    <row r="91" spans="2:10" ht="21" hidden="1" customHeight="1" x14ac:dyDescent="0.3">
      <c r="B91" s="2">
        <v>45363</v>
      </c>
      <c r="C91" s="6">
        <v>50</v>
      </c>
      <c r="D91" s="10">
        <v>63.5</v>
      </c>
      <c r="E91" s="10">
        <v>64</v>
      </c>
      <c r="F91" s="9">
        <f>IF(Tablo14[[#This Row],[SATIŞ]]=0,"Açık",(E91-D91)*C91)</f>
        <v>25</v>
      </c>
      <c r="G91" s="11">
        <f>Tablo14[[#This Row],[ADET]]*Tablo14[[#This Row],[ALIŞ]]</f>
        <v>3175</v>
      </c>
      <c r="H91" s="11">
        <f>Tablo14[[#This Row],[ADET]]*Tablo14[[#This Row],[SATIŞ]]</f>
        <v>3200</v>
      </c>
      <c r="J91" s="40" t="str">
        <f t="shared" si="1"/>
        <v/>
      </c>
    </row>
    <row r="92" spans="2:10" ht="21" hidden="1" customHeight="1" x14ac:dyDescent="0.3">
      <c r="B92" s="2">
        <v>45363</v>
      </c>
      <c r="C92" s="6">
        <v>25</v>
      </c>
      <c r="D92" s="10">
        <v>63.3</v>
      </c>
      <c r="E92" s="10">
        <v>63.55</v>
      </c>
      <c r="F92" s="9">
        <f>IF(Tablo14[[#This Row],[SATIŞ]]=0,"Açık",(E92-D92)*C92)</f>
        <v>6.25</v>
      </c>
      <c r="G92" s="11">
        <f>Tablo14[[#This Row],[ADET]]*Tablo14[[#This Row],[ALIŞ]]</f>
        <v>1582.5</v>
      </c>
      <c r="H92" s="11">
        <f>Tablo14[[#This Row],[ADET]]*Tablo14[[#This Row],[SATIŞ]]</f>
        <v>1588.75</v>
      </c>
      <c r="J92" s="40" t="str">
        <f t="shared" si="1"/>
        <v/>
      </c>
    </row>
    <row r="93" spans="2:10" ht="21" hidden="1" customHeight="1" x14ac:dyDescent="0.3">
      <c r="B93" s="2">
        <v>45363</v>
      </c>
      <c r="C93" s="6">
        <v>100</v>
      </c>
      <c r="D93" s="10">
        <v>63</v>
      </c>
      <c r="E93" s="10">
        <v>63.875</v>
      </c>
      <c r="F93" s="9">
        <f>IF(Tablo14[[#This Row],[SATIŞ]]=0,"Açık",(E93-D93)*C93)</f>
        <v>87.5</v>
      </c>
      <c r="G93" s="11">
        <f>Tablo14[[#This Row],[ADET]]*Tablo14[[#This Row],[ALIŞ]]</f>
        <v>6300</v>
      </c>
      <c r="H93" s="11">
        <f>Tablo14[[#This Row],[ADET]]*Tablo14[[#This Row],[SATIŞ]]</f>
        <v>6387.5</v>
      </c>
      <c r="J93" s="40" t="str">
        <f t="shared" si="1"/>
        <v/>
      </c>
    </row>
    <row r="94" spans="2:10" ht="21" hidden="1" customHeight="1" x14ac:dyDescent="0.3">
      <c r="B94" s="2">
        <v>45363</v>
      </c>
      <c r="C94" s="6">
        <v>100</v>
      </c>
      <c r="D94" s="10">
        <v>63</v>
      </c>
      <c r="E94" s="10">
        <v>63.125</v>
      </c>
      <c r="F94" s="9">
        <f>IF(Tablo14[[#This Row],[SATIŞ]]=0,"Açık",(E94-D94)*C94)</f>
        <v>12.5</v>
      </c>
      <c r="G94" s="11">
        <f>Tablo14[[#This Row],[ADET]]*Tablo14[[#This Row],[ALIŞ]]</f>
        <v>6300</v>
      </c>
      <c r="H94" s="11">
        <f>Tablo14[[#This Row],[ADET]]*Tablo14[[#This Row],[SATIŞ]]</f>
        <v>6312.5</v>
      </c>
      <c r="J94" s="40" t="str">
        <f t="shared" si="1"/>
        <v/>
      </c>
    </row>
    <row r="95" spans="2:10" ht="21" hidden="1" customHeight="1" x14ac:dyDescent="0.3">
      <c r="B95" s="2">
        <v>45363</v>
      </c>
      <c r="C95" s="6">
        <v>50</v>
      </c>
      <c r="D95" s="10">
        <v>62.5</v>
      </c>
      <c r="E95" s="10">
        <v>63.25</v>
      </c>
      <c r="F95" s="9">
        <f>IF(Tablo14[[#This Row],[SATIŞ]]=0,"Açık",(E95-D95)*C95)</f>
        <v>37.5</v>
      </c>
      <c r="G95" s="11">
        <f>Tablo14[[#This Row],[ADET]]*Tablo14[[#This Row],[ALIŞ]]</f>
        <v>3125</v>
      </c>
      <c r="H95" s="11">
        <f>Tablo14[[#This Row],[ADET]]*Tablo14[[#This Row],[SATIŞ]]</f>
        <v>3162.5</v>
      </c>
      <c r="J95" s="40" t="str">
        <f t="shared" si="1"/>
        <v/>
      </c>
    </row>
    <row r="96" spans="2:10" ht="21" hidden="1" customHeight="1" x14ac:dyDescent="0.3">
      <c r="B96" s="2">
        <v>45364</v>
      </c>
      <c r="C96" s="6">
        <v>50</v>
      </c>
      <c r="D96" s="10">
        <v>62</v>
      </c>
      <c r="E96" s="10">
        <v>62.75</v>
      </c>
      <c r="F96" s="9">
        <f>IF(Tablo14[[#This Row],[SATIŞ]]=0,"Açık",(E96-D96)*C96)</f>
        <v>37.5</v>
      </c>
      <c r="G96" s="11">
        <f>Tablo14[[#This Row],[ADET]]*Tablo14[[#This Row],[ALIŞ]]</f>
        <v>3100</v>
      </c>
      <c r="H96" s="11">
        <f>Tablo14[[#This Row],[ADET]]*Tablo14[[#This Row],[SATIŞ]]</f>
        <v>3137.5</v>
      </c>
      <c r="J96" s="40" t="str">
        <f t="shared" si="1"/>
        <v/>
      </c>
    </row>
    <row r="97" spans="2:10" ht="21" hidden="1" customHeight="1" x14ac:dyDescent="0.3">
      <c r="B97" s="2">
        <v>45364</v>
      </c>
      <c r="C97" s="6">
        <v>100</v>
      </c>
      <c r="D97" s="10">
        <v>61.5</v>
      </c>
      <c r="E97" s="10">
        <v>62.375</v>
      </c>
      <c r="F97" s="9">
        <f>IF(Tablo14[[#This Row],[SATIŞ]]=0,"Açık",(E97-D97)*C97)</f>
        <v>87.5</v>
      </c>
      <c r="G97" s="11">
        <f>Tablo14[[#This Row],[ADET]]*Tablo14[[#This Row],[ALIŞ]]</f>
        <v>6150</v>
      </c>
      <c r="H97" s="11">
        <f>Tablo14[[#This Row],[ADET]]*Tablo14[[#This Row],[SATIŞ]]</f>
        <v>6237.5</v>
      </c>
      <c r="J97" s="40" t="str">
        <f t="shared" si="1"/>
        <v/>
      </c>
    </row>
    <row r="98" spans="2:10" ht="21" hidden="1" customHeight="1" x14ac:dyDescent="0.3">
      <c r="B98" s="2">
        <v>45364</v>
      </c>
      <c r="C98" s="6">
        <v>50</v>
      </c>
      <c r="D98" s="10">
        <v>61.5</v>
      </c>
      <c r="E98" s="10">
        <v>61.75</v>
      </c>
      <c r="F98" s="9">
        <f>IF(Tablo14[[#This Row],[SATIŞ]]=0,"Açık",(E98-D98)*C98)</f>
        <v>12.5</v>
      </c>
      <c r="G98" s="11">
        <f>Tablo14[[#This Row],[ADET]]*Tablo14[[#This Row],[ALIŞ]]</f>
        <v>3075</v>
      </c>
      <c r="H98" s="11">
        <f>Tablo14[[#This Row],[ADET]]*Tablo14[[#This Row],[SATIŞ]]</f>
        <v>3087.5</v>
      </c>
      <c r="J98" s="40" t="str">
        <f t="shared" ref="J98:J129" si="2">IF(E98=0,D98*1.05,"")</f>
        <v/>
      </c>
    </row>
    <row r="99" spans="2:10" ht="21" hidden="1" customHeight="1" x14ac:dyDescent="0.3">
      <c r="B99" s="2">
        <v>45364</v>
      </c>
      <c r="C99" s="6">
        <v>50</v>
      </c>
      <c r="D99" s="10">
        <v>61.5</v>
      </c>
      <c r="E99" s="10">
        <v>62</v>
      </c>
      <c r="F99" s="9">
        <f>IF(Tablo14[[#This Row],[SATIŞ]]=0,"Açık",(E99-D99)*C99)</f>
        <v>25</v>
      </c>
      <c r="G99" s="11">
        <f>Tablo14[[#This Row],[ADET]]*Tablo14[[#This Row],[ALIŞ]]</f>
        <v>3075</v>
      </c>
      <c r="H99" s="11">
        <f>Tablo14[[#This Row],[ADET]]*Tablo14[[#This Row],[SATIŞ]]</f>
        <v>3100</v>
      </c>
      <c r="J99" s="40" t="str">
        <f t="shared" si="2"/>
        <v/>
      </c>
    </row>
    <row r="100" spans="2:10" ht="21" hidden="1" customHeight="1" x14ac:dyDescent="0.3">
      <c r="B100" s="2">
        <v>45364</v>
      </c>
      <c r="C100" s="6">
        <v>50</v>
      </c>
      <c r="D100" s="10">
        <v>64</v>
      </c>
      <c r="E100" s="10">
        <v>67</v>
      </c>
      <c r="F100" s="9">
        <f>IF(Tablo14[[#This Row],[SATIŞ]]=0,"Açık",(E100-D100)*C100)</f>
        <v>150</v>
      </c>
      <c r="G100" s="11">
        <f>Tablo14[[#This Row],[ADET]]*Tablo14[[#This Row],[ALIŞ]]</f>
        <v>3200</v>
      </c>
      <c r="H100" s="11">
        <f>Tablo14[[#This Row],[ADET]]*Tablo14[[#This Row],[SATIŞ]]</f>
        <v>3350</v>
      </c>
      <c r="J100" s="40" t="str">
        <f t="shared" si="2"/>
        <v/>
      </c>
    </row>
    <row r="101" spans="2:10" ht="21" hidden="1" customHeight="1" x14ac:dyDescent="0.3">
      <c r="B101" s="2">
        <v>45364</v>
      </c>
      <c r="C101" s="6">
        <v>50</v>
      </c>
      <c r="D101" s="10">
        <v>64</v>
      </c>
      <c r="E101" s="10">
        <v>65.5</v>
      </c>
      <c r="F101" s="9">
        <f>IF(Tablo14[[#This Row],[SATIŞ]]=0,"Açık",(E101-D101)*C101)</f>
        <v>75</v>
      </c>
      <c r="G101" s="11">
        <f>Tablo14[[#This Row],[ADET]]*Tablo14[[#This Row],[ALIŞ]]</f>
        <v>3200</v>
      </c>
      <c r="H101" s="11">
        <f>Tablo14[[#This Row],[ADET]]*Tablo14[[#This Row],[SATIŞ]]</f>
        <v>3275</v>
      </c>
      <c r="J101" s="40" t="str">
        <f t="shared" si="2"/>
        <v/>
      </c>
    </row>
    <row r="102" spans="2:10" ht="21" hidden="1" customHeight="1" x14ac:dyDescent="0.3">
      <c r="B102" s="2">
        <v>45364</v>
      </c>
      <c r="C102" s="6">
        <v>50</v>
      </c>
      <c r="D102" s="10">
        <v>63</v>
      </c>
      <c r="E102" s="10">
        <v>65</v>
      </c>
      <c r="F102" s="9">
        <f>IF(Tablo14[[#This Row],[SATIŞ]]=0,"Açık",(E102-D102)*C102)</f>
        <v>100</v>
      </c>
      <c r="G102" s="11">
        <f>Tablo14[[#This Row],[ADET]]*Tablo14[[#This Row],[ALIŞ]]</f>
        <v>3150</v>
      </c>
      <c r="H102" s="11">
        <f>Tablo14[[#This Row],[ADET]]*Tablo14[[#This Row],[SATIŞ]]</f>
        <v>3250</v>
      </c>
      <c r="J102" s="40" t="str">
        <f t="shared" si="2"/>
        <v/>
      </c>
    </row>
    <row r="103" spans="2:10" ht="21" hidden="1" customHeight="1" x14ac:dyDescent="0.3">
      <c r="B103" s="2">
        <v>45364</v>
      </c>
      <c r="C103" s="6">
        <v>50</v>
      </c>
      <c r="D103" s="10">
        <v>63</v>
      </c>
      <c r="E103" s="10">
        <v>64.3</v>
      </c>
      <c r="F103" s="9">
        <f>IF(Tablo14[[#This Row],[SATIŞ]]=0,"Açık",(E103-D103)*C103)</f>
        <v>64.999999999999858</v>
      </c>
      <c r="G103" s="11">
        <f>Tablo14[[#This Row],[ADET]]*Tablo14[[#This Row],[ALIŞ]]</f>
        <v>3150</v>
      </c>
      <c r="H103" s="11">
        <f>Tablo14[[#This Row],[ADET]]*Tablo14[[#This Row],[SATIŞ]]</f>
        <v>3215</v>
      </c>
      <c r="J103" s="40" t="str">
        <f t="shared" si="2"/>
        <v/>
      </c>
    </row>
    <row r="104" spans="2:10" ht="21" hidden="1" customHeight="1" x14ac:dyDescent="0.3">
      <c r="B104" s="2">
        <v>45365</v>
      </c>
      <c r="C104" s="6">
        <v>50</v>
      </c>
      <c r="D104" s="10">
        <v>63.5</v>
      </c>
      <c r="E104" s="10">
        <v>64</v>
      </c>
      <c r="F104" s="9">
        <f>IF(Tablo14[[#This Row],[SATIŞ]]=0,"Açık",(E104-D104)*C104)</f>
        <v>25</v>
      </c>
      <c r="G104" s="11">
        <f>Tablo14[[#This Row],[ADET]]*Tablo14[[#This Row],[ALIŞ]]</f>
        <v>3175</v>
      </c>
      <c r="H104" s="11">
        <f>Tablo14[[#This Row],[ADET]]*Tablo14[[#This Row],[SATIŞ]]</f>
        <v>3200</v>
      </c>
      <c r="J104" s="40" t="str">
        <f t="shared" si="2"/>
        <v/>
      </c>
    </row>
    <row r="105" spans="2:10" ht="21" hidden="1" customHeight="1" x14ac:dyDescent="0.3">
      <c r="B105" s="2">
        <v>45365</v>
      </c>
      <c r="C105" s="6">
        <v>50</v>
      </c>
      <c r="D105" s="10">
        <v>63.5</v>
      </c>
      <c r="E105" s="10">
        <v>64</v>
      </c>
      <c r="F105" s="9">
        <f>IF(Tablo14[[#This Row],[SATIŞ]]=0,"Açık",(E105-D105)*C105)</f>
        <v>25</v>
      </c>
      <c r="G105" s="11">
        <f>Tablo14[[#This Row],[ADET]]*Tablo14[[#This Row],[ALIŞ]]</f>
        <v>3175</v>
      </c>
      <c r="H105" s="11">
        <f>Tablo14[[#This Row],[ADET]]*Tablo14[[#This Row],[SATIŞ]]</f>
        <v>3200</v>
      </c>
      <c r="J105" s="40" t="str">
        <f t="shared" si="2"/>
        <v/>
      </c>
    </row>
    <row r="106" spans="2:10" ht="21" hidden="1" customHeight="1" x14ac:dyDescent="0.3">
      <c r="B106" s="2">
        <v>45365</v>
      </c>
      <c r="C106" s="6">
        <v>50</v>
      </c>
      <c r="D106" s="10">
        <v>63.5</v>
      </c>
      <c r="E106" s="10">
        <v>64.5</v>
      </c>
      <c r="F106" s="9">
        <f>IF(Tablo14[[#This Row],[SATIŞ]]=0,"Açık",(E106-D106)*C106)</f>
        <v>50</v>
      </c>
      <c r="G106" s="11">
        <f>Tablo14[[#This Row],[ADET]]*Tablo14[[#This Row],[ALIŞ]]</f>
        <v>3175</v>
      </c>
      <c r="H106" s="11">
        <f>Tablo14[[#This Row],[ADET]]*Tablo14[[#This Row],[SATIŞ]]</f>
        <v>3225</v>
      </c>
      <c r="J106" s="40" t="str">
        <f t="shared" si="2"/>
        <v/>
      </c>
    </row>
    <row r="107" spans="2:10" ht="21" hidden="1" customHeight="1" x14ac:dyDescent="0.3">
      <c r="B107" s="2">
        <v>45365</v>
      </c>
      <c r="C107" s="6">
        <v>50</v>
      </c>
      <c r="D107" s="10">
        <v>64.5</v>
      </c>
      <c r="E107" s="10">
        <v>66.5</v>
      </c>
      <c r="F107" s="9">
        <f>IF(Tablo14[[#This Row],[SATIŞ]]=0,"Açık",(E107-D107)*C107)</f>
        <v>100</v>
      </c>
      <c r="G107" s="11">
        <f>Tablo14[[#This Row],[ADET]]*Tablo14[[#This Row],[ALIŞ]]</f>
        <v>3225</v>
      </c>
      <c r="H107" s="11">
        <f>Tablo14[[#This Row],[ADET]]*Tablo14[[#This Row],[SATIŞ]]</f>
        <v>3325</v>
      </c>
      <c r="J107" s="40" t="str">
        <f t="shared" si="2"/>
        <v/>
      </c>
    </row>
    <row r="108" spans="2:10" ht="21" hidden="1" customHeight="1" x14ac:dyDescent="0.3">
      <c r="B108" s="2">
        <v>45365</v>
      </c>
      <c r="C108" s="6">
        <v>50</v>
      </c>
      <c r="D108" s="10">
        <v>64.5</v>
      </c>
      <c r="E108" s="10">
        <v>66</v>
      </c>
      <c r="F108" s="9">
        <f>IF(Tablo14[[#This Row],[SATIŞ]]=0,"Açık",(E108-D108)*C108)</f>
        <v>75</v>
      </c>
      <c r="G108" s="11">
        <f>Tablo14[[#This Row],[ADET]]*Tablo14[[#This Row],[ALIŞ]]</f>
        <v>3225</v>
      </c>
      <c r="H108" s="11">
        <f>Tablo14[[#This Row],[ADET]]*Tablo14[[#This Row],[SATIŞ]]</f>
        <v>3300</v>
      </c>
      <c r="J108" s="40" t="str">
        <f t="shared" si="2"/>
        <v/>
      </c>
    </row>
    <row r="109" spans="2:10" ht="21" hidden="1" customHeight="1" x14ac:dyDescent="0.3">
      <c r="B109" s="2">
        <v>45365</v>
      </c>
      <c r="C109" s="6">
        <v>50</v>
      </c>
      <c r="D109" s="10">
        <v>64.5</v>
      </c>
      <c r="E109" s="10">
        <v>65.5</v>
      </c>
      <c r="F109" s="9">
        <f>IF(Tablo14[[#This Row],[SATIŞ]]=0,"Açık",(E109-D109)*C109)</f>
        <v>50</v>
      </c>
      <c r="G109" s="11">
        <f>Tablo14[[#This Row],[ADET]]*Tablo14[[#This Row],[ALIŞ]]</f>
        <v>3225</v>
      </c>
      <c r="H109" s="11">
        <f>Tablo14[[#This Row],[ADET]]*Tablo14[[#This Row],[SATIŞ]]</f>
        <v>3275</v>
      </c>
      <c r="J109" s="40" t="str">
        <f t="shared" si="2"/>
        <v/>
      </c>
    </row>
    <row r="110" spans="2:10" ht="21" hidden="1" customHeight="1" x14ac:dyDescent="0.3">
      <c r="B110" s="2">
        <v>45365</v>
      </c>
      <c r="C110" s="6">
        <v>38</v>
      </c>
      <c r="D110" s="10">
        <v>64.5</v>
      </c>
      <c r="E110" s="10">
        <v>62.25</v>
      </c>
      <c r="F110" s="9">
        <f>IF(Tablo14[[#This Row],[SATIŞ]]=0,"Açık",(E110-D110)*C110)</f>
        <v>-85.5</v>
      </c>
      <c r="G110" s="11">
        <f>Tablo14[[#This Row],[ADET]]*Tablo14[[#This Row],[ALIŞ]]</f>
        <v>2451</v>
      </c>
      <c r="H110" s="11">
        <f>Tablo14[[#This Row],[ADET]]*Tablo14[[#This Row],[SATIŞ]]</f>
        <v>2365.5</v>
      </c>
      <c r="J110" s="40" t="str">
        <f t="shared" si="2"/>
        <v/>
      </c>
    </row>
    <row r="111" spans="2:10" ht="21" hidden="1" customHeight="1" x14ac:dyDescent="0.3">
      <c r="B111" s="2">
        <v>45366</v>
      </c>
      <c r="C111" s="6">
        <v>50</v>
      </c>
      <c r="D111" s="10">
        <v>64</v>
      </c>
      <c r="E111" s="10">
        <v>64.5</v>
      </c>
      <c r="F111" s="9">
        <f>IF(Tablo14[[#This Row],[SATIŞ]]=0,"Açık",(E111-D111)*C111)</f>
        <v>25</v>
      </c>
      <c r="G111" s="11">
        <f>Tablo14[[#This Row],[ADET]]*Tablo14[[#This Row],[ALIŞ]]</f>
        <v>3200</v>
      </c>
      <c r="H111" s="11">
        <f>Tablo14[[#This Row],[ADET]]*Tablo14[[#This Row],[SATIŞ]]</f>
        <v>3225</v>
      </c>
      <c r="J111" s="40" t="str">
        <f t="shared" si="2"/>
        <v/>
      </c>
    </row>
    <row r="112" spans="2:10" ht="21" hidden="1" customHeight="1" x14ac:dyDescent="0.3">
      <c r="B112" s="2">
        <v>45366</v>
      </c>
      <c r="C112" s="6">
        <v>50</v>
      </c>
      <c r="D112" s="10">
        <v>64</v>
      </c>
      <c r="E112" s="10">
        <v>64.5</v>
      </c>
      <c r="F112" s="9">
        <f>IF(Tablo14[[#This Row],[SATIŞ]]=0,"Açık",(E112-D112)*C112)</f>
        <v>25</v>
      </c>
      <c r="G112" s="11">
        <f>Tablo14[[#This Row],[ADET]]*Tablo14[[#This Row],[ALIŞ]]</f>
        <v>3200</v>
      </c>
      <c r="H112" s="11">
        <f>Tablo14[[#This Row],[ADET]]*Tablo14[[#This Row],[SATIŞ]]</f>
        <v>3225</v>
      </c>
      <c r="J112" s="40" t="str">
        <f t="shared" si="2"/>
        <v/>
      </c>
    </row>
    <row r="113" spans="2:10" ht="21" hidden="1" customHeight="1" x14ac:dyDescent="0.3">
      <c r="B113" s="2">
        <v>45366</v>
      </c>
      <c r="C113" s="6">
        <v>50</v>
      </c>
      <c r="D113" s="10">
        <v>64</v>
      </c>
      <c r="E113" s="10">
        <v>64.5</v>
      </c>
      <c r="F113" s="9">
        <f>IF(Tablo14[[#This Row],[SATIŞ]]=0,"Açık",(E113-D113)*C113)</f>
        <v>25</v>
      </c>
      <c r="G113" s="11">
        <f>Tablo14[[#This Row],[ADET]]*Tablo14[[#This Row],[ALIŞ]]</f>
        <v>3200</v>
      </c>
      <c r="H113" s="11">
        <f>Tablo14[[#This Row],[ADET]]*Tablo14[[#This Row],[SATIŞ]]</f>
        <v>3225</v>
      </c>
      <c r="J113" s="40" t="str">
        <f t="shared" si="2"/>
        <v/>
      </c>
    </row>
    <row r="114" spans="2:10" ht="21" hidden="1" customHeight="1" x14ac:dyDescent="0.3">
      <c r="B114" s="2">
        <v>45366</v>
      </c>
      <c r="C114" s="6">
        <v>50</v>
      </c>
      <c r="D114" s="10">
        <v>64.5</v>
      </c>
      <c r="E114" s="10">
        <v>65</v>
      </c>
      <c r="F114" s="9">
        <f>IF(Tablo14[[#This Row],[SATIŞ]]=0,"Açık",(E114-D114)*C114)</f>
        <v>25</v>
      </c>
      <c r="G114" s="11">
        <f>Tablo14[[#This Row],[ADET]]*Tablo14[[#This Row],[ALIŞ]]</f>
        <v>3225</v>
      </c>
      <c r="H114" s="11">
        <f>Tablo14[[#This Row],[ADET]]*Tablo14[[#This Row],[SATIŞ]]</f>
        <v>3250</v>
      </c>
      <c r="J114" s="40" t="str">
        <f t="shared" si="2"/>
        <v/>
      </c>
    </row>
    <row r="115" spans="2:10" ht="21" hidden="1" customHeight="1" x14ac:dyDescent="0.3">
      <c r="B115" s="2">
        <v>45366</v>
      </c>
      <c r="C115" s="6">
        <v>50</v>
      </c>
      <c r="D115" s="10">
        <v>63</v>
      </c>
      <c r="E115" s="10">
        <v>64</v>
      </c>
      <c r="F115" s="9">
        <f>IF(Tablo14[[#This Row],[SATIŞ]]=0,"Açık",(E115-D115)*C115)</f>
        <v>50</v>
      </c>
      <c r="G115" s="11">
        <f>Tablo14[[#This Row],[ADET]]*Tablo14[[#This Row],[ALIŞ]]</f>
        <v>3150</v>
      </c>
      <c r="H115" s="11">
        <f>Tablo14[[#This Row],[ADET]]*Tablo14[[#This Row],[SATIŞ]]</f>
        <v>3200</v>
      </c>
      <c r="J115" s="40" t="str">
        <f t="shared" si="2"/>
        <v/>
      </c>
    </row>
    <row r="116" spans="2:10" ht="21" hidden="1" customHeight="1" x14ac:dyDescent="0.3">
      <c r="B116" s="2">
        <v>45366</v>
      </c>
      <c r="C116" s="6">
        <v>50</v>
      </c>
      <c r="D116" s="10">
        <v>63</v>
      </c>
      <c r="E116" s="10">
        <v>63.75</v>
      </c>
      <c r="F116" s="9">
        <f>IF(Tablo14[[#This Row],[SATIŞ]]=0,"Açık",(E116-D116)*C116)</f>
        <v>37.5</v>
      </c>
      <c r="G116" s="11">
        <f>Tablo14[[#This Row],[ADET]]*Tablo14[[#This Row],[ALIŞ]]</f>
        <v>3150</v>
      </c>
      <c r="H116" s="11">
        <f>Tablo14[[#This Row],[ADET]]*Tablo14[[#This Row],[SATIŞ]]</f>
        <v>3187.5</v>
      </c>
      <c r="J116" s="40" t="str">
        <f t="shared" si="2"/>
        <v/>
      </c>
    </row>
    <row r="117" spans="2:10" ht="21" hidden="1" customHeight="1" x14ac:dyDescent="0.3">
      <c r="B117" s="2">
        <v>45366</v>
      </c>
      <c r="C117" s="6">
        <v>50</v>
      </c>
      <c r="D117" s="10">
        <v>63</v>
      </c>
      <c r="E117" s="10">
        <v>63.5</v>
      </c>
      <c r="F117" s="9">
        <f>IF(Tablo14[[#This Row],[SATIŞ]]=0,"Açık",(E117-D117)*C117)</f>
        <v>25</v>
      </c>
      <c r="G117" s="11">
        <f>Tablo14[[#This Row],[ADET]]*Tablo14[[#This Row],[ALIŞ]]</f>
        <v>3150</v>
      </c>
      <c r="H117" s="11">
        <f>Tablo14[[#This Row],[ADET]]*Tablo14[[#This Row],[SATIŞ]]</f>
        <v>3175</v>
      </c>
      <c r="J117" s="40" t="str">
        <f t="shared" si="2"/>
        <v/>
      </c>
    </row>
    <row r="118" spans="2:10" ht="21" hidden="1" customHeight="1" x14ac:dyDescent="0.3">
      <c r="B118" s="2">
        <v>45369</v>
      </c>
      <c r="C118" s="6">
        <v>50</v>
      </c>
      <c r="D118" s="10">
        <v>62</v>
      </c>
      <c r="E118" s="10">
        <v>63.25</v>
      </c>
      <c r="F118" s="9">
        <f>IF(Tablo14[[#This Row],[SATIŞ]]=0,"Açık",(E118-D118)*C118)</f>
        <v>62.5</v>
      </c>
      <c r="G118" s="11">
        <f>Tablo14[[#This Row],[ADET]]*Tablo14[[#This Row],[ALIŞ]]</f>
        <v>3100</v>
      </c>
      <c r="H118" s="11">
        <f>Tablo14[[#This Row],[ADET]]*Tablo14[[#This Row],[SATIŞ]]</f>
        <v>3162.5</v>
      </c>
      <c r="J118" s="40" t="str">
        <f t="shared" si="2"/>
        <v/>
      </c>
    </row>
    <row r="119" spans="2:10" ht="21" hidden="1" customHeight="1" x14ac:dyDescent="0.3">
      <c r="B119" s="2">
        <v>45369</v>
      </c>
      <c r="C119" s="6">
        <v>50</v>
      </c>
      <c r="D119" s="10">
        <v>62</v>
      </c>
      <c r="E119" s="10">
        <v>63</v>
      </c>
      <c r="F119" s="9">
        <f>IF(Tablo14[[#This Row],[SATIŞ]]=0,"Açık",(E119-D119)*C119)</f>
        <v>50</v>
      </c>
      <c r="G119" s="11">
        <f>Tablo14[[#This Row],[ADET]]*Tablo14[[#This Row],[ALIŞ]]</f>
        <v>3100</v>
      </c>
      <c r="H119" s="11">
        <f>Tablo14[[#This Row],[ADET]]*Tablo14[[#This Row],[SATIŞ]]</f>
        <v>3150</v>
      </c>
      <c r="J119" s="40" t="str">
        <f t="shared" si="2"/>
        <v/>
      </c>
    </row>
    <row r="120" spans="2:10" ht="21" hidden="1" customHeight="1" x14ac:dyDescent="0.3">
      <c r="B120" s="2">
        <v>45369</v>
      </c>
      <c r="C120" s="6">
        <v>50</v>
      </c>
      <c r="D120" s="10">
        <v>61.5</v>
      </c>
      <c r="E120" s="10">
        <v>62</v>
      </c>
      <c r="F120" s="9">
        <f>IF(Tablo14[[#This Row],[SATIŞ]]=0,"Açık",(E120-D120)*C120)</f>
        <v>25</v>
      </c>
      <c r="G120" s="11">
        <f>Tablo14[[#This Row],[ADET]]*Tablo14[[#This Row],[ALIŞ]]</f>
        <v>3075</v>
      </c>
      <c r="H120" s="11">
        <f>Tablo14[[#This Row],[ADET]]*Tablo14[[#This Row],[SATIŞ]]</f>
        <v>3100</v>
      </c>
      <c r="J120" s="40" t="str">
        <f t="shared" si="2"/>
        <v/>
      </c>
    </row>
    <row r="121" spans="2:10" ht="21" hidden="1" customHeight="1" x14ac:dyDescent="0.3">
      <c r="B121" s="2">
        <v>45369</v>
      </c>
      <c r="C121" s="6">
        <v>50</v>
      </c>
      <c r="D121" s="10">
        <v>61.5</v>
      </c>
      <c r="E121" s="10">
        <v>62.5</v>
      </c>
      <c r="F121" s="9">
        <f>IF(Tablo14[[#This Row],[SATIŞ]]=0,"Açık",(E121-D121)*C121)</f>
        <v>50</v>
      </c>
      <c r="G121" s="11">
        <f>Tablo14[[#This Row],[ADET]]*Tablo14[[#This Row],[ALIŞ]]</f>
        <v>3075</v>
      </c>
      <c r="H121" s="11">
        <f>Tablo14[[#This Row],[ADET]]*Tablo14[[#This Row],[SATIŞ]]</f>
        <v>3125</v>
      </c>
      <c r="J121" s="40" t="str">
        <f t="shared" si="2"/>
        <v/>
      </c>
    </row>
    <row r="122" spans="2:10" ht="21" hidden="1" customHeight="1" x14ac:dyDescent="0.3">
      <c r="B122" s="2">
        <v>45369</v>
      </c>
      <c r="C122" s="6">
        <v>50</v>
      </c>
      <c r="D122" s="10">
        <v>61</v>
      </c>
      <c r="E122" s="10">
        <v>62.3</v>
      </c>
      <c r="F122" s="9">
        <f>IF(Tablo14[[#This Row],[SATIŞ]]=0,"Açık",(E122-D122)*C122)</f>
        <v>64.999999999999858</v>
      </c>
      <c r="G122" s="11">
        <f>Tablo14[[#This Row],[ADET]]*Tablo14[[#This Row],[ALIŞ]]</f>
        <v>3050</v>
      </c>
      <c r="H122" s="11">
        <f>Tablo14[[#This Row],[ADET]]*Tablo14[[#This Row],[SATIŞ]]</f>
        <v>3115</v>
      </c>
      <c r="J122" s="40" t="str">
        <f t="shared" si="2"/>
        <v/>
      </c>
    </row>
    <row r="123" spans="2:10" ht="21" hidden="1" customHeight="1" x14ac:dyDescent="0.3">
      <c r="B123" s="2">
        <v>45369</v>
      </c>
      <c r="C123" s="6">
        <v>50</v>
      </c>
      <c r="D123" s="10">
        <v>60.5</v>
      </c>
      <c r="E123" s="10">
        <v>61</v>
      </c>
      <c r="F123" s="9">
        <f>IF(Tablo14[[#This Row],[SATIŞ]]=0,"Açık",(E123-D123)*C123)</f>
        <v>25</v>
      </c>
      <c r="G123" s="11">
        <f>Tablo14[[#This Row],[ADET]]*Tablo14[[#This Row],[ALIŞ]]</f>
        <v>3025</v>
      </c>
      <c r="H123" s="11">
        <f>Tablo14[[#This Row],[ADET]]*Tablo14[[#This Row],[SATIŞ]]</f>
        <v>3050</v>
      </c>
      <c r="J123" s="40" t="str">
        <f t="shared" si="2"/>
        <v/>
      </c>
    </row>
    <row r="124" spans="2:10" ht="21" hidden="1" customHeight="1" x14ac:dyDescent="0.3">
      <c r="B124" s="2">
        <v>45370</v>
      </c>
      <c r="C124" s="6">
        <v>50</v>
      </c>
      <c r="D124" s="10">
        <v>60</v>
      </c>
      <c r="E124" s="10">
        <v>61</v>
      </c>
      <c r="F124" s="9">
        <f>IF(Tablo14[[#This Row],[SATIŞ]]=0,"Açık",(E124-D124)*C124)</f>
        <v>50</v>
      </c>
      <c r="G124" s="11">
        <f>Tablo14[[#This Row],[ADET]]*Tablo14[[#This Row],[ALIŞ]]</f>
        <v>3000</v>
      </c>
      <c r="H124" s="11">
        <f>Tablo14[[#This Row],[ADET]]*Tablo14[[#This Row],[SATIŞ]]</f>
        <v>3050</v>
      </c>
      <c r="J124" s="40" t="str">
        <f t="shared" si="2"/>
        <v/>
      </c>
    </row>
    <row r="125" spans="2:10" ht="21" hidden="1" customHeight="1" x14ac:dyDescent="0.3">
      <c r="B125" s="2">
        <v>45370</v>
      </c>
      <c r="C125" s="6">
        <v>50</v>
      </c>
      <c r="D125" s="10">
        <v>60</v>
      </c>
      <c r="E125" s="10">
        <v>62.3</v>
      </c>
      <c r="F125" s="9">
        <f>IF(Tablo14[[#This Row],[SATIŞ]]=0,"Açık",(E125-D125)*C125)</f>
        <v>114.99999999999986</v>
      </c>
      <c r="G125" s="11">
        <f>Tablo14[[#This Row],[ADET]]*Tablo14[[#This Row],[ALIŞ]]</f>
        <v>3000</v>
      </c>
      <c r="H125" s="11">
        <f>Tablo14[[#This Row],[ADET]]*Tablo14[[#This Row],[SATIŞ]]</f>
        <v>3115</v>
      </c>
      <c r="J125" s="40" t="str">
        <f t="shared" si="2"/>
        <v/>
      </c>
    </row>
    <row r="126" spans="2:10" ht="21" hidden="1" customHeight="1" x14ac:dyDescent="0.3">
      <c r="B126" s="2">
        <v>45372</v>
      </c>
      <c r="C126" s="6">
        <v>20</v>
      </c>
      <c r="D126" s="10">
        <v>62</v>
      </c>
      <c r="E126" s="10">
        <v>65</v>
      </c>
      <c r="F126" s="9">
        <f>IF(Tablo14[[#This Row],[SATIŞ]]=0,"Açık",(E126-D126)*C126)</f>
        <v>60</v>
      </c>
      <c r="G126" s="11">
        <f>Tablo14[[#This Row],[ADET]]*Tablo14[[#This Row],[ALIŞ]]</f>
        <v>1240</v>
      </c>
      <c r="H126" s="11">
        <f>Tablo14[[#This Row],[ADET]]*Tablo14[[#This Row],[SATIŞ]]</f>
        <v>1300</v>
      </c>
      <c r="J126" s="40" t="str">
        <f t="shared" si="2"/>
        <v/>
      </c>
    </row>
    <row r="127" spans="2:10" ht="21" hidden="1" customHeight="1" x14ac:dyDescent="0.3">
      <c r="B127" s="2">
        <v>45372</v>
      </c>
      <c r="C127" s="6">
        <v>50</v>
      </c>
      <c r="D127" s="10">
        <v>60</v>
      </c>
      <c r="E127" s="10">
        <v>62.5</v>
      </c>
      <c r="F127" s="9">
        <f>IF(Tablo14[[#This Row],[SATIŞ]]=0,"Açık",(E127-D127)*C127)</f>
        <v>125</v>
      </c>
      <c r="G127" s="11">
        <f>Tablo14[[#This Row],[ADET]]*Tablo14[[#This Row],[ALIŞ]]</f>
        <v>3000</v>
      </c>
      <c r="H127" s="11">
        <f>Tablo14[[#This Row],[ADET]]*Tablo14[[#This Row],[SATIŞ]]</f>
        <v>3125</v>
      </c>
      <c r="J127" s="40" t="str">
        <f t="shared" si="2"/>
        <v/>
      </c>
    </row>
    <row r="128" spans="2:10" ht="21" hidden="1" customHeight="1" x14ac:dyDescent="0.3">
      <c r="B128" s="2">
        <v>45372</v>
      </c>
      <c r="C128" s="6">
        <v>50</v>
      </c>
      <c r="D128" s="10">
        <v>60</v>
      </c>
      <c r="E128" s="10">
        <v>63.5</v>
      </c>
      <c r="F128" s="9">
        <f>IF(Tablo14[[#This Row],[SATIŞ]]=0,"Açık",(E128-D128)*C128)</f>
        <v>175</v>
      </c>
      <c r="G128" s="11">
        <f>Tablo14[[#This Row],[ADET]]*Tablo14[[#This Row],[ALIŞ]]</f>
        <v>3000</v>
      </c>
      <c r="H128" s="11">
        <f>Tablo14[[#This Row],[ADET]]*Tablo14[[#This Row],[SATIŞ]]</f>
        <v>3175</v>
      </c>
      <c r="J128" s="40" t="str">
        <f t="shared" si="2"/>
        <v/>
      </c>
    </row>
    <row r="129" spans="2:10" ht="21" hidden="1" customHeight="1" x14ac:dyDescent="0.3">
      <c r="B129" s="2">
        <v>45372</v>
      </c>
      <c r="C129" s="6">
        <v>50</v>
      </c>
      <c r="D129" s="10">
        <v>62</v>
      </c>
      <c r="E129" s="10">
        <v>63.25</v>
      </c>
      <c r="F129" s="9">
        <f>IF(Tablo14[[#This Row],[SATIŞ]]=0,"Açık",(E129-D129)*C129)</f>
        <v>62.5</v>
      </c>
      <c r="G129" s="11">
        <f>Tablo14[[#This Row],[ADET]]*Tablo14[[#This Row],[ALIŞ]]</f>
        <v>3100</v>
      </c>
      <c r="H129" s="11">
        <f>Tablo14[[#This Row],[ADET]]*Tablo14[[#This Row],[SATIŞ]]</f>
        <v>3162.5</v>
      </c>
      <c r="J129" s="40" t="str">
        <f t="shared" si="2"/>
        <v/>
      </c>
    </row>
    <row r="130" spans="2:10" ht="21" hidden="1" customHeight="1" x14ac:dyDescent="0.3">
      <c r="B130" s="2">
        <v>45372</v>
      </c>
      <c r="C130" s="6">
        <v>50</v>
      </c>
      <c r="D130" s="10">
        <v>62</v>
      </c>
      <c r="E130" s="10">
        <v>63</v>
      </c>
      <c r="F130" s="9">
        <f>IF(Tablo14[[#This Row],[SATIŞ]]=0,"Açık",(E130-D130)*C130)</f>
        <v>50</v>
      </c>
      <c r="G130" s="11">
        <f>Tablo14[[#This Row],[ADET]]*Tablo14[[#This Row],[ALIŞ]]</f>
        <v>3100</v>
      </c>
      <c r="H130" s="11">
        <f>Tablo14[[#This Row],[ADET]]*Tablo14[[#This Row],[SATIŞ]]</f>
        <v>3150</v>
      </c>
      <c r="J130" s="40" t="str">
        <f t="shared" ref="J130:J145" si="3">IF(E130=0,D130*1.05,"")</f>
        <v/>
      </c>
    </row>
    <row r="131" spans="2:10" ht="21" hidden="1" customHeight="1" x14ac:dyDescent="0.3">
      <c r="B131" s="2">
        <v>45372</v>
      </c>
      <c r="C131" s="6">
        <v>50</v>
      </c>
      <c r="D131" s="10">
        <v>61</v>
      </c>
      <c r="E131" s="10">
        <v>62.75</v>
      </c>
      <c r="F131" s="9">
        <f>IF(Tablo14[[#This Row],[SATIŞ]]=0,"Açık",(E131-D131)*C131)</f>
        <v>87.5</v>
      </c>
      <c r="G131" s="11">
        <f>Tablo14[[#This Row],[ADET]]*Tablo14[[#This Row],[ALIŞ]]</f>
        <v>3050</v>
      </c>
      <c r="H131" s="11">
        <f>Tablo14[[#This Row],[ADET]]*Tablo14[[#This Row],[SATIŞ]]</f>
        <v>3137.5</v>
      </c>
      <c r="J131" s="40" t="str">
        <f t="shared" si="3"/>
        <v/>
      </c>
    </row>
    <row r="132" spans="2:10" ht="21" hidden="1" customHeight="1" x14ac:dyDescent="0.3">
      <c r="B132" s="2">
        <v>45372</v>
      </c>
      <c r="C132" s="6">
        <v>50</v>
      </c>
      <c r="D132" s="10">
        <v>61</v>
      </c>
      <c r="E132" s="10">
        <v>62.5</v>
      </c>
      <c r="F132" s="9">
        <f>IF(Tablo14[[#This Row],[SATIŞ]]=0,"Açık",(E132-D132)*C132)</f>
        <v>75</v>
      </c>
      <c r="G132" s="11">
        <f>Tablo14[[#This Row],[ADET]]*Tablo14[[#This Row],[ALIŞ]]</f>
        <v>3050</v>
      </c>
      <c r="H132" s="11">
        <f>Tablo14[[#This Row],[ADET]]*Tablo14[[#This Row],[SATIŞ]]</f>
        <v>3125</v>
      </c>
      <c r="J132" s="40" t="str">
        <f t="shared" si="3"/>
        <v/>
      </c>
    </row>
    <row r="133" spans="2:10" ht="21" hidden="1" customHeight="1" x14ac:dyDescent="0.3">
      <c r="B133" s="2">
        <v>45373</v>
      </c>
      <c r="C133" s="6">
        <v>50</v>
      </c>
      <c r="D133" s="10">
        <v>62.5</v>
      </c>
      <c r="E133" s="10">
        <v>65</v>
      </c>
      <c r="F133" s="9">
        <f>IF(Tablo14[[#This Row],[SATIŞ]]=0,"Açık",(E133-D133)*C133)</f>
        <v>125</v>
      </c>
      <c r="G133" s="11">
        <f>Tablo14[[#This Row],[ADET]]*Tablo14[[#This Row],[ALIŞ]]</f>
        <v>3125</v>
      </c>
      <c r="H133" s="11">
        <f>Tablo14[[#This Row],[ADET]]*Tablo14[[#This Row],[SATIŞ]]</f>
        <v>3250</v>
      </c>
      <c r="J133" s="40" t="str">
        <f t="shared" si="3"/>
        <v/>
      </c>
    </row>
    <row r="134" spans="2:10" ht="21" hidden="1" customHeight="1" x14ac:dyDescent="0.3">
      <c r="B134" s="2">
        <v>45373</v>
      </c>
      <c r="C134" s="6">
        <v>50</v>
      </c>
      <c r="D134" s="10">
        <v>62</v>
      </c>
      <c r="E134" s="10">
        <v>64.5</v>
      </c>
      <c r="F134" s="9">
        <f>IF(Tablo14[[#This Row],[SATIŞ]]=0,"Açık",(E134-D134)*C134)</f>
        <v>125</v>
      </c>
      <c r="G134" s="11">
        <f>Tablo14[[#This Row],[ADET]]*Tablo14[[#This Row],[ALIŞ]]</f>
        <v>3100</v>
      </c>
      <c r="H134" s="11">
        <f>Tablo14[[#This Row],[ADET]]*Tablo14[[#This Row],[SATIŞ]]</f>
        <v>3225</v>
      </c>
      <c r="J134" s="40" t="str">
        <f t="shared" si="3"/>
        <v/>
      </c>
    </row>
    <row r="135" spans="2:10" ht="21" hidden="1" customHeight="1" x14ac:dyDescent="0.3">
      <c r="B135" s="2">
        <v>45373</v>
      </c>
      <c r="C135" s="6">
        <v>50</v>
      </c>
      <c r="D135" s="10">
        <v>61.5</v>
      </c>
      <c r="E135" s="10">
        <v>62</v>
      </c>
      <c r="F135" s="9">
        <f>IF(Tablo14[[#This Row],[SATIŞ]]=0,"Açık",(E135-D135)*C135)</f>
        <v>25</v>
      </c>
      <c r="G135" s="11">
        <f>Tablo14[[#This Row],[ADET]]*Tablo14[[#This Row],[ALIŞ]]</f>
        <v>3075</v>
      </c>
      <c r="H135" s="11">
        <f>Tablo14[[#This Row],[ADET]]*Tablo14[[#This Row],[SATIŞ]]</f>
        <v>3100</v>
      </c>
      <c r="J135" s="40" t="str">
        <f t="shared" si="3"/>
        <v/>
      </c>
    </row>
    <row r="136" spans="2:10" ht="21" hidden="1" customHeight="1" x14ac:dyDescent="0.3">
      <c r="B136" s="2">
        <v>45373</v>
      </c>
      <c r="C136" s="6">
        <v>50</v>
      </c>
      <c r="D136" s="10">
        <v>61</v>
      </c>
      <c r="E136" s="10">
        <v>61.5</v>
      </c>
      <c r="F136" s="9">
        <f>IF(Tablo14[[#This Row],[SATIŞ]]=0,"Açık",(E136-D136)*C136)</f>
        <v>25</v>
      </c>
      <c r="G136" s="11">
        <f>Tablo14[[#This Row],[ADET]]*Tablo14[[#This Row],[ALIŞ]]</f>
        <v>3050</v>
      </c>
      <c r="H136" s="11">
        <f>Tablo14[[#This Row],[ADET]]*Tablo14[[#This Row],[SATIŞ]]</f>
        <v>3075</v>
      </c>
      <c r="J136" s="40" t="str">
        <f t="shared" si="3"/>
        <v/>
      </c>
    </row>
    <row r="137" spans="2:10" ht="21" hidden="1" customHeight="1" x14ac:dyDescent="0.3">
      <c r="B137" s="2">
        <v>45377</v>
      </c>
      <c r="C137" s="6">
        <v>50</v>
      </c>
      <c r="D137" s="10">
        <v>61.5</v>
      </c>
      <c r="E137" s="10">
        <v>65</v>
      </c>
      <c r="F137" s="9">
        <f>IF(Tablo14[[#This Row],[SATIŞ]]=0,"Açık",(E137-D137)*C137)</f>
        <v>175</v>
      </c>
      <c r="G137" s="11">
        <f>Tablo14[[#This Row],[ADET]]*Tablo14[[#This Row],[ALIŞ]]</f>
        <v>3075</v>
      </c>
      <c r="H137" s="11">
        <f>Tablo14[[#This Row],[ADET]]*Tablo14[[#This Row],[SATIŞ]]</f>
        <v>3250</v>
      </c>
      <c r="J137" s="40" t="str">
        <f t="shared" si="3"/>
        <v/>
      </c>
    </row>
    <row r="138" spans="2:10" ht="21" hidden="1" customHeight="1" x14ac:dyDescent="0.3">
      <c r="B138" s="2">
        <v>45377</v>
      </c>
      <c r="C138" s="6">
        <v>50</v>
      </c>
      <c r="D138" s="10">
        <v>61.3</v>
      </c>
      <c r="E138" s="10">
        <v>64</v>
      </c>
      <c r="F138" s="9">
        <f>IF(Tablo14[[#This Row],[SATIŞ]]=0,"Açık",(E138-D138)*C138)</f>
        <v>135.00000000000014</v>
      </c>
      <c r="G138" s="11">
        <f>Tablo14[[#This Row],[ADET]]*Tablo14[[#This Row],[ALIŞ]]</f>
        <v>3065</v>
      </c>
      <c r="H138" s="11">
        <f>Tablo14[[#This Row],[ADET]]*Tablo14[[#This Row],[SATIŞ]]</f>
        <v>3200</v>
      </c>
      <c r="J138" s="40" t="str">
        <f t="shared" si="3"/>
        <v/>
      </c>
    </row>
    <row r="139" spans="2:10" ht="21" hidden="1" customHeight="1" x14ac:dyDescent="0.3">
      <c r="B139" s="2">
        <v>45377</v>
      </c>
      <c r="C139" s="6">
        <v>50</v>
      </c>
      <c r="D139" s="10">
        <v>61</v>
      </c>
      <c r="E139" s="10">
        <v>61.5</v>
      </c>
      <c r="F139" s="9">
        <f>IF(Tablo14[[#This Row],[SATIŞ]]=0,"Açık",(E139-D139)*C139)</f>
        <v>25</v>
      </c>
      <c r="G139" s="11">
        <f>Tablo14[[#This Row],[ADET]]*Tablo14[[#This Row],[ALIŞ]]</f>
        <v>3050</v>
      </c>
      <c r="H139" s="11">
        <f>Tablo14[[#This Row],[ADET]]*Tablo14[[#This Row],[SATIŞ]]</f>
        <v>3075</v>
      </c>
      <c r="J139" s="40" t="str">
        <f t="shared" si="3"/>
        <v/>
      </c>
    </row>
    <row r="140" spans="2:10" ht="21" hidden="1" customHeight="1" x14ac:dyDescent="0.3">
      <c r="B140" s="2">
        <v>45377</v>
      </c>
      <c r="C140" s="6">
        <v>50</v>
      </c>
      <c r="D140" s="10">
        <v>61</v>
      </c>
      <c r="E140" s="10">
        <v>61.5</v>
      </c>
      <c r="F140" s="9">
        <f>IF(Tablo14[[#This Row],[SATIŞ]]=0,"Açık",(E140-D140)*C140)</f>
        <v>25</v>
      </c>
      <c r="G140" s="11">
        <f>Tablo14[[#This Row],[ADET]]*Tablo14[[#This Row],[ALIŞ]]</f>
        <v>3050</v>
      </c>
      <c r="H140" s="11">
        <f>Tablo14[[#This Row],[ADET]]*Tablo14[[#This Row],[SATIŞ]]</f>
        <v>3075</v>
      </c>
      <c r="J140" s="40" t="str">
        <f t="shared" si="3"/>
        <v/>
      </c>
    </row>
    <row r="141" spans="2:10" ht="21" hidden="1" customHeight="1" x14ac:dyDescent="0.3">
      <c r="B141" s="2">
        <v>45377</v>
      </c>
      <c r="C141" s="6">
        <v>50</v>
      </c>
      <c r="D141" s="10">
        <v>61</v>
      </c>
      <c r="E141" s="10">
        <v>63</v>
      </c>
      <c r="F141" s="9">
        <f>IF(Tablo14[[#This Row],[SATIŞ]]=0,"Açık",(E141-D141)*C141)</f>
        <v>100</v>
      </c>
      <c r="G141" s="11">
        <f>Tablo14[[#This Row],[ADET]]*Tablo14[[#This Row],[ALIŞ]]</f>
        <v>3050</v>
      </c>
      <c r="H141" s="11">
        <f>Tablo14[[#This Row],[ADET]]*Tablo14[[#This Row],[SATIŞ]]</f>
        <v>3150</v>
      </c>
      <c r="J141" s="40" t="str">
        <f t="shared" si="3"/>
        <v/>
      </c>
    </row>
    <row r="142" spans="2:10" ht="21" hidden="1" customHeight="1" x14ac:dyDescent="0.3">
      <c r="B142" s="2">
        <v>45525</v>
      </c>
      <c r="C142" s="6">
        <v>40</v>
      </c>
      <c r="D142" s="10">
        <v>61</v>
      </c>
      <c r="E142" s="10">
        <v>64.5</v>
      </c>
      <c r="F142" s="9">
        <f>IF(Tablo14[[#This Row],[SATIŞ]]=0,"Açık",(E142-D142)*C142)</f>
        <v>140</v>
      </c>
      <c r="G142" s="11">
        <f>Tablo14[[#This Row],[ADET]]*Tablo14[[#This Row],[ALIŞ]]</f>
        <v>2440</v>
      </c>
      <c r="H142" s="11">
        <f>Tablo14[[#This Row],[ADET]]*Tablo14[[#This Row],[SATIŞ]]</f>
        <v>2580</v>
      </c>
      <c r="J142" s="40" t="str">
        <f t="shared" si="3"/>
        <v/>
      </c>
    </row>
    <row r="143" spans="2:10" ht="21" hidden="1" customHeight="1" x14ac:dyDescent="0.3">
      <c r="B143" s="2">
        <v>45525</v>
      </c>
      <c r="C143" s="6">
        <v>50</v>
      </c>
      <c r="D143" s="10">
        <v>61</v>
      </c>
      <c r="E143" s="10">
        <v>65</v>
      </c>
      <c r="F143" s="9">
        <f>IF(Tablo14[[#This Row],[SATIŞ]]=0,"Açık",(E143-D143)*C143)</f>
        <v>200</v>
      </c>
      <c r="G143" s="11">
        <f>Tablo14[[#This Row],[ADET]]*Tablo14[[#This Row],[ALIŞ]]</f>
        <v>3050</v>
      </c>
      <c r="H143" s="11">
        <f>Tablo14[[#This Row],[ADET]]*Tablo14[[#This Row],[SATIŞ]]</f>
        <v>3250</v>
      </c>
      <c r="J143" s="40"/>
    </row>
    <row r="144" spans="2:10" ht="21" hidden="1" customHeight="1" x14ac:dyDescent="0.3">
      <c r="B144" s="2">
        <v>45383</v>
      </c>
      <c r="C144" s="6">
        <v>50</v>
      </c>
      <c r="D144" s="10">
        <v>64</v>
      </c>
      <c r="E144" s="10">
        <v>64.5</v>
      </c>
      <c r="F144" s="9">
        <f>IF(Tablo14[[#This Row],[SATIŞ]]=0,"Açık",(E144-D144)*C144)</f>
        <v>25</v>
      </c>
      <c r="G144" s="11">
        <f>Tablo14[[#This Row],[ADET]]*Tablo14[[#This Row],[ALIŞ]]</f>
        <v>3200</v>
      </c>
      <c r="H144" s="11">
        <f>Tablo14[[#This Row],[ADET]]*Tablo14[[#This Row],[SATIŞ]]</f>
        <v>3225</v>
      </c>
      <c r="J144" s="40" t="str">
        <f t="shared" si="3"/>
        <v/>
      </c>
    </row>
    <row r="145" spans="2:10" ht="21" hidden="1" customHeight="1" x14ac:dyDescent="0.3">
      <c r="B145" s="2">
        <v>45383</v>
      </c>
      <c r="C145" s="6">
        <v>50</v>
      </c>
      <c r="D145" s="10">
        <v>63</v>
      </c>
      <c r="E145" s="10">
        <v>64</v>
      </c>
      <c r="F145" s="9">
        <f>IF(Tablo14[[#This Row],[SATIŞ]]=0,"Açık",(E145-D145)*C145)</f>
        <v>50</v>
      </c>
      <c r="G145" s="11">
        <f>Tablo14[[#This Row],[ADET]]*Tablo14[[#This Row],[ALIŞ]]</f>
        <v>3150</v>
      </c>
      <c r="H145" s="11">
        <f>Tablo14[[#This Row],[ADET]]*Tablo14[[#This Row],[SATIŞ]]</f>
        <v>3200</v>
      </c>
      <c r="J145" s="40" t="str">
        <f t="shared" si="3"/>
        <v/>
      </c>
    </row>
    <row r="146" spans="2:10" ht="21" hidden="1" customHeight="1" x14ac:dyDescent="0.3">
      <c r="B146" s="2">
        <v>45383</v>
      </c>
      <c r="C146" s="6">
        <v>50</v>
      </c>
      <c r="D146" s="10">
        <v>63</v>
      </c>
      <c r="E146" s="10">
        <v>64</v>
      </c>
      <c r="F146" s="9">
        <f>IF(Tablo14[[#This Row],[SATIŞ]]=0,"Açık",(E146-D146)*C146)</f>
        <v>50</v>
      </c>
      <c r="G146" s="11">
        <f>Tablo14[[#This Row],[ADET]]*Tablo14[[#This Row],[ALIŞ]]</f>
        <v>3150</v>
      </c>
      <c r="H146" s="11">
        <f>Tablo14[[#This Row],[ADET]]*Tablo14[[#This Row],[SATIŞ]]</f>
        <v>3200</v>
      </c>
    </row>
    <row r="147" spans="2:10" ht="21" hidden="1" customHeight="1" x14ac:dyDescent="0.3">
      <c r="B147" s="2">
        <v>45384</v>
      </c>
      <c r="C147" s="6">
        <v>50</v>
      </c>
      <c r="D147" s="10">
        <v>63</v>
      </c>
      <c r="E147" s="10">
        <v>63.5</v>
      </c>
      <c r="F147" s="9">
        <f>IF(Tablo14[[#This Row],[SATIŞ]]=0,"Açık",(E147-D147)*C147)</f>
        <v>25</v>
      </c>
      <c r="G147" s="11">
        <f>Tablo14[[#This Row],[ADET]]*Tablo14[[#This Row],[ALIŞ]]</f>
        <v>3150</v>
      </c>
      <c r="H147" s="11">
        <f>Tablo14[[#This Row],[ADET]]*Tablo14[[#This Row],[SATIŞ]]</f>
        <v>3175</v>
      </c>
    </row>
    <row r="148" spans="2:10" ht="21" hidden="1" customHeight="1" x14ac:dyDescent="0.3">
      <c r="B148" s="2">
        <v>45384</v>
      </c>
      <c r="C148" s="6">
        <v>50</v>
      </c>
      <c r="D148" s="10">
        <v>63</v>
      </c>
      <c r="E148" s="10">
        <v>64</v>
      </c>
      <c r="F148" s="9">
        <f>IF(Tablo14[[#This Row],[SATIŞ]]=0,"Açık",(E148-D148)*C148)</f>
        <v>50</v>
      </c>
      <c r="G148" s="11">
        <f>Tablo14[[#This Row],[ADET]]*Tablo14[[#This Row],[ALIŞ]]</f>
        <v>3150</v>
      </c>
      <c r="H148" s="11">
        <f>Tablo14[[#This Row],[ADET]]*Tablo14[[#This Row],[SATIŞ]]</f>
        <v>3200</v>
      </c>
    </row>
    <row r="149" spans="2:10" ht="21" hidden="1" customHeight="1" x14ac:dyDescent="0.3">
      <c r="B149" s="2">
        <v>45387</v>
      </c>
      <c r="C149" s="6">
        <v>50</v>
      </c>
      <c r="D149" s="10">
        <v>63.4</v>
      </c>
      <c r="E149" s="10">
        <v>64</v>
      </c>
      <c r="F149" s="9">
        <f>IF(Tablo14[[#This Row],[SATIŞ]]=0,"Açık",(E149-D149)*C149)</f>
        <v>30.000000000000071</v>
      </c>
      <c r="G149" s="11">
        <f>Tablo14[[#This Row],[ADET]]*Tablo14[[#This Row],[ALIŞ]]</f>
        <v>3170</v>
      </c>
      <c r="H149" s="11">
        <f>Tablo14[[#This Row],[ADET]]*Tablo14[[#This Row],[SATIŞ]]</f>
        <v>3200</v>
      </c>
    </row>
    <row r="150" spans="2:10" ht="21" hidden="1" customHeight="1" x14ac:dyDescent="0.3">
      <c r="B150" s="2">
        <v>45387</v>
      </c>
      <c r="C150" s="6">
        <v>50</v>
      </c>
      <c r="D150" s="10">
        <v>63</v>
      </c>
      <c r="E150" s="10">
        <v>63.5</v>
      </c>
      <c r="F150" s="9">
        <f>IF(Tablo14[[#This Row],[SATIŞ]]=0,"Açık",(E150-D150)*C150)</f>
        <v>25</v>
      </c>
      <c r="G150" s="11">
        <f>Tablo14[[#This Row],[ADET]]*Tablo14[[#This Row],[ALIŞ]]</f>
        <v>3150</v>
      </c>
      <c r="H150" s="11">
        <f>Tablo14[[#This Row],[ADET]]*Tablo14[[#This Row],[SATIŞ]]</f>
        <v>3175</v>
      </c>
    </row>
    <row r="151" spans="2:10" ht="21" hidden="1" customHeight="1" x14ac:dyDescent="0.3">
      <c r="B151" s="2">
        <v>45391</v>
      </c>
      <c r="C151" s="6">
        <v>50</v>
      </c>
      <c r="D151" s="10">
        <v>67.5</v>
      </c>
      <c r="E151" s="10">
        <v>69.75</v>
      </c>
      <c r="F151" s="9">
        <f>IF(Tablo14[[#This Row],[SATIŞ]]=0,"Açık",(E151-D151)*C151)</f>
        <v>112.5</v>
      </c>
      <c r="G151" s="11">
        <f>Tablo14[[#This Row],[ADET]]*Tablo14[[#This Row],[ALIŞ]]</f>
        <v>3375</v>
      </c>
      <c r="H151" s="11">
        <f>Tablo14[[#This Row],[ADET]]*Tablo14[[#This Row],[SATIŞ]]</f>
        <v>3487.5</v>
      </c>
    </row>
    <row r="152" spans="2:10" ht="21" hidden="1" customHeight="1" x14ac:dyDescent="0.3">
      <c r="B152" s="2">
        <v>45398</v>
      </c>
      <c r="C152" s="6">
        <v>50</v>
      </c>
      <c r="D152" s="10">
        <v>67</v>
      </c>
      <c r="E152" s="10">
        <v>68.400000000000006</v>
      </c>
      <c r="F152" s="9">
        <f>IF(Tablo14[[#This Row],[SATIŞ]]=0,"Açık",(E152-D152)*C152)</f>
        <v>70.000000000000284</v>
      </c>
      <c r="G152" s="11">
        <f>Tablo14[[#This Row],[ADET]]*Tablo14[[#This Row],[ALIŞ]]</f>
        <v>3350</v>
      </c>
      <c r="H152" s="11">
        <f>Tablo14[[#This Row],[ADET]]*Tablo14[[#This Row],[SATIŞ]]</f>
        <v>3420.0000000000005</v>
      </c>
    </row>
    <row r="153" spans="2:10" ht="21" hidden="1" customHeight="1" x14ac:dyDescent="0.3">
      <c r="B153" s="2">
        <v>45398</v>
      </c>
      <c r="C153" s="6">
        <v>50</v>
      </c>
      <c r="D153" s="10">
        <v>65</v>
      </c>
      <c r="E153" s="10">
        <v>66</v>
      </c>
      <c r="F153" s="9">
        <f>IF(Tablo14[[#This Row],[SATIŞ]]=0,"Açık",(E153-D153)*C153)</f>
        <v>50</v>
      </c>
      <c r="G153" s="11">
        <f>Tablo14[[#This Row],[ADET]]*Tablo14[[#This Row],[ALIŞ]]</f>
        <v>3250</v>
      </c>
      <c r="H153" s="11">
        <f>Tablo14[[#This Row],[ADET]]*Tablo14[[#This Row],[SATIŞ]]</f>
        <v>3300</v>
      </c>
    </row>
    <row r="154" spans="2:10" ht="21" hidden="1" customHeight="1" x14ac:dyDescent="0.3">
      <c r="B154" s="2">
        <v>45398</v>
      </c>
      <c r="C154" s="6">
        <v>50</v>
      </c>
      <c r="D154" s="10">
        <v>65</v>
      </c>
      <c r="E154" s="10">
        <v>67</v>
      </c>
      <c r="F154" s="9">
        <f>IF(Tablo14[[#This Row],[SATIŞ]]=0,"Açık",(E154-D154)*C154)</f>
        <v>100</v>
      </c>
      <c r="G154" s="11">
        <f>Tablo14[[#This Row],[ADET]]*Tablo14[[#This Row],[ALIŞ]]</f>
        <v>3250</v>
      </c>
      <c r="H154" s="11">
        <f>Tablo14[[#This Row],[ADET]]*Tablo14[[#This Row],[SATIŞ]]</f>
        <v>3350</v>
      </c>
    </row>
    <row r="155" spans="2:10" ht="21" hidden="1" customHeight="1" x14ac:dyDescent="0.3">
      <c r="B155" s="2">
        <v>45400</v>
      </c>
      <c r="C155" s="6">
        <v>50</v>
      </c>
      <c r="D155" s="10">
        <v>67.5</v>
      </c>
      <c r="E155" s="10">
        <v>70</v>
      </c>
      <c r="F155" s="9">
        <f>IF(Tablo14[[#This Row],[SATIŞ]]=0,"Açık",(E155-D155)*C155)</f>
        <v>125</v>
      </c>
      <c r="G155" s="11">
        <f>Tablo14[[#This Row],[ADET]]*Tablo14[[#This Row],[ALIŞ]]</f>
        <v>3375</v>
      </c>
      <c r="H155" s="11">
        <f>Tablo14[[#This Row],[ADET]]*Tablo14[[#This Row],[SATIŞ]]</f>
        <v>3500</v>
      </c>
    </row>
    <row r="156" spans="2:10" ht="21" customHeight="1" x14ac:dyDescent="0.3">
      <c r="B156" s="2">
        <v>45400</v>
      </c>
      <c r="C156" s="6">
        <v>50</v>
      </c>
      <c r="D156" s="10">
        <v>67.5</v>
      </c>
      <c r="E156" s="10"/>
      <c r="F156" s="9" t="str">
        <f>IF(Tablo14[[#This Row],[SATIŞ]]=0,"Açık",(E156-D156)*C156)</f>
        <v>Açık</v>
      </c>
      <c r="G156" s="11">
        <f>Tablo14[[#This Row],[ADET]]*Tablo14[[#This Row],[ALIŞ]]</f>
        <v>3375</v>
      </c>
      <c r="H156" s="11">
        <f>Tablo14[[#This Row],[ADET]]*Tablo14[[#This Row],[SATIŞ]]</f>
        <v>0</v>
      </c>
    </row>
  </sheetData>
  <conditionalFormatting sqref="B4:F156">
    <cfRule type="expression" dxfId="197" priority="1">
      <formula>$F4&lt;0</formula>
    </cfRule>
    <cfRule type="expression" dxfId="196" priority="2">
      <formula>$F4="Açık"</formula>
    </cfRule>
    <cfRule type="expression" dxfId="195" priority="3">
      <formula>$F4&gt;0</formula>
    </cfRule>
  </conditionalFormatting>
  <hyperlinks>
    <hyperlink ref="B1" location="İcmal!A1" display="ANA SAYFA" xr:uid="{1FA6CB69-D8F7-420D-91EB-81918C2844AB}"/>
  </hyperlink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D7C17-4E59-44E6-BA87-DF5B5B2D3C21}">
  <sheetPr>
    <tabColor rgb="FF2FFF8D"/>
  </sheetPr>
  <dimension ref="B1:R58"/>
  <sheetViews>
    <sheetView showGridLines="0" showZeros="0" zoomScale="110" zoomScaleNormal="110" workbookViewId="0">
      <pane ySplit="3" topLeftCell="A42" activePane="bottomLeft" state="frozen"/>
      <selection pane="bottomLeft" activeCell="E59" sqref="E59"/>
    </sheetView>
  </sheetViews>
  <sheetFormatPr defaultRowHeight="21" customHeight="1" x14ac:dyDescent="0.3"/>
  <cols>
    <col min="2" max="2" width="20.6640625" style="1" customWidth="1"/>
    <col min="3" max="3" width="11.33203125" style="6" customWidth="1"/>
    <col min="4" max="5" width="12.88671875" style="3" customWidth="1"/>
    <col min="6" max="6" width="12.88671875" style="5" customWidth="1"/>
    <col min="7" max="8" width="11.6640625" bestFit="1" customWidth="1"/>
    <col min="10" max="12" width="12.44140625" customWidth="1"/>
    <col min="13" max="13" width="11.6640625" bestFit="1" customWidth="1"/>
    <col min="14" max="14" width="10.6640625" bestFit="1" customWidth="1"/>
  </cols>
  <sheetData>
    <row r="1" spans="2:18" ht="21" customHeight="1" x14ac:dyDescent="0.3">
      <c r="B1" s="12" t="s">
        <v>64</v>
      </c>
      <c r="C1" s="4">
        <f>SUMIF(Tablo145[KAR],"Açık",Tablo145[ADET])</f>
        <v>100</v>
      </c>
      <c r="D1" s="10">
        <f>+İcmal!E7</f>
        <v>161</v>
      </c>
      <c r="E1" s="10">
        <f>C1*D1</f>
        <v>16100</v>
      </c>
      <c r="F1" s="10">
        <f>IFERROR(((SUM(Tablo145[ALIŞ TUTAR])-SUM(Tablo145[SATIŞ TUTAR]))/C1),"")</f>
        <v>122.75686799999995</v>
      </c>
      <c r="G1" s="10">
        <f>IF(M3=0,L3,C1*(D1-F1))</f>
        <v>3824.3132000000046</v>
      </c>
      <c r="J1" s="45" t="s">
        <v>94</v>
      </c>
      <c r="K1" s="45" t="s">
        <v>95</v>
      </c>
      <c r="L1" s="45" t="s">
        <v>96</v>
      </c>
      <c r="M1" s="33">
        <f>F1</f>
        <v>122.75686799999995</v>
      </c>
      <c r="N1" s="8" t="e">
        <f>M1*(1+$J$1)</f>
        <v>#VALUE!</v>
      </c>
      <c r="P1" s="8" t="e">
        <f>Q1*(1-$J$1)</f>
        <v>#VALUE!</v>
      </c>
      <c r="Q1" s="33">
        <f>+D1</f>
        <v>161</v>
      </c>
      <c r="R1" s="8" t="e">
        <f>Q1*(1+$J$1)</f>
        <v>#VALUE!</v>
      </c>
    </row>
    <row r="2" spans="2:18" ht="21" customHeight="1" x14ac:dyDescent="0.3">
      <c r="B2" s="7" t="s">
        <v>14</v>
      </c>
      <c r="J2" s="45">
        <f>SUMIFS(Tablo2[HEDEF2],Tablo2[HİSSE],B2)</f>
        <v>2000</v>
      </c>
      <c r="K2" s="45">
        <f>+E1/İcmal!$P$2</f>
        <v>494.92775899169993</v>
      </c>
      <c r="L2" s="45">
        <f>+J2-K2</f>
        <v>1505.0722410083001</v>
      </c>
    </row>
    <row r="3" spans="2:18" ht="21" customHeight="1" x14ac:dyDescent="0.3">
      <c r="B3" s="1" t="s">
        <v>0</v>
      </c>
      <c r="C3" s="6" t="s">
        <v>4</v>
      </c>
      <c r="D3" s="3" t="s">
        <v>1</v>
      </c>
      <c r="E3" s="3" t="s">
        <v>3</v>
      </c>
      <c r="F3" s="5" t="s">
        <v>2</v>
      </c>
      <c r="G3" s="3" t="s">
        <v>8</v>
      </c>
      <c r="H3" s="3" t="s">
        <v>9</v>
      </c>
      <c r="L3" s="33">
        <f>SUM(Tablo145[KAR])</f>
        <v>4424.3132000000014</v>
      </c>
      <c r="M3" s="37">
        <f>+C1</f>
        <v>100</v>
      </c>
    </row>
    <row r="4" spans="2:18" ht="21" hidden="1" customHeight="1" x14ac:dyDescent="0.3">
      <c r="B4" s="2">
        <v>45291</v>
      </c>
      <c r="C4" s="6">
        <v>98</v>
      </c>
      <c r="D4" s="10">
        <v>124.7362</v>
      </c>
      <c r="E4" s="10">
        <v>123.01860000000001</v>
      </c>
      <c r="F4" s="9">
        <f>IF(Tablo145[[#This Row],[SATIŞ]]=0,"Açık",(E4-D4)*C4)</f>
        <v>-168.32479999999904</v>
      </c>
      <c r="G4" s="11">
        <f>Tablo145[[#This Row],[ADET]]*Tablo145[[#This Row],[ALIŞ]]</f>
        <v>12224.1476</v>
      </c>
      <c r="H4" s="11">
        <f>Tablo145[[#This Row],[ADET]]*Tablo145[[#This Row],[SATIŞ]]</f>
        <v>12055.8228</v>
      </c>
      <c r="L4" s="8">
        <f>SUM(Tablo145[ALIŞ TUTAR])</f>
        <v>158281.1096</v>
      </c>
      <c r="M4" s="8">
        <f>SUM(Tablo145[SATIŞ TUTAR])</f>
        <v>146005.4228</v>
      </c>
      <c r="N4" s="8">
        <f>L4-M4</f>
        <v>12275.686799999996</v>
      </c>
    </row>
    <row r="5" spans="2:18" ht="21" hidden="1" customHeight="1" x14ac:dyDescent="0.3">
      <c r="B5" s="2">
        <v>45291</v>
      </c>
      <c r="C5" s="6">
        <v>1</v>
      </c>
      <c r="D5" s="10">
        <v>124.7362</v>
      </c>
      <c r="E5" s="10">
        <v>160.6</v>
      </c>
      <c r="F5" s="9">
        <f>IF(Tablo145[[#This Row],[SATIŞ]]=0,"Açık",(E5-D5)*C5)</f>
        <v>35.863799999999998</v>
      </c>
      <c r="G5" s="11">
        <f>Tablo145[[#This Row],[ADET]]*Tablo145[[#This Row],[ALIŞ]]</f>
        <v>124.7362</v>
      </c>
      <c r="H5" s="11">
        <f>Tablo145[[#This Row],[ADET]]*Tablo145[[#This Row],[SATIŞ]]</f>
        <v>160.6</v>
      </c>
      <c r="N5">
        <f>+N4/80</f>
        <v>153.44608499999995</v>
      </c>
    </row>
    <row r="6" spans="2:18" ht="21" hidden="1" customHeight="1" x14ac:dyDescent="0.3">
      <c r="B6" s="2">
        <v>45291</v>
      </c>
      <c r="C6" s="6">
        <v>9</v>
      </c>
      <c r="D6" s="10">
        <v>124.7362</v>
      </c>
      <c r="E6" s="10">
        <v>160</v>
      </c>
      <c r="F6" s="9">
        <f>IF(Tablo145[[#This Row],[SATIŞ]]=0,"Açık",(E6-D6)*C6)</f>
        <v>317.37420000000003</v>
      </c>
      <c r="G6" s="11">
        <f>Tablo145[[#This Row],[ADET]]*Tablo145[[#This Row],[ALIŞ]]</f>
        <v>1122.6258</v>
      </c>
      <c r="H6" s="11">
        <f>Tablo145[[#This Row],[ADET]]*Tablo145[[#This Row],[SATIŞ]]</f>
        <v>1440</v>
      </c>
    </row>
    <row r="7" spans="2:18" ht="21" hidden="1" customHeight="1" x14ac:dyDescent="0.3">
      <c r="B7" s="2">
        <v>45638</v>
      </c>
      <c r="C7" s="6">
        <v>1</v>
      </c>
      <c r="D7" s="10">
        <v>159.1</v>
      </c>
      <c r="E7" s="10">
        <v>160</v>
      </c>
      <c r="F7" s="9">
        <f>IF(Tablo145[[#This Row],[SATIŞ]]=0,"Açık",(E7-D7)*C7)</f>
        <v>0.90000000000000568</v>
      </c>
      <c r="G7" s="11">
        <f>Tablo145[[#This Row],[ADET]]*Tablo145[[#This Row],[ALIŞ]]</f>
        <v>159.1</v>
      </c>
      <c r="H7" s="11">
        <f>Tablo145[[#This Row],[ADET]]*Tablo145[[#This Row],[SATIŞ]]</f>
        <v>160</v>
      </c>
    </row>
    <row r="8" spans="2:18" ht="21" hidden="1" customHeight="1" x14ac:dyDescent="0.3">
      <c r="B8" s="2">
        <v>45638</v>
      </c>
      <c r="C8" s="6">
        <v>5</v>
      </c>
      <c r="D8" s="10">
        <v>159.1</v>
      </c>
      <c r="E8" s="10">
        <v>160</v>
      </c>
      <c r="F8" s="9">
        <f>IF(Tablo145[[#This Row],[SATIŞ]]=0,"Açık",(E8-D8)*C8)</f>
        <v>4.5000000000000284</v>
      </c>
      <c r="G8" s="11">
        <f>Tablo145[[#This Row],[ADET]]*Tablo145[[#This Row],[ALIŞ]]</f>
        <v>795.5</v>
      </c>
      <c r="H8" s="11">
        <f>Tablo145[[#This Row],[ADET]]*Tablo145[[#This Row],[SATIŞ]]</f>
        <v>800</v>
      </c>
    </row>
    <row r="9" spans="2:18" ht="21" hidden="1" customHeight="1" x14ac:dyDescent="0.3">
      <c r="B9" s="2">
        <v>45639</v>
      </c>
      <c r="C9" s="6">
        <v>15</v>
      </c>
      <c r="D9" s="10">
        <v>157</v>
      </c>
      <c r="E9" s="10">
        <v>160</v>
      </c>
      <c r="F9" s="9">
        <f>IF(Tablo145[[#This Row],[SATIŞ]]=0,"Açık",(E9-D9)*C9)</f>
        <v>45</v>
      </c>
      <c r="G9" s="11">
        <f>Tablo145[[#This Row],[ADET]]*Tablo145[[#This Row],[ALIŞ]]</f>
        <v>2355</v>
      </c>
      <c r="H9" s="11">
        <f>Tablo145[[#This Row],[ADET]]*Tablo145[[#This Row],[SATIŞ]]</f>
        <v>2400</v>
      </c>
    </row>
    <row r="10" spans="2:18" ht="21" hidden="1" customHeight="1" x14ac:dyDescent="0.3">
      <c r="B10" s="2">
        <v>45341</v>
      </c>
      <c r="C10" s="6">
        <v>20</v>
      </c>
      <c r="D10" s="10">
        <v>158</v>
      </c>
      <c r="E10" s="10">
        <v>159</v>
      </c>
      <c r="F10" s="9">
        <f>IF(Tablo145[[#This Row],[SATIŞ]]=0,"Açık",(E10-D10)*C10)</f>
        <v>20</v>
      </c>
      <c r="G10" s="11">
        <f>Tablo145[[#This Row],[ADET]]*Tablo145[[#This Row],[ALIŞ]]</f>
        <v>3160</v>
      </c>
      <c r="H10" s="11">
        <f>Tablo145[[#This Row],[ADET]]*Tablo145[[#This Row],[SATIŞ]]</f>
        <v>3180</v>
      </c>
    </row>
    <row r="11" spans="2:18" ht="21" hidden="1" customHeight="1" x14ac:dyDescent="0.3">
      <c r="B11" s="2">
        <v>45341</v>
      </c>
      <c r="C11" s="6">
        <v>30</v>
      </c>
      <c r="D11" s="10">
        <v>155</v>
      </c>
      <c r="E11" s="10">
        <v>159</v>
      </c>
      <c r="F11" s="9">
        <f>IF(Tablo145[[#This Row],[SATIŞ]]=0,"Açık",(E11-D11)*C11)</f>
        <v>120</v>
      </c>
      <c r="G11" s="11">
        <f>Tablo145[[#This Row],[ADET]]*Tablo145[[#This Row],[ALIŞ]]</f>
        <v>4650</v>
      </c>
      <c r="H11" s="11">
        <f>Tablo145[[#This Row],[ADET]]*Tablo145[[#This Row],[SATIŞ]]</f>
        <v>4770</v>
      </c>
    </row>
    <row r="12" spans="2:18" ht="21" hidden="1" customHeight="1" x14ac:dyDescent="0.3">
      <c r="B12" s="2">
        <v>45359</v>
      </c>
      <c r="C12" s="6">
        <v>5</v>
      </c>
      <c r="D12" s="10">
        <v>158</v>
      </c>
      <c r="E12" s="10">
        <v>164</v>
      </c>
      <c r="F12" s="9">
        <f>IF(Tablo145[[#This Row],[SATIŞ]]=0,"Açık",(E12-D12)*C12)</f>
        <v>30</v>
      </c>
      <c r="G12" s="11">
        <f>Tablo145[[#This Row],[ADET]]*Tablo145[[#This Row],[ALIŞ]]</f>
        <v>790</v>
      </c>
      <c r="H12" s="11">
        <f>Tablo145[[#This Row],[ADET]]*Tablo145[[#This Row],[SATIŞ]]</f>
        <v>820</v>
      </c>
      <c r="J12" s="40" t="str">
        <f t="shared" ref="J12:J27" si="0">IF(E12=0,D12*1.05,"")</f>
        <v/>
      </c>
    </row>
    <row r="13" spans="2:18" ht="21" hidden="1" customHeight="1" x14ac:dyDescent="0.3">
      <c r="B13" s="2">
        <v>45359</v>
      </c>
      <c r="C13" s="6">
        <v>5</v>
      </c>
      <c r="D13" s="10">
        <v>158</v>
      </c>
      <c r="E13" s="10">
        <v>158.5</v>
      </c>
      <c r="F13" s="9">
        <f>IF(Tablo145[[#This Row],[SATIŞ]]=0,"Açık",(E13-D13)*C13)</f>
        <v>2.5</v>
      </c>
      <c r="G13" s="11">
        <f>Tablo145[[#This Row],[ADET]]*Tablo145[[#This Row],[ALIŞ]]</f>
        <v>790</v>
      </c>
      <c r="H13" s="11">
        <f>Tablo145[[#This Row],[ADET]]*Tablo145[[#This Row],[SATIŞ]]</f>
        <v>792.5</v>
      </c>
      <c r="J13" s="40"/>
    </row>
    <row r="14" spans="2:18" ht="21" hidden="1" customHeight="1" x14ac:dyDescent="0.3">
      <c r="B14" s="2">
        <v>45363</v>
      </c>
      <c r="C14" s="6">
        <v>10</v>
      </c>
      <c r="D14" s="10">
        <v>156</v>
      </c>
      <c r="E14" s="10">
        <v>157.5</v>
      </c>
      <c r="F14" s="9">
        <f>IF(Tablo145[[#This Row],[SATIŞ]]=0,"Açık",(E14-D14)*C14)</f>
        <v>15</v>
      </c>
      <c r="G14" s="11">
        <f>Tablo145[[#This Row],[ADET]]*Tablo145[[#This Row],[ALIŞ]]</f>
        <v>1560</v>
      </c>
      <c r="H14" s="11">
        <f>Tablo145[[#This Row],[ADET]]*Tablo145[[#This Row],[SATIŞ]]</f>
        <v>1575</v>
      </c>
      <c r="J14" s="40" t="str">
        <f t="shared" si="0"/>
        <v/>
      </c>
    </row>
    <row r="15" spans="2:18" ht="21" hidden="1" customHeight="1" x14ac:dyDescent="0.3">
      <c r="B15" s="2">
        <v>45365</v>
      </c>
      <c r="C15" s="6">
        <v>10</v>
      </c>
      <c r="D15" s="10">
        <v>153</v>
      </c>
      <c r="E15" s="10">
        <v>155</v>
      </c>
      <c r="F15" s="9">
        <f>IF(Tablo145[[#This Row],[SATIŞ]]=0,"Açık",(E15-D15)*C15)</f>
        <v>20</v>
      </c>
      <c r="G15" s="11">
        <f>Tablo145[[#This Row],[ADET]]*Tablo145[[#This Row],[ALIŞ]]</f>
        <v>1530</v>
      </c>
      <c r="H15" s="11">
        <f>Tablo145[[#This Row],[ADET]]*Tablo145[[#This Row],[SATIŞ]]</f>
        <v>1550</v>
      </c>
      <c r="J15" s="40" t="str">
        <f t="shared" si="0"/>
        <v/>
      </c>
    </row>
    <row r="16" spans="2:18" ht="21" hidden="1" customHeight="1" x14ac:dyDescent="0.3">
      <c r="B16" s="2">
        <v>45366</v>
      </c>
      <c r="C16" s="6">
        <v>10</v>
      </c>
      <c r="D16" s="10">
        <v>151</v>
      </c>
      <c r="E16" s="10">
        <v>157.5</v>
      </c>
      <c r="F16" s="9">
        <f>IF(Tablo145[[#This Row],[SATIŞ]]=0,"Açık",(E16-D16)*C16)</f>
        <v>65</v>
      </c>
      <c r="G16" s="11">
        <f>Tablo145[[#This Row],[ADET]]*Tablo145[[#This Row],[ALIŞ]]</f>
        <v>1510</v>
      </c>
      <c r="H16" s="11">
        <f>Tablo145[[#This Row],[ADET]]*Tablo145[[#This Row],[SATIŞ]]</f>
        <v>1575</v>
      </c>
      <c r="J16" s="40" t="str">
        <f t="shared" si="0"/>
        <v/>
      </c>
    </row>
    <row r="17" spans="2:10" ht="21" hidden="1" customHeight="1" x14ac:dyDescent="0.3">
      <c r="B17" s="2">
        <v>45371</v>
      </c>
      <c r="C17" s="6">
        <v>10</v>
      </c>
      <c r="D17" s="10">
        <v>152</v>
      </c>
      <c r="E17" s="10">
        <v>157.5</v>
      </c>
      <c r="F17" s="9">
        <f>IF(Tablo145[[#This Row],[SATIŞ]]=0,"Açık",(E17-D17)*C17)</f>
        <v>55</v>
      </c>
      <c r="G17" s="11">
        <f>Tablo145[[#This Row],[ADET]]*Tablo145[[#This Row],[ALIŞ]]</f>
        <v>1520</v>
      </c>
      <c r="H17" s="11">
        <f>Tablo145[[#This Row],[ADET]]*Tablo145[[#This Row],[SATIŞ]]</f>
        <v>1575</v>
      </c>
      <c r="J17" s="40" t="str">
        <f t="shared" si="0"/>
        <v/>
      </c>
    </row>
    <row r="18" spans="2:10" ht="21" hidden="1" customHeight="1" x14ac:dyDescent="0.3">
      <c r="B18" s="2">
        <v>45371</v>
      </c>
      <c r="C18" s="6">
        <v>10</v>
      </c>
      <c r="D18" s="10">
        <v>151</v>
      </c>
      <c r="E18" s="10">
        <v>157.5</v>
      </c>
      <c r="F18" s="9">
        <f>IF(Tablo145[[#This Row],[SATIŞ]]=0,"Açık",(E18-D18)*C18)</f>
        <v>65</v>
      </c>
      <c r="G18" s="11">
        <f>Tablo145[[#This Row],[ADET]]*Tablo145[[#This Row],[ALIŞ]]</f>
        <v>1510</v>
      </c>
      <c r="H18" s="11">
        <f>Tablo145[[#This Row],[ADET]]*Tablo145[[#This Row],[SATIŞ]]</f>
        <v>1575</v>
      </c>
      <c r="J18" s="40" t="str">
        <f t="shared" si="0"/>
        <v/>
      </c>
    </row>
    <row r="19" spans="2:10" ht="21" hidden="1" customHeight="1" x14ac:dyDescent="0.3">
      <c r="B19" s="2">
        <v>45371</v>
      </c>
      <c r="C19" s="6">
        <v>10</v>
      </c>
      <c r="D19" s="10">
        <v>150</v>
      </c>
      <c r="E19" s="10">
        <v>157.5</v>
      </c>
      <c r="F19" s="9">
        <f>IF(Tablo145[[#This Row],[SATIŞ]]=0,"Açık",(E19-D19)*C19)</f>
        <v>75</v>
      </c>
      <c r="G19" s="11">
        <f>Tablo145[[#This Row],[ADET]]*Tablo145[[#This Row],[ALIŞ]]</f>
        <v>1500</v>
      </c>
      <c r="H19" s="11">
        <f>Tablo145[[#This Row],[ADET]]*Tablo145[[#This Row],[SATIŞ]]</f>
        <v>1575</v>
      </c>
      <c r="J19" s="40" t="str">
        <f t="shared" si="0"/>
        <v/>
      </c>
    </row>
    <row r="20" spans="2:10" ht="21" hidden="1" customHeight="1" x14ac:dyDescent="0.3">
      <c r="B20" s="2">
        <v>45371</v>
      </c>
      <c r="C20" s="6">
        <v>10</v>
      </c>
      <c r="D20" s="10">
        <v>149</v>
      </c>
      <c r="E20" s="10">
        <v>158.5</v>
      </c>
      <c r="F20" s="9">
        <f>IF(Tablo145[[#This Row],[SATIŞ]]=0,"Açık",(E20-D20)*C20)</f>
        <v>95</v>
      </c>
      <c r="G20" s="11">
        <f>Tablo145[[#This Row],[ADET]]*Tablo145[[#This Row],[ALIŞ]]</f>
        <v>1490</v>
      </c>
      <c r="H20" s="11">
        <f>Tablo145[[#This Row],[ADET]]*Tablo145[[#This Row],[SATIŞ]]</f>
        <v>1585</v>
      </c>
      <c r="J20" s="40" t="str">
        <f t="shared" si="0"/>
        <v/>
      </c>
    </row>
    <row r="21" spans="2:10" ht="21" hidden="1" customHeight="1" x14ac:dyDescent="0.3">
      <c r="B21" s="2">
        <v>45373</v>
      </c>
      <c r="C21" s="6">
        <v>10</v>
      </c>
      <c r="D21" s="10">
        <v>148</v>
      </c>
      <c r="E21" s="10">
        <v>152</v>
      </c>
      <c r="F21" s="9">
        <f>IF(Tablo145[[#This Row],[SATIŞ]]=0,"Açık",(E21-D21)*C21)</f>
        <v>40</v>
      </c>
      <c r="G21" s="11">
        <f>Tablo145[[#This Row],[ADET]]*Tablo145[[#This Row],[ALIŞ]]</f>
        <v>1480</v>
      </c>
      <c r="H21" s="11">
        <f>Tablo145[[#This Row],[ADET]]*Tablo145[[#This Row],[SATIŞ]]</f>
        <v>1520</v>
      </c>
      <c r="J21" s="40" t="str">
        <f t="shared" si="0"/>
        <v/>
      </c>
    </row>
    <row r="22" spans="2:10" ht="21" hidden="1" customHeight="1" x14ac:dyDescent="0.3">
      <c r="B22" s="2">
        <v>45373</v>
      </c>
      <c r="C22" s="6">
        <v>10</v>
      </c>
      <c r="D22" s="10">
        <v>147</v>
      </c>
      <c r="E22" s="10">
        <v>151</v>
      </c>
      <c r="F22" s="9">
        <f>IF(Tablo145[[#This Row],[SATIŞ]]=0,"Açık",(E22-D22)*C22)</f>
        <v>40</v>
      </c>
      <c r="G22" s="11">
        <f>Tablo145[[#This Row],[ADET]]*Tablo145[[#This Row],[ALIŞ]]</f>
        <v>1470</v>
      </c>
      <c r="H22" s="11">
        <f>Tablo145[[#This Row],[ADET]]*Tablo145[[#This Row],[SATIŞ]]</f>
        <v>1510</v>
      </c>
      <c r="J22" s="40" t="str">
        <f t="shared" si="0"/>
        <v/>
      </c>
    </row>
    <row r="23" spans="2:10" ht="21" hidden="1" customHeight="1" x14ac:dyDescent="0.3">
      <c r="B23" s="2">
        <v>45373</v>
      </c>
      <c r="C23" s="6">
        <v>10</v>
      </c>
      <c r="D23" s="10">
        <v>145</v>
      </c>
      <c r="E23" s="10">
        <v>150.4</v>
      </c>
      <c r="F23" s="9">
        <f>IF(Tablo145[[#This Row],[SATIŞ]]=0,"Açık",(E23-D23)*C23)</f>
        <v>54.000000000000057</v>
      </c>
      <c r="G23" s="11">
        <f>Tablo145[[#This Row],[ADET]]*Tablo145[[#This Row],[ALIŞ]]</f>
        <v>1450</v>
      </c>
      <c r="H23" s="11">
        <f>Tablo145[[#This Row],[ADET]]*Tablo145[[#This Row],[SATIŞ]]</f>
        <v>1504</v>
      </c>
      <c r="J23" s="40" t="str">
        <f t="shared" si="0"/>
        <v/>
      </c>
    </row>
    <row r="24" spans="2:10" ht="21" hidden="1" customHeight="1" x14ac:dyDescent="0.3">
      <c r="B24" s="2">
        <v>45383</v>
      </c>
      <c r="C24" s="6">
        <v>10</v>
      </c>
      <c r="D24" s="10">
        <v>148.1</v>
      </c>
      <c r="E24" s="10">
        <v>153</v>
      </c>
      <c r="F24" s="9">
        <f>IF(Tablo145[[#This Row],[SATIŞ]]=0,"Açık",(E24-D24)*C24)</f>
        <v>49.000000000000057</v>
      </c>
      <c r="G24" s="11">
        <f>Tablo145[[#This Row],[ADET]]*Tablo145[[#This Row],[ALIŞ]]</f>
        <v>1481</v>
      </c>
      <c r="H24" s="11">
        <f>Tablo145[[#This Row],[ADET]]*Tablo145[[#This Row],[SATIŞ]]</f>
        <v>1530</v>
      </c>
      <c r="J24" s="40" t="str">
        <f t="shared" si="0"/>
        <v/>
      </c>
    </row>
    <row r="25" spans="2:10" ht="21" hidden="1" customHeight="1" x14ac:dyDescent="0.3">
      <c r="B25" s="2">
        <v>45383</v>
      </c>
      <c r="C25" s="6">
        <v>10</v>
      </c>
      <c r="D25" s="10">
        <v>148.1</v>
      </c>
      <c r="E25" s="10">
        <v>154</v>
      </c>
      <c r="F25" s="9">
        <f>IF(Tablo145[[#This Row],[SATIŞ]]=0,"Açık",(E25-D25)*C25)</f>
        <v>59.000000000000057</v>
      </c>
      <c r="G25" s="11">
        <f>Tablo145[[#This Row],[ADET]]*Tablo145[[#This Row],[ALIŞ]]</f>
        <v>1481</v>
      </c>
      <c r="H25" s="11">
        <f>Tablo145[[#This Row],[ADET]]*Tablo145[[#This Row],[SATIŞ]]</f>
        <v>1540</v>
      </c>
      <c r="J25" s="40"/>
    </row>
    <row r="26" spans="2:10" ht="21" hidden="1" customHeight="1" x14ac:dyDescent="0.3">
      <c r="B26" s="2">
        <v>45383</v>
      </c>
      <c r="C26" s="6">
        <v>10</v>
      </c>
      <c r="D26" s="10">
        <v>148.1</v>
      </c>
      <c r="E26" s="10">
        <v>153</v>
      </c>
      <c r="F26" s="9">
        <f>IF(Tablo145[[#This Row],[SATIŞ]]=0,"Açık",(E26-D26)*C26)</f>
        <v>49.000000000000057</v>
      </c>
      <c r="G26" s="11">
        <f>Tablo145[[#This Row],[ADET]]*Tablo145[[#This Row],[ALIŞ]]</f>
        <v>1481</v>
      </c>
      <c r="H26" s="11">
        <f>Tablo145[[#This Row],[ADET]]*Tablo145[[#This Row],[SATIŞ]]</f>
        <v>1530</v>
      </c>
      <c r="J26" s="40"/>
    </row>
    <row r="27" spans="2:10" ht="21" hidden="1" customHeight="1" x14ac:dyDescent="0.3">
      <c r="B27" s="2">
        <v>45383</v>
      </c>
      <c r="C27" s="6">
        <v>10</v>
      </c>
      <c r="D27" s="10">
        <v>147</v>
      </c>
      <c r="E27" s="10">
        <v>150</v>
      </c>
      <c r="F27" s="9">
        <f>IF(Tablo145[[#This Row],[SATIŞ]]=0,"Açık",(E27-D27)*C27)</f>
        <v>30</v>
      </c>
      <c r="G27" s="11">
        <f>Tablo145[[#This Row],[ADET]]*Tablo145[[#This Row],[ALIŞ]]</f>
        <v>1470</v>
      </c>
      <c r="H27" s="11">
        <f>Tablo145[[#This Row],[ADET]]*Tablo145[[#This Row],[SATIŞ]]</f>
        <v>1500</v>
      </c>
      <c r="J27" s="40" t="str">
        <f t="shared" si="0"/>
        <v/>
      </c>
    </row>
    <row r="28" spans="2:10" ht="21" hidden="1" customHeight="1" x14ac:dyDescent="0.3">
      <c r="B28" s="2">
        <v>45383</v>
      </c>
      <c r="C28" s="6">
        <v>10</v>
      </c>
      <c r="D28" s="10">
        <v>148.1</v>
      </c>
      <c r="E28" s="10">
        <v>152.5</v>
      </c>
      <c r="F28" s="9">
        <f>IF(Tablo145[[#This Row],[SATIŞ]]=0,"Açık",(E28-D28)*C28)</f>
        <v>44.000000000000057</v>
      </c>
      <c r="G28" s="11">
        <f>Tablo145[[#This Row],[ADET]]*Tablo145[[#This Row],[ALIŞ]]</f>
        <v>1481</v>
      </c>
      <c r="H28" s="11">
        <f>Tablo145[[#This Row],[ADET]]*Tablo145[[#This Row],[SATIŞ]]</f>
        <v>1525</v>
      </c>
    </row>
    <row r="29" spans="2:10" ht="21" hidden="1" customHeight="1" x14ac:dyDescent="0.3">
      <c r="B29" s="2">
        <v>45383</v>
      </c>
      <c r="C29" s="6">
        <v>10</v>
      </c>
      <c r="D29" s="10">
        <v>148.1</v>
      </c>
      <c r="E29" s="10">
        <v>153.5</v>
      </c>
      <c r="F29" s="9">
        <f>IF(Tablo145[[#This Row],[SATIŞ]]=0,"Açık",(E29-D29)*C29)</f>
        <v>54.000000000000057</v>
      </c>
      <c r="G29" s="11">
        <f>Tablo145[[#This Row],[ADET]]*Tablo145[[#This Row],[ALIŞ]]</f>
        <v>1481</v>
      </c>
      <c r="H29" s="11">
        <f>Tablo145[[#This Row],[ADET]]*Tablo145[[#This Row],[SATIŞ]]</f>
        <v>1535</v>
      </c>
    </row>
    <row r="30" spans="2:10" ht="21" hidden="1" customHeight="1" x14ac:dyDescent="0.3">
      <c r="B30" s="2">
        <v>45383</v>
      </c>
      <c r="C30" s="6">
        <v>10</v>
      </c>
      <c r="D30" s="10">
        <v>148.1</v>
      </c>
      <c r="E30" s="10">
        <v>154</v>
      </c>
      <c r="F30" s="9">
        <f>IF(Tablo145[[#This Row],[SATIŞ]]=0,"Açık",(E30-D30)*C30)</f>
        <v>59.000000000000057</v>
      </c>
      <c r="G30" s="11">
        <f>Tablo145[[#This Row],[ADET]]*Tablo145[[#This Row],[ALIŞ]]</f>
        <v>1481</v>
      </c>
      <c r="H30" s="11">
        <f>Tablo145[[#This Row],[ADET]]*Tablo145[[#This Row],[SATIŞ]]</f>
        <v>1540</v>
      </c>
    </row>
    <row r="31" spans="2:10" ht="21" hidden="1" customHeight="1" x14ac:dyDescent="0.3">
      <c r="B31" s="2">
        <v>45383</v>
      </c>
      <c r="C31" s="6">
        <v>35</v>
      </c>
      <c r="D31" s="10">
        <v>148.1</v>
      </c>
      <c r="E31" s="10">
        <v>158.5</v>
      </c>
      <c r="F31" s="9">
        <f>IF(Tablo145[[#This Row],[SATIŞ]]=0,"Açık",(E31-D31)*C31)</f>
        <v>364.00000000000023</v>
      </c>
      <c r="G31" s="11">
        <f>Tablo145[[#This Row],[ADET]]*Tablo145[[#This Row],[ALIŞ]]</f>
        <v>5183.5</v>
      </c>
      <c r="H31" s="11">
        <f>Tablo145[[#This Row],[ADET]]*Tablo145[[#This Row],[SATIŞ]]</f>
        <v>5547.5</v>
      </c>
    </row>
    <row r="32" spans="2:10" ht="21" hidden="1" customHeight="1" x14ac:dyDescent="0.3">
      <c r="B32" s="2">
        <v>45383</v>
      </c>
      <c r="C32" s="6">
        <v>50</v>
      </c>
      <c r="D32" s="10">
        <v>148.1</v>
      </c>
      <c r="E32" s="10">
        <v>158</v>
      </c>
      <c r="F32" s="9">
        <f>IF(Tablo145[[#This Row],[SATIŞ]]=0,"Açık",(E32-D32)*C32)</f>
        <v>495.00000000000028</v>
      </c>
      <c r="G32" s="11">
        <f>Tablo145[[#This Row],[ADET]]*Tablo145[[#This Row],[ALIŞ]]</f>
        <v>7405</v>
      </c>
      <c r="H32" s="11">
        <f>Tablo145[[#This Row],[ADET]]*Tablo145[[#This Row],[SATIŞ]]</f>
        <v>7900</v>
      </c>
    </row>
    <row r="33" spans="2:8" ht="21" hidden="1" customHeight="1" x14ac:dyDescent="0.3">
      <c r="B33" s="2">
        <v>45383</v>
      </c>
      <c r="C33" s="6">
        <v>35</v>
      </c>
      <c r="D33" s="10">
        <v>148.1</v>
      </c>
      <c r="E33" s="10">
        <v>157</v>
      </c>
      <c r="F33" s="9">
        <f>IF(Tablo145[[#This Row],[SATIŞ]]=0,"Açık",(E33-D33)*C33)</f>
        <v>311.50000000000023</v>
      </c>
      <c r="G33" s="11">
        <f>Tablo145[[#This Row],[ADET]]*Tablo145[[#This Row],[ALIŞ]]</f>
        <v>5183.5</v>
      </c>
      <c r="H33" s="11">
        <f>Tablo145[[#This Row],[ADET]]*Tablo145[[#This Row],[SATIŞ]]</f>
        <v>5495</v>
      </c>
    </row>
    <row r="34" spans="2:8" ht="21" hidden="1" customHeight="1" x14ac:dyDescent="0.3">
      <c r="B34" s="2">
        <v>45383</v>
      </c>
      <c r="C34" s="6">
        <v>30</v>
      </c>
      <c r="D34" s="10">
        <v>148.1</v>
      </c>
      <c r="E34" s="10">
        <v>156</v>
      </c>
      <c r="F34" s="9">
        <f>IF(Tablo145[[#This Row],[SATIŞ]]=0,"Açık",(E34-D34)*C34)</f>
        <v>237.00000000000017</v>
      </c>
      <c r="G34" s="11">
        <f>Tablo145[[#This Row],[ADET]]*Tablo145[[#This Row],[ALIŞ]]</f>
        <v>4443</v>
      </c>
      <c r="H34" s="11">
        <f>Tablo145[[#This Row],[ADET]]*Tablo145[[#This Row],[SATIŞ]]</f>
        <v>4680</v>
      </c>
    </row>
    <row r="35" spans="2:8" ht="21" hidden="1" customHeight="1" x14ac:dyDescent="0.3">
      <c r="B35" s="2">
        <v>45383</v>
      </c>
      <c r="C35" s="6">
        <v>25</v>
      </c>
      <c r="D35" s="10">
        <v>148.1</v>
      </c>
      <c r="E35" s="10">
        <v>155</v>
      </c>
      <c r="F35" s="9">
        <f>IF(Tablo145[[#This Row],[SATIŞ]]=0,"Açık",(E35-D35)*C35)</f>
        <v>172.50000000000014</v>
      </c>
      <c r="G35" s="11">
        <f>Tablo145[[#This Row],[ADET]]*Tablo145[[#This Row],[ALIŞ]]</f>
        <v>3702.5</v>
      </c>
      <c r="H35" s="11">
        <f>Tablo145[[#This Row],[ADET]]*Tablo145[[#This Row],[SATIŞ]]</f>
        <v>3875</v>
      </c>
    </row>
    <row r="36" spans="2:8" ht="21" hidden="1" customHeight="1" x14ac:dyDescent="0.3">
      <c r="B36" s="2">
        <v>45383</v>
      </c>
      <c r="C36" s="6">
        <v>40</v>
      </c>
      <c r="D36" s="10">
        <v>148.1</v>
      </c>
      <c r="E36" s="10">
        <v>153.75</v>
      </c>
      <c r="F36" s="9">
        <f>IF(Tablo145[[#This Row],[SATIŞ]]=0,"Açık",(E36-D36)*C36)</f>
        <v>226.00000000000023</v>
      </c>
      <c r="G36" s="11">
        <f>Tablo145[[#This Row],[ADET]]*Tablo145[[#This Row],[ALIŞ]]</f>
        <v>5924</v>
      </c>
      <c r="H36" s="11">
        <f>Tablo145[[#This Row],[ADET]]*Tablo145[[#This Row],[SATIŞ]]</f>
        <v>6150</v>
      </c>
    </row>
    <row r="37" spans="2:8" ht="21" hidden="1" customHeight="1" x14ac:dyDescent="0.3">
      <c r="B37" s="2">
        <v>45383</v>
      </c>
      <c r="C37" s="6">
        <v>15</v>
      </c>
      <c r="D37" s="10">
        <v>148.1</v>
      </c>
      <c r="E37" s="10">
        <v>153</v>
      </c>
      <c r="F37" s="9">
        <f>IF(Tablo145[[#This Row],[SATIŞ]]=0,"Açık",(E37-D37)*C37)</f>
        <v>73.500000000000085</v>
      </c>
      <c r="G37" s="11">
        <f>Tablo145[[#This Row],[ADET]]*Tablo145[[#This Row],[ALIŞ]]</f>
        <v>2221.5</v>
      </c>
      <c r="H37" s="11">
        <f>Tablo145[[#This Row],[ADET]]*Tablo145[[#This Row],[SATIŞ]]</f>
        <v>2295</v>
      </c>
    </row>
    <row r="38" spans="2:8" ht="21" hidden="1" customHeight="1" x14ac:dyDescent="0.3">
      <c r="B38" s="2">
        <v>45383</v>
      </c>
      <c r="C38" s="6">
        <v>10</v>
      </c>
      <c r="D38" s="10">
        <v>148.1</v>
      </c>
      <c r="E38" s="10">
        <v>152.5</v>
      </c>
      <c r="F38" s="9">
        <f>IF(Tablo145[[#This Row],[SATIŞ]]=0,"Açık",(E38-D38)*C38)</f>
        <v>44.000000000000057</v>
      </c>
      <c r="G38" s="11">
        <f>Tablo145[[#This Row],[ADET]]*Tablo145[[#This Row],[ALIŞ]]</f>
        <v>1481</v>
      </c>
      <c r="H38" s="11">
        <f>Tablo145[[#This Row],[ADET]]*Tablo145[[#This Row],[SATIŞ]]</f>
        <v>1525</v>
      </c>
    </row>
    <row r="39" spans="2:8" ht="21" hidden="1" customHeight="1" x14ac:dyDescent="0.3">
      <c r="B39" s="2">
        <v>45385</v>
      </c>
      <c r="C39" s="6">
        <v>10</v>
      </c>
      <c r="D39" s="10">
        <v>150</v>
      </c>
      <c r="E39" s="10">
        <v>152</v>
      </c>
      <c r="F39" s="9">
        <f>IF(Tablo145[[#This Row],[SATIŞ]]=0,"Açık",(E39-D39)*C39)</f>
        <v>20</v>
      </c>
      <c r="G39" s="11">
        <f>Tablo145[[#This Row],[ADET]]*Tablo145[[#This Row],[ALIŞ]]</f>
        <v>1500</v>
      </c>
      <c r="H39" s="11">
        <f>Tablo145[[#This Row],[ADET]]*Tablo145[[#This Row],[SATIŞ]]</f>
        <v>1520</v>
      </c>
    </row>
    <row r="40" spans="2:8" ht="21" hidden="1" customHeight="1" x14ac:dyDescent="0.3">
      <c r="B40" s="2">
        <v>45386</v>
      </c>
      <c r="C40" s="6">
        <v>10</v>
      </c>
      <c r="D40" s="10">
        <v>155</v>
      </c>
      <c r="E40" s="10">
        <v>157</v>
      </c>
      <c r="F40" s="9">
        <f>IF(Tablo145[[#This Row],[SATIŞ]]=0,"Açık",(E40-D40)*C40)</f>
        <v>20</v>
      </c>
      <c r="G40" s="11">
        <f>Tablo145[[#This Row],[ADET]]*Tablo145[[#This Row],[ALIŞ]]</f>
        <v>1550</v>
      </c>
      <c r="H40" s="11">
        <f>Tablo145[[#This Row],[ADET]]*Tablo145[[#This Row],[SATIŞ]]</f>
        <v>1570</v>
      </c>
    </row>
    <row r="41" spans="2:8" ht="21" hidden="1" customHeight="1" x14ac:dyDescent="0.3">
      <c r="B41" s="2">
        <v>45386</v>
      </c>
      <c r="C41" s="6">
        <v>10</v>
      </c>
      <c r="D41" s="10">
        <v>156</v>
      </c>
      <c r="E41" s="10">
        <v>158</v>
      </c>
      <c r="F41" s="9">
        <f>IF(Tablo145[[#This Row],[SATIŞ]]=0,"Açık",(E41-D41)*C41)</f>
        <v>20</v>
      </c>
      <c r="G41" s="11">
        <f>Tablo145[[#This Row],[ADET]]*Tablo145[[#This Row],[ALIŞ]]</f>
        <v>1560</v>
      </c>
      <c r="H41" s="11">
        <f>Tablo145[[#This Row],[ADET]]*Tablo145[[#This Row],[SATIŞ]]</f>
        <v>1580</v>
      </c>
    </row>
    <row r="42" spans="2:8" ht="21" customHeight="1" x14ac:dyDescent="0.3">
      <c r="B42" s="2">
        <v>45391</v>
      </c>
      <c r="C42" s="6">
        <v>100</v>
      </c>
      <c r="D42" s="10">
        <v>167</v>
      </c>
      <c r="E42" s="10"/>
      <c r="F42" s="9" t="str">
        <f>IF(Tablo145[[#This Row],[SATIŞ]]=0,"Açık",(E42-D42)*C42)</f>
        <v>Açık</v>
      </c>
      <c r="G42" s="11">
        <f>Tablo145[[#This Row],[ADET]]*Tablo145[[#This Row],[ALIŞ]]</f>
        <v>16700</v>
      </c>
      <c r="H42" s="11">
        <f>Tablo145[[#This Row],[ADET]]*Tablo145[[#This Row],[SATIŞ]]</f>
        <v>0</v>
      </c>
    </row>
    <row r="43" spans="2:8" ht="21" hidden="1" customHeight="1" x14ac:dyDescent="0.3">
      <c r="B43" s="2">
        <v>45397</v>
      </c>
      <c r="C43" s="6">
        <v>20</v>
      </c>
      <c r="D43" s="10">
        <v>162</v>
      </c>
      <c r="E43" s="10">
        <v>163.5</v>
      </c>
      <c r="F43" s="9">
        <f>IF(Tablo145[[#This Row],[SATIŞ]]=0,"Açık",(E43-D43)*C43)</f>
        <v>30</v>
      </c>
      <c r="G43" s="11">
        <f>Tablo145[[#This Row],[ADET]]*Tablo145[[#This Row],[ALIŞ]]</f>
        <v>3240</v>
      </c>
      <c r="H43" s="11">
        <f>Tablo145[[#This Row],[ADET]]*Tablo145[[#This Row],[SATIŞ]]</f>
        <v>3270</v>
      </c>
    </row>
    <row r="44" spans="2:8" ht="21" hidden="1" customHeight="1" x14ac:dyDescent="0.3">
      <c r="B44" s="2">
        <v>45397</v>
      </c>
      <c r="C44" s="6">
        <v>10</v>
      </c>
      <c r="D44" s="10">
        <v>162</v>
      </c>
      <c r="E44" s="10">
        <v>164</v>
      </c>
      <c r="F44" s="9">
        <f>IF(Tablo145[[#This Row],[SATIŞ]]=0,"Açık",(E44-D44)*C44)</f>
        <v>20</v>
      </c>
      <c r="G44" s="11">
        <f>Tablo145[[#This Row],[ADET]]*Tablo145[[#This Row],[ALIŞ]]</f>
        <v>1620</v>
      </c>
      <c r="H44" s="11">
        <f>Tablo145[[#This Row],[ADET]]*Tablo145[[#This Row],[SATIŞ]]</f>
        <v>1640</v>
      </c>
    </row>
    <row r="45" spans="2:8" ht="21" hidden="1" customHeight="1" x14ac:dyDescent="0.3">
      <c r="B45" s="2">
        <v>45397</v>
      </c>
      <c r="C45" s="6">
        <v>20</v>
      </c>
      <c r="D45" s="10">
        <v>162</v>
      </c>
      <c r="E45" s="10">
        <v>164.75</v>
      </c>
      <c r="F45" s="9">
        <f>IF(Tablo145[[#This Row],[SATIŞ]]=0,"Açık",(E45-D45)*C45)</f>
        <v>55</v>
      </c>
      <c r="G45" s="11">
        <f>Tablo145[[#This Row],[ADET]]*Tablo145[[#This Row],[ALIŞ]]</f>
        <v>3240</v>
      </c>
      <c r="H45" s="11">
        <f>Tablo145[[#This Row],[ADET]]*Tablo145[[#This Row],[SATIŞ]]</f>
        <v>3295</v>
      </c>
    </row>
    <row r="46" spans="2:8" ht="21" hidden="1" customHeight="1" x14ac:dyDescent="0.3">
      <c r="B46" s="2">
        <v>45397</v>
      </c>
      <c r="C46" s="6">
        <v>20</v>
      </c>
      <c r="D46" s="10">
        <v>162</v>
      </c>
      <c r="E46" s="10">
        <v>165.25</v>
      </c>
      <c r="F46" s="9">
        <f>IF(Tablo145[[#This Row],[SATIŞ]]=0,"Açık",(E46-D46)*C46)</f>
        <v>65</v>
      </c>
      <c r="G46" s="11">
        <f>Tablo145[[#This Row],[ADET]]*Tablo145[[#This Row],[ALIŞ]]</f>
        <v>3240</v>
      </c>
      <c r="H46" s="11">
        <f>Tablo145[[#This Row],[ADET]]*Tablo145[[#This Row],[SATIŞ]]</f>
        <v>3305</v>
      </c>
    </row>
    <row r="47" spans="2:8" ht="21" hidden="1" customHeight="1" x14ac:dyDescent="0.3">
      <c r="B47" s="2">
        <v>45397</v>
      </c>
      <c r="C47" s="6">
        <v>10</v>
      </c>
      <c r="D47" s="10">
        <v>162</v>
      </c>
      <c r="E47" s="10">
        <v>166</v>
      </c>
      <c r="F47" s="9">
        <f>IF(Tablo145[[#This Row],[SATIŞ]]=0,"Açık",(E47-D47)*C47)</f>
        <v>40</v>
      </c>
      <c r="G47" s="11">
        <f>Tablo145[[#This Row],[ADET]]*Tablo145[[#This Row],[ALIŞ]]</f>
        <v>1620</v>
      </c>
      <c r="H47" s="11">
        <f>Tablo145[[#This Row],[ADET]]*Tablo145[[#This Row],[SATIŞ]]</f>
        <v>1660</v>
      </c>
    </row>
    <row r="48" spans="2:8" ht="21" hidden="1" customHeight="1" x14ac:dyDescent="0.3">
      <c r="B48" s="2">
        <v>45397</v>
      </c>
      <c r="C48" s="6">
        <v>10</v>
      </c>
      <c r="D48" s="10">
        <v>162</v>
      </c>
      <c r="E48" s="10">
        <v>166.5</v>
      </c>
      <c r="F48" s="9">
        <f>IF(Tablo145[[#This Row],[SATIŞ]]=0,"Açık",(E48-D48)*C48)</f>
        <v>45</v>
      </c>
      <c r="G48" s="11">
        <f>Tablo145[[#This Row],[ADET]]*Tablo145[[#This Row],[ALIŞ]]</f>
        <v>1620</v>
      </c>
      <c r="H48" s="11">
        <f>Tablo145[[#This Row],[ADET]]*Tablo145[[#This Row],[SATIŞ]]</f>
        <v>1665</v>
      </c>
    </row>
    <row r="49" spans="2:8" ht="21" hidden="1" customHeight="1" x14ac:dyDescent="0.3">
      <c r="B49" s="2">
        <v>45397</v>
      </c>
      <c r="C49" s="6">
        <v>20</v>
      </c>
      <c r="D49" s="10">
        <v>165</v>
      </c>
      <c r="E49" s="10">
        <v>167.25</v>
      </c>
      <c r="F49" s="9">
        <f>IF(Tablo145[[#This Row],[SATIŞ]]=0,"Açık",(E49-D49)*C49)</f>
        <v>45</v>
      </c>
      <c r="G49" s="11">
        <f>Tablo145[[#This Row],[ADET]]*Tablo145[[#This Row],[ALIŞ]]</f>
        <v>3300</v>
      </c>
      <c r="H49" s="11">
        <f>Tablo145[[#This Row],[ADET]]*Tablo145[[#This Row],[SATIŞ]]</f>
        <v>3345</v>
      </c>
    </row>
    <row r="50" spans="2:8" ht="21" hidden="1" customHeight="1" x14ac:dyDescent="0.3">
      <c r="B50" s="2">
        <v>45398</v>
      </c>
      <c r="C50" s="6">
        <v>10</v>
      </c>
      <c r="D50" s="10">
        <v>160</v>
      </c>
      <c r="E50" s="10">
        <v>161</v>
      </c>
      <c r="F50" s="9">
        <f>IF(Tablo145[[#This Row],[SATIŞ]]=0,"Açık",(E50-D50)*C50)</f>
        <v>10</v>
      </c>
      <c r="G50" s="11">
        <f>Tablo145[[#This Row],[ADET]]*Tablo145[[#This Row],[ALIŞ]]</f>
        <v>1600</v>
      </c>
      <c r="H50" s="11">
        <f>Tablo145[[#This Row],[ADET]]*Tablo145[[#This Row],[SATIŞ]]</f>
        <v>1610</v>
      </c>
    </row>
    <row r="51" spans="2:8" ht="21" hidden="1" customHeight="1" x14ac:dyDescent="0.3">
      <c r="B51" s="2">
        <v>45398</v>
      </c>
      <c r="C51" s="6">
        <v>20</v>
      </c>
      <c r="D51" s="10">
        <v>160</v>
      </c>
      <c r="E51" s="10">
        <v>162</v>
      </c>
      <c r="F51" s="9">
        <f>IF(Tablo145[[#This Row],[SATIŞ]]=0,"Açık",(E51-D51)*C51)</f>
        <v>40</v>
      </c>
      <c r="G51" s="11">
        <f>Tablo145[[#This Row],[ADET]]*Tablo145[[#This Row],[ALIŞ]]</f>
        <v>3200</v>
      </c>
      <c r="H51" s="11">
        <f>Tablo145[[#This Row],[ADET]]*Tablo145[[#This Row],[SATIŞ]]</f>
        <v>3240</v>
      </c>
    </row>
    <row r="52" spans="2:8" ht="21" hidden="1" customHeight="1" x14ac:dyDescent="0.3">
      <c r="B52" s="2">
        <v>45398</v>
      </c>
      <c r="C52" s="6">
        <v>30</v>
      </c>
      <c r="D52" s="10">
        <v>160</v>
      </c>
      <c r="E52" s="10">
        <v>163</v>
      </c>
      <c r="F52" s="9">
        <f>IF(Tablo145[[#This Row],[SATIŞ]]=0,"Açık",(E52-D52)*C52)</f>
        <v>90</v>
      </c>
      <c r="G52" s="11">
        <f>Tablo145[[#This Row],[ADET]]*Tablo145[[#This Row],[ALIŞ]]</f>
        <v>4800</v>
      </c>
      <c r="H52" s="11">
        <f>Tablo145[[#This Row],[ADET]]*Tablo145[[#This Row],[SATIŞ]]</f>
        <v>4890</v>
      </c>
    </row>
    <row r="53" spans="2:8" ht="21" hidden="1" customHeight="1" x14ac:dyDescent="0.3">
      <c r="B53" s="2">
        <v>45398</v>
      </c>
      <c r="C53" s="6">
        <v>40</v>
      </c>
      <c r="D53" s="10">
        <v>160</v>
      </c>
      <c r="E53" s="10">
        <v>164</v>
      </c>
      <c r="F53" s="9">
        <f>IF(Tablo145[[#This Row],[SATIŞ]]=0,"Açık",(E53-D53)*C53)</f>
        <v>160</v>
      </c>
      <c r="G53" s="11">
        <f>Tablo145[[#This Row],[ADET]]*Tablo145[[#This Row],[ALIŞ]]</f>
        <v>6400</v>
      </c>
      <c r="H53" s="11">
        <f>Tablo145[[#This Row],[ADET]]*Tablo145[[#This Row],[SATIŞ]]</f>
        <v>6560</v>
      </c>
    </row>
    <row r="54" spans="2:8" ht="21" hidden="1" customHeight="1" x14ac:dyDescent="0.3">
      <c r="B54" s="2">
        <v>45399</v>
      </c>
      <c r="C54" s="6">
        <v>20</v>
      </c>
      <c r="D54" s="10">
        <v>160</v>
      </c>
      <c r="E54" s="10">
        <v>165.25</v>
      </c>
      <c r="F54" s="9">
        <f>IF(Tablo145[[#This Row],[SATIŞ]]=0,"Açık",(E54-D54)*C54)</f>
        <v>105</v>
      </c>
      <c r="G54" s="11">
        <f>Tablo145[[#This Row],[ADET]]*Tablo145[[#This Row],[ALIŞ]]</f>
        <v>3200</v>
      </c>
      <c r="H54" s="11">
        <f>Tablo145[[#This Row],[ADET]]*Tablo145[[#This Row],[SATIŞ]]</f>
        <v>3305</v>
      </c>
    </row>
    <row r="55" spans="2:8" ht="21" hidden="1" customHeight="1" x14ac:dyDescent="0.3">
      <c r="B55" s="2">
        <v>45399</v>
      </c>
      <c r="C55" s="6">
        <v>5</v>
      </c>
      <c r="D55" s="10">
        <v>160</v>
      </c>
      <c r="E55" s="10">
        <v>164</v>
      </c>
      <c r="F55" s="9">
        <f>IF(Tablo145[[#This Row],[SATIŞ]]=0,"Açık",(E55-D55)*C55)</f>
        <v>20</v>
      </c>
      <c r="G55" s="11">
        <f>Tablo145[[#This Row],[ADET]]*Tablo145[[#This Row],[ALIŞ]]</f>
        <v>800</v>
      </c>
      <c r="H55" s="11">
        <f>Tablo145[[#This Row],[ADET]]*Tablo145[[#This Row],[SATIŞ]]</f>
        <v>820</v>
      </c>
    </row>
    <row r="56" spans="2:8" ht="21" hidden="1" customHeight="1" x14ac:dyDescent="0.3">
      <c r="B56" s="2">
        <v>45399</v>
      </c>
      <c r="C56" s="6">
        <v>10</v>
      </c>
      <c r="D56" s="10">
        <v>160</v>
      </c>
      <c r="E56" s="10">
        <v>165</v>
      </c>
      <c r="F56" s="9">
        <f>IF(Tablo145[[#This Row],[SATIŞ]]=0,"Açık",(E56-D56)*C56)</f>
        <v>50</v>
      </c>
      <c r="G56" s="11">
        <f>Tablo145[[#This Row],[ADET]]*Tablo145[[#This Row],[ALIŞ]]</f>
        <v>1600</v>
      </c>
      <c r="H56" s="11">
        <f>Tablo145[[#This Row],[ADET]]*Tablo145[[#This Row],[SATIŞ]]</f>
        <v>1650</v>
      </c>
    </row>
    <row r="57" spans="2:8" ht="21" hidden="1" customHeight="1" x14ac:dyDescent="0.3">
      <c r="B57" s="2">
        <v>45399</v>
      </c>
      <c r="C57" s="6">
        <v>10</v>
      </c>
      <c r="D57" s="10">
        <v>160</v>
      </c>
      <c r="E57" s="10">
        <v>166</v>
      </c>
      <c r="F57" s="9">
        <f>IF(Tablo145[[#This Row],[SATIŞ]]=0,"Açık",(E57-D57)*C57)</f>
        <v>60</v>
      </c>
      <c r="G57" s="11">
        <f>Tablo145[[#This Row],[ADET]]*Tablo145[[#This Row],[ALIŞ]]</f>
        <v>1600</v>
      </c>
      <c r="H57" s="11">
        <f>Tablo145[[#This Row],[ADET]]*Tablo145[[#This Row],[SATIŞ]]</f>
        <v>1660</v>
      </c>
    </row>
    <row r="58" spans="2:8" ht="21" hidden="1" customHeight="1" x14ac:dyDescent="0.3">
      <c r="B58" s="2">
        <v>45399</v>
      </c>
      <c r="C58" s="6">
        <v>55</v>
      </c>
      <c r="D58" s="10">
        <v>160</v>
      </c>
      <c r="E58" s="10">
        <v>166</v>
      </c>
      <c r="F58" s="9">
        <f>IF(Tablo145[[#This Row],[SATIŞ]]=0,"Açık",(E58-D58)*C58)</f>
        <v>330</v>
      </c>
      <c r="G58" s="11">
        <f>Tablo145[[#This Row],[ADET]]*Tablo145[[#This Row],[ALIŞ]]</f>
        <v>8800</v>
      </c>
      <c r="H58" s="11">
        <f>Tablo145[[#This Row],[ADET]]*Tablo145[[#This Row],[SATIŞ]]</f>
        <v>9130</v>
      </c>
    </row>
  </sheetData>
  <conditionalFormatting sqref="B4:F58">
    <cfRule type="expression" dxfId="194" priority="1">
      <formula>$F4&lt;0</formula>
    </cfRule>
    <cfRule type="expression" dxfId="193" priority="2">
      <formula>$F4="Açık"</formula>
    </cfRule>
    <cfRule type="expression" dxfId="192" priority="3">
      <formula>$F4&gt;0</formula>
    </cfRule>
  </conditionalFormatting>
  <hyperlinks>
    <hyperlink ref="B1" location="İcmal!A1" display="ANA SAYFA" xr:uid="{DBD8E72F-4E88-4571-B044-F06C49CF8E8C}"/>
  </hyperlink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713F4-B826-4D73-AC85-3D1391CDEE3B}">
  <sheetPr>
    <tabColor rgb="FFE20000"/>
  </sheetPr>
  <dimension ref="B1:R148"/>
  <sheetViews>
    <sheetView showGridLines="0" showZeros="0" zoomScale="110" zoomScaleNormal="110" workbookViewId="0">
      <pane ySplit="3" topLeftCell="A57" activePane="bottomLeft" state="frozen"/>
      <selection pane="bottomLeft" activeCell="D58" sqref="D58"/>
    </sheetView>
  </sheetViews>
  <sheetFormatPr defaultRowHeight="21" customHeight="1" x14ac:dyDescent="0.3"/>
  <cols>
    <col min="2" max="2" width="20.6640625" style="1" customWidth="1"/>
    <col min="3" max="3" width="11.33203125" style="6" customWidth="1"/>
    <col min="4" max="5" width="12.88671875" style="3" customWidth="1"/>
    <col min="6" max="6" width="12.88671875" style="5" customWidth="1"/>
    <col min="7" max="8" width="11.6640625" bestFit="1" customWidth="1"/>
    <col min="10" max="12" width="12.44140625" customWidth="1"/>
    <col min="13" max="13" width="12.6640625" bestFit="1" customWidth="1"/>
    <col min="14" max="14" width="11.6640625" bestFit="1" customWidth="1"/>
  </cols>
  <sheetData>
    <row r="1" spans="2:18" ht="21" customHeight="1" x14ac:dyDescent="0.3">
      <c r="B1" s="12" t="s">
        <v>64</v>
      </c>
      <c r="C1" s="4">
        <f>SUMIF(Tablo1456[KAR],"Açık",Tablo1456[ADET])</f>
        <v>150</v>
      </c>
      <c r="D1" s="10">
        <f>+İcmal!E8</f>
        <v>51.2</v>
      </c>
      <c r="E1" s="10">
        <f>C1*D1</f>
        <v>7680</v>
      </c>
      <c r="F1" s="10">
        <f>IFERROR(((SUM(Tablo1456[ALIŞ TUTAR])-SUM(Tablo1456[SATIŞ TUTAR]))/C1),"")</f>
        <v>7.0947850666668577</v>
      </c>
      <c r="G1" s="10">
        <f>IF(M3=0,L3,C1*(D1-F1))</f>
        <v>6615.7822399999714</v>
      </c>
      <c r="J1" s="45" t="s">
        <v>94</v>
      </c>
      <c r="K1" s="45" t="s">
        <v>95</v>
      </c>
      <c r="L1" s="45" t="s">
        <v>96</v>
      </c>
      <c r="M1" s="33">
        <f>F1</f>
        <v>7.0947850666668577</v>
      </c>
      <c r="N1" s="8" t="e">
        <f>M1*(1+$J$1)</f>
        <v>#VALUE!</v>
      </c>
      <c r="P1" s="8" t="e">
        <f>Q1*(1-$J$1)</f>
        <v>#VALUE!</v>
      </c>
      <c r="Q1" s="33">
        <f>+D1</f>
        <v>51.2</v>
      </c>
      <c r="R1" s="8" t="e">
        <f>Q1*(1+$J$1)</f>
        <v>#VALUE!</v>
      </c>
    </row>
    <row r="2" spans="2:18" ht="21" customHeight="1" x14ac:dyDescent="0.3">
      <c r="B2" s="7" t="s">
        <v>15</v>
      </c>
      <c r="J2" s="45">
        <f>SUMIFS(Tablo2[HEDEF2],Tablo2[HİSSE],B2)</f>
        <v>1000</v>
      </c>
      <c r="K2" s="45">
        <f>+E1/İcmal!$P$2</f>
        <v>236.0897632954196</v>
      </c>
      <c r="L2" s="45">
        <f>+J2-K2</f>
        <v>763.91023670458037</v>
      </c>
    </row>
    <row r="3" spans="2:18" ht="21" customHeight="1" x14ac:dyDescent="0.3">
      <c r="B3" s="1" t="s">
        <v>0</v>
      </c>
      <c r="C3" s="6" t="s">
        <v>4</v>
      </c>
      <c r="D3" s="3" t="s">
        <v>1</v>
      </c>
      <c r="E3" s="3" t="s">
        <v>3</v>
      </c>
      <c r="F3" s="5" t="s">
        <v>2</v>
      </c>
      <c r="G3" s="3" t="s">
        <v>8</v>
      </c>
      <c r="H3" s="3" t="s">
        <v>9</v>
      </c>
      <c r="L3" s="33">
        <f>SUM(Tablo1456[KAR])</f>
        <v>6785.7822399999986</v>
      </c>
      <c r="M3" s="37">
        <f>+C1</f>
        <v>150</v>
      </c>
    </row>
    <row r="4" spans="2:18" ht="21" hidden="1" customHeight="1" x14ac:dyDescent="0.3">
      <c r="B4" s="2">
        <v>45291</v>
      </c>
      <c r="C4" s="6">
        <v>2076</v>
      </c>
      <c r="D4" s="10">
        <v>29.479690000000002</v>
      </c>
      <c r="E4" s="10">
        <v>30.05143</v>
      </c>
      <c r="F4" s="9">
        <f>IF(Tablo1456[[#This Row],[SATIŞ]]=0,"Açık",(E4-D4)*C4)</f>
        <v>1186.9322399999967</v>
      </c>
      <c r="G4" s="11">
        <f>Tablo1456[[#This Row],[ADET]]*Tablo1456[[#This Row],[ALIŞ]]</f>
        <v>61199.836440000006</v>
      </c>
      <c r="H4" s="11">
        <f>Tablo1456[[#This Row],[ADET]]*Tablo1456[[#This Row],[SATIŞ]]</f>
        <v>62386.768680000001</v>
      </c>
      <c r="L4" s="8">
        <f>SUM(Tablo1456[ALIŞ TUTAR])</f>
        <v>353411.13644000003</v>
      </c>
      <c r="M4" s="8">
        <f>SUM(Tablo1456[SATIŞ TUTAR])</f>
        <v>352346.91868</v>
      </c>
      <c r="N4" s="8">
        <f>L4-M4</f>
        <v>1064.2177600000286</v>
      </c>
    </row>
    <row r="5" spans="2:18" ht="21" hidden="1" customHeight="1" x14ac:dyDescent="0.3">
      <c r="B5" s="2">
        <v>45294</v>
      </c>
      <c r="C5" s="6">
        <v>20</v>
      </c>
      <c r="D5" s="10">
        <v>31.8</v>
      </c>
      <c r="E5" s="10">
        <v>32.299999999999997</v>
      </c>
      <c r="F5" s="9">
        <f>IF(Tablo1456[[#This Row],[SATIŞ]]=0,"Açık",(E5-D5)*C5)</f>
        <v>9.9999999999999289</v>
      </c>
      <c r="G5" s="11">
        <f>Tablo1456[[#This Row],[ADET]]*Tablo1456[[#This Row],[ALIŞ]]</f>
        <v>636</v>
      </c>
      <c r="H5" s="11">
        <f>Tablo1456[[#This Row],[ADET]]*Tablo1456[[#This Row],[SATIŞ]]</f>
        <v>646</v>
      </c>
      <c r="N5">
        <f>+N4/80</f>
        <v>13.302722000000358</v>
      </c>
    </row>
    <row r="6" spans="2:18" ht="21" hidden="1" customHeight="1" x14ac:dyDescent="0.3">
      <c r="B6" s="2">
        <v>45294</v>
      </c>
      <c r="C6" s="6">
        <v>15</v>
      </c>
      <c r="D6" s="10">
        <v>30.84</v>
      </c>
      <c r="E6" s="10">
        <v>31.3</v>
      </c>
      <c r="F6" s="9">
        <f>IF(Tablo1456[[#This Row],[SATIŞ]]=0,"Açık",(E6-D6)*C6)</f>
        <v>6.9000000000000128</v>
      </c>
      <c r="G6" s="11">
        <f>Tablo1456[[#This Row],[ADET]]*Tablo1456[[#This Row],[ALIŞ]]</f>
        <v>462.6</v>
      </c>
      <c r="H6" s="11">
        <f>Tablo1456[[#This Row],[ADET]]*Tablo1456[[#This Row],[SATIŞ]]</f>
        <v>469.5</v>
      </c>
    </row>
    <row r="7" spans="2:18" ht="21" hidden="1" customHeight="1" x14ac:dyDescent="0.3">
      <c r="B7" s="2">
        <v>45294</v>
      </c>
      <c r="C7" s="6">
        <v>15</v>
      </c>
      <c r="D7" s="10">
        <v>30.9</v>
      </c>
      <c r="E7" s="10">
        <v>31.3</v>
      </c>
      <c r="F7" s="9">
        <f>IF(Tablo1456[[#This Row],[SATIŞ]]=0,"Açık",(E7-D7)*C7)</f>
        <v>6.000000000000032</v>
      </c>
      <c r="G7" s="11">
        <f>Tablo1456[[#This Row],[ADET]]*Tablo1456[[#This Row],[ALIŞ]]</f>
        <v>463.5</v>
      </c>
      <c r="H7" s="11">
        <f>Tablo1456[[#This Row],[ADET]]*Tablo1456[[#This Row],[SATIŞ]]</f>
        <v>469.5</v>
      </c>
    </row>
    <row r="8" spans="2:18" ht="21" hidden="1" customHeight="1" x14ac:dyDescent="0.3">
      <c r="B8" s="2">
        <v>45295</v>
      </c>
      <c r="C8" s="6">
        <v>20</v>
      </c>
      <c r="D8" s="10">
        <v>31</v>
      </c>
      <c r="E8" s="10">
        <v>31.5</v>
      </c>
      <c r="F8" s="9">
        <f>IF(Tablo1456[[#This Row],[SATIŞ]]=0,"Açık",(E8-D8)*C8)</f>
        <v>10</v>
      </c>
      <c r="G8" s="11">
        <f>Tablo1456[[#This Row],[ADET]]*Tablo1456[[#This Row],[ALIŞ]]</f>
        <v>620</v>
      </c>
      <c r="H8" s="11">
        <f>Tablo1456[[#This Row],[ADET]]*Tablo1456[[#This Row],[SATIŞ]]</f>
        <v>630</v>
      </c>
    </row>
    <row r="9" spans="2:18" ht="21" hidden="1" customHeight="1" x14ac:dyDescent="0.3">
      <c r="B9" s="2">
        <v>45295</v>
      </c>
      <c r="C9" s="6">
        <v>70</v>
      </c>
      <c r="D9" s="10">
        <v>33.880000000000003</v>
      </c>
      <c r="E9" s="10">
        <v>33.880000000000003</v>
      </c>
      <c r="F9" s="9">
        <f>IF(Tablo1456[[#This Row],[SATIŞ]]=0,"Açık",(E9-D9)*C9)</f>
        <v>0</v>
      </c>
      <c r="G9" s="11">
        <f>Tablo1456[[#This Row],[ADET]]*Tablo1456[[#This Row],[ALIŞ]]</f>
        <v>2371.6000000000004</v>
      </c>
      <c r="H9" s="11">
        <f>Tablo1456[[#This Row],[ADET]]*Tablo1456[[#This Row],[SATIŞ]]</f>
        <v>2371.6000000000004</v>
      </c>
    </row>
    <row r="10" spans="2:18" ht="21" hidden="1" customHeight="1" x14ac:dyDescent="0.3">
      <c r="B10" s="2">
        <v>45296</v>
      </c>
      <c r="C10" s="6">
        <v>10</v>
      </c>
      <c r="D10" s="10">
        <v>34.5</v>
      </c>
      <c r="E10" s="10">
        <v>35</v>
      </c>
      <c r="F10" s="9">
        <f>IF(Tablo1456[[#This Row],[SATIŞ]]=0,"Açık",(E10-D10)*C10)</f>
        <v>5</v>
      </c>
      <c r="G10" s="11">
        <f>Tablo1456[[#This Row],[ADET]]*Tablo1456[[#This Row],[ALIŞ]]</f>
        <v>345</v>
      </c>
      <c r="H10" s="11">
        <f>Tablo1456[[#This Row],[ADET]]*Tablo1456[[#This Row],[SATIŞ]]</f>
        <v>350</v>
      </c>
    </row>
    <row r="11" spans="2:18" ht="21" hidden="1" customHeight="1" x14ac:dyDescent="0.3">
      <c r="B11" s="2">
        <v>45296</v>
      </c>
      <c r="C11" s="6">
        <v>10</v>
      </c>
      <c r="D11" s="10">
        <v>36</v>
      </c>
      <c r="E11" s="10">
        <v>36</v>
      </c>
      <c r="F11" s="9">
        <f>IF(Tablo1456[[#This Row],[SATIŞ]]=0,"Açık",(E11-D11)*C11)</f>
        <v>0</v>
      </c>
      <c r="G11" s="11">
        <f>Tablo1456[[#This Row],[ADET]]*Tablo1456[[#This Row],[ALIŞ]]</f>
        <v>360</v>
      </c>
      <c r="H11" s="11">
        <f>Tablo1456[[#This Row],[ADET]]*Tablo1456[[#This Row],[SATIŞ]]</f>
        <v>360</v>
      </c>
    </row>
    <row r="12" spans="2:18" ht="21" hidden="1" customHeight="1" x14ac:dyDescent="0.3">
      <c r="B12" s="2">
        <v>45296</v>
      </c>
      <c r="C12" s="6">
        <v>10</v>
      </c>
      <c r="D12" s="10">
        <v>35</v>
      </c>
      <c r="E12" s="10">
        <v>35</v>
      </c>
      <c r="F12" s="9">
        <f>IF(Tablo1456[[#This Row],[SATIŞ]]=0,"Açık",(E12-D12)*C12)</f>
        <v>0</v>
      </c>
      <c r="G12" s="11">
        <f>Tablo1456[[#This Row],[ADET]]*Tablo1456[[#This Row],[ALIŞ]]</f>
        <v>350</v>
      </c>
      <c r="H12" s="11">
        <f>Tablo1456[[#This Row],[ADET]]*Tablo1456[[#This Row],[SATIŞ]]</f>
        <v>350</v>
      </c>
    </row>
    <row r="13" spans="2:18" ht="21" hidden="1" customHeight="1" x14ac:dyDescent="0.3">
      <c r="B13" s="2">
        <v>45299</v>
      </c>
      <c r="C13" s="6">
        <v>10</v>
      </c>
      <c r="D13" s="10">
        <v>33.619999999999997</v>
      </c>
      <c r="E13" s="10">
        <v>34</v>
      </c>
      <c r="F13" s="9">
        <f>IF(Tablo1456[[#This Row],[SATIŞ]]=0,"Açık",(E13-D13)*C13)</f>
        <v>3.8000000000000256</v>
      </c>
      <c r="G13" s="11">
        <f>Tablo1456[[#This Row],[ADET]]*Tablo1456[[#This Row],[ALIŞ]]</f>
        <v>336.2</v>
      </c>
      <c r="H13" s="11">
        <f>Tablo1456[[#This Row],[ADET]]*Tablo1456[[#This Row],[SATIŞ]]</f>
        <v>340</v>
      </c>
    </row>
    <row r="14" spans="2:18" ht="21" hidden="1" customHeight="1" x14ac:dyDescent="0.3">
      <c r="B14" s="2">
        <v>45299</v>
      </c>
      <c r="C14" s="6">
        <v>10</v>
      </c>
      <c r="D14" s="10">
        <v>33.4</v>
      </c>
      <c r="E14" s="10">
        <v>34</v>
      </c>
      <c r="F14" s="9">
        <f>IF(Tablo1456[[#This Row],[SATIŞ]]=0,"Açık",(E14-D14)*C14)</f>
        <v>6.0000000000000142</v>
      </c>
      <c r="G14" s="11">
        <f>Tablo1456[[#This Row],[ADET]]*Tablo1456[[#This Row],[ALIŞ]]</f>
        <v>334</v>
      </c>
      <c r="H14" s="11">
        <f>Tablo1456[[#This Row],[ADET]]*Tablo1456[[#This Row],[SATIŞ]]</f>
        <v>340</v>
      </c>
    </row>
    <row r="15" spans="2:18" ht="21" hidden="1" customHeight="1" x14ac:dyDescent="0.3">
      <c r="B15" s="2">
        <v>45299</v>
      </c>
      <c r="C15" s="6">
        <v>15</v>
      </c>
      <c r="D15" s="10">
        <v>33.200000000000003</v>
      </c>
      <c r="E15" s="10">
        <v>34.4</v>
      </c>
      <c r="F15" s="9">
        <f>IF(Tablo1456[[#This Row],[SATIŞ]]=0,"Açık",(E15-D15)*C15)</f>
        <v>17.999999999999936</v>
      </c>
      <c r="G15" s="11">
        <f>Tablo1456[[#This Row],[ADET]]*Tablo1456[[#This Row],[ALIŞ]]</f>
        <v>498.00000000000006</v>
      </c>
      <c r="H15" s="11">
        <f>Tablo1456[[#This Row],[ADET]]*Tablo1456[[#This Row],[SATIŞ]]</f>
        <v>516</v>
      </c>
    </row>
    <row r="16" spans="2:18" ht="21" hidden="1" customHeight="1" x14ac:dyDescent="0.3">
      <c r="B16" s="2">
        <v>45300</v>
      </c>
      <c r="C16" s="6">
        <v>10</v>
      </c>
      <c r="D16" s="10">
        <v>33.299999999999997</v>
      </c>
      <c r="E16" s="10">
        <v>34.5</v>
      </c>
      <c r="F16" s="9">
        <f>IF(Tablo1456[[#This Row],[SATIŞ]]=0,"Açık",(E16-D16)*C16)</f>
        <v>12.000000000000028</v>
      </c>
      <c r="G16" s="11">
        <f>Tablo1456[[#This Row],[ADET]]*Tablo1456[[#This Row],[ALIŞ]]</f>
        <v>333</v>
      </c>
      <c r="H16" s="11">
        <f>Tablo1456[[#This Row],[ADET]]*Tablo1456[[#This Row],[SATIŞ]]</f>
        <v>345</v>
      </c>
    </row>
    <row r="17" spans="2:8" ht="21" hidden="1" customHeight="1" x14ac:dyDescent="0.3">
      <c r="B17" s="2">
        <v>45302</v>
      </c>
      <c r="C17" s="6">
        <v>10</v>
      </c>
      <c r="D17" s="10">
        <v>34.5</v>
      </c>
      <c r="E17" s="10">
        <v>35.6</v>
      </c>
      <c r="F17" s="9">
        <f>IF(Tablo1456[[#This Row],[SATIŞ]]=0,"Açık",(E17-D17)*C17)</f>
        <v>11.000000000000014</v>
      </c>
      <c r="G17" s="11">
        <f>Tablo1456[[#This Row],[ADET]]*Tablo1456[[#This Row],[ALIŞ]]</f>
        <v>345</v>
      </c>
      <c r="H17" s="11">
        <f>Tablo1456[[#This Row],[ADET]]*Tablo1456[[#This Row],[SATIŞ]]</f>
        <v>356</v>
      </c>
    </row>
    <row r="18" spans="2:8" ht="21" hidden="1" customHeight="1" x14ac:dyDescent="0.3">
      <c r="B18" s="2">
        <v>45328</v>
      </c>
      <c r="C18" s="6">
        <v>5</v>
      </c>
      <c r="D18" s="10">
        <v>45.8</v>
      </c>
      <c r="E18" s="10">
        <v>47</v>
      </c>
      <c r="F18" s="9">
        <f>IF(Tablo1456[[#This Row],[SATIŞ]]=0,"Açık",(E18-D18)*C18)</f>
        <v>6.0000000000000142</v>
      </c>
      <c r="G18" s="11">
        <f>Tablo1456[[#This Row],[ADET]]*Tablo1456[[#This Row],[ALIŞ]]</f>
        <v>229</v>
      </c>
      <c r="H18" s="11">
        <f>Tablo1456[[#This Row],[ADET]]*Tablo1456[[#This Row],[SATIŞ]]</f>
        <v>235</v>
      </c>
    </row>
    <row r="19" spans="2:8" ht="21" hidden="1" customHeight="1" x14ac:dyDescent="0.3">
      <c r="B19" s="2">
        <v>45328</v>
      </c>
      <c r="C19" s="6">
        <v>10</v>
      </c>
      <c r="D19" s="10">
        <v>45.7</v>
      </c>
      <c r="E19" s="10">
        <v>47.92</v>
      </c>
      <c r="F19" s="9">
        <f>IF(Tablo1456[[#This Row],[SATIŞ]]=0,"Açık",(E19-D19)*C19)</f>
        <v>22.199999999999989</v>
      </c>
      <c r="G19" s="11">
        <f>Tablo1456[[#This Row],[ADET]]*Tablo1456[[#This Row],[ALIŞ]]</f>
        <v>457</v>
      </c>
      <c r="H19" s="11">
        <f>Tablo1456[[#This Row],[ADET]]*Tablo1456[[#This Row],[SATIŞ]]</f>
        <v>479.20000000000005</v>
      </c>
    </row>
    <row r="20" spans="2:8" ht="21" hidden="1" customHeight="1" x14ac:dyDescent="0.3">
      <c r="B20" s="2">
        <v>45328</v>
      </c>
      <c r="C20" s="6">
        <v>15</v>
      </c>
      <c r="D20" s="10">
        <v>45.6</v>
      </c>
      <c r="E20" s="10">
        <v>47</v>
      </c>
      <c r="F20" s="9">
        <f>IF(Tablo1456[[#This Row],[SATIŞ]]=0,"Açık",(E20-D20)*C20)</f>
        <v>20.999999999999979</v>
      </c>
      <c r="G20" s="11">
        <f>Tablo1456[[#This Row],[ADET]]*Tablo1456[[#This Row],[ALIŞ]]</f>
        <v>684</v>
      </c>
      <c r="H20" s="11">
        <f>Tablo1456[[#This Row],[ADET]]*Tablo1456[[#This Row],[SATIŞ]]</f>
        <v>705</v>
      </c>
    </row>
    <row r="21" spans="2:8" ht="21" hidden="1" customHeight="1" x14ac:dyDescent="0.3">
      <c r="B21" s="2">
        <v>45328</v>
      </c>
      <c r="C21" s="6">
        <v>20</v>
      </c>
      <c r="D21" s="10">
        <v>45.5</v>
      </c>
      <c r="E21" s="10">
        <v>46</v>
      </c>
      <c r="F21" s="9">
        <f>IF(Tablo1456[[#This Row],[SATIŞ]]=0,"Açık",(E21-D21)*C21)</f>
        <v>10</v>
      </c>
      <c r="G21" s="11">
        <f>Tablo1456[[#This Row],[ADET]]*Tablo1456[[#This Row],[ALIŞ]]</f>
        <v>910</v>
      </c>
      <c r="H21" s="11">
        <f>Tablo1456[[#This Row],[ADET]]*Tablo1456[[#This Row],[SATIŞ]]</f>
        <v>920</v>
      </c>
    </row>
    <row r="22" spans="2:8" ht="21" hidden="1" customHeight="1" x14ac:dyDescent="0.3">
      <c r="B22" s="2">
        <v>45328</v>
      </c>
      <c r="C22" s="6">
        <v>15</v>
      </c>
      <c r="D22" s="10">
        <v>45</v>
      </c>
      <c r="E22" s="10">
        <v>45.5</v>
      </c>
      <c r="F22" s="9">
        <f>IF(Tablo1456[[#This Row],[SATIŞ]]=0,"Açık",(E22-D22)*C22)</f>
        <v>7.5</v>
      </c>
      <c r="G22" s="11">
        <f>Tablo1456[[#This Row],[ADET]]*Tablo1456[[#This Row],[ALIŞ]]</f>
        <v>675</v>
      </c>
      <c r="H22" s="11">
        <f>Tablo1456[[#This Row],[ADET]]*Tablo1456[[#This Row],[SATIŞ]]</f>
        <v>682.5</v>
      </c>
    </row>
    <row r="23" spans="2:8" ht="21" hidden="1" customHeight="1" x14ac:dyDescent="0.3">
      <c r="B23" s="2">
        <v>45329</v>
      </c>
      <c r="C23" s="6">
        <v>10</v>
      </c>
      <c r="D23" s="10">
        <v>47.8</v>
      </c>
      <c r="E23" s="10">
        <v>49</v>
      </c>
      <c r="F23" s="9">
        <f>IF(Tablo1456[[#This Row],[SATIŞ]]=0,"Açık",(E23-D23)*C23)</f>
        <v>12.000000000000028</v>
      </c>
      <c r="G23" s="11">
        <f>Tablo1456[[#This Row],[ADET]]*Tablo1456[[#This Row],[ALIŞ]]</f>
        <v>478</v>
      </c>
      <c r="H23" s="11">
        <f>Tablo1456[[#This Row],[ADET]]*Tablo1456[[#This Row],[SATIŞ]]</f>
        <v>490</v>
      </c>
    </row>
    <row r="24" spans="2:8" ht="21" hidden="1" customHeight="1" x14ac:dyDescent="0.3">
      <c r="B24" s="2">
        <v>45329</v>
      </c>
      <c r="C24" s="6">
        <v>15</v>
      </c>
      <c r="D24" s="10">
        <v>47.5</v>
      </c>
      <c r="E24" s="10">
        <v>47</v>
      </c>
      <c r="F24" s="9">
        <f>IF(Tablo1456[[#This Row],[SATIŞ]]=0,"Açık",(E24-D24)*C24)</f>
        <v>-7.5</v>
      </c>
      <c r="G24" s="11">
        <f>Tablo1456[[#This Row],[ADET]]*Tablo1456[[#This Row],[ALIŞ]]</f>
        <v>712.5</v>
      </c>
      <c r="H24" s="11">
        <f>Tablo1456[[#This Row],[ADET]]*Tablo1456[[#This Row],[SATIŞ]]</f>
        <v>705</v>
      </c>
    </row>
    <row r="25" spans="2:8" ht="21" hidden="1" customHeight="1" x14ac:dyDescent="0.3">
      <c r="B25" s="2">
        <v>45329</v>
      </c>
      <c r="C25" s="6">
        <v>5</v>
      </c>
      <c r="D25" s="10">
        <v>47.5</v>
      </c>
      <c r="E25" s="10">
        <v>50</v>
      </c>
      <c r="F25" s="9">
        <f>IF(Tablo1456[[#This Row],[SATIŞ]]=0,"Açık",(E25-D25)*C25)</f>
        <v>12.5</v>
      </c>
      <c r="G25" s="11">
        <f>Tablo1456[[#This Row],[ADET]]*Tablo1456[[#This Row],[ALIŞ]]</f>
        <v>237.5</v>
      </c>
      <c r="H25" s="11">
        <f>Tablo1456[[#This Row],[ADET]]*Tablo1456[[#This Row],[SATIŞ]]</f>
        <v>250</v>
      </c>
    </row>
    <row r="26" spans="2:8" ht="21" hidden="1" customHeight="1" x14ac:dyDescent="0.3">
      <c r="B26" s="2">
        <v>45329</v>
      </c>
      <c r="C26" s="6">
        <v>10</v>
      </c>
      <c r="D26" s="10">
        <v>49.5</v>
      </c>
      <c r="E26" s="10">
        <v>52</v>
      </c>
      <c r="F26" s="9">
        <f>IF(Tablo1456[[#This Row],[SATIŞ]]=0,"Açık",(E26-D26)*C26)</f>
        <v>25</v>
      </c>
      <c r="G26" s="11">
        <f>Tablo1456[[#This Row],[ADET]]*Tablo1456[[#This Row],[ALIŞ]]</f>
        <v>495</v>
      </c>
      <c r="H26" s="11">
        <f>Tablo1456[[#This Row],[ADET]]*Tablo1456[[#This Row],[SATIŞ]]</f>
        <v>520</v>
      </c>
    </row>
    <row r="27" spans="2:8" ht="21" hidden="1" customHeight="1" x14ac:dyDescent="0.3">
      <c r="B27" s="2">
        <v>45329</v>
      </c>
      <c r="C27" s="6">
        <v>15</v>
      </c>
      <c r="D27" s="10">
        <v>49</v>
      </c>
      <c r="E27" s="10">
        <v>50.15</v>
      </c>
      <c r="F27" s="9">
        <f>IF(Tablo1456[[#This Row],[SATIŞ]]=0,"Açık",(E27-D27)*C27)</f>
        <v>17.249999999999979</v>
      </c>
      <c r="G27" s="11">
        <f>Tablo1456[[#This Row],[ADET]]*Tablo1456[[#This Row],[ALIŞ]]</f>
        <v>735</v>
      </c>
      <c r="H27" s="11">
        <f>Tablo1456[[#This Row],[ADET]]*Tablo1456[[#This Row],[SATIŞ]]</f>
        <v>752.25</v>
      </c>
    </row>
    <row r="28" spans="2:8" ht="21" hidden="1" customHeight="1" x14ac:dyDescent="0.3">
      <c r="B28" s="2">
        <v>45329</v>
      </c>
      <c r="C28" s="6">
        <v>25</v>
      </c>
      <c r="D28" s="10">
        <v>48.7</v>
      </c>
      <c r="E28" s="10">
        <v>49</v>
      </c>
      <c r="F28" s="9">
        <f>IF(Tablo1456[[#This Row],[SATIŞ]]=0,"Açık",(E28-D28)*C28)</f>
        <v>7.4999999999999289</v>
      </c>
      <c r="G28" s="11">
        <f>Tablo1456[[#This Row],[ADET]]*Tablo1456[[#This Row],[ALIŞ]]</f>
        <v>1217.5</v>
      </c>
      <c r="H28" s="11">
        <f>Tablo1456[[#This Row],[ADET]]*Tablo1456[[#This Row],[SATIŞ]]</f>
        <v>1225</v>
      </c>
    </row>
    <row r="29" spans="2:8" ht="21" hidden="1" customHeight="1" x14ac:dyDescent="0.3">
      <c r="B29" s="2">
        <v>45329</v>
      </c>
      <c r="C29" s="6">
        <v>10</v>
      </c>
      <c r="D29" s="10">
        <v>48.5</v>
      </c>
      <c r="E29" s="10">
        <v>49</v>
      </c>
      <c r="F29" s="9">
        <f>IF(Tablo1456[[#This Row],[SATIŞ]]=0,"Açık",(E29-D29)*C29)</f>
        <v>5</v>
      </c>
      <c r="G29" s="11">
        <f>Tablo1456[[#This Row],[ADET]]*Tablo1456[[#This Row],[ALIŞ]]</f>
        <v>485</v>
      </c>
      <c r="H29" s="11">
        <f>Tablo1456[[#This Row],[ADET]]*Tablo1456[[#This Row],[SATIŞ]]</f>
        <v>490</v>
      </c>
    </row>
    <row r="30" spans="2:8" ht="21" hidden="1" customHeight="1" x14ac:dyDescent="0.3">
      <c r="B30" s="2">
        <v>45329</v>
      </c>
      <c r="C30" s="6">
        <v>15</v>
      </c>
      <c r="D30" s="10">
        <v>48.5</v>
      </c>
      <c r="E30" s="10">
        <v>48.8</v>
      </c>
      <c r="F30" s="9">
        <f>IF(Tablo1456[[#This Row],[SATIŞ]]=0,"Açık",(E30-D30)*C30)</f>
        <v>4.4999999999999574</v>
      </c>
      <c r="G30" s="11">
        <f>Tablo1456[[#This Row],[ADET]]*Tablo1456[[#This Row],[ALIŞ]]</f>
        <v>727.5</v>
      </c>
      <c r="H30" s="11">
        <f>Tablo1456[[#This Row],[ADET]]*Tablo1456[[#This Row],[SATIŞ]]</f>
        <v>732</v>
      </c>
    </row>
    <row r="31" spans="2:8" ht="21" hidden="1" customHeight="1" x14ac:dyDescent="0.3">
      <c r="B31" s="2">
        <v>45330</v>
      </c>
      <c r="C31" s="6">
        <v>20</v>
      </c>
      <c r="D31" s="10">
        <v>46.72</v>
      </c>
      <c r="E31" s="10">
        <v>52</v>
      </c>
      <c r="F31" s="9">
        <f>IF(Tablo1456[[#This Row],[SATIŞ]]=0,"Açık",(E31-D31)*C31)</f>
        <v>105.60000000000002</v>
      </c>
      <c r="G31" s="11">
        <f>Tablo1456[[#This Row],[ADET]]*Tablo1456[[#This Row],[ALIŞ]]</f>
        <v>934.4</v>
      </c>
      <c r="H31" s="11">
        <f>Tablo1456[[#This Row],[ADET]]*Tablo1456[[#This Row],[SATIŞ]]</f>
        <v>1040</v>
      </c>
    </row>
    <row r="32" spans="2:8" ht="21" hidden="1" customHeight="1" x14ac:dyDescent="0.3">
      <c r="B32" s="2">
        <v>45330</v>
      </c>
      <c r="C32" s="6">
        <v>20</v>
      </c>
      <c r="D32" s="10">
        <v>46.5</v>
      </c>
      <c r="E32" s="10">
        <v>47</v>
      </c>
      <c r="F32" s="9">
        <f>IF(Tablo1456[[#This Row],[SATIŞ]]=0,"Açık",(E32-D32)*C32)</f>
        <v>10</v>
      </c>
      <c r="G32" s="11">
        <f>Tablo1456[[#This Row],[ADET]]*Tablo1456[[#This Row],[ALIŞ]]</f>
        <v>930</v>
      </c>
      <c r="H32" s="11">
        <f>Tablo1456[[#This Row],[ADET]]*Tablo1456[[#This Row],[SATIŞ]]</f>
        <v>940</v>
      </c>
    </row>
    <row r="33" spans="2:14" ht="21" hidden="1" customHeight="1" x14ac:dyDescent="0.3">
      <c r="B33" s="2">
        <v>45330</v>
      </c>
      <c r="C33" s="6">
        <v>10</v>
      </c>
      <c r="D33" s="10">
        <v>46.5</v>
      </c>
      <c r="E33" s="10">
        <v>48.64</v>
      </c>
      <c r="F33" s="9">
        <f>IF(Tablo1456[[#This Row],[SATIŞ]]=0,"Açık",(E33-D33)*C33)</f>
        <v>21.400000000000006</v>
      </c>
      <c r="G33" s="11">
        <f>Tablo1456[[#This Row],[ADET]]*Tablo1456[[#This Row],[ALIŞ]]</f>
        <v>465</v>
      </c>
      <c r="H33" s="11">
        <f>Tablo1456[[#This Row],[ADET]]*Tablo1456[[#This Row],[SATIŞ]]</f>
        <v>486.4</v>
      </c>
      <c r="N33">
        <f>48*1.02</f>
        <v>48.96</v>
      </c>
    </row>
    <row r="34" spans="2:14" ht="21" hidden="1" customHeight="1" x14ac:dyDescent="0.3">
      <c r="B34" s="2">
        <v>45331</v>
      </c>
      <c r="C34" s="6">
        <v>10</v>
      </c>
      <c r="D34" s="10">
        <v>47.2</v>
      </c>
      <c r="E34" s="10">
        <v>47.5</v>
      </c>
      <c r="F34" s="9">
        <f>IF(Tablo1456[[#This Row],[SATIŞ]]=0,"Açık",(E34-D34)*C34)</f>
        <v>2.9999999999999716</v>
      </c>
      <c r="G34" s="11">
        <f>Tablo1456[[#This Row],[ADET]]*Tablo1456[[#This Row],[ALIŞ]]</f>
        <v>472</v>
      </c>
      <c r="H34" s="11">
        <f>Tablo1456[[#This Row],[ADET]]*Tablo1456[[#This Row],[SATIŞ]]</f>
        <v>475</v>
      </c>
    </row>
    <row r="35" spans="2:14" ht="21" hidden="1" customHeight="1" x14ac:dyDescent="0.3">
      <c r="B35" s="2">
        <v>45331</v>
      </c>
      <c r="C35" s="6">
        <v>15</v>
      </c>
      <c r="D35" s="10">
        <v>47.2</v>
      </c>
      <c r="E35" s="10">
        <v>47.9</v>
      </c>
      <c r="F35" s="9">
        <f>IF(Tablo1456[[#This Row],[SATIŞ]]=0,"Açık",(E35-D35)*C35)</f>
        <v>10.499999999999936</v>
      </c>
      <c r="G35" s="11">
        <f>Tablo1456[[#This Row],[ADET]]*Tablo1456[[#This Row],[ALIŞ]]</f>
        <v>708</v>
      </c>
      <c r="H35" s="11">
        <f>Tablo1456[[#This Row],[ADET]]*Tablo1456[[#This Row],[SATIŞ]]</f>
        <v>718.5</v>
      </c>
    </row>
    <row r="36" spans="2:14" ht="21" hidden="1" customHeight="1" x14ac:dyDescent="0.3">
      <c r="B36" s="2">
        <v>45331</v>
      </c>
      <c r="C36" s="6">
        <v>25</v>
      </c>
      <c r="D36" s="10">
        <v>48</v>
      </c>
      <c r="E36" s="10">
        <v>48.5</v>
      </c>
      <c r="F36" s="9">
        <f>IF(Tablo1456[[#This Row],[SATIŞ]]=0,"Açık",(E36-D36)*C36)</f>
        <v>12.5</v>
      </c>
      <c r="G36" s="11">
        <f>Tablo1456[[#This Row],[ADET]]*Tablo1456[[#This Row],[ALIŞ]]</f>
        <v>1200</v>
      </c>
      <c r="H36" s="11">
        <f>Tablo1456[[#This Row],[ADET]]*Tablo1456[[#This Row],[SATIŞ]]</f>
        <v>1212.5</v>
      </c>
    </row>
    <row r="37" spans="2:14" ht="21" hidden="1" customHeight="1" x14ac:dyDescent="0.3">
      <c r="B37" s="2">
        <v>45331</v>
      </c>
      <c r="C37" s="6">
        <v>35</v>
      </c>
      <c r="D37" s="10">
        <v>48</v>
      </c>
      <c r="E37" s="10">
        <v>49</v>
      </c>
      <c r="F37" s="9">
        <f>IF(Tablo1456[[#This Row],[SATIŞ]]=0,"Açık",(E37-D37)*C37)</f>
        <v>35</v>
      </c>
      <c r="G37" s="11">
        <f>Tablo1456[[#This Row],[ADET]]*Tablo1456[[#This Row],[ALIŞ]]</f>
        <v>1680</v>
      </c>
      <c r="H37" s="11">
        <f>Tablo1456[[#This Row],[ADET]]*Tablo1456[[#This Row],[SATIŞ]]</f>
        <v>1715</v>
      </c>
    </row>
    <row r="38" spans="2:14" ht="21" hidden="1" customHeight="1" x14ac:dyDescent="0.3">
      <c r="B38" s="2">
        <v>45331</v>
      </c>
      <c r="C38" s="6">
        <v>15</v>
      </c>
      <c r="D38" s="10">
        <v>48</v>
      </c>
      <c r="E38" s="10">
        <v>48.7</v>
      </c>
      <c r="F38" s="9">
        <f>IF(Tablo1456[[#This Row],[SATIŞ]]=0,"Açık",(E38-D38)*C38)</f>
        <v>10.500000000000043</v>
      </c>
      <c r="G38" s="11">
        <f>Tablo1456[[#This Row],[ADET]]*Tablo1456[[#This Row],[ALIŞ]]</f>
        <v>720</v>
      </c>
      <c r="H38" s="11">
        <f>Tablo1456[[#This Row],[ADET]]*Tablo1456[[#This Row],[SATIŞ]]</f>
        <v>730.5</v>
      </c>
    </row>
    <row r="39" spans="2:14" ht="21" hidden="1" customHeight="1" x14ac:dyDescent="0.3">
      <c r="B39" s="2">
        <v>45334</v>
      </c>
      <c r="C39" s="6">
        <v>30</v>
      </c>
      <c r="D39" s="10">
        <v>48.2</v>
      </c>
      <c r="E39" s="10">
        <v>50</v>
      </c>
      <c r="F39" s="9">
        <f>IF(Tablo1456[[#This Row],[SATIŞ]]=0,"Açık",(E39-D39)*C39)</f>
        <v>53.999999999999915</v>
      </c>
      <c r="G39" s="11">
        <f>Tablo1456[[#This Row],[ADET]]*Tablo1456[[#This Row],[ALIŞ]]</f>
        <v>1446</v>
      </c>
      <c r="H39" s="11">
        <f>Tablo1456[[#This Row],[ADET]]*Tablo1456[[#This Row],[SATIŞ]]</f>
        <v>1500</v>
      </c>
    </row>
    <row r="40" spans="2:14" ht="21" hidden="1" customHeight="1" x14ac:dyDescent="0.3">
      <c r="B40" s="2">
        <v>45334</v>
      </c>
      <c r="C40" s="6">
        <v>30</v>
      </c>
      <c r="D40" s="10">
        <v>48.2</v>
      </c>
      <c r="E40" s="10">
        <v>52</v>
      </c>
      <c r="F40" s="9">
        <f>IF(Tablo1456[[#This Row],[SATIŞ]]=0,"Açık",(E40-D40)*C40)</f>
        <v>113.99999999999991</v>
      </c>
      <c r="G40" s="11">
        <f>Tablo1456[[#This Row],[ADET]]*Tablo1456[[#This Row],[ALIŞ]]</f>
        <v>1446</v>
      </c>
      <c r="H40" s="11">
        <f>Tablo1456[[#This Row],[ADET]]*Tablo1456[[#This Row],[SATIŞ]]</f>
        <v>1560</v>
      </c>
    </row>
    <row r="41" spans="2:14" ht="21" hidden="1" customHeight="1" x14ac:dyDescent="0.3">
      <c r="B41" s="2">
        <v>45335</v>
      </c>
      <c r="C41" s="6">
        <v>20</v>
      </c>
      <c r="D41" s="10">
        <v>48.8</v>
      </c>
      <c r="E41" s="10">
        <v>52</v>
      </c>
      <c r="F41" s="9">
        <f>IF(Tablo1456[[#This Row],[SATIŞ]]=0,"Açık",(E41-D41)*C41)</f>
        <v>64.000000000000057</v>
      </c>
      <c r="G41" s="11">
        <f>Tablo1456[[#This Row],[ADET]]*Tablo1456[[#This Row],[ALIŞ]]</f>
        <v>976</v>
      </c>
      <c r="H41" s="11">
        <f>Tablo1456[[#This Row],[ADET]]*Tablo1456[[#This Row],[SATIŞ]]</f>
        <v>1040</v>
      </c>
    </row>
    <row r="42" spans="2:14" ht="21" hidden="1" customHeight="1" x14ac:dyDescent="0.3">
      <c r="B42" s="2">
        <v>45335</v>
      </c>
      <c r="C42" s="6">
        <v>15</v>
      </c>
      <c r="D42" s="10">
        <v>48</v>
      </c>
      <c r="E42" s="10">
        <v>47.36</v>
      </c>
      <c r="F42" s="9">
        <f>IF(Tablo1456[[#This Row],[SATIŞ]]=0,"Açık",(E42-D42)*C42)</f>
        <v>-9.6000000000000085</v>
      </c>
      <c r="G42" s="11">
        <f>Tablo1456[[#This Row],[ADET]]*Tablo1456[[#This Row],[ALIŞ]]</f>
        <v>720</v>
      </c>
      <c r="H42" s="11">
        <f>Tablo1456[[#This Row],[ADET]]*Tablo1456[[#This Row],[SATIŞ]]</f>
        <v>710.4</v>
      </c>
    </row>
    <row r="43" spans="2:14" ht="21" hidden="1" customHeight="1" x14ac:dyDescent="0.3">
      <c r="B43" s="2">
        <v>45335</v>
      </c>
      <c r="C43" s="6">
        <v>15</v>
      </c>
      <c r="D43" s="10">
        <v>47</v>
      </c>
      <c r="E43" s="10">
        <v>47.36</v>
      </c>
      <c r="F43" s="9">
        <f>IF(Tablo1456[[#This Row],[SATIŞ]]=0,"Açık",(E43-D43)*C43)</f>
        <v>5.3999999999999915</v>
      </c>
      <c r="G43" s="11">
        <f>Tablo1456[[#This Row],[ADET]]*Tablo1456[[#This Row],[ALIŞ]]</f>
        <v>705</v>
      </c>
      <c r="H43" s="11">
        <f>Tablo1456[[#This Row],[ADET]]*Tablo1456[[#This Row],[SATIŞ]]</f>
        <v>710.4</v>
      </c>
    </row>
    <row r="44" spans="2:14" ht="21" hidden="1" customHeight="1" x14ac:dyDescent="0.3">
      <c r="B44" s="2">
        <v>45335</v>
      </c>
      <c r="C44" s="6">
        <v>20</v>
      </c>
      <c r="D44" s="10">
        <v>47</v>
      </c>
      <c r="E44" s="10">
        <v>52</v>
      </c>
      <c r="F44" s="9">
        <f>IF(Tablo1456[[#This Row],[SATIŞ]]=0,"Açık",(E44-D44)*C44)</f>
        <v>100</v>
      </c>
      <c r="G44" s="11">
        <f>Tablo1456[[#This Row],[ADET]]*Tablo1456[[#This Row],[ALIŞ]]</f>
        <v>940</v>
      </c>
      <c r="H44" s="11">
        <f>Tablo1456[[#This Row],[ADET]]*Tablo1456[[#This Row],[SATIŞ]]</f>
        <v>1040</v>
      </c>
    </row>
    <row r="45" spans="2:14" ht="21" hidden="1" customHeight="1" x14ac:dyDescent="0.3">
      <c r="B45" s="2">
        <v>45336</v>
      </c>
      <c r="C45" s="6">
        <v>40</v>
      </c>
      <c r="D45" s="10">
        <v>45.5</v>
      </c>
      <c r="E45" s="10">
        <v>47.36</v>
      </c>
      <c r="F45" s="9">
        <f>IF(Tablo1456[[#This Row],[SATIŞ]]=0,"Açık",(E45-D45)*C45)</f>
        <v>74.399999999999977</v>
      </c>
      <c r="G45" s="11">
        <f>Tablo1456[[#This Row],[ADET]]*Tablo1456[[#This Row],[ALIŞ]]</f>
        <v>1820</v>
      </c>
      <c r="H45" s="11">
        <f>Tablo1456[[#This Row],[ADET]]*Tablo1456[[#This Row],[SATIŞ]]</f>
        <v>1894.4</v>
      </c>
    </row>
    <row r="46" spans="2:14" ht="21" hidden="1" customHeight="1" x14ac:dyDescent="0.3">
      <c r="B46" s="2">
        <v>45336</v>
      </c>
      <c r="C46" s="6">
        <v>25</v>
      </c>
      <c r="D46" s="10">
        <v>44.5</v>
      </c>
      <c r="E46" s="10">
        <v>47.36</v>
      </c>
      <c r="F46" s="9">
        <f>IF(Tablo1456[[#This Row],[SATIŞ]]=0,"Açık",(E46-D46)*C46)</f>
        <v>71.499999999999986</v>
      </c>
      <c r="G46" s="11">
        <f>Tablo1456[[#This Row],[ADET]]*Tablo1456[[#This Row],[ALIŞ]]</f>
        <v>1112.5</v>
      </c>
      <c r="H46" s="11">
        <f>Tablo1456[[#This Row],[ADET]]*Tablo1456[[#This Row],[SATIŞ]]</f>
        <v>1184</v>
      </c>
    </row>
    <row r="47" spans="2:14" ht="21" hidden="1" customHeight="1" x14ac:dyDescent="0.3">
      <c r="B47" s="2">
        <v>45336</v>
      </c>
      <c r="C47" s="6">
        <v>25</v>
      </c>
      <c r="D47" s="10">
        <v>44.5</v>
      </c>
      <c r="E47" s="10">
        <v>46</v>
      </c>
      <c r="F47" s="9">
        <f>IF(Tablo1456[[#This Row],[SATIŞ]]=0,"Açık",(E47-D47)*C47)</f>
        <v>37.5</v>
      </c>
      <c r="G47" s="11">
        <f>Tablo1456[[#This Row],[ADET]]*Tablo1456[[#This Row],[ALIŞ]]</f>
        <v>1112.5</v>
      </c>
      <c r="H47" s="11">
        <f>Tablo1456[[#This Row],[ADET]]*Tablo1456[[#This Row],[SATIŞ]]</f>
        <v>1150</v>
      </c>
    </row>
    <row r="48" spans="2:14" ht="21" hidden="1" customHeight="1" x14ac:dyDescent="0.3">
      <c r="B48" s="2">
        <v>45336</v>
      </c>
      <c r="C48" s="6">
        <v>25</v>
      </c>
      <c r="D48" s="10">
        <v>44</v>
      </c>
      <c r="E48" s="10">
        <v>44.5</v>
      </c>
      <c r="F48" s="9">
        <f>IF(Tablo1456[[#This Row],[SATIŞ]]=0,"Açık",(E48-D48)*C48)</f>
        <v>12.5</v>
      </c>
      <c r="G48" s="11">
        <f>Tablo1456[[#This Row],[ADET]]*Tablo1456[[#This Row],[ALIŞ]]</f>
        <v>1100</v>
      </c>
      <c r="H48" s="11">
        <f>Tablo1456[[#This Row],[ADET]]*Tablo1456[[#This Row],[SATIŞ]]</f>
        <v>1112.5</v>
      </c>
    </row>
    <row r="49" spans="2:10" ht="21" hidden="1" customHeight="1" x14ac:dyDescent="0.3">
      <c r="B49" s="2">
        <v>45336</v>
      </c>
      <c r="C49" s="6">
        <v>25</v>
      </c>
      <c r="D49" s="10">
        <v>44</v>
      </c>
      <c r="E49" s="10">
        <v>45</v>
      </c>
      <c r="F49" s="9">
        <f>IF(Tablo1456[[#This Row],[SATIŞ]]=0,"Açık",(E49-D49)*C49)</f>
        <v>25</v>
      </c>
      <c r="G49" s="11">
        <f>Tablo1456[[#This Row],[ADET]]*Tablo1456[[#This Row],[ALIŞ]]</f>
        <v>1100</v>
      </c>
      <c r="H49" s="11">
        <f>Tablo1456[[#This Row],[ADET]]*Tablo1456[[#This Row],[SATIŞ]]</f>
        <v>1125</v>
      </c>
    </row>
    <row r="50" spans="2:10" ht="21" hidden="1" customHeight="1" x14ac:dyDescent="0.3">
      <c r="B50" s="2">
        <v>45341</v>
      </c>
      <c r="C50" s="6">
        <v>70</v>
      </c>
      <c r="D50" s="10">
        <v>46</v>
      </c>
      <c r="E50" s="10">
        <v>47.5</v>
      </c>
      <c r="F50" s="9">
        <f>IF(Tablo1456[[#This Row],[SATIŞ]]=0,"Açık",(E50-D50)*C50)</f>
        <v>105</v>
      </c>
      <c r="G50" s="11">
        <f>Tablo1456[[#This Row],[ADET]]*Tablo1456[[#This Row],[ALIŞ]]</f>
        <v>3220</v>
      </c>
      <c r="H50" s="11">
        <f>Tablo1456[[#This Row],[ADET]]*Tablo1456[[#This Row],[SATIŞ]]</f>
        <v>3325</v>
      </c>
    </row>
    <row r="51" spans="2:10" ht="21" hidden="1" customHeight="1" x14ac:dyDescent="0.3">
      <c r="B51" s="2">
        <v>45343</v>
      </c>
      <c r="C51" s="6">
        <v>50</v>
      </c>
      <c r="D51" s="10">
        <v>49.9</v>
      </c>
      <c r="E51" s="10">
        <v>52</v>
      </c>
      <c r="F51" s="9">
        <f>IF(Tablo1456[[#This Row],[SATIŞ]]=0,"Açık",(E51-D51)*C51)</f>
        <v>105.00000000000007</v>
      </c>
      <c r="G51" s="11">
        <f>Tablo1456[[#This Row],[ADET]]*Tablo1456[[#This Row],[ALIŞ]]</f>
        <v>2495</v>
      </c>
      <c r="H51" s="11">
        <f>Tablo1456[[#This Row],[ADET]]*Tablo1456[[#This Row],[SATIŞ]]</f>
        <v>2600</v>
      </c>
    </row>
    <row r="52" spans="2:10" ht="21" hidden="1" customHeight="1" x14ac:dyDescent="0.3">
      <c r="B52" s="2">
        <v>45343</v>
      </c>
      <c r="C52" s="6">
        <v>100</v>
      </c>
      <c r="D52" s="10">
        <v>50</v>
      </c>
      <c r="E52" s="10">
        <v>51.5</v>
      </c>
      <c r="F52" s="9">
        <f>IF(Tablo1456[[#This Row],[SATIŞ]]=0,"Açık",(E52-D52)*C52)</f>
        <v>150</v>
      </c>
      <c r="G52" s="11">
        <f>Tablo1456[[#This Row],[ADET]]*Tablo1456[[#This Row],[ALIŞ]]</f>
        <v>5000</v>
      </c>
      <c r="H52" s="11">
        <f>Tablo1456[[#This Row],[ADET]]*Tablo1456[[#This Row],[SATIŞ]]</f>
        <v>5150</v>
      </c>
    </row>
    <row r="53" spans="2:10" ht="21" hidden="1" customHeight="1" x14ac:dyDescent="0.3">
      <c r="B53" s="2">
        <v>45343</v>
      </c>
      <c r="C53" s="6">
        <v>100</v>
      </c>
      <c r="D53" s="10">
        <v>49.76</v>
      </c>
      <c r="E53" s="10">
        <v>51</v>
      </c>
      <c r="F53" s="9">
        <f>IF(Tablo1456[[#This Row],[SATIŞ]]=0,"Açık",(E53-D53)*C53)</f>
        <v>124.0000000000002</v>
      </c>
      <c r="G53" s="11">
        <f>Tablo1456[[#This Row],[ADET]]*Tablo1456[[#This Row],[ALIŞ]]</f>
        <v>4976</v>
      </c>
      <c r="H53" s="11">
        <f>Tablo1456[[#This Row],[ADET]]*Tablo1456[[#This Row],[SATIŞ]]</f>
        <v>5100</v>
      </c>
    </row>
    <row r="54" spans="2:10" ht="21" hidden="1" customHeight="1" x14ac:dyDescent="0.3">
      <c r="B54" s="2">
        <v>45343</v>
      </c>
      <c r="C54" s="6">
        <v>100</v>
      </c>
      <c r="D54" s="10">
        <v>49.76</v>
      </c>
      <c r="E54" s="10">
        <v>52.5</v>
      </c>
      <c r="F54" s="9">
        <f>IF(Tablo1456[[#This Row],[SATIŞ]]=0,"Açık",(E54-D54)*C54)</f>
        <v>274.00000000000023</v>
      </c>
      <c r="G54" s="11">
        <f>Tablo1456[[#This Row],[ADET]]*Tablo1456[[#This Row],[ALIŞ]]</f>
        <v>4976</v>
      </c>
      <c r="H54" s="11">
        <f>Tablo1456[[#This Row],[ADET]]*Tablo1456[[#This Row],[SATIŞ]]</f>
        <v>5250</v>
      </c>
    </row>
    <row r="55" spans="2:10" ht="21" hidden="1" customHeight="1" x14ac:dyDescent="0.3">
      <c r="B55" s="2">
        <v>45344</v>
      </c>
      <c r="C55" s="6">
        <v>100</v>
      </c>
      <c r="D55" s="10">
        <v>49</v>
      </c>
      <c r="E55" s="10">
        <v>54</v>
      </c>
      <c r="F55" s="9">
        <f>IF(Tablo1456[[#This Row],[SATIŞ]]=0,"Açık",(E55-D55)*C55)</f>
        <v>500</v>
      </c>
      <c r="G55" s="11">
        <f>Tablo1456[[#This Row],[ADET]]*Tablo1456[[#This Row],[ALIŞ]]</f>
        <v>4900</v>
      </c>
      <c r="H55" s="11">
        <f>Tablo1456[[#This Row],[ADET]]*Tablo1456[[#This Row],[SATIŞ]]</f>
        <v>5400</v>
      </c>
    </row>
    <row r="56" spans="2:10" ht="21" hidden="1" customHeight="1" x14ac:dyDescent="0.3">
      <c r="B56" s="2">
        <v>45345</v>
      </c>
      <c r="C56" s="6">
        <v>100</v>
      </c>
      <c r="D56" s="10">
        <v>50</v>
      </c>
      <c r="E56" s="10">
        <v>56</v>
      </c>
      <c r="F56" s="9">
        <f>IF(Tablo1456[[#This Row],[SATIŞ]]=0,"Açık",(E56-D56)*C56)</f>
        <v>600</v>
      </c>
      <c r="G56" s="11">
        <f>Tablo1456[[#This Row],[ADET]]*Tablo1456[[#This Row],[ALIŞ]]</f>
        <v>5000</v>
      </c>
      <c r="H56" s="11">
        <f>Tablo1456[[#This Row],[ADET]]*Tablo1456[[#This Row],[SATIŞ]]</f>
        <v>5600</v>
      </c>
    </row>
    <row r="57" spans="2:10" ht="21" customHeight="1" x14ac:dyDescent="0.3">
      <c r="B57" s="2">
        <v>45349</v>
      </c>
      <c r="C57" s="6">
        <v>100</v>
      </c>
      <c r="D57" s="10">
        <v>53</v>
      </c>
      <c r="E57" s="10"/>
      <c r="F57" s="9" t="str">
        <f>IF(Tablo1456[[#This Row],[SATIŞ]]=0,"Açık",(E57-D57)*C57)</f>
        <v>Açık</v>
      </c>
      <c r="G57" s="11">
        <f>Tablo1456[[#This Row],[ADET]]*Tablo1456[[#This Row],[ALIŞ]]</f>
        <v>5300</v>
      </c>
      <c r="H57" s="11">
        <f>Tablo1456[[#This Row],[ADET]]*Tablo1456[[#This Row],[SATIŞ]]</f>
        <v>0</v>
      </c>
      <c r="J57" s="40">
        <f t="shared" ref="J57:J88" si="0">IF(E57=0,D57*1.05,"")</f>
        <v>55.650000000000006</v>
      </c>
    </row>
    <row r="58" spans="2:10" ht="21" customHeight="1" x14ac:dyDescent="0.3">
      <c r="B58" s="2">
        <v>45350</v>
      </c>
      <c r="C58" s="6">
        <v>50</v>
      </c>
      <c r="D58" s="10">
        <v>51</v>
      </c>
      <c r="E58" s="10"/>
      <c r="F58" s="9" t="str">
        <f>IF(Tablo1456[[#This Row],[SATIŞ]]=0,"Açık",(E58-D58)*C58)</f>
        <v>Açık</v>
      </c>
      <c r="G58" s="11">
        <f>Tablo1456[[#This Row],[ADET]]*Tablo1456[[#This Row],[ALIŞ]]</f>
        <v>2550</v>
      </c>
      <c r="H58" s="11">
        <f>Tablo1456[[#This Row],[ADET]]*Tablo1456[[#This Row],[SATIŞ]]</f>
        <v>0</v>
      </c>
      <c r="J58" s="40">
        <f t="shared" si="0"/>
        <v>53.550000000000004</v>
      </c>
    </row>
    <row r="59" spans="2:10" ht="21" hidden="1" customHeight="1" x14ac:dyDescent="0.3">
      <c r="B59" s="2">
        <v>45350</v>
      </c>
      <c r="C59" s="6">
        <v>50</v>
      </c>
      <c r="D59" s="10">
        <v>50</v>
      </c>
      <c r="E59" s="10">
        <v>53</v>
      </c>
      <c r="F59" s="9">
        <f>IF(Tablo1456[[#This Row],[SATIŞ]]=0,"Açık",(E59-D59)*C59)</f>
        <v>150</v>
      </c>
      <c r="G59" s="11">
        <f>Tablo1456[[#This Row],[ADET]]*Tablo1456[[#This Row],[ALIŞ]]</f>
        <v>2500</v>
      </c>
      <c r="H59" s="11">
        <f>Tablo1456[[#This Row],[ADET]]*Tablo1456[[#This Row],[SATIŞ]]</f>
        <v>2650</v>
      </c>
      <c r="J59" s="40" t="str">
        <f t="shared" si="0"/>
        <v/>
      </c>
    </row>
    <row r="60" spans="2:10" ht="21" hidden="1" customHeight="1" x14ac:dyDescent="0.3">
      <c r="B60" s="2">
        <v>45351</v>
      </c>
      <c r="C60" s="6">
        <v>50</v>
      </c>
      <c r="D60" s="10">
        <v>51</v>
      </c>
      <c r="E60" s="10">
        <v>52</v>
      </c>
      <c r="F60" s="9">
        <f>IF(Tablo1456[[#This Row],[SATIŞ]]=0,"Açık",(E60-D60)*C60)</f>
        <v>50</v>
      </c>
      <c r="G60" s="11">
        <f>Tablo1456[[#This Row],[ADET]]*Tablo1456[[#This Row],[ALIŞ]]</f>
        <v>2550</v>
      </c>
      <c r="H60" s="11">
        <f>Tablo1456[[#This Row],[ADET]]*Tablo1456[[#This Row],[SATIŞ]]</f>
        <v>2600</v>
      </c>
      <c r="J60" s="40" t="str">
        <f t="shared" si="0"/>
        <v/>
      </c>
    </row>
    <row r="61" spans="2:10" ht="21" hidden="1" customHeight="1" x14ac:dyDescent="0.3">
      <c r="B61" s="2">
        <v>45355</v>
      </c>
      <c r="C61" s="6">
        <v>50</v>
      </c>
      <c r="D61" s="10">
        <v>49.9</v>
      </c>
      <c r="E61" s="10">
        <v>51</v>
      </c>
      <c r="F61" s="9">
        <f>IF(Tablo1456[[#This Row],[SATIŞ]]=0,"Açık",(E61-D61)*C61)</f>
        <v>55.000000000000071</v>
      </c>
      <c r="G61" s="11">
        <f>Tablo1456[[#This Row],[ADET]]*Tablo1456[[#This Row],[ALIŞ]]</f>
        <v>2495</v>
      </c>
      <c r="H61" s="11">
        <f>Tablo1456[[#This Row],[ADET]]*Tablo1456[[#This Row],[SATIŞ]]</f>
        <v>2550</v>
      </c>
      <c r="J61" s="40" t="str">
        <f t="shared" si="0"/>
        <v/>
      </c>
    </row>
    <row r="62" spans="2:10" ht="21" hidden="1" customHeight="1" x14ac:dyDescent="0.3">
      <c r="B62" s="2">
        <v>45355</v>
      </c>
      <c r="C62" s="6">
        <v>50</v>
      </c>
      <c r="D62" s="10">
        <v>50</v>
      </c>
      <c r="E62" s="10">
        <v>51.2</v>
      </c>
      <c r="F62" s="9">
        <f>IF(Tablo1456[[#This Row],[SATIŞ]]=0,"Açık",(E62-D62)*C62)</f>
        <v>60.000000000000142</v>
      </c>
      <c r="G62" s="11">
        <f>Tablo1456[[#This Row],[ADET]]*Tablo1456[[#This Row],[ALIŞ]]</f>
        <v>2500</v>
      </c>
      <c r="H62" s="11">
        <f>Tablo1456[[#This Row],[ADET]]*Tablo1456[[#This Row],[SATIŞ]]</f>
        <v>2560</v>
      </c>
      <c r="J62" s="40" t="str">
        <f t="shared" si="0"/>
        <v/>
      </c>
    </row>
    <row r="63" spans="2:10" ht="21" hidden="1" customHeight="1" x14ac:dyDescent="0.3">
      <c r="B63" s="2">
        <v>45356</v>
      </c>
      <c r="C63" s="6">
        <v>50</v>
      </c>
      <c r="D63" s="10">
        <v>49</v>
      </c>
      <c r="E63" s="10">
        <v>50</v>
      </c>
      <c r="F63" s="9">
        <f>IF(Tablo1456[[#This Row],[SATIŞ]]=0,"Açık",(E63-D63)*C63)</f>
        <v>50</v>
      </c>
      <c r="G63" s="11">
        <f>Tablo1456[[#This Row],[ADET]]*Tablo1456[[#This Row],[ALIŞ]]</f>
        <v>2450</v>
      </c>
      <c r="H63" s="11">
        <f>Tablo1456[[#This Row],[ADET]]*Tablo1456[[#This Row],[SATIŞ]]</f>
        <v>2500</v>
      </c>
      <c r="J63" s="40" t="str">
        <f t="shared" si="0"/>
        <v/>
      </c>
    </row>
    <row r="64" spans="2:10" ht="21" hidden="1" customHeight="1" x14ac:dyDescent="0.3">
      <c r="B64" s="2">
        <v>45357</v>
      </c>
      <c r="C64" s="6">
        <v>50</v>
      </c>
      <c r="D64" s="10">
        <v>47</v>
      </c>
      <c r="E64" s="10">
        <v>48</v>
      </c>
      <c r="F64" s="9">
        <f>IF(Tablo1456[[#This Row],[SATIŞ]]=0,"Açık",(E64-D64)*C64)</f>
        <v>50</v>
      </c>
      <c r="G64" s="11">
        <f>Tablo1456[[#This Row],[ADET]]*Tablo1456[[#This Row],[ALIŞ]]</f>
        <v>2350</v>
      </c>
      <c r="H64" s="11">
        <f>Tablo1456[[#This Row],[ADET]]*Tablo1456[[#This Row],[SATIŞ]]</f>
        <v>2400</v>
      </c>
      <c r="J64" s="40" t="str">
        <f t="shared" si="0"/>
        <v/>
      </c>
    </row>
    <row r="65" spans="2:10" ht="21" hidden="1" customHeight="1" x14ac:dyDescent="0.3">
      <c r="B65" s="2">
        <v>45358</v>
      </c>
      <c r="C65" s="6">
        <v>50</v>
      </c>
      <c r="D65" s="10">
        <v>46</v>
      </c>
      <c r="E65" s="10">
        <v>48</v>
      </c>
      <c r="F65" s="9">
        <f>IF(Tablo1456[[#This Row],[SATIŞ]]=0,"Açık",(E65-D65)*C65)</f>
        <v>100</v>
      </c>
      <c r="G65" s="11">
        <f>Tablo1456[[#This Row],[ADET]]*Tablo1456[[#This Row],[ALIŞ]]</f>
        <v>2300</v>
      </c>
      <c r="H65" s="11">
        <f>Tablo1456[[#This Row],[ADET]]*Tablo1456[[#This Row],[SATIŞ]]</f>
        <v>2400</v>
      </c>
      <c r="J65" s="40" t="str">
        <f t="shared" si="0"/>
        <v/>
      </c>
    </row>
    <row r="66" spans="2:10" ht="21" hidden="1" customHeight="1" x14ac:dyDescent="0.3">
      <c r="B66" s="2">
        <v>45359</v>
      </c>
      <c r="C66" s="6">
        <v>50</v>
      </c>
      <c r="D66" s="10">
        <v>46.9</v>
      </c>
      <c r="E66" s="10">
        <v>48</v>
      </c>
      <c r="F66" s="9">
        <f>IF(Tablo1456[[#This Row],[SATIŞ]]=0,"Açık",(E66-D66)*C66)</f>
        <v>55.000000000000071</v>
      </c>
      <c r="G66" s="11">
        <f>Tablo1456[[#This Row],[ADET]]*Tablo1456[[#This Row],[ALIŞ]]</f>
        <v>2345</v>
      </c>
      <c r="H66" s="11">
        <f>Tablo1456[[#This Row],[ADET]]*Tablo1456[[#This Row],[SATIŞ]]</f>
        <v>2400</v>
      </c>
      <c r="J66" s="40" t="str">
        <f t="shared" si="0"/>
        <v/>
      </c>
    </row>
    <row r="67" spans="2:10" ht="21" hidden="1" customHeight="1" x14ac:dyDescent="0.3">
      <c r="B67" s="2">
        <v>45359</v>
      </c>
      <c r="C67" s="6">
        <v>50</v>
      </c>
      <c r="D67" s="10">
        <v>48</v>
      </c>
      <c r="E67" s="10">
        <v>48.5</v>
      </c>
      <c r="F67" s="9">
        <f>IF(Tablo1456[[#This Row],[SATIŞ]]=0,"Açık",(E67-D67)*C67)</f>
        <v>25</v>
      </c>
      <c r="G67" s="11">
        <f>Tablo1456[[#This Row],[ADET]]*Tablo1456[[#This Row],[ALIŞ]]</f>
        <v>2400</v>
      </c>
      <c r="H67" s="11">
        <f>Tablo1456[[#This Row],[ADET]]*Tablo1456[[#This Row],[SATIŞ]]</f>
        <v>2425</v>
      </c>
      <c r="J67" s="40" t="str">
        <f t="shared" si="0"/>
        <v/>
      </c>
    </row>
    <row r="68" spans="2:10" ht="21" hidden="1" customHeight="1" x14ac:dyDescent="0.3">
      <c r="B68" s="2">
        <v>45359</v>
      </c>
      <c r="C68" s="6">
        <v>50</v>
      </c>
      <c r="D68" s="10">
        <v>47.5</v>
      </c>
      <c r="E68" s="10">
        <v>48.3</v>
      </c>
      <c r="F68" s="9">
        <f>IF(Tablo1456[[#This Row],[SATIŞ]]=0,"Açık",(E68-D68)*C68)</f>
        <v>39.999999999999858</v>
      </c>
      <c r="G68" s="11">
        <f>Tablo1456[[#This Row],[ADET]]*Tablo1456[[#This Row],[ALIŞ]]</f>
        <v>2375</v>
      </c>
      <c r="H68" s="11">
        <f>Tablo1456[[#This Row],[ADET]]*Tablo1456[[#This Row],[SATIŞ]]</f>
        <v>2415</v>
      </c>
      <c r="J68" s="40" t="str">
        <f t="shared" si="0"/>
        <v/>
      </c>
    </row>
    <row r="69" spans="2:10" ht="21" hidden="1" customHeight="1" x14ac:dyDescent="0.3">
      <c r="B69" s="2">
        <v>45362</v>
      </c>
      <c r="C69" s="6">
        <v>50</v>
      </c>
      <c r="D69" s="10">
        <v>48</v>
      </c>
      <c r="E69" s="10">
        <v>49</v>
      </c>
      <c r="F69" s="9">
        <f>IF(Tablo1456[[#This Row],[SATIŞ]]=0,"Açık",(E69-D69)*C69)</f>
        <v>50</v>
      </c>
      <c r="G69" s="11">
        <f>Tablo1456[[#This Row],[ADET]]*Tablo1456[[#This Row],[ALIŞ]]</f>
        <v>2400</v>
      </c>
      <c r="H69" s="11">
        <f>Tablo1456[[#This Row],[ADET]]*Tablo1456[[#This Row],[SATIŞ]]</f>
        <v>2450</v>
      </c>
      <c r="J69" s="40" t="str">
        <f t="shared" si="0"/>
        <v/>
      </c>
    </row>
    <row r="70" spans="2:10" ht="21" hidden="1" customHeight="1" x14ac:dyDescent="0.3">
      <c r="B70" s="2">
        <v>45362</v>
      </c>
      <c r="C70" s="6">
        <v>50</v>
      </c>
      <c r="D70" s="10">
        <v>48</v>
      </c>
      <c r="E70" s="10">
        <v>49</v>
      </c>
      <c r="F70" s="9">
        <f>IF(Tablo1456[[#This Row],[SATIŞ]]=0,"Açık",(E70-D70)*C70)</f>
        <v>50</v>
      </c>
      <c r="G70" s="11">
        <f>Tablo1456[[#This Row],[ADET]]*Tablo1456[[#This Row],[ALIŞ]]</f>
        <v>2400</v>
      </c>
      <c r="H70" s="11">
        <f>Tablo1456[[#This Row],[ADET]]*Tablo1456[[#This Row],[SATIŞ]]</f>
        <v>2450</v>
      </c>
      <c r="J70" s="40" t="str">
        <f t="shared" si="0"/>
        <v/>
      </c>
    </row>
    <row r="71" spans="2:10" ht="21" hidden="1" customHeight="1" x14ac:dyDescent="0.3">
      <c r="B71" s="2">
        <v>45362</v>
      </c>
      <c r="C71" s="6">
        <v>50</v>
      </c>
      <c r="D71" s="10">
        <v>48</v>
      </c>
      <c r="E71" s="10">
        <v>49</v>
      </c>
      <c r="F71" s="9">
        <f>IF(Tablo1456[[#This Row],[SATIŞ]]=0,"Açık",(E71-D71)*C71)</f>
        <v>50</v>
      </c>
      <c r="G71" s="11">
        <f>Tablo1456[[#This Row],[ADET]]*Tablo1456[[#This Row],[ALIŞ]]</f>
        <v>2400</v>
      </c>
      <c r="H71" s="11">
        <f>Tablo1456[[#This Row],[ADET]]*Tablo1456[[#This Row],[SATIŞ]]</f>
        <v>2450</v>
      </c>
      <c r="J71" s="40" t="str">
        <f t="shared" si="0"/>
        <v/>
      </c>
    </row>
    <row r="72" spans="2:10" ht="21" hidden="1" customHeight="1" x14ac:dyDescent="0.3">
      <c r="B72" s="2">
        <v>45364</v>
      </c>
      <c r="C72" s="6">
        <v>50</v>
      </c>
      <c r="D72" s="10">
        <v>46.6</v>
      </c>
      <c r="E72" s="10">
        <v>47.2</v>
      </c>
      <c r="F72" s="9">
        <f>IF(Tablo1456[[#This Row],[SATIŞ]]=0,"Açık",(E72-D72)*C72)</f>
        <v>30.000000000000071</v>
      </c>
      <c r="G72" s="11">
        <f>Tablo1456[[#This Row],[ADET]]*Tablo1456[[#This Row],[ALIŞ]]</f>
        <v>2330</v>
      </c>
      <c r="H72" s="11">
        <f>Tablo1456[[#This Row],[ADET]]*Tablo1456[[#This Row],[SATIŞ]]</f>
        <v>2360</v>
      </c>
      <c r="J72" s="40" t="str">
        <f t="shared" si="0"/>
        <v/>
      </c>
    </row>
    <row r="73" spans="2:10" ht="21" hidden="1" customHeight="1" x14ac:dyDescent="0.3">
      <c r="B73" s="2">
        <v>45364</v>
      </c>
      <c r="C73" s="6">
        <v>50</v>
      </c>
      <c r="D73" s="10">
        <v>46.6</v>
      </c>
      <c r="E73" s="10">
        <v>48</v>
      </c>
      <c r="F73" s="9">
        <f>IF(Tablo1456[[#This Row],[SATIŞ]]=0,"Açık",(E73-D73)*C73)</f>
        <v>69.999999999999929</v>
      </c>
      <c r="G73" s="11">
        <f>Tablo1456[[#This Row],[ADET]]*Tablo1456[[#This Row],[ALIŞ]]</f>
        <v>2330</v>
      </c>
      <c r="H73" s="11">
        <f>Tablo1456[[#This Row],[ADET]]*Tablo1456[[#This Row],[SATIŞ]]</f>
        <v>2400</v>
      </c>
      <c r="J73" s="40" t="str">
        <f t="shared" si="0"/>
        <v/>
      </c>
    </row>
    <row r="74" spans="2:10" ht="21" hidden="1" customHeight="1" x14ac:dyDescent="0.3">
      <c r="B74" s="2">
        <v>45364</v>
      </c>
      <c r="C74" s="6">
        <v>50</v>
      </c>
      <c r="D74" s="10">
        <v>48</v>
      </c>
      <c r="E74" s="10">
        <v>48.5</v>
      </c>
      <c r="F74" s="9">
        <f>IF(Tablo1456[[#This Row],[SATIŞ]]=0,"Açık",(E74-D74)*C74)</f>
        <v>25</v>
      </c>
      <c r="G74" s="11">
        <f>Tablo1456[[#This Row],[ADET]]*Tablo1456[[#This Row],[ALIŞ]]</f>
        <v>2400</v>
      </c>
      <c r="H74" s="11">
        <f>Tablo1456[[#This Row],[ADET]]*Tablo1456[[#This Row],[SATIŞ]]</f>
        <v>2425</v>
      </c>
      <c r="J74" s="40" t="str">
        <f t="shared" si="0"/>
        <v/>
      </c>
    </row>
    <row r="75" spans="2:10" ht="21" hidden="1" customHeight="1" x14ac:dyDescent="0.3">
      <c r="B75" s="2">
        <v>45364</v>
      </c>
      <c r="C75" s="6">
        <v>50</v>
      </c>
      <c r="D75" s="10">
        <v>48</v>
      </c>
      <c r="E75" s="10">
        <v>48.5</v>
      </c>
      <c r="F75" s="9">
        <f>IF(Tablo1456[[#This Row],[SATIŞ]]=0,"Açık",(E75-D75)*C75)</f>
        <v>25</v>
      </c>
      <c r="G75" s="11">
        <f>Tablo1456[[#This Row],[ADET]]*Tablo1456[[#This Row],[ALIŞ]]</f>
        <v>2400</v>
      </c>
      <c r="H75" s="11">
        <f>Tablo1456[[#This Row],[ADET]]*Tablo1456[[#This Row],[SATIŞ]]</f>
        <v>2425</v>
      </c>
      <c r="J75" s="40" t="str">
        <f t="shared" si="0"/>
        <v/>
      </c>
    </row>
    <row r="76" spans="2:10" ht="21" hidden="1" customHeight="1" x14ac:dyDescent="0.3">
      <c r="B76" s="2">
        <v>45364</v>
      </c>
      <c r="C76" s="6">
        <v>50</v>
      </c>
      <c r="D76" s="10">
        <v>47</v>
      </c>
      <c r="E76" s="10">
        <v>48</v>
      </c>
      <c r="F76" s="9">
        <f>IF(Tablo1456[[#This Row],[SATIŞ]]=0,"Açık",(E76-D76)*C76)</f>
        <v>50</v>
      </c>
      <c r="G76" s="11">
        <f>Tablo1456[[#This Row],[ADET]]*Tablo1456[[#This Row],[ALIŞ]]</f>
        <v>2350</v>
      </c>
      <c r="H76" s="11">
        <f>Tablo1456[[#This Row],[ADET]]*Tablo1456[[#This Row],[SATIŞ]]</f>
        <v>2400</v>
      </c>
      <c r="J76" s="40" t="str">
        <f t="shared" si="0"/>
        <v/>
      </c>
    </row>
    <row r="77" spans="2:10" ht="21" hidden="1" customHeight="1" x14ac:dyDescent="0.3">
      <c r="B77" s="2">
        <v>45364</v>
      </c>
      <c r="C77" s="6">
        <v>50</v>
      </c>
      <c r="D77" s="10">
        <v>47</v>
      </c>
      <c r="E77" s="10">
        <v>47.5</v>
      </c>
      <c r="F77" s="9">
        <f>IF(Tablo1456[[#This Row],[SATIŞ]]=0,"Açık",(E77-D77)*C77)</f>
        <v>25</v>
      </c>
      <c r="G77" s="11">
        <f>Tablo1456[[#This Row],[ADET]]*Tablo1456[[#This Row],[ALIŞ]]</f>
        <v>2350</v>
      </c>
      <c r="H77" s="11">
        <f>Tablo1456[[#This Row],[ADET]]*Tablo1456[[#This Row],[SATIŞ]]</f>
        <v>2375</v>
      </c>
      <c r="J77" s="40" t="str">
        <f t="shared" si="0"/>
        <v/>
      </c>
    </row>
    <row r="78" spans="2:10" ht="21" hidden="1" customHeight="1" x14ac:dyDescent="0.3">
      <c r="B78" s="2">
        <v>45365</v>
      </c>
      <c r="C78" s="6">
        <v>50</v>
      </c>
      <c r="D78" s="10">
        <v>46.72</v>
      </c>
      <c r="E78" s="10">
        <v>47.5</v>
      </c>
      <c r="F78" s="9">
        <f>IF(Tablo1456[[#This Row],[SATIŞ]]=0,"Açık",(E78-D78)*C78)</f>
        <v>39.000000000000057</v>
      </c>
      <c r="G78" s="11">
        <f>Tablo1456[[#This Row],[ADET]]*Tablo1456[[#This Row],[ALIŞ]]</f>
        <v>2336</v>
      </c>
      <c r="H78" s="11">
        <f>Tablo1456[[#This Row],[ADET]]*Tablo1456[[#This Row],[SATIŞ]]</f>
        <v>2375</v>
      </c>
      <c r="J78" s="40" t="str">
        <f t="shared" si="0"/>
        <v/>
      </c>
    </row>
    <row r="79" spans="2:10" ht="21" hidden="1" customHeight="1" x14ac:dyDescent="0.3">
      <c r="B79" s="2">
        <v>45365</v>
      </c>
      <c r="C79" s="6">
        <v>50</v>
      </c>
      <c r="D79" s="10">
        <v>46.5</v>
      </c>
      <c r="E79" s="10">
        <v>47</v>
      </c>
      <c r="F79" s="9">
        <f>IF(Tablo1456[[#This Row],[SATIŞ]]=0,"Açık",(E79-D79)*C79)</f>
        <v>25</v>
      </c>
      <c r="G79" s="11">
        <f>Tablo1456[[#This Row],[ADET]]*Tablo1456[[#This Row],[ALIŞ]]</f>
        <v>2325</v>
      </c>
      <c r="H79" s="11">
        <f>Tablo1456[[#This Row],[ADET]]*Tablo1456[[#This Row],[SATIŞ]]</f>
        <v>2350</v>
      </c>
      <c r="J79" s="40" t="str">
        <f t="shared" si="0"/>
        <v/>
      </c>
    </row>
    <row r="80" spans="2:10" ht="21" hidden="1" customHeight="1" x14ac:dyDescent="0.3">
      <c r="B80" s="2">
        <v>45366</v>
      </c>
      <c r="C80" s="6">
        <v>50</v>
      </c>
      <c r="D80" s="10">
        <v>46</v>
      </c>
      <c r="E80" s="10">
        <v>46.5</v>
      </c>
      <c r="F80" s="9">
        <f>IF(Tablo1456[[#This Row],[SATIŞ]]=0,"Açık",(E80-D80)*C80)</f>
        <v>25</v>
      </c>
      <c r="G80" s="11">
        <f>Tablo1456[[#This Row],[ADET]]*Tablo1456[[#This Row],[ALIŞ]]</f>
        <v>2300</v>
      </c>
      <c r="H80" s="11">
        <f>Tablo1456[[#This Row],[ADET]]*Tablo1456[[#This Row],[SATIŞ]]</f>
        <v>2325</v>
      </c>
      <c r="J80" s="40" t="str">
        <f t="shared" si="0"/>
        <v/>
      </c>
    </row>
    <row r="81" spans="2:10" ht="21" hidden="1" customHeight="1" x14ac:dyDescent="0.3">
      <c r="B81" s="2">
        <v>45366</v>
      </c>
      <c r="C81" s="6">
        <v>50</v>
      </c>
      <c r="D81" s="10">
        <v>45.5</v>
      </c>
      <c r="E81" s="10">
        <v>46</v>
      </c>
      <c r="F81" s="9">
        <f>IF(Tablo1456[[#This Row],[SATIŞ]]=0,"Açık",(E81-D81)*C81)</f>
        <v>25</v>
      </c>
      <c r="G81" s="11">
        <f>Tablo1456[[#This Row],[ADET]]*Tablo1456[[#This Row],[ALIŞ]]</f>
        <v>2275</v>
      </c>
      <c r="H81" s="11">
        <f>Tablo1456[[#This Row],[ADET]]*Tablo1456[[#This Row],[SATIŞ]]</f>
        <v>2300</v>
      </c>
      <c r="J81" s="40" t="str">
        <f t="shared" si="0"/>
        <v/>
      </c>
    </row>
    <row r="82" spans="2:10" ht="21" hidden="1" customHeight="1" x14ac:dyDescent="0.3">
      <c r="B82" s="2">
        <v>45366</v>
      </c>
      <c r="C82" s="6">
        <v>50</v>
      </c>
      <c r="D82" s="10">
        <v>45</v>
      </c>
      <c r="E82" s="10">
        <v>45.5</v>
      </c>
      <c r="F82" s="9">
        <f>IF(Tablo1456[[#This Row],[SATIŞ]]=0,"Açık",(E82-D82)*C82)</f>
        <v>25</v>
      </c>
      <c r="G82" s="11">
        <f>Tablo1456[[#This Row],[ADET]]*Tablo1456[[#This Row],[ALIŞ]]</f>
        <v>2250</v>
      </c>
      <c r="H82" s="11">
        <f>Tablo1456[[#This Row],[ADET]]*Tablo1456[[#This Row],[SATIŞ]]</f>
        <v>2275</v>
      </c>
      <c r="J82" s="40" t="str">
        <f t="shared" si="0"/>
        <v/>
      </c>
    </row>
    <row r="83" spans="2:10" ht="21" hidden="1" customHeight="1" x14ac:dyDescent="0.3">
      <c r="B83" s="2">
        <v>45366</v>
      </c>
      <c r="C83" s="6">
        <v>50</v>
      </c>
      <c r="D83" s="10">
        <v>45.5</v>
      </c>
      <c r="E83" s="10">
        <v>46</v>
      </c>
      <c r="F83" s="9">
        <f>IF(Tablo1456[[#This Row],[SATIŞ]]=0,"Açık",(E83-D83)*C83)</f>
        <v>25</v>
      </c>
      <c r="G83" s="11">
        <f>Tablo1456[[#This Row],[ADET]]*Tablo1456[[#This Row],[ALIŞ]]</f>
        <v>2275</v>
      </c>
      <c r="H83" s="11">
        <f>Tablo1456[[#This Row],[ADET]]*Tablo1456[[#This Row],[SATIŞ]]</f>
        <v>2300</v>
      </c>
      <c r="J83" s="40" t="str">
        <f t="shared" si="0"/>
        <v/>
      </c>
    </row>
    <row r="84" spans="2:10" ht="21" hidden="1" customHeight="1" x14ac:dyDescent="0.3">
      <c r="B84" s="2">
        <v>45366</v>
      </c>
      <c r="C84" s="6">
        <v>100</v>
      </c>
      <c r="D84" s="10">
        <v>46</v>
      </c>
      <c r="E84" s="10">
        <v>46.5</v>
      </c>
      <c r="F84" s="9">
        <f>IF(Tablo1456[[#This Row],[SATIŞ]]=0,"Açık",(E84-D84)*C84)</f>
        <v>50</v>
      </c>
      <c r="G84" s="11">
        <f>Tablo1456[[#This Row],[ADET]]*Tablo1456[[#This Row],[ALIŞ]]</f>
        <v>4600</v>
      </c>
      <c r="H84" s="11">
        <f>Tablo1456[[#This Row],[ADET]]*Tablo1456[[#This Row],[SATIŞ]]</f>
        <v>4650</v>
      </c>
      <c r="J84" s="40" t="str">
        <f t="shared" si="0"/>
        <v/>
      </c>
    </row>
    <row r="85" spans="2:10" ht="21" hidden="1" customHeight="1" x14ac:dyDescent="0.3">
      <c r="B85" s="2">
        <v>45369</v>
      </c>
      <c r="C85" s="6">
        <v>50</v>
      </c>
      <c r="D85" s="10">
        <v>46.6</v>
      </c>
      <c r="E85" s="10">
        <v>47</v>
      </c>
      <c r="F85" s="9">
        <f>IF(Tablo1456[[#This Row],[SATIŞ]]=0,"Açık",(E85-D85)*C85)</f>
        <v>19.999999999999929</v>
      </c>
      <c r="G85" s="11">
        <f>Tablo1456[[#This Row],[ADET]]*Tablo1456[[#This Row],[ALIŞ]]</f>
        <v>2330</v>
      </c>
      <c r="H85" s="11">
        <f>Tablo1456[[#This Row],[ADET]]*Tablo1456[[#This Row],[SATIŞ]]</f>
        <v>2350</v>
      </c>
      <c r="J85" s="40" t="str">
        <f t="shared" si="0"/>
        <v/>
      </c>
    </row>
    <row r="86" spans="2:10" ht="21" hidden="1" customHeight="1" x14ac:dyDescent="0.3">
      <c r="B86" s="2">
        <v>45369</v>
      </c>
      <c r="C86" s="6">
        <v>50</v>
      </c>
      <c r="D86" s="10">
        <v>46</v>
      </c>
      <c r="E86" s="10">
        <v>46.5</v>
      </c>
      <c r="F86" s="9">
        <f>IF(Tablo1456[[#This Row],[SATIŞ]]=0,"Açık",(E86-D86)*C86)</f>
        <v>25</v>
      </c>
      <c r="G86" s="11">
        <f>Tablo1456[[#This Row],[ADET]]*Tablo1456[[#This Row],[ALIŞ]]</f>
        <v>2300</v>
      </c>
      <c r="H86" s="11">
        <f>Tablo1456[[#This Row],[ADET]]*Tablo1456[[#This Row],[SATIŞ]]</f>
        <v>2325</v>
      </c>
      <c r="J86" s="40" t="str">
        <f t="shared" si="0"/>
        <v/>
      </c>
    </row>
    <row r="87" spans="2:10" ht="21" hidden="1" customHeight="1" x14ac:dyDescent="0.3">
      <c r="B87" s="2">
        <v>45369</v>
      </c>
      <c r="C87" s="6">
        <v>50</v>
      </c>
      <c r="D87" s="10">
        <v>46</v>
      </c>
      <c r="E87" s="10">
        <v>47.2</v>
      </c>
      <c r="F87" s="9">
        <f>IF(Tablo1456[[#This Row],[SATIŞ]]=0,"Açık",(E87-D87)*C87)</f>
        <v>60.000000000000142</v>
      </c>
      <c r="G87" s="11">
        <f>Tablo1456[[#This Row],[ADET]]*Tablo1456[[#This Row],[ALIŞ]]</f>
        <v>2300</v>
      </c>
      <c r="H87" s="11">
        <f>Tablo1456[[#This Row],[ADET]]*Tablo1456[[#This Row],[SATIŞ]]</f>
        <v>2360</v>
      </c>
      <c r="J87" s="40" t="str">
        <f t="shared" si="0"/>
        <v/>
      </c>
    </row>
    <row r="88" spans="2:10" ht="21" hidden="1" customHeight="1" x14ac:dyDescent="0.3">
      <c r="B88" s="2">
        <v>45369</v>
      </c>
      <c r="C88" s="6">
        <v>50</v>
      </c>
      <c r="D88" s="10">
        <v>46</v>
      </c>
      <c r="E88" s="10">
        <v>46.5</v>
      </c>
      <c r="F88" s="9">
        <f>IF(Tablo1456[[#This Row],[SATIŞ]]=0,"Açık",(E88-D88)*C88)</f>
        <v>25</v>
      </c>
      <c r="G88" s="11">
        <f>Tablo1456[[#This Row],[ADET]]*Tablo1456[[#This Row],[ALIŞ]]</f>
        <v>2300</v>
      </c>
      <c r="H88" s="11">
        <f>Tablo1456[[#This Row],[ADET]]*Tablo1456[[#This Row],[SATIŞ]]</f>
        <v>2325</v>
      </c>
      <c r="J88" s="40" t="str">
        <f t="shared" si="0"/>
        <v/>
      </c>
    </row>
    <row r="89" spans="2:10" ht="21" hidden="1" customHeight="1" x14ac:dyDescent="0.3">
      <c r="B89" s="2">
        <v>45369</v>
      </c>
      <c r="C89" s="6">
        <v>50</v>
      </c>
      <c r="D89" s="10">
        <v>46</v>
      </c>
      <c r="E89" s="10">
        <v>46.5</v>
      </c>
      <c r="F89" s="9">
        <f>IF(Tablo1456[[#This Row],[SATIŞ]]=0,"Açık",(E89-D89)*C89)</f>
        <v>25</v>
      </c>
      <c r="G89" s="11">
        <f>Tablo1456[[#This Row],[ADET]]*Tablo1456[[#This Row],[ALIŞ]]</f>
        <v>2300</v>
      </c>
      <c r="H89" s="11">
        <f>Tablo1456[[#This Row],[ADET]]*Tablo1456[[#This Row],[SATIŞ]]</f>
        <v>2325</v>
      </c>
      <c r="J89" s="40" t="str">
        <f t="shared" ref="J89:J112" si="1">IF(E89=0,D89*1.05,"")</f>
        <v/>
      </c>
    </row>
    <row r="90" spans="2:10" ht="21" hidden="1" customHeight="1" x14ac:dyDescent="0.3">
      <c r="B90" s="2">
        <v>45369</v>
      </c>
      <c r="C90" s="6">
        <v>100</v>
      </c>
      <c r="D90" s="10">
        <v>46</v>
      </c>
      <c r="E90" s="10">
        <v>46.6</v>
      </c>
      <c r="F90" s="9">
        <f>IF(Tablo1456[[#This Row],[SATIŞ]]=0,"Açık",(E90-D90)*C90)</f>
        <v>60.000000000000142</v>
      </c>
      <c r="G90" s="11">
        <f>Tablo1456[[#This Row],[ADET]]*Tablo1456[[#This Row],[ALIŞ]]</f>
        <v>4600</v>
      </c>
      <c r="H90" s="11">
        <f>Tablo1456[[#This Row],[ADET]]*Tablo1456[[#This Row],[SATIŞ]]</f>
        <v>4660</v>
      </c>
      <c r="J90" s="40" t="str">
        <f t="shared" si="1"/>
        <v/>
      </c>
    </row>
    <row r="91" spans="2:10" ht="21" hidden="1" customHeight="1" x14ac:dyDescent="0.3">
      <c r="B91" s="2">
        <v>45369</v>
      </c>
      <c r="C91" s="6">
        <v>100</v>
      </c>
      <c r="D91" s="10">
        <v>46</v>
      </c>
      <c r="E91" s="10">
        <v>47</v>
      </c>
      <c r="F91" s="9">
        <f>IF(Tablo1456[[#This Row],[SATIŞ]]=0,"Açık",(E91-D91)*C91)</f>
        <v>100</v>
      </c>
      <c r="G91" s="11">
        <f>Tablo1456[[#This Row],[ADET]]*Tablo1456[[#This Row],[ALIŞ]]</f>
        <v>4600</v>
      </c>
      <c r="H91" s="11">
        <f>Tablo1456[[#This Row],[ADET]]*Tablo1456[[#This Row],[SATIŞ]]</f>
        <v>4700</v>
      </c>
      <c r="J91" s="40" t="str">
        <f t="shared" si="1"/>
        <v/>
      </c>
    </row>
    <row r="92" spans="2:10" ht="21" hidden="1" customHeight="1" x14ac:dyDescent="0.3">
      <c r="B92" s="2">
        <v>45369</v>
      </c>
      <c r="C92" s="6">
        <v>100</v>
      </c>
      <c r="D92" s="10">
        <v>45.5</v>
      </c>
      <c r="E92" s="10">
        <v>46</v>
      </c>
      <c r="F92" s="9">
        <f>IF(Tablo1456[[#This Row],[SATIŞ]]=0,"Açık",(E92-D92)*C92)</f>
        <v>50</v>
      </c>
      <c r="G92" s="11">
        <f>Tablo1456[[#This Row],[ADET]]*Tablo1456[[#This Row],[ALIŞ]]</f>
        <v>4550</v>
      </c>
      <c r="H92" s="11">
        <f>Tablo1456[[#This Row],[ADET]]*Tablo1456[[#This Row],[SATIŞ]]</f>
        <v>4600</v>
      </c>
      <c r="J92" s="40" t="str">
        <f t="shared" si="1"/>
        <v/>
      </c>
    </row>
    <row r="93" spans="2:10" ht="21" hidden="1" customHeight="1" x14ac:dyDescent="0.3">
      <c r="B93" s="2">
        <v>45369</v>
      </c>
      <c r="C93" s="6">
        <v>100</v>
      </c>
      <c r="D93" s="10">
        <v>45.5</v>
      </c>
      <c r="E93" s="10">
        <v>46</v>
      </c>
      <c r="F93" s="9">
        <f>IF(Tablo1456[[#This Row],[SATIŞ]]=0,"Açık",(E93-D93)*C93)</f>
        <v>50</v>
      </c>
      <c r="G93" s="11">
        <f>Tablo1456[[#This Row],[ADET]]*Tablo1456[[#This Row],[ALIŞ]]</f>
        <v>4550</v>
      </c>
      <c r="H93" s="11">
        <f>Tablo1456[[#This Row],[ADET]]*Tablo1456[[#This Row],[SATIŞ]]</f>
        <v>4600</v>
      </c>
      <c r="J93" s="40" t="str">
        <f t="shared" si="1"/>
        <v/>
      </c>
    </row>
    <row r="94" spans="2:10" ht="21" hidden="1" customHeight="1" x14ac:dyDescent="0.3">
      <c r="B94" s="2">
        <v>45372</v>
      </c>
      <c r="C94" s="6">
        <v>50</v>
      </c>
      <c r="D94" s="10">
        <v>46</v>
      </c>
      <c r="E94" s="10">
        <v>48</v>
      </c>
      <c r="F94" s="9">
        <f>IF(Tablo1456[[#This Row],[SATIŞ]]=0,"Açık",(E94-D94)*C94)</f>
        <v>100</v>
      </c>
      <c r="G94" s="11">
        <f>Tablo1456[[#This Row],[ADET]]*Tablo1456[[#This Row],[ALIŞ]]</f>
        <v>2300</v>
      </c>
      <c r="H94" s="11">
        <f>Tablo1456[[#This Row],[ADET]]*Tablo1456[[#This Row],[SATIŞ]]</f>
        <v>2400</v>
      </c>
      <c r="J94" s="40" t="str">
        <f t="shared" si="1"/>
        <v/>
      </c>
    </row>
    <row r="95" spans="2:10" ht="21" hidden="1" customHeight="1" x14ac:dyDescent="0.3">
      <c r="B95" s="2">
        <v>45372</v>
      </c>
      <c r="C95" s="6">
        <v>50</v>
      </c>
      <c r="D95" s="10">
        <v>46</v>
      </c>
      <c r="E95" s="10">
        <v>49</v>
      </c>
      <c r="F95" s="9">
        <f>IF(Tablo1456[[#This Row],[SATIŞ]]=0,"Açık",(E95-D95)*C95)</f>
        <v>150</v>
      </c>
      <c r="G95" s="11">
        <f>Tablo1456[[#This Row],[ADET]]*Tablo1456[[#This Row],[ALIŞ]]</f>
        <v>2300</v>
      </c>
      <c r="H95" s="11">
        <f>Tablo1456[[#This Row],[ADET]]*Tablo1456[[#This Row],[SATIŞ]]</f>
        <v>2450</v>
      </c>
      <c r="J95" s="40" t="str">
        <f t="shared" si="1"/>
        <v/>
      </c>
    </row>
    <row r="96" spans="2:10" ht="21" hidden="1" customHeight="1" x14ac:dyDescent="0.3">
      <c r="B96" s="2">
        <v>45372</v>
      </c>
      <c r="C96" s="6">
        <v>50</v>
      </c>
      <c r="D96" s="10">
        <v>48</v>
      </c>
      <c r="E96" s="10">
        <v>41.6</v>
      </c>
      <c r="F96" s="9">
        <f>IF(Tablo1456[[#This Row],[SATIŞ]]=0,"Açık",(E96-D96)*C96)</f>
        <v>-319.99999999999994</v>
      </c>
      <c r="G96" s="11">
        <f>Tablo1456[[#This Row],[ADET]]*Tablo1456[[#This Row],[ALIŞ]]</f>
        <v>2400</v>
      </c>
      <c r="H96" s="11">
        <f>Tablo1456[[#This Row],[ADET]]*Tablo1456[[#This Row],[SATIŞ]]</f>
        <v>2080</v>
      </c>
      <c r="J96" s="40" t="str">
        <f t="shared" si="1"/>
        <v/>
      </c>
    </row>
    <row r="97" spans="2:10" ht="21" hidden="1" customHeight="1" x14ac:dyDescent="0.3">
      <c r="B97" s="2">
        <v>45373</v>
      </c>
      <c r="C97" s="6">
        <v>50</v>
      </c>
      <c r="D97" s="10">
        <v>47</v>
      </c>
      <c r="E97" s="10">
        <v>41.6</v>
      </c>
      <c r="F97" s="9">
        <f>IF(Tablo1456[[#This Row],[SATIŞ]]=0,"Açık",(E97-D97)*C97)</f>
        <v>-269.99999999999994</v>
      </c>
      <c r="G97" s="11">
        <f>Tablo1456[[#This Row],[ADET]]*Tablo1456[[#This Row],[ALIŞ]]</f>
        <v>2350</v>
      </c>
      <c r="H97" s="11">
        <f>Tablo1456[[#This Row],[ADET]]*Tablo1456[[#This Row],[SATIŞ]]</f>
        <v>2080</v>
      </c>
      <c r="J97" s="40" t="str">
        <f t="shared" si="1"/>
        <v/>
      </c>
    </row>
    <row r="98" spans="2:10" ht="21" hidden="1" customHeight="1" x14ac:dyDescent="0.3">
      <c r="B98" s="2">
        <v>45376</v>
      </c>
      <c r="C98" s="6">
        <v>50</v>
      </c>
      <c r="D98" s="10">
        <v>44</v>
      </c>
      <c r="E98" s="10">
        <v>41.5</v>
      </c>
      <c r="F98" s="9">
        <f>IF(Tablo1456[[#This Row],[SATIŞ]]=0,"Açık",(E98-D98)*C98)</f>
        <v>-125</v>
      </c>
      <c r="G98" s="11">
        <f>Tablo1456[[#This Row],[ADET]]*Tablo1456[[#This Row],[ALIŞ]]</f>
        <v>2200</v>
      </c>
      <c r="H98" s="11">
        <f>Tablo1456[[#This Row],[ADET]]*Tablo1456[[#This Row],[SATIŞ]]</f>
        <v>2075</v>
      </c>
      <c r="J98" s="40" t="str">
        <f t="shared" si="1"/>
        <v/>
      </c>
    </row>
    <row r="99" spans="2:10" ht="21" hidden="1" customHeight="1" x14ac:dyDescent="0.3">
      <c r="B99" s="2">
        <v>45376</v>
      </c>
      <c r="C99" s="6">
        <v>50</v>
      </c>
      <c r="D99" s="10">
        <v>44</v>
      </c>
      <c r="E99" s="10">
        <v>44</v>
      </c>
      <c r="F99" s="9">
        <f>IF(Tablo1456[[#This Row],[SATIŞ]]=0,"Açık",(E99-D99)*C99)</f>
        <v>0</v>
      </c>
      <c r="G99" s="11">
        <f>Tablo1456[[#This Row],[ADET]]*Tablo1456[[#This Row],[ALIŞ]]</f>
        <v>2200</v>
      </c>
      <c r="H99" s="11">
        <f>Tablo1456[[#This Row],[ADET]]*Tablo1456[[#This Row],[SATIŞ]]</f>
        <v>2200</v>
      </c>
      <c r="J99" s="40" t="str">
        <f t="shared" si="1"/>
        <v/>
      </c>
    </row>
    <row r="100" spans="2:10" ht="21" hidden="1" customHeight="1" x14ac:dyDescent="0.3">
      <c r="B100" s="2">
        <v>45377</v>
      </c>
      <c r="C100" s="6">
        <v>50</v>
      </c>
      <c r="D100" s="10">
        <v>42.5</v>
      </c>
      <c r="E100" s="10">
        <v>44</v>
      </c>
      <c r="F100" s="9">
        <f>IF(Tablo1456[[#This Row],[SATIŞ]]=0,"Açık",(E100-D100)*C100)</f>
        <v>75</v>
      </c>
      <c r="G100" s="11">
        <f>Tablo1456[[#This Row],[ADET]]*Tablo1456[[#This Row],[ALIŞ]]</f>
        <v>2125</v>
      </c>
      <c r="H100" s="11">
        <f>Tablo1456[[#This Row],[ADET]]*Tablo1456[[#This Row],[SATIŞ]]</f>
        <v>2200</v>
      </c>
      <c r="J100" s="40" t="str">
        <f t="shared" si="1"/>
        <v/>
      </c>
    </row>
    <row r="101" spans="2:10" ht="21" hidden="1" customHeight="1" x14ac:dyDescent="0.3">
      <c r="B101" s="2">
        <v>45377</v>
      </c>
      <c r="C101" s="6">
        <v>50</v>
      </c>
      <c r="D101" s="10">
        <v>42</v>
      </c>
      <c r="E101" s="10">
        <v>42</v>
      </c>
      <c r="F101" s="9">
        <f>IF(Tablo1456[[#This Row],[SATIŞ]]=0,"Açık",(E101-D101)*C101)</f>
        <v>0</v>
      </c>
      <c r="G101" s="11">
        <f>Tablo1456[[#This Row],[ADET]]*Tablo1456[[#This Row],[ALIŞ]]</f>
        <v>2100</v>
      </c>
      <c r="H101" s="11">
        <f>Tablo1456[[#This Row],[ADET]]*Tablo1456[[#This Row],[SATIŞ]]</f>
        <v>2100</v>
      </c>
      <c r="J101" s="40" t="str">
        <f t="shared" si="1"/>
        <v/>
      </c>
    </row>
    <row r="102" spans="2:10" ht="21" hidden="1" customHeight="1" x14ac:dyDescent="0.3">
      <c r="B102" s="2">
        <v>45377</v>
      </c>
      <c r="C102" s="6">
        <v>50</v>
      </c>
      <c r="D102" s="10">
        <v>42.2</v>
      </c>
      <c r="E102" s="10">
        <v>41.7</v>
      </c>
      <c r="F102" s="9">
        <f>IF(Tablo1456[[#This Row],[SATIŞ]]=0,"Açık",(E102-D102)*C102)</f>
        <v>-25</v>
      </c>
      <c r="G102" s="11">
        <f>Tablo1456[[#This Row],[ADET]]*Tablo1456[[#This Row],[ALIŞ]]</f>
        <v>2110</v>
      </c>
      <c r="H102" s="11">
        <f>Tablo1456[[#This Row],[ADET]]*Tablo1456[[#This Row],[SATIŞ]]</f>
        <v>2085</v>
      </c>
      <c r="J102" s="40" t="str">
        <f t="shared" si="1"/>
        <v/>
      </c>
    </row>
    <row r="103" spans="2:10" ht="21" hidden="1" customHeight="1" x14ac:dyDescent="0.3">
      <c r="B103" s="2">
        <v>45377</v>
      </c>
      <c r="C103" s="6">
        <v>50</v>
      </c>
      <c r="D103" s="10">
        <v>42</v>
      </c>
      <c r="E103" s="10">
        <v>42.8</v>
      </c>
      <c r="F103" s="9">
        <f>IF(Tablo1456[[#This Row],[SATIŞ]]=0,"Açık",(E103-D103)*C103)</f>
        <v>39.999999999999858</v>
      </c>
      <c r="G103" s="11">
        <f>Tablo1456[[#This Row],[ADET]]*Tablo1456[[#This Row],[ALIŞ]]</f>
        <v>2100</v>
      </c>
      <c r="H103" s="11">
        <f>Tablo1456[[#This Row],[ADET]]*Tablo1456[[#This Row],[SATIŞ]]</f>
        <v>2140</v>
      </c>
      <c r="J103" s="40" t="str">
        <f t="shared" si="1"/>
        <v/>
      </c>
    </row>
    <row r="104" spans="2:10" ht="21" hidden="1" customHeight="1" x14ac:dyDescent="0.3">
      <c r="B104" s="2">
        <v>45377</v>
      </c>
      <c r="C104" s="6">
        <v>50</v>
      </c>
      <c r="D104" s="10">
        <v>41.8</v>
      </c>
      <c r="E104" s="10">
        <v>42.3</v>
      </c>
      <c r="F104" s="9">
        <f>IF(Tablo1456[[#This Row],[SATIŞ]]=0,"Açık",(E104-D104)*C104)</f>
        <v>25</v>
      </c>
      <c r="G104" s="11">
        <f>Tablo1456[[#This Row],[ADET]]*Tablo1456[[#This Row],[ALIŞ]]</f>
        <v>2090</v>
      </c>
      <c r="H104" s="11">
        <f>Tablo1456[[#This Row],[ADET]]*Tablo1456[[#This Row],[SATIŞ]]</f>
        <v>2115</v>
      </c>
      <c r="J104" s="40" t="str">
        <f t="shared" si="1"/>
        <v/>
      </c>
    </row>
    <row r="105" spans="2:10" ht="21" hidden="1" customHeight="1" x14ac:dyDescent="0.3">
      <c r="B105" s="2">
        <v>45377</v>
      </c>
      <c r="C105" s="6">
        <v>50</v>
      </c>
      <c r="D105" s="10">
        <v>41.7</v>
      </c>
      <c r="E105" s="10">
        <v>42.5</v>
      </c>
      <c r="F105" s="9">
        <f>IF(Tablo1456[[#This Row],[SATIŞ]]=0,"Açık",(E105-D105)*C105)</f>
        <v>39.999999999999858</v>
      </c>
      <c r="G105" s="11">
        <f>Tablo1456[[#This Row],[ADET]]*Tablo1456[[#This Row],[ALIŞ]]</f>
        <v>2085</v>
      </c>
      <c r="H105" s="11">
        <f>Tablo1456[[#This Row],[ADET]]*Tablo1456[[#This Row],[SATIŞ]]</f>
        <v>2125</v>
      </c>
      <c r="J105" s="40" t="str">
        <f t="shared" si="1"/>
        <v/>
      </c>
    </row>
    <row r="106" spans="2:10" ht="21" hidden="1" customHeight="1" x14ac:dyDescent="0.3">
      <c r="B106" s="2">
        <v>45377</v>
      </c>
      <c r="C106" s="6">
        <v>50</v>
      </c>
      <c r="D106" s="10">
        <v>41.3</v>
      </c>
      <c r="E106" s="10">
        <v>41.6</v>
      </c>
      <c r="F106" s="9">
        <f>IF(Tablo1456[[#This Row],[SATIŞ]]=0,"Açık",(E106-D106)*C106)</f>
        <v>15.000000000000213</v>
      </c>
      <c r="G106" s="11">
        <f>Tablo1456[[#This Row],[ADET]]*Tablo1456[[#This Row],[ALIŞ]]</f>
        <v>2065</v>
      </c>
      <c r="H106" s="11">
        <f>Tablo1456[[#This Row],[ADET]]*Tablo1456[[#This Row],[SATIŞ]]</f>
        <v>2080</v>
      </c>
      <c r="J106" s="40" t="str">
        <f t="shared" si="1"/>
        <v/>
      </c>
    </row>
    <row r="107" spans="2:10" ht="21" hidden="1" customHeight="1" x14ac:dyDescent="0.3">
      <c r="B107" s="2">
        <v>45377</v>
      </c>
      <c r="C107" s="6">
        <v>50</v>
      </c>
      <c r="D107" s="10">
        <v>41.3</v>
      </c>
      <c r="E107" s="10">
        <v>41.6</v>
      </c>
      <c r="F107" s="9">
        <f>IF(Tablo1456[[#This Row],[SATIŞ]]=0,"Açık",(E107-D107)*C107)</f>
        <v>15.000000000000213</v>
      </c>
      <c r="G107" s="11">
        <f>Tablo1456[[#This Row],[ADET]]*Tablo1456[[#This Row],[ALIŞ]]</f>
        <v>2065</v>
      </c>
      <c r="H107" s="11">
        <f>Tablo1456[[#This Row],[ADET]]*Tablo1456[[#This Row],[SATIŞ]]</f>
        <v>2080</v>
      </c>
      <c r="J107" s="40" t="str">
        <f t="shared" si="1"/>
        <v/>
      </c>
    </row>
    <row r="108" spans="2:10" ht="21" hidden="1" customHeight="1" x14ac:dyDescent="0.3">
      <c r="B108" s="2">
        <v>45377</v>
      </c>
      <c r="C108" s="6">
        <v>50</v>
      </c>
      <c r="D108" s="10">
        <v>41.24</v>
      </c>
      <c r="E108" s="10">
        <v>43</v>
      </c>
      <c r="F108" s="9">
        <f>IF(Tablo1456[[#This Row],[SATIŞ]]=0,"Açık",(E108-D108)*C108)</f>
        <v>87.999999999999901</v>
      </c>
      <c r="G108" s="11">
        <f>Tablo1456[[#This Row],[ADET]]*Tablo1456[[#This Row],[ALIŞ]]</f>
        <v>2062</v>
      </c>
      <c r="H108" s="11">
        <f>Tablo1456[[#This Row],[ADET]]*Tablo1456[[#This Row],[SATIŞ]]</f>
        <v>2150</v>
      </c>
      <c r="J108" s="40" t="str">
        <f t="shared" si="1"/>
        <v/>
      </c>
    </row>
    <row r="109" spans="2:10" ht="21" hidden="1" customHeight="1" x14ac:dyDescent="0.3">
      <c r="B109" s="2">
        <v>45378</v>
      </c>
      <c r="C109" s="6">
        <v>50</v>
      </c>
      <c r="D109" s="10">
        <v>41.9</v>
      </c>
      <c r="E109" s="10">
        <v>41.5</v>
      </c>
      <c r="F109" s="9">
        <f>IF(Tablo1456[[#This Row],[SATIŞ]]=0,"Açık",(E109-D109)*C109)</f>
        <v>-19.999999999999929</v>
      </c>
      <c r="G109" s="11">
        <f>Tablo1456[[#This Row],[ADET]]*Tablo1456[[#This Row],[ALIŞ]]</f>
        <v>2095</v>
      </c>
      <c r="H109" s="11">
        <f>Tablo1456[[#This Row],[ADET]]*Tablo1456[[#This Row],[SATIŞ]]</f>
        <v>2075</v>
      </c>
      <c r="J109" s="40" t="str">
        <f t="shared" si="1"/>
        <v/>
      </c>
    </row>
    <row r="110" spans="2:10" ht="21" hidden="1" customHeight="1" x14ac:dyDescent="0.3">
      <c r="B110" s="2">
        <v>45378</v>
      </c>
      <c r="C110" s="6">
        <v>50</v>
      </c>
      <c r="D110" s="10">
        <v>41.9</v>
      </c>
      <c r="E110" s="10">
        <v>41.4</v>
      </c>
      <c r="F110" s="9">
        <f>IF(Tablo1456[[#This Row],[SATIŞ]]=0,"Açık",(E110-D110)*C110)</f>
        <v>-25</v>
      </c>
      <c r="G110" s="11">
        <f>Tablo1456[[#This Row],[ADET]]*Tablo1456[[#This Row],[ALIŞ]]</f>
        <v>2095</v>
      </c>
      <c r="H110" s="11">
        <f>Tablo1456[[#This Row],[ADET]]*Tablo1456[[#This Row],[SATIŞ]]</f>
        <v>2070</v>
      </c>
      <c r="J110" s="40" t="str">
        <f t="shared" si="1"/>
        <v/>
      </c>
    </row>
    <row r="111" spans="2:10" ht="21" hidden="1" customHeight="1" x14ac:dyDescent="0.3">
      <c r="B111" s="2">
        <v>45379</v>
      </c>
      <c r="C111" s="6">
        <v>50</v>
      </c>
      <c r="D111" s="10">
        <v>41</v>
      </c>
      <c r="E111" s="10">
        <v>41.56</v>
      </c>
      <c r="F111" s="9">
        <f>IF(Tablo1456[[#This Row],[SATIŞ]]=0,"Açık",(E111-D111)*C111)</f>
        <v>28.000000000000114</v>
      </c>
      <c r="G111" s="11">
        <f>Tablo1456[[#This Row],[ADET]]*Tablo1456[[#This Row],[ALIŞ]]</f>
        <v>2050</v>
      </c>
      <c r="H111" s="11">
        <f>Tablo1456[[#This Row],[ADET]]*Tablo1456[[#This Row],[SATIŞ]]</f>
        <v>2078</v>
      </c>
      <c r="J111" s="40" t="str">
        <f t="shared" si="1"/>
        <v/>
      </c>
    </row>
    <row r="112" spans="2:10" ht="21" hidden="1" customHeight="1" x14ac:dyDescent="0.3">
      <c r="B112" s="2">
        <v>45379</v>
      </c>
      <c r="C112" s="6">
        <v>50</v>
      </c>
      <c r="D112" s="10">
        <v>41</v>
      </c>
      <c r="E112" s="10">
        <v>41.4</v>
      </c>
      <c r="F112" s="9">
        <f>IF(Tablo1456[[#This Row],[SATIŞ]]=0,"Açık",(E112-D112)*C112)</f>
        <v>19.999999999999929</v>
      </c>
      <c r="G112" s="11">
        <f>Tablo1456[[#This Row],[ADET]]*Tablo1456[[#This Row],[ALIŞ]]</f>
        <v>2050</v>
      </c>
      <c r="H112" s="11">
        <f>Tablo1456[[#This Row],[ADET]]*Tablo1456[[#This Row],[SATIŞ]]</f>
        <v>2070</v>
      </c>
      <c r="J112" s="40" t="str">
        <f t="shared" si="1"/>
        <v/>
      </c>
    </row>
    <row r="113" spans="2:8" ht="21" hidden="1" customHeight="1" x14ac:dyDescent="0.3">
      <c r="B113" s="2">
        <v>45379</v>
      </c>
      <c r="C113" s="6">
        <v>50</v>
      </c>
      <c r="D113" s="10">
        <v>40.5</v>
      </c>
      <c r="E113" s="10">
        <v>41</v>
      </c>
      <c r="F113" s="9">
        <f>IF(Tablo1456[[#This Row],[SATIŞ]]=0,"Açık",(E113-D113)*C113)</f>
        <v>25</v>
      </c>
      <c r="G113" s="11">
        <f>Tablo1456[[#This Row],[ADET]]*Tablo1456[[#This Row],[ALIŞ]]</f>
        <v>2025</v>
      </c>
      <c r="H113" s="11">
        <f>Tablo1456[[#This Row],[ADET]]*Tablo1456[[#This Row],[SATIŞ]]</f>
        <v>2050</v>
      </c>
    </row>
    <row r="114" spans="2:8" ht="21" hidden="1" customHeight="1" x14ac:dyDescent="0.3">
      <c r="B114" s="2">
        <v>45379</v>
      </c>
      <c r="C114" s="6">
        <v>50</v>
      </c>
      <c r="D114" s="10">
        <v>40.5</v>
      </c>
      <c r="E114" s="10">
        <v>41</v>
      </c>
      <c r="F114" s="9">
        <f>IF(Tablo1456[[#This Row],[SATIŞ]]=0,"Açık",(E114-D114)*C114)</f>
        <v>25</v>
      </c>
      <c r="G114" s="11">
        <f>Tablo1456[[#This Row],[ADET]]*Tablo1456[[#This Row],[ALIŞ]]</f>
        <v>2025</v>
      </c>
      <c r="H114" s="11">
        <f>Tablo1456[[#This Row],[ADET]]*Tablo1456[[#This Row],[SATIŞ]]</f>
        <v>2050</v>
      </c>
    </row>
    <row r="115" spans="2:8" ht="21" hidden="1" customHeight="1" x14ac:dyDescent="0.3">
      <c r="B115" s="2">
        <v>45380</v>
      </c>
      <c r="C115" s="6">
        <v>50</v>
      </c>
      <c r="D115" s="10">
        <v>40</v>
      </c>
      <c r="E115" s="10">
        <v>40.5</v>
      </c>
      <c r="F115" s="9">
        <f>IF(Tablo1456[[#This Row],[SATIŞ]]=0,"Açık",(E115-D115)*C115)</f>
        <v>25</v>
      </c>
      <c r="G115" s="11">
        <f>Tablo1456[[#This Row],[ADET]]*Tablo1456[[#This Row],[ALIŞ]]</f>
        <v>2000</v>
      </c>
      <c r="H115" s="11">
        <f>Tablo1456[[#This Row],[ADET]]*Tablo1456[[#This Row],[SATIŞ]]</f>
        <v>2025</v>
      </c>
    </row>
    <row r="116" spans="2:8" ht="21" hidden="1" customHeight="1" x14ac:dyDescent="0.3">
      <c r="B116" s="2">
        <v>45380</v>
      </c>
      <c r="C116" s="6">
        <v>50</v>
      </c>
      <c r="D116" s="10">
        <v>40</v>
      </c>
      <c r="E116" s="10">
        <v>41</v>
      </c>
      <c r="F116" s="9">
        <f>IF(Tablo1456[[#This Row],[SATIŞ]]=0,"Açık",(E116-D116)*C116)</f>
        <v>50</v>
      </c>
      <c r="G116" s="11">
        <f>Tablo1456[[#This Row],[ADET]]*Tablo1456[[#This Row],[ALIŞ]]</f>
        <v>2000</v>
      </c>
      <c r="H116" s="11">
        <f>Tablo1456[[#This Row],[ADET]]*Tablo1456[[#This Row],[SATIŞ]]</f>
        <v>2050</v>
      </c>
    </row>
    <row r="117" spans="2:8" ht="21" hidden="1" customHeight="1" x14ac:dyDescent="0.3">
      <c r="B117" s="2">
        <v>45383</v>
      </c>
      <c r="C117" s="6">
        <v>50</v>
      </c>
      <c r="D117" s="10">
        <v>40</v>
      </c>
      <c r="E117" s="10">
        <v>41</v>
      </c>
      <c r="F117" s="9">
        <f>IF(Tablo1456[[#This Row],[SATIŞ]]=0,"Açık",(E117-D117)*C117)</f>
        <v>50</v>
      </c>
      <c r="G117" s="11">
        <f>Tablo1456[[#This Row],[ADET]]*Tablo1456[[#This Row],[ALIŞ]]</f>
        <v>2000</v>
      </c>
      <c r="H117" s="11">
        <f>Tablo1456[[#This Row],[ADET]]*Tablo1456[[#This Row],[SATIŞ]]</f>
        <v>2050</v>
      </c>
    </row>
    <row r="118" spans="2:8" ht="21" hidden="1" customHeight="1" x14ac:dyDescent="0.3">
      <c r="B118" s="2">
        <v>45383</v>
      </c>
      <c r="C118" s="6">
        <v>50</v>
      </c>
      <c r="D118" s="10">
        <v>40</v>
      </c>
      <c r="E118" s="10">
        <v>40.5</v>
      </c>
      <c r="F118" s="9">
        <f>IF(Tablo1456[[#This Row],[SATIŞ]]=0,"Açık",(E118-D118)*C118)</f>
        <v>25</v>
      </c>
      <c r="G118" s="11">
        <f>Tablo1456[[#This Row],[ADET]]*Tablo1456[[#This Row],[ALIŞ]]</f>
        <v>2000</v>
      </c>
      <c r="H118" s="11">
        <f>Tablo1456[[#This Row],[ADET]]*Tablo1456[[#This Row],[SATIŞ]]</f>
        <v>2025</v>
      </c>
    </row>
    <row r="119" spans="2:8" ht="21" hidden="1" customHeight="1" x14ac:dyDescent="0.3">
      <c r="B119" s="2">
        <v>45383</v>
      </c>
      <c r="C119" s="6">
        <v>50</v>
      </c>
      <c r="D119" s="10">
        <v>39</v>
      </c>
      <c r="E119" s="10">
        <v>39.5</v>
      </c>
      <c r="F119" s="9">
        <f>IF(Tablo1456[[#This Row],[SATIŞ]]=0,"Açık",(E119-D119)*C119)</f>
        <v>25</v>
      </c>
      <c r="G119" s="11">
        <f>Tablo1456[[#This Row],[ADET]]*Tablo1456[[#This Row],[ALIŞ]]</f>
        <v>1950</v>
      </c>
      <c r="H119" s="11">
        <f>Tablo1456[[#This Row],[ADET]]*Tablo1456[[#This Row],[SATIŞ]]</f>
        <v>1975</v>
      </c>
    </row>
    <row r="120" spans="2:8" ht="21" hidden="1" customHeight="1" x14ac:dyDescent="0.3">
      <c r="B120" s="2">
        <v>45383</v>
      </c>
      <c r="C120" s="6">
        <v>50</v>
      </c>
      <c r="D120" s="10">
        <v>39</v>
      </c>
      <c r="E120" s="10">
        <v>39.5</v>
      </c>
      <c r="F120" s="9">
        <f>IF(Tablo1456[[#This Row],[SATIŞ]]=0,"Açık",(E120-D120)*C120)</f>
        <v>25</v>
      </c>
      <c r="G120" s="11">
        <f>Tablo1456[[#This Row],[ADET]]*Tablo1456[[#This Row],[ALIŞ]]</f>
        <v>1950</v>
      </c>
      <c r="H120" s="11">
        <f>Tablo1456[[#This Row],[ADET]]*Tablo1456[[#This Row],[SATIŞ]]</f>
        <v>1975</v>
      </c>
    </row>
    <row r="121" spans="2:8" ht="21" hidden="1" customHeight="1" x14ac:dyDescent="0.3">
      <c r="B121" s="2">
        <v>45383</v>
      </c>
      <c r="C121" s="6">
        <v>50</v>
      </c>
      <c r="D121" s="10">
        <v>38</v>
      </c>
      <c r="E121" s="10">
        <v>39.299999999999997</v>
      </c>
      <c r="F121" s="9">
        <f>IF(Tablo1456[[#This Row],[SATIŞ]]=0,"Açık",(E121-D121)*C121)</f>
        <v>64.999999999999858</v>
      </c>
      <c r="G121" s="11">
        <f>Tablo1456[[#This Row],[ADET]]*Tablo1456[[#This Row],[ALIŞ]]</f>
        <v>1900</v>
      </c>
      <c r="H121" s="11">
        <f>Tablo1456[[#This Row],[ADET]]*Tablo1456[[#This Row],[SATIŞ]]</f>
        <v>1964.9999999999998</v>
      </c>
    </row>
    <row r="122" spans="2:8" ht="21" hidden="1" customHeight="1" x14ac:dyDescent="0.3">
      <c r="B122" s="2">
        <v>45383</v>
      </c>
      <c r="C122" s="6">
        <v>50</v>
      </c>
      <c r="D122" s="10">
        <v>38</v>
      </c>
      <c r="E122" s="10">
        <v>39.5</v>
      </c>
      <c r="F122" s="9">
        <f>IF(Tablo1456[[#This Row],[SATIŞ]]=0,"Açık",(E122-D122)*C122)</f>
        <v>75</v>
      </c>
      <c r="G122" s="11">
        <f>Tablo1456[[#This Row],[ADET]]*Tablo1456[[#This Row],[ALIŞ]]</f>
        <v>1900</v>
      </c>
      <c r="H122" s="11">
        <f>Tablo1456[[#This Row],[ADET]]*Tablo1456[[#This Row],[SATIŞ]]</f>
        <v>1975</v>
      </c>
    </row>
    <row r="123" spans="2:8" ht="21" hidden="1" customHeight="1" x14ac:dyDescent="0.3">
      <c r="B123" s="2">
        <v>45384</v>
      </c>
      <c r="C123" s="6">
        <v>50</v>
      </c>
      <c r="D123" s="10">
        <v>39</v>
      </c>
      <c r="E123" s="10">
        <v>39.5</v>
      </c>
      <c r="F123" s="9">
        <f>IF(Tablo1456[[#This Row],[SATIŞ]]=0,"Açık",(E123-D123)*C123)</f>
        <v>25</v>
      </c>
      <c r="G123" s="11">
        <f>Tablo1456[[#This Row],[ADET]]*Tablo1456[[#This Row],[ALIŞ]]</f>
        <v>1950</v>
      </c>
      <c r="H123" s="11">
        <f>Tablo1456[[#This Row],[ADET]]*Tablo1456[[#This Row],[SATIŞ]]</f>
        <v>1975</v>
      </c>
    </row>
    <row r="124" spans="2:8" ht="21" hidden="1" customHeight="1" x14ac:dyDescent="0.3">
      <c r="B124" s="2">
        <v>45387</v>
      </c>
      <c r="C124" s="6">
        <v>50</v>
      </c>
      <c r="D124" s="10">
        <v>39</v>
      </c>
      <c r="E124" s="10">
        <v>40</v>
      </c>
      <c r="F124" s="9">
        <f>IF(Tablo1456[[#This Row],[SATIŞ]]=0,"Açık",(E124-D124)*C124)</f>
        <v>50</v>
      </c>
      <c r="G124" s="11">
        <f>Tablo1456[[#This Row],[ADET]]*Tablo1456[[#This Row],[ALIŞ]]</f>
        <v>1950</v>
      </c>
      <c r="H124" s="11">
        <f>Tablo1456[[#This Row],[ADET]]*Tablo1456[[#This Row],[SATIŞ]]</f>
        <v>2000</v>
      </c>
    </row>
    <row r="125" spans="2:8" ht="21" hidden="1" customHeight="1" x14ac:dyDescent="0.3">
      <c r="B125" s="2">
        <v>45387</v>
      </c>
      <c r="C125" s="6">
        <v>200</v>
      </c>
      <c r="D125" s="10">
        <v>40.159999999999997</v>
      </c>
      <c r="E125" s="10">
        <v>40.35</v>
      </c>
      <c r="F125" s="9">
        <f>IF(Tablo1456[[#This Row],[SATIŞ]]=0,"Açık",(E125-D125)*C125)</f>
        <v>38.000000000000966</v>
      </c>
      <c r="G125" s="11">
        <f>Tablo1456[[#This Row],[ADET]]*Tablo1456[[#This Row],[ALIŞ]]</f>
        <v>8031.9999999999991</v>
      </c>
      <c r="H125" s="11">
        <f>Tablo1456[[#This Row],[ADET]]*Tablo1456[[#This Row],[SATIŞ]]</f>
        <v>8070</v>
      </c>
    </row>
    <row r="126" spans="2:8" ht="21" hidden="1" customHeight="1" x14ac:dyDescent="0.3">
      <c r="B126" s="2">
        <v>45387</v>
      </c>
      <c r="C126" s="6">
        <v>100</v>
      </c>
      <c r="D126" s="10">
        <v>40.18</v>
      </c>
      <c r="E126" s="10">
        <v>41.2</v>
      </c>
      <c r="F126" s="9">
        <f>IF(Tablo1456[[#This Row],[SATIŞ]]=0,"Açık",(E126-D126)*C126)</f>
        <v>102.00000000000031</v>
      </c>
      <c r="G126" s="11">
        <f>Tablo1456[[#This Row],[ADET]]*Tablo1456[[#This Row],[ALIŞ]]</f>
        <v>4018</v>
      </c>
      <c r="H126" s="11">
        <f>Tablo1456[[#This Row],[ADET]]*Tablo1456[[#This Row],[SATIŞ]]</f>
        <v>4120</v>
      </c>
    </row>
    <row r="127" spans="2:8" ht="21" hidden="1" customHeight="1" x14ac:dyDescent="0.3">
      <c r="B127" s="2">
        <v>45387</v>
      </c>
      <c r="C127" s="6">
        <v>100</v>
      </c>
      <c r="D127" s="10">
        <v>40.14</v>
      </c>
      <c r="E127" s="10">
        <v>40.5</v>
      </c>
      <c r="F127" s="9">
        <f>IF(Tablo1456[[#This Row],[SATIŞ]]=0,"Açık",(E127-D127)*C127)</f>
        <v>35.999999999999943</v>
      </c>
      <c r="G127" s="11">
        <f>Tablo1456[[#This Row],[ADET]]*Tablo1456[[#This Row],[ALIŞ]]</f>
        <v>4014</v>
      </c>
      <c r="H127" s="11">
        <f>Tablo1456[[#This Row],[ADET]]*Tablo1456[[#This Row],[SATIŞ]]</f>
        <v>4050</v>
      </c>
    </row>
    <row r="128" spans="2:8" ht="21" hidden="1" customHeight="1" x14ac:dyDescent="0.3">
      <c r="B128" s="2">
        <v>45387</v>
      </c>
      <c r="C128" s="6">
        <v>100</v>
      </c>
      <c r="D128" s="10">
        <v>40.119999999999997</v>
      </c>
      <c r="E128" s="10">
        <v>40.6</v>
      </c>
      <c r="F128" s="9">
        <f>IF(Tablo1456[[#This Row],[SATIŞ]]=0,"Açık",(E128-D128)*C128)</f>
        <v>48.000000000000398</v>
      </c>
      <c r="G128" s="11">
        <f>Tablo1456[[#This Row],[ADET]]*Tablo1456[[#This Row],[ALIŞ]]</f>
        <v>4011.9999999999995</v>
      </c>
      <c r="H128" s="11">
        <f>Tablo1456[[#This Row],[ADET]]*Tablo1456[[#This Row],[SATIŞ]]</f>
        <v>4060</v>
      </c>
    </row>
    <row r="129" spans="2:8" ht="21" hidden="1" customHeight="1" x14ac:dyDescent="0.3">
      <c r="B129" s="2">
        <v>45387</v>
      </c>
      <c r="C129" s="6">
        <v>100</v>
      </c>
      <c r="D129" s="10">
        <v>40.1</v>
      </c>
      <c r="E129" s="10">
        <v>40.700000000000003</v>
      </c>
      <c r="F129" s="9">
        <f>IF(Tablo1456[[#This Row],[SATIŞ]]=0,"Açık",(E129-D129)*C129)</f>
        <v>60.000000000000142</v>
      </c>
      <c r="G129" s="11">
        <f>Tablo1456[[#This Row],[ADET]]*Tablo1456[[#This Row],[ALIŞ]]</f>
        <v>4010</v>
      </c>
      <c r="H129" s="11">
        <f>Tablo1456[[#This Row],[ADET]]*Tablo1456[[#This Row],[SATIŞ]]</f>
        <v>4070.0000000000005</v>
      </c>
    </row>
    <row r="130" spans="2:8" ht="21" hidden="1" customHeight="1" x14ac:dyDescent="0.3">
      <c r="B130" s="2">
        <v>45387</v>
      </c>
      <c r="C130" s="6">
        <v>100</v>
      </c>
      <c r="D130" s="10">
        <v>40.08</v>
      </c>
      <c r="E130" s="10">
        <v>40.799999999999997</v>
      </c>
      <c r="F130" s="9">
        <f>IF(Tablo1456[[#This Row],[SATIŞ]]=0,"Açık",(E130-D130)*C130)</f>
        <v>71.999999999999886</v>
      </c>
      <c r="G130" s="11">
        <f>Tablo1456[[#This Row],[ADET]]*Tablo1456[[#This Row],[ALIŞ]]</f>
        <v>4008</v>
      </c>
      <c r="H130" s="11">
        <f>Tablo1456[[#This Row],[ADET]]*Tablo1456[[#This Row],[SATIŞ]]</f>
        <v>4079.9999999999995</v>
      </c>
    </row>
    <row r="131" spans="2:8" ht="21" hidden="1" customHeight="1" x14ac:dyDescent="0.3">
      <c r="B131" s="2">
        <v>45387</v>
      </c>
      <c r="C131" s="6">
        <v>100</v>
      </c>
      <c r="D131" s="10">
        <v>40.06</v>
      </c>
      <c r="E131" s="10">
        <v>40.9</v>
      </c>
      <c r="F131" s="9">
        <f>IF(Tablo1456[[#This Row],[SATIŞ]]=0,"Açık",(E131-D131)*C131)</f>
        <v>83.999999999999631</v>
      </c>
      <c r="G131" s="11">
        <f>Tablo1456[[#This Row],[ADET]]*Tablo1456[[#This Row],[ALIŞ]]</f>
        <v>4006</v>
      </c>
      <c r="H131" s="11">
        <f>Tablo1456[[#This Row],[ADET]]*Tablo1456[[#This Row],[SATIŞ]]</f>
        <v>4090</v>
      </c>
    </row>
    <row r="132" spans="2:8" ht="21" hidden="1" customHeight="1" x14ac:dyDescent="0.3">
      <c r="B132" s="2">
        <v>45387</v>
      </c>
      <c r="C132" s="6">
        <v>100</v>
      </c>
      <c r="D132" s="10">
        <v>40.04</v>
      </c>
      <c r="E132" s="10">
        <v>41</v>
      </c>
      <c r="F132" s="9">
        <f>IF(Tablo1456[[#This Row],[SATIŞ]]=0,"Açık",(E132-D132)*C132)</f>
        <v>96.000000000000085</v>
      </c>
      <c r="G132" s="11">
        <f>Tablo1456[[#This Row],[ADET]]*Tablo1456[[#This Row],[ALIŞ]]</f>
        <v>4004</v>
      </c>
      <c r="H132" s="11">
        <f>Tablo1456[[#This Row],[ADET]]*Tablo1456[[#This Row],[SATIŞ]]</f>
        <v>4100</v>
      </c>
    </row>
    <row r="133" spans="2:8" ht="21" hidden="1" customHeight="1" x14ac:dyDescent="0.3">
      <c r="B133" s="2">
        <v>45387</v>
      </c>
      <c r="C133" s="6">
        <v>100</v>
      </c>
      <c r="D133" s="10">
        <v>40.020000000000003</v>
      </c>
      <c r="E133" s="10">
        <v>40.700000000000003</v>
      </c>
      <c r="F133" s="9">
        <f>IF(Tablo1456[[#This Row],[SATIŞ]]=0,"Açık",(E133-D133)*C133)</f>
        <v>67.999999999999972</v>
      </c>
      <c r="G133" s="11">
        <f>Tablo1456[[#This Row],[ADET]]*Tablo1456[[#This Row],[ALIŞ]]</f>
        <v>4002.0000000000005</v>
      </c>
      <c r="H133" s="11">
        <f>Tablo1456[[#This Row],[ADET]]*Tablo1456[[#This Row],[SATIŞ]]</f>
        <v>4070.0000000000005</v>
      </c>
    </row>
    <row r="134" spans="2:8" ht="21" hidden="1" customHeight="1" x14ac:dyDescent="0.3">
      <c r="B134" s="2">
        <v>45387</v>
      </c>
      <c r="C134" s="6">
        <v>100</v>
      </c>
      <c r="D134" s="10">
        <v>40</v>
      </c>
      <c r="E134" s="10">
        <v>40.200000000000003</v>
      </c>
      <c r="F134" s="9">
        <f>IF(Tablo1456[[#This Row],[SATIŞ]]=0,"Açık",(E134-D134)*C134)</f>
        <v>20.000000000000284</v>
      </c>
      <c r="G134" s="11">
        <f>Tablo1456[[#This Row],[ADET]]*Tablo1456[[#This Row],[ALIŞ]]</f>
        <v>4000</v>
      </c>
      <c r="H134" s="11">
        <f>Tablo1456[[#This Row],[ADET]]*Tablo1456[[#This Row],[SATIŞ]]</f>
        <v>4020.0000000000005</v>
      </c>
    </row>
    <row r="135" spans="2:8" ht="21" hidden="1" customHeight="1" x14ac:dyDescent="0.3">
      <c r="B135" s="2">
        <v>45398</v>
      </c>
      <c r="C135" s="6">
        <v>50</v>
      </c>
      <c r="D135" s="10">
        <v>46</v>
      </c>
      <c r="E135" s="10">
        <v>47</v>
      </c>
      <c r="F135" s="9">
        <f>IF(Tablo1456[[#This Row],[SATIŞ]]=0,"Açık",(E135-D135)*C135)</f>
        <v>50</v>
      </c>
      <c r="G135" s="11">
        <f>Tablo1456[[#This Row],[ADET]]*Tablo1456[[#This Row],[ALIŞ]]</f>
        <v>2300</v>
      </c>
      <c r="H135" s="11">
        <f>Tablo1456[[#This Row],[ADET]]*Tablo1456[[#This Row],[SATIŞ]]</f>
        <v>2350</v>
      </c>
    </row>
    <row r="136" spans="2:8" ht="21" hidden="1" customHeight="1" x14ac:dyDescent="0.3">
      <c r="B136" s="2">
        <v>45398</v>
      </c>
      <c r="C136" s="6">
        <v>50</v>
      </c>
      <c r="D136" s="10">
        <v>46</v>
      </c>
      <c r="E136" s="10">
        <v>46.5</v>
      </c>
      <c r="F136" s="9">
        <f>IF(Tablo1456[[#This Row],[SATIŞ]]=0,"Açık",(E136-D136)*C136)</f>
        <v>25</v>
      </c>
      <c r="G136" s="11">
        <f>Tablo1456[[#This Row],[ADET]]*Tablo1456[[#This Row],[ALIŞ]]</f>
        <v>2300</v>
      </c>
      <c r="H136" s="11">
        <f>Tablo1456[[#This Row],[ADET]]*Tablo1456[[#This Row],[SATIŞ]]</f>
        <v>2325</v>
      </c>
    </row>
    <row r="137" spans="2:8" ht="21" hidden="1" customHeight="1" x14ac:dyDescent="0.3">
      <c r="B137" s="2">
        <v>45398</v>
      </c>
      <c r="C137" s="6">
        <v>50</v>
      </c>
      <c r="D137" s="10">
        <v>45</v>
      </c>
      <c r="E137" s="10">
        <v>45.66</v>
      </c>
      <c r="F137" s="9">
        <f>IF(Tablo1456[[#This Row],[SATIŞ]]=0,"Açık",(E137-D137)*C137)</f>
        <v>32.999999999999829</v>
      </c>
      <c r="G137" s="11">
        <f>Tablo1456[[#This Row],[ADET]]*Tablo1456[[#This Row],[ALIŞ]]</f>
        <v>2250</v>
      </c>
      <c r="H137" s="11">
        <f>Tablo1456[[#This Row],[ADET]]*Tablo1456[[#This Row],[SATIŞ]]</f>
        <v>2283</v>
      </c>
    </row>
    <row r="138" spans="2:8" ht="21" hidden="1" customHeight="1" x14ac:dyDescent="0.3">
      <c r="B138" s="2">
        <v>45398</v>
      </c>
      <c r="C138" s="6">
        <v>50</v>
      </c>
      <c r="D138" s="10">
        <v>45</v>
      </c>
      <c r="E138" s="10">
        <v>46</v>
      </c>
      <c r="F138" s="9">
        <f>IF(Tablo1456[[#This Row],[SATIŞ]]=0,"Açık",(E138-D138)*C138)</f>
        <v>50</v>
      </c>
      <c r="G138" s="11">
        <f>Tablo1456[[#This Row],[ADET]]*Tablo1456[[#This Row],[ALIŞ]]</f>
        <v>2250</v>
      </c>
      <c r="H138" s="11">
        <f>Tablo1456[[#This Row],[ADET]]*Tablo1456[[#This Row],[SATIŞ]]</f>
        <v>2300</v>
      </c>
    </row>
    <row r="139" spans="2:8" ht="21" hidden="1" customHeight="1" x14ac:dyDescent="0.3">
      <c r="B139" s="2">
        <v>45400</v>
      </c>
      <c r="C139" s="6">
        <v>50</v>
      </c>
      <c r="D139" s="10">
        <v>47.5</v>
      </c>
      <c r="E139" s="10">
        <v>48</v>
      </c>
      <c r="F139" s="9">
        <f>IF(Tablo1456[[#This Row],[SATIŞ]]=0,"Açık",(E139-D139)*C139)</f>
        <v>25</v>
      </c>
      <c r="G139" s="11">
        <f>Tablo1456[[#This Row],[ADET]]*Tablo1456[[#This Row],[ALIŞ]]</f>
        <v>2375</v>
      </c>
      <c r="H139" s="11">
        <f>Tablo1456[[#This Row],[ADET]]*Tablo1456[[#This Row],[SATIŞ]]</f>
        <v>2400</v>
      </c>
    </row>
    <row r="140" spans="2:8" ht="21" hidden="1" customHeight="1" x14ac:dyDescent="0.3">
      <c r="B140" s="2">
        <v>45400</v>
      </c>
      <c r="C140" s="6">
        <v>50</v>
      </c>
      <c r="D140" s="10">
        <v>47.5</v>
      </c>
      <c r="E140" s="10">
        <v>48</v>
      </c>
      <c r="F140" s="9">
        <f>IF(Tablo1456[[#This Row],[SATIŞ]]=0,"Açık",(E140-D140)*C140)</f>
        <v>25</v>
      </c>
      <c r="G140" s="11">
        <f>Tablo1456[[#This Row],[ADET]]*Tablo1456[[#This Row],[ALIŞ]]</f>
        <v>2375</v>
      </c>
      <c r="H140" s="11">
        <f>Tablo1456[[#This Row],[ADET]]*Tablo1456[[#This Row],[SATIŞ]]</f>
        <v>2400</v>
      </c>
    </row>
    <row r="141" spans="2:8" ht="21" hidden="1" customHeight="1" x14ac:dyDescent="0.3">
      <c r="B141" s="2">
        <v>45401</v>
      </c>
      <c r="C141" s="6">
        <v>50</v>
      </c>
      <c r="D141" s="10">
        <v>48.9</v>
      </c>
      <c r="E141" s="10">
        <v>49</v>
      </c>
      <c r="F141" s="9">
        <f>IF(Tablo1456[[#This Row],[SATIŞ]]=0,"Açık",(E141-D141)*C141)</f>
        <v>5.0000000000000711</v>
      </c>
      <c r="G141" s="11">
        <f>Tablo1456[[#This Row],[ADET]]*Tablo1456[[#This Row],[ALIŞ]]</f>
        <v>2445</v>
      </c>
      <c r="H141" s="11">
        <f>Tablo1456[[#This Row],[ADET]]*Tablo1456[[#This Row],[SATIŞ]]</f>
        <v>2450</v>
      </c>
    </row>
    <row r="148" spans="11:11" ht="21" customHeight="1" x14ac:dyDescent="0.3">
      <c r="K148">
        <f>350*0.2</f>
        <v>70</v>
      </c>
    </row>
  </sheetData>
  <conditionalFormatting sqref="B4:F141">
    <cfRule type="expression" dxfId="191" priority="1">
      <formula>$F4&lt;0</formula>
    </cfRule>
    <cfRule type="expression" dxfId="190" priority="2">
      <formula>$F4="Açık"</formula>
    </cfRule>
    <cfRule type="expression" dxfId="189" priority="3">
      <formula>$F4&gt;0</formula>
    </cfRule>
  </conditionalFormatting>
  <hyperlinks>
    <hyperlink ref="B1" location="İcmal!A1" display="ANA SAYFA" xr:uid="{ABE532F9-AF0B-46BD-BF4C-40399CE61C6A}"/>
  </hyperlink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E2D4D-36AD-440E-96BF-1E97930CA1B6}">
  <sheetPr>
    <tabColor rgb="FFFFABAB"/>
  </sheetPr>
  <dimension ref="B1:R65"/>
  <sheetViews>
    <sheetView showGridLines="0" showZeros="0" workbookViewId="0">
      <pane ySplit="3" topLeftCell="A41" activePane="bottomLeft" state="frozen"/>
      <selection pane="bottomLeft" activeCell="E65" sqref="E65"/>
    </sheetView>
  </sheetViews>
  <sheetFormatPr defaultRowHeight="21" customHeight="1" x14ac:dyDescent="0.3"/>
  <cols>
    <col min="2" max="2" width="20.6640625" style="1" customWidth="1"/>
    <col min="3" max="3" width="11.33203125" style="6" customWidth="1"/>
    <col min="4" max="5" width="12.88671875" style="3" customWidth="1"/>
    <col min="6" max="6" width="12.88671875" style="5" customWidth="1"/>
    <col min="7" max="7" width="12.44140625" bestFit="1" customWidth="1"/>
    <col min="8" max="8" width="13.6640625" bestFit="1" customWidth="1"/>
    <col min="10" max="10" width="11.109375" bestFit="1" customWidth="1"/>
    <col min="11" max="11" width="9.5546875" bestFit="1" customWidth="1"/>
    <col min="12" max="13" width="11.33203125" bestFit="1" customWidth="1"/>
    <col min="14" max="14" width="10.33203125" bestFit="1" customWidth="1"/>
  </cols>
  <sheetData>
    <row r="1" spans="2:18" ht="21" customHeight="1" x14ac:dyDescent="0.3">
      <c r="B1" s="12" t="s">
        <v>64</v>
      </c>
      <c r="C1" s="4">
        <f>SUMIF(Tablo14567[KAR],"Açık",Tablo14567[ADET])</f>
        <v>450</v>
      </c>
      <c r="D1" s="10">
        <f>+İcmal!E9</f>
        <v>46</v>
      </c>
      <c r="E1" s="10">
        <f>C1*D1</f>
        <v>20700</v>
      </c>
      <c r="F1" s="10">
        <f>IFERROR(((SUM(Tablo14567[ALIŞ TUTAR])-SUM(Tablo14567[SATIŞ TUTAR]))/C1),"")</f>
        <v>36.361528888888941</v>
      </c>
      <c r="G1" s="10">
        <f>IF(M3=0,L3,C1*(D1-F1))</f>
        <v>4337.3119999999763</v>
      </c>
      <c r="J1" s="45" t="s">
        <v>94</v>
      </c>
      <c r="K1" s="45" t="s">
        <v>95</v>
      </c>
      <c r="L1" s="45" t="s">
        <v>96</v>
      </c>
      <c r="M1" s="33">
        <f>F1</f>
        <v>36.361528888888941</v>
      </c>
      <c r="N1" s="8" t="e">
        <f>M1*(1+$J$1)</f>
        <v>#VALUE!</v>
      </c>
      <c r="P1" s="8" t="e">
        <f>Q1*(1-$J$1)</f>
        <v>#VALUE!</v>
      </c>
      <c r="Q1" s="33">
        <f>+D1</f>
        <v>46</v>
      </c>
      <c r="R1" s="8" t="e">
        <f>Q1*(1+$J$1)</f>
        <v>#VALUE!</v>
      </c>
    </row>
    <row r="2" spans="2:18" ht="21" customHeight="1" x14ac:dyDescent="0.3">
      <c r="B2" s="7" t="s">
        <v>16</v>
      </c>
      <c r="J2" s="45">
        <f>SUMIFS(Tablo2[HEDEF2],Tablo2[HİSSE],B2)</f>
        <v>500</v>
      </c>
      <c r="K2" s="45">
        <f>+E1/İcmal!$P$2</f>
        <v>636.33569013218562</v>
      </c>
      <c r="L2" s="45">
        <f>+J2-K2</f>
        <v>-136.33569013218562</v>
      </c>
    </row>
    <row r="3" spans="2:18" ht="21" customHeight="1" x14ac:dyDescent="0.3">
      <c r="B3" s="1" t="s">
        <v>0</v>
      </c>
      <c r="C3" s="6" t="s">
        <v>4</v>
      </c>
      <c r="D3" s="3" t="s">
        <v>1</v>
      </c>
      <c r="E3" s="3" t="s">
        <v>3</v>
      </c>
      <c r="F3" s="5" t="s">
        <v>2</v>
      </c>
      <c r="G3" s="3" t="s">
        <v>8</v>
      </c>
      <c r="H3" s="3" t="s">
        <v>9</v>
      </c>
      <c r="L3" s="33">
        <f>SUM(Tablo14567[KAR])</f>
        <v>5902.311999999999</v>
      </c>
      <c r="M3" s="37">
        <f>C1</f>
        <v>450</v>
      </c>
    </row>
    <row r="4" spans="2:18" ht="21" hidden="1" customHeight="1" x14ac:dyDescent="0.3">
      <c r="B4" s="2">
        <v>45291</v>
      </c>
      <c r="C4" s="6">
        <v>1275</v>
      </c>
      <c r="D4" s="10">
        <v>45.343000000000004</v>
      </c>
      <c r="E4" s="10">
        <v>47.052480000000003</v>
      </c>
      <c r="F4" s="9">
        <f>IF(Tablo14567[[#This Row],[SATIŞ]]=0,"Açık",(E4-D4)*C4)</f>
        <v>2179.5869999999991</v>
      </c>
      <c r="G4" s="11">
        <f>Tablo14567[[#This Row],[ADET]]*Tablo14567[[#This Row],[ALIŞ]]</f>
        <v>57812.325000000004</v>
      </c>
      <c r="H4" s="11">
        <f>Tablo14567[[#This Row],[ADET]]*Tablo14567[[#This Row],[SATIŞ]]</f>
        <v>59991.912000000004</v>
      </c>
      <c r="L4" s="8"/>
      <c r="M4" s="8"/>
      <c r="N4" s="8"/>
    </row>
    <row r="5" spans="2:18" ht="21" hidden="1" customHeight="1" x14ac:dyDescent="0.3">
      <c r="B5" s="2">
        <v>45291</v>
      </c>
      <c r="C5" s="6">
        <v>5</v>
      </c>
      <c r="D5" s="10">
        <v>45.343000000000004</v>
      </c>
      <c r="E5" s="10">
        <v>36.799999999999997</v>
      </c>
      <c r="F5" s="9">
        <f>IF(Tablo14567[[#This Row],[SATIŞ]]=0,"Açık",(E5-D5)*C5)</f>
        <v>-42.715000000000032</v>
      </c>
      <c r="G5" s="11">
        <f>Tablo14567[[#This Row],[ADET]]*Tablo14567[[#This Row],[ALIŞ]]</f>
        <v>226.71500000000003</v>
      </c>
      <c r="H5" s="11">
        <f>Tablo14567[[#This Row],[ADET]]*Tablo14567[[#This Row],[SATIŞ]]</f>
        <v>184</v>
      </c>
      <c r="N5">
        <f>+N4/80</f>
        <v>0</v>
      </c>
    </row>
    <row r="6" spans="2:18" ht="21" hidden="1" customHeight="1" x14ac:dyDescent="0.3">
      <c r="B6" s="2">
        <v>45291</v>
      </c>
      <c r="C6" s="6">
        <v>5</v>
      </c>
      <c r="D6" s="10">
        <v>45.343000000000004</v>
      </c>
      <c r="E6" s="10">
        <v>37.1</v>
      </c>
      <c r="F6" s="9">
        <f>IF(Tablo14567[[#This Row],[SATIŞ]]=0,"Açık",(E6-D6)*C6)</f>
        <v>-41.215000000000011</v>
      </c>
      <c r="G6" s="11">
        <f>Tablo14567[[#This Row],[ADET]]*Tablo14567[[#This Row],[ALIŞ]]</f>
        <v>226.71500000000003</v>
      </c>
      <c r="H6" s="11">
        <f>Tablo14567[[#This Row],[ADET]]*Tablo14567[[#This Row],[SATIŞ]]</f>
        <v>185.5</v>
      </c>
    </row>
    <row r="7" spans="2:18" ht="21" hidden="1" customHeight="1" x14ac:dyDescent="0.3">
      <c r="B7" s="2">
        <v>45291</v>
      </c>
      <c r="C7" s="6">
        <v>15</v>
      </c>
      <c r="D7" s="10">
        <v>45.343000000000004</v>
      </c>
      <c r="E7" s="10">
        <v>39.299999999999997</v>
      </c>
      <c r="F7" s="9">
        <f>IF(Tablo14567[[#This Row],[SATIŞ]]=0,"Açık",(E7-D7)*C7)</f>
        <v>-90.645000000000095</v>
      </c>
      <c r="G7" s="11">
        <f>Tablo14567[[#This Row],[ADET]]*Tablo14567[[#This Row],[ALIŞ]]</f>
        <v>680.1450000000001</v>
      </c>
      <c r="H7" s="11">
        <f>Tablo14567[[#This Row],[ADET]]*Tablo14567[[#This Row],[SATIŞ]]</f>
        <v>589.5</v>
      </c>
    </row>
    <row r="8" spans="2:18" ht="21" hidden="1" customHeight="1" x14ac:dyDescent="0.3">
      <c r="B8" s="2">
        <v>45327</v>
      </c>
      <c r="C8" s="6">
        <v>5</v>
      </c>
      <c r="D8" s="10">
        <v>36.5</v>
      </c>
      <c r="E8" s="10">
        <v>37.1</v>
      </c>
      <c r="F8" s="9">
        <f>IF(Tablo14567[[#This Row],[SATIŞ]]=0,"Açık",(E8-D8)*C8)</f>
        <v>3.0000000000000071</v>
      </c>
      <c r="G8" s="11">
        <f>Tablo14567[[#This Row],[ADET]]*Tablo14567[[#This Row],[ALIŞ]]</f>
        <v>182.5</v>
      </c>
      <c r="H8" s="11">
        <f>Tablo14567[[#This Row],[ADET]]*Tablo14567[[#This Row],[SATIŞ]]</f>
        <v>185.5</v>
      </c>
    </row>
    <row r="9" spans="2:18" ht="21" hidden="1" customHeight="1" x14ac:dyDescent="0.3">
      <c r="B9" s="2">
        <v>45327</v>
      </c>
      <c r="C9" s="6">
        <v>1</v>
      </c>
      <c r="D9" s="10">
        <v>36.5</v>
      </c>
      <c r="E9" s="10">
        <v>39</v>
      </c>
      <c r="F9" s="9">
        <f>IF(Tablo14567[[#This Row],[SATIŞ]]=0,"Açık",(E9-D9)*C9)</f>
        <v>2.5</v>
      </c>
      <c r="G9" s="11">
        <f>Tablo14567[[#This Row],[ADET]]*Tablo14567[[#This Row],[ALIŞ]]</f>
        <v>36.5</v>
      </c>
      <c r="H9" s="11">
        <f>Tablo14567[[#This Row],[ADET]]*Tablo14567[[#This Row],[SATIŞ]]</f>
        <v>39</v>
      </c>
    </row>
    <row r="10" spans="2:18" ht="21" hidden="1" customHeight="1" x14ac:dyDescent="0.3">
      <c r="B10" s="2">
        <v>45327</v>
      </c>
      <c r="C10" s="6">
        <v>6</v>
      </c>
      <c r="D10" s="10">
        <v>36.799999999999997</v>
      </c>
      <c r="E10" s="10">
        <v>39</v>
      </c>
      <c r="F10" s="9">
        <f>IF(Tablo14567[[#This Row],[SATIŞ]]=0,"Açık",(E10-D10)*C10)</f>
        <v>13.200000000000017</v>
      </c>
      <c r="G10" s="11">
        <f>Tablo14567[[#This Row],[ADET]]*Tablo14567[[#This Row],[ALIŞ]]</f>
        <v>220.79999999999998</v>
      </c>
      <c r="H10" s="11">
        <f>Tablo14567[[#This Row],[ADET]]*Tablo14567[[#This Row],[SATIŞ]]</f>
        <v>234</v>
      </c>
    </row>
    <row r="11" spans="2:18" ht="21" hidden="1" customHeight="1" x14ac:dyDescent="0.3">
      <c r="B11" s="2">
        <v>45328</v>
      </c>
      <c r="C11" s="6">
        <v>35</v>
      </c>
      <c r="D11" s="10">
        <v>39</v>
      </c>
      <c r="E11" s="10">
        <v>42.92</v>
      </c>
      <c r="F11" s="9">
        <f>IF(Tablo14567[[#This Row],[SATIŞ]]=0,"Açık",(E11-D11)*C11)</f>
        <v>137.20000000000005</v>
      </c>
      <c r="G11" s="11">
        <f>Tablo14567[[#This Row],[ADET]]*Tablo14567[[#This Row],[ALIŞ]]</f>
        <v>1365</v>
      </c>
      <c r="H11" s="11">
        <f>Tablo14567[[#This Row],[ADET]]*Tablo14567[[#This Row],[SATIŞ]]</f>
        <v>1502.2</v>
      </c>
    </row>
    <row r="12" spans="2:18" ht="21" hidden="1" customHeight="1" x14ac:dyDescent="0.3">
      <c r="B12" s="2">
        <v>45329</v>
      </c>
      <c r="C12" s="6">
        <v>10</v>
      </c>
      <c r="D12" s="10">
        <v>39.1</v>
      </c>
      <c r="E12" s="10">
        <v>47.2</v>
      </c>
      <c r="F12" s="9">
        <f>IF(Tablo14567[[#This Row],[SATIŞ]]=0,"Açık",(E12-D12)*C12)</f>
        <v>81.000000000000014</v>
      </c>
      <c r="G12" s="11">
        <f>Tablo14567[[#This Row],[ADET]]*Tablo14567[[#This Row],[ALIŞ]]</f>
        <v>391</v>
      </c>
      <c r="H12" s="11">
        <f>Tablo14567[[#This Row],[ADET]]*Tablo14567[[#This Row],[SATIŞ]]</f>
        <v>472</v>
      </c>
    </row>
    <row r="13" spans="2:18" ht="21" hidden="1" customHeight="1" x14ac:dyDescent="0.3">
      <c r="B13" s="2">
        <v>45329</v>
      </c>
      <c r="C13" s="6">
        <v>20</v>
      </c>
      <c r="D13" s="10">
        <v>38.700000000000003</v>
      </c>
      <c r="E13" s="10">
        <v>42.92</v>
      </c>
      <c r="F13" s="9">
        <f>IF(Tablo14567[[#This Row],[SATIŞ]]=0,"Açık",(E13-D13)*C13)</f>
        <v>84.399999999999977</v>
      </c>
      <c r="G13" s="11">
        <f>Tablo14567[[#This Row],[ADET]]*Tablo14567[[#This Row],[ALIŞ]]</f>
        <v>774</v>
      </c>
      <c r="H13" s="11">
        <f>Tablo14567[[#This Row],[ADET]]*Tablo14567[[#This Row],[SATIŞ]]</f>
        <v>858.40000000000009</v>
      </c>
    </row>
    <row r="14" spans="2:18" ht="21" hidden="1" customHeight="1" x14ac:dyDescent="0.3">
      <c r="B14" s="2">
        <v>45329</v>
      </c>
      <c r="C14" s="6">
        <v>45</v>
      </c>
      <c r="D14" s="10">
        <v>38.5</v>
      </c>
      <c r="E14" s="10">
        <v>42.92</v>
      </c>
      <c r="F14" s="9">
        <f>IF(Tablo14567[[#This Row],[SATIŞ]]=0,"Açık",(E14-D14)*C14)</f>
        <v>198.90000000000009</v>
      </c>
      <c r="G14" s="11">
        <f>Tablo14567[[#This Row],[ADET]]*Tablo14567[[#This Row],[ALIŞ]]</f>
        <v>1732.5</v>
      </c>
      <c r="H14" s="11">
        <f>Tablo14567[[#This Row],[ADET]]*Tablo14567[[#This Row],[SATIŞ]]</f>
        <v>1931.4</v>
      </c>
    </row>
    <row r="15" spans="2:18" ht="21" hidden="1" customHeight="1" x14ac:dyDescent="0.3">
      <c r="B15" s="2">
        <v>45329</v>
      </c>
      <c r="C15" s="6">
        <v>5</v>
      </c>
      <c r="D15" s="10">
        <v>38.5</v>
      </c>
      <c r="E15" s="10">
        <v>47.2</v>
      </c>
      <c r="F15" s="9">
        <f>IF(Tablo14567[[#This Row],[SATIŞ]]=0,"Açık",(E15-D15)*C15)</f>
        <v>43.500000000000014</v>
      </c>
      <c r="G15" s="11">
        <f>Tablo14567[[#This Row],[ADET]]*Tablo14567[[#This Row],[ALIŞ]]</f>
        <v>192.5</v>
      </c>
      <c r="H15" s="11">
        <f>Tablo14567[[#This Row],[ADET]]*Tablo14567[[#This Row],[SATIŞ]]</f>
        <v>236</v>
      </c>
    </row>
    <row r="16" spans="2:18" ht="21" hidden="1" customHeight="1" x14ac:dyDescent="0.3">
      <c r="B16" s="2">
        <v>45329</v>
      </c>
      <c r="C16" s="6">
        <v>5</v>
      </c>
      <c r="D16" s="10">
        <v>38.5</v>
      </c>
      <c r="E16" s="10">
        <v>46.82</v>
      </c>
      <c r="F16" s="9">
        <f>IF(Tablo14567[[#This Row],[SATIŞ]]=0,"Açık",(E16-D16)*C16)</f>
        <v>41.6</v>
      </c>
      <c r="G16" s="11">
        <f>Tablo14567[[#This Row],[ADET]]*Tablo14567[[#This Row],[ALIŞ]]</f>
        <v>192.5</v>
      </c>
      <c r="H16" s="11">
        <f>Tablo14567[[#This Row],[ADET]]*Tablo14567[[#This Row],[SATIŞ]]</f>
        <v>234.1</v>
      </c>
    </row>
    <row r="17" spans="2:15" ht="21" hidden="1" customHeight="1" x14ac:dyDescent="0.3">
      <c r="B17" s="2">
        <v>45329</v>
      </c>
      <c r="C17" s="6">
        <v>50</v>
      </c>
      <c r="D17" s="10">
        <v>38.5</v>
      </c>
      <c r="E17" s="10">
        <v>38.200000000000003</v>
      </c>
      <c r="F17" s="9">
        <f>IF(Tablo14567[[#This Row],[SATIŞ]]=0,"Açık",(E17-D17)*C17)</f>
        <v>-14.999999999999858</v>
      </c>
      <c r="G17" s="11">
        <f>Tablo14567[[#This Row],[ADET]]*Tablo14567[[#This Row],[ALIŞ]]</f>
        <v>1925</v>
      </c>
      <c r="H17" s="11">
        <f>Tablo14567[[#This Row],[ADET]]*Tablo14567[[#This Row],[SATIŞ]]</f>
        <v>1910.0000000000002</v>
      </c>
      <c r="O17">
        <f>42.92*1.02</f>
        <v>43.778400000000005</v>
      </c>
    </row>
    <row r="18" spans="2:15" ht="21" hidden="1" customHeight="1" x14ac:dyDescent="0.3">
      <c r="B18" s="2">
        <v>45329</v>
      </c>
      <c r="C18" s="6">
        <v>15</v>
      </c>
      <c r="D18" s="10">
        <v>38.5</v>
      </c>
      <c r="E18" s="10">
        <v>40</v>
      </c>
      <c r="F18" s="9">
        <f>IF(Tablo14567[[#This Row],[SATIŞ]]=0,"Açık",(E18-D18)*C18)</f>
        <v>22.5</v>
      </c>
      <c r="G18" s="11">
        <f>Tablo14567[[#This Row],[ADET]]*Tablo14567[[#This Row],[ALIŞ]]</f>
        <v>577.5</v>
      </c>
      <c r="H18" s="11">
        <f>Tablo14567[[#This Row],[ADET]]*Tablo14567[[#This Row],[SATIŞ]]</f>
        <v>600</v>
      </c>
    </row>
    <row r="19" spans="2:15" ht="21" hidden="1" customHeight="1" x14ac:dyDescent="0.3">
      <c r="B19" s="2">
        <v>45331</v>
      </c>
      <c r="C19" s="6">
        <v>10</v>
      </c>
      <c r="D19" s="10">
        <v>45.1</v>
      </c>
      <c r="E19" s="10">
        <v>47.2</v>
      </c>
      <c r="F19" s="9">
        <f>IF(Tablo14567[[#This Row],[SATIŞ]]=0,"Açık",(E19-D19)*C19)</f>
        <v>21.000000000000014</v>
      </c>
      <c r="G19" s="11">
        <f>Tablo14567[[#This Row],[ADET]]*Tablo14567[[#This Row],[ALIŞ]]</f>
        <v>451</v>
      </c>
      <c r="H19" s="11">
        <f>Tablo14567[[#This Row],[ADET]]*Tablo14567[[#This Row],[SATIŞ]]</f>
        <v>472</v>
      </c>
    </row>
    <row r="20" spans="2:15" ht="21" hidden="1" customHeight="1" x14ac:dyDescent="0.3">
      <c r="B20" s="2">
        <v>45331</v>
      </c>
      <c r="C20" s="6">
        <v>10</v>
      </c>
      <c r="D20" s="10">
        <v>45.8</v>
      </c>
      <c r="E20" s="10">
        <v>54</v>
      </c>
      <c r="F20" s="9">
        <f>IF(Tablo14567[[#This Row],[SATIŞ]]=0,"Açık",(E20-D20)*C20)</f>
        <v>82.000000000000028</v>
      </c>
      <c r="G20" s="11">
        <f>Tablo14567[[#This Row],[ADET]]*Tablo14567[[#This Row],[ALIŞ]]</f>
        <v>458</v>
      </c>
      <c r="H20" s="11">
        <f>Tablo14567[[#This Row],[ADET]]*Tablo14567[[#This Row],[SATIŞ]]</f>
        <v>540</v>
      </c>
    </row>
    <row r="21" spans="2:15" ht="21" hidden="1" customHeight="1" x14ac:dyDescent="0.3">
      <c r="B21" s="2">
        <v>45335</v>
      </c>
      <c r="C21" s="6">
        <v>10</v>
      </c>
      <c r="D21" s="10">
        <v>48</v>
      </c>
      <c r="E21" s="10">
        <v>57</v>
      </c>
      <c r="F21" s="9">
        <f>IF(Tablo14567[[#This Row],[SATIŞ]]=0,"Açık",(E21-D21)*C21)</f>
        <v>90</v>
      </c>
      <c r="G21" s="11">
        <f>Tablo14567[[#This Row],[ADET]]*Tablo14567[[#This Row],[ALIŞ]]</f>
        <v>480</v>
      </c>
      <c r="H21" s="11">
        <f>Tablo14567[[#This Row],[ADET]]*Tablo14567[[#This Row],[SATIŞ]]</f>
        <v>570</v>
      </c>
    </row>
    <row r="22" spans="2:15" ht="21" hidden="1" customHeight="1" x14ac:dyDescent="0.3">
      <c r="B22" s="2">
        <v>45338</v>
      </c>
      <c r="C22" s="6">
        <v>50</v>
      </c>
      <c r="D22" s="10">
        <v>56</v>
      </c>
      <c r="E22" s="10">
        <v>55</v>
      </c>
      <c r="F22" s="9">
        <f>IF(Tablo14567[[#This Row],[SATIŞ]]=0,"Açık",(E22-D22)*C22)</f>
        <v>-50</v>
      </c>
      <c r="G22" s="11">
        <f>Tablo14567[[#This Row],[ADET]]*Tablo14567[[#This Row],[ALIŞ]]</f>
        <v>2800</v>
      </c>
      <c r="H22" s="11">
        <f>Tablo14567[[#This Row],[ADET]]*Tablo14567[[#This Row],[SATIŞ]]</f>
        <v>2750</v>
      </c>
    </row>
    <row r="23" spans="2:15" ht="21" hidden="1" customHeight="1" x14ac:dyDescent="0.3">
      <c r="B23" s="2">
        <v>45338</v>
      </c>
      <c r="C23" s="6">
        <v>50</v>
      </c>
      <c r="D23" s="10">
        <v>55</v>
      </c>
      <c r="E23" s="10">
        <v>55</v>
      </c>
      <c r="F23" s="9">
        <f>IF(Tablo14567[[#This Row],[SATIŞ]]=0,"Açık",(E23-D23)*C23)</f>
        <v>0</v>
      </c>
      <c r="G23" s="11">
        <f>Tablo14567[[#This Row],[ADET]]*Tablo14567[[#This Row],[ALIŞ]]</f>
        <v>2750</v>
      </c>
      <c r="H23" s="11">
        <f>Tablo14567[[#This Row],[ADET]]*Tablo14567[[#This Row],[SATIŞ]]</f>
        <v>2750</v>
      </c>
    </row>
    <row r="24" spans="2:15" ht="21" hidden="1" customHeight="1" x14ac:dyDescent="0.3">
      <c r="B24" s="2">
        <v>45338</v>
      </c>
      <c r="C24" s="6">
        <v>50</v>
      </c>
      <c r="D24" s="10">
        <v>53</v>
      </c>
      <c r="E24" s="10">
        <v>56.5</v>
      </c>
      <c r="F24" s="9">
        <f>IF(Tablo14567[[#This Row],[SATIŞ]]=0,"Açık",(E24-D24)*C24)</f>
        <v>175</v>
      </c>
      <c r="G24" s="11">
        <f>Tablo14567[[#This Row],[ADET]]*Tablo14567[[#This Row],[ALIŞ]]</f>
        <v>2650</v>
      </c>
      <c r="H24" s="11">
        <f>Tablo14567[[#This Row],[ADET]]*Tablo14567[[#This Row],[SATIŞ]]</f>
        <v>2825</v>
      </c>
    </row>
    <row r="25" spans="2:15" ht="21" hidden="1" customHeight="1" x14ac:dyDescent="0.3">
      <c r="B25" s="2">
        <v>45338</v>
      </c>
      <c r="C25" s="6">
        <v>50</v>
      </c>
      <c r="D25" s="10">
        <v>52.65</v>
      </c>
      <c r="E25" s="10">
        <v>55</v>
      </c>
      <c r="F25" s="9">
        <f>IF(Tablo14567[[#This Row],[SATIŞ]]=0,"Açık",(E25-D25)*C25)</f>
        <v>117.50000000000007</v>
      </c>
      <c r="G25" s="11">
        <f>Tablo14567[[#This Row],[ADET]]*Tablo14567[[#This Row],[ALIŞ]]</f>
        <v>2632.5</v>
      </c>
      <c r="H25" s="11">
        <f>Tablo14567[[#This Row],[ADET]]*Tablo14567[[#This Row],[SATIŞ]]</f>
        <v>2750</v>
      </c>
    </row>
    <row r="26" spans="2:15" ht="21" hidden="1" customHeight="1" x14ac:dyDescent="0.3">
      <c r="B26" s="2">
        <v>45341</v>
      </c>
      <c r="C26" s="6">
        <v>100</v>
      </c>
      <c r="D26" s="10">
        <v>51.65</v>
      </c>
      <c r="E26" s="10">
        <v>53</v>
      </c>
      <c r="F26" s="9">
        <f>IF(Tablo14567[[#This Row],[SATIŞ]]=0,"Açık",(E26-D26)*C26)</f>
        <v>135.00000000000014</v>
      </c>
      <c r="G26" s="11">
        <f>Tablo14567[[#This Row],[ADET]]*Tablo14567[[#This Row],[ALIŞ]]</f>
        <v>5165</v>
      </c>
      <c r="H26" s="11">
        <f>Tablo14567[[#This Row],[ADET]]*Tablo14567[[#This Row],[SATIŞ]]</f>
        <v>5300</v>
      </c>
    </row>
    <row r="27" spans="2:15" ht="21" hidden="1" customHeight="1" x14ac:dyDescent="0.3">
      <c r="B27" s="2">
        <v>45344</v>
      </c>
      <c r="C27" s="6">
        <v>100</v>
      </c>
      <c r="D27" s="10">
        <v>50.9</v>
      </c>
      <c r="E27" s="10">
        <v>53</v>
      </c>
      <c r="F27" s="9">
        <f>IF(Tablo14567[[#This Row],[SATIŞ]]=0,"Açık",(E27-D27)*C27)</f>
        <v>210.00000000000014</v>
      </c>
      <c r="G27" s="11">
        <f>Tablo14567[[#This Row],[ADET]]*Tablo14567[[#This Row],[ALIŞ]]</f>
        <v>5090</v>
      </c>
      <c r="H27" s="11">
        <f>Tablo14567[[#This Row],[ADET]]*Tablo14567[[#This Row],[SATIŞ]]</f>
        <v>5300</v>
      </c>
    </row>
    <row r="28" spans="2:15" ht="21" hidden="1" customHeight="1" x14ac:dyDescent="0.3">
      <c r="B28" s="2">
        <v>45345</v>
      </c>
      <c r="C28" s="6">
        <v>50</v>
      </c>
      <c r="D28" s="10">
        <v>54</v>
      </c>
      <c r="E28" s="10">
        <v>54.95</v>
      </c>
      <c r="F28" s="9">
        <f>IF(Tablo14567[[#This Row],[SATIŞ]]=0,"Açık",(E28-D28)*C28)</f>
        <v>47.500000000000142</v>
      </c>
      <c r="G28" s="11">
        <f>Tablo14567[[#This Row],[ADET]]*Tablo14567[[#This Row],[ALIŞ]]</f>
        <v>2700</v>
      </c>
      <c r="H28" s="11">
        <f>Tablo14567[[#This Row],[ADET]]*Tablo14567[[#This Row],[SATIŞ]]</f>
        <v>2747.5</v>
      </c>
    </row>
    <row r="29" spans="2:15" ht="21" hidden="1" customHeight="1" x14ac:dyDescent="0.3">
      <c r="B29" s="2">
        <v>45345</v>
      </c>
      <c r="C29" s="6">
        <v>50</v>
      </c>
      <c r="D29" s="10">
        <v>53</v>
      </c>
      <c r="E29" s="10">
        <v>54</v>
      </c>
      <c r="F29" s="9">
        <f>IF(Tablo14567[[#This Row],[SATIŞ]]=0,"Açık",(E29-D29)*C29)</f>
        <v>50</v>
      </c>
      <c r="G29" s="11">
        <f>Tablo14567[[#This Row],[ADET]]*Tablo14567[[#This Row],[ALIŞ]]</f>
        <v>2650</v>
      </c>
      <c r="H29" s="11">
        <f>Tablo14567[[#This Row],[ADET]]*Tablo14567[[#This Row],[SATIŞ]]</f>
        <v>2700</v>
      </c>
    </row>
    <row r="30" spans="2:15" ht="21" hidden="1" customHeight="1" x14ac:dyDescent="0.3">
      <c r="B30" s="2">
        <v>45345</v>
      </c>
      <c r="C30" s="6">
        <v>50</v>
      </c>
      <c r="D30" s="10">
        <v>53</v>
      </c>
      <c r="E30" s="10">
        <v>54.95</v>
      </c>
      <c r="F30" s="9">
        <f>IF(Tablo14567[[#This Row],[SATIŞ]]=0,"Açık",(E30-D30)*C30)</f>
        <v>97.500000000000142</v>
      </c>
      <c r="G30" s="11">
        <f>Tablo14567[[#This Row],[ADET]]*Tablo14567[[#This Row],[ALIŞ]]</f>
        <v>2650</v>
      </c>
      <c r="H30" s="11">
        <f>Tablo14567[[#This Row],[ADET]]*Tablo14567[[#This Row],[SATIŞ]]</f>
        <v>2747.5</v>
      </c>
    </row>
    <row r="31" spans="2:15" ht="21" hidden="1" customHeight="1" x14ac:dyDescent="0.3">
      <c r="B31" s="2">
        <v>45345</v>
      </c>
      <c r="C31" s="6">
        <v>50</v>
      </c>
      <c r="D31" s="10">
        <v>52</v>
      </c>
      <c r="E31" s="10">
        <v>53</v>
      </c>
      <c r="F31" s="9">
        <f>IF(Tablo14567[[#This Row],[SATIŞ]]=0,"Açık",(E31-D31)*C31)</f>
        <v>50</v>
      </c>
      <c r="G31" s="11">
        <f>Tablo14567[[#This Row],[ADET]]*Tablo14567[[#This Row],[ALIŞ]]</f>
        <v>2600</v>
      </c>
      <c r="H31" s="11">
        <f>Tablo14567[[#This Row],[ADET]]*Tablo14567[[#This Row],[SATIŞ]]</f>
        <v>2650</v>
      </c>
    </row>
    <row r="32" spans="2:15" ht="21" hidden="1" customHeight="1" x14ac:dyDescent="0.3">
      <c r="B32" s="2">
        <v>45345</v>
      </c>
      <c r="C32" s="6">
        <v>50</v>
      </c>
      <c r="D32" s="10">
        <v>52</v>
      </c>
      <c r="E32" s="10">
        <v>54.95</v>
      </c>
      <c r="F32" s="9">
        <f>IF(Tablo14567[[#This Row],[SATIŞ]]=0,"Açık",(E32-D32)*C32)</f>
        <v>147.50000000000014</v>
      </c>
      <c r="G32" s="11">
        <f>Tablo14567[[#This Row],[ADET]]*Tablo14567[[#This Row],[ALIŞ]]</f>
        <v>2600</v>
      </c>
      <c r="H32" s="11">
        <f>Tablo14567[[#This Row],[ADET]]*Tablo14567[[#This Row],[SATIŞ]]</f>
        <v>2747.5</v>
      </c>
    </row>
    <row r="33" spans="2:10" ht="21" hidden="1" customHeight="1" x14ac:dyDescent="0.3">
      <c r="B33" s="2">
        <v>45345</v>
      </c>
      <c r="C33" s="6">
        <v>50</v>
      </c>
      <c r="D33" s="10">
        <v>52</v>
      </c>
      <c r="E33" s="10">
        <v>60.4</v>
      </c>
      <c r="F33" s="9">
        <f>IF(Tablo14567[[#This Row],[SATIŞ]]=0,"Açık",(E33-D33)*C33)</f>
        <v>419.99999999999994</v>
      </c>
      <c r="G33" s="11">
        <f>Tablo14567[[#This Row],[ADET]]*Tablo14567[[#This Row],[ALIŞ]]</f>
        <v>2600</v>
      </c>
      <c r="H33" s="11">
        <f>Tablo14567[[#This Row],[ADET]]*Tablo14567[[#This Row],[SATIŞ]]</f>
        <v>3020</v>
      </c>
    </row>
    <row r="34" spans="2:10" ht="21" hidden="1" customHeight="1" x14ac:dyDescent="0.3">
      <c r="B34" s="2">
        <v>45348</v>
      </c>
      <c r="C34" s="6">
        <v>50</v>
      </c>
      <c r="D34" s="10">
        <v>52</v>
      </c>
      <c r="E34" s="10">
        <v>60.4</v>
      </c>
      <c r="F34" s="9">
        <f>IF(Tablo14567[[#This Row],[SATIŞ]]=0,"Açık",(E34-D34)*C34)</f>
        <v>419.99999999999994</v>
      </c>
      <c r="G34" s="11">
        <f>Tablo14567[[#This Row],[ADET]]*Tablo14567[[#This Row],[ALIŞ]]</f>
        <v>2600</v>
      </c>
      <c r="H34" s="11">
        <f>Tablo14567[[#This Row],[ADET]]*Tablo14567[[#This Row],[SATIŞ]]</f>
        <v>3020</v>
      </c>
    </row>
    <row r="35" spans="2:10" ht="21" hidden="1" customHeight="1" x14ac:dyDescent="0.3">
      <c r="B35" s="2">
        <v>45348</v>
      </c>
      <c r="C35" s="6">
        <v>50</v>
      </c>
      <c r="D35" s="10">
        <v>51</v>
      </c>
      <c r="E35" s="10">
        <v>53</v>
      </c>
      <c r="F35" s="9">
        <f>IF(Tablo14567[[#This Row],[SATIŞ]]=0,"Açık",(E35-D35)*C35)</f>
        <v>100</v>
      </c>
      <c r="G35" s="11">
        <f>Tablo14567[[#This Row],[ADET]]*Tablo14567[[#This Row],[ALIŞ]]</f>
        <v>2550</v>
      </c>
      <c r="H35" s="11">
        <f>Tablo14567[[#This Row],[ADET]]*Tablo14567[[#This Row],[SATIŞ]]</f>
        <v>2650</v>
      </c>
    </row>
    <row r="36" spans="2:10" ht="21" hidden="1" customHeight="1" x14ac:dyDescent="0.3">
      <c r="B36" s="2">
        <v>45348</v>
      </c>
      <c r="C36" s="6">
        <v>50</v>
      </c>
      <c r="D36" s="10">
        <v>51</v>
      </c>
      <c r="E36" s="10">
        <v>52</v>
      </c>
      <c r="F36" s="9">
        <f>IF(Tablo14567[[#This Row],[SATIŞ]]=0,"Açık",(E36-D36)*C36)</f>
        <v>50</v>
      </c>
      <c r="G36" s="11">
        <f>Tablo14567[[#This Row],[ADET]]*Tablo14567[[#This Row],[ALIŞ]]</f>
        <v>2550</v>
      </c>
      <c r="H36" s="11">
        <f>Tablo14567[[#This Row],[ADET]]*Tablo14567[[#This Row],[SATIŞ]]</f>
        <v>2600</v>
      </c>
    </row>
    <row r="37" spans="2:10" ht="21" hidden="1" customHeight="1" x14ac:dyDescent="0.3">
      <c r="B37" s="2">
        <v>45349</v>
      </c>
      <c r="C37" s="6">
        <v>50</v>
      </c>
      <c r="D37" s="10">
        <v>50</v>
      </c>
      <c r="E37" s="10">
        <v>51</v>
      </c>
      <c r="F37" s="9">
        <f>IF(Tablo14567[[#This Row],[SATIŞ]]=0,"Açık",(E37-D37)*C37)</f>
        <v>50</v>
      </c>
      <c r="G37" s="11">
        <f>Tablo14567[[#This Row],[ADET]]*Tablo14567[[#This Row],[ALIŞ]]</f>
        <v>2500</v>
      </c>
      <c r="H37" s="11">
        <f>Tablo14567[[#This Row],[ADET]]*Tablo14567[[#This Row],[SATIŞ]]</f>
        <v>2550</v>
      </c>
    </row>
    <row r="38" spans="2:10" ht="21" hidden="1" customHeight="1" x14ac:dyDescent="0.3">
      <c r="B38" s="2">
        <v>45349</v>
      </c>
      <c r="C38" s="6">
        <v>50</v>
      </c>
      <c r="D38" s="10">
        <v>49</v>
      </c>
      <c r="E38" s="10">
        <v>50</v>
      </c>
      <c r="F38" s="9">
        <f>IF(Tablo14567[[#This Row],[SATIŞ]]=0,"Açık",(E38-D38)*C38)</f>
        <v>50</v>
      </c>
      <c r="G38" s="11">
        <f>Tablo14567[[#This Row],[ADET]]*Tablo14567[[#This Row],[ALIŞ]]</f>
        <v>2450</v>
      </c>
      <c r="H38" s="11">
        <f>Tablo14567[[#This Row],[ADET]]*Tablo14567[[#This Row],[SATIŞ]]</f>
        <v>2500</v>
      </c>
    </row>
    <row r="39" spans="2:10" ht="21" hidden="1" customHeight="1" x14ac:dyDescent="0.3">
      <c r="B39" s="2">
        <v>45350</v>
      </c>
      <c r="C39" s="6">
        <v>50</v>
      </c>
      <c r="D39" s="10">
        <v>49</v>
      </c>
      <c r="E39" s="10">
        <v>50</v>
      </c>
      <c r="F39" s="9">
        <f>IF(Tablo14567[[#This Row],[SATIŞ]]=0,"Açık",(E39-D39)*C39)</f>
        <v>50</v>
      </c>
      <c r="G39" s="11">
        <f>Tablo14567[[#This Row],[ADET]]*Tablo14567[[#This Row],[ALIŞ]]</f>
        <v>2450</v>
      </c>
      <c r="H39" s="11">
        <f>Tablo14567[[#This Row],[ADET]]*Tablo14567[[#This Row],[SATIŞ]]</f>
        <v>2500</v>
      </c>
    </row>
    <row r="40" spans="2:10" ht="21" hidden="1" customHeight="1" x14ac:dyDescent="0.3">
      <c r="B40" s="2">
        <v>45350</v>
      </c>
      <c r="C40" s="6">
        <v>50</v>
      </c>
      <c r="D40" s="10">
        <v>49</v>
      </c>
      <c r="E40" s="10">
        <v>51</v>
      </c>
      <c r="F40" s="9">
        <f>IF(Tablo14567[[#This Row],[SATIŞ]]=0,"Açık",(E40-D40)*C40)</f>
        <v>100</v>
      </c>
      <c r="G40" s="11">
        <f>Tablo14567[[#This Row],[ADET]]*Tablo14567[[#This Row],[ALIŞ]]</f>
        <v>2450</v>
      </c>
      <c r="H40" s="11">
        <f>Tablo14567[[#This Row],[ADET]]*Tablo14567[[#This Row],[SATIŞ]]</f>
        <v>2550</v>
      </c>
    </row>
    <row r="41" spans="2:10" ht="21" customHeight="1" x14ac:dyDescent="0.3">
      <c r="B41" s="2">
        <v>45372</v>
      </c>
      <c r="C41" s="6">
        <v>100</v>
      </c>
      <c r="D41" s="10">
        <v>52.1</v>
      </c>
      <c r="E41" s="10"/>
      <c r="F41" s="9" t="str">
        <f>IF(Tablo14567[[#This Row],[SATIŞ]]=0,"Açık",(E41-D41)*C41)</f>
        <v>Açık</v>
      </c>
      <c r="G41" s="11">
        <f>Tablo14567[[#This Row],[ADET]]*Tablo14567[[#This Row],[ALIŞ]]</f>
        <v>5210</v>
      </c>
      <c r="H41" s="11">
        <f>Tablo14567[[#This Row],[ADET]]*Tablo14567[[#This Row],[SATIŞ]]</f>
        <v>0</v>
      </c>
      <c r="J41" s="40">
        <f t="shared" ref="J41:J55" si="0">IF(E41=0,D41*1.05,"")</f>
        <v>54.705000000000005</v>
      </c>
    </row>
    <row r="42" spans="2:10" ht="21" hidden="1" customHeight="1" x14ac:dyDescent="0.3">
      <c r="B42" s="2">
        <v>45372</v>
      </c>
      <c r="C42" s="6">
        <v>10</v>
      </c>
      <c r="D42" s="10">
        <v>52</v>
      </c>
      <c r="E42" s="10">
        <v>53</v>
      </c>
      <c r="F42" s="9">
        <f>IF(Tablo14567[[#This Row],[SATIŞ]]=0,"Açık",(E42-D42)*C42)</f>
        <v>10</v>
      </c>
      <c r="G42" s="11">
        <f>Tablo14567[[#This Row],[ADET]]*Tablo14567[[#This Row],[ALIŞ]]</f>
        <v>520</v>
      </c>
      <c r="H42" s="11">
        <f>Tablo14567[[#This Row],[ADET]]*Tablo14567[[#This Row],[SATIŞ]]</f>
        <v>530</v>
      </c>
      <c r="J42" s="40" t="str">
        <f t="shared" si="0"/>
        <v/>
      </c>
    </row>
    <row r="43" spans="2:10" ht="21" hidden="1" customHeight="1" x14ac:dyDescent="0.3">
      <c r="B43" s="2">
        <v>45372</v>
      </c>
      <c r="C43" s="6">
        <v>10</v>
      </c>
      <c r="D43" s="10">
        <v>51.8</v>
      </c>
      <c r="E43" s="10">
        <v>53</v>
      </c>
      <c r="F43" s="9">
        <f>IF(Tablo14567[[#This Row],[SATIŞ]]=0,"Açık",(E43-D43)*C43)</f>
        <v>12.000000000000028</v>
      </c>
      <c r="G43" s="11">
        <f>Tablo14567[[#This Row],[ADET]]*Tablo14567[[#This Row],[ALIŞ]]</f>
        <v>518</v>
      </c>
      <c r="H43" s="11">
        <f>Tablo14567[[#This Row],[ADET]]*Tablo14567[[#This Row],[SATIŞ]]</f>
        <v>530</v>
      </c>
      <c r="J43" s="40" t="str">
        <f t="shared" si="0"/>
        <v/>
      </c>
    </row>
    <row r="44" spans="2:10" ht="21" hidden="1" customHeight="1" x14ac:dyDescent="0.3">
      <c r="B44" s="2">
        <v>45372</v>
      </c>
      <c r="C44" s="6">
        <v>10</v>
      </c>
      <c r="D44" s="10">
        <v>51.7</v>
      </c>
      <c r="E44" s="10">
        <v>53</v>
      </c>
      <c r="F44" s="9">
        <f>IF(Tablo14567[[#This Row],[SATIŞ]]=0,"Açık",(E44-D44)*C44)</f>
        <v>12.999999999999972</v>
      </c>
      <c r="G44" s="11">
        <f>Tablo14567[[#This Row],[ADET]]*Tablo14567[[#This Row],[ALIŞ]]</f>
        <v>517</v>
      </c>
      <c r="H44" s="11">
        <f>Tablo14567[[#This Row],[ADET]]*Tablo14567[[#This Row],[SATIŞ]]</f>
        <v>530</v>
      </c>
      <c r="J44" s="40" t="str">
        <f t="shared" si="0"/>
        <v/>
      </c>
    </row>
    <row r="45" spans="2:10" ht="21" hidden="1" customHeight="1" x14ac:dyDescent="0.3">
      <c r="B45" s="2">
        <v>45372</v>
      </c>
      <c r="C45" s="6">
        <v>10</v>
      </c>
      <c r="D45" s="10">
        <v>51.6</v>
      </c>
      <c r="E45" s="10">
        <v>53</v>
      </c>
      <c r="F45" s="9">
        <f>IF(Tablo14567[[#This Row],[SATIŞ]]=0,"Açık",(E45-D45)*C45)</f>
        <v>13.999999999999986</v>
      </c>
      <c r="G45" s="11">
        <f>Tablo14567[[#This Row],[ADET]]*Tablo14567[[#This Row],[ALIŞ]]</f>
        <v>516</v>
      </c>
      <c r="H45" s="11">
        <f>Tablo14567[[#This Row],[ADET]]*Tablo14567[[#This Row],[SATIŞ]]</f>
        <v>530</v>
      </c>
      <c r="J45" s="40" t="str">
        <f t="shared" si="0"/>
        <v/>
      </c>
    </row>
    <row r="46" spans="2:10" ht="21" hidden="1" customHeight="1" x14ac:dyDescent="0.3">
      <c r="B46" s="2">
        <v>45372</v>
      </c>
      <c r="C46" s="6">
        <v>10</v>
      </c>
      <c r="D46" s="10">
        <v>51.5</v>
      </c>
      <c r="E46" s="10">
        <v>53</v>
      </c>
      <c r="F46" s="9">
        <f>IF(Tablo14567[[#This Row],[SATIŞ]]=0,"Açık",(E46-D46)*C46)</f>
        <v>15</v>
      </c>
      <c r="G46" s="11">
        <f>Tablo14567[[#This Row],[ADET]]*Tablo14567[[#This Row],[ALIŞ]]</f>
        <v>515</v>
      </c>
      <c r="H46" s="11">
        <f>Tablo14567[[#This Row],[ADET]]*Tablo14567[[#This Row],[SATIŞ]]</f>
        <v>530</v>
      </c>
      <c r="J46" s="40" t="str">
        <f t="shared" si="0"/>
        <v/>
      </c>
    </row>
    <row r="47" spans="2:10" ht="21" hidden="1" customHeight="1" x14ac:dyDescent="0.3">
      <c r="B47" s="2">
        <v>45372</v>
      </c>
      <c r="C47" s="6">
        <v>10</v>
      </c>
      <c r="D47" s="10">
        <v>51</v>
      </c>
      <c r="E47" s="10">
        <v>53</v>
      </c>
      <c r="F47" s="9">
        <f>IF(Tablo14567[[#This Row],[SATIŞ]]=0,"Açık",(E47-D47)*C47)</f>
        <v>20</v>
      </c>
      <c r="G47" s="11">
        <f>Tablo14567[[#This Row],[ADET]]*Tablo14567[[#This Row],[ALIŞ]]</f>
        <v>510</v>
      </c>
      <c r="H47" s="11">
        <f>Tablo14567[[#This Row],[ADET]]*Tablo14567[[#This Row],[SATIŞ]]</f>
        <v>530</v>
      </c>
      <c r="J47" s="40" t="str">
        <f t="shared" si="0"/>
        <v/>
      </c>
    </row>
    <row r="48" spans="2:10" ht="21" customHeight="1" x14ac:dyDescent="0.3">
      <c r="B48" s="2">
        <v>45373</v>
      </c>
      <c r="C48" s="6">
        <v>50</v>
      </c>
      <c r="D48" s="10">
        <v>52</v>
      </c>
      <c r="E48" s="10"/>
      <c r="F48" s="9" t="str">
        <f>IF(Tablo14567[[#This Row],[SATIŞ]]=0,"Açık",(E48-D48)*C48)</f>
        <v>Açık</v>
      </c>
      <c r="G48" s="11">
        <f>Tablo14567[[#This Row],[ADET]]*Tablo14567[[#This Row],[ALIŞ]]</f>
        <v>2600</v>
      </c>
      <c r="H48" s="11">
        <f>Tablo14567[[#This Row],[ADET]]*Tablo14567[[#This Row],[SATIŞ]]</f>
        <v>0</v>
      </c>
      <c r="J48" s="40">
        <f t="shared" si="0"/>
        <v>54.6</v>
      </c>
    </row>
    <row r="49" spans="2:10" ht="21" customHeight="1" x14ac:dyDescent="0.3">
      <c r="B49" s="2">
        <v>45373</v>
      </c>
      <c r="C49" s="6">
        <v>50</v>
      </c>
      <c r="D49" s="10">
        <v>51</v>
      </c>
      <c r="E49" s="10"/>
      <c r="F49" s="9" t="str">
        <f>IF(Tablo14567[[#This Row],[SATIŞ]]=0,"Açık",(E49-D49)*C49)</f>
        <v>Açık</v>
      </c>
      <c r="G49" s="11">
        <f>Tablo14567[[#This Row],[ADET]]*Tablo14567[[#This Row],[ALIŞ]]</f>
        <v>2550</v>
      </c>
      <c r="H49" s="11">
        <f>Tablo14567[[#This Row],[ADET]]*Tablo14567[[#This Row],[SATIŞ]]</f>
        <v>0</v>
      </c>
      <c r="J49" s="40">
        <f t="shared" si="0"/>
        <v>53.550000000000004</v>
      </c>
    </row>
    <row r="50" spans="2:10" ht="21" hidden="1" customHeight="1" x14ac:dyDescent="0.3">
      <c r="B50" s="2">
        <v>45373</v>
      </c>
      <c r="C50" s="6">
        <v>50</v>
      </c>
      <c r="D50" s="10">
        <v>50</v>
      </c>
      <c r="E50" s="10">
        <v>51.7</v>
      </c>
      <c r="F50" s="9">
        <f>IF(Tablo14567[[#This Row],[SATIŞ]]=0,"Açık",(E50-D50)*C50)</f>
        <v>85.000000000000142</v>
      </c>
      <c r="G50" s="11">
        <f>Tablo14567[[#This Row],[ADET]]*Tablo14567[[#This Row],[ALIŞ]]</f>
        <v>2500</v>
      </c>
      <c r="H50" s="11">
        <f>Tablo14567[[#This Row],[ADET]]*Tablo14567[[#This Row],[SATIŞ]]</f>
        <v>2585</v>
      </c>
      <c r="J50" s="40" t="str">
        <f t="shared" si="0"/>
        <v/>
      </c>
    </row>
    <row r="51" spans="2:10" ht="21" hidden="1" customHeight="1" x14ac:dyDescent="0.3">
      <c r="B51" s="2">
        <v>45376</v>
      </c>
      <c r="C51" s="6">
        <v>50</v>
      </c>
      <c r="D51" s="10">
        <v>48.5</v>
      </c>
      <c r="E51" s="10">
        <v>50</v>
      </c>
      <c r="F51" s="9">
        <f>IF(Tablo14567[[#This Row],[SATIŞ]]=0,"Açık",(E51-D51)*C51)</f>
        <v>75</v>
      </c>
      <c r="G51" s="11">
        <f>Tablo14567[[#This Row],[ADET]]*Tablo14567[[#This Row],[ALIŞ]]</f>
        <v>2425</v>
      </c>
      <c r="H51" s="11">
        <f>Tablo14567[[#This Row],[ADET]]*Tablo14567[[#This Row],[SATIŞ]]</f>
        <v>2500</v>
      </c>
      <c r="J51" s="40" t="str">
        <f t="shared" si="0"/>
        <v/>
      </c>
    </row>
    <row r="52" spans="2:10" ht="21" hidden="1" customHeight="1" x14ac:dyDescent="0.3">
      <c r="B52" s="2">
        <v>45378</v>
      </c>
      <c r="C52" s="6">
        <v>25</v>
      </c>
      <c r="D52" s="10">
        <v>46.8</v>
      </c>
      <c r="E52" s="10">
        <v>50</v>
      </c>
      <c r="F52" s="9">
        <f>IF(Tablo14567[[#This Row],[SATIŞ]]=0,"Açık",(E52-D52)*C52)</f>
        <v>80.000000000000071</v>
      </c>
      <c r="G52" s="11">
        <f>Tablo14567[[#This Row],[ADET]]*Tablo14567[[#This Row],[ALIŞ]]</f>
        <v>1170</v>
      </c>
      <c r="H52" s="11">
        <f>Tablo14567[[#This Row],[ADET]]*Tablo14567[[#This Row],[SATIŞ]]</f>
        <v>1250</v>
      </c>
      <c r="J52" s="40" t="str">
        <f t="shared" si="0"/>
        <v/>
      </c>
    </row>
    <row r="53" spans="2:10" ht="21" hidden="1" customHeight="1" x14ac:dyDescent="0.3">
      <c r="B53" s="2">
        <v>45378</v>
      </c>
      <c r="C53" s="6">
        <v>50</v>
      </c>
      <c r="D53" s="10">
        <v>45.8</v>
      </c>
      <c r="E53" s="10">
        <v>50.5</v>
      </c>
      <c r="F53" s="9">
        <f>IF(Tablo14567[[#This Row],[SATIŞ]]=0,"Açık",(E53-D53)*C53)</f>
        <v>235.00000000000014</v>
      </c>
      <c r="G53" s="11">
        <f>Tablo14567[[#This Row],[ADET]]*Tablo14567[[#This Row],[ALIŞ]]</f>
        <v>2290</v>
      </c>
      <c r="H53" s="11">
        <f>Tablo14567[[#This Row],[ADET]]*Tablo14567[[#This Row],[SATIŞ]]</f>
        <v>2525</v>
      </c>
      <c r="J53" s="40" t="str">
        <f t="shared" si="0"/>
        <v/>
      </c>
    </row>
    <row r="54" spans="2:10" ht="21" hidden="1" customHeight="1" x14ac:dyDescent="0.3">
      <c r="B54" s="2">
        <v>45378</v>
      </c>
      <c r="C54" s="6">
        <v>25</v>
      </c>
      <c r="D54" s="10">
        <v>46.8</v>
      </c>
      <c r="E54" s="10">
        <v>47.1</v>
      </c>
      <c r="F54" s="9">
        <f>IF(Tablo14567[[#This Row],[SATIŞ]]=0,"Açık",(E54-D54)*C54)</f>
        <v>7.5000000000001066</v>
      </c>
      <c r="G54" s="11">
        <f>Tablo14567[[#This Row],[ADET]]*Tablo14567[[#This Row],[ALIŞ]]</f>
        <v>1170</v>
      </c>
      <c r="H54" s="11">
        <f>Tablo14567[[#This Row],[ADET]]*Tablo14567[[#This Row],[SATIŞ]]</f>
        <v>1177.5</v>
      </c>
      <c r="J54" s="40" t="str">
        <f t="shared" si="0"/>
        <v/>
      </c>
    </row>
    <row r="55" spans="2:10" ht="21" customHeight="1" x14ac:dyDescent="0.3">
      <c r="B55" s="2">
        <v>45383</v>
      </c>
      <c r="C55" s="6">
        <v>50</v>
      </c>
      <c r="D55" s="10">
        <v>49.5</v>
      </c>
      <c r="E55" s="10"/>
      <c r="F55" s="9" t="str">
        <f>IF(Tablo14567[[#This Row],[SATIŞ]]=0,"Açık",(E55-D55)*C55)</f>
        <v>Açık</v>
      </c>
      <c r="G55" s="11">
        <f>Tablo14567[[#This Row],[ADET]]*Tablo14567[[#This Row],[ALIŞ]]</f>
        <v>2475</v>
      </c>
      <c r="H55" s="11">
        <f>Tablo14567[[#This Row],[ADET]]*Tablo14567[[#This Row],[SATIŞ]]</f>
        <v>0</v>
      </c>
      <c r="J55" s="40">
        <f t="shared" si="0"/>
        <v>51.975000000000001</v>
      </c>
    </row>
    <row r="56" spans="2:10" ht="21" hidden="1" customHeight="1" x14ac:dyDescent="0.3">
      <c r="B56" s="2">
        <v>45384</v>
      </c>
      <c r="C56" s="6">
        <v>50</v>
      </c>
      <c r="D56" s="10">
        <v>47</v>
      </c>
      <c r="E56" s="10">
        <v>48</v>
      </c>
      <c r="F56" s="9">
        <f>IF(Tablo14567[[#This Row],[SATIŞ]]=0,"Açık",(E56-D56)*C56)</f>
        <v>50</v>
      </c>
      <c r="G56" s="11">
        <f>Tablo14567[[#This Row],[ADET]]*Tablo14567[[#This Row],[ALIŞ]]</f>
        <v>2350</v>
      </c>
      <c r="H56" s="11">
        <f>Tablo14567[[#This Row],[ADET]]*Tablo14567[[#This Row],[SATIŞ]]</f>
        <v>2400</v>
      </c>
    </row>
    <row r="57" spans="2:10" ht="21" hidden="1" customHeight="1" x14ac:dyDescent="0.3">
      <c r="B57" s="2">
        <v>45385</v>
      </c>
      <c r="C57" s="6">
        <v>50</v>
      </c>
      <c r="D57" s="10">
        <v>45.8</v>
      </c>
      <c r="E57" s="10">
        <v>46</v>
      </c>
      <c r="F57" s="9">
        <f>IF(Tablo14567[[#This Row],[SATIŞ]]=0,"Açık",(E57-D57)*C57)</f>
        <v>10.000000000000142</v>
      </c>
      <c r="G57" s="11">
        <f>Tablo14567[[#This Row],[ADET]]*Tablo14567[[#This Row],[ALIŞ]]</f>
        <v>2290</v>
      </c>
      <c r="H57" s="11">
        <f>Tablo14567[[#This Row],[ADET]]*Tablo14567[[#This Row],[SATIŞ]]</f>
        <v>2300</v>
      </c>
    </row>
    <row r="58" spans="2:10" ht="21" hidden="1" customHeight="1" x14ac:dyDescent="0.3">
      <c r="B58" s="2">
        <v>45385</v>
      </c>
      <c r="C58" s="6">
        <v>50</v>
      </c>
      <c r="D58" s="10">
        <v>45</v>
      </c>
      <c r="E58" s="10">
        <v>45.5</v>
      </c>
      <c r="F58" s="9">
        <f>IF(Tablo14567[[#This Row],[SATIŞ]]=0,"Açık",(E58-D58)*C58)</f>
        <v>25</v>
      </c>
      <c r="G58" s="11">
        <f>Tablo14567[[#This Row],[ADET]]*Tablo14567[[#This Row],[ALIŞ]]</f>
        <v>2250</v>
      </c>
      <c r="H58" s="11">
        <f>Tablo14567[[#This Row],[ADET]]*Tablo14567[[#This Row],[SATIŞ]]</f>
        <v>2275</v>
      </c>
    </row>
    <row r="59" spans="2:10" ht="21" hidden="1" customHeight="1" x14ac:dyDescent="0.3">
      <c r="B59" s="2">
        <v>45385</v>
      </c>
      <c r="C59" s="6">
        <v>50</v>
      </c>
      <c r="D59" s="10">
        <v>44</v>
      </c>
      <c r="E59" s="10">
        <v>45.5</v>
      </c>
      <c r="F59" s="9">
        <f>IF(Tablo14567[[#This Row],[SATIŞ]]=0,"Açık",(E59-D59)*C59)</f>
        <v>75</v>
      </c>
      <c r="G59" s="11">
        <f>Tablo14567[[#This Row],[ADET]]*Tablo14567[[#This Row],[ALIŞ]]</f>
        <v>2200</v>
      </c>
      <c r="H59" s="11">
        <f>Tablo14567[[#This Row],[ADET]]*Tablo14567[[#This Row],[SATIŞ]]</f>
        <v>2275</v>
      </c>
    </row>
    <row r="60" spans="2:10" ht="21" hidden="1" customHeight="1" x14ac:dyDescent="0.3">
      <c r="B60" s="2">
        <v>45386</v>
      </c>
      <c r="C60" s="6">
        <v>50</v>
      </c>
      <c r="D60" s="10">
        <v>44</v>
      </c>
      <c r="E60" s="10">
        <v>44.3</v>
      </c>
      <c r="F60" s="9">
        <f>IF(Tablo14567[[#This Row],[SATIŞ]]=0,"Açık",(E60-D60)*C60)</f>
        <v>14.999999999999858</v>
      </c>
      <c r="G60" s="11">
        <f>Tablo14567[[#This Row],[ADET]]*Tablo14567[[#This Row],[ALIŞ]]</f>
        <v>2200</v>
      </c>
      <c r="H60" s="11">
        <f>Tablo14567[[#This Row],[ADET]]*Tablo14567[[#This Row],[SATIŞ]]</f>
        <v>2215</v>
      </c>
    </row>
    <row r="61" spans="2:10" ht="21" customHeight="1" x14ac:dyDescent="0.3">
      <c r="B61" s="2">
        <v>45398</v>
      </c>
      <c r="C61" s="6">
        <v>100</v>
      </c>
      <c r="D61" s="10">
        <v>48.5</v>
      </c>
      <c r="E61" s="10"/>
      <c r="F61" s="9" t="str">
        <f>IF(Tablo14567[[#This Row],[SATIŞ]]=0,"Açık",(E61-D61)*C61)</f>
        <v>Açık</v>
      </c>
      <c r="G61" s="11">
        <f>Tablo14567[[#This Row],[ADET]]*Tablo14567[[#This Row],[ALIŞ]]</f>
        <v>4850</v>
      </c>
      <c r="H61" s="11">
        <f>Tablo14567[[#This Row],[ADET]]*Tablo14567[[#This Row],[SATIŞ]]</f>
        <v>0</v>
      </c>
    </row>
    <row r="62" spans="2:10" ht="21" hidden="1" customHeight="1" x14ac:dyDescent="0.3">
      <c r="B62" s="2">
        <v>45398</v>
      </c>
      <c r="C62" s="6">
        <v>50</v>
      </c>
      <c r="D62" s="10">
        <v>46</v>
      </c>
      <c r="E62" s="10">
        <v>47</v>
      </c>
      <c r="F62" s="9">
        <f>IF(Tablo14567[[#This Row],[SATIŞ]]=0,"Açık",(E62-D62)*C62)</f>
        <v>50</v>
      </c>
      <c r="G62" s="11">
        <f>Tablo14567[[#This Row],[ADET]]*Tablo14567[[#This Row],[ALIŞ]]</f>
        <v>2300</v>
      </c>
      <c r="H62" s="11">
        <f>Tablo14567[[#This Row],[ADET]]*Tablo14567[[#This Row],[SATIŞ]]</f>
        <v>2350</v>
      </c>
    </row>
    <row r="63" spans="2:10" ht="21" customHeight="1" x14ac:dyDescent="0.3">
      <c r="B63" s="2">
        <v>45398</v>
      </c>
      <c r="C63" s="6">
        <v>50</v>
      </c>
      <c r="D63" s="10">
        <v>46</v>
      </c>
      <c r="E63" s="10"/>
      <c r="F63" s="9" t="str">
        <f>IF(Tablo14567[[#This Row],[SATIŞ]]=0,"Açık",(E63-D63)*C63)</f>
        <v>Açık</v>
      </c>
      <c r="G63" s="11">
        <f>Tablo14567[[#This Row],[ADET]]*Tablo14567[[#This Row],[ALIŞ]]</f>
        <v>2300</v>
      </c>
      <c r="H63" s="11">
        <f>Tablo14567[[#This Row],[ADET]]*Tablo14567[[#This Row],[SATIŞ]]</f>
        <v>0</v>
      </c>
    </row>
    <row r="64" spans="2:10" ht="21" hidden="1" customHeight="1" x14ac:dyDescent="0.3">
      <c r="B64" s="2">
        <v>45400</v>
      </c>
      <c r="C64" s="6">
        <v>50</v>
      </c>
      <c r="D64" s="10">
        <v>45.6</v>
      </c>
      <c r="E64" s="10">
        <v>47.2</v>
      </c>
      <c r="F64" s="9">
        <f>IF(Tablo14567[[#This Row],[SATIŞ]]=0,"Açık",(E64-D64)*C64)</f>
        <v>80.000000000000071</v>
      </c>
      <c r="G64" s="11">
        <f>Tablo14567[[#This Row],[ADET]]*Tablo14567[[#This Row],[ALIŞ]]</f>
        <v>2280</v>
      </c>
      <c r="H64" s="11">
        <f>Tablo14567[[#This Row],[ADET]]*Tablo14567[[#This Row],[SATIŞ]]</f>
        <v>2360</v>
      </c>
    </row>
    <row r="65" spans="2:8" ht="21" customHeight="1" x14ac:dyDescent="0.3">
      <c r="B65" s="2">
        <v>45400</v>
      </c>
      <c r="C65" s="6">
        <v>50</v>
      </c>
      <c r="D65" s="10">
        <v>45.6</v>
      </c>
      <c r="E65" s="10"/>
      <c r="F65" s="9" t="str">
        <f>IF(Tablo14567[[#This Row],[SATIŞ]]=0,"Açık",(E65-D65)*C65)</f>
        <v>Açık</v>
      </c>
      <c r="G65" s="11">
        <f>Tablo14567[[#This Row],[ADET]]*Tablo14567[[#This Row],[ALIŞ]]</f>
        <v>2280</v>
      </c>
      <c r="H65" s="11">
        <f>Tablo14567[[#This Row],[ADET]]*Tablo14567[[#This Row],[SATIŞ]]</f>
        <v>0</v>
      </c>
    </row>
  </sheetData>
  <conditionalFormatting sqref="B4:F65">
    <cfRule type="expression" dxfId="188" priority="1">
      <formula>$F4&lt;0</formula>
    </cfRule>
    <cfRule type="expression" dxfId="187" priority="2">
      <formula>$F4="Açık"</formula>
    </cfRule>
    <cfRule type="expression" dxfId="186" priority="3">
      <formula>$F4&gt;0</formula>
    </cfRule>
  </conditionalFormatting>
  <hyperlinks>
    <hyperlink ref="B1" location="İcmal!A1" display="ANA SAYFA" xr:uid="{DC1BCDB6-329E-4489-B2B8-D03428EBD91E}"/>
  </hyperlink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FCDC0-2BD6-47F6-927F-3D9B90648AA9}">
  <sheetPr>
    <tabColor theme="0"/>
  </sheetPr>
  <dimension ref="B1:R37"/>
  <sheetViews>
    <sheetView showGridLines="0" showZeros="0" zoomScale="110" zoomScaleNormal="110" workbookViewId="0">
      <pane ySplit="3" topLeftCell="A15" activePane="bottomLeft" state="frozen"/>
      <selection pane="bottomLeft" activeCell="E37" sqref="E37"/>
    </sheetView>
  </sheetViews>
  <sheetFormatPr defaultRowHeight="21" customHeight="1" x14ac:dyDescent="0.3"/>
  <cols>
    <col min="2" max="2" width="20.6640625" style="1" customWidth="1"/>
    <col min="3" max="3" width="11.33203125" style="6" customWidth="1"/>
    <col min="4" max="5" width="12.88671875" style="3" customWidth="1"/>
    <col min="6" max="6" width="12.88671875" style="5" customWidth="1"/>
    <col min="7" max="7" width="12.6640625" bestFit="1" customWidth="1"/>
    <col min="8" max="8" width="13.44140625" bestFit="1" customWidth="1"/>
    <col min="10" max="12" width="12.44140625" customWidth="1"/>
    <col min="13" max="13" width="12.6640625" bestFit="1" customWidth="1"/>
    <col min="14" max="14" width="12" bestFit="1" customWidth="1"/>
  </cols>
  <sheetData>
    <row r="1" spans="2:18" ht="21" customHeight="1" x14ac:dyDescent="0.3">
      <c r="B1" s="12" t="s">
        <v>64</v>
      </c>
      <c r="C1" s="4">
        <f>SUMIF(Tablo145678[KAR],"Açık",Tablo145678[ADET])</f>
        <v>200</v>
      </c>
      <c r="D1" s="10">
        <f>+İcmal!E10</f>
        <v>57.8</v>
      </c>
      <c r="E1" s="10">
        <f>C1*D1</f>
        <v>11560</v>
      </c>
      <c r="F1" s="10">
        <f>IFERROR(((SUM(Tablo145678[ALIŞ TUTAR])-SUM(Tablo145678[SATIŞ TUTAR]))/C1),"")</f>
        <v>48.136705000000077</v>
      </c>
      <c r="G1" s="10">
        <f>IF(M3=0,L3,C1*(D1-F1))</f>
        <v>1932.658999999984</v>
      </c>
      <c r="J1" s="45" t="s">
        <v>94</v>
      </c>
      <c r="K1" s="45" t="s">
        <v>95</v>
      </c>
      <c r="L1" s="45" t="s">
        <v>96</v>
      </c>
      <c r="M1" s="33">
        <f>F1</f>
        <v>48.136705000000077</v>
      </c>
      <c r="N1" s="8" t="e">
        <f>M1*(1+$J$1)</f>
        <v>#VALUE!</v>
      </c>
      <c r="P1" s="8" t="e">
        <f>Q1*(1-$J$1)</f>
        <v>#VALUE!</v>
      </c>
      <c r="Q1" s="33">
        <f>+D1</f>
        <v>57.8</v>
      </c>
      <c r="R1" s="8" t="e">
        <f>Q1*(1+$J$1)</f>
        <v>#VALUE!</v>
      </c>
    </row>
    <row r="2" spans="2:18" ht="21" customHeight="1" x14ac:dyDescent="0.3">
      <c r="B2" s="7" t="s">
        <v>17</v>
      </c>
      <c r="J2" s="45">
        <f>SUMIFS(Tablo2[HEDEF2],Tablo2[HİSSE],B2)</f>
        <v>2000</v>
      </c>
      <c r="K2" s="45">
        <f>+E1/İcmal!$P$2</f>
        <v>355.36427912695973</v>
      </c>
      <c r="L2" s="45">
        <f>+J2-K2</f>
        <v>1644.6357208730403</v>
      </c>
    </row>
    <row r="3" spans="2:18" ht="21" customHeight="1" x14ac:dyDescent="0.3">
      <c r="B3" s="1" t="s">
        <v>0</v>
      </c>
      <c r="C3" s="6" t="s">
        <v>4</v>
      </c>
      <c r="D3" s="3" t="s">
        <v>1</v>
      </c>
      <c r="E3" s="3" t="s">
        <v>3</v>
      </c>
      <c r="F3" s="5" t="s">
        <v>2</v>
      </c>
      <c r="G3" s="3" t="s">
        <v>8</v>
      </c>
      <c r="H3" s="3" t="s">
        <v>9</v>
      </c>
      <c r="L3" s="33">
        <f>SUM(Tablo145678[KAR])</f>
        <v>2462.6589999999924</v>
      </c>
      <c r="M3" s="37">
        <f>+C1</f>
        <v>200</v>
      </c>
    </row>
    <row r="4" spans="2:18" ht="21" hidden="1" customHeight="1" x14ac:dyDescent="0.3">
      <c r="B4" s="2">
        <v>45291</v>
      </c>
      <c r="C4" s="6">
        <v>1490</v>
      </c>
      <c r="D4" s="10">
        <v>68.921670000000006</v>
      </c>
      <c r="E4" s="10">
        <v>69.954920000000001</v>
      </c>
      <c r="F4" s="9">
        <f>IF(Tablo145678[[#This Row],[SATIŞ]]=0,"Açık",(E4-D4)*C4)</f>
        <v>1539.542499999993</v>
      </c>
      <c r="G4" s="11">
        <f>Tablo145678[[#This Row],[ADET]]*Tablo145678[[#This Row],[ALIŞ]]</f>
        <v>102693.28830000001</v>
      </c>
      <c r="H4" s="11">
        <f>Tablo145678[[#This Row],[ADET]]*Tablo145678[[#This Row],[SATIŞ]]</f>
        <v>104232.8308</v>
      </c>
      <c r="L4" s="8">
        <f>SUM(Tablo145678[ALIŞ TUTAR])</f>
        <v>161920.17180000001</v>
      </c>
      <c r="M4" s="8">
        <f>SUM(Tablo145678[SATIŞ TUTAR])</f>
        <v>152292.8308</v>
      </c>
      <c r="N4" s="8">
        <f>L4-M4</f>
        <v>9627.3410000000149</v>
      </c>
    </row>
    <row r="5" spans="2:18" ht="21" hidden="1" customHeight="1" x14ac:dyDescent="0.3">
      <c r="B5" s="2">
        <v>45291</v>
      </c>
      <c r="C5" s="6">
        <v>10</v>
      </c>
      <c r="D5" s="10">
        <v>68.921670000000006</v>
      </c>
      <c r="E5" s="10">
        <v>52</v>
      </c>
      <c r="F5" s="9">
        <f>IF(Tablo145678[[#This Row],[SATIŞ]]=0,"Açık",(E5-D5)*C5)</f>
        <v>-169.21670000000006</v>
      </c>
      <c r="G5" s="11">
        <f>Tablo145678[[#This Row],[ADET]]*Tablo145678[[#This Row],[ALIŞ]]</f>
        <v>689.21670000000006</v>
      </c>
      <c r="H5" s="11">
        <f>Tablo145678[[#This Row],[ADET]]*Tablo145678[[#This Row],[SATIŞ]]</f>
        <v>520</v>
      </c>
      <c r="N5">
        <f>+N4/80</f>
        <v>120.34176250000019</v>
      </c>
    </row>
    <row r="6" spans="2:18" ht="21" hidden="1" customHeight="1" x14ac:dyDescent="0.3">
      <c r="B6" s="2">
        <v>45291</v>
      </c>
      <c r="C6" s="6">
        <v>5</v>
      </c>
      <c r="D6" s="10">
        <v>68.921670000000006</v>
      </c>
      <c r="E6" s="10">
        <v>52.5</v>
      </c>
      <c r="F6" s="9">
        <f>IF(Tablo145678[[#This Row],[SATIŞ]]=0,"Açık",(E6-D6)*C6)</f>
        <v>-82.10835000000003</v>
      </c>
      <c r="G6" s="11">
        <f>Tablo145678[[#This Row],[ADET]]*Tablo145678[[#This Row],[ALIŞ]]</f>
        <v>344.60835000000003</v>
      </c>
      <c r="H6" s="11">
        <f>Tablo145678[[#This Row],[ADET]]*Tablo145678[[#This Row],[SATIŞ]]</f>
        <v>262.5</v>
      </c>
    </row>
    <row r="7" spans="2:18" ht="21" hidden="1" customHeight="1" x14ac:dyDescent="0.3">
      <c r="B7" s="2">
        <v>45291</v>
      </c>
      <c r="C7" s="6">
        <v>35</v>
      </c>
      <c r="D7" s="10">
        <v>68.921670000000006</v>
      </c>
      <c r="E7" s="10">
        <v>56</v>
      </c>
      <c r="F7" s="9">
        <f>IF(Tablo145678[[#This Row],[SATIŞ]]=0,"Açık",(E7-D7)*C7)</f>
        <v>-452.25845000000021</v>
      </c>
      <c r="G7" s="11">
        <f>Tablo145678[[#This Row],[ADET]]*Tablo145678[[#This Row],[ALIŞ]]</f>
        <v>2412.2584500000003</v>
      </c>
      <c r="H7" s="11">
        <f>Tablo145678[[#This Row],[ADET]]*Tablo145678[[#This Row],[SATIŞ]]</f>
        <v>1960</v>
      </c>
    </row>
    <row r="8" spans="2:18" ht="21" hidden="1" customHeight="1" x14ac:dyDescent="0.3">
      <c r="B8" s="2">
        <v>45328</v>
      </c>
      <c r="C8" s="6">
        <v>50</v>
      </c>
      <c r="D8" s="10">
        <v>51.5</v>
      </c>
      <c r="E8" s="10">
        <v>56</v>
      </c>
      <c r="F8" s="9">
        <f>IF(Tablo145678[[#This Row],[SATIŞ]]=0,"Açık",(E8-D8)*C8)</f>
        <v>225</v>
      </c>
      <c r="G8" s="11">
        <f>Tablo145678[[#This Row],[ADET]]*Tablo145678[[#This Row],[ALIŞ]]</f>
        <v>2575</v>
      </c>
      <c r="H8" s="11">
        <f>Tablo145678[[#This Row],[ADET]]*Tablo145678[[#This Row],[SATIŞ]]</f>
        <v>2800</v>
      </c>
    </row>
    <row r="9" spans="2:18" ht="21" hidden="1" customHeight="1" x14ac:dyDescent="0.3">
      <c r="B9" s="2">
        <v>45329</v>
      </c>
      <c r="C9" s="6">
        <v>10</v>
      </c>
      <c r="D9" s="10">
        <v>52</v>
      </c>
      <c r="E9" s="10">
        <v>53.35</v>
      </c>
      <c r="F9" s="9">
        <f>IF(Tablo145678[[#This Row],[SATIŞ]]=0,"Açık",(E9-D9)*C9)</f>
        <v>13.500000000000014</v>
      </c>
      <c r="G9" s="11">
        <f>Tablo145678[[#This Row],[ADET]]*Tablo145678[[#This Row],[ALIŞ]]</f>
        <v>520</v>
      </c>
      <c r="H9" s="11">
        <f>Tablo145678[[#This Row],[ADET]]*Tablo145678[[#This Row],[SATIŞ]]</f>
        <v>533.5</v>
      </c>
    </row>
    <row r="10" spans="2:18" ht="21" hidden="1" customHeight="1" x14ac:dyDescent="0.3">
      <c r="B10" s="2">
        <v>45329</v>
      </c>
      <c r="C10" s="6">
        <v>5</v>
      </c>
      <c r="D10" s="10">
        <v>52</v>
      </c>
      <c r="E10" s="10">
        <v>56</v>
      </c>
      <c r="F10" s="9">
        <f>IF(Tablo145678[[#This Row],[SATIŞ]]=0,"Açık",(E10-D10)*C10)</f>
        <v>20</v>
      </c>
      <c r="G10" s="11">
        <f>Tablo145678[[#This Row],[ADET]]*Tablo145678[[#This Row],[ALIŞ]]</f>
        <v>260</v>
      </c>
      <c r="H10" s="11">
        <f>Tablo145678[[#This Row],[ADET]]*Tablo145678[[#This Row],[SATIŞ]]</f>
        <v>280</v>
      </c>
    </row>
    <row r="11" spans="2:18" ht="21" hidden="1" customHeight="1" x14ac:dyDescent="0.3">
      <c r="B11" s="2">
        <v>45334</v>
      </c>
      <c r="C11" s="6">
        <v>10</v>
      </c>
      <c r="D11" s="10">
        <v>52.75</v>
      </c>
      <c r="E11" s="10">
        <v>54.5</v>
      </c>
      <c r="F11" s="9">
        <f>IF(Tablo145678[[#This Row],[SATIŞ]]=0,"Açık",(E11-D11)*C11)</f>
        <v>17.5</v>
      </c>
      <c r="G11" s="11">
        <f>Tablo145678[[#This Row],[ADET]]*Tablo145678[[#This Row],[ALIŞ]]</f>
        <v>527.5</v>
      </c>
      <c r="H11" s="11">
        <f>Tablo145678[[#This Row],[ADET]]*Tablo145678[[#This Row],[SATIŞ]]</f>
        <v>545</v>
      </c>
    </row>
    <row r="12" spans="2:18" ht="21" hidden="1" customHeight="1" x14ac:dyDescent="0.3">
      <c r="B12" s="2">
        <v>45334</v>
      </c>
      <c r="C12" s="6">
        <v>10</v>
      </c>
      <c r="D12" s="10">
        <v>52.75</v>
      </c>
      <c r="E12" s="10">
        <v>55</v>
      </c>
      <c r="F12" s="9">
        <f>IF(Tablo145678[[#This Row],[SATIŞ]]=0,"Açık",(E12-D12)*C12)</f>
        <v>22.5</v>
      </c>
      <c r="G12" s="11">
        <f>Tablo145678[[#This Row],[ADET]]*Tablo145678[[#This Row],[ALIŞ]]</f>
        <v>527.5</v>
      </c>
      <c r="H12" s="11">
        <f>Tablo145678[[#This Row],[ADET]]*Tablo145678[[#This Row],[SATIŞ]]</f>
        <v>550</v>
      </c>
    </row>
    <row r="13" spans="2:18" ht="21" hidden="1" customHeight="1" x14ac:dyDescent="0.3">
      <c r="B13" s="2">
        <v>45336</v>
      </c>
      <c r="C13" s="6">
        <v>10</v>
      </c>
      <c r="D13" s="10">
        <v>54</v>
      </c>
      <c r="E13" s="10">
        <v>56</v>
      </c>
      <c r="F13" s="9">
        <f>IF(Tablo145678[[#This Row],[SATIŞ]]=0,"Açık",(E13-D13)*C13)</f>
        <v>20</v>
      </c>
      <c r="G13" s="11">
        <f>Tablo145678[[#This Row],[ADET]]*Tablo145678[[#This Row],[ALIŞ]]</f>
        <v>540</v>
      </c>
      <c r="H13" s="11">
        <f>Tablo145678[[#This Row],[ADET]]*Tablo145678[[#This Row],[SATIŞ]]</f>
        <v>560</v>
      </c>
    </row>
    <row r="14" spans="2:18" ht="21" hidden="1" customHeight="1" x14ac:dyDescent="0.3">
      <c r="B14" s="2">
        <v>45336</v>
      </c>
      <c r="C14" s="6">
        <v>50</v>
      </c>
      <c r="D14" s="10">
        <v>54</v>
      </c>
      <c r="E14" s="10">
        <v>57</v>
      </c>
      <c r="F14" s="9">
        <f>IF(Tablo145678[[#This Row],[SATIŞ]]=0,"Açık",(E14-D14)*C14)</f>
        <v>150</v>
      </c>
      <c r="G14" s="11">
        <f>Tablo145678[[#This Row],[ADET]]*Tablo145678[[#This Row],[ALIŞ]]</f>
        <v>2700</v>
      </c>
      <c r="H14" s="11">
        <f>Tablo145678[[#This Row],[ADET]]*Tablo145678[[#This Row],[SATIŞ]]</f>
        <v>2850</v>
      </c>
    </row>
    <row r="15" spans="2:18" ht="21" customHeight="1" x14ac:dyDescent="0.3">
      <c r="B15" s="2">
        <v>45349</v>
      </c>
      <c r="C15" s="6">
        <v>10</v>
      </c>
      <c r="D15" s="10">
        <v>64</v>
      </c>
      <c r="E15" s="10"/>
      <c r="F15" s="9" t="str">
        <f>IF(Tablo145678[[#This Row],[SATIŞ]]=0,"Açık",(E15-D15)*C15)</f>
        <v>Açık</v>
      </c>
      <c r="G15" s="11">
        <f>Tablo145678[[#This Row],[ADET]]*Tablo145678[[#This Row],[ALIŞ]]</f>
        <v>640</v>
      </c>
      <c r="H15" s="11">
        <f>Tablo145678[[#This Row],[ADET]]*Tablo145678[[#This Row],[SATIŞ]]</f>
        <v>0</v>
      </c>
      <c r="J15" s="40">
        <f t="shared" ref="J15:J32" si="0">IF(E15=0,D15*1.05,"")</f>
        <v>67.2</v>
      </c>
    </row>
    <row r="16" spans="2:18" ht="21" customHeight="1" x14ac:dyDescent="0.3">
      <c r="B16" s="2">
        <v>45350</v>
      </c>
      <c r="C16" s="6">
        <v>30</v>
      </c>
      <c r="D16" s="10">
        <v>64</v>
      </c>
      <c r="E16" s="10"/>
      <c r="F16" s="9" t="str">
        <f>IF(Tablo145678[[#This Row],[SATIŞ]]=0,"Açık",(E16-D16)*C16)</f>
        <v>Açık</v>
      </c>
      <c r="G16" s="11">
        <f>Tablo145678[[#This Row],[ADET]]*Tablo145678[[#This Row],[ALIŞ]]</f>
        <v>1920</v>
      </c>
      <c r="H16" s="11">
        <f>Tablo145678[[#This Row],[ADET]]*Tablo145678[[#This Row],[SATIŞ]]</f>
        <v>0</v>
      </c>
      <c r="J16" s="40">
        <f t="shared" si="0"/>
        <v>67.2</v>
      </c>
    </row>
    <row r="17" spans="2:10" ht="21" customHeight="1" x14ac:dyDescent="0.3">
      <c r="B17" s="2">
        <v>45350</v>
      </c>
      <c r="C17" s="6">
        <v>15</v>
      </c>
      <c r="D17" s="10">
        <v>62</v>
      </c>
      <c r="E17" s="10"/>
      <c r="F17" s="9" t="str">
        <f>IF(Tablo145678[[#This Row],[SATIŞ]]=0,"Açık",(E17-D17)*C17)</f>
        <v>Açık</v>
      </c>
      <c r="G17" s="11">
        <f>Tablo145678[[#This Row],[ADET]]*Tablo145678[[#This Row],[ALIŞ]]</f>
        <v>930</v>
      </c>
      <c r="H17" s="11">
        <f>Tablo145678[[#This Row],[ADET]]*Tablo145678[[#This Row],[SATIŞ]]</f>
        <v>0</v>
      </c>
      <c r="J17" s="40">
        <f t="shared" si="0"/>
        <v>65.100000000000009</v>
      </c>
    </row>
    <row r="18" spans="2:10" ht="21" customHeight="1" x14ac:dyDescent="0.3">
      <c r="B18" s="2">
        <v>45352</v>
      </c>
      <c r="C18" s="6">
        <v>45</v>
      </c>
      <c r="D18" s="10">
        <v>60</v>
      </c>
      <c r="E18" s="10"/>
      <c r="F18" s="9" t="str">
        <f>IF(Tablo145678[[#This Row],[SATIŞ]]=0,"Açık",(E18-D18)*C18)</f>
        <v>Açık</v>
      </c>
      <c r="G18" s="11">
        <f>Tablo145678[[#This Row],[ADET]]*Tablo145678[[#This Row],[ALIŞ]]</f>
        <v>2700</v>
      </c>
      <c r="H18" s="11">
        <f>Tablo145678[[#This Row],[ADET]]*Tablo145678[[#This Row],[SATIŞ]]</f>
        <v>0</v>
      </c>
      <c r="J18" s="40">
        <f t="shared" si="0"/>
        <v>63</v>
      </c>
    </row>
    <row r="19" spans="2:10" ht="21" customHeight="1" x14ac:dyDescent="0.3">
      <c r="B19" s="2">
        <v>45352</v>
      </c>
      <c r="C19" s="6">
        <v>50</v>
      </c>
      <c r="D19" s="10">
        <v>59</v>
      </c>
      <c r="E19" s="10"/>
      <c r="F19" s="9" t="str">
        <f>IF(Tablo145678[[#This Row],[SATIŞ]]=0,"Açık",(E19-D19)*C19)</f>
        <v>Açık</v>
      </c>
      <c r="G19" s="11">
        <f>Tablo145678[[#This Row],[ADET]]*Tablo145678[[#This Row],[ALIŞ]]</f>
        <v>2950</v>
      </c>
      <c r="H19" s="11">
        <f>Tablo145678[[#This Row],[ADET]]*Tablo145678[[#This Row],[SATIŞ]]</f>
        <v>0</v>
      </c>
      <c r="J19" s="40">
        <f t="shared" si="0"/>
        <v>61.95</v>
      </c>
    </row>
    <row r="20" spans="2:10" ht="21" hidden="1" customHeight="1" x14ac:dyDescent="0.3">
      <c r="B20" s="2">
        <v>45362</v>
      </c>
      <c r="C20" s="6">
        <v>50</v>
      </c>
      <c r="D20" s="10">
        <v>58</v>
      </c>
      <c r="E20" s="10">
        <v>60</v>
      </c>
      <c r="F20" s="9">
        <f>IF(Tablo145678[[#This Row],[SATIŞ]]=0,"Açık",(E20-D20)*C20)</f>
        <v>100</v>
      </c>
      <c r="G20" s="11">
        <f>Tablo145678[[#This Row],[ADET]]*Tablo145678[[#This Row],[ALIŞ]]</f>
        <v>2900</v>
      </c>
      <c r="H20" s="11">
        <f>Tablo145678[[#This Row],[ADET]]*Tablo145678[[#This Row],[SATIŞ]]</f>
        <v>3000</v>
      </c>
      <c r="J20" s="40" t="str">
        <f t="shared" si="0"/>
        <v/>
      </c>
    </row>
    <row r="21" spans="2:10" ht="21" hidden="1" customHeight="1" x14ac:dyDescent="0.3">
      <c r="B21" s="2">
        <v>45363</v>
      </c>
      <c r="C21" s="6">
        <v>50</v>
      </c>
      <c r="D21" s="10">
        <v>56.5</v>
      </c>
      <c r="E21" s="10">
        <v>58.3</v>
      </c>
      <c r="F21" s="9">
        <f>IF(Tablo145678[[#This Row],[SATIŞ]]=0,"Açık",(E21-D21)*C21)</f>
        <v>89.999999999999858</v>
      </c>
      <c r="G21" s="11">
        <f>Tablo145678[[#This Row],[ADET]]*Tablo145678[[#This Row],[ALIŞ]]</f>
        <v>2825</v>
      </c>
      <c r="H21" s="11">
        <f>Tablo145678[[#This Row],[ADET]]*Tablo145678[[#This Row],[SATIŞ]]</f>
        <v>2915</v>
      </c>
      <c r="J21" s="40" t="str">
        <f t="shared" si="0"/>
        <v/>
      </c>
    </row>
    <row r="22" spans="2:10" ht="21" hidden="1" customHeight="1" x14ac:dyDescent="0.3">
      <c r="B22" s="2">
        <v>45363</v>
      </c>
      <c r="C22" s="6">
        <v>50</v>
      </c>
      <c r="D22" s="10">
        <v>56</v>
      </c>
      <c r="E22" s="10">
        <v>57</v>
      </c>
      <c r="F22" s="9">
        <f>IF(Tablo145678[[#This Row],[SATIŞ]]=0,"Açık",(E22-D22)*C22)</f>
        <v>50</v>
      </c>
      <c r="G22" s="11">
        <f>Tablo145678[[#This Row],[ADET]]*Tablo145678[[#This Row],[ALIŞ]]</f>
        <v>2800</v>
      </c>
      <c r="H22" s="11">
        <f>Tablo145678[[#This Row],[ADET]]*Tablo145678[[#This Row],[SATIŞ]]</f>
        <v>2850</v>
      </c>
      <c r="J22" s="40" t="str">
        <f t="shared" si="0"/>
        <v/>
      </c>
    </row>
    <row r="23" spans="2:10" ht="21" hidden="1" customHeight="1" x14ac:dyDescent="0.3">
      <c r="B23" s="2">
        <v>45363</v>
      </c>
      <c r="C23" s="6">
        <v>40</v>
      </c>
      <c r="D23" s="10">
        <v>55</v>
      </c>
      <c r="E23" s="10">
        <v>56.5</v>
      </c>
      <c r="F23" s="9">
        <f>IF(Tablo145678[[#This Row],[SATIŞ]]=0,"Açık",(E23-D23)*C23)</f>
        <v>60</v>
      </c>
      <c r="G23" s="11">
        <f>Tablo145678[[#This Row],[ADET]]*Tablo145678[[#This Row],[ALIŞ]]</f>
        <v>2200</v>
      </c>
      <c r="H23" s="11">
        <f>Tablo145678[[#This Row],[ADET]]*Tablo145678[[#This Row],[SATIŞ]]</f>
        <v>2260</v>
      </c>
      <c r="J23" s="40" t="str">
        <f t="shared" si="0"/>
        <v/>
      </c>
    </row>
    <row r="24" spans="2:10" ht="21" hidden="1" customHeight="1" x14ac:dyDescent="0.3">
      <c r="B24" s="2">
        <v>45371</v>
      </c>
      <c r="C24" s="6">
        <v>50</v>
      </c>
      <c r="D24" s="10">
        <v>56</v>
      </c>
      <c r="E24" s="10">
        <v>58</v>
      </c>
      <c r="F24" s="9">
        <f>IF(Tablo145678[[#This Row],[SATIŞ]]=0,"Açık",(E24-D24)*C24)</f>
        <v>100</v>
      </c>
      <c r="G24" s="11">
        <f>Tablo145678[[#This Row],[ADET]]*Tablo145678[[#This Row],[ALIŞ]]</f>
        <v>2800</v>
      </c>
      <c r="H24" s="11">
        <f>Tablo145678[[#This Row],[ADET]]*Tablo145678[[#This Row],[SATIŞ]]</f>
        <v>2900</v>
      </c>
      <c r="J24" s="40" t="str">
        <f t="shared" si="0"/>
        <v/>
      </c>
    </row>
    <row r="25" spans="2:10" ht="21" hidden="1" customHeight="1" x14ac:dyDescent="0.3">
      <c r="B25" s="2">
        <v>45376</v>
      </c>
      <c r="C25" s="6">
        <v>50</v>
      </c>
      <c r="D25" s="10">
        <v>57</v>
      </c>
      <c r="E25" s="10">
        <v>59</v>
      </c>
      <c r="F25" s="9">
        <f>IF(Tablo145678[[#This Row],[SATIŞ]]=0,"Açık",(E25-D25)*C25)</f>
        <v>100</v>
      </c>
      <c r="G25" s="11">
        <f>Tablo145678[[#This Row],[ADET]]*Tablo145678[[#This Row],[ALIŞ]]</f>
        <v>2850</v>
      </c>
      <c r="H25" s="11">
        <f>Tablo145678[[#This Row],[ADET]]*Tablo145678[[#This Row],[SATIŞ]]</f>
        <v>2950</v>
      </c>
      <c r="J25" s="40" t="str">
        <f t="shared" si="0"/>
        <v/>
      </c>
    </row>
    <row r="26" spans="2:10" ht="21" hidden="1" customHeight="1" x14ac:dyDescent="0.3">
      <c r="B26" s="2">
        <v>45377</v>
      </c>
      <c r="C26" s="6">
        <v>50</v>
      </c>
      <c r="D26" s="10">
        <v>54.5</v>
      </c>
      <c r="E26" s="10">
        <v>57</v>
      </c>
      <c r="F26" s="9">
        <f>IF(Tablo145678[[#This Row],[SATIŞ]]=0,"Açık",(E26-D26)*C26)</f>
        <v>125</v>
      </c>
      <c r="G26" s="11">
        <f>Tablo145678[[#This Row],[ADET]]*Tablo145678[[#This Row],[ALIŞ]]</f>
        <v>2725</v>
      </c>
      <c r="H26" s="11">
        <f>Tablo145678[[#This Row],[ADET]]*Tablo145678[[#This Row],[SATIŞ]]</f>
        <v>2850</v>
      </c>
      <c r="J26" s="40" t="str">
        <f t="shared" si="0"/>
        <v/>
      </c>
    </row>
    <row r="27" spans="2:10" ht="21" hidden="1" customHeight="1" x14ac:dyDescent="0.3">
      <c r="B27" s="2">
        <v>45377</v>
      </c>
      <c r="C27" s="6">
        <v>50</v>
      </c>
      <c r="D27" s="10">
        <v>54</v>
      </c>
      <c r="E27" s="10">
        <v>56</v>
      </c>
      <c r="F27" s="9">
        <f>IF(Tablo145678[[#This Row],[SATIŞ]]=0,"Açık",(E27-D27)*C27)</f>
        <v>100</v>
      </c>
      <c r="G27" s="11">
        <f>Tablo145678[[#This Row],[ADET]]*Tablo145678[[#This Row],[ALIŞ]]</f>
        <v>2700</v>
      </c>
      <c r="H27" s="11">
        <f>Tablo145678[[#This Row],[ADET]]*Tablo145678[[#This Row],[SATIŞ]]</f>
        <v>2800</v>
      </c>
      <c r="J27" s="40" t="str">
        <f t="shared" si="0"/>
        <v/>
      </c>
    </row>
    <row r="28" spans="2:10" ht="21" hidden="1" customHeight="1" x14ac:dyDescent="0.3">
      <c r="B28" s="2">
        <v>45377</v>
      </c>
      <c r="C28" s="6">
        <v>50</v>
      </c>
      <c r="D28" s="10">
        <v>53</v>
      </c>
      <c r="E28" s="10">
        <v>56</v>
      </c>
      <c r="F28" s="9">
        <f>IF(Tablo145678[[#This Row],[SATIŞ]]=0,"Açık",(E28-D28)*C28)</f>
        <v>150</v>
      </c>
      <c r="G28" s="11">
        <f>Tablo145678[[#This Row],[ADET]]*Tablo145678[[#This Row],[ALIŞ]]</f>
        <v>2650</v>
      </c>
      <c r="H28" s="11">
        <f>Tablo145678[[#This Row],[ADET]]*Tablo145678[[#This Row],[SATIŞ]]</f>
        <v>2800</v>
      </c>
      <c r="J28" s="40" t="str">
        <f t="shared" si="0"/>
        <v/>
      </c>
    </row>
    <row r="29" spans="2:10" ht="21" hidden="1" customHeight="1" x14ac:dyDescent="0.3">
      <c r="B29" s="2">
        <v>45383</v>
      </c>
      <c r="C29" s="6">
        <v>10</v>
      </c>
      <c r="D29" s="10">
        <v>55</v>
      </c>
      <c r="E29" s="10">
        <v>56.5</v>
      </c>
      <c r="F29" s="9">
        <f>IF(Tablo145678[[#This Row],[SATIŞ]]=0,"Açık",(E29-D29)*C29)</f>
        <v>15</v>
      </c>
      <c r="G29" s="11">
        <f>Tablo145678[[#This Row],[ADET]]*Tablo145678[[#This Row],[ALIŞ]]</f>
        <v>550</v>
      </c>
      <c r="H29" s="11">
        <f>Tablo145678[[#This Row],[ADET]]*Tablo145678[[#This Row],[SATIŞ]]</f>
        <v>565</v>
      </c>
      <c r="J29" s="40" t="str">
        <f t="shared" si="0"/>
        <v/>
      </c>
    </row>
    <row r="30" spans="2:10" ht="21" hidden="1" customHeight="1" x14ac:dyDescent="0.3">
      <c r="B30" s="2">
        <v>45383</v>
      </c>
      <c r="C30" s="6">
        <v>10</v>
      </c>
      <c r="D30" s="10">
        <v>54.8</v>
      </c>
      <c r="E30" s="10">
        <v>56.5</v>
      </c>
      <c r="F30" s="9">
        <f>IF(Tablo145678[[#This Row],[SATIŞ]]=0,"Açık",(E30-D30)*C30)</f>
        <v>17.000000000000028</v>
      </c>
      <c r="G30" s="11">
        <f>Tablo145678[[#This Row],[ADET]]*Tablo145678[[#This Row],[ALIŞ]]</f>
        <v>548</v>
      </c>
      <c r="H30" s="11">
        <f>Tablo145678[[#This Row],[ADET]]*Tablo145678[[#This Row],[SATIŞ]]</f>
        <v>565</v>
      </c>
      <c r="J30" s="40" t="str">
        <f t="shared" si="0"/>
        <v/>
      </c>
    </row>
    <row r="31" spans="2:10" ht="21" hidden="1" customHeight="1" x14ac:dyDescent="0.3">
      <c r="B31" s="2">
        <v>45383</v>
      </c>
      <c r="C31" s="6">
        <v>10</v>
      </c>
      <c r="D31" s="10">
        <v>54.6</v>
      </c>
      <c r="E31" s="10">
        <v>56.5</v>
      </c>
      <c r="F31" s="9">
        <f>IF(Tablo145678[[#This Row],[SATIŞ]]=0,"Açık",(E31-D31)*C31)</f>
        <v>18.999999999999986</v>
      </c>
      <c r="G31" s="11">
        <f>Tablo145678[[#This Row],[ADET]]*Tablo145678[[#This Row],[ALIŞ]]</f>
        <v>546</v>
      </c>
      <c r="H31" s="11">
        <f>Tablo145678[[#This Row],[ADET]]*Tablo145678[[#This Row],[SATIŞ]]</f>
        <v>565</v>
      </c>
      <c r="J31" s="40" t="str">
        <f t="shared" si="0"/>
        <v/>
      </c>
    </row>
    <row r="32" spans="2:10" ht="21" hidden="1" customHeight="1" x14ac:dyDescent="0.3">
      <c r="B32" s="2">
        <v>45383</v>
      </c>
      <c r="C32" s="6">
        <v>10</v>
      </c>
      <c r="D32" s="10">
        <v>54.5</v>
      </c>
      <c r="E32" s="10">
        <v>56.5</v>
      </c>
      <c r="F32" s="9">
        <f>IF(Tablo145678[[#This Row],[SATIŞ]]=0,"Açık",(E32-D32)*C32)</f>
        <v>20</v>
      </c>
      <c r="G32" s="11">
        <f>Tablo145678[[#This Row],[ADET]]*Tablo145678[[#This Row],[ALIŞ]]</f>
        <v>545</v>
      </c>
      <c r="H32" s="11">
        <f>Tablo145678[[#This Row],[ADET]]*Tablo145678[[#This Row],[SATIŞ]]</f>
        <v>565</v>
      </c>
      <c r="J32" s="40" t="str">
        <f t="shared" si="0"/>
        <v/>
      </c>
    </row>
    <row r="33" spans="2:8" ht="21" hidden="1" customHeight="1" x14ac:dyDescent="0.3">
      <c r="B33" s="2">
        <v>45384</v>
      </c>
      <c r="C33" s="6">
        <v>50</v>
      </c>
      <c r="D33" s="10">
        <v>54</v>
      </c>
      <c r="E33" s="10">
        <v>55</v>
      </c>
      <c r="F33" s="9">
        <f>IF(Tablo145678[[#This Row],[SATIŞ]]=0,"Açık",(E33-D33)*C33)</f>
        <v>50</v>
      </c>
      <c r="G33" s="11">
        <f>Tablo145678[[#This Row],[ADET]]*Tablo145678[[#This Row],[ALIŞ]]</f>
        <v>2700</v>
      </c>
      <c r="H33" s="11">
        <f>Tablo145678[[#This Row],[ADET]]*Tablo145678[[#This Row],[SATIŞ]]</f>
        <v>2750</v>
      </c>
    </row>
    <row r="34" spans="2:8" ht="21" hidden="1" customHeight="1" x14ac:dyDescent="0.3">
      <c r="B34" s="2">
        <v>45384</v>
      </c>
      <c r="C34" s="6">
        <v>50</v>
      </c>
      <c r="D34" s="10">
        <v>53</v>
      </c>
      <c r="E34" s="10">
        <v>53.6</v>
      </c>
      <c r="F34" s="9">
        <f>IF(Tablo145678[[#This Row],[SATIŞ]]=0,"Açık",(E34-D34)*C34)</f>
        <v>30.000000000000071</v>
      </c>
      <c r="G34" s="11">
        <f>Tablo145678[[#This Row],[ADET]]*Tablo145678[[#This Row],[ALIŞ]]</f>
        <v>2650</v>
      </c>
      <c r="H34" s="11">
        <f>Tablo145678[[#This Row],[ADET]]*Tablo145678[[#This Row],[SATIŞ]]</f>
        <v>2680</v>
      </c>
    </row>
    <row r="35" spans="2:8" ht="21" hidden="1" customHeight="1" x14ac:dyDescent="0.3">
      <c r="B35" s="2">
        <v>45384</v>
      </c>
      <c r="C35" s="6">
        <v>28</v>
      </c>
      <c r="D35" s="10">
        <v>51.85</v>
      </c>
      <c r="E35" s="10">
        <v>53</v>
      </c>
      <c r="F35" s="9">
        <f>IF(Tablo145678[[#This Row],[SATIŞ]]=0,"Açık",(E35-D35)*C35)</f>
        <v>32.19999999999996</v>
      </c>
      <c r="G35" s="11">
        <f>Tablo145678[[#This Row],[ADET]]*Tablo145678[[#This Row],[ALIŞ]]</f>
        <v>1451.8</v>
      </c>
      <c r="H35" s="11">
        <f>Tablo145678[[#This Row],[ADET]]*Tablo145678[[#This Row],[SATIŞ]]</f>
        <v>1484</v>
      </c>
    </row>
    <row r="36" spans="2:8" ht="21" hidden="1" customHeight="1" x14ac:dyDescent="0.3">
      <c r="B36" s="2">
        <v>45385</v>
      </c>
      <c r="C36" s="6">
        <v>50</v>
      </c>
      <c r="D36" s="10">
        <v>52</v>
      </c>
      <c r="E36" s="10">
        <v>54</v>
      </c>
      <c r="F36" s="9">
        <f>IF(Tablo145678[[#This Row],[SATIŞ]]=0,"Açık",(E36-D36)*C36)</f>
        <v>100</v>
      </c>
      <c r="G36" s="11">
        <f>Tablo145678[[#This Row],[ADET]]*Tablo145678[[#This Row],[ALIŞ]]</f>
        <v>2600</v>
      </c>
      <c r="H36" s="11">
        <f>Tablo145678[[#This Row],[ADET]]*Tablo145678[[#This Row],[SATIŞ]]</f>
        <v>2700</v>
      </c>
    </row>
    <row r="37" spans="2:8" ht="21" customHeight="1" x14ac:dyDescent="0.3">
      <c r="B37" s="2">
        <v>45397</v>
      </c>
      <c r="C37" s="6">
        <v>50</v>
      </c>
      <c r="D37" s="10">
        <v>59</v>
      </c>
      <c r="E37" s="10"/>
      <c r="F37" s="9" t="str">
        <f>IF(Tablo145678[[#This Row],[SATIŞ]]=0,"Açık",(E37-D37)*C37)</f>
        <v>Açık</v>
      </c>
      <c r="G37" s="11">
        <f>Tablo145678[[#This Row],[ADET]]*Tablo145678[[#This Row],[ALIŞ]]</f>
        <v>2950</v>
      </c>
      <c r="H37" s="11">
        <f>Tablo145678[[#This Row],[ADET]]*Tablo145678[[#This Row],[SATIŞ]]</f>
        <v>0</v>
      </c>
    </row>
  </sheetData>
  <conditionalFormatting sqref="B4:F37">
    <cfRule type="expression" dxfId="185" priority="1">
      <formula>$F4&lt;0</formula>
    </cfRule>
    <cfRule type="expression" dxfId="184" priority="2">
      <formula>$F4="Açık"</formula>
    </cfRule>
    <cfRule type="expression" dxfId="183" priority="3">
      <formula>$F4&gt;0</formula>
    </cfRule>
  </conditionalFormatting>
  <hyperlinks>
    <hyperlink ref="B1" location="İcmal!A1" display="ANA SAYFA" xr:uid="{519EF9D5-9151-4CD1-A4BE-DA50DB6A8E20}"/>
  </hyperlink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F7124-D23E-4626-92DD-F0F8118BACD1}">
  <dimension ref="B1:R231"/>
  <sheetViews>
    <sheetView showGridLines="0" showZeros="0" zoomScale="110" zoomScaleNormal="110" workbookViewId="0">
      <pane ySplit="3" topLeftCell="A52" activePane="bottomLeft" state="frozen"/>
      <selection pane="bottomLeft" activeCell="C230" sqref="C230"/>
    </sheetView>
  </sheetViews>
  <sheetFormatPr defaultRowHeight="21" customHeight="1" x14ac:dyDescent="0.3"/>
  <cols>
    <col min="2" max="2" width="20.6640625" style="1" customWidth="1"/>
    <col min="3" max="3" width="11.33203125" style="6" customWidth="1"/>
    <col min="4" max="5" width="12.88671875" style="3" customWidth="1"/>
    <col min="6" max="6" width="12.88671875" style="5" customWidth="1"/>
    <col min="7" max="7" width="12.33203125" bestFit="1" customWidth="1"/>
    <col min="8" max="8" width="11.33203125" bestFit="1" customWidth="1"/>
    <col min="10" max="12" width="12.44140625" customWidth="1"/>
    <col min="13" max="13" width="11.33203125" bestFit="1" customWidth="1"/>
    <col min="14" max="14" width="10.33203125" bestFit="1" customWidth="1"/>
  </cols>
  <sheetData>
    <row r="1" spans="2:18" ht="21" customHeight="1" x14ac:dyDescent="0.3">
      <c r="B1" s="12" t="s">
        <v>64</v>
      </c>
      <c r="C1" s="4">
        <f>SUMIF(Tablo1456789[KAR],"Açık",Tablo1456789[ADET])</f>
        <v>990</v>
      </c>
      <c r="D1" s="10">
        <f>+İcmal!E11</f>
        <v>95.1</v>
      </c>
      <c r="E1" s="10">
        <f>C1*D1</f>
        <v>94149</v>
      </c>
      <c r="F1" s="10">
        <f>IFERROR(((SUM(Tablo1456789[ALIŞ TUTAR])-SUM(Tablo1456789[SATIŞ TUTAR]))/C1),"")</f>
        <v>123.21313680808079</v>
      </c>
      <c r="G1" s="10">
        <f>SUM(Tablo1456789[KAR])+C1*(D1-F1)</f>
        <v>-42638.010879999994</v>
      </c>
      <c r="J1" s="45" t="s">
        <v>94</v>
      </c>
      <c r="K1" s="45" t="s">
        <v>95</v>
      </c>
      <c r="L1" s="45" t="s">
        <v>96</v>
      </c>
      <c r="M1" s="33">
        <f>F1</f>
        <v>123.21313680808079</v>
      </c>
      <c r="N1" s="8" t="e">
        <f>M1*(1+$J$1)</f>
        <v>#VALUE!</v>
      </c>
      <c r="P1" s="8" t="e">
        <f>Q1*(1-$J$1)</f>
        <v>#VALUE!</v>
      </c>
      <c r="Q1" s="33">
        <f>+D1</f>
        <v>95.1</v>
      </c>
      <c r="R1" s="8" t="e">
        <f>Q1*(1+$J$1)</f>
        <v>#VALUE!</v>
      </c>
    </row>
    <row r="2" spans="2:18" ht="21" customHeight="1" x14ac:dyDescent="0.3">
      <c r="B2" s="7" t="s">
        <v>18</v>
      </c>
      <c r="J2" s="45">
        <f>SUMIFS(Tablo2[HEDEF2],Tablo2[HİSSE],B2)</f>
        <v>2000</v>
      </c>
      <c r="K2" s="45">
        <f>+E1/İcmal!$P$2</f>
        <v>2894.2207193359973</v>
      </c>
      <c r="L2" s="45">
        <f>+J2-K2</f>
        <v>-894.22071933599727</v>
      </c>
    </row>
    <row r="3" spans="2:18" ht="21" customHeight="1" x14ac:dyDescent="0.3">
      <c r="B3" s="1" t="s">
        <v>0</v>
      </c>
      <c r="C3" s="6" t="s">
        <v>4</v>
      </c>
      <c r="D3" s="3" t="s">
        <v>1</v>
      </c>
      <c r="E3" s="3" t="s">
        <v>3</v>
      </c>
      <c r="F3" s="5" t="s">
        <v>2</v>
      </c>
      <c r="G3" s="3" t="s">
        <v>8</v>
      </c>
      <c r="H3" s="3" t="s">
        <v>9</v>
      </c>
    </row>
    <row r="4" spans="2:18" ht="21" hidden="1" customHeight="1" x14ac:dyDescent="0.3">
      <c r="B4" s="2">
        <v>45291</v>
      </c>
      <c r="C4" s="6">
        <v>6628</v>
      </c>
      <c r="D4" s="10">
        <v>42.098300000000002</v>
      </c>
      <c r="E4" s="10">
        <v>42.82432</v>
      </c>
      <c r="F4" s="9">
        <f>IF(Tablo1456789[[#This Row],[SATIŞ]]=0,"Açık",(E4-D4)*C4)</f>
        <v>4812.060559999989</v>
      </c>
      <c r="G4" s="11">
        <f>Tablo1456789[[#This Row],[ADET]]*Tablo1456789[[#This Row],[ALIŞ]]</f>
        <v>279027.53240000003</v>
      </c>
      <c r="H4" s="11">
        <f>Tablo1456789[[#This Row],[ADET]]*Tablo1456789[[#This Row],[SATIŞ]]</f>
        <v>283839.59295999998</v>
      </c>
      <c r="L4" s="8">
        <f>SUM(Tablo1456789[ALIŞ TUTAR])</f>
        <v>939277.99840000004</v>
      </c>
      <c r="M4" s="8">
        <f>SUM(Tablo1456789[SATIŞ TUTAR])</f>
        <v>817296.99296000006</v>
      </c>
      <c r="N4" s="8">
        <f>L4-M4</f>
        <v>121981.00543999998</v>
      </c>
    </row>
    <row r="5" spans="2:18" ht="21" hidden="1" customHeight="1" x14ac:dyDescent="0.3">
      <c r="B5" s="2">
        <v>45291</v>
      </c>
      <c r="C5" s="6">
        <v>5</v>
      </c>
      <c r="D5" s="10">
        <v>42.098300000000002</v>
      </c>
      <c r="E5" s="10">
        <v>126</v>
      </c>
      <c r="F5" s="9">
        <f>IF(Tablo1456789[[#This Row],[SATIŞ]]=0,"Açık",(E5-D5)*C5)</f>
        <v>419.50850000000003</v>
      </c>
      <c r="G5" s="11">
        <f>Tablo1456789[[#This Row],[ADET]]*Tablo1456789[[#This Row],[ALIŞ]]</f>
        <v>210.4915</v>
      </c>
      <c r="H5" s="11">
        <f>Tablo1456789[[#This Row],[ADET]]*Tablo1456789[[#This Row],[SATIŞ]]</f>
        <v>630</v>
      </c>
      <c r="N5">
        <f>+N4/80</f>
        <v>1524.7625679999996</v>
      </c>
    </row>
    <row r="6" spans="2:18" ht="21" hidden="1" customHeight="1" x14ac:dyDescent="0.3">
      <c r="B6" s="2">
        <v>45291</v>
      </c>
      <c r="C6" s="6">
        <v>2</v>
      </c>
      <c r="D6" s="10">
        <v>42.098300000000002</v>
      </c>
      <c r="E6" s="10">
        <v>127</v>
      </c>
      <c r="F6" s="9">
        <f>IF(Tablo1456789[[#This Row],[SATIŞ]]=0,"Açık",(E6-D6)*C6)</f>
        <v>169.80340000000001</v>
      </c>
      <c r="G6" s="11">
        <f>Tablo1456789[[#This Row],[ADET]]*Tablo1456789[[#This Row],[ALIŞ]]</f>
        <v>84.196600000000004</v>
      </c>
      <c r="H6" s="11">
        <f>Tablo1456789[[#This Row],[ADET]]*Tablo1456789[[#This Row],[SATIŞ]]</f>
        <v>254</v>
      </c>
    </row>
    <row r="7" spans="2:18" ht="21" hidden="1" customHeight="1" x14ac:dyDescent="0.3">
      <c r="B7" s="2">
        <v>45291</v>
      </c>
      <c r="C7" s="6">
        <v>13</v>
      </c>
      <c r="D7" s="10">
        <v>42.098300000000002</v>
      </c>
      <c r="E7" s="10">
        <v>123</v>
      </c>
      <c r="F7" s="9">
        <f>IF(Tablo1456789[[#This Row],[SATIŞ]]=0,"Açık",(E7-D7)*C7)</f>
        <v>1051.7221</v>
      </c>
      <c r="G7" s="11">
        <f>Tablo1456789[[#This Row],[ADET]]*Tablo1456789[[#This Row],[ALIŞ]]</f>
        <v>547.27790000000005</v>
      </c>
      <c r="H7" s="11">
        <f>Tablo1456789[[#This Row],[ADET]]*Tablo1456789[[#This Row],[SATIŞ]]</f>
        <v>1599</v>
      </c>
    </row>
    <row r="8" spans="2:18" ht="21" hidden="1" customHeight="1" x14ac:dyDescent="0.3">
      <c r="B8" s="2">
        <v>45327</v>
      </c>
      <c r="C8" s="6">
        <v>3</v>
      </c>
      <c r="D8" s="10">
        <v>125</v>
      </c>
      <c r="E8" s="10">
        <v>123</v>
      </c>
      <c r="F8" s="9">
        <f>IF(Tablo1456789[[#This Row],[SATIŞ]]=0,"Açık",(E8-D8)*C8)</f>
        <v>-6</v>
      </c>
      <c r="G8" s="11">
        <f>Tablo1456789[[#This Row],[ADET]]*Tablo1456789[[#This Row],[ALIŞ]]</f>
        <v>375</v>
      </c>
      <c r="H8" s="11">
        <f>Tablo1456789[[#This Row],[ADET]]*Tablo1456789[[#This Row],[SATIŞ]]</f>
        <v>369</v>
      </c>
    </row>
    <row r="9" spans="2:18" ht="21" hidden="1" customHeight="1" x14ac:dyDescent="0.3">
      <c r="B9" s="2">
        <v>45328</v>
      </c>
      <c r="C9" s="6">
        <v>10</v>
      </c>
      <c r="D9" s="10">
        <v>125</v>
      </c>
      <c r="E9" s="10">
        <v>123</v>
      </c>
      <c r="F9" s="9">
        <f>IF(Tablo1456789[[#This Row],[SATIŞ]]=0,"Açık",(E9-D9)*C9)</f>
        <v>-20</v>
      </c>
      <c r="G9" s="11">
        <f>Tablo1456789[[#This Row],[ADET]]*Tablo1456789[[#This Row],[ALIŞ]]</f>
        <v>1250</v>
      </c>
      <c r="H9" s="11">
        <f>Tablo1456789[[#This Row],[ADET]]*Tablo1456789[[#This Row],[SATIŞ]]</f>
        <v>1230</v>
      </c>
    </row>
    <row r="10" spans="2:18" ht="21" hidden="1" customHeight="1" x14ac:dyDescent="0.3">
      <c r="B10" s="2">
        <v>45329</v>
      </c>
      <c r="C10" s="6">
        <v>4</v>
      </c>
      <c r="D10" s="10">
        <v>129</v>
      </c>
      <c r="E10" s="10">
        <v>123</v>
      </c>
      <c r="F10" s="9">
        <f>IF(Tablo1456789[[#This Row],[SATIŞ]]=0,"Açık",(E10-D10)*C10)</f>
        <v>-24</v>
      </c>
      <c r="G10" s="11">
        <f>Tablo1456789[[#This Row],[ADET]]*Tablo1456789[[#This Row],[ALIŞ]]</f>
        <v>516</v>
      </c>
      <c r="H10" s="11">
        <f>Tablo1456789[[#This Row],[ADET]]*Tablo1456789[[#This Row],[SATIŞ]]</f>
        <v>492</v>
      </c>
    </row>
    <row r="11" spans="2:18" ht="21" hidden="1" customHeight="1" x14ac:dyDescent="0.3">
      <c r="B11" s="2">
        <v>45329</v>
      </c>
      <c r="C11" s="6">
        <v>10</v>
      </c>
      <c r="D11" s="10">
        <v>128.80000000000001</v>
      </c>
      <c r="E11" s="10">
        <v>129</v>
      </c>
      <c r="F11" s="9">
        <f>IF(Tablo1456789[[#This Row],[SATIŞ]]=0,"Açık",(E11-D11)*C11)</f>
        <v>1.9999999999998863</v>
      </c>
      <c r="G11" s="11">
        <f>Tablo1456789[[#This Row],[ADET]]*Tablo1456789[[#This Row],[ALIŞ]]</f>
        <v>1288</v>
      </c>
      <c r="H11" s="11">
        <f>Tablo1456789[[#This Row],[ADET]]*Tablo1456789[[#This Row],[SATIŞ]]</f>
        <v>1290</v>
      </c>
    </row>
    <row r="12" spans="2:18" ht="21" hidden="1" customHeight="1" x14ac:dyDescent="0.3">
      <c r="B12" s="2">
        <v>45329</v>
      </c>
      <c r="C12" s="6">
        <v>10</v>
      </c>
      <c r="D12" s="10">
        <v>128.80000000000001</v>
      </c>
      <c r="E12" s="10">
        <v>131</v>
      </c>
      <c r="F12" s="9">
        <f>IF(Tablo1456789[[#This Row],[SATIŞ]]=0,"Açık",(E12-D12)*C12)</f>
        <v>21.999999999999886</v>
      </c>
      <c r="G12" s="11">
        <f>Tablo1456789[[#This Row],[ADET]]*Tablo1456789[[#This Row],[ALIŞ]]</f>
        <v>1288</v>
      </c>
      <c r="H12" s="11">
        <f>Tablo1456789[[#This Row],[ADET]]*Tablo1456789[[#This Row],[SATIŞ]]</f>
        <v>1310</v>
      </c>
    </row>
    <row r="13" spans="2:18" ht="21" hidden="1" customHeight="1" x14ac:dyDescent="0.3">
      <c r="B13" s="2">
        <v>45329</v>
      </c>
      <c r="C13" s="6">
        <v>10</v>
      </c>
      <c r="D13" s="10">
        <v>128.9</v>
      </c>
      <c r="E13" s="10">
        <v>130</v>
      </c>
      <c r="F13" s="9">
        <f>IF(Tablo1456789[[#This Row],[SATIŞ]]=0,"Açık",(E13-D13)*C13)</f>
        <v>10.999999999999943</v>
      </c>
      <c r="G13" s="11">
        <f>Tablo1456789[[#This Row],[ADET]]*Tablo1456789[[#This Row],[ALIŞ]]</f>
        <v>1289</v>
      </c>
      <c r="H13" s="11">
        <f>Tablo1456789[[#This Row],[ADET]]*Tablo1456789[[#This Row],[SATIŞ]]</f>
        <v>1300</v>
      </c>
    </row>
    <row r="14" spans="2:18" ht="21" customHeight="1" x14ac:dyDescent="0.3">
      <c r="B14" s="2">
        <v>45329</v>
      </c>
      <c r="C14" s="6">
        <v>10</v>
      </c>
      <c r="D14" s="10">
        <v>128.9</v>
      </c>
      <c r="E14" s="10"/>
      <c r="F14" s="9" t="str">
        <f>IF(Tablo1456789[[#This Row],[SATIŞ]]=0,"Açık",(E14-D14)*C14)</f>
        <v>Açık</v>
      </c>
      <c r="G14" s="11">
        <f>Tablo1456789[[#This Row],[ADET]]*Tablo1456789[[#This Row],[ALIŞ]]</f>
        <v>1289</v>
      </c>
      <c r="H14" s="11">
        <f>Tablo1456789[[#This Row],[ADET]]*Tablo1456789[[#This Row],[SATIŞ]]</f>
        <v>0</v>
      </c>
      <c r="J14" s="40">
        <f t="shared" ref="J14:J45" si="0">IF(E14=0,D14*1.05,"")</f>
        <v>135.345</v>
      </c>
    </row>
    <row r="15" spans="2:18" ht="21" hidden="1" customHeight="1" x14ac:dyDescent="0.3">
      <c r="B15" s="2">
        <v>45335</v>
      </c>
      <c r="C15" s="6">
        <v>10</v>
      </c>
      <c r="D15" s="10">
        <v>123</v>
      </c>
      <c r="E15" s="10">
        <v>127</v>
      </c>
      <c r="F15" s="9">
        <f>IF(Tablo1456789[[#This Row],[SATIŞ]]=0,"Açık",(E15-D15)*C15)</f>
        <v>40</v>
      </c>
      <c r="G15" s="11">
        <f>Tablo1456789[[#This Row],[ADET]]*Tablo1456789[[#This Row],[ALIŞ]]</f>
        <v>1230</v>
      </c>
      <c r="H15" s="11">
        <f>Tablo1456789[[#This Row],[ADET]]*Tablo1456789[[#This Row],[SATIŞ]]</f>
        <v>1270</v>
      </c>
      <c r="J15" s="40" t="str">
        <f t="shared" si="0"/>
        <v/>
      </c>
    </row>
    <row r="16" spans="2:18" ht="21" hidden="1" customHeight="1" x14ac:dyDescent="0.3">
      <c r="B16" s="2">
        <v>45336</v>
      </c>
      <c r="C16" s="6">
        <v>20</v>
      </c>
      <c r="D16" s="10">
        <v>121</v>
      </c>
      <c r="E16" s="10">
        <v>127</v>
      </c>
      <c r="F16" s="9">
        <f>IF(Tablo1456789[[#This Row],[SATIŞ]]=0,"Açık",(E16-D16)*C16)</f>
        <v>120</v>
      </c>
      <c r="G16" s="11">
        <f>Tablo1456789[[#This Row],[ADET]]*Tablo1456789[[#This Row],[ALIŞ]]</f>
        <v>2420</v>
      </c>
      <c r="H16" s="11">
        <f>Tablo1456789[[#This Row],[ADET]]*Tablo1456789[[#This Row],[SATIŞ]]</f>
        <v>2540</v>
      </c>
      <c r="J16" s="40" t="str">
        <f t="shared" si="0"/>
        <v/>
      </c>
    </row>
    <row r="17" spans="2:10" ht="21" hidden="1" customHeight="1" x14ac:dyDescent="0.3">
      <c r="B17" s="2">
        <v>45336</v>
      </c>
      <c r="C17" s="6">
        <v>10</v>
      </c>
      <c r="D17" s="10">
        <v>119.5</v>
      </c>
      <c r="E17" s="10">
        <v>122</v>
      </c>
      <c r="F17" s="9">
        <f>IF(Tablo1456789[[#This Row],[SATIŞ]]=0,"Açık",(E17-D17)*C17)</f>
        <v>25</v>
      </c>
      <c r="G17" s="11">
        <f>Tablo1456789[[#This Row],[ADET]]*Tablo1456789[[#This Row],[ALIŞ]]</f>
        <v>1195</v>
      </c>
      <c r="H17" s="11">
        <f>Tablo1456789[[#This Row],[ADET]]*Tablo1456789[[#This Row],[SATIŞ]]</f>
        <v>1220</v>
      </c>
      <c r="J17" s="40" t="str">
        <f t="shared" si="0"/>
        <v/>
      </c>
    </row>
    <row r="18" spans="2:10" ht="21" hidden="1" customHeight="1" x14ac:dyDescent="0.3">
      <c r="B18" s="2">
        <v>45336</v>
      </c>
      <c r="C18" s="6">
        <v>10</v>
      </c>
      <c r="D18" s="10">
        <v>119.5</v>
      </c>
      <c r="E18" s="10">
        <v>125</v>
      </c>
      <c r="F18" s="9">
        <f>IF(Tablo1456789[[#This Row],[SATIŞ]]=0,"Açık",(E18-D18)*C18)</f>
        <v>55</v>
      </c>
      <c r="G18" s="11">
        <f>Tablo1456789[[#This Row],[ADET]]*Tablo1456789[[#This Row],[ALIŞ]]</f>
        <v>1195</v>
      </c>
      <c r="H18" s="11">
        <f>Tablo1456789[[#This Row],[ADET]]*Tablo1456789[[#This Row],[SATIŞ]]</f>
        <v>1250</v>
      </c>
      <c r="J18" s="40" t="str">
        <f t="shared" si="0"/>
        <v/>
      </c>
    </row>
    <row r="19" spans="2:10" ht="21" customHeight="1" x14ac:dyDescent="0.3">
      <c r="B19" s="2">
        <v>45336</v>
      </c>
      <c r="C19" s="6">
        <v>10</v>
      </c>
      <c r="D19" s="10">
        <v>120</v>
      </c>
      <c r="E19" s="10"/>
      <c r="F19" s="9" t="str">
        <f>IF(Tablo1456789[[#This Row],[SATIŞ]]=0,"Açık",(E19-D19)*C19)</f>
        <v>Açık</v>
      </c>
      <c r="G19" s="11">
        <f>Tablo1456789[[#This Row],[ADET]]*Tablo1456789[[#This Row],[ALIŞ]]</f>
        <v>1200</v>
      </c>
      <c r="H19" s="11">
        <f>Tablo1456789[[#This Row],[ADET]]*Tablo1456789[[#This Row],[SATIŞ]]</f>
        <v>0</v>
      </c>
      <c r="J19" s="40">
        <f t="shared" si="0"/>
        <v>126</v>
      </c>
    </row>
    <row r="20" spans="2:10" ht="21" hidden="1" customHeight="1" x14ac:dyDescent="0.3">
      <c r="B20" s="2">
        <v>45341</v>
      </c>
      <c r="C20" s="6">
        <v>20</v>
      </c>
      <c r="D20" s="10">
        <v>118</v>
      </c>
      <c r="E20" s="10">
        <v>125</v>
      </c>
      <c r="F20" s="9">
        <f>IF(Tablo1456789[[#This Row],[SATIŞ]]=0,"Açık",(E20-D20)*C20)</f>
        <v>140</v>
      </c>
      <c r="G20" s="11">
        <f>Tablo1456789[[#This Row],[ADET]]*Tablo1456789[[#This Row],[ALIŞ]]</f>
        <v>2360</v>
      </c>
      <c r="H20" s="11">
        <f>Tablo1456789[[#This Row],[ADET]]*Tablo1456789[[#This Row],[SATIŞ]]</f>
        <v>2500</v>
      </c>
      <c r="J20" s="40" t="str">
        <f t="shared" si="0"/>
        <v/>
      </c>
    </row>
    <row r="21" spans="2:10" ht="21" customHeight="1" x14ac:dyDescent="0.3">
      <c r="B21" s="2">
        <v>45345</v>
      </c>
      <c r="C21" s="6">
        <v>10</v>
      </c>
      <c r="D21" s="10">
        <v>123.5</v>
      </c>
      <c r="E21" s="10"/>
      <c r="F21" s="9" t="str">
        <f>IF(Tablo1456789[[#This Row],[SATIŞ]]=0,"Açık",(E21-D21)*C21)</f>
        <v>Açık</v>
      </c>
      <c r="G21" s="11">
        <f>Tablo1456789[[#This Row],[ADET]]*Tablo1456789[[#This Row],[ALIŞ]]</f>
        <v>1235</v>
      </c>
      <c r="H21" s="11">
        <f>Tablo1456789[[#This Row],[ADET]]*Tablo1456789[[#This Row],[SATIŞ]]</f>
        <v>0</v>
      </c>
      <c r="J21" s="40">
        <f t="shared" si="0"/>
        <v>129.67500000000001</v>
      </c>
    </row>
    <row r="22" spans="2:10" ht="21" hidden="1" customHeight="1" x14ac:dyDescent="0.3">
      <c r="B22" s="2">
        <v>45345</v>
      </c>
      <c r="C22" s="6">
        <v>30</v>
      </c>
      <c r="D22" s="10">
        <v>123.5</v>
      </c>
      <c r="E22" s="10">
        <v>128</v>
      </c>
      <c r="F22" s="9">
        <f>IF(Tablo1456789[[#This Row],[SATIŞ]]=0,"Açık",(E22-D22)*C22)</f>
        <v>135</v>
      </c>
      <c r="G22" s="11">
        <f>Tablo1456789[[#This Row],[ADET]]*Tablo1456789[[#This Row],[ALIŞ]]</f>
        <v>3705</v>
      </c>
      <c r="H22" s="11">
        <f>Tablo1456789[[#This Row],[ADET]]*Tablo1456789[[#This Row],[SATIŞ]]</f>
        <v>3840</v>
      </c>
      <c r="J22" s="40" t="str">
        <f t="shared" si="0"/>
        <v/>
      </c>
    </row>
    <row r="23" spans="2:10" ht="21" customHeight="1" x14ac:dyDescent="0.3">
      <c r="B23" s="2">
        <v>45349</v>
      </c>
      <c r="C23" s="6">
        <v>60</v>
      </c>
      <c r="D23" s="10">
        <v>133.6</v>
      </c>
      <c r="E23" s="10"/>
      <c r="F23" s="9" t="str">
        <f>IF(Tablo1456789[[#This Row],[SATIŞ]]=0,"Açık",(E23-D23)*C23)</f>
        <v>Açık</v>
      </c>
      <c r="G23" s="11">
        <f>Tablo1456789[[#This Row],[ADET]]*Tablo1456789[[#This Row],[ALIŞ]]</f>
        <v>8016</v>
      </c>
      <c r="H23" s="11">
        <f>Tablo1456789[[#This Row],[ADET]]*Tablo1456789[[#This Row],[SATIŞ]]</f>
        <v>0</v>
      </c>
      <c r="J23" s="40">
        <f t="shared" si="0"/>
        <v>140.28</v>
      </c>
    </row>
    <row r="24" spans="2:10" ht="21" customHeight="1" x14ac:dyDescent="0.3">
      <c r="B24" s="2">
        <v>45350</v>
      </c>
      <c r="C24" s="6">
        <v>150</v>
      </c>
      <c r="D24" s="10">
        <v>123</v>
      </c>
      <c r="E24" s="10"/>
      <c r="F24" s="9" t="str">
        <f>IF(Tablo1456789[[#This Row],[SATIŞ]]=0,"Açık",(E24-D24)*C24)</f>
        <v>Açık</v>
      </c>
      <c r="G24" s="11">
        <f>Tablo1456789[[#This Row],[ADET]]*Tablo1456789[[#This Row],[ALIŞ]]</f>
        <v>18450</v>
      </c>
      <c r="H24" s="11">
        <f>Tablo1456789[[#This Row],[ADET]]*Tablo1456789[[#This Row],[SATIŞ]]</f>
        <v>0</v>
      </c>
      <c r="J24" s="40">
        <f t="shared" si="0"/>
        <v>129.15</v>
      </c>
    </row>
    <row r="25" spans="2:10" ht="21" customHeight="1" x14ac:dyDescent="0.3">
      <c r="B25" s="2">
        <v>45355</v>
      </c>
      <c r="C25" s="6">
        <v>10</v>
      </c>
      <c r="D25" s="10">
        <v>120</v>
      </c>
      <c r="E25" s="10"/>
      <c r="F25" s="9" t="str">
        <f>IF(Tablo1456789[[#This Row],[SATIŞ]]=0,"Açık",(E25-D25)*C25)</f>
        <v>Açık</v>
      </c>
      <c r="G25" s="11">
        <f>Tablo1456789[[#This Row],[ADET]]*Tablo1456789[[#This Row],[ALIŞ]]</f>
        <v>1200</v>
      </c>
      <c r="H25" s="11">
        <f>Tablo1456789[[#This Row],[ADET]]*Tablo1456789[[#This Row],[SATIŞ]]</f>
        <v>0</v>
      </c>
      <c r="J25" s="40">
        <f t="shared" si="0"/>
        <v>126</v>
      </c>
    </row>
    <row r="26" spans="2:10" ht="21" customHeight="1" x14ac:dyDescent="0.3">
      <c r="B26" s="2">
        <v>45356</v>
      </c>
      <c r="C26" s="6">
        <v>10</v>
      </c>
      <c r="D26" s="10">
        <v>120</v>
      </c>
      <c r="E26" s="10"/>
      <c r="F26" s="9" t="str">
        <f>IF(Tablo1456789[[#This Row],[SATIŞ]]=0,"Açık",(E26-D26)*C26)</f>
        <v>Açık</v>
      </c>
      <c r="G26" s="11">
        <f>Tablo1456789[[#This Row],[ADET]]*Tablo1456789[[#This Row],[ALIŞ]]</f>
        <v>1200</v>
      </c>
      <c r="H26" s="11">
        <f>Tablo1456789[[#This Row],[ADET]]*Tablo1456789[[#This Row],[SATIŞ]]</f>
        <v>0</v>
      </c>
      <c r="J26" s="40">
        <f t="shared" si="0"/>
        <v>126</v>
      </c>
    </row>
    <row r="27" spans="2:10" ht="21" customHeight="1" x14ac:dyDescent="0.3">
      <c r="B27" s="2">
        <v>45356</v>
      </c>
      <c r="C27" s="6">
        <v>10</v>
      </c>
      <c r="D27" s="10">
        <v>119</v>
      </c>
      <c r="E27" s="10"/>
      <c r="F27" s="9" t="str">
        <f>IF(Tablo1456789[[#This Row],[SATIŞ]]=0,"Açık",(E27-D27)*C27)</f>
        <v>Açık</v>
      </c>
      <c r="G27" s="11">
        <f>Tablo1456789[[#This Row],[ADET]]*Tablo1456789[[#This Row],[ALIŞ]]</f>
        <v>1190</v>
      </c>
      <c r="H27" s="11">
        <f>Tablo1456789[[#This Row],[ADET]]*Tablo1456789[[#This Row],[SATIŞ]]</f>
        <v>0</v>
      </c>
      <c r="J27" s="40">
        <f t="shared" si="0"/>
        <v>124.95</v>
      </c>
    </row>
    <row r="28" spans="2:10" ht="21" hidden="1" customHeight="1" x14ac:dyDescent="0.3">
      <c r="B28" s="2">
        <v>45356</v>
      </c>
      <c r="C28" s="6">
        <v>10</v>
      </c>
      <c r="D28" s="10">
        <v>118</v>
      </c>
      <c r="E28" s="10">
        <v>119</v>
      </c>
      <c r="F28" s="9">
        <f>IF(Tablo1456789[[#This Row],[SATIŞ]]=0,"Açık",(E28-D28)*C28)</f>
        <v>10</v>
      </c>
      <c r="G28" s="11">
        <f>Tablo1456789[[#This Row],[ADET]]*Tablo1456789[[#This Row],[ALIŞ]]</f>
        <v>1180</v>
      </c>
      <c r="H28" s="11">
        <f>Tablo1456789[[#This Row],[ADET]]*Tablo1456789[[#This Row],[SATIŞ]]</f>
        <v>1190</v>
      </c>
      <c r="J28" s="40" t="str">
        <f t="shared" si="0"/>
        <v/>
      </c>
    </row>
    <row r="29" spans="2:10" ht="21" hidden="1" customHeight="1" x14ac:dyDescent="0.3">
      <c r="B29" s="2">
        <v>45356</v>
      </c>
      <c r="C29" s="6">
        <v>10</v>
      </c>
      <c r="D29" s="10">
        <v>114.6</v>
      </c>
      <c r="E29" s="10">
        <v>118</v>
      </c>
      <c r="F29" s="9">
        <f>IF(Tablo1456789[[#This Row],[SATIŞ]]=0,"Açık",(E29-D29)*C29)</f>
        <v>34.000000000000057</v>
      </c>
      <c r="G29" s="11">
        <f>Tablo1456789[[#This Row],[ADET]]*Tablo1456789[[#This Row],[ALIŞ]]</f>
        <v>1146</v>
      </c>
      <c r="H29" s="11">
        <f>Tablo1456789[[#This Row],[ADET]]*Tablo1456789[[#This Row],[SATIŞ]]</f>
        <v>1180</v>
      </c>
      <c r="J29" s="40" t="str">
        <f t="shared" si="0"/>
        <v/>
      </c>
    </row>
    <row r="30" spans="2:10" ht="21" customHeight="1" x14ac:dyDescent="0.3">
      <c r="B30" s="2">
        <v>45358</v>
      </c>
      <c r="C30" s="6">
        <v>10</v>
      </c>
      <c r="D30" s="10">
        <v>116</v>
      </c>
      <c r="E30" s="10"/>
      <c r="F30" s="9" t="str">
        <f>IF(Tablo1456789[[#This Row],[SATIŞ]]=0,"Açık",(E30-D30)*C30)</f>
        <v>Açık</v>
      </c>
      <c r="G30" s="11">
        <f>Tablo1456789[[#This Row],[ADET]]*Tablo1456789[[#This Row],[ALIŞ]]</f>
        <v>1160</v>
      </c>
      <c r="H30" s="11">
        <f>Tablo1456789[[#This Row],[ADET]]*Tablo1456789[[#This Row],[SATIŞ]]</f>
        <v>0</v>
      </c>
      <c r="J30" s="40">
        <f t="shared" si="0"/>
        <v>121.80000000000001</v>
      </c>
    </row>
    <row r="31" spans="2:10" ht="21" customHeight="1" x14ac:dyDescent="0.3">
      <c r="B31" s="2">
        <v>45358</v>
      </c>
      <c r="C31" s="6">
        <v>10</v>
      </c>
      <c r="D31" s="10">
        <v>115</v>
      </c>
      <c r="E31" s="10"/>
      <c r="F31" s="9" t="str">
        <f>IF(Tablo1456789[[#This Row],[SATIŞ]]=0,"Açık",(E31-D31)*C31)</f>
        <v>Açık</v>
      </c>
      <c r="G31" s="11">
        <f>Tablo1456789[[#This Row],[ADET]]*Tablo1456789[[#This Row],[ALIŞ]]</f>
        <v>1150</v>
      </c>
      <c r="H31" s="11">
        <f>Tablo1456789[[#This Row],[ADET]]*Tablo1456789[[#This Row],[SATIŞ]]</f>
        <v>0</v>
      </c>
      <c r="J31" s="40">
        <f t="shared" si="0"/>
        <v>120.75</v>
      </c>
    </row>
    <row r="32" spans="2:10" ht="21" customHeight="1" x14ac:dyDescent="0.3">
      <c r="B32" s="2">
        <v>45359</v>
      </c>
      <c r="C32" s="6">
        <v>20</v>
      </c>
      <c r="D32" s="10">
        <v>114</v>
      </c>
      <c r="E32" s="10"/>
      <c r="F32" s="9" t="str">
        <f>IF(Tablo1456789[[#This Row],[SATIŞ]]=0,"Açık",(E32-D32)*C32)</f>
        <v>Açık</v>
      </c>
      <c r="G32" s="11">
        <f>Tablo1456789[[#This Row],[ADET]]*Tablo1456789[[#This Row],[ALIŞ]]</f>
        <v>2280</v>
      </c>
      <c r="H32" s="11">
        <f>Tablo1456789[[#This Row],[ADET]]*Tablo1456789[[#This Row],[SATIŞ]]</f>
        <v>0</v>
      </c>
      <c r="J32" s="40">
        <f t="shared" si="0"/>
        <v>119.7</v>
      </c>
    </row>
    <row r="33" spans="2:10" ht="21" customHeight="1" x14ac:dyDescent="0.3">
      <c r="B33" s="2">
        <v>45359</v>
      </c>
      <c r="C33" s="6">
        <v>10</v>
      </c>
      <c r="D33" s="10">
        <v>112</v>
      </c>
      <c r="E33" s="10"/>
      <c r="F33" s="9" t="str">
        <f>IF(Tablo1456789[[#This Row],[SATIŞ]]=0,"Açık",(E33-D33)*C33)</f>
        <v>Açık</v>
      </c>
      <c r="G33" s="11">
        <f>Tablo1456789[[#This Row],[ADET]]*Tablo1456789[[#This Row],[ALIŞ]]</f>
        <v>1120</v>
      </c>
      <c r="H33" s="11">
        <f>Tablo1456789[[#This Row],[ADET]]*Tablo1456789[[#This Row],[SATIŞ]]</f>
        <v>0</v>
      </c>
      <c r="J33" s="40">
        <f t="shared" si="0"/>
        <v>117.60000000000001</v>
      </c>
    </row>
    <row r="34" spans="2:10" ht="21" hidden="1" customHeight="1" x14ac:dyDescent="0.3">
      <c r="B34" s="2">
        <v>45359</v>
      </c>
      <c r="C34" s="6">
        <v>10</v>
      </c>
      <c r="D34" s="10">
        <v>112</v>
      </c>
      <c r="E34" s="10">
        <v>115</v>
      </c>
      <c r="F34" s="9">
        <f>IF(Tablo1456789[[#This Row],[SATIŞ]]=0,"Açık",(E34-D34)*C34)</f>
        <v>30</v>
      </c>
      <c r="G34" s="11">
        <f>Tablo1456789[[#This Row],[ADET]]*Tablo1456789[[#This Row],[ALIŞ]]</f>
        <v>1120</v>
      </c>
      <c r="H34" s="11">
        <f>Tablo1456789[[#This Row],[ADET]]*Tablo1456789[[#This Row],[SATIŞ]]</f>
        <v>1150</v>
      </c>
      <c r="J34" s="40" t="str">
        <f t="shared" si="0"/>
        <v/>
      </c>
    </row>
    <row r="35" spans="2:10" ht="21" hidden="1" customHeight="1" x14ac:dyDescent="0.3">
      <c r="B35" s="2">
        <v>45359</v>
      </c>
      <c r="C35" s="6">
        <v>10</v>
      </c>
      <c r="D35" s="10">
        <v>112</v>
      </c>
      <c r="E35" s="10">
        <v>113</v>
      </c>
      <c r="F35" s="9">
        <f>IF(Tablo1456789[[#This Row],[SATIŞ]]=0,"Açık",(E35-D35)*C35)</f>
        <v>10</v>
      </c>
      <c r="G35" s="11">
        <f>Tablo1456789[[#This Row],[ADET]]*Tablo1456789[[#This Row],[ALIŞ]]</f>
        <v>1120</v>
      </c>
      <c r="H35" s="11">
        <f>Tablo1456789[[#This Row],[ADET]]*Tablo1456789[[#This Row],[SATIŞ]]</f>
        <v>1130</v>
      </c>
      <c r="J35" s="40" t="str">
        <f t="shared" si="0"/>
        <v/>
      </c>
    </row>
    <row r="36" spans="2:10" ht="21" hidden="1" customHeight="1" x14ac:dyDescent="0.3">
      <c r="B36" s="2">
        <v>45359</v>
      </c>
      <c r="C36" s="6">
        <v>10</v>
      </c>
      <c r="D36" s="10">
        <v>112</v>
      </c>
      <c r="E36" s="10">
        <v>114.9</v>
      </c>
      <c r="F36" s="9">
        <f>IF(Tablo1456789[[#This Row],[SATIŞ]]=0,"Açık",(E36-D36)*C36)</f>
        <v>29.000000000000057</v>
      </c>
      <c r="G36" s="11">
        <f>Tablo1456789[[#This Row],[ADET]]*Tablo1456789[[#This Row],[ALIŞ]]</f>
        <v>1120</v>
      </c>
      <c r="H36" s="11">
        <f>Tablo1456789[[#This Row],[ADET]]*Tablo1456789[[#This Row],[SATIŞ]]</f>
        <v>1149</v>
      </c>
      <c r="J36" s="40" t="str">
        <f t="shared" si="0"/>
        <v/>
      </c>
    </row>
    <row r="37" spans="2:10" ht="21" customHeight="1" x14ac:dyDescent="0.3">
      <c r="B37" s="2">
        <v>45359</v>
      </c>
      <c r="C37" s="6">
        <v>30</v>
      </c>
      <c r="D37" s="10">
        <v>112</v>
      </c>
      <c r="E37" s="10"/>
      <c r="F37" s="9" t="str">
        <f>IF(Tablo1456789[[#This Row],[SATIŞ]]=0,"Açık",(E37-D37)*C37)</f>
        <v>Açık</v>
      </c>
      <c r="G37" s="11">
        <f>Tablo1456789[[#This Row],[ADET]]*Tablo1456789[[#This Row],[ALIŞ]]</f>
        <v>3360</v>
      </c>
      <c r="H37" s="11">
        <f>Tablo1456789[[#This Row],[ADET]]*Tablo1456789[[#This Row],[SATIŞ]]</f>
        <v>0</v>
      </c>
      <c r="J37" s="40">
        <f t="shared" si="0"/>
        <v>117.60000000000001</v>
      </c>
    </row>
    <row r="38" spans="2:10" ht="21" customHeight="1" x14ac:dyDescent="0.3">
      <c r="B38" s="2">
        <v>45362</v>
      </c>
      <c r="C38" s="6">
        <v>10</v>
      </c>
      <c r="D38" s="10">
        <v>113</v>
      </c>
      <c r="E38" s="10"/>
      <c r="F38" s="9" t="str">
        <f>IF(Tablo1456789[[#This Row],[SATIŞ]]=0,"Açık",(E38-D38)*C38)</f>
        <v>Açık</v>
      </c>
      <c r="G38" s="11">
        <f>Tablo1456789[[#This Row],[ADET]]*Tablo1456789[[#This Row],[ALIŞ]]</f>
        <v>1130</v>
      </c>
      <c r="H38" s="11">
        <f>Tablo1456789[[#This Row],[ADET]]*Tablo1456789[[#This Row],[SATIŞ]]</f>
        <v>0</v>
      </c>
      <c r="J38" s="40">
        <f t="shared" si="0"/>
        <v>118.65</v>
      </c>
    </row>
    <row r="39" spans="2:10" ht="21" customHeight="1" x14ac:dyDescent="0.3">
      <c r="B39" s="2">
        <v>45362</v>
      </c>
      <c r="C39" s="6">
        <v>10</v>
      </c>
      <c r="D39" s="10">
        <v>112</v>
      </c>
      <c r="E39" s="10"/>
      <c r="F39" s="9" t="str">
        <f>IF(Tablo1456789[[#This Row],[SATIŞ]]=0,"Açık",(E39-D39)*C39)</f>
        <v>Açık</v>
      </c>
      <c r="G39" s="11">
        <f>Tablo1456789[[#This Row],[ADET]]*Tablo1456789[[#This Row],[ALIŞ]]</f>
        <v>1120</v>
      </c>
      <c r="H39" s="11">
        <f>Tablo1456789[[#This Row],[ADET]]*Tablo1456789[[#This Row],[SATIŞ]]</f>
        <v>0</v>
      </c>
      <c r="J39" s="40">
        <f t="shared" si="0"/>
        <v>117.60000000000001</v>
      </c>
    </row>
    <row r="40" spans="2:10" ht="21" hidden="1" customHeight="1" x14ac:dyDescent="0.3">
      <c r="B40" s="2">
        <v>45363</v>
      </c>
      <c r="C40" s="6">
        <v>10</v>
      </c>
      <c r="D40" s="10">
        <v>110.6</v>
      </c>
      <c r="E40" s="10">
        <v>111</v>
      </c>
      <c r="F40" s="9">
        <f>IF(Tablo1456789[[#This Row],[SATIŞ]]=0,"Açık",(E40-D40)*C40)</f>
        <v>4.0000000000000568</v>
      </c>
      <c r="G40" s="11">
        <f>Tablo1456789[[#This Row],[ADET]]*Tablo1456789[[#This Row],[ALIŞ]]</f>
        <v>1106</v>
      </c>
      <c r="H40" s="11">
        <f>Tablo1456789[[#This Row],[ADET]]*Tablo1456789[[#This Row],[SATIŞ]]</f>
        <v>1110</v>
      </c>
      <c r="J40" s="40" t="str">
        <f t="shared" si="0"/>
        <v/>
      </c>
    </row>
    <row r="41" spans="2:10" ht="21" hidden="1" customHeight="1" x14ac:dyDescent="0.3">
      <c r="B41" s="2">
        <v>45363</v>
      </c>
      <c r="C41" s="6">
        <v>1190</v>
      </c>
      <c r="D41" s="10">
        <v>110.6</v>
      </c>
      <c r="E41" s="10">
        <v>92.85</v>
      </c>
      <c r="F41" s="9">
        <f>IF(Tablo1456789[[#This Row],[SATIŞ]]=0,"Açık",(E41-D41)*C41)</f>
        <v>-21122.5</v>
      </c>
      <c r="G41" s="11">
        <f>Tablo1456789[[#This Row],[ADET]]*Tablo1456789[[#This Row],[ALIŞ]]</f>
        <v>131614</v>
      </c>
      <c r="H41" s="11">
        <f>Tablo1456789[[#This Row],[ADET]]*Tablo1456789[[#This Row],[SATIŞ]]</f>
        <v>110491.5</v>
      </c>
      <c r="J41" s="40" t="str">
        <f t="shared" si="0"/>
        <v/>
      </c>
    </row>
    <row r="42" spans="2:10" ht="21" customHeight="1" x14ac:dyDescent="0.3">
      <c r="B42" s="2">
        <v>45363</v>
      </c>
      <c r="C42" s="6">
        <v>50</v>
      </c>
      <c r="D42" s="10">
        <v>110</v>
      </c>
      <c r="E42" s="10"/>
      <c r="F42" s="9" t="str">
        <f>IF(Tablo1456789[[#This Row],[SATIŞ]]=0,"Açık",(E42-D42)*C42)</f>
        <v>Açık</v>
      </c>
      <c r="G42" s="11">
        <f>Tablo1456789[[#This Row],[ADET]]*Tablo1456789[[#This Row],[ALIŞ]]</f>
        <v>5500</v>
      </c>
      <c r="H42" s="11">
        <f>Tablo1456789[[#This Row],[ADET]]*Tablo1456789[[#This Row],[SATIŞ]]</f>
        <v>0</v>
      </c>
      <c r="J42" s="40">
        <f t="shared" si="0"/>
        <v>115.5</v>
      </c>
    </row>
    <row r="43" spans="2:10" ht="21" hidden="1" customHeight="1" x14ac:dyDescent="0.3">
      <c r="B43" s="2">
        <v>45363</v>
      </c>
      <c r="C43" s="6">
        <v>50</v>
      </c>
      <c r="D43" s="10">
        <v>110</v>
      </c>
      <c r="E43" s="10">
        <v>111</v>
      </c>
      <c r="F43" s="9">
        <f>IF(Tablo1456789[[#This Row],[SATIŞ]]=0,"Açık",(E43-D43)*C43)</f>
        <v>50</v>
      </c>
      <c r="G43" s="11">
        <f>Tablo1456789[[#This Row],[ADET]]*Tablo1456789[[#This Row],[ALIŞ]]</f>
        <v>5500</v>
      </c>
      <c r="H43" s="11">
        <f>Tablo1456789[[#This Row],[ADET]]*Tablo1456789[[#This Row],[SATIŞ]]</f>
        <v>5550</v>
      </c>
      <c r="J43" s="40" t="str">
        <f t="shared" si="0"/>
        <v/>
      </c>
    </row>
    <row r="44" spans="2:10" ht="21" hidden="1" customHeight="1" x14ac:dyDescent="0.3">
      <c r="B44" s="2">
        <v>45363</v>
      </c>
      <c r="C44" s="6">
        <v>50</v>
      </c>
      <c r="D44" s="10">
        <v>109</v>
      </c>
      <c r="E44" s="10">
        <v>110</v>
      </c>
      <c r="F44" s="9">
        <f>IF(Tablo1456789[[#This Row],[SATIŞ]]=0,"Açık",(E44-D44)*C44)</f>
        <v>50</v>
      </c>
      <c r="G44" s="11">
        <f>Tablo1456789[[#This Row],[ADET]]*Tablo1456789[[#This Row],[ALIŞ]]</f>
        <v>5450</v>
      </c>
      <c r="H44" s="11">
        <f>Tablo1456789[[#This Row],[ADET]]*Tablo1456789[[#This Row],[SATIŞ]]</f>
        <v>5500</v>
      </c>
      <c r="J44" s="40" t="str">
        <f t="shared" si="0"/>
        <v/>
      </c>
    </row>
    <row r="45" spans="2:10" ht="21" hidden="1" customHeight="1" x14ac:dyDescent="0.3">
      <c r="B45" s="2">
        <v>45363</v>
      </c>
      <c r="C45" s="6">
        <v>50</v>
      </c>
      <c r="D45" s="10">
        <v>109</v>
      </c>
      <c r="E45" s="10">
        <v>109</v>
      </c>
      <c r="F45" s="9">
        <f>IF(Tablo1456789[[#This Row],[SATIŞ]]=0,"Açık",(E45-D45)*C45)</f>
        <v>0</v>
      </c>
      <c r="G45" s="11">
        <f>Tablo1456789[[#This Row],[ADET]]*Tablo1456789[[#This Row],[ALIŞ]]</f>
        <v>5450</v>
      </c>
      <c r="H45" s="11">
        <f>Tablo1456789[[#This Row],[ADET]]*Tablo1456789[[#This Row],[SATIŞ]]</f>
        <v>5450</v>
      </c>
      <c r="J45" s="40" t="str">
        <f t="shared" si="0"/>
        <v/>
      </c>
    </row>
    <row r="46" spans="2:10" ht="21" hidden="1" customHeight="1" x14ac:dyDescent="0.3">
      <c r="B46" s="2">
        <v>45363</v>
      </c>
      <c r="C46" s="6">
        <v>50</v>
      </c>
      <c r="D46" s="10">
        <v>108</v>
      </c>
      <c r="E46" s="10">
        <v>110</v>
      </c>
      <c r="F46" s="9">
        <f>IF(Tablo1456789[[#This Row],[SATIŞ]]=0,"Açık",(E46-D46)*C46)</f>
        <v>100</v>
      </c>
      <c r="G46" s="11">
        <f>Tablo1456789[[#This Row],[ADET]]*Tablo1456789[[#This Row],[ALIŞ]]</f>
        <v>5400</v>
      </c>
      <c r="H46" s="11">
        <f>Tablo1456789[[#This Row],[ADET]]*Tablo1456789[[#This Row],[SATIŞ]]</f>
        <v>5500</v>
      </c>
      <c r="J46" s="40" t="str">
        <f t="shared" ref="J46:J77" si="1">IF(E46=0,D46*1.05,"")</f>
        <v/>
      </c>
    </row>
    <row r="47" spans="2:10" ht="21" hidden="1" customHeight="1" x14ac:dyDescent="0.3">
      <c r="B47" s="2">
        <v>45363</v>
      </c>
      <c r="C47" s="6">
        <v>50</v>
      </c>
      <c r="D47" s="10">
        <v>107</v>
      </c>
      <c r="E47" s="10">
        <v>108</v>
      </c>
      <c r="F47" s="9">
        <f>IF(Tablo1456789[[#This Row],[SATIŞ]]=0,"Açık",(E47-D47)*C47)</f>
        <v>50</v>
      </c>
      <c r="G47" s="11">
        <f>Tablo1456789[[#This Row],[ADET]]*Tablo1456789[[#This Row],[ALIŞ]]</f>
        <v>5350</v>
      </c>
      <c r="H47" s="11">
        <f>Tablo1456789[[#This Row],[ADET]]*Tablo1456789[[#This Row],[SATIŞ]]</f>
        <v>5400</v>
      </c>
      <c r="J47" s="40" t="str">
        <f t="shared" si="1"/>
        <v/>
      </c>
    </row>
    <row r="48" spans="2:10" ht="21" hidden="1" customHeight="1" x14ac:dyDescent="0.3">
      <c r="B48" s="2">
        <v>45364</v>
      </c>
      <c r="C48" s="6">
        <v>50</v>
      </c>
      <c r="D48" s="10">
        <v>106</v>
      </c>
      <c r="E48" s="10">
        <v>107</v>
      </c>
      <c r="F48" s="9">
        <f>IF(Tablo1456789[[#This Row],[SATIŞ]]=0,"Açık",(E48-D48)*C48)</f>
        <v>50</v>
      </c>
      <c r="G48" s="11">
        <f>Tablo1456789[[#This Row],[ADET]]*Tablo1456789[[#This Row],[ALIŞ]]</f>
        <v>5300</v>
      </c>
      <c r="H48" s="11">
        <f>Tablo1456789[[#This Row],[ADET]]*Tablo1456789[[#This Row],[SATIŞ]]</f>
        <v>5350</v>
      </c>
      <c r="J48" s="40" t="str">
        <f t="shared" si="1"/>
        <v/>
      </c>
    </row>
    <row r="49" spans="2:10" ht="21" hidden="1" customHeight="1" x14ac:dyDescent="0.3">
      <c r="B49" s="2">
        <v>45365</v>
      </c>
      <c r="C49" s="6">
        <v>50</v>
      </c>
      <c r="D49" s="10">
        <v>105</v>
      </c>
      <c r="E49" s="10">
        <v>107</v>
      </c>
      <c r="F49" s="9">
        <f>IF(Tablo1456789[[#This Row],[SATIŞ]]=0,"Açık",(E49-D49)*C49)</f>
        <v>100</v>
      </c>
      <c r="G49" s="11">
        <f>Tablo1456789[[#This Row],[ADET]]*Tablo1456789[[#This Row],[ALIŞ]]</f>
        <v>5250</v>
      </c>
      <c r="H49" s="11">
        <f>Tablo1456789[[#This Row],[ADET]]*Tablo1456789[[#This Row],[SATIŞ]]</f>
        <v>5350</v>
      </c>
      <c r="J49" s="40" t="str">
        <f t="shared" si="1"/>
        <v/>
      </c>
    </row>
    <row r="50" spans="2:10" ht="21" customHeight="1" x14ac:dyDescent="0.3">
      <c r="B50" s="2">
        <v>45365</v>
      </c>
      <c r="C50" s="6">
        <v>50</v>
      </c>
      <c r="D50" s="10">
        <v>108</v>
      </c>
      <c r="E50" s="10"/>
      <c r="F50" s="9" t="str">
        <f>IF(Tablo1456789[[#This Row],[SATIŞ]]=0,"Açık",(E50-D50)*C50)</f>
        <v>Açık</v>
      </c>
      <c r="G50" s="11">
        <f>Tablo1456789[[#This Row],[ADET]]*Tablo1456789[[#This Row],[ALIŞ]]</f>
        <v>5400</v>
      </c>
      <c r="H50" s="11">
        <f>Tablo1456789[[#This Row],[ADET]]*Tablo1456789[[#This Row],[SATIŞ]]</f>
        <v>0</v>
      </c>
      <c r="J50" s="40">
        <f t="shared" si="1"/>
        <v>113.4</v>
      </c>
    </row>
    <row r="51" spans="2:10" ht="21" customHeight="1" x14ac:dyDescent="0.3">
      <c r="B51" s="2">
        <v>45365</v>
      </c>
      <c r="C51" s="6">
        <v>50</v>
      </c>
      <c r="D51" s="10">
        <v>109</v>
      </c>
      <c r="E51" s="10"/>
      <c r="F51" s="9" t="str">
        <f>IF(Tablo1456789[[#This Row],[SATIŞ]]=0,"Açık",(E51-D51)*C51)</f>
        <v>Açık</v>
      </c>
      <c r="G51" s="11">
        <f>Tablo1456789[[#This Row],[ADET]]*Tablo1456789[[#This Row],[ALIŞ]]</f>
        <v>5450</v>
      </c>
      <c r="H51" s="11">
        <f>Tablo1456789[[#This Row],[ADET]]*Tablo1456789[[#This Row],[SATIŞ]]</f>
        <v>0</v>
      </c>
      <c r="J51" s="40">
        <f t="shared" si="1"/>
        <v>114.45</v>
      </c>
    </row>
    <row r="52" spans="2:10" ht="21" customHeight="1" x14ac:dyDescent="0.3">
      <c r="B52" s="2">
        <v>45365</v>
      </c>
      <c r="C52" s="6">
        <v>50</v>
      </c>
      <c r="D52" s="10">
        <v>105.2</v>
      </c>
      <c r="E52" s="10"/>
      <c r="F52" s="9" t="str">
        <f>IF(Tablo1456789[[#This Row],[SATIŞ]]=0,"Açık",(E52-D52)*C52)</f>
        <v>Açık</v>
      </c>
      <c r="G52" s="11">
        <f>Tablo1456789[[#This Row],[ADET]]*Tablo1456789[[#This Row],[ALIŞ]]</f>
        <v>5260</v>
      </c>
      <c r="H52" s="11">
        <f>Tablo1456789[[#This Row],[ADET]]*Tablo1456789[[#This Row],[SATIŞ]]</f>
        <v>0</v>
      </c>
      <c r="J52" s="40">
        <f t="shared" si="1"/>
        <v>110.46000000000001</v>
      </c>
    </row>
    <row r="53" spans="2:10" ht="21" customHeight="1" x14ac:dyDescent="0.3">
      <c r="B53" s="2">
        <v>45365</v>
      </c>
      <c r="C53" s="6">
        <v>50</v>
      </c>
      <c r="D53" s="10">
        <v>105.2</v>
      </c>
      <c r="E53" s="10"/>
      <c r="F53" s="9" t="str">
        <f>IF(Tablo1456789[[#This Row],[SATIŞ]]=0,"Açık",(E53-D53)*C53)</f>
        <v>Açık</v>
      </c>
      <c r="G53" s="11">
        <f>Tablo1456789[[#This Row],[ADET]]*Tablo1456789[[#This Row],[ALIŞ]]</f>
        <v>5260</v>
      </c>
      <c r="H53" s="11">
        <f>Tablo1456789[[#This Row],[ADET]]*Tablo1456789[[#This Row],[SATIŞ]]</f>
        <v>0</v>
      </c>
      <c r="J53" s="40">
        <f t="shared" si="1"/>
        <v>110.46000000000001</v>
      </c>
    </row>
    <row r="54" spans="2:10" ht="21" customHeight="1" x14ac:dyDescent="0.3">
      <c r="B54" s="2">
        <v>45366</v>
      </c>
      <c r="C54" s="6">
        <v>50</v>
      </c>
      <c r="D54" s="10">
        <v>100.3</v>
      </c>
      <c r="E54" s="10"/>
      <c r="F54" s="9" t="str">
        <f>IF(Tablo1456789[[#This Row],[SATIŞ]]=0,"Açık",(E54-D54)*C54)</f>
        <v>Açık</v>
      </c>
      <c r="G54" s="11">
        <f>Tablo1456789[[#This Row],[ADET]]*Tablo1456789[[#This Row],[ALIŞ]]</f>
        <v>5015</v>
      </c>
      <c r="H54" s="11">
        <f>Tablo1456789[[#This Row],[ADET]]*Tablo1456789[[#This Row],[SATIŞ]]</f>
        <v>0</v>
      </c>
      <c r="J54" s="40">
        <f t="shared" si="1"/>
        <v>105.315</v>
      </c>
    </row>
    <row r="55" spans="2:10" ht="21" hidden="1" customHeight="1" x14ac:dyDescent="0.3">
      <c r="B55" s="2">
        <v>45366</v>
      </c>
      <c r="C55" s="6">
        <v>50</v>
      </c>
      <c r="D55" s="10">
        <v>100.3</v>
      </c>
      <c r="E55" s="10">
        <v>93</v>
      </c>
      <c r="F55" s="9">
        <f>IF(Tablo1456789[[#This Row],[SATIŞ]]=0,"Açık",(E55-D55)*C55)</f>
        <v>-364.99999999999989</v>
      </c>
      <c r="G55" s="11">
        <f>Tablo1456789[[#This Row],[ADET]]*Tablo1456789[[#This Row],[ALIŞ]]</f>
        <v>5015</v>
      </c>
      <c r="H55" s="11">
        <f>Tablo1456789[[#This Row],[ADET]]*Tablo1456789[[#This Row],[SATIŞ]]</f>
        <v>4650</v>
      </c>
      <c r="J55" s="40" t="str">
        <f t="shared" si="1"/>
        <v/>
      </c>
    </row>
    <row r="56" spans="2:10" ht="21" hidden="1" customHeight="1" x14ac:dyDescent="0.3">
      <c r="B56" s="2">
        <v>45366</v>
      </c>
      <c r="C56" s="6">
        <v>50</v>
      </c>
      <c r="D56" s="10">
        <v>100</v>
      </c>
      <c r="E56" s="10">
        <v>101</v>
      </c>
      <c r="F56" s="9">
        <f>IF(Tablo1456789[[#This Row],[SATIŞ]]=0,"Açık",(E56-D56)*C56)</f>
        <v>50</v>
      </c>
      <c r="G56" s="11">
        <f>Tablo1456789[[#This Row],[ADET]]*Tablo1456789[[#This Row],[ALIŞ]]</f>
        <v>5000</v>
      </c>
      <c r="H56" s="11">
        <f>Tablo1456789[[#This Row],[ADET]]*Tablo1456789[[#This Row],[SATIŞ]]</f>
        <v>5050</v>
      </c>
      <c r="J56" s="40" t="str">
        <f t="shared" si="1"/>
        <v/>
      </c>
    </row>
    <row r="57" spans="2:10" ht="21" hidden="1" customHeight="1" x14ac:dyDescent="0.3">
      <c r="B57" s="2">
        <v>45366</v>
      </c>
      <c r="C57" s="6">
        <v>50</v>
      </c>
      <c r="D57" s="10">
        <v>100</v>
      </c>
      <c r="E57" s="10">
        <v>100.5</v>
      </c>
      <c r="F57" s="9">
        <f>IF(Tablo1456789[[#This Row],[SATIŞ]]=0,"Açık",(E57-D57)*C57)</f>
        <v>25</v>
      </c>
      <c r="G57" s="11">
        <f>Tablo1456789[[#This Row],[ADET]]*Tablo1456789[[#This Row],[ALIŞ]]</f>
        <v>5000</v>
      </c>
      <c r="H57" s="11">
        <f>Tablo1456789[[#This Row],[ADET]]*Tablo1456789[[#This Row],[SATIŞ]]</f>
        <v>5025</v>
      </c>
      <c r="J57" s="40" t="str">
        <f t="shared" si="1"/>
        <v/>
      </c>
    </row>
    <row r="58" spans="2:10" ht="21" hidden="1" customHeight="1" x14ac:dyDescent="0.3">
      <c r="B58" s="2">
        <v>45366</v>
      </c>
      <c r="C58" s="6">
        <v>50</v>
      </c>
      <c r="D58" s="10">
        <v>100</v>
      </c>
      <c r="E58" s="10">
        <v>101</v>
      </c>
      <c r="F58" s="9">
        <f>IF(Tablo1456789[[#This Row],[SATIŞ]]=0,"Açık",(E58-D58)*C58)</f>
        <v>50</v>
      </c>
      <c r="G58" s="11">
        <f>Tablo1456789[[#This Row],[ADET]]*Tablo1456789[[#This Row],[ALIŞ]]</f>
        <v>5000</v>
      </c>
      <c r="H58" s="11">
        <f>Tablo1456789[[#This Row],[ADET]]*Tablo1456789[[#This Row],[SATIŞ]]</f>
        <v>5050</v>
      </c>
      <c r="J58" s="40" t="str">
        <f t="shared" si="1"/>
        <v/>
      </c>
    </row>
    <row r="59" spans="2:10" ht="21" hidden="1" customHeight="1" x14ac:dyDescent="0.3">
      <c r="B59" s="2">
        <v>45366</v>
      </c>
      <c r="C59" s="6">
        <v>50</v>
      </c>
      <c r="D59" s="10">
        <v>100</v>
      </c>
      <c r="E59" s="10">
        <v>101.5</v>
      </c>
      <c r="F59" s="9">
        <f>IF(Tablo1456789[[#This Row],[SATIŞ]]=0,"Açık",(E59-D59)*C59)</f>
        <v>75</v>
      </c>
      <c r="G59" s="11">
        <f>Tablo1456789[[#This Row],[ADET]]*Tablo1456789[[#This Row],[ALIŞ]]</f>
        <v>5000</v>
      </c>
      <c r="H59" s="11">
        <f>Tablo1456789[[#This Row],[ADET]]*Tablo1456789[[#This Row],[SATIŞ]]</f>
        <v>5075</v>
      </c>
      <c r="J59" s="40" t="str">
        <f t="shared" si="1"/>
        <v/>
      </c>
    </row>
    <row r="60" spans="2:10" ht="21" hidden="1" customHeight="1" x14ac:dyDescent="0.3">
      <c r="B60" s="2">
        <v>45366</v>
      </c>
      <c r="C60" s="6">
        <v>50</v>
      </c>
      <c r="D60" s="10">
        <v>100</v>
      </c>
      <c r="E60" s="10">
        <v>102</v>
      </c>
      <c r="F60" s="9">
        <f>IF(Tablo1456789[[#This Row],[SATIŞ]]=0,"Açık",(E60-D60)*C60)</f>
        <v>100</v>
      </c>
      <c r="G60" s="11">
        <f>Tablo1456789[[#This Row],[ADET]]*Tablo1456789[[#This Row],[ALIŞ]]</f>
        <v>5000</v>
      </c>
      <c r="H60" s="11">
        <f>Tablo1456789[[#This Row],[ADET]]*Tablo1456789[[#This Row],[SATIŞ]]</f>
        <v>5100</v>
      </c>
      <c r="J60" s="40" t="str">
        <f t="shared" si="1"/>
        <v/>
      </c>
    </row>
    <row r="61" spans="2:10" ht="21" hidden="1" customHeight="1" x14ac:dyDescent="0.3">
      <c r="B61" s="2">
        <v>45366</v>
      </c>
      <c r="C61" s="6">
        <v>50</v>
      </c>
      <c r="D61" s="10">
        <v>100</v>
      </c>
      <c r="E61" s="10">
        <v>102</v>
      </c>
      <c r="F61" s="9">
        <f>IF(Tablo1456789[[#This Row],[SATIŞ]]=0,"Açık",(E61-D61)*C61)</f>
        <v>100</v>
      </c>
      <c r="G61" s="11">
        <f>Tablo1456789[[#This Row],[ADET]]*Tablo1456789[[#This Row],[ALIŞ]]</f>
        <v>5000</v>
      </c>
      <c r="H61" s="11">
        <f>Tablo1456789[[#This Row],[ADET]]*Tablo1456789[[#This Row],[SATIŞ]]</f>
        <v>5100</v>
      </c>
      <c r="J61" s="40" t="str">
        <f t="shared" si="1"/>
        <v/>
      </c>
    </row>
    <row r="62" spans="2:10" ht="21" hidden="1" customHeight="1" x14ac:dyDescent="0.3">
      <c r="B62" s="2">
        <v>45366</v>
      </c>
      <c r="C62" s="6">
        <v>50</v>
      </c>
      <c r="D62" s="10">
        <v>100</v>
      </c>
      <c r="E62" s="10">
        <v>102.5</v>
      </c>
      <c r="F62" s="9">
        <f>IF(Tablo1456789[[#This Row],[SATIŞ]]=0,"Açık",(E62-D62)*C62)</f>
        <v>125</v>
      </c>
      <c r="G62" s="11">
        <f>Tablo1456789[[#This Row],[ADET]]*Tablo1456789[[#This Row],[ALIŞ]]</f>
        <v>5000</v>
      </c>
      <c r="H62" s="11">
        <f>Tablo1456789[[#This Row],[ADET]]*Tablo1456789[[#This Row],[SATIŞ]]</f>
        <v>5125</v>
      </c>
      <c r="J62" s="40" t="str">
        <f t="shared" si="1"/>
        <v/>
      </c>
    </row>
    <row r="63" spans="2:10" ht="21" hidden="1" customHeight="1" x14ac:dyDescent="0.3">
      <c r="B63" s="2">
        <v>45366</v>
      </c>
      <c r="C63" s="6">
        <v>50</v>
      </c>
      <c r="D63" s="10">
        <v>100</v>
      </c>
      <c r="E63" s="10">
        <v>102</v>
      </c>
      <c r="F63" s="9">
        <f>IF(Tablo1456789[[#This Row],[SATIŞ]]=0,"Açık",(E63-D63)*C63)</f>
        <v>100</v>
      </c>
      <c r="G63" s="11">
        <f>Tablo1456789[[#This Row],[ADET]]*Tablo1456789[[#This Row],[ALIŞ]]</f>
        <v>5000</v>
      </c>
      <c r="H63" s="11">
        <f>Tablo1456789[[#This Row],[ADET]]*Tablo1456789[[#This Row],[SATIŞ]]</f>
        <v>5100</v>
      </c>
      <c r="J63" s="40" t="str">
        <f t="shared" si="1"/>
        <v/>
      </c>
    </row>
    <row r="64" spans="2:10" ht="21" hidden="1" customHeight="1" x14ac:dyDescent="0.3">
      <c r="B64" s="2">
        <v>45366</v>
      </c>
      <c r="C64" s="6">
        <v>50</v>
      </c>
      <c r="D64" s="10">
        <v>100</v>
      </c>
      <c r="E64" s="10">
        <v>101.5</v>
      </c>
      <c r="F64" s="9">
        <f>IF(Tablo1456789[[#This Row],[SATIŞ]]=0,"Açık",(E64-D64)*C64)</f>
        <v>75</v>
      </c>
      <c r="G64" s="11">
        <f>Tablo1456789[[#This Row],[ADET]]*Tablo1456789[[#This Row],[ALIŞ]]</f>
        <v>5000</v>
      </c>
      <c r="H64" s="11">
        <f>Tablo1456789[[#This Row],[ADET]]*Tablo1456789[[#This Row],[SATIŞ]]</f>
        <v>5075</v>
      </c>
      <c r="J64" s="40" t="str">
        <f t="shared" si="1"/>
        <v/>
      </c>
    </row>
    <row r="65" spans="2:10" ht="21" hidden="1" customHeight="1" x14ac:dyDescent="0.3">
      <c r="B65" s="2">
        <v>45366</v>
      </c>
      <c r="C65" s="6">
        <v>50</v>
      </c>
      <c r="D65" s="10">
        <v>100</v>
      </c>
      <c r="E65" s="10">
        <v>93</v>
      </c>
      <c r="F65" s="9">
        <f>IF(Tablo1456789[[#This Row],[SATIŞ]]=0,"Açık",(E65-D65)*C65)</f>
        <v>-350</v>
      </c>
      <c r="G65" s="11">
        <f>Tablo1456789[[#This Row],[ADET]]*Tablo1456789[[#This Row],[ALIŞ]]</f>
        <v>5000</v>
      </c>
      <c r="H65" s="11">
        <f>Tablo1456789[[#This Row],[ADET]]*Tablo1456789[[#This Row],[SATIŞ]]</f>
        <v>4650</v>
      </c>
      <c r="J65" s="40" t="str">
        <f t="shared" si="1"/>
        <v/>
      </c>
    </row>
    <row r="66" spans="2:10" ht="21" hidden="1" customHeight="1" x14ac:dyDescent="0.3">
      <c r="B66" s="2">
        <v>45366</v>
      </c>
      <c r="C66" s="6">
        <v>50</v>
      </c>
      <c r="D66" s="10">
        <v>100</v>
      </c>
      <c r="E66" s="10">
        <v>93</v>
      </c>
      <c r="F66" s="9">
        <f>IF(Tablo1456789[[#This Row],[SATIŞ]]=0,"Açık",(E66-D66)*C66)</f>
        <v>-350</v>
      </c>
      <c r="G66" s="11">
        <f>Tablo1456789[[#This Row],[ADET]]*Tablo1456789[[#This Row],[ALIŞ]]</f>
        <v>5000</v>
      </c>
      <c r="H66" s="11">
        <f>Tablo1456789[[#This Row],[ADET]]*Tablo1456789[[#This Row],[SATIŞ]]</f>
        <v>4650</v>
      </c>
      <c r="J66" s="40" t="str">
        <f t="shared" si="1"/>
        <v/>
      </c>
    </row>
    <row r="67" spans="2:10" ht="21" hidden="1" customHeight="1" x14ac:dyDescent="0.3">
      <c r="B67" s="2">
        <v>45366</v>
      </c>
      <c r="C67" s="6">
        <v>50</v>
      </c>
      <c r="D67" s="10">
        <v>100</v>
      </c>
      <c r="E67" s="10">
        <v>93</v>
      </c>
      <c r="F67" s="9">
        <f>IF(Tablo1456789[[#This Row],[SATIŞ]]=0,"Açık",(E67-D67)*C67)</f>
        <v>-350</v>
      </c>
      <c r="G67" s="11">
        <f>Tablo1456789[[#This Row],[ADET]]*Tablo1456789[[#This Row],[ALIŞ]]</f>
        <v>5000</v>
      </c>
      <c r="H67" s="11">
        <f>Tablo1456789[[#This Row],[ADET]]*Tablo1456789[[#This Row],[SATIŞ]]</f>
        <v>4650</v>
      </c>
      <c r="J67" s="40" t="str">
        <f t="shared" si="1"/>
        <v/>
      </c>
    </row>
    <row r="68" spans="2:10" ht="21" hidden="1" customHeight="1" x14ac:dyDescent="0.3">
      <c r="B68" s="2">
        <v>45366</v>
      </c>
      <c r="C68" s="6">
        <v>50</v>
      </c>
      <c r="D68" s="10">
        <v>100</v>
      </c>
      <c r="E68" s="10">
        <v>93</v>
      </c>
      <c r="F68" s="9">
        <f>IF(Tablo1456789[[#This Row],[SATIŞ]]=0,"Açık",(E68-D68)*C68)</f>
        <v>-350</v>
      </c>
      <c r="G68" s="11">
        <f>Tablo1456789[[#This Row],[ADET]]*Tablo1456789[[#This Row],[ALIŞ]]</f>
        <v>5000</v>
      </c>
      <c r="H68" s="11">
        <f>Tablo1456789[[#This Row],[ADET]]*Tablo1456789[[#This Row],[SATIŞ]]</f>
        <v>4650</v>
      </c>
      <c r="J68" s="40" t="str">
        <f t="shared" si="1"/>
        <v/>
      </c>
    </row>
    <row r="69" spans="2:10" ht="21" hidden="1" customHeight="1" x14ac:dyDescent="0.3">
      <c r="B69" s="2">
        <v>45366</v>
      </c>
      <c r="C69" s="6">
        <v>50</v>
      </c>
      <c r="D69" s="10">
        <v>100</v>
      </c>
      <c r="E69" s="10">
        <v>93</v>
      </c>
      <c r="F69" s="9">
        <f>IF(Tablo1456789[[#This Row],[SATIŞ]]=0,"Açık",(E69-D69)*C69)</f>
        <v>-350</v>
      </c>
      <c r="G69" s="11">
        <f>Tablo1456789[[#This Row],[ADET]]*Tablo1456789[[#This Row],[ALIŞ]]</f>
        <v>5000</v>
      </c>
      <c r="H69" s="11">
        <f>Tablo1456789[[#This Row],[ADET]]*Tablo1456789[[#This Row],[SATIŞ]]</f>
        <v>4650</v>
      </c>
      <c r="J69" s="40" t="str">
        <f t="shared" si="1"/>
        <v/>
      </c>
    </row>
    <row r="70" spans="2:10" ht="21" hidden="1" customHeight="1" x14ac:dyDescent="0.3">
      <c r="B70" s="2">
        <v>45366</v>
      </c>
      <c r="C70" s="6">
        <v>50</v>
      </c>
      <c r="D70" s="10">
        <v>100</v>
      </c>
      <c r="E70" s="10">
        <v>93</v>
      </c>
      <c r="F70" s="9">
        <f>IF(Tablo1456789[[#This Row],[SATIŞ]]=0,"Açık",(E70-D70)*C70)</f>
        <v>-350</v>
      </c>
      <c r="G70" s="11">
        <f>Tablo1456789[[#This Row],[ADET]]*Tablo1456789[[#This Row],[ALIŞ]]</f>
        <v>5000</v>
      </c>
      <c r="H70" s="11">
        <f>Tablo1456789[[#This Row],[ADET]]*Tablo1456789[[#This Row],[SATIŞ]]</f>
        <v>4650</v>
      </c>
      <c r="J70" s="40" t="str">
        <f t="shared" si="1"/>
        <v/>
      </c>
    </row>
    <row r="71" spans="2:10" ht="21" hidden="1" customHeight="1" x14ac:dyDescent="0.3">
      <c r="B71" s="2">
        <v>45366</v>
      </c>
      <c r="C71" s="6">
        <v>50</v>
      </c>
      <c r="D71" s="10">
        <v>100</v>
      </c>
      <c r="E71" s="10">
        <v>93</v>
      </c>
      <c r="F71" s="9">
        <f>IF(Tablo1456789[[#This Row],[SATIŞ]]=0,"Açık",(E71-D71)*C71)</f>
        <v>-350</v>
      </c>
      <c r="G71" s="11">
        <f>Tablo1456789[[#This Row],[ADET]]*Tablo1456789[[#This Row],[ALIŞ]]</f>
        <v>5000</v>
      </c>
      <c r="H71" s="11">
        <f>Tablo1456789[[#This Row],[ADET]]*Tablo1456789[[#This Row],[SATIŞ]]</f>
        <v>4650</v>
      </c>
      <c r="J71" s="40" t="str">
        <f t="shared" si="1"/>
        <v/>
      </c>
    </row>
    <row r="72" spans="2:10" ht="21" hidden="1" customHeight="1" x14ac:dyDescent="0.3">
      <c r="B72" s="2">
        <v>45366</v>
      </c>
      <c r="C72" s="6">
        <v>50</v>
      </c>
      <c r="D72" s="10">
        <v>100.5</v>
      </c>
      <c r="E72" s="10">
        <v>93</v>
      </c>
      <c r="F72" s="9">
        <f>IF(Tablo1456789[[#This Row],[SATIŞ]]=0,"Açık",(E72-D72)*C72)</f>
        <v>-375</v>
      </c>
      <c r="G72" s="11">
        <f>Tablo1456789[[#This Row],[ADET]]*Tablo1456789[[#This Row],[ALIŞ]]</f>
        <v>5025</v>
      </c>
      <c r="H72" s="11">
        <f>Tablo1456789[[#This Row],[ADET]]*Tablo1456789[[#This Row],[SATIŞ]]</f>
        <v>4650</v>
      </c>
      <c r="J72" s="40" t="str">
        <f t="shared" si="1"/>
        <v/>
      </c>
    </row>
    <row r="73" spans="2:10" ht="21" hidden="1" customHeight="1" x14ac:dyDescent="0.3">
      <c r="B73" s="2">
        <v>45366</v>
      </c>
      <c r="C73" s="6">
        <v>50</v>
      </c>
      <c r="D73" s="10">
        <v>100</v>
      </c>
      <c r="E73" s="10">
        <v>93</v>
      </c>
      <c r="F73" s="9">
        <f>IF(Tablo1456789[[#This Row],[SATIŞ]]=0,"Açık",(E73-D73)*C73)</f>
        <v>-350</v>
      </c>
      <c r="G73" s="11">
        <f>Tablo1456789[[#This Row],[ADET]]*Tablo1456789[[#This Row],[ALIŞ]]</f>
        <v>5000</v>
      </c>
      <c r="H73" s="11">
        <f>Tablo1456789[[#This Row],[ADET]]*Tablo1456789[[#This Row],[SATIŞ]]</f>
        <v>4650</v>
      </c>
      <c r="J73" s="40" t="str">
        <f t="shared" si="1"/>
        <v/>
      </c>
    </row>
    <row r="74" spans="2:10" ht="21" hidden="1" customHeight="1" x14ac:dyDescent="0.3">
      <c r="B74" s="2">
        <v>45366</v>
      </c>
      <c r="C74" s="6">
        <v>50</v>
      </c>
      <c r="D74" s="10">
        <v>101.5</v>
      </c>
      <c r="E74" s="10">
        <v>93</v>
      </c>
      <c r="F74" s="9">
        <f>IF(Tablo1456789[[#This Row],[SATIŞ]]=0,"Açık",(E74-D74)*C74)</f>
        <v>-425</v>
      </c>
      <c r="G74" s="11">
        <f>Tablo1456789[[#This Row],[ADET]]*Tablo1456789[[#This Row],[ALIŞ]]</f>
        <v>5075</v>
      </c>
      <c r="H74" s="11">
        <f>Tablo1456789[[#This Row],[ADET]]*Tablo1456789[[#This Row],[SATIŞ]]</f>
        <v>4650</v>
      </c>
      <c r="J74" s="40" t="str">
        <f t="shared" si="1"/>
        <v/>
      </c>
    </row>
    <row r="75" spans="2:10" ht="21" hidden="1" customHeight="1" x14ac:dyDescent="0.3">
      <c r="B75" s="2">
        <v>45366</v>
      </c>
      <c r="C75" s="6">
        <v>50</v>
      </c>
      <c r="D75" s="10">
        <v>101</v>
      </c>
      <c r="E75" s="10">
        <v>93</v>
      </c>
      <c r="F75" s="9">
        <f>IF(Tablo1456789[[#This Row],[SATIŞ]]=0,"Açık",(E75-D75)*C75)</f>
        <v>-400</v>
      </c>
      <c r="G75" s="11">
        <f>Tablo1456789[[#This Row],[ADET]]*Tablo1456789[[#This Row],[ALIŞ]]</f>
        <v>5050</v>
      </c>
      <c r="H75" s="11">
        <f>Tablo1456789[[#This Row],[ADET]]*Tablo1456789[[#This Row],[SATIŞ]]</f>
        <v>4650</v>
      </c>
      <c r="J75" s="40" t="str">
        <f t="shared" si="1"/>
        <v/>
      </c>
    </row>
    <row r="76" spans="2:10" ht="21" hidden="1" customHeight="1" x14ac:dyDescent="0.3">
      <c r="B76" s="2">
        <v>45366</v>
      </c>
      <c r="C76" s="6">
        <v>50</v>
      </c>
      <c r="D76" s="10">
        <v>101</v>
      </c>
      <c r="E76" s="10">
        <v>101</v>
      </c>
      <c r="F76" s="9">
        <f>IF(Tablo1456789[[#This Row],[SATIŞ]]=0,"Açık",(E76-D76)*C76)</f>
        <v>0</v>
      </c>
      <c r="G76" s="11">
        <f>Tablo1456789[[#This Row],[ADET]]*Tablo1456789[[#This Row],[ALIŞ]]</f>
        <v>5050</v>
      </c>
      <c r="H76" s="11">
        <f>Tablo1456789[[#This Row],[ADET]]*Tablo1456789[[#This Row],[SATIŞ]]</f>
        <v>5050</v>
      </c>
      <c r="J76" s="40" t="str">
        <f t="shared" si="1"/>
        <v/>
      </c>
    </row>
    <row r="77" spans="2:10" ht="21" hidden="1" customHeight="1" x14ac:dyDescent="0.3">
      <c r="B77" s="2">
        <v>45369</v>
      </c>
      <c r="C77" s="6">
        <v>50</v>
      </c>
      <c r="D77" s="10">
        <v>100</v>
      </c>
      <c r="E77" s="10">
        <v>101</v>
      </c>
      <c r="F77" s="9">
        <f>IF(Tablo1456789[[#This Row],[SATIŞ]]=0,"Açık",(E77-D77)*C77)</f>
        <v>50</v>
      </c>
      <c r="G77" s="11">
        <f>Tablo1456789[[#This Row],[ADET]]*Tablo1456789[[#This Row],[ALIŞ]]</f>
        <v>5000</v>
      </c>
      <c r="H77" s="11">
        <f>Tablo1456789[[#This Row],[ADET]]*Tablo1456789[[#This Row],[SATIŞ]]</f>
        <v>5050</v>
      </c>
      <c r="J77" s="40" t="str">
        <f t="shared" si="1"/>
        <v/>
      </c>
    </row>
    <row r="78" spans="2:10" ht="21" hidden="1" customHeight="1" x14ac:dyDescent="0.3">
      <c r="B78" s="2">
        <v>45369</v>
      </c>
      <c r="C78" s="6">
        <v>50</v>
      </c>
      <c r="D78" s="10">
        <v>100</v>
      </c>
      <c r="E78" s="10">
        <v>100.1</v>
      </c>
      <c r="F78" s="9">
        <f>IF(Tablo1456789[[#This Row],[SATIŞ]]=0,"Açık",(E78-D78)*C78)</f>
        <v>4.9999999999997158</v>
      </c>
      <c r="G78" s="11">
        <f>Tablo1456789[[#This Row],[ADET]]*Tablo1456789[[#This Row],[ALIŞ]]</f>
        <v>5000</v>
      </c>
      <c r="H78" s="11">
        <f>Tablo1456789[[#This Row],[ADET]]*Tablo1456789[[#This Row],[SATIŞ]]</f>
        <v>5005</v>
      </c>
      <c r="J78" s="40" t="str">
        <f t="shared" ref="J78:J111" si="2">IF(E78=0,D78*1.05,"")</f>
        <v/>
      </c>
    </row>
    <row r="79" spans="2:10" ht="21" hidden="1" customHeight="1" x14ac:dyDescent="0.3">
      <c r="B79" s="2">
        <v>45369</v>
      </c>
      <c r="C79" s="6">
        <v>60</v>
      </c>
      <c r="D79" s="10">
        <v>100</v>
      </c>
      <c r="E79" s="10">
        <v>93</v>
      </c>
      <c r="F79" s="9">
        <f>IF(Tablo1456789[[#This Row],[SATIŞ]]=0,"Açık",(E79-D79)*C79)</f>
        <v>-420</v>
      </c>
      <c r="G79" s="11">
        <f>Tablo1456789[[#This Row],[ADET]]*Tablo1456789[[#This Row],[ALIŞ]]</f>
        <v>6000</v>
      </c>
      <c r="H79" s="11">
        <f>Tablo1456789[[#This Row],[ADET]]*Tablo1456789[[#This Row],[SATIŞ]]</f>
        <v>5580</v>
      </c>
      <c r="J79" s="40" t="str">
        <f t="shared" si="2"/>
        <v/>
      </c>
    </row>
    <row r="80" spans="2:10" ht="21" hidden="1" customHeight="1" x14ac:dyDescent="0.3">
      <c r="B80" s="2">
        <v>45369</v>
      </c>
      <c r="C80" s="6">
        <v>50</v>
      </c>
      <c r="D80" s="10">
        <v>99.5</v>
      </c>
      <c r="E80" s="10">
        <v>100</v>
      </c>
      <c r="F80" s="9">
        <f>IF(Tablo1456789[[#This Row],[SATIŞ]]=0,"Açık",(E80-D80)*C80)</f>
        <v>25</v>
      </c>
      <c r="G80" s="11">
        <f>Tablo1456789[[#This Row],[ADET]]*Tablo1456789[[#This Row],[ALIŞ]]</f>
        <v>4975</v>
      </c>
      <c r="H80" s="11">
        <f>Tablo1456789[[#This Row],[ADET]]*Tablo1456789[[#This Row],[SATIŞ]]</f>
        <v>5000</v>
      </c>
      <c r="J80" s="40" t="str">
        <f t="shared" si="2"/>
        <v/>
      </c>
    </row>
    <row r="81" spans="2:10" ht="21" hidden="1" customHeight="1" x14ac:dyDescent="0.3">
      <c r="B81" s="2">
        <v>45369</v>
      </c>
      <c r="C81" s="6">
        <v>30</v>
      </c>
      <c r="D81" s="10">
        <v>99.5</v>
      </c>
      <c r="E81" s="10">
        <v>100</v>
      </c>
      <c r="F81" s="9">
        <f>IF(Tablo1456789[[#This Row],[SATIŞ]]=0,"Açık",(E81-D81)*C81)</f>
        <v>15</v>
      </c>
      <c r="G81" s="11">
        <f>Tablo1456789[[#This Row],[ADET]]*Tablo1456789[[#This Row],[ALIŞ]]</f>
        <v>2985</v>
      </c>
      <c r="H81" s="11">
        <f>Tablo1456789[[#This Row],[ADET]]*Tablo1456789[[#This Row],[SATIŞ]]</f>
        <v>3000</v>
      </c>
      <c r="J81" s="40" t="str">
        <f t="shared" si="2"/>
        <v/>
      </c>
    </row>
    <row r="82" spans="2:10" ht="21" hidden="1" customHeight="1" x14ac:dyDescent="0.3">
      <c r="B82" s="2">
        <v>45369</v>
      </c>
      <c r="C82" s="6">
        <v>10</v>
      </c>
      <c r="D82" s="10">
        <v>99.5</v>
      </c>
      <c r="E82" s="10">
        <v>100</v>
      </c>
      <c r="F82" s="9">
        <f>IF(Tablo1456789[[#This Row],[SATIŞ]]=0,"Açık",(E82-D82)*C82)</f>
        <v>5</v>
      </c>
      <c r="G82" s="11">
        <f>Tablo1456789[[#This Row],[ADET]]*Tablo1456789[[#This Row],[ALIŞ]]</f>
        <v>995</v>
      </c>
      <c r="H82" s="11">
        <f>Tablo1456789[[#This Row],[ADET]]*Tablo1456789[[#This Row],[SATIŞ]]</f>
        <v>1000</v>
      </c>
      <c r="J82" s="40" t="str">
        <f t="shared" si="2"/>
        <v/>
      </c>
    </row>
    <row r="83" spans="2:10" ht="21" hidden="1" customHeight="1" x14ac:dyDescent="0.3">
      <c r="B83" s="2">
        <v>45370</v>
      </c>
      <c r="C83" s="6">
        <v>50</v>
      </c>
      <c r="D83" s="10">
        <v>99</v>
      </c>
      <c r="E83" s="10">
        <v>99.5</v>
      </c>
      <c r="F83" s="9">
        <f>IF(Tablo1456789[[#This Row],[SATIŞ]]=0,"Açık",(E83-D83)*C83)</f>
        <v>25</v>
      </c>
      <c r="G83" s="11">
        <f>Tablo1456789[[#This Row],[ADET]]*Tablo1456789[[#This Row],[ALIŞ]]</f>
        <v>4950</v>
      </c>
      <c r="H83" s="11">
        <f>Tablo1456789[[#This Row],[ADET]]*Tablo1456789[[#This Row],[SATIŞ]]</f>
        <v>4975</v>
      </c>
      <c r="J83" s="40" t="str">
        <f t="shared" si="2"/>
        <v/>
      </c>
    </row>
    <row r="84" spans="2:10" ht="21" hidden="1" customHeight="1" x14ac:dyDescent="0.3">
      <c r="B84" s="2">
        <v>45370</v>
      </c>
      <c r="C84" s="6">
        <v>30</v>
      </c>
      <c r="D84" s="10">
        <v>98.5</v>
      </c>
      <c r="E84" s="10">
        <v>99.15</v>
      </c>
      <c r="F84" s="9">
        <f>IF(Tablo1456789[[#This Row],[SATIŞ]]=0,"Açık",(E84-D84)*C84)</f>
        <v>19.500000000000171</v>
      </c>
      <c r="G84" s="11">
        <f>Tablo1456789[[#This Row],[ADET]]*Tablo1456789[[#This Row],[ALIŞ]]</f>
        <v>2955</v>
      </c>
      <c r="H84" s="11">
        <f>Tablo1456789[[#This Row],[ADET]]*Tablo1456789[[#This Row],[SATIŞ]]</f>
        <v>2974.5</v>
      </c>
      <c r="J84" s="40" t="str">
        <f t="shared" si="2"/>
        <v/>
      </c>
    </row>
    <row r="85" spans="2:10" ht="21" hidden="1" customHeight="1" x14ac:dyDescent="0.3">
      <c r="B85" s="2">
        <v>45370</v>
      </c>
      <c r="C85" s="6">
        <v>20</v>
      </c>
      <c r="D85" s="10">
        <v>98.5</v>
      </c>
      <c r="E85" s="10">
        <v>98.95</v>
      </c>
      <c r="F85" s="9">
        <f>IF(Tablo1456789[[#This Row],[SATIŞ]]=0,"Açık",(E85-D85)*C85)</f>
        <v>9.0000000000000568</v>
      </c>
      <c r="G85" s="11">
        <f>Tablo1456789[[#This Row],[ADET]]*Tablo1456789[[#This Row],[ALIŞ]]</f>
        <v>1970</v>
      </c>
      <c r="H85" s="11">
        <f>Tablo1456789[[#This Row],[ADET]]*Tablo1456789[[#This Row],[SATIŞ]]</f>
        <v>1979</v>
      </c>
      <c r="J85" s="40" t="str">
        <f t="shared" si="2"/>
        <v/>
      </c>
    </row>
    <row r="86" spans="2:10" ht="21" hidden="1" customHeight="1" x14ac:dyDescent="0.3">
      <c r="B86" s="2">
        <v>45370</v>
      </c>
      <c r="C86" s="6">
        <v>10</v>
      </c>
      <c r="D86" s="10">
        <v>98.5</v>
      </c>
      <c r="E86" s="10">
        <v>99.15</v>
      </c>
      <c r="F86" s="9">
        <f>IF(Tablo1456789[[#This Row],[SATIŞ]]=0,"Açık",(E86-D86)*C86)</f>
        <v>6.5000000000000568</v>
      </c>
      <c r="G86" s="11">
        <f>Tablo1456789[[#This Row],[ADET]]*Tablo1456789[[#This Row],[ALIŞ]]</f>
        <v>985</v>
      </c>
      <c r="H86" s="11">
        <f>Tablo1456789[[#This Row],[ADET]]*Tablo1456789[[#This Row],[SATIŞ]]</f>
        <v>991.5</v>
      </c>
      <c r="J86" s="40" t="str">
        <f t="shared" si="2"/>
        <v/>
      </c>
    </row>
    <row r="87" spans="2:10" ht="21" hidden="1" customHeight="1" x14ac:dyDescent="0.3">
      <c r="B87" s="2">
        <v>45370</v>
      </c>
      <c r="C87" s="6">
        <v>100</v>
      </c>
      <c r="D87" s="10">
        <v>97.95</v>
      </c>
      <c r="E87" s="10">
        <v>98.05</v>
      </c>
      <c r="F87" s="9">
        <f>IF(Tablo1456789[[#This Row],[SATIŞ]]=0,"Açık",(E87-D87)*C87)</f>
        <v>9.9999999999994316</v>
      </c>
      <c r="G87" s="11">
        <f>Tablo1456789[[#This Row],[ADET]]*Tablo1456789[[#This Row],[ALIŞ]]</f>
        <v>9795</v>
      </c>
      <c r="H87" s="11">
        <f>Tablo1456789[[#This Row],[ADET]]*Tablo1456789[[#This Row],[SATIŞ]]</f>
        <v>9805</v>
      </c>
      <c r="J87" s="40" t="str">
        <f t="shared" si="2"/>
        <v/>
      </c>
    </row>
    <row r="88" spans="2:10" ht="21" hidden="1" customHeight="1" x14ac:dyDescent="0.3">
      <c r="B88" s="2">
        <v>45370</v>
      </c>
      <c r="C88" s="6">
        <v>100</v>
      </c>
      <c r="D88" s="10">
        <v>97.9</v>
      </c>
      <c r="E88" s="10">
        <v>97.95</v>
      </c>
      <c r="F88" s="9">
        <f>IF(Tablo1456789[[#This Row],[SATIŞ]]=0,"Açık",(E88-D88)*C88)</f>
        <v>4.9999999999997158</v>
      </c>
      <c r="G88" s="11">
        <f>Tablo1456789[[#This Row],[ADET]]*Tablo1456789[[#This Row],[ALIŞ]]</f>
        <v>9790</v>
      </c>
      <c r="H88" s="11">
        <f>Tablo1456789[[#This Row],[ADET]]*Tablo1456789[[#This Row],[SATIŞ]]</f>
        <v>9795</v>
      </c>
      <c r="J88" s="40" t="str">
        <f t="shared" si="2"/>
        <v/>
      </c>
    </row>
    <row r="89" spans="2:10" ht="21" hidden="1" customHeight="1" x14ac:dyDescent="0.3">
      <c r="B89" s="2">
        <v>45370</v>
      </c>
      <c r="C89" s="6">
        <v>10</v>
      </c>
      <c r="D89" s="10">
        <v>98.5</v>
      </c>
      <c r="E89" s="10">
        <v>98.8</v>
      </c>
      <c r="F89" s="9">
        <f>IF(Tablo1456789[[#This Row],[SATIŞ]]=0,"Açık",(E89-D89)*C89)</f>
        <v>2.9999999999999716</v>
      </c>
      <c r="G89" s="11">
        <f>Tablo1456789[[#This Row],[ADET]]*Tablo1456789[[#This Row],[ALIŞ]]</f>
        <v>985</v>
      </c>
      <c r="H89" s="11">
        <f>Tablo1456789[[#This Row],[ADET]]*Tablo1456789[[#This Row],[SATIŞ]]</f>
        <v>988</v>
      </c>
      <c r="J89" s="40" t="str">
        <f t="shared" si="2"/>
        <v/>
      </c>
    </row>
    <row r="90" spans="2:10" ht="21" hidden="1" customHeight="1" x14ac:dyDescent="0.3">
      <c r="B90" s="2">
        <v>45370</v>
      </c>
      <c r="C90" s="6">
        <v>10</v>
      </c>
      <c r="D90" s="10">
        <v>98.5</v>
      </c>
      <c r="E90" s="10">
        <v>98.7</v>
      </c>
      <c r="F90" s="9">
        <f>IF(Tablo1456789[[#This Row],[SATIŞ]]=0,"Açık",(E90-D90)*C90)</f>
        <v>2.0000000000000284</v>
      </c>
      <c r="G90" s="11">
        <f>Tablo1456789[[#This Row],[ADET]]*Tablo1456789[[#This Row],[ALIŞ]]</f>
        <v>985</v>
      </c>
      <c r="H90" s="11">
        <f>Tablo1456789[[#This Row],[ADET]]*Tablo1456789[[#This Row],[SATIŞ]]</f>
        <v>987</v>
      </c>
      <c r="J90" s="40" t="str">
        <f t="shared" si="2"/>
        <v/>
      </c>
    </row>
    <row r="91" spans="2:10" ht="21" hidden="1" customHeight="1" x14ac:dyDescent="0.3">
      <c r="B91" s="2">
        <v>45370</v>
      </c>
      <c r="C91" s="6">
        <v>20</v>
      </c>
      <c r="D91" s="10">
        <v>98.5</v>
      </c>
      <c r="E91" s="10">
        <v>98.575000000000003</v>
      </c>
      <c r="F91" s="9">
        <f>IF(Tablo1456789[[#This Row],[SATIŞ]]=0,"Açık",(E91-D91)*C91)</f>
        <v>1.5000000000000568</v>
      </c>
      <c r="G91" s="11">
        <f>Tablo1456789[[#This Row],[ADET]]*Tablo1456789[[#This Row],[ALIŞ]]</f>
        <v>1970</v>
      </c>
      <c r="H91" s="11">
        <f>Tablo1456789[[#This Row],[ADET]]*Tablo1456789[[#This Row],[SATIŞ]]</f>
        <v>1971.5</v>
      </c>
      <c r="J91" s="40" t="str">
        <f t="shared" si="2"/>
        <v/>
      </c>
    </row>
    <row r="92" spans="2:10" ht="21" hidden="1" customHeight="1" x14ac:dyDescent="0.3">
      <c r="B92" s="2">
        <v>45370</v>
      </c>
      <c r="C92" s="6">
        <v>50</v>
      </c>
      <c r="D92" s="10">
        <v>97.8</v>
      </c>
      <c r="E92" s="10">
        <v>98.4</v>
      </c>
      <c r="F92" s="9">
        <f>IF(Tablo1456789[[#This Row],[SATIŞ]]=0,"Açık",(E92-D92)*C92)</f>
        <v>30.000000000000426</v>
      </c>
      <c r="G92" s="11">
        <f>Tablo1456789[[#This Row],[ADET]]*Tablo1456789[[#This Row],[ALIŞ]]</f>
        <v>4890</v>
      </c>
      <c r="H92" s="11">
        <f>Tablo1456789[[#This Row],[ADET]]*Tablo1456789[[#This Row],[SATIŞ]]</f>
        <v>4920</v>
      </c>
      <c r="J92" s="40" t="str">
        <f t="shared" si="2"/>
        <v/>
      </c>
    </row>
    <row r="93" spans="2:10" ht="21" hidden="1" customHeight="1" x14ac:dyDescent="0.3">
      <c r="B93" s="2">
        <v>45370</v>
      </c>
      <c r="C93" s="6">
        <v>50</v>
      </c>
      <c r="D93" s="10">
        <v>97.8</v>
      </c>
      <c r="E93" s="10">
        <v>98.05</v>
      </c>
      <c r="F93" s="9">
        <f>IF(Tablo1456789[[#This Row],[SATIŞ]]=0,"Açık",(E93-D93)*C93)</f>
        <v>12.5</v>
      </c>
      <c r="G93" s="11">
        <f>Tablo1456789[[#This Row],[ADET]]*Tablo1456789[[#This Row],[ALIŞ]]</f>
        <v>4890</v>
      </c>
      <c r="H93" s="11">
        <f>Tablo1456789[[#This Row],[ADET]]*Tablo1456789[[#This Row],[SATIŞ]]</f>
        <v>4902.5</v>
      </c>
      <c r="J93" s="40" t="str">
        <f t="shared" si="2"/>
        <v/>
      </c>
    </row>
    <row r="94" spans="2:10" ht="21" hidden="1" customHeight="1" x14ac:dyDescent="0.3">
      <c r="B94" s="2">
        <v>45370</v>
      </c>
      <c r="C94" s="6">
        <v>50</v>
      </c>
      <c r="D94" s="10">
        <v>97.5</v>
      </c>
      <c r="E94" s="10">
        <v>97.65</v>
      </c>
      <c r="F94" s="9">
        <f>IF(Tablo1456789[[#This Row],[SATIŞ]]=0,"Açık",(E94-D94)*C94)</f>
        <v>7.5000000000002842</v>
      </c>
      <c r="G94" s="11">
        <f>Tablo1456789[[#This Row],[ADET]]*Tablo1456789[[#This Row],[ALIŞ]]</f>
        <v>4875</v>
      </c>
      <c r="H94" s="11">
        <f>Tablo1456789[[#This Row],[ADET]]*Tablo1456789[[#This Row],[SATIŞ]]</f>
        <v>4882.5</v>
      </c>
      <c r="J94" s="40" t="str">
        <f t="shared" si="2"/>
        <v/>
      </c>
    </row>
    <row r="95" spans="2:10" ht="21" hidden="1" customHeight="1" x14ac:dyDescent="0.3">
      <c r="B95" s="2">
        <v>45370</v>
      </c>
      <c r="C95" s="6">
        <v>30</v>
      </c>
      <c r="D95" s="10">
        <v>97.5</v>
      </c>
      <c r="E95" s="10">
        <v>97.85</v>
      </c>
      <c r="F95" s="9">
        <f>IF(Tablo1456789[[#This Row],[SATIŞ]]=0,"Açık",(E95-D95)*C95)</f>
        <v>10.499999999999829</v>
      </c>
      <c r="G95" s="11">
        <f>Tablo1456789[[#This Row],[ADET]]*Tablo1456789[[#This Row],[ALIŞ]]</f>
        <v>2925</v>
      </c>
      <c r="H95" s="11">
        <f>Tablo1456789[[#This Row],[ADET]]*Tablo1456789[[#This Row],[SATIŞ]]</f>
        <v>2935.5</v>
      </c>
      <c r="J95" s="40" t="str">
        <f t="shared" si="2"/>
        <v/>
      </c>
    </row>
    <row r="96" spans="2:10" ht="21" hidden="1" customHeight="1" x14ac:dyDescent="0.3">
      <c r="B96" s="2">
        <v>45370</v>
      </c>
      <c r="C96" s="6">
        <v>20</v>
      </c>
      <c r="D96" s="10">
        <v>97.5</v>
      </c>
      <c r="E96" s="10">
        <v>98.224999999999994</v>
      </c>
      <c r="F96" s="9">
        <f>IF(Tablo1456789[[#This Row],[SATIŞ]]=0,"Açık",(E96-D96)*C96)</f>
        <v>14.499999999999886</v>
      </c>
      <c r="G96" s="11">
        <f>Tablo1456789[[#This Row],[ADET]]*Tablo1456789[[#This Row],[ALIŞ]]</f>
        <v>1950</v>
      </c>
      <c r="H96" s="11">
        <f>Tablo1456789[[#This Row],[ADET]]*Tablo1456789[[#This Row],[SATIŞ]]</f>
        <v>1964.5</v>
      </c>
      <c r="J96" s="40" t="str">
        <f t="shared" si="2"/>
        <v/>
      </c>
    </row>
    <row r="97" spans="2:11" ht="21" hidden="1" customHeight="1" x14ac:dyDescent="0.3">
      <c r="B97" s="2">
        <v>45369</v>
      </c>
      <c r="C97" s="6">
        <v>10</v>
      </c>
      <c r="D97" s="10">
        <v>99.5</v>
      </c>
      <c r="E97" s="10">
        <v>99.9</v>
      </c>
      <c r="F97" s="9">
        <f>IF(Tablo1456789[[#This Row],[SATIŞ]]=0,"Açık",(E97-D97)*C97)</f>
        <v>4.0000000000000568</v>
      </c>
      <c r="G97" s="11">
        <f>Tablo1456789[[#This Row],[ADET]]*Tablo1456789[[#This Row],[ALIŞ]]</f>
        <v>995</v>
      </c>
      <c r="H97" s="11">
        <f>Tablo1456789[[#This Row],[ADET]]*Tablo1456789[[#This Row],[SATIŞ]]</f>
        <v>999</v>
      </c>
      <c r="J97" s="40" t="str">
        <f t="shared" si="2"/>
        <v/>
      </c>
      <c r="K97">
        <v>99.1</v>
      </c>
    </row>
    <row r="98" spans="2:11" ht="21" hidden="1" customHeight="1" x14ac:dyDescent="0.3">
      <c r="B98" s="2">
        <v>45372</v>
      </c>
      <c r="C98" s="6">
        <v>10</v>
      </c>
      <c r="D98" s="10">
        <v>97.5</v>
      </c>
      <c r="E98" s="10">
        <v>98</v>
      </c>
      <c r="F98" s="9">
        <f>IF(Tablo1456789[[#This Row],[SATIŞ]]=0,"Açık",(E98-D98)*C98)</f>
        <v>5</v>
      </c>
      <c r="G98" s="11">
        <f>Tablo1456789[[#This Row],[ADET]]*Tablo1456789[[#This Row],[ALIŞ]]</f>
        <v>975</v>
      </c>
      <c r="H98" s="11">
        <f>Tablo1456789[[#This Row],[ADET]]*Tablo1456789[[#This Row],[SATIŞ]]</f>
        <v>980</v>
      </c>
      <c r="J98" s="40" t="str">
        <f t="shared" si="2"/>
        <v/>
      </c>
      <c r="K98">
        <v>99.2</v>
      </c>
    </row>
    <row r="99" spans="2:11" ht="21" hidden="1" customHeight="1" x14ac:dyDescent="0.3">
      <c r="B99" s="2">
        <v>45369</v>
      </c>
      <c r="C99" s="6">
        <v>40</v>
      </c>
      <c r="D99" s="10">
        <v>100</v>
      </c>
      <c r="E99" s="10">
        <v>101.1</v>
      </c>
      <c r="F99" s="9">
        <f>IF(Tablo1456789[[#This Row],[SATIŞ]]=0,"Açık",(E99-D99)*C99)</f>
        <v>43.999999999999773</v>
      </c>
      <c r="G99" s="11">
        <f>Tablo1456789[[#This Row],[ADET]]*Tablo1456789[[#This Row],[ALIŞ]]</f>
        <v>4000</v>
      </c>
      <c r="H99" s="11">
        <f>Tablo1456789[[#This Row],[ADET]]*Tablo1456789[[#This Row],[SATIŞ]]</f>
        <v>4044</v>
      </c>
      <c r="J99" s="40"/>
    </row>
    <row r="100" spans="2:11" ht="21" hidden="1" customHeight="1" x14ac:dyDescent="0.3">
      <c r="B100" s="2">
        <v>45372</v>
      </c>
      <c r="C100" s="6">
        <v>10</v>
      </c>
      <c r="D100" s="10">
        <v>97.5</v>
      </c>
      <c r="E100" s="10">
        <v>100.6</v>
      </c>
      <c r="F100" s="9">
        <f>IF(Tablo1456789[[#This Row],[SATIŞ]]=0,"Açık",(E100-D100)*C100)</f>
        <v>30.999999999999943</v>
      </c>
      <c r="G100" s="11">
        <f>Tablo1456789[[#This Row],[ADET]]*Tablo1456789[[#This Row],[ALIŞ]]</f>
        <v>975</v>
      </c>
      <c r="H100" s="11">
        <f>Tablo1456789[[#This Row],[ADET]]*Tablo1456789[[#This Row],[SATIŞ]]</f>
        <v>1006</v>
      </c>
      <c r="J100" s="40" t="str">
        <f t="shared" si="2"/>
        <v/>
      </c>
      <c r="K100">
        <v>98.3</v>
      </c>
    </row>
    <row r="101" spans="2:11" ht="21" hidden="1" customHeight="1" x14ac:dyDescent="0.3">
      <c r="B101" s="2">
        <v>45372</v>
      </c>
      <c r="C101" s="6">
        <v>50</v>
      </c>
      <c r="D101" s="10">
        <v>97.5</v>
      </c>
      <c r="E101" s="10">
        <v>98.3</v>
      </c>
      <c r="F101" s="9">
        <f>IF(Tablo1456789[[#This Row],[SATIŞ]]=0,"Açık",(E101-D101)*C101)</f>
        <v>39.999999999999858</v>
      </c>
      <c r="G101" s="11">
        <f>Tablo1456789[[#This Row],[ADET]]*Tablo1456789[[#This Row],[ALIŞ]]</f>
        <v>4875</v>
      </c>
      <c r="H101" s="11">
        <f>Tablo1456789[[#This Row],[ADET]]*Tablo1456789[[#This Row],[SATIŞ]]</f>
        <v>4915</v>
      </c>
      <c r="J101" s="40" t="str">
        <f t="shared" si="2"/>
        <v/>
      </c>
    </row>
    <row r="102" spans="2:11" ht="21" hidden="1" customHeight="1" x14ac:dyDescent="0.3">
      <c r="B102" s="2">
        <v>45372</v>
      </c>
      <c r="C102" s="6">
        <v>10</v>
      </c>
      <c r="D102" s="10">
        <v>97.6</v>
      </c>
      <c r="E102" s="10">
        <v>98</v>
      </c>
      <c r="F102" s="9">
        <f>IF(Tablo1456789[[#This Row],[SATIŞ]]=0,"Açık",(E102-D102)*C102)</f>
        <v>4.0000000000000568</v>
      </c>
      <c r="G102" s="11">
        <f>Tablo1456789[[#This Row],[ADET]]*Tablo1456789[[#This Row],[ALIŞ]]</f>
        <v>976</v>
      </c>
      <c r="H102" s="11">
        <f>Tablo1456789[[#This Row],[ADET]]*Tablo1456789[[#This Row],[SATIŞ]]</f>
        <v>980</v>
      </c>
      <c r="J102" s="40" t="str">
        <f t="shared" si="2"/>
        <v/>
      </c>
      <c r="K102">
        <v>98.35</v>
      </c>
    </row>
    <row r="103" spans="2:11" ht="21" hidden="1" customHeight="1" x14ac:dyDescent="0.3">
      <c r="B103" s="2">
        <v>45372</v>
      </c>
      <c r="C103" s="6">
        <v>10</v>
      </c>
      <c r="D103" s="10">
        <v>97.5</v>
      </c>
      <c r="E103" s="10">
        <v>97.9</v>
      </c>
      <c r="F103" s="9">
        <f>IF(Tablo1456789[[#This Row],[SATIŞ]]=0,"Açık",(E103-D103)*C103)</f>
        <v>4.0000000000000568</v>
      </c>
      <c r="G103" s="11">
        <f>Tablo1456789[[#This Row],[ADET]]*Tablo1456789[[#This Row],[ALIŞ]]</f>
        <v>975</v>
      </c>
      <c r="H103" s="11">
        <f>Tablo1456789[[#This Row],[ADET]]*Tablo1456789[[#This Row],[SATIŞ]]</f>
        <v>979</v>
      </c>
      <c r="J103" s="40" t="str">
        <f t="shared" si="2"/>
        <v/>
      </c>
      <c r="K103">
        <v>98.4</v>
      </c>
    </row>
    <row r="104" spans="2:11" ht="21" hidden="1" customHeight="1" x14ac:dyDescent="0.3">
      <c r="B104" s="2">
        <v>45372</v>
      </c>
      <c r="C104" s="6">
        <v>10</v>
      </c>
      <c r="D104" s="10">
        <v>97.4</v>
      </c>
      <c r="E104" s="10">
        <v>97.8</v>
      </c>
      <c r="F104" s="9">
        <f>IF(Tablo1456789[[#This Row],[SATIŞ]]=0,"Açık",(E104-D104)*C104)</f>
        <v>3.9999999999999147</v>
      </c>
      <c r="G104" s="11">
        <f>Tablo1456789[[#This Row],[ADET]]*Tablo1456789[[#This Row],[ALIŞ]]</f>
        <v>974</v>
      </c>
      <c r="H104" s="11">
        <f>Tablo1456789[[#This Row],[ADET]]*Tablo1456789[[#This Row],[SATIŞ]]</f>
        <v>978</v>
      </c>
      <c r="J104" s="40" t="str">
        <f t="shared" si="2"/>
        <v/>
      </c>
      <c r="K104">
        <v>98.45</v>
      </c>
    </row>
    <row r="105" spans="2:11" ht="21" hidden="1" customHeight="1" x14ac:dyDescent="0.3">
      <c r="B105" s="2">
        <v>45372</v>
      </c>
      <c r="C105" s="6">
        <v>30</v>
      </c>
      <c r="D105" s="10">
        <v>97.5</v>
      </c>
      <c r="E105" s="10">
        <v>100.03</v>
      </c>
      <c r="F105" s="9">
        <f>IF(Tablo1456789[[#This Row],[SATIŞ]]=0,"Açık",(E105-D105)*C105)</f>
        <v>75.900000000000034</v>
      </c>
      <c r="G105" s="11">
        <f>Tablo1456789[[#This Row],[ADET]]*Tablo1456789[[#This Row],[ALIŞ]]</f>
        <v>2925</v>
      </c>
      <c r="H105" s="11">
        <f>Tablo1456789[[#This Row],[ADET]]*Tablo1456789[[#This Row],[SATIŞ]]</f>
        <v>3000.9</v>
      </c>
      <c r="J105" s="40"/>
    </row>
    <row r="106" spans="2:11" ht="21" hidden="1" customHeight="1" x14ac:dyDescent="0.3">
      <c r="B106" s="2">
        <v>45372</v>
      </c>
      <c r="C106" s="6">
        <v>10</v>
      </c>
      <c r="D106" s="10">
        <v>97.5</v>
      </c>
      <c r="E106" s="10">
        <v>99.6</v>
      </c>
      <c r="F106" s="9">
        <f>IF(Tablo1456789[[#This Row],[SATIŞ]]=0,"Açık",(E106-D106)*C106)</f>
        <v>20.999999999999943</v>
      </c>
      <c r="G106" s="11">
        <f>Tablo1456789[[#This Row],[ADET]]*Tablo1456789[[#This Row],[ALIŞ]]</f>
        <v>975</v>
      </c>
      <c r="H106" s="11">
        <f>Tablo1456789[[#This Row],[ADET]]*Tablo1456789[[#This Row],[SATIŞ]]</f>
        <v>996</v>
      </c>
      <c r="J106" s="40" t="str">
        <f t="shared" si="2"/>
        <v/>
      </c>
      <c r="K106">
        <v>98.5</v>
      </c>
    </row>
    <row r="107" spans="2:11" ht="21" hidden="1" customHeight="1" x14ac:dyDescent="0.3">
      <c r="B107" s="2">
        <v>45372</v>
      </c>
      <c r="C107" s="6">
        <v>10</v>
      </c>
      <c r="D107" s="10">
        <v>97.25</v>
      </c>
      <c r="E107" s="10">
        <v>99.45</v>
      </c>
      <c r="F107" s="9">
        <f>IF(Tablo1456789[[#This Row],[SATIŞ]]=0,"Açık",(E107-D107)*C107)</f>
        <v>22.000000000000028</v>
      </c>
      <c r="G107" s="11">
        <f>Tablo1456789[[#This Row],[ADET]]*Tablo1456789[[#This Row],[ALIŞ]]</f>
        <v>972.5</v>
      </c>
      <c r="H107" s="11">
        <f>Tablo1456789[[#This Row],[ADET]]*Tablo1456789[[#This Row],[SATIŞ]]</f>
        <v>994.5</v>
      </c>
      <c r="J107" s="40" t="str">
        <f t="shared" si="2"/>
        <v/>
      </c>
    </row>
    <row r="108" spans="2:11" ht="21" hidden="1" customHeight="1" x14ac:dyDescent="0.3">
      <c r="B108" s="2">
        <v>45373</v>
      </c>
      <c r="C108" s="6">
        <v>10</v>
      </c>
      <c r="D108" s="10">
        <v>97</v>
      </c>
      <c r="E108" s="10">
        <v>99.75</v>
      </c>
      <c r="F108" s="9">
        <f>IF(Tablo1456789[[#This Row],[SATIŞ]]=0,"Açık",(E108-D108)*C108)</f>
        <v>27.5</v>
      </c>
      <c r="G108" s="11">
        <f>Tablo1456789[[#This Row],[ADET]]*Tablo1456789[[#This Row],[ALIŞ]]</f>
        <v>970</v>
      </c>
      <c r="H108" s="11">
        <f>Tablo1456789[[#This Row],[ADET]]*Tablo1456789[[#This Row],[SATIŞ]]</f>
        <v>997.5</v>
      </c>
      <c r="J108" s="40" t="str">
        <f t="shared" si="2"/>
        <v/>
      </c>
    </row>
    <row r="109" spans="2:11" ht="21" hidden="1" customHeight="1" x14ac:dyDescent="0.3">
      <c r="B109" s="2">
        <v>45373</v>
      </c>
      <c r="C109" s="6">
        <v>20</v>
      </c>
      <c r="D109" s="10">
        <v>96.8</v>
      </c>
      <c r="E109" s="10">
        <v>99.224999999999994</v>
      </c>
      <c r="F109" s="9">
        <f>IF(Tablo1456789[[#This Row],[SATIŞ]]=0,"Açık",(E109-D109)*C109)</f>
        <v>48.499999999999943</v>
      </c>
      <c r="G109" s="11">
        <f>Tablo1456789[[#This Row],[ADET]]*Tablo1456789[[#This Row],[ALIŞ]]</f>
        <v>1936</v>
      </c>
      <c r="H109" s="11">
        <f>Tablo1456789[[#This Row],[ADET]]*Tablo1456789[[#This Row],[SATIŞ]]</f>
        <v>1984.5</v>
      </c>
      <c r="J109" s="40" t="str">
        <f t="shared" si="2"/>
        <v/>
      </c>
    </row>
    <row r="110" spans="2:11" ht="21" hidden="1" customHeight="1" x14ac:dyDescent="0.3">
      <c r="B110" s="2">
        <v>45373</v>
      </c>
      <c r="C110" s="6">
        <v>30</v>
      </c>
      <c r="D110" s="10">
        <v>96.6</v>
      </c>
      <c r="E110" s="10">
        <v>98.8</v>
      </c>
      <c r="F110" s="9">
        <f>IF(Tablo1456789[[#This Row],[SATIŞ]]=0,"Açık",(E110-D110)*C110)</f>
        <v>66.000000000000085</v>
      </c>
      <c r="G110" s="11">
        <f>Tablo1456789[[#This Row],[ADET]]*Tablo1456789[[#This Row],[ALIŞ]]</f>
        <v>2898</v>
      </c>
      <c r="H110" s="11">
        <f>Tablo1456789[[#This Row],[ADET]]*Tablo1456789[[#This Row],[SATIŞ]]</f>
        <v>2964</v>
      </c>
      <c r="J110" s="40" t="str">
        <f t="shared" si="2"/>
        <v/>
      </c>
    </row>
    <row r="111" spans="2:11" ht="21" hidden="1" customHeight="1" x14ac:dyDescent="0.3">
      <c r="B111" s="2">
        <v>45373</v>
      </c>
      <c r="C111" s="6">
        <v>40</v>
      </c>
      <c r="D111" s="10">
        <v>96.4</v>
      </c>
      <c r="E111" s="10">
        <v>97.162499999999994</v>
      </c>
      <c r="F111" s="9">
        <f>IF(Tablo1456789[[#This Row],[SATIŞ]]=0,"Açık",(E111-D111)*C111)</f>
        <v>30.499999999999545</v>
      </c>
      <c r="G111" s="11">
        <f>Tablo1456789[[#This Row],[ADET]]*Tablo1456789[[#This Row],[ALIŞ]]</f>
        <v>3856</v>
      </c>
      <c r="H111" s="11">
        <f>Tablo1456789[[#This Row],[ADET]]*Tablo1456789[[#This Row],[SATIŞ]]</f>
        <v>3886.5</v>
      </c>
      <c r="J111" s="40" t="str">
        <f t="shared" si="2"/>
        <v/>
      </c>
    </row>
    <row r="112" spans="2:11" ht="21" hidden="1" customHeight="1" x14ac:dyDescent="0.3">
      <c r="B112" s="2">
        <v>45373</v>
      </c>
      <c r="C112" s="6">
        <v>10</v>
      </c>
      <c r="D112" s="10">
        <v>96.3</v>
      </c>
      <c r="E112" s="10">
        <v>96.6</v>
      </c>
      <c r="F112" s="9">
        <f>IF(Tablo1456789[[#This Row],[SATIŞ]]=0,"Açık",(E112-D112)*C112)</f>
        <v>2.9999999999999716</v>
      </c>
      <c r="G112" s="11">
        <f>Tablo1456789[[#This Row],[ADET]]*Tablo1456789[[#This Row],[ALIŞ]]</f>
        <v>963</v>
      </c>
      <c r="H112" s="11">
        <f>Tablo1456789[[#This Row],[ADET]]*Tablo1456789[[#This Row],[SATIŞ]]</f>
        <v>966</v>
      </c>
      <c r="J112" s="40" t="str">
        <f t="shared" ref="J112:J163" si="3">IF(E112=0,D112*1.05,"")</f>
        <v/>
      </c>
    </row>
    <row r="113" spans="2:10" ht="21" hidden="1" customHeight="1" x14ac:dyDescent="0.3">
      <c r="B113" s="2">
        <v>45373</v>
      </c>
      <c r="C113" s="6">
        <v>10</v>
      </c>
      <c r="D113" s="10">
        <v>96.3</v>
      </c>
      <c r="E113" s="10">
        <v>98.2</v>
      </c>
      <c r="F113" s="9">
        <f>IF(Tablo1456789[[#This Row],[SATIŞ]]=0,"Açık",(E113-D113)*C113)</f>
        <v>19.000000000000057</v>
      </c>
      <c r="G113" s="11">
        <f>Tablo1456789[[#This Row],[ADET]]*Tablo1456789[[#This Row],[ALIŞ]]</f>
        <v>963</v>
      </c>
      <c r="H113" s="11">
        <f>Tablo1456789[[#This Row],[ADET]]*Tablo1456789[[#This Row],[SATIŞ]]</f>
        <v>982</v>
      </c>
      <c r="J113" s="40" t="str">
        <f t="shared" si="3"/>
        <v/>
      </c>
    </row>
    <row r="114" spans="2:10" ht="21" hidden="1" customHeight="1" x14ac:dyDescent="0.3">
      <c r="B114" s="2">
        <v>45373</v>
      </c>
      <c r="C114" s="6">
        <v>10</v>
      </c>
      <c r="D114" s="10">
        <v>95.95</v>
      </c>
      <c r="E114" s="10">
        <v>96.9</v>
      </c>
      <c r="F114" s="9">
        <f>IF(Tablo1456789[[#This Row],[SATIŞ]]=0,"Açık",(E114-D114)*C114)</f>
        <v>9.5000000000000284</v>
      </c>
      <c r="G114" s="11">
        <f>Tablo1456789[[#This Row],[ADET]]*Tablo1456789[[#This Row],[ALIŞ]]</f>
        <v>959.5</v>
      </c>
      <c r="H114" s="11">
        <f>Tablo1456789[[#This Row],[ADET]]*Tablo1456789[[#This Row],[SATIŞ]]</f>
        <v>969</v>
      </c>
      <c r="J114" s="40" t="str">
        <f t="shared" si="3"/>
        <v/>
      </c>
    </row>
    <row r="115" spans="2:10" ht="21" hidden="1" customHeight="1" x14ac:dyDescent="0.3">
      <c r="B115" s="2">
        <v>45373</v>
      </c>
      <c r="C115" s="6">
        <v>10</v>
      </c>
      <c r="D115" s="10">
        <v>96.2</v>
      </c>
      <c r="E115" s="10">
        <v>96.8</v>
      </c>
      <c r="F115" s="9">
        <f>IF(Tablo1456789[[#This Row],[SATIŞ]]=0,"Açık",(E115-D115)*C115)</f>
        <v>5.9999999999999432</v>
      </c>
      <c r="G115" s="11">
        <f>Tablo1456789[[#This Row],[ADET]]*Tablo1456789[[#This Row],[ALIŞ]]</f>
        <v>962</v>
      </c>
      <c r="H115" s="11">
        <f>Tablo1456789[[#This Row],[ADET]]*Tablo1456789[[#This Row],[SATIŞ]]</f>
        <v>968</v>
      </c>
      <c r="J115" s="40" t="str">
        <f t="shared" si="3"/>
        <v/>
      </c>
    </row>
    <row r="116" spans="2:10" ht="21" hidden="1" customHeight="1" x14ac:dyDescent="0.3">
      <c r="B116" s="2">
        <v>45373</v>
      </c>
      <c r="C116" s="6">
        <v>10</v>
      </c>
      <c r="D116" s="10">
        <v>96.05</v>
      </c>
      <c r="E116" s="10">
        <v>96.7</v>
      </c>
      <c r="F116" s="9">
        <f>IF(Tablo1456789[[#This Row],[SATIŞ]]=0,"Açık",(E116-D116)*C116)</f>
        <v>6.5000000000000568</v>
      </c>
      <c r="G116" s="11">
        <f>Tablo1456789[[#This Row],[ADET]]*Tablo1456789[[#This Row],[ALIŞ]]</f>
        <v>960.5</v>
      </c>
      <c r="H116" s="11">
        <f>Tablo1456789[[#This Row],[ADET]]*Tablo1456789[[#This Row],[SATIŞ]]</f>
        <v>967</v>
      </c>
      <c r="J116" s="40" t="str">
        <f t="shared" si="3"/>
        <v/>
      </c>
    </row>
    <row r="117" spans="2:10" ht="21" hidden="1" customHeight="1" x14ac:dyDescent="0.3">
      <c r="B117" s="2">
        <v>45373</v>
      </c>
      <c r="C117" s="6">
        <v>10</v>
      </c>
      <c r="D117" s="10">
        <v>95.85</v>
      </c>
      <c r="E117" s="10">
        <v>97.25</v>
      </c>
      <c r="F117" s="9">
        <f>IF(Tablo1456789[[#This Row],[SATIŞ]]=0,"Açık",(E117-D117)*C117)</f>
        <v>14.000000000000057</v>
      </c>
      <c r="G117" s="11">
        <f>Tablo1456789[[#This Row],[ADET]]*Tablo1456789[[#This Row],[ALIŞ]]</f>
        <v>958.5</v>
      </c>
      <c r="H117" s="11">
        <f>Tablo1456789[[#This Row],[ADET]]*Tablo1456789[[#This Row],[SATIŞ]]</f>
        <v>972.5</v>
      </c>
      <c r="J117" s="40" t="str">
        <f t="shared" si="3"/>
        <v/>
      </c>
    </row>
    <row r="118" spans="2:10" ht="21" hidden="1" customHeight="1" x14ac:dyDescent="0.3">
      <c r="B118" s="2">
        <v>45373</v>
      </c>
      <c r="C118" s="6">
        <v>10</v>
      </c>
      <c r="D118" s="10">
        <v>95.75</v>
      </c>
      <c r="E118" s="10">
        <v>97</v>
      </c>
      <c r="F118" s="9">
        <f>IF(Tablo1456789[[#This Row],[SATIŞ]]=0,"Açık",(E118-D118)*C118)</f>
        <v>12.5</v>
      </c>
      <c r="G118" s="11">
        <f>Tablo1456789[[#This Row],[ADET]]*Tablo1456789[[#This Row],[ALIŞ]]</f>
        <v>957.5</v>
      </c>
      <c r="H118" s="11">
        <f>Tablo1456789[[#This Row],[ADET]]*Tablo1456789[[#This Row],[SATIŞ]]</f>
        <v>970</v>
      </c>
      <c r="J118" s="40" t="str">
        <f t="shared" si="3"/>
        <v/>
      </c>
    </row>
    <row r="119" spans="2:10" ht="21" hidden="1" customHeight="1" x14ac:dyDescent="0.3">
      <c r="B119" s="2">
        <v>45373</v>
      </c>
      <c r="C119" s="6">
        <v>10</v>
      </c>
      <c r="D119" s="10">
        <v>95.6</v>
      </c>
      <c r="E119" s="10">
        <v>95.9</v>
      </c>
      <c r="F119" s="9">
        <f>IF(Tablo1456789[[#This Row],[SATIŞ]]=0,"Açık",(E119-D119)*C119)</f>
        <v>3.0000000000001137</v>
      </c>
      <c r="G119" s="11">
        <f>Tablo1456789[[#This Row],[ADET]]*Tablo1456789[[#This Row],[ALIŞ]]</f>
        <v>956</v>
      </c>
      <c r="H119" s="11">
        <f>Tablo1456789[[#This Row],[ADET]]*Tablo1456789[[#This Row],[SATIŞ]]</f>
        <v>959</v>
      </c>
      <c r="J119" s="40" t="str">
        <f t="shared" si="3"/>
        <v/>
      </c>
    </row>
    <row r="120" spans="2:10" ht="21" hidden="1" customHeight="1" x14ac:dyDescent="0.3">
      <c r="B120" s="2">
        <v>45373</v>
      </c>
      <c r="C120" s="6">
        <v>10</v>
      </c>
      <c r="D120" s="10">
        <v>95.5</v>
      </c>
      <c r="E120" s="10">
        <v>95.7</v>
      </c>
      <c r="F120" s="9">
        <f>IF(Tablo1456789[[#This Row],[SATIŞ]]=0,"Açık",(E120-D120)*C120)</f>
        <v>2.0000000000000284</v>
      </c>
      <c r="G120" s="11">
        <f>Tablo1456789[[#This Row],[ADET]]*Tablo1456789[[#This Row],[ALIŞ]]</f>
        <v>955</v>
      </c>
      <c r="H120" s="11">
        <f>Tablo1456789[[#This Row],[ADET]]*Tablo1456789[[#This Row],[SATIŞ]]</f>
        <v>957</v>
      </c>
      <c r="J120" s="40" t="str">
        <f t="shared" si="3"/>
        <v/>
      </c>
    </row>
    <row r="121" spans="2:10" ht="21" hidden="1" customHeight="1" x14ac:dyDescent="0.3">
      <c r="B121" s="2">
        <v>45373</v>
      </c>
      <c r="C121" s="6">
        <v>10</v>
      </c>
      <c r="D121" s="10">
        <v>95.4</v>
      </c>
      <c r="E121" s="10">
        <v>95.55</v>
      </c>
      <c r="F121" s="9">
        <f>IF(Tablo1456789[[#This Row],[SATIŞ]]=0,"Açık",(E121-D121)*C121)</f>
        <v>1.4999999999999147</v>
      </c>
      <c r="G121" s="11">
        <f>Tablo1456789[[#This Row],[ADET]]*Tablo1456789[[#This Row],[ALIŞ]]</f>
        <v>954</v>
      </c>
      <c r="H121" s="11">
        <f>Tablo1456789[[#This Row],[ADET]]*Tablo1456789[[#This Row],[SATIŞ]]</f>
        <v>955.5</v>
      </c>
      <c r="J121" s="40" t="str">
        <f t="shared" si="3"/>
        <v/>
      </c>
    </row>
    <row r="122" spans="2:10" ht="21" hidden="1" customHeight="1" x14ac:dyDescent="0.3">
      <c r="B122" s="2">
        <v>45377</v>
      </c>
      <c r="C122" s="6">
        <v>10</v>
      </c>
      <c r="D122" s="10">
        <v>96.8</v>
      </c>
      <c r="E122" s="10">
        <v>98.4</v>
      </c>
      <c r="F122" s="9">
        <f>IF(Tablo1456789[[#This Row],[SATIŞ]]=0,"Açık",(E122-D122)*C122)</f>
        <v>16.000000000000085</v>
      </c>
      <c r="G122" s="11">
        <f>Tablo1456789[[#This Row],[ADET]]*Tablo1456789[[#This Row],[ALIŞ]]</f>
        <v>968</v>
      </c>
      <c r="H122" s="11">
        <f>Tablo1456789[[#This Row],[ADET]]*Tablo1456789[[#This Row],[SATIŞ]]</f>
        <v>984</v>
      </c>
      <c r="J122" s="40" t="str">
        <f t="shared" si="3"/>
        <v/>
      </c>
    </row>
    <row r="123" spans="2:10" ht="21" hidden="1" customHeight="1" x14ac:dyDescent="0.3">
      <c r="B123" s="2">
        <v>45377</v>
      </c>
      <c r="C123" s="6">
        <v>10</v>
      </c>
      <c r="D123" s="10">
        <v>96.7</v>
      </c>
      <c r="E123" s="10">
        <v>98</v>
      </c>
      <c r="F123" s="9">
        <f>IF(Tablo1456789[[#This Row],[SATIŞ]]=0,"Açık",(E123-D123)*C123)</f>
        <v>12.999999999999972</v>
      </c>
      <c r="G123" s="11">
        <f>Tablo1456789[[#This Row],[ADET]]*Tablo1456789[[#This Row],[ALIŞ]]</f>
        <v>967</v>
      </c>
      <c r="H123" s="11">
        <f>Tablo1456789[[#This Row],[ADET]]*Tablo1456789[[#This Row],[SATIŞ]]</f>
        <v>980</v>
      </c>
      <c r="J123" s="40" t="str">
        <f t="shared" si="3"/>
        <v/>
      </c>
    </row>
    <row r="124" spans="2:10" ht="21" hidden="1" customHeight="1" x14ac:dyDescent="0.3">
      <c r="B124" s="2">
        <v>45377</v>
      </c>
      <c r="C124" s="6">
        <v>10</v>
      </c>
      <c r="D124" s="10">
        <v>96.6</v>
      </c>
      <c r="E124" s="10">
        <v>97.75</v>
      </c>
      <c r="F124" s="9">
        <f>IF(Tablo1456789[[#This Row],[SATIŞ]]=0,"Açık",(E124-D124)*C124)</f>
        <v>11.500000000000057</v>
      </c>
      <c r="G124" s="11">
        <f>Tablo1456789[[#This Row],[ADET]]*Tablo1456789[[#This Row],[ALIŞ]]</f>
        <v>966</v>
      </c>
      <c r="H124" s="11">
        <f>Tablo1456789[[#This Row],[ADET]]*Tablo1456789[[#This Row],[SATIŞ]]</f>
        <v>977.5</v>
      </c>
      <c r="J124" s="40" t="str">
        <f t="shared" si="3"/>
        <v/>
      </c>
    </row>
    <row r="125" spans="2:10" ht="21" hidden="1" customHeight="1" x14ac:dyDescent="0.3">
      <c r="B125" s="2">
        <v>45377</v>
      </c>
      <c r="C125" s="6">
        <v>10</v>
      </c>
      <c r="D125" s="10">
        <v>96.5</v>
      </c>
      <c r="E125" s="10">
        <v>97.5</v>
      </c>
      <c r="F125" s="9">
        <f>IF(Tablo1456789[[#This Row],[SATIŞ]]=0,"Açık",(E125-D125)*C125)</f>
        <v>10</v>
      </c>
      <c r="G125" s="11">
        <f>Tablo1456789[[#This Row],[ADET]]*Tablo1456789[[#This Row],[ALIŞ]]</f>
        <v>965</v>
      </c>
      <c r="H125" s="11">
        <f>Tablo1456789[[#This Row],[ADET]]*Tablo1456789[[#This Row],[SATIŞ]]</f>
        <v>975</v>
      </c>
      <c r="J125" s="40" t="str">
        <f t="shared" si="3"/>
        <v/>
      </c>
    </row>
    <row r="126" spans="2:10" ht="21" hidden="1" customHeight="1" x14ac:dyDescent="0.3">
      <c r="B126" s="2">
        <v>45377</v>
      </c>
      <c r="C126" s="6">
        <v>10</v>
      </c>
      <c r="D126" s="10">
        <v>96.4</v>
      </c>
      <c r="E126" s="10">
        <v>97</v>
      </c>
      <c r="F126" s="9">
        <f>IF(Tablo1456789[[#This Row],[SATIŞ]]=0,"Açık",(E126-D126)*C126)</f>
        <v>5.9999999999999432</v>
      </c>
      <c r="G126" s="11">
        <f>Tablo1456789[[#This Row],[ADET]]*Tablo1456789[[#This Row],[ALIŞ]]</f>
        <v>964</v>
      </c>
      <c r="H126" s="11">
        <f>Tablo1456789[[#This Row],[ADET]]*Tablo1456789[[#This Row],[SATIŞ]]</f>
        <v>970</v>
      </c>
      <c r="J126" s="40" t="str">
        <f t="shared" si="3"/>
        <v/>
      </c>
    </row>
    <row r="127" spans="2:10" ht="21" hidden="1" customHeight="1" x14ac:dyDescent="0.3">
      <c r="B127" s="2">
        <v>45377</v>
      </c>
      <c r="C127" s="6">
        <v>10</v>
      </c>
      <c r="D127" s="10">
        <v>96.3</v>
      </c>
      <c r="E127" s="10">
        <v>97.25</v>
      </c>
      <c r="F127" s="9">
        <f>IF(Tablo1456789[[#This Row],[SATIŞ]]=0,"Açık",(E127-D127)*C127)</f>
        <v>9.5000000000000284</v>
      </c>
      <c r="G127" s="11">
        <f>Tablo1456789[[#This Row],[ADET]]*Tablo1456789[[#This Row],[ALIŞ]]</f>
        <v>963</v>
      </c>
      <c r="H127" s="11">
        <f>Tablo1456789[[#This Row],[ADET]]*Tablo1456789[[#This Row],[SATIŞ]]</f>
        <v>972.5</v>
      </c>
      <c r="J127" s="40" t="str">
        <f t="shared" si="3"/>
        <v/>
      </c>
    </row>
    <row r="128" spans="2:10" ht="21" hidden="1" customHeight="1" x14ac:dyDescent="0.3">
      <c r="B128" s="2">
        <v>45377</v>
      </c>
      <c r="C128" s="6">
        <v>10</v>
      </c>
      <c r="D128" s="10">
        <v>96.2</v>
      </c>
      <c r="E128" s="10">
        <v>96.75</v>
      </c>
      <c r="F128" s="9">
        <f>IF(Tablo1456789[[#This Row],[SATIŞ]]=0,"Açık",(E128-D128)*C128)</f>
        <v>5.4999999999999716</v>
      </c>
      <c r="G128" s="11">
        <f>Tablo1456789[[#This Row],[ADET]]*Tablo1456789[[#This Row],[ALIŞ]]</f>
        <v>962</v>
      </c>
      <c r="H128" s="11">
        <f>Tablo1456789[[#This Row],[ADET]]*Tablo1456789[[#This Row],[SATIŞ]]</f>
        <v>967.5</v>
      </c>
      <c r="J128" s="40" t="str">
        <f t="shared" si="3"/>
        <v/>
      </c>
    </row>
    <row r="129" spans="2:10" ht="21" hidden="1" customHeight="1" x14ac:dyDescent="0.3">
      <c r="B129" s="2">
        <v>45377</v>
      </c>
      <c r="C129" s="6">
        <v>10</v>
      </c>
      <c r="D129" s="10">
        <v>96.1</v>
      </c>
      <c r="E129" s="10">
        <v>96.5</v>
      </c>
      <c r="F129" s="9">
        <f>IF(Tablo1456789[[#This Row],[SATIŞ]]=0,"Açık",(E129-D129)*C129)</f>
        <v>4.0000000000000568</v>
      </c>
      <c r="G129" s="11">
        <f>Tablo1456789[[#This Row],[ADET]]*Tablo1456789[[#This Row],[ALIŞ]]</f>
        <v>961</v>
      </c>
      <c r="H129" s="11">
        <f>Tablo1456789[[#This Row],[ADET]]*Tablo1456789[[#This Row],[SATIŞ]]</f>
        <v>965</v>
      </c>
      <c r="J129" s="40" t="str">
        <f t="shared" si="3"/>
        <v/>
      </c>
    </row>
    <row r="130" spans="2:10" ht="21" hidden="1" customHeight="1" x14ac:dyDescent="0.3">
      <c r="B130" s="2">
        <v>45377</v>
      </c>
      <c r="C130" s="6">
        <v>10</v>
      </c>
      <c r="D130" s="10">
        <v>96</v>
      </c>
      <c r="E130" s="10">
        <v>96.4</v>
      </c>
      <c r="F130" s="9">
        <f>IF(Tablo1456789[[#This Row],[SATIŞ]]=0,"Açık",(E130-D130)*C130)</f>
        <v>4.0000000000000568</v>
      </c>
      <c r="G130" s="11">
        <f>Tablo1456789[[#This Row],[ADET]]*Tablo1456789[[#This Row],[ALIŞ]]</f>
        <v>960</v>
      </c>
      <c r="H130" s="11">
        <f>Tablo1456789[[#This Row],[ADET]]*Tablo1456789[[#This Row],[SATIŞ]]</f>
        <v>964</v>
      </c>
      <c r="J130" s="40" t="str">
        <f t="shared" si="3"/>
        <v/>
      </c>
    </row>
    <row r="131" spans="2:10" ht="21" hidden="1" customHeight="1" x14ac:dyDescent="0.3">
      <c r="B131" s="2">
        <v>45377</v>
      </c>
      <c r="C131" s="6">
        <v>10</v>
      </c>
      <c r="D131" s="10">
        <v>95.9</v>
      </c>
      <c r="E131" s="10">
        <v>96.5</v>
      </c>
      <c r="F131" s="9">
        <f>IF(Tablo1456789[[#This Row],[SATIŞ]]=0,"Açık",(E131-D131)*C131)</f>
        <v>5.9999999999999432</v>
      </c>
      <c r="G131" s="11">
        <f>Tablo1456789[[#This Row],[ADET]]*Tablo1456789[[#This Row],[ALIŞ]]</f>
        <v>959</v>
      </c>
      <c r="H131" s="11">
        <f>Tablo1456789[[#This Row],[ADET]]*Tablo1456789[[#This Row],[SATIŞ]]</f>
        <v>965</v>
      </c>
      <c r="J131" s="40" t="str">
        <f t="shared" si="3"/>
        <v/>
      </c>
    </row>
    <row r="132" spans="2:10" ht="21" hidden="1" customHeight="1" x14ac:dyDescent="0.3">
      <c r="B132" s="2">
        <v>45377</v>
      </c>
      <c r="C132" s="6">
        <v>10</v>
      </c>
      <c r="D132" s="10">
        <v>95.8</v>
      </c>
      <c r="E132" s="10">
        <v>96.4</v>
      </c>
      <c r="F132" s="9">
        <f>IF(Tablo1456789[[#This Row],[SATIŞ]]=0,"Açık",(E132-D132)*C132)</f>
        <v>6.0000000000000853</v>
      </c>
      <c r="G132" s="11">
        <f>Tablo1456789[[#This Row],[ADET]]*Tablo1456789[[#This Row],[ALIŞ]]</f>
        <v>958</v>
      </c>
      <c r="H132" s="11">
        <f>Tablo1456789[[#This Row],[ADET]]*Tablo1456789[[#This Row],[SATIŞ]]</f>
        <v>964</v>
      </c>
      <c r="J132" s="40" t="str">
        <f t="shared" si="3"/>
        <v/>
      </c>
    </row>
    <row r="133" spans="2:10" ht="21" hidden="1" customHeight="1" x14ac:dyDescent="0.3">
      <c r="B133" s="2">
        <v>45377</v>
      </c>
      <c r="C133" s="6">
        <v>10</v>
      </c>
      <c r="D133" s="10">
        <v>95.7</v>
      </c>
      <c r="E133" s="10">
        <v>96.3</v>
      </c>
      <c r="F133" s="9">
        <f>IF(Tablo1456789[[#This Row],[SATIŞ]]=0,"Açık",(E133-D133)*C133)</f>
        <v>5.9999999999999432</v>
      </c>
      <c r="G133" s="11">
        <f>Tablo1456789[[#This Row],[ADET]]*Tablo1456789[[#This Row],[ALIŞ]]</f>
        <v>957</v>
      </c>
      <c r="H133" s="11">
        <f>Tablo1456789[[#This Row],[ADET]]*Tablo1456789[[#This Row],[SATIŞ]]</f>
        <v>963</v>
      </c>
      <c r="J133" s="40" t="str">
        <f t="shared" si="3"/>
        <v/>
      </c>
    </row>
    <row r="134" spans="2:10" ht="21" hidden="1" customHeight="1" x14ac:dyDescent="0.3">
      <c r="B134" s="2">
        <v>45377</v>
      </c>
      <c r="C134" s="6">
        <v>10</v>
      </c>
      <c r="D134" s="10">
        <v>95.9</v>
      </c>
      <c r="E134" s="10">
        <v>97.2</v>
      </c>
      <c r="F134" s="9">
        <f>IF(Tablo1456789[[#This Row],[SATIŞ]]=0,"Açık",(E134-D134)*C134)</f>
        <v>12.999999999999972</v>
      </c>
      <c r="G134" s="11">
        <f>Tablo1456789[[#This Row],[ADET]]*Tablo1456789[[#This Row],[ALIŞ]]</f>
        <v>959</v>
      </c>
      <c r="H134" s="11">
        <f>Tablo1456789[[#This Row],[ADET]]*Tablo1456789[[#This Row],[SATIŞ]]</f>
        <v>972</v>
      </c>
      <c r="J134" s="40" t="str">
        <f t="shared" si="3"/>
        <v/>
      </c>
    </row>
    <row r="135" spans="2:10" ht="21" hidden="1" customHeight="1" x14ac:dyDescent="0.3">
      <c r="B135" s="2">
        <v>45377</v>
      </c>
      <c r="C135" s="6">
        <v>10</v>
      </c>
      <c r="D135" s="10">
        <v>95.8</v>
      </c>
      <c r="E135" s="10">
        <v>97.1</v>
      </c>
      <c r="F135" s="9">
        <f>IF(Tablo1456789[[#This Row],[SATIŞ]]=0,"Açık",(E135-D135)*C135)</f>
        <v>12.999999999999972</v>
      </c>
      <c r="G135" s="11">
        <f>Tablo1456789[[#This Row],[ADET]]*Tablo1456789[[#This Row],[ALIŞ]]</f>
        <v>958</v>
      </c>
      <c r="H135" s="11">
        <f>Tablo1456789[[#This Row],[ADET]]*Tablo1456789[[#This Row],[SATIŞ]]</f>
        <v>971</v>
      </c>
      <c r="J135" s="40" t="str">
        <f t="shared" si="3"/>
        <v/>
      </c>
    </row>
    <row r="136" spans="2:10" ht="21" hidden="1" customHeight="1" x14ac:dyDescent="0.3">
      <c r="B136" s="2">
        <v>45377</v>
      </c>
      <c r="C136" s="6">
        <v>10</v>
      </c>
      <c r="D136" s="10">
        <v>95.7</v>
      </c>
      <c r="E136" s="10">
        <v>97</v>
      </c>
      <c r="F136" s="9">
        <f>IF(Tablo1456789[[#This Row],[SATIŞ]]=0,"Açık",(E136-D136)*C136)</f>
        <v>12.999999999999972</v>
      </c>
      <c r="G136" s="11">
        <f>Tablo1456789[[#This Row],[ADET]]*Tablo1456789[[#This Row],[ALIŞ]]</f>
        <v>957</v>
      </c>
      <c r="H136" s="11">
        <f>Tablo1456789[[#This Row],[ADET]]*Tablo1456789[[#This Row],[SATIŞ]]</f>
        <v>970</v>
      </c>
      <c r="J136" s="40" t="str">
        <f t="shared" si="3"/>
        <v/>
      </c>
    </row>
    <row r="137" spans="2:10" ht="21" hidden="1" customHeight="1" x14ac:dyDescent="0.3">
      <c r="B137" s="2">
        <v>45377</v>
      </c>
      <c r="C137" s="6">
        <v>10</v>
      </c>
      <c r="D137" s="10">
        <v>95.6</v>
      </c>
      <c r="E137" s="10">
        <v>96.9</v>
      </c>
      <c r="F137" s="9">
        <f>IF(Tablo1456789[[#This Row],[SATIŞ]]=0,"Açık",(E137-D137)*C137)</f>
        <v>13.000000000000114</v>
      </c>
      <c r="G137" s="11">
        <f>Tablo1456789[[#This Row],[ADET]]*Tablo1456789[[#This Row],[ALIŞ]]</f>
        <v>956</v>
      </c>
      <c r="H137" s="11">
        <f>Tablo1456789[[#This Row],[ADET]]*Tablo1456789[[#This Row],[SATIŞ]]</f>
        <v>969</v>
      </c>
      <c r="J137" s="40" t="str">
        <f t="shared" si="3"/>
        <v/>
      </c>
    </row>
    <row r="138" spans="2:10" ht="21" hidden="1" customHeight="1" x14ac:dyDescent="0.3">
      <c r="B138" s="2">
        <v>45377</v>
      </c>
      <c r="C138" s="6">
        <v>10</v>
      </c>
      <c r="D138" s="10">
        <v>95.5</v>
      </c>
      <c r="E138" s="10">
        <v>96.8</v>
      </c>
      <c r="F138" s="9">
        <f>IF(Tablo1456789[[#This Row],[SATIŞ]]=0,"Açık",(E138-D138)*C138)</f>
        <v>12.999999999999972</v>
      </c>
      <c r="G138" s="11">
        <f>Tablo1456789[[#This Row],[ADET]]*Tablo1456789[[#This Row],[ALIŞ]]</f>
        <v>955</v>
      </c>
      <c r="H138" s="11">
        <f>Tablo1456789[[#This Row],[ADET]]*Tablo1456789[[#This Row],[SATIŞ]]</f>
        <v>968</v>
      </c>
      <c r="J138" s="40" t="str">
        <f t="shared" si="3"/>
        <v/>
      </c>
    </row>
    <row r="139" spans="2:10" ht="21" hidden="1" customHeight="1" x14ac:dyDescent="0.3">
      <c r="B139" s="2">
        <v>45377</v>
      </c>
      <c r="C139" s="6">
        <v>10</v>
      </c>
      <c r="D139" s="10">
        <v>95.4</v>
      </c>
      <c r="E139" s="10">
        <v>96.6</v>
      </c>
      <c r="F139" s="9">
        <f>IF(Tablo1456789[[#This Row],[SATIŞ]]=0,"Açık",(E139-D139)*C139)</f>
        <v>11.999999999999886</v>
      </c>
      <c r="G139" s="11">
        <f>Tablo1456789[[#This Row],[ADET]]*Tablo1456789[[#This Row],[ALIŞ]]</f>
        <v>954</v>
      </c>
      <c r="H139" s="11">
        <f>Tablo1456789[[#This Row],[ADET]]*Tablo1456789[[#This Row],[SATIŞ]]</f>
        <v>966</v>
      </c>
      <c r="J139" s="40" t="str">
        <f t="shared" si="3"/>
        <v/>
      </c>
    </row>
    <row r="140" spans="2:10" ht="21" hidden="1" customHeight="1" x14ac:dyDescent="0.3">
      <c r="B140" s="2">
        <v>45377</v>
      </c>
      <c r="C140" s="6">
        <v>10</v>
      </c>
      <c r="D140" s="10">
        <v>95.2</v>
      </c>
      <c r="E140" s="10">
        <v>96.5</v>
      </c>
      <c r="F140" s="9">
        <f>IF(Tablo1456789[[#This Row],[SATIŞ]]=0,"Açık",(E140-D140)*C140)</f>
        <v>12.999999999999972</v>
      </c>
      <c r="G140" s="11">
        <f>Tablo1456789[[#This Row],[ADET]]*Tablo1456789[[#This Row],[ALIŞ]]</f>
        <v>952</v>
      </c>
      <c r="H140" s="11">
        <f>Tablo1456789[[#This Row],[ADET]]*Tablo1456789[[#This Row],[SATIŞ]]</f>
        <v>965</v>
      </c>
      <c r="J140" s="40" t="str">
        <f t="shared" si="3"/>
        <v/>
      </c>
    </row>
    <row r="141" spans="2:10" ht="21" hidden="1" customHeight="1" x14ac:dyDescent="0.3">
      <c r="B141" s="2">
        <v>45377</v>
      </c>
      <c r="C141" s="6">
        <v>10</v>
      </c>
      <c r="D141" s="10">
        <v>95.1</v>
      </c>
      <c r="E141" s="10">
        <v>96.4</v>
      </c>
      <c r="F141" s="9">
        <f>IF(Tablo1456789[[#This Row],[SATIŞ]]=0,"Açık",(E141-D141)*C141)</f>
        <v>13.000000000000114</v>
      </c>
      <c r="G141" s="11">
        <f>Tablo1456789[[#This Row],[ADET]]*Tablo1456789[[#This Row],[ALIŞ]]</f>
        <v>951</v>
      </c>
      <c r="H141" s="11">
        <f>Tablo1456789[[#This Row],[ADET]]*Tablo1456789[[#This Row],[SATIŞ]]</f>
        <v>964</v>
      </c>
      <c r="J141" s="40" t="str">
        <f t="shared" si="3"/>
        <v/>
      </c>
    </row>
    <row r="142" spans="2:10" ht="21" hidden="1" customHeight="1" x14ac:dyDescent="0.3">
      <c r="B142" s="2">
        <v>45377</v>
      </c>
      <c r="C142" s="6">
        <v>10</v>
      </c>
      <c r="D142" s="10">
        <v>95</v>
      </c>
      <c r="E142" s="10">
        <v>96.1</v>
      </c>
      <c r="F142" s="9">
        <f>IF(Tablo1456789[[#This Row],[SATIŞ]]=0,"Açık",(E142-D142)*C142)</f>
        <v>10.999999999999943</v>
      </c>
      <c r="G142" s="11">
        <f>Tablo1456789[[#This Row],[ADET]]*Tablo1456789[[#This Row],[ALIŞ]]</f>
        <v>950</v>
      </c>
      <c r="H142" s="11">
        <f>Tablo1456789[[#This Row],[ADET]]*Tablo1456789[[#This Row],[SATIŞ]]</f>
        <v>961</v>
      </c>
      <c r="J142" s="40" t="str">
        <f t="shared" si="3"/>
        <v/>
      </c>
    </row>
    <row r="143" spans="2:10" ht="21" hidden="1" customHeight="1" x14ac:dyDescent="0.3">
      <c r="B143" s="2">
        <v>45377</v>
      </c>
      <c r="C143" s="6">
        <v>10</v>
      </c>
      <c r="D143" s="10">
        <v>94.5</v>
      </c>
      <c r="E143" s="10">
        <v>96</v>
      </c>
      <c r="F143" s="9">
        <f>IF(Tablo1456789[[#This Row],[SATIŞ]]=0,"Açık",(E143-D143)*C143)</f>
        <v>15</v>
      </c>
      <c r="G143" s="11">
        <f>Tablo1456789[[#This Row],[ADET]]*Tablo1456789[[#This Row],[ALIŞ]]</f>
        <v>945</v>
      </c>
      <c r="H143" s="11">
        <f>Tablo1456789[[#This Row],[ADET]]*Tablo1456789[[#This Row],[SATIŞ]]</f>
        <v>960</v>
      </c>
      <c r="J143" s="40" t="str">
        <f t="shared" si="3"/>
        <v/>
      </c>
    </row>
    <row r="144" spans="2:10" ht="21" hidden="1" customHeight="1" x14ac:dyDescent="0.3">
      <c r="B144" s="2">
        <v>45377</v>
      </c>
      <c r="C144" s="6">
        <v>10</v>
      </c>
      <c r="D144" s="10">
        <v>94.4</v>
      </c>
      <c r="E144" s="10">
        <v>95.9</v>
      </c>
      <c r="F144" s="9">
        <f>IF(Tablo1456789[[#This Row],[SATIŞ]]=0,"Açık",(E144-D144)*C144)</f>
        <v>15</v>
      </c>
      <c r="G144" s="11">
        <f>Tablo1456789[[#This Row],[ADET]]*Tablo1456789[[#This Row],[ALIŞ]]</f>
        <v>944</v>
      </c>
      <c r="H144" s="11">
        <f>Tablo1456789[[#This Row],[ADET]]*Tablo1456789[[#This Row],[SATIŞ]]</f>
        <v>959</v>
      </c>
      <c r="J144" s="40" t="str">
        <f t="shared" si="3"/>
        <v/>
      </c>
    </row>
    <row r="145" spans="2:10" ht="21" hidden="1" customHeight="1" x14ac:dyDescent="0.3">
      <c r="B145" s="2">
        <v>45377</v>
      </c>
      <c r="C145" s="6">
        <v>10</v>
      </c>
      <c r="D145" s="10">
        <v>94.3</v>
      </c>
      <c r="E145" s="10">
        <v>95.8</v>
      </c>
      <c r="F145" s="9">
        <f>IF(Tablo1456789[[#This Row],[SATIŞ]]=0,"Açık",(E145-D145)*C145)</f>
        <v>15</v>
      </c>
      <c r="G145" s="11">
        <f>Tablo1456789[[#This Row],[ADET]]*Tablo1456789[[#This Row],[ALIŞ]]</f>
        <v>943</v>
      </c>
      <c r="H145" s="11">
        <f>Tablo1456789[[#This Row],[ADET]]*Tablo1456789[[#This Row],[SATIŞ]]</f>
        <v>958</v>
      </c>
      <c r="J145" s="40" t="str">
        <f t="shared" si="3"/>
        <v/>
      </c>
    </row>
    <row r="146" spans="2:10" ht="21" hidden="1" customHeight="1" x14ac:dyDescent="0.3">
      <c r="B146" s="2">
        <v>45377</v>
      </c>
      <c r="C146" s="6">
        <v>10</v>
      </c>
      <c r="D146" s="10">
        <v>94.2</v>
      </c>
      <c r="E146" s="10">
        <v>95.7</v>
      </c>
      <c r="F146" s="9">
        <f>IF(Tablo1456789[[#This Row],[SATIŞ]]=0,"Açık",(E146-D146)*C146)</f>
        <v>15</v>
      </c>
      <c r="G146" s="11">
        <f>Tablo1456789[[#This Row],[ADET]]*Tablo1456789[[#This Row],[ALIŞ]]</f>
        <v>942</v>
      </c>
      <c r="H146" s="11">
        <f>Tablo1456789[[#This Row],[ADET]]*Tablo1456789[[#This Row],[SATIŞ]]</f>
        <v>957</v>
      </c>
      <c r="J146" s="40" t="str">
        <f t="shared" si="3"/>
        <v/>
      </c>
    </row>
    <row r="147" spans="2:10" ht="21" hidden="1" customHeight="1" x14ac:dyDescent="0.3">
      <c r="B147" s="2">
        <v>45377</v>
      </c>
      <c r="C147" s="6">
        <v>10</v>
      </c>
      <c r="D147" s="10">
        <v>94.1</v>
      </c>
      <c r="E147" s="10">
        <v>95.5</v>
      </c>
      <c r="F147" s="9">
        <f>IF(Tablo1456789[[#This Row],[SATIŞ]]=0,"Açık",(E147-D147)*C147)</f>
        <v>14.000000000000057</v>
      </c>
      <c r="G147" s="11">
        <f>Tablo1456789[[#This Row],[ADET]]*Tablo1456789[[#This Row],[ALIŞ]]</f>
        <v>941</v>
      </c>
      <c r="H147" s="11">
        <f>Tablo1456789[[#This Row],[ADET]]*Tablo1456789[[#This Row],[SATIŞ]]</f>
        <v>955</v>
      </c>
      <c r="J147" s="40" t="str">
        <f t="shared" si="3"/>
        <v/>
      </c>
    </row>
    <row r="148" spans="2:10" ht="21" hidden="1" customHeight="1" x14ac:dyDescent="0.3">
      <c r="B148" s="2">
        <v>45377</v>
      </c>
      <c r="C148" s="6">
        <v>10</v>
      </c>
      <c r="D148" s="10">
        <v>94</v>
      </c>
      <c r="E148" s="10">
        <v>95.4</v>
      </c>
      <c r="F148" s="9">
        <f>IF(Tablo1456789[[#This Row],[SATIŞ]]=0,"Açık",(E148-D148)*C148)</f>
        <v>14.000000000000057</v>
      </c>
      <c r="G148" s="11">
        <f>Tablo1456789[[#This Row],[ADET]]*Tablo1456789[[#This Row],[ALIŞ]]</f>
        <v>940</v>
      </c>
      <c r="H148" s="11">
        <f>Tablo1456789[[#This Row],[ADET]]*Tablo1456789[[#This Row],[SATIŞ]]</f>
        <v>954</v>
      </c>
      <c r="J148" s="40" t="str">
        <f t="shared" si="3"/>
        <v/>
      </c>
    </row>
    <row r="149" spans="2:10" ht="21" hidden="1" customHeight="1" x14ac:dyDescent="0.3">
      <c r="B149" s="2">
        <v>45378</v>
      </c>
      <c r="C149" s="6">
        <v>40</v>
      </c>
      <c r="D149" s="10">
        <v>93.95</v>
      </c>
      <c r="E149" s="10">
        <v>94.45</v>
      </c>
      <c r="F149" s="9">
        <f>IF(Tablo1456789[[#This Row],[SATIŞ]]=0,"Açık",(E149-D149)*C149)</f>
        <v>20</v>
      </c>
      <c r="G149" s="11">
        <f>Tablo1456789[[#This Row],[ADET]]*Tablo1456789[[#This Row],[ALIŞ]]</f>
        <v>3758</v>
      </c>
      <c r="H149" s="11">
        <f>Tablo1456789[[#This Row],[ADET]]*Tablo1456789[[#This Row],[SATIŞ]]</f>
        <v>3778</v>
      </c>
      <c r="J149" s="40" t="str">
        <f t="shared" si="3"/>
        <v/>
      </c>
    </row>
    <row r="150" spans="2:10" ht="21" hidden="1" customHeight="1" x14ac:dyDescent="0.3">
      <c r="B150" s="2">
        <v>45378</v>
      </c>
      <c r="C150" s="6">
        <v>30</v>
      </c>
      <c r="D150" s="10">
        <v>93.95</v>
      </c>
      <c r="E150" s="10">
        <v>94.8</v>
      </c>
      <c r="F150" s="9">
        <f>IF(Tablo1456789[[#This Row],[SATIŞ]]=0,"Açık",(E150-D150)*C150)</f>
        <v>25.499999999999829</v>
      </c>
      <c r="G150" s="11">
        <f>Tablo1456789[[#This Row],[ADET]]*Tablo1456789[[#This Row],[ALIŞ]]</f>
        <v>2818.5</v>
      </c>
      <c r="H150" s="11">
        <f>Tablo1456789[[#This Row],[ADET]]*Tablo1456789[[#This Row],[SATIŞ]]</f>
        <v>2844</v>
      </c>
      <c r="J150" s="40" t="str">
        <f t="shared" si="3"/>
        <v/>
      </c>
    </row>
    <row r="151" spans="2:10" ht="21" hidden="1" customHeight="1" x14ac:dyDescent="0.3">
      <c r="B151" s="2">
        <v>45378</v>
      </c>
      <c r="C151" s="6">
        <v>10</v>
      </c>
      <c r="D151" s="10">
        <v>93.95</v>
      </c>
      <c r="E151" s="10">
        <v>95</v>
      </c>
      <c r="F151" s="9">
        <f>IF(Tablo1456789[[#This Row],[SATIŞ]]=0,"Açık",(E151-D151)*C151)</f>
        <v>10.499999999999972</v>
      </c>
      <c r="G151" s="11">
        <f>Tablo1456789[[#This Row],[ADET]]*Tablo1456789[[#This Row],[ALIŞ]]</f>
        <v>939.5</v>
      </c>
      <c r="H151" s="11">
        <f>Tablo1456789[[#This Row],[ADET]]*Tablo1456789[[#This Row],[SATIŞ]]</f>
        <v>950</v>
      </c>
      <c r="J151" s="40"/>
    </row>
    <row r="152" spans="2:10" ht="21" hidden="1" customHeight="1" x14ac:dyDescent="0.3">
      <c r="B152" s="2">
        <v>45378</v>
      </c>
      <c r="C152" s="6">
        <v>10</v>
      </c>
      <c r="D152" s="10">
        <v>93.95</v>
      </c>
      <c r="E152" s="10">
        <v>95.4</v>
      </c>
      <c r="F152" s="9">
        <f>IF(Tablo1456789[[#This Row],[SATIŞ]]=0,"Açık",(E152-D152)*C152)</f>
        <v>14.500000000000028</v>
      </c>
      <c r="G152" s="11">
        <f>Tablo1456789[[#This Row],[ADET]]*Tablo1456789[[#This Row],[ALIŞ]]</f>
        <v>939.5</v>
      </c>
      <c r="H152" s="11">
        <f>Tablo1456789[[#This Row],[ADET]]*Tablo1456789[[#This Row],[SATIŞ]]</f>
        <v>954</v>
      </c>
      <c r="J152" s="40"/>
    </row>
    <row r="153" spans="2:10" ht="21" hidden="1" customHeight="1" x14ac:dyDescent="0.3">
      <c r="B153" s="2">
        <v>45378</v>
      </c>
      <c r="C153" s="6">
        <v>10</v>
      </c>
      <c r="D153" s="10">
        <v>93.95</v>
      </c>
      <c r="E153" s="10">
        <v>95.3</v>
      </c>
      <c r="F153" s="9">
        <f>IF(Tablo1456789[[#This Row],[SATIŞ]]=0,"Açık",(E153-D153)*C153)</f>
        <v>13.499999999999943</v>
      </c>
      <c r="G153" s="11">
        <f>Tablo1456789[[#This Row],[ADET]]*Tablo1456789[[#This Row],[ALIŞ]]</f>
        <v>939.5</v>
      </c>
      <c r="H153" s="11">
        <f>Tablo1456789[[#This Row],[ADET]]*Tablo1456789[[#This Row],[SATIŞ]]</f>
        <v>953</v>
      </c>
      <c r="J153" s="40"/>
    </row>
    <row r="154" spans="2:10" ht="21" hidden="1" customHeight="1" x14ac:dyDescent="0.3">
      <c r="B154" s="2">
        <v>45378</v>
      </c>
      <c r="C154" s="6">
        <v>10</v>
      </c>
      <c r="D154" s="10">
        <v>93.2</v>
      </c>
      <c r="E154" s="10">
        <v>94.6</v>
      </c>
      <c r="F154" s="9">
        <f>IF(Tablo1456789[[#This Row],[SATIŞ]]=0,"Açık",(E154-D154)*C154)</f>
        <v>13.999999999999915</v>
      </c>
      <c r="G154" s="11">
        <f>Tablo1456789[[#This Row],[ADET]]*Tablo1456789[[#This Row],[ALIŞ]]</f>
        <v>932</v>
      </c>
      <c r="H154" s="11">
        <f>Tablo1456789[[#This Row],[ADET]]*Tablo1456789[[#This Row],[SATIŞ]]</f>
        <v>946</v>
      </c>
      <c r="J154" s="40" t="str">
        <f t="shared" si="3"/>
        <v/>
      </c>
    </row>
    <row r="155" spans="2:10" ht="21" hidden="1" customHeight="1" x14ac:dyDescent="0.3">
      <c r="B155" s="2">
        <v>45378</v>
      </c>
      <c r="C155" s="6">
        <v>10</v>
      </c>
      <c r="D155" s="10">
        <v>94.8</v>
      </c>
      <c r="E155" s="10">
        <v>95.2</v>
      </c>
      <c r="F155" s="9">
        <f>IF(Tablo1456789[[#This Row],[SATIŞ]]=0,"Açık",(E155-D155)*C155)</f>
        <v>4.0000000000000568</v>
      </c>
      <c r="G155" s="11">
        <f>Tablo1456789[[#This Row],[ADET]]*Tablo1456789[[#This Row],[ALIŞ]]</f>
        <v>948</v>
      </c>
      <c r="H155" s="11">
        <f>Tablo1456789[[#This Row],[ADET]]*Tablo1456789[[#This Row],[SATIŞ]]</f>
        <v>952</v>
      </c>
      <c r="J155" s="40" t="str">
        <f t="shared" si="3"/>
        <v/>
      </c>
    </row>
    <row r="156" spans="2:10" ht="21" hidden="1" customHeight="1" x14ac:dyDescent="0.3">
      <c r="B156" s="2">
        <v>45378</v>
      </c>
      <c r="C156" s="6">
        <v>10</v>
      </c>
      <c r="D156" s="10">
        <v>94.6</v>
      </c>
      <c r="E156" s="10">
        <v>95</v>
      </c>
      <c r="F156" s="9">
        <f>IF(Tablo1456789[[#This Row],[SATIŞ]]=0,"Açık",(E156-D156)*C156)</f>
        <v>4.0000000000000568</v>
      </c>
      <c r="G156" s="11">
        <f>Tablo1456789[[#This Row],[ADET]]*Tablo1456789[[#This Row],[ALIŞ]]</f>
        <v>946</v>
      </c>
      <c r="H156" s="11">
        <f>Tablo1456789[[#This Row],[ADET]]*Tablo1456789[[#This Row],[SATIŞ]]</f>
        <v>950</v>
      </c>
      <c r="J156" s="40" t="str">
        <f t="shared" si="3"/>
        <v/>
      </c>
    </row>
    <row r="157" spans="2:10" ht="21" hidden="1" customHeight="1" x14ac:dyDescent="0.3">
      <c r="B157" s="2">
        <v>45378</v>
      </c>
      <c r="C157" s="6">
        <v>10</v>
      </c>
      <c r="D157" s="10">
        <v>94.4</v>
      </c>
      <c r="E157" s="10">
        <v>95.1</v>
      </c>
      <c r="F157" s="9">
        <f>IF(Tablo1456789[[#This Row],[SATIŞ]]=0,"Açık",(E157-D157)*C157)</f>
        <v>6.9999999999998863</v>
      </c>
      <c r="G157" s="11">
        <f>Tablo1456789[[#This Row],[ADET]]*Tablo1456789[[#This Row],[ALIŞ]]</f>
        <v>944</v>
      </c>
      <c r="H157" s="11">
        <f>Tablo1456789[[#This Row],[ADET]]*Tablo1456789[[#This Row],[SATIŞ]]</f>
        <v>951</v>
      </c>
      <c r="J157" s="40" t="str">
        <f t="shared" si="3"/>
        <v/>
      </c>
    </row>
    <row r="158" spans="2:10" ht="21" hidden="1" customHeight="1" x14ac:dyDescent="0.3">
      <c r="B158" s="2">
        <v>45378</v>
      </c>
      <c r="C158" s="6">
        <v>10</v>
      </c>
      <c r="D158" s="10">
        <v>94.2</v>
      </c>
      <c r="E158" s="10">
        <v>95</v>
      </c>
      <c r="F158" s="9">
        <f>IF(Tablo1456789[[#This Row],[SATIŞ]]=0,"Açık",(E158-D158)*C158)</f>
        <v>7.9999999999999716</v>
      </c>
      <c r="G158" s="11">
        <f>Tablo1456789[[#This Row],[ADET]]*Tablo1456789[[#This Row],[ALIŞ]]</f>
        <v>942</v>
      </c>
      <c r="H158" s="11">
        <f>Tablo1456789[[#This Row],[ADET]]*Tablo1456789[[#This Row],[SATIŞ]]</f>
        <v>950</v>
      </c>
      <c r="J158" s="40" t="str">
        <f t="shared" si="3"/>
        <v/>
      </c>
    </row>
    <row r="159" spans="2:10" ht="21" hidden="1" customHeight="1" x14ac:dyDescent="0.3">
      <c r="B159" s="2">
        <v>45378</v>
      </c>
      <c r="C159" s="6">
        <v>10</v>
      </c>
      <c r="D159" s="10">
        <v>94</v>
      </c>
      <c r="E159" s="10">
        <v>94.5</v>
      </c>
      <c r="F159" s="9">
        <f>IF(Tablo1456789[[#This Row],[SATIŞ]]=0,"Açık",(E159-D159)*C159)</f>
        <v>5</v>
      </c>
      <c r="G159" s="11">
        <f>Tablo1456789[[#This Row],[ADET]]*Tablo1456789[[#This Row],[ALIŞ]]</f>
        <v>940</v>
      </c>
      <c r="H159" s="11">
        <f>Tablo1456789[[#This Row],[ADET]]*Tablo1456789[[#This Row],[SATIŞ]]</f>
        <v>945</v>
      </c>
      <c r="J159" s="40" t="str">
        <f t="shared" si="3"/>
        <v/>
      </c>
    </row>
    <row r="160" spans="2:10" ht="21" hidden="1" customHeight="1" x14ac:dyDescent="0.3">
      <c r="B160" s="2">
        <v>45378</v>
      </c>
      <c r="C160" s="6">
        <v>10</v>
      </c>
      <c r="D160" s="10">
        <v>93.8</v>
      </c>
      <c r="E160" s="10">
        <v>96.3</v>
      </c>
      <c r="F160" s="9">
        <f>IF(Tablo1456789[[#This Row],[SATIŞ]]=0,"Açık",(E160-D160)*C160)</f>
        <v>25</v>
      </c>
      <c r="G160" s="11">
        <f>Tablo1456789[[#This Row],[ADET]]*Tablo1456789[[#This Row],[ALIŞ]]</f>
        <v>938</v>
      </c>
      <c r="H160" s="11">
        <f>Tablo1456789[[#This Row],[ADET]]*Tablo1456789[[#This Row],[SATIŞ]]</f>
        <v>963</v>
      </c>
      <c r="J160" s="40" t="str">
        <f t="shared" si="3"/>
        <v/>
      </c>
    </row>
    <row r="161" spans="2:10" ht="21" hidden="1" customHeight="1" x14ac:dyDescent="0.3">
      <c r="B161" s="2">
        <v>45378</v>
      </c>
      <c r="C161" s="6">
        <v>10</v>
      </c>
      <c r="D161" s="10">
        <v>93.6</v>
      </c>
      <c r="E161" s="10">
        <v>94</v>
      </c>
      <c r="F161" s="9">
        <f>IF(Tablo1456789[[#This Row],[SATIŞ]]=0,"Açık",(E161-D161)*C161)</f>
        <v>4.0000000000000568</v>
      </c>
      <c r="G161" s="11">
        <f>Tablo1456789[[#This Row],[ADET]]*Tablo1456789[[#This Row],[ALIŞ]]</f>
        <v>936</v>
      </c>
      <c r="H161" s="11">
        <f>Tablo1456789[[#This Row],[ADET]]*Tablo1456789[[#This Row],[SATIŞ]]</f>
        <v>940</v>
      </c>
      <c r="J161" s="40" t="str">
        <f t="shared" si="3"/>
        <v/>
      </c>
    </row>
    <row r="162" spans="2:10" ht="21" hidden="1" customHeight="1" x14ac:dyDescent="0.3">
      <c r="B162" s="2">
        <v>45378</v>
      </c>
      <c r="C162" s="6">
        <v>10</v>
      </c>
      <c r="D162" s="10">
        <v>93.6</v>
      </c>
      <c r="E162" s="10">
        <v>94</v>
      </c>
      <c r="F162" s="9">
        <f>IF(Tablo1456789[[#This Row],[SATIŞ]]=0,"Açık",(E162-D162)*C162)</f>
        <v>4.0000000000000568</v>
      </c>
      <c r="G162" s="11">
        <f>Tablo1456789[[#This Row],[ADET]]*Tablo1456789[[#This Row],[ALIŞ]]</f>
        <v>936</v>
      </c>
      <c r="H162" s="11">
        <f>Tablo1456789[[#This Row],[ADET]]*Tablo1456789[[#This Row],[SATIŞ]]</f>
        <v>940</v>
      </c>
      <c r="J162" s="40" t="str">
        <f t="shared" si="3"/>
        <v/>
      </c>
    </row>
    <row r="163" spans="2:10" ht="21" hidden="1" customHeight="1" x14ac:dyDescent="0.3">
      <c r="B163" s="2">
        <v>45379</v>
      </c>
      <c r="C163" s="6">
        <v>10</v>
      </c>
      <c r="D163" s="10">
        <v>95.5</v>
      </c>
      <c r="E163" s="10">
        <v>95.6</v>
      </c>
      <c r="F163" s="9">
        <f>IF(Tablo1456789[[#This Row],[SATIŞ]]=0,"Açık",(E163-D163)*C163)</f>
        <v>0.99999999999994316</v>
      </c>
      <c r="G163" s="11">
        <f>Tablo1456789[[#This Row],[ADET]]*Tablo1456789[[#This Row],[ALIŞ]]</f>
        <v>955</v>
      </c>
      <c r="H163" s="11">
        <f>Tablo1456789[[#This Row],[ADET]]*Tablo1456789[[#This Row],[SATIŞ]]</f>
        <v>956</v>
      </c>
      <c r="J163" s="40" t="str">
        <f t="shared" si="3"/>
        <v/>
      </c>
    </row>
    <row r="164" spans="2:10" ht="21" hidden="1" customHeight="1" x14ac:dyDescent="0.3">
      <c r="B164" s="2">
        <v>45379</v>
      </c>
      <c r="C164" s="6">
        <v>10</v>
      </c>
      <c r="D164" s="10">
        <v>94</v>
      </c>
      <c r="E164" s="10">
        <v>94.7</v>
      </c>
      <c r="F164" s="9">
        <f>IF(Tablo1456789[[#This Row],[SATIŞ]]=0,"Açık",(E164-D164)*C164)</f>
        <v>7.0000000000000284</v>
      </c>
      <c r="G164" s="11">
        <f>Tablo1456789[[#This Row],[ADET]]*Tablo1456789[[#This Row],[ALIŞ]]</f>
        <v>940</v>
      </c>
      <c r="H164" s="11">
        <f>Tablo1456789[[#This Row],[ADET]]*Tablo1456789[[#This Row],[SATIŞ]]</f>
        <v>947</v>
      </c>
    </row>
    <row r="165" spans="2:10" ht="21" hidden="1" customHeight="1" x14ac:dyDescent="0.3">
      <c r="B165" s="2">
        <v>45380</v>
      </c>
      <c r="C165" s="6">
        <v>10</v>
      </c>
      <c r="D165" s="10">
        <v>95.5</v>
      </c>
      <c r="E165" s="10">
        <v>96.7</v>
      </c>
      <c r="F165" s="9">
        <f>IF(Tablo1456789[[#This Row],[SATIŞ]]=0,"Açık",(E165-D165)*C165)</f>
        <v>12.000000000000028</v>
      </c>
      <c r="G165" s="11">
        <f>Tablo1456789[[#This Row],[ADET]]*Tablo1456789[[#This Row],[ALIŞ]]</f>
        <v>955</v>
      </c>
      <c r="H165" s="11">
        <f>Tablo1456789[[#This Row],[ADET]]*Tablo1456789[[#This Row],[SATIŞ]]</f>
        <v>967</v>
      </c>
    </row>
    <row r="166" spans="2:10" ht="21" hidden="1" customHeight="1" x14ac:dyDescent="0.3">
      <c r="B166" s="2">
        <v>45383</v>
      </c>
      <c r="C166" s="6">
        <v>10</v>
      </c>
      <c r="D166" s="10">
        <v>99</v>
      </c>
      <c r="E166" s="10">
        <v>100.4</v>
      </c>
      <c r="F166" s="9">
        <f>IF(Tablo1456789[[#This Row],[SATIŞ]]=0,"Açık",(E166-D166)*C166)</f>
        <v>14.000000000000057</v>
      </c>
      <c r="G166" s="11">
        <f>Tablo1456789[[#This Row],[ADET]]*Tablo1456789[[#This Row],[ALIŞ]]</f>
        <v>990</v>
      </c>
      <c r="H166" s="11">
        <f>Tablo1456789[[#This Row],[ADET]]*Tablo1456789[[#This Row],[SATIŞ]]</f>
        <v>1004</v>
      </c>
    </row>
    <row r="167" spans="2:10" ht="21" hidden="1" customHeight="1" x14ac:dyDescent="0.3">
      <c r="B167" s="2">
        <v>45383</v>
      </c>
      <c r="C167" s="6">
        <v>100</v>
      </c>
      <c r="D167" s="10">
        <v>99</v>
      </c>
      <c r="E167" s="10">
        <v>93</v>
      </c>
      <c r="F167" s="9">
        <f>IF(Tablo1456789[[#This Row],[SATIŞ]]=0,"Açık",(E167-D167)*C167)</f>
        <v>-600</v>
      </c>
      <c r="G167" s="11">
        <f>Tablo1456789[[#This Row],[ADET]]*Tablo1456789[[#This Row],[ALIŞ]]</f>
        <v>9900</v>
      </c>
      <c r="H167" s="11">
        <f>Tablo1456789[[#This Row],[ADET]]*Tablo1456789[[#This Row],[SATIŞ]]</f>
        <v>9300</v>
      </c>
    </row>
    <row r="168" spans="2:10" ht="21" customHeight="1" x14ac:dyDescent="0.3">
      <c r="B168" s="2">
        <v>45383</v>
      </c>
      <c r="C168" s="6">
        <v>10</v>
      </c>
      <c r="D168" s="10">
        <v>98.5</v>
      </c>
      <c r="E168" s="10"/>
      <c r="F168" s="9" t="str">
        <f>IF(Tablo1456789[[#This Row],[SATIŞ]]=0,"Açık",(E168-D168)*C168)</f>
        <v>Açık</v>
      </c>
      <c r="G168" s="11">
        <f>Tablo1456789[[#This Row],[ADET]]*Tablo1456789[[#This Row],[ALIŞ]]</f>
        <v>985</v>
      </c>
      <c r="H168" s="11">
        <f>Tablo1456789[[#This Row],[ADET]]*Tablo1456789[[#This Row],[SATIŞ]]</f>
        <v>0</v>
      </c>
    </row>
    <row r="169" spans="2:10" ht="21" customHeight="1" x14ac:dyDescent="0.3">
      <c r="B169" s="2">
        <v>45383</v>
      </c>
      <c r="C169" s="6">
        <v>10</v>
      </c>
      <c r="D169" s="10">
        <v>98</v>
      </c>
      <c r="E169" s="10"/>
      <c r="F169" s="9" t="str">
        <f>IF(Tablo1456789[[#This Row],[SATIŞ]]=0,"Açık",(E169-D169)*C169)</f>
        <v>Açık</v>
      </c>
      <c r="G169" s="11">
        <f>Tablo1456789[[#This Row],[ADET]]*Tablo1456789[[#This Row],[ALIŞ]]</f>
        <v>980</v>
      </c>
      <c r="H169" s="11">
        <f>Tablo1456789[[#This Row],[ADET]]*Tablo1456789[[#This Row],[SATIŞ]]</f>
        <v>0</v>
      </c>
    </row>
    <row r="170" spans="2:10" ht="21" hidden="1" customHeight="1" x14ac:dyDescent="0.3">
      <c r="B170" s="2">
        <v>45383</v>
      </c>
      <c r="C170" s="6">
        <v>10</v>
      </c>
      <c r="D170" s="10">
        <v>97.5</v>
      </c>
      <c r="E170" s="10">
        <v>93</v>
      </c>
      <c r="F170" s="9">
        <f>IF(Tablo1456789[[#This Row],[SATIŞ]]=0,"Açık",(E170-D170)*C170)</f>
        <v>-45</v>
      </c>
      <c r="G170" s="11">
        <f>Tablo1456789[[#This Row],[ADET]]*Tablo1456789[[#This Row],[ALIŞ]]</f>
        <v>975</v>
      </c>
      <c r="H170" s="11">
        <f>Tablo1456789[[#This Row],[ADET]]*Tablo1456789[[#This Row],[SATIŞ]]</f>
        <v>930</v>
      </c>
    </row>
    <row r="171" spans="2:10" ht="21" hidden="1" customHeight="1" x14ac:dyDescent="0.3">
      <c r="B171" s="2">
        <v>45383</v>
      </c>
      <c r="C171" s="6">
        <v>10</v>
      </c>
      <c r="D171" s="10">
        <v>97</v>
      </c>
      <c r="E171" s="10">
        <v>97.25</v>
      </c>
      <c r="F171" s="9">
        <f>IF(Tablo1456789[[#This Row],[SATIŞ]]=0,"Açık",(E171-D171)*C171)</f>
        <v>2.5</v>
      </c>
      <c r="G171" s="11">
        <f>Tablo1456789[[#This Row],[ADET]]*Tablo1456789[[#This Row],[ALIŞ]]</f>
        <v>970</v>
      </c>
      <c r="H171" s="11">
        <f>Tablo1456789[[#This Row],[ADET]]*Tablo1456789[[#This Row],[SATIŞ]]</f>
        <v>972.5</v>
      </c>
    </row>
    <row r="172" spans="2:10" ht="21" hidden="1" customHeight="1" x14ac:dyDescent="0.3">
      <c r="B172" s="2">
        <v>45383</v>
      </c>
      <c r="C172" s="6">
        <v>10</v>
      </c>
      <c r="D172" s="10">
        <v>96.95</v>
      </c>
      <c r="E172" s="10">
        <v>97</v>
      </c>
      <c r="F172" s="9">
        <f>IF(Tablo1456789[[#This Row],[SATIŞ]]=0,"Açık",(E172-D172)*C172)</f>
        <v>0.49999999999997158</v>
      </c>
      <c r="G172" s="11">
        <f>Tablo1456789[[#This Row],[ADET]]*Tablo1456789[[#This Row],[ALIŞ]]</f>
        <v>969.5</v>
      </c>
      <c r="H172" s="11">
        <f>Tablo1456789[[#This Row],[ADET]]*Tablo1456789[[#This Row],[SATIŞ]]</f>
        <v>970</v>
      </c>
    </row>
    <row r="173" spans="2:10" ht="21" hidden="1" customHeight="1" x14ac:dyDescent="0.3">
      <c r="B173" s="2">
        <v>45383</v>
      </c>
      <c r="C173" s="6">
        <v>10</v>
      </c>
      <c r="D173" s="10">
        <v>96.75</v>
      </c>
      <c r="E173" s="10">
        <v>93</v>
      </c>
      <c r="F173" s="9">
        <f>IF(Tablo1456789[[#This Row],[SATIŞ]]=0,"Açık",(E173-D173)*C173)</f>
        <v>-37.5</v>
      </c>
      <c r="G173" s="11">
        <f>Tablo1456789[[#This Row],[ADET]]*Tablo1456789[[#This Row],[ALIŞ]]</f>
        <v>967.5</v>
      </c>
      <c r="H173" s="11">
        <f>Tablo1456789[[#This Row],[ADET]]*Tablo1456789[[#This Row],[SATIŞ]]</f>
        <v>930</v>
      </c>
    </row>
    <row r="174" spans="2:10" ht="21" hidden="1" customHeight="1" x14ac:dyDescent="0.3">
      <c r="B174" s="2">
        <v>45383</v>
      </c>
      <c r="C174" s="6">
        <v>10</v>
      </c>
      <c r="D174" s="10">
        <v>96.5</v>
      </c>
      <c r="E174" s="10">
        <v>98</v>
      </c>
      <c r="F174" s="9">
        <f>IF(Tablo1456789[[#This Row],[SATIŞ]]=0,"Açık",(E174-D174)*C174)</f>
        <v>15</v>
      </c>
      <c r="G174" s="11">
        <f>Tablo1456789[[#This Row],[ADET]]*Tablo1456789[[#This Row],[ALIŞ]]</f>
        <v>965</v>
      </c>
      <c r="H174" s="11">
        <f>Tablo1456789[[#This Row],[ADET]]*Tablo1456789[[#This Row],[SATIŞ]]</f>
        <v>980</v>
      </c>
    </row>
    <row r="175" spans="2:10" ht="21" hidden="1" customHeight="1" x14ac:dyDescent="0.3">
      <c r="B175" s="2">
        <v>45383</v>
      </c>
      <c r="C175" s="6">
        <v>10</v>
      </c>
      <c r="D175" s="10">
        <v>96.25</v>
      </c>
      <c r="E175" s="10">
        <v>98</v>
      </c>
      <c r="F175" s="9">
        <f>IF(Tablo1456789[[#This Row],[SATIŞ]]=0,"Açık",(E175-D175)*C175)</f>
        <v>17.5</v>
      </c>
      <c r="G175" s="11">
        <f>Tablo1456789[[#This Row],[ADET]]*Tablo1456789[[#This Row],[ALIŞ]]</f>
        <v>962.5</v>
      </c>
      <c r="H175" s="11">
        <f>Tablo1456789[[#This Row],[ADET]]*Tablo1456789[[#This Row],[SATIŞ]]</f>
        <v>980</v>
      </c>
    </row>
    <row r="176" spans="2:10" ht="21" hidden="1" customHeight="1" x14ac:dyDescent="0.3">
      <c r="B176" s="2">
        <v>45383</v>
      </c>
      <c r="C176" s="6">
        <v>10</v>
      </c>
      <c r="D176" s="10">
        <v>96</v>
      </c>
      <c r="E176" s="10">
        <v>97.75</v>
      </c>
      <c r="F176" s="9">
        <f>IF(Tablo1456789[[#This Row],[SATIŞ]]=0,"Açık",(E176-D176)*C176)</f>
        <v>17.5</v>
      </c>
      <c r="G176" s="11">
        <f>Tablo1456789[[#This Row],[ADET]]*Tablo1456789[[#This Row],[ALIŞ]]</f>
        <v>960</v>
      </c>
      <c r="H176" s="11">
        <f>Tablo1456789[[#This Row],[ADET]]*Tablo1456789[[#This Row],[SATIŞ]]</f>
        <v>977.5</v>
      </c>
    </row>
    <row r="177" spans="2:8" ht="21" hidden="1" customHeight="1" x14ac:dyDescent="0.3">
      <c r="B177" s="2">
        <v>45383</v>
      </c>
      <c r="C177" s="6">
        <v>10</v>
      </c>
      <c r="D177" s="10">
        <v>95.75</v>
      </c>
      <c r="E177" s="10">
        <v>97.5</v>
      </c>
      <c r="F177" s="9">
        <f>IF(Tablo1456789[[#This Row],[SATIŞ]]=0,"Açık",(E177-D177)*C177)</f>
        <v>17.5</v>
      </c>
      <c r="G177" s="11">
        <f>Tablo1456789[[#This Row],[ADET]]*Tablo1456789[[#This Row],[ALIŞ]]</f>
        <v>957.5</v>
      </c>
      <c r="H177" s="11">
        <f>Tablo1456789[[#This Row],[ADET]]*Tablo1456789[[#This Row],[SATIŞ]]</f>
        <v>975</v>
      </c>
    </row>
    <row r="178" spans="2:8" ht="21" hidden="1" customHeight="1" x14ac:dyDescent="0.3">
      <c r="B178" s="2">
        <v>45383</v>
      </c>
      <c r="C178" s="6">
        <v>10</v>
      </c>
      <c r="D178" s="10">
        <v>95.5</v>
      </c>
      <c r="E178" s="10">
        <v>97.5</v>
      </c>
      <c r="F178" s="9">
        <f>IF(Tablo1456789[[#This Row],[SATIŞ]]=0,"Açık",(E178-D178)*C178)</f>
        <v>20</v>
      </c>
      <c r="G178" s="11">
        <f>Tablo1456789[[#This Row],[ADET]]*Tablo1456789[[#This Row],[ALIŞ]]</f>
        <v>955</v>
      </c>
      <c r="H178" s="11">
        <f>Tablo1456789[[#This Row],[ADET]]*Tablo1456789[[#This Row],[SATIŞ]]</f>
        <v>975</v>
      </c>
    </row>
    <row r="179" spans="2:8" ht="21" hidden="1" customHeight="1" x14ac:dyDescent="0.3">
      <c r="B179" s="2">
        <v>45383</v>
      </c>
      <c r="C179" s="6">
        <v>10</v>
      </c>
      <c r="D179" s="10">
        <v>97</v>
      </c>
      <c r="E179" s="10">
        <v>93</v>
      </c>
      <c r="F179" s="9">
        <f>IF(Tablo1456789[[#This Row],[SATIŞ]]=0,"Açık",(E179-D179)*C179)</f>
        <v>-40</v>
      </c>
      <c r="G179" s="11">
        <f>Tablo1456789[[#This Row],[ADET]]*Tablo1456789[[#This Row],[ALIŞ]]</f>
        <v>970</v>
      </c>
      <c r="H179" s="11">
        <f>Tablo1456789[[#This Row],[ADET]]*Tablo1456789[[#This Row],[SATIŞ]]</f>
        <v>930</v>
      </c>
    </row>
    <row r="180" spans="2:8" ht="21" hidden="1" customHeight="1" x14ac:dyDescent="0.3">
      <c r="B180" s="2">
        <v>45383</v>
      </c>
      <c r="C180" s="6">
        <v>10</v>
      </c>
      <c r="D180" s="10">
        <v>96.5</v>
      </c>
      <c r="E180" s="10">
        <v>93</v>
      </c>
      <c r="F180" s="9">
        <f>IF(Tablo1456789[[#This Row],[SATIŞ]]=0,"Açık",(E180-D180)*C180)</f>
        <v>-35</v>
      </c>
      <c r="G180" s="11">
        <f>Tablo1456789[[#This Row],[ADET]]*Tablo1456789[[#This Row],[ALIŞ]]</f>
        <v>965</v>
      </c>
      <c r="H180" s="11">
        <f>Tablo1456789[[#This Row],[ADET]]*Tablo1456789[[#This Row],[SATIŞ]]</f>
        <v>930</v>
      </c>
    </row>
    <row r="181" spans="2:8" ht="21" hidden="1" customHeight="1" x14ac:dyDescent="0.3">
      <c r="B181" s="2">
        <v>45383</v>
      </c>
      <c r="C181" s="6">
        <v>10</v>
      </c>
      <c r="D181" s="10">
        <v>96.5</v>
      </c>
      <c r="E181" s="10">
        <v>93</v>
      </c>
      <c r="F181" s="9">
        <f>IF(Tablo1456789[[#This Row],[SATIŞ]]=0,"Açık",(E181-D181)*C181)</f>
        <v>-35</v>
      </c>
      <c r="G181" s="11">
        <f>Tablo1456789[[#This Row],[ADET]]*Tablo1456789[[#This Row],[ALIŞ]]</f>
        <v>965</v>
      </c>
      <c r="H181" s="11">
        <f>Tablo1456789[[#This Row],[ADET]]*Tablo1456789[[#This Row],[SATIŞ]]</f>
        <v>930</v>
      </c>
    </row>
    <row r="182" spans="2:8" ht="21" customHeight="1" x14ac:dyDescent="0.3">
      <c r="B182" s="2">
        <v>45384</v>
      </c>
      <c r="C182" s="6">
        <v>100</v>
      </c>
      <c r="D182" s="10">
        <v>92.75</v>
      </c>
      <c r="E182" s="10"/>
      <c r="F182" s="9" t="str">
        <f>IF(Tablo1456789[[#This Row],[SATIŞ]]=0,"Açık",(E182-D182)*C182)</f>
        <v>Açık</v>
      </c>
      <c r="G182" s="11">
        <f>Tablo1456789[[#This Row],[ADET]]*Tablo1456789[[#This Row],[ALIŞ]]</f>
        <v>9275</v>
      </c>
      <c r="H182" s="11">
        <f>Tablo1456789[[#This Row],[ADET]]*Tablo1456789[[#This Row],[SATIŞ]]</f>
        <v>0</v>
      </c>
    </row>
    <row r="183" spans="2:8" ht="21" customHeight="1" x14ac:dyDescent="0.3">
      <c r="B183" s="2">
        <v>45384</v>
      </c>
      <c r="C183" s="6">
        <v>100</v>
      </c>
      <c r="D183" s="10">
        <v>92.5</v>
      </c>
      <c r="E183" s="10"/>
      <c r="F183" s="9" t="str">
        <f>IF(Tablo1456789[[#This Row],[SATIŞ]]=0,"Açık",(E183-D183)*C183)</f>
        <v>Açık</v>
      </c>
      <c r="G183" s="11">
        <f>Tablo1456789[[#This Row],[ADET]]*Tablo1456789[[#This Row],[ALIŞ]]</f>
        <v>9250</v>
      </c>
      <c r="H183" s="11">
        <f>Tablo1456789[[#This Row],[ADET]]*Tablo1456789[[#This Row],[SATIŞ]]</f>
        <v>0</v>
      </c>
    </row>
    <row r="184" spans="2:8" ht="21" hidden="1" customHeight="1" x14ac:dyDescent="0.3">
      <c r="B184" s="2">
        <v>45384</v>
      </c>
      <c r="C184" s="6">
        <v>20</v>
      </c>
      <c r="D184" s="10">
        <v>92.25</v>
      </c>
      <c r="E184" s="10">
        <v>102.75</v>
      </c>
      <c r="F184" s="9">
        <f>IF(Tablo1456789[[#This Row],[SATIŞ]]=0,"Açık",(E184-D184)*C184)</f>
        <v>210</v>
      </c>
      <c r="G184" s="11">
        <f>Tablo1456789[[#This Row],[ADET]]*Tablo1456789[[#This Row],[ALIŞ]]</f>
        <v>1845</v>
      </c>
      <c r="H184" s="11">
        <f>Tablo1456789[[#This Row],[ADET]]*Tablo1456789[[#This Row],[SATIŞ]]</f>
        <v>2055</v>
      </c>
    </row>
    <row r="185" spans="2:8" ht="21" hidden="1" customHeight="1" x14ac:dyDescent="0.3">
      <c r="B185" s="2">
        <v>45384</v>
      </c>
      <c r="C185" s="6">
        <v>10</v>
      </c>
      <c r="D185" s="10">
        <v>92</v>
      </c>
      <c r="E185" s="10">
        <v>93.5</v>
      </c>
      <c r="F185" s="9">
        <f>IF(Tablo1456789[[#This Row],[SATIŞ]]=0,"Açık",(E185-D185)*C185)</f>
        <v>15</v>
      </c>
      <c r="G185" s="11">
        <f>Tablo1456789[[#This Row],[ADET]]*Tablo1456789[[#This Row],[ALIŞ]]</f>
        <v>920</v>
      </c>
      <c r="H185" s="11">
        <f>Tablo1456789[[#This Row],[ADET]]*Tablo1456789[[#This Row],[SATIŞ]]</f>
        <v>935</v>
      </c>
    </row>
    <row r="186" spans="2:8" ht="21" hidden="1" customHeight="1" x14ac:dyDescent="0.3">
      <c r="B186" s="2">
        <v>45384</v>
      </c>
      <c r="C186" s="6">
        <v>20</v>
      </c>
      <c r="D186" s="10">
        <v>92.25</v>
      </c>
      <c r="E186" s="10">
        <v>96.375</v>
      </c>
      <c r="F186" s="9">
        <f>IF(Tablo1456789[[#This Row],[SATIŞ]]=0,"Açık",(E186-D186)*C186)</f>
        <v>82.5</v>
      </c>
      <c r="G186" s="11">
        <f>Tablo1456789[[#This Row],[ADET]]*Tablo1456789[[#This Row],[ALIŞ]]</f>
        <v>1845</v>
      </c>
      <c r="H186" s="11">
        <f>Tablo1456789[[#This Row],[ADET]]*Tablo1456789[[#This Row],[SATIŞ]]</f>
        <v>1927.5</v>
      </c>
    </row>
    <row r="187" spans="2:8" ht="21" hidden="1" customHeight="1" x14ac:dyDescent="0.3">
      <c r="B187" s="2">
        <v>45384</v>
      </c>
      <c r="C187" s="6">
        <v>20</v>
      </c>
      <c r="D187" s="10">
        <v>92</v>
      </c>
      <c r="E187" s="10">
        <v>101.25</v>
      </c>
      <c r="F187" s="9">
        <f>IF(Tablo1456789[[#This Row],[SATIŞ]]=0,"Açık",(E187-D187)*C187)</f>
        <v>185</v>
      </c>
      <c r="G187" s="11">
        <f>Tablo1456789[[#This Row],[ADET]]*Tablo1456789[[#This Row],[ALIŞ]]</f>
        <v>1840</v>
      </c>
      <c r="H187" s="11">
        <f>Tablo1456789[[#This Row],[ADET]]*Tablo1456789[[#This Row],[SATIŞ]]</f>
        <v>2025</v>
      </c>
    </row>
    <row r="188" spans="2:8" ht="21" hidden="1" customHeight="1" x14ac:dyDescent="0.3">
      <c r="B188" s="2">
        <v>45384</v>
      </c>
      <c r="C188" s="6">
        <v>10</v>
      </c>
      <c r="D188" s="10">
        <v>92</v>
      </c>
      <c r="E188" s="10">
        <v>100</v>
      </c>
      <c r="F188" s="9">
        <f>IF(Tablo1456789[[#This Row],[SATIŞ]]=0,"Açık",(E188-D188)*C188)</f>
        <v>80</v>
      </c>
      <c r="G188" s="11">
        <f>Tablo1456789[[#This Row],[ADET]]*Tablo1456789[[#This Row],[ALIŞ]]</f>
        <v>920</v>
      </c>
      <c r="H188" s="11">
        <f>Tablo1456789[[#This Row],[ADET]]*Tablo1456789[[#This Row],[SATIŞ]]</f>
        <v>1000</v>
      </c>
    </row>
    <row r="189" spans="2:8" ht="21" hidden="1" customHeight="1" x14ac:dyDescent="0.3">
      <c r="B189" s="2">
        <v>45384</v>
      </c>
      <c r="C189" s="6">
        <v>10</v>
      </c>
      <c r="D189" s="10">
        <v>92</v>
      </c>
      <c r="E189" s="10">
        <v>99.75</v>
      </c>
      <c r="F189" s="9">
        <f>IF(Tablo1456789[[#This Row],[SATIŞ]]=0,"Açık",(E189-D189)*C189)</f>
        <v>77.5</v>
      </c>
      <c r="G189" s="11">
        <f>Tablo1456789[[#This Row],[ADET]]*Tablo1456789[[#This Row],[ALIŞ]]</f>
        <v>920</v>
      </c>
      <c r="H189" s="11">
        <f>Tablo1456789[[#This Row],[ADET]]*Tablo1456789[[#This Row],[SATIŞ]]</f>
        <v>997.5</v>
      </c>
    </row>
    <row r="190" spans="2:8" ht="21" hidden="1" customHeight="1" x14ac:dyDescent="0.3">
      <c r="B190" s="2">
        <v>45384</v>
      </c>
      <c r="C190" s="6">
        <v>10</v>
      </c>
      <c r="D190" s="10">
        <v>92</v>
      </c>
      <c r="E190" s="10">
        <v>99.5</v>
      </c>
      <c r="F190" s="9">
        <f>IF(Tablo1456789[[#This Row],[SATIŞ]]=0,"Açık",(E190-D190)*C190)</f>
        <v>75</v>
      </c>
      <c r="G190" s="11">
        <f>Tablo1456789[[#This Row],[ADET]]*Tablo1456789[[#This Row],[ALIŞ]]</f>
        <v>920</v>
      </c>
      <c r="H190" s="11">
        <f>Tablo1456789[[#This Row],[ADET]]*Tablo1456789[[#This Row],[SATIŞ]]</f>
        <v>995</v>
      </c>
    </row>
    <row r="191" spans="2:8" ht="21" hidden="1" customHeight="1" x14ac:dyDescent="0.3">
      <c r="B191" s="2">
        <v>45384</v>
      </c>
      <c r="C191" s="6">
        <v>20</v>
      </c>
      <c r="D191" s="10">
        <v>92</v>
      </c>
      <c r="E191" s="10">
        <v>99.125</v>
      </c>
      <c r="F191" s="9">
        <f>IF(Tablo1456789[[#This Row],[SATIŞ]]=0,"Açık",(E191-D191)*C191)</f>
        <v>142.5</v>
      </c>
      <c r="G191" s="11">
        <f>Tablo1456789[[#This Row],[ADET]]*Tablo1456789[[#This Row],[ALIŞ]]</f>
        <v>1840</v>
      </c>
      <c r="H191" s="11">
        <f>Tablo1456789[[#This Row],[ADET]]*Tablo1456789[[#This Row],[SATIŞ]]</f>
        <v>1982.5</v>
      </c>
    </row>
    <row r="192" spans="2:8" ht="21" hidden="1" customHeight="1" x14ac:dyDescent="0.3">
      <c r="B192" s="2">
        <v>45385</v>
      </c>
      <c r="C192" s="6">
        <v>20</v>
      </c>
      <c r="D192" s="10">
        <v>92.5</v>
      </c>
      <c r="E192" s="10">
        <v>98.625</v>
      </c>
      <c r="F192" s="9">
        <f>IF(Tablo1456789[[#This Row],[SATIŞ]]=0,"Açık",(E192-D192)*C192)</f>
        <v>122.5</v>
      </c>
      <c r="G192" s="11">
        <f>Tablo1456789[[#This Row],[ADET]]*Tablo1456789[[#This Row],[ALIŞ]]</f>
        <v>1850</v>
      </c>
      <c r="H192" s="11">
        <f>Tablo1456789[[#This Row],[ADET]]*Tablo1456789[[#This Row],[SATIŞ]]</f>
        <v>1972.5</v>
      </c>
    </row>
    <row r="193" spans="2:8" ht="21" hidden="1" customHeight="1" x14ac:dyDescent="0.3">
      <c r="B193" s="2">
        <v>45385</v>
      </c>
      <c r="C193" s="6">
        <v>10</v>
      </c>
      <c r="D193" s="10">
        <v>91.5</v>
      </c>
      <c r="E193" s="10">
        <v>92.5</v>
      </c>
      <c r="F193" s="9">
        <f>IF(Tablo1456789[[#This Row],[SATIŞ]]=0,"Açık",(E193-D193)*C193)</f>
        <v>10</v>
      </c>
      <c r="G193" s="11">
        <f>Tablo1456789[[#This Row],[ADET]]*Tablo1456789[[#This Row],[ALIŞ]]</f>
        <v>915</v>
      </c>
      <c r="H193" s="11">
        <f>Tablo1456789[[#This Row],[ADET]]*Tablo1456789[[#This Row],[SATIŞ]]</f>
        <v>925</v>
      </c>
    </row>
    <row r="194" spans="2:8" ht="21" hidden="1" customHeight="1" x14ac:dyDescent="0.3">
      <c r="B194" s="2">
        <v>45385</v>
      </c>
      <c r="C194" s="6">
        <v>10</v>
      </c>
      <c r="D194" s="10">
        <v>91.5</v>
      </c>
      <c r="E194" s="10">
        <v>98.35</v>
      </c>
      <c r="F194" s="9">
        <f>IF(Tablo1456789[[#This Row],[SATIŞ]]=0,"Açık",(E194-D194)*C194)</f>
        <v>68.499999999999943</v>
      </c>
      <c r="G194" s="11">
        <f>Tablo1456789[[#This Row],[ADET]]*Tablo1456789[[#This Row],[ALIŞ]]</f>
        <v>915</v>
      </c>
      <c r="H194" s="11">
        <f>Tablo1456789[[#This Row],[ADET]]*Tablo1456789[[#This Row],[SATIŞ]]</f>
        <v>983.5</v>
      </c>
    </row>
    <row r="195" spans="2:8" ht="21" hidden="1" customHeight="1" x14ac:dyDescent="0.3">
      <c r="B195" s="2">
        <v>45385</v>
      </c>
      <c r="C195" s="6">
        <v>10</v>
      </c>
      <c r="D195" s="10">
        <v>91.5</v>
      </c>
      <c r="E195" s="10">
        <v>98.1</v>
      </c>
      <c r="F195" s="9">
        <f>IF(Tablo1456789[[#This Row],[SATIŞ]]=0,"Açık",(E195-D195)*C195)</f>
        <v>65.999999999999943</v>
      </c>
      <c r="G195" s="11">
        <f>Tablo1456789[[#This Row],[ADET]]*Tablo1456789[[#This Row],[ALIŞ]]</f>
        <v>915</v>
      </c>
      <c r="H195" s="11">
        <f>Tablo1456789[[#This Row],[ADET]]*Tablo1456789[[#This Row],[SATIŞ]]</f>
        <v>981</v>
      </c>
    </row>
    <row r="196" spans="2:8" ht="21" hidden="1" customHeight="1" x14ac:dyDescent="0.3">
      <c r="B196" s="2">
        <v>45385</v>
      </c>
      <c r="C196" s="6">
        <v>20</v>
      </c>
      <c r="D196" s="10">
        <v>91.5</v>
      </c>
      <c r="E196" s="10">
        <v>97.75</v>
      </c>
      <c r="F196" s="9">
        <f>IF(Tablo1456789[[#This Row],[SATIŞ]]=0,"Açık",(E196-D196)*C196)</f>
        <v>125</v>
      </c>
      <c r="G196" s="11">
        <f>Tablo1456789[[#This Row],[ADET]]*Tablo1456789[[#This Row],[ALIŞ]]</f>
        <v>1830</v>
      </c>
      <c r="H196" s="11">
        <f>Tablo1456789[[#This Row],[ADET]]*Tablo1456789[[#This Row],[SATIŞ]]</f>
        <v>1955</v>
      </c>
    </row>
    <row r="197" spans="2:8" ht="21" hidden="1" customHeight="1" x14ac:dyDescent="0.3">
      <c r="B197" s="2">
        <v>45385</v>
      </c>
      <c r="C197" s="6">
        <v>20</v>
      </c>
      <c r="D197" s="10">
        <v>91.5</v>
      </c>
      <c r="E197" s="10">
        <v>97.75</v>
      </c>
      <c r="F197" s="9">
        <f>IF(Tablo1456789[[#This Row],[SATIŞ]]=0,"Açık",(E197-D197)*C197)</f>
        <v>125</v>
      </c>
      <c r="G197" s="11">
        <f>Tablo1456789[[#This Row],[ADET]]*Tablo1456789[[#This Row],[ALIŞ]]</f>
        <v>1830</v>
      </c>
      <c r="H197" s="11">
        <f>Tablo1456789[[#This Row],[ADET]]*Tablo1456789[[#This Row],[SATIŞ]]</f>
        <v>1955</v>
      </c>
    </row>
    <row r="198" spans="2:8" ht="21" hidden="1" customHeight="1" x14ac:dyDescent="0.3">
      <c r="B198" s="2">
        <v>45385</v>
      </c>
      <c r="C198" s="6">
        <v>30</v>
      </c>
      <c r="D198" s="10">
        <v>91.5</v>
      </c>
      <c r="E198" s="10">
        <v>95</v>
      </c>
      <c r="F198" s="9">
        <f>IF(Tablo1456789[[#This Row],[SATIŞ]]=0,"Açık",(E198-D198)*C198)</f>
        <v>105</v>
      </c>
      <c r="G198" s="11">
        <f>Tablo1456789[[#This Row],[ADET]]*Tablo1456789[[#This Row],[ALIŞ]]</f>
        <v>2745</v>
      </c>
      <c r="H198" s="11">
        <f>Tablo1456789[[#This Row],[ADET]]*Tablo1456789[[#This Row],[SATIŞ]]</f>
        <v>2850</v>
      </c>
    </row>
    <row r="199" spans="2:8" ht="21" hidden="1" customHeight="1" x14ac:dyDescent="0.3">
      <c r="B199" s="2">
        <v>45386</v>
      </c>
      <c r="C199" s="6">
        <v>20</v>
      </c>
      <c r="D199" s="10">
        <v>92</v>
      </c>
      <c r="E199" s="10">
        <v>94.5</v>
      </c>
      <c r="F199" s="9">
        <f>IF(Tablo1456789[[#This Row],[SATIŞ]]=0,"Açık",(E199-D199)*C199)</f>
        <v>50</v>
      </c>
      <c r="G199" s="11">
        <f>Tablo1456789[[#This Row],[ADET]]*Tablo1456789[[#This Row],[ALIŞ]]</f>
        <v>1840</v>
      </c>
      <c r="H199" s="11">
        <f>Tablo1456789[[#This Row],[ADET]]*Tablo1456789[[#This Row],[SATIŞ]]</f>
        <v>1890</v>
      </c>
    </row>
    <row r="200" spans="2:8" ht="21" hidden="1" customHeight="1" x14ac:dyDescent="0.3">
      <c r="B200" s="2">
        <v>45386</v>
      </c>
      <c r="C200" s="6">
        <v>10</v>
      </c>
      <c r="D200" s="10">
        <v>91.5</v>
      </c>
      <c r="E200" s="10">
        <v>94.5</v>
      </c>
      <c r="F200" s="9">
        <f>IF(Tablo1456789[[#This Row],[SATIŞ]]=0,"Açık",(E200-D200)*C200)</f>
        <v>30</v>
      </c>
      <c r="G200" s="11">
        <f>Tablo1456789[[#This Row],[ADET]]*Tablo1456789[[#This Row],[ALIŞ]]</f>
        <v>915</v>
      </c>
      <c r="H200" s="11">
        <f>Tablo1456789[[#This Row],[ADET]]*Tablo1456789[[#This Row],[SATIŞ]]</f>
        <v>945</v>
      </c>
    </row>
    <row r="201" spans="2:8" ht="21" hidden="1" customHeight="1" x14ac:dyDescent="0.3">
      <c r="B201" s="2">
        <v>45386</v>
      </c>
      <c r="C201" s="6">
        <v>20</v>
      </c>
      <c r="D201" s="10">
        <v>91.5</v>
      </c>
      <c r="E201" s="10">
        <v>94.125</v>
      </c>
      <c r="F201" s="9">
        <f>IF(Tablo1456789[[#This Row],[SATIŞ]]=0,"Açık",(E201-D201)*C201)</f>
        <v>52.5</v>
      </c>
      <c r="G201" s="11">
        <f>Tablo1456789[[#This Row],[ADET]]*Tablo1456789[[#This Row],[ALIŞ]]</f>
        <v>1830</v>
      </c>
      <c r="H201" s="11">
        <f>Tablo1456789[[#This Row],[ADET]]*Tablo1456789[[#This Row],[SATIŞ]]</f>
        <v>1882.5</v>
      </c>
    </row>
    <row r="202" spans="2:8" ht="21" hidden="1" customHeight="1" x14ac:dyDescent="0.3">
      <c r="B202" s="2">
        <v>45386</v>
      </c>
      <c r="C202" s="6">
        <v>10</v>
      </c>
      <c r="D202" s="10">
        <v>91</v>
      </c>
      <c r="E202" s="10">
        <v>93.75</v>
      </c>
      <c r="F202" s="9">
        <f>IF(Tablo1456789[[#This Row],[SATIŞ]]=0,"Açık",(E202-D202)*C202)</f>
        <v>27.5</v>
      </c>
      <c r="G202" s="11">
        <f>Tablo1456789[[#This Row],[ADET]]*Tablo1456789[[#This Row],[ALIŞ]]</f>
        <v>910</v>
      </c>
      <c r="H202" s="11">
        <f>Tablo1456789[[#This Row],[ADET]]*Tablo1456789[[#This Row],[SATIŞ]]</f>
        <v>937.5</v>
      </c>
    </row>
    <row r="203" spans="2:8" ht="21" hidden="1" customHeight="1" x14ac:dyDescent="0.3">
      <c r="B203" s="2">
        <v>45386</v>
      </c>
      <c r="C203" s="6">
        <v>10</v>
      </c>
      <c r="D203" s="10">
        <v>91</v>
      </c>
      <c r="E203" s="10">
        <v>93.5</v>
      </c>
      <c r="F203" s="9">
        <f>IF(Tablo1456789[[#This Row],[SATIŞ]]=0,"Açık",(E203-D203)*C203)</f>
        <v>25</v>
      </c>
      <c r="G203" s="11">
        <f>Tablo1456789[[#This Row],[ADET]]*Tablo1456789[[#This Row],[ALIŞ]]</f>
        <v>910</v>
      </c>
      <c r="H203" s="11">
        <f>Tablo1456789[[#This Row],[ADET]]*Tablo1456789[[#This Row],[SATIŞ]]</f>
        <v>935</v>
      </c>
    </row>
    <row r="204" spans="2:8" ht="21" hidden="1" customHeight="1" x14ac:dyDescent="0.3">
      <c r="B204" s="2">
        <v>45386</v>
      </c>
      <c r="C204" s="6">
        <v>20</v>
      </c>
      <c r="D204" s="10">
        <v>91</v>
      </c>
      <c r="E204" s="10">
        <v>93.125</v>
      </c>
      <c r="F204" s="9">
        <f>IF(Tablo1456789[[#This Row],[SATIŞ]]=0,"Açık",(E204-D204)*C204)</f>
        <v>42.5</v>
      </c>
      <c r="G204" s="11">
        <f>Tablo1456789[[#This Row],[ADET]]*Tablo1456789[[#This Row],[ALIŞ]]</f>
        <v>1820</v>
      </c>
      <c r="H204" s="11">
        <f>Tablo1456789[[#This Row],[ADET]]*Tablo1456789[[#This Row],[SATIŞ]]</f>
        <v>1862.5</v>
      </c>
    </row>
    <row r="205" spans="2:8" ht="21" hidden="1" customHeight="1" x14ac:dyDescent="0.3">
      <c r="B205" s="2">
        <v>45386</v>
      </c>
      <c r="C205" s="6">
        <v>10</v>
      </c>
      <c r="D205" s="10">
        <v>90.5</v>
      </c>
      <c r="E205" s="10">
        <v>92.5</v>
      </c>
      <c r="F205" s="9">
        <f>IF(Tablo1456789[[#This Row],[SATIŞ]]=0,"Açık",(E205-D205)*C205)</f>
        <v>20</v>
      </c>
      <c r="G205" s="11">
        <f>Tablo1456789[[#This Row],[ADET]]*Tablo1456789[[#This Row],[ALIŞ]]</f>
        <v>905</v>
      </c>
      <c r="H205" s="11">
        <f>Tablo1456789[[#This Row],[ADET]]*Tablo1456789[[#This Row],[SATIŞ]]</f>
        <v>925</v>
      </c>
    </row>
    <row r="206" spans="2:8" ht="21" hidden="1" customHeight="1" x14ac:dyDescent="0.3">
      <c r="B206" s="2">
        <v>45386</v>
      </c>
      <c r="C206" s="6">
        <v>10</v>
      </c>
      <c r="D206" s="10">
        <v>90.8</v>
      </c>
      <c r="E206" s="10">
        <v>92</v>
      </c>
      <c r="F206" s="9">
        <f>IF(Tablo1456789[[#This Row],[SATIŞ]]=0,"Açık",(E206-D206)*C206)</f>
        <v>12.000000000000028</v>
      </c>
      <c r="G206" s="11">
        <f>Tablo1456789[[#This Row],[ADET]]*Tablo1456789[[#This Row],[ALIŞ]]</f>
        <v>908</v>
      </c>
      <c r="H206" s="11">
        <f>Tablo1456789[[#This Row],[ADET]]*Tablo1456789[[#This Row],[SATIŞ]]</f>
        <v>920</v>
      </c>
    </row>
    <row r="207" spans="2:8" ht="21" hidden="1" customHeight="1" x14ac:dyDescent="0.3">
      <c r="B207" s="2">
        <v>45386</v>
      </c>
      <c r="C207" s="6">
        <v>10</v>
      </c>
      <c r="D207" s="10">
        <v>90.7</v>
      </c>
      <c r="E207" s="10">
        <v>91.25</v>
      </c>
      <c r="F207" s="9">
        <f>IF(Tablo1456789[[#This Row],[SATIŞ]]=0,"Açık",(E207-D207)*C207)</f>
        <v>5.4999999999999716</v>
      </c>
      <c r="G207" s="11">
        <f>Tablo1456789[[#This Row],[ADET]]*Tablo1456789[[#This Row],[ALIŞ]]</f>
        <v>907</v>
      </c>
      <c r="H207" s="11">
        <f>Tablo1456789[[#This Row],[ADET]]*Tablo1456789[[#This Row],[SATIŞ]]</f>
        <v>912.5</v>
      </c>
    </row>
    <row r="208" spans="2:8" ht="21" hidden="1" customHeight="1" x14ac:dyDescent="0.3">
      <c r="B208" s="2">
        <v>45386</v>
      </c>
      <c r="C208" s="6">
        <v>10</v>
      </c>
      <c r="D208" s="10">
        <v>90.6</v>
      </c>
      <c r="E208" s="10">
        <v>91.75</v>
      </c>
      <c r="F208" s="9">
        <f>IF(Tablo1456789[[#This Row],[SATIŞ]]=0,"Açık",(E208-D208)*C208)</f>
        <v>11.500000000000057</v>
      </c>
      <c r="G208" s="11">
        <f>Tablo1456789[[#This Row],[ADET]]*Tablo1456789[[#This Row],[ALIŞ]]</f>
        <v>906</v>
      </c>
      <c r="H208" s="11">
        <f>Tablo1456789[[#This Row],[ADET]]*Tablo1456789[[#This Row],[SATIŞ]]</f>
        <v>917.5</v>
      </c>
    </row>
    <row r="209" spans="2:8" ht="21" hidden="1" customHeight="1" x14ac:dyDescent="0.3">
      <c r="B209" s="2">
        <v>45386</v>
      </c>
      <c r="C209" s="6">
        <v>10</v>
      </c>
      <c r="D209" s="10">
        <v>90.5</v>
      </c>
      <c r="E209" s="10">
        <v>91.5</v>
      </c>
      <c r="F209" s="9">
        <f>IF(Tablo1456789[[#This Row],[SATIŞ]]=0,"Açık",(E209-D209)*C209)</f>
        <v>10</v>
      </c>
      <c r="G209" s="11">
        <f>Tablo1456789[[#This Row],[ADET]]*Tablo1456789[[#This Row],[ALIŞ]]</f>
        <v>905</v>
      </c>
      <c r="H209" s="11">
        <f>Tablo1456789[[#This Row],[ADET]]*Tablo1456789[[#This Row],[SATIŞ]]</f>
        <v>915</v>
      </c>
    </row>
    <row r="210" spans="2:8" ht="21" hidden="1" customHeight="1" x14ac:dyDescent="0.3">
      <c r="B210" s="2">
        <v>45386</v>
      </c>
      <c r="C210" s="6">
        <v>10</v>
      </c>
      <c r="D210" s="10">
        <v>90.4</v>
      </c>
      <c r="E210" s="10">
        <v>91.25</v>
      </c>
      <c r="F210" s="9">
        <f>IF(Tablo1456789[[#This Row],[SATIŞ]]=0,"Açık",(E210-D210)*C210)</f>
        <v>8.4999999999999432</v>
      </c>
      <c r="G210" s="11">
        <f>Tablo1456789[[#This Row],[ADET]]*Tablo1456789[[#This Row],[ALIŞ]]</f>
        <v>904</v>
      </c>
      <c r="H210" s="11">
        <f>Tablo1456789[[#This Row],[ADET]]*Tablo1456789[[#This Row],[SATIŞ]]</f>
        <v>912.5</v>
      </c>
    </row>
    <row r="211" spans="2:8" ht="21" hidden="1" customHeight="1" x14ac:dyDescent="0.3">
      <c r="B211" s="2">
        <v>45386</v>
      </c>
      <c r="C211" s="6">
        <v>10</v>
      </c>
      <c r="D211" s="10">
        <v>90.3</v>
      </c>
      <c r="E211" s="10">
        <v>91</v>
      </c>
      <c r="F211" s="9">
        <f>IF(Tablo1456789[[#This Row],[SATIŞ]]=0,"Açık",(E211-D211)*C211)</f>
        <v>7.0000000000000284</v>
      </c>
      <c r="G211" s="11">
        <f>Tablo1456789[[#This Row],[ADET]]*Tablo1456789[[#This Row],[ALIŞ]]</f>
        <v>903</v>
      </c>
      <c r="H211" s="11">
        <f>Tablo1456789[[#This Row],[ADET]]*Tablo1456789[[#This Row],[SATIŞ]]</f>
        <v>910</v>
      </c>
    </row>
    <row r="212" spans="2:8" ht="21" hidden="1" customHeight="1" x14ac:dyDescent="0.3">
      <c r="B212" s="2">
        <v>45386</v>
      </c>
      <c r="C212" s="6">
        <v>10</v>
      </c>
      <c r="D212" s="10">
        <v>90.2</v>
      </c>
      <c r="E212" s="10">
        <v>90.75</v>
      </c>
      <c r="F212" s="9">
        <f>IF(Tablo1456789[[#This Row],[SATIŞ]]=0,"Açık",(E212-D212)*C212)</f>
        <v>5.4999999999999716</v>
      </c>
      <c r="G212" s="11">
        <f>Tablo1456789[[#This Row],[ADET]]*Tablo1456789[[#This Row],[ALIŞ]]</f>
        <v>902</v>
      </c>
      <c r="H212" s="11">
        <f>Tablo1456789[[#This Row],[ADET]]*Tablo1456789[[#This Row],[SATIŞ]]</f>
        <v>907.5</v>
      </c>
    </row>
    <row r="213" spans="2:8" ht="21" hidden="1" customHeight="1" x14ac:dyDescent="0.3">
      <c r="B213" s="2">
        <v>45386</v>
      </c>
      <c r="C213" s="6">
        <v>10</v>
      </c>
      <c r="D213" s="10">
        <v>90</v>
      </c>
      <c r="E213" s="10">
        <v>90.5</v>
      </c>
      <c r="F213" s="9">
        <f>IF(Tablo1456789[[#This Row],[SATIŞ]]=0,"Açık",(E213-D213)*C213)</f>
        <v>5</v>
      </c>
      <c r="G213" s="11">
        <f>Tablo1456789[[#This Row],[ADET]]*Tablo1456789[[#This Row],[ALIŞ]]</f>
        <v>900</v>
      </c>
      <c r="H213" s="11">
        <f>Tablo1456789[[#This Row],[ADET]]*Tablo1456789[[#This Row],[SATIŞ]]</f>
        <v>905</v>
      </c>
    </row>
    <row r="214" spans="2:8" ht="21" hidden="1" customHeight="1" x14ac:dyDescent="0.3">
      <c r="B214" s="2">
        <v>45387</v>
      </c>
      <c r="C214" s="6">
        <v>10</v>
      </c>
      <c r="D214" s="10">
        <v>92</v>
      </c>
      <c r="E214" s="10">
        <v>92.75</v>
      </c>
      <c r="F214" s="9">
        <f>IF(Tablo1456789[[#This Row],[SATIŞ]]=0,"Açık",(E214-D214)*C214)</f>
        <v>7.5</v>
      </c>
      <c r="G214" s="11">
        <f>Tablo1456789[[#This Row],[ADET]]*Tablo1456789[[#This Row],[ALIŞ]]</f>
        <v>920</v>
      </c>
      <c r="H214" s="11">
        <f>Tablo1456789[[#This Row],[ADET]]*Tablo1456789[[#This Row],[SATIŞ]]</f>
        <v>927.5</v>
      </c>
    </row>
    <row r="215" spans="2:8" ht="21" hidden="1" customHeight="1" x14ac:dyDescent="0.3">
      <c r="B215" s="2">
        <v>45387</v>
      </c>
      <c r="C215" s="6">
        <v>10</v>
      </c>
      <c r="D215" s="10">
        <v>91.5</v>
      </c>
      <c r="E215" s="10">
        <v>92.5</v>
      </c>
      <c r="F215" s="9">
        <f>IF(Tablo1456789[[#This Row],[SATIŞ]]=0,"Açık",(E215-D215)*C215)</f>
        <v>10</v>
      </c>
      <c r="G215" s="11">
        <f>Tablo1456789[[#This Row],[ADET]]*Tablo1456789[[#This Row],[ALIŞ]]</f>
        <v>915</v>
      </c>
      <c r="H215" s="11">
        <f>Tablo1456789[[#This Row],[ADET]]*Tablo1456789[[#This Row],[SATIŞ]]</f>
        <v>925</v>
      </c>
    </row>
    <row r="216" spans="2:8" ht="21" hidden="1" customHeight="1" x14ac:dyDescent="0.3">
      <c r="B216" s="2">
        <v>45387</v>
      </c>
      <c r="C216" s="6">
        <v>10</v>
      </c>
      <c r="D216" s="10">
        <v>93</v>
      </c>
      <c r="E216" s="10">
        <v>97</v>
      </c>
      <c r="F216" s="9">
        <f>IF(Tablo1456789[[#This Row],[SATIŞ]]=0,"Açık",(E216-D216)*C216)</f>
        <v>40</v>
      </c>
      <c r="G216" s="11">
        <f>Tablo1456789[[#This Row],[ADET]]*Tablo1456789[[#This Row],[ALIŞ]]</f>
        <v>930</v>
      </c>
      <c r="H216" s="11">
        <f>Tablo1456789[[#This Row],[ADET]]*Tablo1456789[[#This Row],[SATIŞ]]</f>
        <v>970</v>
      </c>
    </row>
    <row r="217" spans="2:8" ht="21" hidden="1" customHeight="1" x14ac:dyDescent="0.3">
      <c r="B217" s="2">
        <v>45384</v>
      </c>
      <c r="C217" s="6">
        <v>10</v>
      </c>
      <c r="D217" s="10">
        <v>92</v>
      </c>
      <c r="E217" s="10">
        <v>102</v>
      </c>
      <c r="F217" s="9">
        <f>IF(Tablo1456789[[#This Row],[SATIŞ]]=0,"Açık",(E217-D217)*C217)</f>
        <v>100</v>
      </c>
      <c r="G217" s="11">
        <f>Tablo1456789[[#This Row],[ADET]]*Tablo1456789[[#This Row],[ALIŞ]]</f>
        <v>920</v>
      </c>
      <c r="H217" s="11">
        <f>Tablo1456789[[#This Row],[ADET]]*Tablo1456789[[#This Row],[SATIŞ]]</f>
        <v>1020</v>
      </c>
    </row>
    <row r="218" spans="2:8" ht="21" hidden="1" customHeight="1" x14ac:dyDescent="0.3">
      <c r="B218" s="2">
        <v>45384</v>
      </c>
      <c r="C218" s="6">
        <v>10</v>
      </c>
      <c r="D218" s="10">
        <v>92</v>
      </c>
      <c r="E218" s="10">
        <v>100</v>
      </c>
      <c r="F218" s="9">
        <f>IF(Tablo1456789[[#This Row],[SATIŞ]]=0,"Açık",(E218-D218)*C218)</f>
        <v>80</v>
      </c>
      <c r="G218" s="11">
        <f>Tablo1456789[[#This Row],[ADET]]*Tablo1456789[[#This Row],[ALIŞ]]</f>
        <v>920</v>
      </c>
      <c r="H218" s="11">
        <f>Tablo1456789[[#This Row],[ADET]]*Tablo1456789[[#This Row],[SATIŞ]]</f>
        <v>1000</v>
      </c>
    </row>
    <row r="219" spans="2:8" ht="21" hidden="1" customHeight="1" x14ac:dyDescent="0.3">
      <c r="B219" s="2">
        <v>45384</v>
      </c>
      <c r="C219" s="6">
        <v>20</v>
      </c>
      <c r="D219" s="10">
        <v>92.25</v>
      </c>
      <c r="E219" s="10">
        <v>95.375</v>
      </c>
      <c r="F219" s="9">
        <f>IF(Tablo1456789[[#This Row],[SATIŞ]]=0,"Açık",(E219-D219)*C219)</f>
        <v>62.5</v>
      </c>
      <c r="G219" s="11">
        <f>Tablo1456789[[#This Row],[ADET]]*Tablo1456789[[#This Row],[ALIŞ]]</f>
        <v>1845</v>
      </c>
      <c r="H219" s="11">
        <f>Tablo1456789[[#This Row],[ADET]]*Tablo1456789[[#This Row],[SATIŞ]]</f>
        <v>1907.5</v>
      </c>
    </row>
    <row r="220" spans="2:8" ht="21" hidden="1" customHeight="1" x14ac:dyDescent="0.3">
      <c r="B220" s="2">
        <v>45384</v>
      </c>
      <c r="C220" s="6">
        <v>10</v>
      </c>
      <c r="D220" s="10">
        <v>92.25</v>
      </c>
      <c r="E220" s="10">
        <v>96</v>
      </c>
      <c r="F220" s="9">
        <f>IF(Tablo1456789[[#This Row],[SATIŞ]]=0,"Açık",(E220-D220)*C220)</f>
        <v>37.5</v>
      </c>
      <c r="G220" s="11">
        <f>Tablo1456789[[#This Row],[ADET]]*Tablo1456789[[#This Row],[ALIŞ]]</f>
        <v>922.5</v>
      </c>
      <c r="H220" s="11">
        <f>Tablo1456789[[#This Row],[ADET]]*Tablo1456789[[#This Row],[SATIŞ]]</f>
        <v>960</v>
      </c>
    </row>
    <row r="221" spans="2:8" ht="21" hidden="1" customHeight="1" x14ac:dyDescent="0.3">
      <c r="B221" s="2">
        <v>45384</v>
      </c>
      <c r="C221" s="6">
        <v>10</v>
      </c>
      <c r="D221" s="10">
        <v>92.25</v>
      </c>
      <c r="E221" s="10">
        <v>95.75</v>
      </c>
      <c r="F221" s="9">
        <f>IF(Tablo1456789[[#This Row],[SATIŞ]]=0,"Açık",(E221-D221)*C221)</f>
        <v>35</v>
      </c>
      <c r="G221" s="11">
        <f>Tablo1456789[[#This Row],[ADET]]*Tablo1456789[[#This Row],[ALIŞ]]</f>
        <v>922.5</v>
      </c>
      <c r="H221" s="11">
        <f>Tablo1456789[[#This Row],[ADET]]*Tablo1456789[[#This Row],[SATIŞ]]</f>
        <v>957.5</v>
      </c>
    </row>
    <row r="222" spans="2:8" ht="21" hidden="1" customHeight="1" x14ac:dyDescent="0.3">
      <c r="B222" s="2">
        <v>45384</v>
      </c>
      <c r="C222" s="6">
        <v>20</v>
      </c>
      <c r="D222" s="10">
        <v>92.25</v>
      </c>
      <c r="E222" s="10">
        <v>97.5</v>
      </c>
      <c r="F222" s="9">
        <f>IF(Tablo1456789[[#This Row],[SATIŞ]]=0,"Açık",(E222-D222)*C222)</f>
        <v>105</v>
      </c>
      <c r="G222" s="11">
        <f>Tablo1456789[[#This Row],[ADET]]*Tablo1456789[[#This Row],[ALIŞ]]</f>
        <v>1845</v>
      </c>
      <c r="H222" s="11">
        <f>Tablo1456789[[#This Row],[ADET]]*Tablo1456789[[#This Row],[SATIŞ]]</f>
        <v>1950</v>
      </c>
    </row>
    <row r="223" spans="2:8" ht="21" hidden="1" customHeight="1" x14ac:dyDescent="0.3">
      <c r="B223" s="2">
        <v>45390</v>
      </c>
      <c r="C223" s="6">
        <v>10</v>
      </c>
      <c r="D223" s="10">
        <v>98.4</v>
      </c>
      <c r="E223" s="10">
        <v>97.5</v>
      </c>
      <c r="F223" s="9">
        <f>IF(Tablo1456789[[#This Row],[SATIŞ]]=0,"Açık",(E223-D223)*C223)</f>
        <v>-9.0000000000000568</v>
      </c>
      <c r="G223" s="11">
        <f>Tablo1456789[[#This Row],[ADET]]*Tablo1456789[[#This Row],[ALIŞ]]</f>
        <v>984</v>
      </c>
      <c r="H223" s="11">
        <f>Tablo1456789[[#This Row],[ADET]]*Tablo1456789[[#This Row],[SATIŞ]]</f>
        <v>975</v>
      </c>
    </row>
    <row r="224" spans="2:8" ht="21" hidden="1" customHeight="1" x14ac:dyDescent="0.3">
      <c r="B224" s="2">
        <v>45391</v>
      </c>
      <c r="C224" s="6">
        <v>10</v>
      </c>
      <c r="D224" s="10">
        <v>100</v>
      </c>
      <c r="E224" s="10">
        <v>97.5</v>
      </c>
      <c r="F224" s="9">
        <f>IF(Tablo1456789[[#This Row],[SATIŞ]]=0,"Açık",(E224-D224)*C224)</f>
        <v>-25</v>
      </c>
      <c r="G224" s="11">
        <f>Tablo1456789[[#This Row],[ADET]]*Tablo1456789[[#This Row],[ALIŞ]]</f>
        <v>1000</v>
      </c>
      <c r="H224" s="11">
        <f>Tablo1456789[[#This Row],[ADET]]*Tablo1456789[[#This Row],[SATIŞ]]</f>
        <v>975</v>
      </c>
    </row>
    <row r="225" spans="2:8" ht="21" hidden="1" customHeight="1" x14ac:dyDescent="0.3">
      <c r="B225" s="2">
        <v>45398</v>
      </c>
      <c r="C225" s="6">
        <v>10</v>
      </c>
      <c r="D225" s="10">
        <v>97</v>
      </c>
      <c r="E225" s="10">
        <v>98</v>
      </c>
      <c r="F225" s="9">
        <f>IF(Tablo1456789[[#This Row],[SATIŞ]]=0,"Açık",(E225-D225)*C225)</f>
        <v>10</v>
      </c>
      <c r="G225" s="11">
        <f>Tablo1456789[[#This Row],[ADET]]*Tablo1456789[[#This Row],[ALIŞ]]</f>
        <v>970</v>
      </c>
      <c r="H225" s="11">
        <f>Tablo1456789[[#This Row],[ADET]]*Tablo1456789[[#This Row],[SATIŞ]]</f>
        <v>980</v>
      </c>
    </row>
    <row r="226" spans="2:8" ht="21" hidden="1" customHeight="1" x14ac:dyDescent="0.3">
      <c r="B226" s="2">
        <v>45398</v>
      </c>
      <c r="C226" s="6">
        <v>10</v>
      </c>
      <c r="D226" s="10">
        <v>95.8</v>
      </c>
      <c r="E226" s="10">
        <v>96.6</v>
      </c>
      <c r="F226" s="9">
        <f>IF(Tablo1456789[[#This Row],[SATIŞ]]=0,"Açık",(E226-D226)*C226)</f>
        <v>7.9999999999999716</v>
      </c>
      <c r="G226" s="11">
        <f>Tablo1456789[[#This Row],[ADET]]*Tablo1456789[[#This Row],[ALIŞ]]</f>
        <v>958</v>
      </c>
      <c r="H226" s="11">
        <f>Tablo1456789[[#This Row],[ADET]]*Tablo1456789[[#This Row],[SATIŞ]]</f>
        <v>966</v>
      </c>
    </row>
    <row r="227" spans="2:8" ht="21" hidden="1" customHeight="1" x14ac:dyDescent="0.3">
      <c r="B227" s="2">
        <v>45398</v>
      </c>
      <c r="C227" s="6">
        <v>20</v>
      </c>
      <c r="D227" s="10">
        <v>95.8</v>
      </c>
      <c r="E227" s="10">
        <v>96.8</v>
      </c>
      <c r="F227" s="9">
        <f>IF(Tablo1456789[[#This Row],[SATIŞ]]=0,"Açık",(E227-D227)*C227)</f>
        <v>20</v>
      </c>
      <c r="G227" s="11">
        <f>Tablo1456789[[#This Row],[ADET]]*Tablo1456789[[#This Row],[ALIŞ]]</f>
        <v>1916</v>
      </c>
      <c r="H227" s="11">
        <f>Tablo1456789[[#This Row],[ADET]]*Tablo1456789[[#This Row],[SATIŞ]]</f>
        <v>1936</v>
      </c>
    </row>
    <row r="228" spans="2:8" ht="21" hidden="1" customHeight="1" x14ac:dyDescent="0.3">
      <c r="B228" s="2">
        <v>45398</v>
      </c>
      <c r="C228" s="6">
        <v>20</v>
      </c>
      <c r="D228" s="10">
        <v>95.8</v>
      </c>
      <c r="E228" s="10">
        <v>97.375</v>
      </c>
      <c r="F228" s="9">
        <f>IF(Tablo1456789[[#This Row],[SATIŞ]]=0,"Açık",(E228-D228)*C228)</f>
        <v>31.500000000000057</v>
      </c>
      <c r="G228" s="11">
        <f>Tablo1456789[[#This Row],[ADET]]*Tablo1456789[[#This Row],[ALIŞ]]</f>
        <v>1916</v>
      </c>
      <c r="H228" s="11">
        <f>Tablo1456789[[#This Row],[ADET]]*Tablo1456789[[#This Row],[SATIŞ]]</f>
        <v>1947.5</v>
      </c>
    </row>
    <row r="229" spans="2:8" ht="21" customHeight="1" x14ac:dyDescent="0.3">
      <c r="B229" s="2">
        <v>45398</v>
      </c>
      <c r="C229" s="6">
        <v>100</v>
      </c>
      <c r="D229" s="10">
        <v>97</v>
      </c>
      <c r="E229" s="10"/>
      <c r="F229" s="9" t="str">
        <f>IF(Tablo1456789[[#This Row],[SATIŞ]]=0,"Açık",(E229-D229)*C229)</f>
        <v>Açık</v>
      </c>
      <c r="G229" s="11">
        <f>Tablo1456789[[#This Row],[ADET]]*Tablo1456789[[#This Row],[ALIŞ]]</f>
        <v>9700</v>
      </c>
      <c r="H229" s="11">
        <f>Tablo1456789[[#This Row],[ADET]]*Tablo1456789[[#This Row],[SATIŞ]]</f>
        <v>0</v>
      </c>
    </row>
    <row r="230" spans="2:8" ht="21" hidden="1" customHeight="1" x14ac:dyDescent="0.3">
      <c r="B230" s="2">
        <v>45398</v>
      </c>
      <c r="C230" s="6">
        <v>20</v>
      </c>
      <c r="D230" s="10">
        <v>95.8</v>
      </c>
      <c r="E230" s="10">
        <v>96.5</v>
      </c>
      <c r="F230" s="9">
        <f>IF(Tablo1456789[[#This Row],[SATIŞ]]=0,"Açık",(E230-D230)*C230)</f>
        <v>14.000000000000057</v>
      </c>
      <c r="G230" s="11">
        <f>Tablo1456789[[#This Row],[ADET]]*Tablo1456789[[#This Row],[ALIŞ]]</f>
        <v>1916</v>
      </c>
      <c r="H230" s="11">
        <f>Tablo1456789[[#This Row],[ADET]]*Tablo1456789[[#This Row],[SATIŞ]]</f>
        <v>1930</v>
      </c>
    </row>
    <row r="231" spans="2:8" ht="21" hidden="1" customHeight="1" x14ac:dyDescent="0.3">
      <c r="B231" s="2">
        <v>45398</v>
      </c>
      <c r="C231" s="6">
        <v>30</v>
      </c>
      <c r="D231" s="10">
        <v>95.8</v>
      </c>
      <c r="E231" s="10">
        <v>97.5</v>
      </c>
      <c r="F231" s="9">
        <f>IF(Tablo1456789[[#This Row],[SATIŞ]]=0,"Açık",(E231-D231)*C231)</f>
        <v>51.000000000000085</v>
      </c>
      <c r="G231" s="11">
        <f>Tablo1456789[[#This Row],[ADET]]*Tablo1456789[[#This Row],[ALIŞ]]</f>
        <v>2874</v>
      </c>
      <c r="H231" s="11">
        <f>Tablo1456789[[#This Row],[ADET]]*Tablo1456789[[#This Row],[SATIŞ]]</f>
        <v>2925</v>
      </c>
    </row>
  </sheetData>
  <conditionalFormatting sqref="B4:F231">
    <cfRule type="expression" dxfId="182" priority="19">
      <formula>$F4&lt;0</formula>
    </cfRule>
    <cfRule type="expression" dxfId="181" priority="20">
      <formula>$F4="Açık"</formula>
    </cfRule>
    <cfRule type="expression" dxfId="180" priority="21">
      <formula>$F4&gt;0</formula>
    </cfRule>
  </conditionalFormatting>
  <conditionalFormatting sqref="B60:F71 B72:C76 C77:C78">
    <cfRule type="expression" dxfId="179" priority="1">
      <formula>$F60&lt;0</formula>
    </cfRule>
    <cfRule type="expression" dxfId="178" priority="2">
      <formula>$F60="Açık"</formula>
    </cfRule>
    <cfRule type="expression" dxfId="177" priority="3">
      <formula>$F60&gt;0</formula>
    </cfRule>
  </conditionalFormatting>
  <hyperlinks>
    <hyperlink ref="B1" location="İcmal!A1" display="ANA SAYFA" xr:uid="{ED10A2E4-198C-460C-8834-43B69B4934CA}"/>
  </hyperlink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59171-7F06-4DC7-A9CA-907898E0FEFB}">
  <dimension ref="B1:R32"/>
  <sheetViews>
    <sheetView showGridLines="0" showZeros="0" zoomScale="110" zoomScaleNormal="110" workbookViewId="0">
      <pane ySplit="3" topLeftCell="A14" activePane="bottomLeft" state="frozen"/>
      <selection pane="bottomLeft" activeCell="E32" sqref="E32"/>
    </sheetView>
  </sheetViews>
  <sheetFormatPr defaultRowHeight="21" customHeight="1" x14ac:dyDescent="0.3"/>
  <cols>
    <col min="2" max="2" width="20.6640625" style="1" customWidth="1"/>
    <col min="3" max="3" width="11.33203125" style="6" customWidth="1"/>
    <col min="4" max="5" width="12.88671875" style="3" customWidth="1"/>
    <col min="6" max="6" width="12.88671875" style="5" customWidth="1"/>
    <col min="7" max="8" width="11.6640625" bestFit="1" customWidth="1"/>
    <col min="10" max="12" width="12.44140625" customWidth="1"/>
    <col min="13" max="13" width="12.6640625" bestFit="1" customWidth="1"/>
    <col min="14" max="14" width="11.6640625" bestFit="1" customWidth="1"/>
  </cols>
  <sheetData>
    <row r="1" spans="2:18" ht="21" customHeight="1" x14ac:dyDescent="0.3">
      <c r="B1" s="12" t="s">
        <v>64</v>
      </c>
      <c r="C1" s="4">
        <f>SUMIF(Tablo145678910[KAR],"Açık",Tablo145678910[ADET])</f>
        <v>120</v>
      </c>
      <c r="D1" s="10">
        <f>+İcmal!E12</f>
        <v>370</v>
      </c>
      <c r="E1" s="10">
        <f>C1*D1</f>
        <v>44400</v>
      </c>
      <c r="F1" s="10">
        <f>IFERROR(((SUM(Tablo145678910[ALIŞ TUTAR])-SUM(Tablo145678910[SATIŞ TUTAR]))/C1),"")</f>
        <v>364.42615999999981</v>
      </c>
      <c r="G1" s="10">
        <f>IF(M3=0,L3,C1*(D1-F1))</f>
        <v>668.86080000002266</v>
      </c>
      <c r="J1" s="45" t="s">
        <v>94</v>
      </c>
      <c r="K1" s="45" t="s">
        <v>95</v>
      </c>
      <c r="L1" s="45" t="s">
        <v>96</v>
      </c>
      <c r="M1" s="33">
        <f>F1</f>
        <v>364.42615999999981</v>
      </c>
      <c r="N1" s="8" t="e">
        <f>M1*(1+$J$1)</f>
        <v>#VALUE!</v>
      </c>
      <c r="P1" s="8" t="e">
        <f>Q1*(1-$J$1)</f>
        <v>#VALUE!</v>
      </c>
      <c r="Q1" s="33">
        <f>+D1</f>
        <v>370</v>
      </c>
      <c r="R1" s="8" t="e">
        <f>Q1*(1+$J$1)</f>
        <v>#VALUE!</v>
      </c>
    </row>
    <row r="2" spans="2:18" ht="21" customHeight="1" x14ac:dyDescent="0.3">
      <c r="B2" s="7" t="s">
        <v>19</v>
      </c>
      <c r="J2" s="45">
        <f>SUMIFS(Tablo2[HEDEF2],Tablo2[HİSSE],B2)</f>
        <v>2000</v>
      </c>
      <c r="K2" s="45">
        <f>+E1/İcmal!$P$2</f>
        <v>1364.8939440516447</v>
      </c>
      <c r="L2" s="45">
        <f>+J2-K2</f>
        <v>635.10605594835533</v>
      </c>
    </row>
    <row r="3" spans="2:18" ht="21" customHeight="1" x14ac:dyDescent="0.3">
      <c r="B3" s="1" t="s">
        <v>0</v>
      </c>
      <c r="C3" s="6" t="s">
        <v>4</v>
      </c>
      <c r="D3" s="3" t="s">
        <v>1</v>
      </c>
      <c r="E3" s="3" t="s">
        <v>3</v>
      </c>
      <c r="F3" s="5" t="s">
        <v>2</v>
      </c>
      <c r="G3" s="3" t="s">
        <v>8</v>
      </c>
      <c r="H3" s="3" t="s">
        <v>9</v>
      </c>
      <c r="L3" s="33">
        <f>SUM(Tablo145678910[KAR])</f>
        <v>2771.3608000000077</v>
      </c>
      <c r="M3" s="37">
        <f>+C1</f>
        <v>120</v>
      </c>
      <c r="N3" s="37">
        <f>+C1</f>
        <v>120</v>
      </c>
    </row>
    <row r="4" spans="2:18" ht="21" hidden="1" customHeight="1" x14ac:dyDescent="0.3">
      <c r="B4" s="2">
        <v>45291</v>
      </c>
      <c r="C4" s="6">
        <v>518</v>
      </c>
      <c r="D4" s="10">
        <v>188.01599999999999</v>
      </c>
      <c r="E4" s="10">
        <v>189.24160000000001</v>
      </c>
      <c r="F4" s="9">
        <f>IF(Tablo145678910[[#This Row],[SATIŞ]]=0,"Açık",(E4-D4)*C4)</f>
        <v>634.86080000000743</v>
      </c>
      <c r="G4" s="11">
        <f>Tablo145678910[[#This Row],[ADET]]*Tablo145678910[[#This Row],[ALIŞ]]</f>
        <v>97392.288</v>
      </c>
      <c r="H4" s="11">
        <f>Tablo145678910[[#This Row],[ADET]]*Tablo145678910[[#This Row],[SATIŞ]]</f>
        <v>98027.14880000001</v>
      </c>
      <c r="J4" s="40" t="str">
        <f t="shared" ref="J4:J22" si="0">IF(E4=0,D4*1.05,"")</f>
        <v/>
      </c>
      <c r="L4" s="8">
        <f>SUM(Tablo145678910[ALIŞ TUTAR])</f>
        <v>186727.788</v>
      </c>
      <c r="M4" s="8">
        <f>SUM(Tablo145678910[SATIŞ TUTAR])</f>
        <v>142996.64880000002</v>
      </c>
      <c r="N4" s="8">
        <f>L4-M4</f>
        <v>43731.139199999976</v>
      </c>
    </row>
    <row r="5" spans="2:18" ht="21" hidden="1" customHeight="1" x14ac:dyDescent="0.3">
      <c r="B5" s="2">
        <v>45329</v>
      </c>
      <c r="C5" s="6">
        <v>1</v>
      </c>
      <c r="D5" s="10">
        <v>378</v>
      </c>
      <c r="E5" s="10">
        <v>382</v>
      </c>
      <c r="F5" s="9">
        <f>IF(Tablo145678910[[#This Row],[SATIŞ]]=0,"Açık",(E5-D5)*C5)</f>
        <v>4</v>
      </c>
      <c r="G5" s="11">
        <f>Tablo145678910[[#This Row],[ADET]]*Tablo145678910[[#This Row],[ALIŞ]]</f>
        <v>378</v>
      </c>
      <c r="H5" s="11">
        <f>Tablo145678910[[#This Row],[ADET]]*Tablo145678910[[#This Row],[SATIŞ]]</f>
        <v>382</v>
      </c>
      <c r="J5" s="40" t="str">
        <f t="shared" si="0"/>
        <v/>
      </c>
      <c r="N5">
        <f>+N4/80</f>
        <v>546.63923999999975</v>
      </c>
    </row>
    <row r="6" spans="2:18" ht="21" hidden="1" customHeight="1" x14ac:dyDescent="0.3">
      <c r="B6" s="2">
        <v>45329</v>
      </c>
      <c r="C6" s="6">
        <v>2</v>
      </c>
      <c r="D6" s="10">
        <v>378</v>
      </c>
      <c r="E6" s="10">
        <v>400</v>
      </c>
      <c r="F6" s="9">
        <f>IF(Tablo145678910[[#This Row],[SATIŞ]]=0,"Açık",(E6-D6)*C6)</f>
        <v>44</v>
      </c>
      <c r="G6" s="11">
        <f>Tablo145678910[[#This Row],[ADET]]*Tablo145678910[[#This Row],[ALIŞ]]</f>
        <v>756</v>
      </c>
      <c r="H6" s="11">
        <f>Tablo145678910[[#This Row],[ADET]]*Tablo145678910[[#This Row],[SATIŞ]]</f>
        <v>800</v>
      </c>
      <c r="J6" s="40" t="str">
        <f t="shared" si="0"/>
        <v/>
      </c>
    </row>
    <row r="7" spans="2:18" ht="21" hidden="1" customHeight="1" x14ac:dyDescent="0.3">
      <c r="B7" s="2">
        <v>45334</v>
      </c>
      <c r="C7" s="6">
        <v>3</v>
      </c>
      <c r="D7" s="10">
        <v>393</v>
      </c>
      <c r="E7" s="10">
        <v>400</v>
      </c>
      <c r="F7" s="9">
        <f>IF(Tablo145678910[[#This Row],[SATIŞ]]=0,"Açık",(E7-D7)*C7)</f>
        <v>21</v>
      </c>
      <c r="G7" s="11">
        <f>Tablo145678910[[#This Row],[ADET]]*Tablo145678910[[#This Row],[ALIŞ]]</f>
        <v>1179</v>
      </c>
      <c r="H7" s="11">
        <f>Tablo145678910[[#This Row],[ADET]]*Tablo145678910[[#This Row],[SATIŞ]]</f>
        <v>1200</v>
      </c>
      <c r="J7" s="40" t="str">
        <f t="shared" si="0"/>
        <v/>
      </c>
    </row>
    <row r="8" spans="2:18" ht="21" hidden="1" customHeight="1" x14ac:dyDescent="0.3">
      <c r="B8" s="2">
        <v>45335</v>
      </c>
      <c r="C8" s="6">
        <v>3</v>
      </c>
      <c r="D8" s="10">
        <v>390</v>
      </c>
      <c r="E8" s="10">
        <v>390</v>
      </c>
      <c r="F8" s="9">
        <f>IF(Tablo145678910[[#This Row],[SATIŞ]]=0,"Açık",(E8-D8)*C8)</f>
        <v>0</v>
      </c>
      <c r="G8" s="11">
        <f>Tablo145678910[[#This Row],[ADET]]*Tablo145678910[[#This Row],[ALIŞ]]</f>
        <v>1170</v>
      </c>
      <c r="H8" s="11">
        <f>Tablo145678910[[#This Row],[ADET]]*Tablo145678910[[#This Row],[SATIŞ]]</f>
        <v>1170</v>
      </c>
      <c r="J8" s="40" t="str">
        <f t="shared" si="0"/>
        <v/>
      </c>
    </row>
    <row r="9" spans="2:18" ht="21" hidden="1" customHeight="1" x14ac:dyDescent="0.3">
      <c r="B9" s="2">
        <v>45335</v>
      </c>
      <c r="C9" s="6">
        <v>7</v>
      </c>
      <c r="D9" s="10">
        <v>385</v>
      </c>
      <c r="E9" s="10">
        <v>390</v>
      </c>
      <c r="F9" s="9">
        <f>IF(Tablo145678910[[#This Row],[SATIŞ]]=0,"Açık",(E9-D9)*C9)</f>
        <v>35</v>
      </c>
      <c r="G9" s="11">
        <f>Tablo145678910[[#This Row],[ADET]]*Tablo145678910[[#This Row],[ALIŞ]]</f>
        <v>2695</v>
      </c>
      <c r="H9" s="11">
        <f>Tablo145678910[[#This Row],[ADET]]*Tablo145678910[[#This Row],[SATIŞ]]</f>
        <v>2730</v>
      </c>
      <c r="J9" s="40" t="str">
        <f t="shared" si="0"/>
        <v/>
      </c>
    </row>
    <row r="10" spans="2:18" ht="21" hidden="1" customHeight="1" x14ac:dyDescent="0.3">
      <c r="B10" s="2">
        <v>45335</v>
      </c>
      <c r="C10" s="6">
        <v>5</v>
      </c>
      <c r="D10" s="10">
        <v>380</v>
      </c>
      <c r="E10" s="10">
        <v>400</v>
      </c>
      <c r="F10" s="9">
        <f>IF(Tablo145678910[[#This Row],[SATIŞ]]=0,"Açık",(E10-D10)*C10)</f>
        <v>100</v>
      </c>
      <c r="G10" s="11">
        <f>Tablo145678910[[#This Row],[ADET]]*Tablo145678910[[#This Row],[ALIŞ]]</f>
        <v>1900</v>
      </c>
      <c r="H10" s="11">
        <f>Tablo145678910[[#This Row],[ADET]]*Tablo145678910[[#This Row],[SATIŞ]]</f>
        <v>2000</v>
      </c>
      <c r="J10" s="40" t="str">
        <f t="shared" si="0"/>
        <v/>
      </c>
    </row>
    <row r="11" spans="2:18" ht="21" customHeight="1" x14ac:dyDescent="0.3">
      <c r="B11" s="2">
        <v>45338</v>
      </c>
      <c r="C11" s="6">
        <v>10</v>
      </c>
      <c r="D11" s="10">
        <v>390</v>
      </c>
      <c r="E11" s="10"/>
      <c r="F11" s="9" t="str">
        <f>IF(Tablo145678910[[#This Row],[SATIŞ]]=0,"Açık",(E11-D11)*C11)</f>
        <v>Açık</v>
      </c>
      <c r="G11" s="11">
        <f>Tablo145678910[[#This Row],[ADET]]*Tablo145678910[[#This Row],[ALIŞ]]</f>
        <v>3900</v>
      </c>
      <c r="H11" s="11">
        <f>Tablo145678910[[#This Row],[ADET]]*Tablo145678910[[#This Row],[SATIŞ]]</f>
        <v>0</v>
      </c>
      <c r="J11" s="40">
        <f t="shared" si="0"/>
        <v>409.5</v>
      </c>
    </row>
    <row r="12" spans="2:18" ht="21" customHeight="1" x14ac:dyDescent="0.3">
      <c r="B12" s="2">
        <v>45344</v>
      </c>
      <c r="C12" s="6">
        <v>10</v>
      </c>
      <c r="D12" s="10">
        <v>395</v>
      </c>
      <c r="E12" s="10"/>
      <c r="F12" s="9" t="str">
        <f>IF(Tablo145678910[[#This Row],[SATIŞ]]=0,"Açık",(E12-D12)*C12)</f>
        <v>Açık</v>
      </c>
      <c r="G12" s="11">
        <f>Tablo145678910[[#This Row],[ADET]]*Tablo145678910[[#This Row],[ALIŞ]]</f>
        <v>3950</v>
      </c>
      <c r="H12" s="11">
        <f>Tablo145678910[[#This Row],[ADET]]*Tablo145678910[[#This Row],[SATIŞ]]</f>
        <v>0</v>
      </c>
      <c r="J12" s="40">
        <f t="shared" si="0"/>
        <v>414.75</v>
      </c>
    </row>
    <row r="13" spans="2:18" ht="21" customHeight="1" x14ac:dyDescent="0.3">
      <c r="B13" s="2">
        <v>45349</v>
      </c>
      <c r="C13" s="6">
        <v>10</v>
      </c>
      <c r="D13" s="10">
        <v>390</v>
      </c>
      <c r="E13" s="10"/>
      <c r="F13" s="9" t="str">
        <f>IF(Tablo145678910[[#This Row],[SATIŞ]]=0,"Açık",(E13-D13)*C13)</f>
        <v>Açık</v>
      </c>
      <c r="G13" s="11">
        <f>Tablo145678910[[#This Row],[ADET]]*Tablo145678910[[#This Row],[ALIŞ]]</f>
        <v>3900</v>
      </c>
      <c r="H13" s="11">
        <f>Tablo145678910[[#This Row],[ADET]]*Tablo145678910[[#This Row],[SATIŞ]]</f>
        <v>0</v>
      </c>
      <c r="J13" s="40">
        <f t="shared" si="0"/>
        <v>409.5</v>
      </c>
    </row>
    <row r="14" spans="2:18" ht="21" customHeight="1" x14ac:dyDescent="0.3">
      <c r="B14" s="2">
        <v>45349</v>
      </c>
      <c r="C14" s="6">
        <v>10</v>
      </c>
      <c r="D14" s="10">
        <v>385</v>
      </c>
      <c r="E14" s="10"/>
      <c r="F14" s="9" t="str">
        <f>IF(Tablo145678910[[#This Row],[SATIŞ]]=0,"Açık",(E14-D14)*C14)</f>
        <v>Açık</v>
      </c>
      <c r="G14" s="11">
        <f>Tablo145678910[[#This Row],[ADET]]*Tablo145678910[[#This Row],[ALIŞ]]</f>
        <v>3850</v>
      </c>
      <c r="H14" s="11">
        <f>Tablo145678910[[#This Row],[ADET]]*Tablo145678910[[#This Row],[SATIŞ]]</f>
        <v>0</v>
      </c>
      <c r="J14" s="40">
        <f t="shared" si="0"/>
        <v>404.25</v>
      </c>
    </row>
    <row r="15" spans="2:18" ht="21" hidden="1" customHeight="1" x14ac:dyDescent="0.3">
      <c r="B15" s="2">
        <v>45355</v>
      </c>
      <c r="C15" s="6">
        <v>10</v>
      </c>
      <c r="D15" s="10">
        <v>380</v>
      </c>
      <c r="E15" s="10">
        <v>395</v>
      </c>
      <c r="F15" s="9">
        <f>IF(Tablo145678910[[#This Row],[SATIŞ]]=0,"Açık",(E15-D15)*C15)</f>
        <v>150</v>
      </c>
      <c r="G15" s="11">
        <f>Tablo145678910[[#This Row],[ADET]]*Tablo145678910[[#This Row],[ALIŞ]]</f>
        <v>3800</v>
      </c>
      <c r="H15" s="11">
        <f>Tablo145678910[[#This Row],[ADET]]*Tablo145678910[[#This Row],[SATIŞ]]</f>
        <v>3950</v>
      </c>
      <c r="J15" s="40" t="str">
        <f t="shared" si="0"/>
        <v/>
      </c>
    </row>
    <row r="16" spans="2:18" ht="21" hidden="1" customHeight="1" x14ac:dyDescent="0.3">
      <c r="B16" s="2">
        <v>45356</v>
      </c>
      <c r="C16" s="6">
        <v>10</v>
      </c>
      <c r="D16" s="10">
        <v>370</v>
      </c>
      <c r="E16" s="10">
        <v>385</v>
      </c>
      <c r="F16" s="9">
        <f>IF(Tablo145678910[[#This Row],[SATIŞ]]=0,"Açık",(E16-D16)*C16)</f>
        <v>150</v>
      </c>
      <c r="G16" s="11">
        <f>Tablo145678910[[#This Row],[ADET]]*Tablo145678910[[#This Row],[ALIŞ]]</f>
        <v>3700</v>
      </c>
      <c r="H16" s="11">
        <f>Tablo145678910[[#This Row],[ADET]]*Tablo145678910[[#This Row],[SATIŞ]]</f>
        <v>3850</v>
      </c>
      <c r="J16" s="40" t="str">
        <f t="shared" si="0"/>
        <v/>
      </c>
    </row>
    <row r="17" spans="2:10" ht="21" hidden="1" customHeight="1" x14ac:dyDescent="0.3">
      <c r="B17" s="2">
        <v>45370</v>
      </c>
      <c r="C17" s="6">
        <v>10</v>
      </c>
      <c r="D17" s="10">
        <v>379</v>
      </c>
      <c r="E17" s="10">
        <v>405</v>
      </c>
      <c r="F17" s="9">
        <f>IF(Tablo145678910[[#This Row],[SATIŞ]]=0,"Açık",(E17-D17)*C17)</f>
        <v>260</v>
      </c>
      <c r="G17" s="11">
        <f>Tablo145678910[[#This Row],[ADET]]*Tablo145678910[[#This Row],[ALIŞ]]</f>
        <v>3790</v>
      </c>
      <c r="H17" s="11">
        <f>Tablo145678910[[#This Row],[ADET]]*Tablo145678910[[#This Row],[SATIŞ]]</f>
        <v>4050</v>
      </c>
      <c r="J17" s="40" t="str">
        <f t="shared" si="0"/>
        <v/>
      </c>
    </row>
    <row r="18" spans="2:10" ht="21" hidden="1" customHeight="1" x14ac:dyDescent="0.3">
      <c r="B18" s="2">
        <v>45376</v>
      </c>
      <c r="C18" s="6">
        <v>10</v>
      </c>
      <c r="D18" s="10">
        <v>370</v>
      </c>
      <c r="E18" s="10">
        <v>400</v>
      </c>
      <c r="F18" s="9">
        <f>IF(Tablo145678910[[#This Row],[SATIŞ]]=0,"Açık",(E18-D18)*C18)</f>
        <v>300</v>
      </c>
      <c r="G18" s="11">
        <f>Tablo145678910[[#This Row],[ADET]]*Tablo145678910[[#This Row],[ALIŞ]]</f>
        <v>3700</v>
      </c>
      <c r="H18" s="11">
        <f>Tablo145678910[[#This Row],[ADET]]*Tablo145678910[[#This Row],[SATIŞ]]</f>
        <v>4000</v>
      </c>
      <c r="J18" s="40" t="str">
        <f t="shared" si="0"/>
        <v/>
      </c>
    </row>
    <row r="19" spans="2:10" ht="21" hidden="1" customHeight="1" x14ac:dyDescent="0.3">
      <c r="B19" s="2">
        <v>45376</v>
      </c>
      <c r="C19" s="6">
        <v>10</v>
      </c>
      <c r="D19" s="10">
        <v>365</v>
      </c>
      <c r="E19" s="10">
        <v>390</v>
      </c>
      <c r="F19" s="9">
        <f>IF(Tablo145678910[[#This Row],[SATIŞ]]=0,"Açık",(E19-D19)*C19)</f>
        <v>250</v>
      </c>
      <c r="G19" s="11">
        <f>Tablo145678910[[#This Row],[ADET]]*Tablo145678910[[#This Row],[ALIŞ]]</f>
        <v>3650</v>
      </c>
      <c r="H19" s="11">
        <f>Tablo145678910[[#This Row],[ADET]]*Tablo145678910[[#This Row],[SATIŞ]]</f>
        <v>3900</v>
      </c>
      <c r="J19" s="40" t="str">
        <f t="shared" si="0"/>
        <v/>
      </c>
    </row>
    <row r="20" spans="2:10" ht="21" hidden="1" customHeight="1" x14ac:dyDescent="0.3">
      <c r="B20" s="2">
        <v>45377</v>
      </c>
      <c r="C20" s="6">
        <v>10</v>
      </c>
      <c r="D20" s="10">
        <v>356.5</v>
      </c>
      <c r="E20" s="10">
        <v>376.25</v>
      </c>
      <c r="F20" s="9">
        <f>IF(Tablo145678910[[#This Row],[SATIŞ]]=0,"Açık",(E20-D20)*C20)</f>
        <v>197.5</v>
      </c>
      <c r="G20" s="11">
        <f>Tablo145678910[[#This Row],[ADET]]*Tablo145678910[[#This Row],[ALIŞ]]</f>
        <v>3565</v>
      </c>
      <c r="H20" s="11">
        <f>Tablo145678910[[#This Row],[ADET]]*Tablo145678910[[#This Row],[SATIŞ]]</f>
        <v>3762.5</v>
      </c>
      <c r="J20" s="40" t="str">
        <f t="shared" si="0"/>
        <v/>
      </c>
    </row>
    <row r="21" spans="2:10" ht="21" hidden="1" customHeight="1" x14ac:dyDescent="0.3">
      <c r="B21" s="2">
        <v>45377</v>
      </c>
      <c r="C21" s="6">
        <v>10</v>
      </c>
      <c r="D21" s="10">
        <v>351</v>
      </c>
      <c r="E21" s="10">
        <v>380</v>
      </c>
      <c r="F21" s="9">
        <f>IF(Tablo145678910[[#This Row],[SATIŞ]]=0,"Açık",(E21-D21)*C21)</f>
        <v>290</v>
      </c>
      <c r="G21" s="11">
        <f>Tablo145678910[[#This Row],[ADET]]*Tablo145678910[[#This Row],[ALIŞ]]</f>
        <v>3510</v>
      </c>
      <c r="H21" s="11">
        <f>Tablo145678910[[#This Row],[ADET]]*Tablo145678910[[#This Row],[SATIŞ]]</f>
        <v>3800</v>
      </c>
      <c r="J21" s="40" t="str">
        <f t="shared" si="0"/>
        <v/>
      </c>
    </row>
    <row r="22" spans="2:10" ht="21" hidden="1" customHeight="1" x14ac:dyDescent="0.3">
      <c r="B22" s="2">
        <v>45377</v>
      </c>
      <c r="C22" s="6">
        <v>10</v>
      </c>
      <c r="D22" s="10">
        <v>350</v>
      </c>
      <c r="E22" s="10">
        <v>360</v>
      </c>
      <c r="F22" s="9">
        <f>IF(Tablo145678910[[#This Row],[SATIŞ]]=0,"Açık",(E22-D22)*C22)</f>
        <v>100</v>
      </c>
      <c r="G22" s="11">
        <f>Tablo145678910[[#This Row],[ADET]]*Tablo145678910[[#This Row],[ALIŞ]]</f>
        <v>3500</v>
      </c>
      <c r="H22" s="11">
        <f>Tablo145678910[[#This Row],[ADET]]*Tablo145678910[[#This Row],[SATIŞ]]</f>
        <v>3600</v>
      </c>
      <c r="J22" s="40" t="str">
        <f t="shared" si="0"/>
        <v/>
      </c>
    </row>
    <row r="23" spans="2:10" ht="21" hidden="1" customHeight="1" x14ac:dyDescent="0.3">
      <c r="B23" s="2">
        <v>45384</v>
      </c>
      <c r="C23" s="6">
        <v>10</v>
      </c>
      <c r="D23" s="10">
        <v>360</v>
      </c>
      <c r="E23" s="10">
        <v>380</v>
      </c>
      <c r="F23" s="9">
        <f>IF(Tablo145678910[[#This Row],[SATIŞ]]=0,"Açık",(E23-D23)*C23)</f>
        <v>200</v>
      </c>
      <c r="G23" s="11">
        <f>Tablo145678910[[#This Row],[ADET]]*Tablo145678910[[#This Row],[ALIŞ]]</f>
        <v>3600</v>
      </c>
      <c r="H23" s="11">
        <f>Tablo145678910[[#This Row],[ADET]]*Tablo145678910[[#This Row],[SATIŞ]]</f>
        <v>3800</v>
      </c>
    </row>
    <row r="24" spans="2:10" ht="21" customHeight="1" x14ac:dyDescent="0.3">
      <c r="B24" s="2">
        <v>45391</v>
      </c>
      <c r="C24" s="6">
        <v>10</v>
      </c>
      <c r="D24" s="10">
        <v>400</v>
      </c>
      <c r="E24" s="10"/>
      <c r="F24" s="9" t="str">
        <f>IF(Tablo145678910[[#This Row],[SATIŞ]]=0,"Açık",(E24-D24)*C24)</f>
        <v>Açık</v>
      </c>
      <c r="G24" s="11">
        <f>Tablo145678910[[#This Row],[ADET]]*Tablo145678910[[#This Row],[ALIŞ]]</f>
        <v>4000</v>
      </c>
      <c r="H24" s="11">
        <f>Tablo145678910[[#This Row],[ADET]]*Tablo145678910[[#This Row],[SATIŞ]]</f>
        <v>0</v>
      </c>
    </row>
    <row r="25" spans="2:10" ht="21" customHeight="1" x14ac:dyDescent="0.3">
      <c r="B25" s="2">
        <v>45391</v>
      </c>
      <c r="C25" s="6">
        <v>10</v>
      </c>
      <c r="D25" s="10">
        <v>395</v>
      </c>
      <c r="E25" s="10"/>
      <c r="F25" s="9" t="str">
        <f>IF(Tablo145678910[[#This Row],[SATIŞ]]=0,"Açık",(E25-D25)*C25)</f>
        <v>Açık</v>
      </c>
      <c r="G25" s="11">
        <f>Tablo145678910[[#This Row],[ADET]]*Tablo145678910[[#This Row],[ALIŞ]]</f>
        <v>3950</v>
      </c>
      <c r="H25" s="11">
        <f>Tablo145678910[[#This Row],[ADET]]*Tablo145678910[[#This Row],[SATIŞ]]</f>
        <v>0</v>
      </c>
    </row>
    <row r="26" spans="2:10" ht="21" customHeight="1" x14ac:dyDescent="0.3">
      <c r="B26" s="2">
        <v>45397</v>
      </c>
      <c r="C26" s="6">
        <v>10</v>
      </c>
      <c r="D26" s="10">
        <v>395</v>
      </c>
      <c r="E26" s="10"/>
      <c r="F26" s="9" t="str">
        <f>IF(Tablo145678910[[#This Row],[SATIŞ]]=0,"Açık",(E26-D26)*C26)</f>
        <v>Açık</v>
      </c>
      <c r="G26" s="11">
        <f>Tablo145678910[[#This Row],[ADET]]*Tablo145678910[[#This Row],[ALIŞ]]</f>
        <v>3950</v>
      </c>
      <c r="H26" s="11">
        <f>Tablo145678910[[#This Row],[ADET]]*Tablo145678910[[#This Row],[SATIŞ]]</f>
        <v>0</v>
      </c>
    </row>
    <row r="27" spans="2:10" ht="21" customHeight="1" x14ac:dyDescent="0.3">
      <c r="B27" s="2">
        <v>45397</v>
      </c>
      <c r="C27" s="6">
        <v>10</v>
      </c>
      <c r="D27" s="10">
        <v>398</v>
      </c>
      <c r="E27" s="10"/>
      <c r="F27" s="9" t="str">
        <f>IF(Tablo145678910[[#This Row],[SATIŞ]]=0,"Açık",(E27-D27)*C27)</f>
        <v>Açık</v>
      </c>
      <c r="G27" s="11">
        <f>Tablo145678910[[#This Row],[ADET]]*Tablo145678910[[#This Row],[ALIŞ]]</f>
        <v>3980</v>
      </c>
      <c r="H27" s="11">
        <f>Tablo145678910[[#This Row],[ADET]]*Tablo145678910[[#This Row],[SATIŞ]]</f>
        <v>0</v>
      </c>
    </row>
    <row r="28" spans="2:10" ht="21" hidden="1" customHeight="1" x14ac:dyDescent="0.3">
      <c r="B28" s="2">
        <v>45398</v>
      </c>
      <c r="C28" s="6">
        <v>5</v>
      </c>
      <c r="D28" s="10">
        <v>388</v>
      </c>
      <c r="E28" s="10">
        <v>395</v>
      </c>
      <c r="F28" s="9">
        <f>IF(Tablo145678910[[#This Row],[SATIŞ]]=0,"Açık",(E28-D28)*C28)</f>
        <v>35</v>
      </c>
      <c r="G28" s="11">
        <f>Tablo145678910[[#This Row],[ADET]]*Tablo145678910[[#This Row],[ALIŞ]]</f>
        <v>1940</v>
      </c>
      <c r="H28" s="11">
        <f>Tablo145678910[[#This Row],[ADET]]*Tablo145678910[[#This Row],[SATIŞ]]</f>
        <v>1975</v>
      </c>
    </row>
    <row r="29" spans="2:10" ht="21" customHeight="1" x14ac:dyDescent="0.3">
      <c r="B29" s="2">
        <v>45398</v>
      </c>
      <c r="C29" s="6">
        <v>5</v>
      </c>
      <c r="D29" s="10">
        <v>388</v>
      </c>
      <c r="E29" s="10"/>
      <c r="F29" s="9" t="str">
        <f>IF(Tablo145678910[[#This Row],[SATIŞ]]=0,"Açık",(E29-D29)*C29)</f>
        <v>Açık</v>
      </c>
      <c r="G29" s="11">
        <f>Tablo145678910[[#This Row],[ADET]]*Tablo145678910[[#This Row],[ALIŞ]]</f>
        <v>1940</v>
      </c>
      <c r="H29" s="11">
        <f>Tablo145678910[[#This Row],[ADET]]*Tablo145678910[[#This Row],[SATIŞ]]</f>
        <v>0</v>
      </c>
    </row>
    <row r="30" spans="2:10" ht="21" customHeight="1" x14ac:dyDescent="0.3">
      <c r="B30" s="2">
        <v>45400</v>
      </c>
      <c r="C30" s="6">
        <v>15</v>
      </c>
      <c r="D30" s="10">
        <v>378</v>
      </c>
      <c r="E30" s="10"/>
      <c r="F30" s="9" t="str">
        <f>IF(Tablo145678910[[#This Row],[SATIŞ]]=0,"Açık",(E30-D30)*C30)</f>
        <v>Açık</v>
      </c>
      <c r="G30" s="11">
        <f>Tablo145678910[[#This Row],[ADET]]*Tablo145678910[[#This Row],[ALIŞ]]</f>
        <v>5670</v>
      </c>
      <c r="H30" s="11">
        <f>Tablo145678910[[#This Row],[ADET]]*Tablo145678910[[#This Row],[SATIŞ]]</f>
        <v>0</v>
      </c>
    </row>
    <row r="31" spans="2:10" ht="21" customHeight="1" x14ac:dyDescent="0.3">
      <c r="B31" s="2">
        <v>45400</v>
      </c>
      <c r="C31" s="6">
        <v>10</v>
      </c>
      <c r="D31" s="10">
        <v>373.5</v>
      </c>
      <c r="E31" s="10"/>
      <c r="F31" s="9" t="str">
        <f>IF(Tablo145678910[[#This Row],[SATIŞ]]=0,"Açık",(E31-D31)*C31)</f>
        <v>Açık</v>
      </c>
      <c r="G31" s="11">
        <f>Tablo145678910[[#This Row],[ADET]]*Tablo145678910[[#This Row],[ALIŞ]]</f>
        <v>3735</v>
      </c>
      <c r="H31" s="11">
        <f>Tablo145678910[[#This Row],[ADET]]*Tablo145678910[[#This Row],[SATIŞ]]</f>
        <v>0</v>
      </c>
    </row>
    <row r="32" spans="2:10" ht="21" customHeight="1" x14ac:dyDescent="0.3">
      <c r="B32" s="2">
        <v>45400</v>
      </c>
      <c r="C32" s="6">
        <v>10</v>
      </c>
      <c r="D32" s="10">
        <v>367.75</v>
      </c>
      <c r="E32" s="10"/>
      <c r="F32" s="9" t="str">
        <f>IF(Tablo145678910[[#This Row],[SATIŞ]]=0,"Açık",(E32-D32)*C32)</f>
        <v>Açık</v>
      </c>
      <c r="G32" s="11">
        <f>Tablo145678910[[#This Row],[ADET]]*Tablo145678910[[#This Row],[ALIŞ]]</f>
        <v>3677.5</v>
      </c>
      <c r="H32" s="11">
        <f>Tablo145678910[[#This Row],[ADET]]*Tablo145678910[[#This Row],[SATIŞ]]</f>
        <v>0</v>
      </c>
    </row>
  </sheetData>
  <conditionalFormatting sqref="B4:F32">
    <cfRule type="expression" dxfId="176" priority="1">
      <formula>$F4&lt;0</formula>
    </cfRule>
    <cfRule type="expression" dxfId="175" priority="2">
      <formula>$F4="Açık"</formula>
    </cfRule>
    <cfRule type="expression" dxfId="174" priority="3">
      <formula>$F4&gt;0</formula>
    </cfRule>
  </conditionalFormatting>
  <hyperlinks>
    <hyperlink ref="B1" location="İcmal!A1" display="ANA SAYFA" xr:uid="{5DF7A8C8-F5B1-4131-A027-69C40E1993C1}"/>
  </hyperlinks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9414C-E436-452C-A8C9-E2561644830F}">
  <dimension ref="B1:R265"/>
  <sheetViews>
    <sheetView showGridLines="0" showZeros="0" zoomScale="110" zoomScaleNormal="110" workbookViewId="0">
      <pane ySplit="3" topLeftCell="A118" activePane="bottomLeft" state="frozen"/>
      <selection pane="bottomLeft" activeCell="E132" sqref="E132"/>
    </sheetView>
  </sheetViews>
  <sheetFormatPr defaultRowHeight="21" customHeight="1" x14ac:dyDescent="0.3"/>
  <cols>
    <col min="2" max="2" width="20.6640625" style="1" customWidth="1"/>
    <col min="3" max="3" width="11.33203125" style="6" customWidth="1"/>
    <col min="4" max="5" width="12.88671875" style="3" customWidth="1"/>
    <col min="6" max="6" width="12.88671875" style="5" customWidth="1"/>
    <col min="7" max="8" width="14.5546875" customWidth="1"/>
    <col min="10" max="12" width="12.44140625" customWidth="1"/>
    <col min="13" max="13" width="11.33203125" bestFit="1" customWidth="1"/>
    <col min="14" max="14" width="10.33203125" bestFit="1" customWidth="1"/>
  </cols>
  <sheetData>
    <row r="1" spans="2:18" ht="21" customHeight="1" x14ac:dyDescent="0.3">
      <c r="B1" s="12" t="s">
        <v>64</v>
      </c>
      <c r="C1" s="4">
        <f>SUMIF(Tablo14567891011[KAR],"Açık",Tablo14567891011[ADET])</f>
        <v>2000</v>
      </c>
      <c r="D1" s="10">
        <f>+İcmal!E13</f>
        <v>27.8</v>
      </c>
      <c r="E1" s="10">
        <f>C1*D1</f>
        <v>55600</v>
      </c>
      <c r="F1" s="10">
        <f>IFERROR(((SUM(Tablo14567891011[ALIŞ TUTAR])-SUM(Tablo14567891011[SATIŞ TUTAR]))/C1),"")</f>
        <v>23.832110099999873</v>
      </c>
      <c r="G1" s="10">
        <f>IF(M3=0,L3,C1*(D1-F1))</f>
        <v>7935.7798000002549</v>
      </c>
      <c r="J1" s="45" t="s">
        <v>94</v>
      </c>
      <c r="K1" s="45" t="s">
        <v>95</v>
      </c>
      <c r="L1" s="45" t="s">
        <v>96</v>
      </c>
      <c r="M1" s="33">
        <f>F1</f>
        <v>23.832110099999873</v>
      </c>
      <c r="N1" s="8" t="e">
        <f>M1*(1+$J$1)</f>
        <v>#VALUE!</v>
      </c>
      <c r="P1" s="8" t="e">
        <f>Q1*(1-$J$1)</f>
        <v>#VALUE!</v>
      </c>
      <c r="Q1" s="33">
        <f>+D1</f>
        <v>27.8</v>
      </c>
      <c r="R1" s="8" t="e">
        <f>Q1*(1+$J$1)</f>
        <v>#VALUE!</v>
      </c>
    </row>
    <row r="2" spans="2:18" ht="21" customHeight="1" x14ac:dyDescent="0.3">
      <c r="B2" s="7" t="s">
        <v>20</v>
      </c>
      <c r="J2" s="45">
        <f>SUMIFS(Tablo2[HEDEF2],Tablo2[HİSSE],B2)</f>
        <v>1000</v>
      </c>
      <c r="K2" s="45">
        <f>+E1/İcmal!$P$2</f>
        <v>1709.1915155241315</v>
      </c>
      <c r="L2" s="45">
        <f>+J2-K2</f>
        <v>-709.19151552413155</v>
      </c>
    </row>
    <row r="3" spans="2:18" ht="21" customHeight="1" x14ac:dyDescent="0.3">
      <c r="B3" s="1" t="s">
        <v>0</v>
      </c>
      <c r="C3" s="6" t="s">
        <v>4</v>
      </c>
      <c r="D3" s="3" t="s">
        <v>1</v>
      </c>
      <c r="E3" s="3" t="s">
        <v>3</v>
      </c>
      <c r="F3" s="5" t="s">
        <v>2</v>
      </c>
      <c r="G3" s="3" t="s">
        <v>8</v>
      </c>
      <c r="H3" s="3" t="s">
        <v>9</v>
      </c>
      <c r="L3" s="33">
        <f>SUM(Tablo14567891011[KAR])</f>
        <v>17485.779800000033</v>
      </c>
      <c r="M3" s="37">
        <f>+C1</f>
        <v>2000</v>
      </c>
    </row>
    <row r="4" spans="2:18" ht="21" hidden="1" customHeight="1" x14ac:dyDescent="0.3">
      <c r="B4" s="2">
        <v>45291</v>
      </c>
      <c r="C4" s="6">
        <v>25526</v>
      </c>
      <c r="D4" s="10">
        <v>14.99574</v>
      </c>
      <c r="E4" s="10">
        <v>15.334390000000001</v>
      </c>
      <c r="F4" s="9">
        <f>IF(Tablo14567891011[[#This Row],[SATIŞ]]=0,"Açık",(E4-D4)*C4)</f>
        <v>8644.3799000000308</v>
      </c>
      <c r="G4" s="11">
        <f>Tablo14567891011[[#This Row],[ADET]]*Tablo14567891011[[#This Row],[ALIŞ]]</f>
        <v>382781.25923999998</v>
      </c>
      <c r="H4" s="11">
        <f>Tablo14567891011[[#This Row],[ADET]]*Tablo14567891011[[#This Row],[SATIŞ]]</f>
        <v>391425.63914000004</v>
      </c>
      <c r="L4" s="8">
        <f>SUM(Tablo14567891011[ALIŞ TUTAR])</f>
        <v>976221.8592399999</v>
      </c>
      <c r="M4" s="8">
        <f>SUM(Tablo14567891011[SATIŞ TUTAR])</f>
        <v>928557.63904000015</v>
      </c>
      <c r="N4" s="8">
        <f>L4-M4</f>
        <v>47664.220199999749</v>
      </c>
    </row>
    <row r="5" spans="2:18" ht="21" hidden="1" customHeight="1" x14ac:dyDescent="0.3">
      <c r="B5" s="2">
        <v>45329</v>
      </c>
      <c r="C5" s="6">
        <v>5</v>
      </c>
      <c r="D5" s="10">
        <v>35.200000000000003</v>
      </c>
      <c r="E5" s="10">
        <v>37</v>
      </c>
      <c r="F5" s="9">
        <f>IF(Tablo14567891011[[#This Row],[SATIŞ]]=0,"Açık",(E5-D5)*C5)</f>
        <v>8.9999999999999858</v>
      </c>
      <c r="G5" s="11">
        <f>Tablo14567891011[[#This Row],[ADET]]*Tablo14567891011[[#This Row],[ALIŞ]]</f>
        <v>176</v>
      </c>
      <c r="H5" s="11">
        <f>Tablo14567891011[[#This Row],[ADET]]*Tablo14567891011[[#This Row],[SATIŞ]]</f>
        <v>185</v>
      </c>
      <c r="N5">
        <f>+N4/80</f>
        <v>595.80275249999681</v>
      </c>
    </row>
    <row r="6" spans="2:18" ht="21" hidden="1" customHeight="1" x14ac:dyDescent="0.3">
      <c r="B6" s="2">
        <v>45329</v>
      </c>
      <c r="C6" s="6">
        <v>5</v>
      </c>
      <c r="D6" s="10">
        <v>35.200000000000003</v>
      </c>
      <c r="E6" s="10">
        <v>37</v>
      </c>
      <c r="F6" s="9">
        <f>IF(Tablo14567891011[[#This Row],[SATIŞ]]=0,"Açık",(E6-D6)*C6)</f>
        <v>8.9999999999999858</v>
      </c>
      <c r="G6" s="11">
        <f>Tablo14567891011[[#This Row],[ADET]]*Tablo14567891011[[#This Row],[ALIŞ]]</f>
        <v>176</v>
      </c>
      <c r="H6" s="11">
        <f>Tablo14567891011[[#This Row],[ADET]]*Tablo14567891011[[#This Row],[SATIŞ]]</f>
        <v>185</v>
      </c>
    </row>
    <row r="7" spans="2:18" ht="21" hidden="1" customHeight="1" x14ac:dyDescent="0.3">
      <c r="B7" s="2">
        <v>45329</v>
      </c>
      <c r="C7" s="6">
        <v>20</v>
      </c>
      <c r="D7" s="10">
        <v>35</v>
      </c>
      <c r="E7" s="10">
        <v>37</v>
      </c>
      <c r="F7" s="9">
        <f>IF(Tablo14567891011[[#This Row],[SATIŞ]]=0,"Açık",(E7-D7)*C7)</f>
        <v>40</v>
      </c>
      <c r="G7" s="11">
        <f>Tablo14567891011[[#This Row],[ADET]]*Tablo14567891011[[#This Row],[ALIŞ]]</f>
        <v>700</v>
      </c>
      <c r="H7" s="11">
        <f>Tablo14567891011[[#This Row],[ADET]]*Tablo14567891011[[#This Row],[SATIŞ]]</f>
        <v>740</v>
      </c>
    </row>
    <row r="8" spans="2:18" ht="21" hidden="1" customHeight="1" x14ac:dyDescent="0.3">
      <c r="B8" s="2">
        <v>45329</v>
      </c>
      <c r="C8" s="6">
        <v>10</v>
      </c>
      <c r="D8" s="10">
        <v>36.799999999999997</v>
      </c>
      <c r="E8" s="10">
        <v>37.1</v>
      </c>
      <c r="F8" s="9">
        <f>IF(Tablo14567891011[[#This Row],[SATIŞ]]=0,"Açık",(E8-D8)*C8)</f>
        <v>3.0000000000000426</v>
      </c>
      <c r="G8" s="11">
        <f>Tablo14567891011[[#This Row],[ADET]]*Tablo14567891011[[#This Row],[ALIŞ]]</f>
        <v>368</v>
      </c>
      <c r="H8" s="11">
        <f>Tablo14567891011[[#This Row],[ADET]]*Tablo14567891011[[#This Row],[SATIŞ]]</f>
        <v>371</v>
      </c>
    </row>
    <row r="9" spans="2:18" ht="21" hidden="1" customHeight="1" x14ac:dyDescent="0.3">
      <c r="B9" s="2">
        <v>45329</v>
      </c>
      <c r="C9" s="6">
        <v>35</v>
      </c>
      <c r="D9" s="10">
        <v>36.200000000000003</v>
      </c>
      <c r="E9" s="10">
        <v>36.200000000000003</v>
      </c>
      <c r="F9" s="9">
        <f>IF(Tablo14567891011[[#This Row],[SATIŞ]]=0,"Açık",(E9-D9)*C9)</f>
        <v>0</v>
      </c>
      <c r="G9" s="11">
        <f>Tablo14567891011[[#This Row],[ADET]]*Tablo14567891011[[#This Row],[ALIŞ]]</f>
        <v>1267</v>
      </c>
      <c r="H9" s="11">
        <f>Tablo14567891011[[#This Row],[ADET]]*Tablo14567891011[[#This Row],[SATIŞ]]</f>
        <v>1267</v>
      </c>
    </row>
    <row r="10" spans="2:18" ht="21" hidden="1" customHeight="1" x14ac:dyDescent="0.3">
      <c r="B10" s="2">
        <v>45329</v>
      </c>
      <c r="C10" s="6">
        <v>20</v>
      </c>
      <c r="D10" s="10">
        <v>36</v>
      </c>
      <c r="E10" s="10">
        <v>37</v>
      </c>
      <c r="F10" s="9">
        <f>IF(Tablo14567891011[[#This Row],[SATIŞ]]=0,"Açık",(E10-D10)*C10)</f>
        <v>20</v>
      </c>
      <c r="G10" s="11">
        <f>Tablo14567891011[[#This Row],[ADET]]*Tablo14567891011[[#This Row],[ALIŞ]]</f>
        <v>720</v>
      </c>
      <c r="H10" s="11">
        <f>Tablo14567891011[[#This Row],[ADET]]*Tablo14567891011[[#This Row],[SATIŞ]]</f>
        <v>740</v>
      </c>
    </row>
    <row r="11" spans="2:18" ht="21" hidden="1" customHeight="1" x14ac:dyDescent="0.3">
      <c r="B11" s="2">
        <v>45329</v>
      </c>
      <c r="C11" s="6">
        <v>30</v>
      </c>
      <c r="D11" s="10">
        <v>36</v>
      </c>
      <c r="E11" s="10">
        <v>36</v>
      </c>
      <c r="F11" s="9">
        <f>IF(Tablo14567891011[[#This Row],[SATIŞ]]=0,"Açık",(E11-D11)*C11)</f>
        <v>0</v>
      </c>
      <c r="G11" s="11">
        <f>Tablo14567891011[[#This Row],[ADET]]*Tablo14567891011[[#This Row],[ALIŞ]]</f>
        <v>1080</v>
      </c>
      <c r="H11" s="11">
        <f>Tablo14567891011[[#This Row],[ADET]]*Tablo14567891011[[#This Row],[SATIŞ]]</f>
        <v>1080</v>
      </c>
    </row>
    <row r="12" spans="2:18" ht="21" customHeight="1" x14ac:dyDescent="0.3">
      <c r="B12" s="2">
        <v>45329</v>
      </c>
      <c r="C12" s="6">
        <v>50</v>
      </c>
      <c r="D12" s="10">
        <v>36.5</v>
      </c>
      <c r="E12" s="10"/>
      <c r="F12" s="9" t="str">
        <f>IF(Tablo14567891011[[#This Row],[SATIŞ]]=0,"Açık",(E12-D12)*C12)</f>
        <v>Açık</v>
      </c>
      <c r="G12" s="11">
        <f>Tablo14567891011[[#This Row],[ADET]]*Tablo14567891011[[#This Row],[ALIŞ]]</f>
        <v>1825</v>
      </c>
      <c r="H12" s="11">
        <f>Tablo14567891011[[#This Row],[ADET]]*Tablo14567891011[[#This Row],[SATIŞ]]</f>
        <v>0</v>
      </c>
      <c r="J12" s="40">
        <f t="shared" ref="J12:J75" si="0">IF(E12=0,D12*1.05,"")</f>
        <v>38.325000000000003</v>
      </c>
    </row>
    <row r="13" spans="2:18" ht="21" customHeight="1" x14ac:dyDescent="0.3">
      <c r="B13" s="2">
        <v>45329</v>
      </c>
      <c r="C13" s="6">
        <v>50</v>
      </c>
      <c r="D13" s="10">
        <v>36.44</v>
      </c>
      <c r="E13" s="10"/>
      <c r="F13" s="9" t="str">
        <f>IF(Tablo14567891011[[#This Row],[SATIŞ]]=0,"Açık",(E13-D13)*C13)</f>
        <v>Açık</v>
      </c>
      <c r="G13" s="11">
        <f>Tablo14567891011[[#This Row],[ADET]]*Tablo14567891011[[#This Row],[ALIŞ]]</f>
        <v>1822</v>
      </c>
      <c r="H13" s="11">
        <f>Tablo14567891011[[#This Row],[ADET]]*Tablo14567891011[[#This Row],[SATIŞ]]</f>
        <v>0</v>
      </c>
      <c r="J13" s="40">
        <f t="shared" si="0"/>
        <v>38.262</v>
      </c>
    </row>
    <row r="14" spans="2:18" ht="21" customHeight="1" x14ac:dyDescent="0.3">
      <c r="B14" s="2">
        <v>45329</v>
      </c>
      <c r="C14" s="6">
        <v>150</v>
      </c>
      <c r="D14" s="10">
        <v>36.46</v>
      </c>
      <c r="E14" s="10"/>
      <c r="F14" s="9" t="str">
        <f>IF(Tablo14567891011[[#This Row],[SATIŞ]]=0,"Açık",(E14-D14)*C14)</f>
        <v>Açık</v>
      </c>
      <c r="G14" s="11">
        <f>Tablo14567891011[[#This Row],[ADET]]*Tablo14567891011[[#This Row],[ALIŞ]]</f>
        <v>5469</v>
      </c>
      <c r="H14" s="11">
        <f>Tablo14567891011[[#This Row],[ADET]]*Tablo14567891011[[#This Row],[SATIŞ]]</f>
        <v>0</v>
      </c>
      <c r="J14" s="40">
        <f t="shared" si="0"/>
        <v>38.283000000000001</v>
      </c>
    </row>
    <row r="15" spans="2:18" ht="21" customHeight="1" x14ac:dyDescent="0.3">
      <c r="B15" s="2">
        <v>45330</v>
      </c>
      <c r="C15" s="6">
        <v>50</v>
      </c>
      <c r="D15" s="10">
        <v>36.5</v>
      </c>
      <c r="E15" s="10"/>
      <c r="F15" s="9" t="str">
        <f>IF(Tablo14567891011[[#This Row],[SATIŞ]]=0,"Açık",(E15-D15)*C15)</f>
        <v>Açık</v>
      </c>
      <c r="G15" s="11">
        <f>Tablo14567891011[[#This Row],[ADET]]*Tablo14567891011[[#This Row],[ALIŞ]]</f>
        <v>1825</v>
      </c>
      <c r="H15" s="11">
        <f>Tablo14567891011[[#This Row],[ADET]]*Tablo14567891011[[#This Row],[SATIŞ]]</f>
        <v>0</v>
      </c>
      <c r="J15" s="40">
        <f t="shared" si="0"/>
        <v>38.325000000000003</v>
      </c>
    </row>
    <row r="16" spans="2:18" ht="21" customHeight="1" x14ac:dyDescent="0.3">
      <c r="B16" s="2">
        <v>45330</v>
      </c>
      <c r="C16" s="6">
        <v>50</v>
      </c>
      <c r="D16" s="10">
        <v>36</v>
      </c>
      <c r="E16" s="10"/>
      <c r="F16" s="9" t="str">
        <f>IF(Tablo14567891011[[#This Row],[SATIŞ]]=0,"Açık",(E16-D16)*C16)</f>
        <v>Açık</v>
      </c>
      <c r="G16" s="11">
        <f>Tablo14567891011[[#This Row],[ADET]]*Tablo14567891011[[#This Row],[ALIŞ]]</f>
        <v>1800</v>
      </c>
      <c r="H16" s="11">
        <f>Tablo14567891011[[#This Row],[ADET]]*Tablo14567891011[[#This Row],[SATIŞ]]</f>
        <v>0</v>
      </c>
      <c r="J16" s="40">
        <f t="shared" si="0"/>
        <v>37.800000000000004</v>
      </c>
    </row>
    <row r="17" spans="2:10" ht="21" hidden="1" customHeight="1" x14ac:dyDescent="0.3">
      <c r="B17" s="2">
        <v>45330</v>
      </c>
      <c r="C17" s="6">
        <v>100</v>
      </c>
      <c r="D17" s="10">
        <v>35.6</v>
      </c>
      <c r="E17" s="10">
        <v>36</v>
      </c>
      <c r="F17" s="9">
        <f>IF(Tablo14567891011[[#This Row],[SATIŞ]]=0,"Açık",(E17-D17)*C17)</f>
        <v>39.999999999999858</v>
      </c>
      <c r="G17" s="11">
        <f>Tablo14567891011[[#This Row],[ADET]]*Tablo14567891011[[#This Row],[ALIŞ]]</f>
        <v>3560</v>
      </c>
      <c r="H17" s="11">
        <f>Tablo14567891011[[#This Row],[ADET]]*Tablo14567891011[[#This Row],[SATIŞ]]</f>
        <v>3600</v>
      </c>
      <c r="J17" s="40" t="str">
        <f t="shared" si="0"/>
        <v/>
      </c>
    </row>
    <row r="18" spans="2:10" ht="21" hidden="1" customHeight="1" x14ac:dyDescent="0.3">
      <c r="B18" s="2">
        <v>45330</v>
      </c>
      <c r="C18" s="6">
        <v>50</v>
      </c>
      <c r="D18" s="10">
        <v>34.78</v>
      </c>
      <c r="E18" s="10">
        <v>35.799999999999997</v>
      </c>
      <c r="F18" s="9">
        <f>IF(Tablo14567891011[[#This Row],[SATIŞ]]=0,"Açık",(E18-D18)*C18)</f>
        <v>50.999999999999801</v>
      </c>
      <c r="G18" s="11">
        <f>Tablo14567891011[[#This Row],[ADET]]*Tablo14567891011[[#This Row],[ALIŞ]]</f>
        <v>1739</v>
      </c>
      <c r="H18" s="11">
        <f>Tablo14567891011[[#This Row],[ADET]]*Tablo14567891011[[#This Row],[SATIŞ]]</f>
        <v>1789.9999999999998</v>
      </c>
      <c r="J18" s="40" t="str">
        <f t="shared" si="0"/>
        <v/>
      </c>
    </row>
    <row r="19" spans="2:10" ht="21" hidden="1" customHeight="1" x14ac:dyDescent="0.3">
      <c r="B19" s="2">
        <v>45330</v>
      </c>
      <c r="C19" s="6">
        <v>20</v>
      </c>
      <c r="D19" s="10">
        <v>34.78</v>
      </c>
      <c r="E19" s="10">
        <v>35.9</v>
      </c>
      <c r="F19" s="9">
        <f>IF(Tablo14567891011[[#This Row],[SATIŞ]]=0,"Açık",(E19-D19)*C19)</f>
        <v>22.399999999999949</v>
      </c>
      <c r="G19" s="11">
        <f>Tablo14567891011[[#This Row],[ADET]]*Tablo14567891011[[#This Row],[ALIŞ]]</f>
        <v>695.6</v>
      </c>
      <c r="H19" s="11">
        <f>Tablo14567891011[[#This Row],[ADET]]*Tablo14567891011[[#This Row],[SATIŞ]]</f>
        <v>718</v>
      </c>
      <c r="J19" s="40" t="str">
        <f t="shared" si="0"/>
        <v/>
      </c>
    </row>
    <row r="20" spans="2:10" ht="21" customHeight="1" x14ac:dyDescent="0.3">
      <c r="B20" s="2">
        <v>45330</v>
      </c>
      <c r="C20" s="6">
        <v>150</v>
      </c>
      <c r="D20" s="10">
        <v>35.4</v>
      </c>
      <c r="E20" s="10"/>
      <c r="F20" s="9" t="str">
        <f>IF(Tablo14567891011[[#This Row],[SATIŞ]]=0,"Açık",(E20-D20)*C20)</f>
        <v>Açık</v>
      </c>
      <c r="G20" s="11">
        <f>Tablo14567891011[[#This Row],[ADET]]*Tablo14567891011[[#This Row],[ALIŞ]]</f>
        <v>5310</v>
      </c>
      <c r="H20" s="11">
        <f>Tablo14567891011[[#This Row],[ADET]]*Tablo14567891011[[#This Row],[SATIŞ]]</f>
        <v>0</v>
      </c>
      <c r="J20" s="40">
        <f t="shared" si="0"/>
        <v>37.17</v>
      </c>
    </row>
    <row r="21" spans="2:10" ht="21" customHeight="1" x14ac:dyDescent="0.3">
      <c r="B21" s="2">
        <v>45330</v>
      </c>
      <c r="C21" s="6">
        <v>50</v>
      </c>
      <c r="D21" s="10">
        <v>35.5</v>
      </c>
      <c r="E21" s="10"/>
      <c r="F21" s="9" t="str">
        <f>IF(Tablo14567891011[[#This Row],[SATIŞ]]=0,"Açık",(E21-D21)*C21)</f>
        <v>Açık</v>
      </c>
      <c r="G21" s="11">
        <f>Tablo14567891011[[#This Row],[ADET]]*Tablo14567891011[[#This Row],[ALIŞ]]</f>
        <v>1775</v>
      </c>
      <c r="H21" s="11">
        <f>Tablo14567891011[[#This Row],[ADET]]*Tablo14567891011[[#This Row],[SATIŞ]]</f>
        <v>0</v>
      </c>
      <c r="J21" s="40">
        <f t="shared" si="0"/>
        <v>37.274999999999999</v>
      </c>
    </row>
    <row r="22" spans="2:10" ht="21" customHeight="1" x14ac:dyDescent="0.3">
      <c r="B22" s="2">
        <v>45330</v>
      </c>
      <c r="C22" s="6">
        <v>20</v>
      </c>
      <c r="D22" s="10">
        <v>35.200000000000003</v>
      </c>
      <c r="E22" s="10"/>
      <c r="F22" s="9" t="str">
        <f>IF(Tablo14567891011[[#This Row],[SATIŞ]]=0,"Açık",(E22-D22)*C22)</f>
        <v>Açık</v>
      </c>
      <c r="G22" s="11">
        <f>Tablo14567891011[[#This Row],[ADET]]*Tablo14567891011[[#This Row],[ALIŞ]]</f>
        <v>704</v>
      </c>
      <c r="H22" s="11">
        <f>Tablo14567891011[[#This Row],[ADET]]*Tablo14567891011[[#This Row],[SATIŞ]]</f>
        <v>0</v>
      </c>
      <c r="J22" s="40">
        <f t="shared" si="0"/>
        <v>36.960000000000008</v>
      </c>
    </row>
    <row r="23" spans="2:10" ht="21" hidden="1" customHeight="1" x14ac:dyDescent="0.3">
      <c r="B23" s="2">
        <v>45330</v>
      </c>
      <c r="C23" s="6">
        <v>20</v>
      </c>
      <c r="D23" s="10">
        <v>35.200000000000003</v>
      </c>
      <c r="E23" s="10">
        <v>35.9</v>
      </c>
      <c r="F23" s="9">
        <f>IF(Tablo14567891011[[#This Row],[SATIŞ]]=0,"Açık",(E23-D23)*C23)</f>
        <v>13.999999999999915</v>
      </c>
      <c r="G23" s="11">
        <f>Tablo14567891011[[#This Row],[ADET]]*Tablo14567891011[[#This Row],[ALIŞ]]</f>
        <v>704</v>
      </c>
      <c r="H23" s="11">
        <f>Tablo14567891011[[#This Row],[ADET]]*Tablo14567891011[[#This Row],[SATIŞ]]</f>
        <v>718</v>
      </c>
      <c r="J23" s="40" t="str">
        <f t="shared" si="0"/>
        <v/>
      </c>
    </row>
    <row r="24" spans="2:10" ht="21" hidden="1" customHeight="1" x14ac:dyDescent="0.3">
      <c r="B24" s="2">
        <v>45330</v>
      </c>
      <c r="C24" s="6">
        <v>10</v>
      </c>
      <c r="D24" s="10">
        <v>35.200000000000003</v>
      </c>
      <c r="E24" s="10">
        <v>35.799999999999997</v>
      </c>
      <c r="F24" s="9">
        <f>IF(Tablo14567891011[[#This Row],[SATIŞ]]=0,"Açık",(E24-D24)*C24)</f>
        <v>5.9999999999999432</v>
      </c>
      <c r="G24" s="11">
        <f>Tablo14567891011[[#This Row],[ADET]]*Tablo14567891011[[#This Row],[ALIŞ]]</f>
        <v>352</v>
      </c>
      <c r="H24" s="11">
        <f>Tablo14567891011[[#This Row],[ADET]]*Tablo14567891011[[#This Row],[SATIŞ]]</f>
        <v>358</v>
      </c>
      <c r="J24" s="40" t="str">
        <f t="shared" si="0"/>
        <v/>
      </c>
    </row>
    <row r="25" spans="2:10" ht="21" customHeight="1" x14ac:dyDescent="0.3">
      <c r="B25" s="2">
        <v>45331</v>
      </c>
      <c r="C25" s="6">
        <v>40</v>
      </c>
      <c r="D25" s="10">
        <v>35.200000000000003</v>
      </c>
      <c r="E25" s="10"/>
      <c r="F25" s="9" t="str">
        <f>IF(Tablo14567891011[[#This Row],[SATIŞ]]=0,"Açık",(E25-D25)*C25)</f>
        <v>Açık</v>
      </c>
      <c r="G25" s="11">
        <f>Tablo14567891011[[#This Row],[ADET]]*Tablo14567891011[[#This Row],[ALIŞ]]</f>
        <v>1408</v>
      </c>
      <c r="H25" s="11">
        <f>Tablo14567891011[[#This Row],[ADET]]*Tablo14567891011[[#This Row],[SATIŞ]]</f>
        <v>0</v>
      </c>
      <c r="J25" s="40">
        <f t="shared" si="0"/>
        <v>36.960000000000008</v>
      </c>
    </row>
    <row r="26" spans="2:10" ht="21" hidden="1" customHeight="1" x14ac:dyDescent="0.3">
      <c r="B26" s="2">
        <v>45331</v>
      </c>
      <c r="C26" s="6">
        <v>50</v>
      </c>
      <c r="D26" s="10">
        <v>34.799999999999997</v>
      </c>
      <c r="E26" s="10">
        <v>35.700000000000003</v>
      </c>
      <c r="F26" s="9">
        <f>IF(Tablo14567891011[[#This Row],[SATIŞ]]=0,"Açık",(E26-D26)*C26)</f>
        <v>45.000000000000284</v>
      </c>
      <c r="G26" s="11">
        <f>Tablo14567891011[[#This Row],[ADET]]*Tablo14567891011[[#This Row],[ALIŞ]]</f>
        <v>1739.9999999999998</v>
      </c>
      <c r="H26" s="11">
        <f>Tablo14567891011[[#This Row],[ADET]]*Tablo14567891011[[#This Row],[SATIŞ]]</f>
        <v>1785.0000000000002</v>
      </c>
      <c r="J26" s="40" t="str">
        <f t="shared" si="0"/>
        <v/>
      </c>
    </row>
    <row r="27" spans="2:10" ht="21" hidden="1" customHeight="1" x14ac:dyDescent="0.3">
      <c r="B27" s="2">
        <v>45331</v>
      </c>
      <c r="C27" s="6">
        <v>30</v>
      </c>
      <c r="D27" s="10">
        <v>34.5</v>
      </c>
      <c r="E27" s="10">
        <v>35.5</v>
      </c>
      <c r="F27" s="9">
        <f>IF(Tablo14567891011[[#This Row],[SATIŞ]]=0,"Açık",(E27-D27)*C27)</f>
        <v>30</v>
      </c>
      <c r="G27" s="11">
        <f>Tablo14567891011[[#This Row],[ADET]]*Tablo14567891011[[#This Row],[ALIŞ]]</f>
        <v>1035</v>
      </c>
      <c r="H27" s="11">
        <f>Tablo14567891011[[#This Row],[ADET]]*Tablo14567891011[[#This Row],[SATIŞ]]</f>
        <v>1065</v>
      </c>
      <c r="J27" s="40" t="str">
        <f t="shared" si="0"/>
        <v/>
      </c>
    </row>
    <row r="28" spans="2:10" ht="21" hidden="1" customHeight="1" x14ac:dyDescent="0.3">
      <c r="B28" s="2">
        <v>45331</v>
      </c>
      <c r="C28" s="6">
        <v>25</v>
      </c>
      <c r="D28" s="10">
        <v>34.5</v>
      </c>
      <c r="E28" s="10">
        <v>35</v>
      </c>
      <c r="F28" s="9">
        <f>IF(Tablo14567891011[[#This Row],[SATIŞ]]=0,"Açık",(E28-D28)*C28)</f>
        <v>12.5</v>
      </c>
      <c r="G28" s="11">
        <f>Tablo14567891011[[#This Row],[ADET]]*Tablo14567891011[[#This Row],[ALIŞ]]</f>
        <v>862.5</v>
      </c>
      <c r="H28" s="11">
        <f>Tablo14567891011[[#This Row],[ADET]]*Tablo14567891011[[#This Row],[SATIŞ]]</f>
        <v>875</v>
      </c>
      <c r="J28" s="40" t="str">
        <f t="shared" si="0"/>
        <v/>
      </c>
    </row>
    <row r="29" spans="2:10" ht="21" hidden="1" customHeight="1" x14ac:dyDescent="0.3">
      <c r="B29" s="2">
        <v>45331</v>
      </c>
      <c r="C29" s="6">
        <v>25</v>
      </c>
      <c r="D29" s="10">
        <v>34.5</v>
      </c>
      <c r="E29" s="10">
        <v>35.1</v>
      </c>
      <c r="F29" s="9">
        <f>IF(Tablo14567891011[[#This Row],[SATIŞ]]=0,"Açık",(E29-D29)*C29)</f>
        <v>15.000000000000036</v>
      </c>
      <c r="G29" s="11">
        <f>Tablo14567891011[[#This Row],[ADET]]*Tablo14567891011[[#This Row],[ALIŞ]]</f>
        <v>862.5</v>
      </c>
      <c r="H29" s="11">
        <f>Tablo14567891011[[#This Row],[ADET]]*Tablo14567891011[[#This Row],[SATIŞ]]</f>
        <v>877.5</v>
      </c>
      <c r="J29" s="40" t="str">
        <f t="shared" si="0"/>
        <v/>
      </c>
    </row>
    <row r="30" spans="2:10" ht="21" hidden="1" customHeight="1" x14ac:dyDescent="0.3">
      <c r="B30" s="2">
        <v>45331</v>
      </c>
      <c r="C30" s="6">
        <v>25</v>
      </c>
      <c r="D30" s="10">
        <v>34.700000000000003</v>
      </c>
      <c r="E30" s="10">
        <v>35</v>
      </c>
      <c r="F30" s="9">
        <f>IF(Tablo14567891011[[#This Row],[SATIŞ]]=0,"Açık",(E30-D30)*C30)</f>
        <v>7.4999999999999289</v>
      </c>
      <c r="G30" s="11">
        <f>Tablo14567891011[[#This Row],[ADET]]*Tablo14567891011[[#This Row],[ALIŞ]]</f>
        <v>867.50000000000011</v>
      </c>
      <c r="H30" s="11">
        <f>Tablo14567891011[[#This Row],[ADET]]*Tablo14567891011[[#This Row],[SATIŞ]]</f>
        <v>875</v>
      </c>
      <c r="J30" s="40" t="str">
        <f t="shared" si="0"/>
        <v/>
      </c>
    </row>
    <row r="31" spans="2:10" ht="21" hidden="1" customHeight="1" x14ac:dyDescent="0.3">
      <c r="B31" s="2">
        <v>45331</v>
      </c>
      <c r="C31" s="6">
        <v>25</v>
      </c>
      <c r="D31" s="10">
        <v>34.700000000000003</v>
      </c>
      <c r="E31" s="10">
        <v>35.700000000000003</v>
      </c>
      <c r="F31" s="9">
        <f>IF(Tablo14567891011[[#This Row],[SATIŞ]]=0,"Açık",(E31-D31)*C31)</f>
        <v>25</v>
      </c>
      <c r="G31" s="11">
        <f>Tablo14567891011[[#This Row],[ADET]]*Tablo14567891011[[#This Row],[ALIŞ]]</f>
        <v>867.50000000000011</v>
      </c>
      <c r="H31" s="11">
        <f>Tablo14567891011[[#This Row],[ADET]]*Tablo14567891011[[#This Row],[SATIŞ]]</f>
        <v>892.50000000000011</v>
      </c>
      <c r="J31" s="40" t="str">
        <f t="shared" si="0"/>
        <v/>
      </c>
    </row>
    <row r="32" spans="2:10" ht="21" customHeight="1" x14ac:dyDescent="0.3">
      <c r="B32" s="2">
        <v>45334</v>
      </c>
      <c r="C32" s="6">
        <v>60</v>
      </c>
      <c r="D32" s="10">
        <v>35.5</v>
      </c>
      <c r="E32" s="10"/>
      <c r="F32" s="9" t="str">
        <f>IF(Tablo14567891011[[#This Row],[SATIŞ]]=0,"Açık",(E32-D32)*C32)</f>
        <v>Açık</v>
      </c>
      <c r="G32" s="11">
        <f>Tablo14567891011[[#This Row],[ADET]]*Tablo14567891011[[#This Row],[ALIŞ]]</f>
        <v>2130</v>
      </c>
      <c r="H32" s="11">
        <f>Tablo14567891011[[#This Row],[ADET]]*Tablo14567891011[[#This Row],[SATIŞ]]</f>
        <v>0</v>
      </c>
      <c r="J32" s="40">
        <f t="shared" si="0"/>
        <v>37.274999999999999</v>
      </c>
    </row>
    <row r="33" spans="2:10" ht="21" hidden="1" customHeight="1" x14ac:dyDescent="0.3">
      <c r="B33" s="2">
        <v>45335</v>
      </c>
      <c r="C33" s="6">
        <v>50</v>
      </c>
      <c r="D33" s="10">
        <v>34.5</v>
      </c>
      <c r="E33" s="10">
        <v>36.6</v>
      </c>
      <c r="F33" s="9">
        <f>IF(Tablo14567891011[[#This Row],[SATIŞ]]=0,"Açık",(E33-D33)*C33)</f>
        <v>105.00000000000007</v>
      </c>
      <c r="G33" s="11">
        <f>Tablo14567891011[[#This Row],[ADET]]*Tablo14567891011[[#This Row],[ALIŞ]]</f>
        <v>1725</v>
      </c>
      <c r="H33" s="11">
        <f>Tablo14567891011[[#This Row],[ADET]]*Tablo14567891011[[#This Row],[SATIŞ]]</f>
        <v>1830</v>
      </c>
      <c r="J33" s="40" t="str">
        <f t="shared" si="0"/>
        <v/>
      </c>
    </row>
    <row r="34" spans="2:10" ht="21" hidden="1" customHeight="1" x14ac:dyDescent="0.3">
      <c r="B34" s="2">
        <v>45335</v>
      </c>
      <c r="C34" s="6">
        <v>70</v>
      </c>
      <c r="D34" s="10">
        <v>34</v>
      </c>
      <c r="E34" s="10">
        <v>36.6</v>
      </c>
      <c r="F34" s="9">
        <f>IF(Tablo14567891011[[#This Row],[SATIŞ]]=0,"Açık",(E34-D34)*C34)</f>
        <v>182.00000000000011</v>
      </c>
      <c r="G34" s="11">
        <f>Tablo14567891011[[#This Row],[ADET]]*Tablo14567891011[[#This Row],[ALIŞ]]</f>
        <v>2380</v>
      </c>
      <c r="H34" s="11">
        <f>Tablo14567891011[[#This Row],[ADET]]*Tablo14567891011[[#This Row],[SATIŞ]]</f>
        <v>2562</v>
      </c>
      <c r="J34" s="40" t="str">
        <f t="shared" si="0"/>
        <v/>
      </c>
    </row>
    <row r="35" spans="2:10" ht="21" customHeight="1" x14ac:dyDescent="0.3">
      <c r="B35" s="2">
        <v>45335</v>
      </c>
      <c r="C35" s="6">
        <v>30</v>
      </c>
      <c r="D35" s="10">
        <v>34</v>
      </c>
      <c r="E35" s="10"/>
      <c r="F35" s="9" t="str">
        <f>IF(Tablo14567891011[[#This Row],[SATIŞ]]=0,"Açık",(E35-D35)*C35)</f>
        <v>Açık</v>
      </c>
      <c r="G35" s="11">
        <f>Tablo14567891011[[#This Row],[ADET]]*Tablo14567891011[[#This Row],[ALIŞ]]</f>
        <v>1020</v>
      </c>
      <c r="H35" s="11">
        <f>Tablo14567891011[[#This Row],[ADET]]*Tablo14567891011[[#This Row],[SATIŞ]]</f>
        <v>0</v>
      </c>
      <c r="J35" s="40">
        <f t="shared" si="0"/>
        <v>35.700000000000003</v>
      </c>
    </row>
    <row r="36" spans="2:10" ht="21" hidden="1" customHeight="1" x14ac:dyDescent="0.3">
      <c r="B36" s="2">
        <v>45335</v>
      </c>
      <c r="C36" s="6">
        <v>50</v>
      </c>
      <c r="D36" s="10">
        <v>34</v>
      </c>
      <c r="E36" s="10">
        <v>36.4</v>
      </c>
      <c r="F36" s="9">
        <f>IF(Tablo14567891011[[#This Row],[SATIŞ]]=0,"Açık",(E36-D36)*C36)</f>
        <v>119.99999999999993</v>
      </c>
      <c r="G36" s="11">
        <f>Tablo14567891011[[#This Row],[ADET]]*Tablo14567891011[[#This Row],[ALIŞ]]</f>
        <v>1700</v>
      </c>
      <c r="H36" s="11">
        <f>Tablo14567891011[[#This Row],[ADET]]*Tablo14567891011[[#This Row],[SATIŞ]]</f>
        <v>1820</v>
      </c>
      <c r="J36" s="40" t="str">
        <f t="shared" si="0"/>
        <v/>
      </c>
    </row>
    <row r="37" spans="2:10" ht="21" hidden="1" customHeight="1" x14ac:dyDescent="0.3">
      <c r="B37" s="2">
        <v>45335</v>
      </c>
      <c r="C37" s="6">
        <v>50</v>
      </c>
      <c r="D37" s="10">
        <v>33</v>
      </c>
      <c r="E37" s="10">
        <v>34.299999999999997</v>
      </c>
      <c r="F37" s="9">
        <f>IF(Tablo14567891011[[#This Row],[SATIŞ]]=0,"Açık",(E37-D37)*C37)</f>
        <v>64.999999999999858</v>
      </c>
      <c r="G37" s="11">
        <f>Tablo14567891011[[#This Row],[ADET]]*Tablo14567891011[[#This Row],[ALIŞ]]</f>
        <v>1650</v>
      </c>
      <c r="H37" s="11">
        <f>Tablo14567891011[[#This Row],[ADET]]*Tablo14567891011[[#This Row],[SATIŞ]]</f>
        <v>1714.9999999999998</v>
      </c>
      <c r="J37" s="40" t="str">
        <f t="shared" si="0"/>
        <v/>
      </c>
    </row>
    <row r="38" spans="2:10" ht="21" hidden="1" customHeight="1" x14ac:dyDescent="0.3">
      <c r="B38" s="2">
        <v>45335</v>
      </c>
      <c r="C38" s="6">
        <v>50</v>
      </c>
      <c r="D38" s="10">
        <v>33</v>
      </c>
      <c r="E38" s="10">
        <v>33.5</v>
      </c>
      <c r="F38" s="9">
        <f>IF(Tablo14567891011[[#This Row],[SATIŞ]]=0,"Açık",(E38-D38)*C38)</f>
        <v>25</v>
      </c>
      <c r="G38" s="11">
        <f>Tablo14567891011[[#This Row],[ADET]]*Tablo14567891011[[#This Row],[ALIŞ]]</f>
        <v>1650</v>
      </c>
      <c r="H38" s="11">
        <f>Tablo14567891011[[#This Row],[ADET]]*Tablo14567891011[[#This Row],[SATIŞ]]</f>
        <v>1675</v>
      </c>
      <c r="J38" s="40" t="str">
        <f t="shared" si="0"/>
        <v/>
      </c>
    </row>
    <row r="39" spans="2:10" ht="21" hidden="1" customHeight="1" x14ac:dyDescent="0.3">
      <c r="B39" s="2">
        <v>45335</v>
      </c>
      <c r="C39" s="6">
        <v>50</v>
      </c>
      <c r="D39" s="10">
        <v>33</v>
      </c>
      <c r="E39" s="10">
        <v>33.700000000000003</v>
      </c>
      <c r="F39" s="9">
        <f>IF(Tablo14567891011[[#This Row],[SATIŞ]]=0,"Açık",(E39-D39)*C39)</f>
        <v>35.000000000000142</v>
      </c>
      <c r="G39" s="11">
        <f>Tablo14567891011[[#This Row],[ADET]]*Tablo14567891011[[#This Row],[ALIŞ]]</f>
        <v>1650</v>
      </c>
      <c r="H39" s="11">
        <f>Tablo14567891011[[#This Row],[ADET]]*Tablo14567891011[[#This Row],[SATIŞ]]</f>
        <v>1685.0000000000002</v>
      </c>
      <c r="J39" s="40" t="str">
        <f t="shared" si="0"/>
        <v/>
      </c>
    </row>
    <row r="40" spans="2:10" ht="21" hidden="1" customHeight="1" x14ac:dyDescent="0.3">
      <c r="B40" s="2">
        <v>45335</v>
      </c>
      <c r="C40" s="6">
        <v>30</v>
      </c>
      <c r="D40" s="10">
        <v>33</v>
      </c>
      <c r="E40" s="10">
        <v>33.299999999999997</v>
      </c>
      <c r="F40" s="9">
        <f>IF(Tablo14567891011[[#This Row],[SATIŞ]]=0,"Açık",(E40-D40)*C40)</f>
        <v>8.9999999999999147</v>
      </c>
      <c r="G40" s="11">
        <f>Tablo14567891011[[#This Row],[ADET]]*Tablo14567891011[[#This Row],[ALIŞ]]</f>
        <v>990</v>
      </c>
      <c r="H40" s="11">
        <f>Tablo14567891011[[#This Row],[ADET]]*Tablo14567891011[[#This Row],[SATIŞ]]</f>
        <v>998.99999999999989</v>
      </c>
      <c r="J40" s="40" t="str">
        <f t="shared" si="0"/>
        <v/>
      </c>
    </row>
    <row r="41" spans="2:10" ht="21" hidden="1" customHeight="1" x14ac:dyDescent="0.3">
      <c r="B41" s="2">
        <v>45336</v>
      </c>
      <c r="C41" s="6">
        <v>20</v>
      </c>
      <c r="D41" s="10">
        <v>32.5</v>
      </c>
      <c r="E41" s="10">
        <v>33.299999999999997</v>
      </c>
      <c r="F41" s="9">
        <f>IF(Tablo14567891011[[#This Row],[SATIŞ]]=0,"Açık",(E41-D41)*C41)</f>
        <v>15.999999999999943</v>
      </c>
      <c r="G41" s="11">
        <f>Tablo14567891011[[#This Row],[ADET]]*Tablo14567891011[[#This Row],[ALIŞ]]</f>
        <v>650</v>
      </c>
      <c r="H41" s="11">
        <f>Tablo14567891011[[#This Row],[ADET]]*Tablo14567891011[[#This Row],[SATIŞ]]</f>
        <v>666</v>
      </c>
      <c r="J41" s="40" t="str">
        <f t="shared" si="0"/>
        <v/>
      </c>
    </row>
    <row r="42" spans="2:10" ht="21" hidden="1" customHeight="1" x14ac:dyDescent="0.3">
      <c r="B42" s="2">
        <v>45336</v>
      </c>
      <c r="C42" s="6">
        <v>120</v>
      </c>
      <c r="D42" s="10">
        <v>32</v>
      </c>
      <c r="E42" s="10">
        <v>32.6</v>
      </c>
      <c r="F42" s="9">
        <f>IF(Tablo14567891011[[#This Row],[SATIŞ]]=0,"Açık",(E42-D42)*C42)</f>
        <v>72.000000000000171</v>
      </c>
      <c r="G42" s="11">
        <f>Tablo14567891011[[#This Row],[ADET]]*Tablo14567891011[[#This Row],[ALIŞ]]</f>
        <v>3840</v>
      </c>
      <c r="H42" s="11">
        <f>Tablo14567891011[[#This Row],[ADET]]*Tablo14567891011[[#This Row],[SATIŞ]]</f>
        <v>3912</v>
      </c>
      <c r="J42" s="40" t="str">
        <f t="shared" si="0"/>
        <v/>
      </c>
    </row>
    <row r="43" spans="2:10" ht="21" hidden="1" customHeight="1" x14ac:dyDescent="0.3">
      <c r="B43" s="2">
        <v>45336</v>
      </c>
      <c r="C43" s="6">
        <v>50</v>
      </c>
      <c r="D43" s="10">
        <v>32</v>
      </c>
      <c r="E43" s="10">
        <v>33</v>
      </c>
      <c r="F43" s="9">
        <f>IF(Tablo14567891011[[#This Row],[SATIŞ]]=0,"Açık",(E43-D43)*C43)</f>
        <v>50</v>
      </c>
      <c r="G43" s="11">
        <f>Tablo14567891011[[#This Row],[ADET]]*Tablo14567891011[[#This Row],[ALIŞ]]</f>
        <v>1600</v>
      </c>
      <c r="H43" s="11">
        <f>Tablo14567891011[[#This Row],[ADET]]*Tablo14567891011[[#This Row],[SATIŞ]]</f>
        <v>1650</v>
      </c>
      <c r="J43" s="40" t="str">
        <f t="shared" si="0"/>
        <v/>
      </c>
    </row>
    <row r="44" spans="2:10" ht="21" hidden="1" customHeight="1" x14ac:dyDescent="0.3">
      <c r="B44" s="2">
        <v>45336</v>
      </c>
      <c r="C44" s="6">
        <v>100</v>
      </c>
      <c r="D44" s="10">
        <v>32.5</v>
      </c>
      <c r="E44" s="10">
        <v>34</v>
      </c>
      <c r="F44" s="9">
        <f>IF(Tablo14567891011[[#This Row],[SATIŞ]]=0,"Açık",(E44-D44)*C44)</f>
        <v>150</v>
      </c>
      <c r="G44" s="11">
        <f>Tablo14567891011[[#This Row],[ADET]]*Tablo14567891011[[#This Row],[ALIŞ]]</f>
        <v>3250</v>
      </c>
      <c r="H44" s="11">
        <f>Tablo14567891011[[#This Row],[ADET]]*Tablo14567891011[[#This Row],[SATIŞ]]</f>
        <v>3400</v>
      </c>
      <c r="J44" s="40" t="str">
        <f t="shared" si="0"/>
        <v/>
      </c>
    </row>
    <row r="45" spans="2:10" ht="21" hidden="1" customHeight="1" x14ac:dyDescent="0.3">
      <c r="B45" s="2">
        <v>45336</v>
      </c>
      <c r="C45" s="6">
        <v>50</v>
      </c>
      <c r="D45" s="10">
        <v>32.5</v>
      </c>
      <c r="E45" s="10">
        <v>33</v>
      </c>
      <c r="F45" s="9">
        <f>IF(Tablo14567891011[[#This Row],[SATIŞ]]=0,"Açık",(E45-D45)*C45)</f>
        <v>25</v>
      </c>
      <c r="G45" s="11">
        <f>Tablo14567891011[[#This Row],[ADET]]*Tablo14567891011[[#This Row],[ALIŞ]]</f>
        <v>1625</v>
      </c>
      <c r="H45" s="11">
        <f>Tablo14567891011[[#This Row],[ADET]]*Tablo14567891011[[#This Row],[SATIŞ]]</f>
        <v>1650</v>
      </c>
      <c r="J45" s="40" t="str">
        <f t="shared" si="0"/>
        <v/>
      </c>
    </row>
    <row r="46" spans="2:10" ht="21" hidden="1" customHeight="1" x14ac:dyDescent="0.3">
      <c r="B46" s="2">
        <v>45337</v>
      </c>
      <c r="C46" s="6">
        <v>50</v>
      </c>
      <c r="D46" s="10">
        <v>33.5</v>
      </c>
      <c r="E46" s="10">
        <v>33.700000000000003</v>
      </c>
      <c r="F46" s="9">
        <f>IF(Tablo14567891011[[#This Row],[SATIŞ]]=0,"Açık",(E46-D46)*C46)</f>
        <v>10.000000000000142</v>
      </c>
      <c r="G46" s="11">
        <f>Tablo14567891011[[#This Row],[ADET]]*Tablo14567891011[[#This Row],[ALIŞ]]</f>
        <v>1675</v>
      </c>
      <c r="H46" s="11">
        <f>Tablo14567891011[[#This Row],[ADET]]*Tablo14567891011[[#This Row],[SATIŞ]]</f>
        <v>1685.0000000000002</v>
      </c>
      <c r="J46" s="40" t="str">
        <f t="shared" si="0"/>
        <v/>
      </c>
    </row>
    <row r="47" spans="2:10" ht="21" hidden="1" customHeight="1" x14ac:dyDescent="0.3">
      <c r="B47" s="2">
        <v>45337</v>
      </c>
      <c r="C47" s="6">
        <v>50</v>
      </c>
      <c r="D47" s="10">
        <v>33.5</v>
      </c>
      <c r="E47" s="10">
        <v>33.799999999999997</v>
      </c>
      <c r="F47" s="9">
        <f>IF(Tablo14567891011[[#This Row],[SATIŞ]]=0,"Açık",(E47-D47)*C47)</f>
        <v>14.999999999999858</v>
      </c>
      <c r="G47" s="11">
        <f>Tablo14567891011[[#This Row],[ADET]]*Tablo14567891011[[#This Row],[ALIŞ]]</f>
        <v>1675</v>
      </c>
      <c r="H47" s="11">
        <f>Tablo14567891011[[#This Row],[ADET]]*Tablo14567891011[[#This Row],[SATIŞ]]</f>
        <v>1689.9999999999998</v>
      </c>
      <c r="J47" s="40" t="str">
        <f t="shared" si="0"/>
        <v/>
      </c>
    </row>
    <row r="48" spans="2:10" ht="21" hidden="1" customHeight="1" x14ac:dyDescent="0.3">
      <c r="B48" s="2">
        <v>45337</v>
      </c>
      <c r="C48" s="6">
        <v>50</v>
      </c>
      <c r="D48" s="10">
        <v>33</v>
      </c>
      <c r="E48" s="10">
        <v>33.299999999999997</v>
      </c>
      <c r="F48" s="9">
        <f>IF(Tablo14567891011[[#This Row],[SATIŞ]]=0,"Açık",(E48-D48)*C48)</f>
        <v>14.999999999999858</v>
      </c>
      <c r="G48" s="11">
        <f>Tablo14567891011[[#This Row],[ADET]]*Tablo14567891011[[#This Row],[ALIŞ]]</f>
        <v>1650</v>
      </c>
      <c r="H48" s="11">
        <f>Tablo14567891011[[#This Row],[ADET]]*Tablo14567891011[[#This Row],[SATIŞ]]</f>
        <v>1664.9999999999998</v>
      </c>
      <c r="J48" s="40" t="str">
        <f t="shared" si="0"/>
        <v/>
      </c>
    </row>
    <row r="49" spans="2:10" ht="21" hidden="1" customHeight="1" x14ac:dyDescent="0.3">
      <c r="B49" s="2">
        <v>45337</v>
      </c>
      <c r="C49" s="6">
        <v>50</v>
      </c>
      <c r="D49" s="10">
        <v>33</v>
      </c>
      <c r="E49" s="10">
        <v>33.200000000000003</v>
      </c>
      <c r="F49" s="9">
        <f>IF(Tablo14567891011[[#This Row],[SATIŞ]]=0,"Açık",(E49-D49)*C49)</f>
        <v>10.000000000000142</v>
      </c>
      <c r="G49" s="11">
        <f>Tablo14567891011[[#This Row],[ADET]]*Tablo14567891011[[#This Row],[ALIŞ]]</f>
        <v>1650</v>
      </c>
      <c r="H49" s="11">
        <f>Tablo14567891011[[#This Row],[ADET]]*Tablo14567891011[[#This Row],[SATIŞ]]</f>
        <v>1660.0000000000002</v>
      </c>
      <c r="J49" s="40" t="str">
        <f t="shared" si="0"/>
        <v/>
      </c>
    </row>
    <row r="50" spans="2:10" ht="21" hidden="1" customHeight="1" x14ac:dyDescent="0.3">
      <c r="B50" s="2">
        <v>45337</v>
      </c>
      <c r="C50" s="6">
        <v>50</v>
      </c>
      <c r="D50" s="10">
        <v>33</v>
      </c>
      <c r="E50" s="10">
        <v>33.5</v>
      </c>
      <c r="F50" s="9">
        <f>IF(Tablo14567891011[[#This Row],[SATIŞ]]=0,"Açık",(E50-D50)*C50)</f>
        <v>25</v>
      </c>
      <c r="G50" s="11">
        <f>Tablo14567891011[[#This Row],[ADET]]*Tablo14567891011[[#This Row],[ALIŞ]]</f>
        <v>1650</v>
      </c>
      <c r="H50" s="11">
        <f>Tablo14567891011[[#This Row],[ADET]]*Tablo14567891011[[#This Row],[SATIŞ]]</f>
        <v>1675</v>
      </c>
      <c r="J50" s="40" t="str">
        <f t="shared" si="0"/>
        <v/>
      </c>
    </row>
    <row r="51" spans="2:10" ht="21" hidden="1" customHeight="1" x14ac:dyDescent="0.3">
      <c r="B51" s="2">
        <v>45337</v>
      </c>
      <c r="C51" s="6">
        <v>100</v>
      </c>
      <c r="D51" s="10">
        <v>33</v>
      </c>
      <c r="E51" s="10">
        <v>33.5</v>
      </c>
      <c r="F51" s="9">
        <f>IF(Tablo14567891011[[#This Row],[SATIŞ]]=0,"Açık",(E51-D51)*C51)</f>
        <v>50</v>
      </c>
      <c r="G51" s="11">
        <f>Tablo14567891011[[#This Row],[ADET]]*Tablo14567891011[[#This Row],[ALIŞ]]</f>
        <v>3300</v>
      </c>
      <c r="H51" s="11">
        <f>Tablo14567891011[[#This Row],[ADET]]*Tablo14567891011[[#This Row],[SATIŞ]]</f>
        <v>3350</v>
      </c>
      <c r="J51" s="40" t="str">
        <f t="shared" si="0"/>
        <v/>
      </c>
    </row>
    <row r="52" spans="2:10" ht="21" hidden="1" customHeight="1" x14ac:dyDescent="0.3">
      <c r="B52" s="2">
        <v>45338</v>
      </c>
      <c r="C52" s="6">
        <v>50</v>
      </c>
      <c r="D52" s="10">
        <v>32.200000000000003</v>
      </c>
      <c r="E52" s="10">
        <v>33</v>
      </c>
      <c r="F52" s="9">
        <f>IF(Tablo14567891011[[#This Row],[SATIŞ]]=0,"Açık",(E52-D52)*C52)</f>
        <v>39.999999999999858</v>
      </c>
      <c r="G52" s="11">
        <f>Tablo14567891011[[#This Row],[ADET]]*Tablo14567891011[[#This Row],[ALIŞ]]</f>
        <v>1610.0000000000002</v>
      </c>
      <c r="H52" s="11">
        <f>Tablo14567891011[[#This Row],[ADET]]*Tablo14567891011[[#This Row],[SATIŞ]]</f>
        <v>1650</v>
      </c>
      <c r="J52" s="40" t="str">
        <f t="shared" si="0"/>
        <v/>
      </c>
    </row>
    <row r="53" spans="2:10" ht="21" hidden="1" customHeight="1" x14ac:dyDescent="0.3">
      <c r="B53" s="2">
        <v>45338</v>
      </c>
      <c r="C53" s="6">
        <v>50</v>
      </c>
      <c r="D53" s="10">
        <v>32.200000000000003</v>
      </c>
      <c r="E53" s="10">
        <v>33.1</v>
      </c>
      <c r="F53" s="9">
        <f>IF(Tablo14567891011[[#This Row],[SATIŞ]]=0,"Açık",(E53-D53)*C53)</f>
        <v>44.999999999999929</v>
      </c>
      <c r="G53" s="11">
        <f>Tablo14567891011[[#This Row],[ADET]]*Tablo14567891011[[#This Row],[ALIŞ]]</f>
        <v>1610.0000000000002</v>
      </c>
      <c r="H53" s="11">
        <f>Tablo14567891011[[#This Row],[ADET]]*Tablo14567891011[[#This Row],[SATIŞ]]</f>
        <v>1655</v>
      </c>
      <c r="J53" s="40" t="str">
        <f t="shared" si="0"/>
        <v/>
      </c>
    </row>
    <row r="54" spans="2:10" ht="21" hidden="1" customHeight="1" x14ac:dyDescent="0.3">
      <c r="B54" s="2">
        <v>45341</v>
      </c>
      <c r="C54" s="6">
        <v>50</v>
      </c>
      <c r="D54" s="10">
        <v>33.4</v>
      </c>
      <c r="E54" s="10">
        <v>36.200000000000003</v>
      </c>
      <c r="F54" s="9">
        <f>IF(Tablo14567891011[[#This Row],[SATIŞ]]=0,"Açık",(E54-D54)*C54)</f>
        <v>140.00000000000023</v>
      </c>
      <c r="G54" s="11">
        <f>Tablo14567891011[[#This Row],[ADET]]*Tablo14567891011[[#This Row],[ALIŞ]]</f>
        <v>1670</v>
      </c>
      <c r="H54" s="11">
        <f>Tablo14567891011[[#This Row],[ADET]]*Tablo14567891011[[#This Row],[SATIŞ]]</f>
        <v>1810.0000000000002</v>
      </c>
      <c r="J54" s="40" t="str">
        <f t="shared" si="0"/>
        <v/>
      </c>
    </row>
    <row r="55" spans="2:10" ht="21" hidden="1" customHeight="1" x14ac:dyDescent="0.3">
      <c r="B55" s="2">
        <v>45341</v>
      </c>
      <c r="C55" s="6">
        <v>50</v>
      </c>
      <c r="D55" s="10">
        <v>33.5</v>
      </c>
      <c r="E55" s="10">
        <v>33.9</v>
      </c>
      <c r="F55" s="9">
        <f>IF(Tablo14567891011[[#This Row],[SATIŞ]]=0,"Açık",(E55-D55)*C55)</f>
        <v>19.999999999999929</v>
      </c>
      <c r="G55" s="11">
        <f>Tablo14567891011[[#This Row],[ADET]]*Tablo14567891011[[#This Row],[ALIŞ]]</f>
        <v>1675</v>
      </c>
      <c r="H55" s="11">
        <f>Tablo14567891011[[#This Row],[ADET]]*Tablo14567891011[[#This Row],[SATIŞ]]</f>
        <v>1695</v>
      </c>
      <c r="J55" s="40" t="str">
        <f t="shared" si="0"/>
        <v/>
      </c>
    </row>
    <row r="56" spans="2:10" ht="21" hidden="1" customHeight="1" x14ac:dyDescent="0.3">
      <c r="B56" s="2">
        <v>45341</v>
      </c>
      <c r="C56" s="6">
        <v>50</v>
      </c>
      <c r="D56" s="10">
        <v>33.6</v>
      </c>
      <c r="E56" s="10">
        <v>33.700000000000003</v>
      </c>
      <c r="F56" s="9">
        <f>IF(Tablo14567891011[[#This Row],[SATIŞ]]=0,"Açık",(E56-D56)*C56)</f>
        <v>5.0000000000000711</v>
      </c>
      <c r="G56" s="11">
        <f>Tablo14567891011[[#This Row],[ADET]]*Tablo14567891011[[#This Row],[ALIŞ]]</f>
        <v>1680</v>
      </c>
      <c r="H56" s="11">
        <f>Tablo14567891011[[#This Row],[ADET]]*Tablo14567891011[[#This Row],[SATIŞ]]</f>
        <v>1685.0000000000002</v>
      </c>
      <c r="J56" s="40" t="str">
        <f t="shared" si="0"/>
        <v/>
      </c>
    </row>
    <row r="57" spans="2:10" ht="21" hidden="1" customHeight="1" x14ac:dyDescent="0.3">
      <c r="B57" s="2">
        <v>45341</v>
      </c>
      <c r="C57" s="6">
        <v>50</v>
      </c>
      <c r="D57" s="10">
        <v>33.700000000000003</v>
      </c>
      <c r="E57" s="10">
        <v>33.799999999999997</v>
      </c>
      <c r="F57" s="9">
        <f>IF(Tablo14567891011[[#This Row],[SATIŞ]]=0,"Açık",(E57-D57)*C57)</f>
        <v>4.9999999999997158</v>
      </c>
      <c r="G57" s="11">
        <f>Tablo14567891011[[#This Row],[ADET]]*Tablo14567891011[[#This Row],[ALIŞ]]</f>
        <v>1685.0000000000002</v>
      </c>
      <c r="H57" s="11">
        <f>Tablo14567891011[[#This Row],[ADET]]*Tablo14567891011[[#This Row],[SATIŞ]]</f>
        <v>1689.9999999999998</v>
      </c>
      <c r="J57" s="40" t="str">
        <f t="shared" si="0"/>
        <v/>
      </c>
    </row>
    <row r="58" spans="2:10" ht="21" customHeight="1" x14ac:dyDescent="0.3">
      <c r="B58" s="2">
        <v>45341</v>
      </c>
      <c r="C58" s="6">
        <v>50</v>
      </c>
      <c r="D58" s="10">
        <v>33.799999999999997</v>
      </c>
      <c r="E58" s="10"/>
      <c r="F58" s="9" t="str">
        <f>IF(Tablo14567891011[[#This Row],[SATIŞ]]=0,"Açık",(E58-D58)*C58)</f>
        <v>Açık</v>
      </c>
      <c r="G58" s="11">
        <f>Tablo14567891011[[#This Row],[ADET]]*Tablo14567891011[[#This Row],[ALIŞ]]</f>
        <v>1689.9999999999998</v>
      </c>
      <c r="H58" s="11">
        <f>Tablo14567891011[[#This Row],[ADET]]*Tablo14567891011[[#This Row],[SATIŞ]]</f>
        <v>0</v>
      </c>
      <c r="J58" s="40">
        <f t="shared" si="0"/>
        <v>35.49</v>
      </c>
    </row>
    <row r="59" spans="2:10" ht="21" customHeight="1" x14ac:dyDescent="0.3">
      <c r="B59" s="2">
        <v>45341</v>
      </c>
      <c r="C59" s="6">
        <v>50</v>
      </c>
      <c r="D59" s="10">
        <v>33.9</v>
      </c>
      <c r="E59" s="10"/>
      <c r="F59" s="9" t="str">
        <f>IF(Tablo14567891011[[#This Row],[SATIŞ]]=0,"Açık",(E59-D59)*C59)</f>
        <v>Açık</v>
      </c>
      <c r="G59" s="11">
        <f>Tablo14567891011[[#This Row],[ADET]]*Tablo14567891011[[#This Row],[ALIŞ]]</f>
        <v>1695</v>
      </c>
      <c r="H59" s="11">
        <f>Tablo14567891011[[#This Row],[ADET]]*Tablo14567891011[[#This Row],[SATIŞ]]</f>
        <v>0</v>
      </c>
      <c r="J59" s="40">
        <f t="shared" si="0"/>
        <v>35.594999999999999</v>
      </c>
    </row>
    <row r="60" spans="2:10" ht="21" customHeight="1" x14ac:dyDescent="0.3">
      <c r="B60" s="2">
        <v>45341</v>
      </c>
      <c r="C60" s="6">
        <v>50</v>
      </c>
      <c r="D60" s="10">
        <v>34</v>
      </c>
      <c r="E60" s="10"/>
      <c r="F60" s="9" t="str">
        <f>IF(Tablo14567891011[[#This Row],[SATIŞ]]=0,"Açık",(E60-D60)*C60)</f>
        <v>Açık</v>
      </c>
      <c r="G60" s="11">
        <f>Tablo14567891011[[#This Row],[ADET]]*Tablo14567891011[[#This Row],[ALIŞ]]</f>
        <v>1700</v>
      </c>
      <c r="H60" s="11">
        <f>Tablo14567891011[[#This Row],[ADET]]*Tablo14567891011[[#This Row],[SATIŞ]]</f>
        <v>0</v>
      </c>
      <c r="J60" s="40">
        <f t="shared" si="0"/>
        <v>35.700000000000003</v>
      </c>
    </row>
    <row r="61" spans="2:10" ht="21" customHeight="1" x14ac:dyDescent="0.3">
      <c r="B61" s="2">
        <v>45341</v>
      </c>
      <c r="C61" s="6">
        <v>50</v>
      </c>
      <c r="D61" s="10">
        <v>33.700000000000003</v>
      </c>
      <c r="E61" s="10"/>
      <c r="F61" s="9" t="str">
        <f>IF(Tablo14567891011[[#This Row],[SATIŞ]]=0,"Açık",(E61-D61)*C61)</f>
        <v>Açık</v>
      </c>
      <c r="G61" s="11">
        <f>Tablo14567891011[[#This Row],[ADET]]*Tablo14567891011[[#This Row],[ALIŞ]]</f>
        <v>1685.0000000000002</v>
      </c>
      <c r="H61" s="11">
        <f>Tablo14567891011[[#This Row],[ADET]]*Tablo14567891011[[#This Row],[SATIŞ]]</f>
        <v>0</v>
      </c>
      <c r="J61" s="40">
        <f t="shared" si="0"/>
        <v>35.385000000000005</v>
      </c>
    </row>
    <row r="62" spans="2:10" ht="21" customHeight="1" x14ac:dyDescent="0.3">
      <c r="B62" s="2">
        <v>45341</v>
      </c>
      <c r="C62" s="6">
        <v>50</v>
      </c>
      <c r="D62" s="10">
        <v>33.6</v>
      </c>
      <c r="E62" s="10"/>
      <c r="F62" s="9" t="str">
        <f>IF(Tablo14567891011[[#This Row],[SATIŞ]]=0,"Açık",(E62-D62)*C62)</f>
        <v>Açık</v>
      </c>
      <c r="G62" s="11">
        <f>Tablo14567891011[[#This Row],[ADET]]*Tablo14567891011[[#This Row],[ALIŞ]]</f>
        <v>1680</v>
      </c>
      <c r="H62" s="11">
        <f>Tablo14567891011[[#This Row],[ADET]]*Tablo14567891011[[#This Row],[SATIŞ]]</f>
        <v>0</v>
      </c>
      <c r="J62" s="40">
        <f t="shared" si="0"/>
        <v>35.28</v>
      </c>
    </row>
    <row r="63" spans="2:10" ht="21" hidden="1" customHeight="1" x14ac:dyDescent="0.3">
      <c r="B63" s="2">
        <v>45341</v>
      </c>
      <c r="C63" s="6">
        <v>100</v>
      </c>
      <c r="D63" s="10">
        <v>33.299999999999997</v>
      </c>
      <c r="E63" s="10">
        <v>33.6</v>
      </c>
      <c r="F63" s="9">
        <f>IF(Tablo14567891011[[#This Row],[SATIŞ]]=0,"Açık",(E63-D63)*C63)</f>
        <v>30.000000000000426</v>
      </c>
      <c r="G63" s="11">
        <f>Tablo14567891011[[#This Row],[ADET]]*Tablo14567891011[[#This Row],[ALIŞ]]</f>
        <v>3329.9999999999995</v>
      </c>
      <c r="H63" s="11">
        <f>Tablo14567891011[[#This Row],[ADET]]*Tablo14567891011[[#This Row],[SATIŞ]]</f>
        <v>3360</v>
      </c>
      <c r="J63" s="40" t="str">
        <f t="shared" si="0"/>
        <v/>
      </c>
    </row>
    <row r="64" spans="2:10" ht="21" hidden="1" customHeight="1" x14ac:dyDescent="0.3">
      <c r="B64" s="2">
        <v>45341</v>
      </c>
      <c r="C64" s="6">
        <v>100</v>
      </c>
      <c r="D64" s="10">
        <v>33.4</v>
      </c>
      <c r="E64" s="10">
        <v>33.5</v>
      </c>
      <c r="F64" s="9">
        <f>IF(Tablo14567891011[[#This Row],[SATIŞ]]=0,"Açık",(E64-D64)*C64)</f>
        <v>10.000000000000142</v>
      </c>
      <c r="G64" s="11">
        <f>Tablo14567891011[[#This Row],[ADET]]*Tablo14567891011[[#This Row],[ALIŞ]]</f>
        <v>3340</v>
      </c>
      <c r="H64" s="11">
        <f>Tablo14567891011[[#This Row],[ADET]]*Tablo14567891011[[#This Row],[SATIŞ]]</f>
        <v>3350</v>
      </c>
      <c r="J64" s="40" t="str">
        <f t="shared" si="0"/>
        <v/>
      </c>
    </row>
    <row r="65" spans="2:10" ht="21" hidden="1" customHeight="1" x14ac:dyDescent="0.3">
      <c r="B65" s="2">
        <v>45341</v>
      </c>
      <c r="C65" s="6">
        <v>100</v>
      </c>
      <c r="D65" s="10">
        <v>33.200000000000003</v>
      </c>
      <c r="E65" s="10">
        <v>33.299999999999997</v>
      </c>
      <c r="F65" s="9">
        <f>IF(Tablo14567891011[[#This Row],[SATIŞ]]=0,"Açık",(E65-D65)*C65)</f>
        <v>9.9999999999994316</v>
      </c>
      <c r="G65" s="11">
        <f>Tablo14567891011[[#This Row],[ADET]]*Tablo14567891011[[#This Row],[ALIŞ]]</f>
        <v>3320.0000000000005</v>
      </c>
      <c r="H65" s="11">
        <f>Tablo14567891011[[#This Row],[ADET]]*Tablo14567891011[[#This Row],[SATIŞ]]</f>
        <v>3329.9999999999995</v>
      </c>
      <c r="J65" s="40" t="str">
        <f t="shared" si="0"/>
        <v/>
      </c>
    </row>
    <row r="66" spans="2:10" ht="21" hidden="1" customHeight="1" x14ac:dyDescent="0.3">
      <c r="B66" s="2">
        <v>45341</v>
      </c>
      <c r="C66" s="6">
        <v>100</v>
      </c>
      <c r="D66" s="10">
        <v>33.1</v>
      </c>
      <c r="E66" s="10">
        <v>33.200000000000003</v>
      </c>
      <c r="F66" s="9">
        <f>IF(Tablo14567891011[[#This Row],[SATIŞ]]=0,"Açık",(E66-D66)*C66)</f>
        <v>10.000000000000142</v>
      </c>
      <c r="G66" s="11">
        <f>Tablo14567891011[[#This Row],[ADET]]*Tablo14567891011[[#This Row],[ALIŞ]]</f>
        <v>3310</v>
      </c>
      <c r="H66" s="11">
        <f>Tablo14567891011[[#This Row],[ADET]]*Tablo14567891011[[#This Row],[SATIŞ]]</f>
        <v>3320.0000000000005</v>
      </c>
      <c r="J66" s="40" t="str">
        <f t="shared" si="0"/>
        <v/>
      </c>
    </row>
    <row r="67" spans="2:10" ht="21" hidden="1" customHeight="1" x14ac:dyDescent="0.3">
      <c r="B67" s="2">
        <v>45341</v>
      </c>
      <c r="C67" s="6">
        <v>100</v>
      </c>
      <c r="D67" s="10">
        <v>33</v>
      </c>
      <c r="E67" s="10">
        <v>33.4</v>
      </c>
      <c r="F67" s="9">
        <f>IF(Tablo14567891011[[#This Row],[SATIŞ]]=0,"Açık",(E67-D67)*C67)</f>
        <v>39.999999999999858</v>
      </c>
      <c r="G67" s="11">
        <f>Tablo14567891011[[#This Row],[ADET]]*Tablo14567891011[[#This Row],[ALIŞ]]</f>
        <v>3300</v>
      </c>
      <c r="H67" s="11">
        <f>Tablo14567891011[[#This Row],[ADET]]*Tablo14567891011[[#This Row],[SATIŞ]]</f>
        <v>3340</v>
      </c>
      <c r="J67" s="40" t="str">
        <f t="shared" si="0"/>
        <v/>
      </c>
    </row>
    <row r="68" spans="2:10" ht="21" customHeight="1" x14ac:dyDescent="0.3">
      <c r="B68" s="2">
        <v>45342</v>
      </c>
      <c r="C68" s="6">
        <v>100</v>
      </c>
      <c r="D68" s="10">
        <v>33.1</v>
      </c>
      <c r="E68" s="10"/>
      <c r="F68" s="9" t="str">
        <f>IF(Tablo14567891011[[#This Row],[SATIŞ]]=0,"Açık",(E68-D68)*C68)</f>
        <v>Açık</v>
      </c>
      <c r="G68" s="11">
        <f>Tablo14567891011[[#This Row],[ADET]]*Tablo14567891011[[#This Row],[ALIŞ]]</f>
        <v>3310</v>
      </c>
      <c r="H68" s="11">
        <f>Tablo14567891011[[#This Row],[ADET]]*Tablo14567891011[[#This Row],[SATIŞ]]</f>
        <v>0</v>
      </c>
      <c r="J68" s="40">
        <f t="shared" si="0"/>
        <v>34.755000000000003</v>
      </c>
    </row>
    <row r="69" spans="2:10" ht="21" customHeight="1" x14ac:dyDescent="0.3">
      <c r="B69" s="2">
        <v>45342</v>
      </c>
      <c r="C69" s="6">
        <v>100</v>
      </c>
      <c r="D69" s="10">
        <v>32.700000000000003</v>
      </c>
      <c r="E69" s="10"/>
      <c r="F69" s="9" t="str">
        <f>IF(Tablo14567891011[[#This Row],[SATIŞ]]=0,"Açık",(E69-D69)*C69)</f>
        <v>Açık</v>
      </c>
      <c r="G69" s="11">
        <f>Tablo14567891011[[#This Row],[ADET]]*Tablo14567891011[[#This Row],[ALIŞ]]</f>
        <v>3270.0000000000005</v>
      </c>
      <c r="H69" s="11">
        <f>Tablo14567891011[[#This Row],[ADET]]*Tablo14567891011[[#This Row],[SATIŞ]]</f>
        <v>0</v>
      </c>
      <c r="J69" s="40">
        <f t="shared" si="0"/>
        <v>34.335000000000008</v>
      </c>
    </row>
    <row r="70" spans="2:10" ht="21" customHeight="1" x14ac:dyDescent="0.3">
      <c r="B70" s="2">
        <v>45342</v>
      </c>
      <c r="C70" s="6">
        <v>50</v>
      </c>
      <c r="D70" s="10">
        <v>32.9</v>
      </c>
      <c r="E70" s="10"/>
      <c r="F70" s="9" t="str">
        <f>IF(Tablo14567891011[[#This Row],[SATIŞ]]=0,"Açık",(E70-D70)*C70)</f>
        <v>Açık</v>
      </c>
      <c r="G70" s="11">
        <f>Tablo14567891011[[#This Row],[ADET]]*Tablo14567891011[[#This Row],[ALIŞ]]</f>
        <v>1645</v>
      </c>
      <c r="H70" s="11">
        <f>Tablo14567891011[[#This Row],[ADET]]*Tablo14567891011[[#This Row],[SATIŞ]]</f>
        <v>0</v>
      </c>
      <c r="J70" s="40">
        <f t="shared" si="0"/>
        <v>34.545000000000002</v>
      </c>
    </row>
    <row r="71" spans="2:10" ht="21" hidden="1" customHeight="1" x14ac:dyDescent="0.3">
      <c r="B71" s="2">
        <v>45342</v>
      </c>
      <c r="C71" s="6">
        <v>50</v>
      </c>
      <c r="D71" s="10">
        <v>32.9</v>
      </c>
      <c r="E71" s="10">
        <v>33</v>
      </c>
      <c r="F71" s="9">
        <f>IF(Tablo14567891011[[#This Row],[SATIŞ]]=0,"Açık",(E71-D71)*C71)</f>
        <v>5.0000000000000711</v>
      </c>
      <c r="G71" s="11">
        <f>Tablo14567891011[[#This Row],[ADET]]*Tablo14567891011[[#This Row],[ALIŞ]]</f>
        <v>1645</v>
      </c>
      <c r="H71" s="11">
        <f>Tablo14567891011[[#This Row],[ADET]]*Tablo14567891011[[#This Row],[SATIŞ]]</f>
        <v>1650</v>
      </c>
      <c r="J71" s="40" t="str">
        <f t="shared" si="0"/>
        <v/>
      </c>
    </row>
    <row r="72" spans="2:10" ht="21" hidden="1" customHeight="1" x14ac:dyDescent="0.3">
      <c r="B72" s="2">
        <v>45343</v>
      </c>
      <c r="C72" s="6">
        <v>100</v>
      </c>
      <c r="D72" s="10">
        <v>32</v>
      </c>
      <c r="E72" s="10">
        <v>32.5</v>
      </c>
      <c r="F72" s="9">
        <f>IF(Tablo14567891011[[#This Row],[SATIŞ]]=0,"Açık",(E72-D72)*C72)</f>
        <v>50</v>
      </c>
      <c r="G72" s="11">
        <f>Tablo14567891011[[#This Row],[ADET]]*Tablo14567891011[[#This Row],[ALIŞ]]</f>
        <v>3200</v>
      </c>
      <c r="H72" s="11">
        <f>Tablo14567891011[[#This Row],[ADET]]*Tablo14567891011[[#This Row],[SATIŞ]]</f>
        <v>3250</v>
      </c>
      <c r="J72" s="40" t="str">
        <f t="shared" si="0"/>
        <v/>
      </c>
    </row>
    <row r="73" spans="2:10" ht="21" hidden="1" customHeight="1" x14ac:dyDescent="0.3">
      <c r="B73" s="2">
        <v>45343</v>
      </c>
      <c r="C73" s="6">
        <v>100</v>
      </c>
      <c r="D73" s="10">
        <v>31.5</v>
      </c>
      <c r="E73" s="10">
        <v>32.5</v>
      </c>
      <c r="F73" s="9">
        <f>IF(Tablo14567891011[[#This Row],[SATIŞ]]=0,"Açık",(E73-D73)*C73)</f>
        <v>100</v>
      </c>
      <c r="G73" s="11">
        <f>Tablo14567891011[[#This Row],[ADET]]*Tablo14567891011[[#This Row],[ALIŞ]]</f>
        <v>3150</v>
      </c>
      <c r="H73" s="11">
        <f>Tablo14567891011[[#This Row],[ADET]]*Tablo14567891011[[#This Row],[SATIŞ]]</f>
        <v>3250</v>
      </c>
      <c r="J73" s="40" t="str">
        <f t="shared" si="0"/>
        <v/>
      </c>
    </row>
    <row r="74" spans="2:10" ht="21" hidden="1" customHeight="1" x14ac:dyDescent="0.3">
      <c r="B74" s="2">
        <v>45345</v>
      </c>
      <c r="C74" s="6">
        <v>50</v>
      </c>
      <c r="D74" s="10">
        <v>31.5</v>
      </c>
      <c r="E74" s="10">
        <v>31.6</v>
      </c>
      <c r="F74" s="9">
        <f>IF(Tablo14567891011[[#This Row],[SATIŞ]]=0,"Açık",(E74-D74)*C74)</f>
        <v>5.0000000000000711</v>
      </c>
      <c r="G74" s="11">
        <f>Tablo14567891011[[#This Row],[ADET]]*Tablo14567891011[[#This Row],[ALIŞ]]</f>
        <v>1575</v>
      </c>
      <c r="H74" s="11">
        <f>Tablo14567891011[[#This Row],[ADET]]*Tablo14567891011[[#This Row],[SATIŞ]]</f>
        <v>1580</v>
      </c>
      <c r="J74" s="40" t="str">
        <f t="shared" si="0"/>
        <v/>
      </c>
    </row>
    <row r="75" spans="2:10" ht="21" hidden="1" customHeight="1" x14ac:dyDescent="0.3">
      <c r="B75" s="2">
        <v>45345</v>
      </c>
      <c r="C75" s="6">
        <v>50</v>
      </c>
      <c r="D75" s="10">
        <v>31.5</v>
      </c>
      <c r="E75" s="10">
        <v>31.8</v>
      </c>
      <c r="F75" s="9">
        <f>IF(Tablo14567891011[[#This Row],[SATIŞ]]=0,"Açık",(E75-D75)*C75)</f>
        <v>15.000000000000036</v>
      </c>
      <c r="G75" s="11">
        <f>Tablo14567891011[[#This Row],[ADET]]*Tablo14567891011[[#This Row],[ALIŞ]]</f>
        <v>1575</v>
      </c>
      <c r="H75" s="11">
        <f>Tablo14567891011[[#This Row],[ADET]]*Tablo14567891011[[#This Row],[SATIŞ]]</f>
        <v>1590</v>
      </c>
      <c r="J75" s="40" t="str">
        <f t="shared" si="0"/>
        <v/>
      </c>
    </row>
    <row r="76" spans="2:10" ht="21" hidden="1" customHeight="1" x14ac:dyDescent="0.3">
      <c r="B76" s="2">
        <v>45345</v>
      </c>
      <c r="C76" s="6">
        <v>50</v>
      </c>
      <c r="D76" s="10">
        <v>31</v>
      </c>
      <c r="E76" s="10">
        <v>31.5</v>
      </c>
      <c r="F76" s="9">
        <f>IF(Tablo14567891011[[#This Row],[SATIŞ]]=0,"Açık",(E76-D76)*C76)</f>
        <v>25</v>
      </c>
      <c r="G76" s="11">
        <f>Tablo14567891011[[#This Row],[ADET]]*Tablo14567891011[[#This Row],[ALIŞ]]</f>
        <v>1550</v>
      </c>
      <c r="H76" s="11">
        <f>Tablo14567891011[[#This Row],[ADET]]*Tablo14567891011[[#This Row],[SATIŞ]]</f>
        <v>1575</v>
      </c>
      <c r="J76" s="40" t="str">
        <f t="shared" ref="J76:J139" si="1">IF(E76=0,D76*1.05,"")</f>
        <v/>
      </c>
    </row>
    <row r="77" spans="2:10" ht="21" hidden="1" customHeight="1" x14ac:dyDescent="0.3">
      <c r="B77" s="2">
        <v>45345</v>
      </c>
      <c r="C77" s="6">
        <v>50</v>
      </c>
      <c r="D77" s="10">
        <v>31</v>
      </c>
      <c r="E77" s="10">
        <v>32.380000000000003</v>
      </c>
      <c r="F77" s="9">
        <f>IF(Tablo14567891011[[#This Row],[SATIŞ]]=0,"Açık",(E77-D77)*C77)</f>
        <v>69.000000000000128</v>
      </c>
      <c r="G77" s="11">
        <f>Tablo14567891011[[#This Row],[ADET]]*Tablo14567891011[[#This Row],[ALIŞ]]</f>
        <v>1550</v>
      </c>
      <c r="H77" s="11">
        <f>Tablo14567891011[[#This Row],[ADET]]*Tablo14567891011[[#This Row],[SATIŞ]]</f>
        <v>1619.0000000000002</v>
      </c>
      <c r="J77" s="40" t="str">
        <f t="shared" si="1"/>
        <v/>
      </c>
    </row>
    <row r="78" spans="2:10" ht="21" hidden="1" customHeight="1" x14ac:dyDescent="0.3">
      <c r="B78" s="2">
        <v>45348</v>
      </c>
      <c r="C78" s="6">
        <v>50</v>
      </c>
      <c r="D78" s="10">
        <v>31</v>
      </c>
      <c r="E78" s="10">
        <v>31.5</v>
      </c>
      <c r="F78" s="9">
        <f>IF(Tablo14567891011[[#This Row],[SATIŞ]]=0,"Açık",(E78-D78)*C78)</f>
        <v>25</v>
      </c>
      <c r="G78" s="11">
        <f>Tablo14567891011[[#This Row],[ADET]]*Tablo14567891011[[#This Row],[ALIŞ]]</f>
        <v>1550</v>
      </c>
      <c r="H78" s="11">
        <f>Tablo14567891011[[#This Row],[ADET]]*Tablo14567891011[[#This Row],[SATIŞ]]</f>
        <v>1575</v>
      </c>
      <c r="J78" s="40" t="str">
        <f t="shared" si="1"/>
        <v/>
      </c>
    </row>
    <row r="79" spans="2:10" ht="21" hidden="1" customHeight="1" x14ac:dyDescent="0.3">
      <c r="B79" s="2">
        <v>45348</v>
      </c>
      <c r="C79" s="6">
        <v>50</v>
      </c>
      <c r="D79" s="10">
        <v>31</v>
      </c>
      <c r="E79" s="10">
        <v>31.5</v>
      </c>
      <c r="F79" s="9">
        <f>IF(Tablo14567891011[[#This Row],[SATIŞ]]=0,"Açık",(E79-D79)*C79)</f>
        <v>25</v>
      </c>
      <c r="G79" s="11">
        <f>Tablo14567891011[[#This Row],[ADET]]*Tablo14567891011[[#This Row],[ALIŞ]]</f>
        <v>1550</v>
      </c>
      <c r="H79" s="11">
        <f>Tablo14567891011[[#This Row],[ADET]]*Tablo14567891011[[#This Row],[SATIŞ]]</f>
        <v>1575</v>
      </c>
      <c r="J79" s="40" t="str">
        <f t="shared" si="1"/>
        <v/>
      </c>
    </row>
    <row r="80" spans="2:10" ht="21" hidden="1" customHeight="1" x14ac:dyDescent="0.3">
      <c r="B80" s="2">
        <v>45349</v>
      </c>
      <c r="C80" s="6">
        <v>50</v>
      </c>
      <c r="D80" s="10">
        <v>30</v>
      </c>
      <c r="E80" s="10">
        <v>31</v>
      </c>
      <c r="F80" s="9">
        <f>IF(Tablo14567891011[[#This Row],[SATIŞ]]=0,"Açık",(E80-D80)*C80)</f>
        <v>50</v>
      </c>
      <c r="G80" s="11">
        <f>Tablo14567891011[[#This Row],[ADET]]*Tablo14567891011[[#This Row],[ALIŞ]]</f>
        <v>1500</v>
      </c>
      <c r="H80" s="11">
        <f>Tablo14567891011[[#This Row],[ADET]]*Tablo14567891011[[#This Row],[SATIŞ]]</f>
        <v>1550</v>
      </c>
      <c r="J80" s="40" t="str">
        <f t="shared" si="1"/>
        <v/>
      </c>
    </row>
    <row r="81" spans="2:10" ht="21" hidden="1" customHeight="1" x14ac:dyDescent="0.3">
      <c r="B81" s="2">
        <v>45350</v>
      </c>
      <c r="C81" s="6">
        <v>50</v>
      </c>
      <c r="D81" s="10">
        <v>29</v>
      </c>
      <c r="E81" s="10">
        <v>31</v>
      </c>
      <c r="F81" s="9">
        <f>IF(Tablo14567891011[[#This Row],[SATIŞ]]=0,"Açık",(E81-D81)*C81)</f>
        <v>100</v>
      </c>
      <c r="G81" s="11">
        <f>Tablo14567891011[[#This Row],[ADET]]*Tablo14567891011[[#This Row],[ALIŞ]]</f>
        <v>1450</v>
      </c>
      <c r="H81" s="11">
        <f>Tablo14567891011[[#This Row],[ADET]]*Tablo14567891011[[#This Row],[SATIŞ]]</f>
        <v>1550</v>
      </c>
      <c r="J81" s="40" t="str">
        <f t="shared" si="1"/>
        <v/>
      </c>
    </row>
    <row r="82" spans="2:10" ht="21" hidden="1" customHeight="1" x14ac:dyDescent="0.3">
      <c r="B82" s="2">
        <v>45350</v>
      </c>
      <c r="C82" s="6">
        <v>50</v>
      </c>
      <c r="D82" s="10">
        <v>29</v>
      </c>
      <c r="E82" s="10">
        <v>32.5</v>
      </c>
      <c r="F82" s="9">
        <f>IF(Tablo14567891011[[#This Row],[SATIŞ]]=0,"Açık",(E82-D82)*C82)</f>
        <v>175</v>
      </c>
      <c r="G82" s="11">
        <f>Tablo14567891011[[#This Row],[ADET]]*Tablo14567891011[[#This Row],[ALIŞ]]</f>
        <v>1450</v>
      </c>
      <c r="H82" s="11">
        <f>Tablo14567891011[[#This Row],[ADET]]*Tablo14567891011[[#This Row],[SATIŞ]]</f>
        <v>1625</v>
      </c>
      <c r="J82" s="40" t="str">
        <f t="shared" si="1"/>
        <v/>
      </c>
    </row>
    <row r="83" spans="2:10" ht="21" hidden="1" customHeight="1" x14ac:dyDescent="0.3">
      <c r="B83" s="2">
        <v>45352</v>
      </c>
      <c r="C83" s="6">
        <v>50</v>
      </c>
      <c r="D83" s="10">
        <v>32</v>
      </c>
      <c r="E83" s="10">
        <v>32.5</v>
      </c>
      <c r="F83" s="9">
        <f>IF(Tablo14567891011[[#This Row],[SATIŞ]]=0,"Açık",(E83-D83)*C83)</f>
        <v>25</v>
      </c>
      <c r="G83" s="11">
        <f>Tablo14567891011[[#This Row],[ADET]]*Tablo14567891011[[#This Row],[ALIŞ]]</f>
        <v>1600</v>
      </c>
      <c r="H83" s="11">
        <f>Tablo14567891011[[#This Row],[ADET]]*Tablo14567891011[[#This Row],[SATIŞ]]</f>
        <v>1625</v>
      </c>
      <c r="J83" s="40" t="str">
        <f t="shared" si="1"/>
        <v/>
      </c>
    </row>
    <row r="84" spans="2:10" ht="21" customHeight="1" x14ac:dyDescent="0.3">
      <c r="B84" s="2">
        <v>45352</v>
      </c>
      <c r="C84" s="6">
        <v>50</v>
      </c>
      <c r="D84" s="10">
        <v>32</v>
      </c>
      <c r="E84" s="10"/>
      <c r="F84" s="9" t="str">
        <f>IF(Tablo14567891011[[#This Row],[SATIŞ]]=0,"Açık",(E84-D84)*C84)</f>
        <v>Açık</v>
      </c>
      <c r="G84" s="11">
        <f>Tablo14567891011[[#This Row],[ADET]]*Tablo14567891011[[#This Row],[ALIŞ]]</f>
        <v>1600</v>
      </c>
      <c r="H84" s="11">
        <f>Tablo14567891011[[#This Row],[ADET]]*Tablo14567891011[[#This Row],[SATIŞ]]</f>
        <v>0</v>
      </c>
      <c r="J84" s="40">
        <f t="shared" si="1"/>
        <v>33.6</v>
      </c>
    </row>
    <row r="85" spans="2:10" ht="21" customHeight="1" x14ac:dyDescent="0.3">
      <c r="B85" s="2">
        <v>45352</v>
      </c>
      <c r="C85" s="6">
        <v>50</v>
      </c>
      <c r="D85" s="10">
        <v>32</v>
      </c>
      <c r="E85" s="10"/>
      <c r="F85" s="9" t="str">
        <f>IF(Tablo14567891011[[#This Row],[SATIŞ]]=0,"Açık",(E85-D85)*C85)</f>
        <v>Açık</v>
      </c>
      <c r="G85" s="11">
        <f>Tablo14567891011[[#This Row],[ADET]]*Tablo14567891011[[#This Row],[ALIŞ]]</f>
        <v>1600</v>
      </c>
      <c r="H85" s="11">
        <f>Tablo14567891011[[#This Row],[ADET]]*Tablo14567891011[[#This Row],[SATIŞ]]</f>
        <v>0</v>
      </c>
      <c r="J85" s="40">
        <f t="shared" si="1"/>
        <v>33.6</v>
      </c>
    </row>
    <row r="86" spans="2:10" ht="21" customHeight="1" x14ac:dyDescent="0.3">
      <c r="B86" s="2">
        <v>45352</v>
      </c>
      <c r="C86" s="6">
        <v>50</v>
      </c>
      <c r="D86" s="10">
        <v>32</v>
      </c>
      <c r="E86" s="10"/>
      <c r="F86" s="9" t="str">
        <f>IF(Tablo14567891011[[#This Row],[SATIŞ]]=0,"Açık",(E86-D86)*C86)</f>
        <v>Açık</v>
      </c>
      <c r="G86" s="11">
        <f>Tablo14567891011[[#This Row],[ADET]]*Tablo14567891011[[#This Row],[ALIŞ]]</f>
        <v>1600</v>
      </c>
      <c r="H86" s="11">
        <f>Tablo14567891011[[#This Row],[ADET]]*Tablo14567891011[[#This Row],[SATIŞ]]</f>
        <v>0</v>
      </c>
      <c r="J86" s="40">
        <f t="shared" si="1"/>
        <v>33.6</v>
      </c>
    </row>
    <row r="87" spans="2:10" ht="21" hidden="1" customHeight="1" x14ac:dyDescent="0.3">
      <c r="B87" s="2">
        <v>45355</v>
      </c>
      <c r="C87" s="6">
        <v>50</v>
      </c>
      <c r="D87" s="10">
        <v>29.8</v>
      </c>
      <c r="E87" s="10">
        <v>30</v>
      </c>
      <c r="F87" s="9">
        <f>IF(Tablo14567891011[[#This Row],[SATIŞ]]=0,"Açık",(E87-D87)*C87)</f>
        <v>9.9999999999999645</v>
      </c>
      <c r="G87" s="11">
        <f>Tablo14567891011[[#This Row],[ADET]]*Tablo14567891011[[#This Row],[ALIŞ]]</f>
        <v>1490</v>
      </c>
      <c r="H87" s="11">
        <f>Tablo14567891011[[#This Row],[ADET]]*Tablo14567891011[[#This Row],[SATIŞ]]</f>
        <v>1500</v>
      </c>
      <c r="J87" s="40" t="str">
        <f t="shared" si="1"/>
        <v/>
      </c>
    </row>
    <row r="88" spans="2:10" ht="21" hidden="1" customHeight="1" x14ac:dyDescent="0.3">
      <c r="B88" s="2">
        <v>45355</v>
      </c>
      <c r="C88" s="6">
        <v>50</v>
      </c>
      <c r="D88" s="10">
        <v>29.5</v>
      </c>
      <c r="E88" s="10">
        <v>29.6</v>
      </c>
      <c r="F88" s="9">
        <f>IF(Tablo14567891011[[#This Row],[SATIŞ]]=0,"Açık",(E88-D88)*C88)</f>
        <v>5.0000000000000711</v>
      </c>
      <c r="G88" s="11">
        <f>Tablo14567891011[[#This Row],[ADET]]*Tablo14567891011[[#This Row],[ALIŞ]]</f>
        <v>1475</v>
      </c>
      <c r="H88" s="11">
        <f>Tablo14567891011[[#This Row],[ADET]]*Tablo14567891011[[#This Row],[SATIŞ]]</f>
        <v>1480</v>
      </c>
      <c r="J88" s="40" t="str">
        <f t="shared" si="1"/>
        <v/>
      </c>
    </row>
    <row r="89" spans="2:10" ht="21" hidden="1" customHeight="1" x14ac:dyDescent="0.3">
      <c r="B89" s="2">
        <v>45356</v>
      </c>
      <c r="C89" s="6">
        <v>50</v>
      </c>
      <c r="D89" s="10">
        <v>29</v>
      </c>
      <c r="E89" s="10">
        <v>29.5</v>
      </c>
      <c r="F89" s="9">
        <f>IF(Tablo14567891011[[#This Row],[SATIŞ]]=0,"Açık",(E89-D89)*C89)</f>
        <v>25</v>
      </c>
      <c r="G89" s="11">
        <f>Tablo14567891011[[#This Row],[ADET]]*Tablo14567891011[[#This Row],[ALIŞ]]</f>
        <v>1450</v>
      </c>
      <c r="H89" s="11">
        <f>Tablo14567891011[[#This Row],[ADET]]*Tablo14567891011[[#This Row],[SATIŞ]]</f>
        <v>1475</v>
      </c>
      <c r="J89" s="40" t="str">
        <f t="shared" si="1"/>
        <v/>
      </c>
    </row>
    <row r="90" spans="2:10" ht="21" hidden="1" customHeight="1" x14ac:dyDescent="0.3">
      <c r="B90" s="2">
        <v>45357</v>
      </c>
      <c r="C90" s="6">
        <v>50</v>
      </c>
      <c r="D90" s="10">
        <v>28.5</v>
      </c>
      <c r="E90" s="10">
        <v>29.4</v>
      </c>
      <c r="F90" s="9">
        <f>IF(Tablo14567891011[[#This Row],[SATIŞ]]=0,"Açık",(E90-D90)*C90)</f>
        <v>44.999999999999929</v>
      </c>
      <c r="G90" s="11">
        <f>Tablo14567891011[[#This Row],[ADET]]*Tablo14567891011[[#This Row],[ALIŞ]]</f>
        <v>1425</v>
      </c>
      <c r="H90" s="11">
        <f>Tablo14567891011[[#This Row],[ADET]]*Tablo14567891011[[#This Row],[SATIŞ]]</f>
        <v>1470</v>
      </c>
      <c r="J90" s="40" t="str">
        <f t="shared" si="1"/>
        <v/>
      </c>
    </row>
    <row r="91" spans="2:10" ht="21" hidden="1" customHeight="1" x14ac:dyDescent="0.3">
      <c r="B91" s="2">
        <v>45357</v>
      </c>
      <c r="C91" s="6">
        <v>50</v>
      </c>
      <c r="D91" s="10">
        <v>28</v>
      </c>
      <c r="E91" s="10">
        <v>28.2</v>
      </c>
      <c r="F91" s="9">
        <f>IF(Tablo14567891011[[#This Row],[SATIŞ]]=0,"Açık",(E91-D91)*C91)</f>
        <v>9.9999999999999645</v>
      </c>
      <c r="G91" s="11">
        <f>Tablo14567891011[[#This Row],[ADET]]*Tablo14567891011[[#This Row],[ALIŞ]]</f>
        <v>1400</v>
      </c>
      <c r="H91" s="11">
        <f>Tablo14567891011[[#This Row],[ADET]]*Tablo14567891011[[#This Row],[SATIŞ]]</f>
        <v>1410</v>
      </c>
      <c r="J91" s="40" t="str">
        <f t="shared" si="1"/>
        <v/>
      </c>
    </row>
    <row r="92" spans="2:10" ht="21" hidden="1" customHeight="1" x14ac:dyDescent="0.3">
      <c r="B92" s="2">
        <v>45357</v>
      </c>
      <c r="C92" s="6">
        <v>50</v>
      </c>
      <c r="D92" s="10">
        <v>28</v>
      </c>
      <c r="E92" s="10">
        <v>28.1</v>
      </c>
      <c r="F92" s="9">
        <f>IF(Tablo14567891011[[#This Row],[SATIŞ]]=0,"Açık",(E92-D92)*C92)</f>
        <v>5.0000000000000711</v>
      </c>
      <c r="G92" s="11">
        <f>Tablo14567891011[[#This Row],[ADET]]*Tablo14567891011[[#This Row],[ALIŞ]]</f>
        <v>1400</v>
      </c>
      <c r="H92" s="11">
        <f>Tablo14567891011[[#This Row],[ADET]]*Tablo14567891011[[#This Row],[SATIŞ]]</f>
        <v>1405</v>
      </c>
      <c r="J92" s="40" t="str">
        <f t="shared" si="1"/>
        <v/>
      </c>
    </row>
    <row r="93" spans="2:10" ht="21" hidden="1" customHeight="1" x14ac:dyDescent="0.3">
      <c r="B93" s="2">
        <v>45357</v>
      </c>
      <c r="C93" s="6">
        <v>50</v>
      </c>
      <c r="D93" s="10">
        <v>28</v>
      </c>
      <c r="E93" s="10">
        <v>28.4</v>
      </c>
      <c r="F93" s="9">
        <f>IF(Tablo14567891011[[#This Row],[SATIŞ]]=0,"Açık",(E93-D93)*C93)</f>
        <v>19.999999999999929</v>
      </c>
      <c r="G93" s="11">
        <f>Tablo14567891011[[#This Row],[ADET]]*Tablo14567891011[[#This Row],[ALIŞ]]</f>
        <v>1400</v>
      </c>
      <c r="H93" s="11">
        <f>Tablo14567891011[[#This Row],[ADET]]*Tablo14567891011[[#This Row],[SATIŞ]]</f>
        <v>1420</v>
      </c>
      <c r="J93" s="40" t="str">
        <f t="shared" si="1"/>
        <v/>
      </c>
    </row>
    <row r="94" spans="2:10" ht="21" hidden="1" customHeight="1" x14ac:dyDescent="0.3">
      <c r="B94" s="2">
        <v>45357</v>
      </c>
      <c r="C94" s="6">
        <v>50</v>
      </c>
      <c r="D94" s="10">
        <v>28</v>
      </c>
      <c r="E94" s="10">
        <v>28.5</v>
      </c>
      <c r="F94" s="9">
        <f>IF(Tablo14567891011[[#This Row],[SATIŞ]]=0,"Açık",(E94-D94)*C94)</f>
        <v>25</v>
      </c>
      <c r="G94" s="11">
        <f>Tablo14567891011[[#This Row],[ADET]]*Tablo14567891011[[#This Row],[ALIŞ]]</f>
        <v>1400</v>
      </c>
      <c r="H94" s="11">
        <f>Tablo14567891011[[#This Row],[ADET]]*Tablo14567891011[[#This Row],[SATIŞ]]</f>
        <v>1425</v>
      </c>
      <c r="J94" s="40" t="str">
        <f t="shared" si="1"/>
        <v/>
      </c>
    </row>
    <row r="95" spans="2:10" ht="21" hidden="1" customHeight="1" x14ac:dyDescent="0.3">
      <c r="B95" s="2">
        <v>45357</v>
      </c>
      <c r="C95" s="6">
        <v>50</v>
      </c>
      <c r="D95" s="10">
        <v>28</v>
      </c>
      <c r="E95" s="10">
        <v>28.6</v>
      </c>
      <c r="F95" s="9">
        <f>IF(Tablo14567891011[[#This Row],[SATIŞ]]=0,"Açık",(E95-D95)*C95)</f>
        <v>30.000000000000071</v>
      </c>
      <c r="G95" s="11">
        <f>Tablo14567891011[[#This Row],[ADET]]*Tablo14567891011[[#This Row],[ALIŞ]]</f>
        <v>1400</v>
      </c>
      <c r="H95" s="11">
        <f>Tablo14567891011[[#This Row],[ADET]]*Tablo14567891011[[#This Row],[SATIŞ]]</f>
        <v>1430</v>
      </c>
      <c r="J95" s="40" t="str">
        <f t="shared" si="1"/>
        <v/>
      </c>
    </row>
    <row r="96" spans="2:10" ht="21" hidden="1" customHeight="1" x14ac:dyDescent="0.3">
      <c r="B96" s="2">
        <v>45357</v>
      </c>
      <c r="C96" s="6">
        <v>50</v>
      </c>
      <c r="D96" s="10">
        <v>28.1</v>
      </c>
      <c r="E96" s="10">
        <v>28.2</v>
      </c>
      <c r="F96" s="9">
        <f>IF(Tablo14567891011[[#This Row],[SATIŞ]]=0,"Açık",(E96-D96)*C96)</f>
        <v>4.9999999999998934</v>
      </c>
      <c r="G96" s="11">
        <f>Tablo14567891011[[#This Row],[ADET]]*Tablo14567891011[[#This Row],[ALIŞ]]</f>
        <v>1405</v>
      </c>
      <c r="H96" s="11">
        <f>Tablo14567891011[[#This Row],[ADET]]*Tablo14567891011[[#This Row],[SATIŞ]]</f>
        <v>1410</v>
      </c>
      <c r="J96" s="40" t="str">
        <f t="shared" si="1"/>
        <v/>
      </c>
    </row>
    <row r="97" spans="2:10" ht="21" hidden="1" customHeight="1" x14ac:dyDescent="0.3">
      <c r="B97" s="2">
        <v>45357</v>
      </c>
      <c r="C97" s="6">
        <v>50</v>
      </c>
      <c r="D97" s="10">
        <v>28</v>
      </c>
      <c r="E97" s="10">
        <v>28.3</v>
      </c>
      <c r="F97" s="9">
        <f>IF(Tablo14567891011[[#This Row],[SATIŞ]]=0,"Açık",(E97-D97)*C97)</f>
        <v>15.000000000000036</v>
      </c>
      <c r="G97" s="11">
        <f>Tablo14567891011[[#This Row],[ADET]]*Tablo14567891011[[#This Row],[ALIŞ]]</f>
        <v>1400</v>
      </c>
      <c r="H97" s="11">
        <f>Tablo14567891011[[#This Row],[ADET]]*Tablo14567891011[[#This Row],[SATIŞ]]</f>
        <v>1415</v>
      </c>
      <c r="J97" s="40" t="str">
        <f t="shared" si="1"/>
        <v/>
      </c>
    </row>
    <row r="98" spans="2:10" ht="21" hidden="1" customHeight="1" x14ac:dyDescent="0.3">
      <c r="B98" s="2">
        <v>45357</v>
      </c>
      <c r="C98" s="6">
        <v>50</v>
      </c>
      <c r="D98" s="10">
        <v>28</v>
      </c>
      <c r="E98" s="10">
        <v>28.4</v>
      </c>
      <c r="F98" s="9">
        <f>IF(Tablo14567891011[[#This Row],[SATIŞ]]=0,"Açık",(E98-D98)*C98)</f>
        <v>19.999999999999929</v>
      </c>
      <c r="G98" s="11">
        <f>Tablo14567891011[[#This Row],[ADET]]*Tablo14567891011[[#This Row],[ALIŞ]]</f>
        <v>1400</v>
      </c>
      <c r="H98" s="11">
        <f>Tablo14567891011[[#This Row],[ADET]]*Tablo14567891011[[#This Row],[SATIŞ]]</f>
        <v>1420</v>
      </c>
      <c r="J98" s="40" t="str">
        <f t="shared" si="1"/>
        <v/>
      </c>
    </row>
    <row r="99" spans="2:10" ht="21" hidden="1" customHeight="1" x14ac:dyDescent="0.3">
      <c r="B99" s="2">
        <v>45357</v>
      </c>
      <c r="C99" s="6">
        <v>50</v>
      </c>
      <c r="D99" s="10">
        <v>28</v>
      </c>
      <c r="E99" s="10">
        <v>28.5</v>
      </c>
      <c r="F99" s="9">
        <f>IF(Tablo14567891011[[#This Row],[SATIŞ]]=0,"Açık",(E99-D99)*C99)</f>
        <v>25</v>
      </c>
      <c r="G99" s="11">
        <f>Tablo14567891011[[#This Row],[ADET]]*Tablo14567891011[[#This Row],[ALIŞ]]</f>
        <v>1400</v>
      </c>
      <c r="H99" s="11">
        <f>Tablo14567891011[[#This Row],[ADET]]*Tablo14567891011[[#This Row],[SATIŞ]]</f>
        <v>1425</v>
      </c>
      <c r="J99" s="40" t="str">
        <f t="shared" si="1"/>
        <v/>
      </c>
    </row>
    <row r="100" spans="2:10" ht="21" hidden="1" customHeight="1" x14ac:dyDescent="0.3">
      <c r="B100" s="2">
        <v>45357</v>
      </c>
      <c r="C100" s="6">
        <v>50</v>
      </c>
      <c r="D100" s="10">
        <v>28</v>
      </c>
      <c r="E100" s="10">
        <v>28.6</v>
      </c>
      <c r="F100" s="9">
        <f>IF(Tablo14567891011[[#This Row],[SATIŞ]]=0,"Açık",(E100-D100)*C100)</f>
        <v>30.000000000000071</v>
      </c>
      <c r="G100" s="11">
        <f>Tablo14567891011[[#This Row],[ADET]]*Tablo14567891011[[#This Row],[ALIŞ]]</f>
        <v>1400</v>
      </c>
      <c r="H100" s="11">
        <f>Tablo14567891011[[#This Row],[ADET]]*Tablo14567891011[[#This Row],[SATIŞ]]</f>
        <v>1430</v>
      </c>
      <c r="J100" s="40" t="str">
        <f t="shared" si="1"/>
        <v/>
      </c>
    </row>
    <row r="101" spans="2:10" ht="21" hidden="1" customHeight="1" x14ac:dyDescent="0.3">
      <c r="B101" s="2">
        <v>45357</v>
      </c>
      <c r="C101" s="6">
        <v>50</v>
      </c>
      <c r="D101" s="10">
        <v>28</v>
      </c>
      <c r="E101" s="10">
        <v>29</v>
      </c>
      <c r="F101" s="9">
        <f>IF(Tablo14567891011[[#This Row],[SATIŞ]]=0,"Açık",(E101-D101)*C101)</f>
        <v>50</v>
      </c>
      <c r="G101" s="11">
        <f>Tablo14567891011[[#This Row],[ADET]]*Tablo14567891011[[#This Row],[ALIŞ]]</f>
        <v>1400</v>
      </c>
      <c r="H101" s="11">
        <f>Tablo14567891011[[#This Row],[ADET]]*Tablo14567891011[[#This Row],[SATIŞ]]</f>
        <v>1450</v>
      </c>
      <c r="J101" s="40" t="str">
        <f t="shared" si="1"/>
        <v/>
      </c>
    </row>
    <row r="102" spans="2:10" ht="21" hidden="1" customHeight="1" x14ac:dyDescent="0.3">
      <c r="B102" s="2">
        <v>45358</v>
      </c>
      <c r="C102" s="6">
        <v>50</v>
      </c>
      <c r="D102" s="10">
        <v>28.3</v>
      </c>
      <c r="E102" s="10">
        <v>28.9</v>
      </c>
      <c r="F102" s="9">
        <f>IF(Tablo14567891011[[#This Row],[SATIŞ]]=0,"Açık",(E102-D102)*C102)</f>
        <v>29.999999999999893</v>
      </c>
      <c r="G102" s="11">
        <f>Tablo14567891011[[#This Row],[ADET]]*Tablo14567891011[[#This Row],[ALIŞ]]</f>
        <v>1415</v>
      </c>
      <c r="H102" s="11">
        <f>Tablo14567891011[[#This Row],[ADET]]*Tablo14567891011[[#This Row],[SATIŞ]]</f>
        <v>1445</v>
      </c>
      <c r="J102" s="40" t="str">
        <f t="shared" si="1"/>
        <v/>
      </c>
    </row>
    <row r="103" spans="2:10" ht="21" hidden="1" customHeight="1" x14ac:dyDescent="0.3">
      <c r="B103" s="2">
        <v>45358</v>
      </c>
      <c r="C103" s="6">
        <v>50</v>
      </c>
      <c r="D103" s="10">
        <v>28.2</v>
      </c>
      <c r="E103" s="10">
        <v>28.8</v>
      </c>
      <c r="F103" s="9">
        <f>IF(Tablo14567891011[[#This Row],[SATIŞ]]=0,"Açık",(E103-D103)*C103)</f>
        <v>30.000000000000071</v>
      </c>
      <c r="G103" s="11">
        <f>Tablo14567891011[[#This Row],[ADET]]*Tablo14567891011[[#This Row],[ALIŞ]]</f>
        <v>1410</v>
      </c>
      <c r="H103" s="11">
        <f>Tablo14567891011[[#This Row],[ADET]]*Tablo14567891011[[#This Row],[SATIŞ]]</f>
        <v>1440</v>
      </c>
      <c r="J103" s="40" t="str">
        <f t="shared" si="1"/>
        <v/>
      </c>
    </row>
    <row r="104" spans="2:10" ht="21" hidden="1" customHeight="1" x14ac:dyDescent="0.3">
      <c r="B104" s="2">
        <v>45358</v>
      </c>
      <c r="C104" s="6">
        <v>50</v>
      </c>
      <c r="D104" s="10">
        <v>28.1</v>
      </c>
      <c r="E104" s="10">
        <v>28.7</v>
      </c>
      <c r="F104" s="9">
        <f>IF(Tablo14567891011[[#This Row],[SATIŞ]]=0,"Açık",(E104-D104)*C104)</f>
        <v>29.999999999999893</v>
      </c>
      <c r="G104" s="11">
        <f>Tablo14567891011[[#This Row],[ADET]]*Tablo14567891011[[#This Row],[ALIŞ]]</f>
        <v>1405</v>
      </c>
      <c r="H104" s="11">
        <f>Tablo14567891011[[#This Row],[ADET]]*Tablo14567891011[[#This Row],[SATIŞ]]</f>
        <v>1435</v>
      </c>
      <c r="J104" s="40" t="str">
        <f t="shared" si="1"/>
        <v/>
      </c>
    </row>
    <row r="105" spans="2:10" ht="21" hidden="1" customHeight="1" x14ac:dyDescent="0.3">
      <c r="B105" s="2">
        <v>45358</v>
      </c>
      <c r="C105" s="6">
        <v>50</v>
      </c>
      <c r="D105" s="10">
        <v>28</v>
      </c>
      <c r="E105" s="10">
        <v>29.3</v>
      </c>
      <c r="F105" s="9">
        <f>IF(Tablo14567891011[[#This Row],[SATIŞ]]=0,"Açık",(E105-D105)*C105)</f>
        <v>65.000000000000028</v>
      </c>
      <c r="G105" s="11">
        <f>Tablo14567891011[[#This Row],[ADET]]*Tablo14567891011[[#This Row],[ALIŞ]]</f>
        <v>1400</v>
      </c>
      <c r="H105" s="11">
        <f>Tablo14567891011[[#This Row],[ADET]]*Tablo14567891011[[#This Row],[SATIŞ]]</f>
        <v>1465</v>
      </c>
      <c r="J105" s="40" t="str">
        <f t="shared" si="1"/>
        <v/>
      </c>
    </row>
    <row r="106" spans="2:10" ht="21" hidden="1" customHeight="1" x14ac:dyDescent="0.3">
      <c r="B106" s="2">
        <v>45358</v>
      </c>
      <c r="C106" s="6">
        <v>50</v>
      </c>
      <c r="D106" s="10">
        <v>28.7</v>
      </c>
      <c r="E106" s="10">
        <v>29.6</v>
      </c>
      <c r="F106" s="9">
        <f>IF(Tablo14567891011[[#This Row],[SATIŞ]]=0,"Açık",(E106-D106)*C106)</f>
        <v>45.000000000000107</v>
      </c>
      <c r="G106" s="11">
        <f>Tablo14567891011[[#This Row],[ADET]]*Tablo14567891011[[#This Row],[ALIŞ]]</f>
        <v>1435</v>
      </c>
      <c r="H106" s="11">
        <f>Tablo14567891011[[#This Row],[ADET]]*Tablo14567891011[[#This Row],[SATIŞ]]</f>
        <v>1480</v>
      </c>
      <c r="J106" s="40" t="str">
        <f t="shared" si="1"/>
        <v/>
      </c>
    </row>
    <row r="107" spans="2:10" ht="21" hidden="1" customHeight="1" x14ac:dyDescent="0.3">
      <c r="B107" s="2">
        <v>45358</v>
      </c>
      <c r="C107" s="6">
        <v>50</v>
      </c>
      <c r="D107" s="10">
        <v>28.6</v>
      </c>
      <c r="E107" s="10">
        <v>29.2</v>
      </c>
      <c r="F107" s="9">
        <f>IF(Tablo14567891011[[#This Row],[SATIŞ]]=0,"Açık",(E107-D107)*C107)</f>
        <v>29.999999999999893</v>
      </c>
      <c r="G107" s="11">
        <f>Tablo14567891011[[#This Row],[ADET]]*Tablo14567891011[[#This Row],[ALIŞ]]</f>
        <v>1430</v>
      </c>
      <c r="H107" s="11">
        <f>Tablo14567891011[[#This Row],[ADET]]*Tablo14567891011[[#This Row],[SATIŞ]]</f>
        <v>1460</v>
      </c>
      <c r="J107" s="40" t="str">
        <f t="shared" si="1"/>
        <v/>
      </c>
    </row>
    <row r="108" spans="2:10" ht="21" hidden="1" customHeight="1" x14ac:dyDescent="0.3">
      <c r="B108" s="2">
        <v>45359</v>
      </c>
      <c r="C108" s="6">
        <v>50</v>
      </c>
      <c r="D108" s="10">
        <v>29.3</v>
      </c>
      <c r="E108" s="10">
        <v>29.4</v>
      </c>
      <c r="F108" s="9">
        <f>IF(Tablo14567891011[[#This Row],[SATIŞ]]=0,"Açık",(E108-D108)*C108)</f>
        <v>4.9999999999998934</v>
      </c>
      <c r="G108" s="11">
        <f>Tablo14567891011[[#This Row],[ADET]]*Tablo14567891011[[#This Row],[ALIŞ]]</f>
        <v>1465</v>
      </c>
      <c r="H108" s="11">
        <f>Tablo14567891011[[#This Row],[ADET]]*Tablo14567891011[[#This Row],[SATIŞ]]</f>
        <v>1470</v>
      </c>
      <c r="J108" s="40" t="str">
        <f t="shared" si="1"/>
        <v/>
      </c>
    </row>
    <row r="109" spans="2:10" ht="21" hidden="1" customHeight="1" x14ac:dyDescent="0.3">
      <c r="B109" s="2">
        <v>45359</v>
      </c>
      <c r="C109" s="6">
        <v>50</v>
      </c>
      <c r="D109" s="10">
        <v>29.2</v>
      </c>
      <c r="E109" s="10">
        <v>29.3</v>
      </c>
      <c r="F109" s="9">
        <f>IF(Tablo14567891011[[#This Row],[SATIŞ]]=0,"Açık",(E109-D109)*C109)</f>
        <v>5.0000000000000711</v>
      </c>
      <c r="G109" s="11">
        <f>Tablo14567891011[[#This Row],[ADET]]*Tablo14567891011[[#This Row],[ALIŞ]]</f>
        <v>1460</v>
      </c>
      <c r="H109" s="11">
        <f>Tablo14567891011[[#This Row],[ADET]]*Tablo14567891011[[#This Row],[SATIŞ]]</f>
        <v>1465</v>
      </c>
      <c r="J109" s="40" t="str">
        <f t="shared" si="1"/>
        <v/>
      </c>
    </row>
    <row r="110" spans="2:10" ht="21" hidden="1" customHeight="1" x14ac:dyDescent="0.3">
      <c r="B110" s="2">
        <v>45359</v>
      </c>
      <c r="C110" s="6">
        <v>50</v>
      </c>
      <c r="D110" s="10">
        <v>29.1</v>
      </c>
      <c r="E110" s="10">
        <v>29.3</v>
      </c>
      <c r="F110" s="9">
        <f>IF(Tablo14567891011[[#This Row],[SATIŞ]]=0,"Açık",(E110-D110)*C110)</f>
        <v>9.9999999999999645</v>
      </c>
      <c r="G110" s="11">
        <f>Tablo14567891011[[#This Row],[ADET]]*Tablo14567891011[[#This Row],[ALIŞ]]</f>
        <v>1455</v>
      </c>
      <c r="H110" s="11">
        <f>Tablo14567891011[[#This Row],[ADET]]*Tablo14567891011[[#This Row],[SATIŞ]]</f>
        <v>1465</v>
      </c>
      <c r="J110" s="40" t="str">
        <f t="shared" si="1"/>
        <v/>
      </c>
    </row>
    <row r="111" spans="2:10" ht="21" hidden="1" customHeight="1" x14ac:dyDescent="0.3">
      <c r="B111" s="2">
        <v>45359</v>
      </c>
      <c r="C111" s="6">
        <v>50</v>
      </c>
      <c r="D111" s="10">
        <v>29</v>
      </c>
      <c r="E111" s="10">
        <v>30.54</v>
      </c>
      <c r="F111" s="9">
        <f>IF(Tablo14567891011[[#This Row],[SATIŞ]]=0,"Açık",(E111-D111)*C111)</f>
        <v>76.999999999999957</v>
      </c>
      <c r="G111" s="11">
        <f>Tablo14567891011[[#This Row],[ADET]]*Tablo14567891011[[#This Row],[ALIŞ]]</f>
        <v>1450</v>
      </c>
      <c r="H111" s="11">
        <f>Tablo14567891011[[#This Row],[ADET]]*Tablo14567891011[[#This Row],[SATIŞ]]</f>
        <v>1527</v>
      </c>
      <c r="J111" s="40" t="str">
        <f t="shared" si="1"/>
        <v/>
      </c>
    </row>
    <row r="112" spans="2:10" ht="21" hidden="1" customHeight="1" x14ac:dyDescent="0.3">
      <c r="B112" s="2">
        <v>45359</v>
      </c>
      <c r="C112" s="6">
        <v>50</v>
      </c>
      <c r="D112" s="10">
        <v>28.9</v>
      </c>
      <c r="E112" s="10">
        <v>30.54</v>
      </c>
      <c r="F112" s="9">
        <f>IF(Tablo14567891011[[#This Row],[SATIŞ]]=0,"Açık",(E112-D112)*C112)</f>
        <v>82.000000000000028</v>
      </c>
      <c r="G112" s="11">
        <f>Tablo14567891011[[#This Row],[ADET]]*Tablo14567891011[[#This Row],[ALIŞ]]</f>
        <v>1445</v>
      </c>
      <c r="H112" s="11">
        <f>Tablo14567891011[[#This Row],[ADET]]*Tablo14567891011[[#This Row],[SATIŞ]]</f>
        <v>1527</v>
      </c>
      <c r="J112" s="40" t="str">
        <f t="shared" si="1"/>
        <v/>
      </c>
    </row>
    <row r="113" spans="2:10" ht="21" hidden="1" customHeight="1" x14ac:dyDescent="0.3">
      <c r="B113" s="2">
        <v>45359</v>
      </c>
      <c r="C113" s="6">
        <v>50</v>
      </c>
      <c r="D113" s="10">
        <v>29</v>
      </c>
      <c r="E113" s="10">
        <v>30.54</v>
      </c>
      <c r="F113" s="9">
        <f>IF(Tablo14567891011[[#This Row],[SATIŞ]]=0,"Açık",(E113-D113)*C113)</f>
        <v>76.999999999999957</v>
      </c>
      <c r="G113" s="11">
        <f>Tablo14567891011[[#This Row],[ADET]]*Tablo14567891011[[#This Row],[ALIŞ]]</f>
        <v>1450</v>
      </c>
      <c r="H113" s="11">
        <f>Tablo14567891011[[#This Row],[ADET]]*Tablo14567891011[[#This Row],[SATIŞ]]</f>
        <v>1527</v>
      </c>
      <c r="J113" s="40" t="str">
        <f t="shared" si="1"/>
        <v/>
      </c>
    </row>
    <row r="114" spans="2:10" ht="21" hidden="1" customHeight="1" x14ac:dyDescent="0.3">
      <c r="B114" s="2">
        <v>45359</v>
      </c>
      <c r="C114" s="6">
        <v>25</v>
      </c>
      <c r="D114" s="10">
        <v>29</v>
      </c>
      <c r="E114" s="10">
        <v>30.54</v>
      </c>
      <c r="F114" s="9">
        <f>IF(Tablo14567891011[[#This Row],[SATIŞ]]=0,"Açık",(E114-D114)*C114)</f>
        <v>38.499999999999979</v>
      </c>
      <c r="G114" s="11">
        <f>Tablo14567891011[[#This Row],[ADET]]*Tablo14567891011[[#This Row],[ALIŞ]]</f>
        <v>725</v>
      </c>
      <c r="H114" s="11">
        <f>Tablo14567891011[[#This Row],[ADET]]*Tablo14567891011[[#This Row],[SATIŞ]]</f>
        <v>763.5</v>
      </c>
      <c r="J114" s="40" t="str">
        <f t="shared" si="1"/>
        <v/>
      </c>
    </row>
    <row r="115" spans="2:10" ht="21" customHeight="1" x14ac:dyDescent="0.3">
      <c r="B115" s="2">
        <v>45362</v>
      </c>
      <c r="C115" s="6">
        <v>50</v>
      </c>
      <c r="D115" s="10">
        <v>30</v>
      </c>
      <c r="E115" s="10"/>
      <c r="F115" s="9" t="str">
        <f>IF(Tablo14567891011[[#This Row],[SATIŞ]]=0,"Açık",(E115-D115)*C115)</f>
        <v>Açık</v>
      </c>
      <c r="G115" s="11">
        <f>Tablo14567891011[[#This Row],[ADET]]*Tablo14567891011[[#This Row],[ALIŞ]]</f>
        <v>1500</v>
      </c>
      <c r="H115" s="11">
        <f>Tablo14567891011[[#This Row],[ADET]]*Tablo14567891011[[#This Row],[SATIŞ]]</f>
        <v>0</v>
      </c>
      <c r="J115" s="40">
        <f t="shared" si="1"/>
        <v>31.5</v>
      </c>
    </row>
    <row r="116" spans="2:10" ht="21" customHeight="1" x14ac:dyDescent="0.3">
      <c r="B116" s="2">
        <v>45362</v>
      </c>
      <c r="C116" s="6">
        <v>50</v>
      </c>
      <c r="D116" s="10">
        <v>30</v>
      </c>
      <c r="E116" s="10"/>
      <c r="F116" s="9" t="str">
        <f>IF(Tablo14567891011[[#This Row],[SATIŞ]]=0,"Açık",(E116-D116)*C116)</f>
        <v>Açık</v>
      </c>
      <c r="G116" s="11">
        <f>Tablo14567891011[[#This Row],[ADET]]*Tablo14567891011[[#This Row],[ALIŞ]]</f>
        <v>1500</v>
      </c>
      <c r="H116" s="11">
        <f>Tablo14567891011[[#This Row],[ADET]]*Tablo14567891011[[#This Row],[SATIŞ]]</f>
        <v>0</v>
      </c>
      <c r="J116" s="40">
        <f t="shared" si="1"/>
        <v>31.5</v>
      </c>
    </row>
    <row r="117" spans="2:10" ht="21" hidden="1" customHeight="1" x14ac:dyDescent="0.3">
      <c r="B117" s="2">
        <v>45363</v>
      </c>
      <c r="C117" s="6">
        <v>100</v>
      </c>
      <c r="D117" s="10">
        <v>28.4</v>
      </c>
      <c r="E117" s="10">
        <v>28.6</v>
      </c>
      <c r="F117" s="9">
        <f>IF(Tablo14567891011[[#This Row],[SATIŞ]]=0,"Açık",(E117-D117)*C117)</f>
        <v>20.000000000000284</v>
      </c>
      <c r="G117" s="11">
        <f>Tablo14567891011[[#This Row],[ADET]]*Tablo14567891011[[#This Row],[ALIŞ]]</f>
        <v>2840</v>
      </c>
      <c r="H117" s="11">
        <f>Tablo14567891011[[#This Row],[ADET]]*Tablo14567891011[[#This Row],[SATIŞ]]</f>
        <v>2860</v>
      </c>
      <c r="J117" s="40" t="str">
        <f t="shared" si="1"/>
        <v/>
      </c>
    </row>
    <row r="118" spans="2:10" ht="21" customHeight="1" x14ac:dyDescent="0.3">
      <c r="B118" s="2">
        <v>45363</v>
      </c>
      <c r="C118" s="6">
        <v>50</v>
      </c>
      <c r="D118" s="10">
        <v>28.4</v>
      </c>
      <c r="E118" s="10"/>
      <c r="F118" s="9" t="str">
        <f>IF(Tablo14567891011[[#This Row],[SATIŞ]]=0,"Açık",(E118-D118)*C118)</f>
        <v>Açık</v>
      </c>
      <c r="G118" s="11">
        <f>Tablo14567891011[[#This Row],[ADET]]*Tablo14567891011[[#This Row],[ALIŞ]]</f>
        <v>1420</v>
      </c>
      <c r="H118" s="11">
        <f>Tablo14567891011[[#This Row],[ADET]]*Tablo14567891011[[#This Row],[SATIŞ]]</f>
        <v>0</v>
      </c>
      <c r="J118" s="40">
        <f t="shared" si="1"/>
        <v>29.82</v>
      </c>
    </row>
    <row r="119" spans="2:10" ht="21" customHeight="1" x14ac:dyDescent="0.3">
      <c r="B119" s="2">
        <v>45363</v>
      </c>
      <c r="C119" s="6">
        <v>50</v>
      </c>
      <c r="D119" s="10">
        <v>28.42</v>
      </c>
      <c r="E119" s="10"/>
      <c r="F119" s="9" t="str">
        <f>IF(Tablo14567891011[[#This Row],[SATIŞ]]=0,"Açık",(E119-D119)*C119)</f>
        <v>Açık</v>
      </c>
      <c r="G119" s="11">
        <f>Tablo14567891011[[#This Row],[ADET]]*Tablo14567891011[[#This Row],[ALIŞ]]</f>
        <v>1421</v>
      </c>
      <c r="H119" s="11">
        <f>Tablo14567891011[[#This Row],[ADET]]*Tablo14567891011[[#This Row],[SATIŞ]]</f>
        <v>0</v>
      </c>
      <c r="J119" s="40">
        <f t="shared" si="1"/>
        <v>29.841000000000005</v>
      </c>
    </row>
    <row r="120" spans="2:10" ht="21" customHeight="1" x14ac:dyDescent="0.3">
      <c r="B120" s="2">
        <v>45363</v>
      </c>
      <c r="C120" s="6">
        <v>50</v>
      </c>
      <c r="D120" s="10">
        <v>28.42</v>
      </c>
      <c r="E120" s="10"/>
      <c r="F120" s="9" t="str">
        <f>IF(Tablo14567891011[[#This Row],[SATIŞ]]=0,"Açık",(E120-D120)*C120)</f>
        <v>Açık</v>
      </c>
      <c r="G120" s="11">
        <f>Tablo14567891011[[#This Row],[ADET]]*Tablo14567891011[[#This Row],[ALIŞ]]</f>
        <v>1421</v>
      </c>
      <c r="H120" s="11">
        <f>Tablo14567891011[[#This Row],[ADET]]*Tablo14567891011[[#This Row],[SATIŞ]]</f>
        <v>0</v>
      </c>
      <c r="J120" s="40">
        <f t="shared" si="1"/>
        <v>29.841000000000005</v>
      </c>
    </row>
    <row r="121" spans="2:10" ht="21" customHeight="1" x14ac:dyDescent="0.3">
      <c r="B121" s="2">
        <v>45363</v>
      </c>
      <c r="C121" s="6">
        <v>50</v>
      </c>
      <c r="D121" s="10">
        <v>28.4</v>
      </c>
      <c r="E121" s="10"/>
      <c r="F121" s="9" t="str">
        <f>IF(Tablo14567891011[[#This Row],[SATIŞ]]=0,"Açık",(E121-D121)*C121)</f>
        <v>Açık</v>
      </c>
      <c r="G121" s="11">
        <f>Tablo14567891011[[#This Row],[ADET]]*Tablo14567891011[[#This Row],[ALIŞ]]</f>
        <v>1420</v>
      </c>
      <c r="H121" s="11">
        <f>Tablo14567891011[[#This Row],[ADET]]*Tablo14567891011[[#This Row],[SATIŞ]]</f>
        <v>0</v>
      </c>
      <c r="J121" s="40">
        <f t="shared" si="1"/>
        <v>29.82</v>
      </c>
    </row>
    <row r="122" spans="2:10" ht="21" customHeight="1" x14ac:dyDescent="0.3">
      <c r="B122" s="2">
        <v>45363</v>
      </c>
      <c r="C122" s="6">
        <v>50</v>
      </c>
      <c r="D122" s="10">
        <v>28.4</v>
      </c>
      <c r="E122" s="10"/>
      <c r="F122" s="9" t="str">
        <f>IF(Tablo14567891011[[#This Row],[SATIŞ]]=0,"Açık",(E122-D122)*C122)</f>
        <v>Açık</v>
      </c>
      <c r="G122" s="11">
        <f>Tablo14567891011[[#This Row],[ADET]]*Tablo14567891011[[#This Row],[ALIŞ]]</f>
        <v>1420</v>
      </c>
      <c r="H122" s="11">
        <f>Tablo14567891011[[#This Row],[ADET]]*Tablo14567891011[[#This Row],[SATIŞ]]</f>
        <v>0</v>
      </c>
      <c r="J122" s="40">
        <f t="shared" si="1"/>
        <v>29.82</v>
      </c>
    </row>
    <row r="123" spans="2:10" ht="21" hidden="1" customHeight="1" x14ac:dyDescent="0.3">
      <c r="B123" s="2">
        <v>45363</v>
      </c>
      <c r="C123" s="6">
        <v>50</v>
      </c>
      <c r="D123" s="10">
        <v>28.38</v>
      </c>
      <c r="E123" s="10">
        <v>28.4</v>
      </c>
      <c r="F123" s="9">
        <f>IF(Tablo14567891011[[#This Row],[SATIŞ]]=0,"Açık",(E123-D123)*C123)</f>
        <v>0.99999999999997868</v>
      </c>
      <c r="G123" s="11">
        <f>Tablo14567891011[[#This Row],[ADET]]*Tablo14567891011[[#This Row],[ALIŞ]]</f>
        <v>1419</v>
      </c>
      <c r="H123" s="11">
        <f>Tablo14567891011[[#This Row],[ADET]]*Tablo14567891011[[#This Row],[SATIŞ]]</f>
        <v>1420</v>
      </c>
      <c r="J123" s="40" t="str">
        <f t="shared" si="1"/>
        <v/>
      </c>
    </row>
    <row r="124" spans="2:10" ht="21" hidden="1" customHeight="1" x14ac:dyDescent="0.3">
      <c r="B124" s="2">
        <v>45363</v>
      </c>
      <c r="C124" s="6">
        <v>50</v>
      </c>
      <c r="D124" s="10">
        <v>28.38</v>
      </c>
      <c r="E124" s="10">
        <v>28.5</v>
      </c>
      <c r="F124" s="9">
        <f>IF(Tablo14567891011[[#This Row],[SATIŞ]]=0,"Açık",(E124-D124)*C124)</f>
        <v>6.0000000000000497</v>
      </c>
      <c r="G124" s="11">
        <f>Tablo14567891011[[#This Row],[ADET]]*Tablo14567891011[[#This Row],[ALIŞ]]</f>
        <v>1419</v>
      </c>
      <c r="H124" s="11">
        <f>Tablo14567891011[[#This Row],[ADET]]*Tablo14567891011[[#This Row],[SATIŞ]]</f>
        <v>1425</v>
      </c>
      <c r="J124" s="40" t="str">
        <f t="shared" si="1"/>
        <v/>
      </c>
    </row>
    <row r="125" spans="2:10" ht="21" hidden="1" customHeight="1" x14ac:dyDescent="0.3">
      <c r="B125" s="2">
        <v>45363</v>
      </c>
      <c r="C125" s="6">
        <v>50</v>
      </c>
      <c r="D125" s="10">
        <v>28.3</v>
      </c>
      <c r="E125" s="10">
        <v>28.4</v>
      </c>
      <c r="F125" s="9">
        <f>IF(Tablo14567891011[[#This Row],[SATIŞ]]=0,"Açık",(E125-D125)*C125)</f>
        <v>4.9999999999998934</v>
      </c>
      <c r="G125" s="11">
        <f>Tablo14567891011[[#This Row],[ADET]]*Tablo14567891011[[#This Row],[ALIŞ]]</f>
        <v>1415</v>
      </c>
      <c r="H125" s="11">
        <f>Tablo14567891011[[#This Row],[ADET]]*Tablo14567891011[[#This Row],[SATIŞ]]</f>
        <v>1420</v>
      </c>
      <c r="J125" s="40" t="str">
        <f t="shared" si="1"/>
        <v/>
      </c>
    </row>
    <row r="126" spans="2:10" ht="21" customHeight="1" x14ac:dyDescent="0.3">
      <c r="B126" s="2">
        <v>45363</v>
      </c>
      <c r="C126" s="6">
        <v>50</v>
      </c>
      <c r="D126" s="10">
        <v>28.3</v>
      </c>
      <c r="E126" s="10"/>
      <c r="F126" s="9" t="str">
        <f>IF(Tablo14567891011[[#This Row],[SATIŞ]]=0,"Açık",(E126-D126)*C126)</f>
        <v>Açık</v>
      </c>
      <c r="G126" s="11">
        <f>Tablo14567891011[[#This Row],[ADET]]*Tablo14567891011[[#This Row],[ALIŞ]]</f>
        <v>1415</v>
      </c>
      <c r="H126" s="11">
        <f>Tablo14567891011[[#This Row],[ADET]]*Tablo14567891011[[#This Row],[SATIŞ]]</f>
        <v>0</v>
      </c>
      <c r="J126" s="40">
        <f t="shared" si="1"/>
        <v>29.715000000000003</v>
      </c>
    </row>
    <row r="127" spans="2:10" ht="21" customHeight="1" x14ac:dyDescent="0.3">
      <c r="B127" s="2">
        <v>45363</v>
      </c>
      <c r="C127" s="6">
        <v>50</v>
      </c>
      <c r="D127" s="10">
        <v>28.3</v>
      </c>
      <c r="E127" s="10"/>
      <c r="F127" s="9" t="str">
        <f>IF(Tablo14567891011[[#This Row],[SATIŞ]]=0,"Açık",(E127-D127)*C127)</f>
        <v>Açık</v>
      </c>
      <c r="G127" s="11">
        <f>Tablo14567891011[[#This Row],[ADET]]*Tablo14567891011[[#This Row],[ALIŞ]]</f>
        <v>1415</v>
      </c>
      <c r="H127" s="11">
        <f>Tablo14567891011[[#This Row],[ADET]]*Tablo14567891011[[#This Row],[SATIŞ]]</f>
        <v>0</v>
      </c>
      <c r="J127" s="40">
        <f t="shared" si="1"/>
        <v>29.715000000000003</v>
      </c>
    </row>
    <row r="128" spans="2:10" ht="21" customHeight="1" x14ac:dyDescent="0.3">
      <c r="B128" s="2">
        <v>45363</v>
      </c>
      <c r="C128" s="6">
        <v>50</v>
      </c>
      <c r="D128" s="10">
        <v>28.3</v>
      </c>
      <c r="E128" s="10"/>
      <c r="F128" s="9" t="str">
        <f>IF(Tablo14567891011[[#This Row],[SATIŞ]]=0,"Açık",(E128-D128)*C128)</f>
        <v>Açık</v>
      </c>
      <c r="G128" s="11">
        <f>Tablo14567891011[[#This Row],[ADET]]*Tablo14567891011[[#This Row],[ALIŞ]]</f>
        <v>1415</v>
      </c>
      <c r="H128" s="11">
        <f>Tablo14567891011[[#This Row],[ADET]]*Tablo14567891011[[#This Row],[SATIŞ]]</f>
        <v>0</v>
      </c>
      <c r="J128" s="40">
        <f t="shared" si="1"/>
        <v>29.715000000000003</v>
      </c>
    </row>
    <row r="129" spans="2:10" ht="21" customHeight="1" x14ac:dyDescent="0.3">
      <c r="B129" s="2">
        <v>45363</v>
      </c>
      <c r="C129" s="6">
        <v>50</v>
      </c>
      <c r="D129" s="10">
        <v>28.3</v>
      </c>
      <c r="E129" s="10"/>
      <c r="F129" s="9" t="str">
        <f>IF(Tablo14567891011[[#This Row],[SATIŞ]]=0,"Açık",(E129-D129)*C129)</f>
        <v>Açık</v>
      </c>
      <c r="G129" s="11">
        <f>Tablo14567891011[[#This Row],[ADET]]*Tablo14567891011[[#This Row],[ALIŞ]]</f>
        <v>1415</v>
      </c>
      <c r="H129" s="11">
        <f>Tablo14567891011[[#This Row],[ADET]]*Tablo14567891011[[#This Row],[SATIŞ]]</f>
        <v>0</v>
      </c>
      <c r="J129" s="40">
        <f t="shared" si="1"/>
        <v>29.715000000000003</v>
      </c>
    </row>
    <row r="130" spans="2:10" ht="21" customHeight="1" x14ac:dyDescent="0.3">
      <c r="B130" s="2">
        <v>45363</v>
      </c>
      <c r="C130" s="6">
        <v>50</v>
      </c>
      <c r="D130" s="10">
        <v>28.3</v>
      </c>
      <c r="E130" s="10"/>
      <c r="F130" s="9" t="str">
        <f>IF(Tablo14567891011[[#This Row],[SATIŞ]]=0,"Açık",(E130-D130)*C130)</f>
        <v>Açık</v>
      </c>
      <c r="G130" s="11">
        <f>Tablo14567891011[[#This Row],[ADET]]*Tablo14567891011[[#This Row],[ALIŞ]]</f>
        <v>1415</v>
      </c>
      <c r="H130" s="11">
        <f>Tablo14567891011[[#This Row],[ADET]]*Tablo14567891011[[#This Row],[SATIŞ]]</f>
        <v>0</v>
      </c>
      <c r="J130" s="40">
        <f t="shared" si="1"/>
        <v>29.715000000000003</v>
      </c>
    </row>
    <row r="131" spans="2:10" ht="21" hidden="1" customHeight="1" x14ac:dyDescent="0.3">
      <c r="B131" s="2">
        <v>45363</v>
      </c>
      <c r="C131" s="6">
        <v>50</v>
      </c>
      <c r="D131" s="10">
        <v>28.2</v>
      </c>
      <c r="E131" s="10">
        <v>28.3</v>
      </c>
      <c r="F131" s="9">
        <f>IF(Tablo14567891011[[#This Row],[SATIŞ]]=0,"Açık",(E131-D131)*C131)</f>
        <v>5.0000000000000711</v>
      </c>
      <c r="G131" s="11">
        <f>Tablo14567891011[[#This Row],[ADET]]*Tablo14567891011[[#This Row],[ALIŞ]]</f>
        <v>1410</v>
      </c>
      <c r="H131" s="11">
        <f>Tablo14567891011[[#This Row],[ADET]]*Tablo14567891011[[#This Row],[SATIŞ]]</f>
        <v>1415</v>
      </c>
      <c r="J131" s="40" t="str">
        <f t="shared" si="1"/>
        <v/>
      </c>
    </row>
    <row r="132" spans="2:10" ht="21" customHeight="1" x14ac:dyDescent="0.3">
      <c r="B132" s="2">
        <v>45363</v>
      </c>
      <c r="C132" s="6">
        <v>50</v>
      </c>
      <c r="D132" s="10">
        <v>28.2</v>
      </c>
      <c r="E132" s="10"/>
      <c r="F132" s="9" t="str">
        <f>IF(Tablo14567891011[[#This Row],[SATIŞ]]=0,"Açık",(E132-D132)*C132)</f>
        <v>Açık</v>
      </c>
      <c r="G132" s="11">
        <f>Tablo14567891011[[#This Row],[ADET]]*Tablo14567891011[[#This Row],[ALIŞ]]</f>
        <v>1410</v>
      </c>
      <c r="H132" s="11">
        <f>Tablo14567891011[[#This Row],[ADET]]*Tablo14567891011[[#This Row],[SATIŞ]]</f>
        <v>0</v>
      </c>
      <c r="J132" s="40">
        <f t="shared" si="1"/>
        <v>29.61</v>
      </c>
    </row>
    <row r="133" spans="2:10" ht="21" hidden="1" customHeight="1" x14ac:dyDescent="0.3">
      <c r="B133" s="2">
        <v>45364</v>
      </c>
      <c r="C133" s="6">
        <v>50</v>
      </c>
      <c r="D133" s="10">
        <v>27.5</v>
      </c>
      <c r="E133" s="10">
        <v>28.2</v>
      </c>
      <c r="F133" s="9">
        <f>IF(Tablo14567891011[[#This Row],[SATIŞ]]=0,"Açık",(E133-D133)*C133)</f>
        <v>34.999999999999964</v>
      </c>
      <c r="G133" s="11">
        <f>Tablo14567891011[[#This Row],[ADET]]*Tablo14567891011[[#This Row],[ALIŞ]]</f>
        <v>1375</v>
      </c>
      <c r="H133" s="11">
        <f>Tablo14567891011[[#This Row],[ADET]]*Tablo14567891011[[#This Row],[SATIŞ]]</f>
        <v>1410</v>
      </c>
      <c r="J133" s="40" t="str">
        <f t="shared" si="1"/>
        <v/>
      </c>
    </row>
    <row r="134" spans="2:10" ht="21" hidden="1" customHeight="1" x14ac:dyDescent="0.3">
      <c r="B134" s="2">
        <v>45364</v>
      </c>
      <c r="C134" s="6">
        <v>100</v>
      </c>
      <c r="D134" s="10">
        <v>27.52</v>
      </c>
      <c r="E134" s="10">
        <v>28.2</v>
      </c>
      <c r="F134" s="9">
        <f>IF(Tablo14567891011[[#This Row],[SATIŞ]]=0,"Açık",(E134-D134)*C134)</f>
        <v>67.999999999999972</v>
      </c>
      <c r="G134" s="11">
        <f>Tablo14567891011[[#This Row],[ADET]]*Tablo14567891011[[#This Row],[ALIŞ]]</f>
        <v>2752</v>
      </c>
      <c r="H134" s="11">
        <f>Tablo14567891011[[#This Row],[ADET]]*Tablo14567891011[[#This Row],[SATIŞ]]</f>
        <v>2820</v>
      </c>
      <c r="J134" s="40" t="str">
        <f t="shared" si="1"/>
        <v/>
      </c>
    </row>
    <row r="135" spans="2:10" ht="21" hidden="1" customHeight="1" x14ac:dyDescent="0.3">
      <c r="B135" s="2">
        <v>45364</v>
      </c>
      <c r="C135" s="6">
        <v>100</v>
      </c>
      <c r="D135" s="10">
        <v>27.5</v>
      </c>
      <c r="E135" s="10">
        <v>28.3</v>
      </c>
      <c r="F135" s="9">
        <f>IF(Tablo14567891011[[#This Row],[SATIŞ]]=0,"Açık",(E135-D135)*C135)</f>
        <v>80.000000000000071</v>
      </c>
      <c r="G135" s="11">
        <f>Tablo14567891011[[#This Row],[ADET]]*Tablo14567891011[[#This Row],[ALIŞ]]</f>
        <v>2750</v>
      </c>
      <c r="H135" s="11">
        <f>Tablo14567891011[[#This Row],[ADET]]*Tablo14567891011[[#This Row],[SATIŞ]]</f>
        <v>2830</v>
      </c>
      <c r="J135" s="40" t="str">
        <f t="shared" si="1"/>
        <v/>
      </c>
    </row>
    <row r="136" spans="2:10" ht="21" hidden="1" customHeight="1" x14ac:dyDescent="0.3">
      <c r="B136" s="2">
        <v>45364</v>
      </c>
      <c r="C136" s="6">
        <v>100</v>
      </c>
      <c r="D136" s="10">
        <v>27.54</v>
      </c>
      <c r="E136" s="10">
        <v>28.3</v>
      </c>
      <c r="F136" s="9">
        <f>IF(Tablo14567891011[[#This Row],[SATIŞ]]=0,"Açık",(E136-D136)*C136)</f>
        <v>76.000000000000156</v>
      </c>
      <c r="G136" s="11">
        <f>Tablo14567891011[[#This Row],[ADET]]*Tablo14567891011[[#This Row],[ALIŞ]]</f>
        <v>2754</v>
      </c>
      <c r="H136" s="11">
        <f>Tablo14567891011[[#This Row],[ADET]]*Tablo14567891011[[#This Row],[SATIŞ]]</f>
        <v>2830</v>
      </c>
      <c r="J136" s="40" t="str">
        <f t="shared" si="1"/>
        <v/>
      </c>
    </row>
    <row r="137" spans="2:10" ht="21" hidden="1" customHeight="1" x14ac:dyDescent="0.3">
      <c r="B137" s="2">
        <v>45364</v>
      </c>
      <c r="C137" s="6">
        <v>100</v>
      </c>
      <c r="D137" s="10">
        <v>27.52</v>
      </c>
      <c r="E137" s="10">
        <v>28.24</v>
      </c>
      <c r="F137" s="9">
        <f>IF(Tablo14567891011[[#This Row],[SATIŞ]]=0,"Açık",(E137-D137)*C137)</f>
        <v>71.999999999999886</v>
      </c>
      <c r="G137" s="11">
        <f>Tablo14567891011[[#This Row],[ADET]]*Tablo14567891011[[#This Row],[ALIŞ]]</f>
        <v>2752</v>
      </c>
      <c r="H137" s="11">
        <f>Tablo14567891011[[#This Row],[ADET]]*Tablo14567891011[[#This Row],[SATIŞ]]</f>
        <v>2824</v>
      </c>
      <c r="J137" s="40" t="str">
        <f t="shared" si="1"/>
        <v/>
      </c>
    </row>
    <row r="138" spans="2:10" ht="21" hidden="1" customHeight="1" x14ac:dyDescent="0.3">
      <c r="B138" s="2">
        <v>45364</v>
      </c>
      <c r="C138" s="6">
        <v>100</v>
      </c>
      <c r="D138" s="10">
        <v>27.52</v>
      </c>
      <c r="E138" s="10">
        <v>28.1</v>
      </c>
      <c r="F138" s="9">
        <f>IF(Tablo14567891011[[#This Row],[SATIŞ]]=0,"Açık",(E138-D138)*C138)</f>
        <v>58.000000000000185</v>
      </c>
      <c r="G138" s="11">
        <f>Tablo14567891011[[#This Row],[ADET]]*Tablo14567891011[[#This Row],[ALIŞ]]</f>
        <v>2752</v>
      </c>
      <c r="H138" s="11">
        <f>Tablo14567891011[[#This Row],[ADET]]*Tablo14567891011[[#This Row],[SATIŞ]]</f>
        <v>2810</v>
      </c>
      <c r="J138" s="40" t="str">
        <f t="shared" si="1"/>
        <v/>
      </c>
    </row>
    <row r="139" spans="2:10" ht="21" hidden="1" customHeight="1" x14ac:dyDescent="0.3">
      <c r="B139" s="2">
        <v>45364</v>
      </c>
      <c r="C139" s="6">
        <v>100</v>
      </c>
      <c r="D139" s="10">
        <v>27.52</v>
      </c>
      <c r="E139" s="10">
        <v>28</v>
      </c>
      <c r="F139" s="9">
        <f>IF(Tablo14567891011[[#This Row],[SATIŞ]]=0,"Açık",(E139-D139)*C139)</f>
        <v>48.000000000000043</v>
      </c>
      <c r="G139" s="11">
        <f>Tablo14567891011[[#This Row],[ADET]]*Tablo14567891011[[#This Row],[ALIŞ]]</f>
        <v>2752</v>
      </c>
      <c r="H139" s="11">
        <f>Tablo14567891011[[#This Row],[ADET]]*Tablo14567891011[[#This Row],[SATIŞ]]</f>
        <v>2800</v>
      </c>
      <c r="J139" s="40" t="str">
        <f t="shared" si="1"/>
        <v/>
      </c>
    </row>
    <row r="140" spans="2:10" ht="21" hidden="1" customHeight="1" x14ac:dyDescent="0.3">
      <c r="B140" s="2">
        <v>45364</v>
      </c>
      <c r="C140" s="6">
        <v>100</v>
      </c>
      <c r="D140" s="10">
        <v>27.54</v>
      </c>
      <c r="E140" s="10">
        <v>27.6</v>
      </c>
      <c r="F140" s="9">
        <f>IF(Tablo14567891011[[#This Row],[SATIŞ]]=0,"Açık",(E140-D140)*C140)</f>
        <v>6.0000000000002274</v>
      </c>
      <c r="G140" s="11">
        <f>Tablo14567891011[[#This Row],[ADET]]*Tablo14567891011[[#This Row],[ALIŞ]]</f>
        <v>2754</v>
      </c>
      <c r="H140" s="11">
        <f>Tablo14567891011[[#This Row],[ADET]]*Tablo14567891011[[#This Row],[SATIŞ]]</f>
        <v>2760</v>
      </c>
      <c r="J140" s="40" t="str">
        <f t="shared" ref="J140:J203" si="2">IF(E140=0,D140*1.05,"")</f>
        <v/>
      </c>
    </row>
    <row r="141" spans="2:10" ht="21" hidden="1" customHeight="1" x14ac:dyDescent="0.3">
      <c r="B141" s="2">
        <v>45364</v>
      </c>
      <c r="C141" s="6">
        <v>50</v>
      </c>
      <c r="D141" s="10">
        <v>27.52</v>
      </c>
      <c r="E141" s="10">
        <v>27.4</v>
      </c>
      <c r="F141" s="9">
        <f>IF(Tablo14567891011[[#This Row],[SATIŞ]]=0,"Açık",(E141-D141)*C141)</f>
        <v>-6.0000000000000497</v>
      </c>
      <c r="G141" s="11">
        <f>Tablo14567891011[[#This Row],[ADET]]*Tablo14567891011[[#This Row],[ALIŞ]]</f>
        <v>1376</v>
      </c>
      <c r="H141" s="11">
        <f>Tablo14567891011[[#This Row],[ADET]]*Tablo14567891011[[#This Row],[SATIŞ]]</f>
        <v>1370</v>
      </c>
      <c r="J141" s="40" t="str">
        <f t="shared" si="2"/>
        <v/>
      </c>
    </row>
    <row r="142" spans="2:10" ht="21" hidden="1" customHeight="1" x14ac:dyDescent="0.3">
      <c r="B142" s="2">
        <v>45364</v>
      </c>
      <c r="C142" s="6">
        <v>400</v>
      </c>
      <c r="D142" s="10">
        <v>27.5</v>
      </c>
      <c r="E142" s="10">
        <v>28.05</v>
      </c>
      <c r="F142" s="9">
        <f>IF(Tablo14567891011[[#This Row],[SATIŞ]]=0,"Açık",(E142-D142)*C142)</f>
        <v>220.00000000000028</v>
      </c>
      <c r="G142" s="11">
        <f>Tablo14567891011[[#This Row],[ADET]]*Tablo14567891011[[#This Row],[ALIŞ]]</f>
        <v>11000</v>
      </c>
      <c r="H142" s="11">
        <f>Tablo14567891011[[#This Row],[ADET]]*Tablo14567891011[[#This Row],[SATIŞ]]</f>
        <v>11220</v>
      </c>
      <c r="J142" s="40" t="str">
        <f t="shared" si="2"/>
        <v/>
      </c>
    </row>
    <row r="143" spans="2:10" ht="21" hidden="1" customHeight="1" x14ac:dyDescent="0.3">
      <c r="B143" s="2">
        <v>45364</v>
      </c>
      <c r="C143" s="6">
        <v>200</v>
      </c>
      <c r="D143" s="10">
        <v>27.5</v>
      </c>
      <c r="E143" s="10">
        <v>28.35</v>
      </c>
      <c r="F143" s="9">
        <f>IF(Tablo14567891011[[#This Row],[SATIŞ]]=0,"Açık",(E143-D143)*C143)</f>
        <v>170.00000000000028</v>
      </c>
      <c r="G143" s="11">
        <f>Tablo14567891011[[#This Row],[ADET]]*Tablo14567891011[[#This Row],[ALIŞ]]</f>
        <v>5500</v>
      </c>
      <c r="H143" s="11">
        <f>Tablo14567891011[[#This Row],[ADET]]*Tablo14567891011[[#This Row],[SATIŞ]]</f>
        <v>5670</v>
      </c>
      <c r="J143" s="40" t="str">
        <f t="shared" si="2"/>
        <v/>
      </c>
    </row>
    <row r="144" spans="2:10" ht="21" hidden="1" customHeight="1" x14ac:dyDescent="0.3">
      <c r="B144" s="2">
        <v>45364</v>
      </c>
      <c r="C144" s="6">
        <v>200</v>
      </c>
      <c r="D144" s="10">
        <v>27.5</v>
      </c>
      <c r="E144" s="10">
        <v>28.65</v>
      </c>
      <c r="F144" s="9">
        <f>IF(Tablo14567891011[[#This Row],[SATIŞ]]=0,"Açık",(E144-D144)*C144)</f>
        <v>229.99999999999972</v>
      </c>
      <c r="G144" s="11">
        <f>Tablo14567891011[[#This Row],[ADET]]*Tablo14567891011[[#This Row],[ALIŞ]]</f>
        <v>5500</v>
      </c>
      <c r="H144" s="11">
        <f>Tablo14567891011[[#This Row],[ADET]]*Tablo14567891011[[#This Row],[SATIŞ]]</f>
        <v>5730</v>
      </c>
      <c r="J144" s="40" t="str">
        <f t="shared" si="2"/>
        <v/>
      </c>
    </row>
    <row r="145" spans="2:10" ht="21" hidden="1" customHeight="1" x14ac:dyDescent="0.3">
      <c r="B145" s="2">
        <v>45364</v>
      </c>
      <c r="C145" s="6">
        <v>100</v>
      </c>
      <c r="D145" s="10">
        <v>27.5</v>
      </c>
      <c r="E145" s="10">
        <v>29.3</v>
      </c>
      <c r="F145" s="9">
        <f>IF(Tablo14567891011[[#This Row],[SATIŞ]]=0,"Açık",(E145-D145)*C145)</f>
        <v>180.00000000000006</v>
      </c>
      <c r="G145" s="11">
        <f>Tablo14567891011[[#This Row],[ADET]]*Tablo14567891011[[#This Row],[ALIŞ]]</f>
        <v>2750</v>
      </c>
      <c r="H145" s="11">
        <f>Tablo14567891011[[#This Row],[ADET]]*Tablo14567891011[[#This Row],[SATIŞ]]</f>
        <v>2930</v>
      </c>
      <c r="J145" s="40" t="str">
        <f t="shared" si="2"/>
        <v/>
      </c>
    </row>
    <row r="146" spans="2:10" ht="21" hidden="1" customHeight="1" x14ac:dyDescent="0.3">
      <c r="B146" s="2">
        <v>45364</v>
      </c>
      <c r="C146" s="6">
        <v>100</v>
      </c>
      <c r="D146" s="10">
        <v>27.5</v>
      </c>
      <c r="E146" s="10">
        <v>28.5</v>
      </c>
      <c r="F146" s="9">
        <f>IF(Tablo14567891011[[#This Row],[SATIŞ]]=0,"Açık",(E146-D146)*C146)</f>
        <v>100</v>
      </c>
      <c r="G146" s="11">
        <f>Tablo14567891011[[#This Row],[ADET]]*Tablo14567891011[[#This Row],[ALIŞ]]</f>
        <v>2750</v>
      </c>
      <c r="H146" s="11">
        <f>Tablo14567891011[[#This Row],[ADET]]*Tablo14567891011[[#This Row],[SATIŞ]]</f>
        <v>2850</v>
      </c>
      <c r="J146" s="40" t="str">
        <f t="shared" si="2"/>
        <v/>
      </c>
    </row>
    <row r="147" spans="2:10" ht="21" hidden="1" customHeight="1" x14ac:dyDescent="0.3">
      <c r="B147" s="2">
        <v>45364</v>
      </c>
      <c r="C147" s="6">
        <v>100</v>
      </c>
      <c r="D147" s="10">
        <v>27.5</v>
      </c>
      <c r="E147" s="10">
        <v>27.8</v>
      </c>
      <c r="F147" s="9">
        <f>IF(Tablo14567891011[[#This Row],[SATIŞ]]=0,"Açık",(E147-D147)*C147)</f>
        <v>30.000000000000071</v>
      </c>
      <c r="G147" s="11">
        <f>Tablo14567891011[[#This Row],[ADET]]*Tablo14567891011[[#This Row],[ALIŞ]]</f>
        <v>2750</v>
      </c>
      <c r="H147" s="11">
        <f>Tablo14567891011[[#This Row],[ADET]]*Tablo14567891011[[#This Row],[SATIŞ]]</f>
        <v>2780</v>
      </c>
      <c r="J147" s="40" t="str">
        <f t="shared" si="2"/>
        <v/>
      </c>
    </row>
    <row r="148" spans="2:10" ht="21" hidden="1" customHeight="1" x14ac:dyDescent="0.3">
      <c r="B148" s="2">
        <v>45364</v>
      </c>
      <c r="C148" s="6">
        <v>300</v>
      </c>
      <c r="D148" s="10">
        <v>27.5</v>
      </c>
      <c r="E148" s="10">
        <v>27.5</v>
      </c>
      <c r="F148" s="9">
        <f>IF(Tablo14567891011[[#This Row],[SATIŞ]]=0,"Açık",(E148-D148)*C148)</f>
        <v>0</v>
      </c>
      <c r="G148" s="11">
        <f>Tablo14567891011[[#This Row],[ADET]]*Tablo14567891011[[#This Row],[ALIŞ]]</f>
        <v>8250</v>
      </c>
      <c r="H148" s="11">
        <f>Tablo14567891011[[#This Row],[ADET]]*Tablo14567891011[[#This Row],[SATIŞ]]</f>
        <v>8250</v>
      </c>
      <c r="J148" s="40" t="str">
        <f t="shared" si="2"/>
        <v/>
      </c>
    </row>
    <row r="149" spans="2:10" ht="21" hidden="1" customHeight="1" x14ac:dyDescent="0.3">
      <c r="B149" s="2">
        <v>45364</v>
      </c>
      <c r="C149" s="6">
        <v>300</v>
      </c>
      <c r="D149" s="10">
        <v>27.5</v>
      </c>
      <c r="E149" s="10">
        <v>27.7</v>
      </c>
      <c r="F149" s="9">
        <f>IF(Tablo14567891011[[#This Row],[SATIŞ]]=0,"Açık",(E149-D149)*C149)</f>
        <v>59.999999999999787</v>
      </c>
      <c r="G149" s="11">
        <f>Tablo14567891011[[#This Row],[ADET]]*Tablo14567891011[[#This Row],[ALIŞ]]</f>
        <v>8250</v>
      </c>
      <c r="H149" s="11">
        <f>Tablo14567891011[[#This Row],[ADET]]*Tablo14567891011[[#This Row],[SATIŞ]]</f>
        <v>8310</v>
      </c>
      <c r="J149" s="40" t="str">
        <f t="shared" si="2"/>
        <v/>
      </c>
    </row>
    <row r="150" spans="2:10" ht="21" hidden="1" customHeight="1" x14ac:dyDescent="0.3">
      <c r="B150" s="2">
        <v>45364</v>
      </c>
      <c r="C150" s="6">
        <v>100</v>
      </c>
      <c r="D150" s="10">
        <v>27.5</v>
      </c>
      <c r="E150" s="10">
        <v>28</v>
      </c>
      <c r="F150" s="9">
        <f>IF(Tablo14567891011[[#This Row],[SATIŞ]]=0,"Açık",(E150-D150)*C150)</f>
        <v>50</v>
      </c>
      <c r="G150" s="11">
        <f>Tablo14567891011[[#This Row],[ADET]]*Tablo14567891011[[#This Row],[ALIŞ]]</f>
        <v>2750</v>
      </c>
      <c r="H150" s="11">
        <f>Tablo14567891011[[#This Row],[ADET]]*Tablo14567891011[[#This Row],[SATIŞ]]</f>
        <v>2800</v>
      </c>
      <c r="J150" s="40" t="str">
        <f t="shared" si="2"/>
        <v/>
      </c>
    </row>
    <row r="151" spans="2:10" ht="21" hidden="1" customHeight="1" x14ac:dyDescent="0.3">
      <c r="B151" s="2">
        <v>45364</v>
      </c>
      <c r="C151" s="6">
        <v>400</v>
      </c>
      <c r="D151" s="10">
        <v>27.5</v>
      </c>
      <c r="E151" s="10">
        <v>27.85</v>
      </c>
      <c r="F151" s="9">
        <f>IF(Tablo14567891011[[#This Row],[SATIŞ]]=0,"Açık",(E151-D151)*C151)</f>
        <v>140.00000000000057</v>
      </c>
      <c r="G151" s="11">
        <f>Tablo14567891011[[#This Row],[ADET]]*Tablo14567891011[[#This Row],[ALIŞ]]</f>
        <v>11000</v>
      </c>
      <c r="H151" s="11">
        <f>Tablo14567891011[[#This Row],[ADET]]*Tablo14567891011[[#This Row],[SATIŞ]]</f>
        <v>11140</v>
      </c>
      <c r="J151" s="40" t="str">
        <f t="shared" si="2"/>
        <v/>
      </c>
    </row>
    <row r="152" spans="2:10" ht="21" hidden="1" customHeight="1" x14ac:dyDescent="0.3">
      <c r="B152" s="2">
        <v>45364</v>
      </c>
      <c r="C152" s="6">
        <v>300</v>
      </c>
      <c r="D152" s="10">
        <v>27.5</v>
      </c>
      <c r="E152" s="10">
        <v>28.2</v>
      </c>
      <c r="F152" s="9">
        <f>IF(Tablo14567891011[[#This Row],[SATIŞ]]=0,"Açık",(E152-D152)*C152)</f>
        <v>209.99999999999977</v>
      </c>
      <c r="G152" s="11">
        <f>Tablo14567891011[[#This Row],[ADET]]*Tablo14567891011[[#This Row],[ALIŞ]]</f>
        <v>8250</v>
      </c>
      <c r="H152" s="11">
        <f>Tablo14567891011[[#This Row],[ADET]]*Tablo14567891011[[#This Row],[SATIŞ]]</f>
        <v>8460</v>
      </c>
      <c r="J152" s="40" t="str">
        <f t="shared" si="2"/>
        <v/>
      </c>
    </row>
    <row r="153" spans="2:10" ht="21" hidden="1" customHeight="1" x14ac:dyDescent="0.3">
      <c r="B153" s="2">
        <v>45364</v>
      </c>
      <c r="C153" s="6">
        <v>100</v>
      </c>
      <c r="D153" s="10">
        <v>27.5</v>
      </c>
      <c r="E153" s="10">
        <v>27.9</v>
      </c>
      <c r="F153" s="9">
        <f>IF(Tablo14567891011[[#This Row],[SATIŞ]]=0,"Açık",(E153-D153)*C153)</f>
        <v>39.999999999999858</v>
      </c>
      <c r="G153" s="11">
        <f>Tablo14567891011[[#This Row],[ADET]]*Tablo14567891011[[#This Row],[ALIŞ]]</f>
        <v>2750</v>
      </c>
      <c r="H153" s="11">
        <f>Tablo14567891011[[#This Row],[ADET]]*Tablo14567891011[[#This Row],[SATIŞ]]</f>
        <v>2790</v>
      </c>
      <c r="J153" s="40" t="str">
        <f t="shared" si="2"/>
        <v/>
      </c>
    </row>
    <row r="154" spans="2:10" ht="21" hidden="1" customHeight="1" x14ac:dyDescent="0.3">
      <c r="B154" s="2">
        <v>45364</v>
      </c>
      <c r="C154" s="6">
        <v>100</v>
      </c>
      <c r="D154" s="10">
        <v>27.5</v>
      </c>
      <c r="E154" s="10">
        <v>28</v>
      </c>
      <c r="F154" s="9">
        <f>IF(Tablo14567891011[[#This Row],[SATIŞ]]=0,"Açık",(E154-D154)*C154)</f>
        <v>50</v>
      </c>
      <c r="G154" s="11">
        <f>Tablo14567891011[[#This Row],[ADET]]*Tablo14567891011[[#This Row],[ALIŞ]]</f>
        <v>2750</v>
      </c>
      <c r="H154" s="11">
        <f>Tablo14567891011[[#This Row],[ADET]]*Tablo14567891011[[#This Row],[SATIŞ]]</f>
        <v>2800</v>
      </c>
      <c r="J154" s="40" t="str">
        <f t="shared" si="2"/>
        <v/>
      </c>
    </row>
    <row r="155" spans="2:10" ht="21" hidden="1" customHeight="1" x14ac:dyDescent="0.3">
      <c r="B155" s="2">
        <v>45364</v>
      </c>
      <c r="C155" s="6">
        <v>100</v>
      </c>
      <c r="D155" s="10">
        <v>27.5</v>
      </c>
      <c r="E155" s="10">
        <v>27.9</v>
      </c>
      <c r="F155" s="9">
        <f>IF(Tablo14567891011[[#This Row],[SATIŞ]]=0,"Açık",(E155-D155)*C155)</f>
        <v>39.999999999999858</v>
      </c>
      <c r="G155" s="11">
        <f>Tablo14567891011[[#This Row],[ADET]]*Tablo14567891011[[#This Row],[ALIŞ]]</f>
        <v>2750</v>
      </c>
      <c r="H155" s="11">
        <f>Tablo14567891011[[#This Row],[ADET]]*Tablo14567891011[[#This Row],[SATIŞ]]</f>
        <v>2790</v>
      </c>
      <c r="J155" s="40" t="str">
        <f t="shared" si="2"/>
        <v/>
      </c>
    </row>
    <row r="156" spans="2:10" ht="21" hidden="1" customHeight="1" x14ac:dyDescent="0.3">
      <c r="B156" s="2">
        <v>45364</v>
      </c>
      <c r="C156" s="6">
        <v>100</v>
      </c>
      <c r="D156" s="10">
        <v>27.7</v>
      </c>
      <c r="E156" s="10">
        <v>28.26</v>
      </c>
      <c r="F156" s="9">
        <f>IF(Tablo14567891011[[#This Row],[SATIŞ]]=0,"Açık",(E156-D156)*C156)</f>
        <v>56.000000000000227</v>
      </c>
      <c r="G156" s="11">
        <f>Tablo14567891011[[#This Row],[ADET]]*Tablo14567891011[[#This Row],[ALIŞ]]</f>
        <v>2770</v>
      </c>
      <c r="H156" s="11">
        <f>Tablo14567891011[[#This Row],[ADET]]*Tablo14567891011[[#This Row],[SATIŞ]]</f>
        <v>2826</v>
      </c>
      <c r="J156" s="40" t="str">
        <f t="shared" si="2"/>
        <v/>
      </c>
    </row>
    <row r="157" spans="2:10" ht="21" hidden="1" customHeight="1" x14ac:dyDescent="0.3">
      <c r="B157" s="2">
        <v>45364</v>
      </c>
      <c r="C157" s="6">
        <v>100</v>
      </c>
      <c r="D157" s="10">
        <v>27.6</v>
      </c>
      <c r="E157" s="10">
        <v>27.9</v>
      </c>
      <c r="F157" s="9">
        <f>IF(Tablo14567891011[[#This Row],[SATIŞ]]=0,"Açık",(E157-D157)*C157)</f>
        <v>29.999999999999716</v>
      </c>
      <c r="G157" s="11">
        <f>Tablo14567891011[[#This Row],[ADET]]*Tablo14567891011[[#This Row],[ALIŞ]]</f>
        <v>2760</v>
      </c>
      <c r="H157" s="11">
        <f>Tablo14567891011[[#This Row],[ADET]]*Tablo14567891011[[#This Row],[SATIŞ]]</f>
        <v>2790</v>
      </c>
      <c r="J157" s="40" t="str">
        <f t="shared" si="2"/>
        <v/>
      </c>
    </row>
    <row r="158" spans="2:10" ht="21" hidden="1" customHeight="1" x14ac:dyDescent="0.3">
      <c r="B158" s="2">
        <v>45364</v>
      </c>
      <c r="C158" s="6">
        <v>100</v>
      </c>
      <c r="D158" s="10">
        <v>28</v>
      </c>
      <c r="E158" s="10">
        <v>27.3</v>
      </c>
      <c r="F158" s="9">
        <f>IF(Tablo14567891011[[#This Row],[SATIŞ]]=0,"Açık",(E158-D158)*C158)</f>
        <v>-69.999999999999929</v>
      </c>
      <c r="G158" s="11">
        <f>Tablo14567891011[[#This Row],[ADET]]*Tablo14567891011[[#This Row],[ALIŞ]]</f>
        <v>2800</v>
      </c>
      <c r="H158" s="11">
        <f>Tablo14567891011[[#This Row],[ADET]]*Tablo14567891011[[#This Row],[SATIŞ]]</f>
        <v>2730</v>
      </c>
      <c r="J158" s="40" t="str">
        <f t="shared" si="2"/>
        <v/>
      </c>
    </row>
    <row r="159" spans="2:10" ht="21" hidden="1" customHeight="1" x14ac:dyDescent="0.3">
      <c r="B159" s="2">
        <v>45364</v>
      </c>
      <c r="C159" s="6">
        <v>100</v>
      </c>
      <c r="D159" s="10">
        <v>27.9</v>
      </c>
      <c r="E159" s="10">
        <v>28</v>
      </c>
      <c r="F159" s="9">
        <f>IF(Tablo14567891011[[#This Row],[SATIŞ]]=0,"Açık",(E159-D159)*C159)</f>
        <v>10.000000000000142</v>
      </c>
      <c r="G159" s="11">
        <f>Tablo14567891011[[#This Row],[ADET]]*Tablo14567891011[[#This Row],[ALIŞ]]</f>
        <v>2790</v>
      </c>
      <c r="H159" s="11">
        <f>Tablo14567891011[[#This Row],[ADET]]*Tablo14567891011[[#This Row],[SATIŞ]]</f>
        <v>2800</v>
      </c>
      <c r="J159" s="40" t="str">
        <f t="shared" si="2"/>
        <v/>
      </c>
    </row>
    <row r="160" spans="2:10" ht="21" hidden="1" customHeight="1" x14ac:dyDescent="0.3">
      <c r="B160" s="2">
        <v>45364</v>
      </c>
      <c r="C160" s="6">
        <v>100</v>
      </c>
      <c r="D160" s="10">
        <v>27.8</v>
      </c>
      <c r="E160" s="10">
        <v>27.9</v>
      </c>
      <c r="F160" s="9">
        <f>IF(Tablo14567891011[[#This Row],[SATIŞ]]=0,"Açık",(E160-D160)*C160)</f>
        <v>9.9999999999997868</v>
      </c>
      <c r="G160" s="11">
        <f>Tablo14567891011[[#This Row],[ADET]]*Tablo14567891011[[#This Row],[ALIŞ]]</f>
        <v>2780</v>
      </c>
      <c r="H160" s="11">
        <f>Tablo14567891011[[#This Row],[ADET]]*Tablo14567891011[[#This Row],[SATIŞ]]</f>
        <v>2790</v>
      </c>
      <c r="J160" s="40" t="str">
        <f t="shared" si="2"/>
        <v/>
      </c>
    </row>
    <row r="161" spans="2:10" ht="21" hidden="1" customHeight="1" x14ac:dyDescent="0.3">
      <c r="B161" s="2">
        <v>45364</v>
      </c>
      <c r="C161" s="6">
        <v>100</v>
      </c>
      <c r="D161" s="10">
        <v>27.8</v>
      </c>
      <c r="E161" s="10">
        <v>28.72</v>
      </c>
      <c r="F161" s="9">
        <f>IF(Tablo14567891011[[#This Row],[SATIŞ]]=0,"Açık",(E161-D161)*C161)</f>
        <v>91.999999999999815</v>
      </c>
      <c r="G161" s="11">
        <f>Tablo14567891011[[#This Row],[ADET]]*Tablo14567891011[[#This Row],[ALIŞ]]</f>
        <v>2780</v>
      </c>
      <c r="H161" s="11">
        <f>Tablo14567891011[[#This Row],[ADET]]*Tablo14567891011[[#This Row],[SATIŞ]]</f>
        <v>2872</v>
      </c>
      <c r="J161" s="40" t="str">
        <f t="shared" si="2"/>
        <v/>
      </c>
    </row>
    <row r="162" spans="2:10" ht="21" hidden="1" customHeight="1" x14ac:dyDescent="0.3">
      <c r="B162" s="2">
        <v>45364</v>
      </c>
      <c r="C162" s="6">
        <v>100</v>
      </c>
      <c r="D162" s="10">
        <v>27.7</v>
      </c>
      <c r="E162" s="10">
        <v>27.8</v>
      </c>
      <c r="F162" s="9">
        <f>IF(Tablo14567891011[[#This Row],[SATIŞ]]=0,"Açık",(E162-D162)*C162)</f>
        <v>10.000000000000142</v>
      </c>
      <c r="G162" s="11">
        <f>Tablo14567891011[[#This Row],[ADET]]*Tablo14567891011[[#This Row],[ALIŞ]]</f>
        <v>2770</v>
      </c>
      <c r="H162" s="11">
        <f>Tablo14567891011[[#This Row],[ADET]]*Tablo14567891011[[#This Row],[SATIŞ]]</f>
        <v>2780</v>
      </c>
      <c r="J162" s="40" t="str">
        <f t="shared" si="2"/>
        <v/>
      </c>
    </row>
    <row r="163" spans="2:10" ht="21" hidden="1" customHeight="1" x14ac:dyDescent="0.3">
      <c r="B163" s="2">
        <v>45364</v>
      </c>
      <c r="C163" s="6">
        <v>100</v>
      </c>
      <c r="D163" s="10">
        <v>27.6</v>
      </c>
      <c r="E163" s="10">
        <v>28.72</v>
      </c>
      <c r="F163" s="9">
        <f>IF(Tablo14567891011[[#This Row],[SATIŞ]]=0,"Açık",(E163-D163)*C163)</f>
        <v>111.99999999999974</v>
      </c>
      <c r="G163" s="11">
        <f>Tablo14567891011[[#This Row],[ADET]]*Tablo14567891011[[#This Row],[ALIŞ]]</f>
        <v>2760</v>
      </c>
      <c r="H163" s="11">
        <f>Tablo14567891011[[#This Row],[ADET]]*Tablo14567891011[[#This Row],[SATIŞ]]</f>
        <v>2872</v>
      </c>
      <c r="J163" s="40" t="str">
        <f t="shared" si="2"/>
        <v/>
      </c>
    </row>
    <row r="164" spans="2:10" ht="21" hidden="1" customHeight="1" x14ac:dyDescent="0.3">
      <c r="B164" s="2">
        <v>45365</v>
      </c>
      <c r="C164" s="6">
        <v>100</v>
      </c>
      <c r="D164" s="10">
        <v>27.7</v>
      </c>
      <c r="E164" s="10">
        <v>27.8</v>
      </c>
      <c r="F164" s="9">
        <f>IF(Tablo14567891011[[#This Row],[SATIŞ]]=0,"Açık",(E164-D164)*C164)</f>
        <v>10.000000000000142</v>
      </c>
      <c r="G164" s="11">
        <f>Tablo14567891011[[#This Row],[ADET]]*Tablo14567891011[[#This Row],[ALIŞ]]</f>
        <v>2770</v>
      </c>
      <c r="H164" s="11">
        <f>Tablo14567891011[[#This Row],[ADET]]*Tablo14567891011[[#This Row],[SATIŞ]]</f>
        <v>2780</v>
      </c>
      <c r="J164" s="40" t="str">
        <f t="shared" si="2"/>
        <v/>
      </c>
    </row>
    <row r="165" spans="2:10" ht="21" hidden="1" customHeight="1" x14ac:dyDescent="0.3">
      <c r="B165" s="2">
        <v>45365</v>
      </c>
      <c r="C165" s="6">
        <v>100</v>
      </c>
      <c r="D165" s="10">
        <v>27.6</v>
      </c>
      <c r="E165" s="10">
        <v>27.7</v>
      </c>
      <c r="F165" s="9">
        <f>IF(Tablo14567891011[[#This Row],[SATIŞ]]=0,"Açık",(E165-D165)*C165)</f>
        <v>9.9999999999997868</v>
      </c>
      <c r="G165" s="11">
        <f>Tablo14567891011[[#This Row],[ADET]]*Tablo14567891011[[#This Row],[ALIŞ]]</f>
        <v>2760</v>
      </c>
      <c r="H165" s="11">
        <f>Tablo14567891011[[#This Row],[ADET]]*Tablo14567891011[[#This Row],[SATIŞ]]</f>
        <v>2770</v>
      </c>
      <c r="J165" s="40" t="str">
        <f t="shared" si="2"/>
        <v/>
      </c>
    </row>
    <row r="166" spans="2:10" ht="21" hidden="1" customHeight="1" x14ac:dyDescent="0.3">
      <c r="B166" s="2">
        <v>45365</v>
      </c>
      <c r="C166" s="6">
        <v>100</v>
      </c>
      <c r="D166" s="10">
        <v>27.5</v>
      </c>
      <c r="E166" s="10">
        <v>27.7</v>
      </c>
      <c r="F166" s="9">
        <f>IF(Tablo14567891011[[#This Row],[SATIŞ]]=0,"Açık",(E166-D166)*C166)</f>
        <v>19.999999999999929</v>
      </c>
      <c r="G166" s="11">
        <f>Tablo14567891011[[#This Row],[ADET]]*Tablo14567891011[[#This Row],[ALIŞ]]</f>
        <v>2750</v>
      </c>
      <c r="H166" s="11">
        <f>Tablo14567891011[[#This Row],[ADET]]*Tablo14567891011[[#This Row],[SATIŞ]]</f>
        <v>2770</v>
      </c>
      <c r="J166" s="40" t="str">
        <f t="shared" si="2"/>
        <v/>
      </c>
    </row>
    <row r="167" spans="2:10" ht="21" hidden="1" customHeight="1" x14ac:dyDescent="0.3">
      <c r="B167" s="2">
        <v>45365</v>
      </c>
      <c r="C167" s="6">
        <v>100</v>
      </c>
      <c r="D167" s="10">
        <v>27.4</v>
      </c>
      <c r="E167" s="10">
        <v>27.5</v>
      </c>
      <c r="F167" s="9">
        <f>IF(Tablo14567891011[[#This Row],[SATIŞ]]=0,"Açık",(E167-D167)*C167)</f>
        <v>10.000000000000142</v>
      </c>
      <c r="G167" s="11">
        <f>Tablo14567891011[[#This Row],[ADET]]*Tablo14567891011[[#This Row],[ALIŞ]]</f>
        <v>2740</v>
      </c>
      <c r="H167" s="11">
        <f>Tablo14567891011[[#This Row],[ADET]]*Tablo14567891011[[#This Row],[SATIŞ]]</f>
        <v>2750</v>
      </c>
      <c r="J167" s="40" t="str">
        <f t="shared" si="2"/>
        <v/>
      </c>
    </row>
    <row r="168" spans="2:10" ht="21" hidden="1" customHeight="1" x14ac:dyDescent="0.3">
      <c r="B168" s="2">
        <v>45365</v>
      </c>
      <c r="C168" s="6">
        <v>100</v>
      </c>
      <c r="D168" s="10">
        <v>27.5</v>
      </c>
      <c r="E168" s="10">
        <v>27.7</v>
      </c>
      <c r="F168" s="9">
        <f>IF(Tablo14567891011[[#This Row],[SATIŞ]]=0,"Açık",(E168-D168)*C168)</f>
        <v>19.999999999999929</v>
      </c>
      <c r="G168" s="11">
        <f>Tablo14567891011[[#This Row],[ADET]]*Tablo14567891011[[#This Row],[ALIŞ]]</f>
        <v>2750</v>
      </c>
      <c r="H168" s="11">
        <f>Tablo14567891011[[#This Row],[ADET]]*Tablo14567891011[[#This Row],[SATIŞ]]</f>
        <v>2770</v>
      </c>
      <c r="J168" s="40" t="str">
        <f t="shared" si="2"/>
        <v/>
      </c>
    </row>
    <row r="169" spans="2:10" ht="21" hidden="1" customHeight="1" x14ac:dyDescent="0.3">
      <c r="B169" s="2">
        <v>45366</v>
      </c>
      <c r="C169" s="6">
        <v>100</v>
      </c>
      <c r="D169" s="10">
        <v>27.3</v>
      </c>
      <c r="E169" s="10">
        <v>27.4</v>
      </c>
      <c r="F169" s="9">
        <f>IF(Tablo14567891011[[#This Row],[SATIŞ]]=0,"Açık",(E169-D169)*C169)</f>
        <v>9.9999999999997868</v>
      </c>
      <c r="G169" s="11">
        <f>Tablo14567891011[[#This Row],[ADET]]*Tablo14567891011[[#This Row],[ALIŞ]]</f>
        <v>2730</v>
      </c>
      <c r="H169" s="11">
        <f>Tablo14567891011[[#This Row],[ADET]]*Tablo14567891011[[#This Row],[SATIŞ]]</f>
        <v>2740</v>
      </c>
      <c r="J169" s="40" t="str">
        <f t="shared" si="2"/>
        <v/>
      </c>
    </row>
    <row r="170" spans="2:10" ht="21" hidden="1" customHeight="1" x14ac:dyDescent="0.3">
      <c r="B170" s="2">
        <v>45366</v>
      </c>
      <c r="C170" s="6">
        <v>100</v>
      </c>
      <c r="D170" s="10">
        <v>27.2</v>
      </c>
      <c r="E170" s="10">
        <v>27.3</v>
      </c>
      <c r="F170" s="9">
        <f>IF(Tablo14567891011[[#This Row],[SATIŞ]]=0,"Açık",(E170-D170)*C170)</f>
        <v>10.000000000000142</v>
      </c>
      <c r="G170" s="11">
        <f>Tablo14567891011[[#This Row],[ADET]]*Tablo14567891011[[#This Row],[ALIŞ]]</f>
        <v>2720</v>
      </c>
      <c r="H170" s="11">
        <f>Tablo14567891011[[#This Row],[ADET]]*Tablo14567891011[[#This Row],[SATIŞ]]</f>
        <v>2730</v>
      </c>
      <c r="J170" s="40" t="str">
        <f t="shared" si="2"/>
        <v/>
      </c>
    </row>
    <row r="171" spans="2:10" ht="21" hidden="1" customHeight="1" x14ac:dyDescent="0.3">
      <c r="B171" s="2">
        <v>45366</v>
      </c>
      <c r="C171" s="6">
        <v>100</v>
      </c>
      <c r="D171" s="10">
        <v>27.3</v>
      </c>
      <c r="E171" s="10">
        <v>27.1</v>
      </c>
      <c r="F171" s="9">
        <f>IF(Tablo14567891011[[#This Row],[SATIŞ]]=0,"Açık",(E171-D171)*C171)</f>
        <v>-19.999999999999929</v>
      </c>
      <c r="G171" s="11">
        <f>Tablo14567891011[[#This Row],[ADET]]*Tablo14567891011[[#This Row],[ALIŞ]]</f>
        <v>2730</v>
      </c>
      <c r="H171" s="11">
        <f>Tablo14567891011[[#This Row],[ADET]]*Tablo14567891011[[#This Row],[SATIŞ]]</f>
        <v>2710</v>
      </c>
      <c r="J171" s="40" t="str">
        <f t="shared" si="2"/>
        <v/>
      </c>
    </row>
    <row r="172" spans="2:10" ht="21" hidden="1" customHeight="1" x14ac:dyDescent="0.3">
      <c r="B172" s="2">
        <v>45366</v>
      </c>
      <c r="C172" s="6">
        <v>100</v>
      </c>
      <c r="D172" s="10">
        <v>27.2</v>
      </c>
      <c r="E172" s="10">
        <v>27.3</v>
      </c>
      <c r="F172" s="9">
        <f>IF(Tablo14567891011[[#This Row],[SATIŞ]]=0,"Açık",(E172-D172)*C172)</f>
        <v>10.000000000000142</v>
      </c>
      <c r="G172" s="11">
        <f>Tablo14567891011[[#This Row],[ADET]]*Tablo14567891011[[#This Row],[ALIŞ]]</f>
        <v>2720</v>
      </c>
      <c r="H172" s="11">
        <f>Tablo14567891011[[#This Row],[ADET]]*Tablo14567891011[[#This Row],[SATIŞ]]</f>
        <v>2730</v>
      </c>
      <c r="J172" s="40" t="str">
        <f t="shared" si="2"/>
        <v/>
      </c>
    </row>
    <row r="173" spans="2:10" ht="21" hidden="1" customHeight="1" x14ac:dyDescent="0.3">
      <c r="B173" s="2">
        <v>45366</v>
      </c>
      <c r="C173" s="6">
        <v>100</v>
      </c>
      <c r="D173" s="10">
        <v>27.1</v>
      </c>
      <c r="E173" s="10">
        <v>27</v>
      </c>
      <c r="F173" s="9">
        <f>IF(Tablo14567891011[[#This Row],[SATIŞ]]=0,"Açık",(E173-D173)*C173)</f>
        <v>-10.000000000000142</v>
      </c>
      <c r="G173" s="11">
        <f>Tablo14567891011[[#This Row],[ADET]]*Tablo14567891011[[#This Row],[ALIŞ]]</f>
        <v>2710</v>
      </c>
      <c r="H173" s="11">
        <f>Tablo14567891011[[#This Row],[ADET]]*Tablo14567891011[[#This Row],[SATIŞ]]</f>
        <v>2700</v>
      </c>
      <c r="J173" s="40" t="str">
        <f t="shared" si="2"/>
        <v/>
      </c>
    </row>
    <row r="174" spans="2:10" ht="21" hidden="1" customHeight="1" x14ac:dyDescent="0.3">
      <c r="B174" s="2">
        <v>45366</v>
      </c>
      <c r="C174" s="6">
        <v>100</v>
      </c>
      <c r="D174" s="10">
        <v>27</v>
      </c>
      <c r="E174" s="10">
        <v>27.1</v>
      </c>
      <c r="F174" s="9">
        <f>IF(Tablo14567891011[[#This Row],[SATIŞ]]=0,"Açık",(E174-D174)*C174)</f>
        <v>10.000000000000142</v>
      </c>
      <c r="G174" s="11">
        <f>Tablo14567891011[[#This Row],[ADET]]*Tablo14567891011[[#This Row],[ALIŞ]]</f>
        <v>2700</v>
      </c>
      <c r="H174" s="11">
        <f>Tablo14567891011[[#This Row],[ADET]]*Tablo14567891011[[#This Row],[SATIŞ]]</f>
        <v>2710</v>
      </c>
      <c r="J174" s="40" t="str">
        <f t="shared" si="2"/>
        <v/>
      </c>
    </row>
    <row r="175" spans="2:10" ht="21" hidden="1" customHeight="1" x14ac:dyDescent="0.3">
      <c r="B175" s="2">
        <v>45366</v>
      </c>
      <c r="C175" s="6">
        <v>100</v>
      </c>
      <c r="D175" s="10">
        <v>26.8</v>
      </c>
      <c r="E175" s="10">
        <v>26.9</v>
      </c>
      <c r="F175" s="9">
        <f>IF(Tablo14567891011[[#This Row],[SATIŞ]]=0,"Açık",(E175-D175)*C175)</f>
        <v>9.9999999999997868</v>
      </c>
      <c r="G175" s="11">
        <f>Tablo14567891011[[#This Row],[ADET]]*Tablo14567891011[[#This Row],[ALIŞ]]</f>
        <v>2680</v>
      </c>
      <c r="H175" s="11">
        <f>Tablo14567891011[[#This Row],[ADET]]*Tablo14567891011[[#This Row],[SATIŞ]]</f>
        <v>2690</v>
      </c>
      <c r="J175" s="40" t="str">
        <f t="shared" si="2"/>
        <v/>
      </c>
    </row>
    <row r="176" spans="2:10" ht="21" hidden="1" customHeight="1" x14ac:dyDescent="0.3">
      <c r="B176" s="2">
        <v>45366</v>
      </c>
      <c r="C176" s="6">
        <v>100</v>
      </c>
      <c r="D176" s="10">
        <v>26.9</v>
      </c>
      <c r="E176" s="10">
        <v>27</v>
      </c>
      <c r="F176" s="9">
        <f>IF(Tablo14567891011[[#This Row],[SATIŞ]]=0,"Açık",(E176-D176)*C176)</f>
        <v>10.000000000000142</v>
      </c>
      <c r="G176" s="11">
        <f>Tablo14567891011[[#This Row],[ADET]]*Tablo14567891011[[#This Row],[ALIŞ]]</f>
        <v>2690</v>
      </c>
      <c r="H176" s="11">
        <f>Tablo14567891011[[#This Row],[ADET]]*Tablo14567891011[[#This Row],[SATIŞ]]</f>
        <v>2700</v>
      </c>
      <c r="J176" s="40" t="str">
        <f t="shared" si="2"/>
        <v/>
      </c>
    </row>
    <row r="177" spans="2:10" ht="21" hidden="1" customHeight="1" x14ac:dyDescent="0.3">
      <c r="B177" s="2">
        <v>45366</v>
      </c>
      <c r="C177" s="6">
        <v>100</v>
      </c>
      <c r="D177" s="10">
        <v>26.8</v>
      </c>
      <c r="E177" s="10">
        <v>26.9</v>
      </c>
      <c r="F177" s="9">
        <f>IF(Tablo14567891011[[#This Row],[SATIŞ]]=0,"Açık",(E177-D177)*C177)</f>
        <v>9.9999999999997868</v>
      </c>
      <c r="G177" s="11">
        <f>Tablo14567891011[[#This Row],[ADET]]*Tablo14567891011[[#This Row],[ALIŞ]]</f>
        <v>2680</v>
      </c>
      <c r="H177" s="11">
        <f>Tablo14567891011[[#This Row],[ADET]]*Tablo14567891011[[#This Row],[SATIŞ]]</f>
        <v>2690</v>
      </c>
      <c r="J177" s="40" t="str">
        <f t="shared" si="2"/>
        <v/>
      </c>
    </row>
    <row r="178" spans="2:10" ht="21" hidden="1" customHeight="1" x14ac:dyDescent="0.3">
      <c r="B178" s="2">
        <v>45369</v>
      </c>
      <c r="C178" s="6">
        <v>100</v>
      </c>
      <c r="D178" s="10">
        <v>26.6</v>
      </c>
      <c r="E178" s="10">
        <v>26.8</v>
      </c>
      <c r="F178" s="9">
        <f>IF(Tablo14567891011[[#This Row],[SATIŞ]]=0,"Açık",(E178-D178)*C178)</f>
        <v>19.999999999999929</v>
      </c>
      <c r="G178" s="11">
        <f>Tablo14567891011[[#This Row],[ADET]]*Tablo14567891011[[#This Row],[ALIŞ]]</f>
        <v>2660</v>
      </c>
      <c r="H178" s="11">
        <f>Tablo14567891011[[#This Row],[ADET]]*Tablo14567891011[[#This Row],[SATIŞ]]</f>
        <v>2680</v>
      </c>
      <c r="J178" s="40" t="str">
        <f t="shared" si="2"/>
        <v/>
      </c>
    </row>
    <row r="179" spans="2:10" ht="21" hidden="1" customHeight="1" x14ac:dyDescent="0.3">
      <c r="B179" s="2">
        <v>45369</v>
      </c>
      <c r="C179" s="6">
        <v>100</v>
      </c>
      <c r="D179" s="10">
        <v>26.5</v>
      </c>
      <c r="E179" s="10">
        <v>26.6</v>
      </c>
      <c r="F179" s="9">
        <f>IF(Tablo14567891011[[#This Row],[SATIŞ]]=0,"Açık",(E179-D179)*C179)</f>
        <v>10.000000000000142</v>
      </c>
      <c r="G179" s="11">
        <f>Tablo14567891011[[#This Row],[ADET]]*Tablo14567891011[[#This Row],[ALIŞ]]</f>
        <v>2650</v>
      </c>
      <c r="H179" s="11">
        <f>Tablo14567891011[[#This Row],[ADET]]*Tablo14567891011[[#This Row],[SATIŞ]]</f>
        <v>2660</v>
      </c>
      <c r="J179" s="40" t="str">
        <f t="shared" si="2"/>
        <v/>
      </c>
    </row>
    <row r="180" spans="2:10" ht="21" hidden="1" customHeight="1" x14ac:dyDescent="0.3">
      <c r="B180" s="2">
        <v>45369</v>
      </c>
      <c r="C180" s="6">
        <v>100</v>
      </c>
      <c r="D180" s="10">
        <v>26.5</v>
      </c>
      <c r="E180" s="10">
        <v>26.7</v>
      </c>
      <c r="F180" s="9">
        <f>IF(Tablo14567891011[[#This Row],[SATIŞ]]=0,"Açık",(E180-D180)*C180)</f>
        <v>19.999999999999929</v>
      </c>
      <c r="G180" s="11">
        <f>Tablo14567891011[[#This Row],[ADET]]*Tablo14567891011[[#This Row],[ALIŞ]]</f>
        <v>2650</v>
      </c>
      <c r="H180" s="11">
        <f>Tablo14567891011[[#This Row],[ADET]]*Tablo14567891011[[#This Row],[SATIŞ]]</f>
        <v>2670</v>
      </c>
      <c r="J180" s="40" t="str">
        <f t="shared" si="2"/>
        <v/>
      </c>
    </row>
    <row r="181" spans="2:10" ht="21" hidden="1" customHeight="1" x14ac:dyDescent="0.3">
      <c r="B181" s="2">
        <v>45369</v>
      </c>
      <c r="C181" s="6">
        <v>100</v>
      </c>
      <c r="D181" s="10">
        <v>26.4</v>
      </c>
      <c r="E181" s="10">
        <v>26.6</v>
      </c>
      <c r="F181" s="9">
        <f>IF(Tablo14567891011[[#This Row],[SATIŞ]]=0,"Açık",(E181-D181)*C181)</f>
        <v>20.000000000000284</v>
      </c>
      <c r="G181" s="11">
        <f>Tablo14567891011[[#This Row],[ADET]]*Tablo14567891011[[#This Row],[ALIŞ]]</f>
        <v>2640</v>
      </c>
      <c r="H181" s="11">
        <f>Tablo14567891011[[#This Row],[ADET]]*Tablo14567891011[[#This Row],[SATIŞ]]</f>
        <v>2660</v>
      </c>
      <c r="J181" s="40" t="str">
        <f t="shared" si="2"/>
        <v/>
      </c>
    </row>
    <row r="182" spans="2:10" ht="21" hidden="1" customHeight="1" x14ac:dyDescent="0.3">
      <c r="B182" s="2">
        <v>45369</v>
      </c>
      <c r="C182" s="6">
        <v>100</v>
      </c>
      <c r="D182" s="10">
        <v>26.3</v>
      </c>
      <c r="E182" s="10">
        <v>26.4</v>
      </c>
      <c r="F182" s="9">
        <f>IF(Tablo14567891011[[#This Row],[SATIŞ]]=0,"Açık",(E182-D182)*C182)</f>
        <v>9.9999999999997868</v>
      </c>
      <c r="G182" s="11">
        <f>Tablo14567891011[[#This Row],[ADET]]*Tablo14567891011[[#This Row],[ALIŞ]]</f>
        <v>2630</v>
      </c>
      <c r="H182" s="11">
        <f>Tablo14567891011[[#This Row],[ADET]]*Tablo14567891011[[#This Row],[SATIŞ]]</f>
        <v>2640</v>
      </c>
      <c r="J182" s="40" t="str">
        <f t="shared" si="2"/>
        <v/>
      </c>
    </row>
    <row r="183" spans="2:10" ht="21" hidden="1" customHeight="1" x14ac:dyDescent="0.3">
      <c r="B183" s="2">
        <v>45369</v>
      </c>
      <c r="C183" s="6">
        <v>100</v>
      </c>
      <c r="D183" s="10">
        <v>26.3</v>
      </c>
      <c r="E183" s="10">
        <v>26.5</v>
      </c>
      <c r="F183" s="9">
        <f>IF(Tablo14567891011[[#This Row],[SATIŞ]]=0,"Açık",(E183-D183)*C183)</f>
        <v>19.999999999999929</v>
      </c>
      <c r="G183" s="11">
        <f>Tablo14567891011[[#This Row],[ADET]]*Tablo14567891011[[#This Row],[ALIŞ]]</f>
        <v>2630</v>
      </c>
      <c r="H183" s="11">
        <f>Tablo14567891011[[#This Row],[ADET]]*Tablo14567891011[[#This Row],[SATIŞ]]</f>
        <v>2650</v>
      </c>
      <c r="J183" s="40" t="str">
        <f t="shared" si="2"/>
        <v/>
      </c>
    </row>
    <row r="184" spans="2:10" ht="21" hidden="1" customHeight="1" x14ac:dyDescent="0.3">
      <c r="B184" s="2">
        <v>45369</v>
      </c>
      <c r="C184" s="6">
        <v>100</v>
      </c>
      <c r="D184" s="10">
        <v>27.1</v>
      </c>
      <c r="E184" s="10">
        <v>27.36</v>
      </c>
      <c r="F184" s="9">
        <f>IF(Tablo14567891011[[#This Row],[SATIŞ]]=0,"Açık",(E184-D184)*C184)</f>
        <v>25.999999999999801</v>
      </c>
      <c r="G184" s="11">
        <f>Tablo14567891011[[#This Row],[ADET]]*Tablo14567891011[[#This Row],[ALIŞ]]</f>
        <v>2710</v>
      </c>
      <c r="H184" s="11">
        <f>Tablo14567891011[[#This Row],[ADET]]*Tablo14567891011[[#This Row],[SATIŞ]]</f>
        <v>2736</v>
      </c>
      <c r="J184" s="40" t="str">
        <f t="shared" si="2"/>
        <v/>
      </c>
    </row>
    <row r="185" spans="2:10" ht="21" hidden="1" customHeight="1" x14ac:dyDescent="0.3">
      <c r="B185" s="2">
        <v>45369</v>
      </c>
      <c r="C185" s="6">
        <v>100</v>
      </c>
      <c r="D185" s="10">
        <v>27</v>
      </c>
      <c r="E185" s="10">
        <v>27.3</v>
      </c>
      <c r="F185" s="9">
        <f>IF(Tablo14567891011[[#This Row],[SATIŞ]]=0,"Açık",(E185-D185)*C185)</f>
        <v>30.000000000000071</v>
      </c>
      <c r="G185" s="11">
        <f>Tablo14567891011[[#This Row],[ADET]]*Tablo14567891011[[#This Row],[ALIŞ]]</f>
        <v>2700</v>
      </c>
      <c r="H185" s="11">
        <f>Tablo14567891011[[#This Row],[ADET]]*Tablo14567891011[[#This Row],[SATIŞ]]</f>
        <v>2730</v>
      </c>
      <c r="J185" s="40" t="str">
        <f t="shared" si="2"/>
        <v/>
      </c>
    </row>
    <row r="186" spans="2:10" ht="21" hidden="1" customHeight="1" x14ac:dyDescent="0.3">
      <c r="B186" s="2">
        <v>45369</v>
      </c>
      <c r="C186" s="6">
        <v>100</v>
      </c>
      <c r="D186" s="10">
        <v>26.9</v>
      </c>
      <c r="E186" s="10">
        <v>27.24</v>
      </c>
      <c r="F186" s="9">
        <f>IF(Tablo14567891011[[#This Row],[SATIŞ]]=0,"Açık",(E186-D186)*C186)</f>
        <v>33.999999999999986</v>
      </c>
      <c r="G186" s="11">
        <f>Tablo14567891011[[#This Row],[ADET]]*Tablo14567891011[[#This Row],[ALIŞ]]</f>
        <v>2690</v>
      </c>
      <c r="H186" s="11">
        <f>Tablo14567891011[[#This Row],[ADET]]*Tablo14567891011[[#This Row],[SATIŞ]]</f>
        <v>2724</v>
      </c>
      <c r="J186" s="40" t="str">
        <f t="shared" si="2"/>
        <v/>
      </c>
    </row>
    <row r="187" spans="2:10" ht="21" hidden="1" customHeight="1" x14ac:dyDescent="0.3">
      <c r="B187" s="2">
        <v>45369</v>
      </c>
      <c r="C187" s="6">
        <v>100</v>
      </c>
      <c r="D187" s="10">
        <v>26.8</v>
      </c>
      <c r="E187" s="10">
        <v>27.18</v>
      </c>
      <c r="F187" s="9">
        <f>IF(Tablo14567891011[[#This Row],[SATIŞ]]=0,"Açık",(E187-D187)*C187)</f>
        <v>37.999999999999901</v>
      </c>
      <c r="G187" s="11">
        <f>Tablo14567891011[[#This Row],[ADET]]*Tablo14567891011[[#This Row],[ALIŞ]]</f>
        <v>2680</v>
      </c>
      <c r="H187" s="11">
        <f>Tablo14567891011[[#This Row],[ADET]]*Tablo14567891011[[#This Row],[SATIŞ]]</f>
        <v>2718</v>
      </c>
      <c r="J187" s="40" t="str">
        <f t="shared" si="2"/>
        <v/>
      </c>
    </row>
    <row r="188" spans="2:10" ht="21" hidden="1" customHeight="1" x14ac:dyDescent="0.3">
      <c r="B188" s="2">
        <v>45369</v>
      </c>
      <c r="C188" s="6">
        <v>100</v>
      </c>
      <c r="D188" s="10">
        <v>26.7</v>
      </c>
      <c r="E188" s="10">
        <v>27.12</v>
      </c>
      <c r="F188" s="9">
        <f>IF(Tablo14567891011[[#This Row],[SATIŞ]]=0,"Açık",(E188-D188)*C188)</f>
        <v>42.000000000000171</v>
      </c>
      <c r="G188" s="11">
        <f>Tablo14567891011[[#This Row],[ADET]]*Tablo14567891011[[#This Row],[ALIŞ]]</f>
        <v>2670</v>
      </c>
      <c r="H188" s="11">
        <f>Tablo14567891011[[#This Row],[ADET]]*Tablo14567891011[[#This Row],[SATIŞ]]</f>
        <v>2712</v>
      </c>
      <c r="J188" s="40" t="str">
        <f t="shared" si="2"/>
        <v/>
      </c>
    </row>
    <row r="189" spans="2:10" ht="21" hidden="1" customHeight="1" x14ac:dyDescent="0.3">
      <c r="B189" s="2">
        <v>45369</v>
      </c>
      <c r="C189" s="6">
        <v>100</v>
      </c>
      <c r="D189" s="10">
        <v>26.6</v>
      </c>
      <c r="E189" s="10">
        <v>26.8</v>
      </c>
      <c r="F189" s="9">
        <f>IF(Tablo14567891011[[#This Row],[SATIŞ]]=0,"Açık",(E189-D189)*C189)</f>
        <v>19.999999999999929</v>
      </c>
      <c r="G189" s="11">
        <f>Tablo14567891011[[#This Row],[ADET]]*Tablo14567891011[[#This Row],[ALIŞ]]</f>
        <v>2660</v>
      </c>
      <c r="H189" s="11">
        <f>Tablo14567891011[[#This Row],[ADET]]*Tablo14567891011[[#This Row],[SATIŞ]]</f>
        <v>2680</v>
      </c>
      <c r="J189" s="40" t="str">
        <f t="shared" si="2"/>
        <v/>
      </c>
    </row>
    <row r="190" spans="2:10" ht="21" hidden="1" customHeight="1" x14ac:dyDescent="0.3">
      <c r="B190" s="2">
        <v>45369</v>
      </c>
      <c r="C190" s="6">
        <v>100</v>
      </c>
      <c r="D190" s="10">
        <v>26.6</v>
      </c>
      <c r="E190" s="10">
        <v>27.06</v>
      </c>
      <c r="F190" s="9">
        <f>IF(Tablo14567891011[[#This Row],[SATIŞ]]=0,"Açık",(E190-D190)*C190)</f>
        <v>45.99999999999973</v>
      </c>
      <c r="G190" s="11">
        <f>Tablo14567891011[[#This Row],[ADET]]*Tablo14567891011[[#This Row],[ALIŞ]]</f>
        <v>2660</v>
      </c>
      <c r="H190" s="11">
        <f>Tablo14567891011[[#This Row],[ADET]]*Tablo14567891011[[#This Row],[SATIŞ]]</f>
        <v>2706</v>
      </c>
      <c r="J190" s="40" t="str">
        <f t="shared" si="2"/>
        <v/>
      </c>
    </row>
    <row r="191" spans="2:10" ht="21" hidden="1" customHeight="1" x14ac:dyDescent="0.3">
      <c r="B191" s="2">
        <v>45369</v>
      </c>
      <c r="C191" s="6">
        <v>100</v>
      </c>
      <c r="D191" s="10">
        <v>26.6</v>
      </c>
      <c r="E191" s="10">
        <v>26.96</v>
      </c>
      <c r="F191" s="9">
        <f>IF(Tablo14567891011[[#This Row],[SATIŞ]]=0,"Açık",(E191-D191)*C191)</f>
        <v>35.999999999999943</v>
      </c>
      <c r="G191" s="11">
        <f>Tablo14567891011[[#This Row],[ADET]]*Tablo14567891011[[#This Row],[ALIŞ]]</f>
        <v>2660</v>
      </c>
      <c r="H191" s="11">
        <f>Tablo14567891011[[#This Row],[ADET]]*Tablo14567891011[[#This Row],[SATIŞ]]</f>
        <v>2696</v>
      </c>
      <c r="J191" s="40" t="str">
        <f t="shared" si="2"/>
        <v/>
      </c>
    </row>
    <row r="192" spans="2:10" ht="21" hidden="1" customHeight="1" x14ac:dyDescent="0.3">
      <c r="B192" s="2">
        <v>45369</v>
      </c>
      <c r="C192" s="6">
        <v>100</v>
      </c>
      <c r="D192" s="10">
        <v>26.6</v>
      </c>
      <c r="E192" s="10">
        <v>27</v>
      </c>
      <c r="F192" s="9">
        <f>IF(Tablo14567891011[[#This Row],[SATIŞ]]=0,"Açık",(E192-D192)*C192)</f>
        <v>39.999999999999858</v>
      </c>
      <c r="G192" s="11">
        <f>Tablo14567891011[[#This Row],[ADET]]*Tablo14567891011[[#This Row],[ALIŞ]]</f>
        <v>2660</v>
      </c>
      <c r="H192" s="11">
        <f>Tablo14567891011[[#This Row],[ADET]]*Tablo14567891011[[#This Row],[SATIŞ]]</f>
        <v>2700</v>
      </c>
      <c r="J192" s="40" t="str">
        <f t="shared" si="2"/>
        <v/>
      </c>
    </row>
    <row r="193" spans="2:10" ht="21" hidden="1" customHeight="1" x14ac:dyDescent="0.3">
      <c r="B193" s="2">
        <v>45369</v>
      </c>
      <c r="C193" s="6">
        <v>100</v>
      </c>
      <c r="D193" s="10">
        <v>26.5</v>
      </c>
      <c r="E193" s="10">
        <v>26.62</v>
      </c>
      <c r="F193" s="9">
        <f>IF(Tablo14567891011[[#This Row],[SATIŞ]]=0,"Açık",(E193-D193)*C193)</f>
        <v>12.000000000000099</v>
      </c>
      <c r="G193" s="11">
        <f>Tablo14567891011[[#This Row],[ADET]]*Tablo14567891011[[#This Row],[ALIŞ]]</f>
        <v>2650</v>
      </c>
      <c r="H193" s="11">
        <f>Tablo14567891011[[#This Row],[ADET]]*Tablo14567891011[[#This Row],[SATIŞ]]</f>
        <v>2662</v>
      </c>
      <c r="J193" s="40" t="str">
        <f t="shared" si="2"/>
        <v/>
      </c>
    </row>
    <row r="194" spans="2:10" ht="21" hidden="1" customHeight="1" x14ac:dyDescent="0.3">
      <c r="B194" s="2">
        <v>45369</v>
      </c>
      <c r="C194" s="6">
        <v>100</v>
      </c>
      <c r="D194" s="10">
        <v>26.5</v>
      </c>
      <c r="E194" s="10">
        <v>26.6</v>
      </c>
      <c r="F194" s="9">
        <f>IF(Tablo14567891011[[#This Row],[SATIŞ]]=0,"Açık",(E194-D194)*C194)</f>
        <v>10.000000000000142</v>
      </c>
      <c r="G194" s="11">
        <f>Tablo14567891011[[#This Row],[ADET]]*Tablo14567891011[[#This Row],[ALIŞ]]</f>
        <v>2650</v>
      </c>
      <c r="H194" s="11">
        <f>Tablo14567891011[[#This Row],[ADET]]*Tablo14567891011[[#This Row],[SATIŞ]]</f>
        <v>2660</v>
      </c>
      <c r="J194" s="40" t="str">
        <f t="shared" si="2"/>
        <v/>
      </c>
    </row>
    <row r="195" spans="2:10" ht="21" hidden="1" customHeight="1" x14ac:dyDescent="0.3">
      <c r="B195" s="2">
        <v>45369</v>
      </c>
      <c r="C195" s="6">
        <v>100</v>
      </c>
      <c r="D195" s="10">
        <v>26.4</v>
      </c>
      <c r="E195" s="10">
        <v>26.9</v>
      </c>
      <c r="F195" s="9">
        <f>IF(Tablo14567891011[[#This Row],[SATIŞ]]=0,"Açık",(E195-D195)*C195)</f>
        <v>50</v>
      </c>
      <c r="G195" s="11">
        <f>Tablo14567891011[[#This Row],[ADET]]*Tablo14567891011[[#This Row],[ALIŞ]]</f>
        <v>2640</v>
      </c>
      <c r="H195" s="11">
        <f>Tablo14567891011[[#This Row],[ADET]]*Tablo14567891011[[#This Row],[SATIŞ]]</f>
        <v>2690</v>
      </c>
      <c r="J195" s="40" t="str">
        <f t="shared" si="2"/>
        <v/>
      </c>
    </row>
    <row r="196" spans="2:10" ht="21" hidden="1" customHeight="1" x14ac:dyDescent="0.3">
      <c r="B196" s="2">
        <v>45369</v>
      </c>
      <c r="C196" s="6">
        <v>200</v>
      </c>
      <c r="D196" s="10">
        <v>26.3</v>
      </c>
      <c r="E196" s="10">
        <v>26.85</v>
      </c>
      <c r="F196" s="9">
        <f>IF(Tablo14567891011[[#This Row],[SATIŞ]]=0,"Açık",(E196-D196)*C196)</f>
        <v>110.00000000000014</v>
      </c>
      <c r="G196" s="11">
        <f>Tablo14567891011[[#This Row],[ADET]]*Tablo14567891011[[#This Row],[ALIŞ]]</f>
        <v>5260</v>
      </c>
      <c r="H196" s="11">
        <f>Tablo14567891011[[#This Row],[ADET]]*Tablo14567891011[[#This Row],[SATIŞ]]</f>
        <v>5370</v>
      </c>
      <c r="J196" s="40" t="str">
        <f t="shared" si="2"/>
        <v/>
      </c>
    </row>
    <row r="197" spans="2:10" ht="21" hidden="1" customHeight="1" x14ac:dyDescent="0.3">
      <c r="B197" s="2">
        <v>45369</v>
      </c>
      <c r="C197" s="6">
        <v>100</v>
      </c>
      <c r="D197" s="10">
        <v>26.2</v>
      </c>
      <c r="E197" s="10">
        <v>26.5</v>
      </c>
      <c r="F197" s="9">
        <f>IF(Tablo14567891011[[#This Row],[SATIŞ]]=0,"Açık",(E197-D197)*C197)</f>
        <v>30.000000000000071</v>
      </c>
      <c r="G197" s="11">
        <f>Tablo14567891011[[#This Row],[ADET]]*Tablo14567891011[[#This Row],[ALIŞ]]</f>
        <v>2620</v>
      </c>
      <c r="H197" s="11">
        <f>Tablo14567891011[[#This Row],[ADET]]*Tablo14567891011[[#This Row],[SATIŞ]]</f>
        <v>2650</v>
      </c>
      <c r="J197" s="40" t="str">
        <f t="shared" si="2"/>
        <v/>
      </c>
    </row>
    <row r="198" spans="2:10" ht="21" hidden="1" customHeight="1" x14ac:dyDescent="0.3">
      <c r="B198" s="2">
        <v>45369</v>
      </c>
      <c r="C198" s="6">
        <v>100</v>
      </c>
      <c r="D198" s="10">
        <v>26.2</v>
      </c>
      <c r="E198" s="10">
        <v>26.5</v>
      </c>
      <c r="F198" s="9">
        <f>IF(Tablo14567891011[[#This Row],[SATIŞ]]=0,"Açık",(E198-D198)*C198)</f>
        <v>30.000000000000071</v>
      </c>
      <c r="G198" s="11">
        <f>Tablo14567891011[[#This Row],[ADET]]*Tablo14567891011[[#This Row],[ALIŞ]]</f>
        <v>2620</v>
      </c>
      <c r="H198" s="11">
        <f>Tablo14567891011[[#This Row],[ADET]]*Tablo14567891011[[#This Row],[SATIŞ]]</f>
        <v>2650</v>
      </c>
      <c r="J198" s="40" t="str">
        <f t="shared" si="2"/>
        <v/>
      </c>
    </row>
    <row r="199" spans="2:10" ht="21" hidden="1" customHeight="1" x14ac:dyDescent="0.3">
      <c r="B199" s="2">
        <v>45369</v>
      </c>
      <c r="C199" s="6">
        <v>100</v>
      </c>
      <c r="D199" s="10">
        <v>26.2</v>
      </c>
      <c r="E199" s="10">
        <v>26.6</v>
      </c>
      <c r="F199" s="9">
        <f>IF(Tablo14567891011[[#This Row],[SATIŞ]]=0,"Açık",(E199-D199)*C199)</f>
        <v>40.000000000000213</v>
      </c>
      <c r="G199" s="11">
        <f>Tablo14567891011[[#This Row],[ADET]]*Tablo14567891011[[#This Row],[ALIŞ]]</f>
        <v>2620</v>
      </c>
      <c r="H199" s="11">
        <f>Tablo14567891011[[#This Row],[ADET]]*Tablo14567891011[[#This Row],[SATIŞ]]</f>
        <v>2660</v>
      </c>
      <c r="J199" s="40" t="str">
        <f t="shared" si="2"/>
        <v/>
      </c>
    </row>
    <row r="200" spans="2:10" ht="21" hidden="1" customHeight="1" x14ac:dyDescent="0.3">
      <c r="B200" s="2">
        <v>45370</v>
      </c>
      <c r="C200" s="6">
        <v>100</v>
      </c>
      <c r="D200" s="10">
        <v>26.3</v>
      </c>
      <c r="E200" s="10">
        <v>26.6</v>
      </c>
      <c r="F200" s="9">
        <f>IF(Tablo14567891011[[#This Row],[SATIŞ]]=0,"Açık",(E200-D200)*C200)</f>
        <v>30.000000000000071</v>
      </c>
      <c r="G200" s="11">
        <f>Tablo14567891011[[#This Row],[ADET]]*Tablo14567891011[[#This Row],[ALIŞ]]</f>
        <v>2630</v>
      </c>
      <c r="H200" s="11">
        <f>Tablo14567891011[[#This Row],[ADET]]*Tablo14567891011[[#This Row],[SATIŞ]]</f>
        <v>2660</v>
      </c>
      <c r="J200" s="40" t="str">
        <f t="shared" si="2"/>
        <v/>
      </c>
    </row>
    <row r="201" spans="2:10" ht="21" hidden="1" customHeight="1" x14ac:dyDescent="0.3">
      <c r="B201" s="2">
        <v>45370</v>
      </c>
      <c r="C201" s="6">
        <v>100</v>
      </c>
      <c r="D201" s="10">
        <v>26.3</v>
      </c>
      <c r="E201" s="10">
        <v>26.7</v>
      </c>
      <c r="F201" s="9">
        <f>IF(Tablo14567891011[[#This Row],[SATIŞ]]=0,"Açık",(E201-D201)*C201)</f>
        <v>39.999999999999858</v>
      </c>
      <c r="G201" s="11">
        <f>Tablo14567891011[[#This Row],[ADET]]*Tablo14567891011[[#This Row],[ALIŞ]]</f>
        <v>2630</v>
      </c>
      <c r="H201" s="11">
        <f>Tablo14567891011[[#This Row],[ADET]]*Tablo14567891011[[#This Row],[SATIŞ]]</f>
        <v>2670</v>
      </c>
      <c r="J201" s="40" t="str">
        <f t="shared" si="2"/>
        <v/>
      </c>
    </row>
    <row r="202" spans="2:10" ht="21" hidden="1" customHeight="1" x14ac:dyDescent="0.3">
      <c r="B202" s="2">
        <v>45370</v>
      </c>
      <c r="C202" s="6">
        <v>100</v>
      </c>
      <c r="D202" s="10">
        <v>26.7</v>
      </c>
      <c r="E202" s="10">
        <v>26.9</v>
      </c>
      <c r="F202" s="9">
        <f>IF(Tablo14567891011[[#This Row],[SATIŞ]]=0,"Açık",(E202-D202)*C202)</f>
        <v>19.999999999999929</v>
      </c>
      <c r="G202" s="11">
        <f>Tablo14567891011[[#This Row],[ADET]]*Tablo14567891011[[#This Row],[ALIŞ]]</f>
        <v>2670</v>
      </c>
      <c r="H202" s="11">
        <f>Tablo14567891011[[#This Row],[ADET]]*Tablo14567891011[[#This Row],[SATIŞ]]</f>
        <v>2690</v>
      </c>
      <c r="J202" s="40" t="str">
        <f t="shared" si="2"/>
        <v/>
      </c>
    </row>
    <row r="203" spans="2:10" ht="21" hidden="1" customHeight="1" x14ac:dyDescent="0.3">
      <c r="B203" s="2">
        <v>45370</v>
      </c>
      <c r="C203" s="6">
        <v>100</v>
      </c>
      <c r="D203" s="10">
        <v>26.6</v>
      </c>
      <c r="E203" s="10">
        <v>26.8</v>
      </c>
      <c r="F203" s="9">
        <f>IF(Tablo14567891011[[#This Row],[SATIŞ]]=0,"Açık",(E203-D203)*C203)</f>
        <v>19.999999999999929</v>
      </c>
      <c r="G203" s="11">
        <f>Tablo14567891011[[#This Row],[ADET]]*Tablo14567891011[[#This Row],[ALIŞ]]</f>
        <v>2660</v>
      </c>
      <c r="H203" s="11">
        <f>Tablo14567891011[[#This Row],[ADET]]*Tablo14567891011[[#This Row],[SATIŞ]]</f>
        <v>2680</v>
      </c>
      <c r="J203" s="40" t="str">
        <f t="shared" si="2"/>
        <v/>
      </c>
    </row>
    <row r="204" spans="2:10" ht="21" hidden="1" customHeight="1" x14ac:dyDescent="0.3">
      <c r="B204" s="2">
        <v>45370</v>
      </c>
      <c r="C204" s="6">
        <v>100</v>
      </c>
      <c r="D204" s="10">
        <v>26.5</v>
      </c>
      <c r="E204" s="10">
        <v>26.7</v>
      </c>
      <c r="F204" s="9">
        <f>IF(Tablo14567891011[[#This Row],[SATIŞ]]=0,"Açık",(E204-D204)*C204)</f>
        <v>19.999999999999929</v>
      </c>
      <c r="G204" s="11">
        <f>Tablo14567891011[[#This Row],[ADET]]*Tablo14567891011[[#This Row],[ALIŞ]]</f>
        <v>2650</v>
      </c>
      <c r="H204" s="11">
        <f>Tablo14567891011[[#This Row],[ADET]]*Tablo14567891011[[#This Row],[SATIŞ]]</f>
        <v>2670</v>
      </c>
      <c r="J204" s="40" t="str">
        <f t="shared" ref="J204:J233" si="3">IF(E204=0,D204*1.05,"")</f>
        <v/>
      </c>
    </row>
    <row r="205" spans="2:10" ht="21" hidden="1" customHeight="1" x14ac:dyDescent="0.3">
      <c r="B205" s="2">
        <v>45364</v>
      </c>
      <c r="C205" s="6">
        <v>200</v>
      </c>
      <c r="D205" s="10">
        <v>27.5</v>
      </c>
      <c r="E205" s="10">
        <v>27.65</v>
      </c>
      <c r="F205" s="9">
        <f>IF(Tablo14567891011[[#This Row],[SATIŞ]]=0,"Açık",(E205-D205)*C205)</f>
        <v>29.999999999999716</v>
      </c>
      <c r="G205" s="11">
        <f>Tablo14567891011[[#This Row],[ADET]]*Tablo14567891011[[#This Row],[ALIŞ]]</f>
        <v>5500</v>
      </c>
      <c r="H205" s="11">
        <f>Tablo14567891011[[#This Row],[ADET]]*Tablo14567891011[[#This Row],[SATIŞ]]</f>
        <v>5530</v>
      </c>
      <c r="J205" s="40" t="str">
        <f t="shared" si="3"/>
        <v/>
      </c>
    </row>
    <row r="206" spans="2:10" ht="21" hidden="1" customHeight="1" x14ac:dyDescent="0.3">
      <c r="B206" s="2">
        <v>45364</v>
      </c>
      <c r="C206" s="6">
        <v>50</v>
      </c>
      <c r="D206" s="10">
        <v>27.52</v>
      </c>
      <c r="E206" s="10">
        <v>27.6</v>
      </c>
      <c r="F206" s="9">
        <f>IF(Tablo14567891011[[#This Row],[SATIŞ]]=0,"Açık",(E206-D206)*C206)</f>
        <v>4.0000000000000924</v>
      </c>
      <c r="G206" s="11">
        <f>Tablo14567891011[[#This Row],[ADET]]*Tablo14567891011[[#This Row],[ALIŞ]]</f>
        <v>1376</v>
      </c>
      <c r="H206" s="11">
        <f>Tablo14567891011[[#This Row],[ADET]]*Tablo14567891011[[#This Row],[SATIŞ]]</f>
        <v>1380</v>
      </c>
      <c r="J206" s="40"/>
    </row>
    <row r="207" spans="2:10" ht="21" hidden="1" customHeight="1" x14ac:dyDescent="0.3">
      <c r="B207" s="2">
        <v>45364</v>
      </c>
      <c r="C207" s="6">
        <v>100</v>
      </c>
      <c r="D207" s="10">
        <v>27.52</v>
      </c>
      <c r="E207" s="10">
        <v>27.8</v>
      </c>
      <c r="F207" s="9">
        <f>IF(Tablo14567891011[[#This Row],[SATIŞ]]=0,"Açık",(E207-D207)*C207)</f>
        <v>28.000000000000114</v>
      </c>
      <c r="G207" s="11">
        <f>Tablo14567891011[[#This Row],[ADET]]*Tablo14567891011[[#This Row],[ALIŞ]]</f>
        <v>2752</v>
      </c>
      <c r="H207" s="11">
        <f>Tablo14567891011[[#This Row],[ADET]]*Tablo14567891011[[#This Row],[SATIŞ]]</f>
        <v>2780</v>
      </c>
      <c r="J207" s="40"/>
    </row>
    <row r="208" spans="2:10" ht="21" hidden="1" customHeight="1" x14ac:dyDescent="0.3">
      <c r="B208" s="2">
        <v>45364</v>
      </c>
      <c r="C208" s="6">
        <v>150</v>
      </c>
      <c r="D208" s="10">
        <v>27.52</v>
      </c>
      <c r="E208" s="10">
        <v>27.966666</v>
      </c>
      <c r="F208" s="9">
        <f>IF(Tablo14567891011[[#This Row],[SATIŞ]]=0,"Açık",(E208-D208)*C208)</f>
        <v>66.999900000000068</v>
      </c>
      <c r="G208" s="11">
        <f>Tablo14567891011[[#This Row],[ADET]]*Tablo14567891011[[#This Row],[ALIŞ]]</f>
        <v>4128</v>
      </c>
      <c r="H208" s="11">
        <f>Tablo14567891011[[#This Row],[ADET]]*Tablo14567891011[[#This Row],[SATIŞ]]</f>
        <v>4194.9998999999998</v>
      </c>
      <c r="J208" s="40"/>
    </row>
    <row r="209" spans="2:10" ht="21" hidden="1" customHeight="1" x14ac:dyDescent="0.3">
      <c r="B209" s="2">
        <v>45364</v>
      </c>
      <c r="C209" s="6">
        <v>100</v>
      </c>
      <c r="D209" s="10">
        <v>27.52</v>
      </c>
      <c r="E209" s="10">
        <v>27.7</v>
      </c>
      <c r="F209" s="9">
        <f>IF(Tablo14567891011[[#This Row],[SATIŞ]]=0,"Açık",(E209-D209)*C209)</f>
        <v>17.999999999999972</v>
      </c>
      <c r="G209" s="11">
        <f>Tablo14567891011[[#This Row],[ADET]]*Tablo14567891011[[#This Row],[ALIŞ]]</f>
        <v>2752</v>
      </c>
      <c r="H209" s="11">
        <f>Tablo14567891011[[#This Row],[ADET]]*Tablo14567891011[[#This Row],[SATIŞ]]</f>
        <v>2770</v>
      </c>
      <c r="J209" s="40"/>
    </row>
    <row r="210" spans="2:10" ht="21" hidden="1" customHeight="1" x14ac:dyDescent="0.3">
      <c r="B210" s="2">
        <v>45364</v>
      </c>
      <c r="C210" s="6">
        <v>100</v>
      </c>
      <c r="D210" s="10">
        <v>27.52</v>
      </c>
      <c r="E210" s="10">
        <v>27.6</v>
      </c>
      <c r="F210" s="9">
        <f>IF(Tablo14567891011[[#This Row],[SATIŞ]]=0,"Açık",(E210-D210)*C210)</f>
        <v>8.0000000000001847</v>
      </c>
      <c r="G210" s="11">
        <f>Tablo14567891011[[#This Row],[ADET]]*Tablo14567891011[[#This Row],[ALIŞ]]</f>
        <v>2752</v>
      </c>
      <c r="H210" s="11">
        <f>Tablo14567891011[[#This Row],[ADET]]*Tablo14567891011[[#This Row],[SATIŞ]]</f>
        <v>2760</v>
      </c>
      <c r="J210" s="40"/>
    </row>
    <row r="211" spans="2:10" ht="21" hidden="1" customHeight="1" x14ac:dyDescent="0.3">
      <c r="B211" s="2">
        <v>45364</v>
      </c>
      <c r="C211" s="6">
        <v>200</v>
      </c>
      <c r="D211" s="10">
        <v>27.52</v>
      </c>
      <c r="E211" s="10">
        <v>27.95</v>
      </c>
      <c r="F211" s="9">
        <f>IF(Tablo14567891011[[#This Row],[SATIŞ]]=0,"Açık",(E211-D211)*C211)</f>
        <v>85.999999999999943</v>
      </c>
      <c r="G211" s="11">
        <f>Tablo14567891011[[#This Row],[ADET]]*Tablo14567891011[[#This Row],[ALIŞ]]</f>
        <v>5504</v>
      </c>
      <c r="H211" s="11">
        <f>Tablo14567891011[[#This Row],[ADET]]*Tablo14567891011[[#This Row],[SATIŞ]]</f>
        <v>5590</v>
      </c>
      <c r="J211" s="40"/>
    </row>
    <row r="212" spans="2:10" ht="21" hidden="1" customHeight="1" x14ac:dyDescent="0.3">
      <c r="B212" s="2">
        <v>45364</v>
      </c>
      <c r="C212" s="6">
        <v>150</v>
      </c>
      <c r="D212" s="10">
        <v>27.52</v>
      </c>
      <c r="E212" s="10">
        <v>28.27</v>
      </c>
      <c r="F212" s="9">
        <f>IF(Tablo14567891011[[#This Row],[SATIŞ]]=0,"Açık",(E212-D212)*C212)</f>
        <v>112.5</v>
      </c>
      <c r="G212" s="11">
        <f>Tablo14567891011[[#This Row],[ADET]]*Tablo14567891011[[#This Row],[ALIŞ]]</f>
        <v>4128</v>
      </c>
      <c r="H212" s="11">
        <f>Tablo14567891011[[#This Row],[ADET]]*Tablo14567891011[[#This Row],[SATIŞ]]</f>
        <v>4240.5</v>
      </c>
      <c r="J212" s="40"/>
    </row>
    <row r="213" spans="2:10" ht="21" hidden="1" customHeight="1" x14ac:dyDescent="0.3">
      <c r="B213" s="2">
        <v>45364</v>
      </c>
      <c r="C213" s="6">
        <v>100</v>
      </c>
      <c r="D213" s="10">
        <v>27.52</v>
      </c>
      <c r="E213" s="10">
        <v>28.2</v>
      </c>
      <c r="F213" s="9">
        <f>IF(Tablo14567891011[[#This Row],[SATIŞ]]=0,"Açık",(E213-D213)*C213)</f>
        <v>67.999999999999972</v>
      </c>
      <c r="G213" s="11">
        <f>Tablo14567891011[[#This Row],[ADET]]*Tablo14567891011[[#This Row],[ALIŞ]]</f>
        <v>2752</v>
      </c>
      <c r="H213" s="11">
        <f>Tablo14567891011[[#This Row],[ADET]]*Tablo14567891011[[#This Row],[SATIŞ]]</f>
        <v>2820</v>
      </c>
      <c r="J213" s="40"/>
    </row>
    <row r="214" spans="2:10" ht="21" hidden="1" customHeight="1" x14ac:dyDescent="0.3">
      <c r="B214" s="2">
        <v>45373</v>
      </c>
      <c r="C214" s="6">
        <v>100</v>
      </c>
      <c r="D214" s="10">
        <v>28</v>
      </c>
      <c r="E214" s="10">
        <v>28.2</v>
      </c>
      <c r="F214" s="9">
        <f>IF(Tablo14567891011[[#This Row],[SATIŞ]]=0,"Açık",(E214-D214)*C214)</f>
        <v>19.999999999999929</v>
      </c>
      <c r="G214" s="11">
        <f>Tablo14567891011[[#This Row],[ADET]]*Tablo14567891011[[#This Row],[ALIŞ]]</f>
        <v>2800</v>
      </c>
      <c r="H214" s="11">
        <f>Tablo14567891011[[#This Row],[ADET]]*Tablo14567891011[[#This Row],[SATIŞ]]</f>
        <v>2820</v>
      </c>
      <c r="J214" s="40" t="str">
        <f t="shared" si="3"/>
        <v/>
      </c>
    </row>
    <row r="215" spans="2:10" ht="21" hidden="1" customHeight="1" x14ac:dyDescent="0.3">
      <c r="B215" s="2">
        <v>45373</v>
      </c>
      <c r="C215" s="6">
        <v>100</v>
      </c>
      <c r="D215" s="10">
        <v>27.8</v>
      </c>
      <c r="E215" s="10">
        <v>27.1</v>
      </c>
      <c r="F215" s="9">
        <f>IF(Tablo14567891011[[#This Row],[SATIŞ]]=0,"Açık",(E215-D215)*C215)</f>
        <v>-69.999999999999929</v>
      </c>
      <c r="G215" s="11">
        <f>Tablo14567891011[[#This Row],[ADET]]*Tablo14567891011[[#This Row],[ALIŞ]]</f>
        <v>2780</v>
      </c>
      <c r="H215" s="11">
        <f>Tablo14567891011[[#This Row],[ADET]]*Tablo14567891011[[#This Row],[SATIŞ]]</f>
        <v>2710</v>
      </c>
      <c r="J215" s="40" t="str">
        <f t="shared" si="3"/>
        <v/>
      </c>
    </row>
    <row r="216" spans="2:10" ht="21" hidden="1" customHeight="1" x14ac:dyDescent="0.3">
      <c r="B216" s="2">
        <v>45376</v>
      </c>
      <c r="C216" s="6">
        <v>100</v>
      </c>
      <c r="D216" s="10">
        <v>26.8</v>
      </c>
      <c r="E216" s="10">
        <v>27.1</v>
      </c>
      <c r="F216" s="9">
        <f>IF(Tablo14567891011[[#This Row],[SATIŞ]]=0,"Açık",(E216-D216)*C216)</f>
        <v>30.000000000000071</v>
      </c>
      <c r="G216" s="11">
        <f>Tablo14567891011[[#This Row],[ADET]]*Tablo14567891011[[#This Row],[ALIŞ]]</f>
        <v>2680</v>
      </c>
      <c r="H216" s="11">
        <f>Tablo14567891011[[#This Row],[ADET]]*Tablo14567891011[[#This Row],[SATIŞ]]</f>
        <v>2710</v>
      </c>
      <c r="J216" s="40" t="str">
        <f t="shared" si="3"/>
        <v/>
      </c>
    </row>
    <row r="217" spans="2:10" ht="21" hidden="1" customHeight="1" x14ac:dyDescent="0.3">
      <c r="B217" s="2">
        <v>45377</v>
      </c>
      <c r="C217" s="6">
        <v>50</v>
      </c>
      <c r="D217" s="10">
        <v>26.3</v>
      </c>
      <c r="E217" s="10">
        <v>26.6</v>
      </c>
      <c r="F217" s="9">
        <f>IF(Tablo14567891011[[#This Row],[SATIŞ]]=0,"Açık",(E217-D217)*C217)</f>
        <v>15.000000000000036</v>
      </c>
      <c r="G217" s="11">
        <f>Tablo14567891011[[#This Row],[ADET]]*Tablo14567891011[[#This Row],[ALIŞ]]</f>
        <v>1315</v>
      </c>
      <c r="H217" s="11">
        <f>Tablo14567891011[[#This Row],[ADET]]*Tablo14567891011[[#This Row],[SATIŞ]]</f>
        <v>1330</v>
      </c>
      <c r="J217" s="40" t="str">
        <f t="shared" si="3"/>
        <v/>
      </c>
    </row>
    <row r="218" spans="2:10" ht="21" hidden="1" customHeight="1" x14ac:dyDescent="0.3">
      <c r="B218" s="2">
        <v>45377</v>
      </c>
      <c r="C218" s="6">
        <v>50</v>
      </c>
      <c r="D218" s="10">
        <v>26.3</v>
      </c>
      <c r="E218" s="10">
        <v>26.6</v>
      </c>
      <c r="F218" s="9">
        <f>IF(Tablo14567891011[[#This Row],[SATIŞ]]=0,"Açık",(E218-D218)*C218)</f>
        <v>15.000000000000036</v>
      </c>
      <c r="G218" s="11">
        <f>Tablo14567891011[[#This Row],[ADET]]*Tablo14567891011[[#This Row],[ALIŞ]]</f>
        <v>1315</v>
      </c>
      <c r="H218" s="11">
        <f>Tablo14567891011[[#This Row],[ADET]]*Tablo14567891011[[#This Row],[SATIŞ]]</f>
        <v>1330</v>
      </c>
      <c r="J218" s="40" t="str">
        <f t="shared" si="3"/>
        <v/>
      </c>
    </row>
    <row r="219" spans="2:10" ht="21" hidden="1" customHeight="1" x14ac:dyDescent="0.3">
      <c r="B219" s="2">
        <v>45377</v>
      </c>
      <c r="C219" s="6">
        <v>50</v>
      </c>
      <c r="D219" s="10">
        <v>25.9</v>
      </c>
      <c r="E219" s="10">
        <v>26.4</v>
      </c>
      <c r="F219" s="9">
        <f>IF(Tablo14567891011[[#This Row],[SATIŞ]]=0,"Açık",(E219-D219)*C219)</f>
        <v>25</v>
      </c>
      <c r="G219" s="11">
        <f>Tablo14567891011[[#This Row],[ADET]]*Tablo14567891011[[#This Row],[ALIŞ]]</f>
        <v>1295</v>
      </c>
      <c r="H219" s="11">
        <f>Tablo14567891011[[#This Row],[ADET]]*Tablo14567891011[[#This Row],[SATIŞ]]</f>
        <v>1320</v>
      </c>
      <c r="J219" s="40" t="str">
        <f t="shared" si="3"/>
        <v/>
      </c>
    </row>
    <row r="220" spans="2:10" ht="21" hidden="1" customHeight="1" x14ac:dyDescent="0.3">
      <c r="B220" s="2">
        <v>45377</v>
      </c>
      <c r="C220" s="6">
        <v>50</v>
      </c>
      <c r="D220" s="10">
        <v>25.9</v>
      </c>
      <c r="E220" s="10">
        <v>26.2</v>
      </c>
      <c r="F220" s="9">
        <f>IF(Tablo14567891011[[#This Row],[SATIŞ]]=0,"Açık",(E220-D220)*C220)</f>
        <v>15.000000000000036</v>
      </c>
      <c r="G220" s="11">
        <f>Tablo14567891011[[#This Row],[ADET]]*Tablo14567891011[[#This Row],[ALIŞ]]</f>
        <v>1295</v>
      </c>
      <c r="H220" s="11">
        <f>Tablo14567891011[[#This Row],[ADET]]*Tablo14567891011[[#This Row],[SATIŞ]]</f>
        <v>1310</v>
      </c>
      <c r="J220" s="40" t="str">
        <f t="shared" si="3"/>
        <v/>
      </c>
    </row>
    <row r="221" spans="2:10" ht="21" hidden="1" customHeight="1" x14ac:dyDescent="0.3">
      <c r="B221" s="2">
        <v>45377</v>
      </c>
      <c r="C221" s="6">
        <v>50</v>
      </c>
      <c r="D221" s="10">
        <v>25.8</v>
      </c>
      <c r="E221" s="10">
        <v>26.1</v>
      </c>
      <c r="F221" s="9">
        <f>IF(Tablo14567891011[[#This Row],[SATIŞ]]=0,"Açık",(E221-D221)*C221)</f>
        <v>15.000000000000036</v>
      </c>
      <c r="G221" s="11">
        <f>Tablo14567891011[[#This Row],[ADET]]*Tablo14567891011[[#This Row],[ALIŞ]]</f>
        <v>1290</v>
      </c>
      <c r="H221" s="11">
        <f>Tablo14567891011[[#This Row],[ADET]]*Tablo14567891011[[#This Row],[SATIŞ]]</f>
        <v>1305</v>
      </c>
      <c r="J221" s="40" t="str">
        <f t="shared" si="3"/>
        <v/>
      </c>
    </row>
    <row r="222" spans="2:10" ht="21" hidden="1" customHeight="1" x14ac:dyDescent="0.3">
      <c r="B222" s="2">
        <v>45377</v>
      </c>
      <c r="C222" s="6">
        <v>50</v>
      </c>
      <c r="D222" s="10">
        <v>25.8</v>
      </c>
      <c r="E222" s="10">
        <v>26.4</v>
      </c>
      <c r="F222" s="9">
        <f>IF(Tablo14567891011[[#This Row],[SATIŞ]]=0,"Açık",(E222-D222)*C222)</f>
        <v>29.999999999999893</v>
      </c>
      <c r="G222" s="11">
        <f>Tablo14567891011[[#This Row],[ADET]]*Tablo14567891011[[#This Row],[ALIŞ]]</f>
        <v>1290</v>
      </c>
      <c r="H222" s="11">
        <f>Tablo14567891011[[#This Row],[ADET]]*Tablo14567891011[[#This Row],[SATIŞ]]</f>
        <v>1320</v>
      </c>
      <c r="J222" s="40" t="str">
        <f t="shared" si="3"/>
        <v/>
      </c>
    </row>
    <row r="223" spans="2:10" ht="21" hidden="1" customHeight="1" x14ac:dyDescent="0.3">
      <c r="B223" s="2">
        <v>45377</v>
      </c>
      <c r="C223" s="6">
        <v>50</v>
      </c>
      <c r="D223" s="10">
        <v>25.7</v>
      </c>
      <c r="E223" s="10">
        <v>25.9</v>
      </c>
      <c r="F223" s="9">
        <f>IF(Tablo14567891011[[#This Row],[SATIŞ]]=0,"Açık",(E223-D223)*C223)</f>
        <v>9.9999999999999645</v>
      </c>
      <c r="G223" s="11">
        <f>Tablo14567891011[[#This Row],[ADET]]*Tablo14567891011[[#This Row],[ALIŞ]]</f>
        <v>1285</v>
      </c>
      <c r="H223" s="11">
        <f>Tablo14567891011[[#This Row],[ADET]]*Tablo14567891011[[#This Row],[SATIŞ]]</f>
        <v>1295</v>
      </c>
      <c r="J223" s="40" t="str">
        <f t="shared" si="3"/>
        <v/>
      </c>
    </row>
    <row r="224" spans="2:10" ht="21" hidden="1" customHeight="1" x14ac:dyDescent="0.3">
      <c r="B224" s="2">
        <v>45377</v>
      </c>
      <c r="C224" s="6">
        <v>50</v>
      </c>
      <c r="D224" s="10">
        <v>25.7</v>
      </c>
      <c r="E224" s="10">
        <v>25.8</v>
      </c>
      <c r="F224" s="9">
        <f>IF(Tablo14567891011[[#This Row],[SATIŞ]]=0,"Açık",(E224-D224)*C224)</f>
        <v>5.0000000000000711</v>
      </c>
      <c r="G224" s="11">
        <f>Tablo14567891011[[#This Row],[ADET]]*Tablo14567891011[[#This Row],[ALIŞ]]</f>
        <v>1285</v>
      </c>
      <c r="H224" s="11">
        <f>Tablo14567891011[[#This Row],[ADET]]*Tablo14567891011[[#This Row],[SATIŞ]]</f>
        <v>1290</v>
      </c>
      <c r="J224" s="40" t="str">
        <f t="shared" si="3"/>
        <v/>
      </c>
    </row>
    <row r="225" spans="2:10" ht="21" hidden="1" customHeight="1" x14ac:dyDescent="0.3">
      <c r="B225" s="2">
        <v>45377</v>
      </c>
      <c r="C225" s="6">
        <v>50</v>
      </c>
      <c r="D225" s="10">
        <v>25.7</v>
      </c>
      <c r="E225" s="10">
        <v>26.3</v>
      </c>
      <c r="F225" s="9">
        <f>IF(Tablo14567891011[[#This Row],[SATIŞ]]=0,"Açık",(E225-D225)*C225)</f>
        <v>30.000000000000071</v>
      </c>
      <c r="G225" s="11">
        <f>Tablo14567891011[[#This Row],[ADET]]*Tablo14567891011[[#This Row],[ALIŞ]]</f>
        <v>1285</v>
      </c>
      <c r="H225" s="11">
        <f>Tablo14567891011[[#This Row],[ADET]]*Tablo14567891011[[#This Row],[SATIŞ]]</f>
        <v>1315</v>
      </c>
      <c r="J225" s="40" t="str">
        <f t="shared" si="3"/>
        <v/>
      </c>
    </row>
    <row r="226" spans="2:10" ht="21" hidden="1" customHeight="1" x14ac:dyDescent="0.3">
      <c r="B226" s="2">
        <v>45377</v>
      </c>
      <c r="C226" s="6">
        <v>50</v>
      </c>
      <c r="D226" s="10">
        <v>25.6</v>
      </c>
      <c r="E226" s="10">
        <v>26.2</v>
      </c>
      <c r="F226" s="9">
        <f>IF(Tablo14567891011[[#This Row],[SATIŞ]]=0,"Açık",(E226-D226)*C226)</f>
        <v>29.999999999999893</v>
      </c>
      <c r="G226" s="11">
        <f>Tablo14567891011[[#This Row],[ADET]]*Tablo14567891011[[#This Row],[ALIŞ]]</f>
        <v>1280</v>
      </c>
      <c r="H226" s="11">
        <f>Tablo14567891011[[#This Row],[ADET]]*Tablo14567891011[[#This Row],[SATIŞ]]</f>
        <v>1310</v>
      </c>
      <c r="J226" s="40" t="str">
        <f t="shared" si="3"/>
        <v/>
      </c>
    </row>
    <row r="227" spans="2:10" ht="21" hidden="1" customHeight="1" x14ac:dyDescent="0.3">
      <c r="B227" s="2">
        <v>45377</v>
      </c>
      <c r="C227" s="6">
        <v>50</v>
      </c>
      <c r="D227" s="10">
        <v>25.6</v>
      </c>
      <c r="E227" s="10">
        <v>26.1</v>
      </c>
      <c r="F227" s="9">
        <f>IF(Tablo14567891011[[#This Row],[SATIŞ]]=0,"Açık",(E227-D227)*C227)</f>
        <v>25</v>
      </c>
      <c r="G227" s="11">
        <f>Tablo14567891011[[#This Row],[ADET]]*Tablo14567891011[[#This Row],[ALIŞ]]</f>
        <v>1280</v>
      </c>
      <c r="H227" s="11">
        <f>Tablo14567891011[[#This Row],[ADET]]*Tablo14567891011[[#This Row],[SATIŞ]]</f>
        <v>1305</v>
      </c>
      <c r="J227" s="40" t="str">
        <f t="shared" si="3"/>
        <v/>
      </c>
    </row>
    <row r="228" spans="2:10" ht="21" hidden="1" customHeight="1" x14ac:dyDescent="0.3">
      <c r="B228" s="2">
        <v>45377</v>
      </c>
      <c r="C228" s="6">
        <v>50</v>
      </c>
      <c r="D228" s="10">
        <v>25.5</v>
      </c>
      <c r="E228" s="10">
        <v>25.6</v>
      </c>
      <c r="F228" s="9">
        <f>IF(Tablo14567891011[[#This Row],[SATIŞ]]=0,"Açık",(E228-D228)*C228)</f>
        <v>5.0000000000000711</v>
      </c>
      <c r="G228" s="11">
        <f>Tablo14567891011[[#This Row],[ADET]]*Tablo14567891011[[#This Row],[ALIŞ]]</f>
        <v>1275</v>
      </c>
      <c r="H228" s="11">
        <f>Tablo14567891011[[#This Row],[ADET]]*Tablo14567891011[[#This Row],[SATIŞ]]</f>
        <v>1280</v>
      </c>
      <c r="J228" s="40" t="str">
        <f t="shared" si="3"/>
        <v/>
      </c>
    </row>
    <row r="229" spans="2:10" ht="21" hidden="1" customHeight="1" x14ac:dyDescent="0.3">
      <c r="B229" s="2">
        <v>45377</v>
      </c>
      <c r="C229" s="6">
        <v>50</v>
      </c>
      <c r="D229" s="10">
        <v>25.5</v>
      </c>
      <c r="E229" s="10">
        <v>25.7</v>
      </c>
      <c r="F229" s="9">
        <f>IF(Tablo14567891011[[#This Row],[SATIŞ]]=0,"Açık",(E229-D229)*C229)</f>
        <v>9.9999999999999645</v>
      </c>
      <c r="G229" s="11">
        <f>Tablo14567891011[[#This Row],[ADET]]*Tablo14567891011[[#This Row],[ALIŞ]]</f>
        <v>1275</v>
      </c>
      <c r="H229" s="11">
        <f>Tablo14567891011[[#This Row],[ADET]]*Tablo14567891011[[#This Row],[SATIŞ]]</f>
        <v>1285</v>
      </c>
      <c r="J229" s="40" t="str">
        <f t="shared" si="3"/>
        <v/>
      </c>
    </row>
    <row r="230" spans="2:10" ht="21" hidden="1" customHeight="1" x14ac:dyDescent="0.3">
      <c r="B230" s="2">
        <v>45377</v>
      </c>
      <c r="C230" s="6">
        <v>50</v>
      </c>
      <c r="D230" s="10">
        <v>25.4</v>
      </c>
      <c r="E230" s="10">
        <v>26</v>
      </c>
      <c r="F230" s="9">
        <f>IF(Tablo14567891011[[#This Row],[SATIŞ]]=0,"Açık",(E230-D230)*C230)</f>
        <v>30.000000000000071</v>
      </c>
      <c r="G230" s="11">
        <f>Tablo14567891011[[#This Row],[ADET]]*Tablo14567891011[[#This Row],[ALIŞ]]</f>
        <v>1270</v>
      </c>
      <c r="H230" s="11">
        <f>Tablo14567891011[[#This Row],[ADET]]*Tablo14567891011[[#This Row],[SATIŞ]]</f>
        <v>1300</v>
      </c>
      <c r="J230" s="40" t="str">
        <f t="shared" si="3"/>
        <v/>
      </c>
    </row>
    <row r="231" spans="2:10" ht="21" hidden="1" customHeight="1" x14ac:dyDescent="0.3">
      <c r="B231" s="2">
        <v>45377</v>
      </c>
      <c r="C231" s="6">
        <v>50</v>
      </c>
      <c r="D231" s="10">
        <v>25.3</v>
      </c>
      <c r="E231" s="10">
        <v>25.9</v>
      </c>
      <c r="F231" s="9">
        <f>IF(Tablo14567891011[[#This Row],[SATIŞ]]=0,"Açık",(E231-D231)*C231)</f>
        <v>29.999999999999893</v>
      </c>
      <c r="G231" s="11">
        <f>Tablo14567891011[[#This Row],[ADET]]*Tablo14567891011[[#This Row],[ALIŞ]]</f>
        <v>1265</v>
      </c>
      <c r="H231" s="11">
        <f>Tablo14567891011[[#This Row],[ADET]]*Tablo14567891011[[#This Row],[SATIŞ]]</f>
        <v>1295</v>
      </c>
      <c r="J231" s="40" t="str">
        <f t="shared" si="3"/>
        <v/>
      </c>
    </row>
    <row r="232" spans="2:10" ht="21" hidden="1" customHeight="1" x14ac:dyDescent="0.3">
      <c r="B232" s="2">
        <v>45377</v>
      </c>
      <c r="C232" s="6">
        <v>50</v>
      </c>
      <c r="D232" s="10">
        <v>25.2</v>
      </c>
      <c r="E232" s="10">
        <v>25.7</v>
      </c>
      <c r="F232" s="9">
        <f>IF(Tablo14567891011[[#This Row],[SATIŞ]]=0,"Açık",(E232-D232)*C232)</f>
        <v>25</v>
      </c>
      <c r="G232" s="11">
        <f>Tablo14567891011[[#This Row],[ADET]]*Tablo14567891011[[#This Row],[ALIŞ]]</f>
        <v>1260</v>
      </c>
      <c r="H232" s="11">
        <f>Tablo14567891011[[#This Row],[ADET]]*Tablo14567891011[[#This Row],[SATIŞ]]</f>
        <v>1285</v>
      </c>
      <c r="J232" s="40" t="str">
        <f t="shared" si="3"/>
        <v/>
      </c>
    </row>
    <row r="233" spans="2:10" ht="21" hidden="1" customHeight="1" x14ac:dyDescent="0.3">
      <c r="B233" s="2">
        <v>45377</v>
      </c>
      <c r="C233" s="6">
        <v>50</v>
      </c>
      <c r="D233" s="10">
        <v>25.2</v>
      </c>
      <c r="E233" s="10">
        <v>25.66</v>
      </c>
      <c r="F233" s="9">
        <f>IF(Tablo14567891011[[#This Row],[SATIŞ]]=0,"Açık",(E233-D233)*C233)</f>
        <v>23.000000000000043</v>
      </c>
      <c r="G233" s="11">
        <f>Tablo14567891011[[#This Row],[ADET]]*Tablo14567891011[[#This Row],[ALIŞ]]</f>
        <v>1260</v>
      </c>
      <c r="H233" s="11">
        <f>Tablo14567891011[[#This Row],[ADET]]*Tablo14567891011[[#This Row],[SATIŞ]]</f>
        <v>1283</v>
      </c>
      <c r="J233" s="40" t="str">
        <f t="shared" si="3"/>
        <v/>
      </c>
    </row>
    <row r="234" spans="2:10" ht="21" hidden="1" customHeight="1" x14ac:dyDescent="0.3">
      <c r="B234" s="2">
        <v>45378</v>
      </c>
      <c r="C234" s="6">
        <v>50</v>
      </c>
      <c r="D234" s="10">
        <v>25.5</v>
      </c>
      <c r="E234" s="10">
        <v>25.9</v>
      </c>
      <c r="F234" s="9">
        <f>IF(Tablo14567891011[[#This Row],[SATIŞ]]=0,"Açık",(E234-D234)*C234)</f>
        <v>19.999999999999929</v>
      </c>
      <c r="G234" s="11">
        <f>Tablo14567891011[[#This Row],[ADET]]*Tablo14567891011[[#This Row],[ALIŞ]]</f>
        <v>1275</v>
      </c>
      <c r="H234" s="11">
        <f>Tablo14567891011[[#This Row],[ADET]]*Tablo14567891011[[#This Row],[SATIŞ]]</f>
        <v>1295</v>
      </c>
    </row>
    <row r="235" spans="2:10" ht="21" hidden="1" customHeight="1" x14ac:dyDescent="0.3">
      <c r="B235" s="2">
        <v>45378</v>
      </c>
      <c r="C235" s="6">
        <v>50</v>
      </c>
      <c r="D235" s="10">
        <v>25.5</v>
      </c>
      <c r="E235" s="10">
        <v>26</v>
      </c>
      <c r="F235" s="9">
        <f>IF(Tablo14567891011[[#This Row],[SATIŞ]]=0,"Açık",(E235-D235)*C235)</f>
        <v>25</v>
      </c>
      <c r="G235" s="11">
        <f>Tablo14567891011[[#This Row],[ADET]]*Tablo14567891011[[#This Row],[ALIŞ]]</f>
        <v>1275</v>
      </c>
      <c r="H235" s="11">
        <f>Tablo14567891011[[#This Row],[ADET]]*Tablo14567891011[[#This Row],[SATIŞ]]</f>
        <v>1300</v>
      </c>
    </row>
    <row r="236" spans="2:10" ht="21" hidden="1" customHeight="1" x14ac:dyDescent="0.3">
      <c r="B236" s="2">
        <v>45378</v>
      </c>
      <c r="C236" s="6">
        <v>50</v>
      </c>
      <c r="D236" s="10">
        <v>25.7</v>
      </c>
      <c r="E236" s="10">
        <v>26</v>
      </c>
      <c r="F236" s="9">
        <f>IF(Tablo14567891011[[#This Row],[SATIŞ]]=0,"Açık",(E236-D236)*C236)</f>
        <v>15.000000000000036</v>
      </c>
      <c r="G236" s="11">
        <f>Tablo14567891011[[#This Row],[ADET]]*Tablo14567891011[[#This Row],[ALIŞ]]</f>
        <v>1285</v>
      </c>
      <c r="H236" s="11">
        <f>Tablo14567891011[[#This Row],[ADET]]*Tablo14567891011[[#This Row],[SATIŞ]]</f>
        <v>1300</v>
      </c>
    </row>
    <row r="237" spans="2:10" ht="21" hidden="1" customHeight="1" x14ac:dyDescent="0.3">
      <c r="B237" s="2">
        <v>45380</v>
      </c>
      <c r="C237" s="6">
        <v>50</v>
      </c>
      <c r="D237" s="10">
        <v>26.2</v>
      </c>
      <c r="E237" s="10">
        <v>26.8</v>
      </c>
      <c r="F237" s="9">
        <f>IF(Tablo14567891011[[#This Row],[SATIŞ]]=0,"Açık",(E237-D237)*C237)</f>
        <v>30.000000000000071</v>
      </c>
      <c r="G237" s="11">
        <f>Tablo14567891011[[#This Row],[ADET]]*Tablo14567891011[[#This Row],[ALIŞ]]</f>
        <v>1310</v>
      </c>
      <c r="H237" s="11">
        <f>Tablo14567891011[[#This Row],[ADET]]*Tablo14567891011[[#This Row],[SATIŞ]]</f>
        <v>1340</v>
      </c>
    </row>
    <row r="238" spans="2:10" ht="21" hidden="1" customHeight="1" x14ac:dyDescent="0.3">
      <c r="B238" s="2">
        <v>45383</v>
      </c>
      <c r="C238" s="6">
        <v>50</v>
      </c>
      <c r="D238" s="10">
        <v>26.8</v>
      </c>
      <c r="E238" s="10">
        <v>27.5</v>
      </c>
      <c r="F238" s="9">
        <f>IF(Tablo14567891011[[#This Row],[SATIŞ]]=0,"Açık",(E238-D238)*C238)</f>
        <v>34.999999999999964</v>
      </c>
      <c r="G238" s="11">
        <f>Tablo14567891011[[#This Row],[ADET]]*Tablo14567891011[[#This Row],[ALIŞ]]</f>
        <v>1340</v>
      </c>
      <c r="H238" s="11">
        <f>Tablo14567891011[[#This Row],[ADET]]*Tablo14567891011[[#This Row],[SATIŞ]]</f>
        <v>1375</v>
      </c>
    </row>
    <row r="239" spans="2:10" ht="21" hidden="1" customHeight="1" x14ac:dyDescent="0.3">
      <c r="B239" s="2">
        <v>45383</v>
      </c>
      <c r="C239" s="6">
        <v>50</v>
      </c>
      <c r="D239" s="10">
        <v>27</v>
      </c>
      <c r="E239" s="10">
        <v>27.7</v>
      </c>
      <c r="F239" s="9">
        <f>IF(Tablo14567891011[[#This Row],[SATIŞ]]=0,"Açık",(E239-D239)*C239)</f>
        <v>34.999999999999964</v>
      </c>
      <c r="G239" s="11">
        <f>Tablo14567891011[[#This Row],[ADET]]*Tablo14567891011[[#This Row],[ALIŞ]]</f>
        <v>1350</v>
      </c>
      <c r="H239" s="11">
        <f>Tablo14567891011[[#This Row],[ADET]]*Tablo14567891011[[#This Row],[SATIŞ]]</f>
        <v>1385</v>
      </c>
    </row>
    <row r="240" spans="2:10" ht="21" hidden="1" customHeight="1" x14ac:dyDescent="0.3">
      <c r="B240" s="2">
        <v>45384</v>
      </c>
      <c r="C240" s="6">
        <v>50</v>
      </c>
      <c r="D240" s="10">
        <v>27.2</v>
      </c>
      <c r="E240" s="10">
        <v>27</v>
      </c>
      <c r="F240" s="9">
        <f>IF(Tablo14567891011[[#This Row],[SATIŞ]]=0,"Açık",(E240-D240)*C240)</f>
        <v>-9.9999999999999645</v>
      </c>
      <c r="G240" s="11">
        <f>Tablo14567891011[[#This Row],[ADET]]*Tablo14567891011[[#This Row],[ALIŞ]]</f>
        <v>1360</v>
      </c>
      <c r="H240" s="11">
        <f>Tablo14567891011[[#This Row],[ADET]]*Tablo14567891011[[#This Row],[SATIŞ]]</f>
        <v>1350</v>
      </c>
    </row>
    <row r="241" spans="2:8" ht="21" hidden="1" customHeight="1" x14ac:dyDescent="0.3">
      <c r="B241" s="2">
        <v>45384</v>
      </c>
      <c r="C241" s="6">
        <v>50</v>
      </c>
      <c r="D241" s="10">
        <v>27</v>
      </c>
      <c r="E241" s="10">
        <v>27</v>
      </c>
      <c r="F241" s="9">
        <f>IF(Tablo14567891011[[#This Row],[SATIŞ]]=0,"Açık",(E241-D241)*C241)</f>
        <v>0</v>
      </c>
      <c r="G241" s="11">
        <f>Tablo14567891011[[#This Row],[ADET]]*Tablo14567891011[[#This Row],[ALIŞ]]</f>
        <v>1350</v>
      </c>
      <c r="H241" s="11">
        <f>Tablo14567891011[[#This Row],[ADET]]*Tablo14567891011[[#This Row],[SATIŞ]]</f>
        <v>1350</v>
      </c>
    </row>
    <row r="242" spans="2:8" ht="21" hidden="1" customHeight="1" x14ac:dyDescent="0.3">
      <c r="B242" s="2">
        <v>45384</v>
      </c>
      <c r="C242" s="6">
        <v>50</v>
      </c>
      <c r="D242" s="10">
        <v>26.3</v>
      </c>
      <c r="E242" s="10">
        <v>27</v>
      </c>
      <c r="F242" s="9">
        <f>IF(Tablo14567891011[[#This Row],[SATIŞ]]=0,"Açık",(E242-D242)*C242)</f>
        <v>34.999999999999964</v>
      </c>
      <c r="G242" s="11">
        <f>Tablo14567891011[[#This Row],[ADET]]*Tablo14567891011[[#This Row],[ALIŞ]]</f>
        <v>1315</v>
      </c>
      <c r="H242" s="11">
        <f>Tablo14567891011[[#This Row],[ADET]]*Tablo14567891011[[#This Row],[SATIŞ]]</f>
        <v>1350</v>
      </c>
    </row>
    <row r="243" spans="2:8" ht="21" hidden="1" customHeight="1" x14ac:dyDescent="0.3">
      <c r="B243" s="2">
        <v>45384</v>
      </c>
      <c r="C243" s="6">
        <v>50</v>
      </c>
      <c r="D243" s="10">
        <v>26</v>
      </c>
      <c r="E243" s="10">
        <v>27</v>
      </c>
      <c r="F243" s="9">
        <f>IF(Tablo14567891011[[#This Row],[SATIŞ]]=0,"Açık",(E243-D243)*C243)</f>
        <v>50</v>
      </c>
      <c r="G243" s="11">
        <f>Tablo14567891011[[#This Row],[ADET]]*Tablo14567891011[[#This Row],[ALIŞ]]</f>
        <v>1300</v>
      </c>
      <c r="H243" s="11">
        <f>Tablo14567891011[[#This Row],[ADET]]*Tablo14567891011[[#This Row],[SATIŞ]]</f>
        <v>1350</v>
      </c>
    </row>
    <row r="244" spans="2:8" ht="21" hidden="1" customHeight="1" x14ac:dyDescent="0.3">
      <c r="B244" s="2">
        <v>45384</v>
      </c>
      <c r="C244" s="6">
        <v>100</v>
      </c>
      <c r="D244" s="10">
        <v>26.06</v>
      </c>
      <c r="E244" s="10">
        <v>27</v>
      </c>
      <c r="F244" s="9">
        <f>IF(Tablo14567891011[[#This Row],[SATIŞ]]=0,"Açık",(E244-D244)*C244)</f>
        <v>94.000000000000128</v>
      </c>
      <c r="G244" s="11">
        <f>Tablo14567891011[[#This Row],[ADET]]*Tablo14567891011[[#This Row],[ALIŞ]]</f>
        <v>2606</v>
      </c>
      <c r="H244" s="11">
        <f>Tablo14567891011[[#This Row],[ADET]]*Tablo14567891011[[#This Row],[SATIŞ]]</f>
        <v>2700</v>
      </c>
    </row>
    <row r="245" spans="2:8" ht="21" hidden="1" customHeight="1" x14ac:dyDescent="0.3">
      <c r="B245" s="2">
        <v>45384</v>
      </c>
      <c r="C245" s="6">
        <v>300</v>
      </c>
      <c r="D245" s="10">
        <v>26.06</v>
      </c>
      <c r="E245" s="10">
        <v>26.7</v>
      </c>
      <c r="F245" s="9">
        <f>IF(Tablo14567891011[[#This Row],[SATIŞ]]=0,"Açık",(E245-D245)*C245)</f>
        <v>192.00000000000017</v>
      </c>
      <c r="G245" s="11">
        <f>Tablo14567891011[[#This Row],[ADET]]*Tablo14567891011[[#This Row],[ALIŞ]]</f>
        <v>7818</v>
      </c>
      <c r="H245" s="11">
        <f>Tablo14567891011[[#This Row],[ADET]]*Tablo14567891011[[#This Row],[SATIŞ]]</f>
        <v>8010</v>
      </c>
    </row>
    <row r="246" spans="2:8" ht="21" hidden="1" customHeight="1" x14ac:dyDescent="0.3">
      <c r="B246" s="2">
        <v>45384</v>
      </c>
      <c r="C246" s="6">
        <v>300</v>
      </c>
      <c r="D246" s="10">
        <v>26.06</v>
      </c>
      <c r="E246" s="10">
        <v>26.8</v>
      </c>
      <c r="F246" s="9">
        <f>IF(Tablo14567891011[[#This Row],[SATIŞ]]=0,"Açık",(E246-D246)*C246)</f>
        <v>222.0000000000006</v>
      </c>
      <c r="G246" s="11">
        <f>Tablo14567891011[[#This Row],[ADET]]*Tablo14567891011[[#This Row],[ALIŞ]]</f>
        <v>7818</v>
      </c>
      <c r="H246" s="11">
        <f>Tablo14567891011[[#This Row],[ADET]]*Tablo14567891011[[#This Row],[SATIŞ]]</f>
        <v>8040</v>
      </c>
    </row>
    <row r="247" spans="2:8" ht="21" hidden="1" customHeight="1" x14ac:dyDescent="0.3">
      <c r="B247" s="2">
        <v>45384</v>
      </c>
      <c r="C247" s="6">
        <v>300</v>
      </c>
      <c r="D247" s="10">
        <v>26.06</v>
      </c>
      <c r="E247" s="10">
        <v>26.68</v>
      </c>
      <c r="F247" s="9">
        <f>IF(Tablo14567891011[[#This Row],[SATIŞ]]=0,"Açık",(E247-D247)*C247)</f>
        <v>186.00000000000028</v>
      </c>
      <c r="G247" s="11">
        <f>Tablo14567891011[[#This Row],[ADET]]*Tablo14567891011[[#This Row],[ALIŞ]]</f>
        <v>7818</v>
      </c>
      <c r="H247" s="11">
        <f>Tablo14567891011[[#This Row],[ADET]]*Tablo14567891011[[#This Row],[SATIŞ]]</f>
        <v>8004</v>
      </c>
    </row>
    <row r="248" spans="2:8" ht="21" hidden="1" customHeight="1" x14ac:dyDescent="0.3">
      <c r="B248" s="2">
        <v>45384</v>
      </c>
      <c r="C248" s="6">
        <v>200</v>
      </c>
      <c r="D248" s="10">
        <v>26.06</v>
      </c>
      <c r="E248" s="10">
        <v>26.68</v>
      </c>
      <c r="F248" s="9">
        <f>IF(Tablo14567891011[[#This Row],[SATIŞ]]=0,"Açık",(E248-D248)*C248)</f>
        <v>124.0000000000002</v>
      </c>
      <c r="G248" s="11">
        <f>Tablo14567891011[[#This Row],[ADET]]*Tablo14567891011[[#This Row],[ALIŞ]]</f>
        <v>5212</v>
      </c>
      <c r="H248" s="11">
        <f>Tablo14567891011[[#This Row],[ADET]]*Tablo14567891011[[#This Row],[SATIŞ]]</f>
        <v>5336</v>
      </c>
    </row>
    <row r="249" spans="2:8" ht="21" hidden="1" customHeight="1" x14ac:dyDescent="0.3">
      <c r="B249" s="2">
        <v>45384</v>
      </c>
      <c r="C249" s="6">
        <v>100</v>
      </c>
      <c r="D249" s="10">
        <v>26.04</v>
      </c>
      <c r="E249" s="10">
        <v>26.68</v>
      </c>
      <c r="F249" s="9">
        <f>IF(Tablo14567891011[[#This Row],[SATIŞ]]=0,"Açık",(E249-D249)*C249)</f>
        <v>64.000000000000057</v>
      </c>
      <c r="G249" s="11">
        <f>Tablo14567891011[[#This Row],[ADET]]*Tablo14567891011[[#This Row],[ALIŞ]]</f>
        <v>2604</v>
      </c>
      <c r="H249" s="11">
        <f>Tablo14567891011[[#This Row],[ADET]]*Tablo14567891011[[#This Row],[SATIŞ]]</f>
        <v>2668</v>
      </c>
    </row>
    <row r="250" spans="2:8" ht="21" hidden="1" customHeight="1" x14ac:dyDescent="0.3">
      <c r="B250" s="2">
        <v>45384</v>
      </c>
      <c r="C250" s="6">
        <v>100</v>
      </c>
      <c r="D250" s="10">
        <v>26</v>
      </c>
      <c r="E250" s="10">
        <v>26.68</v>
      </c>
      <c r="F250" s="9">
        <f>IF(Tablo14567891011[[#This Row],[SATIŞ]]=0,"Açık",(E250-D250)*C250)</f>
        <v>67.999999999999972</v>
      </c>
      <c r="G250" s="11">
        <f>Tablo14567891011[[#This Row],[ADET]]*Tablo14567891011[[#This Row],[ALIŞ]]</f>
        <v>2600</v>
      </c>
      <c r="H250" s="11">
        <f>Tablo14567891011[[#This Row],[ADET]]*Tablo14567891011[[#This Row],[SATIŞ]]</f>
        <v>2668</v>
      </c>
    </row>
    <row r="251" spans="2:8" ht="21" hidden="1" customHeight="1" x14ac:dyDescent="0.3">
      <c r="B251" s="2">
        <v>45384</v>
      </c>
      <c r="C251" s="6">
        <v>100</v>
      </c>
      <c r="D251" s="10">
        <v>25.9</v>
      </c>
      <c r="E251" s="10">
        <v>26.4</v>
      </c>
      <c r="F251" s="9">
        <f>IF(Tablo14567891011[[#This Row],[SATIŞ]]=0,"Açık",(E251-D251)*C251)</f>
        <v>50</v>
      </c>
      <c r="G251" s="11">
        <f>Tablo14567891011[[#This Row],[ADET]]*Tablo14567891011[[#This Row],[ALIŞ]]</f>
        <v>2590</v>
      </c>
      <c r="H251" s="11">
        <f>Tablo14567891011[[#This Row],[ADET]]*Tablo14567891011[[#This Row],[SATIŞ]]</f>
        <v>2640</v>
      </c>
    </row>
    <row r="252" spans="2:8" ht="21" hidden="1" customHeight="1" x14ac:dyDescent="0.3">
      <c r="B252" s="2">
        <v>45384</v>
      </c>
      <c r="C252" s="6">
        <v>100</v>
      </c>
      <c r="D252" s="10">
        <v>25.8</v>
      </c>
      <c r="E252" s="10">
        <v>26.3</v>
      </c>
      <c r="F252" s="9">
        <f>IF(Tablo14567891011[[#This Row],[SATIŞ]]=0,"Açık",(E252-D252)*C252)</f>
        <v>50</v>
      </c>
      <c r="G252" s="11">
        <f>Tablo14567891011[[#This Row],[ADET]]*Tablo14567891011[[#This Row],[ALIŞ]]</f>
        <v>2580</v>
      </c>
      <c r="H252" s="11">
        <f>Tablo14567891011[[#This Row],[ADET]]*Tablo14567891011[[#This Row],[SATIŞ]]</f>
        <v>2630</v>
      </c>
    </row>
    <row r="253" spans="2:8" ht="21" hidden="1" customHeight="1" x14ac:dyDescent="0.3">
      <c r="B253" s="2">
        <v>45385</v>
      </c>
      <c r="C253" s="6">
        <v>100</v>
      </c>
      <c r="D253" s="10">
        <v>25.8</v>
      </c>
      <c r="E253" s="10">
        <v>26.2</v>
      </c>
      <c r="F253" s="9">
        <f>IF(Tablo14567891011[[#This Row],[SATIŞ]]=0,"Açık",(E253-D253)*C253)</f>
        <v>39.999999999999858</v>
      </c>
      <c r="G253" s="11">
        <f>Tablo14567891011[[#This Row],[ADET]]*Tablo14567891011[[#This Row],[ALIŞ]]</f>
        <v>2580</v>
      </c>
      <c r="H253" s="11">
        <f>Tablo14567891011[[#This Row],[ADET]]*Tablo14567891011[[#This Row],[SATIŞ]]</f>
        <v>2620</v>
      </c>
    </row>
    <row r="254" spans="2:8" ht="21" hidden="1" customHeight="1" x14ac:dyDescent="0.3">
      <c r="B254" s="2">
        <v>45385</v>
      </c>
      <c r="C254" s="6">
        <v>100</v>
      </c>
      <c r="D254" s="10">
        <v>25.7</v>
      </c>
      <c r="E254" s="10">
        <v>25.8</v>
      </c>
      <c r="F254" s="9">
        <f>IF(Tablo14567891011[[#This Row],[SATIŞ]]=0,"Açık",(E254-D254)*C254)</f>
        <v>10.000000000000142</v>
      </c>
      <c r="G254" s="11">
        <f>Tablo14567891011[[#This Row],[ADET]]*Tablo14567891011[[#This Row],[ALIŞ]]</f>
        <v>2570</v>
      </c>
      <c r="H254" s="11">
        <f>Tablo14567891011[[#This Row],[ADET]]*Tablo14567891011[[#This Row],[SATIŞ]]</f>
        <v>2580</v>
      </c>
    </row>
    <row r="255" spans="2:8" ht="21" hidden="1" customHeight="1" x14ac:dyDescent="0.3">
      <c r="B255" s="2">
        <v>45385</v>
      </c>
      <c r="C255" s="6">
        <v>100</v>
      </c>
      <c r="D255" s="10">
        <v>25.58</v>
      </c>
      <c r="E255" s="10">
        <v>26.2</v>
      </c>
      <c r="F255" s="9">
        <f>IF(Tablo14567891011[[#This Row],[SATIŞ]]=0,"Açık",(E255-D255)*C255)</f>
        <v>62.000000000000099</v>
      </c>
      <c r="G255" s="11">
        <f>Tablo14567891011[[#This Row],[ADET]]*Tablo14567891011[[#This Row],[ALIŞ]]</f>
        <v>2558</v>
      </c>
      <c r="H255" s="11">
        <f>Tablo14567891011[[#This Row],[ADET]]*Tablo14567891011[[#This Row],[SATIŞ]]</f>
        <v>2620</v>
      </c>
    </row>
    <row r="256" spans="2:8" ht="21" hidden="1" customHeight="1" x14ac:dyDescent="0.3">
      <c r="B256" s="2">
        <v>45385</v>
      </c>
      <c r="C256" s="6">
        <v>100</v>
      </c>
      <c r="D256" s="10">
        <v>25.5</v>
      </c>
      <c r="E256" s="10">
        <v>26</v>
      </c>
      <c r="F256" s="9">
        <f>IF(Tablo14567891011[[#This Row],[SATIŞ]]=0,"Açık",(E256-D256)*C256)</f>
        <v>50</v>
      </c>
      <c r="G256" s="11">
        <f>Tablo14567891011[[#This Row],[ADET]]*Tablo14567891011[[#This Row],[ALIŞ]]</f>
        <v>2550</v>
      </c>
      <c r="H256" s="11">
        <f>Tablo14567891011[[#This Row],[ADET]]*Tablo14567891011[[#This Row],[SATIŞ]]</f>
        <v>2600</v>
      </c>
    </row>
    <row r="257" spans="2:8" ht="21" hidden="1" customHeight="1" x14ac:dyDescent="0.3">
      <c r="B257" s="2">
        <v>45385</v>
      </c>
      <c r="C257" s="6">
        <v>100</v>
      </c>
      <c r="D257" s="10">
        <v>25.4</v>
      </c>
      <c r="E257" s="10">
        <v>25.8</v>
      </c>
      <c r="F257" s="9">
        <f>IF(Tablo14567891011[[#This Row],[SATIŞ]]=0,"Açık",(E257-D257)*C257)</f>
        <v>40.000000000000213</v>
      </c>
      <c r="G257" s="11">
        <f>Tablo14567891011[[#This Row],[ADET]]*Tablo14567891011[[#This Row],[ALIŞ]]</f>
        <v>2540</v>
      </c>
      <c r="H257" s="11">
        <f>Tablo14567891011[[#This Row],[ADET]]*Tablo14567891011[[#This Row],[SATIŞ]]</f>
        <v>2580</v>
      </c>
    </row>
    <row r="258" spans="2:8" ht="21" hidden="1" customHeight="1" x14ac:dyDescent="0.3">
      <c r="B258" s="2">
        <v>45385</v>
      </c>
      <c r="C258" s="6">
        <v>100</v>
      </c>
      <c r="D258" s="10">
        <v>25.8</v>
      </c>
      <c r="E258" s="10">
        <v>26.1</v>
      </c>
      <c r="F258" s="9">
        <f>IF(Tablo14567891011[[#This Row],[SATIŞ]]=0,"Açık",(E258-D258)*C258)</f>
        <v>30.000000000000071</v>
      </c>
      <c r="G258" s="11">
        <f>Tablo14567891011[[#This Row],[ADET]]*Tablo14567891011[[#This Row],[ALIŞ]]</f>
        <v>2580</v>
      </c>
      <c r="H258" s="11">
        <f>Tablo14567891011[[#This Row],[ADET]]*Tablo14567891011[[#This Row],[SATIŞ]]</f>
        <v>2610</v>
      </c>
    </row>
    <row r="259" spans="2:8" ht="21" hidden="1" customHeight="1" x14ac:dyDescent="0.3">
      <c r="B259" s="2">
        <v>45385</v>
      </c>
      <c r="C259" s="6">
        <v>100</v>
      </c>
      <c r="D259" s="10">
        <v>25.5</v>
      </c>
      <c r="E259" s="10">
        <v>25.5</v>
      </c>
      <c r="F259" s="9">
        <f>IF(Tablo14567891011[[#This Row],[SATIŞ]]=0,"Açık",(E259-D259)*C259)</f>
        <v>0</v>
      </c>
      <c r="G259" s="11">
        <f>Tablo14567891011[[#This Row],[ADET]]*Tablo14567891011[[#This Row],[ALIŞ]]</f>
        <v>2550</v>
      </c>
      <c r="H259" s="11">
        <f>Tablo14567891011[[#This Row],[ADET]]*Tablo14567891011[[#This Row],[SATIŞ]]</f>
        <v>2550</v>
      </c>
    </row>
    <row r="260" spans="2:8" ht="21" hidden="1" customHeight="1" x14ac:dyDescent="0.3">
      <c r="B260" s="2">
        <v>45355</v>
      </c>
      <c r="C260" s="6">
        <v>100</v>
      </c>
      <c r="D260" s="10">
        <v>24.9</v>
      </c>
      <c r="E260" s="10">
        <v>25.2</v>
      </c>
      <c r="F260" s="9">
        <f>IF(Tablo14567891011[[#This Row],[SATIŞ]]=0,"Açık",(E260-D260)*C260)</f>
        <v>30.000000000000071</v>
      </c>
      <c r="G260" s="11">
        <f>Tablo14567891011[[#This Row],[ADET]]*Tablo14567891011[[#This Row],[ALIŞ]]</f>
        <v>2490</v>
      </c>
      <c r="H260" s="11">
        <f>Tablo14567891011[[#This Row],[ADET]]*Tablo14567891011[[#This Row],[SATIŞ]]</f>
        <v>2520</v>
      </c>
    </row>
    <row r="261" spans="2:8" ht="21" hidden="1" customHeight="1" x14ac:dyDescent="0.3">
      <c r="B261" s="2">
        <v>45398</v>
      </c>
      <c r="C261" s="6">
        <v>50</v>
      </c>
      <c r="D261" s="10">
        <v>27.5</v>
      </c>
      <c r="E261" s="10">
        <v>28</v>
      </c>
      <c r="F261" s="9">
        <f>IF(Tablo14567891011[[#This Row],[SATIŞ]]=0,"Açık",(E261-D261)*C261)</f>
        <v>25</v>
      </c>
      <c r="G261" s="11">
        <f>Tablo14567891011[[#This Row],[ADET]]*Tablo14567891011[[#This Row],[ALIŞ]]</f>
        <v>1375</v>
      </c>
      <c r="H261" s="11">
        <f>Tablo14567891011[[#This Row],[ADET]]*Tablo14567891011[[#This Row],[SATIŞ]]</f>
        <v>1400</v>
      </c>
    </row>
    <row r="262" spans="2:8" ht="21" hidden="1" customHeight="1" x14ac:dyDescent="0.3">
      <c r="B262" s="2">
        <v>45398</v>
      </c>
      <c r="C262" s="6">
        <v>50</v>
      </c>
      <c r="D262" s="10">
        <v>26.9</v>
      </c>
      <c r="E262" s="10">
        <v>27.4</v>
      </c>
      <c r="F262" s="9">
        <f>IF(Tablo14567891011[[#This Row],[SATIŞ]]=0,"Açık",(E262-D262)*C262)</f>
        <v>25</v>
      </c>
      <c r="G262" s="11">
        <f>Tablo14567891011[[#This Row],[ADET]]*Tablo14567891011[[#This Row],[ALIŞ]]</f>
        <v>1345</v>
      </c>
      <c r="H262" s="11">
        <f>Tablo14567891011[[#This Row],[ADET]]*Tablo14567891011[[#This Row],[SATIŞ]]</f>
        <v>1370</v>
      </c>
    </row>
    <row r="263" spans="2:8" ht="21" hidden="1" customHeight="1" x14ac:dyDescent="0.3">
      <c r="B263" s="2">
        <v>45398</v>
      </c>
      <c r="C263" s="6">
        <v>50</v>
      </c>
      <c r="D263" s="10">
        <v>26.9</v>
      </c>
      <c r="E263" s="10">
        <v>27.5</v>
      </c>
      <c r="F263" s="9">
        <f>IF(Tablo14567891011[[#This Row],[SATIŞ]]=0,"Açık",(E263-D263)*C263)</f>
        <v>30.000000000000071</v>
      </c>
      <c r="G263" s="11">
        <f>Tablo14567891011[[#This Row],[ADET]]*Tablo14567891011[[#This Row],[ALIŞ]]</f>
        <v>1345</v>
      </c>
      <c r="H263" s="11">
        <f>Tablo14567891011[[#This Row],[ADET]]*Tablo14567891011[[#This Row],[SATIŞ]]</f>
        <v>1375</v>
      </c>
    </row>
    <row r="264" spans="2:8" ht="21" hidden="1" customHeight="1" x14ac:dyDescent="0.3">
      <c r="B264" s="2">
        <v>45398</v>
      </c>
      <c r="C264" s="6">
        <v>100</v>
      </c>
      <c r="D264" s="10">
        <v>26.8</v>
      </c>
      <c r="E264" s="10">
        <v>27.1</v>
      </c>
      <c r="F264" s="9">
        <f>IF(Tablo14567891011[[#This Row],[SATIŞ]]=0,"Açık",(E264-D264)*C264)</f>
        <v>30.000000000000071</v>
      </c>
      <c r="G264" s="11">
        <f>Tablo14567891011[[#This Row],[ADET]]*Tablo14567891011[[#This Row],[ALIŞ]]</f>
        <v>2680</v>
      </c>
      <c r="H264" s="11">
        <f>Tablo14567891011[[#This Row],[ADET]]*Tablo14567891011[[#This Row],[SATIŞ]]</f>
        <v>2710</v>
      </c>
    </row>
    <row r="265" spans="2:8" ht="21" hidden="1" customHeight="1" x14ac:dyDescent="0.3">
      <c r="B265" s="2">
        <v>45398</v>
      </c>
      <c r="C265" s="6">
        <v>50</v>
      </c>
      <c r="D265" s="10">
        <v>26.8</v>
      </c>
      <c r="E265" s="10">
        <v>28.2</v>
      </c>
      <c r="F265" s="9">
        <f>IF(Tablo14567891011[[#This Row],[SATIŞ]]=0,"Açık",(E265-D265)*C265)</f>
        <v>69.999999999999929</v>
      </c>
      <c r="G265" s="11">
        <f>Tablo14567891011[[#This Row],[ADET]]*Tablo14567891011[[#This Row],[ALIŞ]]</f>
        <v>1340</v>
      </c>
      <c r="H265" s="11">
        <f>Tablo14567891011[[#This Row],[ADET]]*Tablo14567891011[[#This Row],[SATIŞ]]</f>
        <v>1410</v>
      </c>
    </row>
  </sheetData>
  <conditionalFormatting sqref="B4:F265">
    <cfRule type="expression" dxfId="173" priority="1">
      <formula>$F4&lt;0</formula>
    </cfRule>
    <cfRule type="expression" dxfId="172" priority="2">
      <formula>$F4="Açık"</formula>
    </cfRule>
    <cfRule type="expression" dxfId="171" priority="3">
      <formula>$F4&gt;0</formula>
    </cfRule>
  </conditionalFormatting>
  <hyperlinks>
    <hyperlink ref="B1" location="İcmal!A1" display="ANA SAYFA" xr:uid="{8D2B2F88-ED72-4DA0-A760-4EB94F19CEDA}"/>
  </hyperlinks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214D6-63B7-4411-8EAE-960C60197877}">
  <sheetPr>
    <tabColor theme="1"/>
  </sheetPr>
  <dimension ref="B1:R144"/>
  <sheetViews>
    <sheetView showGridLines="0" showZeros="0" zoomScale="110" zoomScaleNormal="110" workbookViewId="0">
      <pane ySplit="3" topLeftCell="A126" activePane="bottomLeft" state="frozen"/>
      <selection pane="bottomLeft" activeCell="E131" sqref="E131"/>
    </sheetView>
  </sheetViews>
  <sheetFormatPr defaultRowHeight="21" customHeight="1" x14ac:dyDescent="0.3"/>
  <cols>
    <col min="2" max="2" width="20.6640625" style="1" customWidth="1"/>
    <col min="3" max="3" width="11.33203125" style="6" customWidth="1"/>
    <col min="4" max="5" width="12.88671875" style="3" customWidth="1"/>
    <col min="6" max="6" width="12.88671875" style="5" customWidth="1"/>
    <col min="7" max="7" width="12.5546875" bestFit="1" customWidth="1"/>
    <col min="8" max="8" width="11.6640625" bestFit="1" customWidth="1"/>
    <col min="10" max="12" width="12.44140625" customWidth="1"/>
    <col min="13" max="13" width="12.6640625" bestFit="1" customWidth="1"/>
    <col min="14" max="14" width="12" bestFit="1" customWidth="1"/>
  </cols>
  <sheetData>
    <row r="1" spans="2:18" ht="21" customHeight="1" x14ac:dyDescent="0.3">
      <c r="B1" s="12" t="s">
        <v>64</v>
      </c>
      <c r="C1" s="4">
        <f>SUMIF(Tablo1456789101112[KAR],"Açık",Tablo1456789101112[ADET])</f>
        <v>100</v>
      </c>
      <c r="D1" s="10">
        <f>+İcmal!E14</f>
        <v>171.1</v>
      </c>
      <c r="E1" s="10">
        <f>C1*D1</f>
        <v>17110</v>
      </c>
      <c r="F1" s="10">
        <f>IFERROR(((SUM(Tablo1456789101112[ALIŞ TUTAR])-SUM(Tablo1456789101112[SATIŞ TUTAR]))/C1),"")</f>
        <v>1.351978999999992</v>
      </c>
      <c r="G1" s="10">
        <f>IF(M3=0,L3,C1*(D1-F1))</f>
        <v>16974.802100000001</v>
      </c>
      <c r="J1" s="45" t="s">
        <v>94</v>
      </c>
      <c r="K1" s="45" t="s">
        <v>95</v>
      </c>
      <c r="L1" s="45" t="s">
        <v>96</v>
      </c>
      <c r="M1" s="33">
        <f>F1</f>
        <v>1.351978999999992</v>
      </c>
      <c r="N1" s="8" t="e">
        <f>M1*(1+$J$1)</f>
        <v>#VALUE!</v>
      </c>
      <c r="P1" s="8" t="e">
        <f>Q1*(1-$J$1)</f>
        <v>#VALUE!</v>
      </c>
      <c r="Q1" s="33">
        <f>+D1</f>
        <v>171.1</v>
      </c>
      <c r="R1" s="8" t="e">
        <f>Q1*(1+$J$1)</f>
        <v>#VALUE!</v>
      </c>
    </row>
    <row r="2" spans="2:18" ht="21" customHeight="1" x14ac:dyDescent="0.3">
      <c r="B2" s="7" t="s">
        <v>21</v>
      </c>
      <c r="J2" s="45">
        <f>SUMIFS(Tablo2[HEDEF2],Tablo2[HİSSE],B2)</f>
        <v>1000</v>
      </c>
      <c r="K2" s="45">
        <f>+E1/İcmal!$P$2</f>
        <v>525.97602213341531</v>
      </c>
      <c r="L2" s="45">
        <f>+J2-K2</f>
        <v>474.02397786658469</v>
      </c>
    </row>
    <row r="3" spans="2:18" ht="21" customHeight="1" x14ac:dyDescent="0.3">
      <c r="B3" s="1" t="s">
        <v>0</v>
      </c>
      <c r="C3" s="6" t="s">
        <v>4</v>
      </c>
      <c r="D3" s="3" t="s">
        <v>1</v>
      </c>
      <c r="E3" s="3" t="s">
        <v>3</v>
      </c>
      <c r="F3" s="5" t="s">
        <v>2</v>
      </c>
      <c r="G3" s="3" t="s">
        <v>8</v>
      </c>
      <c r="H3" s="3" t="s">
        <v>9</v>
      </c>
      <c r="L3" s="33">
        <f>SUM(Tablo1456789101112[KAR])</f>
        <v>14614.802100000001</v>
      </c>
      <c r="M3" s="37">
        <f>+C1</f>
        <v>100</v>
      </c>
    </row>
    <row r="4" spans="2:18" ht="21" hidden="1" customHeight="1" x14ac:dyDescent="0.3">
      <c r="B4" s="2">
        <v>45291</v>
      </c>
      <c r="C4" s="6">
        <v>145</v>
      </c>
      <c r="D4" s="10">
        <v>64.823409999999996</v>
      </c>
      <c r="E4" s="10">
        <v>71.888840000000002</v>
      </c>
      <c r="F4" s="9">
        <f>IF(Tablo1456789101112[[#This Row],[SATIŞ]]=0,"Açık",(E4-D4)*C4)</f>
        <v>1024.487350000001</v>
      </c>
      <c r="G4" s="11">
        <f>Tablo1456789101112[[#This Row],[ADET]]*Tablo1456789101112[[#This Row],[ALIŞ]]</f>
        <v>9399.3944499999998</v>
      </c>
      <c r="H4" s="11">
        <f>Tablo1456789101112[[#This Row],[ADET]]*Tablo1456789101112[[#This Row],[SATIŞ]]</f>
        <v>10423.881800000001</v>
      </c>
      <c r="L4" s="8">
        <f>SUM(Tablo1456789101112[ALIŞ TUTAR])</f>
        <v>195357.0797</v>
      </c>
      <c r="M4" s="8">
        <f>SUM(Tablo1456789101112[SATIŞ TUTAR])</f>
        <v>195221.8818</v>
      </c>
      <c r="N4" s="8">
        <f>L4-M4</f>
        <v>135.19789999999921</v>
      </c>
    </row>
    <row r="5" spans="2:18" ht="21" hidden="1" customHeight="1" x14ac:dyDescent="0.3">
      <c r="B5" s="2">
        <v>45291</v>
      </c>
      <c r="C5" s="6">
        <v>5</v>
      </c>
      <c r="D5" s="10">
        <v>64.823409999999996</v>
      </c>
      <c r="E5" s="10">
        <v>78</v>
      </c>
      <c r="F5" s="9">
        <f>IF(Tablo1456789101112[[#This Row],[SATIŞ]]=0,"Açık",(E5-D5)*C5)</f>
        <v>65.882950000000022</v>
      </c>
      <c r="G5" s="11">
        <f>Tablo1456789101112[[#This Row],[ADET]]*Tablo1456789101112[[#This Row],[ALIŞ]]</f>
        <v>324.11704999999995</v>
      </c>
      <c r="H5" s="11">
        <f>Tablo1456789101112[[#This Row],[ADET]]*Tablo1456789101112[[#This Row],[SATIŞ]]</f>
        <v>390</v>
      </c>
      <c r="N5">
        <f>+N4/80</f>
        <v>1.6899737499999901</v>
      </c>
    </row>
    <row r="6" spans="2:18" ht="21" hidden="1" customHeight="1" x14ac:dyDescent="0.3">
      <c r="B6" s="2">
        <v>45291</v>
      </c>
      <c r="C6" s="6">
        <v>5</v>
      </c>
      <c r="D6" s="10">
        <v>64.823409999999996</v>
      </c>
      <c r="E6" s="10">
        <v>79</v>
      </c>
      <c r="F6" s="9">
        <f>IF(Tablo1456789101112[[#This Row],[SATIŞ]]=0,"Açık",(E6-D6)*C6)</f>
        <v>70.882950000000022</v>
      </c>
      <c r="G6" s="11">
        <f>Tablo1456789101112[[#This Row],[ADET]]*Tablo1456789101112[[#This Row],[ALIŞ]]</f>
        <v>324.11704999999995</v>
      </c>
      <c r="H6" s="11">
        <f>Tablo1456789101112[[#This Row],[ADET]]*Tablo1456789101112[[#This Row],[SATIŞ]]</f>
        <v>395</v>
      </c>
    </row>
    <row r="7" spans="2:18" ht="21" hidden="1" customHeight="1" x14ac:dyDescent="0.3">
      <c r="B7" s="2">
        <v>45291</v>
      </c>
      <c r="C7" s="6">
        <v>5</v>
      </c>
      <c r="D7" s="10">
        <v>64.823409999999996</v>
      </c>
      <c r="E7" s="10">
        <v>80</v>
      </c>
      <c r="F7" s="9">
        <f>IF(Tablo1456789101112[[#This Row],[SATIŞ]]=0,"Açık",(E7-D7)*C7)</f>
        <v>75.882950000000022</v>
      </c>
      <c r="G7" s="11">
        <f>Tablo1456789101112[[#This Row],[ADET]]*Tablo1456789101112[[#This Row],[ALIŞ]]</f>
        <v>324.11704999999995</v>
      </c>
      <c r="H7" s="11">
        <f>Tablo1456789101112[[#This Row],[ADET]]*Tablo1456789101112[[#This Row],[SATIŞ]]</f>
        <v>400</v>
      </c>
    </row>
    <row r="8" spans="2:18" ht="21" hidden="1" customHeight="1" x14ac:dyDescent="0.3">
      <c r="B8" s="2">
        <v>45291</v>
      </c>
      <c r="C8" s="6">
        <v>5</v>
      </c>
      <c r="D8" s="10">
        <v>64.823409999999996</v>
      </c>
      <c r="E8" s="10">
        <v>84.1</v>
      </c>
      <c r="F8" s="9">
        <f>IF(Tablo1456789101112[[#This Row],[SATIŞ]]=0,"Açık",(E8-D8)*C8)</f>
        <v>96.382949999999994</v>
      </c>
      <c r="G8" s="11">
        <f>Tablo1456789101112[[#This Row],[ADET]]*Tablo1456789101112[[#This Row],[ALIŞ]]</f>
        <v>324.11704999999995</v>
      </c>
      <c r="H8" s="11">
        <f>Tablo1456789101112[[#This Row],[ADET]]*Tablo1456789101112[[#This Row],[SATIŞ]]</f>
        <v>420.5</v>
      </c>
    </row>
    <row r="9" spans="2:18" ht="21" hidden="1" customHeight="1" x14ac:dyDescent="0.3">
      <c r="B9" s="2">
        <v>45291</v>
      </c>
      <c r="C9" s="6">
        <v>5</v>
      </c>
      <c r="D9" s="10">
        <v>64.823409999999996</v>
      </c>
      <c r="E9" s="10">
        <v>85</v>
      </c>
      <c r="F9" s="9">
        <f>IF(Tablo1456789101112[[#This Row],[SATIŞ]]=0,"Açık",(E9-D9)*C9)</f>
        <v>100.88295000000002</v>
      </c>
      <c r="G9" s="11">
        <f>Tablo1456789101112[[#This Row],[ADET]]*Tablo1456789101112[[#This Row],[ALIŞ]]</f>
        <v>324.11704999999995</v>
      </c>
      <c r="H9" s="11">
        <f>Tablo1456789101112[[#This Row],[ADET]]*Tablo1456789101112[[#This Row],[SATIŞ]]</f>
        <v>425</v>
      </c>
    </row>
    <row r="10" spans="2:18" ht="21" hidden="1" customHeight="1" x14ac:dyDescent="0.3">
      <c r="B10" s="2">
        <v>45293</v>
      </c>
      <c r="C10" s="6">
        <v>5</v>
      </c>
      <c r="D10" s="10">
        <v>75</v>
      </c>
      <c r="E10" s="10">
        <v>81.95</v>
      </c>
      <c r="F10" s="9">
        <f>IF(Tablo1456789101112[[#This Row],[SATIŞ]]=0,"Açık",(E10-D10)*C10)</f>
        <v>34.750000000000014</v>
      </c>
      <c r="G10" s="11">
        <f>Tablo1456789101112[[#This Row],[ADET]]*Tablo1456789101112[[#This Row],[ALIŞ]]</f>
        <v>375</v>
      </c>
      <c r="H10" s="11">
        <f>Tablo1456789101112[[#This Row],[ADET]]*Tablo1456789101112[[#This Row],[SATIŞ]]</f>
        <v>409.75</v>
      </c>
    </row>
    <row r="11" spans="2:18" ht="21" hidden="1" customHeight="1" x14ac:dyDescent="0.3">
      <c r="B11" s="2">
        <v>45293</v>
      </c>
      <c r="C11" s="6">
        <v>5</v>
      </c>
      <c r="D11" s="10">
        <v>75</v>
      </c>
      <c r="E11" s="10">
        <v>77</v>
      </c>
      <c r="F11" s="9">
        <f>IF(Tablo1456789101112[[#This Row],[SATIŞ]]=0,"Açık",(E11-D11)*C11)</f>
        <v>10</v>
      </c>
      <c r="G11" s="11">
        <f>Tablo1456789101112[[#This Row],[ADET]]*Tablo1456789101112[[#This Row],[ALIŞ]]</f>
        <v>375</v>
      </c>
      <c r="H11" s="11">
        <f>Tablo1456789101112[[#This Row],[ADET]]*Tablo1456789101112[[#This Row],[SATIŞ]]</f>
        <v>385</v>
      </c>
    </row>
    <row r="12" spans="2:18" ht="21" hidden="1" customHeight="1" x14ac:dyDescent="0.3">
      <c r="B12" s="2">
        <v>45302</v>
      </c>
      <c r="C12" s="6">
        <v>5</v>
      </c>
      <c r="D12" s="10">
        <v>83.8</v>
      </c>
      <c r="E12" s="10">
        <v>86</v>
      </c>
      <c r="F12" s="9">
        <f>IF(Tablo1456789101112[[#This Row],[SATIŞ]]=0,"Açık",(E12-D12)*C12)</f>
        <v>11.000000000000014</v>
      </c>
      <c r="G12" s="11">
        <f>Tablo1456789101112[[#This Row],[ADET]]*Tablo1456789101112[[#This Row],[ALIŞ]]</f>
        <v>419</v>
      </c>
      <c r="H12" s="11">
        <f>Tablo1456789101112[[#This Row],[ADET]]*Tablo1456789101112[[#This Row],[SATIŞ]]</f>
        <v>430</v>
      </c>
    </row>
    <row r="13" spans="2:18" ht="21" hidden="1" customHeight="1" x14ac:dyDescent="0.3">
      <c r="B13" s="2">
        <v>45303</v>
      </c>
      <c r="C13" s="6">
        <v>8</v>
      </c>
      <c r="D13" s="10">
        <v>78</v>
      </c>
      <c r="E13" s="10">
        <v>95.05</v>
      </c>
      <c r="F13" s="9">
        <f>IF(Tablo1456789101112[[#This Row],[SATIŞ]]=0,"Açık",(E13-D13)*C13)</f>
        <v>136.39999999999998</v>
      </c>
      <c r="G13" s="11">
        <f>Tablo1456789101112[[#This Row],[ADET]]*Tablo1456789101112[[#This Row],[ALIŞ]]</f>
        <v>624</v>
      </c>
      <c r="H13" s="11">
        <f>Tablo1456789101112[[#This Row],[ADET]]*Tablo1456789101112[[#This Row],[SATIŞ]]</f>
        <v>760.4</v>
      </c>
    </row>
    <row r="14" spans="2:18" ht="21" hidden="1" customHeight="1" x14ac:dyDescent="0.3">
      <c r="B14" s="2">
        <v>45306</v>
      </c>
      <c r="C14" s="6">
        <v>15</v>
      </c>
      <c r="D14" s="10">
        <v>79.5</v>
      </c>
      <c r="E14" s="10">
        <v>104.5</v>
      </c>
      <c r="F14" s="9">
        <f>IF(Tablo1456789101112[[#This Row],[SATIŞ]]=0,"Açık",(E14-D14)*C14)</f>
        <v>375</v>
      </c>
      <c r="G14" s="11">
        <f>Tablo1456789101112[[#This Row],[ADET]]*Tablo1456789101112[[#This Row],[ALIŞ]]</f>
        <v>1192.5</v>
      </c>
      <c r="H14" s="11">
        <f>Tablo1456789101112[[#This Row],[ADET]]*Tablo1456789101112[[#This Row],[SATIŞ]]</f>
        <v>1567.5</v>
      </c>
    </row>
    <row r="15" spans="2:18" ht="21" hidden="1" customHeight="1" x14ac:dyDescent="0.3">
      <c r="B15" s="2">
        <v>45306</v>
      </c>
      <c r="C15" s="6">
        <v>4</v>
      </c>
      <c r="D15" s="10">
        <v>79.5</v>
      </c>
      <c r="E15" s="10">
        <v>143.5</v>
      </c>
      <c r="F15" s="9">
        <f>IF(Tablo1456789101112[[#This Row],[SATIŞ]]=0,"Açık",(E15-D15)*C15)</f>
        <v>256</v>
      </c>
      <c r="G15" s="11">
        <f>Tablo1456789101112[[#This Row],[ADET]]*Tablo1456789101112[[#This Row],[ALIŞ]]</f>
        <v>318</v>
      </c>
      <c r="H15" s="11">
        <f>Tablo1456789101112[[#This Row],[ADET]]*Tablo1456789101112[[#This Row],[SATIŞ]]</f>
        <v>574</v>
      </c>
    </row>
    <row r="16" spans="2:18" ht="21" hidden="1" customHeight="1" x14ac:dyDescent="0.3">
      <c r="B16" s="2">
        <v>45306</v>
      </c>
      <c r="C16" s="6">
        <v>10</v>
      </c>
      <c r="D16" s="10">
        <v>77.5</v>
      </c>
      <c r="E16" s="10">
        <v>86.45</v>
      </c>
      <c r="F16" s="9">
        <f>IF(Tablo1456789101112[[#This Row],[SATIŞ]]=0,"Açık",(E16-D16)*C16)</f>
        <v>89.500000000000028</v>
      </c>
      <c r="G16" s="11">
        <f>Tablo1456789101112[[#This Row],[ADET]]*Tablo1456789101112[[#This Row],[ALIŞ]]</f>
        <v>775</v>
      </c>
      <c r="H16" s="11">
        <f>Tablo1456789101112[[#This Row],[ADET]]*Tablo1456789101112[[#This Row],[SATIŞ]]</f>
        <v>864.5</v>
      </c>
    </row>
    <row r="17" spans="2:8" ht="21" hidden="1" customHeight="1" x14ac:dyDescent="0.3">
      <c r="B17" s="2">
        <v>45307</v>
      </c>
      <c r="C17" s="6">
        <v>5</v>
      </c>
      <c r="D17" s="10">
        <v>77</v>
      </c>
      <c r="E17" s="10">
        <v>93</v>
      </c>
      <c r="F17" s="9">
        <f>IF(Tablo1456789101112[[#This Row],[SATIŞ]]=0,"Açık",(E17-D17)*C17)</f>
        <v>80</v>
      </c>
      <c r="G17" s="11">
        <f>Tablo1456789101112[[#This Row],[ADET]]*Tablo1456789101112[[#This Row],[ALIŞ]]</f>
        <v>385</v>
      </c>
      <c r="H17" s="11">
        <f>Tablo1456789101112[[#This Row],[ADET]]*Tablo1456789101112[[#This Row],[SATIŞ]]</f>
        <v>465</v>
      </c>
    </row>
    <row r="18" spans="2:8" ht="21" hidden="1" customHeight="1" x14ac:dyDescent="0.3">
      <c r="B18" s="2">
        <v>45307</v>
      </c>
      <c r="C18" s="6">
        <v>7</v>
      </c>
      <c r="D18" s="10">
        <v>76.5</v>
      </c>
      <c r="E18" s="10">
        <v>95.05</v>
      </c>
      <c r="F18" s="9">
        <f>IF(Tablo1456789101112[[#This Row],[SATIŞ]]=0,"Açık",(E18-D18)*C18)</f>
        <v>129.84999999999997</v>
      </c>
      <c r="G18" s="11">
        <f>Tablo1456789101112[[#This Row],[ADET]]*Tablo1456789101112[[#This Row],[ALIŞ]]</f>
        <v>535.5</v>
      </c>
      <c r="H18" s="11">
        <f>Tablo1456789101112[[#This Row],[ADET]]*Tablo1456789101112[[#This Row],[SATIŞ]]</f>
        <v>665.35</v>
      </c>
    </row>
    <row r="19" spans="2:8" ht="21" hidden="1" customHeight="1" x14ac:dyDescent="0.3">
      <c r="B19" s="2">
        <v>45307</v>
      </c>
      <c r="C19" s="6">
        <v>5</v>
      </c>
      <c r="D19" s="10">
        <v>76</v>
      </c>
      <c r="E19" s="10">
        <v>127</v>
      </c>
      <c r="F19" s="9">
        <f>IF(Tablo1456789101112[[#This Row],[SATIŞ]]=0,"Açık",(E19-D19)*C19)</f>
        <v>255</v>
      </c>
      <c r="G19" s="11">
        <f>Tablo1456789101112[[#This Row],[ADET]]*Tablo1456789101112[[#This Row],[ALIŞ]]</f>
        <v>380</v>
      </c>
      <c r="H19" s="11">
        <f>Tablo1456789101112[[#This Row],[ADET]]*Tablo1456789101112[[#This Row],[SATIŞ]]</f>
        <v>635</v>
      </c>
    </row>
    <row r="20" spans="2:8" ht="21" hidden="1" customHeight="1" x14ac:dyDescent="0.3">
      <c r="B20" s="2">
        <v>45307</v>
      </c>
      <c r="C20" s="6">
        <v>5</v>
      </c>
      <c r="D20" s="10">
        <v>76</v>
      </c>
      <c r="E20" s="10">
        <v>139.69999999999999</v>
      </c>
      <c r="F20" s="9">
        <f>IF(Tablo1456789101112[[#This Row],[SATIŞ]]=0,"Açık",(E20-D20)*C20)</f>
        <v>318.49999999999994</v>
      </c>
      <c r="G20" s="11">
        <f>Tablo1456789101112[[#This Row],[ADET]]*Tablo1456789101112[[#This Row],[ALIŞ]]</f>
        <v>380</v>
      </c>
      <c r="H20" s="11">
        <f>Tablo1456789101112[[#This Row],[ADET]]*Tablo1456789101112[[#This Row],[SATIŞ]]</f>
        <v>698.5</v>
      </c>
    </row>
    <row r="21" spans="2:8" ht="21" hidden="1" customHeight="1" x14ac:dyDescent="0.3">
      <c r="B21" s="2">
        <v>45306</v>
      </c>
      <c r="C21" s="6">
        <v>10</v>
      </c>
      <c r="D21" s="10">
        <v>79.5</v>
      </c>
      <c r="E21" s="10">
        <v>128</v>
      </c>
      <c r="F21" s="9">
        <f>IF(Tablo1456789101112[[#This Row],[SATIŞ]]=0,"Açık",(E21-D21)*C21)</f>
        <v>485</v>
      </c>
      <c r="G21" s="11">
        <f>Tablo1456789101112[[#This Row],[ADET]]*Tablo1456789101112[[#This Row],[ALIŞ]]</f>
        <v>795</v>
      </c>
      <c r="H21" s="11">
        <f>Tablo1456789101112[[#This Row],[ADET]]*Tablo1456789101112[[#This Row],[SATIŞ]]</f>
        <v>1280</v>
      </c>
    </row>
    <row r="22" spans="2:8" ht="21" hidden="1" customHeight="1" x14ac:dyDescent="0.3">
      <c r="B22" s="2">
        <v>45307</v>
      </c>
      <c r="C22" s="6">
        <v>5</v>
      </c>
      <c r="D22" s="10">
        <v>75</v>
      </c>
      <c r="E22" s="10">
        <v>141</v>
      </c>
      <c r="F22" s="9">
        <f>IF(Tablo1456789101112[[#This Row],[SATIŞ]]=0,"Açık",(E22-D22)*C22)</f>
        <v>330</v>
      </c>
      <c r="G22" s="11">
        <f>Tablo1456789101112[[#This Row],[ADET]]*Tablo1456789101112[[#This Row],[ALIŞ]]</f>
        <v>375</v>
      </c>
      <c r="H22" s="11">
        <f>Tablo1456789101112[[#This Row],[ADET]]*Tablo1456789101112[[#This Row],[SATIŞ]]</f>
        <v>705</v>
      </c>
    </row>
    <row r="23" spans="2:8" ht="21" hidden="1" customHeight="1" x14ac:dyDescent="0.3">
      <c r="B23" s="2">
        <v>45317</v>
      </c>
      <c r="C23" s="6">
        <v>5</v>
      </c>
      <c r="D23" s="10">
        <v>110</v>
      </c>
      <c r="E23" s="10">
        <v>115.5</v>
      </c>
      <c r="F23" s="9">
        <f>IF(Tablo1456789101112[[#This Row],[SATIŞ]]=0,"Açık",(E23-D23)*C23)</f>
        <v>27.5</v>
      </c>
      <c r="G23" s="11">
        <f>Tablo1456789101112[[#This Row],[ADET]]*Tablo1456789101112[[#This Row],[ALIŞ]]</f>
        <v>550</v>
      </c>
      <c r="H23" s="11">
        <f>Tablo1456789101112[[#This Row],[ADET]]*Tablo1456789101112[[#This Row],[SATIŞ]]</f>
        <v>577.5</v>
      </c>
    </row>
    <row r="24" spans="2:8" ht="21" hidden="1" customHeight="1" x14ac:dyDescent="0.3">
      <c r="B24" s="2">
        <v>45323</v>
      </c>
      <c r="C24" s="6">
        <v>1</v>
      </c>
      <c r="D24" s="10">
        <v>132.80000000000001</v>
      </c>
      <c r="E24" s="10">
        <v>130</v>
      </c>
      <c r="F24" s="9">
        <f>IF(Tablo1456789101112[[#This Row],[SATIŞ]]=0,"Açık",(E24-D24)*C24)</f>
        <v>-2.8000000000000114</v>
      </c>
      <c r="G24" s="11">
        <f>Tablo1456789101112[[#This Row],[ADET]]*Tablo1456789101112[[#This Row],[ALIŞ]]</f>
        <v>132.80000000000001</v>
      </c>
      <c r="H24" s="11">
        <f>Tablo1456789101112[[#This Row],[ADET]]*Tablo1456789101112[[#This Row],[SATIŞ]]</f>
        <v>130</v>
      </c>
    </row>
    <row r="25" spans="2:8" ht="21" hidden="1" customHeight="1" x14ac:dyDescent="0.3">
      <c r="B25" s="2">
        <v>45307</v>
      </c>
      <c r="C25" s="6">
        <v>5</v>
      </c>
      <c r="D25" s="10">
        <v>75</v>
      </c>
      <c r="E25" s="10">
        <v>130</v>
      </c>
      <c r="F25" s="9">
        <f>IF(Tablo1456789101112[[#This Row],[SATIŞ]]=0,"Açık",(E25-D25)*C25)</f>
        <v>275</v>
      </c>
      <c r="G25" s="11">
        <f>Tablo1456789101112[[#This Row],[ADET]]*Tablo1456789101112[[#This Row],[ALIŞ]]</f>
        <v>375</v>
      </c>
      <c r="H25" s="11">
        <f>Tablo1456789101112[[#This Row],[ADET]]*Tablo1456789101112[[#This Row],[SATIŞ]]</f>
        <v>650</v>
      </c>
    </row>
    <row r="26" spans="2:8" ht="21" hidden="1" customHeight="1" x14ac:dyDescent="0.3">
      <c r="B26" s="2">
        <v>45323</v>
      </c>
      <c r="C26" s="6">
        <v>1</v>
      </c>
      <c r="D26" s="10">
        <v>132.80000000000001</v>
      </c>
      <c r="E26" s="10">
        <v>129</v>
      </c>
      <c r="F26" s="9">
        <f>IF(Tablo1456789101112[[#This Row],[SATIŞ]]=0,"Açık",(E26-D26)*C26)</f>
        <v>-3.8000000000000114</v>
      </c>
      <c r="G26" s="11">
        <f>Tablo1456789101112[[#This Row],[ADET]]*Tablo1456789101112[[#This Row],[ALIŞ]]</f>
        <v>132.80000000000001</v>
      </c>
      <c r="H26" s="11">
        <f>Tablo1456789101112[[#This Row],[ADET]]*Tablo1456789101112[[#This Row],[SATIŞ]]</f>
        <v>129</v>
      </c>
    </row>
    <row r="27" spans="2:8" ht="21" hidden="1" customHeight="1" x14ac:dyDescent="0.3">
      <c r="B27" s="2">
        <v>45324</v>
      </c>
      <c r="C27" s="6">
        <v>2</v>
      </c>
      <c r="D27" s="10">
        <v>129</v>
      </c>
      <c r="E27" s="10">
        <v>131</v>
      </c>
      <c r="F27" s="9">
        <f>IF(Tablo1456789101112[[#This Row],[SATIŞ]]=0,"Açık",(E27-D27)*C27)</f>
        <v>4</v>
      </c>
      <c r="G27" s="11">
        <f>Tablo1456789101112[[#This Row],[ADET]]*Tablo1456789101112[[#This Row],[ALIŞ]]</f>
        <v>258</v>
      </c>
      <c r="H27" s="11">
        <f>Tablo1456789101112[[#This Row],[ADET]]*Tablo1456789101112[[#This Row],[SATIŞ]]</f>
        <v>262</v>
      </c>
    </row>
    <row r="28" spans="2:8" ht="21" hidden="1" customHeight="1" x14ac:dyDescent="0.3">
      <c r="B28" s="2">
        <v>45324</v>
      </c>
      <c r="C28" s="6">
        <v>3</v>
      </c>
      <c r="D28" s="10">
        <v>129</v>
      </c>
      <c r="E28" s="10">
        <v>132</v>
      </c>
      <c r="F28" s="9">
        <f>IF(Tablo1456789101112[[#This Row],[SATIŞ]]=0,"Açık",(E28-D28)*C28)</f>
        <v>9</v>
      </c>
      <c r="G28" s="11">
        <f>Tablo1456789101112[[#This Row],[ADET]]*Tablo1456789101112[[#This Row],[ALIŞ]]</f>
        <v>387</v>
      </c>
      <c r="H28" s="11">
        <f>Tablo1456789101112[[#This Row],[ADET]]*Tablo1456789101112[[#This Row],[SATIŞ]]</f>
        <v>396</v>
      </c>
    </row>
    <row r="29" spans="2:8" ht="21" hidden="1" customHeight="1" x14ac:dyDescent="0.3">
      <c r="B29" s="2">
        <v>45324</v>
      </c>
      <c r="C29" s="6">
        <v>5</v>
      </c>
      <c r="D29" s="10">
        <v>128</v>
      </c>
      <c r="E29" s="10">
        <v>134</v>
      </c>
      <c r="F29" s="9">
        <f>IF(Tablo1456789101112[[#This Row],[SATIŞ]]=0,"Açık",(E29-D29)*C29)</f>
        <v>30</v>
      </c>
      <c r="G29" s="11">
        <f>Tablo1456789101112[[#This Row],[ADET]]*Tablo1456789101112[[#This Row],[ALIŞ]]</f>
        <v>640</v>
      </c>
      <c r="H29" s="11">
        <f>Tablo1456789101112[[#This Row],[ADET]]*Tablo1456789101112[[#This Row],[SATIŞ]]</f>
        <v>670</v>
      </c>
    </row>
    <row r="30" spans="2:8" ht="21" hidden="1" customHeight="1" x14ac:dyDescent="0.3">
      <c r="B30" s="2">
        <v>45324</v>
      </c>
      <c r="C30" s="6">
        <v>4</v>
      </c>
      <c r="D30" s="10">
        <v>126.5</v>
      </c>
      <c r="E30" s="10">
        <v>133</v>
      </c>
      <c r="F30" s="9">
        <f>IF(Tablo1456789101112[[#This Row],[SATIŞ]]=0,"Açık",(E30-D30)*C30)</f>
        <v>26</v>
      </c>
      <c r="G30" s="11">
        <f>Tablo1456789101112[[#This Row],[ADET]]*Tablo1456789101112[[#This Row],[ALIŞ]]</f>
        <v>506</v>
      </c>
      <c r="H30" s="11">
        <f>Tablo1456789101112[[#This Row],[ADET]]*Tablo1456789101112[[#This Row],[SATIŞ]]</f>
        <v>532</v>
      </c>
    </row>
    <row r="31" spans="2:8" ht="21" hidden="1" customHeight="1" x14ac:dyDescent="0.3">
      <c r="B31" s="2">
        <v>45324</v>
      </c>
      <c r="C31" s="6">
        <v>6</v>
      </c>
      <c r="D31" s="10">
        <v>126.5</v>
      </c>
      <c r="E31" s="10">
        <v>134</v>
      </c>
      <c r="F31" s="9">
        <f>IF(Tablo1456789101112[[#This Row],[SATIŞ]]=0,"Açık",(E31-D31)*C31)</f>
        <v>45</v>
      </c>
      <c r="G31" s="11">
        <f>Tablo1456789101112[[#This Row],[ADET]]*Tablo1456789101112[[#This Row],[ALIŞ]]</f>
        <v>759</v>
      </c>
      <c r="H31" s="11">
        <f>Tablo1456789101112[[#This Row],[ADET]]*Tablo1456789101112[[#This Row],[SATIŞ]]</f>
        <v>804</v>
      </c>
    </row>
    <row r="32" spans="2:8" ht="21" hidden="1" customHeight="1" x14ac:dyDescent="0.3">
      <c r="B32" s="2">
        <v>45324</v>
      </c>
      <c r="C32" s="6">
        <v>8</v>
      </c>
      <c r="D32" s="10">
        <v>125</v>
      </c>
      <c r="E32" s="10">
        <v>137.5</v>
      </c>
      <c r="F32" s="9">
        <f>IF(Tablo1456789101112[[#This Row],[SATIŞ]]=0,"Açık",(E32-D32)*C32)</f>
        <v>100</v>
      </c>
      <c r="G32" s="11">
        <f>Tablo1456789101112[[#This Row],[ADET]]*Tablo1456789101112[[#This Row],[ALIŞ]]</f>
        <v>1000</v>
      </c>
      <c r="H32" s="11">
        <f>Tablo1456789101112[[#This Row],[ADET]]*Tablo1456789101112[[#This Row],[SATIŞ]]</f>
        <v>1100</v>
      </c>
    </row>
    <row r="33" spans="2:8" ht="21" hidden="1" customHeight="1" x14ac:dyDescent="0.3">
      <c r="B33" s="2">
        <v>45324</v>
      </c>
      <c r="C33" s="6">
        <v>2</v>
      </c>
      <c r="D33" s="10">
        <v>125</v>
      </c>
      <c r="E33" s="10">
        <v>140.5</v>
      </c>
      <c r="F33" s="9">
        <f>IF(Tablo1456789101112[[#This Row],[SATIŞ]]=0,"Açık",(E33-D33)*C33)</f>
        <v>31</v>
      </c>
      <c r="G33" s="11">
        <f>Tablo1456789101112[[#This Row],[ADET]]*Tablo1456789101112[[#This Row],[ALIŞ]]</f>
        <v>250</v>
      </c>
      <c r="H33" s="11">
        <f>Tablo1456789101112[[#This Row],[ADET]]*Tablo1456789101112[[#This Row],[SATIŞ]]</f>
        <v>281</v>
      </c>
    </row>
    <row r="34" spans="2:8" ht="21" hidden="1" customHeight="1" x14ac:dyDescent="0.3">
      <c r="B34" s="2">
        <v>45324</v>
      </c>
      <c r="C34" s="6">
        <v>3</v>
      </c>
      <c r="D34" s="10">
        <v>130</v>
      </c>
      <c r="E34" s="10">
        <v>131</v>
      </c>
      <c r="F34" s="9">
        <f>IF(Tablo1456789101112[[#This Row],[SATIŞ]]=0,"Açık",(E34-D34)*C34)</f>
        <v>3</v>
      </c>
      <c r="G34" s="11">
        <f>Tablo1456789101112[[#This Row],[ADET]]*Tablo1456789101112[[#This Row],[ALIŞ]]</f>
        <v>390</v>
      </c>
      <c r="H34" s="11">
        <f>Tablo1456789101112[[#This Row],[ADET]]*Tablo1456789101112[[#This Row],[SATIŞ]]</f>
        <v>393</v>
      </c>
    </row>
    <row r="35" spans="2:8" ht="21" hidden="1" customHeight="1" x14ac:dyDescent="0.3">
      <c r="B35" s="2">
        <v>45327</v>
      </c>
      <c r="C35" s="6">
        <v>1</v>
      </c>
      <c r="D35" s="10">
        <v>124</v>
      </c>
      <c r="E35" s="10">
        <v>126</v>
      </c>
      <c r="F35" s="9">
        <f>IF(Tablo1456789101112[[#This Row],[SATIŞ]]=0,"Açık",(E35-D35)*C35)</f>
        <v>2</v>
      </c>
      <c r="G35" s="11">
        <f>Tablo1456789101112[[#This Row],[ADET]]*Tablo1456789101112[[#This Row],[ALIŞ]]</f>
        <v>124</v>
      </c>
      <c r="H35" s="11">
        <f>Tablo1456789101112[[#This Row],[ADET]]*Tablo1456789101112[[#This Row],[SATIŞ]]</f>
        <v>126</v>
      </c>
    </row>
    <row r="36" spans="2:8" ht="21" hidden="1" customHeight="1" x14ac:dyDescent="0.3">
      <c r="B36" s="2">
        <v>45327</v>
      </c>
      <c r="C36" s="6">
        <v>2</v>
      </c>
      <c r="D36" s="10">
        <v>123</v>
      </c>
      <c r="E36" s="10">
        <v>127.5</v>
      </c>
      <c r="F36" s="9">
        <f>IF(Tablo1456789101112[[#This Row],[SATIŞ]]=0,"Açık",(E36-D36)*C36)</f>
        <v>9</v>
      </c>
      <c r="G36" s="11">
        <f>Tablo1456789101112[[#This Row],[ADET]]*Tablo1456789101112[[#This Row],[ALIŞ]]</f>
        <v>246</v>
      </c>
      <c r="H36" s="11">
        <f>Tablo1456789101112[[#This Row],[ADET]]*Tablo1456789101112[[#This Row],[SATIŞ]]</f>
        <v>255</v>
      </c>
    </row>
    <row r="37" spans="2:8" ht="21" hidden="1" customHeight="1" x14ac:dyDescent="0.3">
      <c r="B37" s="2">
        <v>45306</v>
      </c>
      <c r="C37" s="6">
        <v>10</v>
      </c>
      <c r="D37" s="10">
        <v>79.5</v>
      </c>
      <c r="E37" s="10">
        <v>132</v>
      </c>
      <c r="F37" s="9">
        <f>IF(Tablo1456789101112[[#This Row],[SATIŞ]]=0,"Açık",(E37-D37)*C37)</f>
        <v>525</v>
      </c>
      <c r="G37" s="11">
        <f>Tablo1456789101112[[#This Row],[ADET]]*Tablo1456789101112[[#This Row],[ALIŞ]]</f>
        <v>795</v>
      </c>
      <c r="H37" s="11">
        <f>Tablo1456789101112[[#This Row],[ADET]]*Tablo1456789101112[[#This Row],[SATIŞ]]</f>
        <v>1320</v>
      </c>
    </row>
    <row r="38" spans="2:8" ht="21" hidden="1" customHeight="1" x14ac:dyDescent="0.3">
      <c r="B38" s="2">
        <v>45306</v>
      </c>
      <c r="C38" s="6">
        <v>10</v>
      </c>
      <c r="D38" s="10">
        <v>79.5</v>
      </c>
      <c r="E38" s="10">
        <v>134</v>
      </c>
      <c r="F38" s="9">
        <f>IF(Tablo1456789101112[[#This Row],[SATIŞ]]=0,"Açık",(E38-D38)*C38)</f>
        <v>545</v>
      </c>
      <c r="G38" s="11">
        <f>Tablo1456789101112[[#This Row],[ADET]]*Tablo1456789101112[[#This Row],[ALIŞ]]</f>
        <v>795</v>
      </c>
      <c r="H38" s="11">
        <f>Tablo1456789101112[[#This Row],[ADET]]*Tablo1456789101112[[#This Row],[SATIŞ]]</f>
        <v>1340</v>
      </c>
    </row>
    <row r="39" spans="2:8" ht="21" hidden="1" customHeight="1" x14ac:dyDescent="0.3">
      <c r="B39" s="2">
        <v>45328</v>
      </c>
      <c r="C39" s="6">
        <v>2</v>
      </c>
      <c r="D39" s="10">
        <v>135</v>
      </c>
      <c r="E39" s="10">
        <v>142.1</v>
      </c>
      <c r="F39" s="9">
        <f>IF(Tablo1456789101112[[#This Row],[SATIŞ]]=0,"Açık",(E39-D39)*C39)</f>
        <v>14.199999999999989</v>
      </c>
      <c r="G39" s="11">
        <f>Tablo1456789101112[[#This Row],[ADET]]*Tablo1456789101112[[#This Row],[ALIŞ]]</f>
        <v>270</v>
      </c>
      <c r="H39" s="11">
        <f>Tablo1456789101112[[#This Row],[ADET]]*Tablo1456789101112[[#This Row],[SATIŞ]]</f>
        <v>284.2</v>
      </c>
    </row>
    <row r="40" spans="2:8" ht="21" hidden="1" customHeight="1" x14ac:dyDescent="0.3">
      <c r="B40" s="2">
        <v>45328</v>
      </c>
      <c r="C40" s="6">
        <v>2</v>
      </c>
      <c r="D40" s="10">
        <v>134</v>
      </c>
      <c r="E40" s="10">
        <v>134</v>
      </c>
      <c r="F40" s="9">
        <f>IF(Tablo1456789101112[[#This Row],[SATIŞ]]=0,"Açık",(E40-D40)*C40)</f>
        <v>0</v>
      </c>
      <c r="G40" s="11">
        <f>Tablo1456789101112[[#This Row],[ADET]]*Tablo1456789101112[[#This Row],[ALIŞ]]</f>
        <v>268</v>
      </c>
      <c r="H40" s="11">
        <f>Tablo1456789101112[[#This Row],[ADET]]*Tablo1456789101112[[#This Row],[SATIŞ]]</f>
        <v>268</v>
      </c>
    </row>
    <row r="41" spans="2:8" ht="21" hidden="1" customHeight="1" x14ac:dyDescent="0.3">
      <c r="B41" s="2">
        <v>45328</v>
      </c>
      <c r="C41" s="6">
        <v>3</v>
      </c>
      <c r="D41" s="10">
        <v>133</v>
      </c>
      <c r="E41" s="10">
        <v>134</v>
      </c>
      <c r="F41" s="9">
        <f>IF(Tablo1456789101112[[#This Row],[SATIŞ]]=0,"Açık",(E41-D41)*C41)</f>
        <v>3</v>
      </c>
      <c r="G41" s="11">
        <f>Tablo1456789101112[[#This Row],[ADET]]*Tablo1456789101112[[#This Row],[ALIŞ]]</f>
        <v>399</v>
      </c>
      <c r="H41" s="11">
        <f>Tablo1456789101112[[#This Row],[ADET]]*Tablo1456789101112[[#This Row],[SATIŞ]]</f>
        <v>402</v>
      </c>
    </row>
    <row r="42" spans="2:8" ht="21" hidden="1" customHeight="1" x14ac:dyDescent="0.3">
      <c r="B42" s="2">
        <v>45328</v>
      </c>
      <c r="C42" s="6">
        <v>6</v>
      </c>
      <c r="D42" s="10">
        <v>134.5</v>
      </c>
      <c r="E42" s="10">
        <v>142.1</v>
      </c>
      <c r="F42" s="9">
        <f>IF(Tablo1456789101112[[#This Row],[SATIŞ]]=0,"Açık",(E42-D42)*C42)</f>
        <v>45.599999999999966</v>
      </c>
      <c r="G42" s="11">
        <f>Tablo1456789101112[[#This Row],[ADET]]*Tablo1456789101112[[#This Row],[ALIŞ]]</f>
        <v>807</v>
      </c>
      <c r="H42" s="11">
        <f>Tablo1456789101112[[#This Row],[ADET]]*Tablo1456789101112[[#This Row],[SATIŞ]]</f>
        <v>852.59999999999991</v>
      </c>
    </row>
    <row r="43" spans="2:8" ht="21" hidden="1" customHeight="1" x14ac:dyDescent="0.3">
      <c r="B43" s="2">
        <v>45328</v>
      </c>
      <c r="C43" s="6">
        <v>5</v>
      </c>
      <c r="D43" s="10">
        <v>134.6</v>
      </c>
      <c r="E43" s="10">
        <v>133</v>
      </c>
      <c r="F43" s="9">
        <f>IF(Tablo1456789101112[[#This Row],[SATIŞ]]=0,"Açık",(E43-D43)*C43)</f>
        <v>-7.9999999999999716</v>
      </c>
      <c r="G43" s="11">
        <f>Tablo1456789101112[[#This Row],[ADET]]*Tablo1456789101112[[#This Row],[ALIŞ]]</f>
        <v>673</v>
      </c>
      <c r="H43" s="11">
        <f>Tablo1456789101112[[#This Row],[ADET]]*Tablo1456789101112[[#This Row],[SATIŞ]]</f>
        <v>665</v>
      </c>
    </row>
    <row r="44" spans="2:8" ht="21" hidden="1" customHeight="1" x14ac:dyDescent="0.3">
      <c r="B44" s="2">
        <v>45328</v>
      </c>
      <c r="C44" s="6">
        <v>5</v>
      </c>
      <c r="D44" s="10">
        <v>134.69999999999999</v>
      </c>
      <c r="E44" s="10">
        <v>133</v>
      </c>
      <c r="F44" s="9">
        <f>IF(Tablo1456789101112[[#This Row],[SATIŞ]]=0,"Açık",(E44-D44)*C44)</f>
        <v>-8.4999999999999432</v>
      </c>
      <c r="G44" s="11">
        <f>Tablo1456789101112[[#This Row],[ADET]]*Tablo1456789101112[[#This Row],[ALIŞ]]</f>
        <v>673.5</v>
      </c>
      <c r="H44" s="11">
        <f>Tablo1456789101112[[#This Row],[ADET]]*Tablo1456789101112[[#This Row],[SATIŞ]]</f>
        <v>665</v>
      </c>
    </row>
    <row r="45" spans="2:8" ht="21" hidden="1" customHeight="1" x14ac:dyDescent="0.3">
      <c r="B45" s="2">
        <v>45328</v>
      </c>
      <c r="C45" s="6">
        <v>5</v>
      </c>
      <c r="D45" s="10">
        <v>134.80000000000001</v>
      </c>
      <c r="E45" s="10">
        <v>133</v>
      </c>
      <c r="F45" s="9">
        <f>IF(Tablo1456789101112[[#This Row],[SATIŞ]]=0,"Açık",(E45-D45)*C45)</f>
        <v>-9.0000000000000568</v>
      </c>
      <c r="G45" s="11">
        <f>Tablo1456789101112[[#This Row],[ADET]]*Tablo1456789101112[[#This Row],[ALIŞ]]</f>
        <v>674</v>
      </c>
      <c r="H45" s="11">
        <f>Tablo1456789101112[[#This Row],[ADET]]*Tablo1456789101112[[#This Row],[SATIŞ]]</f>
        <v>665</v>
      </c>
    </row>
    <row r="46" spans="2:8" ht="21" hidden="1" customHeight="1" x14ac:dyDescent="0.3">
      <c r="B46" s="2">
        <v>45328</v>
      </c>
      <c r="C46" s="6">
        <v>10</v>
      </c>
      <c r="D46" s="10">
        <v>136</v>
      </c>
      <c r="E46" s="10">
        <v>133</v>
      </c>
      <c r="F46" s="9">
        <f>IF(Tablo1456789101112[[#This Row],[SATIŞ]]=0,"Açık",(E46-D46)*C46)</f>
        <v>-30</v>
      </c>
      <c r="G46" s="11">
        <f>Tablo1456789101112[[#This Row],[ADET]]*Tablo1456789101112[[#This Row],[ALIŞ]]</f>
        <v>1360</v>
      </c>
      <c r="H46" s="11">
        <f>Tablo1456789101112[[#This Row],[ADET]]*Tablo1456789101112[[#This Row],[SATIŞ]]</f>
        <v>1330</v>
      </c>
    </row>
    <row r="47" spans="2:8" ht="21" hidden="1" customHeight="1" x14ac:dyDescent="0.3">
      <c r="B47" s="2">
        <v>45328</v>
      </c>
      <c r="C47" s="6">
        <v>12</v>
      </c>
      <c r="D47" s="10">
        <v>142</v>
      </c>
      <c r="E47" s="10">
        <v>142.1</v>
      </c>
      <c r="F47" s="9">
        <f>IF(Tablo1456789101112[[#This Row],[SATIŞ]]=0,"Açık",(E47-D47)*C47)</f>
        <v>1.1999999999999318</v>
      </c>
      <c r="G47" s="11">
        <f>Tablo1456789101112[[#This Row],[ADET]]*Tablo1456789101112[[#This Row],[ALIŞ]]</f>
        <v>1704</v>
      </c>
      <c r="H47" s="11">
        <f>Tablo1456789101112[[#This Row],[ADET]]*Tablo1456789101112[[#This Row],[SATIŞ]]</f>
        <v>1705.1999999999998</v>
      </c>
    </row>
    <row r="48" spans="2:8" ht="21" hidden="1" customHeight="1" x14ac:dyDescent="0.3">
      <c r="B48" s="2">
        <v>45329</v>
      </c>
      <c r="C48" s="6">
        <v>5</v>
      </c>
      <c r="D48" s="10">
        <v>138.5</v>
      </c>
      <c r="E48" s="10">
        <v>142.1</v>
      </c>
      <c r="F48" s="9">
        <f>IF(Tablo1456789101112[[#This Row],[SATIŞ]]=0,"Açık",(E48-D48)*C48)</f>
        <v>17.999999999999972</v>
      </c>
      <c r="G48" s="11">
        <f>Tablo1456789101112[[#This Row],[ADET]]*Tablo1456789101112[[#This Row],[ALIŞ]]</f>
        <v>692.5</v>
      </c>
      <c r="H48" s="11">
        <f>Tablo1456789101112[[#This Row],[ADET]]*Tablo1456789101112[[#This Row],[SATIŞ]]</f>
        <v>710.5</v>
      </c>
    </row>
    <row r="49" spans="2:8" ht="21" hidden="1" customHeight="1" x14ac:dyDescent="0.3">
      <c r="B49" s="2">
        <v>45329</v>
      </c>
      <c r="C49" s="6">
        <v>10</v>
      </c>
      <c r="D49" s="10">
        <v>135.5</v>
      </c>
      <c r="E49" s="10">
        <v>142.1</v>
      </c>
      <c r="F49" s="9">
        <f>IF(Tablo1456789101112[[#This Row],[SATIŞ]]=0,"Açık",(E49-D49)*C49)</f>
        <v>65.999999999999943</v>
      </c>
      <c r="G49" s="11">
        <f>Tablo1456789101112[[#This Row],[ADET]]*Tablo1456789101112[[#This Row],[ALIŞ]]</f>
        <v>1355</v>
      </c>
      <c r="H49" s="11">
        <f>Tablo1456789101112[[#This Row],[ADET]]*Tablo1456789101112[[#This Row],[SATIŞ]]</f>
        <v>1421</v>
      </c>
    </row>
    <row r="50" spans="2:8" ht="21" hidden="1" customHeight="1" x14ac:dyDescent="0.3">
      <c r="B50" s="2">
        <v>45329</v>
      </c>
      <c r="C50" s="6">
        <v>15</v>
      </c>
      <c r="D50" s="10">
        <v>132</v>
      </c>
      <c r="E50" s="10">
        <v>142.1</v>
      </c>
      <c r="F50" s="9">
        <f>IF(Tablo1456789101112[[#This Row],[SATIŞ]]=0,"Açık",(E50-D50)*C50)</f>
        <v>151.49999999999991</v>
      </c>
      <c r="G50" s="11">
        <f>Tablo1456789101112[[#This Row],[ADET]]*Tablo1456789101112[[#This Row],[ALIŞ]]</f>
        <v>1980</v>
      </c>
      <c r="H50" s="11">
        <f>Tablo1456789101112[[#This Row],[ADET]]*Tablo1456789101112[[#This Row],[SATIŞ]]</f>
        <v>2131.5</v>
      </c>
    </row>
    <row r="51" spans="2:8" ht="21" hidden="1" customHeight="1" x14ac:dyDescent="0.3">
      <c r="B51" s="2">
        <v>45329</v>
      </c>
      <c r="C51" s="6">
        <v>15</v>
      </c>
      <c r="D51" s="10">
        <v>138</v>
      </c>
      <c r="E51" s="10">
        <v>142.1</v>
      </c>
      <c r="F51" s="9">
        <f>IF(Tablo1456789101112[[#This Row],[SATIŞ]]=0,"Açık",(E51-D51)*C51)</f>
        <v>61.499999999999915</v>
      </c>
      <c r="G51" s="11">
        <f>Tablo1456789101112[[#This Row],[ADET]]*Tablo1456789101112[[#This Row],[ALIŞ]]</f>
        <v>2070</v>
      </c>
      <c r="H51" s="11">
        <f>Tablo1456789101112[[#This Row],[ADET]]*Tablo1456789101112[[#This Row],[SATIŞ]]</f>
        <v>2131.5</v>
      </c>
    </row>
    <row r="52" spans="2:8" ht="21" hidden="1" customHeight="1" x14ac:dyDescent="0.3">
      <c r="B52" s="2">
        <v>45329</v>
      </c>
      <c r="C52" s="6">
        <v>15</v>
      </c>
      <c r="D52" s="10">
        <v>135</v>
      </c>
      <c r="E52" s="10">
        <v>142.1</v>
      </c>
      <c r="F52" s="9">
        <f>IF(Tablo1456789101112[[#This Row],[SATIŞ]]=0,"Açık",(E52-D52)*C52)</f>
        <v>106.49999999999991</v>
      </c>
      <c r="G52" s="11">
        <f>Tablo1456789101112[[#This Row],[ADET]]*Tablo1456789101112[[#This Row],[ALIŞ]]</f>
        <v>2025</v>
      </c>
      <c r="H52" s="11">
        <f>Tablo1456789101112[[#This Row],[ADET]]*Tablo1456789101112[[#This Row],[SATIŞ]]</f>
        <v>2131.5</v>
      </c>
    </row>
    <row r="53" spans="2:8" ht="21" hidden="1" customHeight="1" x14ac:dyDescent="0.3">
      <c r="B53" s="2">
        <v>45329</v>
      </c>
      <c r="C53" s="6">
        <v>50</v>
      </c>
      <c r="D53" s="10">
        <v>132</v>
      </c>
      <c r="E53" s="10">
        <v>135</v>
      </c>
      <c r="F53" s="9">
        <f>IF(Tablo1456789101112[[#This Row],[SATIŞ]]=0,"Açık",(E53-D53)*C53)</f>
        <v>150</v>
      </c>
      <c r="G53" s="11">
        <f>Tablo1456789101112[[#This Row],[ADET]]*Tablo1456789101112[[#This Row],[ALIŞ]]</f>
        <v>6600</v>
      </c>
      <c r="H53" s="11">
        <f>Tablo1456789101112[[#This Row],[ADET]]*Tablo1456789101112[[#This Row],[SATIŞ]]</f>
        <v>6750</v>
      </c>
    </row>
    <row r="54" spans="2:8" ht="21" hidden="1" customHeight="1" x14ac:dyDescent="0.3">
      <c r="B54" s="2">
        <v>45329</v>
      </c>
      <c r="C54" s="6">
        <v>50</v>
      </c>
      <c r="D54" s="10">
        <v>130</v>
      </c>
      <c r="E54" s="10">
        <v>132</v>
      </c>
      <c r="F54" s="9">
        <f>IF(Tablo1456789101112[[#This Row],[SATIŞ]]=0,"Açık",(E54-D54)*C54)</f>
        <v>100</v>
      </c>
      <c r="G54" s="11">
        <f>Tablo1456789101112[[#This Row],[ADET]]*Tablo1456789101112[[#This Row],[ALIŞ]]</f>
        <v>6500</v>
      </c>
      <c r="H54" s="11">
        <f>Tablo1456789101112[[#This Row],[ADET]]*Tablo1456789101112[[#This Row],[SATIŞ]]</f>
        <v>6600</v>
      </c>
    </row>
    <row r="55" spans="2:8" ht="21" hidden="1" customHeight="1" x14ac:dyDescent="0.3">
      <c r="B55" s="2">
        <v>45329</v>
      </c>
      <c r="C55" s="6">
        <v>5</v>
      </c>
      <c r="D55" s="10">
        <v>131</v>
      </c>
      <c r="E55" s="10">
        <v>133</v>
      </c>
      <c r="F55" s="9">
        <f>IF(Tablo1456789101112[[#This Row],[SATIŞ]]=0,"Açık",(E55-D55)*C55)</f>
        <v>10</v>
      </c>
      <c r="G55" s="11">
        <f>Tablo1456789101112[[#This Row],[ADET]]*Tablo1456789101112[[#This Row],[ALIŞ]]</f>
        <v>655</v>
      </c>
      <c r="H55" s="11">
        <f>Tablo1456789101112[[#This Row],[ADET]]*Tablo1456789101112[[#This Row],[SATIŞ]]</f>
        <v>665</v>
      </c>
    </row>
    <row r="56" spans="2:8" ht="21" hidden="1" customHeight="1" x14ac:dyDescent="0.3">
      <c r="B56" s="2">
        <v>45329</v>
      </c>
      <c r="C56" s="6">
        <v>10</v>
      </c>
      <c r="D56" s="10">
        <v>130</v>
      </c>
      <c r="E56" s="10">
        <v>126</v>
      </c>
      <c r="F56" s="9">
        <f>IF(Tablo1456789101112[[#This Row],[SATIŞ]]=0,"Açık",(E56-D56)*C56)</f>
        <v>-40</v>
      </c>
      <c r="G56" s="11">
        <f>Tablo1456789101112[[#This Row],[ADET]]*Tablo1456789101112[[#This Row],[ALIŞ]]</f>
        <v>1300</v>
      </c>
      <c r="H56" s="11">
        <f>Tablo1456789101112[[#This Row],[ADET]]*Tablo1456789101112[[#This Row],[SATIŞ]]</f>
        <v>1260</v>
      </c>
    </row>
    <row r="57" spans="2:8" ht="21" hidden="1" customHeight="1" x14ac:dyDescent="0.3">
      <c r="B57" s="2">
        <v>45330</v>
      </c>
      <c r="C57" s="6">
        <v>20</v>
      </c>
      <c r="D57" s="10">
        <v>130</v>
      </c>
      <c r="E57" s="10">
        <v>127</v>
      </c>
      <c r="F57" s="9">
        <f>IF(Tablo1456789101112[[#This Row],[SATIŞ]]=0,"Açık",(E57-D57)*C57)</f>
        <v>-60</v>
      </c>
      <c r="G57" s="11">
        <f>Tablo1456789101112[[#This Row],[ADET]]*Tablo1456789101112[[#This Row],[ALIŞ]]</f>
        <v>2600</v>
      </c>
      <c r="H57" s="11">
        <f>Tablo1456789101112[[#This Row],[ADET]]*Tablo1456789101112[[#This Row],[SATIŞ]]</f>
        <v>2540</v>
      </c>
    </row>
    <row r="58" spans="2:8" ht="21" hidden="1" customHeight="1" x14ac:dyDescent="0.3">
      <c r="B58" s="2">
        <v>45330</v>
      </c>
      <c r="C58" s="6">
        <v>5</v>
      </c>
      <c r="D58" s="10">
        <v>130</v>
      </c>
      <c r="E58" s="10">
        <v>132</v>
      </c>
      <c r="F58" s="9">
        <f>IF(Tablo1456789101112[[#This Row],[SATIŞ]]=0,"Açık",(E58-D58)*C58)</f>
        <v>10</v>
      </c>
      <c r="G58" s="11">
        <f>Tablo1456789101112[[#This Row],[ADET]]*Tablo1456789101112[[#This Row],[ALIŞ]]</f>
        <v>650</v>
      </c>
      <c r="H58" s="11">
        <f>Tablo1456789101112[[#This Row],[ADET]]*Tablo1456789101112[[#This Row],[SATIŞ]]</f>
        <v>660</v>
      </c>
    </row>
    <row r="59" spans="2:8" ht="21" hidden="1" customHeight="1" x14ac:dyDescent="0.3">
      <c r="B59" s="2">
        <v>45331</v>
      </c>
      <c r="C59" s="6">
        <v>5</v>
      </c>
      <c r="D59" s="10">
        <v>122</v>
      </c>
      <c r="E59" s="10">
        <v>131</v>
      </c>
      <c r="F59" s="9">
        <f>IF(Tablo1456789101112[[#This Row],[SATIŞ]]=0,"Açık",(E59-D59)*C59)</f>
        <v>45</v>
      </c>
      <c r="G59" s="11">
        <f>Tablo1456789101112[[#This Row],[ADET]]*Tablo1456789101112[[#This Row],[ALIŞ]]</f>
        <v>610</v>
      </c>
      <c r="H59" s="11">
        <f>Tablo1456789101112[[#This Row],[ADET]]*Tablo1456789101112[[#This Row],[SATIŞ]]</f>
        <v>655</v>
      </c>
    </row>
    <row r="60" spans="2:8" ht="21" hidden="1" customHeight="1" x14ac:dyDescent="0.3">
      <c r="B60" s="2">
        <v>45331</v>
      </c>
      <c r="C60" s="6">
        <v>10</v>
      </c>
      <c r="D60" s="10">
        <v>122</v>
      </c>
      <c r="E60" s="10">
        <v>127</v>
      </c>
      <c r="F60" s="9">
        <f>IF(Tablo1456789101112[[#This Row],[SATIŞ]]=0,"Açık",(E60-D60)*C60)</f>
        <v>50</v>
      </c>
      <c r="G60" s="11">
        <f>Tablo1456789101112[[#This Row],[ADET]]*Tablo1456789101112[[#This Row],[ALIŞ]]</f>
        <v>1220</v>
      </c>
      <c r="H60" s="11">
        <f>Tablo1456789101112[[#This Row],[ADET]]*Tablo1456789101112[[#This Row],[SATIŞ]]</f>
        <v>1270</v>
      </c>
    </row>
    <row r="61" spans="2:8" ht="21" hidden="1" customHeight="1" x14ac:dyDescent="0.3">
      <c r="B61" s="2">
        <v>45331</v>
      </c>
      <c r="C61" s="6">
        <v>5</v>
      </c>
      <c r="D61" s="10">
        <v>122</v>
      </c>
      <c r="E61" s="10">
        <v>130</v>
      </c>
      <c r="F61" s="9">
        <f>IF(Tablo1456789101112[[#This Row],[SATIŞ]]=0,"Açık",(E61-D61)*C61)</f>
        <v>40</v>
      </c>
      <c r="G61" s="11">
        <f>Tablo1456789101112[[#This Row],[ADET]]*Tablo1456789101112[[#This Row],[ALIŞ]]</f>
        <v>610</v>
      </c>
      <c r="H61" s="11">
        <f>Tablo1456789101112[[#This Row],[ADET]]*Tablo1456789101112[[#This Row],[SATIŞ]]</f>
        <v>650</v>
      </c>
    </row>
    <row r="62" spans="2:8" ht="21" hidden="1" customHeight="1" x14ac:dyDescent="0.3">
      <c r="B62" s="2">
        <v>45331</v>
      </c>
      <c r="C62" s="6">
        <v>5</v>
      </c>
      <c r="D62" s="10">
        <v>122</v>
      </c>
      <c r="E62" s="10">
        <v>124</v>
      </c>
      <c r="F62" s="9">
        <f>IF(Tablo1456789101112[[#This Row],[SATIŞ]]=0,"Açık",(E62-D62)*C62)</f>
        <v>10</v>
      </c>
      <c r="G62" s="11">
        <f>Tablo1456789101112[[#This Row],[ADET]]*Tablo1456789101112[[#This Row],[ALIŞ]]</f>
        <v>610</v>
      </c>
      <c r="H62" s="11">
        <f>Tablo1456789101112[[#This Row],[ADET]]*Tablo1456789101112[[#This Row],[SATIŞ]]</f>
        <v>620</v>
      </c>
    </row>
    <row r="63" spans="2:8" ht="21" hidden="1" customHeight="1" x14ac:dyDescent="0.3">
      <c r="B63" s="2">
        <v>45331</v>
      </c>
      <c r="C63" s="6">
        <v>5</v>
      </c>
      <c r="D63" s="10">
        <v>121.9</v>
      </c>
      <c r="E63" s="10">
        <v>123</v>
      </c>
      <c r="F63" s="9">
        <f>IF(Tablo1456789101112[[#This Row],[SATIŞ]]=0,"Açık",(E63-D63)*C63)</f>
        <v>5.4999999999999716</v>
      </c>
      <c r="G63" s="11">
        <f>Tablo1456789101112[[#This Row],[ADET]]*Tablo1456789101112[[#This Row],[ALIŞ]]</f>
        <v>609.5</v>
      </c>
      <c r="H63" s="11">
        <f>Tablo1456789101112[[#This Row],[ADET]]*Tablo1456789101112[[#This Row],[SATIŞ]]</f>
        <v>615</v>
      </c>
    </row>
    <row r="64" spans="2:8" ht="21" hidden="1" customHeight="1" x14ac:dyDescent="0.3">
      <c r="B64" s="2">
        <v>45331</v>
      </c>
      <c r="C64" s="6">
        <v>10</v>
      </c>
      <c r="D64" s="10">
        <v>122</v>
      </c>
      <c r="E64" s="10">
        <v>125</v>
      </c>
      <c r="F64" s="9">
        <f>IF(Tablo1456789101112[[#This Row],[SATIŞ]]=0,"Açık",(E64-D64)*C64)</f>
        <v>30</v>
      </c>
      <c r="G64" s="11">
        <f>Tablo1456789101112[[#This Row],[ADET]]*Tablo1456789101112[[#This Row],[ALIŞ]]</f>
        <v>1220</v>
      </c>
      <c r="H64" s="11">
        <f>Tablo1456789101112[[#This Row],[ADET]]*Tablo1456789101112[[#This Row],[SATIŞ]]</f>
        <v>1250</v>
      </c>
    </row>
    <row r="65" spans="2:8" ht="21" hidden="1" customHeight="1" x14ac:dyDescent="0.3">
      <c r="B65" s="2">
        <v>45334</v>
      </c>
      <c r="C65" s="6">
        <v>10</v>
      </c>
      <c r="D65" s="10">
        <v>127.5</v>
      </c>
      <c r="E65" s="10">
        <v>129</v>
      </c>
      <c r="F65" s="9">
        <f>IF(Tablo1456789101112[[#This Row],[SATIŞ]]=0,"Açık",(E65-D65)*C65)</f>
        <v>15</v>
      </c>
      <c r="G65" s="11">
        <f>Tablo1456789101112[[#This Row],[ADET]]*Tablo1456789101112[[#This Row],[ALIŞ]]</f>
        <v>1275</v>
      </c>
      <c r="H65" s="11">
        <f>Tablo1456789101112[[#This Row],[ADET]]*Tablo1456789101112[[#This Row],[SATIŞ]]</f>
        <v>1290</v>
      </c>
    </row>
    <row r="66" spans="2:8" ht="21" hidden="1" customHeight="1" x14ac:dyDescent="0.3">
      <c r="B66" s="2">
        <v>45334</v>
      </c>
      <c r="C66" s="6">
        <v>20</v>
      </c>
      <c r="D66" s="10">
        <v>127.5</v>
      </c>
      <c r="E66" s="10">
        <v>129</v>
      </c>
      <c r="F66" s="9">
        <f>IF(Tablo1456789101112[[#This Row],[SATIŞ]]=0,"Açık",(E66-D66)*C66)</f>
        <v>30</v>
      </c>
      <c r="G66" s="11">
        <f>Tablo1456789101112[[#This Row],[ADET]]*Tablo1456789101112[[#This Row],[ALIŞ]]</f>
        <v>2550</v>
      </c>
      <c r="H66" s="11">
        <f>Tablo1456789101112[[#This Row],[ADET]]*Tablo1456789101112[[#This Row],[SATIŞ]]</f>
        <v>2580</v>
      </c>
    </row>
    <row r="67" spans="2:8" ht="21" hidden="1" customHeight="1" x14ac:dyDescent="0.3">
      <c r="B67" s="2">
        <v>45334</v>
      </c>
      <c r="C67" s="6">
        <v>20</v>
      </c>
      <c r="D67" s="10">
        <v>127.5</v>
      </c>
      <c r="E67" s="10">
        <v>130</v>
      </c>
      <c r="F67" s="9">
        <f>IF(Tablo1456789101112[[#This Row],[SATIŞ]]=0,"Açık",(E67-D67)*C67)</f>
        <v>50</v>
      </c>
      <c r="G67" s="11">
        <f>Tablo1456789101112[[#This Row],[ADET]]*Tablo1456789101112[[#This Row],[ALIŞ]]</f>
        <v>2550</v>
      </c>
      <c r="H67" s="11">
        <f>Tablo1456789101112[[#This Row],[ADET]]*Tablo1456789101112[[#This Row],[SATIŞ]]</f>
        <v>2600</v>
      </c>
    </row>
    <row r="68" spans="2:8" ht="21" hidden="1" customHeight="1" x14ac:dyDescent="0.3">
      <c r="B68" s="2">
        <v>45335</v>
      </c>
      <c r="C68" s="6">
        <v>10</v>
      </c>
      <c r="D68" s="10">
        <v>125</v>
      </c>
      <c r="E68" s="10">
        <v>130</v>
      </c>
      <c r="F68" s="9">
        <f>IF(Tablo1456789101112[[#This Row],[SATIŞ]]=0,"Açık",(E68-D68)*C68)</f>
        <v>50</v>
      </c>
      <c r="G68" s="11">
        <f>Tablo1456789101112[[#This Row],[ADET]]*Tablo1456789101112[[#This Row],[ALIŞ]]</f>
        <v>1250</v>
      </c>
      <c r="H68" s="11">
        <f>Tablo1456789101112[[#This Row],[ADET]]*Tablo1456789101112[[#This Row],[SATIŞ]]</f>
        <v>1300</v>
      </c>
    </row>
    <row r="69" spans="2:8" ht="21" hidden="1" customHeight="1" x14ac:dyDescent="0.3">
      <c r="B69" s="2">
        <v>45335</v>
      </c>
      <c r="C69" s="6">
        <v>30</v>
      </c>
      <c r="D69" s="10">
        <v>125</v>
      </c>
      <c r="E69" s="10">
        <v>133</v>
      </c>
      <c r="F69" s="9">
        <f>IF(Tablo1456789101112[[#This Row],[SATIŞ]]=0,"Açık",(E69-D69)*C69)</f>
        <v>240</v>
      </c>
      <c r="G69" s="11">
        <f>Tablo1456789101112[[#This Row],[ADET]]*Tablo1456789101112[[#This Row],[ALIŞ]]</f>
        <v>3750</v>
      </c>
      <c r="H69" s="11">
        <f>Tablo1456789101112[[#This Row],[ADET]]*Tablo1456789101112[[#This Row],[SATIŞ]]</f>
        <v>3990</v>
      </c>
    </row>
    <row r="70" spans="2:8" ht="21" hidden="1" customHeight="1" x14ac:dyDescent="0.3">
      <c r="B70" s="2">
        <v>45335</v>
      </c>
      <c r="C70" s="6">
        <v>20</v>
      </c>
      <c r="D70" s="10">
        <v>123</v>
      </c>
      <c r="E70" s="10">
        <v>125</v>
      </c>
      <c r="F70" s="9">
        <f>IF(Tablo1456789101112[[#This Row],[SATIŞ]]=0,"Açık",(E70-D70)*C70)</f>
        <v>40</v>
      </c>
      <c r="G70" s="11">
        <f>Tablo1456789101112[[#This Row],[ADET]]*Tablo1456789101112[[#This Row],[ALIŞ]]</f>
        <v>2460</v>
      </c>
      <c r="H70" s="11">
        <f>Tablo1456789101112[[#This Row],[ADET]]*Tablo1456789101112[[#This Row],[SATIŞ]]</f>
        <v>2500</v>
      </c>
    </row>
    <row r="71" spans="2:8" ht="21" hidden="1" customHeight="1" x14ac:dyDescent="0.3">
      <c r="B71" s="2">
        <v>45335</v>
      </c>
      <c r="C71" s="6">
        <v>20</v>
      </c>
      <c r="D71" s="10">
        <v>123</v>
      </c>
      <c r="E71" s="10">
        <v>124</v>
      </c>
      <c r="F71" s="9">
        <f>IF(Tablo1456789101112[[#This Row],[SATIŞ]]=0,"Açık",(E71-D71)*C71)</f>
        <v>20</v>
      </c>
      <c r="G71" s="11">
        <f>Tablo1456789101112[[#This Row],[ADET]]*Tablo1456789101112[[#This Row],[ALIŞ]]</f>
        <v>2460</v>
      </c>
      <c r="H71" s="11">
        <f>Tablo1456789101112[[#This Row],[ADET]]*Tablo1456789101112[[#This Row],[SATIŞ]]</f>
        <v>2480</v>
      </c>
    </row>
    <row r="72" spans="2:8" ht="21" hidden="1" customHeight="1" x14ac:dyDescent="0.3">
      <c r="B72" s="2">
        <v>45335</v>
      </c>
      <c r="C72" s="6">
        <v>30</v>
      </c>
      <c r="D72" s="10">
        <v>123</v>
      </c>
      <c r="E72" s="10">
        <v>132</v>
      </c>
      <c r="F72" s="9">
        <f>IF(Tablo1456789101112[[#This Row],[SATIŞ]]=0,"Açık",(E72-D72)*C72)</f>
        <v>270</v>
      </c>
      <c r="G72" s="11">
        <f>Tablo1456789101112[[#This Row],[ADET]]*Tablo1456789101112[[#This Row],[ALIŞ]]</f>
        <v>3690</v>
      </c>
      <c r="H72" s="11">
        <f>Tablo1456789101112[[#This Row],[ADET]]*Tablo1456789101112[[#This Row],[SATIŞ]]</f>
        <v>3960</v>
      </c>
    </row>
    <row r="73" spans="2:8" ht="21" hidden="1" customHeight="1" x14ac:dyDescent="0.3">
      <c r="B73" s="2">
        <v>45335</v>
      </c>
      <c r="C73" s="6">
        <v>30</v>
      </c>
      <c r="D73" s="10">
        <v>123</v>
      </c>
      <c r="E73" s="10">
        <v>131</v>
      </c>
      <c r="F73" s="9">
        <f>IF(Tablo1456789101112[[#This Row],[SATIŞ]]=0,"Açık",(E73-D73)*C73)</f>
        <v>240</v>
      </c>
      <c r="G73" s="11">
        <f>Tablo1456789101112[[#This Row],[ADET]]*Tablo1456789101112[[#This Row],[ALIŞ]]</f>
        <v>3690</v>
      </c>
      <c r="H73" s="11">
        <f>Tablo1456789101112[[#This Row],[ADET]]*Tablo1456789101112[[#This Row],[SATIŞ]]</f>
        <v>3930</v>
      </c>
    </row>
    <row r="74" spans="2:8" ht="21" hidden="1" customHeight="1" x14ac:dyDescent="0.3">
      <c r="B74" s="2">
        <v>45336</v>
      </c>
      <c r="C74" s="6">
        <v>20</v>
      </c>
      <c r="D74" s="10">
        <v>121</v>
      </c>
      <c r="E74" s="10">
        <v>126</v>
      </c>
      <c r="F74" s="9">
        <f>IF(Tablo1456789101112[[#This Row],[SATIŞ]]=0,"Açık",(E74-D74)*C74)</f>
        <v>100</v>
      </c>
      <c r="G74" s="11">
        <f>Tablo1456789101112[[#This Row],[ADET]]*Tablo1456789101112[[#This Row],[ALIŞ]]</f>
        <v>2420</v>
      </c>
      <c r="H74" s="11">
        <f>Tablo1456789101112[[#This Row],[ADET]]*Tablo1456789101112[[#This Row],[SATIŞ]]</f>
        <v>2520</v>
      </c>
    </row>
    <row r="75" spans="2:8" ht="21" hidden="1" customHeight="1" x14ac:dyDescent="0.3">
      <c r="B75" s="2">
        <v>45336</v>
      </c>
      <c r="C75" s="6">
        <v>20</v>
      </c>
      <c r="D75" s="10">
        <v>118</v>
      </c>
      <c r="E75" s="10">
        <v>128</v>
      </c>
      <c r="F75" s="9">
        <f>IF(Tablo1456789101112[[#This Row],[SATIŞ]]=0,"Açık",(E75-D75)*C75)</f>
        <v>200</v>
      </c>
      <c r="G75" s="11">
        <f>Tablo1456789101112[[#This Row],[ADET]]*Tablo1456789101112[[#This Row],[ALIŞ]]</f>
        <v>2360</v>
      </c>
      <c r="H75" s="11">
        <f>Tablo1456789101112[[#This Row],[ADET]]*Tablo1456789101112[[#This Row],[SATIŞ]]</f>
        <v>2560</v>
      </c>
    </row>
    <row r="76" spans="2:8" ht="21" hidden="1" customHeight="1" x14ac:dyDescent="0.3">
      <c r="B76" s="2">
        <v>45336</v>
      </c>
      <c r="C76" s="6">
        <v>20</v>
      </c>
      <c r="D76" s="10">
        <v>125</v>
      </c>
      <c r="E76" s="10">
        <v>129</v>
      </c>
      <c r="F76" s="9">
        <f>IF(Tablo1456789101112[[#This Row],[SATIŞ]]=0,"Açık",(E76-D76)*C76)</f>
        <v>80</v>
      </c>
      <c r="G76" s="11">
        <f>Tablo1456789101112[[#This Row],[ADET]]*Tablo1456789101112[[#This Row],[ALIŞ]]</f>
        <v>2500</v>
      </c>
      <c r="H76" s="11">
        <f>Tablo1456789101112[[#This Row],[ADET]]*Tablo1456789101112[[#This Row],[SATIŞ]]</f>
        <v>2580</v>
      </c>
    </row>
    <row r="77" spans="2:8" ht="21" hidden="1" customHeight="1" x14ac:dyDescent="0.3">
      <c r="B77" s="2">
        <v>45335</v>
      </c>
      <c r="C77" s="6">
        <v>20</v>
      </c>
      <c r="D77" s="10">
        <v>125</v>
      </c>
      <c r="E77" s="10">
        <v>128</v>
      </c>
      <c r="F77" s="9">
        <f>IF(Tablo1456789101112[[#This Row],[SATIŞ]]=0,"Açık",(E77-D77)*C77)</f>
        <v>60</v>
      </c>
      <c r="G77" s="11">
        <f>Tablo1456789101112[[#This Row],[ADET]]*Tablo1456789101112[[#This Row],[ALIŞ]]</f>
        <v>2500</v>
      </c>
      <c r="H77" s="11">
        <f>Tablo1456789101112[[#This Row],[ADET]]*Tablo1456789101112[[#This Row],[SATIŞ]]</f>
        <v>2560</v>
      </c>
    </row>
    <row r="78" spans="2:8" ht="21" hidden="1" customHeight="1" x14ac:dyDescent="0.3">
      <c r="B78" s="2">
        <v>45336</v>
      </c>
      <c r="C78" s="6">
        <v>20</v>
      </c>
      <c r="D78" s="10">
        <v>118</v>
      </c>
      <c r="E78" s="10">
        <v>132.5</v>
      </c>
      <c r="F78" s="9">
        <f>IF(Tablo1456789101112[[#This Row],[SATIŞ]]=0,"Açık",(E78-D78)*C78)</f>
        <v>290</v>
      </c>
      <c r="G78" s="11">
        <f>Tablo1456789101112[[#This Row],[ADET]]*Tablo1456789101112[[#This Row],[ALIŞ]]</f>
        <v>2360</v>
      </c>
      <c r="H78" s="11">
        <f>Tablo1456789101112[[#This Row],[ADET]]*Tablo1456789101112[[#This Row],[SATIŞ]]</f>
        <v>2650</v>
      </c>
    </row>
    <row r="79" spans="2:8" ht="21" hidden="1" customHeight="1" x14ac:dyDescent="0.3">
      <c r="B79" s="2">
        <v>45336</v>
      </c>
      <c r="C79" s="6">
        <v>12</v>
      </c>
      <c r="D79" s="10">
        <v>123</v>
      </c>
      <c r="E79" s="10">
        <v>129.5</v>
      </c>
      <c r="F79" s="9">
        <f>IF(Tablo1456789101112[[#This Row],[SATIŞ]]=0,"Açık",(E79-D79)*C79)</f>
        <v>78</v>
      </c>
      <c r="G79" s="11">
        <f>Tablo1456789101112[[#This Row],[ADET]]*Tablo1456789101112[[#This Row],[ALIŞ]]</f>
        <v>1476</v>
      </c>
      <c r="H79" s="11">
        <f>Tablo1456789101112[[#This Row],[ADET]]*Tablo1456789101112[[#This Row],[SATIŞ]]</f>
        <v>1554</v>
      </c>
    </row>
    <row r="80" spans="2:8" ht="21" hidden="1" customHeight="1" x14ac:dyDescent="0.3">
      <c r="B80" s="2">
        <v>45336</v>
      </c>
      <c r="C80" s="6">
        <v>8</v>
      </c>
      <c r="D80" s="10">
        <v>123</v>
      </c>
      <c r="E80" s="10">
        <v>126</v>
      </c>
      <c r="F80" s="9">
        <f>IF(Tablo1456789101112[[#This Row],[SATIŞ]]=0,"Açık",(E80-D80)*C80)</f>
        <v>24</v>
      </c>
      <c r="G80" s="11">
        <f>Tablo1456789101112[[#This Row],[ADET]]*Tablo1456789101112[[#This Row],[ALIŞ]]</f>
        <v>984</v>
      </c>
      <c r="H80" s="11">
        <f>Tablo1456789101112[[#This Row],[ADET]]*Tablo1456789101112[[#This Row],[SATIŞ]]</f>
        <v>1008</v>
      </c>
    </row>
    <row r="81" spans="2:10" ht="21" hidden="1" customHeight="1" x14ac:dyDescent="0.3">
      <c r="B81" s="2">
        <v>45336</v>
      </c>
      <c r="C81" s="6">
        <v>10</v>
      </c>
      <c r="D81" s="10">
        <v>118</v>
      </c>
      <c r="E81" s="10">
        <v>131</v>
      </c>
      <c r="F81" s="9">
        <f>IF(Tablo1456789101112[[#This Row],[SATIŞ]]=0,"Açık",(E81-D81)*C81)</f>
        <v>130</v>
      </c>
      <c r="G81" s="11">
        <f>Tablo1456789101112[[#This Row],[ADET]]*Tablo1456789101112[[#This Row],[ALIŞ]]</f>
        <v>1180</v>
      </c>
      <c r="H81" s="11">
        <f>Tablo1456789101112[[#This Row],[ADET]]*Tablo1456789101112[[#This Row],[SATIŞ]]</f>
        <v>1310</v>
      </c>
    </row>
    <row r="82" spans="2:10" ht="21" hidden="1" customHeight="1" x14ac:dyDescent="0.3">
      <c r="B82" s="2">
        <v>45337</v>
      </c>
      <c r="C82" s="6">
        <v>10</v>
      </c>
      <c r="D82" s="10">
        <v>127</v>
      </c>
      <c r="E82" s="10">
        <v>130</v>
      </c>
      <c r="F82" s="9">
        <f>IF(Tablo1456789101112[[#This Row],[SATIŞ]]=0,"Açık",(E82-D82)*C82)</f>
        <v>30</v>
      </c>
      <c r="G82" s="11">
        <f>Tablo1456789101112[[#This Row],[ADET]]*Tablo1456789101112[[#This Row],[ALIŞ]]</f>
        <v>1270</v>
      </c>
      <c r="H82" s="11">
        <f>Tablo1456789101112[[#This Row],[ADET]]*Tablo1456789101112[[#This Row],[SATIŞ]]</f>
        <v>1300</v>
      </c>
    </row>
    <row r="83" spans="2:10" ht="21" hidden="1" customHeight="1" x14ac:dyDescent="0.3">
      <c r="B83" s="2">
        <v>45337</v>
      </c>
      <c r="C83" s="6">
        <v>10</v>
      </c>
      <c r="D83" s="10">
        <v>127</v>
      </c>
      <c r="E83" s="10">
        <v>129</v>
      </c>
      <c r="F83" s="9">
        <f>IF(Tablo1456789101112[[#This Row],[SATIŞ]]=0,"Açık",(E83-D83)*C83)</f>
        <v>20</v>
      </c>
      <c r="G83" s="11">
        <f>Tablo1456789101112[[#This Row],[ADET]]*Tablo1456789101112[[#This Row],[ALIŞ]]</f>
        <v>1270</v>
      </c>
      <c r="H83" s="11">
        <f>Tablo1456789101112[[#This Row],[ADET]]*Tablo1456789101112[[#This Row],[SATIŞ]]</f>
        <v>1290</v>
      </c>
    </row>
    <row r="84" spans="2:10" ht="21" hidden="1" customHeight="1" x14ac:dyDescent="0.3">
      <c r="B84" s="2">
        <v>45337</v>
      </c>
      <c r="C84" s="6">
        <v>10</v>
      </c>
      <c r="D84" s="10">
        <v>127</v>
      </c>
      <c r="E84" s="10">
        <v>128</v>
      </c>
      <c r="F84" s="9">
        <f>IF(Tablo1456789101112[[#This Row],[SATIŞ]]=0,"Açık",(E84-D84)*C84)</f>
        <v>10</v>
      </c>
      <c r="G84" s="11">
        <f>Tablo1456789101112[[#This Row],[ADET]]*Tablo1456789101112[[#This Row],[ALIŞ]]</f>
        <v>1270</v>
      </c>
      <c r="H84" s="11">
        <f>Tablo1456789101112[[#This Row],[ADET]]*Tablo1456789101112[[#This Row],[SATIŞ]]</f>
        <v>1280</v>
      </c>
    </row>
    <row r="85" spans="2:10" ht="21" hidden="1" customHeight="1" x14ac:dyDescent="0.3">
      <c r="B85" s="2">
        <v>45337</v>
      </c>
      <c r="C85" s="6">
        <v>10</v>
      </c>
      <c r="D85" s="10">
        <v>129</v>
      </c>
      <c r="E85" s="10">
        <v>130</v>
      </c>
      <c r="F85" s="9">
        <f>IF(Tablo1456789101112[[#This Row],[SATIŞ]]=0,"Açık",(E85-D85)*C85)</f>
        <v>10</v>
      </c>
      <c r="G85" s="11">
        <f>Tablo1456789101112[[#This Row],[ADET]]*Tablo1456789101112[[#This Row],[ALIŞ]]</f>
        <v>1290</v>
      </c>
      <c r="H85" s="11">
        <f>Tablo1456789101112[[#This Row],[ADET]]*Tablo1456789101112[[#This Row],[SATIŞ]]</f>
        <v>1300</v>
      </c>
    </row>
    <row r="86" spans="2:10" ht="21" hidden="1" customHeight="1" x14ac:dyDescent="0.3">
      <c r="B86" s="2">
        <v>45338</v>
      </c>
      <c r="C86" s="6">
        <v>10</v>
      </c>
      <c r="D86" s="10">
        <v>127</v>
      </c>
      <c r="E86" s="10">
        <v>129</v>
      </c>
      <c r="F86" s="9">
        <f>IF(Tablo1456789101112[[#This Row],[SATIŞ]]=0,"Açık",(E86-D86)*C86)</f>
        <v>20</v>
      </c>
      <c r="G86" s="11">
        <f>Tablo1456789101112[[#This Row],[ADET]]*Tablo1456789101112[[#This Row],[ALIŞ]]</f>
        <v>1270</v>
      </c>
      <c r="H86" s="11">
        <f>Tablo1456789101112[[#This Row],[ADET]]*Tablo1456789101112[[#This Row],[SATIŞ]]</f>
        <v>1290</v>
      </c>
    </row>
    <row r="87" spans="2:10" ht="21" hidden="1" customHeight="1" x14ac:dyDescent="0.3">
      <c r="B87" s="2">
        <v>45338</v>
      </c>
      <c r="C87" s="6">
        <v>10</v>
      </c>
      <c r="D87" s="10">
        <v>127</v>
      </c>
      <c r="E87" s="10">
        <v>128</v>
      </c>
      <c r="F87" s="9">
        <f>IF(Tablo1456789101112[[#This Row],[SATIŞ]]=0,"Açık",(E87-D87)*C87)</f>
        <v>10</v>
      </c>
      <c r="G87" s="11">
        <f>Tablo1456789101112[[#This Row],[ADET]]*Tablo1456789101112[[#This Row],[ALIŞ]]</f>
        <v>1270</v>
      </c>
      <c r="H87" s="11">
        <f>Tablo1456789101112[[#This Row],[ADET]]*Tablo1456789101112[[#This Row],[SATIŞ]]</f>
        <v>1280</v>
      </c>
    </row>
    <row r="88" spans="2:10" ht="21" hidden="1" customHeight="1" x14ac:dyDescent="0.3">
      <c r="B88" s="2">
        <v>45341</v>
      </c>
      <c r="C88" s="6">
        <v>10</v>
      </c>
      <c r="D88" s="10">
        <v>125</v>
      </c>
      <c r="E88" s="10">
        <v>127</v>
      </c>
      <c r="F88" s="9">
        <f>IF(Tablo1456789101112[[#This Row],[SATIŞ]]=0,"Açık",(E88-D88)*C88)</f>
        <v>20</v>
      </c>
      <c r="G88" s="11">
        <f>Tablo1456789101112[[#This Row],[ADET]]*Tablo1456789101112[[#This Row],[ALIŞ]]</f>
        <v>1250</v>
      </c>
      <c r="H88" s="11">
        <f>Tablo1456789101112[[#This Row],[ADET]]*Tablo1456789101112[[#This Row],[SATIŞ]]</f>
        <v>1270</v>
      </c>
    </row>
    <row r="89" spans="2:10" ht="21" hidden="1" customHeight="1" x14ac:dyDescent="0.3">
      <c r="B89" s="2">
        <v>45341</v>
      </c>
      <c r="C89" s="6">
        <v>10</v>
      </c>
      <c r="D89" s="10">
        <v>125</v>
      </c>
      <c r="E89" s="10">
        <v>127</v>
      </c>
      <c r="F89" s="9">
        <f>IF(Tablo1456789101112[[#This Row],[SATIŞ]]=0,"Açık",(E89-D89)*C89)</f>
        <v>20</v>
      </c>
      <c r="G89" s="11">
        <f>Tablo1456789101112[[#This Row],[ADET]]*Tablo1456789101112[[#This Row],[ALIŞ]]</f>
        <v>1250</v>
      </c>
      <c r="H89" s="11">
        <f>Tablo1456789101112[[#This Row],[ADET]]*Tablo1456789101112[[#This Row],[SATIŞ]]</f>
        <v>1270</v>
      </c>
    </row>
    <row r="90" spans="2:10" ht="21" hidden="1" customHeight="1" x14ac:dyDescent="0.3">
      <c r="B90" s="2">
        <v>45341</v>
      </c>
      <c r="C90" s="6">
        <v>10</v>
      </c>
      <c r="D90" s="10">
        <v>125</v>
      </c>
      <c r="E90" s="10">
        <v>127</v>
      </c>
      <c r="F90" s="9">
        <f>IF(Tablo1456789101112[[#This Row],[SATIŞ]]=0,"Açık",(E90-D90)*C90)</f>
        <v>20</v>
      </c>
      <c r="G90" s="11">
        <f>Tablo1456789101112[[#This Row],[ADET]]*Tablo1456789101112[[#This Row],[ALIŞ]]</f>
        <v>1250</v>
      </c>
      <c r="H90" s="11">
        <f>Tablo1456789101112[[#This Row],[ADET]]*Tablo1456789101112[[#This Row],[SATIŞ]]</f>
        <v>1270</v>
      </c>
    </row>
    <row r="91" spans="2:10" ht="21" hidden="1" customHeight="1" x14ac:dyDescent="0.3">
      <c r="B91" s="2">
        <v>45341</v>
      </c>
      <c r="C91" s="6">
        <v>10</v>
      </c>
      <c r="D91" s="10">
        <v>131</v>
      </c>
      <c r="E91" s="10">
        <v>142.1</v>
      </c>
      <c r="F91" s="9">
        <f>IF(Tablo1456789101112[[#This Row],[SATIŞ]]=0,"Açık",(E91-D91)*C91)</f>
        <v>110.99999999999994</v>
      </c>
      <c r="G91" s="11">
        <f>Tablo1456789101112[[#This Row],[ADET]]*Tablo1456789101112[[#This Row],[ALIŞ]]</f>
        <v>1310</v>
      </c>
      <c r="H91" s="11">
        <f>Tablo1456789101112[[#This Row],[ADET]]*Tablo1456789101112[[#This Row],[SATIŞ]]</f>
        <v>1421</v>
      </c>
    </row>
    <row r="92" spans="2:10" ht="21" hidden="1" customHeight="1" x14ac:dyDescent="0.3">
      <c r="B92" s="2">
        <v>45341</v>
      </c>
      <c r="C92" s="6">
        <v>10</v>
      </c>
      <c r="D92" s="10">
        <v>130</v>
      </c>
      <c r="E92" s="10">
        <v>131</v>
      </c>
      <c r="F92" s="9">
        <f>IF(Tablo1456789101112[[#This Row],[SATIŞ]]=0,"Açık",(E92-D92)*C92)</f>
        <v>10</v>
      </c>
      <c r="G92" s="11">
        <f>Tablo1456789101112[[#This Row],[ADET]]*Tablo1456789101112[[#This Row],[ALIŞ]]</f>
        <v>1300</v>
      </c>
      <c r="H92" s="11">
        <f>Tablo1456789101112[[#This Row],[ADET]]*Tablo1456789101112[[#This Row],[SATIŞ]]</f>
        <v>1310</v>
      </c>
    </row>
    <row r="93" spans="2:10" ht="21" hidden="1" customHeight="1" x14ac:dyDescent="0.3">
      <c r="B93" s="2">
        <v>45341</v>
      </c>
      <c r="C93" s="6">
        <v>10</v>
      </c>
      <c r="D93" s="10">
        <v>128</v>
      </c>
      <c r="E93" s="10">
        <v>130</v>
      </c>
      <c r="F93" s="9">
        <f>IF(Tablo1456789101112[[#This Row],[SATIŞ]]=0,"Açık",(E93-D93)*C93)</f>
        <v>20</v>
      </c>
      <c r="G93" s="11">
        <f>Tablo1456789101112[[#This Row],[ADET]]*Tablo1456789101112[[#This Row],[ALIŞ]]</f>
        <v>1280</v>
      </c>
      <c r="H93" s="11">
        <f>Tablo1456789101112[[#This Row],[ADET]]*Tablo1456789101112[[#This Row],[SATIŞ]]</f>
        <v>1300</v>
      </c>
    </row>
    <row r="94" spans="2:10" ht="21" hidden="1" customHeight="1" x14ac:dyDescent="0.3">
      <c r="B94" s="2">
        <v>45329</v>
      </c>
      <c r="C94" s="6">
        <v>30</v>
      </c>
      <c r="D94" s="10">
        <v>130</v>
      </c>
      <c r="E94" s="10">
        <v>131</v>
      </c>
      <c r="F94" s="9">
        <f>IF(Tablo1456789101112[[#This Row],[SATIŞ]]=0,"Açık",(E94-D94)*C94)</f>
        <v>30</v>
      </c>
      <c r="G94" s="11">
        <f>Tablo1456789101112[[#This Row],[ADET]]*Tablo1456789101112[[#This Row],[ALIŞ]]</f>
        <v>3900</v>
      </c>
      <c r="H94" s="11">
        <f>Tablo1456789101112[[#This Row],[ADET]]*Tablo1456789101112[[#This Row],[SATIŞ]]</f>
        <v>3930</v>
      </c>
    </row>
    <row r="95" spans="2:10" ht="21" hidden="1" customHeight="1" x14ac:dyDescent="0.3">
      <c r="B95" s="2">
        <v>45329</v>
      </c>
      <c r="C95" s="6">
        <v>20</v>
      </c>
      <c r="D95" s="10">
        <v>130</v>
      </c>
      <c r="E95" s="10">
        <v>171.5</v>
      </c>
      <c r="F95" s="9">
        <f>IF(Tablo1456789101112[[#This Row],[SATIŞ]]=0,"Açık",(E95-D95)*C95)</f>
        <v>830</v>
      </c>
      <c r="G95" s="11">
        <f>Tablo1456789101112[[#This Row],[ADET]]*Tablo1456789101112[[#This Row],[ALIŞ]]</f>
        <v>2600</v>
      </c>
      <c r="H95" s="11">
        <f>Tablo1456789101112[[#This Row],[ADET]]*Tablo1456789101112[[#This Row],[SATIŞ]]</f>
        <v>3430</v>
      </c>
      <c r="J95" s="40" t="str">
        <f t="shared" ref="J95:J144" si="0">IF(E95=0,D95*1.05,"")</f>
        <v/>
      </c>
    </row>
    <row r="96" spans="2:10" ht="21" hidden="1" customHeight="1" x14ac:dyDescent="0.3">
      <c r="B96" s="2">
        <v>45341</v>
      </c>
      <c r="C96" s="6">
        <v>10</v>
      </c>
      <c r="D96" s="10">
        <v>127</v>
      </c>
      <c r="E96" s="10">
        <v>146</v>
      </c>
      <c r="F96" s="9">
        <f>IF(Tablo1456789101112[[#This Row],[SATIŞ]]=0,"Açık",(E96-D96)*C96)</f>
        <v>190</v>
      </c>
      <c r="G96" s="11">
        <f>Tablo1456789101112[[#This Row],[ADET]]*Tablo1456789101112[[#This Row],[ALIŞ]]</f>
        <v>1270</v>
      </c>
      <c r="H96" s="11">
        <f>Tablo1456789101112[[#This Row],[ADET]]*Tablo1456789101112[[#This Row],[SATIŞ]]</f>
        <v>1460</v>
      </c>
      <c r="J96" s="40" t="str">
        <f t="shared" si="0"/>
        <v/>
      </c>
    </row>
    <row r="97" spans="2:10" ht="21" hidden="1" customHeight="1" x14ac:dyDescent="0.3">
      <c r="B97" s="2">
        <v>45341</v>
      </c>
      <c r="C97" s="6">
        <v>10</v>
      </c>
      <c r="D97" s="10">
        <v>129</v>
      </c>
      <c r="E97" s="10">
        <v>130</v>
      </c>
      <c r="F97" s="9">
        <f>IF(Tablo1456789101112[[#This Row],[SATIŞ]]=0,"Açık",(E97-D97)*C97)</f>
        <v>10</v>
      </c>
      <c r="G97" s="11">
        <f>Tablo1456789101112[[#This Row],[ADET]]*Tablo1456789101112[[#This Row],[ALIŞ]]</f>
        <v>1290</v>
      </c>
      <c r="H97" s="11">
        <f>Tablo1456789101112[[#This Row],[ADET]]*Tablo1456789101112[[#This Row],[SATIŞ]]</f>
        <v>1300</v>
      </c>
      <c r="J97" s="40" t="str">
        <f t="shared" si="0"/>
        <v/>
      </c>
    </row>
    <row r="98" spans="2:10" ht="21" hidden="1" customHeight="1" x14ac:dyDescent="0.3">
      <c r="B98" s="2">
        <v>45342</v>
      </c>
      <c r="C98" s="6">
        <v>20</v>
      </c>
      <c r="D98" s="10">
        <v>125.6</v>
      </c>
      <c r="E98" s="10">
        <v>128</v>
      </c>
      <c r="F98" s="9">
        <f>IF(Tablo1456789101112[[#This Row],[SATIŞ]]=0,"Açık",(E98-D98)*C98)</f>
        <v>48.000000000000114</v>
      </c>
      <c r="G98" s="11">
        <f>Tablo1456789101112[[#This Row],[ADET]]*Tablo1456789101112[[#This Row],[ALIŞ]]</f>
        <v>2512</v>
      </c>
      <c r="H98" s="11">
        <f>Tablo1456789101112[[#This Row],[ADET]]*Tablo1456789101112[[#This Row],[SATIŞ]]</f>
        <v>2560</v>
      </c>
      <c r="J98" s="40" t="str">
        <f t="shared" si="0"/>
        <v/>
      </c>
    </row>
    <row r="99" spans="2:10" ht="21" hidden="1" customHeight="1" x14ac:dyDescent="0.3">
      <c r="B99" s="2">
        <v>45342</v>
      </c>
      <c r="C99" s="6">
        <v>20</v>
      </c>
      <c r="D99" s="10">
        <v>125</v>
      </c>
      <c r="E99" s="10">
        <v>129</v>
      </c>
      <c r="F99" s="9">
        <f>IF(Tablo1456789101112[[#This Row],[SATIŞ]]=0,"Açık",(E99-D99)*C99)</f>
        <v>80</v>
      </c>
      <c r="G99" s="11">
        <f>Tablo1456789101112[[#This Row],[ADET]]*Tablo1456789101112[[#This Row],[ALIŞ]]</f>
        <v>2500</v>
      </c>
      <c r="H99" s="11">
        <f>Tablo1456789101112[[#This Row],[ADET]]*Tablo1456789101112[[#This Row],[SATIŞ]]</f>
        <v>2580</v>
      </c>
      <c r="J99" s="40" t="str">
        <f t="shared" si="0"/>
        <v/>
      </c>
    </row>
    <row r="100" spans="2:10" ht="21" hidden="1" customHeight="1" x14ac:dyDescent="0.3">
      <c r="B100" s="2">
        <v>45342</v>
      </c>
      <c r="C100" s="6">
        <v>20</v>
      </c>
      <c r="D100" s="10">
        <v>124</v>
      </c>
      <c r="E100" s="10">
        <v>130</v>
      </c>
      <c r="F100" s="9">
        <f>IF(Tablo1456789101112[[#This Row],[SATIŞ]]=0,"Açık",(E100-D100)*C100)</f>
        <v>120</v>
      </c>
      <c r="G100" s="11">
        <f>Tablo1456789101112[[#This Row],[ADET]]*Tablo1456789101112[[#This Row],[ALIŞ]]</f>
        <v>2480</v>
      </c>
      <c r="H100" s="11">
        <f>Tablo1456789101112[[#This Row],[ADET]]*Tablo1456789101112[[#This Row],[SATIŞ]]</f>
        <v>2600</v>
      </c>
      <c r="J100" s="40" t="str">
        <f t="shared" si="0"/>
        <v/>
      </c>
    </row>
    <row r="101" spans="2:10" ht="21" hidden="1" customHeight="1" x14ac:dyDescent="0.3">
      <c r="B101" s="2">
        <v>45345</v>
      </c>
      <c r="C101" s="6">
        <v>10</v>
      </c>
      <c r="D101" s="10">
        <v>127.5</v>
      </c>
      <c r="E101" s="10">
        <v>144</v>
      </c>
      <c r="F101" s="9">
        <f>IF(Tablo1456789101112[[#This Row],[SATIŞ]]=0,"Açık",(E101-D101)*C101)</f>
        <v>165</v>
      </c>
      <c r="G101" s="11">
        <f>Tablo1456789101112[[#This Row],[ADET]]*Tablo1456789101112[[#This Row],[ALIŞ]]</f>
        <v>1275</v>
      </c>
      <c r="H101" s="11">
        <f>Tablo1456789101112[[#This Row],[ADET]]*Tablo1456789101112[[#This Row],[SATIŞ]]</f>
        <v>1440</v>
      </c>
      <c r="J101" s="40" t="str">
        <f t="shared" si="0"/>
        <v/>
      </c>
    </row>
    <row r="102" spans="2:10" ht="21" hidden="1" customHeight="1" x14ac:dyDescent="0.3">
      <c r="B102" s="2">
        <v>45345</v>
      </c>
      <c r="C102" s="6">
        <v>20</v>
      </c>
      <c r="D102" s="10">
        <v>128</v>
      </c>
      <c r="E102" s="10">
        <v>130</v>
      </c>
      <c r="F102" s="9">
        <f>IF(Tablo1456789101112[[#This Row],[SATIŞ]]=0,"Açık",(E102-D102)*C102)</f>
        <v>40</v>
      </c>
      <c r="G102" s="11">
        <f>Tablo1456789101112[[#This Row],[ADET]]*Tablo1456789101112[[#This Row],[ALIŞ]]</f>
        <v>2560</v>
      </c>
      <c r="H102" s="11">
        <f>Tablo1456789101112[[#This Row],[ADET]]*Tablo1456789101112[[#This Row],[SATIŞ]]</f>
        <v>2600</v>
      </c>
      <c r="J102" s="40" t="str">
        <f t="shared" si="0"/>
        <v/>
      </c>
    </row>
    <row r="103" spans="2:10" ht="21" hidden="1" customHeight="1" x14ac:dyDescent="0.3">
      <c r="B103" s="2">
        <v>45345</v>
      </c>
      <c r="C103" s="6">
        <v>10</v>
      </c>
      <c r="D103" s="10">
        <v>127.5</v>
      </c>
      <c r="E103" s="10">
        <v>128</v>
      </c>
      <c r="F103" s="9">
        <f>IF(Tablo1456789101112[[#This Row],[SATIŞ]]=0,"Açık",(E103-D103)*C103)</f>
        <v>5</v>
      </c>
      <c r="G103" s="11">
        <f>Tablo1456789101112[[#This Row],[ADET]]*Tablo1456789101112[[#This Row],[ALIŞ]]</f>
        <v>1275</v>
      </c>
      <c r="H103" s="11">
        <f>Tablo1456789101112[[#This Row],[ADET]]*Tablo1456789101112[[#This Row],[SATIŞ]]</f>
        <v>1280</v>
      </c>
      <c r="J103" s="40" t="str">
        <f t="shared" si="0"/>
        <v/>
      </c>
    </row>
    <row r="104" spans="2:10" ht="21" hidden="1" customHeight="1" x14ac:dyDescent="0.3">
      <c r="B104" s="2">
        <v>45345</v>
      </c>
      <c r="C104" s="6">
        <v>10</v>
      </c>
      <c r="D104" s="10">
        <v>127.5</v>
      </c>
      <c r="E104" s="10">
        <v>149.69999999999999</v>
      </c>
      <c r="F104" s="9">
        <f>IF(Tablo1456789101112[[#This Row],[SATIŞ]]=0,"Açık",(E104-D104)*C104)</f>
        <v>221.99999999999989</v>
      </c>
      <c r="G104" s="11">
        <f>Tablo1456789101112[[#This Row],[ADET]]*Tablo1456789101112[[#This Row],[ALIŞ]]</f>
        <v>1275</v>
      </c>
      <c r="H104" s="11">
        <f>Tablo1456789101112[[#This Row],[ADET]]*Tablo1456789101112[[#This Row],[SATIŞ]]</f>
        <v>1497</v>
      </c>
      <c r="J104" s="40" t="str">
        <f t="shared" si="0"/>
        <v/>
      </c>
    </row>
    <row r="105" spans="2:10" ht="21" hidden="1" customHeight="1" x14ac:dyDescent="0.3">
      <c r="B105" s="2">
        <v>45345</v>
      </c>
      <c r="C105" s="6">
        <v>10</v>
      </c>
      <c r="D105" s="10">
        <v>129</v>
      </c>
      <c r="E105" s="10">
        <v>137</v>
      </c>
      <c r="F105" s="9">
        <f>IF(Tablo1456789101112[[#This Row],[SATIŞ]]=0,"Açık",(E105-D105)*C105)</f>
        <v>80</v>
      </c>
      <c r="G105" s="11">
        <f>Tablo1456789101112[[#This Row],[ADET]]*Tablo1456789101112[[#This Row],[ALIŞ]]</f>
        <v>1290</v>
      </c>
      <c r="H105" s="11">
        <f>Tablo1456789101112[[#This Row],[ADET]]*Tablo1456789101112[[#This Row],[SATIŞ]]</f>
        <v>1370</v>
      </c>
      <c r="J105" s="40" t="str">
        <f t="shared" si="0"/>
        <v/>
      </c>
    </row>
    <row r="106" spans="2:10" ht="21" hidden="1" customHeight="1" x14ac:dyDescent="0.3">
      <c r="B106" s="2">
        <v>45349</v>
      </c>
      <c r="C106" s="6">
        <v>10</v>
      </c>
      <c r="D106" s="10">
        <v>138</v>
      </c>
      <c r="E106" s="10">
        <v>151</v>
      </c>
      <c r="F106" s="9">
        <f>IF(Tablo1456789101112[[#This Row],[SATIŞ]]=0,"Açık",(E106-D106)*C106)</f>
        <v>130</v>
      </c>
      <c r="G106" s="11">
        <f>Tablo1456789101112[[#This Row],[ADET]]*Tablo1456789101112[[#This Row],[ALIŞ]]</f>
        <v>1380</v>
      </c>
      <c r="H106" s="11">
        <f>Tablo1456789101112[[#This Row],[ADET]]*Tablo1456789101112[[#This Row],[SATIŞ]]</f>
        <v>1510</v>
      </c>
      <c r="J106" s="40" t="str">
        <f t="shared" si="0"/>
        <v/>
      </c>
    </row>
    <row r="107" spans="2:10" ht="21" hidden="1" customHeight="1" x14ac:dyDescent="0.3">
      <c r="B107" s="2">
        <v>45349</v>
      </c>
      <c r="C107" s="6">
        <v>10</v>
      </c>
      <c r="D107" s="10">
        <v>142</v>
      </c>
      <c r="E107" s="10">
        <v>146</v>
      </c>
      <c r="F107" s="9">
        <f>IF(Tablo1456789101112[[#This Row],[SATIŞ]]=0,"Açık",(E107-D107)*C107)</f>
        <v>40</v>
      </c>
      <c r="G107" s="11">
        <f>Tablo1456789101112[[#This Row],[ADET]]*Tablo1456789101112[[#This Row],[ALIŞ]]</f>
        <v>1420</v>
      </c>
      <c r="H107" s="11">
        <f>Tablo1456789101112[[#This Row],[ADET]]*Tablo1456789101112[[#This Row],[SATIŞ]]</f>
        <v>1460</v>
      </c>
      <c r="J107" s="40" t="str">
        <f t="shared" si="0"/>
        <v/>
      </c>
    </row>
    <row r="108" spans="2:10" ht="21" hidden="1" customHeight="1" x14ac:dyDescent="0.3">
      <c r="B108" s="2">
        <v>45349</v>
      </c>
      <c r="C108" s="6">
        <v>10</v>
      </c>
      <c r="D108" s="10">
        <v>148</v>
      </c>
      <c r="E108" s="10">
        <v>160</v>
      </c>
      <c r="F108" s="9">
        <f>IF(Tablo1456789101112[[#This Row],[SATIŞ]]=0,"Açık",(E108-D108)*C108)</f>
        <v>120</v>
      </c>
      <c r="G108" s="11">
        <f>Tablo1456789101112[[#This Row],[ADET]]*Tablo1456789101112[[#This Row],[ALIŞ]]</f>
        <v>1480</v>
      </c>
      <c r="H108" s="11">
        <f>Tablo1456789101112[[#This Row],[ADET]]*Tablo1456789101112[[#This Row],[SATIŞ]]</f>
        <v>1600</v>
      </c>
      <c r="J108" s="40" t="str">
        <f t="shared" si="0"/>
        <v/>
      </c>
    </row>
    <row r="109" spans="2:10" ht="21" hidden="1" customHeight="1" x14ac:dyDescent="0.3">
      <c r="B109" s="2">
        <v>45351</v>
      </c>
      <c r="C109" s="6">
        <v>10</v>
      </c>
      <c r="D109" s="10">
        <v>135</v>
      </c>
      <c r="E109" s="10">
        <v>140</v>
      </c>
      <c r="F109" s="9">
        <f>IF(Tablo1456789101112[[#This Row],[SATIŞ]]=0,"Açık",(E109-D109)*C109)</f>
        <v>50</v>
      </c>
      <c r="G109" s="11">
        <f>Tablo1456789101112[[#This Row],[ADET]]*Tablo1456789101112[[#This Row],[ALIŞ]]</f>
        <v>1350</v>
      </c>
      <c r="H109" s="11">
        <f>Tablo1456789101112[[#This Row],[ADET]]*Tablo1456789101112[[#This Row],[SATIŞ]]</f>
        <v>1400</v>
      </c>
      <c r="J109" s="40" t="str">
        <f t="shared" si="0"/>
        <v/>
      </c>
    </row>
    <row r="110" spans="2:10" ht="21" hidden="1" customHeight="1" x14ac:dyDescent="0.3">
      <c r="B110" s="2">
        <v>45352</v>
      </c>
      <c r="C110" s="6">
        <v>10</v>
      </c>
      <c r="D110" s="10">
        <v>139</v>
      </c>
      <c r="E110" s="10">
        <v>164.6</v>
      </c>
      <c r="F110" s="9">
        <f>IF(Tablo1456789101112[[#This Row],[SATIŞ]]=0,"Açık",(E110-D110)*C110)</f>
        <v>255.99999999999994</v>
      </c>
      <c r="G110" s="11">
        <f>Tablo1456789101112[[#This Row],[ADET]]*Tablo1456789101112[[#This Row],[ALIŞ]]</f>
        <v>1390</v>
      </c>
      <c r="H110" s="11">
        <f>Tablo1456789101112[[#This Row],[ADET]]*Tablo1456789101112[[#This Row],[SATIŞ]]</f>
        <v>1646</v>
      </c>
      <c r="J110" s="40" t="str">
        <f t="shared" si="0"/>
        <v/>
      </c>
    </row>
    <row r="111" spans="2:10" ht="21" hidden="1" customHeight="1" x14ac:dyDescent="0.3">
      <c r="B111" s="2">
        <v>45352</v>
      </c>
      <c r="C111" s="6">
        <v>10</v>
      </c>
      <c r="D111" s="10">
        <v>135</v>
      </c>
      <c r="E111" s="10">
        <v>178.9</v>
      </c>
      <c r="F111" s="9">
        <f>IF(Tablo1456789101112[[#This Row],[SATIŞ]]=0,"Açık",(E111-D111)*C111)</f>
        <v>439.00000000000006</v>
      </c>
      <c r="G111" s="11">
        <f>Tablo1456789101112[[#This Row],[ADET]]*Tablo1456789101112[[#This Row],[ALIŞ]]</f>
        <v>1350</v>
      </c>
      <c r="H111" s="11">
        <f>Tablo1456789101112[[#This Row],[ADET]]*Tablo1456789101112[[#This Row],[SATIŞ]]</f>
        <v>1789</v>
      </c>
      <c r="J111" s="40" t="str">
        <f t="shared" si="0"/>
        <v/>
      </c>
    </row>
    <row r="112" spans="2:10" ht="21" hidden="1" customHeight="1" x14ac:dyDescent="0.3">
      <c r="B112" s="2">
        <v>45355</v>
      </c>
      <c r="C112" s="6">
        <v>10</v>
      </c>
      <c r="D112" s="10">
        <v>130</v>
      </c>
      <c r="E112" s="10">
        <v>132</v>
      </c>
      <c r="F112" s="9">
        <f>IF(Tablo1456789101112[[#This Row],[SATIŞ]]=0,"Açık",(E112-D112)*C112)</f>
        <v>20</v>
      </c>
      <c r="G112" s="11">
        <f>Tablo1456789101112[[#This Row],[ADET]]*Tablo1456789101112[[#This Row],[ALIŞ]]</f>
        <v>1300</v>
      </c>
      <c r="H112" s="11">
        <f>Tablo1456789101112[[#This Row],[ADET]]*Tablo1456789101112[[#This Row],[SATIŞ]]</f>
        <v>1320</v>
      </c>
      <c r="J112" s="40" t="str">
        <f t="shared" si="0"/>
        <v/>
      </c>
    </row>
    <row r="113" spans="2:10" ht="21" hidden="1" customHeight="1" x14ac:dyDescent="0.3">
      <c r="B113" s="2">
        <v>45356</v>
      </c>
      <c r="C113" s="6">
        <v>10</v>
      </c>
      <c r="D113" s="10">
        <v>127</v>
      </c>
      <c r="E113" s="10">
        <v>134</v>
      </c>
      <c r="F113" s="9">
        <f>IF(Tablo1456789101112[[#This Row],[SATIŞ]]=0,"Açık",(E113-D113)*C113)</f>
        <v>70</v>
      </c>
      <c r="G113" s="11">
        <f>Tablo1456789101112[[#This Row],[ADET]]*Tablo1456789101112[[#This Row],[ALIŞ]]</f>
        <v>1270</v>
      </c>
      <c r="H113" s="11">
        <f>Tablo1456789101112[[#This Row],[ADET]]*Tablo1456789101112[[#This Row],[SATIŞ]]</f>
        <v>1340</v>
      </c>
      <c r="J113" s="40" t="str">
        <f t="shared" si="0"/>
        <v/>
      </c>
    </row>
    <row r="114" spans="2:10" ht="21" hidden="1" customHeight="1" x14ac:dyDescent="0.3">
      <c r="B114" s="2">
        <v>45356</v>
      </c>
      <c r="C114" s="6">
        <v>10</v>
      </c>
      <c r="D114" s="10">
        <v>126</v>
      </c>
      <c r="E114" s="10">
        <v>129</v>
      </c>
      <c r="F114" s="9">
        <f>IF(Tablo1456789101112[[#This Row],[SATIŞ]]=0,"Açık",(E114-D114)*C114)</f>
        <v>30</v>
      </c>
      <c r="G114" s="11">
        <f>Tablo1456789101112[[#This Row],[ADET]]*Tablo1456789101112[[#This Row],[ALIŞ]]</f>
        <v>1260</v>
      </c>
      <c r="H114" s="11">
        <f>Tablo1456789101112[[#This Row],[ADET]]*Tablo1456789101112[[#This Row],[SATIŞ]]</f>
        <v>1290</v>
      </c>
      <c r="J114" s="40" t="str">
        <f t="shared" si="0"/>
        <v/>
      </c>
    </row>
    <row r="115" spans="2:10" ht="21" hidden="1" customHeight="1" x14ac:dyDescent="0.3">
      <c r="B115" s="2">
        <v>45356</v>
      </c>
      <c r="C115" s="6">
        <v>10</v>
      </c>
      <c r="D115" s="10">
        <v>129</v>
      </c>
      <c r="E115" s="10">
        <v>167.7</v>
      </c>
      <c r="F115" s="9">
        <f>IF(Tablo1456789101112[[#This Row],[SATIŞ]]=0,"Açık",(E115-D115)*C115)</f>
        <v>386.99999999999989</v>
      </c>
      <c r="G115" s="11">
        <f>Tablo1456789101112[[#This Row],[ADET]]*Tablo1456789101112[[#This Row],[ALIŞ]]</f>
        <v>1290</v>
      </c>
      <c r="H115" s="11">
        <f>Tablo1456789101112[[#This Row],[ADET]]*Tablo1456789101112[[#This Row],[SATIŞ]]</f>
        <v>1677</v>
      </c>
      <c r="J115" s="40" t="str">
        <f t="shared" si="0"/>
        <v/>
      </c>
    </row>
    <row r="116" spans="2:10" ht="21" hidden="1" customHeight="1" x14ac:dyDescent="0.3">
      <c r="B116" s="2">
        <v>45359</v>
      </c>
      <c r="C116" s="6">
        <v>10</v>
      </c>
      <c r="D116" s="10">
        <v>128</v>
      </c>
      <c r="E116" s="10">
        <v>167.7</v>
      </c>
      <c r="F116" s="9">
        <f>IF(Tablo1456789101112[[#This Row],[SATIŞ]]=0,"Açık",(E116-D116)*C116)</f>
        <v>396.99999999999989</v>
      </c>
      <c r="G116" s="11">
        <f>Tablo1456789101112[[#This Row],[ADET]]*Tablo1456789101112[[#This Row],[ALIŞ]]</f>
        <v>1280</v>
      </c>
      <c r="H116" s="11">
        <f>Tablo1456789101112[[#This Row],[ADET]]*Tablo1456789101112[[#This Row],[SATIŞ]]</f>
        <v>1677</v>
      </c>
      <c r="J116" s="40" t="str">
        <f t="shared" si="0"/>
        <v/>
      </c>
    </row>
    <row r="117" spans="2:10" ht="21" hidden="1" customHeight="1" x14ac:dyDescent="0.3">
      <c r="B117" s="2">
        <v>45359</v>
      </c>
      <c r="C117" s="6">
        <v>10</v>
      </c>
      <c r="D117" s="10">
        <v>127</v>
      </c>
      <c r="E117" s="10">
        <v>155</v>
      </c>
      <c r="F117" s="9">
        <f>IF(Tablo1456789101112[[#This Row],[SATIŞ]]=0,"Açık",(E117-D117)*C117)</f>
        <v>280</v>
      </c>
      <c r="G117" s="11">
        <f>Tablo1456789101112[[#This Row],[ADET]]*Tablo1456789101112[[#This Row],[ALIŞ]]</f>
        <v>1270</v>
      </c>
      <c r="H117" s="11">
        <f>Tablo1456789101112[[#This Row],[ADET]]*Tablo1456789101112[[#This Row],[SATIŞ]]</f>
        <v>1550</v>
      </c>
      <c r="J117" s="40" t="str">
        <f t="shared" si="0"/>
        <v/>
      </c>
    </row>
    <row r="118" spans="2:10" ht="21" hidden="1" customHeight="1" x14ac:dyDescent="0.3">
      <c r="B118" s="2">
        <v>45362</v>
      </c>
      <c r="C118" s="6">
        <v>10</v>
      </c>
      <c r="D118" s="10">
        <v>127</v>
      </c>
      <c r="E118" s="10">
        <v>136.1</v>
      </c>
      <c r="F118" s="9">
        <f>IF(Tablo1456789101112[[#This Row],[SATIŞ]]=0,"Açık",(E118-D118)*C118)</f>
        <v>90.999999999999943</v>
      </c>
      <c r="G118" s="11">
        <f>Tablo1456789101112[[#This Row],[ADET]]*Tablo1456789101112[[#This Row],[ALIŞ]]</f>
        <v>1270</v>
      </c>
      <c r="H118" s="11">
        <f>Tablo1456789101112[[#This Row],[ADET]]*Tablo1456789101112[[#This Row],[SATIŞ]]</f>
        <v>1361</v>
      </c>
      <c r="J118" s="40" t="str">
        <f t="shared" si="0"/>
        <v/>
      </c>
    </row>
    <row r="119" spans="2:10" ht="21" hidden="1" customHeight="1" x14ac:dyDescent="0.3">
      <c r="B119" s="2">
        <v>45363</v>
      </c>
      <c r="C119" s="6">
        <v>10</v>
      </c>
      <c r="D119" s="10">
        <v>125</v>
      </c>
      <c r="E119" s="10">
        <v>127</v>
      </c>
      <c r="F119" s="9">
        <f>IF(Tablo1456789101112[[#This Row],[SATIŞ]]=0,"Açık",(E119-D119)*C119)</f>
        <v>20</v>
      </c>
      <c r="G119" s="11">
        <f>Tablo1456789101112[[#This Row],[ADET]]*Tablo1456789101112[[#This Row],[ALIŞ]]</f>
        <v>1250</v>
      </c>
      <c r="H119" s="11">
        <f>Tablo1456789101112[[#This Row],[ADET]]*Tablo1456789101112[[#This Row],[SATIŞ]]</f>
        <v>1270</v>
      </c>
      <c r="J119" s="40" t="str">
        <f t="shared" si="0"/>
        <v/>
      </c>
    </row>
    <row r="120" spans="2:10" ht="21" hidden="1" customHeight="1" x14ac:dyDescent="0.3">
      <c r="B120" s="2">
        <v>45364</v>
      </c>
      <c r="C120" s="6">
        <v>10</v>
      </c>
      <c r="D120" s="10">
        <v>117.3</v>
      </c>
      <c r="E120" s="10">
        <v>121</v>
      </c>
      <c r="F120" s="9">
        <f>IF(Tablo1456789101112[[#This Row],[SATIŞ]]=0,"Açık",(E120-D120)*C120)</f>
        <v>37.000000000000028</v>
      </c>
      <c r="G120" s="11">
        <f>Tablo1456789101112[[#This Row],[ADET]]*Tablo1456789101112[[#This Row],[ALIŞ]]</f>
        <v>1173</v>
      </c>
      <c r="H120" s="11">
        <f>Tablo1456789101112[[#This Row],[ADET]]*Tablo1456789101112[[#This Row],[SATIŞ]]</f>
        <v>1210</v>
      </c>
      <c r="J120" s="40" t="str">
        <f t="shared" si="0"/>
        <v/>
      </c>
    </row>
    <row r="121" spans="2:10" ht="21" hidden="1" customHeight="1" x14ac:dyDescent="0.3">
      <c r="B121" s="2">
        <v>45364</v>
      </c>
      <c r="C121" s="6">
        <v>10</v>
      </c>
      <c r="D121" s="10">
        <v>118</v>
      </c>
      <c r="E121" s="10">
        <v>120</v>
      </c>
      <c r="F121" s="9">
        <f>IF(Tablo1456789101112[[#This Row],[SATIŞ]]=0,"Açık",(E121-D121)*C121)</f>
        <v>20</v>
      </c>
      <c r="G121" s="11">
        <f>Tablo1456789101112[[#This Row],[ADET]]*Tablo1456789101112[[#This Row],[ALIŞ]]</f>
        <v>1180</v>
      </c>
      <c r="H121" s="11">
        <f>Tablo1456789101112[[#This Row],[ADET]]*Tablo1456789101112[[#This Row],[SATIŞ]]</f>
        <v>1200</v>
      </c>
      <c r="J121" s="40" t="str">
        <f t="shared" si="0"/>
        <v/>
      </c>
    </row>
    <row r="122" spans="2:10" ht="21" hidden="1" customHeight="1" x14ac:dyDescent="0.3">
      <c r="B122" s="2">
        <v>45364</v>
      </c>
      <c r="C122" s="6">
        <v>10</v>
      </c>
      <c r="D122" s="10">
        <v>118</v>
      </c>
      <c r="E122" s="10">
        <v>122</v>
      </c>
      <c r="F122" s="9">
        <f>IF(Tablo1456789101112[[#This Row],[SATIŞ]]=0,"Açık",(E122-D122)*C122)</f>
        <v>40</v>
      </c>
      <c r="G122" s="11">
        <f>Tablo1456789101112[[#This Row],[ADET]]*Tablo1456789101112[[#This Row],[ALIŞ]]</f>
        <v>1180</v>
      </c>
      <c r="H122" s="11">
        <f>Tablo1456789101112[[#This Row],[ADET]]*Tablo1456789101112[[#This Row],[SATIŞ]]</f>
        <v>1220</v>
      </c>
      <c r="J122" s="40" t="str">
        <f t="shared" si="0"/>
        <v/>
      </c>
    </row>
    <row r="123" spans="2:10" ht="21" hidden="1" customHeight="1" x14ac:dyDescent="0.3">
      <c r="B123" s="2">
        <v>45364</v>
      </c>
      <c r="C123" s="6">
        <v>10</v>
      </c>
      <c r="D123" s="10">
        <v>119</v>
      </c>
      <c r="E123" s="10">
        <v>123</v>
      </c>
      <c r="F123" s="9">
        <f>IF(Tablo1456789101112[[#This Row],[SATIŞ]]=0,"Açık",(E123-D123)*C123)</f>
        <v>40</v>
      </c>
      <c r="G123" s="11">
        <f>Tablo1456789101112[[#This Row],[ADET]]*Tablo1456789101112[[#This Row],[ALIŞ]]</f>
        <v>1190</v>
      </c>
      <c r="H123" s="11">
        <f>Tablo1456789101112[[#This Row],[ADET]]*Tablo1456789101112[[#This Row],[SATIŞ]]</f>
        <v>1230</v>
      </c>
      <c r="J123" s="40" t="str">
        <f t="shared" si="0"/>
        <v/>
      </c>
    </row>
    <row r="124" spans="2:10" ht="21" hidden="1" customHeight="1" x14ac:dyDescent="0.3">
      <c r="B124" s="2">
        <v>45364</v>
      </c>
      <c r="C124" s="6">
        <v>10</v>
      </c>
      <c r="D124" s="10">
        <v>120</v>
      </c>
      <c r="E124" s="10">
        <v>124</v>
      </c>
      <c r="F124" s="9">
        <f>IF(Tablo1456789101112[[#This Row],[SATIŞ]]=0,"Açık",(E124-D124)*C124)</f>
        <v>40</v>
      </c>
      <c r="G124" s="11">
        <f>Tablo1456789101112[[#This Row],[ADET]]*Tablo1456789101112[[#This Row],[ALIŞ]]</f>
        <v>1200</v>
      </c>
      <c r="H124" s="11">
        <f>Tablo1456789101112[[#This Row],[ADET]]*Tablo1456789101112[[#This Row],[SATIŞ]]</f>
        <v>1240</v>
      </c>
      <c r="J124" s="40" t="str">
        <f t="shared" si="0"/>
        <v/>
      </c>
    </row>
    <row r="125" spans="2:10" ht="21" hidden="1" customHeight="1" x14ac:dyDescent="0.3">
      <c r="B125" s="2">
        <v>45365</v>
      </c>
      <c r="C125" s="6">
        <v>10</v>
      </c>
      <c r="D125" s="10">
        <v>127</v>
      </c>
      <c r="E125" s="10">
        <v>146.4</v>
      </c>
      <c r="F125" s="9">
        <f>IF(Tablo1456789101112[[#This Row],[SATIŞ]]=0,"Açık",(E125-D125)*C125)</f>
        <v>194.00000000000006</v>
      </c>
      <c r="G125" s="11">
        <f>Tablo1456789101112[[#This Row],[ADET]]*Tablo1456789101112[[#This Row],[ALIŞ]]</f>
        <v>1270</v>
      </c>
      <c r="H125" s="11">
        <f>Tablo1456789101112[[#This Row],[ADET]]*Tablo1456789101112[[#This Row],[SATIŞ]]</f>
        <v>1464</v>
      </c>
      <c r="J125" s="40" t="str">
        <f t="shared" si="0"/>
        <v/>
      </c>
    </row>
    <row r="126" spans="2:10" ht="21" customHeight="1" x14ac:dyDescent="0.3">
      <c r="B126" s="2">
        <v>45372</v>
      </c>
      <c r="C126" s="6">
        <v>10</v>
      </c>
      <c r="D126" s="10">
        <v>155</v>
      </c>
      <c r="E126" s="10"/>
      <c r="F126" s="9" t="str">
        <f>IF(Tablo1456789101112[[#This Row],[SATIŞ]]=0,"Açık",(E126-D126)*C126)</f>
        <v>Açık</v>
      </c>
      <c r="G126" s="11">
        <f>Tablo1456789101112[[#This Row],[ADET]]*Tablo1456789101112[[#This Row],[ALIŞ]]</f>
        <v>1550</v>
      </c>
      <c r="H126" s="11">
        <f>Tablo1456789101112[[#This Row],[ADET]]*Tablo1456789101112[[#This Row],[SATIŞ]]</f>
        <v>0</v>
      </c>
      <c r="J126" s="40">
        <f t="shared" si="0"/>
        <v>162.75</v>
      </c>
    </row>
    <row r="127" spans="2:10" ht="21" customHeight="1" x14ac:dyDescent="0.3">
      <c r="B127" s="2">
        <v>45373</v>
      </c>
      <c r="C127" s="6">
        <v>10</v>
      </c>
      <c r="D127" s="10">
        <v>155</v>
      </c>
      <c r="E127" s="10"/>
      <c r="F127" s="9" t="str">
        <f>IF(Tablo1456789101112[[#This Row],[SATIŞ]]=0,"Açık",(E127-D127)*C127)</f>
        <v>Açık</v>
      </c>
      <c r="G127" s="11">
        <f>Tablo1456789101112[[#This Row],[ADET]]*Tablo1456789101112[[#This Row],[ALIŞ]]</f>
        <v>1550</v>
      </c>
      <c r="H127" s="11">
        <f>Tablo1456789101112[[#This Row],[ADET]]*Tablo1456789101112[[#This Row],[SATIŞ]]</f>
        <v>0</v>
      </c>
      <c r="J127" s="40">
        <f t="shared" si="0"/>
        <v>162.75</v>
      </c>
    </row>
    <row r="128" spans="2:10" ht="21" customHeight="1" x14ac:dyDescent="0.3">
      <c r="B128" s="2">
        <v>45376</v>
      </c>
      <c r="C128" s="6">
        <v>10</v>
      </c>
      <c r="D128" s="10">
        <v>146</v>
      </c>
      <c r="E128" s="10"/>
      <c r="F128" s="9" t="str">
        <f>IF(Tablo1456789101112[[#This Row],[SATIŞ]]=0,"Açık",(E128-D128)*C128)</f>
        <v>Açık</v>
      </c>
      <c r="G128" s="11">
        <f>Tablo1456789101112[[#This Row],[ADET]]*Tablo1456789101112[[#This Row],[ALIŞ]]</f>
        <v>1460</v>
      </c>
      <c r="H128" s="11">
        <f>Tablo1456789101112[[#This Row],[ADET]]*Tablo1456789101112[[#This Row],[SATIŞ]]</f>
        <v>0</v>
      </c>
      <c r="J128" s="40">
        <f t="shared" si="0"/>
        <v>153.30000000000001</v>
      </c>
    </row>
    <row r="129" spans="2:10" ht="21" customHeight="1" x14ac:dyDescent="0.3">
      <c r="B129" s="2">
        <v>45377</v>
      </c>
      <c r="C129" s="6">
        <v>10</v>
      </c>
      <c r="D129" s="10">
        <v>147</v>
      </c>
      <c r="E129" s="10"/>
      <c r="F129" s="9" t="str">
        <f>IF(Tablo1456789101112[[#This Row],[SATIŞ]]=0,"Açık",(E129-D129)*C129)</f>
        <v>Açık</v>
      </c>
      <c r="G129" s="11">
        <f>Tablo1456789101112[[#This Row],[ADET]]*Tablo1456789101112[[#This Row],[ALIŞ]]</f>
        <v>1470</v>
      </c>
      <c r="H129" s="11">
        <f>Tablo1456789101112[[#This Row],[ADET]]*Tablo1456789101112[[#This Row],[SATIŞ]]</f>
        <v>0</v>
      </c>
      <c r="J129" s="40">
        <f t="shared" si="0"/>
        <v>154.35</v>
      </c>
    </row>
    <row r="130" spans="2:10" ht="21" customHeight="1" x14ac:dyDescent="0.3">
      <c r="B130" s="2">
        <v>45377</v>
      </c>
      <c r="C130" s="6">
        <v>10</v>
      </c>
      <c r="D130" s="10">
        <v>147.5</v>
      </c>
      <c r="E130" s="10"/>
      <c r="F130" s="9" t="str">
        <f>IF(Tablo1456789101112[[#This Row],[SATIŞ]]=0,"Açık",(E130-D130)*C130)</f>
        <v>Açık</v>
      </c>
      <c r="G130" s="11">
        <f>Tablo1456789101112[[#This Row],[ADET]]*Tablo1456789101112[[#This Row],[ALIŞ]]</f>
        <v>1475</v>
      </c>
      <c r="H130" s="11">
        <f>Tablo1456789101112[[#This Row],[ADET]]*Tablo1456789101112[[#This Row],[SATIŞ]]</f>
        <v>0</v>
      </c>
      <c r="J130" s="40">
        <f t="shared" si="0"/>
        <v>154.875</v>
      </c>
    </row>
    <row r="131" spans="2:10" ht="21" customHeight="1" x14ac:dyDescent="0.3">
      <c r="B131" s="2">
        <v>45377</v>
      </c>
      <c r="C131" s="6">
        <v>10</v>
      </c>
      <c r="D131" s="10">
        <v>147</v>
      </c>
      <c r="E131" s="10"/>
      <c r="F131" s="9" t="str">
        <f>IF(Tablo1456789101112[[#This Row],[SATIŞ]]=0,"Açık",(E131-D131)*C131)</f>
        <v>Açık</v>
      </c>
      <c r="G131" s="11">
        <f>Tablo1456789101112[[#This Row],[ADET]]*Tablo1456789101112[[#This Row],[ALIŞ]]</f>
        <v>1470</v>
      </c>
      <c r="H131" s="11">
        <f>Tablo1456789101112[[#This Row],[ADET]]*Tablo1456789101112[[#This Row],[SATIŞ]]</f>
        <v>0</v>
      </c>
      <c r="J131" s="40">
        <f t="shared" si="0"/>
        <v>154.35</v>
      </c>
    </row>
    <row r="132" spans="2:10" ht="21" customHeight="1" x14ac:dyDescent="0.3">
      <c r="B132" s="2">
        <v>45377</v>
      </c>
      <c r="C132" s="6">
        <v>10</v>
      </c>
      <c r="D132" s="10">
        <v>146.5</v>
      </c>
      <c r="E132" s="10"/>
      <c r="F132" s="9" t="str">
        <f>IF(Tablo1456789101112[[#This Row],[SATIŞ]]=0,"Açık",(E132-D132)*C132)</f>
        <v>Açık</v>
      </c>
      <c r="G132" s="11">
        <f>Tablo1456789101112[[#This Row],[ADET]]*Tablo1456789101112[[#This Row],[ALIŞ]]</f>
        <v>1465</v>
      </c>
      <c r="H132" s="11">
        <f>Tablo1456789101112[[#This Row],[ADET]]*Tablo1456789101112[[#This Row],[SATIŞ]]</f>
        <v>0</v>
      </c>
      <c r="J132" s="40">
        <f t="shared" si="0"/>
        <v>153.82500000000002</v>
      </c>
    </row>
    <row r="133" spans="2:10" ht="21" customHeight="1" x14ac:dyDescent="0.3">
      <c r="B133" s="2">
        <v>45377</v>
      </c>
      <c r="C133" s="6">
        <v>10</v>
      </c>
      <c r="D133" s="10">
        <v>146</v>
      </c>
      <c r="E133" s="10"/>
      <c r="F133" s="9" t="str">
        <f>IF(Tablo1456789101112[[#This Row],[SATIŞ]]=0,"Açık",(E133-D133)*C133)</f>
        <v>Açık</v>
      </c>
      <c r="G133" s="11">
        <f>Tablo1456789101112[[#This Row],[ADET]]*Tablo1456789101112[[#This Row],[ALIŞ]]</f>
        <v>1460</v>
      </c>
      <c r="H133" s="11">
        <f>Tablo1456789101112[[#This Row],[ADET]]*Tablo1456789101112[[#This Row],[SATIŞ]]</f>
        <v>0</v>
      </c>
      <c r="J133" s="40">
        <f t="shared" si="0"/>
        <v>153.30000000000001</v>
      </c>
    </row>
    <row r="134" spans="2:10" ht="21" hidden="1" customHeight="1" x14ac:dyDescent="0.3">
      <c r="B134" s="2">
        <v>45377</v>
      </c>
      <c r="C134" s="6">
        <v>10</v>
      </c>
      <c r="D134" s="10">
        <v>145</v>
      </c>
      <c r="E134" s="10">
        <v>178.9</v>
      </c>
      <c r="F134" s="9">
        <f>IF(Tablo1456789101112[[#This Row],[SATIŞ]]=0,"Açık",(E134-D134)*C134)</f>
        <v>339.00000000000006</v>
      </c>
      <c r="G134" s="11">
        <f>Tablo1456789101112[[#This Row],[ADET]]*Tablo1456789101112[[#This Row],[ALIŞ]]</f>
        <v>1450</v>
      </c>
      <c r="H134" s="11">
        <f>Tablo1456789101112[[#This Row],[ADET]]*Tablo1456789101112[[#This Row],[SATIŞ]]</f>
        <v>1789</v>
      </c>
      <c r="J134" s="40" t="str">
        <f t="shared" si="0"/>
        <v/>
      </c>
    </row>
    <row r="135" spans="2:10" ht="21" hidden="1" customHeight="1" x14ac:dyDescent="0.3">
      <c r="B135" s="2">
        <v>45377</v>
      </c>
      <c r="C135" s="6">
        <v>10</v>
      </c>
      <c r="D135" s="10">
        <v>140</v>
      </c>
      <c r="E135" s="10">
        <v>165.4</v>
      </c>
      <c r="F135" s="9">
        <f>IF(Tablo1456789101112[[#This Row],[SATIŞ]]=0,"Açık",(E135-D135)*C135)</f>
        <v>254.00000000000006</v>
      </c>
      <c r="G135" s="11">
        <f>Tablo1456789101112[[#This Row],[ADET]]*Tablo1456789101112[[#This Row],[ALIŞ]]</f>
        <v>1400</v>
      </c>
      <c r="H135" s="11">
        <f>Tablo1456789101112[[#This Row],[ADET]]*Tablo1456789101112[[#This Row],[SATIŞ]]</f>
        <v>1654</v>
      </c>
      <c r="J135" s="40" t="str">
        <f t="shared" si="0"/>
        <v/>
      </c>
    </row>
    <row r="136" spans="2:10" ht="21" hidden="1" customHeight="1" x14ac:dyDescent="0.3">
      <c r="B136" s="2">
        <v>45378</v>
      </c>
      <c r="C136" s="6">
        <v>10</v>
      </c>
      <c r="D136" s="10">
        <v>135</v>
      </c>
      <c r="E136" s="10">
        <v>145</v>
      </c>
      <c r="F136" s="9">
        <f>IF(Tablo1456789101112[[#This Row],[SATIŞ]]=0,"Açık",(E136-D136)*C136)</f>
        <v>100</v>
      </c>
      <c r="G136" s="11">
        <f>Tablo1456789101112[[#This Row],[ADET]]*Tablo1456789101112[[#This Row],[ALIŞ]]</f>
        <v>1350</v>
      </c>
      <c r="H136" s="11">
        <f>Tablo1456789101112[[#This Row],[ADET]]*Tablo1456789101112[[#This Row],[SATIŞ]]</f>
        <v>1450</v>
      </c>
      <c r="J136" s="40" t="str">
        <f t="shared" si="0"/>
        <v/>
      </c>
    </row>
    <row r="137" spans="2:10" ht="21" hidden="1" customHeight="1" x14ac:dyDescent="0.3">
      <c r="B137" s="2">
        <v>45378</v>
      </c>
      <c r="C137" s="6">
        <v>10</v>
      </c>
      <c r="D137" s="10">
        <v>136.5</v>
      </c>
      <c r="E137" s="10">
        <v>145</v>
      </c>
      <c r="F137" s="9">
        <f>IF(Tablo1456789101112[[#This Row],[SATIŞ]]=0,"Açık",(E137-D137)*C137)</f>
        <v>85</v>
      </c>
      <c r="G137" s="11">
        <f>Tablo1456789101112[[#This Row],[ADET]]*Tablo1456789101112[[#This Row],[ALIŞ]]</f>
        <v>1365</v>
      </c>
      <c r="H137" s="11">
        <f>Tablo1456789101112[[#This Row],[ADET]]*Tablo1456789101112[[#This Row],[SATIŞ]]</f>
        <v>1450</v>
      </c>
      <c r="J137" s="40" t="str">
        <f t="shared" si="0"/>
        <v/>
      </c>
    </row>
    <row r="138" spans="2:10" ht="21" hidden="1" customHeight="1" x14ac:dyDescent="0.3">
      <c r="B138" s="2">
        <v>45380</v>
      </c>
      <c r="C138" s="6">
        <v>10</v>
      </c>
      <c r="D138" s="10">
        <v>142</v>
      </c>
      <c r="E138" s="10">
        <v>167.7</v>
      </c>
      <c r="F138" s="9">
        <f>IF(Tablo1456789101112[[#This Row],[SATIŞ]]=0,"Açık",(E138-D138)*C138)</f>
        <v>256.99999999999989</v>
      </c>
      <c r="G138" s="11">
        <f>Tablo1456789101112[[#This Row],[ADET]]*Tablo1456789101112[[#This Row],[ALIŞ]]</f>
        <v>1420</v>
      </c>
      <c r="H138" s="11">
        <f>Tablo1456789101112[[#This Row],[ADET]]*Tablo1456789101112[[#This Row],[SATIŞ]]</f>
        <v>1677</v>
      </c>
      <c r="J138" s="40" t="str">
        <f t="shared" si="0"/>
        <v/>
      </c>
    </row>
    <row r="139" spans="2:10" ht="21" customHeight="1" x14ac:dyDescent="0.3">
      <c r="B139" s="2">
        <v>45383</v>
      </c>
      <c r="C139" s="6">
        <v>10</v>
      </c>
      <c r="D139" s="10">
        <v>145</v>
      </c>
      <c r="E139" s="10"/>
      <c r="F139" s="9" t="str">
        <f>IF(Tablo1456789101112[[#This Row],[SATIŞ]]=0,"Açık",(E139-D139)*C139)</f>
        <v>Açık</v>
      </c>
      <c r="G139" s="11">
        <f>Tablo1456789101112[[#This Row],[ADET]]*Tablo1456789101112[[#This Row],[ALIŞ]]</f>
        <v>1450</v>
      </c>
      <c r="H139" s="11">
        <f>Tablo1456789101112[[#This Row],[ADET]]*Tablo1456789101112[[#This Row],[SATIŞ]]</f>
        <v>0</v>
      </c>
      <c r="J139" s="40">
        <f t="shared" si="0"/>
        <v>152.25</v>
      </c>
    </row>
    <row r="140" spans="2:10" ht="21" hidden="1" customHeight="1" x14ac:dyDescent="0.3">
      <c r="B140" s="2">
        <v>45383</v>
      </c>
      <c r="C140" s="6">
        <v>20</v>
      </c>
      <c r="D140" s="10">
        <v>140</v>
      </c>
      <c r="E140" s="10">
        <v>158.5</v>
      </c>
      <c r="F140" s="9">
        <f>IF(Tablo1456789101112[[#This Row],[SATIŞ]]=0,"Açık",(E140-D140)*C140)</f>
        <v>370</v>
      </c>
      <c r="G140" s="11">
        <f>Tablo1456789101112[[#This Row],[ADET]]*Tablo1456789101112[[#This Row],[ALIŞ]]</f>
        <v>2800</v>
      </c>
      <c r="H140" s="11">
        <f>Tablo1456789101112[[#This Row],[ADET]]*Tablo1456789101112[[#This Row],[SATIŞ]]</f>
        <v>3170</v>
      </c>
      <c r="J140" s="40" t="str">
        <f t="shared" si="0"/>
        <v/>
      </c>
    </row>
    <row r="141" spans="2:10" ht="21" customHeight="1" x14ac:dyDescent="0.3">
      <c r="B141" s="2">
        <v>45384</v>
      </c>
      <c r="C141" s="6">
        <v>10</v>
      </c>
      <c r="D141" s="10">
        <v>140</v>
      </c>
      <c r="E141" s="10"/>
      <c r="F141" s="9" t="str">
        <f>IF(Tablo1456789101112[[#This Row],[SATIŞ]]=0,"Açık",(E141-D141)*C141)</f>
        <v>Açık</v>
      </c>
      <c r="G141" s="11">
        <f>Tablo1456789101112[[#This Row],[ADET]]*Tablo1456789101112[[#This Row],[ALIŞ]]</f>
        <v>1400</v>
      </c>
      <c r="H141" s="11">
        <f>Tablo1456789101112[[#This Row],[ADET]]*Tablo1456789101112[[#This Row],[SATIŞ]]</f>
        <v>0</v>
      </c>
      <c r="J141" s="40">
        <f t="shared" si="0"/>
        <v>147</v>
      </c>
    </row>
    <row r="142" spans="2:10" ht="21" hidden="1" customHeight="1" x14ac:dyDescent="0.3">
      <c r="B142" s="2">
        <v>45385</v>
      </c>
      <c r="C142" s="6">
        <v>10</v>
      </c>
      <c r="D142" s="10">
        <v>133.19999999999999</v>
      </c>
      <c r="E142" s="10">
        <v>140</v>
      </c>
      <c r="F142" s="9">
        <f>IF(Tablo1456789101112[[#This Row],[SATIŞ]]=0,"Açık",(E142-D142)*C142)</f>
        <v>68.000000000000114</v>
      </c>
      <c r="G142" s="11">
        <f>Tablo1456789101112[[#This Row],[ADET]]*Tablo1456789101112[[#This Row],[ALIŞ]]</f>
        <v>1332</v>
      </c>
      <c r="H142" s="11">
        <f>Tablo1456789101112[[#This Row],[ADET]]*Tablo1456789101112[[#This Row],[SATIŞ]]</f>
        <v>1400</v>
      </c>
      <c r="J142" s="40" t="str">
        <f t="shared" si="0"/>
        <v/>
      </c>
    </row>
    <row r="143" spans="2:10" ht="21" hidden="1" customHeight="1" x14ac:dyDescent="0.3">
      <c r="B143" s="2">
        <v>45385</v>
      </c>
      <c r="C143" s="6">
        <v>10</v>
      </c>
      <c r="D143" s="10">
        <v>135</v>
      </c>
      <c r="E143" s="10">
        <v>142</v>
      </c>
      <c r="F143" s="9">
        <f>IF(Tablo1456789101112[[#This Row],[SATIŞ]]=0,"Açık",(E143-D143)*C143)</f>
        <v>70</v>
      </c>
      <c r="G143" s="11">
        <f>Tablo1456789101112[[#This Row],[ADET]]*Tablo1456789101112[[#This Row],[ALIŞ]]</f>
        <v>1350</v>
      </c>
      <c r="H143" s="11">
        <f>Tablo1456789101112[[#This Row],[ADET]]*Tablo1456789101112[[#This Row],[SATIŞ]]</f>
        <v>1420</v>
      </c>
      <c r="J143" s="40" t="str">
        <f t="shared" si="0"/>
        <v/>
      </c>
    </row>
    <row r="144" spans="2:10" ht="21" customHeight="1" x14ac:dyDescent="0.3">
      <c r="J144" s="40">
        <f t="shared" si="0"/>
        <v>0</v>
      </c>
    </row>
  </sheetData>
  <conditionalFormatting sqref="B4:F143">
    <cfRule type="expression" dxfId="170" priority="1">
      <formula>$F4&lt;0</formula>
    </cfRule>
    <cfRule type="expression" dxfId="169" priority="2">
      <formula>$F4="Açık"</formula>
    </cfRule>
    <cfRule type="expression" dxfId="168" priority="3">
      <formula>$F4&gt;0</formula>
    </cfRule>
  </conditionalFormatting>
  <hyperlinks>
    <hyperlink ref="B1" location="İcmal!A1" display="ANA SAYFA" xr:uid="{C434589C-285B-4BD3-B604-21DE6F368956}"/>
  </hyperlinks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3F503-5BD3-4B46-B4F3-429D1FF02E4F}">
  <dimension ref="B1:R25"/>
  <sheetViews>
    <sheetView showGridLines="0" showZeros="0" zoomScale="110" zoomScaleNormal="110" workbookViewId="0">
      <pane ySplit="3" topLeftCell="A6" activePane="bottomLeft" state="frozen"/>
      <selection pane="bottomLeft" activeCell="E23" sqref="E23"/>
    </sheetView>
  </sheetViews>
  <sheetFormatPr defaultRowHeight="21" customHeight="1" x14ac:dyDescent="0.3"/>
  <cols>
    <col min="2" max="2" width="20.6640625" style="1" customWidth="1"/>
    <col min="3" max="3" width="11.33203125" style="6" customWidth="1"/>
    <col min="4" max="5" width="12.88671875" style="3" customWidth="1"/>
    <col min="6" max="6" width="12.88671875" style="5" customWidth="1"/>
    <col min="7" max="8" width="11.44140625" bestFit="1" customWidth="1"/>
    <col min="10" max="12" width="12.44140625" customWidth="1"/>
    <col min="13" max="13" width="11.6640625" bestFit="1" customWidth="1"/>
    <col min="14" max="14" width="10.6640625" bestFit="1" customWidth="1"/>
  </cols>
  <sheetData>
    <row r="1" spans="2:18" ht="21" customHeight="1" x14ac:dyDescent="0.3">
      <c r="B1" s="12" t="s">
        <v>64</v>
      </c>
      <c r="C1" s="4">
        <f>SUMIF(Tablo145678910111213[KAR],"Açık",Tablo145678910111213[ADET])</f>
        <v>150</v>
      </c>
      <c r="D1" s="10">
        <f>+İcmal!E15</f>
        <v>58</v>
      </c>
      <c r="E1" s="10">
        <f>C1*D1</f>
        <v>8700</v>
      </c>
      <c r="F1" s="10">
        <f>IFERROR(((SUM(Tablo145678910111213[ALIŞ TUTAR])-SUM(Tablo145678910111213[SATIŞ TUTAR]))/C1),"")</f>
        <v>57.314999999999998</v>
      </c>
      <c r="G1" s="10">
        <f>IF(M3=0,L3,C1*(D1-F1))</f>
        <v>102.75000000000034</v>
      </c>
      <c r="J1" s="45" t="s">
        <v>94</v>
      </c>
      <c r="K1" s="45" t="s">
        <v>95</v>
      </c>
      <c r="L1" s="45" t="s">
        <v>96</v>
      </c>
      <c r="M1" s="33">
        <f>F1</f>
        <v>57.314999999999998</v>
      </c>
      <c r="N1" s="8" t="e">
        <f>M1*(1+$J$1)</f>
        <v>#VALUE!</v>
      </c>
      <c r="P1" s="8" t="e">
        <f>Q1*(1-$J$1)</f>
        <v>#VALUE!</v>
      </c>
      <c r="Q1" s="33">
        <f>+D1</f>
        <v>58</v>
      </c>
      <c r="R1" s="8" t="e">
        <f>Q1*(1+$J$1)</f>
        <v>#VALUE!</v>
      </c>
    </row>
    <row r="2" spans="2:18" ht="21" customHeight="1" x14ac:dyDescent="0.3">
      <c r="B2" s="7" t="s">
        <v>22</v>
      </c>
      <c r="J2" s="45">
        <f>SUMIFS(Tablo2[HEDEF2],Tablo2[HİSSE],B2)</f>
        <v>1</v>
      </c>
      <c r="K2" s="45">
        <f>+E1/İcmal!$P$2</f>
        <v>267.44543498309253</v>
      </c>
      <c r="L2" s="45">
        <f>+J2-K2</f>
        <v>-266.44543498309253</v>
      </c>
    </row>
    <row r="3" spans="2:18" ht="21" customHeight="1" x14ac:dyDescent="0.3">
      <c r="B3" s="1" t="s">
        <v>0</v>
      </c>
      <c r="C3" s="6" t="s">
        <v>4</v>
      </c>
      <c r="D3" s="3" t="s">
        <v>1</v>
      </c>
      <c r="E3" s="3" t="s">
        <v>3</v>
      </c>
      <c r="F3" s="5" t="s">
        <v>2</v>
      </c>
      <c r="G3" s="3" t="s">
        <v>8</v>
      </c>
      <c r="H3" s="3" t="s">
        <v>9</v>
      </c>
      <c r="L3" s="33">
        <f>SUM(Tablo145678910111213[KAR])</f>
        <v>1271.5</v>
      </c>
      <c r="M3" s="37">
        <f>+C1</f>
        <v>150</v>
      </c>
    </row>
    <row r="4" spans="2:18" ht="21" hidden="1" customHeight="1" x14ac:dyDescent="0.3">
      <c r="B4" s="2">
        <v>45322</v>
      </c>
      <c r="C4" s="6">
        <v>5</v>
      </c>
      <c r="D4" s="10">
        <v>79.2</v>
      </c>
      <c r="E4" s="10">
        <v>87.1</v>
      </c>
      <c r="F4" s="9">
        <f>IF(Tablo145678910111213[[#This Row],[SATIŞ]]=0,"Açık",(E4-D4)*C4)</f>
        <v>39.499999999999957</v>
      </c>
      <c r="G4" s="11">
        <f>Tablo145678910111213[[#This Row],[ADET]]*Tablo145678910111213[[#This Row],[ALIŞ]]</f>
        <v>396</v>
      </c>
      <c r="H4" s="11">
        <f>Tablo145678910111213[[#This Row],[ADET]]*Tablo145678910111213[[#This Row],[SATIŞ]]</f>
        <v>435.5</v>
      </c>
      <c r="L4" s="8">
        <f>SUM(Tablo145678910111213[ALIŞ TUTAR])</f>
        <v>42164.75</v>
      </c>
      <c r="M4" s="8">
        <f>SUM(Tablo145678910111213[SATIŞ TUTAR])</f>
        <v>33567.5</v>
      </c>
      <c r="N4" s="8">
        <f>L4-M4</f>
        <v>8597.25</v>
      </c>
    </row>
    <row r="5" spans="2:18" ht="21" hidden="1" customHeight="1" x14ac:dyDescent="0.3">
      <c r="B5" s="2">
        <v>45324</v>
      </c>
      <c r="C5" s="6">
        <v>5</v>
      </c>
      <c r="D5" s="10">
        <v>83</v>
      </c>
      <c r="E5" s="10">
        <v>85</v>
      </c>
      <c r="F5" s="9">
        <f>IF(Tablo145678910111213[[#This Row],[SATIŞ]]=0,"Açık",(E5-D5)*C5)</f>
        <v>10</v>
      </c>
      <c r="G5" s="11">
        <f>Tablo145678910111213[[#This Row],[ADET]]*Tablo145678910111213[[#This Row],[ALIŞ]]</f>
        <v>415</v>
      </c>
      <c r="H5" s="11">
        <f>Tablo145678910111213[[#This Row],[ADET]]*Tablo145678910111213[[#This Row],[SATIŞ]]</f>
        <v>425</v>
      </c>
      <c r="N5">
        <f>+N4/80</f>
        <v>107.465625</v>
      </c>
    </row>
    <row r="6" spans="2:18" ht="21" customHeight="1" x14ac:dyDescent="0.3">
      <c r="B6" s="2">
        <v>45329</v>
      </c>
      <c r="C6" s="6">
        <v>5</v>
      </c>
      <c r="D6" s="10">
        <v>89</v>
      </c>
      <c r="E6" s="10"/>
      <c r="F6" s="9" t="str">
        <f>IF(Tablo145678910111213[[#This Row],[SATIŞ]]=0,"Açık",(E6-D6)*C6)</f>
        <v>Açık</v>
      </c>
      <c r="G6" s="11">
        <f>Tablo145678910111213[[#This Row],[ADET]]*Tablo145678910111213[[#This Row],[ALIŞ]]</f>
        <v>445</v>
      </c>
      <c r="H6" s="11">
        <f>Tablo145678910111213[[#This Row],[ADET]]*Tablo145678910111213[[#This Row],[SATIŞ]]</f>
        <v>0</v>
      </c>
      <c r="J6" s="40">
        <f t="shared" ref="J6:J21" si="0">IF(E6=0,D6*1.05,"")</f>
        <v>93.45</v>
      </c>
    </row>
    <row r="7" spans="2:18" ht="21" customHeight="1" x14ac:dyDescent="0.3">
      <c r="B7" s="2">
        <v>45329</v>
      </c>
      <c r="C7" s="6">
        <v>5</v>
      </c>
      <c r="D7" s="10">
        <v>86.5</v>
      </c>
      <c r="E7" s="10"/>
      <c r="F7" s="9" t="str">
        <f>IF(Tablo145678910111213[[#This Row],[SATIŞ]]=0,"Açık",(E7-D7)*C7)</f>
        <v>Açık</v>
      </c>
      <c r="G7" s="11">
        <f>Tablo145678910111213[[#This Row],[ADET]]*Tablo145678910111213[[#This Row],[ALIŞ]]</f>
        <v>432.5</v>
      </c>
      <c r="H7" s="11">
        <f>Tablo145678910111213[[#This Row],[ADET]]*Tablo145678910111213[[#This Row],[SATIŞ]]</f>
        <v>0</v>
      </c>
      <c r="J7" s="40">
        <f t="shared" si="0"/>
        <v>90.825000000000003</v>
      </c>
    </row>
    <row r="8" spans="2:18" ht="21" customHeight="1" x14ac:dyDescent="0.3">
      <c r="B8" s="2">
        <v>45329</v>
      </c>
      <c r="C8" s="6">
        <v>5</v>
      </c>
      <c r="D8" s="10">
        <v>83.5</v>
      </c>
      <c r="E8" s="10"/>
      <c r="F8" s="9" t="str">
        <f>IF(Tablo145678910111213[[#This Row],[SATIŞ]]=0,"Açık",(E8-D8)*C8)</f>
        <v>Açık</v>
      </c>
      <c r="G8" s="11">
        <f>Tablo145678910111213[[#This Row],[ADET]]*Tablo145678910111213[[#This Row],[ALIŞ]]</f>
        <v>417.5</v>
      </c>
      <c r="H8" s="11">
        <f>Tablo145678910111213[[#This Row],[ADET]]*Tablo145678910111213[[#This Row],[SATIŞ]]</f>
        <v>0</v>
      </c>
      <c r="J8" s="40">
        <f t="shared" si="0"/>
        <v>87.674999999999997</v>
      </c>
    </row>
    <row r="9" spans="2:18" ht="21" hidden="1" customHeight="1" x14ac:dyDescent="0.3">
      <c r="B9" s="2">
        <v>45330</v>
      </c>
      <c r="C9" s="6">
        <v>5</v>
      </c>
      <c r="D9" s="10">
        <v>80</v>
      </c>
      <c r="E9" s="10">
        <v>85</v>
      </c>
      <c r="F9" s="9">
        <f>IF(Tablo145678910111213[[#This Row],[SATIŞ]]=0,"Açık",(E9-D9)*C9)</f>
        <v>25</v>
      </c>
      <c r="G9" s="11">
        <f>Tablo145678910111213[[#This Row],[ADET]]*Tablo145678910111213[[#This Row],[ALIŞ]]</f>
        <v>400</v>
      </c>
      <c r="H9" s="11">
        <f>Tablo145678910111213[[#This Row],[ADET]]*Tablo145678910111213[[#This Row],[SATIŞ]]</f>
        <v>425</v>
      </c>
      <c r="J9" s="40" t="str">
        <f t="shared" si="0"/>
        <v/>
      </c>
    </row>
    <row r="10" spans="2:18" ht="21" customHeight="1" x14ac:dyDescent="0.3">
      <c r="B10" s="2">
        <v>45331</v>
      </c>
      <c r="C10" s="6">
        <v>10</v>
      </c>
      <c r="D10" s="10">
        <v>77.5</v>
      </c>
      <c r="E10" s="10"/>
      <c r="F10" s="9" t="str">
        <f>IF(Tablo145678910111213[[#This Row],[SATIŞ]]=0,"Açık",(E10-D10)*C10)</f>
        <v>Açık</v>
      </c>
      <c r="G10" s="11">
        <f>Tablo145678910111213[[#This Row],[ADET]]*Tablo145678910111213[[#This Row],[ALIŞ]]</f>
        <v>775</v>
      </c>
      <c r="H10" s="11">
        <f>Tablo145678910111213[[#This Row],[ADET]]*Tablo145678910111213[[#This Row],[SATIŞ]]</f>
        <v>0</v>
      </c>
      <c r="J10" s="40">
        <f t="shared" si="0"/>
        <v>81.375</v>
      </c>
    </row>
    <row r="11" spans="2:18" ht="21" customHeight="1" x14ac:dyDescent="0.3">
      <c r="B11" s="2">
        <v>45334</v>
      </c>
      <c r="C11" s="6">
        <v>5</v>
      </c>
      <c r="D11" s="10">
        <v>83.75</v>
      </c>
      <c r="E11" s="10"/>
      <c r="F11" s="9" t="str">
        <f>IF(Tablo145678910111213[[#This Row],[SATIŞ]]=0,"Açık",(E11-D11)*C11)</f>
        <v>Açık</v>
      </c>
      <c r="G11" s="11">
        <f>Tablo145678910111213[[#This Row],[ADET]]*Tablo145678910111213[[#This Row],[ALIŞ]]</f>
        <v>418.75</v>
      </c>
      <c r="H11" s="11">
        <f>Tablo145678910111213[[#This Row],[ADET]]*Tablo145678910111213[[#This Row],[SATIŞ]]</f>
        <v>0</v>
      </c>
      <c r="J11" s="40">
        <f t="shared" si="0"/>
        <v>87.9375</v>
      </c>
    </row>
    <row r="12" spans="2:18" ht="21" customHeight="1" x14ac:dyDescent="0.3">
      <c r="B12" s="2">
        <v>45335</v>
      </c>
      <c r="C12" s="6">
        <v>20</v>
      </c>
      <c r="D12" s="10">
        <v>79</v>
      </c>
      <c r="E12" s="10"/>
      <c r="F12" s="9" t="str">
        <f>IF(Tablo145678910111213[[#This Row],[SATIŞ]]=0,"Açık",(E12-D12)*C12)</f>
        <v>Açık</v>
      </c>
      <c r="G12" s="11">
        <f>Tablo145678910111213[[#This Row],[ADET]]*Tablo145678910111213[[#This Row],[ALIŞ]]</f>
        <v>1580</v>
      </c>
      <c r="H12" s="11">
        <f>Tablo145678910111213[[#This Row],[ADET]]*Tablo145678910111213[[#This Row],[SATIŞ]]</f>
        <v>0</v>
      </c>
      <c r="J12" s="40">
        <f t="shared" si="0"/>
        <v>82.95</v>
      </c>
    </row>
    <row r="13" spans="2:18" ht="21" hidden="1" customHeight="1" x14ac:dyDescent="0.3">
      <c r="B13" s="2">
        <v>45359</v>
      </c>
      <c r="C13" s="6">
        <v>100</v>
      </c>
      <c r="D13" s="10">
        <v>65</v>
      </c>
      <c r="E13" s="10">
        <v>66.25</v>
      </c>
      <c r="F13" s="9">
        <f>IF(Tablo145678910111213[[#This Row],[SATIŞ]]=0,"Açık",(E13-D13)*C13)</f>
        <v>125</v>
      </c>
      <c r="G13" s="11">
        <f>Tablo145678910111213[[#This Row],[ADET]]*Tablo145678910111213[[#This Row],[ALIŞ]]</f>
        <v>6500</v>
      </c>
      <c r="H13" s="11">
        <f>Tablo145678910111213[[#This Row],[ADET]]*Tablo145678910111213[[#This Row],[SATIŞ]]</f>
        <v>6625</v>
      </c>
      <c r="J13" s="40" t="str">
        <f t="shared" si="0"/>
        <v/>
      </c>
    </row>
    <row r="14" spans="2:18" ht="21" hidden="1" customHeight="1" x14ac:dyDescent="0.3">
      <c r="B14" s="2">
        <v>45364</v>
      </c>
      <c r="C14" s="6">
        <v>50</v>
      </c>
      <c r="D14" s="10">
        <v>60</v>
      </c>
      <c r="E14" s="10">
        <v>62</v>
      </c>
      <c r="F14" s="9">
        <f>IF(Tablo145678910111213[[#This Row],[SATIŞ]]=0,"Açık",(E14-D14)*C14)</f>
        <v>100</v>
      </c>
      <c r="G14" s="11">
        <f>Tablo145678910111213[[#This Row],[ADET]]*Tablo145678910111213[[#This Row],[ALIŞ]]</f>
        <v>3000</v>
      </c>
      <c r="H14" s="11">
        <f>Tablo145678910111213[[#This Row],[ADET]]*Tablo145678910111213[[#This Row],[SATIŞ]]</f>
        <v>3100</v>
      </c>
      <c r="J14" s="40" t="str">
        <f t="shared" si="0"/>
        <v/>
      </c>
    </row>
    <row r="15" spans="2:18" ht="21" hidden="1" customHeight="1" x14ac:dyDescent="0.3">
      <c r="B15" s="2">
        <v>45370</v>
      </c>
      <c r="C15" s="6">
        <v>50</v>
      </c>
      <c r="D15" s="10">
        <v>59</v>
      </c>
      <c r="E15" s="10">
        <v>60</v>
      </c>
      <c r="F15" s="9">
        <f>IF(Tablo145678910111213[[#This Row],[SATIŞ]]=0,"Açık",(E15-D15)*C15)</f>
        <v>50</v>
      </c>
      <c r="G15" s="11">
        <f>Tablo145678910111213[[#This Row],[ADET]]*Tablo145678910111213[[#This Row],[ALIŞ]]</f>
        <v>2950</v>
      </c>
      <c r="H15" s="11">
        <f>Tablo145678910111213[[#This Row],[ADET]]*Tablo145678910111213[[#This Row],[SATIŞ]]</f>
        <v>3000</v>
      </c>
      <c r="J15" s="40" t="str">
        <f t="shared" si="0"/>
        <v/>
      </c>
    </row>
    <row r="16" spans="2:18" ht="21" hidden="1" customHeight="1" x14ac:dyDescent="0.3">
      <c r="B16" s="2">
        <v>45372</v>
      </c>
      <c r="C16" s="6">
        <v>50</v>
      </c>
      <c r="D16" s="10">
        <v>58</v>
      </c>
      <c r="E16" s="10">
        <v>60</v>
      </c>
      <c r="F16" s="9">
        <f>IF(Tablo145678910111213[[#This Row],[SATIŞ]]=0,"Açık",(E16-D16)*C16)</f>
        <v>100</v>
      </c>
      <c r="G16" s="11">
        <f>Tablo145678910111213[[#This Row],[ADET]]*Tablo145678910111213[[#This Row],[ALIŞ]]</f>
        <v>2900</v>
      </c>
      <c r="H16" s="11">
        <f>Tablo145678910111213[[#This Row],[ADET]]*Tablo145678910111213[[#This Row],[SATIŞ]]</f>
        <v>3000</v>
      </c>
      <c r="J16" s="40" t="str">
        <f t="shared" si="0"/>
        <v/>
      </c>
    </row>
    <row r="17" spans="2:10" ht="21" hidden="1" customHeight="1" x14ac:dyDescent="0.3">
      <c r="B17" s="2">
        <v>45372</v>
      </c>
      <c r="C17" s="6">
        <v>50</v>
      </c>
      <c r="D17" s="10">
        <v>58</v>
      </c>
      <c r="E17" s="10">
        <v>61</v>
      </c>
      <c r="F17" s="9">
        <f>IF(Tablo145678910111213[[#This Row],[SATIŞ]]=0,"Açık",(E17-D17)*C17)</f>
        <v>150</v>
      </c>
      <c r="G17" s="11">
        <f>Tablo145678910111213[[#This Row],[ADET]]*Tablo145678910111213[[#This Row],[ALIŞ]]</f>
        <v>2900</v>
      </c>
      <c r="H17" s="11">
        <f>Tablo145678910111213[[#This Row],[ADET]]*Tablo145678910111213[[#This Row],[SATIŞ]]</f>
        <v>3050</v>
      </c>
      <c r="J17" s="40" t="str">
        <f t="shared" si="0"/>
        <v/>
      </c>
    </row>
    <row r="18" spans="2:10" ht="21" hidden="1" customHeight="1" x14ac:dyDescent="0.3">
      <c r="B18" s="2">
        <v>45376</v>
      </c>
      <c r="C18" s="6">
        <v>50</v>
      </c>
      <c r="D18" s="10">
        <v>58</v>
      </c>
      <c r="E18" s="10">
        <v>58.7</v>
      </c>
      <c r="F18" s="9">
        <f>IF(Tablo145678910111213[[#This Row],[SATIŞ]]=0,"Açık",(E18-D18)*C18)</f>
        <v>35.000000000000142</v>
      </c>
      <c r="G18" s="11">
        <f>Tablo145678910111213[[#This Row],[ADET]]*Tablo145678910111213[[#This Row],[ALIŞ]]</f>
        <v>2900</v>
      </c>
      <c r="H18" s="11">
        <f>Tablo145678910111213[[#This Row],[ADET]]*Tablo145678910111213[[#This Row],[SATIŞ]]</f>
        <v>2935</v>
      </c>
      <c r="J18" s="40" t="str">
        <f t="shared" si="0"/>
        <v/>
      </c>
    </row>
    <row r="19" spans="2:10" ht="21" hidden="1" customHeight="1" x14ac:dyDescent="0.3">
      <c r="B19" s="2">
        <v>45377</v>
      </c>
      <c r="C19" s="6">
        <v>50</v>
      </c>
      <c r="D19" s="10">
        <v>56</v>
      </c>
      <c r="E19" s="10">
        <v>58</v>
      </c>
      <c r="F19" s="9">
        <f>IF(Tablo145678910111213[[#This Row],[SATIŞ]]=0,"Açık",(E19-D19)*C19)</f>
        <v>100</v>
      </c>
      <c r="G19" s="11">
        <f>Tablo145678910111213[[#This Row],[ADET]]*Tablo145678910111213[[#This Row],[ALIŞ]]</f>
        <v>2800</v>
      </c>
      <c r="H19" s="11">
        <f>Tablo145678910111213[[#This Row],[ADET]]*Tablo145678910111213[[#This Row],[SATIŞ]]</f>
        <v>2900</v>
      </c>
      <c r="J19" s="40" t="str">
        <f t="shared" si="0"/>
        <v/>
      </c>
    </row>
    <row r="20" spans="2:10" ht="21" hidden="1" customHeight="1" x14ac:dyDescent="0.3">
      <c r="B20" s="2">
        <v>45383</v>
      </c>
      <c r="C20" s="6">
        <v>10</v>
      </c>
      <c r="D20" s="10">
        <v>55.5</v>
      </c>
      <c r="E20" s="10">
        <v>58.7</v>
      </c>
      <c r="F20" s="9">
        <f>IF(Tablo145678910111213[[#This Row],[SATIŞ]]=0,"Açık",(E20-D20)*C20)</f>
        <v>32.000000000000028</v>
      </c>
      <c r="G20" s="11">
        <f>Tablo145678910111213[[#This Row],[ADET]]*Tablo145678910111213[[#This Row],[ALIŞ]]</f>
        <v>555</v>
      </c>
      <c r="H20" s="11">
        <f>Tablo145678910111213[[#This Row],[ADET]]*Tablo145678910111213[[#This Row],[SATIŞ]]</f>
        <v>587</v>
      </c>
      <c r="J20" s="40" t="str">
        <f t="shared" si="0"/>
        <v/>
      </c>
    </row>
    <row r="21" spans="2:10" ht="21" hidden="1" customHeight="1" x14ac:dyDescent="0.3">
      <c r="B21" s="2">
        <v>45383</v>
      </c>
      <c r="C21" s="6">
        <v>20</v>
      </c>
      <c r="D21" s="10">
        <v>55</v>
      </c>
      <c r="E21" s="10">
        <v>60.25</v>
      </c>
      <c r="F21" s="9">
        <f>IF(Tablo145678910111213[[#This Row],[SATIŞ]]=0,"Açık",(E21-D21)*C21)</f>
        <v>105</v>
      </c>
      <c r="G21" s="11">
        <f>Tablo145678910111213[[#This Row],[ADET]]*Tablo145678910111213[[#This Row],[ALIŞ]]</f>
        <v>1100</v>
      </c>
      <c r="H21" s="11">
        <f>Tablo145678910111213[[#This Row],[ADET]]*Tablo145678910111213[[#This Row],[SATIŞ]]</f>
        <v>1205</v>
      </c>
      <c r="J21" s="40" t="str">
        <f t="shared" si="0"/>
        <v/>
      </c>
    </row>
    <row r="22" spans="2:10" ht="21" hidden="1" customHeight="1" x14ac:dyDescent="0.3">
      <c r="B22" s="2">
        <v>45385</v>
      </c>
      <c r="C22" s="6">
        <v>10</v>
      </c>
      <c r="D22" s="10">
        <v>53</v>
      </c>
      <c r="E22" s="10">
        <v>61</v>
      </c>
      <c r="F22" s="9">
        <f>IF(Tablo145678910111213[[#This Row],[SATIŞ]]=0,"Açık",(E22-D22)*C22)</f>
        <v>80</v>
      </c>
      <c r="G22" s="11">
        <f>Tablo145678910111213[[#This Row],[ADET]]*Tablo145678910111213[[#This Row],[ALIŞ]]</f>
        <v>530</v>
      </c>
      <c r="H22" s="11">
        <f>Tablo145678910111213[[#This Row],[ADET]]*Tablo145678910111213[[#This Row],[SATIŞ]]</f>
        <v>610</v>
      </c>
    </row>
    <row r="23" spans="2:10" ht="21" customHeight="1" x14ac:dyDescent="0.3">
      <c r="B23" s="2">
        <v>45397</v>
      </c>
      <c r="C23" s="6">
        <v>100</v>
      </c>
      <c r="D23" s="10">
        <v>58</v>
      </c>
      <c r="E23" s="10"/>
      <c r="F23" s="9" t="str">
        <f>IF(Tablo145678910111213[[#This Row],[SATIŞ]]=0,"Açık",(E23-D23)*C23)</f>
        <v>Açık</v>
      </c>
      <c r="G23" s="11">
        <f>Tablo145678910111213[[#This Row],[ADET]]*Tablo145678910111213[[#This Row],[ALIŞ]]</f>
        <v>5800</v>
      </c>
      <c r="H23" s="11">
        <f>Tablo145678910111213[[#This Row],[ADET]]*Tablo145678910111213[[#This Row],[SATIŞ]]</f>
        <v>0</v>
      </c>
    </row>
    <row r="24" spans="2:10" ht="21" hidden="1" customHeight="1" x14ac:dyDescent="0.3">
      <c r="B24" s="2">
        <v>45398</v>
      </c>
      <c r="C24" s="6">
        <v>50</v>
      </c>
      <c r="D24" s="10">
        <v>55</v>
      </c>
      <c r="E24" s="10">
        <v>59</v>
      </c>
      <c r="F24" s="9">
        <f>IF(Tablo145678910111213[[#This Row],[SATIŞ]]=0,"Açık",(E24-D24)*C24)</f>
        <v>200</v>
      </c>
      <c r="G24" s="11">
        <f>Tablo145678910111213[[#This Row],[ADET]]*Tablo145678910111213[[#This Row],[ALIŞ]]</f>
        <v>2750</v>
      </c>
      <c r="H24" s="11">
        <f>Tablo145678910111213[[#This Row],[ADET]]*Tablo145678910111213[[#This Row],[SATIŞ]]</f>
        <v>2950</v>
      </c>
    </row>
    <row r="25" spans="2:10" ht="21" hidden="1" customHeight="1" x14ac:dyDescent="0.3">
      <c r="B25" s="2">
        <v>45398</v>
      </c>
      <c r="C25" s="6">
        <v>40</v>
      </c>
      <c r="D25" s="10">
        <v>55</v>
      </c>
      <c r="E25" s="10">
        <v>58</v>
      </c>
      <c r="F25" s="9">
        <f>IF(Tablo145678910111213[[#This Row],[SATIŞ]]=0,"Açık",(E25-D25)*C25)</f>
        <v>120</v>
      </c>
      <c r="G25" s="11">
        <f>Tablo145678910111213[[#This Row],[ADET]]*Tablo145678910111213[[#This Row],[ALIŞ]]</f>
        <v>2200</v>
      </c>
      <c r="H25" s="11">
        <f>Tablo145678910111213[[#This Row],[ADET]]*Tablo145678910111213[[#This Row],[SATIŞ]]</f>
        <v>2320</v>
      </c>
    </row>
  </sheetData>
  <conditionalFormatting sqref="B4:F25">
    <cfRule type="expression" dxfId="167" priority="1">
      <formula>$F4&lt;0</formula>
    </cfRule>
    <cfRule type="expression" dxfId="166" priority="2">
      <formula>$F4="Açık"</formula>
    </cfRule>
    <cfRule type="expression" dxfId="165" priority="3">
      <formula>$F4&gt;0</formula>
    </cfRule>
  </conditionalFormatting>
  <hyperlinks>
    <hyperlink ref="B1" location="İcmal!A1" display="ANA SAYFA" xr:uid="{35CC7064-5249-47B8-B174-745B5FE75FC5}"/>
  </hyperlinks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C4DD7-867B-4E2E-B838-3452A9E510F1}">
  <dimension ref="B1:R36"/>
  <sheetViews>
    <sheetView showGridLines="0" showZeros="0" zoomScale="110" zoomScaleNormal="110" workbookViewId="0">
      <pane ySplit="3" topLeftCell="A4" activePane="bottomLeft" state="frozen"/>
      <selection pane="bottomLeft" activeCell="D37" sqref="D37"/>
    </sheetView>
  </sheetViews>
  <sheetFormatPr defaultRowHeight="21" customHeight="1" x14ac:dyDescent="0.3"/>
  <cols>
    <col min="2" max="2" width="20.6640625" style="1" customWidth="1"/>
    <col min="3" max="3" width="11.33203125" style="6" customWidth="1"/>
    <col min="4" max="5" width="12.88671875" style="3" customWidth="1"/>
    <col min="6" max="6" width="12.88671875" style="5" customWidth="1"/>
    <col min="7" max="8" width="11.44140625" bestFit="1" customWidth="1"/>
    <col min="10" max="12" width="12.44140625" customWidth="1"/>
    <col min="13" max="14" width="11.6640625" bestFit="1" customWidth="1"/>
  </cols>
  <sheetData>
    <row r="1" spans="2:18" ht="21" customHeight="1" x14ac:dyDescent="0.3">
      <c r="B1" s="12" t="s">
        <v>64</v>
      </c>
      <c r="C1" s="4">
        <f>SUMIF(Tablo14567891011121355[KAR],"Açık",Tablo14567891011121355[ADET])</f>
        <v>85</v>
      </c>
      <c r="D1" s="10">
        <f>+İcmal!E16</f>
        <v>305</v>
      </c>
      <c r="E1" s="10">
        <f>C1*D1</f>
        <v>25925</v>
      </c>
      <c r="F1" s="10">
        <f>IFERROR(((SUM(Tablo14567891011121355[ALIŞ TUTAR])-SUM(Tablo14567891011121355[SATIŞ TUTAR]))/C1),"")</f>
        <v>310.01470588235293</v>
      </c>
      <c r="G1" s="10">
        <f>IF(M3=0,L3,C1*(D1-F1))</f>
        <v>-426.24999999999886</v>
      </c>
      <c r="J1" s="45" t="s">
        <v>94</v>
      </c>
      <c r="K1" s="45" t="s">
        <v>95</v>
      </c>
      <c r="L1" s="45" t="s">
        <v>96</v>
      </c>
      <c r="M1" s="33">
        <f>F1</f>
        <v>310.01470588235293</v>
      </c>
      <c r="N1" s="8" t="e">
        <f>M1*(1+$J$1)</f>
        <v>#VALUE!</v>
      </c>
      <c r="P1" s="8" t="e">
        <f>Q1*(1-$J$1)</f>
        <v>#VALUE!</v>
      </c>
      <c r="Q1" s="33">
        <f>+D1</f>
        <v>305</v>
      </c>
      <c r="R1" s="8" t="e">
        <f>Q1*(1+$J$1)</f>
        <v>#VALUE!</v>
      </c>
    </row>
    <row r="2" spans="2:18" ht="21" customHeight="1" x14ac:dyDescent="0.3">
      <c r="B2" s="7" t="s">
        <v>69</v>
      </c>
      <c r="J2" s="45">
        <f>SUMIFS(Tablo2[HEDEF2],Tablo2[HİSSE],B2)</f>
        <v>1000</v>
      </c>
      <c r="K2" s="45">
        <f>+E1/İcmal!$P$2</f>
        <v>796.95665539501999</v>
      </c>
      <c r="L2" s="45">
        <f>+J2-K2</f>
        <v>203.04334460498001</v>
      </c>
    </row>
    <row r="3" spans="2:18" ht="21" customHeight="1" x14ac:dyDescent="0.3">
      <c r="B3" s="1" t="s">
        <v>0</v>
      </c>
      <c r="C3" s="6" t="s">
        <v>4</v>
      </c>
      <c r="D3" s="3" t="s">
        <v>1</v>
      </c>
      <c r="E3" s="3" t="s">
        <v>3</v>
      </c>
      <c r="F3" s="5" t="s">
        <v>2</v>
      </c>
      <c r="G3" s="3" t="s">
        <v>8</v>
      </c>
      <c r="H3" s="3" t="s">
        <v>9</v>
      </c>
      <c r="L3" s="33">
        <f>SUM(Tablo14567891011121355[KAR])</f>
        <v>2608.75</v>
      </c>
      <c r="M3" s="37">
        <f>+C1</f>
        <v>85</v>
      </c>
    </row>
    <row r="4" spans="2:18" ht="21" customHeight="1" x14ac:dyDescent="0.3">
      <c r="B4" s="2">
        <v>45334</v>
      </c>
      <c r="C4" s="6">
        <v>10</v>
      </c>
      <c r="D4" s="10">
        <v>361</v>
      </c>
      <c r="E4" s="10"/>
      <c r="F4" s="9" t="str">
        <f>IF(Tablo14567891011121355[[#This Row],[SATIŞ]]=0,"Açık",(E4-D4)*C4)</f>
        <v>Açık</v>
      </c>
      <c r="G4" s="11">
        <f>Tablo14567891011121355[[#This Row],[ADET]]*Tablo14567891011121355[[#This Row],[ALIŞ]]</f>
        <v>3610</v>
      </c>
      <c r="H4" s="11">
        <f>Tablo14567891011121355[[#This Row],[ADET]]*Tablo14567891011121355[[#This Row],[SATIŞ]]</f>
        <v>0</v>
      </c>
      <c r="J4" s="40">
        <f t="shared" ref="J4:J22" si="0">IF(E4=0,D4*1.05,"")</f>
        <v>379.05</v>
      </c>
      <c r="L4" s="8">
        <f>SUM(Tablo14567891011121355[ALIŞ TUTAR])</f>
        <v>99981.25</v>
      </c>
      <c r="M4" s="8">
        <f>SUM(Tablo14567891011121355[SATIŞ TUTAR])</f>
        <v>73630</v>
      </c>
      <c r="N4" s="8">
        <f>L4-M4</f>
        <v>26351.25</v>
      </c>
    </row>
    <row r="5" spans="2:18" ht="21" customHeight="1" x14ac:dyDescent="0.3">
      <c r="B5" s="2">
        <v>45334</v>
      </c>
      <c r="C5" s="6">
        <v>15</v>
      </c>
      <c r="D5" s="10">
        <v>360</v>
      </c>
      <c r="E5" s="10"/>
      <c r="F5" s="9" t="str">
        <f>IF(Tablo14567891011121355[[#This Row],[SATIŞ]]=0,"Açık",(E5-D5)*C5)</f>
        <v>Açık</v>
      </c>
      <c r="G5" s="11">
        <f>Tablo14567891011121355[[#This Row],[ADET]]*Tablo14567891011121355[[#This Row],[ALIŞ]]</f>
        <v>5400</v>
      </c>
      <c r="H5" s="11">
        <f>Tablo14567891011121355[[#This Row],[ADET]]*Tablo14567891011121355[[#This Row],[SATIŞ]]</f>
        <v>0</v>
      </c>
      <c r="J5" s="40">
        <f t="shared" si="0"/>
        <v>378</v>
      </c>
      <c r="N5">
        <f>+N4/80</f>
        <v>329.390625</v>
      </c>
    </row>
    <row r="6" spans="2:18" ht="21" customHeight="1" x14ac:dyDescent="0.3">
      <c r="B6" s="2">
        <v>45335</v>
      </c>
      <c r="C6" s="6">
        <v>15</v>
      </c>
      <c r="D6" s="10">
        <v>350</v>
      </c>
      <c r="E6" s="10"/>
      <c r="F6" s="9" t="str">
        <f>IF(Tablo14567891011121355[[#This Row],[SATIŞ]]=0,"Açık",(E6-D6)*C6)</f>
        <v>Açık</v>
      </c>
      <c r="G6" s="11">
        <f>Tablo14567891011121355[[#This Row],[ADET]]*Tablo14567891011121355[[#This Row],[ALIŞ]]</f>
        <v>5250</v>
      </c>
      <c r="H6" s="11">
        <f>Tablo14567891011121355[[#This Row],[ADET]]*Tablo14567891011121355[[#This Row],[SATIŞ]]</f>
        <v>0</v>
      </c>
      <c r="J6" s="40">
        <f t="shared" si="0"/>
        <v>367.5</v>
      </c>
    </row>
    <row r="7" spans="2:18" ht="21" customHeight="1" x14ac:dyDescent="0.3">
      <c r="B7" s="2">
        <v>45335</v>
      </c>
      <c r="C7" s="6">
        <v>15</v>
      </c>
      <c r="D7" s="10">
        <v>340</v>
      </c>
      <c r="E7" s="10"/>
      <c r="F7" s="9" t="str">
        <f>IF(Tablo14567891011121355[[#This Row],[SATIŞ]]=0,"Açık",(E7-D7)*C7)</f>
        <v>Açık</v>
      </c>
      <c r="G7" s="11">
        <f>Tablo14567891011121355[[#This Row],[ADET]]*Tablo14567891011121355[[#This Row],[ALIŞ]]</f>
        <v>5100</v>
      </c>
      <c r="H7" s="11">
        <f>Tablo14567891011121355[[#This Row],[ADET]]*Tablo14567891011121355[[#This Row],[SATIŞ]]</f>
        <v>0</v>
      </c>
      <c r="J7" s="40">
        <f t="shared" si="0"/>
        <v>357</v>
      </c>
    </row>
    <row r="8" spans="2:18" ht="21" hidden="1" customHeight="1" x14ac:dyDescent="0.3">
      <c r="B8" s="2">
        <v>45336</v>
      </c>
      <c r="C8" s="6">
        <v>5</v>
      </c>
      <c r="D8" s="10">
        <v>335</v>
      </c>
      <c r="E8" s="10">
        <v>345</v>
      </c>
      <c r="F8" s="9">
        <f>IF(Tablo14567891011121355[[#This Row],[SATIŞ]]=0,"Açık",(E8-D8)*C8)</f>
        <v>50</v>
      </c>
      <c r="G8" s="11">
        <f>Tablo14567891011121355[[#This Row],[ADET]]*Tablo14567891011121355[[#This Row],[ALIŞ]]</f>
        <v>1675</v>
      </c>
      <c r="H8" s="11">
        <f>Tablo14567891011121355[[#This Row],[ADET]]*Tablo14567891011121355[[#This Row],[SATIŞ]]</f>
        <v>1725</v>
      </c>
      <c r="J8" s="40" t="str">
        <f t="shared" si="0"/>
        <v/>
      </c>
    </row>
    <row r="9" spans="2:18" ht="21" hidden="1" customHeight="1" x14ac:dyDescent="0.3">
      <c r="B9" s="2">
        <v>45336</v>
      </c>
      <c r="C9" s="6">
        <v>5</v>
      </c>
      <c r="D9" s="10">
        <v>335</v>
      </c>
      <c r="E9" s="10">
        <v>340</v>
      </c>
      <c r="F9" s="9">
        <f>IF(Tablo14567891011121355[[#This Row],[SATIŞ]]=0,"Açık",(E9-D9)*C9)</f>
        <v>25</v>
      </c>
      <c r="G9" s="11">
        <f>Tablo14567891011121355[[#This Row],[ADET]]*Tablo14567891011121355[[#This Row],[ALIŞ]]</f>
        <v>1675</v>
      </c>
      <c r="H9" s="11">
        <f>Tablo14567891011121355[[#This Row],[ADET]]*Tablo14567891011121355[[#This Row],[SATIŞ]]</f>
        <v>1700</v>
      </c>
      <c r="J9" s="40" t="str">
        <f t="shared" si="0"/>
        <v/>
      </c>
    </row>
    <row r="10" spans="2:18" ht="21" hidden="1" customHeight="1" x14ac:dyDescent="0.3">
      <c r="B10" s="2">
        <v>45341</v>
      </c>
      <c r="C10" s="6">
        <v>5</v>
      </c>
      <c r="D10" s="10">
        <v>335</v>
      </c>
      <c r="E10" s="10">
        <v>345</v>
      </c>
      <c r="F10" s="9">
        <f>IF(Tablo14567891011121355[[#This Row],[SATIŞ]]=0,"Açık",(E10-D10)*C10)</f>
        <v>50</v>
      </c>
      <c r="G10" s="11">
        <f>Tablo14567891011121355[[#This Row],[ADET]]*Tablo14567891011121355[[#This Row],[ALIŞ]]</f>
        <v>1675</v>
      </c>
      <c r="H10" s="11">
        <f>Tablo14567891011121355[[#This Row],[ADET]]*Tablo14567891011121355[[#This Row],[SATIŞ]]</f>
        <v>1725</v>
      </c>
      <c r="J10" s="40" t="str">
        <f t="shared" si="0"/>
        <v/>
      </c>
    </row>
    <row r="11" spans="2:18" ht="21" hidden="1" customHeight="1" x14ac:dyDescent="0.3">
      <c r="B11" s="2">
        <v>45341</v>
      </c>
      <c r="C11" s="6">
        <v>10</v>
      </c>
      <c r="D11" s="10">
        <v>330</v>
      </c>
      <c r="E11" s="10">
        <v>335</v>
      </c>
      <c r="F11" s="9">
        <f>IF(Tablo14567891011121355[[#This Row],[SATIŞ]]=0,"Açık",(E11-D11)*C11)</f>
        <v>50</v>
      </c>
      <c r="G11" s="11">
        <f>Tablo14567891011121355[[#This Row],[ADET]]*Tablo14567891011121355[[#This Row],[ALIŞ]]</f>
        <v>3300</v>
      </c>
      <c r="H11" s="11">
        <f>Tablo14567891011121355[[#This Row],[ADET]]*Tablo14567891011121355[[#This Row],[SATIŞ]]</f>
        <v>3350</v>
      </c>
      <c r="J11" s="40" t="str">
        <f t="shared" si="0"/>
        <v/>
      </c>
    </row>
    <row r="12" spans="2:18" ht="21" hidden="1" customHeight="1" x14ac:dyDescent="0.3">
      <c r="B12" s="2">
        <v>45341</v>
      </c>
      <c r="C12" s="6">
        <v>10</v>
      </c>
      <c r="D12" s="10">
        <v>325</v>
      </c>
      <c r="E12" s="10">
        <v>330</v>
      </c>
      <c r="F12" s="9">
        <f>IF(Tablo14567891011121355[[#This Row],[SATIŞ]]=0,"Açık",(E12-D12)*C12)</f>
        <v>50</v>
      </c>
      <c r="G12" s="11">
        <f>Tablo14567891011121355[[#This Row],[ADET]]*Tablo14567891011121355[[#This Row],[ALIŞ]]</f>
        <v>3250</v>
      </c>
      <c r="H12" s="11">
        <f>Tablo14567891011121355[[#This Row],[ADET]]*Tablo14567891011121355[[#This Row],[SATIŞ]]</f>
        <v>3300</v>
      </c>
      <c r="J12" s="40" t="str">
        <f t="shared" si="0"/>
        <v/>
      </c>
    </row>
    <row r="13" spans="2:18" ht="21" customHeight="1" x14ac:dyDescent="0.3">
      <c r="B13" s="2">
        <v>45348</v>
      </c>
      <c r="C13" s="6">
        <v>10</v>
      </c>
      <c r="D13" s="10">
        <v>325</v>
      </c>
      <c r="E13" s="10"/>
      <c r="F13" s="9" t="str">
        <f>IF(Tablo14567891011121355[[#This Row],[SATIŞ]]=0,"Açık",(E13-D13)*C13)</f>
        <v>Açık</v>
      </c>
      <c r="G13" s="11">
        <f>Tablo14567891011121355[[#This Row],[ADET]]*Tablo14567891011121355[[#This Row],[ALIŞ]]</f>
        <v>3250</v>
      </c>
      <c r="H13" s="11">
        <f>Tablo14567891011121355[[#This Row],[ADET]]*Tablo14567891011121355[[#This Row],[SATIŞ]]</f>
        <v>0</v>
      </c>
      <c r="J13" s="40">
        <f t="shared" si="0"/>
        <v>341.25</v>
      </c>
    </row>
    <row r="14" spans="2:18" ht="21" customHeight="1" x14ac:dyDescent="0.3">
      <c r="B14" s="2">
        <v>45349</v>
      </c>
      <c r="C14" s="6">
        <v>10</v>
      </c>
      <c r="D14" s="10">
        <v>320</v>
      </c>
      <c r="E14" s="10"/>
      <c r="F14" s="9" t="str">
        <f>IF(Tablo14567891011121355[[#This Row],[SATIŞ]]=0,"Açık",(E14-D14)*C14)</f>
        <v>Açık</v>
      </c>
      <c r="G14" s="11">
        <f>Tablo14567891011121355[[#This Row],[ADET]]*Tablo14567891011121355[[#This Row],[ALIŞ]]</f>
        <v>3200</v>
      </c>
      <c r="H14" s="11">
        <f>Tablo14567891011121355[[#This Row],[ADET]]*Tablo14567891011121355[[#This Row],[SATIŞ]]</f>
        <v>0</v>
      </c>
      <c r="J14" s="40">
        <f t="shared" si="0"/>
        <v>336</v>
      </c>
    </row>
    <row r="15" spans="2:18" ht="21" customHeight="1" x14ac:dyDescent="0.3">
      <c r="B15" s="2">
        <v>45349</v>
      </c>
      <c r="C15" s="6">
        <v>10</v>
      </c>
      <c r="D15" s="10">
        <v>315</v>
      </c>
      <c r="E15" s="10"/>
      <c r="F15" s="9" t="str">
        <f>IF(Tablo14567891011121355[[#This Row],[SATIŞ]]=0,"Açık",(E15-D15)*C15)</f>
        <v>Açık</v>
      </c>
      <c r="G15" s="11">
        <f>Tablo14567891011121355[[#This Row],[ADET]]*Tablo14567891011121355[[#This Row],[ALIŞ]]</f>
        <v>3150</v>
      </c>
      <c r="H15" s="11">
        <f>Tablo14567891011121355[[#This Row],[ADET]]*Tablo14567891011121355[[#This Row],[SATIŞ]]</f>
        <v>0</v>
      </c>
      <c r="J15" s="40">
        <f t="shared" si="0"/>
        <v>330.75</v>
      </c>
    </row>
    <row r="16" spans="2:18" ht="21" hidden="1" customHeight="1" x14ac:dyDescent="0.3">
      <c r="B16" s="2">
        <v>45355</v>
      </c>
      <c r="C16" s="6">
        <v>10</v>
      </c>
      <c r="D16" s="10">
        <v>300</v>
      </c>
      <c r="E16" s="10">
        <v>310</v>
      </c>
      <c r="F16" s="9">
        <f>IF(Tablo14567891011121355[[#This Row],[SATIŞ]]=0,"Açık",(E16-D16)*C16)</f>
        <v>100</v>
      </c>
      <c r="G16" s="11">
        <f>Tablo14567891011121355[[#This Row],[ADET]]*Tablo14567891011121355[[#This Row],[ALIŞ]]</f>
        <v>3000</v>
      </c>
      <c r="H16" s="11">
        <f>Tablo14567891011121355[[#This Row],[ADET]]*Tablo14567891011121355[[#This Row],[SATIŞ]]</f>
        <v>3100</v>
      </c>
      <c r="J16" s="40" t="str">
        <f t="shared" si="0"/>
        <v/>
      </c>
    </row>
    <row r="17" spans="2:10" ht="21" hidden="1" customHeight="1" x14ac:dyDescent="0.3">
      <c r="B17" s="2">
        <v>45359</v>
      </c>
      <c r="C17" s="6">
        <v>10</v>
      </c>
      <c r="D17" s="10">
        <v>290</v>
      </c>
      <c r="E17" s="10">
        <v>310</v>
      </c>
      <c r="F17" s="9">
        <f>IF(Tablo14567891011121355[[#This Row],[SATIŞ]]=0,"Açık",(E17-D17)*C17)</f>
        <v>200</v>
      </c>
      <c r="G17" s="11">
        <f>Tablo14567891011121355[[#This Row],[ADET]]*Tablo14567891011121355[[#This Row],[ALIŞ]]</f>
        <v>2900</v>
      </c>
      <c r="H17" s="11">
        <f>Tablo14567891011121355[[#This Row],[ADET]]*Tablo14567891011121355[[#This Row],[SATIŞ]]</f>
        <v>3100</v>
      </c>
      <c r="J17" s="40" t="str">
        <f t="shared" si="0"/>
        <v/>
      </c>
    </row>
    <row r="18" spans="2:10" ht="21" hidden="1" customHeight="1" x14ac:dyDescent="0.3">
      <c r="B18" s="2">
        <v>45363</v>
      </c>
      <c r="C18" s="6">
        <v>10</v>
      </c>
      <c r="D18" s="10">
        <v>280</v>
      </c>
      <c r="E18" s="10">
        <v>290</v>
      </c>
      <c r="F18" s="9">
        <f>IF(Tablo14567891011121355[[#This Row],[SATIŞ]]=0,"Açık",(E18-D18)*C18)</f>
        <v>100</v>
      </c>
      <c r="G18" s="11">
        <f>Tablo14567891011121355[[#This Row],[ADET]]*Tablo14567891011121355[[#This Row],[ALIŞ]]</f>
        <v>2800</v>
      </c>
      <c r="H18" s="11">
        <f>Tablo14567891011121355[[#This Row],[ADET]]*Tablo14567891011121355[[#This Row],[SATIŞ]]</f>
        <v>2900</v>
      </c>
      <c r="J18" s="40" t="str">
        <f t="shared" si="0"/>
        <v/>
      </c>
    </row>
    <row r="19" spans="2:10" ht="21" hidden="1" customHeight="1" x14ac:dyDescent="0.3">
      <c r="B19" s="2">
        <v>45369</v>
      </c>
      <c r="C19" s="6">
        <v>10</v>
      </c>
      <c r="D19" s="10">
        <v>283</v>
      </c>
      <c r="E19" s="10">
        <v>301.5</v>
      </c>
      <c r="F19" s="9">
        <f>IF(Tablo14567891011121355[[#This Row],[SATIŞ]]=0,"Açık",(E19-D19)*C19)</f>
        <v>185</v>
      </c>
      <c r="G19" s="11">
        <f>Tablo14567891011121355[[#This Row],[ADET]]*Tablo14567891011121355[[#This Row],[ALIŞ]]</f>
        <v>2830</v>
      </c>
      <c r="H19" s="11">
        <f>Tablo14567891011121355[[#This Row],[ADET]]*Tablo14567891011121355[[#This Row],[SATIŞ]]</f>
        <v>3015</v>
      </c>
      <c r="J19" s="40" t="str">
        <f t="shared" si="0"/>
        <v/>
      </c>
    </row>
    <row r="20" spans="2:10" ht="21" hidden="1" customHeight="1" x14ac:dyDescent="0.3">
      <c r="B20" s="2">
        <v>45369</v>
      </c>
      <c r="C20" s="6">
        <v>10</v>
      </c>
      <c r="D20" s="10">
        <v>273.25</v>
      </c>
      <c r="E20" s="10">
        <v>280</v>
      </c>
      <c r="F20" s="9">
        <f>IF(Tablo14567891011121355[[#This Row],[SATIŞ]]=0,"Açık",(E20-D20)*C20)</f>
        <v>67.5</v>
      </c>
      <c r="G20" s="11">
        <f>Tablo14567891011121355[[#This Row],[ADET]]*Tablo14567891011121355[[#This Row],[ALIŞ]]</f>
        <v>2732.5</v>
      </c>
      <c r="H20" s="11">
        <f>Tablo14567891011121355[[#This Row],[ADET]]*Tablo14567891011121355[[#This Row],[SATIŞ]]</f>
        <v>2800</v>
      </c>
      <c r="J20" s="40" t="str">
        <f t="shared" si="0"/>
        <v/>
      </c>
    </row>
    <row r="21" spans="2:10" ht="21" hidden="1" customHeight="1" x14ac:dyDescent="0.3">
      <c r="B21" s="2">
        <v>45372</v>
      </c>
      <c r="C21" s="6">
        <v>10</v>
      </c>
      <c r="D21" s="10">
        <v>270</v>
      </c>
      <c r="E21" s="10">
        <v>295</v>
      </c>
      <c r="F21" s="9">
        <f>IF(Tablo14567891011121355[[#This Row],[SATIŞ]]=0,"Açık",(E21-D21)*C21)</f>
        <v>250</v>
      </c>
      <c r="G21" s="11">
        <f>Tablo14567891011121355[[#This Row],[ADET]]*Tablo14567891011121355[[#This Row],[ALIŞ]]</f>
        <v>2700</v>
      </c>
      <c r="H21" s="11">
        <f>Tablo14567891011121355[[#This Row],[ADET]]*Tablo14567891011121355[[#This Row],[SATIŞ]]</f>
        <v>2950</v>
      </c>
      <c r="J21" s="40" t="str">
        <f t="shared" si="0"/>
        <v/>
      </c>
    </row>
    <row r="22" spans="2:10" ht="21" hidden="1" customHeight="1" x14ac:dyDescent="0.3">
      <c r="B22" s="2">
        <v>45377</v>
      </c>
      <c r="C22" s="6">
        <v>10</v>
      </c>
      <c r="D22" s="10">
        <v>265</v>
      </c>
      <c r="E22" s="10">
        <v>280</v>
      </c>
      <c r="F22" s="9">
        <f>IF(Tablo14567891011121355[[#This Row],[SATIŞ]]=0,"Açık",(E22-D22)*C22)</f>
        <v>150</v>
      </c>
      <c r="G22" s="11">
        <f>Tablo14567891011121355[[#This Row],[ADET]]*Tablo14567891011121355[[#This Row],[ALIŞ]]</f>
        <v>2650</v>
      </c>
      <c r="H22" s="11">
        <f>Tablo14567891011121355[[#This Row],[ADET]]*Tablo14567891011121355[[#This Row],[SATIŞ]]</f>
        <v>2800</v>
      </c>
      <c r="J22" s="40" t="str">
        <f t="shared" si="0"/>
        <v/>
      </c>
    </row>
    <row r="23" spans="2:10" ht="21" hidden="1" customHeight="1" x14ac:dyDescent="0.3">
      <c r="B23" s="2">
        <v>45378</v>
      </c>
      <c r="C23" s="6">
        <v>10</v>
      </c>
      <c r="D23" s="10">
        <v>260</v>
      </c>
      <c r="E23" s="10">
        <v>273</v>
      </c>
      <c r="F23" s="9">
        <f>IF(Tablo14567891011121355[[#This Row],[SATIŞ]]=0,"Açık",(E23-D23)*C23)</f>
        <v>130</v>
      </c>
      <c r="G23" s="11">
        <f>Tablo14567891011121355[[#This Row],[ADET]]*Tablo14567891011121355[[#This Row],[ALIŞ]]</f>
        <v>2600</v>
      </c>
      <c r="H23" s="11">
        <f>Tablo14567891011121355[[#This Row],[ADET]]*Tablo14567891011121355[[#This Row],[SATIŞ]]</f>
        <v>2730</v>
      </c>
    </row>
    <row r="24" spans="2:10" ht="21" hidden="1" customHeight="1" x14ac:dyDescent="0.3">
      <c r="B24" s="2">
        <v>45383</v>
      </c>
      <c r="C24" s="6">
        <v>10</v>
      </c>
      <c r="D24" s="10">
        <v>285</v>
      </c>
      <c r="E24" s="10">
        <v>292</v>
      </c>
      <c r="F24" s="9">
        <f>IF(Tablo14567891011121355[[#This Row],[SATIŞ]]=0,"Açık",(E24-D24)*C24)</f>
        <v>70</v>
      </c>
      <c r="G24" s="11">
        <f>Tablo14567891011121355[[#This Row],[ADET]]*Tablo14567891011121355[[#This Row],[ALIŞ]]</f>
        <v>2850</v>
      </c>
      <c r="H24" s="11">
        <f>Tablo14567891011121355[[#This Row],[ADET]]*Tablo14567891011121355[[#This Row],[SATIŞ]]</f>
        <v>2920</v>
      </c>
    </row>
    <row r="25" spans="2:10" ht="21" hidden="1" customHeight="1" x14ac:dyDescent="0.3">
      <c r="B25" s="2">
        <v>45384</v>
      </c>
      <c r="C25" s="6">
        <v>10</v>
      </c>
      <c r="D25" s="10">
        <v>273.25</v>
      </c>
      <c r="E25" s="10">
        <v>280</v>
      </c>
      <c r="F25" s="9">
        <f>IF(Tablo14567891011121355[[#This Row],[SATIŞ]]=0,"Açık",(E25-D25)*C25)</f>
        <v>67.5</v>
      </c>
      <c r="G25" s="11">
        <f>Tablo14567891011121355[[#This Row],[ADET]]*Tablo14567891011121355[[#This Row],[ALIŞ]]</f>
        <v>2732.5</v>
      </c>
      <c r="H25" s="11">
        <f>Tablo14567891011121355[[#This Row],[ADET]]*Tablo14567891011121355[[#This Row],[SATIŞ]]</f>
        <v>2800</v>
      </c>
    </row>
    <row r="26" spans="2:10" ht="21" hidden="1" customHeight="1" x14ac:dyDescent="0.3">
      <c r="B26" s="2">
        <v>45384</v>
      </c>
      <c r="C26" s="6">
        <v>20</v>
      </c>
      <c r="D26" s="10">
        <v>273.25</v>
      </c>
      <c r="E26" s="10">
        <v>275</v>
      </c>
      <c r="F26" s="9">
        <f>IF(Tablo14567891011121355[[#This Row],[SATIŞ]]=0,"Açık",(E26-D26)*C26)</f>
        <v>35</v>
      </c>
      <c r="G26" s="11">
        <f>Tablo14567891011121355[[#This Row],[ADET]]*Tablo14567891011121355[[#This Row],[ALIŞ]]</f>
        <v>5465</v>
      </c>
      <c r="H26" s="11">
        <f>Tablo14567891011121355[[#This Row],[ADET]]*Tablo14567891011121355[[#This Row],[SATIŞ]]</f>
        <v>5500</v>
      </c>
    </row>
    <row r="27" spans="2:10" ht="21" hidden="1" customHeight="1" x14ac:dyDescent="0.3">
      <c r="B27" s="2">
        <v>45385</v>
      </c>
      <c r="C27" s="6">
        <v>10</v>
      </c>
      <c r="D27" s="10">
        <v>265</v>
      </c>
      <c r="E27" s="10">
        <v>270</v>
      </c>
      <c r="F27" s="9">
        <f>IF(Tablo14567891011121355[[#This Row],[SATIŞ]]=0,"Açık",(E27-D27)*C27)</f>
        <v>50</v>
      </c>
      <c r="G27" s="11">
        <f>Tablo14567891011121355[[#This Row],[ADET]]*Tablo14567891011121355[[#This Row],[ALIŞ]]</f>
        <v>2650</v>
      </c>
      <c r="H27" s="11">
        <f>Tablo14567891011121355[[#This Row],[ADET]]*Tablo14567891011121355[[#This Row],[SATIŞ]]</f>
        <v>2700</v>
      </c>
    </row>
    <row r="28" spans="2:10" ht="21" hidden="1" customHeight="1" x14ac:dyDescent="0.3">
      <c r="B28" s="2">
        <v>45384</v>
      </c>
      <c r="C28" s="6">
        <v>10</v>
      </c>
      <c r="D28" s="10">
        <v>273.25</v>
      </c>
      <c r="E28" s="10">
        <v>280</v>
      </c>
      <c r="F28" s="9">
        <f>IF(Tablo14567891011121355[[#This Row],[SATIŞ]]=0,"Açık",(E28-D28)*C28)</f>
        <v>67.5</v>
      </c>
      <c r="G28" s="11">
        <f>Tablo14567891011121355[[#This Row],[ADET]]*Tablo14567891011121355[[#This Row],[ALIŞ]]</f>
        <v>2732.5</v>
      </c>
      <c r="H28" s="11">
        <f>Tablo14567891011121355[[#This Row],[ADET]]*Tablo14567891011121355[[#This Row],[SATIŞ]]</f>
        <v>2800</v>
      </c>
    </row>
    <row r="29" spans="2:10" ht="21" hidden="1" customHeight="1" x14ac:dyDescent="0.3">
      <c r="B29" s="2">
        <v>45384</v>
      </c>
      <c r="C29" s="6">
        <v>10</v>
      </c>
      <c r="D29" s="10">
        <v>273.25</v>
      </c>
      <c r="E29" s="10">
        <v>282</v>
      </c>
      <c r="F29" s="9">
        <f>IF(Tablo14567891011121355[[#This Row],[SATIŞ]]=0,"Açık",(E29-D29)*C29)</f>
        <v>87.5</v>
      </c>
      <c r="G29" s="11">
        <f>Tablo14567891011121355[[#This Row],[ADET]]*Tablo14567891011121355[[#This Row],[ALIŞ]]</f>
        <v>2732.5</v>
      </c>
      <c r="H29" s="11">
        <f>Tablo14567891011121355[[#This Row],[ADET]]*Tablo14567891011121355[[#This Row],[SATIŞ]]</f>
        <v>2820</v>
      </c>
    </row>
    <row r="30" spans="2:10" ht="21" hidden="1" customHeight="1" x14ac:dyDescent="0.3">
      <c r="B30" s="2">
        <v>45384</v>
      </c>
      <c r="C30" s="6">
        <v>10</v>
      </c>
      <c r="D30" s="10">
        <v>273.25</v>
      </c>
      <c r="E30" s="10">
        <v>285</v>
      </c>
      <c r="F30" s="9">
        <f>IF(Tablo14567891011121355[[#This Row],[SATIŞ]]=0,"Açık",(E30-D30)*C30)</f>
        <v>117.5</v>
      </c>
      <c r="G30" s="11">
        <f>Tablo14567891011121355[[#This Row],[ADET]]*Tablo14567891011121355[[#This Row],[ALIŞ]]</f>
        <v>2732.5</v>
      </c>
      <c r="H30" s="11">
        <f>Tablo14567891011121355[[#This Row],[ADET]]*Tablo14567891011121355[[#This Row],[SATIŞ]]</f>
        <v>2850</v>
      </c>
    </row>
    <row r="31" spans="2:10" ht="21" hidden="1" customHeight="1" x14ac:dyDescent="0.3">
      <c r="B31" s="2">
        <v>45384</v>
      </c>
      <c r="C31" s="6">
        <v>10</v>
      </c>
      <c r="D31" s="10">
        <v>273.25</v>
      </c>
      <c r="E31" s="10">
        <v>287</v>
      </c>
      <c r="F31" s="9">
        <f>IF(Tablo14567891011121355[[#This Row],[SATIŞ]]=0,"Açık",(E31-D31)*C31)</f>
        <v>137.5</v>
      </c>
      <c r="G31" s="11">
        <f>Tablo14567891011121355[[#This Row],[ADET]]*Tablo14567891011121355[[#This Row],[ALIŞ]]</f>
        <v>2732.5</v>
      </c>
      <c r="H31" s="11">
        <f>Tablo14567891011121355[[#This Row],[ADET]]*Tablo14567891011121355[[#This Row],[SATIŞ]]</f>
        <v>2870</v>
      </c>
    </row>
    <row r="32" spans="2:10" ht="21" hidden="1" customHeight="1" x14ac:dyDescent="0.3">
      <c r="B32" s="2">
        <v>45384</v>
      </c>
      <c r="C32" s="6">
        <v>10</v>
      </c>
      <c r="D32" s="10">
        <v>273.25</v>
      </c>
      <c r="E32" s="10">
        <v>289</v>
      </c>
      <c r="F32" s="9">
        <f>IF(Tablo14567891011121355[[#This Row],[SATIŞ]]=0,"Açık",(E32-D32)*C32)</f>
        <v>157.5</v>
      </c>
      <c r="G32" s="11">
        <f>Tablo14567891011121355[[#This Row],[ADET]]*Tablo14567891011121355[[#This Row],[ALIŞ]]</f>
        <v>2732.5</v>
      </c>
      <c r="H32" s="11">
        <f>Tablo14567891011121355[[#This Row],[ADET]]*Tablo14567891011121355[[#This Row],[SATIŞ]]</f>
        <v>2890</v>
      </c>
    </row>
    <row r="33" spans="2:8" ht="21" hidden="1" customHeight="1" x14ac:dyDescent="0.3">
      <c r="B33" s="2">
        <v>45384</v>
      </c>
      <c r="C33" s="6">
        <v>10</v>
      </c>
      <c r="D33" s="10">
        <v>273.25</v>
      </c>
      <c r="E33" s="10">
        <v>290</v>
      </c>
      <c r="F33" s="9">
        <f>IF(Tablo14567891011121355[[#This Row],[SATIŞ]]=0,"Açık",(E33-D33)*C33)</f>
        <v>167.5</v>
      </c>
      <c r="G33" s="11">
        <f>Tablo14567891011121355[[#This Row],[ADET]]*Tablo14567891011121355[[#This Row],[ALIŞ]]</f>
        <v>2732.5</v>
      </c>
      <c r="H33" s="11">
        <f>Tablo14567891011121355[[#This Row],[ADET]]*Tablo14567891011121355[[#This Row],[SATIŞ]]</f>
        <v>2900</v>
      </c>
    </row>
    <row r="34" spans="2:8" ht="21" hidden="1" customHeight="1" x14ac:dyDescent="0.3">
      <c r="B34" s="2">
        <v>45384</v>
      </c>
      <c r="C34" s="6">
        <v>10</v>
      </c>
      <c r="D34" s="10">
        <v>273.25</v>
      </c>
      <c r="E34" s="10">
        <v>291</v>
      </c>
      <c r="F34" s="9">
        <f>IF(Tablo14567891011121355[[#This Row],[SATIŞ]]=0,"Açık",(E34-D34)*C34)</f>
        <v>177.5</v>
      </c>
      <c r="G34" s="11">
        <f>Tablo14567891011121355[[#This Row],[ADET]]*Tablo14567891011121355[[#This Row],[ALIŞ]]</f>
        <v>2732.5</v>
      </c>
      <c r="H34" s="11">
        <f>Tablo14567891011121355[[#This Row],[ADET]]*Tablo14567891011121355[[#This Row],[SATIŞ]]</f>
        <v>2910</v>
      </c>
    </row>
    <row r="35" spans="2:8" ht="21" hidden="1" customHeight="1" x14ac:dyDescent="0.3">
      <c r="B35" s="2">
        <v>45400</v>
      </c>
      <c r="C35" s="6">
        <v>10</v>
      </c>
      <c r="D35" s="10">
        <v>291</v>
      </c>
      <c r="E35" s="10">
        <v>297.5</v>
      </c>
      <c r="F35" s="9">
        <f>IF(Tablo14567891011121355[[#This Row],[SATIŞ]]=0,"Açık",(E35-D35)*C35)</f>
        <v>65</v>
      </c>
      <c r="G35" s="11">
        <f>Tablo14567891011121355[[#This Row],[ADET]]*Tablo14567891011121355[[#This Row],[ALIŞ]]</f>
        <v>2910</v>
      </c>
      <c r="H35" s="11">
        <f>Tablo14567891011121355[[#This Row],[ADET]]*Tablo14567891011121355[[#This Row],[SATIŞ]]</f>
        <v>2975</v>
      </c>
    </row>
    <row r="36" spans="2:8" ht="21" hidden="1" customHeight="1" x14ac:dyDescent="0.3">
      <c r="B36" s="2">
        <v>45401</v>
      </c>
      <c r="C36" s="6">
        <v>5</v>
      </c>
      <c r="D36" s="10">
        <v>299.75</v>
      </c>
      <c r="E36" s="10">
        <v>300</v>
      </c>
      <c r="F36" s="9">
        <f>IF(Tablo14567891011121355[[#This Row],[SATIŞ]]=0,"Açık",(E36-D36)*C36)</f>
        <v>1.25</v>
      </c>
      <c r="G36" s="11">
        <f>Tablo14567891011121355[[#This Row],[ADET]]*Tablo14567891011121355[[#This Row],[ALIŞ]]</f>
        <v>1498.75</v>
      </c>
      <c r="H36" s="11">
        <f>Tablo14567891011121355[[#This Row],[ADET]]*Tablo14567891011121355[[#This Row],[SATIŞ]]</f>
        <v>1500</v>
      </c>
    </row>
  </sheetData>
  <conditionalFormatting sqref="B4:F36">
    <cfRule type="expression" dxfId="164" priority="1">
      <formula>$F4&lt;0</formula>
    </cfRule>
    <cfRule type="expression" dxfId="163" priority="2">
      <formula>$F4="Açık"</formula>
    </cfRule>
    <cfRule type="expression" dxfId="162" priority="3">
      <formula>$F4&gt;0</formula>
    </cfRule>
  </conditionalFormatting>
  <hyperlinks>
    <hyperlink ref="B1" location="İcmal!A1" display="ANA SAYFA" xr:uid="{2368F70E-7FA6-4A35-8C30-89EF1938F353}"/>
  </hyperlinks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168CF-5B3C-42FB-B2C0-EE794FFCBC43}">
  <dimension ref="B1:R75"/>
  <sheetViews>
    <sheetView showGridLines="0" showZeros="0" zoomScale="110" zoomScaleNormal="110" workbookViewId="0">
      <pane ySplit="3" topLeftCell="A10" activePane="bottomLeft" state="frozen"/>
      <selection pane="bottomLeft" activeCell="E76" sqref="E76"/>
    </sheetView>
  </sheetViews>
  <sheetFormatPr defaultRowHeight="21" customHeight="1" x14ac:dyDescent="0.3"/>
  <cols>
    <col min="2" max="2" width="20.6640625" style="1" customWidth="1"/>
    <col min="3" max="3" width="11.33203125" style="6" customWidth="1"/>
    <col min="4" max="5" width="12.88671875" style="3" customWidth="1"/>
    <col min="6" max="6" width="12.88671875" style="5" customWidth="1"/>
    <col min="7" max="8" width="11.44140625" bestFit="1" customWidth="1"/>
    <col min="10" max="12" width="12.44140625" customWidth="1"/>
    <col min="13" max="14" width="11.6640625" bestFit="1" customWidth="1"/>
  </cols>
  <sheetData>
    <row r="1" spans="2:18" ht="21" customHeight="1" x14ac:dyDescent="0.3">
      <c r="B1" s="12" t="s">
        <v>64</v>
      </c>
      <c r="C1" s="4">
        <f>SUMIF(Tablo1456789101112135556[KAR],"Açık",Tablo1456789101112135556[ADET])</f>
        <v>400</v>
      </c>
      <c r="D1" s="10">
        <f>+İcmal!E17</f>
        <v>73.900000000000006</v>
      </c>
      <c r="E1" s="10">
        <f>C1*D1</f>
        <v>29560.000000000004</v>
      </c>
      <c r="F1" s="10">
        <f>IFERROR(((SUM(Tablo1456789101112135556[ALIŞ TUTAR])-SUM(Tablo1456789101112135556[SATIŞ TUTAR]))/C1),"")</f>
        <v>79.012500000000003</v>
      </c>
      <c r="G1" s="10">
        <f>SUM(Tablo1456789101112135556[KAR])+C1*(D1-F1)</f>
        <v>-645.99999999999886</v>
      </c>
      <c r="J1" s="45" t="s">
        <v>94</v>
      </c>
      <c r="K1" s="45" t="s">
        <v>95</v>
      </c>
      <c r="L1" s="45" t="s">
        <v>96</v>
      </c>
      <c r="M1" s="33">
        <f>F1</f>
        <v>79.012500000000003</v>
      </c>
      <c r="N1" s="8" t="e">
        <f>M1*(1+$J$1)</f>
        <v>#VALUE!</v>
      </c>
      <c r="P1" s="8" t="e">
        <f>Q1*(1-$J$1)</f>
        <v>#VALUE!</v>
      </c>
      <c r="Q1" s="33">
        <f>+D1</f>
        <v>73.900000000000006</v>
      </c>
      <c r="R1" s="8" t="e">
        <f>Q1*(1+$J$1)</f>
        <v>#VALUE!</v>
      </c>
    </row>
    <row r="2" spans="2:18" ht="21" customHeight="1" x14ac:dyDescent="0.3">
      <c r="B2" s="7" t="s">
        <v>79</v>
      </c>
      <c r="J2" s="45">
        <f>SUMIFS(Tablo2[HEDEF2],Tablo2[HİSSE],B2)</f>
        <v>1000</v>
      </c>
      <c r="K2" s="45">
        <f>+E1/İcmal!$P$2</f>
        <v>908.69966185059957</v>
      </c>
      <c r="L2" s="45">
        <f>+J2-K2</f>
        <v>91.300338149400432</v>
      </c>
    </row>
    <row r="3" spans="2:18" ht="21" customHeight="1" x14ac:dyDescent="0.3">
      <c r="B3" s="1" t="s">
        <v>0</v>
      </c>
      <c r="C3" s="6" t="s">
        <v>4</v>
      </c>
      <c r="D3" s="3" t="s">
        <v>1</v>
      </c>
      <c r="E3" s="3" t="s">
        <v>3</v>
      </c>
      <c r="F3" s="5" t="s">
        <v>2</v>
      </c>
      <c r="G3" s="3" t="s">
        <v>8</v>
      </c>
      <c r="H3" s="3" t="s">
        <v>9</v>
      </c>
    </row>
    <row r="4" spans="2:18" ht="21" customHeight="1" x14ac:dyDescent="0.3">
      <c r="B4" s="2">
        <v>45341</v>
      </c>
      <c r="C4" s="6">
        <v>20</v>
      </c>
      <c r="D4" s="10">
        <v>90</v>
      </c>
      <c r="E4" s="10"/>
      <c r="F4" s="9" t="str">
        <f>IF(Tablo1456789101112135556[[#This Row],[SATIŞ]]=0,"Açık",(E4-D4)*C4)</f>
        <v>Açık</v>
      </c>
      <c r="G4" s="11">
        <f>Tablo1456789101112135556[[#This Row],[ADET]]*Tablo1456789101112135556[[#This Row],[ALIŞ]]</f>
        <v>1800</v>
      </c>
      <c r="H4" s="11">
        <f>Tablo1456789101112135556[[#This Row],[ADET]]*Tablo1456789101112135556[[#This Row],[SATIŞ]]</f>
        <v>0</v>
      </c>
      <c r="J4" s="40">
        <f t="shared" ref="J4:J35" si="0">IF(E4=0,D4*1.05,"")</f>
        <v>94.5</v>
      </c>
      <c r="L4" s="8">
        <f>SUM(Tablo1456789101112135556[ALIŞ TUTAR])</f>
        <v>122525</v>
      </c>
      <c r="M4" s="8">
        <f>SUM(Tablo1456789101112135556[SATIŞ TUTAR])</f>
        <v>90920</v>
      </c>
      <c r="N4" s="8">
        <f>L4-M4</f>
        <v>31605</v>
      </c>
    </row>
    <row r="5" spans="2:18" ht="21" customHeight="1" x14ac:dyDescent="0.3">
      <c r="B5" s="2">
        <v>45341</v>
      </c>
      <c r="C5" s="6">
        <v>20</v>
      </c>
      <c r="D5" s="10">
        <v>90</v>
      </c>
      <c r="E5" s="10"/>
      <c r="F5" s="9" t="str">
        <f>IF(Tablo1456789101112135556[[#This Row],[SATIŞ]]=0,"Açık",(E5-D5)*C5)</f>
        <v>Açık</v>
      </c>
      <c r="G5" s="11">
        <f>Tablo1456789101112135556[[#This Row],[ADET]]*Tablo1456789101112135556[[#This Row],[ALIŞ]]</f>
        <v>1800</v>
      </c>
      <c r="H5" s="11">
        <f>Tablo1456789101112135556[[#This Row],[ADET]]*Tablo1456789101112135556[[#This Row],[SATIŞ]]</f>
        <v>0</v>
      </c>
      <c r="J5" s="40">
        <f t="shared" si="0"/>
        <v>94.5</v>
      </c>
      <c r="N5">
        <f>+N4/80</f>
        <v>395.0625</v>
      </c>
    </row>
    <row r="6" spans="2:18" ht="21" customHeight="1" x14ac:dyDescent="0.3">
      <c r="B6" s="2">
        <v>45341</v>
      </c>
      <c r="C6" s="6">
        <v>20</v>
      </c>
      <c r="D6" s="10">
        <v>89</v>
      </c>
      <c r="E6" s="10"/>
      <c r="F6" s="9" t="str">
        <f>IF(Tablo1456789101112135556[[#This Row],[SATIŞ]]=0,"Açık",(E6-D6)*C6)</f>
        <v>Açık</v>
      </c>
      <c r="G6" s="11">
        <f>Tablo1456789101112135556[[#This Row],[ADET]]*Tablo1456789101112135556[[#This Row],[ALIŞ]]</f>
        <v>1780</v>
      </c>
      <c r="H6" s="11">
        <f>Tablo1456789101112135556[[#This Row],[ADET]]*Tablo1456789101112135556[[#This Row],[SATIŞ]]</f>
        <v>0</v>
      </c>
      <c r="J6" s="40">
        <f t="shared" si="0"/>
        <v>93.45</v>
      </c>
    </row>
    <row r="7" spans="2:18" ht="21" customHeight="1" x14ac:dyDescent="0.3">
      <c r="B7" s="2">
        <v>45341</v>
      </c>
      <c r="C7" s="6">
        <v>20</v>
      </c>
      <c r="D7" s="10">
        <v>87</v>
      </c>
      <c r="E7" s="10"/>
      <c r="F7" s="9" t="str">
        <f>IF(Tablo1456789101112135556[[#This Row],[SATIŞ]]=0,"Açık",(E7-D7)*C7)</f>
        <v>Açık</v>
      </c>
      <c r="G7" s="11">
        <f>Tablo1456789101112135556[[#This Row],[ADET]]*Tablo1456789101112135556[[#This Row],[ALIŞ]]</f>
        <v>1740</v>
      </c>
      <c r="H7" s="11">
        <f>Tablo1456789101112135556[[#This Row],[ADET]]*Tablo1456789101112135556[[#This Row],[SATIŞ]]</f>
        <v>0</v>
      </c>
      <c r="J7" s="40">
        <f t="shared" si="0"/>
        <v>91.350000000000009</v>
      </c>
    </row>
    <row r="8" spans="2:18" ht="21" customHeight="1" x14ac:dyDescent="0.3">
      <c r="B8" s="2">
        <v>45342</v>
      </c>
      <c r="C8" s="6">
        <v>40</v>
      </c>
      <c r="D8" s="10">
        <v>85.9</v>
      </c>
      <c r="E8" s="10"/>
      <c r="F8" s="9" t="str">
        <f>IF(Tablo1456789101112135556[[#This Row],[SATIŞ]]=0,"Açık",(E8-D8)*C8)</f>
        <v>Açık</v>
      </c>
      <c r="G8" s="11">
        <f>Tablo1456789101112135556[[#This Row],[ADET]]*Tablo1456789101112135556[[#This Row],[ALIŞ]]</f>
        <v>3436</v>
      </c>
      <c r="H8" s="11">
        <f>Tablo1456789101112135556[[#This Row],[ADET]]*Tablo1456789101112135556[[#This Row],[SATIŞ]]</f>
        <v>0</v>
      </c>
      <c r="J8" s="40">
        <f t="shared" si="0"/>
        <v>90.195000000000007</v>
      </c>
    </row>
    <row r="9" spans="2:18" ht="21" customHeight="1" x14ac:dyDescent="0.3">
      <c r="B9" s="2">
        <v>45343</v>
      </c>
      <c r="C9" s="6">
        <v>40</v>
      </c>
      <c r="D9" s="10">
        <v>85</v>
      </c>
      <c r="E9" s="10"/>
      <c r="F9" s="9" t="str">
        <f>IF(Tablo1456789101112135556[[#This Row],[SATIŞ]]=0,"Açık",(E9-D9)*C9)</f>
        <v>Açık</v>
      </c>
      <c r="G9" s="11">
        <f>Tablo1456789101112135556[[#This Row],[ADET]]*Tablo1456789101112135556[[#This Row],[ALIŞ]]</f>
        <v>3400</v>
      </c>
      <c r="H9" s="11">
        <f>Tablo1456789101112135556[[#This Row],[ADET]]*Tablo1456789101112135556[[#This Row],[SATIŞ]]</f>
        <v>0</v>
      </c>
      <c r="J9" s="40">
        <f t="shared" si="0"/>
        <v>89.25</v>
      </c>
    </row>
    <row r="10" spans="2:18" ht="21" customHeight="1" x14ac:dyDescent="0.3">
      <c r="B10" s="2">
        <v>45344</v>
      </c>
      <c r="C10" s="6">
        <v>40</v>
      </c>
      <c r="D10" s="10">
        <v>83</v>
      </c>
      <c r="E10" s="10"/>
      <c r="F10" s="9" t="str">
        <f>IF(Tablo1456789101112135556[[#This Row],[SATIŞ]]=0,"Açık",(E10-D10)*C10)</f>
        <v>Açık</v>
      </c>
      <c r="G10" s="11">
        <f>Tablo1456789101112135556[[#This Row],[ADET]]*Tablo1456789101112135556[[#This Row],[ALIŞ]]</f>
        <v>3320</v>
      </c>
      <c r="H10" s="11">
        <f>Tablo1456789101112135556[[#This Row],[ADET]]*Tablo1456789101112135556[[#This Row],[SATIŞ]]</f>
        <v>0</v>
      </c>
      <c r="J10" s="40">
        <f t="shared" si="0"/>
        <v>87.15</v>
      </c>
    </row>
    <row r="11" spans="2:18" ht="21" customHeight="1" x14ac:dyDescent="0.3">
      <c r="B11" s="2">
        <v>45345</v>
      </c>
      <c r="C11" s="6">
        <v>40</v>
      </c>
      <c r="D11" s="10">
        <v>82</v>
      </c>
      <c r="E11" s="10"/>
      <c r="F11" s="9" t="str">
        <f>IF(Tablo1456789101112135556[[#This Row],[SATIŞ]]=0,"Açık",(E11-D11)*C11)</f>
        <v>Açık</v>
      </c>
      <c r="G11" s="11">
        <f>Tablo1456789101112135556[[#This Row],[ADET]]*Tablo1456789101112135556[[#This Row],[ALIŞ]]</f>
        <v>3280</v>
      </c>
      <c r="H11" s="11">
        <f>Tablo1456789101112135556[[#This Row],[ADET]]*Tablo1456789101112135556[[#This Row],[SATIŞ]]</f>
        <v>0</v>
      </c>
      <c r="J11" s="40">
        <f t="shared" si="0"/>
        <v>86.100000000000009</v>
      </c>
    </row>
    <row r="12" spans="2:18" ht="21" customHeight="1" x14ac:dyDescent="0.3">
      <c r="B12" s="2">
        <v>45349</v>
      </c>
      <c r="C12" s="6">
        <v>20</v>
      </c>
      <c r="D12" s="10">
        <v>79.3</v>
      </c>
      <c r="E12" s="10"/>
      <c r="F12" s="9" t="str">
        <f>IF(Tablo1456789101112135556[[#This Row],[SATIŞ]]=0,"Açık",(E12-D12)*C12)</f>
        <v>Açık</v>
      </c>
      <c r="G12" s="11">
        <f>Tablo1456789101112135556[[#This Row],[ADET]]*Tablo1456789101112135556[[#This Row],[ALIŞ]]</f>
        <v>1586</v>
      </c>
      <c r="H12" s="11">
        <f>Tablo1456789101112135556[[#This Row],[ADET]]*Tablo1456789101112135556[[#This Row],[SATIŞ]]</f>
        <v>0</v>
      </c>
      <c r="J12" s="40">
        <f t="shared" si="0"/>
        <v>83.265000000000001</v>
      </c>
    </row>
    <row r="13" spans="2:18" ht="21" hidden="1" customHeight="1" x14ac:dyDescent="0.3">
      <c r="B13" s="2">
        <v>45349</v>
      </c>
      <c r="C13" s="6">
        <v>20</v>
      </c>
      <c r="D13" s="10">
        <v>79.3</v>
      </c>
      <c r="E13" s="10">
        <v>81</v>
      </c>
      <c r="F13" s="9">
        <f>IF(Tablo1456789101112135556[[#This Row],[SATIŞ]]=0,"Açık",(E13-D13)*C13)</f>
        <v>34.000000000000057</v>
      </c>
      <c r="G13" s="11">
        <f>Tablo1456789101112135556[[#This Row],[ADET]]*Tablo1456789101112135556[[#This Row],[ALIŞ]]</f>
        <v>1586</v>
      </c>
      <c r="H13" s="11">
        <f>Tablo1456789101112135556[[#This Row],[ADET]]*Tablo1456789101112135556[[#This Row],[SATIŞ]]</f>
        <v>1620</v>
      </c>
      <c r="J13" s="40" t="str">
        <f t="shared" si="0"/>
        <v/>
      </c>
    </row>
    <row r="14" spans="2:18" ht="21" hidden="1" customHeight="1" x14ac:dyDescent="0.3">
      <c r="B14" s="2">
        <v>45349</v>
      </c>
      <c r="C14" s="6">
        <v>40</v>
      </c>
      <c r="D14" s="10">
        <v>78</v>
      </c>
      <c r="E14" s="10">
        <v>80.75</v>
      </c>
      <c r="F14" s="9">
        <f>IF(Tablo1456789101112135556[[#This Row],[SATIŞ]]=0,"Açık",(E14-D14)*C14)</f>
        <v>110</v>
      </c>
      <c r="G14" s="11">
        <f>Tablo1456789101112135556[[#This Row],[ADET]]*Tablo1456789101112135556[[#This Row],[ALIŞ]]</f>
        <v>3120</v>
      </c>
      <c r="H14" s="11">
        <f>Tablo1456789101112135556[[#This Row],[ADET]]*Tablo1456789101112135556[[#This Row],[SATIŞ]]</f>
        <v>3230</v>
      </c>
      <c r="J14" s="40" t="str">
        <f t="shared" si="0"/>
        <v/>
      </c>
    </row>
    <row r="15" spans="2:18" ht="21" hidden="1" customHeight="1" x14ac:dyDescent="0.3">
      <c r="B15" s="2">
        <v>45349</v>
      </c>
      <c r="C15" s="6">
        <v>20</v>
      </c>
      <c r="D15" s="10">
        <v>78</v>
      </c>
      <c r="E15" s="10">
        <v>81</v>
      </c>
      <c r="F15" s="9">
        <f>IF(Tablo1456789101112135556[[#This Row],[SATIŞ]]=0,"Açık",(E15-D15)*C15)</f>
        <v>60</v>
      </c>
      <c r="G15" s="11">
        <f>Tablo1456789101112135556[[#This Row],[ADET]]*Tablo1456789101112135556[[#This Row],[ALIŞ]]</f>
        <v>1560</v>
      </c>
      <c r="H15" s="11">
        <f>Tablo1456789101112135556[[#This Row],[ADET]]*Tablo1456789101112135556[[#This Row],[SATIŞ]]</f>
        <v>1620</v>
      </c>
      <c r="J15" s="40" t="str">
        <f t="shared" si="0"/>
        <v/>
      </c>
    </row>
    <row r="16" spans="2:18" ht="21" hidden="1" customHeight="1" x14ac:dyDescent="0.3">
      <c r="B16" s="2">
        <v>45349</v>
      </c>
      <c r="C16" s="6">
        <v>20</v>
      </c>
      <c r="D16" s="10">
        <v>78</v>
      </c>
      <c r="E16" s="10">
        <v>80.5</v>
      </c>
      <c r="F16" s="9">
        <f>IF(Tablo1456789101112135556[[#This Row],[SATIŞ]]=0,"Açık",(E16-D16)*C16)</f>
        <v>50</v>
      </c>
      <c r="G16" s="11">
        <f>Tablo1456789101112135556[[#This Row],[ADET]]*Tablo1456789101112135556[[#This Row],[ALIŞ]]</f>
        <v>1560</v>
      </c>
      <c r="H16" s="11">
        <f>Tablo1456789101112135556[[#This Row],[ADET]]*Tablo1456789101112135556[[#This Row],[SATIŞ]]</f>
        <v>1610</v>
      </c>
      <c r="J16" s="40" t="str">
        <f t="shared" si="0"/>
        <v/>
      </c>
    </row>
    <row r="17" spans="2:10" ht="21" hidden="1" customHeight="1" x14ac:dyDescent="0.3">
      <c r="B17" s="2">
        <v>45349</v>
      </c>
      <c r="C17" s="6">
        <v>40</v>
      </c>
      <c r="D17" s="10">
        <v>78</v>
      </c>
      <c r="E17" s="10">
        <v>79</v>
      </c>
      <c r="F17" s="9">
        <f>IF(Tablo1456789101112135556[[#This Row],[SATIŞ]]=0,"Açık",(E17-D17)*C17)</f>
        <v>40</v>
      </c>
      <c r="G17" s="11">
        <f>Tablo1456789101112135556[[#This Row],[ADET]]*Tablo1456789101112135556[[#This Row],[ALIŞ]]</f>
        <v>3120</v>
      </c>
      <c r="H17" s="11">
        <f>Tablo1456789101112135556[[#This Row],[ADET]]*Tablo1456789101112135556[[#This Row],[SATIŞ]]</f>
        <v>3160</v>
      </c>
      <c r="J17" s="40" t="str">
        <f t="shared" si="0"/>
        <v/>
      </c>
    </row>
    <row r="18" spans="2:10" ht="21" hidden="1" customHeight="1" x14ac:dyDescent="0.3">
      <c r="B18" s="2">
        <v>45349</v>
      </c>
      <c r="C18" s="6">
        <v>20</v>
      </c>
      <c r="D18" s="10">
        <v>77</v>
      </c>
      <c r="E18" s="10">
        <v>78</v>
      </c>
      <c r="F18" s="9">
        <f>IF(Tablo1456789101112135556[[#This Row],[SATIŞ]]=0,"Açık",(E18-D18)*C18)</f>
        <v>20</v>
      </c>
      <c r="G18" s="11">
        <f>Tablo1456789101112135556[[#This Row],[ADET]]*Tablo1456789101112135556[[#This Row],[ALIŞ]]</f>
        <v>1540</v>
      </c>
      <c r="H18" s="11">
        <f>Tablo1456789101112135556[[#This Row],[ADET]]*Tablo1456789101112135556[[#This Row],[SATIŞ]]</f>
        <v>1560</v>
      </c>
      <c r="J18" s="40" t="str">
        <f t="shared" si="0"/>
        <v/>
      </c>
    </row>
    <row r="19" spans="2:10" ht="21" hidden="1" customHeight="1" x14ac:dyDescent="0.3">
      <c r="B19" s="2">
        <v>45349</v>
      </c>
      <c r="C19" s="6">
        <v>20</v>
      </c>
      <c r="D19" s="10">
        <v>77</v>
      </c>
      <c r="E19" s="10">
        <v>78</v>
      </c>
      <c r="F19" s="9">
        <f>IF(Tablo1456789101112135556[[#This Row],[SATIŞ]]=0,"Açık",(E19-D19)*C19)</f>
        <v>20</v>
      </c>
      <c r="G19" s="11">
        <f>Tablo1456789101112135556[[#This Row],[ADET]]*Tablo1456789101112135556[[#This Row],[ALIŞ]]</f>
        <v>1540</v>
      </c>
      <c r="H19" s="11">
        <f>Tablo1456789101112135556[[#This Row],[ADET]]*Tablo1456789101112135556[[#This Row],[SATIŞ]]</f>
        <v>1560</v>
      </c>
      <c r="J19" s="40" t="str">
        <f t="shared" si="0"/>
        <v/>
      </c>
    </row>
    <row r="20" spans="2:10" ht="21" hidden="1" customHeight="1" x14ac:dyDescent="0.3">
      <c r="B20" s="2">
        <v>45349</v>
      </c>
      <c r="C20" s="6">
        <v>20</v>
      </c>
      <c r="D20" s="10">
        <v>77</v>
      </c>
      <c r="E20" s="10">
        <v>80</v>
      </c>
      <c r="F20" s="9">
        <f>IF(Tablo1456789101112135556[[#This Row],[SATIŞ]]=0,"Açık",(E20-D20)*C20)</f>
        <v>60</v>
      </c>
      <c r="G20" s="11">
        <f>Tablo1456789101112135556[[#This Row],[ADET]]*Tablo1456789101112135556[[#This Row],[ALIŞ]]</f>
        <v>1540</v>
      </c>
      <c r="H20" s="11">
        <f>Tablo1456789101112135556[[#This Row],[ADET]]*Tablo1456789101112135556[[#This Row],[SATIŞ]]</f>
        <v>1600</v>
      </c>
      <c r="J20" s="40" t="str">
        <f t="shared" si="0"/>
        <v/>
      </c>
    </row>
    <row r="21" spans="2:10" ht="21" hidden="1" customHeight="1" x14ac:dyDescent="0.3">
      <c r="B21" s="2">
        <v>45349</v>
      </c>
      <c r="C21" s="6">
        <v>20</v>
      </c>
      <c r="D21" s="10">
        <v>77</v>
      </c>
      <c r="E21" s="10">
        <v>79.5</v>
      </c>
      <c r="F21" s="9">
        <f>IF(Tablo1456789101112135556[[#This Row],[SATIŞ]]=0,"Açık",(E21-D21)*C21)</f>
        <v>50</v>
      </c>
      <c r="G21" s="11">
        <f>Tablo1456789101112135556[[#This Row],[ADET]]*Tablo1456789101112135556[[#This Row],[ALIŞ]]</f>
        <v>1540</v>
      </c>
      <c r="H21" s="11">
        <f>Tablo1456789101112135556[[#This Row],[ADET]]*Tablo1456789101112135556[[#This Row],[SATIŞ]]</f>
        <v>1590</v>
      </c>
      <c r="J21" s="40" t="str">
        <f t="shared" si="0"/>
        <v/>
      </c>
    </row>
    <row r="22" spans="2:10" ht="21" hidden="1" customHeight="1" x14ac:dyDescent="0.3">
      <c r="B22" s="2">
        <v>45350</v>
      </c>
      <c r="C22" s="6">
        <v>20</v>
      </c>
      <c r="D22" s="10">
        <v>76</v>
      </c>
      <c r="E22" s="10">
        <v>77.5</v>
      </c>
      <c r="F22" s="9">
        <f>IF(Tablo1456789101112135556[[#This Row],[SATIŞ]]=0,"Açık",(E22-D22)*C22)</f>
        <v>30</v>
      </c>
      <c r="G22" s="11">
        <f>Tablo1456789101112135556[[#This Row],[ADET]]*Tablo1456789101112135556[[#This Row],[ALIŞ]]</f>
        <v>1520</v>
      </c>
      <c r="H22" s="11">
        <f>Tablo1456789101112135556[[#This Row],[ADET]]*Tablo1456789101112135556[[#This Row],[SATIŞ]]</f>
        <v>1550</v>
      </c>
      <c r="J22" s="40" t="str">
        <f t="shared" si="0"/>
        <v/>
      </c>
    </row>
    <row r="23" spans="2:10" ht="21" hidden="1" customHeight="1" x14ac:dyDescent="0.3">
      <c r="B23" s="2">
        <v>45350</v>
      </c>
      <c r="C23" s="6">
        <v>20</v>
      </c>
      <c r="D23" s="10">
        <v>76</v>
      </c>
      <c r="E23" s="10">
        <v>77</v>
      </c>
      <c r="F23" s="9">
        <f>IF(Tablo1456789101112135556[[#This Row],[SATIŞ]]=0,"Açık",(E23-D23)*C23)</f>
        <v>20</v>
      </c>
      <c r="G23" s="11">
        <f>Tablo1456789101112135556[[#This Row],[ADET]]*Tablo1456789101112135556[[#This Row],[ALIŞ]]</f>
        <v>1520</v>
      </c>
      <c r="H23" s="11">
        <f>Tablo1456789101112135556[[#This Row],[ADET]]*Tablo1456789101112135556[[#This Row],[SATIŞ]]</f>
        <v>1540</v>
      </c>
      <c r="J23" s="40" t="str">
        <f t="shared" si="0"/>
        <v/>
      </c>
    </row>
    <row r="24" spans="2:10" ht="21" hidden="1" customHeight="1" x14ac:dyDescent="0.3">
      <c r="B24" s="2">
        <v>45352</v>
      </c>
      <c r="C24" s="6">
        <v>20</v>
      </c>
      <c r="D24" s="10">
        <v>78</v>
      </c>
      <c r="E24" s="10">
        <v>79</v>
      </c>
      <c r="F24" s="9">
        <f>IF(Tablo1456789101112135556[[#This Row],[SATIŞ]]=0,"Açık",(E24-D24)*C24)</f>
        <v>20</v>
      </c>
      <c r="G24" s="11">
        <f>Tablo1456789101112135556[[#This Row],[ADET]]*Tablo1456789101112135556[[#This Row],[ALIŞ]]</f>
        <v>1560</v>
      </c>
      <c r="H24" s="11">
        <f>Tablo1456789101112135556[[#This Row],[ADET]]*Tablo1456789101112135556[[#This Row],[SATIŞ]]</f>
        <v>1580</v>
      </c>
      <c r="J24" s="40" t="str">
        <f t="shared" si="0"/>
        <v/>
      </c>
    </row>
    <row r="25" spans="2:10" ht="21" hidden="1" customHeight="1" x14ac:dyDescent="0.3">
      <c r="B25" s="2">
        <v>45357</v>
      </c>
      <c r="C25" s="6">
        <v>20</v>
      </c>
      <c r="D25" s="10">
        <v>76</v>
      </c>
      <c r="E25" s="10">
        <v>78.5</v>
      </c>
      <c r="F25" s="9">
        <f>IF(Tablo1456789101112135556[[#This Row],[SATIŞ]]=0,"Açık",(E25-D25)*C25)</f>
        <v>50</v>
      </c>
      <c r="G25" s="11">
        <f>Tablo1456789101112135556[[#This Row],[ADET]]*Tablo1456789101112135556[[#This Row],[ALIŞ]]</f>
        <v>1520</v>
      </c>
      <c r="H25" s="11">
        <f>Tablo1456789101112135556[[#This Row],[ADET]]*Tablo1456789101112135556[[#This Row],[SATIŞ]]</f>
        <v>1570</v>
      </c>
      <c r="J25" s="40" t="str">
        <f t="shared" si="0"/>
        <v/>
      </c>
    </row>
    <row r="26" spans="2:10" ht="21" hidden="1" customHeight="1" x14ac:dyDescent="0.3">
      <c r="B26" s="2">
        <v>45359</v>
      </c>
      <c r="C26" s="6">
        <v>20</v>
      </c>
      <c r="D26" s="10">
        <v>78</v>
      </c>
      <c r="E26" s="10">
        <v>78.5</v>
      </c>
      <c r="F26" s="9">
        <f>IF(Tablo1456789101112135556[[#This Row],[SATIŞ]]=0,"Açık",(E26-D26)*C26)</f>
        <v>10</v>
      </c>
      <c r="G26" s="11">
        <f>Tablo1456789101112135556[[#This Row],[ADET]]*Tablo1456789101112135556[[#This Row],[ALIŞ]]</f>
        <v>1560</v>
      </c>
      <c r="H26" s="11">
        <f>Tablo1456789101112135556[[#This Row],[ADET]]*Tablo1456789101112135556[[#This Row],[SATIŞ]]</f>
        <v>1570</v>
      </c>
      <c r="J26" s="40" t="str">
        <f t="shared" si="0"/>
        <v/>
      </c>
    </row>
    <row r="27" spans="2:10" ht="21" hidden="1" customHeight="1" x14ac:dyDescent="0.3">
      <c r="B27" s="2">
        <v>45359</v>
      </c>
      <c r="C27" s="6">
        <v>20</v>
      </c>
      <c r="D27" s="10">
        <v>77.5</v>
      </c>
      <c r="E27" s="10">
        <v>78</v>
      </c>
      <c r="F27" s="9">
        <f>IF(Tablo1456789101112135556[[#This Row],[SATIŞ]]=0,"Açık",(E27-D27)*C27)</f>
        <v>10</v>
      </c>
      <c r="G27" s="11">
        <f>Tablo1456789101112135556[[#This Row],[ADET]]*Tablo1456789101112135556[[#This Row],[ALIŞ]]</f>
        <v>1550</v>
      </c>
      <c r="H27" s="11">
        <f>Tablo1456789101112135556[[#This Row],[ADET]]*Tablo1456789101112135556[[#This Row],[SATIŞ]]</f>
        <v>1560</v>
      </c>
      <c r="J27" s="40" t="str">
        <f t="shared" si="0"/>
        <v/>
      </c>
    </row>
    <row r="28" spans="2:10" ht="21" customHeight="1" x14ac:dyDescent="0.3">
      <c r="B28" s="2">
        <v>45362</v>
      </c>
      <c r="C28" s="6">
        <v>20</v>
      </c>
      <c r="D28" s="10">
        <v>80</v>
      </c>
      <c r="E28" s="10"/>
      <c r="F28" s="9" t="str">
        <f>IF(Tablo1456789101112135556[[#This Row],[SATIŞ]]=0,"Açık",(E28-D28)*C28)</f>
        <v>Açık</v>
      </c>
      <c r="G28" s="11">
        <f>Tablo1456789101112135556[[#This Row],[ADET]]*Tablo1456789101112135556[[#This Row],[ALIŞ]]</f>
        <v>1600</v>
      </c>
      <c r="H28" s="11">
        <f>Tablo1456789101112135556[[#This Row],[ADET]]*Tablo1456789101112135556[[#This Row],[SATIŞ]]</f>
        <v>0</v>
      </c>
      <c r="J28" s="40">
        <f t="shared" si="0"/>
        <v>84</v>
      </c>
    </row>
    <row r="29" spans="2:10" ht="21" customHeight="1" x14ac:dyDescent="0.3">
      <c r="B29" s="2">
        <v>45362</v>
      </c>
      <c r="C29" s="6">
        <v>20</v>
      </c>
      <c r="D29" s="10">
        <v>79</v>
      </c>
      <c r="E29" s="10"/>
      <c r="F29" s="9" t="str">
        <f>IF(Tablo1456789101112135556[[#This Row],[SATIŞ]]=0,"Açık",(E29-D29)*C29)</f>
        <v>Açık</v>
      </c>
      <c r="G29" s="11">
        <f>Tablo1456789101112135556[[#This Row],[ADET]]*Tablo1456789101112135556[[#This Row],[ALIŞ]]</f>
        <v>1580</v>
      </c>
      <c r="H29" s="11">
        <f>Tablo1456789101112135556[[#This Row],[ADET]]*Tablo1456789101112135556[[#This Row],[SATIŞ]]</f>
        <v>0</v>
      </c>
      <c r="J29" s="40">
        <f t="shared" si="0"/>
        <v>82.95</v>
      </c>
    </row>
    <row r="30" spans="2:10" ht="21" hidden="1" customHeight="1" x14ac:dyDescent="0.3">
      <c r="B30" s="2">
        <v>45362</v>
      </c>
      <c r="C30" s="6">
        <v>20</v>
      </c>
      <c r="D30" s="10">
        <v>78</v>
      </c>
      <c r="E30" s="10">
        <v>79</v>
      </c>
      <c r="F30" s="9">
        <f>IF(Tablo1456789101112135556[[#This Row],[SATIŞ]]=0,"Açık",(E30-D30)*C30)</f>
        <v>20</v>
      </c>
      <c r="G30" s="11">
        <f>Tablo1456789101112135556[[#This Row],[ADET]]*Tablo1456789101112135556[[#This Row],[ALIŞ]]</f>
        <v>1560</v>
      </c>
      <c r="H30" s="11">
        <f>Tablo1456789101112135556[[#This Row],[ADET]]*Tablo1456789101112135556[[#This Row],[SATIŞ]]</f>
        <v>1580</v>
      </c>
      <c r="J30" s="40" t="str">
        <f t="shared" si="0"/>
        <v/>
      </c>
    </row>
    <row r="31" spans="2:10" ht="21" hidden="1" customHeight="1" x14ac:dyDescent="0.3">
      <c r="B31" s="2">
        <v>45363</v>
      </c>
      <c r="C31" s="6">
        <v>20</v>
      </c>
      <c r="D31" s="10">
        <v>76.5</v>
      </c>
      <c r="E31" s="10">
        <v>78</v>
      </c>
      <c r="F31" s="9">
        <f>IF(Tablo1456789101112135556[[#This Row],[SATIŞ]]=0,"Açık",(E31-D31)*C31)</f>
        <v>30</v>
      </c>
      <c r="G31" s="11">
        <f>Tablo1456789101112135556[[#This Row],[ADET]]*Tablo1456789101112135556[[#This Row],[ALIŞ]]</f>
        <v>1530</v>
      </c>
      <c r="H31" s="11">
        <f>Tablo1456789101112135556[[#This Row],[ADET]]*Tablo1456789101112135556[[#This Row],[SATIŞ]]</f>
        <v>1560</v>
      </c>
      <c r="J31" s="40" t="str">
        <f t="shared" si="0"/>
        <v/>
      </c>
    </row>
    <row r="32" spans="2:10" ht="21" hidden="1" customHeight="1" x14ac:dyDescent="0.3">
      <c r="B32" s="2">
        <v>45363</v>
      </c>
      <c r="C32" s="6">
        <v>20</v>
      </c>
      <c r="D32" s="10">
        <v>76</v>
      </c>
      <c r="E32" s="10">
        <v>77</v>
      </c>
      <c r="F32" s="9">
        <f>IF(Tablo1456789101112135556[[#This Row],[SATIŞ]]=0,"Açık",(E32-D32)*C32)</f>
        <v>20</v>
      </c>
      <c r="G32" s="11">
        <f>Tablo1456789101112135556[[#This Row],[ADET]]*Tablo1456789101112135556[[#This Row],[ALIŞ]]</f>
        <v>1520</v>
      </c>
      <c r="H32" s="11">
        <f>Tablo1456789101112135556[[#This Row],[ADET]]*Tablo1456789101112135556[[#This Row],[SATIŞ]]</f>
        <v>1540</v>
      </c>
      <c r="J32" s="40" t="str">
        <f t="shared" si="0"/>
        <v/>
      </c>
    </row>
    <row r="33" spans="2:10" ht="21" hidden="1" customHeight="1" x14ac:dyDescent="0.3">
      <c r="B33" s="2">
        <v>45363</v>
      </c>
      <c r="C33" s="6">
        <v>20</v>
      </c>
      <c r="D33" s="10">
        <v>76</v>
      </c>
      <c r="E33" s="10">
        <v>77</v>
      </c>
      <c r="F33" s="9">
        <f>IF(Tablo1456789101112135556[[#This Row],[SATIŞ]]=0,"Açık",(E33-D33)*C33)</f>
        <v>20</v>
      </c>
      <c r="G33" s="11">
        <f>Tablo1456789101112135556[[#This Row],[ADET]]*Tablo1456789101112135556[[#This Row],[ALIŞ]]</f>
        <v>1520</v>
      </c>
      <c r="H33" s="11">
        <f>Tablo1456789101112135556[[#This Row],[ADET]]*Tablo1456789101112135556[[#This Row],[SATIŞ]]</f>
        <v>1540</v>
      </c>
      <c r="J33" s="40" t="str">
        <f t="shared" si="0"/>
        <v/>
      </c>
    </row>
    <row r="34" spans="2:10" ht="21" customHeight="1" x14ac:dyDescent="0.3">
      <c r="B34" s="2">
        <v>45366</v>
      </c>
      <c r="C34" s="6">
        <v>20</v>
      </c>
      <c r="D34" s="10">
        <v>78</v>
      </c>
      <c r="E34" s="10"/>
      <c r="F34" s="9" t="str">
        <f>IF(Tablo1456789101112135556[[#This Row],[SATIŞ]]=0,"Açık",(E34-D34)*C34)</f>
        <v>Açık</v>
      </c>
      <c r="G34" s="11">
        <f>Tablo1456789101112135556[[#This Row],[ADET]]*Tablo1456789101112135556[[#This Row],[ALIŞ]]</f>
        <v>1560</v>
      </c>
      <c r="H34" s="11">
        <f>Tablo1456789101112135556[[#This Row],[ADET]]*Tablo1456789101112135556[[#This Row],[SATIŞ]]</f>
        <v>0</v>
      </c>
      <c r="J34" s="40">
        <f t="shared" si="0"/>
        <v>81.900000000000006</v>
      </c>
    </row>
    <row r="35" spans="2:10" ht="21" hidden="1" customHeight="1" x14ac:dyDescent="0.3">
      <c r="B35" s="2">
        <v>45369</v>
      </c>
      <c r="C35" s="6">
        <v>20</v>
      </c>
      <c r="D35" s="10">
        <v>77</v>
      </c>
      <c r="E35" s="10">
        <v>77.5</v>
      </c>
      <c r="F35" s="9">
        <f>IF(Tablo1456789101112135556[[#This Row],[SATIŞ]]=0,"Açık",(E35-D35)*C35)</f>
        <v>10</v>
      </c>
      <c r="G35" s="11">
        <f>Tablo1456789101112135556[[#This Row],[ADET]]*Tablo1456789101112135556[[#This Row],[ALIŞ]]</f>
        <v>1540</v>
      </c>
      <c r="H35" s="11">
        <f>Tablo1456789101112135556[[#This Row],[ADET]]*Tablo1456789101112135556[[#This Row],[SATIŞ]]</f>
        <v>1550</v>
      </c>
      <c r="J35" s="40" t="str">
        <f t="shared" si="0"/>
        <v/>
      </c>
    </row>
    <row r="36" spans="2:10" ht="21" hidden="1" customHeight="1" x14ac:dyDescent="0.3">
      <c r="B36" s="2">
        <v>45369</v>
      </c>
      <c r="C36" s="6">
        <v>20</v>
      </c>
      <c r="D36" s="10">
        <v>76.8</v>
      </c>
      <c r="E36" s="10">
        <v>77</v>
      </c>
      <c r="F36" s="9">
        <f>IF(Tablo1456789101112135556[[#This Row],[SATIŞ]]=0,"Açık",(E36-D36)*C36)</f>
        <v>4.0000000000000568</v>
      </c>
      <c r="G36" s="11">
        <f>Tablo1456789101112135556[[#This Row],[ADET]]*Tablo1456789101112135556[[#This Row],[ALIŞ]]</f>
        <v>1536</v>
      </c>
      <c r="H36" s="11">
        <f>Tablo1456789101112135556[[#This Row],[ADET]]*Tablo1456789101112135556[[#This Row],[SATIŞ]]</f>
        <v>1540</v>
      </c>
      <c r="J36" s="40" t="str">
        <f t="shared" ref="J36:J57" si="1">IF(E36=0,D36*1.05,"")</f>
        <v/>
      </c>
    </row>
    <row r="37" spans="2:10" ht="21" customHeight="1" x14ac:dyDescent="0.3">
      <c r="B37" s="2">
        <v>45369</v>
      </c>
      <c r="C37" s="6">
        <v>40</v>
      </c>
      <c r="D37" s="10">
        <v>76.8</v>
      </c>
      <c r="E37" s="10"/>
      <c r="F37" s="9" t="str">
        <f>IF(Tablo1456789101112135556[[#This Row],[SATIŞ]]=0,"Açık",(E37-D37)*C37)</f>
        <v>Açık</v>
      </c>
      <c r="G37" s="11">
        <f>Tablo1456789101112135556[[#This Row],[ADET]]*Tablo1456789101112135556[[#This Row],[ALIŞ]]</f>
        <v>3072</v>
      </c>
      <c r="H37" s="11">
        <f>Tablo1456789101112135556[[#This Row],[ADET]]*Tablo1456789101112135556[[#This Row],[SATIŞ]]</f>
        <v>0</v>
      </c>
      <c r="J37" s="40">
        <f t="shared" si="1"/>
        <v>80.64</v>
      </c>
    </row>
    <row r="38" spans="2:10" ht="21" hidden="1" customHeight="1" x14ac:dyDescent="0.3">
      <c r="B38" s="2">
        <v>45369</v>
      </c>
      <c r="C38" s="6">
        <v>20</v>
      </c>
      <c r="D38" s="10">
        <v>76.8</v>
      </c>
      <c r="E38" s="10">
        <v>78</v>
      </c>
      <c r="F38" s="9">
        <f>IF(Tablo1456789101112135556[[#This Row],[SATIŞ]]=0,"Açık",(E38-D38)*C38)</f>
        <v>24.000000000000057</v>
      </c>
      <c r="G38" s="11">
        <f>Tablo1456789101112135556[[#This Row],[ADET]]*Tablo1456789101112135556[[#This Row],[ALIŞ]]</f>
        <v>1536</v>
      </c>
      <c r="H38" s="11">
        <f>Tablo1456789101112135556[[#This Row],[ADET]]*Tablo1456789101112135556[[#This Row],[SATIŞ]]</f>
        <v>1560</v>
      </c>
      <c r="J38" s="40" t="str">
        <f t="shared" si="1"/>
        <v/>
      </c>
    </row>
    <row r="39" spans="2:10" ht="21" hidden="1" customHeight="1" x14ac:dyDescent="0.3">
      <c r="B39" s="2">
        <v>45369</v>
      </c>
      <c r="C39" s="6">
        <v>20</v>
      </c>
      <c r="D39" s="10">
        <v>76.8</v>
      </c>
      <c r="E39" s="10">
        <v>77.5</v>
      </c>
      <c r="F39" s="9">
        <f>IF(Tablo1456789101112135556[[#This Row],[SATIŞ]]=0,"Açık",(E39-D39)*C39)</f>
        <v>14.000000000000057</v>
      </c>
      <c r="G39" s="11">
        <f>Tablo1456789101112135556[[#This Row],[ADET]]*Tablo1456789101112135556[[#This Row],[ALIŞ]]</f>
        <v>1536</v>
      </c>
      <c r="H39" s="11">
        <f>Tablo1456789101112135556[[#This Row],[ADET]]*Tablo1456789101112135556[[#This Row],[SATIŞ]]</f>
        <v>1550</v>
      </c>
      <c r="J39" s="40" t="str">
        <f t="shared" si="1"/>
        <v/>
      </c>
    </row>
    <row r="40" spans="2:10" ht="21" hidden="1" customHeight="1" x14ac:dyDescent="0.3">
      <c r="B40" s="2">
        <v>45369</v>
      </c>
      <c r="C40" s="6">
        <v>20</v>
      </c>
      <c r="D40" s="10">
        <v>77</v>
      </c>
      <c r="E40" s="10">
        <v>77.5</v>
      </c>
      <c r="F40" s="9">
        <f>IF(Tablo1456789101112135556[[#This Row],[SATIŞ]]=0,"Açık",(E40-D40)*C40)</f>
        <v>10</v>
      </c>
      <c r="G40" s="11">
        <f>Tablo1456789101112135556[[#This Row],[ADET]]*Tablo1456789101112135556[[#This Row],[ALIŞ]]</f>
        <v>1540</v>
      </c>
      <c r="H40" s="11">
        <f>Tablo1456789101112135556[[#This Row],[ADET]]*Tablo1456789101112135556[[#This Row],[SATIŞ]]</f>
        <v>1550</v>
      </c>
      <c r="J40" s="40" t="str">
        <f t="shared" si="1"/>
        <v/>
      </c>
    </row>
    <row r="41" spans="2:10" ht="21" hidden="1" customHeight="1" x14ac:dyDescent="0.3">
      <c r="B41" s="2">
        <v>45369</v>
      </c>
      <c r="C41" s="6">
        <v>20</v>
      </c>
      <c r="D41" s="10">
        <v>76.5</v>
      </c>
      <c r="E41" s="10">
        <v>77</v>
      </c>
      <c r="F41" s="9">
        <f>IF(Tablo1456789101112135556[[#This Row],[SATIŞ]]=0,"Açık",(E41-D41)*C41)</f>
        <v>10</v>
      </c>
      <c r="G41" s="11">
        <f>Tablo1456789101112135556[[#This Row],[ADET]]*Tablo1456789101112135556[[#This Row],[ALIŞ]]</f>
        <v>1530</v>
      </c>
      <c r="H41" s="11">
        <f>Tablo1456789101112135556[[#This Row],[ADET]]*Tablo1456789101112135556[[#This Row],[SATIŞ]]</f>
        <v>1540</v>
      </c>
      <c r="J41" s="40" t="str">
        <f t="shared" si="1"/>
        <v/>
      </c>
    </row>
    <row r="42" spans="2:10" ht="21" hidden="1" customHeight="1" x14ac:dyDescent="0.3">
      <c r="B42" s="2">
        <v>45369</v>
      </c>
      <c r="C42" s="6">
        <v>20</v>
      </c>
      <c r="D42" s="10">
        <v>76</v>
      </c>
      <c r="E42" s="10">
        <v>76.8</v>
      </c>
      <c r="F42" s="9">
        <f>IF(Tablo1456789101112135556[[#This Row],[SATIŞ]]=0,"Açık",(E42-D42)*C42)</f>
        <v>15.999999999999943</v>
      </c>
      <c r="G42" s="11">
        <f>Tablo1456789101112135556[[#This Row],[ADET]]*Tablo1456789101112135556[[#This Row],[ALIŞ]]</f>
        <v>1520</v>
      </c>
      <c r="H42" s="11">
        <f>Tablo1456789101112135556[[#This Row],[ADET]]*Tablo1456789101112135556[[#This Row],[SATIŞ]]</f>
        <v>1536</v>
      </c>
      <c r="J42" s="40" t="str">
        <f t="shared" si="1"/>
        <v/>
      </c>
    </row>
    <row r="43" spans="2:10" ht="21" hidden="1" customHeight="1" x14ac:dyDescent="0.3">
      <c r="B43" s="2">
        <v>45372</v>
      </c>
      <c r="C43" s="6">
        <v>20</v>
      </c>
      <c r="D43" s="10">
        <v>76.5</v>
      </c>
      <c r="E43" s="10">
        <v>77</v>
      </c>
      <c r="F43" s="9">
        <f>IF(Tablo1456789101112135556[[#This Row],[SATIŞ]]=0,"Açık",(E43-D43)*C43)</f>
        <v>10</v>
      </c>
      <c r="G43" s="11">
        <f>Tablo1456789101112135556[[#This Row],[ADET]]*Tablo1456789101112135556[[#This Row],[ALIŞ]]</f>
        <v>1530</v>
      </c>
      <c r="H43" s="11">
        <f>Tablo1456789101112135556[[#This Row],[ADET]]*Tablo1456789101112135556[[#This Row],[SATIŞ]]</f>
        <v>1540</v>
      </c>
      <c r="J43" s="40" t="str">
        <f t="shared" si="1"/>
        <v/>
      </c>
    </row>
    <row r="44" spans="2:10" ht="21" hidden="1" customHeight="1" x14ac:dyDescent="0.3">
      <c r="B44" s="2">
        <v>45372</v>
      </c>
      <c r="C44" s="6">
        <v>20</v>
      </c>
      <c r="D44" s="10">
        <v>76</v>
      </c>
      <c r="E44" s="10">
        <v>77</v>
      </c>
      <c r="F44" s="9">
        <f>IF(Tablo1456789101112135556[[#This Row],[SATIŞ]]=0,"Açık",(E44-D44)*C44)</f>
        <v>20</v>
      </c>
      <c r="G44" s="11">
        <f>Tablo1456789101112135556[[#This Row],[ADET]]*Tablo1456789101112135556[[#This Row],[ALIŞ]]</f>
        <v>1520</v>
      </c>
      <c r="H44" s="11">
        <f>Tablo1456789101112135556[[#This Row],[ADET]]*Tablo1456789101112135556[[#This Row],[SATIŞ]]</f>
        <v>1540</v>
      </c>
      <c r="J44" s="40" t="str">
        <f t="shared" si="1"/>
        <v/>
      </c>
    </row>
    <row r="45" spans="2:10" ht="21" hidden="1" customHeight="1" x14ac:dyDescent="0.3">
      <c r="B45" s="2">
        <v>45372</v>
      </c>
      <c r="C45" s="6">
        <v>20</v>
      </c>
      <c r="D45" s="10">
        <v>75.5</v>
      </c>
      <c r="E45" s="10">
        <v>76.5</v>
      </c>
      <c r="F45" s="9">
        <f>IF(Tablo1456789101112135556[[#This Row],[SATIŞ]]=0,"Açık",(E45-D45)*C45)</f>
        <v>20</v>
      </c>
      <c r="G45" s="11">
        <f>Tablo1456789101112135556[[#This Row],[ADET]]*Tablo1456789101112135556[[#This Row],[ALIŞ]]</f>
        <v>1510</v>
      </c>
      <c r="H45" s="11">
        <f>Tablo1456789101112135556[[#This Row],[ADET]]*Tablo1456789101112135556[[#This Row],[SATIŞ]]</f>
        <v>1530</v>
      </c>
      <c r="J45" s="40" t="str">
        <f t="shared" si="1"/>
        <v/>
      </c>
    </row>
    <row r="46" spans="2:10" ht="21" customHeight="1" x14ac:dyDescent="0.3">
      <c r="B46" s="2">
        <v>45376</v>
      </c>
      <c r="C46" s="6">
        <v>20</v>
      </c>
      <c r="D46" s="10">
        <v>76.5</v>
      </c>
      <c r="E46" s="10"/>
      <c r="F46" s="9" t="str">
        <f>IF(Tablo1456789101112135556[[#This Row],[SATIŞ]]=0,"Açık",(E46-D46)*C46)</f>
        <v>Açık</v>
      </c>
      <c r="G46" s="11">
        <f>Tablo1456789101112135556[[#This Row],[ADET]]*Tablo1456789101112135556[[#This Row],[ALIŞ]]</f>
        <v>1530</v>
      </c>
      <c r="H46" s="11">
        <f>Tablo1456789101112135556[[#This Row],[ADET]]*Tablo1456789101112135556[[#This Row],[SATIŞ]]</f>
        <v>0</v>
      </c>
      <c r="J46" s="40">
        <f t="shared" si="1"/>
        <v>80.325000000000003</v>
      </c>
    </row>
    <row r="47" spans="2:10" ht="21" customHeight="1" x14ac:dyDescent="0.3">
      <c r="B47" s="2">
        <v>45376</v>
      </c>
      <c r="C47" s="6">
        <v>20</v>
      </c>
      <c r="D47" s="10">
        <v>76</v>
      </c>
      <c r="E47" s="10"/>
      <c r="F47" s="9" t="str">
        <f>IF(Tablo1456789101112135556[[#This Row],[SATIŞ]]=0,"Açık",(E47-D47)*C47)</f>
        <v>Açık</v>
      </c>
      <c r="G47" s="11">
        <f>Tablo1456789101112135556[[#This Row],[ADET]]*Tablo1456789101112135556[[#This Row],[ALIŞ]]</f>
        <v>1520</v>
      </c>
      <c r="H47" s="11">
        <f>Tablo1456789101112135556[[#This Row],[ADET]]*Tablo1456789101112135556[[#This Row],[SATIŞ]]</f>
        <v>0</v>
      </c>
      <c r="J47" s="40">
        <f t="shared" si="1"/>
        <v>79.8</v>
      </c>
    </row>
    <row r="48" spans="2:10" ht="21" hidden="1" customHeight="1" x14ac:dyDescent="0.3">
      <c r="B48" s="2">
        <v>45377</v>
      </c>
      <c r="C48" s="6">
        <v>20</v>
      </c>
      <c r="D48" s="10">
        <v>74.599999999999994</v>
      </c>
      <c r="E48" s="10">
        <v>75.25</v>
      </c>
      <c r="F48" s="9">
        <f>IF(Tablo1456789101112135556[[#This Row],[SATIŞ]]=0,"Açık",(E48-D48)*C48)</f>
        <v>13.000000000000114</v>
      </c>
      <c r="G48" s="11">
        <f>Tablo1456789101112135556[[#This Row],[ADET]]*Tablo1456789101112135556[[#This Row],[ALIŞ]]</f>
        <v>1492</v>
      </c>
      <c r="H48" s="11">
        <f>Tablo1456789101112135556[[#This Row],[ADET]]*Tablo1456789101112135556[[#This Row],[SATIŞ]]</f>
        <v>1505</v>
      </c>
      <c r="J48" s="40" t="str">
        <f t="shared" si="1"/>
        <v/>
      </c>
    </row>
    <row r="49" spans="2:10" ht="21" hidden="1" customHeight="1" x14ac:dyDescent="0.3">
      <c r="B49" s="2">
        <v>45377</v>
      </c>
      <c r="C49" s="6">
        <v>20</v>
      </c>
      <c r="D49" s="10">
        <v>73</v>
      </c>
      <c r="E49" s="10">
        <v>74.099999999999994</v>
      </c>
      <c r="F49" s="9">
        <f>IF(Tablo1456789101112135556[[#This Row],[SATIŞ]]=0,"Açık",(E49-D49)*C49)</f>
        <v>21.999999999999886</v>
      </c>
      <c r="G49" s="11">
        <f>Tablo1456789101112135556[[#This Row],[ADET]]*Tablo1456789101112135556[[#This Row],[ALIŞ]]</f>
        <v>1460</v>
      </c>
      <c r="H49" s="11">
        <f>Tablo1456789101112135556[[#This Row],[ADET]]*Tablo1456789101112135556[[#This Row],[SATIŞ]]</f>
        <v>1482</v>
      </c>
      <c r="J49" s="40" t="str">
        <f t="shared" si="1"/>
        <v/>
      </c>
    </row>
    <row r="50" spans="2:10" ht="21" hidden="1" customHeight="1" x14ac:dyDescent="0.3">
      <c r="B50" s="2">
        <v>45377</v>
      </c>
      <c r="C50" s="6">
        <v>20</v>
      </c>
      <c r="D50" s="10">
        <v>73</v>
      </c>
      <c r="E50" s="10">
        <v>73.900000000000006</v>
      </c>
      <c r="F50" s="9">
        <f>IF(Tablo1456789101112135556[[#This Row],[SATIŞ]]=0,"Açık",(E50-D50)*C50)</f>
        <v>18.000000000000114</v>
      </c>
      <c r="G50" s="11">
        <f>Tablo1456789101112135556[[#This Row],[ADET]]*Tablo1456789101112135556[[#This Row],[ALIŞ]]</f>
        <v>1460</v>
      </c>
      <c r="H50" s="11">
        <f>Tablo1456789101112135556[[#This Row],[ADET]]*Tablo1456789101112135556[[#This Row],[SATIŞ]]</f>
        <v>1478</v>
      </c>
      <c r="J50" s="40" t="str">
        <f t="shared" si="1"/>
        <v/>
      </c>
    </row>
    <row r="51" spans="2:10" ht="21" hidden="1" customHeight="1" x14ac:dyDescent="0.3">
      <c r="B51" s="2">
        <v>45377</v>
      </c>
      <c r="C51" s="6">
        <v>20</v>
      </c>
      <c r="D51" s="10">
        <v>72.8</v>
      </c>
      <c r="E51" s="10">
        <v>73.7</v>
      </c>
      <c r="F51" s="9">
        <f>IF(Tablo1456789101112135556[[#This Row],[SATIŞ]]=0,"Açık",(E51-D51)*C51)</f>
        <v>18.000000000000114</v>
      </c>
      <c r="G51" s="11">
        <f>Tablo1456789101112135556[[#This Row],[ADET]]*Tablo1456789101112135556[[#This Row],[ALIŞ]]</f>
        <v>1456</v>
      </c>
      <c r="H51" s="11">
        <f>Tablo1456789101112135556[[#This Row],[ADET]]*Tablo1456789101112135556[[#This Row],[SATIŞ]]</f>
        <v>1474</v>
      </c>
      <c r="J51" s="40" t="str">
        <f t="shared" si="1"/>
        <v/>
      </c>
    </row>
    <row r="52" spans="2:10" ht="21" hidden="1" customHeight="1" x14ac:dyDescent="0.3">
      <c r="B52" s="2">
        <v>45377</v>
      </c>
      <c r="C52" s="6">
        <v>20</v>
      </c>
      <c r="D52" s="10">
        <v>72.8</v>
      </c>
      <c r="E52" s="10">
        <v>73.5</v>
      </c>
      <c r="F52" s="9">
        <f>IF(Tablo1456789101112135556[[#This Row],[SATIŞ]]=0,"Açık",(E52-D52)*C52)</f>
        <v>14.000000000000057</v>
      </c>
      <c r="G52" s="11">
        <f>Tablo1456789101112135556[[#This Row],[ADET]]*Tablo1456789101112135556[[#This Row],[ALIŞ]]</f>
        <v>1456</v>
      </c>
      <c r="H52" s="11">
        <f>Tablo1456789101112135556[[#This Row],[ADET]]*Tablo1456789101112135556[[#This Row],[SATIŞ]]</f>
        <v>1470</v>
      </c>
      <c r="J52" s="40" t="str">
        <f t="shared" si="1"/>
        <v/>
      </c>
    </row>
    <row r="53" spans="2:10" ht="21" hidden="1" customHeight="1" x14ac:dyDescent="0.3">
      <c r="B53" s="2">
        <v>45377</v>
      </c>
      <c r="C53" s="6">
        <v>20</v>
      </c>
      <c r="D53" s="10">
        <v>72</v>
      </c>
      <c r="E53" s="10">
        <v>73.3</v>
      </c>
      <c r="F53" s="9">
        <f>IF(Tablo1456789101112135556[[#This Row],[SATIŞ]]=0,"Açık",(E53-D53)*C53)</f>
        <v>25.999999999999943</v>
      </c>
      <c r="G53" s="11">
        <f>Tablo1456789101112135556[[#This Row],[ADET]]*Tablo1456789101112135556[[#This Row],[ALIŞ]]</f>
        <v>1440</v>
      </c>
      <c r="H53" s="11">
        <f>Tablo1456789101112135556[[#This Row],[ADET]]*Tablo1456789101112135556[[#This Row],[SATIŞ]]</f>
        <v>1466</v>
      </c>
      <c r="J53" s="40" t="str">
        <f t="shared" si="1"/>
        <v/>
      </c>
    </row>
    <row r="54" spans="2:10" ht="21" hidden="1" customHeight="1" x14ac:dyDescent="0.3">
      <c r="B54" s="2">
        <v>45377</v>
      </c>
      <c r="C54" s="6">
        <v>20</v>
      </c>
      <c r="D54" s="10">
        <v>72</v>
      </c>
      <c r="E54" s="10">
        <v>72.5</v>
      </c>
      <c r="F54" s="9">
        <f>IF(Tablo1456789101112135556[[#This Row],[SATIŞ]]=0,"Açık",(E54-D54)*C54)</f>
        <v>10</v>
      </c>
      <c r="G54" s="11">
        <f>Tablo1456789101112135556[[#This Row],[ADET]]*Tablo1456789101112135556[[#This Row],[ALIŞ]]</f>
        <v>1440</v>
      </c>
      <c r="H54" s="11">
        <f>Tablo1456789101112135556[[#This Row],[ADET]]*Tablo1456789101112135556[[#This Row],[SATIŞ]]</f>
        <v>1450</v>
      </c>
      <c r="J54" s="40" t="str">
        <f t="shared" si="1"/>
        <v/>
      </c>
    </row>
    <row r="55" spans="2:10" ht="21" hidden="1" customHeight="1" x14ac:dyDescent="0.3">
      <c r="B55" s="2">
        <v>45377</v>
      </c>
      <c r="C55" s="6">
        <v>20</v>
      </c>
      <c r="D55" s="10">
        <v>71.5</v>
      </c>
      <c r="E55" s="10">
        <v>72</v>
      </c>
      <c r="F55" s="9">
        <f>IF(Tablo1456789101112135556[[#This Row],[SATIŞ]]=0,"Açık",(E55-D55)*C55)</f>
        <v>10</v>
      </c>
      <c r="G55" s="11">
        <f>Tablo1456789101112135556[[#This Row],[ADET]]*Tablo1456789101112135556[[#This Row],[ALIŞ]]</f>
        <v>1430</v>
      </c>
      <c r="H55" s="11">
        <f>Tablo1456789101112135556[[#This Row],[ADET]]*Tablo1456789101112135556[[#This Row],[SATIŞ]]</f>
        <v>1440</v>
      </c>
      <c r="J55" s="40" t="str">
        <f t="shared" si="1"/>
        <v/>
      </c>
    </row>
    <row r="56" spans="2:10" ht="21" hidden="1" customHeight="1" x14ac:dyDescent="0.3">
      <c r="B56" s="2">
        <v>45377</v>
      </c>
      <c r="C56" s="6">
        <v>20</v>
      </c>
      <c r="D56" s="10">
        <v>71</v>
      </c>
      <c r="E56" s="10">
        <v>71.5</v>
      </c>
      <c r="F56" s="9">
        <f>IF(Tablo1456789101112135556[[#This Row],[SATIŞ]]=0,"Açık",(E56-D56)*C56)</f>
        <v>10</v>
      </c>
      <c r="G56" s="11">
        <f>Tablo1456789101112135556[[#This Row],[ADET]]*Tablo1456789101112135556[[#This Row],[ALIŞ]]</f>
        <v>1420</v>
      </c>
      <c r="H56" s="11">
        <f>Tablo1456789101112135556[[#This Row],[ADET]]*Tablo1456789101112135556[[#This Row],[SATIŞ]]</f>
        <v>1430</v>
      </c>
      <c r="J56" s="40" t="str">
        <f t="shared" si="1"/>
        <v/>
      </c>
    </row>
    <row r="57" spans="2:10" ht="21" hidden="1" customHeight="1" x14ac:dyDescent="0.3">
      <c r="B57" s="2">
        <v>45383</v>
      </c>
      <c r="C57" s="6">
        <v>20</v>
      </c>
      <c r="D57" s="10">
        <v>71.5</v>
      </c>
      <c r="E57" s="10">
        <v>73.099999999999994</v>
      </c>
      <c r="F57" s="9">
        <f>IF(Tablo1456789101112135556[[#This Row],[SATIŞ]]=0,"Açık",(E57-D57)*C57)</f>
        <v>31.999999999999886</v>
      </c>
      <c r="G57" s="11">
        <f>Tablo1456789101112135556[[#This Row],[ADET]]*Tablo1456789101112135556[[#This Row],[ALIŞ]]</f>
        <v>1430</v>
      </c>
      <c r="H57" s="11">
        <f>Tablo1456789101112135556[[#This Row],[ADET]]*Tablo1456789101112135556[[#This Row],[SATIŞ]]</f>
        <v>1462</v>
      </c>
      <c r="J57" s="40" t="str">
        <f t="shared" si="1"/>
        <v/>
      </c>
    </row>
    <row r="58" spans="2:10" ht="21" hidden="1" customHeight="1" x14ac:dyDescent="0.3">
      <c r="B58" s="2">
        <v>45383</v>
      </c>
      <c r="C58" s="6">
        <v>20</v>
      </c>
      <c r="D58" s="10">
        <v>71</v>
      </c>
      <c r="E58" s="10">
        <v>72.900000000000006</v>
      </c>
      <c r="F58" s="9">
        <f>IF(Tablo1456789101112135556[[#This Row],[SATIŞ]]=0,"Açık",(E58-D58)*C58)</f>
        <v>38.000000000000114</v>
      </c>
      <c r="G58" s="11">
        <f>Tablo1456789101112135556[[#This Row],[ADET]]*Tablo1456789101112135556[[#This Row],[ALIŞ]]</f>
        <v>1420</v>
      </c>
      <c r="H58" s="11">
        <f>Tablo1456789101112135556[[#This Row],[ADET]]*Tablo1456789101112135556[[#This Row],[SATIŞ]]</f>
        <v>1458</v>
      </c>
    </row>
    <row r="59" spans="2:10" ht="21" hidden="1" customHeight="1" x14ac:dyDescent="0.3">
      <c r="B59" s="2">
        <v>45383</v>
      </c>
      <c r="C59" s="6">
        <v>20</v>
      </c>
      <c r="D59" s="10">
        <v>70.5</v>
      </c>
      <c r="E59" s="10">
        <v>72.7</v>
      </c>
      <c r="F59" s="9">
        <f>IF(Tablo1456789101112135556[[#This Row],[SATIŞ]]=0,"Açık",(E59-D59)*C59)</f>
        <v>44.000000000000057</v>
      </c>
      <c r="G59" s="11">
        <f>Tablo1456789101112135556[[#This Row],[ADET]]*Tablo1456789101112135556[[#This Row],[ALIŞ]]</f>
        <v>1410</v>
      </c>
      <c r="H59" s="11">
        <f>Tablo1456789101112135556[[#This Row],[ADET]]*Tablo1456789101112135556[[#This Row],[SATIŞ]]</f>
        <v>1454</v>
      </c>
    </row>
    <row r="60" spans="2:10" ht="21" hidden="1" customHeight="1" x14ac:dyDescent="0.3">
      <c r="B60" s="2">
        <v>45383</v>
      </c>
      <c r="C60" s="6">
        <v>20</v>
      </c>
      <c r="D60" s="10">
        <v>70</v>
      </c>
      <c r="E60" s="10">
        <v>70.5</v>
      </c>
      <c r="F60" s="9">
        <f>IF(Tablo1456789101112135556[[#This Row],[SATIŞ]]=0,"Açık",(E60-D60)*C60)</f>
        <v>10</v>
      </c>
      <c r="G60" s="11">
        <f>Tablo1456789101112135556[[#This Row],[ADET]]*Tablo1456789101112135556[[#This Row],[ALIŞ]]</f>
        <v>1400</v>
      </c>
      <c r="H60" s="11">
        <f>Tablo1456789101112135556[[#This Row],[ADET]]*Tablo1456789101112135556[[#This Row],[SATIŞ]]</f>
        <v>1410</v>
      </c>
    </row>
    <row r="61" spans="2:10" ht="21" hidden="1" customHeight="1" x14ac:dyDescent="0.3">
      <c r="B61" s="2">
        <v>45383</v>
      </c>
      <c r="C61" s="6">
        <v>20</v>
      </c>
      <c r="D61" s="10">
        <v>69.900000000000006</v>
      </c>
      <c r="E61" s="10">
        <v>70.5</v>
      </c>
      <c r="F61" s="9">
        <f>IF(Tablo1456789101112135556[[#This Row],[SATIŞ]]=0,"Açık",(E61-D61)*C61)</f>
        <v>11.999999999999886</v>
      </c>
      <c r="G61" s="11">
        <f>Tablo1456789101112135556[[#This Row],[ADET]]*Tablo1456789101112135556[[#This Row],[ALIŞ]]</f>
        <v>1398</v>
      </c>
      <c r="H61" s="11">
        <f>Tablo1456789101112135556[[#This Row],[ADET]]*Tablo1456789101112135556[[#This Row],[SATIŞ]]</f>
        <v>1410</v>
      </c>
    </row>
    <row r="62" spans="2:10" ht="21" hidden="1" customHeight="1" x14ac:dyDescent="0.3">
      <c r="B62" s="2">
        <v>45383</v>
      </c>
      <c r="C62" s="6">
        <v>20</v>
      </c>
      <c r="D62" s="10">
        <v>69.5</v>
      </c>
      <c r="E62" s="10">
        <v>70</v>
      </c>
      <c r="F62" s="9">
        <f>IF(Tablo1456789101112135556[[#This Row],[SATIŞ]]=0,"Açık",(E62-D62)*C62)</f>
        <v>10</v>
      </c>
      <c r="G62" s="11">
        <f>Tablo1456789101112135556[[#This Row],[ADET]]*Tablo1456789101112135556[[#This Row],[ALIŞ]]</f>
        <v>1390</v>
      </c>
      <c r="H62" s="11">
        <f>Tablo1456789101112135556[[#This Row],[ADET]]*Tablo1456789101112135556[[#This Row],[SATIŞ]]</f>
        <v>1400</v>
      </c>
    </row>
    <row r="63" spans="2:10" ht="21" hidden="1" customHeight="1" x14ac:dyDescent="0.3">
      <c r="B63" s="2">
        <v>45383</v>
      </c>
      <c r="C63" s="6">
        <v>20</v>
      </c>
      <c r="D63" s="10">
        <v>70</v>
      </c>
      <c r="E63" s="10">
        <v>70.5</v>
      </c>
      <c r="F63" s="9">
        <f>IF(Tablo1456789101112135556[[#This Row],[SATIŞ]]=0,"Açık",(E63-D63)*C63)</f>
        <v>10</v>
      </c>
      <c r="G63" s="11">
        <f>Tablo1456789101112135556[[#This Row],[ADET]]*Tablo1456789101112135556[[#This Row],[ALIŞ]]</f>
        <v>1400</v>
      </c>
      <c r="H63" s="11">
        <f>Tablo1456789101112135556[[#This Row],[ADET]]*Tablo1456789101112135556[[#This Row],[SATIŞ]]</f>
        <v>1410</v>
      </c>
    </row>
    <row r="64" spans="2:10" ht="21" hidden="1" customHeight="1" x14ac:dyDescent="0.3">
      <c r="B64" s="2">
        <v>45383</v>
      </c>
      <c r="C64" s="6">
        <v>20</v>
      </c>
      <c r="D64" s="10">
        <v>69</v>
      </c>
      <c r="E64" s="10">
        <v>69.5</v>
      </c>
      <c r="F64" s="9">
        <f>IF(Tablo1456789101112135556[[#This Row],[SATIŞ]]=0,"Açık",(E64-D64)*C64)</f>
        <v>10</v>
      </c>
      <c r="G64" s="11">
        <f>Tablo1456789101112135556[[#This Row],[ADET]]*Tablo1456789101112135556[[#This Row],[ALIŞ]]</f>
        <v>1380</v>
      </c>
      <c r="H64" s="11">
        <f>Tablo1456789101112135556[[#This Row],[ADET]]*Tablo1456789101112135556[[#This Row],[SATIŞ]]</f>
        <v>1390</v>
      </c>
    </row>
    <row r="65" spans="2:8" ht="21" hidden="1" customHeight="1" x14ac:dyDescent="0.3">
      <c r="B65" s="2">
        <v>45384</v>
      </c>
      <c r="C65" s="6">
        <v>20</v>
      </c>
      <c r="D65" s="10">
        <v>68.5</v>
      </c>
      <c r="E65" s="10">
        <v>69.5</v>
      </c>
      <c r="F65" s="9">
        <f>IF(Tablo1456789101112135556[[#This Row],[SATIŞ]]=0,"Açık",(E65-D65)*C65)</f>
        <v>20</v>
      </c>
      <c r="G65" s="11">
        <f>Tablo1456789101112135556[[#This Row],[ADET]]*Tablo1456789101112135556[[#This Row],[ALIŞ]]</f>
        <v>1370</v>
      </c>
      <c r="H65" s="11">
        <f>Tablo1456789101112135556[[#This Row],[ADET]]*Tablo1456789101112135556[[#This Row],[SATIŞ]]</f>
        <v>1390</v>
      </c>
    </row>
    <row r="66" spans="2:8" ht="21" hidden="1" customHeight="1" x14ac:dyDescent="0.3">
      <c r="B66" s="2">
        <v>45384</v>
      </c>
      <c r="C66" s="6">
        <v>20</v>
      </c>
      <c r="D66" s="10">
        <v>68</v>
      </c>
      <c r="E66" s="10">
        <v>69</v>
      </c>
      <c r="F66" s="9">
        <f>IF(Tablo1456789101112135556[[#This Row],[SATIŞ]]=0,"Açık",(E66-D66)*C66)</f>
        <v>20</v>
      </c>
      <c r="G66" s="11">
        <f>Tablo1456789101112135556[[#This Row],[ADET]]*Tablo1456789101112135556[[#This Row],[ALIŞ]]</f>
        <v>1360</v>
      </c>
      <c r="H66" s="11">
        <f>Tablo1456789101112135556[[#This Row],[ADET]]*Tablo1456789101112135556[[#This Row],[SATIŞ]]</f>
        <v>1380</v>
      </c>
    </row>
    <row r="67" spans="2:8" ht="21" hidden="1" customHeight="1" x14ac:dyDescent="0.3">
      <c r="B67" s="2">
        <v>45384</v>
      </c>
      <c r="C67" s="6">
        <v>20</v>
      </c>
      <c r="D67" s="10">
        <v>67.5</v>
      </c>
      <c r="E67" s="10">
        <v>68</v>
      </c>
      <c r="F67" s="9">
        <f>IF(Tablo1456789101112135556[[#This Row],[SATIŞ]]=0,"Açık",(E67-D67)*C67)</f>
        <v>10</v>
      </c>
      <c r="G67" s="11">
        <f>Tablo1456789101112135556[[#This Row],[ADET]]*Tablo1456789101112135556[[#This Row],[ALIŞ]]</f>
        <v>1350</v>
      </c>
      <c r="H67" s="11">
        <f>Tablo1456789101112135556[[#This Row],[ADET]]*Tablo1456789101112135556[[#This Row],[SATIŞ]]</f>
        <v>1360</v>
      </c>
    </row>
    <row r="68" spans="2:8" ht="21" hidden="1" customHeight="1" x14ac:dyDescent="0.3">
      <c r="B68" s="2">
        <v>45384</v>
      </c>
      <c r="C68" s="6">
        <v>20</v>
      </c>
      <c r="D68" s="10">
        <v>67.5</v>
      </c>
      <c r="E68" s="10">
        <v>68.5</v>
      </c>
      <c r="F68" s="9">
        <f>IF(Tablo1456789101112135556[[#This Row],[SATIŞ]]=0,"Açık",(E68-D68)*C68)</f>
        <v>20</v>
      </c>
      <c r="G68" s="11">
        <f>Tablo1456789101112135556[[#This Row],[ADET]]*Tablo1456789101112135556[[#This Row],[ALIŞ]]</f>
        <v>1350</v>
      </c>
      <c r="H68" s="11">
        <f>Tablo1456789101112135556[[#This Row],[ADET]]*Tablo1456789101112135556[[#This Row],[SATIŞ]]</f>
        <v>1370</v>
      </c>
    </row>
    <row r="69" spans="2:8" ht="21" hidden="1" customHeight="1" x14ac:dyDescent="0.3">
      <c r="B69" s="2">
        <v>45386</v>
      </c>
      <c r="C69" s="6">
        <v>20</v>
      </c>
      <c r="D69" s="10">
        <v>68.5</v>
      </c>
      <c r="E69" s="10">
        <v>69</v>
      </c>
      <c r="F69" s="9">
        <f>IF(Tablo1456789101112135556[[#This Row],[SATIŞ]]=0,"Açık",(E69-D69)*C69)</f>
        <v>10</v>
      </c>
      <c r="G69" s="11">
        <f>Tablo1456789101112135556[[#This Row],[ADET]]*Tablo1456789101112135556[[#This Row],[ALIŞ]]</f>
        <v>1370</v>
      </c>
      <c r="H69" s="11">
        <f>Tablo1456789101112135556[[#This Row],[ADET]]*Tablo1456789101112135556[[#This Row],[SATIŞ]]</f>
        <v>1380</v>
      </c>
    </row>
    <row r="70" spans="2:8" ht="21" hidden="1" customHeight="1" x14ac:dyDescent="0.3">
      <c r="B70" s="2">
        <v>45387</v>
      </c>
      <c r="C70" s="6">
        <v>20</v>
      </c>
      <c r="D70" s="10">
        <v>69.5</v>
      </c>
      <c r="E70" s="10">
        <v>70</v>
      </c>
      <c r="F70" s="9">
        <f>IF(Tablo1456789101112135556[[#This Row],[SATIŞ]]=0,"Açık",(E70-D70)*C70)</f>
        <v>10</v>
      </c>
      <c r="G70" s="11">
        <f>Tablo1456789101112135556[[#This Row],[ADET]]*Tablo1456789101112135556[[#This Row],[ALIŞ]]</f>
        <v>1390</v>
      </c>
      <c r="H70" s="11">
        <f>Tablo1456789101112135556[[#This Row],[ADET]]*Tablo1456789101112135556[[#This Row],[SATIŞ]]</f>
        <v>1400</v>
      </c>
    </row>
    <row r="71" spans="2:8" ht="21" hidden="1" customHeight="1" x14ac:dyDescent="0.3">
      <c r="B71" s="2">
        <v>45387</v>
      </c>
      <c r="C71" s="6">
        <v>30</v>
      </c>
      <c r="D71" s="10">
        <v>69.5</v>
      </c>
      <c r="E71" s="10">
        <v>72.5</v>
      </c>
      <c r="F71" s="9">
        <f>IF(Tablo1456789101112135556[[#This Row],[SATIŞ]]=0,"Açık",(E71-D71)*C71)</f>
        <v>90</v>
      </c>
      <c r="G71" s="11">
        <f>Tablo1456789101112135556[[#This Row],[ADET]]*Tablo1456789101112135556[[#This Row],[ALIŞ]]</f>
        <v>2085</v>
      </c>
      <c r="H71" s="11">
        <f>Tablo1456789101112135556[[#This Row],[ADET]]*Tablo1456789101112135556[[#This Row],[SATIŞ]]</f>
        <v>2175</v>
      </c>
    </row>
    <row r="72" spans="2:8" ht="21" hidden="1" customHeight="1" x14ac:dyDescent="0.3">
      <c r="B72" s="2">
        <v>45398</v>
      </c>
      <c r="C72" s="6">
        <v>40</v>
      </c>
      <c r="D72" s="10">
        <v>72</v>
      </c>
      <c r="E72" s="10">
        <v>72.75</v>
      </c>
      <c r="F72" s="9">
        <f>IF(Tablo1456789101112135556[[#This Row],[SATIŞ]]=0,"Açık",(E72-D72)*C72)</f>
        <v>30</v>
      </c>
      <c r="G72" s="11">
        <f>Tablo1456789101112135556[[#This Row],[ADET]]*Tablo1456789101112135556[[#This Row],[ALIŞ]]</f>
        <v>2880</v>
      </c>
      <c r="H72" s="11">
        <f>Tablo1456789101112135556[[#This Row],[ADET]]*Tablo1456789101112135556[[#This Row],[SATIŞ]]</f>
        <v>2910</v>
      </c>
    </row>
    <row r="73" spans="2:8" ht="21" hidden="1" customHeight="1" x14ac:dyDescent="0.3">
      <c r="B73" s="2">
        <v>45398</v>
      </c>
      <c r="C73" s="6">
        <v>20</v>
      </c>
      <c r="D73" s="10">
        <v>72</v>
      </c>
      <c r="E73" s="10">
        <v>73</v>
      </c>
      <c r="F73" s="9">
        <f>IF(Tablo1456789101112135556[[#This Row],[SATIŞ]]=0,"Açık",(E73-D73)*C73)</f>
        <v>20</v>
      </c>
      <c r="G73" s="11">
        <f>Tablo1456789101112135556[[#This Row],[ADET]]*Tablo1456789101112135556[[#This Row],[ALIŞ]]</f>
        <v>1440</v>
      </c>
      <c r="H73" s="11">
        <f>Tablo1456789101112135556[[#This Row],[ADET]]*Tablo1456789101112135556[[#This Row],[SATIŞ]]</f>
        <v>1460</v>
      </c>
    </row>
    <row r="74" spans="2:8" ht="21" hidden="1" customHeight="1" x14ac:dyDescent="0.3">
      <c r="B74" s="2">
        <v>45398</v>
      </c>
      <c r="C74" s="6">
        <v>20</v>
      </c>
      <c r="D74" s="10">
        <v>72</v>
      </c>
      <c r="E74" s="10">
        <v>73.5</v>
      </c>
      <c r="F74" s="9">
        <f>IF(Tablo1456789101112135556[[#This Row],[SATIŞ]]=0,"Açık",(E74-D74)*C74)</f>
        <v>30</v>
      </c>
      <c r="G74" s="11">
        <f>Tablo1456789101112135556[[#This Row],[ADET]]*Tablo1456789101112135556[[#This Row],[ALIŞ]]</f>
        <v>1440</v>
      </c>
      <c r="H74" s="11">
        <f>Tablo1456789101112135556[[#This Row],[ADET]]*Tablo1456789101112135556[[#This Row],[SATIŞ]]</f>
        <v>1470</v>
      </c>
    </row>
    <row r="75" spans="2:8" ht="21" hidden="1" customHeight="1" x14ac:dyDescent="0.3">
      <c r="B75" s="2">
        <v>45398</v>
      </c>
      <c r="C75" s="6">
        <v>20</v>
      </c>
      <c r="D75" s="10">
        <v>72</v>
      </c>
      <c r="E75" s="10">
        <v>73</v>
      </c>
      <c r="F75" s="9">
        <f>IF(Tablo1456789101112135556[[#This Row],[SATIŞ]]=0,"Açık",(E75-D75)*C75)</f>
        <v>20</v>
      </c>
      <c r="G75" s="11">
        <f>Tablo1456789101112135556[[#This Row],[ADET]]*Tablo1456789101112135556[[#This Row],[ALIŞ]]</f>
        <v>1440</v>
      </c>
      <c r="H75" s="11">
        <f>Tablo1456789101112135556[[#This Row],[ADET]]*Tablo1456789101112135556[[#This Row],[SATIŞ]]</f>
        <v>1460</v>
      </c>
    </row>
  </sheetData>
  <conditionalFormatting sqref="B4:F75">
    <cfRule type="expression" dxfId="161" priority="1">
      <formula>$F4&lt;0</formula>
    </cfRule>
    <cfRule type="expression" dxfId="160" priority="2">
      <formula>$F4="Açık"</formula>
    </cfRule>
    <cfRule type="expression" dxfId="159" priority="3">
      <formula>$F4&gt;0</formula>
    </cfRule>
  </conditionalFormatting>
  <hyperlinks>
    <hyperlink ref="B1" location="İcmal!A1" display="ANA SAYFA" xr:uid="{26E491C0-D1BB-406F-9CF1-74E744835636}"/>
  </hyperlinks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947DB-E559-4BBB-9352-069F39F8DA76}">
  <sheetPr>
    <tabColor rgb="FF00B050"/>
  </sheetPr>
  <dimension ref="B1:R50"/>
  <sheetViews>
    <sheetView showGridLines="0" showZeros="0" zoomScale="110" zoomScaleNormal="110" workbookViewId="0">
      <pane ySplit="3" topLeftCell="A33" activePane="bottomLeft" state="frozen"/>
      <selection pane="bottomLeft" activeCell="E51" sqref="E51"/>
    </sheetView>
  </sheetViews>
  <sheetFormatPr defaultRowHeight="21" customHeight="1" x14ac:dyDescent="0.3"/>
  <cols>
    <col min="2" max="2" width="20.6640625" style="1" customWidth="1"/>
    <col min="3" max="3" width="11.33203125" style="6" customWidth="1"/>
    <col min="4" max="5" width="12.88671875" style="3" customWidth="1"/>
    <col min="6" max="6" width="12.88671875" style="5" customWidth="1"/>
    <col min="7" max="7" width="12.6640625" bestFit="1" customWidth="1"/>
    <col min="8" max="8" width="13.44140625" bestFit="1" customWidth="1"/>
    <col min="10" max="12" width="12.44140625" customWidth="1"/>
    <col min="13" max="13" width="12.6640625" bestFit="1" customWidth="1"/>
    <col min="14" max="14" width="11.6640625" bestFit="1" customWidth="1"/>
  </cols>
  <sheetData>
    <row r="1" spans="2:18" ht="21" customHeight="1" x14ac:dyDescent="0.3">
      <c r="B1" s="12" t="s">
        <v>64</v>
      </c>
      <c r="C1" s="4">
        <f>SUMIF(Tablo14567891011121314[KAR],"Açık",Tablo14567891011121314[ADET])</f>
        <v>530</v>
      </c>
      <c r="D1" s="10">
        <f>+İcmal!E18</f>
        <v>319</v>
      </c>
      <c r="E1" s="10">
        <f>C1*D1</f>
        <v>169070</v>
      </c>
      <c r="F1" s="10">
        <f>IFERROR(((SUM(Tablo14567891011121314[ALIŞ TUTAR])-SUM(Tablo14567891011121314[SATIŞ TUTAR]))/C1),"")</f>
        <v>339.49058792452831</v>
      </c>
      <c r="G1" s="10">
        <f>C1*(D1-F1)</f>
        <v>-10860.011600000005</v>
      </c>
      <c r="J1" s="45" t="s">
        <v>94</v>
      </c>
      <c r="K1" s="45" t="s">
        <v>95</v>
      </c>
      <c r="L1" s="45" t="s">
        <v>96</v>
      </c>
      <c r="M1" s="33">
        <f>F1</f>
        <v>339.49058792452831</v>
      </c>
      <c r="N1" s="8" t="e">
        <f>M1*(1+$J$1)</f>
        <v>#VALUE!</v>
      </c>
      <c r="P1" s="8" t="e">
        <f>Q1*(1-$J$1)</f>
        <v>#VALUE!</v>
      </c>
      <c r="Q1" s="33">
        <f>+D1</f>
        <v>319</v>
      </c>
      <c r="R1" s="8" t="e">
        <f>Q1*(1+$J$1)</f>
        <v>#VALUE!</v>
      </c>
    </row>
    <row r="2" spans="2:18" ht="21" customHeight="1" x14ac:dyDescent="0.3">
      <c r="B2" s="7" t="s">
        <v>23</v>
      </c>
      <c r="J2" s="45">
        <f>SUMIFS(Tablo2[HEDEF2],Tablo2[HİSSE],B2)</f>
        <v>3000</v>
      </c>
      <c r="K2" s="45">
        <f>+E1/İcmal!$P$2</f>
        <v>5197.3562865047643</v>
      </c>
      <c r="L2" s="45">
        <f>+J2-K2</f>
        <v>-2197.3562865047643</v>
      </c>
    </row>
    <row r="3" spans="2:18" ht="21" customHeight="1" x14ac:dyDescent="0.3">
      <c r="B3" s="1" t="s">
        <v>0</v>
      </c>
      <c r="C3" s="6" t="s">
        <v>4</v>
      </c>
      <c r="D3" s="3" t="s">
        <v>1</v>
      </c>
      <c r="E3" s="3" t="s">
        <v>3</v>
      </c>
      <c r="F3" s="5" t="s">
        <v>2</v>
      </c>
      <c r="G3" s="3" t="s">
        <v>8</v>
      </c>
      <c r="H3" s="3" t="s">
        <v>9</v>
      </c>
    </row>
    <row r="4" spans="2:18" ht="21" hidden="1" customHeight="1" x14ac:dyDescent="0.3">
      <c r="B4" s="2">
        <v>45322</v>
      </c>
      <c r="C4" s="6">
        <v>700</v>
      </c>
      <c r="D4" s="10">
        <v>180.92580000000001</v>
      </c>
      <c r="E4" s="10">
        <v>165.9795</v>
      </c>
      <c r="F4" s="9">
        <f>IF(Tablo14567891011121314[[#This Row],[SATIŞ]]=0,"Açık",(E4-D4)*C4)</f>
        <v>-10462.410000000005</v>
      </c>
      <c r="G4" s="11">
        <f>Tablo14567891011121314[[#This Row],[ADET]]*Tablo14567891011121314[[#This Row],[ALIŞ]]</f>
        <v>126648.06000000001</v>
      </c>
      <c r="H4" s="11">
        <f>Tablo14567891011121314[[#This Row],[ADET]]*Tablo14567891011121314[[#This Row],[SATIŞ]]</f>
        <v>116185.65</v>
      </c>
      <c r="L4" s="8">
        <f>SUM(Tablo14567891011121314[ALIŞ TUTAR])</f>
        <v>385546.91159999999</v>
      </c>
      <c r="M4" s="8">
        <f>SUM(Tablo14567891011121314[SATIŞ TUTAR])</f>
        <v>205616.9</v>
      </c>
      <c r="N4" s="8">
        <f>L4-M4</f>
        <v>179930.0116</v>
      </c>
    </row>
    <row r="5" spans="2:18" ht="21" hidden="1" customHeight="1" x14ac:dyDescent="0.3">
      <c r="B5" s="2">
        <v>45322</v>
      </c>
      <c r="C5" s="6">
        <v>2</v>
      </c>
      <c r="D5" s="10">
        <v>180.92580000000001</v>
      </c>
      <c r="E5" s="10">
        <v>285</v>
      </c>
      <c r="F5" s="9">
        <f>IF(Tablo14567891011121314[[#This Row],[SATIŞ]]=0,"Açık",(E5-D5)*C5)</f>
        <v>208.14839999999998</v>
      </c>
      <c r="G5" s="11">
        <f>Tablo14567891011121314[[#This Row],[ADET]]*Tablo14567891011121314[[#This Row],[ALIŞ]]</f>
        <v>361.85160000000002</v>
      </c>
      <c r="H5" s="11">
        <f>Tablo14567891011121314[[#This Row],[ADET]]*Tablo14567891011121314[[#This Row],[SATIŞ]]</f>
        <v>570</v>
      </c>
      <c r="N5">
        <f>+N4/80</f>
        <v>2249.125145</v>
      </c>
    </row>
    <row r="6" spans="2:18" ht="21" hidden="1" customHeight="1" x14ac:dyDescent="0.3">
      <c r="B6" s="2">
        <v>45328</v>
      </c>
      <c r="C6" s="6">
        <v>5</v>
      </c>
      <c r="D6" s="10">
        <v>284</v>
      </c>
      <c r="E6" s="10">
        <v>285.25</v>
      </c>
      <c r="F6" s="9">
        <f>IF(Tablo14567891011121314[[#This Row],[SATIŞ]]=0,"Açık",(E6-D6)*C6)</f>
        <v>6.25</v>
      </c>
      <c r="G6" s="11">
        <f>Tablo14567891011121314[[#This Row],[ADET]]*Tablo14567891011121314[[#This Row],[ALIŞ]]</f>
        <v>1420</v>
      </c>
      <c r="H6" s="11">
        <f>Tablo14567891011121314[[#This Row],[ADET]]*Tablo14567891011121314[[#This Row],[SATIŞ]]</f>
        <v>1426.25</v>
      </c>
    </row>
    <row r="7" spans="2:18" ht="21" hidden="1" customHeight="1" x14ac:dyDescent="0.3">
      <c r="B7" s="2">
        <v>45328</v>
      </c>
      <c r="C7" s="6">
        <v>10</v>
      </c>
      <c r="D7" s="10">
        <v>283</v>
      </c>
      <c r="E7" s="10">
        <v>290</v>
      </c>
      <c r="F7" s="9">
        <f>IF(Tablo14567891011121314[[#This Row],[SATIŞ]]=0,"Açık",(E7-D7)*C7)</f>
        <v>70</v>
      </c>
      <c r="G7" s="11">
        <f>Tablo14567891011121314[[#This Row],[ADET]]*Tablo14567891011121314[[#This Row],[ALIŞ]]</f>
        <v>2830</v>
      </c>
      <c r="H7" s="11">
        <f>Tablo14567891011121314[[#This Row],[ADET]]*Tablo14567891011121314[[#This Row],[SATIŞ]]</f>
        <v>2900</v>
      </c>
    </row>
    <row r="8" spans="2:18" ht="21" customHeight="1" x14ac:dyDescent="0.3">
      <c r="B8" s="2">
        <v>45328</v>
      </c>
      <c r="C8" s="6">
        <v>20</v>
      </c>
      <c r="D8" s="10">
        <v>282</v>
      </c>
      <c r="E8" s="10"/>
      <c r="F8" s="9" t="str">
        <f>IF(Tablo14567891011121314[[#This Row],[SATIŞ]]=0,"Açık",(E8-D8)*C8)</f>
        <v>Açık</v>
      </c>
      <c r="G8" s="11">
        <f>Tablo14567891011121314[[#This Row],[ADET]]*Tablo14567891011121314[[#This Row],[ALIŞ]]</f>
        <v>5640</v>
      </c>
      <c r="H8" s="11">
        <f>Tablo14567891011121314[[#This Row],[ADET]]*Tablo14567891011121314[[#This Row],[SATIŞ]]</f>
        <v>0</v>
      </c>
      <c r="J8" s="40">
        <f t="shared" ref="J8:J33" si="0">IF(E8=0,D8*1.05,"")</f>
        <v>296.10000000000002</v>
      </c>
    </row>
    <row r="9" spans="2:18" ht="21" hidden="1" customHeight="1" x14ac:dyDescent="0.3">
      <c r="B9" s="2">
        <v>45328</v>
      </c>
      <c r="C9" s="6">
        <v>8</v>
      </c>
      <c r="D9" s="10">
        <v>284</v>
      </c>
      <c r="E9" s="10">
        <v>285</v>
      </c>
      <c r="F9" s="9">
        <f>IF(Tablo14567891011121314[[#This Row],[SATIŞ]]=0,"Açık",(E9-D9)*C9)</f>
        <v>8</v>
      </c>
      <c r="G9" s="11">
        <f>Tablo14567891011121314[[#This Row],[ADET]]*Tablo14567891011121314[[#This Row],[ALIŞ]]</f>
        <v>2272</v>
      </c>
      <c r="H9" s="11">
        <f>Tablo14567891011121314[[#This Row],[ADET]]*Tablo14567891011121314[[#This Row],[SATIŞ]]</f>
        <v>2280</v>
      </c>
      <c r="J9" s="40" t="str">
        <f t="shared" si="0"/>
        <v/>
      </c>
    </row>
    <row r="10" spans="2:18" ht="21" hidden="1" customHeight="1" x14ac:dyDescent="0.3">
      <c r="B10" s="2">
        <v>45329</v>
      </c>
      <c r="C10" s="6">
        <v>5</v>
      </c>
      <c r="D10" s="10">
        <v>283</v>
      </c>
      <c r="E10" s="10">
        <v>285</v>
      </c>
      <c r="F10" s="9">
        <f>IF(Tablo14567891011121314[[#This Row],[SATIŞ]]=0,"Açık",(E10-D10)*C10)</f>
        <v>10</v>
      </c>
      <c r="G10" s="11">
        <f>Tablo14567891011121314[[#This Row],[ADET]]*Tablo14567891011121314[[#This Row],[ALIŞ]]</f>
        <v>1415</v>
      </c>
      <c r="H10" s="11">
        <f>Tablo14567891011121314[[#This Row],[ADET]]*Tablo14567891011121314[[#This Row],[SATIŞ]]</f>
        <v>1425</v>
      </c>
      <c r="J10" s="40" t="str">
        <f t="shared" si="0"/>
        <v/>
      </c>
    </row>
    <row r="11" spans="2:18" ht="21" hidden="1" customHeight="1" x14ac:dyDescent="0.3">
      <c r="B11" s="2">
        <v>45329</v>
      </c>
      <c r="C11" s="6">
        <v>10</v>
      </c>
      <c r="D11" s="10">
        <v>280</v>
      </c>
      <c r="E11" s="10">
        <v>295</v>
      </c>
      <c r="F11" s="9">
        <f>IF(Tablo14567891011121314[[#This Row],[SATIŞ]]=0,"Açık",(E11-D11)*C11)</f>
        <v>150</v>
      </c>
      <c r="G11" s="11">
        <f>Tablo14567891011121314[[#This Row],[ADET]]*Tablo14567891011121314[[#This Row],[ALIŞ]]</f>
        <v>2800</v>
      </c>
      <c r="H11" s="11">
        <f>Tablo14567891011121314[[#This Row],[ADET]]*Tablo14567891011121314[[#This Row],[SATIŞ]]</f>
        <v>2950</v>
      </c>
      <c r="J11" s="40" t="str">
        <f t="shared" si="0"/>
        <v/>
      </c>
    </row>
    <row r="12" spans="2:18" ht="21" hidden="1" customHeight="1" x14ac:dyDescent="0.3">
      <c r="B12" s="2">
        <v>45329</v>
      </c>
      <c r="C12" s="6">
        <v>15</v>
      </c>
      <c r="D12" s="10">
        <v>277</v>
      </c>
      <c r="E12" s="10">
        <v>282</v>
      </c>
      <c r="F12" s="9">
        <f>IF(Tablo14567891011121314[[#This Row],[SATIŞ]]=0,"Açık",(E12-D12)*C12)</f>
        <v>75</v>
      </c>
      <c r="G12" s="11">
        <f>Tablo14567891011121314[[#This Row],[ADET]]*Tablo14567891011121314[[#This Row],[ALIŞ]]</f>
        <v>4155</v>
      </c>
      <c r="H12" s="11">
        <f>Tablo14567891011121314[[#This Row],[ADET]]*Tablo14567891011121314[[#This Row],[SATIŞ]]</f>
        <v>4230</v>
      </c>
      <c r="J12" s="40" t="str">
        <f t="shared" si="0"/>
        <v/>
      </c>
    </row>
    <row r="13" spans="2:18" ht="21" customHeight="1" x14ac:dyDescent="0.3">
      <c r="B13" s="2">
        <v>45329</v>
      </c>
      <c r="C13" s="6">
        <v>5</v>
      </c>
      <c r="D13" s="10">
        <v>279</v>
      </c>
      <c r="E13" s="10"/>
      <c r="F13" s="9" t="str">
        <f>IF(Tablo14567891011121314[[#This Row],[SATIŞ]]=0,"Açık",(E13-D13)*C13)</f>
        <v>Açık</v>
      </c>
      <c r="G13" s="11">
        <f>Tablo14567891011121314[[#This Row],[ADET]]*Tablo14567891011121314[[#This Row],[ALIŞ]]</f>
        <v>1395</v>
      </c>
      <c r="H13" s="11">
        <f>Tablo14567891011121314[[#This Row],[ADET]]*Tablo14567891011121314[[#This Row],[SATIŞ]]</f>
        <v>0</v>
      </c>
      <c r="J13" s="40">
        <f t="shared" si="0"/>
        <v>292.95</v>
      </c>
    </row>
    <row r="14" spans="2:18" ht="21" hidden="1" customHeight="1" x14ac:dyDescent="0.3">
      <c r="B14" s="2">
        <v>45329</v>
      </c>
      <c r="C14" s="6">
        <v>5</v>
      </c>
      <c r="D14" s="10">
        <v>279</v>
      </c>
      <c r="E14" s="10">
        <v>282</v>
      </c>
      <c r="F14" s="9">
        <f>IF(Tablo14567891011121314[[#This Row],[SATIŞ]]=0,"Açık",(E14-D14)*C14)</f>
        <v>15</v>
      </c>
      <c r="G14" s="11">
        <f>Tablo14567891011121314[[#This Row],[ADET]]*Tablo14567891011121314[[#This Row],[ALIŞ]]</f>
        <v>1395</v>
      </c>
      <c r="H14" s="11">
        <f>Tablo14567891011121314[[#This Row],[ADET]]*Tablo14567891011121314[[#This Row],[SATIŞ]]</f>
        <v>1410</v>
      </c>
      <c r="J14" s="40" t="str">
        <f t="shared" si="0"/>
        <v/>
      </c>
      <c r="M14">
        <f>279*0.98</f>
        <v>273.42</v>
      </c>
    </row>
    <row r="15" spans="2:18" ht="21" customHeight="1" x14ac:dyDescent="0.3">
      <c r="B15" s="2">
        <v>45335</v>
      </c>
      <c r="C15" s="6">
        <v>25</v>
      </c>
      <c r="D15" s="10">
        <v>282</v>
      </c>
      <c r="E15" s="10"/>
      <c r="F15" s="9" t="str">
        <f>IF(Tablo14567891011121314[[#This Row],[SATIŞ]]=0,"Açık",(E15-D15)*C15)</f>
        <v>Açık</v>
      </c>
      <c r="G15" s="11">
        <f>Tablo14567891011121314[[#This Row],[ADET]]*Tablo14567891011121314[[#This Row],[ALIŞ]]</f>
        <v>7050</v>
      </c>
      <c r="H15" s="11">
        <f>Tablo14567891011121314[[#This Row],[ADET]]*Tablo14567891011121314[[#This Row],[SATIŞ]]</f>
        <v>0</v>
      </c>
      <c r="J15" s="40">
        <f t="shared" si="0"/>
        <v>296.10000000000002</v>
      </c>
    </row>
    <row r="16" spans="2:18" ht="21" hidden="1" customHeight="1" x14ac:dyDescent="0.3">
      <c r="B16" s="2">
        <v>45335</v>
      </c>
      <c r="C16" s="6">
        <v>10</v>
      </c>
      <c r="D16" s="10">
        <v>280</v>
      </c>
      <c r="E16" s="10">
        <v>390</v>
      </c>
      <c r="F16" s="9">
        <f>IF(Tablo14567891011121314[[#This Row],[SATIŞ]]=0,"Açık",(E16-D16)*C16)</f>
        <v>1100</v>
      </c>
      <c r="G16" s="11">
        <f>Tablo14567891011121314[[#This Row],[ADET]]*Tablo14567891011121314[[#This Row],[ALIŞ]]</f>
        <v>2800</v>
      </c>
      <c r="H16" s="11">
        <f>Tablo14567891011121314[[#This Row],[ADET]]*Tablo14567891011121314[[#This Row],[SATIŞ]]</f>
        <v>3900</v>
      </c>
      <c r="J16" s="40" t="str">
        <f t="shared" si="0"/>
        <v/>
      </c>
    </row>
    <row r="17" spans="2:10" ht="21" hidden="1" customHeight="1" x14ac:dyDescent="0.3">
      <c r="B17" s="2">
        <v>45335</v>
      </c>
      <c r="C17" s="6">
        <v>10</v>
      </c>
      <c r="D17" s="10">
        <v>277</v>
      </c>
      <c r="E17" s="10">
        <v>280</v>
      </c>
      <c r="F17" s="9">
        <f>IF(Tablo14567891011121314[[#This Row],[SATIŞ]]=0,"Açık",(E17-D17)*C17)</f>
        <v>30</v>
      </c>
      <c r="G17" s="11">
        <f>Tablo14567891011121314[[#This Row],[ADET]]*Tablo14567891011121314[[#This Row],[ALIŞ]]</f>
        <v>2770</v>
      </c>
      <c r="H17" s="11">
        <f>Tablo14567891011121314[[#This Row],[ADET]]*Tablo14567891011121314[[#This Row],[SATIŞ]]</f>
        <v>2800</v>
      </c>
      <c r="J17" s="40" t="str">
        <f t="shared" si="0"/>
        <v/>
      </c>
    </row>
    <row r="18" spans="2:10" ht="21" hidden="1" customHeight="1" x14ac:dyDescent="0.3">
      <c r="B18" s="2">
        <v>45335</v>
      </c>
      <c r="C18" s="6">
        <v>10</v>
      </c>
      <c r="D18" s="10">
        <v>275</v>
      </c>
      <c r="E18" s="10">
        <v>375</v>
      </c>
      <c r="F18" s="9">
        <f>IF(Tablo14567891011121314[[#This Row],[SATIŞ]]=0,"Açık",(E18-D18)*C18)</f>
        <v>1000</v>
      </c>
      <c r="G18" s="11">
        <f>Tablo14567891011121314[[#This Row],[ADET]]*Tablo14567891011121314[[#This Row],[ALIŞ]]</f>
        <v>2750</v>
      </c>
      <c r="H18" s="11">
        <f>Tablo14567891011121314[[#This Row],[ADET]]*Tablo14567891011121314[[#This Row],[SATIŞ]]</f>
        <v>3750</v>
      </c>
      <c r="J18" s="40" t="str">
        <f t="shared" si="0"/>
        <v/>
      </c>
    </row>
    <row r="19" spans="2:10" ht="21" hidden="1" customHeight="1" x14ac:dyDescent="0.3">
      <c r="B19" s="2">
        <v>45336</v>
      </c>
      <c r="C19" s="6">
        <v>5</v>
      </c>
      <c r="D19" s="10">
        <v>265</v>
      </c>
      <c r="E19" s="10">
        <v>270</v>
      </c>
      <c r="F19" s="9">
        <f>IF(Tablo14567891011121314[[#This Row],[SATIŞ]]=0,"Açık",(E19-D19)*C19)</f>
        <v>25</v>
      </c>
      <c r="G19" s="11">
        <f>Tablo14567891011121314[[#This Row],[ADET]]*Tablo14567891011121314[[#This Row],[ALIŞ]]</f>
        <v>1325</v>
      </c>
      <c r="H19" s="11">
        <f>Tablo14567891011121314[[#This Row],[ADET]]*Tablo14567891011121314[[#This Row],[SATIŞ]]</f>
        <v>1350</v>
      </c>
      <c r="J19" s="40" t="str">
        <f t="shared" si="0"/>
        <v/>
      </c>
    </row>
    <row r="20" spans="2:10" ht="21" hidden="1" customHeight="1" x14ac:dyDescent="0.3">
      <c r="B20" s="2">
        <v>45336</v>
      </c>
      <c r="C20" s="6">
        <v>5</v>
      </c>
      <c r="D20" s="10">
        <v>265</v>
      </c>
      <c r="E20" s="10">
        <v>275</v>
      </c>
      <c r="F20" s="9">
        <f>IF(Tablo14567891011121314[[#This Row],[SATIŞ]]=0,"Açık",(E20-D20)*C20)</f>
        <v>50</v>
      </c>
      <c r="G20" s="11">
        <f>Tablo14567891011121314[[#This Row],[ADET]]*Tablo14567891011121314[[#This Row],[ALIŞ]]</f>
        <v>1325</v>
      </c>
      <c r="H20" s="11">
        <f>Tablo14567891011121314[[#This Row],[ADET]]*Tablo14567891011121314[[#This Row],[SATIŞ]]</f>
        <v>1375</v>
      </c>
      <c r="J20" s="40" t="str">
        <f t="shared" si="0"/>
        <v/>
      </c>
    </row>
    <row r="21" spans="2:10" ht="21" hidden="1" customHeight="1" x14ac:dyDescent="0.3">
      <c r="B21" s="2">
        <v>45336</v>
      </c>
      <c r="C21" s="6">
        <v>10</v>
      </c>
      <c r="D21" s="10">
        <v>265</v>
      </c>
      <c r="E21" s="10">
        <v>278</v>
      </c>
      <c r="F21" s="9">
        <f>IF(Tablo14567891011121314[[#This Row],[SATIŞ]]=0,"Açık",(E21-D21)*C21)</f>
        <v>130</v>
      </c>
      <c r="G21" s="11">
        <f>Tablo14567891011121314[[#This Row],[ADET]]*Tablo14567891011121314[[#This Row],[ALIŞ]]</f>
        <v>2650</v>
      </c>
      <c r="H21" s="11">
        <f>Tablo14567891011121314[[#This Row],[ADET]]*Tablo14567891011121314[[#This Row],[SATIŞ]]</f>
        <v>2780</v>
      </c>
      <c r="J21" s="40" t="str">
        <f t="shared" si="0"/>
        <v/>
      </c>
    </row>
    <row r="22" spans="2:10" ht="21" hidden="1" customHeight="1" x14ac:dyDescent="0.3">
      <c r="B22" s="2">
        <v>45337</v>
      </c>
      <c r="C22" s="6">
        <v>10</v>
      </c>
      <c r="D22" s="10">
        <v>274</v>
      </c>
      <c r="E22" s="10">
        <v>280</v>
      </c>
      <c r="F22" s="9">
        <f>IF(Tablo14567891011121314[[#This Row],[SATIŞ]]=0,"Açık",(E22-D22)*C22)</f>
        <v>60</v>
      </c>
      <c r="G22" s="11">
        <f>Tablo14567891011121314[[#This Row],[ADET]]*Tablo14567891011121314[[#This Row],[ALIŞ]]</f>
        <v>2740</v>
      </c>
      <c r="H22" s="11">
        <f>Tablo14567891011121314[[#This Row],[ADET]]*Tablo14567891011121314[[#This Row],[SATIŞ]]</f>
        <v>2800</v>
      </c>
      <c r="J22" s="40" t="str">
        <f t="shared" si="0"/>
        <v/>
      </c>
    </row>
    <row r="23" spans="2:10" ht="21" hidden="1" customHeight="1" x14ac:dyDescent="0.3">
      <c r="B23" s="2">
        <v>45335</v>
      </c>
      <c r="C23" s="6">
        <v>10</v>
      </c>
      <c r="D23" s="10">
        <v>275</v>
      </c>
      <c r="E23" s="10">
        <v>335</v>
      </c>
      <c r="F23" s="9">
        <f>IF(Tablo14567891011121314[[#This Row],[SATIŞ]]=0,"Açık",(E23-D23)*C23)</f>
        <v>600</v>
      </c>
      <c r="G23" s="11">
        <f>Tablo14567891011121314[[#This Row],[ADET]]*Tablo14567891011121314[[#This Row],[ALIŞ]]</f>
        <v>2750</v>
      </c>
      <c r="H23" s="11">
        <f>Tablo14567891011121314[[#This Row],[ADET]]*Tablo14567891011121314[[#This Row],[SATIŞ]]</f>
        <v>3350</v>
      </c>
      <c r="J23" s="40"/>
    </row>
    <row r="24" spans="2:10" ht="21" hidden="1" customHeight="1" x14ac:dyDescent="0.3">
      <c r="B24" s="2">
        <v>45341</v>
      </c>
      <c r="C24" s="6">
        <v>10</v>
      </c>
      <c r="D24" s="10">
        <v>275</v>
      </c>
      <c r="E24" s="10">
        <v>330</v>
      </c>
      <c r="F24" s="9">
        <f>IF(Tablo14567891011121314[[#This Row],[SATIŞ]]=0,"Açık",(E24-D24)*C24)</f>
        <v>550</v>
      </c>
      <c r="G24" s="11">
        <f>Tablo14567891011121314[[#This Row],[ADET]]*Tablo14567891011121314[[#This Row],[ALIŞ]]</f>
        <v>2750</v>
      </c>
      <c r="H24" s="11">
        <f>Tablo14567891011121314[[#This Row],[ADET]]*Tablo14567891011121314[[#This Row],[SATIŞ]]</f>
        <v>3300</v>
      </c>
      <c r="J24" s="40" t="str">
        <f t="shared" si="0"/>
        <v/>
      </c>
    </row>
    <row r="25" spans="2:10" ht="21" hidden="1" customHeight="1" x14ac:dyDescent="0.3">
      <c r="B25" s="2">
        <v>45342</v>
      </c>
      <c r="C25" s="6">
        <v>10</v>
      </c>
      <c r="D25" s="10">
        <v>280</v>
      </c>
      <c r="E25" s="10">
        <v>322</v>
      </c>
      <c r="F25" s="9">
        <f>IF(Tablo14567891011121314[[#This Row],[SATIŞ]]=0,"Açık",(E25-D25)*C25)</f>
        <v>420</v>
      </c>
      <c r="G25" s="11">
        <f>Tablo14567891011121314[[#This Row],[ADET]]*Tablo14567891011121314[[#This Row],[ALIŞ]]</f>
        <v>2800</v>
      </c>
      <c r="H25" s="11">
        <f>Tablo14567891011121314[[#This Row],[ADET]]*Tablo14567891011121314[[#This Row],[SATIŞ]]</f>
        <v>3220</v>
      </c>
      <c r="J25" s="40" t="str">
        <f t="shared" si="0"/>
        <v/>
      </c>
    </row>
    <row r="26" spans="2:10" ht="21" hidden="1" customHeight="1" x14ac:dyDescent="0.3">
      <c r="B26" s="2">
        <v>45342</v>
      </c>
      <c r="C26" s="6">
        <v>20</v>
      </c>
      <c r="D26" s="10">
        <v>280</v>
      </c>
      <c r="E26" s="10">
        <v>325</v>
      </c>
      <c r="F26" s="9">
        <f>IF(Tablo14567891011121314[[#This Row],[SATIŞ]]=0,"Açık",(E26-D26)*C26)</f>
        <v>900</v>
      </c>
      <c r="G26" s="11">
        <f>Tablo14567891011121314[[#This Row],[ADET]]*Tablo14567891011121314[[#This Row],[ALIŞ]]</f>
        <v>5600</v>
      </c>
      <c r="H26" s="11">
        <f>Tablo14567891011121314[[#This Row],[ADET]]*Tablo14567891011121314[[#This Row],[SATIŞ]]</f>
        <v>6500</v>
      </c>
      <c r="J26" s="40" t="str">
        <f t="shared" si="0"/>
        <v/>
      </c>
    </row>
    <row r="27" spans="2:10" ht="21" hidden="1" customHeight="1" x14ac:dyDescent="0.3">
      <c r="B27" s="2">
        <v>45343</v>
      </c>
      <c r="C27" s="6">
        <v>10</v>
      </c>
      <c r="D27" s="10">
        <v>275</v>
      </c>
      <c r="E27" s="10">
        <v>310</v>
      </c>
      <c r="F27" s="9">
        <f>IF(Tablo14567891011121314[[#This Row],[SATIŞ]]=0,"Açık",(E27-D27)*C27)</f>
        <v>350</v>
      </c>
      <c r="G27" s="11">
        <f>Tablo14567891011121314[[#This Row],[ADET]]*Tablo14567891011121314[[#This Row],[ALIŞ]]</f>
        <v>2750</v>
      </c>
      <c r="H27" s="11">
        <f>Tablo14567891011121314[[#This Row],[ADET]]*Tablo14567891011121314[[#This Row],[SATIŞ]]</f>
        <v>3100</v>
      </c>
      <c r="J27" s="40" t="str">
        <f t="shared" si="0"/>
        <v/>
      </c>
    </row>
    <row r="28" spans="2:10" ht="21" hidden="1" customHeight="1" x14ac:dyDescent="0.3">
      <c r="B28" s="2">
        <v>45345</v>
      </c>
      <c r="C28" s="6">
        <v>10</v>
      </c>
      <c r="D28" s="10">
        <v>275</v>
      </c>
      <c r="E28" s="10">
        <v>285</v>
      </c>
      <c r="F28" s="9">
        <f>IF(Tablo14567891011121314[[#This Row],[SATIŞ]]=0,"Açık",(E28-D28)*C28)</f>
        <v>100</v>
      </c>
      <c r="G28" s="11">
        <f>Tablo14567891011121314[[#This Row],[ADET]]*Tablo14567891011121314[[#This Row],[ALIŞ]]</f>
        <v>2750</v>
      </c>
      <c r="H28" s="11">
        <f>Tablo14567891011121314[[#This Row],[ADET]]*Tablo14567891011121314[[#This Row],[SATIŞ]]</f>
        <v>2850</v>
      </c>
      <c r="J28" s="40" t="str">
        <f t="shared" si="0"/>
        <v/>
      </c>
    </row>
    <row r="29" spans="2:10" ht="21" hidden="1" customHeight="1" x14ac:dyDescent="0.3">
      <c r="B29" s="2">
        <v>45470</v>
      </c>
      <c r="C29" s="6">
        <v>10</v>
      </c>
      <c r="D29" s="10">
        <v>265</v>
      </c>
      <c r="E29" s="10">
        <v>270</v>
      </c>
      <c r="F29" s="9">
        <f>IF(Tablo14567891011121314[[#This Row],[SATIŞ]]=0,"Açık",(E29-D29)*C29)</f>
        <v>50</v>
      </c>
      <c r="G29" s="11">
        <f>Tablo14567891011121314[[#This Row],[ADET]]*Tablo14567891011121314[[#This Row],[ALIŞ]]</f>
        <v>2650</v>
      </c>
      <c r="H29" s="11">
        <f>Tablo14567891011121314[[#This Row],[ADET]]*Tablo14567891011121314[[#This Row],[SATIŞ]]</f>
        <v>2700</v>
      </c>
      <c r="J29" s="40" t="str">
        <f t="shared" si="0"/>
        <v/>
      </c>
    </row>
    <row r="30" spans="2:10" ht="21" customHeight="1" x14ac:dyDescent="0.3">
      <c r="B30" s="2">
        <v>45372</v>
      </c>
      <c r="C30" s="6">
        <v>10</v>
      </c>
      <c r="D30" s="10">
        <v>320</v>
      </c>
      <c r="E30" s="10"/>
      <c r="F30" s="9" t="str">
        <f>IF(Tablo14567891011121314[[#This Row],[SATIŞ]]=0,"Açık",(E30-D30)*C30)</f>
        <v>Açık</v>
      </c>
      <c r="G30" s="11">
        <f>Tablo14567891011121314[[#This Row],[ADET]]*Tablo14567891011121314[[#This Row],[ALIŞ]]</f>
        <v>3200</v>
      </c>
      <c r="H30" s="11">
        <f>Tablo14567891011121314[[#This Row],[ADET]]*Tablo14567891011121314[[#This Row],[SATIŞ]]</f>
        <v>0</v>
      </c>
      <c r="J30" s="40">
        <f t="shared" si="0"/>
        <v>336</v>
      </c>
    </row>
    <row r="31" spans="2:10" ht="21" customHeight="1" x14ac:dyDescent="0.3">
      <c r="B31" s="2">
        <v>45376</v>
      </c>
      <c r="C31" s="6">
        <v>10</v>
      </c>
      <c r="D31" s="10">
        <v>315</v>
      </c>
      <c r="E31" s="10"/>
      <c r="F31" s="9" t="str">
        <f>IF(Tablo14567891011121314[[#This Row],[SATIŞ]]=0,"Açık",(E31-D31)*C31)</f>
        <v>Açık</v>
      </c>
      <c r="G31" s="11">
        <f>Tablo14567891011121314[[#This Row],[ADET]]*Tablo14567891011121314[[#This Row],[ALIŞ]]</f>
        <v>3150</v>
      </c>
      <c r="H31" s="11">
        <f>Tablo14567891011121314[[#This Row],[ADET]]*Tablo14567891011121314[[#This Row],[SATIŞ]]</f>
        <v>0</v>
      </c>
      <c r="J31" s="40">
        <f t="shared" si="0"/>
        <v>330.75</v>
      </c>
    </row>
    <row r="32" spans="2:10" ht="21" customHeight="1" x14ac:dyDescent="0.3">
      <c r="B32" s="2">
        <v>45377</v>
      </c>
      <c r="C32" s="6">
        <v>10</v>
      </c>
      <c r="D32" s="10">
        <v>310</v>
      </c>
      <c r="E32" s="10"/>
      <c r="F32" s="9" t="str">
        <f>IF(Tablo14567891011121314[[#This Row],[SATIŞ]]=0,"Açık",(E32-D32)*C32)</f>
        <v>Açık</v>
      </c>
      <c r="G32" s="11">
        <f>Tablo14567891011121314[[#This Row],[ADET]]*Tablo14567891011121314[[#This Row],[ALIŞ]]</f>
        <v>3100</v>
      </c>
      <c r="H32" s="11">
        <f>Tablo14567891011121314[[#This Row],[ADET]]*Tablo14567891011121314[[#This Row],[SATIŞ]]</f>
        <v>0</v>
      </c>
      <c r="J32" s="40">
        <f t="shared" si="0"/>
        <v>325.5</v>
      </c>
    </row>
    <row r="33" spans="2:10" ht="21" customHeight="1" x14ac:dyDescent="0.3">
      <c r="B33" s="2">
        <v>45377</v>
      </c>
      <c r="C33" s="6">
        <v>20</v>
      </c>
      <c r="D33" s="10">
        <v>310</v>
      </c>
      <c r="E33" s="10"/>
      <c r="F33" s="9" t="str">
        <f>IF(Tablo14567891011121314[[#This Row],[SATIŞ]]=0,"Açık",(E33-D33)*C33)</f>
        <v>Açık</v>
      </c>
      <c r="G33" s="11">
        <f>Tablo14567891011121314[[#This Row],[ADET]]*Tablo14567891011121314[[#This Row],[ALIŞ]]</f>
        <v>6200</v>
      </c>
      <c r="H33" s="11">
        <f>Tablo14567891011121314[[#This Row],[ADET]]*Tablo14567891011121314[[#This Row],[SATIŞ]]</f>
        <v>0</v>
      </c>
      <c r="J33" s="40">
        <f t="shared" si="0"/>
        <v>325.5</v>
      </c>
    </row>
    <row r="34" spans="2:10" ht="21" customHeight="1" x14ac:dyDescent="0.3">
      <c r="B34" s="2">
        <v>45377</v>
      </c>
      <c r="C34" s="6">
        <v>20</v>
      </c>
      <c r="D34" s="10">
        <v>309</v>
      </c>
      <c r="E34" s="10"/>
      <c r="F34" s="9" t="str">
        <f>IF(Tablo14567891011121314[[#This Row],[SATIŞ]]=0,"Açık",(E34-D34)*C34)</f>
        <v>Açık</v>
      </c>
      <c r="G34" s="11">
        <f>Tablo14567891011121314[[#This Row],[ADET]]*Tablo14567891011121314[[#This Row],[ALIŞ]]</f>
        <v>6180</v>
      </c>
      <c r="H34" s="11">
        <f>Tablo14567891011121314[[#This Row],[ADET]]*Tablo14567891011121314[[#This Row],[SATIŞ]]</f>
        <v>0</v>
      </c>
    </row>
    <row r="35" spans="2:10" ht="21" customHeight="1" x14ac:dyDescent="0.3">
      <c r="B35" s="2">
        <v>45377</v>
      </c>
      <c r="C35" s="6">
        <v>20</v>
      </c>
      <c r="D35" s="10">
        <v>308</v>
      </c>
      <c r="E35" s="10"/>
      <c r="F35" s="9" t="str">
        <f>IF(Tablo14567891011121314[[#This Row],[SATIŞ]]=0,"Açık",(E35-D35)*C35)</f>
        <v>Açık</v>
      </c>
      <c r="G35" s="11">
        <f>Tablo14567891011121314[[#This Row],[ADET]]*Tablo14567891011121314[[#This Row],[ALIŞ]]</f>
        <v>6160</v>
      </c>
      <c r="H35" s="11">
        <f>Tablo14567891011121314[[#This Row],[ADET]]*Tablo14567891011121314[[#This Row],[SATIŞ]]</f>
        <v>0</v>
      </c>
    </row>
    <row r="36" spans="2:10" ht="21" hidden="1" customHeight="1" x14ac:dyDescent="0.3">
      <c r="B36" s="2">
        <v>45384</v>
      </c>
      <c r="C36" s="6">
        <v>10</v>
      </c>
      <c r="D36" s="10">
        <v>306.75</v>
      </c>
      <c r="E36" s="10">
        <v>315</v>
      </c>
      <c r="F36" s="9">
        <f>IF(Tablo14567891011121314[[#This Row],[SATIŞ]]=0,"Açık",(E36-D36)*C36)</f>
        <v>82.5</v>
      </c>
      <c r="G36" s="11">
        <f>Tablo14567891011121314[[#This Row],[ADET]]*Tablo14567891011121314[[#This Row],[ALIŞ]]</f>
        <v>3067.5</v>
      </c>
      <c r="H36" s="11">
        <f>Tablo14567891011121314[[#This Row],[ADET]]*Tablo14567891011121314[[#This Row],[SATIŞ]]</f>
        <v>3150</v>
      </c>
    </row>
    <row r="37" spans="2:10" ht="21" hidden="1" customHeight="1" x14ac:dyDescent="0.3">
      <c r="B37" s="2">
        <v>45384</v>
      </c>
      <c r="C37" s="6">
        <v>10</v>
      </c>
      <c r="D37" s="10">
        <v>306.75</v>
      </c>
      <c r="E37" s="10">
        <v>316</v>
      </c>
      <c r="F37" s="9">
        <f>IF(Tablo14567891011121314[[#This Row],[SATIŞ]]=0,"Açık",(E37-D37)*C37)</f>
        <v>92.5</v>
      </c>
      <c r="G37" s="11">
        <f>Tablo14567891011121314[[#This Row],[ADET]]*Tablo14567891011121314[[#This Row],[ALIŞ]]</f>
        <v>3067.5</v>
      </c>
      <c r="H37" s="11">
        <f>Tablo14567891011121314[[#This Row],[ADET]]*Tablo14567891011121314[[#This Row],[SATIŞ]]</f>
        <v>3160</v>
      </c>
    </row>
    <row r="38" spans="2:10" ht="21" hidden="1" customHeight="1" x14ac:dyDescent="0.3">
      <c r="B38" s="2">
        <v>45384</v>
      </c>
      <c r="C38" s="6">
        <v>10</v>
      </c>
      <c r="D38" s="10">
        <v>306.75</v>
      </c>
      <c r="E38" s="10">
        <v>318</v>
      </c>
      <c r="F38" s="9">
        <f>IF(Tablo14567891011121314[[#This Row],[SATIŞ]]=0,"Açık",(E38-D38)*C38)</f>
        <v>112.5</v>
      </c>
      <c r="G38" s="11">
        <f>Tablo14567891011121314[[#This Row],[ADET]]*Tablo14567891011121314[[#This Row],[ALIŞ]]</f>
        <v>3067.5</v>
      </c>
      <c r="H38" s="11">
        <f>Tablo14567891011121314[[#This Row],[ADET]]*Tablo14567891011121314[[#This Row],[SATIŞ]]</f>
        <v>3180</v>
      </c>
    </row>
    <row r="39" spans="2:10" ht="21" hidden="1" customHeight="1" x14ac:dyDescent="0.3">
      <c r="B39" s="2">
        <v>45384</v>
      </c>
      <c r="C39" s="6">
        <v>10</v>
      </c>
      <c r="D39" s="10">
        <v>306.75</v>
      </c>
      <c r="E39" s="10">
        <v>320</v>
      </c>
      <c r="F39" s="9">
        <f>IF(Tablo14567891011121314[[#This Row],[SATIŞ]]=0,"Açık",(E39-D39)*C39)</f>
        <v>132.5</v>
      </c>
      <c r="G39" s="11">
        <f>Tablo14567891011121314[[#This Row],[ADET]]*Tablo14567891011121314[[#This Row],[ALIŞ]]</f>
        <v>3067.5</v>
      </c>
      <c r="H39" s="11">
        <f>Tablo14567891011121314[[#This Row],[ADET]]*Tablo14567891011121314[[#This Row],[SATIŞ]]</f>
        <v>3200</v>
      </c>
    </row>
    <row r="40" spans="2:10" ht="21" hidden="1" customHeight="1" x14ac:dyDescent="0.3">
      <c r="B40" s="2">
        <v>45384</v>
      </c>
      <c r="C40" s="6">
        <v>10</v>
      </c>
      <c r="D40" s="10">
        <v>306.75</v>
      </c>
      <c r="E40" s="10">
        <v>340</v>
      </c>
      <c r="F40" s="9">
        <f>IF(Tablo14567891011121314[[#This Row],[SATIŞ]]=0,"Açık",(E40-D40)*C40)</f>
        <v>332.5</v>
      </c>
      <c r="G40" s="11">
        <f>Tablo14567891011121314[[#This Row],[ADET]]*Tablo14567891011121314[[#This Row],[ALIŞ]]</f>
        <v>3067.5</v>
      </c>
      <c r="H40" s="11">
        <f>Tablo14567891011121314[[#This Row],[ADET]]*Tablo14567891011121314[[#This Row],[SATIŞ]]</f>
        <v>3400</v>
      </c>
    </row>
    <row r="41" spans="2:10" ht="21" hidden="1" customHeight="1" x14ac:dyDescent="0.3">
      <c r="B41" s="2">
        <v>45384</v>
      </c>
      <c r="C41" s="6">
        <v>10</v>
      </c>
      <c r="D41" s="10">
        <v>306.75</v>
      </c>
      <c r="E41" s="10">
        <v>345</v>
      </c>
      <c r="F41" s="9">
        <f>IF(Tablo14567891011121314[[#This Row],[SATIŞ]]=0,"Açık",(E41-D41)*C41)</f>
        <v>382.5</v>
      </c>
      <c r="G41" s="11">
        <f>Tablo14567891011121314[[#This Row],[ADET]]*Tablo14567891011121314[[#This Row],[ALIŞ]]</f>
        <v>3067.5</v>
      </c>
      <c r="H41" s="11">
        <f>Tablo14567891011121314[[#This Row],[ADET]]*Tablo14567891011121314[[#This Row],[SATIŞ]]</f>
        <v>3450</v>
      </c>
    </row>
    <row r="42" spans="2:10" ht="21" hidden="1" customHeight="1" x14ac:dyDescent="0.3">
      <c r="B42" s="2">
        <v>45384</v>
      </c>
      <c r="C42" s="6">
        <v>10</v>
      </c>
      <c r="D42" s="10">
        <v>306.75</v>
      </c>
      <c r="E42" s="10">
        <v>360</v>
      </c>
      <c r="F42" s="9">
        <f>IF(Tablo14567891011121314[[#This Row],[SATIŞ]]=0,"Açık",(E42-D42)*C42)</f>
        <v>532.5</v>
      </c>
      <c r="G42" s="11">
        <f>Tablo14567891011121314[[#This Row],[ADET]]*Tablo14567891011121314[[#This Row],[ALIŞ]]</f>
        <v>3067.5</v>
      </c>
      <c r="H42" s="11">
        <f>Tablo14567891011121314[[#This Row],[ADET]]*Tablo14567891011121314[[#This Row],[SATIŞ]]</f>
        <v>3600</v>
      </c>
    </row>
    <row r="43" spans="2:10" ht="21" hidden="1" customHeight="1" x14ac:dyDescent="0.3">
      <c r="B43" s="2">
        <v>45384</v>
      </c>
      <c r="C43" s="6">
        <v>10</v>
      </c>
      <c r="D43" s="10">
        <v>306.75</v>
      </c>
      <c r="E43" s="10">
        <v>365</v>
      </c>
      <c r="F43" s="9">
        <f>IF(Tablo14567891011121314[[#This Row],[SATIŞ]]=0,"Açık",(E43-D43)*C43)</f>
        <v>582.5</v>
      </c>
      <c r="G43" s="11">
        <f>Tablo14567891011121314[[#This Row],[ADET]]*Tablo14567891011121314[[#This Row],[ALIŞ]]</f>
        <v>3067.5</v>
      </c>
      <c r="H43" s="11">
        <f>Tablo14567891011121314[[#This Row],[ADET]]*Tablo14567891011121314[[#This Row],[SATIŞ]]</f>
        <v>3650</v>
      </c>
    </row>
    <row r="44" spans="2:10" ht="21" customHeight="1" x14ac:dyDescent="0.3">
      <c r="B44" s="2">
        <v>45384</v>
      </c>
      <c r="C44" s="6">
        <v>20</v>
      </c>
      <c r="D44" s="10">
        <v>306.75</v>
      </c>
      <c r="E44" s="10"/>
      <c r="F44" s="9" t="str">
        <f>IF(Tablo14567891011121314[[#This Row],[SATIŞ]]=0,"Açık",(E44-D44)*C44)</f>
        <v>Açık</v>
      </c>
      <c r="G44" s="11">
        <f>Tablo14567891011121314[[#This Row],[ADET]]*Tablo14567891011121314[[#This Row],[ALIŞ]]</f>
        <v>6135</v>
      </c>
      <c r="H44" s="11">
        <f>Tablo14567891011121314[[#This Row],[ADET]]*Tablo14567891011121314[[#This Row],[SATIŞ]]</f>
        <v>0</v>
      </c>
    </row>
    <row r="45" spans="2:10" ht="21" customHeight="1" x14ac:dyDescent="0.3">
      <c r="B45" s="2">
        <v>45398</v>
      </c>
      <c r="C45" s="6">
        <v>10</v>
      </c>
      <c r="D45" s="10">
        <v>380</v>
      </c>
      <c r="E45" s="10"/>
      <c r="F45" s="9" t="str">
        <f>IF(Tablo14567891011121314[[#This Row],[SATIŞ]]=0,"Açık",(E45-D45)*C45)</f>
        <v>Açık</v>
      </c>
      <c r="G45" s="11">
        <f>Tablo14567891011121314[[#This Row],[ADET]]*Tablo14567891011121314[[#This Row],[ALIŞ]]</f>
        <v>3800</v>
      </c>
      <c r="H45" s="11">
        <f>Tablo14567891011121314[[#This Row],[ADET]]*Tablo14567891011121314[[#This Row],[SATIŞ]]</f>
        <v>0</v>
      </c>
    </row>
    <row r="46" spans="2:10" ht="21" customHeight="1" x14ac:dyDescent="0.3">
      <c r="B46" s="2">
        <v>45400</v>
      </c>
      <c r="C46" s="6">
        <v>30</v>
      </c>
      <c r="D46" s="10">
        <v>386</v>
      </c>
      <c r="E46" s="10"/>
      <c r="F46" s="9" t="str">
        <f>IF(Tablo14567891011121314[[#This Row],[SATIŞ]]=0,"Açık",(E46-D46)*C46)</f>
        <v>Açık</v>
      </c>
      <c r="G46" s="11">
        <f>Tablo14567891011121314[[#This Row],[ADET]]*Tablo14567891011121314[[#This Row],[ALIŞ]]</f>
        <v>11580</v>
      </c>
      <c r="H46" s="11">
        <f>Tablo14567891011121314[[#This Row],[ADET]]*Tablo14567891011121314[[#This Row],[SATIŞ]]</f>
        <v>0</v>
      </c>
    </row>
    <row r="47" spans="2:10" ht="21" customHeight="1" x14ac:dyDescent="0.3">
      <c r="B47" s="2">
        <v>45400</v>
      </c>
      <c r="C47" s="6">
        <v>50</v>
      </c>
      <c r="D47" s="10">
        <v>385</v>
      </c>
      <c r="E47" s="10"/>
      <c r="F47" s="9" t="str">
        <f>IF(Tablo14567891011121314[[#This Row],[SATIŞ]]=0,"Açık",(E47-D47)*C47)</f>
        <v>Açık</v>
      </c>
      <c r="G47" s="11">
        <f>Tablo14567891011121314[[#This Row],[ADET]]*Tablo14567891011121314[[#This Row],[ALIŞ]]</f>
        <v>19250</v>
      </c>
      <c r="H47" s="11">
        <f>Tablo14567891011121314[[#This Row],[ADET]]*Tablo14567891011121314[[#This Row],[SATIŞ]]</f>
        <v>0</v>
      </c>
    </row>
    <row r="48" spans="2:10" ht="21" customHeight="1" x14ac:dyDescent="0.3">
      <c r="B48" s="2">
        <v>45401</v>
      </c>
      <c r="C48" s="6">
        <v>200</v>
      </c>
      <c r="D48" s="10">
        <v>340</v>
      </c>
      <c r="E48" s="10"/>
      <c r="F48" s="9" t="str">
        <f>IF(Tablo14567891011121314[[#This Row],[SATIŞ]]=0,"Açık",(E48-D48)*C48)</f>
        <v>Açık</v>
      </c>
      <c r="G48" s="11">
        <f>Tablo14567891011121314[[#This Row],[ADET]]*Tablo14567891011121314[[#This Row],[ALIŞ]]</f>
        <v>68000</v>
      </c>
      <c r="H48" s="11">
        <f>Tablo14567891011121314[[#This Row],[ADET]]*Tablo14567891011121314[[#This Row],[SATIŞ]]</f>
        <v>0</v>
      </c>
    </row>
    <row r="49" spans="2:8" ht="21" customHeight="1" x14ac:dyDescent="0.3">
      <c r="B49" s="2">
        <v>45401</v>
      </c>
      <c r="C49" s="6">
        <v>80</v>
      </c>
      <c r="D49" s="10">
        <v>335</v>
      </c>
      <c r="E49" s="10"/>
      <c r="F49" s="9" t="str">
        <f>IF(Tablo14567891011121314[[#This Row],[SATIŞ]]=0,"Açık",(E49-D49)*C49)</f>
        <v>Açık</v>
      </c>
      <c r="G49" s="11">
        <f>Tablo14567891011121314[[#This Row],[ADET]]*Tablo14567891011121314[[#This Row],[ALIŞ]]</f>
        <v>26800</v>
      </c>
      <c r="H49" s="11">
        <f>Tablo14567891011121314[[#This Row],[ADET]]*Tablo14567891011121314[[#This Row],[SATIŞ]]</f>
        <v>0</v>
      </c>
    </row>
    <row r="50" spans="2:8" ht="21" hidden="1" customHeight="1" x14ac:dyDescent="0.3">
      <c r="B50" s="2">
        <v>45401</v>
      </c>
      <c r="C50" s="6">
        <v>5</v>
      </c>
      <c r="D50" s="10">
        <v>332</v>
      </c>
      <c r="E50" s="10">
        <v>335</v>
      </c>
      <c r="F50" s="9">
        <f>IF(Tablo14567891011121314[[#This Row],[SATIŞ]]=0,"Açık",(E50-D50)*C50)</f>
        <v>15</v>
      </c>
      <c r="G50" s="11">
        <f>Tablo14567891011121314[[#This Row],[ADET]]*Tablo14567891011121314[[#This Row],[ALIŞ]]</f>
        <v>1660</v>
      </c>
      <c r="H50" s="11">
        <f>Tablo14567891011121314[[#This Row],[ADET]]*Tablo14567891011121314[[#This Row],[SATIŞ]]</f>
        <v>1675</v>
      </c>
    </row>
  </sheetData>
  <conditionalFormatting sqref="B4:F50">
    <cfRule type="expression" dxfId="158" priority="1">
      <formula>$F4&lt;0</formula>
    </cfRule>
    <cfRule type="expression" dxfId="157" priority="2">
      <formula>$F4="Açık"</formula>
    </cfRule>
    <cfRule type="expression" dxfId="156" priority="3">
      <formula>$F4&gt;0</formula>
    </cfRule>
  </conditionalFormatting>
  <hyperlinks>
    <hyperlink ref="B1" location="İcmal!A1" display="ANA SAYFA" xr:uid="{0477ED42-0701-49E3-A4DB-2763ED62EA84}"/>
  </hyperlinks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AD88E-A9DA-4423-BAD8-18C01B4A1F47}">
  <dimension ref="B1:R158"/>
  <sheetViews>
    <sheetView showGridLines="0" showZeros="0" zoomScale="110" zoomScaleNormal="110" workbookViewId="0">
      <pane ySplit="3" topLeftCell="A38" activePane="bottomLeft" state="frozen"/>
      <selection pane="bottomLeft" activeCell="G3" sqref="G3"/>
    </sheetView>
  </sheetViews>
  <sheetFormatPr defaultRowHeight="21" customHeight="1" x14ac:dyDescent="0.3"/>
  <cols>
    <col min="2" max="2" width="20.6640625" style="1" customWidth="1"/>
    <col min="3" max="3" width="11.33203125" style="6" customWidth="1"/>
    <col min="4" max="5" width="12.88671875" style="3" customWidth="1"/>
    <col min="6" max="6" width="12.88671875" style="5" customWidth="1"/>
    <col min="7" max="8" width="17.6640625" customWidth="1"/>
    <col min="10" max="12" width="12.44140625" customWidth="1"/>
    <col min="13" max="13" width="17.109375" customWidth="1"/>
    <col min="14" max="14" width="10.33203125" bestFit="1" customWidth="1"/>
  </cols>
  <sheetData>
    <row r="1" spans="2:18" ht="21" customHeight="1" x14ac:dyDescent="0.3">
      <c r="B1" s="12" t="s">
        <v>64</v>
      </c>
      <c r="C1" s="4">
        <f>SUMIF(Tablo1456789101112131415606264[KAR],"Açık",Tablo1456789101112131415606264[ADET])</f>
        <v>4000</v>
      </c>
      <c r="D1" s="10">
        <f>+İcmal!E19</f>
        <v>36.18</v>
      </c>
      <c r="E1" s="10">
        <f>C1*D1</f>
        <v>144720</v>
      </c>
      <c r="F1" s="10">
        <f>IFERROR(((SUM(Tablo1456789101112131415606264[ALIŞ TUTAR])-SUM(Tablo1456789101112131415606264[SATIŞ TUTAR]))/C1),"")</f>
        <v>36.613250000000001</v>
      </c>
      <c r="G1" s="10">
        <f>IF(M3=0,L3,C1*(D1-F1))</f>
        <v>-1733.0000000000041</v>
      </c>
      <c r="J1" s="45" t="s">
        <v>94</v>
      </c>
      <c r="K1" s="45" t="s">
        <v>95</v>
      </c>
      <c r="L1" s="45" t="s">
        <v>96</v>
      </c>
      <c r="M1" s="33">
        <f>F1</f>
        <v>36.613250000000001</v>
      </c>
      <c r="N1" s="8" t="e">
        <f>M1*(1+$J$1)</f>
        <v>#VALUE!</v>
      </c>
      <c r="P1" s="8" t="e">
        <f>Q1*(1-$J$1)</f>
        <v>#VALUE!</v>
      </c>
      <c r="Q1" s="33">
        <f>+D1</f>
        <v>36.18</v>
      </c>
      <c r="R1" s="8" t="e">
        <f>Q1*(1+$J$1)</f>
        <v>#VALUE!</v>
      </c>
    </row>
    <row r="2" spans="2:18" ht="21" customHeight="1" x14ac:dyDescent="0.3">
      <c r="B2" s="7" t="s">
        <v>91</v>
      </c>
      <c r="J2" s="45">
        <f>SUMIFS(Tablo2[HEDEF2],Tablo2[HİSSE],B2)</f>
        <v>1000</v>
      </c>
      <c r="K2" s="45">
        <f>+E1/İcmal!$P$2</f>
        <v>4448.8164770980629</v>
      </c>
      <c r="L2" s="45">
        <f>+J2-K2</f>
        <v>-3448.8164770980629</v>
      </c>
    </row>
    <row r="3" spans="2:18" ht="21" customHeight="1" x14ac:dyDescent="0.3">
      <c r="B3" s="1" t="s">
        <v>0</v>
      </c>
      <c r="C3" s="6" t="s">
        <v>4</v>
      </c>
      <c r="D3" s="3" t="s">
        <v>1</v>
      </c>
      <c r="E3" s="3" t="s">
        <v>3</v>
      </c>
      <c r="F3" s="5" t="s">
        <v>2</v>
      </c>
      <c r="G3" s="3" t="s">
        <v>8</v>
      </c>
      <c r="H3" s="3" t="s">
        <v>9</v>
      </c>
      <c r="L3" s="33">
        <f>SUM(Tablo1456789101112131415606264[KAR])</f>
        <v>5407</v>
      </c>
      <c r="M3" s="37">
        <f>+C1</f>
        <v>4000</v>
      </c>
    </row>
    <row r="4" spans="2:18" ht="21" hidden="1" customHeight="1" x14ac:dyDescent="0.3">
      <c r="B4" s="2">
        <v>45363</v>
      </c>
      <c r="C4" s="6">
        <v>200</v>
      </c>
      <c r="D4" s="10">
        <v>38.9</v>
      </c>
      <c r="E4" s="10">
        <v>39.25</v>
      </c>
      <c r="F4" s="9">
        <f>IF(Tablo1456789101112131415606264[[#This Row],[SATIŞ]]=0,"Açık",(E4-D4)*C4)</f>
        <v>70.000000000000284</v>
      </c>
      <c r="G4" s="11">
        <f>Tablo1456789101112131415606264[[#This Row],[ADET]]*Tablo1456789101112131415606264[[#This Row],[ALIŞ]]</f>
        <v>7780</v>
      </c>
      <c r="H4" s="11">
        <f>Tablo1456789101112131415606264[[#This Row],[ADET]]*Tablo1456789101112131415606264[[#This Row],[SATIŞ]]</f>
        <v>7850</v>
      </c>
      <c r="L4" s="8">
        <f>SUM(Tablo1456789101112131415606264[ALIŞ TUTAR])</f>
        <v>549187</v>
      </c>
      <c r="M4" s="8">
        <f>SUM(Tablo1456789101112131415606264[SATIŞ TUTAR])</f>
        <v>402734</v>
      </c>
      <c r="N4" s="8">
        <f>L4-M4</f>
        <v>146453</v>
      </c>
    </row>
    <row r="5" spans="2:18" ht="21" customHeight="1" x14ac:dyDescent="0.3">
      <c r="B5" s="2">
        <v>45363</v>
      </c>
      <c r="C5" s="6">
        <v>1000</v>
      </c>
      <c r="D5" s="10">
        <v>38.799999999999997</v>
      </c>
      <c r="E5" s="10"/>
      <c r="F5" s="9" t="str">
        <f>IF(Tablo1456789101112131415606264[[#This Row],[SATIŞ]]=0,"Açık",(E5-D5)*C5)</f>
        <v>Açık</v>
      </c>
      <c r="G5" s="11">
        <f>Tablo1456789101112131415606264[[#This Row],[ADET]]*Tablo1456789101112131415606264[[#This Row],[ALIŞ]]</f>
        <v>38800</v>
      </c>
      <c r="H5" s="11">
        <f>Tablo1456789101112131415606264[[#This Row],[ADET]]*Tablo1456789101112131415606264[[#This Row],[SATIŞ]]</f>
        <v>0</v>
      </c>
      <c r="J5" s="40">
        <f t="shared" ref="J5:J36" si="0">IF(E5=0,D5*1.05,"")</f>
        <v>40.74</v>
      </c>
      <c r="N5">
        <f>+N4/80</f>
        <v>1830.6624999999999</v>
      </c>
    </row>
    <row r="6" spans="2:18" ht="21" hidden="1" customHeight="1" x14ac:dyDescent="0.3">
      <c r="B6" s="2">
        <v>45363</v>
      </c>
      <c r="C6" s="6">
        <v>100</v>
      </c>
      <c r="D6" s="10">
        <v>38.700000000000003</v>
      </c>
      <c r="E6" s="10">
        <v>39.1</v>
      </c>
      <c r="F6" s="9">
        <f>IF(Tablo1456789101112131415606264[[#This Row],[SATIŞ]]=0,"Açık",(E6-D6)*C6)</f>
        <v>39.999999999999858</v>
      </c>
      <c r="G6" s="11">
        <f>Tablo1456789101112131415606264[[#This Row],[ADET]]*Tablo1456789101112131415606264[[#This Row],[ALIŞ]]</f>
        <v>3870.0000000000005</v>
      </c>
      <c r="H6" s="11">
        <f>Tablo1456789101112131415606264[[#This Row],[ADET]]*Tablo1456789101112131415606264[[#This Row],[SATIŞ]]</f>
        <v>3910</v>
      </c>
      <c r="J6" s="40" t="str">
        <f t="shared" si="0"/>
        <v/>
      </c>
    </row>
    <row r="7" spans="2:18" ht="21" hidden="1" customHeight="1" x14ac:dyDescent="0.3">
      <c r="B7" s="2">
        <v>45363</v>
      </c>
      <c r="C7" s="6">
        <v>100</v>
      </c>
      <c r="D7" s="10">
        <v>38.6</v>
      </c>
      <c r="E7" s="10">
        <v>39.200000000000003</v>
      </c>
      <c r="F7" s="9">
        <f>IF(Tablo1456789101112131415606264[[#This Row],[SATIŞ]]=0,"Açık",(E7-D7)*C7)</f>
        <v>60.000000000000142</v>
      </c>
      <c r="G7" s="11">
        <f>Tablo1456789101112131415606264[[#This Row],[ADET]]*Tablo1456789101112131415606264[[#This Row],[ALIŞ]]</f>
        <v>3860</v>
      </c>
      <c r="H7" s="11">
        <f>Tablo1456789101112131415606264[[#This Row],[ADET]]*Tablo1456789101112131415606264[[#This Row],[SATIŞ]]</f>
        <v>3920.0000000000005</v>
      </c>
      <c r="J7" s="40" t="str">
        <f t="shared" si="0"/>
        <v/>
      </c>
    </row>
    <row r="8" spans="2:18" ht="21" hidden="1" customHeight="1" x14ac:dyDescent="0.3">
      <c r="B8" s="2">
        <v>45363</v>
      </c>
      <c r="C8" s="6">
        <v>100</v>
      </c>
      <c r="D8" s="10">
        <v>38.700000000000003</v>
      </c>
      <c r="E8" s="10">
        <v>38.9</v>
      </c>
      <c r="F8" s="9">
        <f>IF(Tablo1456789101112131415606264[[#This Row],[SATIŞ]]=0,"Açık",(E8-D8)*C8)</f>
        <v>19.999999999999574</v>
      </c>
      <c r="G8" s="11">
        <f>Tablo1456789101112131415606264[[#This Row],[ADET]]*Tablo1456789101112131415606264[[#This Row],[ALIŞ]]</f>
        <v>3870.0000000000005</v>
      </c>
      <c r="H8" s="11">
        <f>Tablo1456789101112131415606264[[#This Row],[ADET]]*Tablo1456789101112131415606264[[#This Row],[SATIŞ]]</f>
        <v>3890</v>
      </c>
      <c r="J8" s="40" t="str">
        <f t="shared" si="0"/>
        <v/>
      </c>
    </row>
    <row r="9" spans="2:18" ht="21" hidden="1" customHeight="1" x14ac:dyDescent="0.3">
      <c r="B9" s="2">
        <v>45363</v>
      </c>
      <c r="C9" s="6">
        <v>100</v>
      </c>
      <c r="D9" s="10">
        <v>38.6</v>
      </c>
      <c r="E9" s="10">
        <v>38.799999999999997</v>
      </c>
      <c r="F9" s="9">
        <f>IF(Tablo1456789101112131415606264[[#This Row],[SATIŞ]]=0,"Açık",(E9-D9)*C9)</f>
        <v>19.999999999999574</v>
      </c>
      <c r="G9" s="11">
        <f>Tablo1456789101112131415606264[[#This Row],[ADET]]*Tablo1456789101112131415606264[[#This Row],[ALIŞ]]</f>
        <v>3860</v>
      </c>
      <c r="H9" s="11">
        <f>Tablo1456789101112131415606264[[#This Row],[ADET]]*Tablo1456789101112131415606264[[#This Row],[SATIŞ]]</f>
        <v>3879.9999999999995</v>
      </c>
      <c r="J9" s="40" t="str">
        <f t="shared" si="0"/>
        <v/>
      </c>
    </row>
    <row r="10" spans="2:18" ht="21" hidden="1" customHeight="1" x14ac:dyDescent="0.3">
      <c r="B10" s="2">
        <v>45363</v>
      </c>
      <c r="C10" s="6">
        <v>100</v>
      </c>
      <c r="D10" s="10">
        <v>38.5</v>
      </c>
      <c r="E10" s="10">
        <v>39</v>
      </c>
      <c r="F10" s="9">
        <f>IF(Tablo1456789101112131415606264[[#This Row],[SATIŞ]]=0,"Açık",(E10-D10)*C10)</f>
        <v>50</v>
      </c>
      <c r="G10" s="11">
        <f>Tablo1456789101112131415606264[[#This Row],[ADET]]*Tablo1456789101112131415606264[[#This Row],[ALIŞ]]</f>
        <v>3850</v>
      </c>
      <c r="H10" s="11">
        <f>Tablo1456789101112131415606264[[#This Row],[ADET]]*Tablo1456789101112131415606264[[#This Row],[SATIŞ]]</f>
        <v>3900</v>
      </c>
      <c r="J10" s="40" t="str">
        <f t="shared" si="0"/>
        <v/>
      </c>
    </row>
    <row r="11" spans="2:18" ht="21" hidden="1" customHeight="1" x14ac:dyDescent="0.3">
      <c r="B11" s="2">
        <v>45363</v>
      </c>
      <c r="C11" s="6">
        <v>100</v>
      </c>
      <c r="D11" s="10">
        <v>38.5</v>
      </c>
      <c r="E11" s="10">
        <v>39.1</v>
      </c>
      <c r="F11" s="9">
        <f>IF(Tablo1456789101112131415606264[[#This Row],[SATIŞ]]=0,"Açık",(E11-D11)*C11)</f>
        <v>60.000000000000142</v>
      </c>
      <c r="G11" s="11">
        <f>Tablo1456789101112131415606264[[#This Row],[ADET]]*Tablo1456789101112131415606264[[#This Row],[ALIŞ]]</f>
        <v>3850</v>
      </c>
      <c r="H11" s="11">
        <f>Tablo1456789101112131415606264[[#This Row],[ADET]]*Tablo1456789101112131415606264[[#This Row],[SATIŞ]]</f>
        <v>3910</v>
      </c>
      <c r="J11" s="40" t="str">
        <f t="shared" si="0"/>
        <v/>
      </c>
    </row>
    <row r="12" spans="2:18" ht="21" customHeight="1" x14ac:dyDescent="0.3">
      <c r="B12" s="2">
        <v>45363</v>
      </c>
      <c r="C12" s="6">
        <v>100</v>
      </c>
      <c r="D12" s="10">
        <v>39</v>
      </c>
      <c r="E12" s="10"/>
      <c r="F12" s="9" t="str">
        <f>IF(Tablo1456789101112131415606264[[#This Row],[SATIŞ]]=0,"Açık",(E12-D12)*C12)</f>
        <v>Açık</v>
      </c>
      <c r="G12" s="11">
        <f>Tablo1456789101112131415606264[[#This Row],[ADET]]*Tablo1456789101112131415606264[[#This Row],[ALIŞ]]</f>
        <v>3900</v>
      </c>
      <c r="H12" s="11">
        <f>Tablo1456789101112131415606264[[#This Row],[ADET]]*Tablo1456789101112131415606264[[#This Row],[SATIŞ]]</f>
        <v>0</v>
      </c>
      <c r="J12" s="40">
        <f t="shared" si="0"/>
        <v>40.950000000000003</v>
      </c>
    </row>
    <row r="13" spans="2:18" ht="21" customHeight="1" x14ac:dyDescent="0.3">
      <c r="B13" s="2">
        <v>45363</v>
      </c>
      <c r="C13" s="6">
        <v>100</v>
      </c>
      <c r="D13" s="10">
        <v>39.1</v>
      </c>
      <c r="E13" s="10"/>
      <c r="F13" s="9" t="str">
        <f>IF(Tablo1456789101112131415606264[[#This Row],[SATIŞ]]=0,"Açık",(E13-D13)*C13)</f>
        <v>Açık</v>
      </c>
      <c r="G13" s="11">
        <f>Tablo1456789101112131415606264[[#This Row],[ADET]]*Tablo1456789101112131415606264[[#This Row],[ALIŞ]]</f>
        <v>3910</v>
      </c>
      <c r="H13" s="11">
        <f>Tablo1456789101112131415606264[[#This Row],[ADET]]*Tablo1456789101112131415606264[[#This Row],[SATIŞ]]</f>
        <v>0</v>
      </c>
      <c r="J13" s="40">
        <f t="shared" si="0"/>
        <v>41.055</v>
      </c>
    </row>
    <row r="14" spans="2:18" ht="21" customHeight="1" x14ac:dyDescent="0.3">
      <c r="B14" s="2">
        <v>45363</v>
      </c>
      <c r="C14" s="6">
        <v>100</v>
      </c>
      <c r="D14" s="10">
        <v>38.9</v>
      </c>
      <c r="E14" s="10"/>
      <c r="F14" s="9" t="str">
        <f>IF(Tablo1456789101112131415606264[[#This Row],[SATIŞ]]=0,"Açık",(E14-D14)*C14)</f>
        <v>Açık</v>
      </c>
      <c r="G14" s="11">
        <f>Tablo1456789101112131415606264[[#This Row],[ADET]]*Tablo1456789101112131415606264[[#This Row],[ALIŞ]]</f>
        <v>3890</v>
      </c>
      <c r="H14" s="11">
        <f>Tablo1456789101112131415606264[[#This Row],[ADET]]*Tablo1456789101112131415606264[[#This Row],[SATIŞ]]</f>
        <v>0</v>
      </c>
      <c r="J14" s="40">
        <f t="shared" si="0"/>
        <v>40.844999999999999</v>
      </c>
    </row>
    <row r="15" spans="2:18" ht="21" customHeight="1" x14ac:dyDescent="0.3">
      <c r="B15" s="2">
        <v>45363</v>
      </c>
      <c r="C15" s="6">
        <v>100</v>
      </c>
      <c r="D15" s="10">
        <v>38.799999999999997</v>
      </c>
      <c r="E15" s="10"/>
      <c r="F15" s="9" t="str">
        <f>IF(Tablo1456789101112131415606264[[#This Row],[SATIŞ]]=0,"Açık",(E15-D15)*C15)</f>
        <v>Açık</v>
      </c>
      <c r="G15" s="11">
        <f>Tablo1456789101112131415606264[[#This Row],[ADET]]*Tablo1456789101112131415606264[[#This Row],[ALIŞ]]</f>
        <v>3879.9999999999995</v>
      </c>
      <c r="H15" s="11">
        <f>Tablo1456789101112131415606264[[#This Row],[ADET]]*Tablo1456789101112131415606264[[#This Row],[SATIŞ]]</f>
        <v>0</v>
      </c>
      <c r="J15" s="40">
        <f t="shared" si="0"/>
        <v>40.74</v>
      </c>
    </row>
    <row r="16" spans="2:18" ht="21" customHeight="1" x14ac:dyDescent="0.3">
      <c r="B16" s="2">
        <v>45363</v>
      </c>
      <c r="C16" s="6">
        <v>100</v>
      </c>
      <c r="D16" s="10">
        <v>38.700000000000003</v>
      </c>
      <c r="E16" s="10"/>
      <c r="F16" s="9" t="str">
        <f>IF(Tablo1456789101112131415606264[[#This Row],[SATIŞ]]=0,"Açık",(E16-D16)*C16)</f>
        <v>Açık</v>
      </c>
      <c r="G16" s="11">
        <f>Tablo1456789101112131415606264[[#This Row],[ADET]]*Tablo1456789101112131415606264[[#This Row],[ALIŞ]]</f>
        <v>3870.0000000000005</v>
      </c>
      <c r="H16" s="11">
        <f>Tablo1456789101112131415606264[[#This Row],[ADET]]*Tablo1456789101112131415606264[[#This Row],[SATIŞ]]</f>
        <v>0</v>
      </c>
      <c r="J16" s="40">
        <f t="shared" si="0"/>
        <v>40.635000000000005</v>
      </c>
    </row>
    <row r="17" spans="2:10" ht="21" customHeight="1" x14ac:dyDescent="0.3">
      <c r="B17" s="2">
        <v>45363</v>
      </c>
      <c r="C17" s="6">
        <v>100</v>
      </c>
      <c r="D17" s="10">
        <v>38.6</v>
      </c>
      <c r="E17" s="10"/>
      <c r="F17" s="9" t="str">
        <f>IF(Tablo1456789101112131415606264[[#This Row],[SATIŞ]]=0,"Açık",(E17-D17)*C17)</f>
        <v>Açık</v>
      </c>
      <c r="G17" s="11">
        <f>Tablo1456789101112131415606264[[#This Row],[ADET]]*Tablo1456789101112131415606264[[#This Row],[ALIŞ]]</f>
        <v>3860</v>
      </c>
      <c r="H17" s="11">
        <f>Tablo1456789101112131415606264[[#This Row],[ADET]]*Tablo1456789101112131415606264[[#This Row],[SATIŞ]]</f>
        <v>0</v>
      </c>
      <c r="J17" s="40">
        <f t="shared" si="0"/>
        <v>40.53</v>
      </c>
    </row>
    <row r="18" spans="2:10" ht="21" customHeight="1" x14ac:dyDescent="0.3">
      <c r="B18" s="2">
        <v>45363</v>
      </c>
      <c r="C18" s="6">
        <v>100</v>
      </c>
      <c r="D18" s="10">
        <v>38.5</v>
      </c>
      <c r="E18" s="10"/>
      <c r="F18" s="9" t="str">
        <f>IF(Tablo1456789101112131415606264[[#This Row],[SATIŞ]]=0,"Açık",(E18-D18)*C18)</f>
        <v>Açık</v>
      </c>
      <c r="G18" s="11">
        <f>Tablo1456789101112131415606264[[#This Row],[ADET]]*Tablo1456789101112131415606264[[#This Row],[ALIŞ]]</f>
        <v>3850</v>
      </c>
      <c r="H18" s="11">
        <f>Tablo1456789101112131415606264[[#This Row],[ADET]]*Tablo1456789101112131415606264[[#This Row],[SATIŞ]]</f>
        <v>0</v>
      </c>
      <c r="J18" s="40">
        <f t="shared" si="0"/>
        <v>40.425000000000004</v>
      </c>
    </row>
    <row r="19" spans="2:10" ht="21" hidden="1" customHeight="1" x14ac:dyDescent="0.3">
      <c r="B19" s="2">
        <v>45363</v>
      </c>
      <c r="C19" s="6">
        <v>100</v>
      </c>
      <c r="D19" s="10">
        <v>38.4</v>
      </c>
      <c r="E19" s="10">
        <v>38.700000000000003</v>
      </c>
      <c r="F19" s="9">
        <f>IF(Tablo1456789101112131415606264[[#This Row],[SATIŞ]]=0,"Açık",(E19-D19)*C19)</f>
        <v>30.000000000000426</v>
      </c>
      <c r="G19" s="11">
        <f>Tablo1456789101112131415606264[[#This Row],[ADET]]*Tablo1456789101112131415606264[[#This Row],[ALIŞ]]</f>
        <v>3840</v>
      </c>
      <c r="H19" s="11">
        <f>Tablo1456789101112131415606264[[#This Row],[ADET]]*Tablo1456789101112131415606264[[#This Row],[SATIŞ]]</f>
        <v>3870.0000000000005</v>
      </c>
      <c r="J19" s="40" t="str">
        <f t="shared" si="0"/>
        <v/>
      </c>
    </row>
    <row r="20" spans="2:10" ht="21" hidden="1" customHeight="1" x14ac:dyDescent="0.3">
      <c r="B20" s="2">
        <v>45363</v>
      </c>
      <c r="C20" s="6">
        <v>100</v>
      </c>
      <c r="D20" s="10">
        <v>38.4</v>
      </c>
      <c r="E20" s="10">
        <v>38.700000000000003</v>
      </c>
      <c r="F20" s="9">
        <f>IF(Tablo1456789101112131415606264[[#This Row],[SATIŞ]]=0,"Açık",(E20-D20)*C20)</f>
        <v>30.000000000000426</v>
      </c>
      <c r="G20" s="11">
        <f>Tablo1456789101112131415606264[[#This Row],[ADET]]*Tablo1456789101112131415606264[[#This Row],[ALIŞ]]</f>
        <v>3840</v>
      </c>
      <c r="H20" s="11">
        <f>Tablo1456789101112131415606264[[#This Row],[ADET]]*Tablo1456789101112131415606264[[#This Row],[SATIŞ]]</f>
        <v>3870.0000000000005</v>
      </c>
      <c r="J20" s="40" t="str">
        <f t="shared" si="0"/>
        <v/>
      </c>
    </row>
    <row r="21" spans="2:10" ht="21" customHeight="1" x14ac:dyDescent="0.3">
      <c r="B21" s="2">
        <v>45364</v>
      </c>
      <c r="C21" s="6">
        <v>100</v>
      </c>
      <c r="D21" s="10">
        <v>38</v>
      </c>
      <c r="E21" s="10"/>
      <c r="F21" s="9" t="str">
        <f>IF(Tablo1456789101112131415606264[[#This Row],[SATIŞ]]=0,"Açık",(E21-D21)*C21)</f>
        <v>Açık</v>
      </c>
      <c r="G21" s="11">
        <f>Tablo1456789101112131415606264[[#This Row],[ADET]]*Tablo1456789101112131415606264[[#This Row],[ALIŞ]]</f>
        <v>3800</v>
      </c>
      <c r="H21" s="11">
        <f>Tablo1456789101112131415606264[[#This Row],[ADET]]*Tablo1456789101112131415606264[[#This Row],[SATIŞ]]</f>
        <v>0</v>
      </c>
      <c r="J21" s="40">
        <f t="shared" si="0"/>
        <v>39.9</v>
      </c>
    </row>
    <row r="22" spans="2:10" ht="21" customHeight="1" x14ac:dyDescent="0.3">
      <c r="B22" s="2">
        <v>45364</v>
      </c>
      <c r="C22" s="6">
        <v>100</v>
      </c>
      <c r="D22" s="10">
        <v>37.659999999999997</v>
      </c>
      <c r="E22" s="10"/>
      <c r="F22" s="9" t="str">
        <f>IF(Tablo1456789101112131415606264[[#This Row],[SATIŞ]]=0,"Açık",(E22-D22)*C22)</f>
        <v>Açık</v>
      </c>
      <c r="G22" s="11">
        <f>Tablo1456789101112131415606264[[#This Row],[ADET]]*Tablo1456789101112131415606264[[#This Row],[ALIŞ]]</f>
        <v>3765.9999999999995</v>
      </c>
      <c r="H22" s="11">
        <f>Tablo1456789101112131415606264[[#This Row],[ADET]]*Tablo1456789101112131415606264[[#This Row],[SATIŞ]]</f>
        <v>0</v>
      </c>
      <c r="J22" s="40">
        <f t="shared" si="0"/>
        <v>39.542999999999999</v>
      </c>
    </row>
    <row r="23" spans="2:10" ht="21" customHeight="1" x14ac:dyDescent="0.3">
      <c r="B23" s="2">
        <v>45364</v>
      </c>
      <c r="C23" s="6">
        <v>100</v>
      </c>
      <c r="D23" s="10">
        <v>37.659999999999997</v>
      </c>
      <c r="E23" s="10"/>
      <c r="F23" s="9" t="str">
        <f>IF(Tablo1456789101112131415606264[[#This Row],[SATIŞ]]=0,"Açık",(E23-D23)*C23)</f>
        <v>Açık</v>
      </c>
      <c r="G23" s="11">
        <f>Tablo1456789101112131415606264[[#This Row],[ADET]]*Tablo1456789101112131415606264[[#This Row],[ALIŞ]]</f>
        <v>3765.9999999999995</v>
      </c>
      <c r="H23" s="11">
        <f>Tablo1456789101112131415606264[[#This Row],[ADET]]*Tablo1456789101112131415606264[[#This Row],[SATIŞ]]</f>
        <v>0</v>
      </c>
      <c r="J23" s="40">
        <f t="shared" si="0"/>
        <v>39.542999999999999</v>
      </c>
    </row>
    <row r="24" spans="2:10" ht="21" customHeight="1" x14ac:dyDescent="0.3">
      <c r="B24" s="2">
        <v>45364</v>
      </c>
      <c r="C24" s="6">
        <v>100</v>
      </c>
      <c r="D24" s="10">
        <v>37.64</v>
      </c>
      <c r="E24" s="10"/>
      <c r="F24" s="9" t="str">
        <f>IF(Tablo1456789101112131415606264[[#This Row],[SATIŞ]]=0,"Açık",(E24-D24)*C24)</f>
        <v>Açık</v>
      </c>
      <c r="G24" s="11">
        <f>Tablo1456789101112131415606264[[#This Row],[ADET]]*Tablo1456789101112131415606264[[#This Row],[ALIŞ]]</f>
        <v>3764</v>
      </c>
      <c r="H24" s="11">
        <f>Tablo1456789101112131415606264[[#This Row],[ADET]]*Tablo1456789101112131415606264[[#This Row],[SATIŞ]]</f>
        <v>0</v>
      </c>
      <c r="J24" s="40">
        <f t="shared" si="0"/>
        <v>39.522000000000006</v>
      </c>
    </row>
    <row r="25" spans="2:10" ht="21" customHeight="1" x14ac:dyDescent="0.3">
      <c r="B25" s="2">
        <v>45364</v>
      </c>
      <c r="C25" s="6">
        <v>100</v>
      </c>
      <c r="D25" s="10">
        <v>37.68</v>
      </c>
      <c r="E25" s="10"/>
      <c r="F25" s="9" t="str">
        <f>IF(Tablo1456789101112131415606264[[#This Row],[SATIŞ]]=0,"Açık",(E25-D25)*C25)</f>
        <v>Açık</v>
      </c>
      <c r="G25" s="11">
        <f>Tablo1456789101112131415606264[[#This Row],[ADET]]*Tablo1456789101112131415606264[[#This Row],[ALIŞ]]</f>
        <v>3768</v>
      </c>
      <c r="H25" s="11">
        <f>Tablo1456789101112131415606264[[#This Row],[ADET]]*Tablo1456789101112131415606264[[#This Row],[SATIŞ]]</f>
        <v>0</v>
      </c>
      <c r="J25" s="40">
        <f t="shared" si="0"/>
        <v>39.564</v>
      </c>
    </row>
    <row r="26" spans="2:10" ht="21" customHeight="1" x14ac:dyDescent="0.3">
      <c r="B26" s="2">
        <v>45364</v>
      </c>
      <c r="C26" s="6">
        <v>100</v>
      </c>
      <c r="D26" s="10">
        <v>37.68</v>
      </c>
      <c r="E26" s="10"/>
      <c r="F26" s="9" t="str">
        <f>IF(Tablo1456789101112131415606264[[#This Row],[SATIŞ]]=0,"Açık",(E26-D26)*C26)</f>
        <v>Açık</v>
      </c>
      <c r="G26" s="11">
        <f>Tablo1456789101112131415606264[[#This Row],[ADET]]*Tablo1456789101112131415606264[[#This Row],[ALIŞ]]</f>
        <v>3768</v>
      </c>
      <c r="H26" s="11">
        <f>Tablo1456789101112131415606264[[#This Row],[ADET]]*Tablo1456789101112131415606264[[#This Row],[SATIŞ]]</f>
        <v>0</v>
      </c>
      <c r="J26" s="40">
        <f t="shared" si="0"/>
        <v>39.564</v>
      </c>
    </row>
    <row r="27" spans="2:10" ht="21" customHeight="1" x14ac:dyDescent="0.3">
      <c r="B27" s="2">
        <v>45364</v>
      </c>
      <c r="C27" s="6">
        <v>100</v>
      </c>
      <c r="D27" s="10">
        <v>37.68</v>
      </c>
      <c r="E27" s="10"/>
      <c r="F27" s="9" t="str">
        <f>IF(Tablo1456789101112131415606264[[#This Row],[SATIŞ]]=0,"Açık",(E27-D27)*C27)</f>
        <v>Açık</v>
      </c>
      <c r="G27" s="11">
        <f>Tablo1456789101112131415606264[[#This Row],[ADET]]*Tablo1456789101112131415606264[[#This Row],[ALIŞ]]</f>
        <v>3768</v>
      </c>
      <c r="H27" s="11">
        <f>Tablo1456789101112131415606264[[#This Row],[ADET]]*Tablo1456789101112131415606264[[#This Row],[SATIŞ]]</f>
        <v>0</v>
      </c>
      <c r="J27" s="40">
        <f t="shared" si="0"/>
        <v>39.564</v>
      </c>
    </row>
    <row r="28" spans="2:10" ht="21" customHeight="1" x14ac:dyDescent="0.3">
      <c r="B28" s="2">
        <v>45364</v>
      </c>
      <c r="C28" s="6">
        <v>100</v>
      </c>
      <c r="D28" s="10">
        <v>37.68</v>
      </c>
      <c r="E28" s="10"/>
      <c r="F28" s="9" t="str">
        <f>IF(Tablo1456789101112131415606264[[#This Row],[SATIŞ]]=0,"Açık",(E28-D28)*C28)</f>
        <v>Açık</v>
      </c>
      <c r="G28" s="11">
        <f>Tablo1456789101112131415606264[[#This Row],[ADET]]*Tablo1456789101112131415606264[[#This Row],[ALIŞ]]</f>
        <v>3768</v>
      </c>
      <c r="H28" s="11">
        <f>Tablo1456789101112131415606264[[#This Row],[ADET]]*Tablo1456789101112131415606264[[#This Row],[SATIŞ]]</f>
        <v>0</v>
      </c>
      <c r="J28" s="40">
        <f t="shared" si="0"/>
        <v>39.564</v>
      </c>
    </row>
    <row r="29" spans="2:10" ht="21" customHeight="1" x14ac:dyDescent="0.3">
      <c r="B29" s="2">
        <v>45364</v>
      </c>
      <c r="C29" s="6">
        <v>100</v>
      </c>
      <c r="D29" s="10">
        <v>37.68</v>
      </c>
      <c r="E29" s="10"/>
      <c r="F29" s="9" t="str">
        <f>IF(Tablo1456789101112131415606264[[#This Row],[SATIŞ]]=0,"Açık",(E29-D29)*C29)</f>
        <v>Açık</v>
      </c>
      <c r="G29" s="11">
        <f>Tablo1456789101112131415606264[[#This Row],[ADET]]*Tablo1456789101112131415606264[[#This Row],[ALIŞ]]</f>
        <v>3768</v>
      </c>
      <c r="H29" s="11">
        <f>Tablo1456789101112131415606264[[#This Row],[ADET]]*Tablo1456789101112131415606264[[#This Row],[SATIŞ]]</f>
        <v>0</v>
      </c>
      <c r="J29" s="40">
        <f t="shared" si="0"/>
        <v>39.564</v>
      </c>
    </row>
    <row r="30" spans="2:10" ht="21" customHeight="1" x14ac:dyDescent="0.3">
      <c r="B30" s="2">
        <v>45364</v>
      </c>
      <c r="C30" s="6">
        <v>100</v>
      </c>
      <c r="D30" s="10">
        <v>37.659999999999997</v>
      </c>
      <c r="E30" s="10"/>
      <c r="F30" s="9" t="str">
        <f>IF(Tablo1456789101112131415606264[[#This Row],[SATIŞ]]=0,"Açık",(E30-D30)*C30)</f>
        <v>Açık</v>
      </c>
      <c r="G30" s="11">
        <f>Tablo1456789101112131415606264[[#This Row],[ADET]]*Tablo1456789101112131415606264[[#This Row],[ALIŞ]]</f>
        <v>3765.9999999999995</v>
      </c>
      <c r="H30" s="11">
        <f>Tablo1456789101112131415606264[[#This Row],[ADET]]*Tablo1456789101112131415606264[[#This Row],[SATIŞ]]</f>
        <v>0</v>
      </c>
      <c r="J30" s="40">
        <f t="shared" si="0"/>
        <v>39.542999999999999</v>
      </c>
    </row>
    <row r="31" spans="2:10" ht="21" customHeight="1" x14ac:dyDescent="0.3">
      <c r="B31" s="2">
        <v>45364</v>
      </c>
      <c r="C31" s="6">
        <v>100</v>
      </c>
      <c r="D31" s="10">
        <v>37.64</v>
      </c>
      <c r="E31" s="10"/>
      <c r="F31" s="9" t="str">
        <f>IF(Tablo1456789101112131415606264[[#This Row],[SATIŞ]]=0,"Açık",(E31-D31)*C31)</f>
        <v>Açık</v>
      </c>
      <c r="G31" s="11">
        <f>Tablo1456789101112131415606264[[#This Row],[ADET]]*Tablo1456789101112131415606264[[#This Row],[ALIŞ]]</f>
        <v>3764</v>
      </c>
      <c r="H31" s="11">
        <f>Tablo1456789101112131415606264[[#This Row],[ADET]]*Tablo1456789101112131415606264[[#This Row],[SATIŞ]]</f>
        <v>0</v>
      </c>
      <c r="J31" s="40">
        <f t="shared" si="0"/>
        <v>39.522000000000006</v>
      </c>
    </row>
    <row r="32" spans="2:10" ht="21" customHeight="1" x14ac:dyDescent="0.3">
      <c r="B32" s="2">
        <v>45364</v>
      </c>
      <c r="C32" s="6">
        <v>100</v>
      </c>
      <c r="D32" s="10">
        <v>37.619999999999997</v>
      </c>
      <c r="E32" s="10"/>
      <c r="F32" s="9" t="str">
        <f>IF(Tablo1456789101112131415606264[[#This Row],[SATIŞ]]=0,"Açık",(E32-D32)*C32)</f>
        <v>Açık</v>
      </c>
      <c r="G32" s="11">
        <f>Tablo1456789101112131415606264[[#This Row],[ADET]]*Tablo1456789101112131415606264[[#This Row],[ALIŞ]]</f>
        <v>3761.9999999999995</v>
      </c>
      <c r="H32" s="11">
        <f>Tablo1456789101112131415606264[[#This Row],[ADET]]*Tablo1456789101112131415606264[[#This Row],[SATIŞ]]</f>
        <v>0</v>
      </c>
      <c r="J32" s="40">
        <f t="shared" si="0"/>
        <v>39.500999999999998</v>
      </c>
    </row>
    <row r="33" spans="2:10" ht="21" customHeight="1" x14ac:dyDescent="0.3">
      <c r="B33" s="2">
        <v>45364</v>
      </c>
      <c r="C33" s="6">
        <v>100</v>
      </c>
      <c r="D33" s="10">
        <v>37.619999999999997</v>
      </c>
      <c r="E33" s="10"/>
      <c r="F33" s="9" t="str">
        <f>IF(Tablo1456789101112131415606264[[#This Row],[SATIŞ]]=0,"Açık",(E33-D33)*C33)</f>
        <v>Açık</v>
      </c>
      <c r="G33" s="11">
        <f>Tablo1456789101112131415606264[[#This Row],[ADET]]*Tablo1456789101112131415606264[[#This Row],[ALIŞ]]</f>
        <v>3761.9999999999995</v>
      </c>
      <c r="H33" s="11">
        <f>Tablo1456789101112131415606264[[#This Row],[ADET]]*Tablo1456789101112131415606264[[#This Row],[SATIŞ]]</f>
        <v>0</v>
      </c>
      <c r="J33" s="40">
        <f t="shared" si="0"/>
        <v>39.500999999999998</v>
      </c>
    </row>
    <row r="34" spans="2:10" ht="21" hidden="1" customHeight="1" x14ac:dyDescent="0.3">
      <c r="B34" s="2">
        <v>45364</v>
      </c>
      <c r="C34" s="6">
        <v>100</v>
      </c>
      <c r="D34" s="10">
        <v>37.6</v>
      </c>
      <c r="E34" s="10">
        <v>37.700000000000003</v>
      </c>
      <c r="F34" s="9">
        <f>IF(Tablo1456789101112131415606264[[#This Row],[SATIŞ]]=0,"Açık",(E34-D34)*C34)</f>
        <v>10.000000000000142</v>
      </c>
      <c r="G34" s="11">
        <f>Tablo1456789101112131415606264[[#This Row],[ADET]]*Tablo1456789101112131415606264[[#This Row],[ALIŞ]]</f>
        <v>3760</v>
      </c>
      <c r="H34" s="11">
        <f>Tablo1456789101112131415606264[[#This Row],[ADET]]*Tablo1456789101112131415606264[[#This Row],[SATIŞ]]</f>
        <v>3770.0000000000005</v>
      </c>
      <c r="J34" s="40" t="str">
        <f t="shared" si="0"/>
        <v/>
      </c>
    </row>
    <row r="35" spans="2:10" ht="21" hidden="1" customHeight="1" x14ac:dyDescent="0.3">
      <c r="B35" s="2">
        <v>45364</v>
      </c>
      <c r="C35" s="6">
        <v>100</v>
      </c>
      <c r="D35" s="10">
        <v>37.58</v>
      </c>
      <c r="E35" s="10">
        <v>37.68</v>
      </c>
      <c r="F35" s="9">
        <f>IF(Tablo1456789101112131415606264[[#This Row],[SATIŞ]]=0,"Açık",(E35-D35)*C35)</f>
        <v>10.000000000000142</v>
      </c>
      <c r="G35" s="11">
        <f>Tablo1456789101112131415606264[[#This Row],[ADET]]*Tablo1456789101112131415606264[[#This Row],[ALIŞ]]</f>
        <v>3758</v>
      </c>
      <c r="H35" s="11">
        <f>Tablo1456789101112131415606264[[#This Row],[ADET]]*Tablo1456789101112131415606264[[#This Row],[SATIŞ]]</f>
        <v>3768</v>
      </c>
      <c r="J35" s="40" t="str">
        <f t="shared" si="0"/>
        <v/>
      </c>
    </row>
    <row r="36" spans="2:10" ht="21" hidden="1" customHeight="1" x14ac:dyDescent="0.3">
      <c r="B36" s="2">
        <v>45364</v>
      </c>
      <c r="C36" s="6">
        <v>100</v>
      </c>
      <c r="D36" s="10">
        <v>37.56</v>
      </c>
      <c r="E36" s="10">
        <v>37.619999999999997</v>
      </c>
      <c r="F36" s="9">
        <f>IF(Tablo1456789101112131415606264[[#This Row],[SATIŞ]]=0,"Açık",(E36-D36)*C36)</f>
        <v>5.9999999999995168</v>
      </c>
      <c r="G36" s="11">
        <f>Tablo1456789101112131415606264[[#This Row],[ADET]]*Tablo1456789101112131415606264[[#This Row],[ALIŞ]]</f>
        <v>3756</v>
      </c>
      <c r="H36" s="11">
        <f>Tablo1456789101112131415606264[[#This Row],[ADET]]*Tablo1456789101112131415606264[[#This Row],[SATIŞ]]</f>
        <v>3761.9999999999995</v>
      </c>
      <c r="J36" s="40" t="str">
        <f t="shared" si="0"/>
        <v/>
      </c>
    </row>
    <row r="37" spans="2:10" ht="21" hidden="1" customHeight="1" x14ac:dyDescent="0.3">
      <c r="B37" s="2">
        <v>45364</v>
      </c>
      <c r="C37" s="6">
        <v>100</v>
      </c>
      <c r="D37" s="10">
        <v>37.54</v>
      </c>
      <c r="E37" s="10">
        <v>37.6</v>
      </c>
      <c r="F37" s="9">
        <f>IF(Tablo1456789101112131415606264[[#This Row],[SATIŞ]]=0,"Açık",(E37-D37)*C37)</f>
        <v>6.0000000000002274</v>
      </c>
      <c r="G37" s="11">
        <f>Tablo1456789101112131415606264[[#This Row],[ADET]]*Tablo1456789101112131415606264[[#This Row],[ALIŞ]]</f>
        <v>3754</v>
      </c>
      <c r="H37" s="11">
        <f>Tablo1456789101112131415606264[[#This Row],[ADET]]*Tablo1456789101112131415606264[[#This Row],[SATIŞ]]</f>
        <v>3760</v>
      </c>
      <c r="J37" s="40" t="str">
        <f t="shared" ref="J37:J68" si="1">IF(E37=0,D37*1.05,"")</f>
        <v/>
      </c>
    </row>
    <row r="38" spans="2:10" ht="21" customHeight="1" x14ac:dyDescent="0.3">
      <c r="B38" s="2">
        <v>45364</v>
      </c>
      <c r="C38" s="6">
        <v>100</v>
      </c>
      <c r="D38" s="10">
        <v>37.520000000000003</v>
      </c>
      <c r="E38" s="10"/>
      <c r="F38" s="9" t="str">
        <f>IF(Tablo1456789101112131415606264[[#This Row],[SATIŞ]]=0,"Açık",(E38-D38)*C38)</f>
        <v>Açık</v>
      </c>
      <c r="G38" s="11">
        <f>Tablo1456789101112131415606264[[#This Row],[ADET]]*Tablo1456789101112131415606264[[#This Row],[ALIŞ]]</f>
        <v>3752.0000000000005</v>
      </c>
      <c r="H38" s="11">
        <f>Tablo1456789101112131415606264[[#This Row],[ADET]]*Tablo1456789101112131415606264[[#This Row],[SATIŞ]]</f>
        <v>0</v>
      </c>
      <c r="J38" s="40">
        <f t="shared" si="1"/>
        <v>39.396000000000008</v>
      </c>
    </row>
    <row r="39" spans="2:10" ht="21" customHeight="1" x14ac:dyDescent="0.3">
      <c r="B39" s="2">
        <v>45364</v>
      </c>
      <c r="C39" s="6">
        <v>100</v>
      </c>
      <c r="D39" s="10">
        <v>37.619999999999997</v>
      </c>
      <c r="E39" s="10"/>
      <c r="F39" s="9" t="str">
        <f>IF(Tablo1456789101112131415606264[[#This Row],[SATIŞ]]=0,"Açık",(E39-D39)*C39)</f>
        <v>Açık</v>
      </c>
      <c r="G39" s="11">
        <f>Tablo1456789101112131415606264[[#This Row],[ADET]]*Tablo1456789101112131415606264[[#This Row],[ALIŞ]]</f>
        <v>3761.9999999999995</v>
      </c>
      <c r="H39" s="11">
        <f>Tablo1456789101112131415606264[[#This Row],[ADET]]*Tablo1456789101112131415606264[[#This Row],[SATIŞ]]</f>
        <v>0</v>
      </c>
      <c r="J39" s="40">
        <f t="shared" si="1"/>
        <v>39.500999999999998</v>
      </c>
    </row>
    <row r="40" spans="2:10" ht="21" customHeight="1" x14ac:dyDescent="0.3">
      <c r="B40" s="2">
        <v>45364</v>
      </c>
      <c r="C40" s="6">
        <v>100</v>
      </c>
      <c r="D40" s="10">
        <v>37.56</v>
      </c>
      <c r="E40" s="10"/>
      <c r="F40" s="9" t="str">
        <f>IF(Tablo1456789101112131415606264[[#This Row],[SATIŞ]]=0,"Açık",(E40-D40)*C40)</f>
        <v>Açık</v>
      </c>
      <c r="G40" s="11">
        <f>Tablo1456789101112131415606264[[#This Row],[ADET]]*Tablo1456789101112131415606264[[#This Row],[ALIŞ]]</f>
        <v>3756</v>
      </c>
      <c r="H40" s="11">
        <f>Tablo1456789101112131415606264[[#This Row],[ADET]]*Tablo1456789101112131415606264[[#This Row],[SATIŞ]]</f>
        <v>0</v>
      </c>
      <c r="J40" s="40">
        <f t="shared" si="1"/>
        <v>39.438000000000002</v>
      </c>
    </row>
    <row r="41" spans="2:10" ht="21" hidden="1" customHeight="1" x14ac:dyDescent="0.3">
      <c r="B41" s="2">
        <v>45364</v>
      </c>
      <c r="C41" s="6">
        <v>100</v>
      </c>
      <c r="D41" s="10">
        <v>37.58</v>
      </c>
      <c r="E41" s="10">
        <v>37.68</v>
      </c>
      <c r="F41" s="9">
        <f>IF(Tablo1456789101112131415606264[[#This Row],[SATIŞ]]=0,"Açık",(E41-D41)*C41)</f>
        <v>10.000000000000142</v>
      </c>
      <c r="G41" s="11">
        <f>Tablo1456789101112131415606264[[#This Row],[ADET]]*Tablo1456789101112131415606264[[#This Row],[ALIŞ]]</f>
        <v>3758</v>
      </c>
      <c r="H41" s="11">
        <f>Tablo1456789101112131415606264[[#This Row],[ADET]]*Tablo1456789101112131415606264[[#This Row],[SATIŞ]]</f>
        <v>3768</v>
      </c>
      <c r="J41" s="40" t="str">
        <f t="shared" si="1"/>
        <v/>
      </c>
    </row>
    <row r="42" spans="2:10" ht="21" hidden="1" customHeight="1" x14ac:dyDescent="0.3">
      <c r="B42" s="2">
        <v>45364</v>
      </c>
      <c r="C42" s="6">
        <v>100</v>
      </c>
      <c r="D42" s="10">
        <v>37.6</v>
      </c>
      <c r="E42" s="10">
        <v>37.72</v>
      </c>
      <c r="F42" s="9">
        <f>IF(Tablo1456789101112131415606264[[#This Row],[SATIŞ]]=0,"Açık",(E42-D42)*C42)</f>
        <v>11.999999999999744</v>
      </c>
      <c r="G42" s="11">
        <f>Tablo1456789101112131415606264[[#This Row],[ADET]]*Tablo1456789101112131415606264[[#This Row],[ALIŞ]]</f>
        <v>3760</v>
      </c>
      <c r="H42" s="11">
        <f>Tablo1456789101112131415606264[[#This Row],[ADET]]*Tablo1456789101112131415606264[[#This Row],[SATIŞ]]</f>
        <v>3772</v>
      </c>
      <c r="J42" s="40" t="str">
        <f t="shared" si="1"/>
        <v/>
      </c>
    </row>
    <row r="43" spans="2:10" ht="21" hidden="1" customHeight="1" x14ac:dyDescent="0.3">
      <c r="B43" s="2">
        <v>45364</v>
      </c>
      <c r="C43" s="6">
        <v>100</v>
      </c>
      <c r="D43" s="10">
        <v>37.56</v>
      </c>
      <c r="E43" s="10">
        <v>37.64</v>
      </c>
      <c r="F43" s="9">
        <f>IF(Tablo1456789101112131415606264[[#This Row],[SATIŞ]]=0,"Açık",(E43-D43)*C43)</f>
        <v>7.9999999999998295</v>
      </c>
      <c r="G43" s="11">
        <f>Tablo1456789101112131415606264[[#This Row],[ADET]]*Tablo1456789101112131415606264[[#This Row],[ALIŞ]]</f>
        <v>3756</v>
      </c>
      <c r="H43" s="11">
        <f>Tablo1456789101112131415606264[[#This Row],[ADET]]*Tablo1456789101112131415606264[[#This Row],[SATIŞ]]</f>
        <v>3764</v>
      </c>
      <c r="J43" s="40" t="str">
        <f t="shared" si="1"/>
        <v/>
      </c>
    </row>
    <row r="44" spans="2:10" ht="21" hidden="1" customHeight="1" x14ac:dyDescent="0.3">
      <c r="B44" s="2">
        <v>45364</v>
      </c>
      <c r="C44" s="6">
        <v>100</v>
      </c>
      <c r="D44" s="10">
        <v>37.54</v>
      </c>
      <c r="E44" s="10">
        <v>37.6</v>
      </c>
      <c r="F44" s="9">
        <f>IF(Tablo1456789101112131415606264[[#This Row],[SATIŞ]]=0,"Açık",(E44-D44)*C44)</f>
        <v>6.0000000000002274</v>
      </c>
      <c r="G44" s="11">
        <f>Tablo1456789101112131415606264[[#This Row],[ADET]]*Tablo1456789101112131415606264[[#This Row],[ALIŞ]]</f>
        <v>3754</v>
      </c>
      <c r="H44" s="11">
        <f>Tablo1456789101112131415606264[[#This Row],[ADET]]*Tablo1456789101112131415606264[[#This Row],[SATIŞ]]</f>
        <v>3760</v>
      </c>
      <c r="J44" s="40" t="str">
        <f t="shared" si="1"/>
        <v/>
      </c>
    </row>
    <row r="45" spans="2:10" ht="21" hidden="1" customHeight="1" x14ac:dyDescent="0.3">
      <c r="B45" s="2">
        <v>45364</v>
      </c>
      <c r="C45" s="6">
        <v>100</v>
      </c>
      <c r="D45" s="10">
        <v>37.520000000000003</v>
      </c>
      <c r="E45" s="10">
        <v>37.54</v>
      </c>
      <c r="F45" s="9">
        <f>IF(Tablo1456789101112131415606264[[#This Row],[SATIŞ]]=0,"Açık",(E45-D45)*C45)</f>
        <v>1.9999999999996021</v>
      </c>
      <c r="G45" s="11">
        <f>Tablo1456789101112131415606264[[#This Row],[ADET]]*Tablo1456789101112131415606264[[#This Row],[ALIŞ]]</f>
        <v>3752.0000000000005</v>
      </c>
      <c r="H45" s="11">
        <f>Tablo1456789101112131415606264[[#This Row],[ADET]]*Tablo1456789101112131415606264[[#This Row],[SATIŞ]]</f>
        <v>3754</v>
      </c>
      <c r="J45" s="40" t="str">
        <f t="shared" si="1"/>
        <v/>
      </c>
    </row>
    <row r="46" spans="2:10" ht="21" hidden="1" customHeight="1" x14ac:dyDescent="0.3">
      <c r="B46" s="2">
        <v>45364</v>
      </c>
      <c r="C46" s="6">
        <v>100</v>
      </c>
      <c r="D46" s="10">
        <v>37.5</v>
      </c>
      <c r="E46" s="10">
        <v>37.5</v>
      </c>
      <c r="F46" s="9">
        <f>IF(Tablo1456789101112131415606264[[#This Row],[SATIŞ]]=0,"Açık",(E46-D46)*C46)</f>
        <v>0</v>
      </c>
      <c r="G46" s="11">
        <f>Tablo1456789101112131415606264[[#This Row],[ADET]]*Tablo1456789101112131415606264[[#This Row],[ALIŞ]]</f>
        <v>3750</v>
      </c>
      <c r="H46" s="11">
        <f>Tablo1456789101112131415606264[[#This Row],[ADET]]*Tablo1456789101112131415606264[[#This Row],[SATIŞ]]</f>
        <v>3750</v>
      </c>
      <c r="J46" s="40" t="str">
        <f t="shared" si="1"/>
        <v/>
      </c>
    </row>
    <row r="47" spans="2:10" ht="21" hidden="1" customHeight="1" x14ac:dyDescent="0.3">
      <c r="B47" s="2">
        <v>45364</v>
      </c>
      <c r="C47" s="6">
        <v>100</v>
      </c>
      <c r="D47" s="10">
        <v>37.479999999999997</v>
      </c>
      <c r="E47" s="10">
        <v>37.520000000000003</v>
      </c>
      <c r="F47" s="9">
        <f>IF(Tablo1456789101112131415606264[[#This Row],[SATIŞ]]=0,"Açık",(E47-D47)*C47)</f>
        <v>4.0000000000006253</v>
      </c>
      <c r="G47" s="11">
        <f>Tablo1456789101112131415606264[[#This Row],[ADET]]*Tablo1456789101112131415606264[[#This Row],[ALIŞ]]</f>
        <v>3747.9999999999995</v>
      </c>
      <c r="H47" s="11">
        <f>Tablo1456789101112131415606264[[#This Row],[ADET]]*Tablo1456789101112131415606264[[#This Row],[SATIŞ]]</f>
        <v>3752.0000000000005</v>
      </c>
      <c r="J47" s="40" t="str">
        <f t="shared" si="1"/>
        <v/>
      </c>
    </row>
    <row r="48" spans="2:10" ht="21" hidden="1" customHeight="1" x14ac:dyDescent="0.3">
      <c r="B48" s="2">
        <v>45364</v>
      </c>
      <c r="C48" s="6">
        <v>100</v>
      </c>
      <c r="D48" s="10">
        <v>37.46</v>
      </c>
      <c r="E48" s="10">
        <v>37.6</v>
      </c>
      <c r="F48" s="9">
        <f>IF(Tablo1456789101112131415606264[[#This Row],[SATIŞ]]=0,"Açık",(E48-D48)*C48)</f>
        <v>14.000000000000057</v>
      </c>
      <c r="G48" s="11">
        <f>Tablo1456789101112131415606264[[#This Row],[ADET]]*Tablo1456789101112131415606264[[#This Row],[ALIŞ]]</f>
        <v>3746</v>
      </c>
      <c r="H48" s="11">
        <f>Tablo1456789101112131415606264[[#This Row],[ADET]]*Tablo1456789101112131415606264[[#This Row],[SATIŞ]]</f>
        <v>3760</v>
      </c>
      <c r="J48" s="40" t="str">
        <f t="shared" si="1"/>
        <v/>
      </c>
    </row>
    <row r="49" spans="2:10" ht="21" hidden="1" customHeight="1" x14ac:dyDescent="0.3">
      <c r="B49" s="2">
        <v>45364</v>
      </c>
      <c r="C49" s="6">
        <v>100</v>
      </c>
      <c r="D49" s="10">
        <v>37.44</v>
      </c>
      <c r="E49" s="10">
        <v>37.56</v>
      </c>
      <c r="F49" s="9">
        <f>IF(Tablo1456789101112131415606264[[#This Row],[SATIŞ]]=0,"Açık",(E49-D49)*C49)</f>
        <v>12.000000000000455</v>
      </c>
      <c r="G49" s="11">
        <f>Tablo1456789101112131415606264[[#This Row],[ADET]]*Tablo1456789101112131415606264[[#This Row],[ALIŞ]]</f>
        <v>3744</v>
      </c>
      <c r="H49" s="11">
        <f>Tablo1456789101112131415606264[[#This Row],[ADET]]*Tablo1456789101112131415606264[[#This Row],[SATIŞ]]</f>
        <v>3756</v>
      </c>
      <c r="J49" s="40" t="str">
        <f t="shared" si="1"/>
        <v/>
      </c>
    </row>
    <row r="50" spans="2:10" ht="21" hidden="1" customHeight="1" x14ac:dyDescent="0.3">
      <c r="B50" s="2">
        <v>45364</v>
      </c>
      <c r="C50" s="6">
        <v>100</v>
      </c>
      <c r="D50" s="10">
        <v>37.42</v>
      </c>
      <c r="E50" s="10">
        <v>37.520000000000003</v>
      </c>
      <c r="F50" s="9">
        <f>IF(Tablo1456789101112131415606264[[#This Row],[SATIŞ]]=0,"Açık",(E50-D50)*C50)</f>
        <v>10.000000000000142</v>
      </c>
      <c r="G50" s="11">
        <f>Tablo1456789101112131415606264[[#This Row],[ADET]]*Tablo1456789101112131415606264[[#This Row],[ALIŞ]]</f>
        <v>3742</v>
      </c>
      <c r="H50" s="11">
        <f>Tablo1456789101112131415606264[[#This Row],[ADET]]*Tablo1456789101112131415606264[[#This Row],[SATIŞ]]</f>
        <v>3752.0000000000005</v>
      </c>
      <c r="J50" s="40" t="str">
        <f t="shared" si="1"/>
        <v/>
      </c>
    </row>
    <row r="51" spans="2:10" ht="21" hidden="1" customHeight="1" x14ac:dyDescent="0.3">
      <c r="B51" s="2">
        <v>45364</v>
      </c>
      <c r="C51" s="6">
        <v>100</v>
      </c>
      <c r="D51" s="10">
        <v>37.4</v>
      </c>
      <c r="E51" s="10">
        <v>37.479999999999997</v>
      </c>
      <c r="F51" s="9">
        <f>IF(Tablo1456789101112131415606264[[#This Row],[SATIŞ]]=0,"Açık",(E51-D51)*C51)</f>
        <v>7.9999999999998295</v>
      </c>
      <c r="G51" s="11">
        <f>Tablo1456789101112131415606264[[#This Row],[ADET]]*Tablo1456789101112131415606264[[#This Row],[ALIŞ]]</f>
        <v>3740</v>
      </c>
      <c r="H51" s="11">
        <f>Tablo1456789101112131415606264[[#This Row],[ADET]]*Tablo1456789101112131415606264[[#This Row],[SATIŞ]]</f>
        <v>3747.9999999999995</v>
      </c>
      <c r="J51" s="40" t="str">
        <f t="shared" si="1"/>
        <v/>
      </c>
    </row>
    <row r="52" spans="2:10" ht="21" hidden="1" customHeight="1" x14ac:dyDescent="0.3">
      <c r="B52" s="2">
        <v>45364</v>
      </c>
      <c r="C52" s="6">
        <v>100</v>
      </c>
      <c r="D52" s="10">
        <v>37.380000000000003</v>
      </c>
      <c r="E52" s="10">
        <v>37.44</v>
      </c>
      <c r="F52" s="9">
        <f>IF(Tablo1456789101112131415606264[[#This Row],[SATIŞ]]=0,"Açık",(E52-D52)*C52)</f>
        <v>5.9999999999995168</v>
      </c>
      <c r="G52" s="11">
        <f>Tablo1456789101112131415606264[[#This Row],[ADET]]*Tablo1456789101112131415606264[[#This Row],[ALIŞ]]</f>
        <v>3738.0000000000005</v>
      </c>
      <c r="H52" s="11">
        <f>Tablo1456789101112131415606264[[#This Row],[ADET]]*Tablo1456789101112131415606264[[#This Row],[SATIŞ]]</f>
        <v>3744</v>
      </c>
      <c r="J52" s="40" t="str">
        <f t="shared" si="1"/>
        <v/>
      </c>
    </row>
    <row r="53" spans="2:10" ht="21" hidden="1" customHeight="1" x14ac:dyDescent="0.3">
      <c r="B53" s="2">
        <v>45364</v>
      </c>
      <c r="C53" s="6">
        <v>100</v>
      </c>
      <c r="D53" s="10">
        <v>37.36</v>
      </c>
      <c r="E53" s="10">
        <v>37.4</v>
      </c>
      <c r="F53" s="9">
        <f>IF(Tablo1456789101112131415606264[[#This Row],[SATIŞ]]=0,"Açık",(E53-D53)*C53)</f>
        <v>3.9999999999999147</v>
      </c>
      <c r="G53" s="11">
        <f>Tablo1456789101112131415606264[[#This Row],[ADET]]*Tablo1456789101112131415606264[[#This Row],[ALIŞ]]</f>
        <v>3736</v>
      </c>
      <c r="H53" s="11">
        <f>Tablo1456789101112131415606264[[#This Row],[ADET]]*Tablo1456789101112131415606264[[#This Row],[SATIŞ]]</f>
        <v>3740</v>
      </c>
      <c r="J53" s="40" t="str">
        <f t="shared" si="1"/>
        <v/>
      </c>
    </row>
    <row r="54" spans="2:10" ht="21" hidden="1" customHeight="1" x14ac:dyDescent="0.3">
      <c r="B54" s="2">
        <v>45364</v>
      </c>
      <c r="C54" s="6">
        <v>100</v>
      </c>
      <c r="D54" s="10">
        <v>37.200000000000003</v>
      </c>
      <c r="E54" s="10">
        <v>37.36</v>
      </c>
      <c r="F54" s="9">
        <f>IF(Tablo1456789101112131415606264[[#This Row],[SATIŞ]]=0,"Açık",(E54-D54)*C54)</f>
        <v>15.999999999999659</v>
      </c>
      <c r="G54" s="11">
        <f>Tablo1456789101112131415606264[[#This Row],[ADET]]*Tablo1456789101112131415606264[[#This Row],[ALIŞ]]</f>
        <v>3720.0000000000005</v>
      </c>
      <c r="H54" s="11">
        <f>Tablo1456789101112131415606264[[#This Row],[ADET]]*Tablo1456789101112131415606264[[#This Row],[SATIŞ]]</f>
        <v>3736</v>
      </c>
      <c r="J54" s="40" t="str">
        <f t="shared" si="1"/>
        <v/>
      </c>
    </row>
    <row r="55" spans="2:10" ht="21" hidden="1" customHeight="1" x14ac:dyDescent="0.3">
      <c r="B55" s="2">
        <v>45364</v>
      </c>
      <c r="C55" s="6">
        <v>100</v>
      </c>
      <c r="D55" s="10">
        <v>37.1</v>
      </c>
      <c r="E55" s="10">
        <v>37.299999999999997</v>
      </c>
      <c r="F55" s="9">
        <f>IF(Tablo1456789101112131415606264[[#This Row],[SATIŞ]]=0,"Açık",(E55-D55)*C55)</f>
        <v>19.999999999999574</v>
      </c>
      <c r="G55" s="11">
        <f>Tablo1456789101112131415606264[[#This Row],[ADET]]*Tablo1456789101112131415606264[[#This Row],[ALIŞ]]</f>
        <v>3710</v>
      </c>
      <c r="H55" s="11">
        <f>Tablo1456789101112131415606264[[#This Row],[ADET]]*Tablo1456789101112131415606264[[#This Row],[SATIŞ]]</f>
        <v>3729.9999999999995</v>
      </c>
      <c r="J55" s="40" t="str">
        <f t="shared" si="1"/>
        <v/>
      </c>
    </row>
    <row r="56" spans="2:10" ht="21" hidden="1" customHeight="1" x14ac:dyDescent="0.3">
      <c r="B56" s="2">
        <v>45364</v>
      </c>
      <c r="C56" s="6">
        <v>100</v>
      </c>
      <c r="D56" s="10">
        <v>37</v>
      </c>
      <c r="E56" s="10">
        <v>37.200000000000003</v>
      </c>
      <c r="F56" s="9">
        <f>IF(Tablo1456789101112131415606264[[#This Row],[SATIŞ]]=0,"Açık",(E56-D56)*C56)</f>
        <v>20.000000000000284</v>
      </c>
      <c r="G56" s="11">
        <f>Tablo1456789101112131415606264[[#This Row],[ADET]]*Tablo1456789101112131415606264[[#This Row],[ALIŞ]]</f>
        <v>3700</v>
      </c>
      <c r="H56" s="11">
        <f>Tablo1456789101112131415606264[[#This Row],[ADET]]*Tablo1456789101112131415606264[[#This Row],[SATIŞ]]</f>
        <v>3720.0000000000005</v>
      </c>
      <c r="J56" s="40" t="str">
        <f t="shared" si="1"/>
        <v/>
      </c>
    </row>
    <row r="57" spans="2:10" ht="21" hidden="1" customHeight="1" x14ac:dyDescent="0.3">
      <c r="B57" s="2">
        <v>45364</v>
      </c>
      <c r="C57" s="6">
        <v>100</v>
      </c>
      <c r="D57" s="10">
        <v>37.4</v>
      </c>
      <c r="E57" s="10">
        <v>37.46</v>
      </c>
      <c r="F57" s="9">
        <f>IF(Tablo1456789101112131415606264[[#This Row],[SATIŞ]]=0,"Açık",(E57-D57)*C57)</f>
        <v>6.0000000000002274</v>
      </c>
      <c r="G57" s="11">
        <f>Tablo1456789101112131415606264[[#This Row],[ADET]]*Tablo1456789101112131415606264[[#This Row],[ALIŞ]]</f>
        <v>3740</v>
      </c>
      <c r="H57" s="11">
        <f>Tablo1456789101112131415606264[[#This Row],[ADET]]*Tablo1456789101112131415606264[[#This Row],[SATIŞ]]</f>
        <v>3746</v>
      </c>
      <c r="J57" s="40" t="str">
        <f t="shared" si="1"/>
        <v/>
      </c>
    </row>
    <row r="58" spans="2:10" ht="21" hidden="1" customHeight="1" x14ac:dyDescent="0.3">
      <c r="B58" s="2">
        <v>45364</v>
      </c>
      <c r="C58" s="6">
        <v>100</v>
      </c>
      <c r="D58" s="10">
        <v>37.299999999999997</v>
      </c>
      <c r="E58" s="10">
        <v>37.4</v>
      </c>
      <c r="F58" s="9">
        <f>IF(Tablo1456789101112131415606264[[#This Row],[SATIŞ]]=0,"Açık",(E58-D58)*C58)</f>
        <v>10.000000000000142</v>
      </c>
      <c r="G58" s="11">
        <f>Tablo1456789101112131415606264[[#This Row],[ADET]]*Tablo1456789101112131415606264[[#This Row],[ALIŞ]]</f>
        <v>3729.9999999999995</v>
      </c>
      <c r="H58" s="11">
        <f>Tablo1456789101112131415606264[[#This Row],[ADET]]*Tablo1456789101112131415606264[[#This Row],[SATIŞ]]</f>
        <v>3740</v>
      </c>
      <c r="J58" s="40" t="str">
        <f t="shared" si="1"/>
        <v/>
      </c>
    </row>
    <row r="59" spans="2:10" ht="21" hidden="1" customHeight="1" x14ac:dyDescent="0.3">
      <c r="B59" s="2">
        <v>45364</v>
      </c>
      <c r="C59" s="6">
        <v>100</v>
      </c>
      <c r="D59" s="10">
        <v>37.200000000000003</v>
      </c>
      <c r="E59" s="10">
        <v>37.46</v>
      </c>
      <c r="F59" s="9">
        <f>IF(Tablo1456789101112131415606264[[#This Row],[SATIŞ]]=0,"Açık",(E59-D59)*C59)</f>
        <v>25.999999999999801</v>
      </c>
      <c r="G59" s="11">
        <f>Tablo1456789101112131415606264[[#This Row],[ADET]]*Tablo1456789101112131415606264[[#This Row],[ALIŞ]]</f>
        <v>3720.0000000000005</v>
      </c>
      <c r="H59" s="11">
        <f>Tablo1456789101112131415606264[[#This Row],[ADET]]*Tablo1456789101112131415606264[[#This Row],[SATIŞ]]</f>
        <v>3746</v>
      </c>
      <c r="J59" s="40" t="str">
        <f t="shared" si="1"/>
        <v/>
      </c>
    </row>
    <row r="60" spans="2:10" ht="21" customHeight="1" x14ac:dyDescent="0.3">
      <c r="B60" s="2">
        <v>45364</v>
      </c>
      <c r="C60" s="6">
        <v>300</v>
      </c>
      <c r="D60" s="10">
        <v>37.1</v>
      </c>
      <c r="E60" s="10"/>
      <c r="F60" s="9" t="str">
        <f>IF(Tablo1456789101112131415606264[[#This Row],[SATIŞ]]=0,"Açık",(E60-D60)*C60)</f>
        <v>Açık</v>
      </c>
      <c r="G60" s="11">
        <f>Tablo1456789101112131415606264[[#This Row],[ADET]]*Tablo1456789101112131415606264[[#This Row],[ALIŞ]]</f>
        <v>11130</v>
      </c>
      <c r="H60" s="11">
        <f>Tablo1456789101112131415606264[[#This Row],[ADET]]*Tablo1456789101112131415606264[[#This Row],[SATIŞ]]</f>
        <v>0</v>
      </c>
      <c r="J60" s="40">
        <f t="shared" si="1"/>
        <v>38.955000000000005</v>
      </c>
    </row>
    <row r="61" spans="2:10" ht="21" hidden="1" customHeight="1" x14ac:dyDescent="0.3">
      <c r="B61" s="2">
        <v>45365</v>
      </c>
      <c r="C61" s="6">
        <v>100</v>
      </c>
      <c r="D61" s="10">
        <v>37</v>
      </c>
      <c r="E61" s="10">
        <v>37.200000000000003</v>
      </c>
      <c r="F61" s="9">
        <f>IF(Tablo1456789101112131415606264[[#This Row],[SATIŞ]]=0,"Açık",(E61-D61)*C61)</f>
        <v>20.000000000000284</v>
      </c>
      <c r="G61" s="11">
        <f>Tablo1456789101112131415606264[[#This Row],[ADET]]*Tablo1456789101112131415606264[[#This Row],[ALIŞ]]</f>
        <v>3700</v>
      </c>
      <c r="H61" s="11">
        <f>Tablo1456789101112131415606264[[#This Row],[ADET]]*Tablo1456789101112131415606264[[#This Row],[SATIŞ]]</f>
        <v>3720.0000000000005</v>
      </c>
      <c r="J61" s="40" t="str">
        <f t="shared" si="1"/>
        <v/>
      </c>
    </row>
    <row r="62" spans="2:10" ht="21" hidden="1" customHeight="1" x14ac:dyDescent="0.3">
      <c r="B62" s="2">
        <v>45365</v>
      </c>
      <c r="C62" s="6">
        <v>100</v>
      </c>
      <c r="D62" s="10">
        <v>36.9</v>
      </c>
      <c r="E62" s="10">
        <v>37.1</v>
      </c>
      <c r="F62" s="9">
        <f>IF(Tablo1456789101112131415606264[[#This Row],[SATIŞ]]=0,"Açık",(E62-D62)*C62)</f>
        <v>20.000000000000284</v>
      </c>
      <c r="G62" s="11">
        <f>Tablo1456789101112131415606264[[#This Row],[ADET]]*Tablo1456789101112131415606264[[#This Row],[ALIŞ]]</f>
        <v>3690</v>
      </c>
      <c r="H62" s="11">
        <f>Tablo1456789101112131415606264[[#This Row],[ADET]]*Tablo1456789101112131415606264[[#This Row],[SATIŞ]]</f>
        <v>3710</v>
      </c>
      <c r="J62" s="40" t="str">
        <f t="shared" si="1"/>
        <v/>
      </c>
    </row>
    <row r="63" spans="2:10" ht="21" hidden="1" customHeight="1" x14ac:dyDescent="0.3">
      <c r="B63" s="2">
        <v>45365</v>
      </c>
      <c r="C63" s="6">
        <v>100</v>
      </c>
      <c r="D63" s="10">
        <v>36.9</v>
      </c>
      <c r="E63" s="10">
        <v>37.200000000000003</v>
      </c>
      <c r="F63" s="9">
        <f>IF(Tablo1456789101112131415606264[[#This Row],[SATIŞ]]=0,"Açık",(E63-D63)*C63)</f>
        <v>30.000000000000426</v>
      </c>
      <c r="G63" s="11">
        <f>Tablo1456789101112131415606264[[#This Row],[ADET]]*Tablo1456789101112131415606264[[#This Row],[ALIŞ]]</f>
        <v>3690</v>
      </c>
      <c r="H63" s="11">
        <f>Tablo1456789101112131415606264[[#This Row],[ADET]]*Tablo1456789101112131415606264[[#This Row],[SATIŞ]]</f>
        <v>3720.0000000000005</v>
      </c>
      <c r="J63" s="40" t="str">
        <f t="shared" si="1"/>
        <v/>
      </c>
    </row>
    <row r="64" spans="2:10" ht="21" hidden="1" customHeight="1" x14ac:dyDescent="0.3">
      <c r="B64" s="2">
        <v>45365</v>
      </c>
      <c r="C64" s="6">
        <v>100</v>
      </c>
      <c r="D64" s="10">
        <v>36.9</v>
      </c>
      <c r="E64" s="10">
        <v>37</v>
      </c>
      <c r="F64" s="9">
        <f>IF(Tablo1456789101112131415606264[[#This Row],[SATIŞ]]=0,"Açık",(E64-D64)*C64)</f>
        <v>10.000000000000142</v>
      </c>
      <c r="G64" s="11">
        <f>Tablo1456789101112131415606264[[#This Row],[ADET]]*Tablo1456789101112131415606264[[#This Row],[ALIŞ]]</f>
        <v>3690</v>
      </c>
      <c r="H64" s="11">
        <f>Tablo1456789101112131415606264[[#This Row],[ADET]]*Tablo1456789101112131415606264[[#This Row],[SATIŞ]]</f>
        <v>3700</v>
      </c>
      <c r="J64" s="40" t="str">
        <f t="shared" si="1"/>
        <v/>
      </c>
    </row>
    <row r="65" spans="2:10" ht="21" hidden="1" customHeight="1" x14ac:dyDescent="0.3">
      <c r="B65" s="2">
        <v>45365</v>
      </c>
      <c r="C65" s="6">
        <v>100</v>
      </c>
      <c r="D65" s="10">
        <v>36.799999999999997</v>
      </c>
      <c r="E65" s="10">
        <v>36.9</v>
      </c>
      <c r="F65" s="9">
        <f>IF(Tablo1456789101112131415606264[[#This Row],[SATIŞ]]=0,"Açık",(E65-D65)*C65)</f>
        <v>10.000000000000142</v>
      </c>
      <c r="G65" s="11">
        <f>Tablo1456789101112131415606264[[#This Row],[ADET]]*Tablo1456789101112131415606264[[#This Row],[ALIŞ]]</f>
        <v>3679.9999999999995</v>
      </c>
      <c r="H65" s="11">
        <f>Tablo1456789101112131415606264[[#This Row],[ADET]]*Tablo1456789101112131415606264[[#This Row],[SATIŞ]]</f>
        <v>3690</v>
      </c>
      <c r="J65" s="40" t="str">
        <f t="shared" si="1"/>
        <v/>
      </c>
    </row>
    <row r="66" spans="2:10" ht="21" hidden="1" customHeight="1" x14ac:dyDescent="0.3">
      <c r="B66" s="2">
        <v>45365</v>
      </c>
      <c r="C66" s="6">
        <v>100</v>
      </c>
      <c r="D66" s="10">
        <v>36.700000000000003</v>
      </c>
      <c r="E66" s="10">
        <v>36.799999999999997</v>
      </c>
      <c r="F66" s="9">
        <f>IF(Tablo1456789101112131415606264[[#This Row],[SATIŞ]]=0,"Açık",(E66-D66)*C66)</f>
        <v>9.9999999999994316</v>
      </c>
      <c r="G66" s="11">
        <f>Tablo1456789101112131415606264[[#This Row],[ADET]]*Tablo1456789101112131415606264[[#This Row],[ALIŞ]]</f>
        <v>3670.0000000000005</v>
      </c>
      <c r="H66" s="11">
        <f>Tablo1456789101112131415606264[[#This Row],[ADET]]*Tablo1456789101112131415606264[[#This Row],[SATIŞ]]</f>
        <v>3679.9999999999995</v>
      </c>
      <c r="J66" s="40" t="str">
        <f t="shared" si="1"/>
        <v/>
      </c>
    </row>
    <row r="67" spans="2:10" ht="21" customHeight="1" x14ac:dyDescent="0.3">
      <c r="B67" s="2">
        <v>45365</v>
      </c>
      <c r="C67" s="6">
        <v>100</v>
      </c>
      <c r="D67" s="10">
        <v>36.6</v>
      </c>
      <c r="E67" s="10"/>
      <c r="F67" s="9" t="str">
        <f>IF(Tablo1456789101112131415606264[[#This Row],[SATIŞ]]=0,"Açık",(E67-D67)*C67)</f>
        <v>Açık</v>
      </c>
      <c r="G67" s="11">
        <f>Tablo1456789101112131415606264[[#This Row],[ADET]]*Tablo1456789101112131415606264[[#This Row],[ALIŞ]]</f>
        <v>3660</v>
      </c>
      <c r="H67" s="11">
        <f>Tablo1456789101112131415606264[[#This Row],[ADET]]*Tablo1456789101112131415606264[[#This Row],[SATIŞ]]</f>
        <v>0</v>
      </c>
      <c r="J67" s="40">
        <f t="shared" si="1"/>
        <v>38.43</v>
      </c>
    </row>
    <row r="68" spans="2:10" ht="21" customHeight="1" x14ac:dyDescent="0.3">
      <c r="B68" s="2">
        <v>45366</v>
      </c>
      <c r="C68" s="6">
        <v>100</v>
      </c>
      <c r="D68" s="10">
        <v>36.6</v>
      </c>
      <c r="E68" s="10"/>
      <c r="F68" s="9" t="str">
        <f>IF(Tablo1456789101112131415606264[[#This Row],[SATIŞ]]=0,"Açık",(E68-D68)*C68)</f>
        <v>Açık</v>
      </c>
      <c r="G68" s="11">
        <f>Tablo1456789101112131415606264[[#This Row],[ADET]]*Tablo1456789101112131415606264[[#This Row],[ALIŞ]]</f>
        <v>3660</v>
      </c>
      <c r="H68" s="11">
        <f>Tablo1456789101112131415606264[[#This Row],[ADET]]*Tablo1456789101112131415606264[[#This Row],[SATIŞ]]</f>
        <v>0</v>
      </c>
      <c r="J68" s="40">
        <f t="shared" si="1"/>
        <v>38.43</v>
      </c>
    </row>
    <row r="69" spans="2:10" ht="21" customHeight="1" x14ac:dyDescent="0.3">
      <c r="B69" s="2">
        <v>45366</v>
      </c>
      <c r="C69" s="6">
        <v>100</v>
      </c>
      <c r="D69" s="10">
        <v>36.5</v>
      </c>
      <c r="E69" s="10"/>
      <c r="F69" s="9" t="str">
        <f>IF(Tablo1456789101112131415606264[[#This Row],[SATIŞ]]=0,"Açık",(E69-D69)*C69)</f>
        <v>Açık</v>
      </c>
      <c r="G69" s="11">
        <f>Tablo1456789101112131415606264[[#This Row],[ADET]]*Tablo1456789101112131415606264[[#This Row],[ALIŞ]]</f>
        <v>3650</v>
      </c>
      <c r="H69" s="11">
        <f>Tablo1456789101112131415606264[[#This Row],[ADET]]*Tablo1456789101112131415606264[[#This Row],[SATIŞ]]</f>
        <v>0</v>
      </c>
      <c r="J69" s="40">
        <f t="shared" ref="J69:J100" si="2">IF(E69=0,D69*1.05,"")</f>
        <v>38.325000000000003</v>
      </c>
    </row>
    <row r="70" spans="2:10" ht="21" customHeight="1" x14ac:dyDescent="0.3">
      <c r="B70" s="2">
        <v>45369</v>
      </c>
      <c r="C70" s="6">
        <v>100</v>
      </c>
      <c r="D70" s="10">
        <v>35.4</v>
      </c>
      <c r="E70" s="10"/>
      <c r="F70" s="9" t="str">
        <f>IF(Tablo1456789101112131415606264[[#This Row],[SATIŞ]]=0,"Açık",(E70-D70)*C70)</f>
        <v>Açık</v>
      </c>
      <c r="G70" s="11">
        <f>Tablo1456789101112131415606264[[#This Row],[ADET]]*Tablo1456789101112131415606264[[#This Row],[ALIŞ]]</f>
        <v>3540</v>
      </c>
      <c r="H70" s="11">
        <f>Tablo1456789101112131415606264[[#This Row],[ADET]]*Tablo1456789101112131415606264[[#This Row],[SATIŞ]]</f>
        <v>0</v>
      </c>
      <c r="J70" s="40">
        <f t="shared" si="2"/>
        <v>37.17</v>
      </c>
    </row>
    <row r="71" spans="2:10" ht="21" hidden="1" customHeight="1" x14ac:dyDescent="0.3">
      <c r="B71" s="2">
        <v>45369</v>
      </c>
      <c r="C71" s="6">
        <v>100</v>
      </c>
      <c r="D71" s="10">
        <v>35.4</v>
      </c>
      <c r="E71" s="10">
        <v>37</v>
      </c>
      <c r="F71" s="9">
        <f>IF(Tablo1456789101112131415606264[[#This Row],[SATIŞ]]=0,"Açık",(E71-D71)*C71)</f>
        <v>160.00000000000014</v>
      </c>
      <c r="G71" s="11">
        <f>Tablo1456789101112131415606264[[#This Row],[ADET]]*Tablo1456789101112131415606264[[#This Row],[ALIŞ]]</f>
        <v>3540</v>
      </c>
      <c r="H71" s="11">
        <f>Tablo1456789101112131415606264[[#This Row],[ADET]]*Tablo1456789101112131415606264[[#This Row],[SATIŞ]]</f>
        <v>3700</v>
      </c>
      <c r="J71" s="40" t="str">
        <f t="shared" si="2"/>
        <v/>
      </c>
    </row>
    <row r="72" spans="2:10" ht="21" hidden="1" customHeight="1" x14ac:dyDescent="0.3">
      <c r="B72" s="2">
        <v>45369</v>
      </c>
      <c r="C72" s="6">
        <v>100</v>
      </c>
      <c r="D72" s="10">
        <v>35.4</v>
      </c>
      <c r="E72" s="10">
        <v>37</v>
      </c>
      <c r="F72" s="9">
        <f>IF(Tablo1456789101112131415606264[[#This Row],[SATIŞ]]=0,"Açık",(E72-D72)*C72)</f>
        <v>160.00000000000014</v>
      </c>
      <c r="G72" s="11">
        <f>Tablo1456789101112131415606264[[#This Row],[ADET]]*Tablo1456789101112131415606264[[#This Row],[ALIŞ]]</f>
        <v>3540</v>
      </c>
      <c r="H72" s="11">
        <f>Tablo1456789101112131415606264[[#This Row],[ADET]]*Tablo1456789101112131415606264[[#This Row],[SATIŞ]]</f>
        <v>3700</v>
      </c>
      <c r="J72" s="40" t="str">
        <f t="shared" si="2"/>
        <v/>
      </c>
    </row>
    <row r="73" spans="2:10" ht="21" hidden="1" customHeight="1" x14ac:dyDescent="0.3">
      <c r="B73" s="2">
        <v>45369</v>
      </c>
      <c r="C73" s="6">
        <v>100</v>
      </c>
      <c r="D73" s="10">
        <v>35.299999999999997</v>
      </c>
      <c r="E73" s="10">
        <v>37</v>
      </c>
      <c r="F73" s="9">
        <f>IF(Tablo1456789101112131415606264[[#This Row],[SATIŞ]]=0,"Açık",(E73-D73)*C73)</f>
        <v>170.00000000000028</v>
      </c>
      <c r="G73" s="11">
        <f>Tablo1456789101112131415606264[[#This Row],[ADET]]*Tablo1456789101112131415606264[[#This Row],[ALIŞ]]</f>
        <v>3529.9999999999995</v>
      </c>
      <c r="H73" s="11">
        <f>Tablo1456789101112131415606264[[#This Row],[ADET]]*Tablo1456789101112131415606264[[#This Row],[SATIŞ]]</f>
        <v>3700</v>
      </c>
      <c r="J73" s="40" t="str">
        <f t="shared" si="2"/>
        <v/>
      </c>
    </row>
    <row r="74" spans="2:10" ht="21" hidden="1" customHeight="1" x14ac:dyDescent="0.3">
      <c r="B74" s="2">
        <v>45369</v>
      </c>
      <c r="C74" s="6">
        <v>100</v>
      </c>
      <c r="D74" s="10">
        <v>35.299999999999997</v>
      </c>
      <c r="E74" s="10">
        <v>36.200000000000003</v>
      </c>
      <c r="F74" s="9">
        <f>IF(Tablo1456789101112131415606264[[#This Row],[SATIŞ]]=0,"Açık",(E74-D74)*C74)</f>
        <v>90.000000000000568</v>
      </c>
      <c r="G74" s="11">
        <f>Tablo1456789101112131415606264[[#This Row],[ADET]]*Tablo1456789101112131415606264[[#This Row],[ALIŞ]]</f>
        <v>3529.9999999999995</v>
      </c>
      <c r="H74" s="11">
        <f>Tablo1456789101112131415606264[[#This Row],[ADET]]*Tablo1456789101112131415606264[[#This Row],[SATIŞ]]</f>
        <v>3620.0000000000005</v>
      </c>
      <c r="J74" s="40" t="str">
        <f t="shared" si="2"/>
        <v/>
      </c>
    </row>
    <row r="75" spans="2:10" ht="21" hidden="1" customHeight="1" x14ac:dyDescent="0.3">
      <c r="B75" s="2">
        <v>45369</v>
      </c>
      <c r="C75" s="6">
        <v>100</v>
      </c>
      <c r="D75" s="10">
        <v>35.200000000000003</v>
      </c>
      <c r="E75" s="10">
        <v>35.700000000000003</v>
      </c>
      <c r="F75" s="9">
        <f>IF(Tablo1456789101112131415606264[[#This Row],[SATIŞ]]=0,"Açık",(E75-D75)*C75)</f>
        <v>50</v>
      </c>
      <c r="G75" s="11">
        <f>Tablo1456789101112131415606264[[#This Row],[ADET]]*Tablo1456789101112131415606264[[#This Row],[ALIŞ]]</f>
        <v>3520.0000000000005</v>
      </c>
      <c r="H75" s="11">
        <f>Tablo1456789101112131415606264[[#This Row],[ADET]]*Tablo1456789101112131415606264[[#This Row],[SATIŞ]]</f>
        <v>3570.0000000000005</v>
      </c>
      <c r="J75" s="40" t="str">
        <f t="shared" si="2"/>
        <v/>
      </c>
    </row>
    <row r="76" spans="2:10" ht="21" hidden="1" customHeight="1" x14ac:dyDescent="0.3">
      <c r="B76" s="2">
        <v>45369</v>
      </c>
      <c r="C76" s="6">
        <v>100</v>
      </c>
      <c r="D76" s="10">
        <v>35.200000000000003</v>
      </c>
      <c r="E76" s="10">
        <v>35.6</v>
      </c>
      <c r="F76" s="9">
        <f>IF(Tablo1456789101112131415606264[[#This Row],[SATIŞ]]=0,"Açık",(E76-D76)*C76)</f>
        <v>39.999999999999858</v>
      </c>
      <c r="G76" s="11">
        <f>Tablo1456789101112131415606264[[#This Row],[ADET]]*Tablo1456789101112131415606264[[#This Row],[ALIŞ]]</f>
        <v>3520.0000000000005</v>
      </c>
      <c r="H76" s="11">
        <f>Tablo1456789101112131415606264[[#This Row],[ADET]]*Tablo1456789101112131415606264[[#This Row],[SATIŞ]]</f>
        <v>3560</v>
      </c>
      <c r="J76" s="40" t="str">
        <f t="shared" si="2"/>
        <v/>
      </c>
    </row>
    <row r="77" spans="2:10" ht="21" hidden="1" customHeight="1" x14ac:dyDescent="0.3">
      <c r="B77" s="2">
        <v>45369</v>
      </c>
      <c r="C77" s="6">
        <v>100</v>
      </c>
      <c r="D77" s="10">
        <v>35.200000000000003</v>
      </c>
      <c r="E77" s="10">
        <v>35.5</v>
      </c>
      <c r="F77" s="9">
        <f>IF(Tablo1456789101112131415606264[[#This Row],[SATIŞ]]=0,"Açık",(E77-D77)*C77)</f>
        <v>29.999999999999716</v>
      </c>
      <c r="G77" s="11">
        <f>Tablo1456789101112131415606264[[#This Row],[ADET]]*Tablo1456789101112131415606264[[#This Row],[ALIŞ]]</f>
        <v>3520.0000000000005</v>
      </c>
      <c r="H77" s="11">
        <f>Tablo1456789101112131415606264[[#This Row],[ADET]]*Tablo1456789101112131415606264[[#This Row],[SATIŞ]]</f>
        <v>3550</v>
      </c>
      <c r="J77" s="40" t="str">
        <f t="shared" si="2"/>
        <v/>
      </c>
    </row>
    <row r="78" spans="2:10" ht="21" hidden="1" customHeight="1" x14ac:dyDescent="0.3">
      <c r="B78" s="2">
        <v>45369</v>
      </c>
      <c r="C78" s="6">
        <v>100</v>
      </c>
      <c r="D78" s="10">
        <v>35.1</v>
      </c>
      <c r="E78" s="10">
        <v>35.44</v>
      </c>
      <c r="F78" s="9">
        <f>IF(Tablo1456789101112131415606264[[#This Row],[SATIŞ]]=0,"Açık",(E78-D78)*C78)</f>
        <v>33.999999999999631</v>
      </c>
      <c r="G78" s="11">
        <f>Tablo1456789101112131415606264[[#This Row],[ADET]]*Tablo1456789101112131415606264[[#This Row],[ALIŞ]]</f>
        <v>3510</v>
      </c>
      <c r="H78" s="11">
        <f>Tablo1456789101112131415606264[[#This Row],[ADET]]*Tablo1456789101112131415606264[[#This Row],[SATIŞ]]</f>
        <v>3544</v>
      </c>
      <c r="J78" s="40" t="str">
        <f t="shared" si="2"/>
        <v/>
      </c>
    </row>
    <row r="79" spans="2:10" ht="21" hidden="1" customHeight="1" x14ac:dyDescent="0.3">
      <c r="B79" s="2">
        <v>45369</v>
      </c>
      <c r="C79" s="6">
        <v>100</v>
      </c>
      <c r="D79" s="10">
        <v>35</v>
      </c>
      <c r="E79" s="10">
        <v>35.44</v>
      </c>
      <c r="F79" s="9">
        <f>IF(Tablo1456789101112131415606264[[#This Row],[SATIŞ]]=0,"Açık",(E79-D79)*C79)</f>
        <v>43.999999999999773</v>
      </c>
      <c r="G79" s="11">
        <f>Tablo1456789101112131415606264[[#This Row],[ADET]]*Tablo1456789101112131415606264[[#This Row],[ALIŞ]]</f>
        <v>3500</v>
      </c>
      <c r="H79" s="11">
        <f>Tablo1456789101112131415606264[[#This Row],[ADET]]*Tablo1456789101112131415606264[[#This Row],[SATIŞ]]</f>
        <v>3544</v>
      </c>
      <c r="J79" s="40" t="str">
        <f t="shared" si="2"/>
        <v/>
      </c>
    </row>
    <row r="80" spans="2:10" ht="21" hidden="1" customHeight="1" x14ac:dyDescent="0.3">
      <c r="B80" s="2">
        <v>45369</v>
      </c>
      <c r="C80" s="6">
        <v>100</v>
      </c>
      <c r="D80" s="10">
        <v>34.9</v>
      </c>
      <c r="E80" s="10">
        <v>35</v>
      </c>
      <c r="F80" s="9">
        <f>IF(Tablo1456789101112131415606264[[#This Row],[SATIŞ]]=0,"Açık",(E80-D80)*C80)</f>
        <v>10.000000000000142</v>
      </c>
      <c r="G80" s="11">
        <f>Tablo1456789101112131415606264[[#This Row],[ADET]]*Tablo1456789101112131415606264[[#This Row],[ALIŞ]]</f>
        <v>3490</v>
      </c>
      <c r="H80" s="11">
        <f>Tablo1456789101112131415606264[[#This Row],[ADET]]*Tablo1456789101112131415606264[[#This Row],[SATIŞ]]</f>
        <v>3500</v>
      </c>
      <c r="J80" s="40" t="str">
        <f t="shared" si="2"/>
        <v/>
      </c>
    </row>
    <row r="81" spans="2:10" ht="21" hidden="1" customHeight="1" x14ac:dyDescent="0.3">
      <c r="B81" s="2">
        <v>45369</v>
      </c>
      <c r="C81" s="6">
        <v>100</v>
      </c>
      <c r="D81" s="10">
        <v>35</v>
      </c>
      <c r="E81" s="10">
        <v>35.200000000000003</v>
      </c>
      <c r="F81" s="9">
        <f>IF(Tablo1456789101112131415606264[[#This Row],[SATIŞ]]=0,"Açık",(E81-D81)*C81)</f>
        <v>20.000000000000284</v>
      </c>
      <c r="G81" s="11">
        <f>Tablo1456789101112131415606264[[#This Row],[ADET]]*Tablo1456789101112131415606264[[#This Row],[ALIŞ]]</f>
        <v>3500</v>
      </c>
      <c r="H81" s="11">
        <f>Tablo1456789101112131415606264[[#This Row],[ADET]]*Tablo1456789101112131415606264[[#This Row],[SATIŞ]]</f>
        <v>3520.0000000000005</v>
      </c>
      <c r="J81" s="40" t="str">
        <f t="shared" si="2"/>
        <v/>
      </c>
    </row>
    <row r="82" spans="2:10" ht="21" hidden="1" customHeight="1" x14ac:dyDescent="0.3">
      <c r="B82" s="2">
        <v>45369</v>
      </c>
      <c r="C82" s="6">
        <v>100</v>
      </c>
      <c r="D82" s="10">
        <v>34.9</v>
      </c>
      <c r="E82" s="10">
        <v>35.1</v>
      </c>
      <c r="F82" s="9">
        <f>IF(Tablo1456789101112131415606264[[#This Row],[SATIŞ]]=0,"Açık",(E82-D82)*C82)</f>
        <v>20.000000000000284</v>
      </c>
      <c r="G82" s="11">
        <f>Tablo1456789101112131415606264[[#This Row],[ADET]]*Tablo1456789101112131415606264[[#This Row],[ALIŞ]]</f>
        <v>3490</v>
      </c>
      <c r="H82" s="11">
        <f>Tablo1456789101112131415606264[[#This Row],[ADET]]*Tablo1456789101112131415606264[[#This Row],[SATIŞ]]</f>
        <v>3510</v>
      </c>
      <c r="J82" s="40" t="str">
        <f t="shared" si="2"/>
        <v/>
      </c>
    </row>
    <row r="83" spans="2:10" ht="21" hidden="1" customHeight="1" x14ac:dyDescent="0.3">
      <c r="B83" s="2">
        <v>45369</v>
      </c>
      <c r="C83" s="6">
        <v>100</v>
      </c>
      <c r="D83" s="10">
        <v>34.9</v>
      </c>
      <c r="E83" s="10">
        <v>35.1</v>
      </c>
      <c r="F83" s="9">
        <f>IF(Tablo1456789101112131415606264[[#This Row],[SATIŞ]]=0,"Açık",(E83-D83)*C83)</f>
        <v>20.000000000000284</v>
      </c>
      <c r="G83" s="11">
        <f>Tablo1456789101112131415606264[[#This Row],[ADET]]*Tablo1456789101112131415606264[[#This Row],[ALIŞ]]</f>
        <v>3490</v>
      </c>
      <c r="H83" s="11">
        <f>Tablo1456789101112131415606264[[#This Row],[ADET]]*Tablo1456789101112131415606264[[#This Row],[SATIŞ]]</f>
        <v>3510</v>
      </c>
      <c r="J83" s="40" t="str">
        <f t="shared" si="2"/>
        <v/>
      </c>
    </row>
    <row r="84" spans="2:10" ht="21" hidden="1" customHeight="1" x14ac:dyDescent="0.3">
      <c r="B84" s="2">
        <v>45369</v>
      </c>
      <c r="C84" s="6">
        <v>100</v>
      </c>
      <c r="D84" s="10">
        <v>34.799999999999997</v>
      </c>
      <c r="E84" s="10">
        <v>35</v>
      </c>
      <c r="F84" s="9">
        <f>IF(Tablo1456789101112131415606264[[#This Row],[SATIŞ]]=0,"Açık",(E84-D84)*C84)</f>
        <v>20.000000000000284</v>
      </c>
      <c r="G84" s="11">
        <f>Tablo1456789101112131415606264[[#This Row],[ADET]]*Tablo1456789101112131415606264[[#This Row],[ALIŞ]]</f>
        <v>3479.9999999999995</v>
      </c>
      <c r="H84" s="11">
        <f>Tablo1456789101112131415606264[[#This Row],[ADET]]*Tablo1456789101112131415606264[[#This Row],[SATIŞ]]</f>
        <v>3500</v>
      </c>
      <c r="J84" s="40" t="str">
        <f t="shared" si="2"/>
        <v/>
      </c>
    </row>
    <row r="85" spans="2:10" ht="21" hidden="1" customHeight="1" x14ac:dyDescent="0.3">
      <c r="B85" s="2">
        <v>45369</v>
      </c>
      <c r="C85" s="6">
        <v>100</v>
      </c>
      <c r="D85" s="10">
        <v>34.700000000000003</v>
      </c>
      <c r="E85" s="10">
        <v>35</v>
      </c>
      <c r="F85" s="9">
        <f>IF(Tablo1456789101112131415606264[[#This Row],[SATIŞ]]=0,"Açık",(E85-D85)*C85)</f>
        <v>29.999999999999716</v>
      </c>
      <c r="G85" s="11">
        <f>Tablo1456789101112131415606264[[#This Row],[ADET]]*Tablo1456789101112131415606264[[#This Row],[ALIŞ]]</f>
        <v>3470.0000000000005</v>
      </c>
      <c r="H85" s="11">
        <f>Tablo1456789101112131415606264[[#This Row],[ADET]]*Tablo1456789101112131415606264[[#This Row],[SATIŞ]]</f>
        <v>3500</v>
      </c>
      <c r="J85" s="40" t="str">
        <f t="shared" si="2"/>
        <v/>
      </c>
    </row>
    <row r="86" spans="2:10" ht="21" hidden="1" customHeight="1" x14ac:dyDescent="0.3">
      <c r="B86" s="2">
        <v>45369</v>
      </c>
      <c r="C86" s="6">
        <v>100</v>
      </c>
      <c r="D86" s="10">
        <v>35</v>
      </c>
      <c r="E86" s="10">
        <v>35.4</v>
      </c>
      <c r="F86" s="9">
        <f>IF(Tablo1456789101112131415606264[[#This Row],[SATIŞ]]=0,"Açık",(E86-D86)*C86)</f>
        <v>39.999999999999858</v>
      </c>
      <c r="G86" s="11">
        <f>Tablo1456789101112131415606264[[#This Row],[ADET]]*Tablo1456789101112131415606264[[#This Row],[ALIŞ]]</f>
        <v>3500</v>
      </c>
      <c r="H86" s="11">
        <f>Tablo1456789101112131415606264[[#This Row],[ADET]]*Tablo1456789101112131415606264[[#This Row],[SATIŞ]]</f>
        <v>3540</v>
      </c>
      <c r="J86" s="40" t="str">
        <f t="shared" si="2"/>
        <v/>
      </c>
    </row>
    <row r="87" spans="2:10" ht="21" hidden="1" customHeight="1" x14ac:dyDescent="0.3">
      <c r="B87" s="2">
        <v>45369</v>
      </c>
      <c r="C87" s="6">
        <v>100</v>
      </c>
      <c r="D87" s="10">
        <v>34.9</v>
      </c>
      <c r="E87" s="10">
        <v>35.299999999999997</v>
      </c>
      <c r="F87" s="9">
        <f>IF(Tablo1456789101112131415606264[[#This Row],[SATIŞ]]=0,"Açık",(E87-D87)*C87)</f>
        <v>39.999999999999858</v>
      </c>
      <c r="G87" s="11">
        <f>Tablo1456789101112131415606264[[#This Row],[ADET]]*Tablo1456789101112131415606264[[#This Row],[ALIŞ]]</f>
        <v>3490</v>
      </c>
      <c r="H87" s="11">
        <f>Tablo1456789101112131415606264[[#This Row],[ADET]]*Tablo1456789101112131415606264[[#This Row],[SATIŞ]]</f>
        <v>3529.9999999999995</v>
      </c>
      <c r="J87" s="40" t="str">
        <f t="shared" si="2"/>
        <v/>
      </c>
    </row>
    <row r="88" spans="2:10" ht="21" hidden="1" customHeight="1" x14ac:dyDescent="0.3">
      <c r="B88" s="2">
        <v>45369</v>
      </c>
      <c r="C88" s="6">
        <v>100</v>
      </c>
      <c r="D88" s="10">
        <v>34.799999999999997</v>
      </c>
      <c r="E88" s="10">
        <v>35</v>
      </c>
      <c r="F88" s="9">
        <f>IF(Tablo1456789101112131415606264[[#This Row],[SATIŞ]]=0,"Açık",(E88-D88)*C88)</f>
        <v>20.000000000000284</v>
      </c>
      <c r="G88" s="11">
        <f>Tablo1456789101112131415606264[[#This Row],[ADET]]*Tablo1456789101112131415606264[[#This Row],[ALIŞ]]</f>
        <v>3479.9999999999995</v>
      </c>
      <c r="H88" s="11">
        <f>Tablo1456789101112131415606264[[#This Row],[ADET]]*Tablo1456789101112131415606264[[#This Row],[SATIŞ]]</f>
        <v>3500</v>
      </c>
      <c r="J88" s="40" t="str">
        <f t="shared" si="2"/>
        <v/>
      </c>
    </row>
    <row r="89" spans="2:10" ht="21" hidden="1" customHeight="1" x14ac:dyDescent="0.3">
      <c r="B89" s="2">
        <v>45369</v>
      </c>
      <c r="C89" s="6">
        <v>100</v>
      </c>
      <c r="D89" s="10">
        <v>34.799999999999997</v>
      </c>
      <c r="E89" s="10">
        <v>35.200000000000003</v>
      </c>
      <c r="F89" s="9">
        <f>IF(Tablo1456789101112131415606264[[#This Row],[SATIŞ]]=0,"Açık",(E89-D89)*C89)</f>
        <v>40.000000000000568</v>
      </c>
      <c r="G89" s="11">
        <f>Tablo1456789101112131415606264[[#This Row],[ADET]]*Tablo1456789101112131415606264[[#This Row],[ALIŞ]]</f>
        <v>3479.9999999999995</v>
      </c>
      <c r="H89" s="11">
        <f>Tablo1456789101112131415606264[[#This Row],[ADET]]*Tablo1456789101112131415606264[[#This Row],[SATIŞ]]</f>
        <v>3520.0000000000005</v>
      </c>
      <c r="J89" s="40" t="str">
        <f t="shared" si="2"/>
        <v/>
      </c>
    </row>
    <row r="90" spans="2:10" ht="21" hidden="1" customHeight="1" x14ac:dyDescent="0.3">
      <c r="B90" s="2">
        <v>45369</v>
      </c>
      <c r="C90" s="6">
        <v>100</v>
      </c>
      <c r="D90" s="10">
        <v>34.700000000000003</v>
      </c>
      <c r="E90" s="10">
        <v>34.700000000000003</v>
      </c>
      <c r="F90" s="9">
        <f>IF(Tablo1456789101112131415606264[[#This Row],[SATIŞ]]=0,"Açık",(E90-D90)*C90)</f>
        <v>0</v>
      </c>
      <c r="G90" s="11">
        <f>Tablo1456789101112131415606264[[#This Row],[ADET]]*Tablo1456789101112131415606264[[#This Row],[ALIŞ]]</f>
        <v>3470.0000000000005</v>
      </c>
      <c r="H90" s="11">
        <f>Tablo1456789101112131415606264[[#This Row],[ADET]]*Tablo1456789101112131415606264[[#This Row],[SATIŞ]]</f>
        <v>3470.0000000000005</v>
      </c>
      <c r="J90" s="40" t="str">
        <f t="shared" si="2"/>
        <v/>
      </c>
    </row>
    <row r="91" spans="2:10" ht="21" hidden="1" customHeight="1" x14ac:dyDescent="0.3">
      <c r="B91" s="2">
        <v>45369</v>
      </c>
      <c r="C91" s="6">
        <v>100</v>
      </c>
      <c r="D91" s="10">
        <v>34.76</v>
      </c>
      <c r="E91" s="10">
        <v>34.799999999999997</v>
      </c>
      <c r="F91" s="9">
        <f>IF(Tablo1456789101112131415606264[[#This Row],[SATIŞ]]=0,"Açık",(E91-D91)*C91)</f>
        <v>3.9999999999999147</v>
      </c>
      <c r="G91" s="11">
        <f>Tablo1456789101112131415606264[[#This Row],[ADET]]*Tablo1456789101112131415606264[[#This Row],[ALIŞ]]</f>
        <v>3476</v>
      </c>
      <c r="H91" s="11">
        <f>Tablo1456789101112131415606264[[#This Row],[ADET]]*Tablo1456789101112131415606264[[#This Row],[SATIŞ]]</f>
        <v>3479.9999999999995</v>
      </c>
      <c r="J91" s="40" t="str">
        <f t="shared" si="2"/>
        <v/>
      </c>
    </row>
    <row r="92" spans="2:10" ht="21" hidden="1" customHeight="1" x14ac:dyDescent="0.3">
      <c r="B92" s="2">
        <v>45369</v>
      </c>
      <c r="C92" s="6">
        <v>100</v>
      </c>
      <c r="D92" s="10">
        <v>34.700000000000003</v>
      </c>
      <c r="E92" s="10">
        <v>35.1</v>
      </c>
      <c r="F92" s="9">
        <f>IF(Tablo1456789101112131415606264[[#This Row],[SATIŞ]]=0,"Açık",(E92-D92)*C92)</f>
        <v>39.999999999999858</v>
      </c>
      <c r="G92" s="11">
        <f>Tablo1456789101112131415606264[[#This Row],[ADET]]*Tablo1456789101112131415606264[[#This Row],[ALIŞ]]</f>
        <v>3470.0000000000005</v>
      </c>
      <c r="H92" s="11">
        <f>Tablo1456789101112131415606264[[#This Row],[ADET]]*Tablo1456789101112131415606264[[#This Row],[SATIŞ]]</f>
        <v>3510</v>
      </c>
      <c r="J92" s="40" t="str">
        <f t="shared" si="2"/>
        <v/>
      </c>
    </row>
    <row r="93" spans="2:10" ht="21" hidden="1" customHeight="1" x14ac:dyDescent="0.3">
      <c r="B93" s="2">
        <v>45369</v>
      </c>
      <c r="C93" s="6">
        <v>100</v>
      </c>
      <c r="D93" s="10">
        <v>34.6</v>
      </c>
      <c r="E93" s="10">
        <v>35</v>
      </c>
      <c r="F93" s="9">
        <f>IF(Tablo1456789101112131415606264[[#This Row],[SATIŞ]]=0,"Açık",(E93-D93)*C93)</f>
        <v>39.999999999999858</v>
      </c>
      <c r="G93" s="11">
        <f>Tablo1456789101112131415606264[[#This Row],[ADET]]*Tablo1456789101112131415606264[[#This Row],[ALIŞ]]</f>
        <v>3460</v>
      </c>
      <c r="H93" s="11">
        <f>Tablo1456789101112131415606264[[#This Row],[ADET]]*Tablo1456789101112131415606264[[#This Row],[SATIŞ]]</f>
        <v>3500</v>
      </c>
      <c r="J93" s="40" t="str">
        <f t="shared" si="2"/>
        <v/>
      </c>
    </row>
    <row r="94" spans="2:10" ht="21" hidden="1" customHeight="1" x14ac:dyDescent="0.3">
      <c r="B94" s="2">
        <v>45369</v>
      </c>
      <c r="C94" s="6">
        <v>100</v>
      </c>
      <c r="D94" s="10">
        <v>34.5</v>
      </c>
      <c r="E94" s="10">
        <v>35</v>
      </c>
      <c r="F94" s="9">
        <f>IF(Tablo1456789101112131415606264[[#This Row],[SATIŞ]]=0,"Açık",(E94-D94)*C94)</f>
        <v>50</v>
      </c>
      <c r="G94" s="11">
        <f>Tablo1456789101112131415606264[[#This Row],[ADET]]*Tablo1456789101112131415606264[[#This Row],[ALIŞ]]</f>
        <v>3450</v>
      </c>
      <c r="H94" s="11">
        <f>Tablo1456789101112131415606264[[#This Row],[ADET]]*Tablo1456789101112131415606264[[#This Row],[SATIŞ]]</f>
        <v>3500</v>
      </c>
      <c r="J94" s="40" t="str">
        <f t="shared" si="2"/>
        <v/>
      </c>
    </row>
    <row r="95" spans="2:10" ht="21" hidden="1" customHeight="1" x14ac:dyDescent="0.3">
      <c r="B95" s="2">
        <v>45369</v>
      </c>
      <c r="C95" s="6">
        <v>100</v>
      </c>
      <c r="D95" s="10">
        <v>34.4</v>
      </c>
      <c r="E95" s="10">
        <v>35.1</v>
      </c>
      <c r="F95" s="9">
        <f>IF(Tablo1456789101112131415606264[[#This Row],[SATIŞ]]=0,"Açık",(E95-D95)*C95)</f>
        <v>70.000000000000284</v>
      </c>
      <c r="G95" s="11">
        <f>Tablo1456789101112131415606264[[#This Row],[ADET]]*Tablo1456789101112131415606264[[#This Row],[ALIŞ]]</f>
        <v>3440</v>
      </c>
      <c r="H95" s="11">
        <f>Tablo1456789101112131415606264[[#This Row],[ADET]]*Tablo1456789101112131415606264[[#This Row],[SATIŞ]]</f>
        <v>3510</v>
      </c>
      <c r="J95" s="40" t="str">
        <f t="shared" si="2"/>
        <v/>
      </c>
    </row>
    <row r="96" spans="2:10" ht="21" hidden="1" customHeight="1" x14ac:dyDescent="0.3">
      <c r="B96" s="2">
        <v>45369</v>
      </c>
      <c r="C96" s="6">
        <v>100</v>
      </c>
      <c r="D96" s="10">
        <v>34.299999999999997</v>
      </c>
      <c r="E96" s="10">
        <v>34.799999999999997</v>
      </c>
      <c r="F96" s="9">
        <f>IF(Tablo1456789101112131415606264[[#This Row],[SATIŞ]]=0,"Açık",(E96-D96)*C96)</f>
        <v>50</v>
      </c>
      <c r="G96" s="11">
        <f>Tablo1456789101112131415606264[[#This Row],[ADET]]*Tablo1456789101112131415606264[[#This Row],[ALIŞ]]</f>
        <v>3429.9999999999995</v>
      </c>
      <c r="H96" s="11">
        <f>Tablo1456789101112131415606264[[#This Row],[ADET]]*Tablo1456789101112131415606264[[#This Row],[SATIŞ]]</f>
        <v>3479.9999999999995</v>
      </c>
      <c r="J96" s="40" t="str">
        <f t="shared" si="2"/>
        <v/>
      </c>
    </row>
    <row r="97" spans="2:10" ht="21" hidden="1" customHeight="1" x14ac:dyDescent="0.3">
      <c r="B97" s="2">
        <v>45369</v>
      </c>
      <c r="C97" s="6">
        <v>100</v>
      </c>
      <c r="D97" s="10">
        <v>34.299999999999997</v>
      </c>
      <c r="E97" s="10">
        <v>34.700000000000003</v>
      </c>
      <c r="F97" s="9">
        <f>IF(Tablo1456789101112131415606264[[#This Row],[SATIŞ]]=0,"Açık",(E97-D97)*C97)</f>
        <v>40.000000000000568</v>
      </c>
      <c r="G97" s="11">
        <f>Tablo1456789101112131415606264[[#This Row],[ADET]]*Tablo1456789101112131415606264[[#This Row],[ALIŞ]]</f>
        <v>3429.9999999999995</v>
      </c>
      <c r="H97" s="11">
        <f>Tablo1456789101112131415606264[[#This Row],[ADET]]*Tablo1456789101112131415606264[[#This Row],[SATIŞ]]</f>
        <v>3470.0000000000005</v>
      </c>
      <c r="J97" s="40" t="str">
        <f t="shared" si="2"/>
        <v/>
      </c>
    </row>
    <row r="98" spans="2:10" ht="21" hidden="1" customHeight="1" x14ac:dyDescent="0.3">
      <c r="B98" s="2">
        <v>45369</v>
      </c>
      <c r="C98" s="6">
        <v>100</v>
      </c>
      <c r="D98" s="10">
        <v>34.200000000000003</v>
      </c>
      <c r="E98" s="10">
        <v>34.299999999999997</v>
      </c>
      <c r="F98" s="9">
        <f>IF(Tablo1456789101112131415606264[[#This Row],[SATIŞ]]=0,"Açık",(E98-D98)*C98)</f>
        <v>9.9999999999994316</v>
      </c>
      <c r="G98" s="11">
        <f>Tablo1456789101112131415606264[[#This Row],[ADET]]*Tablo1456789101112131415606264[[#This Row],[ALIŞ]]</f>
        <v>3420.0000000000005</v>
      </c>
      <c r="H98" s="11">
        <f>Tablo1456789101112131415606264[[#This Row],[ADET]]*Tablo1456789101112131415606264[[#This Row],[SATIŞ]]</f>
        <v>3429.9999999999995</v>
      </c>
      <c r="J98" s="40" t="str">
        <f t="shared" si="2"/>
        <v/>
      </c>
    </row>
    <row r="99" spans="2:10" ht="21" hidden="1" customHeight="1" x14ac:dyDescent="0.3">
      <c r="B99" s="2">
        <v>45369</v>
      </c>
      <c r="C99" s="6">
        <v>100</v>
      </c>
      <c r="D99" s="10">
        <v>34.200000000000003</v>
      </c>
      <c r="E99" s="10">
        <v>34.4</v>
      </c>
      <c r="F99" s="9">
        <f>IF(Tablo1456789101112131415606264[[#This Row],[SATIŞ]]=0,"Açık",(E99-D99)*C99)</f>
        <v>19.999999999999574</v>
      </c>
      <c r="G99" s="11">
        <f>Tablo1456789101112131415606264[[#This Row],[ADET]]*Tablo1456789101112131415606264[[#This Row],[ALIŞ]]</f>
        <v>3420.0000000000005</v>
      </c>
      <c r="H99" s="11">
        <f>Tablo1456789101112131415606264[[#This Row],[ADET]]*Tablo1456789101112131415606264[[#This Row],[SATIŞ]]</f>
        <v>3440</v>
      </c>
      <c r="J99" s="40" t="str">
        <f t="shared" si="2"/>
        <v/>
      </c>
    </row>
    <row r="100" spans="2:10" ht="21" hidden="1" customHeight="1" x14ac:dyDescent="0.3">
      <c r="B100" s="2">
        <v>45369</v>
      </c>
      <c r="C100" s="6">
        <v>100</v>
      </c>
      <c r="D100" s="10">
        <v>34.200000000000003</v>
      </c>
      <c r="E100" s="10">
        <v>34.5</v>
      </c>
      <c r="F100" s="9">
        <f>IF(Tablo1456789101112131415606264[[#This Row],[SATIŞ]]=0,"Açık",(E100-D100)*C100)</f>
        <v>29.999999999999716</v>
      </c>
      <c r="G100" s="11">
        <f>Tablo1456789101112131415606264[[#This Row],[ADET]]*Tablo1456789101112131415606264[[#This Row],[ALIŞ]]</f>
        <v>3420.0000000000005</v>
      </c>
      <c r="H100" s="11">
        <f>Tablo1456789101112131415606264[[#This Row],[ADET]]*Tablo1456789101112131415606264[[#This Row],[SATIŞ]]</f>
        <v>3450</v>
      </c>
      <c r="J100" s="40" t="str">
        <f t="shared" si="2"/>
        <v/>
      </c>
    </row>
    <row r="101" spans="2:10" ht="21" hidden="1" customHeight="1" x14ac:dyDescent="0.3">
      <c r="B101" s="2">
        <v>45370</v>
      </c>
      <c r="C101" s="6">
        <v>100</v>
      </c>
      <c r="D101" s="10">
        <v>34.299999999999997</v>
      </c>
      <c r="E101" s="10">
        <v>34.9</v>
      </c>
      <c r="F101" s="9">
        <f>IF(Tablo1456789101112131415606264[[#This Row],[SATIŞ]]=0,"Açık",(E101-D101)*C101)</f>
        <v>60.000000000000142</v>
      </c>
      <c r="G101" s="11">
        <f>Tablo1456789101112131415606264[[#This Row],[ADET]]*Tablo1456789101112131415606264[[#This Row],[ALIŞ]]</f>
        <v>3429.9999999999995</v>
      </c>
      <c r="H101" s="11">
        <f>Tablo1456789101112131415606264[[#This Row],[ADET]]*Tablo1456789101112131415606264[[#This Row],[SATIŞ]]</f>
        <v>3490</v>
      </c>
      <c r="J101" s="40" t="str">
        <f t="shared" ref="J101:J133" si="3">IF(E101=0,D101*1.05,"")</f>
        <v/>
      </c>
    </row>
    <row r="102" spans="2:10" ht="21" hidden="1" customHeight="1" x14ac:dyDescent="0.3">
      <c r="B102" s="2">
        <v>45370</v>
      </c>
      <c r="C102" s="6">
        <v>100</v>
      </c>
      <c r="D102" s="10">
        <v>34.200000000000003</v>
      </c>
      <c r="E102" s="10">
        <v>35</v>
      </c>
      <c r="F102" s="9">
        <f>IF(Tablo1456789101112131415606264[[#This Row],[SATIŞ]]=0,"Açık",(E102-D102)*C102)</f>
        <v>79.999999999999716</v>
      </c>
      <c r="G102" s="11">
        <f>Tablo1456789101112131415606264[[#This Row],[ADET]]*Tablo1456789101112131415606264[[#This Row],[ALIŞ]]</f>
        <v>3420.0000000000005</v>
      </c>
      <c r="H102" s="11">
        <f>Tablo1456789101112131415606264[[#This Row],[ADET]]*Tablo1456789101112131415606264[[#This Row],[SATIŞ]]</f>
        <v>3500</v>
      </c>
      <c r="J102" s="40" t="str">
        <f t="shared" si="3"/>
        <v/>
      </c>
    </row>
    <row r="103" spans="2:10" ht="21" hidden="1" customHeight="1" x14ac:dyDescent="0.3">
      <c r="B103" s="2">
        <v>45370</v>
      </c>
      <c r="C103" s="6">
        <v>100</v>
      </c>
      <c r="D103" s="10">
        <v>34.700000000000003</v>
      </c>
      <c r="E103" s="10">
        <v>34.9</v>
      </c>
      <c r="F103" s="9">
        <f>IF(Tablo1456789101112131415606264[[#This Row],[SATIŞ]]=0,"Açık",(E103-D103)*C103)</f>
        <v>19.999999999999574</v>
      </c>
      <c r="G103" s="11">
        <f>Tablo1456789101112131415606264[[#This Row],[ADET]]*Tablo1456789101112131415606264[[#This Row],[ALIŞ]]</f>
        <v>3470.0000000000005</v>
      </c>
      <c r="H103" s="11">
        <f>Tablo1456789101112131415606264[[#This Row],[ADET]]*Tablo1456789101112131415606264[[#This Row],[SATIŞ]]</f>
        <v>3490</v>
      </c>
      <c r="J103" s="40" t="str">
        <f t="shared" si="3"/>
        <v/>
      </c>
    </row>
    <row r="104" spans="2:10" ht="21" hidden="1" customHeight="1" x14ac:dyDescent="0.3">
      <c r="B104" s="2">
        <v>45370</v>
      </c>
      <c r="C104" s="6">
        <v>100</v>
      </c>
      <c r="D104" s="10">
        <v>34.700000000000003</v>
      </c>
      <c r="E104" s="10">
        <v>34.799999999999997</v>
      </c>
      <c r="F104" s="9">
        <f>IF(Tablo1456789101112131415606264[[#This Row],[SATIŞ]]=0,"Açık",(E104-D104)*C104)</f>
        <v>9.9999999999994316</v>
      </c>
      <c r="G104" s="11">
        <f>Tablo1456789101112131415606264[[#This Row],[ADET]]*Tablo1456789101112131415606264[[#This Row],[ALIŞ]]</f>
        <v>3470.0000000000005</v>
      </c>
      <c r="H104" s="11">
        <f>Tablo1456789101112131415606264[[#This Row],[ADET]]*Tablo1456789101112131415606264[[#This Row],[SATIŞ]]</f>
        <v>3479.9999999999995</v>
      </c>
      <c r="J104" s="40" t="str">
        <f t="shared" si="3"/>
        <v/>
      </c>
    </row>
    <row r="105" spans="2:10" ht="21" hidden="1" customHeight="1" x14ac:dyDescent="0.3">
      <c r="B105" s="2">
        <v>45370</v>
      </c>
      <c r="C105" s="6">
        <v>100</v>
      </c>
      <c r="D105" s="10">
        <v>34.6</v>
      </c>
      <c r="E105" s="10">
        <v>34.700000000000003</v>
      </c>
      <c r="F105" s="9">
        <f>IF(Tablo1456789101112131415606264[[#This Row],[SATIŞ]]=0,"Açık",(E105-D105)*C105)</f>
        <v>10.000000000000142</v>
      </c>
      <c r="G105" s="11">
        <f>Tablo1456789101112131415606264[[#This Row],[ADET]]*Tablo1456789101112131415606264[[#This Row],[ALIŞ]]</f>
        <v>3460</v>
      </c>
      <c r="H105" s="11">
        <f>Tablo1456789101112131415606264[[#This Row],[ADET]]*Tablo1456789101112131415606264[[#This Row],[SATIŞ]]</f>
        <v>3470.0000000000005</v>
      </c>
      <c r="J105" s="40" t="str">
        <f t="shared" si="3"/>
        <v/>
      </c>
    </row>
    <row r="106" spans="2:10" ht="21" hidden="1" customHeight="1" x14ac:dyDescent="0.3">
      <c r="B106" s="2">
        <v>45372</v>
      </c>
      <c r="C106" s="6">
        <v>100</v>
      </c>
      <c r="D106" s="10">
        <v>34.700000000000003</v>
      </c>
      <c r="E106" s="10">
        <v>36.4</v>
      </c>
      <c r="F106" s="9">
        <f>IF(Tablo1456789101112131415606264[[#This Row],[SATIŞ]]=0,"Açık",(E106-D106)*C106)</f>
        <v>169.99999999999957</v>
      </c>
      <c r="G106" s="11">
        <f>Tablo1456789101112131415606264[[#This Row],[ADET]]*Tablo1456789101112131415606264[[#This Row],[ALIŞ]]</f>
        <v>3470.0000000000005</v>
      </c>
      <c r="H106" s="11">
        <f>Tablo1456789101112131415606264[[#This Row],[ADET]]*Tablo1456789101112131415606264[[#This Row],[SATIŞ]]</f>
        <v>3640</v>
      </c>
      <c r="J106" s="40" t="str">
        <f t="shared" si="3"/>
        <v/>
      </c>
    </row>
    <row r="107" spans="2:10" ht="21" hidden="1" customHeight="1" x14ac:dyDescent="0.3">
      <c r="B107" s="2">
        <v>45372</v>
      </c>
      <c r="C107" s="6">
        <v>100</v>
      </c>
      <c r="D107" s="10">
        <v>34.5</v>
      </c>
      <c r="E107" s="10">
        <v>36.1</v>
      </c>
      <c r="F107" s="9">
        <f>IF(Tablo1456789101112131415606264[[#This Row],[SATIŞ]]=0,"Açık",(E107-D107)*C107)</f>
        <v>160.00000000000014</v>
      </c>
      <c r="G107" s="11">
        <f>Tablo1456789101112131415606264[[#This Row],[ADET]]*Tablo1456789101112131415606264[[#This Row],[ALIŞ]]</f>
        <v>3450</v>
      </c>
      <c r="H107" s="11">
        <f>Tablo1456789101112131415606264[[#This Row],[ADET]]*Tablo1456789101112131415606264[[#This Row],[SATIŞ]]</f>
        <v>3610</v>
      </c>
      <c r="J107" s="40" t="str">
        <f t="shared" si="3"/>
        <v/>
      </c>
    </row>
    <row r="108" spans="2:10" ht="21" hidden="1" customHeight="1" x14ac:dyDescent="0.3">
      <c r="B108" s="2">
        <v>45372</v>
      </c>
      <c r="C108" s="6">
        <v>100</v>
      </c>
      <c r="D108" s="10">
        <v>34.4</v>
      </c>
      <c r="E108" s="10">
        <v>36</v>
      </c>
      <c r="F108" s="9">
        <f>IF(Tablo1456789101112131415606264[[#This Row],[SATIŞ]]=0,"Açık",(E108-D108)*C108)</f>
        <v>160.00000000000014</v>
      </c>
      <c r="G108" s="11">
        <f>Tablo1456789101112131415606264[[#This Row],[ADET]]*Tablo1456789101112131415606264[[#This Row],[ALIŞ]]</f>
        <v>3440</v>
      </c>
      <c r="H108" s="11">
        <f>Tablo1456789101112131415606264[[#This Row],[ADET]]*Tablo1456789101112131415606264[[#This Row],[SATIŞ]]</f>
        <v>3600</v>
      </c>
      <c r="J108" s="40" t="str">
        <f t="shared" si="3"/>
        <v/>
      </c>
    </row>
    <row r="109" spans="2:10" ht="21" hidden="1" customHeight="1" x14ac:dyDescent="0.3">
      <c r="B109" s="2">
        <v>45372</v>
      </c>
      <c r="C109" s="6">
        <v>100</v>
      </c>
      <c r="D109" s="10">
        <v>34.299999999999997</v>
      </c>
      <c r="E109" s="10">
        <v>35.799999999999997</v>
      </c>
      <c r="F109" s="9">
        <f>IF(Tablo1456789101112131415606264[[#This Row],[SATIŞ]]=0,"Açık",(E109-D109)*C109)</f>
        <v>150</v>
      </c>
      <c r="G109" s="11">
        <f>Tablo1456789101112131415606264[[#This Row],[ADET]]*Tablo1456789101112131415606264[[#This Row],[ALIŞ]]</f>
        <v>3429.9999999999995</v>
      </c>
      <c r="H109" s="11">
        <f>Tablo1456789101112131415606264[[#This Row],[ADET]]*Tablo1456789101112131415606264[[#This Row],[SATIŞ]]</f>
        <v>3579.9999999999995</v>
      </c>
      <c r="J109" s="40" t="str">
        <f t="shared" si="3"/>
        <v/>
      </c>
    </row>
    <row r="110" spans="2:10" ht="21" hidden="1" customHeight="1" x14ac:dyDescent="0.3">
      <c r="B110" s="2">
        <v>45372</v>
      </c>
      <c r="C110" s="6">
        <v>100</v>
      </c>
      <c r="D110" s="10">
        <v>34.200000000000003</v>
      </c>
      <c r="E110" s="10">
        <v>35.700000000000003</v>
      </c>
      <c r="F110" s="9">
        <f>IF(Tablo1456789101112131415606264[[#This Row],[SATIŞ]]=0,"Açık",(E110-D110)*C110)</f>
        <v>150</v>
      </c>
      <c r="G110" s="11">
        <f>Tablo1456789101112131415606264[[#This Row],[ADET]]*Tablo1456789101112131415606264[[#This Row],[ALIŞ]]</f>
        <v>3420.0000000000005</v>
      </c>
      <c r="H110" s="11">
        <f>Tablo1456789101112131415606264[[#This Row],[ADET]]*Tablo1456789101112131415606264[[#This Row],[SATIŞ]]</f>
        <v>3570.0000000000005</v>
      </c>
      <c r="J110" s="40" t="str">
        <f t="shared" si="3"/>
        <v/>
      </c>
    </row>
    <row r="111" spans="2:10" ht="21" hidden="1" customHeight="1" x14ac:dyDescent="0.3">
      <c r="B111" s="2">
        <v>45372</v>
      </c>
      <c r="C111" s="6">
        <v>100</v>
      </c>
      <c r="D111" s="10">
        <v>33.979999999999997</v>
      </c>
      <c r="E111" s="10">
        <v>35.6</v>
      </c>
      <c r="F111" s="9">
        <f>IF(Tablo1456789101112131415606264[[#This Row],[SATIŞ]]=0,"Açık",(E111-D111)*C111)</f>
        <v>162.00000000000045</v>
      </c>
      <c r="G111" s="11">
        <f>Tablo1456789101112131415606264[[#This Row],[ADET]]*Tablo1456789101112131415606264[[#This Row],[ALIŞ]]</f>
        <v>3397.9999999999995</v>
      </c>
      <c r="H111" s="11">
        <f>Tablo1456789101112131415606264[[#This Row],[ADET]]*Tablo1456789101112131415606264[[#This Row],[SATIŞ]]</f>
        <v>3560</v>
      </c>
      <c r="J111" s="40" t="str">
        <f t="shared" si="3"/>
        <v/>
      </c>
    </row>
    <row r="112" spans="2:10" ht="21" hidden="1" customHeight="1" x14ac:dyDescent="0.3">
      <c r="B112" s="2">
        <v>45372</v>
      </c>
      <c r="C112" s="6">
        <v>100</v>
      </c>
      <c r="D112" s="10">
        <v>33.979999999999997</v>
      </c>
      <c r="E112" s="10">
        <v>35.5</v>
      </c>
      <c r="F112" s="9">
        <f>IF(Tablo1456789101112131415606264[[#This Row],[SATIŞ]]=0,"Açık",(E112-D112)*C112)</f>
        <v>152.00000000000031</v>
      </c>
      <c r="G112" s="11">
        <f>Tablo1456789101112131415606264[[#This Row],[ADET]]*Tablo1456789101112131415606264[[#This Row],[ALIŞ]]</f>
        <v>3397.9999999999995</v>
      </c>
      <c r="H112" s="11">
        <f>Tablo1456789101112131415606264[[#This Row],[ADET]]*Tablo1456789101112131415606264[[#This Row],[SATIŞ]]</f>
        <v>3550</v>
      </c>
      <c r="J112" s="40" t="str">
        <f t="shared" si="3"/>
        <v/>
      </c>
    </row>
    <row r="113" spans="2:10" ht="21" hidden="1" customHeight="1" x14ac:dyDescent="0.3">
      <c r="B113" s="2">
        <v>45372</v>
      </c>
      <c r="C113" s="6">
        <v>50</v>
      </c>
      <c r="D113" s="10">
        <v>33.9</v>
      </c>
      <c r="E113" s="10">
        <v>34.700000000000003</v>
      </c>
      <c r="F113" s="9">
        <f>IF(Tablo1456789101112131415606264[[#This Row],[SATIŞ]]=0,"Açık",(E113-D113)*C113)</f>
        <v>40.000000000000213</v>
      </c>
      <c r="G113" s="11">
        <f>Tablo1456789101112131415606264[[#This Row],[ADET]]*Tablo1456789101112131415606264[[#This Row],[ALIŞ]]</f>
        <v>1695</v>
      </c>
      <c r="H113" s="11">
        <f>Tablo1456789101112131415606264[[#This Row],[ADET]]*Tablo1456789101112131415606264[[#This Row],[SATIŞ]]</f>
        <v>1735.0000000000002</v>
      </c>
      <c r="J113" s="40" t="str">
        <f t="shared" si="3"/>
        <v/>
      </c>
    </row>
    <row r="114" spans="2:10" ht="21" hidden="1" customHeight="1" x14ac:dyDescent="0.3">
      <c r="B114" s="2">
        <v>45372</v>
      </c>
      <c r="C114" s="6">
        <v>50</v>
      </c>
      <c r="D114" s="10">
        <v>33.9</v>
      </c>
      <c r="E114" s="10">
        <v>34.6</v>
      </c>
      <c r="F114" s="9">
        <f>IF(Tablo1456789101112131415606264[[#This Row],[SATIŞ]]=0,"Açık",(E114-D114)*C114)</f>
        <v>35.000000000000142</v>
      </c>
      <c r="G114" s="11">
        <f>Tablo1456789101112131415606264[[#This Row],[ADET]]*Tablo1456789101112131415606264[[#This Row],[ALIŞ]]</f>
        <v>1695</v>
      </c>
      <c r="H114" s="11">
        <f>Tablo1456789101112131415606264[[#This Row],[ADET]]*Tablo1456789101112131415606264[[#This Row],[SATIŞ]]</f>
        <v>1730</v>
      </c>
      <c r="J114" s="40"/>
    </row>
    <row r="115" spans="2:10" ht="21" hidden="1" customHeight="1" x14ac:dyDescent="0.3">
      <c r="B115" s="2">
        <v>45372</v>
      </c>
      <c r="C115" s="6">
        <v>50</v>
      </c>
      <c r="D115" s="10">
        <v>33.799999999999997</v>
      </c>
      <c r="E115" s="10">
        <v>34.5</v>
      </c>
      <c r="F115" s="9">
        <f>IF(Tablo1456789101112131415606264[[#This Row],[SATIŞ]]=0,"Açık",(E115-D115)*C115)</f>
        <v>35.000000000000142</v>
      </c>
      <c r="G115" s="11">
        <f>Tablo1456789101112131415606264[[#This Row],[ADET]]*Tablo1456789101112131415606264[[#This Row],[ALIŞ]]</f>
        <v>1689.9999999999998</v>
      </c>
      <c r="H115" s="11">
        <f>Tablo1456789101112131415606264[[#This Row],[ADET]]*Tablo1456789101112131415606264[[#This Row],[SATIŞ]]</f>
        <v>1725</v>
      </c>
      <c r="J115" s="40" t="str">
        <f t="shared" si="3"/>
        <v/>
      </c>
    </row>
    <row r="116" spans="2:10" ht="21" hidden="1" customHeight="1" x14ac:dyDescent="0.3">
      <c r="B116" s="2">
        <v>45372</v>
      </c>
      <c r="C116" s="6">
        <v>100</v>
      </c>
      <c r="D116" s="10">
        <v>33.700000000000003</v>
      </c>
      <c r="E116" s="10">
        <v>34</v>
      </c>
      <c r="F116" s="9">
        <f>IF(Tablo1456789101112131415606264[[#This Row],[SATIŞ]]=0,"Açık",(E116-D116)*C116)</f>
        <v>29.999999999999716</v>
      </c>
      <c r="G116" s="11">
        <f>Tablo1456789101112131415606264[[#This Row],[ADET]]*Tablo1456789101112131415606264[[#This Row],[ALIŞ]]</f>
        <v>3370.0000000000005</v>
      </c>
      <c r="H116" s="11">
        <f>Tablo1456789101112131415606264[[#This Row],[ADET]]*Tablo1456789101112131415606264[[#This Row],[SATIŞ]]</f>
        <v>3400</v>
      </c>
      <c r="J116" s="40" t="str">
        <f t="shared" si="3"/>
        <v/>
      </c>
    </row>
    <row r="117" spans="2:10" ht="21" hidden="1" customHeight="1" x14ac:dyDescent="0.3">
      <c r="B117" s="2">
        <v>45372</v>
      </c>
      <c r="C117" s="6">
        <v>50</v>
      </c>
      <c r="D117" s="10">
        <v>33.799999999999997</v>
      </c>
      <c r="E117" s="10">
        <v>34.4</v>
      </c>
      <c r="F117" s="9">
        <f>IF(Tablo1456789101112131415606264[[#This Row],[SATIŞ]]=0,"Açık",(E117-D117)*C117)</f>
        <v>30.000000000000071</v>
      </c>
      <c r="G117" s="11">
        <f>Tablo1456789101112131415606264[[#This Row],[ADET]]*Tablo1456789101112131415606264[[#This Row],[ALIŞ]]</f>
        <v>1689.9999999999998</v>
      </c>
      <c r="H117" s="11">
        <f>Tablo1456789101112131415606264[[#This Row],[ADET]]*Tablo1456789101112131415606264[[#This Row],[SATIŞ]]</f>
        <v>1720</v>
      </c>
      <c r="J117" s="40"/>
    </row>
    <row r="118" spans="2:10" ht="21" hidden="1" customHeight="1" x14ac:dyDescent="0.3">
      <c r="B118" s="2">
        <v>45373</v>
      </c>
      <c r="C118" s="6">
        <v>100</v>
      </c>
      <c r="D118" s="10">
        <v>33.700000000000003</v>
      </c>
      <c r="E118" s="10">
        <v>34.299999999999997</v>
      </c>
      <c r="F118" s="9">
        <f>IF(Tablo1456789101112131415606264[[#This Row],[SATIŞ]]=0,"Açık",(E118-D118)*C118)</f>
        <v>59.999999999999432</v>
      </c>
      <c r="G118" s="11">
        <f>Tablo1456789101112131415606264[[#This Row],[ADET]]*Tablo1456789101112131415606264[[#This Row],[ALIŞ]]</f>
        <v>3370.0000000000005</v>
      </c>
      <c r="H118" s="11">
        <f>Tablo1456789101112131415606264[[#This Row],[ADET]]*Tablo1456789101112131415606264[[#This Row],[SATIŞ]]</f>
        <v>3429.9999999999995</v>
      </c>
      <c r="J118" s="40" t="str">
        <f t="shared" si="3"/>
        <v/>
      </c>
    </row>
    <row r="119" spans="2:10" ht="21" hidden="1" customHeight="1" x14ac:dyDescent="0.3">
      <c r="B119" s="2">
        <v>45373</v>
      </c>
      <c r="C119" s="6">
        <v>100</v>
      </c>
      <c r="D119" s="10">
        <v>33.6</v>
      </c>
      <c r="E119" s="10">
        <v>34.299999999999997</v>
      </c>
      <c r="F119" s="9">
        <f>IF(Tablo1456789101112131415606264[[#This Row],[SATIŞ]]=0,"Açık",(E119-D119)*C119)</f>
        <v>69.999999999999574</v>
      </c>
      <c r="G119" s="11">
        <f>Tablo1456789101112131415606264[[#This Row],[ADET]]*Tablo1456789101112131415606264[[#This Row],[ALIŞ]]</f>
        <v>3360</v>
      </c>
      <c r="H119" s="11">
        <f>Tablo1456789101112131415606264[[#This Row],[ADET]]*Tablo1456789101112131415606264[[#This Row],[SATIŞ]]</f>
        <v>3429.9999999999995</v>
      </c>
      <c r="J119" s="40" t="str">
        <f t="shared" si="3"/>
        <v/>
      </c>
    </row>
    <row r="120" spans="2:10" ht="21" hidden="1" customHeight="1" x14ac:dyDescent="0.3">
      <c r="B120" s="2">
        <v>45373</v>
      </c>
      <c r="C120" s="6">
        <v>100</v>
      </c>
      <c r="D120" s="10">
        <v>33.5</v>
      </c>
      <c r="E120" s="10">
        <v>33.700000000000003</v>
      </c>
      <c r="F120" s="9">
        <f>IF(Tablo1456789101112131415606264[[#This Row],[SATIŞ]]=0,"Açık",(E120-D120)*C120)</f>
        <v>20.000000000000284</v>
      </c>
      <c r="G120" s="11">
        <f>Tablo1456789101112131415606264[[#This Row],[ADET]]*Tablo1456789101112131415606264[[#This Row],[ALIŞ]]</f>
        <v>3350</v>
      </c>
      <c r="H120" s="11">
        <f>Tablo1456789101112131415606264[[#This Row],[ADET]]*Tablo1456789101112131415606264[[#This Row],[SATIŞ]]</f>
        <v>3370.0000000000005</v>
      </c>
      <c r="J120" s="40" t="str">
        <f t="shared" si="3"/>
        <v/>
      </c>
    </row>
    <row r="121" spans="2:10" ht="21" hidden="1" customHeight="1" x14ac:dyDescent="0.3">
      <c r="B121" s="2">
        <v>45373</v>
      </c>
      <c r="C121" s="6">
        <v>100</v>
      </c>
      <c r="D121" s="10">
        <v>33.4</v>
      </c>
      <c r="E121" s="10">
        <v>33.6</v>
      </c>
      <c r="F121" s="9">
        <f>IF(Tablo1456789101112131415606264[[#This Row],[SATIŞ]]=0,"Açık",(E121-D121)*C121)</f>
        <v>20.000000000000284</v>
      </c>
      <c r="G121" s="11">
        <f>Tablo1456789101112131415606264[[#This Row],[ADET]]*Tablo1456789101112131415606264[[#This Row],[ALIŞ]]</f>
        <v>3340</v>
      </c>
      <c r="H121" s="11">
        <f>Tablo1456789101112131415606264[[#This Row],[ADET]]*Tablo1456789101112131415606264[[#This Row],[SATIŞ]]</f>
        <v>3360</v>
      </c>
      <c r="J121" s="40" t="str">
        <f t="shared" si="3"/>
        <v/>
      </c>
    </row>
    <row r="122" spans="2:10" ht="21" hidden="1" customHeight="1" x14ac:dyDescent="0.3">
      <c r="B122" s="2">
        <v>45373</v>
      </c>
      <c r="C122" s="6">
        <v>100</v>
      </c>
      <c r="D122" s="10">
        <v>33.299999999999997</v>
      </c>
      <c r="E122" s="10">
        <v>33.5</v>
      </c>
      <c r="F122" s="9">
        <f>IF(Tablo1456789101112131415606264[[#This Row],[SATIŞ]]=0,"Açık",(E122-D122)*C122)</f>
        <v>20.000000000000284</v>
      </c>
      <c r="G122" s="11">
        <f>Tablo1456789101112131415606264[[#This Row],[ADET]]*Tablo1456789101112131415606264[[#This Row],[ALIŞ]]</f>
        <v>3329.9999999999995</v>
      </c>
      <c r="H122" s="11">
        <f>Tablo1456789101112131415606264[[#This Row],[ADET]]*Tablo1456789101112131415606264[[#This Row],[SATIŞ]]</f>
        <v>3350</v>
      </c>
      <c r="J122" s="40" t="str">
        <f t="shared" si="3"/>
        <v/>
      </c>
    </row>
    <row r="123" spans="2:10" ht="21" hidden="1" customHeight="1" x14ac:dyDescent="0.3">
      <c r="B123" s="2">
        <v>45376</v>
      </c>
      <c r="C123" s="6">
        <v>100</v>
      </c>
      <c r="D123" s="10">
        <v>33.299999999999997</v>
      </c>
      <c r="E123" s="10">
        <v>34.299999999999997</v>
      </c>
      <c r="F123" s="9">
        <f>IF(Tablo1456789101112131415606264[[#This Row],[SATIŞ]]=0,"Açık",(E123-D123)*C123)</f>
        <v>100</v>
      </c>
      <c r="G123" s="11">
        <f>Tablo1456789101112131415606264[[#This Row],[ADET]]*Tablo1456789101112131415606264[[#This Row],[ALIŞ]]</f>
        <v>3329.9999999999995</v>
      </c>
      <c r="H123" s="11">
        <f>Tablo1456789101112131415606264[[#This Row],[ADET]]*Tablo1456789101112131415606264[[#This Row],[SATIŞ]]</f>
        <v>3429.9999999999995</v>
      </c>
      <c r="J123" s="40" t="str">
        <f t="shared" si="3"/>
        <v/>
      </c>
    </row>
    <row r="124" spans="2:10" ht="21" hidden="1" customHeight="1" x14ac:dyDescent="0.3">
      <c r="B124" s="2">
        <v>45377</v>
      </c>
      <c r="C124" s="6">
        <v>50</v>
      </c>
      <c r="D124" s="10">
        <v>32.6</v>
      </c>
      <c r="E124" s="10">
        <v>33.4</v>
      </c>
      <c r="F124" s="9">
        <f>IF(Tablo1456789101112131415606264[[#This Row],[SATIŞ]]=0,"Açık",(E124-D124)*C124)</f>
        <v>39.999999999999858</v>
      </c>
      <c r="G124" s="11">
        <f>Tablo1456789101112131415606264[[#This Row],[ADET]]*Tablo1456789101112131415606264[[#This Row],[ALIŞ]]</f>
        <v>1630</v>
      </c>
      <c r="H124" s="11">
        <f>Tablo1456789101112131415606264[[#This Row],[ADET]]*Tablo1456789101112131415606264[[#This Row],[SATIŞ]]</f>
        <v>1670</v>
      </c>
      <c r="J124" s="40" t="str">
        <f t="shared" si="3"/>
        <v/>
      </c>
    </row>
    <row r="125" spans="2:10" ht="21" hidden="1" customHeight="1" x14ac:dyDescent="0.3">
      <c r="B125" s="2">
        <v>45377</v>
      </c>
      <c r="C125" s="6">
        <v>50</v>
      </c>
      <c r="D125" s="10">
        <v>32.6</v>
      </c>
      <c r="E125" s="10">
        <v>33.200000000000003</v>
      </c>
      <c r="F125" s="9">
        <f>IF(Tablo1456789101112131415606264[[#This Row],[SATIŞ]]=0,"Açık",(E125-D125)*C125)</f>
        <v>30.000000000000071</v>
      </c>
      <c r="G125" s="11">
        <f>Tablo1456789101112131415606264[[#This Row],[ADET]]*Tablo1456789101112131415606264[[#This Row],[ALIŞ]]</f>
        <v>1630</v>
      </c>
      <c r="H125" s="11">
        <f>Tablo1456789101112131415606264[[#This Row],[ADET]]*Tablo1456789101112131415606264[[#This Row],[SATIŞ]]</f>
        <v>1660.0000000000002</v>
      </c>
      <c r="J125" s="40"/>
    </row>
    <row r="126" spans="2:10" ht="21" hidden="1" customHeight="1" x14ac:dyDescent="0.3">
      <c r="B126" s="2">
        <v>45377</v>
      </c>
      <c r="C126" s="6">
        <v>100</v>
      </c>
      <c r="D126" s="10">
        <v>32.299999999999997</v>
      </c>
      <c r="E126" s="10">
        <v>32.9</v>
      </c>
      <c r="F126" s="9">
        <f>IF(Tablo1456789101112131415606264[[#This Row],[SATIŞ]]=0,"Açık",(E126-D126)*C126)</f>
        <v>60.000000000000142</v>
      </c>
      <c r="G126" s="11">
        <f>Tablo1456789101112131415606264[[#This Row],[ADET]]*Tablo1456789101112131415606264[[#This Row],[ALIŞ]]</f>
        <v>3229.9999999999995</v>
      </c>
      <c r="H126" s="11">
        <f>Tablo1456789101112131415606264[[#This Row],[ADET]]*Tablo1456789101112131415606264[[#This Row],[SATIŞ]]</f>
        <v>3290</v>
      </c>
      <c r="J126" s="40" t="str">
        <f t="shared" si="3"/>
        <v/>
      </c>
    </row>
    <row r="127" spans="2:10" ht="21" hidden="1" customHeight="1" x14ac:dyDescent="0.3">
      <c r="B127" s="2">
        <v>45377</v>
      </c>
      <c r="C127" s="6">
        <v>100</v>
      </c>
      <c r="D127" s="10">
        <v>32</v>
      </c>
      <c r="E127" s="10">
        <v>32.299999999999997</v>
      </c>
      <c r="F127" s="9">
        <f>IF(Tablo1456789101112131415606264[[#This Row],[SATIŞ]]=0,"Açık",(E127-D127)*C127)</f>
        <v>29.999999999999716</v>
      </c>
      <c r="G127" s="11">
        <f>Tablo1456789101112131415606264[[#This Row],[ADET]]*Tablo1456789101112131415606264[[#This Row],[ALIŞ]]</f>
        <v>3200</v>
      </c>
      <c r="H127" s="11">
        <f>Tablo1456789101112131415606264[[#This Row],[ADET]]*Tablo1456789101112131415606264[[#This Row],[SATIŞ]]</f>
        <v>3229.9999999999995</v>
      </c>
      <c r="J127" s="40" t="str">
        <f t="shared" si="3"/>
        <v/>
      </c>
    </row>
    <row r="128" spans="2:10" ht="21" hidden="1" customHeight="1" x14ac:dyDescent="0.3">
      <c r="B128" s="2">
        <v>45377</v>
      </c>
      <c r="C128" s="6">
        <v>100</v>
      </c>
      <c r="D128" s="10">
        <v>31.8</v>
      </c>
      <c r="E128" s="10">
        <v>32.700000000000003</v>
      </c>
      <c r="F128" s="9">
        <f>IF(Tablo1456789101112131415606264[[#This Row],[SATIŞ]]=0,"Açık",(E128-D128)*C128)</f>
        <v>90.000000000000213</v>
      </c>
      <c r="G128" s="11">
        <f>Tablo1456789101112131415606264[[#This Row],[ADET]]*Tablo1456789101112131415606264[[#This Row],[ALIŞ]]</f>
        <v>3180</v>
      </c>
      <c r="H128" s="11">
        <f>Tablo1456789101112131415606264[[#This Row],[ADET]]*Tablo1456789101112131415606264[[#This Row],[SATIŞ]]</f>
        <v>3270.0000000000005</v>
      </c>
      <c r="J128" s="40" t="str">
        <f t="shared" si="3"/>
        <v/>
      </c>
    </row>
    <row r="129" spans="2:10" ht="21" hidden="1" customHeight="1" x14ac:dyDescent="0.3">
      <c r="B129" s="2">
        <v>45377</v>
      </c>
      <c r="C129" s="6">
        <v>50</v>
      </c>
      <c r="D129" s="10">
        <v>31.5</v>
      </c>
      <c r="E129" s="10">
        <v>32</v>
      </c>
      <c r="F129" s="9">
        <f>IF(Tablo1456789101112131415606264[[#This Row],[SATIŞ]]=0,"Açık",(E129-D129)*C129)</f>
        <v>25</v>
      </c>
      <c r="G129" s="11">
        <f>Tablo1456789101112131415606264[[#This Row],[ADET]]*Tablo1456789101112131415606264[[#This Row],[ALIŞ]]</f>
        <v>1575</v>
      </c>
      <c r="H129" s="11">
        <f>Tablo1456789101112131415606264[[#This Row],[ADET]]*Tablo1456789101112131415606264[[#This Row],[SATIŞ]]</f>
        <v>1600</v>
      </c>
      <c r="J129" s="40" t="str">
        <f t="shared" si="3"/>
        <v/>
      </c>
    </row>
    <row r="130" spans="2:10" ht="21" hidden="1" customHeight="1" x14ac:dyDescent="0.3">
      <c r="B130" s="2">
        <v>45377</v>
      </c>
      <c r="C130" s="6">
        <v>50</v>
      </c>
      <c r="D130" s="10">
        <v>31.3</v>
      </c>
      <c r="E130" s="10">
        <v>31.3</v>
      </c>
      <c r="F130" s="9">
        <f>IF(Tablo1456789101112131415606264[[#This Row],[SATIŞ]]=0,"Açık",(E130-D130)*C130)</f>
        <v>0</v>
      </c>
      <c r="G130" s="11">
        <f>Tablo1456789101112131415606264[[#This Row],[ADET]]*Tablo1456789101112131415606264[[#This Row],[ALIŞ]]</f>
        <v>1565</v>
      </c>
      <c r="H130" s="11">
        <f>Tablo1456789101112131415606264[[#This Row],[ADET]]*Tablo1456789101112131415606264[[#This Row],[SATIŞ]]</f>
        <v>1565</v>
      </c>
      <c r="J130" s="40" t="str">
        <f t="shared" si="3"/>
        <v/>
      </c>
    </row>
    <row r="131" spans="2:10" ht="21" hidden="1" customHeight="1" x14ac:dyDescent="0.3">
      <c r="B131" s="2">
        <v>45377</v>
      </c>
      <c r="C131" s="6">
        <v>50</v>
      </c>
      <c r="D131" s="10">
        <v>31.3</v>
      </c>
      <c r="E131" s="10">
        <v>31.5</v>
      </c>
      <c r="F131" s="9">
        <f>IF(Tablo1456789101112131415606264[[#This Row],[SATIŞ]]=0,"Açık",(E131-D131)*C131)</f>
        <v>9.9999999999999645</v>
      </c>
      <c r="G131" s="11">
        <f>Tablo1456789101112131415606264[[#This Row],[ADET]]*Tablo1456789101112131415606264[[#This Row],[ALIŞ]]</f>
        <v>1565</v>
      </c>
      <c r="H131" s="11">
        <f>Tablo1456789101112131415606264[[#This Row],[ADET]]*Tablo1456789101112131415606264[[#This Row],[SATIŞ]]</f>
        <v>1575</v>
      </c>
      <c r="J131" s="40" t="str">
        <f t="shared" si="3"/>
        <v/>
      </c>
    </row>
    <row r="132" spans="2:10" ht="21" hidden="1" customHeight="1" x14ac:dyDescent="0.3">
      <c r="B132" s="2">
        <v>45377</v>
      </c>
      <c r="C132" s="6">
        <v>50</v>
      </c>
      <c r="D132" s="10">
        <v>31.5</v>
      </c>
      <c r="E132" s="10">
        <v>32.200000000000003</v>
      </c>
      <c r="F132" s="9">
        <f>IF(Tablo1456789101112131415606264[[#This Row],[SATIŞ]]=0,"Açık",(E132-D132)*C132)</f>
        <v>35.000000000000142</v>
      </c>
      <c r="G132" s="11">
        <f>Tablo1456789101112131415606264[[#This Row],[ADET]]*Tablo1456789101112131415606264[[#This Row],[ALIŞ]]</f>
        <v>1575</v>
      </c>
      <c r="H132" s="11">
        <f>Tablo1456789101112131415606264[[#This Row],[ADET]]*Tablo1456789101112131415606264[[#This Row],[SATIŞ]]</f>
        <v>1610.0000000000002</v>
      </c>
      <c r="J132" s="40" t="str">
        <f t="shared" si="3"/>
        <v/>
      </c>
    </row>
    <row r="133" spans="2:10" ht="21" hidden="1" customHeight="1" x14ac:dyDescent="0.3">
      <c r="B133" s="2">
        <v>45378</v>
      </c>
      <c r="C133" s="6">
        <v>50</v>
      </c>
      <c r="D133" s="10">
        <v>32</v>
      </c>
      <c r="E133" s="10">
        <v>32.4</v>
      </c>
      <c r="F133" s="9">
        <f>IF(Tablo1456789101112131415606264[[#This Row],[SATIŞ]]=0,"Açık",(E133-D133)*C133)</f>
        <v>19.999999999999929</v>
      </c>
      <c r="G133" s="11">
        <f>Tablo1456789101112131415606264[[#This Row],[ADET]]*Tablo1456789101112131415606264[[#This Row],[ALIŞ]]</f>
        <v>1600</v>
      </c>
      <c r="H133" s="11">
        <f>Tablo1456789101112131415606264[[#This Row],[ADET]]*Tablo1456789101112131415606264[[#This Row],[SATIŞ]]</f>
        <v>1620</v>
      </c>
      <c r="J133" s="40" t="str">
        <f t="shared" si="3"/>
        <v/>
      </c>
    </row>
    <row r="134" spans="2:10" ht="21" hidden="1" customHeight="1" x14ac:dyDescent="0.3">
      <c r="B134" s="2">
        <v>45378</v>
      </c>
      <c r="C134" s="6">
        <v>50</v>
      </c>
      <c r="D134" s="10">
        <v>32.200000000000003</v>
      </c>
      <c r="E134" s="10">
        <v>32.700000000000003</v>
      </c>
      <c r="F134" s="9">
        <f>IF(Tablo1456789101112131415606264[[#This Row],[SATIŞ]]=0,"Açık",(E134-D134)*C134)</f>
        <v>25</v>
      </c>
      <c r="G134" s="11">
        <f>Tablo1456789101112131415606264[[#This Row],[ADET]]*Tablo1456789101112131415606264[[#This Row],[ALIŞ]]</f>
        <v>1610.0000000000002</v>
      </c>
      <c r="H134" s="11">
        <f>Tablo1456789101112131415606264[[#This Row],[ADET]]*Tablo1456789101112131415606264[[#This Row],[SATIŞ]]</f>
        <v>1635.0000000000002</v>
      </c>
    </row>
    <row r="135" spans="2:10" ht="21" hidden="1" customHeight="1" x14ac:dyDescent="0.3">
      <c r="B135" s="2">
        <v>45378</v>
      </c>
      <c r="C135" s="6">
        <v>50</v>
      </c>
      <c r="D135" s="10">
        <v>32.1</v>
      </c>
      <c r="E135" s="10">
        <v>32.6</v>
      </c>
      <c r="F135" s="9">
        <f>IF(Tablo1456789101112131415606264[[#This Row],[SATIŞ]]=0,"Açık",(E135-D135)*C135)</f>
        <v>25</v>
      </c>
      <c r="G135" s="11">
        <f>Tablo1456789101112131415606264[[#This Row],[ADET]]*Tablo1456789101112131415606264[[#This Row],[ALIŞ]]</f>
        <v>1605</v>
      </c>
      <c r="H135" s="11">
        <f>Tablo1456789101112131415606264[[#This Row],[ADET]]*Tablo1456789101112131415606264[[#This Row],[SATIŞ]]</f>
        <v>1630</v>
      </c>
    </row>
    <row r="136" spans="2:10" ht="21" hidden="1" customHeight="1" x14ac:dyDescent="0.3">
      <c r="B136" s="2">
        <v>45378</v>
      </c>
      <c r="C136" s="6">
        <v>50</v>
      </c>
      <c r="D136" s="10">
        <v>32</v>
      </c>
      <c r="E136" s="10">
        <v>32.4</v>
      </c>
      <c r="F136" s="9">
        <f>IF(Tablo1456789101112131415606264[[#This Row],[SATIŞ]]=0,"Açık",(E136-D136)*C136)</f>
        <v>19.999999999999929</v>
      </c>
      <c r="G136" s="11">
        <f>Tablo1456789101112131415606264[[#This Row],[ADET]]*Tablo1456789101112131415606264[[#This Row],[ALIŞ]]</f>
        <v>1600</v>
      </c>
      <c r="H136" s="11">
        <f>Tablo1456789101112131415606264[[#This Row],[ADET]]*Tablo1456789101112131415606264[[#This Row],[SATIŞ]]</f>
        <v>1620</v>
      </c>
    </row>
    <row r="137" spans="2:10" ht="21" hidden="1" customHeight="1" x14ac:dyDescent="0.3">
      <c r="B137" s="2">
        <v>45383</v>
      </c>
      <c r="C137" s="6">
        <v>50</v>
      </c>
      <c r="D137" s="10">
        <v>33</v>
      </c>
      <c r="E137" s="10">
        <v>34.299999999999997</v>
      </c>
      <c r="F137" s="9">
        <f>IF(Tablo1456789101112131415606264[[#This Row],[SATIŞ]]=0,"Açık",(E137-D137)*C137)</f>
        <v>64.999999999999858</v>
      </c>
      <c r="G137" s="11">
        <f>Tablo1456789101112131415606264[[#This Row],[ADET]]*Tablo1456789101112131415606264[[#This Row],[ALIŞ]]</f>
        <v>1650</v>
      </c>
      <c r="H137" s="11">
        <f>Tablo1456789101112131415606264[[#This Row],[ADET]]*Tablo1456789101112131415606264[[#This Row],[SATIŞ]]</f>
        <v>1714.9999999999998</v>
      </c>
    </row>
    <row r="138" spans="2:10" ht="21" hidden="1" customHeight="1" x14ac:dyDescent="0.3">
      <c r="B138" s="2">
        <v>45383</v>
      </c>
      <c r="C138" s="6">
        <v>50</v>
      </c>
      <c r="D138" s="10">
        <v>32.5</v>
      </c>
      <c r="E138" s="10">
        <v>33.200000000000003</v>
      </c>
      <c r="F138" s="9">
        <f>IF(Tablo1456789101112131415606264[[#This Row],[SATIŞ]]=0,"Açık",(E138-D138)*C138)</f>
        <v>35.000000000000142</v>
      </c>
      <c r="G138" s="11">
        <f>Tablo1456789101112131415606264[[#This Row],[ADET]]*Tablo1456789101112131415606264[[#This Row],[ALIŞ]]</f>
        <v>1625</v>
      </c>
      <c r="H138" s="11">
        <f>Tablo1456789101112131415606264[[#This Row],[ADET]]*Tablo1456789101112131415606264[[#This Row],[SATIŞ]]</f>
        <v>1660.0000000000002</v>
      </c>
    </row>
    <row r="139" spans="2:10" ht="21" hidden="1" customHeight="1" x14ac:dyDescent="0.3">
      <c r="B139" s="2">
        <v>45383</v>
      </c>
      <c r="C139" s="6">
        <v>50</v>
      </c>
      <c r="D139" s="10">
        <v>32.5</v>
      </c>
      <c r="E139" s="10">
        <v>33</v>
      </c>
      <c r="F139" s="9">
        <f>IF(Tablo1456789101112131415606264[[#This Row],[SATIŞ]]=0,"Açık",(E139-D139)*C139)</f>
        <v>25</v>
      </c>
      <c r="G139" s="11">
        <f>Tablo1456789101112131415606264[[#This Row],[ADET]]*Tablo1456789101112131415606264[[#This Row],[ALIŞ]]</f>
        <v>1625</v>
      </c>
      <c r="H139" s="11">
        <f>Tablo1456789101112131415606264[[#This Row],[ADET]]*Tablo1456789101112131415606264[[#This Row],[SATIŞ]]</f>
        <v>1650</v>
      </c>
    </row>
    <row r="140" spans="2:10" ht="21" hidden="1" customHeight="1" x14ac:dyDescent="0.3">
      <c r="B140" s="2">
        <v>45383</v>
      </c>
      <c r="C140" s="6">
        <v>50</v>
      </c>
      <c r="D140" s="10">
        <v>33</v>
      </c>
      <c r="E140" s="10">
        <v>34.299999999999997</v>
      </c>
      <c r="F140" s="9">
        <f>IF(Tablo1456789101112131415606264[[#This Row],[SATIŞ]]=0,"Açık",(E140-D140)*C140)</f>
        <v>64.999999999999858</v>
      </c>
      <c r="G140" s="11">
        <f>Tablo1456789101112131415606264[[#This Row],[ADET]]*Tablo1456789101112131415606264[[#This Row],[ALIŞ]]</f>
        <v>1650</v>
      </c>
      <c r="H140" s="11">
        <f>Tablo1456789101112131415606264[[#This Row],[ADET]]*Tablo1456789101112131415606264[[#This Row],[SATIŞ]]</f>
        <v>1714.9999999999998</v>
      </c>
    </row>
    <row r="141" spans="2:10" ht="21" hidden="1" customHeight="1" x14ac:dyDescent="0.3">
      <c r="B141" s="2">
        <v>45383</v>
      </c>
      <c r="C141" s="6">
        <v>50</v>
      </c>
      <c r="D141" s="10">
        <v>32.5</v>
      </c>
      <c r="E141" s="10">
        <v>33.4</v>
      </c>
      <c r="F141" s="9">
        <f>IF(Tablo1456789101112131415606264[[#This Row],[SATIŞ]]=0,"Açık",(E141-D141)*C141)</f>
        <v>44.999999999999929</v>
      </c>
      <c r="G141" s="11">
        <f>Tablo1456789101112131415606264[[#This Row],[ADET]]*Tablo1456789101112131415606264[[#This Row],[ALIŞ]]</f>
        <v>1625</v>
      </c>
      <c r="H141" s="11">
        <f>Tablo1456789101112131415606264[[#This Row],[ADET]]*Tablo1456789101112131415606264[[#This Row],[SATIŞ]]</f>
        <v>1670</v>
      </c>
    </row>
    <row r="142" spans="2:10" ht="21" hidden="1" customHeight="1" x14ac:dyDescent="0.3">
      <c r="B142" s="2">
        <v>45383</v>
      </c>
      <c r="C142" s="6">
        <v>50</v>
      </c>
      <c r="D142" s="10">
        <v>32.5</v>
      </c>
      <c r="E142" s="10">
        <v>33.299999999999997</v>
      </c>
      <c r="F142" s="9">
        <f>IF(Tablo1456789101112131415606264[[#This Row],[SATIŞ]]=0,"Açık",(E142-D142)*C142)</f>
        <v>39.999999999999858</v>
      </c>
      <c r="G142" s="11">
        <f>Tablo1456789101112131415606264[[#This Row],[ADET]]*Tablo1456789101112131415606264[[#This Row],[ALIŞ]]</f>
        <v>1625</v>
      </c>
      <c r="H142" s="11">
        <f>Tablo1456789101112131415606264[[#This Row],[ADET]]*Tablo1456789101112131415606264[[#This Row],[SATIŞ]]</f>
        <v>1664.9999999999998</v>
      </c>
    </row>
    <row r="143" spans="2:10" ht="21" hidden="1" customHeight="1" x14ac:dyDescent="0.3">
      <c r="B143" s="2">
        <v>45384</v>
      </c>
      <c r="C143" s="6">
        <v>50</v>
      </c>
      <c r="D143" s="10">
        <v>32.5</v>
      </c>
      <c r="E143" s="10">
        <v>33</v>
      </c>
      <c r="F143" s="9">
        <f>IF(Tablo1456789101112131415606264[[#This Row],[SATIŞ]]=0,"Açık",(E143-D143)*C143)</f>
        <v>25</v>
      </c>
      <c r="G143" s="11">
        <f>Tablo1456789101112131415606264[[#This Row],[ADET]]*Tablo1456789101112131415606264[[#This Row],[ALIŞ]]</f>
        <v>1625</v>
      </c>
      <c r="H143" s="11">
        <f>Tablo1456789101112131415606264[[#This Row],[ADET]]*Tablo1456789101112131415606264[[#This Row],[SATIŞ]]</f>
        <v>1650</v>
      </c>
    </row>
    <row r="144" spans="2:10" ht="21" hidden="1" customHeight="1" x14ac:dyDescent="0.3">
      <c r="B144" s="2">
        <v>45384</v>
      </c>
      <c r="C144" s="6">
        <v>50</v>
      </c>
      <c r="D144" s="10">
        <v>32.5</v>
      </c>
      <c r="E144" s="10">
        <v>32.5</v>
      </c>
      <c r="F144" s="9">
        <f>IF(Tablo1456789101112131415606264[[#This Row],[SATIŞ]]=0,"Açık",(E144-D144)*C144)</f>
        <v>0</v>
      </c>
      <c r="G144" s="11">
        <f>Tablo1456789101112131415606264[[#This Row],[ADET]]*Tablo1456789101112131415606264[[#This Row],[ALIŞ]]</f>
        <v>1625</v>
      </c>
      <c r="H144" s="11">
        <f>Tablo1456789101112131415606264[[#This Row],[ADET]]*Tablo1456789101112131415606264[[#This Row],[SATIŞ]]</f>
        <v>1625</v>
      </c>
    </row>
    <row r="145" spans="2:8" ht="21" hidden="1" customHeight="1" x14ac:dyDescent="0.3">
      <c r="B145" s="2">
        <v>45385</v>
      </c>
      <c r="C145" s="6">
        <v>50</v>
      </c>
      <c r="D145" s="10">
        <v>31.58</v>
      </c>
      <c r="E145" s="10">
        <v>32</v>
      </c>
      <c r="F145" s="9">
        <f>IF(Tablo1456789101112131415606264[[#This Row],[SATIŞ]]=0,"Açık",(E145-D145)*C145)</f>
        <v>21.000000000000085</v>
      </c>
      <c r="G145" s="11">
        <f>Tablo1456789101112131415606264[[#This Row],[ADET]]*Tablo1456789101112131415606264[[#This Row],[ALIŞ]]</f>
        <v>1579</v>
      </c>
      <c r="H145" s="11">
        <f>Tablo1456789101112131415606264[[#This Row],[ADET]]*Tablo1456789101112131415606264[[#This Row],[SATIŞ]]</f>
        <v>1600</v>
      </c>
    </row>
    <row r="146" spans="2:8" ht="21" hidden="1" customHeight="1" x14ac:dyDescent="0.3">
      <c r="B146" s="2">
        <v>45385</v>
      </c>
      <c r="C146" s="6">
        <v>50</v>
      </c>
      <c r="D146" s="10">
        <v>31.58</v>
      </c>
      <c r="E146" s="10">
        <v>32.299999999999997</v>
      </c>
      <c r="F146" s="9">
        <f>IF(Tablo1456789101112131415606264[[#This Row],[SATIŞ]]=0,"Açık",(E146-D146)*C146)</f>
        <v>35.999999999999943</v>
      </c>
      <c r="G146" s="11">
        <f>Tablo1456789101112131415606264[[#This Row],[ADET]]*Tablo1456789101112131415606264[[#This Row],[ALIŞ]]</f>
        <v>1579</v>
      </c>
      <c r="H146" s="11">
        <f>Tablo1456789101112131415606264[[#This Row],[ADET]]*Tablo1456789101112131415606264[[#This Row],[SATIŞ]]</f>
        <v>1614.9999999999998</v>
      </c>
    </row>
    <row r="147" spans="2:8" ht="21" hidden="1" customHeight="1" x14ac:dyDescent="0.3">
      <c r="B147" s="2">
        <v>45385</v>
      </c>
      <c r="C147" s="6">
        <v>50</v>
      </c>
      <c r="D147" s="10">
        <v>31.5</v>
      </c>
      <c r="E147" s="10">
        <v>32</v>
      </c>
      <c r="F147" s="9">
        <f>IF(Tablo1456789101112131415606264[[#This Row],[SATIŞ]]=0,"Açık",(E147-D147)*C147)</f>
        <v>25</v>
      </c>
      <c r="G147" s="11">
        <f>Tablo1456789101112131415606264[[#This Row],[ADET]]*Tablo1456789101112131415606264[[#This Row],[ALIŞ]]</f>
        <v>1575</v>
      </c>
      <c r="H147" s="11">
        <f>Tablo1456789101112131415606264[[#This Row],[ADET]]*Tablo1456789101112131415606264[[#This Row],[SATIŞ]]</f>
        <v>1600</v>
      </c>
    </row>
    <row r="148" spans="2:8" ht="21" hidden="1" customHeight="1" x14ac:dyDescent="0.3">
      <c r="B148" s="2">
        <v>45385</v>
      </c>
      <c r="C148" s="6">
        <v>50</v>
      </c>
      <c r="D148" s="10">
        <v>31</v>
      </c>
      <c r="E148" s="10">
        <v>31.7</v>
      </c>
      <c r="F148" s="9">
        <f>IF(Tablo1456789101112131415606264[[#This Row],[SATIŞ]]=0,"Açık",(E148-D148)*C148)</f>
        <v>34.999999999999964</v>
      </c>
      <c r="G148" s="11">
        <f>Tablo1456789101112131415606264[[#This Row],[ADET]]*Tablo1456789101112131415606264[[#This Row],[ALIŞ]]</f>
        <v>1550</v>
      </c>
      <c r="H148" s="11">
        <f>Tablo1456789101112131415606264[[#This Row],[ADET]]*Tablo1456789101112131415606264[[#This Row],[SATIŞ]]</f>
        <v>1585</v>
      </c>
    </row>
    <row r="149" spans="2:8" ht="21" hidden="1" customHeight="1" x14ac:dyDescent="0.3">
      <c r="B149" s="2">
        <v>45386</v>
      </c>
      <c r="C149" s="6">
        <v>50</v>
      </c>
      <c r="D149" s="10">
        <v>31.7</v>
      </c>
      <c r="E149" s="10">
        <v>32</v>
      </c>
      <c r="F149" s="9">
        <f>IF(Tablo1456789101112131415606264[[#This Row],[SATIŞ]]=0,"Açık",(E149-D149)*C149)</f>
        <v>15.000000000000036</v>
      </c>
      <c r="G149" s="11">
        <f>Tablo1456789101112131415606264[[#This Row],[ADET]]*Tablo1456789101112131415606264[[#This Row],[ALIŞ]]</f>
        <v>1585</v>
      </c>
      <c r="H149" s="11">
        <f>Tablo1456789101112131415606264[[#This Row],[ADET]]*Tablo1456789101112131415606264[[#This Row],[SATIŞ]]</f>
        <v>1600</v>
      </c>
    </row>
    <row r="150" spans="2:8" ht="21" hidden="1" customHeight="1" x14ac:dyDescent="0.3">
      <c r="B150" s="2">
        <v>45390</v>
      </c>
      <c r="C150" s="6">
        <v>100</v>
      </c>
      <c r="D150" s="10">
        <v>35.9</v>
      </c>
      <c r="E150" s="10">
        <v>36.5</v>
      </c>
      <c r="F150" s="9">
        <f>IF(Tablo1456789101112131415606264[[#This Row],[SATIŞ]]=0,"Açık",(E150-D150)*C150)</f>
        <v>60.000000000000142</v>
      </c>
      <c r="G150" s="11">
        <f>Tablo1456789101112131415606264[[#This Row],[ADET]]*Tablo1456789101112131415606264[[#This Row],[ALIŞ]]</f>
        <v>3590</v>
      </c>
      <c r="H150" s="11">
        <f>Tablo1456789101112131415606264[[#This Row],[ADET]]*Tablo1456789101112131415606264[[#This Row],[SATIŞ]]</f>
        <v>3650</v>
      </c>
    </row>
    <row r="151" spans="2:8" ht="21" hidden="1" customHeight="1" x14ac:dyDescent="0.3">
      <c r="B151" s="2">
        <v>45390</v>
      </c>
      <c r="C151" s="6">
        <v>100</v>
      </c>
      <c r="D151" s="10">
        <v>35.799999999999997</v>
      </c>
      <c r="E151" s="10">
        <v>36.799999999999997</v>
      </c>
      <c r="F151" s="9">
        <f>IF(Tablo1456789101112131415606264[[#This Row],[SATIŞ]]=0,"Açık",(E151-D151)*C151)</f>
        <v>100</v>
      </c>
      <c r="G151" s="11">
        <f>Tablo1456789101112131415606264[[#This Row],[ADET]]*Tablo1456789101112131415606264[[#This Row],[ALIŞ]]</f>
        <v>3579.9999999999995</v>
      </c>
      <c r="H151" s="11">
        <f>Tablo1456789101112131415606264[[#This Row],[ADET]]*Tablo1456789101112131415606264[[#This Row],[SATIŞ]]</f>
        <v>3679.9999999999995</v>
      </c>
    </row>
    <row r="152" spans="2:8" ht="21" hidden="1" customHeight="1" x14ac:dyDescent="0.3">
      <c r="B152" s="2">
        <v>45390</v>
      </c>
      <c r="C152" s="6">
        <v>100</v>
      </c>
      <c r="D152" s="10">
        <v>35.5</v>
      </c>
      <c r="E152" s="10">
        <v>36</v>
      </c>
      <c r="F152" s="9">
        <f>IF(Tablo1456789101112131415606264[[#This Row],[SATIŞ]]=0,"Açık",(E152-D152)*C152)</f>
        <v>50</v>
      </c>
      <c r="G152" s="11">
        <f>Tablo1456789101112131415606264[[#This Row],[ADET]]*Tablo1456789101112131415606264[[#This Row],[ALIŞ]]</f>
        <v>3550</v>
      </c>
      <c r="H152" s="11">
        <f>Tablo1456789101112131415606264[[#This Row],[ADET]]*Tablo1456789101112131415606264[[#This Row],[SATIŞ]]</f>
        <v>3600</v>
      </c>
    </row>
    <row r="153" spans="2:8" ht="21" hidden="1" customHeight="1" x14ac:dyDescent="0.3">
      <c r="B153" s="2">
        <v>45397</v>
      </c>
      <c r="C153" s="6">
        <v>100</v>
      </c>
      <c r="D153" s="10">
        <v>35.700000000000003</v>
      </c>
      <c r="E153" s="10">
        <v>36.520000000000003</v>
      </c>
      <c r="F153" s="9">
        <f>IF(Tablo1456789101112131415606264[[#This Row],[SATIŞ]]=0,"Açık",(E153-D153)*C153)</f>
        <v>82.000000000000028</v>
      </c>
      <c r="G153" s="11">
        <f>Tablo1456789101112131415606264[[#This Row],[ADET]]*Tablo1456789101112131415606264[[#This Row],[ALIŞ]]</f>
        <v>3570.0000000000005</v>
      </c>
      <c r="H153" s="11">
        <f>Tablo1456789101112131415606264[[#This Row],[ADET]]*Tablo1456789101112131415606264[[#This Row],[SATIŞ]]</f>
        <v>3652.0000000000005</v>
      </c>
    </row>
    <row r="154" spans="2:8" ht="21" hidden="1" customHeight="1" x14ac:dyDescent="0.3">
      <c r="B154" s="2">
        <v>45398</v>
      </c>
      <c r="C154" s="6">
        <v>100</v>
      </c>
      <c r="D154" s="10">
        <v>35</v>
      </c>
      <c r="E154" s="10">
        <v>35.92</v>
      </c>
      <c r="F154" s="9">
        <f>IF(Tablo1456789101112131415606264[[#This Row],[SATIŞ]]=0,"Açık",(E154-D154)*C154)</f>
        <v>92.000000000000171</v>
      </c>
      <c r="G154" s="11">
        <f>Tablo1456789101112131415606264[[#This Row],[ADET]]*Tablo1456789101112131415606264[[#This Row],[ALIŞ]]</f>
        <v>3500</v>
      </c>
      <c r="H154" s="11">
        <f>Tablo1456789101112131415606264[[#This Row],[ADET]]*Tablo1456789101112131415606264[[#This Row],[SATIŞ]]</f>
        <v>3592</v>
      </c>
    </row>
    <row r="155" spans="2:8" ht="21" hidden="1" customHeight="1" x14ac:dyDescent="0.3">
      <c r="B155" s="2">
        <v>45398</v>
      </c>
      <c r="C155" s="6">
        <v>50</v>
      </c>
      <c r="D155" s="10">
        <v>34</v>
      </c>
      <c r="E155" s="10">
        <v>35</v>
      </c>
      <c r="F155" s="9">
        <f>IF(Tablo1456789101112131415606264[[#This Row],[SATIŞ]]=0,"Açık",(E155-D155)*C155)</f>
        <v>50</v>
      </c>
      <c r="G155" s="11">
        <f>Tablo1456789101112131415606264[[#This Row],[ADET]]*Tablo1456789101112131415606264[[#This Row],[ALIŞ]]</f>
        <v>1700</v>
      </c>
      <c r="H155" s="11">
        <f>Tablo1456789101112131415606264[[#This Row],[ADET]]*Tablo1456789101112131415606264[[#This Row],[SATIŞ]]</f>
        <v>1750</v>
      </c>
    </row>
    <row r="156" spans="2:8" ht="21" hidden="1" customHeight="1" x14ac:dyDescent="0.3">
      <c r="B156" s="2">
        <v>45398</v>
      </c>
      <c r="C156" s="6">
        <v>50</v>
      </c>
      <c r="D156" s="10">
        <v>34</v>
      </c>
      <c r="E156" s="10">
        <v>35</v>
      </c>
      <c r="F156" s="9">
        <f>IF(Tablo1456789101112131415606264[[#This Row],[SATIŞ]]=0,"Açık",(E156-D156)*C156)</f>
        <v>50</v>
      </c>
      <c r="G156" s="11">
        <f>Tablo1456789101112131415606264[[#This Row],[ADET]]*Tablo1456789101112131415606264[[#This Row],[ALIŞ]]</f>
        <v>1700</v>
      </c>
      <c r="H156" s="11">
        <f>Tablo1456789101112131415606264[[#This Row],[ADET]]*Tablo1456789101112131415606264[[#This Row],[SATIŞ]]</f>
        <v>1750</v>
      </c>
    </row>
    <row r="157" spans="2:8" ht="21" hidden="1" customHeight="1" x14ac:dyDescent="0.3">
      <c r="B157" s="2">
        <v>45399</v>
      </c>
      <c r="C157" s="6">
        <v>100</v>
      </c>
      <c r="D157" s="10">
        <v>34</v>
      </c>
      <c r="E157" s="10">
        <v>35.29</v>
      </c>
      <c r="F157" s="9">
        <f>IF(Tablo1456789101112131415606264[[#This Row],[SATIŞ]]=0,"Açık",(E157-D157)*C157)</f>
        <v>128.99999999999991</v>
      </c>
      <c r="G157" s="11">
        <f>Tablo1456789101112131415606264[[#This Row],[ADET]]*Tablo1456789101112131415606264[[#This Row],[ALIŞ]]</f>
        <v>3400</v>
      </c>
      <c r="H157" s="11">
        <f>Tablo1456789101112131415606264[[#This Row],[ADET]]*Tablo1456789101112131415606264[[#This Row],[SATIŞ]]</f>
        <v>3529</v>
      </c>
    </row>
    <row r="158" spans="2:8" ht="21" hidden="1" customHeight="1" x14ac:dyDescent="0.3">
      <c r="B158" s="2">
        <v>45401</v>
      </c>
      <c r="C158" s="6">
        <v>100</v>
      </c>
      <c r="D158" s="10">
        <v>35</v>
      </c>
      <c r="E158" s="10">
        <v>36.1</v>
      </c>
      <c r="F158" s="9">
        <f>IF(Tablo1456789101112131415606264[[#This Row],[SATIŞ]]=0,"Açık",(E158-D158)*C158)</f>
        <v>110.00000000000014</v>
      </c>
      <c r="G158" s="11">
        <f>Tablo1456789101112131415606264[[#This Row],[ADET]]*Tablo1456789101112131415606264[[#This Row],[ALIŞ]]</f>
        <v>3500</v>
      </c>
      <c r="H158" s="11">
        <f>Tablo1456789101112131415606264[[#This Row],[ADET]]*Tablo1456789101112131415606264[[#This Row],[SATIŞ]]</f>
        <v>3610</v>
      </c>
    </row>
  </sheetData>
  <conditionalFormatting sqref="B4:F158">
    <cfRule type="expression" dxfId="155" priority="1">
      <formula>$F4&lt;0</formula>
    </cfRule>
    <cfRule type="expression" dxfId="154" priority="2">
      <formula>$F4="Açık"</formula>
    </cfRule>
    <cfRule type="expression" dxfId="153" priority="3">
      <formula>$F4&gt;0</formula>
    </cfRule>
  </conditionalFormatting>
  <hyperlinks>
    <hyperlink ref="B1" location="İcmal!A1" display="ANA SAYFA" xr:uid="{E5FB63BE-C606-4319-98FC-8949F6949293}"/>
  </hyperlinks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D4E4B-40C1-418A-AA72-56A3483F0135}">
  <dimension ref="B1:R108"/>
  <sheetViews>
    <sheetView showGridLines="0" showZeros="0" zoomScale="110" zoomScaleNormal="110" workbookViewId="0">
      <pane ySplit="3" topLeftCell="A83" activePane="bottomLeft" state="frozen"/>
      <selection pane="bottomLeft" activeCell="E105" sqref="E105"/>
    </sheetView>
  </sheetViews>
  <sheetFormatPr defaultRowHeight="21" customHeight="1" x14ac:dyDescent="0.3"/>
  <cols>
    <col min="2" max="2" width="20.6640625" style="1" customWidth="1"/>
    <col min="3" max="3" width="11.33203125" style="6" customWidth="1"/>
    <col min="4" max="5" width="12.88671875" style="3" customWidth="1"/>
    <col min="6" max="6" width="12.88671875" style="5" customWidth="1"/>
    <col min="7" max="8" width="17.6640625" customWidth="1"/>
    <col min="10" max="12" width="12.44140625" customWidth="1"/>
    <col min="13" max="13" width="17.109375" customWidth="1"/>
    <col min="14" max="14" width="12" bestFit="1" customWidth="1"/>
  </cols>
  <sheetData>
    <row r="1" spans="2:18" ht="21" customHeight="1" x14ac:dyDescent="0.3">
      <c r="B1" s="12" t="s">
        <v>64</v>
      </c>
      <c r="C1" s="4">
        <f>SUMIF(Tablo1456789101112131415[KAR],"Açık",Tablo1456789101112131415[ADET])</f>
        <v>1000</v>
      </c>
      <c r="D1" s="10">
        <f>+İcmal!E20</f>
        <v>22.5</v>
      </c>
      <c r="E1" s="10">
        <f>C1*D1</f>
        <v>22500</v>
      </c>
      <c r="F1" s="10">
        <f>IFERROR(((SUM(Tablo1456789101112131415[ALIŞ TUTAR])-SUM(Tablo1456789101112131415[SATIŞ TUTAR]))/C1),"")</f>
        <v>16.857092489999836</v>
      </c>
      <c r="G1" s="10">
        <f>IF(M3=0,L3,C1*(D1-F1))</f>
        <v>5642.9075100001637</v>
      </c>
      <c r="J1" s="45" t="s">
        <v>94</v>
      </c>
      <c r="K1" s="45" t="s">
        <v>95</v>
      </c>
      <c r="L1" s="45" t="s">
        <v>96</v>
      </c>
      <c r="M1" s="33">
        <f>F1</f>
        <v>16.857092489999836</v>
      </c>
      <c r="N1" s="8" t="e">
        <f>M1*(1+$J$1)</f>
        <v>#VALUE!</v>
      </c>
      <c r="P1" s="8" t="e">
        <f>Q1*(1-$J$1)</f>
        <v>#VALUE!</v>
      </c>
      <c r="Q1" s="33">
        <f>+D1</f>
        <v>22.5</v>
      </c>
      <c r="R1" s="8" t="e">
        <f>Q1*(1+$J$1)</f>
        <v>#VALUE!</v>
      </c>
    </row>
    <row r="2" spans="2:18" ht="21" customHeight="1" x14ac:dyDescent="0.3">
      <c r="B2" s="7" t="s">
        <v>24</v>
      </c>
      <c r="J2" s="45">
        <f>SUMIFS(Tablo2[HEDEF2],Tablo2[HİSSE],B2)</f>
        <v>1000</v>
      </c>
      <c r="K2" s="45">
        <f>+E1/İcmal!$P$2</f>
        <v>691.66922840454959</v>
      </c>
      <c r="L2" s="45">
        <f>+J2-K2</f>
        <v>308.33077159545041</v>
      </c>
    </row>
    <row r="3" spans="2:18" ht="21" customHeight="1" x14ac:dyDescent="0.3">
      <c r="B3" s="1" t="s">
        <v>0</v>
      </c>
      <c r="C3" s="6" t="s">
        <v>4</v>
      </c>
      <c r="D3" s="3" t="s">
        <v>1</v>
      </c>
      <c r="E3" s="3" t="s">
        <v>3</v>
      </c>
      <c r="F3" s="5" t="s">
        <v>2</v>
      </c>
      <c r="G3" s="3" t="s">
        <v>8</v>
      </c>
      <c r="H3" s="3" t="s">
        <v>9</v>
      </c>
      <c r="L3" s="33">
        <f>SUM(Tablo1456789101112131415[KAR])</f>
        <v>10162.907510000068</v>
      </c>
      <c r="M3" s="37">
        <f>+C1</f>
        <v>1000</v>
      </c>
    </row>
    <row r="4" spans="2:18" ht="21" hidden="1" customHeight="1" x14ac:dyDescent="0.3">
      <c r="B4" s="2">
        <v>45291</v>
      </c>
      <c r="C4" s="6">
        <v>26911</v>
      </c>
      <c r="D4" s="10">
        <v>24.916519999999998</v>
      </c>
      <c r="E4" s="10">
        <v>25.050930000000001</v>
      </c>
      <c r="F4" s="9">
        <f>IF(Tablo1456789101112131415[[#This Row],[SATIŞ]]=0,"Açık",(E4-D4)*C4)</f>
        <v>3617.1075100000694</v>
      </c>
      <c r="G4" s="11">
        <f>Tablo1456789101112131415[[#This Row],[ADET]]*Tablo1456789101112131415[[#This Row],[ALIŞ]]</f>
        <v>670528.46971999994</v>
      </c>
      <c r="H4" s="11">
        <f>Tablo1456789101112131415[[#This Row],[ADET]]*Tablo1456789101112131415[[#This Row],[SATIŞ]]</f>
        <v>674145.57723000005</v>
      </c>
      <c r="L4" s="8">
        <f>SUM(Tablo1456789101112131415[ALIŞ TUTAR])</f>
        <v>842422.16971999989</v>
      </c>
      <c r="M4" s="8">
        <f>SUM(Tablo1456789101112131415[SATIŞ TUTAR])</f>
        <v>825565.07723000005</v>
      </c>
      <c r="N4" s="8">
        <f>L4-M4</f>
        <v>16857.092489999835</v>
      </c>
    </row>
    <row r="5" spans="2:18" ht="21" hidden="1" customHeight="1" x14ac:dyDescent="0.3">
      <c r="B5" s="2">
        <v>45329</v>
      </c>
      <c r="C5" s="6">
        <v>10</v>
      </c>
      <c r="D5" s="10">
        <v>21</v>
      </c>
      <c r="E5" s="10">
        <v>21.8</v>
      </c>
      <c r="F5" s="9">
        <f>IF(Tablo1456789101112131415[[#This Row],[SATIŞ]]=0,"Açık",(E5-D5)*C5)</f>
        <v>8.0000000000000071</v>
      </c>
      <c r="G5" s="11">
        <f>Tablo1456789101112131415[[#This Row],[ADET]]*Tablo1456789101112131415[[#This Row],[ALIŞ]]</f>
        <v>210</v>
      </c>
      <c r="H5" s="11">
        <f>Tablo1456789101112131415[[#This Row],[ADET]]*Tablo1456789101112131415[[#This Row],[SATIŞ]]</f>
        <v>218</v>
      </c>
      <c r="N5">
        <f>+N4/80</f>
        <v>210.71365612499795</v>
      </c>
    </row>
    <row r="6" spans="2:18" ht="21" hidden="1" customHeight="1" x14ac:dyDescent="0.3">
      <c r="B6" s="2">
        <v>45329</v>
      </c>
      <c r="C6" s="6">
        <v>10</v>
      </c>
      <c r="D6" s="10">
        <v>21</v>
      </c>
      <c r="E6" s="10">
        <v>22.04</v>
      </c>
      <c r="F6" s="9">
        <f>IF(Tablo1456789101112131415[[#This Row],[SATIŞ]]=0,"Açık",(E6-D6)*C6)</f>
        <v>10.399999999999991</v>
      </c>
      <c r="G6" s="11">
        <f>Tablo1456789101112131415[[#This Row],[ADET]]*Tablo1456789101112131415[[#This Row],[ALIŞ]]</f>
        <v>210</v>
      </c>
      <c r="H6" s="11">
        <f>Tablo1456789101112131415[[#This Row],[ADET]]*Tablo1456789101112131415[[#This Row],[SATIŞ]]</f>
        <v>220.39999999999998</v>
      </c>
    </row>
    <row r="7" spans="2:18" ht="21" hidden="1" customHeight="1" x14ac:dyDescent="0.3">
      <c r="B7" s="2">
        <v>45329</v>
      </c>
      <c r="C7" s="6">
        <v>15</v>
      </c>
      <c r="D7" s="10">
        <v>21.64</v>
      </c>
      <c r="E7" s="10">
        <v>22.04</v>
      </c>
      <c r="F7" s="9">
        <f>IF(Tablo1456789101112131415[[#This Row],[SATIŞ]]=0,"Açık",(E7-D7)*C7)</f>
        <v>5.9999999999999787</v>
      </c>
      <c r="G7" s="11">
        <f>Tablo1456789101112131415[[#This Row],[ADET]]*Tablo1456789101112131415[[#This Row],[ALIŞ]]</f>
        <v>324.60000000000002</v>
      </c>
      <c r="H7" s="11">
        <f>Tablo1456789101112131415[[#This Row],[ADET]]*Tablo1456789101112131415[[#This Row],[SATIŞ]]</f>
        <v>330.59999999999997</v>
      </c>
    </row>
    <row r="8" spans="2:18" ht="21" hidden="1" customHeight="1" x14ac:dyDescent="0.3">
      <c r="B8" s="2">
        <v>45329</v>
      </c>
      <c r="C8" s="6">
        <v>25</v>
      </c>
      <c r="D8" s="10">
        <v>21.64</v>
      </c>
      <c r="E8" s="10">
        <v>22.1</v>
      </c>
      <c r="F8" s="9">
        <f>IF(Tablo1456789101112131415[[#This Row],[SATIŞ]]=0,"Açık",(E8-D8)*C8)</f>
        <v>11.500000000000021</v>
      </c>
      <c r="G8" s="11">
        <f>Tablo1456789101112131415[[#This Row],[ADET]]*Tablo1456789101112131415[[#This Row],[ALIŞ]]</f>
        <v>541</v>
      </c>
      <c r="H8" s="11">
        <f>Tablo1456789101112131415[[#This Row],[ADET]]*Tablo1456789101112131415[[#This Row],[SATIŞ]]</f>
        <v>552.5</v>
      </c>
    </row>
    <row r="9" spans="2:18" ht="21" hidden="1" customHeight="1" x14ac:dyDescent="0.3">
      <c r="B9" s="2">
        <v>45329</v>
      </c>
      <c r="C9" s="6">
        <v>60</v>
      </c>
      <c r="D9" s="10">
        <v>21.64</v>
      </c>
      <c r="E9" s="10">
        <v>23</v>
      </c>
      <c r="F9" s="9">
        <f>IF(Tablo1456789101112131415[[#This Row],[SATIŞ]]=0,"Açık",(E9-D9)*C9)</f>
        <v>81.599999999999966</v>
      </c>
      <c r="G9" s="11">
        <f>Tablo1456789101112131415[[#This Row],[ADET]]*Tablo1456789101112131415[[#This Row],[ALIŞ]]</f>
        <v>1298.4000000000001</v>
      </c>
      <c r="H9" s="11">
        <f>Tablo1456789101112131415[[#This Row],[ADET]]*Tablo1456789101112131415[[#This Row],[SATIŞ]]</f>
        <v>1380</v>
      </c>
    </row>
    <row r="10" spans="2:18" ht="21" hidden="1" customHeight="1" x14ac:dyDescent="0.3">
      <c r="B10" s="2">
        <v>45329</v>
      </c>
      <c r="C10" s="6">
        <v>50</v>
      </c>
      <c r="D10" s="10">
        <v>21.88</v>
      </c>
      <c r="E10" s="10">
        <v>22.4</v>
      </c>
      <c r="F10" s="9">
        <f>IF(Tablo1456789101112131415[[#This Row],[SATIŞ]]=0,"Açık",(E10-D10)*C10)</f>
        <v>25.999999999999979</v>
      </c>
      <c r="G10" s="11">
        <f>Tablo1456789101112131415[[#This Row],[ADET]]*Tablo1456789101112131415[[#This Row],[ALIŞ]]</f>
        <v>1094</v>
      </c>
      <c r="H10" s="11">
        <f>Tablo1456789101112131415[[#This Row],[ADET]]*Tablo1456789101112131415[[#This Row],[SATIŞ]]</f>
        <v>1120</v>
      </c>
    </row>
    <row r="11" spans="2:18" ht="21" hidden="1" customHeight="1" x14ac:dyDescent="0.3">
      <c r="B11" s="2">
        <v>45329</v>
      </c>
      <c r="C11" s="6">
        <v>20</v>
      </c>
      <c r="D11" s="10">
        <v>21.26</v>
      </c>
      <c r="E11" s="10">
        <v>21.7</v>
      </c>
      <c r="F11" s="9">
        <f>IF(Tablo1456789101112131415[[#This Row],[SATIŞ]]=0,"Açık",(E11-D11)*C11)</f>
        <v>8.7999999999999545</v>
      </c>
      <c r="G11" s="11">
        <f>Tablo1456789101112131415[[#This Row],[ADET]]*Tablo1456789101112131415[[#This Row],[ALIŞ]]</f>
        <v>425.20000000000005</v>
      </c>
      <c r="H11" s="11">
        <f>Tablo1456789101112131415[[#This Row],[ADET]]*Tablo1456789101112131415[[#This Row],[SATIŞ]]</f>
        <v>434</v>
      </c>
    </row>
    <row r="12" spans="2:18" ht="21" hidden="1" customHeight="1" x14ac:dyDescent="0.3">
      <c r="B12" s="2">
        <v>45330</v>
      </c>
      <c r="C12" s="6">
        <v>20</v>
      </c>
      <c r="D12" s="10">
        <v>21</v>
      </c>
      <c r="E12" s="10">
        <v>21.5</v>
      </c>
      <c r="F12" s="9">
        <f>IF(Tablo1456789101112131415[[#This Row],[SATIŞ]]=0,"Açık",(E12-D12)*C12)</f>
        <v>10</v>
      </c>
      <c r="G12" s="11">
        <f>Tablo1456789101112131415[[#This Row],[ADET]]*Tablo1456789101112131415[[#This Row],[ALIŞ]]</f>
        <v>420</v>
      </c>
      <c r="H12" s="11">
        <f>Tablo1456789101112131415[[#This Row],[ADET]]*Tablo1456789101112131415[[#This Row],[SATIŞ]]</f>
        <v>430</v>
      </c>
    </row>
    <row r="13" spans="2:18" ht="21" hidden="1" customHeight="1" x14ac:dyDescent="0.3">
      <c r="B13" s="2">
        <v>45330</v>
      </c>
      <c r="C13" s="6">
        <v>20</v>
      </c>
      <c r="D13" s="10">
        <v>21.1</v>
      </c>
      <c r="E13" s="10">
        <v>21.5</v>
      </c>
      <c r="F13" s="9">
        <f>IF(Tablo1456789101112131415[[#This Row],[SATIŞ]]=0,"Açık",(E13-D13)*C13)</f>
        <v>7.9999999999999716</v>
      </c>
      <c r="G13" s="11">
        <f>Tablo1456789101112131415[[#This Row],[ADET]]*Tablo1456789101112131415[[#This Row],[ALIŞ]]</f>
        <v>422</v>
      </c>
      <c r="H13" s="11">
        <f>Tablo1456789101112131415[[#This Row],[ADET]]*Tablo1456789101112131415[[#This Row],[SATIŞ]]</f>
        <v>430</v>
      </c>
    </row>
    <row r="14" spans="2:18" ht="21" hidden="1" customHeight="1" x14ac:dyDescent="0.3">
      <c r="B14" s="2">
        <v>45330</v>
      </c>
      <c r="C14" s="6">
        <v>20</v>
      </c>
      <c r="D14" s="10">
        <v>21.1</v>
      </c>
      <c r="E14" s="10">
        <v>21.5</v>
      </c>
      <c r="F14" s="9">
        <f>IF(Tablo1456789101112131415[[#This Row],[SATIŞ]]=0,"Açık",(E14-D14)*C14)</f>
        <v>7.9999999999999716</v>
      </c>
      <c r="G14" s="11">
        <f>Tablo1456789101112131415[[#This Row],[ADET]]*Tablo1456789101112131415[[#This Row],[ALIŞ]]</f>
        <v>422</v>
      </c>
      <c r="H14" s="11">
        <f>Tablo1456789101112131415[[#This Row],[ADET]]*Tablo1456789101112131415[[#This Row],[SATIŞ]]</f>
        <v>430</v>
      </c>
    </row>
    <row r="15" spans="2:18" ht="21" hidden="1" customHeight="1" x14ac:dyDescent="0.3">
      <c r="B15" s="2">
        <v>45331</v>
      </c>
      <c r="C15" s="6">
        <v>50</v>
      </c>
      <c r="D15" s="10">
        <v>21</v>
      </c>
      <c r="E15" s="10">
        <v>23.76</v>
      </c>
      <c r="F15" s="9">
        <f>IF(Tablo1456789101112131415[[#This Row],[SATIŞ]]=0,"Açık",(E15-D15)*C15)</f>
        <v>138.00000000000009</v>
      </c>
      <c r="G15" s="11">
        <f>Tablo1456789101112131415[[#This Row],[ADET]]*Tablo1456789101112131415[[#This Row],[ALIŞ]]</f>
        <v>1050</v>
      </c>
      <c r="H15" s="11">
        <f>Tablo1456789101112131415[[#This Row],[ADET]]*Tablo1456789101112131415[[#This Row],[SATIŞ]]</f>
        <v>1188</v>
      </c>
    </row>
    <row r="16" spans="2:18" ht="21" hidden="1" customHeight="1" x14ac:dyDescent="0.3">
      <c r="B16" s="2">
        <v>45331</v>
      </c>
      <c r="C16" s="6">
        <v>20</v>
      </c>
      <c r="D16" s="10">
        <v>21.1</v>
      </c>
      <c r="E16" s="10">
        <v>24</v>
      </c>
      <c r="F16" s="9">
        <f>IF(Tablo1456789101112131415[[#This Row],[SATIŞ]]=0,"Açık",(E16-D16)*C16)</f>
        <v>57.999999999999972</v>
      </c>
      <c r="G16" s="11">
        <f>Tablo1456789101112131415[[#This Row],[ADET]]*Tablo1456789101112131415[[#This Row],[ALIŞ]]</f>
        <v>422</v>
      </c>
      <c r="H16" s="11">
        <f>Tablo1456789101112131415[[#This Row],[ADET]]*Tablo1456789101112131415[[#This Row],[SATIŞ]]</f>
        <v>480</v>
      </c>
    </row>
    <row r="17" spans="2:8" ht="21" hidden="1" customHeight="1" x14ac:dyDescent="0.3">
      <c r="B17" s="2">
        <v>45331</v>
      </c>
      <c r="C17" s="6">
        <v>20</v>
      </c>
      <c r="D17" s="10">
        <v>21.1</v>
      </c>
      <c r="E17" s="10">
        <v>21.8</v>
      </c>
      <c r="F17" s="9">
        <f>IF(Tablo1456789101112131415[[#This Row],[SATIŞ]]=0,"Açık",(E17-D17)*C17)</f>
        <v>13.999999999999986</v>
      </c>
      <c r="G17" s="11">
        <f>Tablo1456789101112131415[[#This Row],[ADET]]*Tablo1456789101112131415[[#This Row],[ALIŞ]]</f>
        <v>422</v>
      </c>
      <c r="H17" s="11">
        <f>Tablo1456789101112131415[[#This Row],[ADET]]*Tablo1456789101112131415[[#This Row],[SATIŞ]]</f>
        <v>436</v>
      </c>
    </row>
    <row r="18" spans="2:8" ht="21" hidden="1" customHeight="1" x14ac:dyDescent="0.3">
      <c r="B18" s="2">
        <v>45334</v>
      </c>
      <c r="C18" s="6">
        <v>25</v>
      </c>
      <c r="D18" s="10">
        <v>21.8</v>
      </c>
      <c r="E18" s="10">
        <v>24</v>
      </c>
      <c r="F18" s="9">
        <f>IF(Tablo1456789101112131415[[#This Row],[SATIŞ]]=0,"Açık",(E18-D18)*C18)</f>
        <v>54.999999999999986</v>
      </c>
      <c r="G18" s="11">
        <f>Tablo1456789101112131415[[#This Row],[ADET]]*Tablo1456789101112131415[[#This Row],[ALIŞ]]</f>
        <v>545</v>
      </c>
      <c r="H18" s="11">
        <f>Tablo1456789101112131415[[#This Row],[ADET]]*Tablo1456789101112131415[[#This Row],[SATIŞ]]</f>
        <v>600</v>
      </c>
    </row>
    <row r="19" spans="2:8" ht="21" hidden="1" customHeight="1" x14ac:dyDescent="0.3">
      <c r="B19" s="2">
        <v>45334</v>
      </c>
      <c r="C19" s="6">
        <v>25</v>
      </c>
      <c r="D19" s="10">
        <v>21.8</v>
      </c>
      <c r="E19" s="10">
        <v>25.1</v>
      </c>
      <c r="F19" s="9">
        <f>IF(Tablo1456789101112131415[[#This Row],[SATIŞ]]=0,"Açık",(E19-D19)*C19)</f>
        <v>82.500000000000014</v>
      </c>
      <c r="G19" s="11">
        <f>Tablo1456789101112131415[[#This Row],[ADET]]*Tablo1456789101112131415[[#This Row],[ALIŞ]]</f>
        <v>545</v>
      </c>
      <c r="H19" s="11">
        <f>Tablo1456789101112131415[[#This Row],[ADET]]*Tablo1456789101112131415[[#This Row],[SATIŞ]]</f>
        <v>627.5</v>
      </c>
    </row>
    <row r="20" spans="2:8" ht="21" hidden="1" customHeight="1" x14ac:dyDescent="0.3">
      <c r="B20" s="2">
        <v>45334</v>
      </c>
      <c r="C20" s="6">
        <v>50</v>
      </c>
      <c r="D20" s="10">
        <v>21.9</v>
      </c>
      <c r="E20" s="10">
        <v>24.4</v>
      </c>
      <c r="F20" s="9">
        <f>IF(Tablo1456789101112131415[[#This Row],[SATIŞ]]=0,"Açık",(E20-D20)*C20)</f>
        <v>125</v>
      </c>
      <c r="G20" s="11">
        <f>Tablo1456789101112131415[[#This Row],[ADET]]*Tablo1456789101112131415[[#This Row],[ALIŞ]]</f>
        <v>1095</v>
      </c>
      <c r="H20" s="11">
        <f>Tablo1456789101112131415[[#This Row],[ADET]]*Tablo1456789101112131415[[#This Row],[SATIŞ]]</f>
        <v>1220</v>
      </c>
    </row>
    <row r="21" spans="2:8" ht="21" hidden="1" customHeight="1" x14ac:dyDescent="0.3">
      <c r="B21" s="2">
        <v>45334</v>
      </c>
      <c r="C21" s="6">
        <v>30</v>
      </c>
      <c r="D21" s="10">
        <v>22.8</v>
      </c>
      <c r="E21" s="10">
        <v>23.5</v>
      </c>
      <c r="F21" s="9">
        <f>IF(Tablo1456789101112131415[[#This Row],[SATIŞ]]=0,"Açık",(E21-D21)*C21)</f>
        <v>20.999999999999979</v>
      </c>
      <c r="G21" s="11">
        <f>Tablo1456789101112131415[[#This Row],[ADET]]*Tablo1456789101112131415[[#This Row],[ALIŞ]]</f>
        <v>684</v>
      </c>
      <c r="H21" s="11">
        <f>Tablo1456789101112131415[[#This Row],[ADET]]*Tablo1456789101112131415[[#This Row],[SATIŞ]]</f>
        <v>705</v>
      </c>
    </row>
    <row r="22" spans="2:8" ht="21" hidden="1" customHeight="1" x14ac:dyDescent="0.3">
      <c r="B22" s="2">
        <v>45334</v>
      </c>
      <c r="C22" s="6">
        <v>50</v>
      </c>
      <c r="D22" s="10">
        <v>23.5</v>
      </c>
      <c r="E22" s="10">
        <v>24.4</v>
      </c>
      <c r="F22" s="9">
        <f>IF(Tablo1456789101112131415[[#This Row],[SATIŞ]]=0,"Açık",(E22-D22)*C22)</f>
        <v>44.999999999999929</v>
      </c>
      <c r="G22" s="11">
        <f>Tablo1456789101112131415[[#This Row],[ADET]]*Tablo1456789101112131415[[#This Row],[ALIŞ]]</f>
        <v>1175</v>
      </c>
      <c r="H22" s="11">
        <f>Tablo1456789101112131415[[#This Row],[ADET]]*Tablo1456789101112131415[[#This Row],[SATIŞ]]</f>
        <v>1220</v>
      </c>
    </row>
    <row r="23" spans="2:8" ht="21" hidden="1" customHeight="1" x14ac:dyDescent="0.3">
      <c r="B23" s="2">
        <v>45335</v>
      </c>
      <c r="C23" s="6">
        <v>50</v>
      </c>
      <c r="D23" s="10">
        <v>23</v>
      </c>
      <c r="E23" s="10">
        <v>23.3</v>
      </c>
      <c r="F23" s="9">
        <f>IF(Tablo1456789101112131415[[#This Row],[SATIŞ]]=0,"Açık",(E23-D23)*C23)</f>
        <v>15.000000000000036</v>
      </c>
      <c r="G23" s="11">
        <f>Tablo1456789101112131415[[#This Row],[ADET]]*Tablo1456789101112131415[[#This Row],[ALIŞ]]</f>
        <v>1150</v>
      </c>
      <c r="H23" s="11">
        <f>Tablo1456789101112131415[[#This Row],[ADET]]*Tablo1456789101112131415[[#This Row],[SATIŞ]]</f>
        <v>1165</v>
      </c>
    </row>
    <row r="24" spans="2:8" ht="21" hidden="1" customHeight="1" x14ac:dyDescent="0.3">
      <c r="B24" s="2">
        <v>45335</v>
      </c>
      <c r="C24" s="6">
        <v>50</v>
      </c>
      <c r="D24" s="10">
        <v>23</v>
      </c>
      <c r="E24" s="10">
        <v>24.5</v>
      </c>
      <c r="F24" s="9">
        <f>IF(Tablo1456789101112131415[[#This Row],[SATIŞ]]=0,"Açık",(E24-D24)*C24)</f>
        <v>75</v>
      </c>
      <c r="G24" s="11">
        <f>Tablo1456789101112131415[[#This Row],[ADET]]*Tablo1456789101112131415[[#This Row],[ALIŞ]]</f>
        <v>1150</v>
      </c>
      <c r="H24" s="11">
        <f>Tablo1456789101112131415[[#This Row],[ADET]]*Tablo1456789101112131415[[#This Row],[SATIŞ]]</f>
        <v>1225</v>
      </c>
    </row>
    <row r="25" spans="2:8" ht="21" hidden="1" customHeight="1" x14ac:dyDescent="0.3">
      <c r="B25" s="2">
        <v>45335</v>
      </c>
      <c r="C25" s="6">
        <v>50</v>
      </c>
      <c r="D25" s="10">
        <v>23</v>
      </c>
      <c r="E25" s="10">
        <v>24.5</v>
      </c>
      <c r="F25" s="9">
        <f>IF(Tablo1456789101112131415[[#This Row],[SATIŞ]]=0,"Açık",(E25-D25)*C25)</f>
        <v>75</v>
      </c>
      <c r="G25" s="11">
        <f>Tablo1456789101112131415[[#This Row],[ADET]]*Tablo1456789101112131415[[#This Row],[ALIŞ]]</f>
        <v>1150</v>
      </c>
      <c r="H25" s="11">
        <f>Tablo1456789101112131415[[#This Row],[ADET]]*Tablo1456789101112131415[[#This Row],[SATIŞ]]</f>
        <v>1225</v>
      </c>
    </row>
    <row r="26" spans="2:8" ht="21" hidden="1" customHeight="1" x14ac:dyDescent="0.3">
      <c r="B26" s="2">
        <v>45336</v>
      </c>
      <c r="C26" s="6">
        <v>95</v>
      </c>
      <c r="D26" s="10">
        <v>22.8</v>
      </c>
      <c r="E26" s="10">
        <v>25.1</v>
      </c>
      <c r="F26" s="9">
        <f>IF(Tablo1456789101112131415[[#This Row],[SATIŞ]]=0,"Açık",(E26-D26)*C26)</f>
        <v>218.50000000000006</v>
      </c>
      <c r="G26" s="11">
        <f>Tablo1456789101112131415[[#This Row],[ADET]]*Tablo1456789101112131415[[#This Row],[ALIŞ]]</f>
        <v>2166</v>
      </c>
      <c r="H26" s="11">
        <f>Tablo1456789101112131415[[#This Row],[ADET]]*Tablo1456789101112131415[[#This Row],[SATIŞ]]</f>
        <v>2384.5</v>
      </c>
    </row>
    <row r="27" spans="2:8" ht="21" hidden="1" customHeight="1" x14ac:dyDescent="0.3">
      <c r="B27" s="2">
        <v>45336</v>
      </c>
      <c r="C27" s="6">
        <v>70</v>
      </c>
      <c r="D27" s="10">
        <v>22.6</v>
      </c>
      <c r="E27" s="10">
        <v>24</v>
      </c>
      <c r="F27" s="9">
        <f>IF(Tablo1456789101112131415[[#This Row],[SATIŞ]]=0,"Açık",(E27-D27)*C27)</f>
        <v>97.999999999999901</v>
      </c>
      <c r="G27" s="11">
        <f>Tablo1456789101112131415[[#This Row],[ADET]]*Tablo1456789101112131415[[#This Row],[ALIŞ]]</f>
        <v>1582</v>
      </c>
      <c r="H27" s="11">
        <f>Tablo1456789101112131415[[#This Row],[ADET]]*Tablo1456789101112131415[[#This Row],[SATIŞ]]</f>
        <v>1680</v>
      </c>
    </row>
    <row r="28" spans="2:8" ht="21" hidden="1" customHeight="1" x14ac:dyDescent="0.3">
      <c r="B28" s="2">
        <v>45336</v>
      </c>
      <c r="C28" s="6">
        <v>30</v>
      </c>
      <c r="D28" s="10">
        <v>22.6</v>
      </c>
      <c r="E28" s="10">
        <v>25.1</v>
      </c>
      <c r="F28" s="9">
        <f>IF(Tablo1456789101112131415[[#This Row],[SATIŞ]]=0,"Açık",(E28-D28)*C28)</f>
        <v>75</v>
      </c>
      <c r="G28" s="11">
        <f>Tablo1456789101112131415[[#This Row],[ADET]]*Tablo1456789101112131415[[#This Row],[ALIŞ]]</f>
        <v>678</v>
      </c>
      <c r="H28" s="11">
        <f>Tablo1456789101112131415[[#This Row],[ADET]]*Tablo1456789101112131415[[#This Row],[SATIŞ]]</f>
        <v>753</v>
      </c>
    </row>
    <row r="29" spans="2:8" ht="21" hidden="1" customHeight="1" x14ac:dyDescent="0.3">
      <c r="B29" s="2">
        <v>45336</v>
      </c>
      <c r="C29" s="6">
        <v>50</v>
      </c>
      <c r="D29" s="10">
        <v>22.2</v>
      </c>
      <c r="E29" s="10">
        <v>22.6</v>
      </c>
      <c r="F29" s="9">
        <f>IF(Tablo1456789101112131415[[#This Row],[SATIŞ]]=0,"Açık",(E29-D29)*C29)</f>
        <v>20.000000000000107</v>
      </c>
      <c r="G29" s="11">
        <f>Tablo1456789101112131415[[#This Row],[ADET]]*Tablo1456789101112131415[[#This Row],[ALIŞ]]</f>
        <v>1110</v>
      </c>
      <c r="H29" s="11">
        <f>Tablo1456789101112131415[[#This Row],[ADET]]*Tablo1456789101112131415[[#This Row],[SATIŞ]]</f>
        <v>1130</v>
      </c>
    </row>
    <row r="30" spans="2:8" ht="21" hidden="1" customHeight="1" x14ac:dyDescent="0.3">
      <c r="B30" s="2">
        <v>45336</v>
      </c>
      <c r="C30" s="6">
        <v>50</v>
      </c>
      <c r="D30" s="10">
        <v>22.2</v>
      </c>
      <c r="E30" s="10">
        <v>23</v>
      </c>
      <c r="F30" s="9">
        <f>IF(Tablo1456789101112131415[[#This Row],[SATIŞ]]=0,"Açık",(E30-D30)*C30)</f>
        <v>40.000000000000036</v>
      </c>
      <c r="G30" s="11">
        <f>Tablo1456789101112131415[[#This Row],[ADET]]*Tablo1456789101112131415[[#This Row],[ALIŞ]]</f>
        <v>1110</v>
      </c>
      <c r="H30" s="11">
        <f>Tablo1456789101112131415[[#This Row],[ADET]]*Tablo1456789101112131415[[#This Row],[SATIŞ]]</f>
        <v>1150</v>
      </c>
    </row>
    <row r="31" spans="2:8" ht="21" hidden="1" customHeight="1" x14ac:dyDescent="0.3">
      <c r="B31" s="2">
        <v>45336</v>
      </c>
      <c r="C31" s="6">
        <v>50</v>
      </c>
      <c r="D31" s="10">
        <v>23</v>
      </c>
      <c r="E31" s="10">
        <v>25</v>
      </c>
      <c r="F31" s="9">
        <f>IF(Tablo1456789101112131415[[#This Row],[SATIŞ]]=0,"Açık",(E31-D31)*C31)</f>
        <v>100</v>
      </c>
      <c r="G31" s="11">
        <f>Tablo1456789101112131415[[#This Row],[ADET]]*Tablo1456789101112131415[[#This Row],[ALIŞ]]</f>
        <v>1150</v>
      </c>
      <c r="H31" s="11">
        <f>Tablo1456789101112131415[[#This Row],[ADET]]*Tablo1456789101112131415[[#This Row],[SATIŞ]]</f>
        <v>1250</v>
      </c>
    </row>
    <row r="32" spans="2:8" ht="21" hidden="1" customHeight="1" x14ac:dyDescent="0.3">
      <c r="B32" s="2">
        <v>45337</v>
      </c>
      <c r="C32" s="6">
        <v>100</v>
      </c>
      <c r="D32" s="10">
        <v>23.4</v>
      </c>
      <c r="E32" s="10">
        <v>25</v>
      </c>
      <c r="F32" s="9">
        <f>IF(Tablo1456789101112131415[[#This Row],[SATIŞ]]=0,"Açık",(E32-D32)*C32)</f>
        <v>160.00000000000014</v>
      </c>
      <c r="G32" s="11">
        <f>Tablo1456789101112131415[[#This Row],[ADET]]*Tablo1456789101112131415[[#This Row],[ALIŞ]]</f>
        <v>2340</v>
      </c>
      <c r="H32" s="11">
        <f>Tablo1456789101112131415[[#This Row],[ADET]]*Tablo1456789101112131415[[#This Row],[SATIŞ]]</f>
        <v>2500</v>
      </c>
    </row>
    <row r="33" spans="2:10" ht="21" hidden="1" customHeight="1" x14ac:dyDescent="0.3">
      <c r="B33" s="2">
        <v>45337</v>
      </c>
      <c r="C33" s="6">
        <v>25</v>
      </c>
      <c r="D33" s="10">
        <v>24</v>
      </c>
      <c r="E33" s="10">
        <v>25</v>
      </c>
      <c r="F33" s="9">
        <f>IF(Tablo1456789101112131415[[#This Row],[SATIŞ]]=0,"Açık",(E33-D33)*C33)</f>
        <v>25</v>
      </c>
      <c r="G33" s="11">
        <f>Tablo1456789101112131415[[#This Row],[ADET]]*Tablo1456789101112131415[[#This Row],[ALIŞ]]</f>
        <v>600</v>
      </c>
      <c r="H33" s="11">
        <f>Tablo1456789101112131415[[#This Row],[ADET]]*Tablo1456789101112131415[[#This Row],[SATIŞ]]</f>
        <v>625</v>
      </c>
    </row>
    <row r="34" spans="2:10" ht="21" hidden="1" customHeight="1" x14ac:dyDescent="0.3">
      <c r="B34" s="2">
        <v>45337</v>
      </c>
      <c r="C34" s="6">
        <v>75</v>
      </c>
      <c r="D34" s="10">
        <v>24</v>
      </c>
      <c r="E34" s="10">
        <v>25</v>
      </c>
      <c r="F34" s="9">
        <f>IF(Tablo1456789101112131415[[#This Row],[SATIŞ]]=0,"Açık",(E34-D34)*C34)</f>
        <v>75</v>
      </c>
      <c r="G34" s="11">
        <f>Tablo1456789101112131415[[#This Row],[ADET]]*Tablo1456789101112131415[[#This Row],[ALIŞ]]</f>
        <v>1800</v>
      </c>
      <c r="H34" s="11">
        <f>Tablo1456789101112131415[[#This Row],[ADET]]*Tablo1456789101112131415[[#This Row],[SATIŞ]]</f>
        <v>1875</v>
      </c>
    </row>
    <row r="35" spans="2:10" ht="21" hidden="1" customHeight="1" x14ac:dyDescent="0.3">
      <c r="B35" s="2">
        <v>45337</v>
      </c>
      <c r="C35" s="6">
        <v>75</v>
      </c>
      <c r="D35" s="10">
        <v>24.7</v>
      </c>
      <c r="E35" s="10">
        <v>25.48</v>
      </c>
      <c r="F35" s="9">
        <f>IF(Tablo1456789101112131415[[#This Row],[SATIŞ]]=0,"Açık",(E35-D35)*C35)</f>
        <v>58.500000000000085</v>
      </c>
      <c r="G35" s="11">
        <f>Tablo1456789101112131415[[#This Row],[ADET]]*Tablo1456789101112131415[[#This Row],[ALIŞ]]</f>
        <v>1852.5</v>
      </c>
      <c r="H35" s="11">
        <f>Tablo1456789101112131415[[#This Row],[ADET]]*Tablo1456789101112131415[[#This Row],[SATIŞ]]</f>
        <v>1911</v>
      </c>
    </row>
    <row r="36" spans="2:10" ht="21" hidden="1" customHeight="1" x14ac:dyDescent="0.3">
      <c r="B36" s="2">
        <v>45337</v>
      </c>
      <c r="C36" s="6">
        <v>150</v>
      </c>
      <c r="D36" s="10">
        <v>24</v>
      </c>
      <c r="E36" s="10">
        <v>24.8</v>
      </c>
      <c r="F36" s="9">
        <f>IF(Tablo1456789101112131415[[#This Row],[SATIŞ]]=0,"Açık",(E36-D36)*C36)</f>
        <v>120.00000000000011</v>
      </c>
      <c r="G36" s="11">
        <f>Tablo1456789101112131415[[#This Row],[ADET]]*Tablo1456789101112131415[[#This Row],[ALIŞ]]</f>
        <v>3600</v>
      </c>
      <c r="H36" s="11">
        <f>Tablo1456789101112131415[[#This Row],[ADET]]*Tablo1456789101112131415[[#This Row],[SATIŞ]]</f>
        <v>3720</v>
      </c>
    </row>
    <row r="37" spans="2:10" ht="21" hidden="1" customHeight="1" x14ac:dyDescent="0.3">
      <c r="B37" s="2">
        <v>45337</v>
      </c>
      <c r="C37" s="6">
        <v>100</v>
      </c>
      <c r="D37" s="10">
        <v>24.5</v>
      </c>
      <c r="E37" s="10">
        <v>25.5</v>
      </c>
      <c r="F37" s="9">
        <f>IF(Tablo1456789101112131415[[#This Row],[SATIŞ]]=0,"Açık",(E37-D37)*C37)</f>
        <v>100</v>
      </c>
      <c r="G37" s="11">
        <f>Tablo1456789101112131415[[#This Row],[ADET]]*Tablo1456789101112131415[[#This Row],[ALIŞ]]</f>
        <v>2450</v>
      </c>
      <c r="H37" s="11">
        <f>Tablo1456789101112131415[[#This Row],[ADET]]*Tablo1456789101112131415[[#This Row],[SATIŞ]]</f>
        <v>2550</v>
      </c>
    </row>
    <row r="38" spans="2:10" ht="21" hidden="1" customHeight="1" x14ac:dyDescent="0.3">
      <c r="B38" s="2">
        <v>45338</v>
      </c>
      <c r="C38" s="6">
        <v>200</v>
      </c>
      <c r="D38" s="10">
        <v>25.3</v>
      </c>
      <c r="E38" s="10">
        <v>26.5</v>
      </c>
      <c r="F38" s="9">
        <f>IF(Tablo1456789101112131415[[#This Row],[SATIŞ]]=0,"Açık",(E38-D38)*C38)</f>
        <v>239.99999999999986</v>
      </c>
      <c r="G38" s="11">
        <f>Tablo1456789101112131415[[#This Row],[ADET]]*Tablo1456789101112131415[[#This Row],[ALIŞ]]</f>
        <v>5060</v>
      </c>
      <c r="H38" s="11">
        <f>Tablo1456789101112131415[[#This Row],[ADET]]*Tablo1456789101112131415[[#This Row],[SATIŞ]]</f>
        <v>5300</v>
      </c>
    </row>
    <row r="39" spans="2:10" ht="21" hidden="1" customHeight="1" x14ac:dyDescent="0.3">
      <c r="B39" s="2">
        <v>45341</v>
      </c>
      <c r="C39" s="6">
        <v>100</v>
      </c>
      <c r="D39" s="10">
        <v>26</v>
      </c>
      <c r="E39" s="10">
        <v>26.2</v>
      </c>
      <c r="F39" s="9">
        <f>IF(Tablo1456789101112131415[[#This Row],[SATIŞ]]=0,"Açık",(E39-D39)*C39)</f>
        <v>19.999999999999929</v>
      </c>
      <c r="G39" s="11">
        <f>Tablo1456789101112131415[[#This Row],[ADET]]*Tablo1456789101112131415[[#This Row],[ALIŞ]]</f>
        <v>2600</v>
      </c>
      <c r="H39" s="11">
        <f>Tablo1456789101112131415[[#This Row],[ADET]]*Tablo1456789101112131415[[#This Row],[SATIŞ]]</f>
        <v>2620</v>
      </c>
    </row>
    <row r="40" spans="2:10" ht="21" hidden="1" customHeight="1" x14ac:dyDescent="0.3">
      <c r="B40" s="2">
        <v>45341</v>
      </c>
      <c r="C40" s="6">
        <v>100</v>
      </c>
      <c r="D40" s="10">
        <v>25.5</v>
      </c>
      <c r="E40" s="10">
        <v>26.5</v>
      </c>
      <c r="F40" s="9">
        <f>IF(Tablo1456789101112131415[[#This Row],[SATIŞ]]=0,"Açık",(E40-D40)*C40)</f>
        <v>100</v>
      </c>
      <c r="G40" s="11">
        <f>Tablo1456789101112131415[[#This Row],[ADET]]*Tablo1456789101112131415[[#This Row],[ALIŞ]]</f>
        <v>2550</v>
      </c>
      <c r="H40" s="11">
        <f>Tablo1456789101112131415[[#This Row],[ADET]]*Tablo1456789101112131415[[#This Row],[SATIŞ]]</f>
        <v>2650</v>
      </c>
    </row>
    <row r="41" spans="2:10" ht="21" hidden="1" customHeight="1" x14ac:dyDescent="0.3">
      <c r="B41" s="2">
        <v>45341</v>
      </c>
      <c r="C41" s="6">
        <v>100</v>
      </c>
      <c r="D41" s="10">
        <v>25</v>
      </c>
      <c r="E41" s="10">
        <v>27</v>
      </c>
      <c r="F41" s="9">
        <f>IF(Tablo1456789101112131415[[#This Row],[SATIŞ]]=0,"Açık",(E41-D41)*C41)</f>
        <v>200</v>
      </c>
      <c r="G41" s="11">
        <f>Tablo1456789101112131415[[#This Row],[ADET]]*Tablo1456789101112131415[[#This Row],[ALIŞ]]</f>
        <v>2500</v>
      </c>
      <c r="H41" s="11">
        <f>Tablo1456789101112131415[[#This Row],[ADET]]*Tablo1456789101112131415[[#This Row],[SATIŞ]]</f>
        <v>2700</v>
      </c>
    </row>
    <row r="42" spans="2:10" ht="21" hidden="1" customHeight="1" x14ac:dyDescent="0.3">
      <c r="B42" s="2">
        <v>45345</v>
      </c>
      <c r="C42" s="6">
        <v>100</v>
      </c>
      <c r="D42" s="10">
        <v>30.2</v>
      </c>
      <c r="E42" s="10">
        <v>30.5</v>
      </c>
      <c r="F42" s="9">
        <f>IF(Tablo1456789101112131415[[#This Row],[SATIŞ]]=0,"Açık",(E42-D42)*C42)</f>
        <v>30.000000000000071</v>
      </c>
      <c r="G42" s="11">
        <f>Tablo1456789101112131415[[#This Row],[ADET]]*Tablo1456789101112131415[[#This Row],[ALIŞ]]</f>
        <v>3020</v>
      </c>
      <c r="H42" s="11">
        <f>Tablo1456789101112131415[[#This Row],[ADET]]*Tablo1456789101112131415[[#This Row],[SATIŞ]]</f>
        <v>3050</v>
      </c>
    </row>
    <row r="43" spans="2:10" ht="21" hidden="1" customHeight="1" x14ac:dyDescent="0.3">
      <c r="B43" s="2">
        <v>45345</v>
      </c>
      <c r="C43" s="6">
        <v>100</v>
      </c>
      <c r="D43" s="10">
        <v>30.7</v>
      </c>
      <c r="E43" s="10">
        <v>31</v>
      </c>
      <c r="F43" s="9">
        <f>IF(Tablo1456789101112131415[[#This Row],[SATIŞ]]=0,"Açık",(E43-D43)*C43)</f>
        <v>30.000000000000071</v>
      </c>
      <c r="G43" s="11">
        <f>Tablo1456789101112131415[[#This Row],[ADET]]*Tablo1456789101112131415[[#This Row],[ALIŞ]]</f>
        <v>3070</v>
      </c>
      <c r="H43" s="11">
        <f>Tablo1456789101112131415[[#This Row],[ADET]]*Tablo1456789101112131415[[#This Row],[SATIŞ]]</f>
        <v>3100</v>
      </c>
    </row>
    <row r="44" spans="2:10" ht="21" hidden="1" customHeight="1" x14ac:dyDescent="0.3">
      <c r="B44" s="2">
        <v>45345</v>
      </c>
      <c r="C44" s="6">
        <v>100</v>
      </c>
      <c r="D44" s="10">
        <v>30.5</v>
      </c>
      <c r="E44" s="10">
        <v>31</v>
      </c>
      <c r="F44" s="9">
        <f>IF(Tablo1456789101112131415[[#This Row],[SATIŞ]]=0,"Açık",(E44-D44)*C44)</f>
        <v>50</v>
      </c>
      <c r="G44" s="11">
        <f>Tablo1456789101112131415[[#This Row],[ADET]]*Tablo1456789101112131415[[#This Row],[ALIŞ]]</f>
        <v>3050</v>
      </c>
      <c r="H44" s="11">
        <f>Tablo1456789101112131415[[#This Row],[ADET]]*Tablo1456789101112131415[[#This Row],[SATIŞ]]</f>
        <v>3100</v>
      </c>
    </row>
    <row r="45" spans="2:10" ht="21" hidden="1" customHeight="1" x14ac:dyDescent="0.3">
      <c r="B45" s="2">
        <v>45348</v>
      </c>
      <c r="C45" s="6">
        <v>100</v>
      </c>
      <c r="D45" s="10">
        <v>29</v>
      </c>
      <c r="E45" s="10">
        <v>30</v>
      </c>
      <c r="F45" s="9">
        <f>IF(Tablo1456789101112131415[[#This Row],[SATIŞ]]=0,"Açık",(E45-D45)*C45)</f>
        <v>100</v>
      </c>
      <c r="G45" s="11">
        <f>Tablo1456789101112131415[[#This Row],[ADET]]*Tablo1456789101112131415[[#This Row],[ALIŞ]]</f>
        <v>2900</v>
      </c>
      <c r="H45" s="11">
        <f>Tablo1456789101112131415[[#This Row],[ADET]]*Tablo1456789101112131415[[#This Row],[SATIŞ]]</f>
        <v>3000</v>
      </c>
    </row>
    <row r="46" spans="2:10" ht="21" hidden="1" customHeight="1" x14ac:dyDescent="0.3">
      <c r="B46" s="2">
        <v>45348</v>
      </c>
      <c r="C46" s="6">
        <v>100</v>
      </c>
      <c r="D46" s="10">
        <v>28.5</v>
      </c>
      <c r="E46" s="10">
        <v>32</v>
      </c>
      <c r="F46" s="9">
        <f>IF(Tablo1456789101112131415[[#This Row],[SATIŞ]]=0,"Açık",(E46-D46)*C46)</f>
        <v>350</v>
      </c>
      <c r="G46" s="11">
        <f>Tablo1456789101112131415[[#This Row],[ADET]]*Tablo1456789101112131415[[#This Row],[ALIŞ]]</f>
        <v>2850</v>
      </c>
      <c r="H46" s="11">
        <f>Tablo1456789101112131415[[#This Row],[ADET]]*Tablo1456789101112131415[[#This Row],[SATIŞ]]</f>
        <v>3200</v>
      </c>
    </row>
    <row r="47" spans="2:10" ht="21" hidden="1" customHeight="1" x14ac:dyDescent="0.3">
      <c r="B47" s="2">
        <v>45348</v>
      </c>
      <c r="C47" s="6">
        <v>100</v>
      </c>
      <c r="D47" s="10">
        <v>30</v>
      </c>
      <c r="E47" s="10">
        <v>33</v>
      </c>
      <c r="F47" s="9">
        <f>IF(Tablo1456789101112131415[[#This Row],[SATIŞ]]=0,"Açık",(E47-D47)*C47)</f>
        <v>300</v>
      </c>
      <c r="G47" s="11">
        <f>Tablo1456789101112131415[[#This Row],[ADET]]*Tablo1456789101112131415[[#This Row],[ALIŞ]]</f>
        <v>3000</v>
      </c>
      <c r="H47" s="11">
        <f>Tablo1456789101112131415[[#This Row],[ADET]]*Tablo1456789101112131415[[#This Row],[SATIŞ]]</f>
        <v>3300</v>
      </c>
    </row>
    <row r="48" spans="2:10" ht="21" customHeight="1" x14ac:dyDescent="0.3">
      <c r="B48" s="2">
        <v>45352</v>
      </c>
      <c r="C48" s="6">
        <v>50</v>
      </c>
      <c r="D48" s="10">
        <v>32</v>
      </c>
      <c r="E48" s="10"/>
      <c r="F48" s="9" t="str">
        <f>IF(Tablo1456789101112131415[[#This Row],[SATIŞ]]=0,"Açık",(E48-D48)*C48)</f>
        <v>Açık</v>
      </c>
      <c r="G48" s="11">
        <f>Tablo1456789101112131415[[#This Row],[ADET]]*Tablo1456789101112131415[[#This Row],[ALIŞ]]</f>
        <v>1600</v>
      </c>
      <c r="H48" s="11">
        <f>Tablo1456789101112131415[[#This Row],[ADET]]*Tablo1456789101112131415[[#This Row],[SATIŞ]]</f>
        <v>0</v>
      </c>
      <c r="J48" s="40">
        <f t="shared" ref="J48:J86" si="0">IF(E48=0,D48*1.05,"")</f>
        <v>33.6</v>
      </c>
    </row>
    <row r="49" spans="2:10" ht="21" customHeight="1" x14ac:dyDescent="0.3">
      <c r="B49" s="2">
        <v>45352</v>
      </c>
      <c r="C49" s="6">
        <v>50</v>
      </c>
      <c r="D49" s="10">
        <v>31</v>
      </c>
      <c r="E49" s="10"/>
      <c r="F49" s="9" t="str">
        <f>IF(Tablo1456789101112131415[[#This Row],[SATIŞ]]=0,"Açık",(E49-D49)*C49)</f>
        <v>Açık</v>
      </c>
      <c r="G49" s="11">
        <f>Tablo1456789101112131415[[#This Row],[ADET]]*Tablo1456789101112131415[[#This Row],[ALIŞ]]</f>
        <v>1550</v>
      </c>
      <c r="H49" s="11">
        <f>Tablo1456789101112131415[[#This Row],[ADET]]*Tablo1456789101112131415[[#This Row],[SATIŞ]]</f>
        <v>0</v>
      </c>
      <c r="J49" s="40">
        <f t="shared" si="0"/>
        <v>32.550000000000004</v>
      </c>
    </row>
    <row r="50" spans="2:10" ht="21" hidden="1" customHeight="1" x14ac:dyDescent="0.3">
      <c r="B50" s="2">
        <v>45355</v>
      </c>
      <c r="C50" s="6">
        <v>50</v>
      </c>
      <c r="D50" s="10">
        <v>29.88</v>
      </c>
      <c r="E50" s="10">
        <v>30.5</v>
      </c>
      <c r="F50" s="9">
        <f>IF(Tablo1456789101112131415[[#This Row],[SATIŞ]]=0,"Açık",(E50-D50)*C50)</f>
        <v>31.00000000000005</v>
      </c>
      <c r="G50" s="11">
        <f>Tablo1456789101112131415[[#This Row],[ADET]]*Tablo1456789101112131415[[#This Row],[ALIŞ]]</f>
        <v>1494</v>
      </c>
      <c r="H50" s="11">
        <f>Tablo1456789101112131415[[#This Row],[ADET]]*Tablo1456789101112131415[[#This Row],[SATIŞ]]</f>
        <v>1525</v>
      </c>
      <c r="J50" s="40" t="str">
        <f t="shared" si="0"/>
        <v/>
      </c>
    </row>
    <row r="51" spans="2:10" ht="21" hidden="1" customHeight="1" x14ac:dyDescent="0.3">
      <c r="B51" s="2">
        <v>45356</v>
      </c>
      <c r="C51" s="6">
        <v>50</v>
      </c>
      <c r="D51" s="10">
        <v>28</v>
      </c>
      <c r="E51" s="10">
        <v>29</v>
      </c>
      <c r="F51" s="9">
        <f>IF(Tablo1456789101112131415[[#This Row],[SATIŞ]]=0,"Açık",(E51-D51)*C51)</f>
        <v>50</v>
      </c>
      <c r="G51" s="11">
        <f>Tablo1456789101112131415[[#This Row],[ADET]]*Tablo1456789101112131415[[#This Row],[ALIŞ]]</f>
        <v>1400</v>
      </c>
      <c r="H51" s="11">
        <f>Tablo1456789101112131415[[#This Row],[ADET]]*Tablo1456789101112131415[[#This Row],[SATIŞ]]</f>
        <v>1450</v>
      </c>
      <c r="J51" s="40" t="str">
        <f t="shared" si="0"/>
        <v/>
      </c>
    </row>
    <row r="52" spans="2:10" ht="21" hidden="1" customHeight="1" x14ac:dyDescent="0.3">
      <c r="B52" s="2">
        <v>45356</v>
      </c>
      <c r="C52" s="6">
        <v>50</v>
      </c>
      <c r="D52" s="10">
        <v>28</v>
      </c>
      <c r="E52" s="10">
        <v>29</v>
      </c>
      <c r="F52" s="9">
        <f>IF(Tablo1456789101112131415[[#This Row],[SATIŞ]]=0,"Açık",(E52-D52)*C52)</f>
        <v>50</v>
      </c>
      <c r="G52" s="11">
        <f>Tablo1456789101112131415[[#This Row],[ADET]]*Tablo1456789101112131415[[#This Row],[ALIŞ]]</f>
        <v>1400</v>
      </c>
      <c r="H52" s="11">
        <f>Tablo1456789101112131415[[#This Row],[ADET]]*Tablo1456789101112131415[[#This Row],[SATIŞ]]</f>
        <v>1450</v>
      </c>
      <c r="J52" s="40" t="str">
        <f t="shared" si="0"/>
        <v/>
      </c>
    </row>
    <row r="53" spans="2:10" ht="21" hidden="1" customHeight="1" x14ac:dyDescent="0.3">
      <c r="B53" s="2">
        <v>45359</v>
      </c>
      <c r="C53" s="6">
        <v>50</v>
      </c>
      <c r="D53" s="10">
        <v>28.5</v>
      </c>
      <c r="E53" s="10">
        <v>29.5</v>
      </c>
      <c r="F53" s="9">
        <f>IF(Tablo1456789101112131415[[#This Row],[SATIŞ]]=0,"Açık",(E53-D53)*C53)</f>
        <v>50</v>
      </c>
      <c r="G53" s="11">
        <f>Tablo1456789101112131415[[#This Row],[ADET]]*Tablo1456789101112131415[[#This Row],[ALIŞ]]</f>
        <v>1425</v>
      </c>
      <c r="H53" s="11">
        <f>Tablo1456789101112131415[[#This Row],[ADET]]*Tablo1456789101112131415[[#This Row],[SATIŞ]]</f>
        <v>1475</v>
      </c>
      <c r="J53" s="40" t="str">
        <f t="shared" si="0"/>
        <v/>
      </c>
    </row>
    <row r="54" spans="2:10" ht="21" hidden="1" customHeight="1" x14ac:dyDescent="0.3">
      <c r="B54" s="2">
        <v>45359</v>
      </c>
      <c r="C54" s="6">
        <v>50</v>
      </c>
      <c r="D54" s="10">
        <v>28</v>
      </c>
      <c r="E54" s="10">
        <v>29</v>
      </c>
      <c r="F54" s="9">
        <f>IF(Tablo1456789101112131415[[#This Row],[SATIŞ]]=0,"Açık",(E54-D54)*C54)</f>
        <v>50</v>
      </c>
      <c r="G54" s="11">
        <f>Tablo1456789101112131415[[#This Row],[ADET]]*Tablo1456789101112131415[[#This Row],[ALIŞ]]</f>
        <v>1400</v>
      </c>
      <c r="H54" s="11">
        <f>Tablo1456789101112131415[[#This Row],[ADET]]*Tablo1456789101112131415[[#This Row],[SATIŞ]]</f>
        <v>1450</v>
      </c>
      <c r="J54" s="40" t="str">
        <f t="shared" si="0"/>
        <v/>
      </c>
    </row>
    <row r="55" spans="2:10" ht="21" hidden="1" customHeight="1" x14ac:dyDescent="0.3">
      <c r="B55" s="2">
        <v>45363</v>
      </c>
      <c r="C55" s="6">
        <v>200</v>
      </c>
      <c r="D55" s="10">
        <v>28</v>
      </c>
      <c r="E55" s="10">
        <v>30.86</v>
      </c>
      <c r="F55" s="9">
        <f>IF(Tablo1456789101112131415[[#This Row],[SATIŞ]]=0,"Açık",(E55-D55)*C55)</f>
        <v>571.99999999999989</v>
      </c>
      <c r="G55" s="11">
        <f>Tablo1456789101112131415[[#This Row],[ADET]]*Tablo1456789101112131415[[#This Row],[ALIŞ]]</f>
        <v>5600</v>
      </c>
      <c r="H55" s="11">
        <f>Tablo1456789101112131415[[#This Row],[ADET]]*Tablo1456789101112131415[[#This Row],[SATIŞ]]</f>
        <v>6172</v>
      </c>
      <c r="J55" s="40" t="str">
        <f t="shared" si="0"/>
        <v/>
      </c>
    </row>
    <row r="56" spans="2:10" ht="21" customHeight="1" x14ac:dyDescent="0.3">
      <c r="B56" s="2">
        <v>45364</v>
      </c>
      <c r="C56" s="6">
        <v>50</v>
      </c>
      <c r="D56" s="10">
        <v>29.5</v>
      </c>
      <c r="E56" s="10"/>
      <c r="F56" s="9" t="str">
        <f>IF(Tablo1456789101112131415[[#This Row],[SATIŞ]]=0,"Açık",(E56-D56)*C56)</f>
        <v>Açık</v>
      </c>
      <c r="G56" s="11">
        <f>Tablo1456789101112131415[[#This Row],[ADET]]*Tablo1456789101112131415[[#This Row],[ALIŞ]]</f>
        <v>1475</v>
      </c>
      <c r="H56" s="11">
        <f>Tablo1456789101112131415[[#This Row],[ADET]]*Tablo1456789101112131415[[#This Row],[SATIŞ]]</f>
        <v>0</v>
      </c>
      <c r="J56" s="40">
        <f t="shared" si="0"/>
        <v>30.975000000000001</v>
      </c>
    </row>
    <row r="57" spans="2:10" ht="21" customHeight="1" x14ac:dyDescent="0.3">
      <c r="B57" s="2">
        <v>45365</v>
      </c>
      <c r="C57" s="6">
        <v>100</v>
      </c>
      <c r="D57" s="10">
        <v>29</v>
      </c>
      <c r="E57" s="10"/>
      <c r="F57" s="9" t="str">
        <f>IF(Tablo1456789101112131415[[#This Row],[SATIŞ]]=0,"Açık",(E57-D57)*C57)</f>
        <v>Açık</v>
      </c>
      <c r="G57" s="11">
        <f>Tablo1456789101112131415[[#This Row],[ADET]]*Tablo1456789101112131415[[#This Row],[ALIŞ]]</f>
        <v>2900</v>
      </c>
      <c r="H57" s="11">
        <f>Tablo1456789101112131415[[#This Row],[ADET]]*Tablo1456789101112131415[[#This Row],[SATIŞ]]</f>
        <v>0</v>
      </c>
      <c r="J57" s="40">
        <f t="shared" si="0"/>
        <v>30.450000000000003</v>
      </c>
    </row>
    <row r="58" spans="2:10" ht="21" customHeight="1" x14ac:dyDescent="0.3">
      <c r="B58" s="2">
        <v>45365</v>
      </c>
      <c r="C58" s="6">
        <v>50</v>
      </c>
      <c r="D58" s="10">
        <v>28</v>
      </c>
      <c r="E58" s="10"/>
      <c r="F58" s="9" t="str">
        <f>IF(Tablo1456789101112131415[[#This Row],[SATIŞ]]=0,"Açık",(E58-D58)*C58)</f>
        <v>Açık</v>
      </c>
      <c r="G58" s="11">
        <f>Tablo1456789101112131415[[#This Row],[ADET]]*Tablo1456789101112131415[[#This Row],[ALIŞ]]</f>
        <v>1400</v>
      </c>
      <c r="H58" s="11">
        <f>Tablo1456789101112131415[[#This Row],[ADET]]*Tablo1456789101112131415[[#This Row],[SATIŞ]]</f>
        <v>0</v>
      </c>
      <c r="J58" s="40">
        <f t="shared" si="0"/>
        <v>29.400000000000002</v>
      </c>
    </row>
    <row r="59" spans="2:10" ht="21" hidden="1" customHeight="1" x14ac:dyDescent="0.3">
      <c r="B59" s="2">
        <v>45365</v>
      </c>
      <c r="C59" s="6">
        <v>50</v>
      </c>
      <c r="D59" s="10">
        <v>28</v>
      </c>
      <c r="E59" s="10">
        <v>29</v>
      </c>
      <c r="F59" s="9">
        <f>IF(Tablo1456789101112131415[[#This Row],[SATIŞ]]=0,"Açık",(E59-D59)*C59)</f>
        <v>50</v>
      </c>
      <c r="G59" s="11">
        <f>Tablo1456789101112131415[[#This Row],[ADET]]*Tablo1456789101112131415[[#This Row],[ALIŞ]]</f>
        <v>1400</v>
      </c>
      <c r="H59" s="11">
        <f>Tablo1456789101112131415[[#This Row],[ADET]]*Tablo1456789101112131415[[#This Row],[SATIŞ]]</f>
        <v>1450</v>
      </c>
      <c r="J59" s="40" t="str">
        <f t="shared" si="0"/>
        <v/>
      </c>
    </row>
    <row r="60" spans="2:10" ht="21" hidden="1" customHeight="1" x14ac:dyDescent="0.3">
      <c r="B60" s="2">
        <v>45365</v>
      </c>
      <c r="C60" s="6">
        <v>50</v>
      </c>
      <c r="D60" s="10">
        <v>28</v>
      </c>
      <c r="E60" s="10">
        <v>28.5</v>
      </c>
      <c r="F60" s="9">
        <f>IF(Tablo1456789101112131415[[#This Row],[SATIŞ]]=0,"Açık",(E60-D60)*C60)</f>
        <v>25</v>
      </c>
      <c r="G60" s="11">
        <f>Tablo1456789101112131415[[#This Row],[ADET]]*Tablo1456789101112131415[[#This Row],[ALIŞ]]</f>
        <v>1400</v>
      </c>
      <c r="H60" s="11">
        <f>Tablo1456789101112131415[[#This Row],[ADET]]*Tablo1456789101112131415[[#This Row],[SATIŞ]]</f>
        <v>1425</v>
      </c>
      <c r="J60" s="40" t="str">
        <f t="shared" si="0"/>
        <v/>
      </c>
    </row>
    <row r="61" spans="2:10" ht="21" hidden="1" customHeight="1" x14ac:dyDescent="0.3">
      <c r="B61" s="2">
        <v>45365</v>
      </c>
      <c r="C61" s="6">
        <v>50</v>
      </c>
      <c r="D61" s="10">
        <v>28</v>
      </c>
      <c r="E61" s="10">
        <v>28.5</v>
      </c>
      <c r="F61" s="9">
        <f>IF(Tablo1456789101112131415[[#This Row],[SATIŞ]]=0,"Açık",(E61-D61)*C61)</f>
        <v>25</v>
      </c>
      <c r="G61" s="11">
        <f>Tablo1456789101112131415[[#This Row],[ADET]]*Tablo1456789101112131415[[#This Row],[ALIŞ]]</f>
        <v>1400</v>
      </c>
      <c r="H61" s="11">
        <f>Tablo1456789101112131415[[#This Row],[ADET]]*Tablo1456789101112131415[[#This Row],[SATIŞ]]</f>
        <v>1425</v>
      </c>
      <c r="J61" s="40" t="str">
        <f t="shared" si="0"/>
        <v/>
      </c>
    </row>
    <row r="62" spans="2:10" ht="21" hidden="1" customHeight="1" x14ac:dyDescent="0.3">
      <c r="B62" s="2">
        <v>45365</v>
      </c>
      <c r="C62" s="6">
        <v>50</v>
      </c>
      <c r="D62" s="10">
        <v>27.9</v>
      </c>
      <c r="E62" s="10">
        <v>29</v>
      </c>
      <c r="F62" s="9">
        <f>IF(Tablo1456789101112131415[[#This Row],[SATIŞ]]=0,"Açık",(E62-D62)*C62)</f>
        <v>55.000000000000071</v>
      </c>
      <c r="G62" s="11">
        <f>Tablo1456789101112131415[[#This Row],[ADET]]*Tablo1456789101112131415[[#This Row],[ALIŞ]]</f>
        <v>1395</v>
      </c>
      <c r="H62" s="11">
        <f>Tablo1456789101112131415[[#This Row],[ADET]]*Tablo1456789101112131415[[#This Row],[SATIŞ]]</f>
        <v>1450</v>
      </c>
      <c r="J62" s="40" t="str">
        <f t="shared" si="0"/>
        <v/>
      </c>
    </row>
    <row r="63" spans="2:10" ht="21" customHeight="1" x14ac:dyDescent="0.3">
      <c r="B63" s="2">
        <v>45365</v>
      </c>
      <c r="C63" s="6">
        <v>50</v>
      </c>
      <c r="D63" s="10">
        <v>27.8</v>
      </c>
      <c r="E63" s="10"/>
      <c r="F63" s="9" t="str">
        <f>IF(Tablo1456789101112131415[[#This Row],[SATIŞ]]=0,"Açık",(E63-D63)*C63)</f>
        <v>Açık</v>
      </c>
      <c r="G63" s="11">
        <f>Tablo1456789101112131415[[#This Row],[ADET]]*Tablo1456789101112131415[[#This Row],[ALIŞ]]</f>
        <v>1390</v>
      </c>
      <c r="H63" s="11">
        <f>Tablo1456789101112131415[[#This Row],[ADET]]*Tablo1456789101112131415[[#This Row],[SATIŞ]]</f>
        <v>0</v>
      </c>
      <c r="J63" s="40">
        <f t="shared" si="0"/>
        <v>29.19</v>
      </c>
    </row>
    <row r="64" spans="2:10" ht="21" customHeight="1" x14ac:dyDescent="0.3">
      <c r="B64" s="2">
        <v>45369</v>
      </c>
      <c r="C64" s="6">
        <v>50</v>
      </c>
      <c r="D64" s="10">
        <v>25.9</v>
      </c>
      <c r="E64" s="10"/>
      <c r="F64" s="9" t="str">
        <f>IF(Tablo1456789101112131415[[#This Row],[SATIŞ]]=0,"Açık",(E64-D64)*C64)</f>
        <v>Açık</v>
      </c>
      <c r="G64" s="11">
        <f>Tablo1456789101112131415[[#This Row],[ADET]]*Tablo1456789101112131415[[#This Row],[ALIŞ]]</f>
        <v>1295</v>
      </c>
      <c r="H64" s="11">
        <f>Tablo1456789101112131415[[#This Row],[ADET]]*Tablo1456789101112131415[[#This Row],[SATIŞ]]</f>
        <v>0</v>
      </c>
      <c r="J64" s="40">
        <f t="shared" si="0"/>
        <v>27.195</v>
      </c>
    </row>
    <row r="65" spans="2:10" ht="21" hidden="1" customHeight="1" x14ac:dyDescent="0.3">
      <c r="B65" s="2">
        <v>45369</v>
      </c>
      <c r="C65" s="6">
        <v>50</v>
      </c>
      <c r="D65" s="10">
        <v>25.9</v>
      </c>
      <c r="E65" s="10">
        <v>27.86</v>
      </c>
      <c r="F65" s="9">
        <f>IF(Tablo1456789101112131415[[#This Row],[SATIŞ]]=0,"Açık",(E65-D65)*C65)</f>
        <v>98.000000000000043</v>
      </c>
      <c r="G65" s="11">
        <f>Tablo1456789101112131415[[#This Row],[ADET]]*Tablo1456789101112131415[[#This Row],[ALIŞ]]</f>
        <v>1295</v>
      </c>
      <c r="H65" s="11">
        <f>Tablo1456789101112131415[[#This Row],[ADET]]*Tablo1456789101112131415[[#This Row],[SATIŞ]]</f>
        <v>1393</v>
      </c>
      <c r="J65" s="40" t="str">
        <f t="shared" si="0"/>
        <v/>
      </c>
    </row>
    <row r="66" spans="2:10" ht="21" hidden="1" customHeight="1" x14ac:dyDescent="0.3">
      <c r="B66" s="2">
        <v>45369</v>
      </c>
      <c r="C66" s="6">
        <v>50</v>
      </c>
      <c r="D66" s="10">
        <v>25.8</v>
      </c>
      <c r="E66" s="10">
        <v>27.86</v>
      </c>
      <c r="F66" s="9">
        <f>IF(Tablo1456789101112131415[[#This Row],[SATIŞ]]=0,"Açık",(E66-D66)*C66)</f>
        <v>102.99999999999994</v>
      </c>
      <c r="G66" s="11">
        <f>Tablo1456789101112131415[[#This Row],[ADET]]*Tablo1456789101112131415[[#This Row],[ALIŞ]]</f>
        <v>1290</v>
      </c>
      <c r="H66" s="11">
        <f>Tablo1456789101112131415[[#This Row],[ADET]]*Tablo1456789101112131415[[#This Row],[SATIŞ]]</f>
        <v>1393</v>
      </c>
      <c r="J66" s="40" t="str">
        <f t="shared" si="0"/>
        <v/>
      </c>
    </row>
    <row r="67" spans="2:10" ht="21" hidden="1" customHeight="1" x14ac:dyDescent="0.3">
      <c r="B67" s="2">
        <v>45369</v>
      </c>
      <c r="C67" s="6">
        <v>50</v>
      </c>
      <c r="D67" s="10">
        <v>25.8</v>
      </c>
      <c r="E67" s="10">
        <v>27.86</v>
      </c>
      <c r="F67" s="9">
        <f>IF(Tablo1456789101112131415[[#This Row],[SATIŞ]]=0,"Açık",(E67-D67)*C67)</f>
        <v>102.99999999999994</v>
      </c>
      <c r="G67" s="11">
        <f>Tablo1456789101112131415[[#This Row],[ADET]]*Tablo1456789101112131415[[#This Row],[ALIŞ]]</f>
        <v>1290</v>
      </c>
      <c r="H67" s="11">
        <f>Tablo1456789101112131415[[#This Row],[ADET]]*Tablo1456789101112131415[[#This Row],[SATIŞ]]</f>
        <v>1393</v>
      </c>
      <c r="J67" s="40" t="str">
        <f t="shared" si="0"/>
        <v/>
      </c>
    </row>
    <row r="68" spans="2:10" ht="21" hidden="1" customHeight="1" x14ac:dyDescent="0.3">
      <c r="B68" s="2">
        <v>45369</v>
      </c>
      <c r="C68" s="6">
        <v>100</v>
      </c>
      <c r="D68" s="10">
        <v>25.7</v>
      </c>
      <c r="E68" s="10">
        <v>27.86</v>
      </c>
      <c r="F68" s="9">
        <f>IF(Tablo1456789101112131415[[#This Row],[SATIŞ]]=0,"Açık",(E68-D68)*C68)</f>
        <v>216</v>
      </c>
      <c r="G68" s="11">
        <f>Tablo1456789101112131415[[#This Row],[ADET]]*Tablo1456789101112131415[[#This Row],[ALIŞ]]</f>
        <v>2570</v>
      </c>
      <c r="H68" s="11">
        <f>Tablo1456789101112131415[[#This Row],[ADET]]*Tablo1456789101112131415[[#This Row],[SATIŞ]]</f>
        <v>2786</v>
      </c>
      <c r="J68" s="40" t="str">
        <f t="shared" si="0"/>
        <v/>
      </c>
    </row>
    <row r="69" spans="2:10" ht="21" hidden="1" customHeight="1" x14ac:dyDescent="0.3">
      <c r="B69" s="2">
        <v>45369</v>
      </c>
      <c r="C69" s="6">
        <v>100</v>
      </c>
      <c r="D69" s="10">
        <v>25.5</v>
      </c>
      <c r="E69" s="10">
        <v>27</v>
      </c>
      <c r="F69" s="9">
        <f>IF(Tablo1456789101112131415[[#This Row],[SATIŞ]]=0,"Açık",(E69-D69)*C69)</f>
        <v>150</v>
      </c>
      <c r="G69" s="11">
        <f>Tablo1456789101112131415[[#This Row],[ADET]]*Tablo1456789101112131415[[#This Row],[ALIŞ]]</f>
        <v>2550</v>
      </c>
      <c r="H69" s="11">
        <f>Tablo1456789101112131415[[#This Row],[ADET]]*Tablo1456789101112131415[[#This Row],[SATIŞ]]</f>
        <v>2700</v>
      </c>
      <c r="J69" s="40" t="str">
        <f t="shared" si="0"/>
        <v/>
      </c>
    </row>
    <row r="70" spans="2:10" ht="21" hidden="1" customHeight="1" x14ac:dyDescent="0.3">
      <c r="B70" s="2">
        <v>45369</v>
      </c>
      <c r="C70" s="6">
        <v>100</v>
      </c>
      <c r="D70" s="10">
        <v>25.3</v>
      </c>
      <c r="E70" s="10">
        <v>26</v>
      </c>
      <c r="F70" s="9">
        <f>IF(Tablo1456789101112131415[[#This Row],[SATIŞ]]=0,"Açık",(E70-D70)*C70)</f>
        <v>69.999999999999929</v>
      </c>
      <c r="G70" s="11">
        <f>Tablo1456789101112131415[[#This Row],[ADET]]*Tablo1456789101112131415[[#This Row],[ALIŞ]]</f>
        <v>2530</v>
      </c>
      <c r="H70" s="11">
        <f>Tablo1456789101112131415[[#This Row],[ADET]]*Tablo1456789101112131415[[#This Row],[SATIŞ]]</f>
        <v>2600</v>
      </c>
      <c r="J70" s="40" t="str">
        <f t="shared" si="0"/>
        <v/>
      </c>
    </row>
    <row r="71" spans="2:10" ht="21" hidden="1" customHeight="1" x14ac:dyDescent="0.3">
      <c r="B71" s="2">
        <v>45369</v>
      </c>
      <c r="C71" s="6">
        <v>100</v>
      </c>
      <c r="D71" s="10">
        <v>25.3</v>
      </c>
      <c r="E71" s="10">
        <v>26.2</v>
      </c>
      <c r="F71" s="9">
        <f>IF(Tablo1456789101112131415[[#This Row],[SATIŞ]]=0,"Açık",(E71-D71)*C71)</f>
        <v>89.999999999999858</v>
      </c>
      <c r="G71" s="11">
        <f>Tablo1456789101112131415[[#This Row],[ADET]]*Tablo1456789101112131415[[#This Row],[ALIŞ]]</f>
        <v>2530</v>
      </c>
      <c r="H71" s="11">
        <f>Tablo1456789101112131415[[#This Row],[ADET]]*Tablo1456789101112131415[[#This Row],[SATIŞ]]</f>
        <v>2620</v>
      </c>
      <c r="J71" s="40" t="str">
        <f t="shared" si="0"/>
        <v/>
      </c>
    </row>
    <row r="72" spans="2:10" ht="21" hidden="1" customHeight="1" x14ac:dyDescent="0.3">
      <c r="B72" s="2">
        <v>45369</v>
      </c>
      <c r="C72" s="6">
        <v>100</v>
      </c>
      <c r="D72" s="10">
        <v>25.3</v>
      </c>
      <c r="E72" s="10">
        <v>26.4</v>
      </c>
      <c r="F72" s="9">
        <f>IF(Tablo1456789101112131415[[#This Row],[SATIŞ]]=0,"Açık",(E72-D72)*C72)</f>
        <v>109.99999999999979</v>
      </c>
      <c r="G72" s="11">
        <f>Tablo1456789101112131415[[#This Row],[ADET]]*Tablo1456789101112131415[[#This Row],[ALIŞ]]</f>
        <v>2530</v>
      </c>
      <c r="H72" s="11">
        <f>Tablo1456789101112131415[[#This Row],[ADET]]*Tablo1456789101112131415[[#This Row],[SATIŞ]]</f>
        <v>2640</v>
      </c>
      <c r="J72" s="40" t="str">
        <f t="shared" si="0"/>
        <v/>
      </c>
    </row>
    <row r="73" spans="2:10" ht="21" hidden="1" customHeight="1" x14ac:dyDescent="0.3">
      <c r="B73" s="2">
        <v>45369</v>
      </c>
      <c r="C73" s="6">
        <v>100</v>
      </c>
      <c r="D73" s="10">
        <v>25.3</v>
      </c>
      <c r="E73" s="10">
        <v>26</v>
      </c>
      <c r="F73" s="9">
        <f>IF(Tablo1456789101112131415[[#This Row],[SATIŞ]]=0,"Açık",(E73-D73)*C73)</f>
        <v>69.999999999999929</v>
      </c>
      <c r="G73" s="11">
        <f>Tablo1456789101112131415[[#This Row],[ADET]]*Tablo1456789101112131415[[#This Row],[ALIŞ]]</f>
        <v>2530</v>
      </c>
      <c r="H73" s="11">
        <f>Tablo1456789101112131415[[#This Row],[ADET]]*Tablo1456789101112131415[[#This Row],[SATIŞ]]</f>
        <v>2600</v>
      </c>
      <c r="J73" s="40" t="str">
        <f t="shared" si="0"/>
        <v/>
      </c>
    </row>
    <row r="74" spans="2:10" ht="21" hidden="1" customHeight="1" x14ac:dyDescent="0.3">
      <c r="B74" s="2">
        <v>45370</v>
      </c>
      <c r="C74" s="6">
        <v>100</v>
      </c>
      <c r="D74" s="10">
        <v>26</v>
      </c>
      <c r="E74" s="10">
        <v>26.2</v>
      </c>
      <c r="F74" s="9">
        <f>IF(Tablo1456789101112131415[[#This Row],[SATIŞ]]=0,"Açık",(E74-D74)*C74)</f>
        <v>19.999999999999929</v>
      </c>
      <c r="G74" s="11">
        <f>Tablo1456789101112131415[[#This Row],[ADET]]*Tablo1456789101112131415[[#This Row],[ALIŞ]]</f>
        <v>2600</v>
      </c>
      <c r="H74" s="11">
        <f>Tablo1456789101112131415[[#This Row],[ADET]]*Tablo1456789101112131415[[#This Row],[SATIŞ]]</f>
        <v>2620</v>
      </c>
      <c r="J74" s="40" t="str">
        <f t="shared" si="0"/>
        <v/>
      </c>
    </row>
    <row r="75" spans="2:10" ht="21" hidden="1" customHeight="1" x14ac:dyDescent="0.3">
      <c r="B75" s="2">
        <v>45370</v>
      </c>
      <c r="C75" s="6">
        <v>100</v>
      </c>
      <c r="D75" s="10">
        <v>25.8</v>
      </c>
      <c r="E75" s="10">
        <v>26.4</v>
      </c>
      <c r="F75" s="9">
        <f>IF(Tablo1456789101112131415[[#This Row],[SATIŞ]]=0,"Açık",(E75-D75)*C75)</f>
        <v>59.999999999999787</v>
      </c>
      <c r="G75" s="11">
        <f>Tablo1456789101112131415[[#This Row],[ADET]]*Tablo1456789101112131415[[#This Row],[ALIŞ]]</f>
        <v>2580</v>
      </c>
      <c r="H75" s="11">
        <f>Tablo1456789101112131415[[#This Row],[ADET]]*Tablo1456789101112131415[[#This Row],[SATIŞ]]</f>
        <v>2640</v>
      </c>
      <c r="J75" s="40" t="str">
        <f t="shared" si="0"/>
        <v/>
      </c>
    </row>
    <row r="76" spans="2:10" ht="21" hidden="1" customHeight="1" x14ac:dyDescent="0.3">
      <c r="B76" s="2">
        <v>45370</v>
      </c>
      <c r="C76" s="6">
        <v>100</v>
      </c>
      <c r="D76" s="10">
        <v>25.5</v>
      </c>
      <c r="E76" s="10">
        <v>26.6</v>
      </c>
      <c r="F76" s="9">
        <f>IF(Tablo1456789101112131415[[#This Row],[SATIŞ]]=0,"Açık",(E76-D76)*C76)</f>
        <v>110.00000000000014</v>
      </c>
      <c r="G76" s="11">
        <f>Tablo1456789101112131415[[#This Row],[ADET]]*Tablo1456789101112131415[[#This Row],[ALIŞ]]</f>
        <v>2550</v>
      </c>
      <c r="H76" s="11">
        <f>Tablo1456789101112131415[[#This Row],[ADET]]*Tablo1456789101112131415[[#This Row],[SATIŞ]]</f>
        <v>2660</v>
      </c>
      <c r="J76" s="40" t="str">
        <f t="shared" si="0"/>
        <v/>
      </c>
    </row>
    <row r="77" spans="2:10" ht="21" hidden="1" customHeight="1" x14ac:dyDescent="0.3">
      <c r="B77" s="2">
        <v>45370</v>
      </c>
      <c r="C77" s="6">
        <v>100</v>
      </c>
      <c r="D77" s="10">
        <v>25.5</v>
      </c>
      <c r="E77" s="10">
        <v>26.8</v>
      </c>
      <c r="F77" s="9">
        <f>IF(Tablo1456789101112131415[[#This Row],[SATIŞ]]=0,"Açık",(E77-D77)*C77)</f>
        <v>130.00000000000006</v>
      </c>
      <c r="G77" s="11">
        <f>Tablo1456789101112131415[[#This Row],[ADET]]*Tablo1456789101112131415[[#This Row],[ALIŞ]]</f>
        <v>2550</v>
      </c>
      <c r="H77" s="11">
        <f>Tablo1456789101112131415[[#This Row],[ADET]]*Tablo1456789101112131415[[#This Row],[SATIŞ]]</f>
        <v>2680</v>
      </c>
      <c r="J77" s="40" t="str">
        <f t="shared" si="0"/>
        <v/>
      </c>
    </row>
    <row r="78" spans="2:10" ht="21" customHeight="1" x14ac:dyDescent="0.3">
      <c r="B78" s="2">
        <v>45371</v>
      </c>
      <c r="C78" s="6">
        <v>100</v>
      </c>
      <c r="D78" s="10">
        <v>28</v>
      </c>
      <c r="E78" s="10"/>
      <c r="F78" s="9" t="str">
        <f>IF(Tablo1456789101112131415[[#This Row],[SATIŞ]]=0,"Açık",(E78-D78)*C78)</f>
        <v>Açık</v>
      </c>
      <c r="G78" s="11">
        <f>Tablo1456789101112131415[[#This Row],[ADET]]*Tablo1456789101112131415[[#This Row],[ALIŞ]]</f>
        <v>2800</v>
      </c>
      <c r="H78" s="11">
        <f>Tablo1456789101112131415[[#This Row],[ADET]]*Tablo1456789101112131415[[#This Row],[SATIŞ]]</f>
        <v>0</v>
      </c>
      <c r="J78" s="40">
        <f t="shared" si="0"/>
        <v>29.400000000000002</v>
      </c>
    </row>
    <row r="79" spans="2:10" ht="21" customHeight="1" x14ac:dyDescent="0.3">
      <c r="B79" s="2">
        <v>45372</v>
      </c>
      <c r="C79" s="6">
        <v>100</v>
      </c>
      <c r="D79" s="10">
        <v>27</v>
      </c>
      <c r="E79" s="10"/>
      <c r="F79" s="9" t="str">
        <f>IF(Tablo1456789101112131415[[#This Row],[SATIŞ]]=0,"Açık",(E79-D79)*C79)</f>
        <v>Açık</v>
      </c>
      <c r="G79" s="11">
        <f>Tablo1456789101112131415[[#This Row],[ADET]]*Tablo1456789101112131415[[#This Row],[ALIŞ]]</f>
        <v>2700</v>
      </c>
      <c r="H79" s="11">
        <f>Tablo1456789101112131415[[#This Row],[ADET]]*Tablo1456789101112131415[[#This Row],[SATIŞ]]</f>
        <v>0</v>
      </c>
      <c r="J79" s="40">
        <f t="shared" si="0"/>
        <v>28.35</v>
      </c>
    </row>
    <row r="80" spans="2:10" ht="21" hidden="1" customHeight="1" x14ac:dyDescent="0.3">
      <c r="B80" s="2">
        <v>45372</v>
      </c>
      <c r="C80" s="6">
        <v>100</v>
      </c>
      <c r="D80" s="10">
        <v>26</v>
      </c>
      <c r="E80" s="10">
        <v>27</v>
      </c>
      <c r="F80" s="9">
        <f>IF(Tablo1456789101112131415[[#This Row],[SATIŞ]]=0,"Açık",(E80-D80)*C80)</f>
        <v>100</v>
      </c>
      <c r="G80" s="11">
        <f>Tablo1456789101112131415[[#This Row],[ADET]]*Tablo1456789101112131415[[#This Row],[ALIŞ]]</f>
        <v>2600</v>
      </c>
      <c r="H80" s="11">
        <f>Tablo1456789101112131415[[#This Row],[ADET]]*Tablo1456789101112131415[[#This Row],[SATIŞ]]</f>
        <v>2700</v>
      </c>
      <c r="J80" s="40" t="str">
        <f t="shared" si="0"/>
        <v/>
      </c>
    </row>
    <row r="81" spans="2:10" ht="21" hidden="1" customHeight="1" x14ac:dyDescent="0.3">
      <c r="B81" s="2">
        <v>45372</v>
      </c>
      <c r="C81" s="6">
        <v>100</v>
      </c>
      <c r="D81" s="10">
        <v>26</v>
      </c>
      <c r="E81" s="10">
        <v>26.5</v>
      </c>
      <c r="F81" s="9">
        <f>IF(Tablo1456789101112131415[[#This Row],[SATIŞ]]=0,"Açık",(E81-D81)*C81)</f>
        <v>50</v>
      </c>
      <c r="G81" s="11">
        <f>Tablo1456789101112131415[[#This Row],[ADET]]*Tablo1456789101112131415[[#This Row],[ALIŞ]]</f>
        <v>2600</v>
      </c>
      <c r="H81" s="11">
        <f>Tablo1456789101112131415[[#This Row],[ADET]]*Tablo1456789101112131415[[#This Row],[SATIŞ]]</f>
        <v>2650</v>
      </c>
      <c r="J81" s="40" t="str">
        <f t="shared" si="0"/>
        <v/>
      </c>
    </row>
    <row r="82" spans="2:10" ht="21" hidden="1" customHeight="1" x14ac:dyDescent="0.3">
      <c r="B82" s="2">
        <v>45372</v>
      </c>
      <c r="C82" s="6">
        <v>100</v>
      </c>
      <c r="D82" s="10">
        <v>25.7</v>
      </c>
      <c r="E82" s="10">
        <v>26.1</v>
      </c>
      <c r="F82" s="9">
        <f>IF(Tablo1456789101112131415[[#This Row],[SATIŞ]]=0,"Açık",(E82-D82)*C82)</f>
        <v>40.000000000000213</v>
      </c>
      <c r="G82" s="11">
        <f>Tablo1456789101112131415[[#This Row],[ADET]]*Tablo1456789101112131415[[#This Row],[ALIŞ]]</f>
        <v>2570</v>
      </c>
      <c r="H82" s="11">
        <f>Tablo1456789101112131415[[#This Row],[ADET]]*Tablo1456789101112131415[[#This Row],[SATIŞ]]</f>
        <v>2610</v>
      </c>
      <c r="J82" s="40" t="str">
        <f t="shared" si="0"/>
        <v/>
      </c>
    </row>
    <row r="83" spans="2:10" ht="21" customHeight="1" x14ac:dyDescent="0.3">
      <c r="B83" s="2">
        <v>45373</v>
      </c>
      <c r="C83" s="6">
        <v>100</v>
      </c>
      <c r="D83" s="10">
        <v>26</v>
      </c>
      <c r="E83" s="10"/>
      <c r="F83" s="9" t="str">
        <f>IF(Tablo1456789101112131415[[#This Row],[SATIŞ]]=0,"Açık",(E83-D83)*C83)</f>
        <v>Açık</v>
      </c>
      <c r="G83" s="11">
        <f>Tablo1456789101112131415[[#This Row],[ADET]]*Tablo1456789101112131415[[#This Row],[ALIŞ]]</f>
        <v>2600</v>
      </c>
      <c r="H83" s="11">
        <f>Tablo1456789101112131415[[#This Row],[ADET]]*Tablo1456789101112131415[[#This Row],[SATIŞ]]</f>
        <v>0</v>
      </c>
      <c r="J83" s="40">
        <f t="shared" si="0"/>
        <v>27.3</v>
      </c>
    </row>
    <row r="84" spans="2:10" ht="21" customHeight="1" x14ac:dyDescent="0.3">
      <c r="B84" s="2">
        <v>45376</v>
      </c>
      <c r="C84" s="6">
        <v>100</v>
      </c>
      <c r="D84" s="10">
        <v>25</v>
      </c>
      <c r="E84" s="10"/>
      <c r="F84" s="9" t="str">
        <f>IF(Tablo1456789101112131415[[#This Row],[SATIŞ]]=0,"Açık",(E84-D84)*C84)</f>
        <v>Açık</v>
      </c>
      <c r="G84" s="11">
        <f>Tablo1456789101112131415[[#This Row],[ADET]]*Tablo1456789101112131415[[#This Row],[ALIŞ]]</f>
        <v>2500</v>
      </c>
      <c r="H84" s="11">
        <f>Tablo1456789101112131415[[#This Row],[ADET]]*Tablo1456789101112131415[[#This Row],[SATIŞ]]</f>
        <v>0</v>
      </c>
      <c r="J84" s="40">
        <f t="shared" si="0"/>
        <v>26.25</v>
      </c>
    </row>
    <row r="85" spans="2:10" ht="21" customHeight="1" x14ac:dyDescent="0.3">
      <c r="B85" s="2">
        <v>45377</v>
      </c>
      <c r="C85" s="6">
        <v>50</v>
      </c>
      <c r="D85" s="10">
        <v>24.2</v>
      </c>
      <c r="E85" s="10"/>
      <c r="F85" s="9" t="str">
        <f>IF(Tablo1456789101112131415[[#This Row],[SATIŞ]]=0,"Açık",(E85-D85)*C85)</f>
        <v>Açık</v>
      </c>
      <c r="G85" s="11">
        <f>Tablo1456789101112131415[[#This Row],[ADET]]*Tablo1456789101112131415[[#This Row],[ALIŞ]]</f>
        <v>1210</v>
      </c>
      <c r="H85" s="11">
        <f>Tablo1456789101112131415[[#This Row],[ADET]]*Tablo1456789101112131415[[#This Row],[SATIŞ]]</f>
        <v>0</v>
      </c>
      <c r="J85" s="40">
        <f t="shared" si="0"/>
        <v>25.41</v>
      </c>
    </row>
    <row r="86" spans="2:10" ht="21" customHeight="1" x14ac:dyDescent="0.3">
      <c r="B86" s="2">
        <v>45377</v>
      </c>
      <c r="C86" s="6">
        <v>50</v>
      </c>
      <c r="D86" s="10">
        <v>24</v>
      </c>
      <c r="E86" s="10"/>
      <c r="F86" s="9" t="str">
        <f>IF(Tablo1456789101112131415[[#This Row],[SATIŞ]]=0,"Açık",(E86-D86)*C86)</f>
        <v>Açık</v>
      </c>
      <c r="G86" s="11">
        <f>Tablo1456789101112131415[[#This Row],[ADET]]*Tablo1456789101112131415[[#This Row],[ALIŞ]]</f>
        <v>1200</v>
      </c>
      <c r="H86" s="11">
        <f>Tablo1456789101112131415[[#This Row],[ADET]]*Tablo1456789101112131415[[#This Row],[SATIŞ]]</f>
        <v>0</v>
      </c>
      <c r="J86" s="40">
        <f t="shared" si="0"/>
        <v>25.200000000000003</v>
      </c>
    </row>
    <row r="87" spans="2:10" ht="21" hidden="1" customHeight="1" x14ac:dyDescent="0.3">
      <c r="B87" s="2">
        <v>45377</v>
      </c>
      <c r="C87" s="6">
        <v>50</v>
      </c>
      <c r="D87" s="10">
        <v>23.7</v>
      </c>
      <c r="E87" s="10">
        <v>25</v>
      </c>
      <c r="F87" s="9">
        <f>IF(Tablo1456789101112131415[[#This Row],[SATIŞ]]=0,"Açık",(E87-D87)*C87)</f>
        <v>65.000000000000028</v>
      </c>
      <c r="G87" s="11">
        <f>Tablo1456789101112131415[[#This Row],[ADET]]*Tablo1456789101112131415[[#This Row],[ALIŞ]]</f>
        <v>1185</v>
      </c>
      <c r="H87" s="11">
        <f>Tablo1456789101112131415[[#This Row],[ADET]]*Tablo1456789101112131415[[#This Row],[SATIŞ]]</f>
        <v>1250</v>
      </c>
    </row>
    <row r="88" spans="2:10" ht="21" hidden="1" customHeight="1" x14ac:dyDescent="0.3">
      <c r="B88" s="2">
        <v>45377</v>
      </c>
      <c r="C88" s="6">
        <v>50</v>
      </c>
      <c r="D88" s="10">
        <v>23.5</v>
      </c>
      <c r="E88" s="10">
        <v>24</v>
      </c>
      <c r="F88" s="9">
        <f>IF(Tablo1456789101112131415[[#This Row],[SATIŞ]]=0,"Açık",(E88-D88)*C88)</f>
        <v>25</v>
      </c>
      <c r="G88" s="11">
        <f>Tablo1456789101112131415[[#This Row],[ADET]]*Tablo1456789101112131415[[#This Row],[ALIŞ]]</f>
        <v>1175</v>
      </c>
      <c r="H88" s="11">
        <f>Tablo1456789101112131415[[#This Row],[ADET]]*Tablo1456789101112131415[[#This Row],[SATIŞ]]</f>
        <v>1200</v>
      </c>
    </row>
    <row r="89" spans="2:10" ht="21" hidden="1" customHeight="1" x14ac:dyDescent="0.3">
      <c r="B89" s="2">
        <v>45378</v>
      </c>
      <c r="C89" s="6">
        <v>50</v>
      </c>
      <c r="D89" s="10">
        <v>23.5</v>
      </c>
      <c r="E89" s="10">
        <v>25.02</v>
      </c>
      <c r="F89" s="9">
        <f>IF(Tablo1456789101112131415[[#This Row],[SATIŞ]]=0,"Açık",(E89-D89)*C89)</f>
        <v>75.999999999999972</v>
      </c>
      <c r="G89" s="11">
        <f>Tablo1456789101112131415[[#This Row],[ADET]]*Tablo1456789101112131415[[#This Row],[ALIŞ]]</f>
        <v>1175</v>
      </c>
      <c r="H89" s="11">
        <f>Tablo1456789101112131415[[#This Row],[ADET]]*Tablo1456789101112131415[[#This Row],[SATIŞ]]</f>
        <v>1251</v>
      </c>
    </row>
    <row r="90" spans="2:10" ht="21" hidden="1" customHeight="1" x14ac:dyDescent="0.3">
      <c r="B90" s="2">
        <v>45378</v>
      </c>
      <c r="C90" s="6">
        <v>50</v>
      </c>
      <c r="D90" s="10">
        <v>23.68</v>
      </c>
      <c r="E90" s="10">
        <v>25.02</v>
      </c>
      <c r="F90" s="9">
        <f>IF(Tablo1456789101112131415[[#This Row],[SATIŞ]]=0,"Açık",(E90-D90)*C90)</f>
        <v>67</v>
      </c>
      <c r="G90" s="11">
        <f>Tablo1456789101112131415[[#This Row],[ADET]]*Tablo1456789101112131415[[#This Row],[ALIŞ]]</f>
        <v>1184</v>
      </c>
      <c r="H90" s="11">
        <f>Tablo1456789101112131415[[#This Row],[ADET]]*Tablo1456789101112131415[[#This Row],[SATIŞ]]</f>
        <v>1251</v>
      </c>
    </row>
    <row r="91" spans="2:10" ht="21" hidden="1" customHeight="1" x14ac:dyDescent="0.3">
      <c r="B91" s="2">
        <v>45378</v>
      </c>
      <c r="C91" s="6">
        <v>50</v>
      </c>
      <c r="D91" s="10">
        <v>23.68</v>
      </c>
      <c r="E91" s="10">
        <v>24.08</v>
      </c>
      <c r="F91" s="9">
        <f>IF(Tablo1456789101112131415[[#This Row],[SATIŞ]]=0,"Açık",(E91-D91)*C91)</f>
        <v>19.999999999999929</v>
      </c>
      <c r="G91" s="11">
        <f>Tablo1456789101112131415[[#This Row],[ADET]]*Tablo1456789101112131415[[#This Row],[ALIŞ]]</f>
        <v>1184</v>
      </c>
      <c r="H91" s="11">
        <f>Tablo1456789101112131415[[#This Row],[ADET]]*Tablo1456789101112131415[[#This Row],[SATIŞ]]</f>
        <v>1204</v>
      </c>
    </row>
    <row r="92" spans="2:10" ht="21" hidden="1" customHeight="1" x14ac:dyDescent="0.3">
      <c r="B92" s="2">
        <v>45379</v>
      </c>
      <c r="C92" s="6">
        <v>50</v>
      </c>
      <c r="D92" s="10">
        <v>24</v>
      </c>
      <c r="E92" s="10">
        <v>25</v>
      </c>
      <c r="F92" s="9">
        <f>IF(Tablo1456789101112131415[[#This Row],[SATIŞ]]=0,"Açık",(E92-D92)*C92)</f>
        <v>50</v>
      </c>
      <c r="G92" s="11">
        <f>Tablo1456789101112131415[[#This Row],[ADET]]*Tablo1456789101112131415[[#This Row],[ALIŞ]]</f>
        <v>1200</v>
      </c>
      <c r="H92" s="11">
        <f>Tablo1456789101112131415[[#This Row],[ADET]]*Tablo1456789101112131415[[#This Row],[SATIŞ]]</f>
        <v>1250</v>
      </c>
    </row>
    <row r="93" spans="2:10" ht="21" hidden="1" customHeight="1" x14ac:dyDescent="0.3">
      <c r="B93" s="2">
        <v>45383</v>
      </c>
      <c r="C93" s="6">
        <v>50</v>
      </c>
      <c r="D93" s="10">
        <v>23</v>
      </c>
      <c r="E93" s="10">
        <v>23.32</v>
      </c>
      <c r="F93" s="9">
        <f>IF(Tablo1456789101112131415[[#This Row],[SATIŞ]]=0,"Açık",(E93-D93)*C93)</f>
        <v>16.000000000000014</v>
      </c>
      <c r="G93" s="11">
        <f>Tablo1456789101112131415[[#This Row],[ADET]]*Tablo1456789101112131415[[#This Row],[ALIŞ]]</f>
        <v>1150</v>
      </c>
      <c r="H93" s="11">
        <f>Tablo1456789101112131415[[#This Row],[ADET]]*Tablo1456789101112131415[[#This Row],[SATIŞ]]</f>
        <v>1166</v>
      </c>
    </row>
    <row r="94" spans="2:10" ht="21" hidden="1" customHeight="1" x14ac:dyDescent="0.3">
      <c r="B94" s="2">
        <v>45383</v>
      </c>
      <c r="C94" s="6">
        <v>50</v>
      </c>
      <c r="D94" s="10">
        <v>23</v>
      </c>
      <c r="E94" s="10">
        <v>23</v>
      </c>
      <c r="F94" s="9">
        <f>IF(Tablo1456789101112131415[[#This Row],[SATIŞ]]=0,"Açık",(E94-D94)*C94)</f>
        <v>0</v>
      </c>
      <c r="G94" s="11">
        <f>Tablo1456789101112131415[[#This Row],[ADET]]*Tablo1456789101112131415[[#This Row],[ALIŞ]]</f>
        <v>1150</v>
      </c>
      <c r="H94" s="11">
        <f>Tablo1456789101112131415[[#This Row],[ADET]]*Tablo1456789101112131415[[#This Row],[SATIŞ]]</f>
        <v>1150</v>
      </c>
    </row>
    <row r="95" spans="2:10" ht="21" hidden="1" customHeight="1" x14ac:dyDescent="0.3">
      <c r="B95" s="2">
        <v>45383</v>
      </c>
      <c r="C95" s="6">
        <v>50</v>
      </c>
      <c r="D95" s="10">
        <v>21.82</v>
      </c>
      <c r="E95" s="10">
        <v>22</v>
      </c>
      <c r="F95" s="9">
        <f>IF(Tablo1456789101112131415[[#This Row],[SATIŞ]]=0,"Açık",(E95-D95)*C95)</f>
        <v>8.9999999999999858</v>
      </c>
      <c r="G95" s="11">
        <f>Tablo1456789101112131415[[#This Row],[ADET]]*Tablo1456789101112131415[[#This Row],[ALIŞ]]</f>
        <v>1091</v>
      </c>
      <c r="H95" s="11">
        <f>Tablo1456789101112131415[[#This Row],[ADET]]*Tablo1456789101112131415[[#This Row],[SATIŞ]]</f>
        <v>1100</v>
      </c>
    </row>
    <row r="96" spans="2:10" ht="21" hidden="1" customHeight="1" x14ac:dyDescent="0.3">
      <c r="B96" s="2">
        <v>45383</v>
      </c>
      <c r="C96" s="6">
        <v>50</v>
      </c>
      <c r="D96" s="10">
        <v>21.82</v>
      </c>
      <c r="E96" s="10">
        <v>22.5</v>
      </c>
      <c r="F96" s="9">
        <f>IF(Tablo1456789101112131415[[#This Row],[SATIŞ]]=0,"Açık",(E96-D96)*C96)</f>
        <v>33.999999999999986</v>
      </c>
      <c r="G96" s="11">
        <f>Tablo1456789101112131415[[#This Row],[ADET]]*Tablo1456789101112131415[[#This Row],[ALIŞ]]</f>
        <v>1091</v>
      </c>
      <c r="H96" s="11">
        <f>Tablo1456789101112131415[[#This Row],[ADET]]*Tablo1456789101112131415[[#This Row],[SATIŞ]]</f>
        <v>1125</v>
      </c>
    </row>
    <row r="97" spans="2:8" ht="21" hidden="1" customHeight="1" x14ac:dyDescent="0.3">
      <c r="B97" s="2">
        <v>45383</v>
      </c>
      <c r="C97" s="6">
        <v>50</v>
      </c>
      <c r="D97" s="10">
        <v>21</v>
      </c>
      <c r="E97" s="10">
        <v>22</v>
      </c>
      <c r="F97" s="9">
        <f>IF(Tablo1456789101112131415[[#This Row],[SATIŞ]]=0,"Açık",(E97-D97)*C97)</f>
        <v>50</v>
      </c>
      <c r="G97" s="11">
        <f>Tablo1456789101112131415[[#This Row],[ADET]]*Tablo1456789101112131415[[#This Row],[ALIŞ]]</f>
        <v>1050</v>
      </c>
      <c r="H97" s="11">
        <f>Tablo1456789101112131415[[#This Row],[ADET]]*Tablo1456789101112131415[[#This Row],[SATIŞ]]</f>
        <v>1100</v>
      </c>
    </row>
    <row r="98" spans="2:8" ht="21" hidden="1" customHeight="1" x14ac:dyDescent="0.3">
      <c r="B98" s="2">
        <v>45383</v>
      </c>
      <c r="C98" s="6">
        <v>50</v>
      </c>
      <c r="D98" s="10">
        <v>21</v>
      </c>
      <c r="E98" s="10">
        <v>22.5</v>
      </c>
      <c r="F98" s="9">
        <f>IF(Tablo1456789101112131415[[#This Row],[SATIŞ]]=0,"Açık",(E98-D98)*C98)</f>
        <v>75</v>
      </c>
      <c r="G98" s="11">
        <f>Tablo1456789101112131415[[#This Row],[ADET]]*Tablo1456789101112131415[[#This Row],[ALIŞ]]</f>
        <v>1050</v>
      </c>
      <c r="H98" s="11">
        <f>Tablo1456789101112131415[[#This Row],[ADET]]*Tablo1456789101112131415[[#This Row],[SATIŞ]]</f>
        <v>1125</v>
      </c>
    </row>
    <row r="99" spans="2:8" ht="21" hidden="1" customHeight="1" x14ac:dyDescent="0.3">
      <c r="B99" s="2">
        <v>45385</v>
      </c>
      <c r="C99" s="6">
        <v>50</v>
      </c>
      <c r="D99" s="10">
        <v>21.5</v>
      </c>
      <c r="E99" s="10">
        <v>22</v>
      </c>
      <c r="F99" s="9">
        <f>IF(Tablo1456789101112131415[[#This Row],[SATIŞ]]=0,"Açık",(E99-D99)*C99)</f>
        <v>25</v>
      </c>
      <c r="G99" s="11">
        <f>Tablo1456789101112131415[[#This Row],[ADET]]*Tablo1456789101112131415[[#This Row],[ALIŞ]]</f>
        <v>1075</v>
      </c>
      <c r="H99" s="11">
        <f>Tablo1456789101112131415[[#This Row],[ADET]]*Tablo1456789101112131415[[#This Row],[SATIŞ]]</f>
        <v>1100</v>
      </c>
    </row>
    <row r="100" spans="2:8" ht="21" hidden="1" customHeight="1" x14ac:dyDescent="0.3">
      <c r="B100" s="2">
        <v>45386</v>
      </c>
      <c r="C100" s="6">
        <v>50</v>
      </c>
      <c r="D100" s="10">
        <v>21.5</v>
      </c>
      <c r="E100" s="10">
        <v>22</v>
      </c>
      <c r="F100" s="9">
        <f>IF(Tablo1456789101112131415[[#This Row],[SATIŞ]]=0,"Açık",(E100-D100)*C100)</f>
        <v>25</v>
      </c>
      <c r="G100" s="11">
        <f>Tablo1456789101112131415[[#This Row],[ADET]]*Tablo1456789101112131415[[#This Row],[ALIŞ]]</f>
        <v>1075</v>
      </c>
      <c r="H100" s="11">
        <f>Tablo1456789101112131415[[#This Row],[ADET]]*Tablo1456789101112131415[[#This Row],[SATIŞ]]</f>
        <v>1100</v>
      </c>
    </row>
    <row r="101" spans="2:8" ht="21" hidden="1" customHeight="1" x14ac:dyDescent="0.3">
      <c r="B101" s="2">
        <v>45386</v>
      </c>
      <c r="C101" s="6">
        <v>50</v>
      </c>
      <c r="D101" s="10">
        <v>21</v>
      </c>
      <c r="E101" s="10">
        <v>21.5</v>
      </c>
      <c r="F101" s="9">
        <f>IF(Tablo1456789101112131415[[#This Row],[SATIŞ]]=0,"Açık",(E101-D101)*C101)</f>
        <v>25</v>
      </c>
      <c r="G101" s="11">
        <f>Tablo1456789101112131415[[#This Row],[ADET]]*Tablo1456789101112131415[[#This Row],[ALIŞ]]</f>
        <v>1050</v>
      </c>
      <c r="H101" s="11">
        <f>Tablo1456789101112131415[[#This Row],[ADET]]*Tablo1456789101112131415[[#This Row],[SATIŞ]]</f>
        <v>1075</v>
      </c>
    </row>
    <row r="102" spans="2:8" ht="21" customHeight="1" x14ac:dyDescent="0.3">
      <c r="B102" s="2">
        <v>45398</v>
      </c>
      <c r="C102" s="6">
        <v>100</v>
      </c>
      <c r="D102" s="10">
        <v>24</v>
      </c>
      <c r="E102" s="10"/>
      <c r="F102" s="9" t="str">
        <f>IF(Tablo1456789101112131415[[#This Row],[SATIŞ]]=0,"Açık",(E102-D102)*C102)</f>
        <v>Açık</v>
      </c>
      <c r="G102" s="11">
        <f>Tablo1456789101112131415[[#This Row],[ADET]]*Tablo1456789101112131415[[#This Row],[ALIŞ]]</f>
        <v>2400</v>
      </c>
      <c r="H102" s="11">
        <f>Tablo1456789101112131415[[#This Row],[ADET]]*Tablo1456789101112131415[[#This Row],[SATIŞ]]</f>
        <v>0</v>
      </c>
    </row>
    <row r="103" spans="2:8" ht="21" hidden="1" customHeight="1" x14ac:dyDescent="0.3">
      <c r="B103" s="2">
        <v>45398</v>
      </c>
      <c r="C103" s="6">
        <v>50</v>
      </c>
      <c r="D103" s="10">
        <v>23.16</v>
      </c>
      <c r="E103" s="10">
        <v>23.5</v>
      </c>
      <c r="F103" s="9">
        <f>IF(Tablo1456789101112131415[[#This Row],[SATIŞ]]=0,"Açık",(E103-D103)*C103)</f>
        <v>16.999999999999993</v>
      </c>
      <c r="G103" s="11">
        <f>Tablo1456789101112131415[[#This Row],[ADET]]*Tablo1456789101112131415[[#This Row],[ALIŞ]]</f>
        <v>1158</v>
      </c>
      <c r="H103" s="11">
        <f>Tablo1456789101112131415[[#This Row],[ADET]]*Tablo1456789101112131415[[#This Row],[SATIŞ]]</f>
        <v>1175</v>
      </c>
    </row>
    <row r="104" spans="2:8" ht="21" hidden="1" customHeight="1" x14ac:dyDescent="0.3">
      <c r="B104" s="2">
        <v>45398</v>
      </c>
      <c r="C104" s="6">
        <v>50</v>
      </c>
      <c r="D104" s="10">
        <v>23.16</v>
      </c>
      <c r="E104" s="10">
        <v>22.8</v>
      </c>
      <c r="F104" s="9">
        <f>IF(Tablo1456789101112131415[[#This Row],[SATIŞ]]=0,"Açık",(E104-D104)*C104)</f>
        <v>-17.999999999999972</v>
      </c>
      <c r="G104" s="11">
        <f>Tablo1456789101112131415[[#This Row],[ADET]]*Tablo1456789101112131415[[#This Row],[ALIŞ]]</f>
        <v>1158</v>
      </c>
      <c r="H104" s="11">
        <f>Tablo1456789101112131415[[#This Row],[ADET]]*Tablo1456789101112131415[[#This Row],[SATIŞ]]</f>
        <v>1140</v>
      </c>
    </row>
    <row r="105" spans="2:8" ht="21" hidden="1" customHeight="1" x14ac:dyDescent="0.3">
      <c r="B105" s="2">
        <v>45399</v>
      </c>
      <c r="C105" s="6">
        <v>50</v>
      </c>
      <c r="D105" s="10">
        <v>22.3</v>
      </c>
      <c r="E105" s="10">
        <v>22.8</v>
      </c>
      <c r="F105" s="9">
        <f>IF(Tablo1456789101112131415[[#This Row],[SATIŞ]]=0,"Açık",(E105-D105)*C105)</f>
        <v>25</v>
      </c>
      <c r="G105" s="11">
        <f>Tablo1456789101112131415[[#This Row],[ADET]]*Tablo1456789101112131415[[#This Row],[ALIŞ]]</f>
        <v>1115</v>
      </c>
      <c r="H105" s="11">
        <f>Tablo1456789101112131415[[#This Row],[ADET]]*Tablo1456789101112131415[[#This Row],[SATIŞ]]</f>
        <v>1140</v>
      </c>
    </row>
    <row r="106" spans="2:8" ht="21" hidden="1" customHeight="1" x14ac:dyDescent="0.3">
      <c r="B106" s="2">
        <v>45399</v>
      </c>
      <c r="C106" s="6">
        <v>50</v>
      </c>
      <c r="D106" s="10">
        <v>22.3</v>
      </c>
      <c r="E106" s="10">
        <v>23</v>
      </c>
      <c r="F106" s="9">
        <f>IF(Tablo1456789101112131415[[#This Row],[SATIŞ]]=0,"Açık",(E106-D106)*C106)</f>
        <v>34.999999999999964</v>
      </c>
      <c r="G106" s="11">
        <f>Tablo1456789101112131415[[#This Row],[ADET]]*Tablo1456789101112131415[[#This Row],[ALIŞ]]</f>
        <v>1115</v>
      </c>
      <c r="H106" s="11">
        <f>Tablo1456789101112131415[[#This Row],[ADET]]*Tablo1456789101112131415[[#This Row],[SATIŞ]]</f>
        <v>1150</v>
      </c>
    </row>
    <row r="107" spans="2:8" ht="21" hidden="1" customHeight="1" x14ac:dyDescent="0.3">
      <c r="B107" s="2">
        <v>45400</v>
      </c>
      <c r="C107" s="6">
        <v>50</v>
      </c>
      <c r="D107" s="10">
        <v>21.9</v>
      </c>
      <c r="E107" s="10">
        <v>22.5</v>
      </c>
      <c r="F107" s="9">
        <f>IF(Tablo1456789101112131415[[#This Row],[SATIŞ]]=0,"Açık",(E107-D107)*C107)</f>
        <v>30.000000000000071</v>
      </c>
      <c r="G107" s="11">
        <f>Tablo1456789101112131415[[#This Row],[ADET]]*Tablo1456789101112131415[[#This Row],[ALIŞ]]</f>
        <v>1095</v>
      </c>
      <c r="H107" s="11">
        <f>Tablo1456789101112131415[[#This Row],[ADET]]*Tablo1456789101112131415[[#This Row],[SATIŞ]]</f>
        <v>1125</v>
      </c>
    </row>
    <row r="108" spans="2:8" ht="21" hidden="1" customHeight="1" x14ac:dyDescent="0.3">
      <c r="B108" s="2">
        <v>45401</v>
      </c>
      <c r="C108" s="6">
        <v>50</v>
      </c>
      <c r="D108" s="10">
        <v>21.5</v>
      </c>
      <c r="E108" s="10">
        <v>22</v>
      </c>
      <c r="F108" s="9">
        <f>IF(Tablo1456789101112131415[[#This Row],[SATIŞ]]=0,"Açık",(E108-D108)*C108)</f>
        <v>25</v>
      </c>
      <c r="G108" s="11">
        <f>Tablo1456789101112131415[[#This Row],[ADET]]*Tablo1456789101112131415[[#This Row],[ALIŞ]]</f>
        <v>1075</v>
      </c>
      <c r="H108" s="11">
        <f>Tablo1456789101112131415[[#This Row],[ADET]]*Tablo1456789101112131415[[#This Row],[SATIŞ]]</f>
        <v>1100</v>
      </c>
    </row>
  </sheetData>
  <conditionalFormatting sqref="B4:F108">
    <cfRule type="expression" dxfId="152" priority="1">
      <formula>$F4&lt;0</formula>
    </cfRule>
    <cfRule type="expression" dxfId="151" priority="2">
      <formula>$F4="Açık"</formula>
    </cfRule>
    <cfRule type="expression" dxfId="150" priority="3">
      <formula>$F4&gt;0</formula>
    </cfRule>
  </conditionalFormatting>
  <hyperlinks>
    <hyperlink ref="B1" location="İcmal!A1" display="ANA SAYFA" xr:uid="{85834A78-54D7-40E8-9AED-C2B83EDFC0B4}"/>
  </hyperlinks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31D1A-1522-4069-9964-F678C75A1D4E}">
  <sheetPr>
    <tabColor theme="1"/>
  </sheetPr>
  <dimension ref="B1:R43"/>
  <sheetViews>
    <sheetView showGridLines="0" showZeros="0" zoomScale="110" zoomScaleNormal="110" workbookViewId="0">
      <pane ySplit="3" topLeftCell="A20" activePane="bottomLeft" state="frozen"/>
      <selection pane="bottomLeft" activeCell="E43" sqref="E43"/>
    </sheetView>
  </sheetViews>
  <sheetFormatPr defaultRowHeight="21" customHeight="1" x14ac:dyDescent="0.3"/>
  <cols>
    <col min="2" max="2" width="20.6640625" style="1" customWidth="1"/>
    <col min="3" max="3" width="11.33203125" style="6" customWidth="1"/>
    <col min="4" max="5" width="12.88671875" style="3" customWidth="1"/>
    <col min="6" max="6" width="12.88671875" style="5" customWidth="1"/>
    <col min="7" max="8" width="11.6640625" bestFit="1" customWidth="1"/>
    <col min="10" max="12" width="12.44140625" customWidth="1"/>
    <col min="13" max="13" width="11.6640625" bestFit="1" customWidth="1"/>
    <col min="14" max="14" width="12" bestFit="1" customWidth="1"/>
  </cols>
  <sheetData>
    <row r="1" spans="2:18" ht="21" customHeight="1" x14ac:dyDescent="0.3">
      <c r="B1" s="12" t="s">
        <v>64</v>
      </c>
      <c r="C1" s="4">
        <f>SUMIF(Tablo145678910111213141516[KAR],"Açık",Tablo145678910111213141516[ADET])</f>
        <v>0</v>
      </c>
      <c r="D1" s="10">
        <f>+İcmal!E21</f>
        <v>19.649999999999999</v>
      </c>
      <c r="E1" s="10">
        <f>IF(C1=0,0,C1*D1)</f>
        <v>0</v>
      </c>
      <c r="F1" s="10" t="str">
        <f>IFERROR(((SUM(Tablo145678910111213141516[ALIŞ TUTAR])-SUM(Tablo145678910111213141516[SATIŞ TUTAR]))/C1),"")</f>
        <v/>
      </c>
      <c r="G1" s="10">
        <f>IF(C1=0,M10,SUM(Tablo145678910111213141516[KAR])+C1*(D1-F1))</f>
        <v>3195.7884500000027</v>
      </c>
      <c r="J1" s="45" t="s">
        <v>94</v>
      </c>
      <c r="K1" s="45" t="s">
        <v>95</v>
      </c>
      <c r="L1" s="45" t="s">
        <v>96</v>
      </c>
      <c r="M1" s="33" t="str">
        <f>F1</f>
        <v/>
      </c>
      <c r="N1" s="8" t="e">
        <f>M1*(1+$J$1)</f>
        <v>#VALUE!</v>
      </c>
      <c r="P1" s="8" t="e">
        <f>Q1*(1-$J$1)</f>
        <v>#VALUE!</v>
      </c>
      <c r="Q1" s="33">
        <f>+D1</f>
        <v>19.649999999999999</v>
      </c>
      <c r="R1" s="8" t="e">
        <f>Q1*(1+$J$1)</f>
        <v>#VALUE!</v>
      </c>
    </row>
    <row r="2" spans="2:18" ht="21" customHeight="1" x14ac:dyDescent="0.3">
      <c r="B2" s="7" t="s">
        <v>25</v>
      </c>
      <c r="J2" s="45">
        <f>SUMIFS(Tablo2[HEDEF2],Tablo2[HİSSE],B2)</f>
        <v>1000</v>
      </c>
      <c r="K2" s="45">
        <f>+E1/İcmal!$P$2</f>
        <v>0</v>
      </c>
      <c r="L2" s="45">
        <f>+J2-K2</f>
        <v>1000</v>
      </c>
    </row>
    <row r="3" spans="2:18" ht="21" customHeight="1" x14ac:dyDescent="0.3">
      <c r="B3" s="1" t="s">
        <v>0</v>
      </c>
      <c r="C3" s="6" t="s">
        <v>4</v>
      </c>
      <c r="D3" s="3" t="s">
        <v>1</v>
      </c>
      <c r="E3" s="3" t="s">
        <v>3</v>
      </c>
      <c r="F3" s="5" t="s">
        <v>2</v>
      </c>
      <c r="G3" s="3" t="s">
        <v>8</v>
      </c>
      <c r="H3" s="3" t="s">
        <v>9</v>
      </c>
    </row>
    <row r="4" spans="2:18" ht="21" hidden="1" customHeight="1" x14ac:dyDescent="0.3">
      <c r="B4" s="2">
        <v>45322</v>
      </c>
      <c r="C4" s="6">
        <v>1755</v>
      </c>
      <c r="D4" s="10">
        <v>15.615919999999999</v>
      </c>
      <c r="E4" s="10">
        <v>16.167110000000001</v>
      </c>
      <c r="F4" s="9">
        <f>IF(Tablo145678910111213141516[[#This Row],[SATIŞ]]=0,"Açık",(E4-D4)*C4)</f>
        <v>967.33845000000326</v>
      </c>
      <c r="G4" s="11">
        <f>Tablo145678910111213141516[[#This Row],[ADET]]*Tablo145678910111213141516[[#This Row],[ALIŞ]]</f>
        <v>27405.939599999998</v>
      </c>
      <c r="H4" s="11">
        <f>Tablo145678910111213141516[[#This Row],[ADET]]*Tablo145678910111213141516[[#This Row],[SATIŞ]]</f>
        <v>28373.278050000001</v>
      </c>
      <c r="L4" s="8">
        <f>SUM(Tablo145678910111213141516[ALIŞ TUTAR])</f>
        <v>87204.439599999998</v>
      </c>
      <c r="M4" s="8">
        <f>SUM(Tablo145678910111213141516[SATIŞ TUTAR])</f>
        <v>90400.228050000005</v>
      </c>
      <c r="N4" s="8">
        <f>L4-M4</f>
        <v>-3195.7884500000073</v>
      </c>
    </row>
    <row r="5" spans="2:18" ht="21" hidden="1" customHeight="1" x14ac:dyDescent="0.3">
      <c r="B5" s="2">
        <v>45328</v>
      </c>
      <c r="C5" s="6">
        <v>20</v>
      </c>
      <c r="D5" s="10">
        <v>17</v>
      </c>
      <c r="E5" s="10">
        <v>18.399999999999999</v>
      </c>
      <c r="F5" s="9">
        <f>IF(Tablo145678910111213141516[[#This Row],[SATIŞ]]=0,"Açık",(E5-D5)*C5)</f>
        <v>27.999999999999972</v>
      </c>
      <c r="G5" s="11">
        <f>Tablo145678910111213141516[[#This Row],[ADET]]*Tablo145678910111213141516[[#This Row],[ALIŞ]]</f>
        <v>340</v>
      </c>
      <c r="H5" s="11">
        <f>Tablo145678910111213141516[[#This Row],[ADET]]*Tablo145678910111213141516[[#This Row],[SATIŞ]]</f>
        <v>368</v>
      </c>
      <c r="N5">
        <f>+N4/80</f>
        <v>-39.947355625000093</v>
      </c>
    </row>
    <row r="6" spans="2:18" ht="21" hidden="1" customHeight="1" x14ac:dyDescent="0.3">
      <c r="B6" s="2">
        <v>45328</v>
      </c>
      <c r="C6" s="6">
        <v>20</v>
      </c>
      <c r="D6" s="10">
        <v>17.2</v>
      </c>
      <c r="E6" s="10">
        <v>18.7</v>
      </c>
      <c r="F6" s="9">
        <f>IF(Tablo145678910111213141516[[#This Row],[SATIŞ]]=0,"Açık",(E6-D6)*C6)</f>
        <v>30</v>
      </c>
      <c r="G6" s="11">
        <f>Tablo145678910111213141516[[#This Row],[ADET]]*Tablo145678910111213141516[[#This Row],[ALIŞ]]</f>
        <v>344</v>
      </c>
      <c r="H6" s="11">
        <f>Tablo145678910111213141516[[#This Row],[ADET]]*Tablo145678910111213141516[[#This Row],[SATIŞ]]</f>
        <v>374</v>
      </c>
    </row>
    <row r="7" spans="2:18" ht="21" hidden="1" customHeight="1" x14ac:dyDescent="0.3">
      <c r="B7" s="2">
        <v>45329</v>
      </c>
      <c r="C7" s="6">
        <v>20</v>
      </c>
      <c r="D7" s="10">
        <v>17.2</v>
      </c>
      <c r="E7" s="10">
        <v>19.579999999999998</v>
      </c>
      <c r="F7" s="9">
        <f>IF(Tablo145678910111213141516[[#This Row],[SATIŞ]]=0,"Açık",(E7-D7)*C7)</f>
        <v>47.59999999999998</v>
      </c>
      <c r="G7" s="11">
        <f>Tablo145678910111213141516[[#This Row],[ADET]]*Tablo145678910111213141516[[#This Row],[ALIŞ]]</f>
        <v>344</v>
      </c>
      <c r="H7" s="11">
        <f>Tablo145678910111213141516[[#This Row],[ADET]]*Tablo145678910111213141516[[#This Row],[SATIŞ]]</f>
        <v>391.59999999999997</v>
      </c>
    </row>
    <row r="8" spans="2:18" ht="21" hidden="1" customHeight="1" x14ac:dyDescent="0.3">
      <c r="B8" s="2">
        <v>45329</v>
      </c>
      <c r="C8" s="6">
        <v>10</v>
      </c>
      <c r="D8" s="10">
        <v>17.2</v>
      </c>
      <c r="E8" s="10">
        <v>17.5</v>
      </c>
      <c r="F8" s="9">
        <f>IF(Tablo145678910111213141516[[#This Row],[SATIŞ]]=0,"Açık",(E8-D8)*C8)</f>
        <v>3.0000000000000071</v>
      </c>
      <c r="G8" s="11">
        <f>Tablo145678910111213141516[[#This Row],[ADET]]*Tablo145678910111213141516[[#This Row],[ALIŞ]]</f>
        <v>172</v>
      </c>
      <c r="H8" s="11">
        <f>Tablo145678910111213141516[[#This Row],[ADET]]*Tablo145678910111213141516[[#This Row],[SATIŞ]]</f>
        <v>175</v>
      </c>
    </row>
    <row r="9" spans="2:18" ht="21" hidden="1" customHeight="1" x14ac:dyDescent="0.3">
      <c r="B9" s="2">
        <v>45329</v>
      </c>
      <c r="C9" s="6">
        <v>10</v>
      </c>
      <c r="D9" s="10">
        <v>17.3</v>
      </c>
      <c r="E9" s="10">
        <v>17.52</v>
      </c>
      <c r="F9" s="9">
        <f>IF(Tablo145678910111213141516[[#This Row],[SATIŞ]]=0,"Açık",(E9-D9)*C9)</f>
        <v>2.1999999999999886</v>
      </c>
      <c r="G9" s="11">
        <f>Tablo145678910111213141516[[#This Row],[ADET]]*Tablo145678910111213141516[[#This Row],[ALIŞ]]</f>
        <v>173</v>
      </c>
      <c r="H9" s="11">
        <f>Tablo145678910111213141516[[#This Row],[ADET]]*Tablo145678910111213141516[[#This Row],[SATIŞ]]</f>
        <v>175.2</v>
      </c>
    </row>
    <row r="10" spans="2:18" ht="21" hidden="1" customHeight="1" x14ac:dyDescent="0.3">
      <c r="B10" s="2">
        <v>45329</v>
      </c>
      <c r="C10" s="6">
        <v>10</v>
      </c>
      <c r="D10" s="10">
        <v>17.3</v>
      </c>
      <c r="E10" s="10">
        <v>19.579999999999998</v>
      </c>
      <c r="F10" s="9">
        <f>IF(Tablo145678910111213141516[[#This Row],[SATIŞ]]=0,"Açık",(E10-D10)*C10)</f>
        <v>22.799999999999976</v>
      </c>
      <c r="G10" s="11">
        <f>Tablo145678910111213141516[[#This Row],[ADET]]*Tablo145678910111213141516[[#This Row],[ALIŞ]]</f>
        <v>173</v>
      </c>
      <c r="H10" s="11">
        <f>Tablo145678910111213141516[[#This Row],[ADET]]*Tablo145678910111213141516[[#This Row],[SATIŞ]]</f>
        <v>195.79999999999998</v>
      </c>
      <c r="M10" s="33">
        <f>SUM(Tablo145678910111213141516[KAR])</f>
        <v>3195.7884500000027</v>
      </c>
    </row>
    <row r="11" spans="2:18" ht="21" hidden="1" customHeight="1" x14ac:dyDescent="0.3">
      <c r="B11" s="2">
        <v>45335</v>
      </c>
      <c r="C11" s="6">
        <v>20</v>
      </c>
      <c r="D11" s="10">
        <v>18.899999999999999</v>
      </c>
      <c r="E11" s="10">
        <v>19</v>
      </c>
      <c r="F11" s="9">
        <f>IF(Tablo145678910111213141516[[#This Row],[SATIŞ]]=0,"Açık",(E11-D11)*C11)</f>
        <v>2.0000000000000284</v>
      </c>
      <c r="G11" s="11">
        <f>Tablo145678910111213141516[[#This Row],[ADET]]*Tablo145678910111213141516[[#This Row],[ALIŞ]]</f>
        <v>378</v>
      </c>
      <c r="H11" s="11">
        <f>Tablo145678910111213141516[[#This Row],[ADET]]*Tablo145678910111213141516[[#This Row],[SATIŞ]]</f>
        <v>380</v>
      </c>
    </row>
    <row r="12" spans="2:18" ht="21" hidden="1" customHeight="1" x14ac:dyDescent="0.3">
      <c r="B12" s="2">
        <v>45335</v>
      </c>
      <c r="C12" s="6">
        <v>30</v>
      </c>
      <c r="D12" s="10">
        <v>18.899999999999999</v>
      </c>
      <c r="E12" s="10">
        <v>19.36</v>
      </c>
      <c r="F12" s="9">
        <f>IF(Tablo145678910111213141516[[#This Row],[SATIŞ]]=0,"Açık",(E12-D12)*C12)</f>
        <v>13.800000000000026</v>
      </c>
      <c r="G12" s="11">
        <f>Tablo145678910111213141516[[#This Row],[ADET]]*Tablo145678910111213141516[[#This Row],[ALIŞ]]</f>
        <v>567</v>
      </c>
      <c r="H12" s="11">
        <f>Tablo145678910111213141516[[#This Row],[ADET]]*Tablo145678910111213141516[[#This Row],[SATIŞ]]</f>
        <v>580.79999999999995</v>
      </c>
    </row>
    <row r="13" spans="2:18" ht="21" hidden="1" customHeight="1" x14ac:dyDescent="0.3">
      <c r="B13" s="2">
        <v>45335</v>
      </c>
      <c r="C13" s="6">
        <v>100</v>
      </c>
      <c r="D13" s="10">
        <v>18.5</v>
      </c>
      <c r="E13" s="10">
        <v>19.36</v>
      </c>
      <c r="F13" s="9">
        <f>IF(Tablo145678910111213141516[[#This Row],[SATIŞ]]=0,"Açık",(E13-D13)*C13)</f>
        <v>85.999999999999943</v>
      </c>
      <c r="G13" s="11">
        <f>Tablo145678910111213141516[[#This Row],[ADET]]*Tablo145678910111213141516[[#This Row],[ALIŞ]]</f>
        <v>1850</v>
      </c>
      <c r="H13" s="11">
        <f>Tablo145678910111213141516[[#This Row],[ADET]]*Tablo145678910111213141516[[#This Row],[SATIŞ]]</f>
        <v>1936</v>
      </c>
    </row>
    <row r="14" spans="2:18" ht="21" hidden="1" customHeight="1" x14ac:dyDescent="0.3">
      <c r="B14" s="2">
        <v>45335</v>
      </c>
      <c r="C14" s="6">
        <v>50</v>
      </c>
      <c r="D14" s="10">
        <v>18.350000000000001</v>
      </c>
      <c r="E14" s="10">
        <v>19.36</v>
      </c>
      <c r="F14" s="9">
        <f>IF(Tablo145678910111213141516[[#This Row],[SATIŞ]]=0,"Açık",(E14-D14)*C14)</f>
        <v>50.499999999999901</v>
      </c>
      <c r="G14" s="11">
        <f>Tablo145678910111213141516[[#This Row],[ADET]]*Tablo145678910111213141516[[#This Row],[ALIŞ]]</f>
        <v>917.50000000000011</v>
      </c>
      <c r="H14" s="11">
        <f>Tablo145678910111213141516[[#This Row],[ADET]]*Tablo145678910111213141516[[#This Row],[SATIŞ]]</f>
        <v>968</v>
      </c>
    </row>
    <row r="15" spans="2:18" ht="21" hidden="1" customHeight="1" x14ac:dyDescent="0.3">
      <c r="B15" s="2">
        <v>45336</v>
      </c>
      <c r="C15" s="6">
        <v>50</v>
      </c>
      <c r="D15" s="10">
        <v>17.899999999999999</v>
      </c>
      <c r="E15" s="10">
        <v>18.2</v>
      </c>
      <c r="F15" s="9">
        <f>IF(Tablo145678910111213141516[[#This Row],[SATIŞ]]=0,"Açık",(E15-D15)*C15)</f>
        <v>15.000000000000036</v>
      </c>
      <c r="G15" s="11">
        <f>Tablo145678910111213141516[[#This Row],[ADET]]*Tablo145678910111213141516[[#This Row],[ALIŞ]]</f>
        <v>894.99999999999989</v>
      </c>
      <c r="H15" s="11">
        <f>Tablo145678910111213141516[[#This Row],[ADET]]*Tablo145678910111213141516[[#This Row],[SATIŞ]]</f>
        <v>910</v>
      </c>
    </row>
    <row r="16" spans="2:18" ht="21" hidden="1" customHeight="1" x14ac:dyDescent="0.3">
      <c r="B16" s="2">
        <v>45336</v>
      </c>
      <c r="C16" s="6">
        <v>50</v>
      </c>
      <c r="D16" s="10">
        <v>17.899999999999999</v>
      </c>
      <c r="E16" s="10">
        <v>19.36</v>
      </c>
      <c r="F16" s="9">
        <f>IF(Tablo145678910111213141516[[#This Row],[SATIŞ]]=0,"Açık",(E16-D16)*C16)</f>
        <v>73.000000000000043</v>
      </c>
      <c r="G16" s="11">
        <f>Tablo145678910111213141516[[#This Row],[ADET]]*Tablo145678910111213141516[[#This Row],[ALIŞ]]</f>
        <v>894.99999999999989</v>
      </c>
      <c r="H16" s="11">
        <f>Tablo145678910111213141516[[#This Row],[ADET]]*Tablo145678910111213141516[[#This Row],[SATIŞ]]</f>
        <v>968</v>
      </c>
    </row>
    <row r="17" spans="2:10" ht="21" hidden="1" customHeight="1" x14ac:dyDescent="0.3">
      <c r="B17" s="2">
        <v>45341</v>
      </c>
      <c r="C17" s="6">
        <v>150</v>
      </c>
      <c r="D17" s="10">
        <v>19</v>
      </c>
      <c r="E17" s="10">
        <v>19.5</v>
      </c>
      <c r="F17" s="9">
        <f>IF(Tablo145678910111213141516[[#This Row],[SATIŞ]]=0,"Açık",(E17-D17)*C17)</f>
        <v>75</v>
      </c>
      <c r="G17" s="11">
        <f>Tablo145678910111213141516[[#This Row],[ADET]]*Tablo145678910111213141516[[#This Row],[ALIŞ]]</f>
        <v>2850</v>
      </c>
      <c r="H17" s="11">
        <f>Tablo145678910111213141516[[#This Row],[ADET]]*Tablo145678910111213141516[[#This Row],[SATIŞ]]</f>
        <v>2925</v>
      </c>
    </row>
    <row r="18" spans="2:10" ht="21" hidden="1" customHeight="1" x14ac:dyDescent="0.3">
      <c r="B18" s="2">
        <v>45345</v>
      </c>
      <c r="C18" s="6">
        <v>150</v>
      </c>
      <c r="D18" s="10">
        <v>19</v>
      </c>
      <c r="E18" s="10">
        <v>19.5</v>
      </c>
      <c r="F18" s="9">
        <f>IF(Tablo145678910111213141516[[#This Row],[SATIŞ]]=0,"Açık",(E18-D18)*C18)</f>
        <v>75</v>
      </c>
      <c r="G18" s="11">
        <f>Tablo145678910111213141516[[#This Row],[ADET]]*Tablo145678910111213141516[[#This Row],[ALIŞ]]</f>
        <v>2850</v>
      </c>
      <c r="H18" s="11">
        <f>Tablo145678910111213141516[[#This Row],[ADET]]*Tablo145678910111213141516[[#This Row],[SATIŞ]]</f>
        <v>2925</v>
      </c>
    </row>
    <row r="19" spans="2:10" ht="21" hidden="1" customHeight="1" x14ac:dyDescent="0.3">
      <c r="B19" s="2">
        <v>45345</v>
      </c>
      <c r="C19" s="6">
        <v>150</v>
      </c>
      <c r="D19" s="10">
        <v>18.75</v>
      </c>
      <c r="E19" s="10">
        <v>19</v>
      </c>
      <c r="F19" s="9">
        <f>IF(Tablo145678910111213141516[[#This Row],[SATIŞ]]=0,"Açık",(E19-D19)*C19)</f>
        <v>37.5</v>
      </c>
      <c r="G19" s="11">
        <f>Tablo145678910111213141516[[#This Row],[ADET]]*Tablo145678910111213141516[[#This Row],[ALIŞ]]</f>
        <v>2812.5</v>
      </c>
      <c r="H19" s="11">
        <f>Tablo145678910111213141516[[#This Row],[ADET]]*Tablo145678910111213141516[[#This Row],[SATIŞ]]</f>
        <v>2850</v>
      </c>
    </row>
    <row r="20" spans="2:10" ht="21" customHeight="1" x14ac:dyDescent="0.3">
      <c r="B20" s="2">
        <v>45345</v>
      </c>
      <c r="C20" s="6">
        <v>150</v>
      </c>
      <c r="D20" s="10">
        <v>18.75</v>
      </c>
      <c r="E20" s="10">
        <v>21.6</v>
      </c>
      <c r="F20" s="9">
        <f>IF(Tablo145678910111213141516[[#This Row],[SATIŞ]]=0,"Açık",(E20-D20)*C20)</f>
        <v>427.50000000000023</v>
      </c>
      <c r="G20" s="11">
        <f>Tablo145678910111213141516[[#This Row],[ADET]]*Tablo145678910111213141516[[#This Row],[ALIŞ]]</f>
        <v>2812.5</v>
      </c>
      <c r="H20" s="11">
        <f>Tablo145678910111213141516[[#This Row],[ADET]]*Tablo145678910111213141516[[#This Row],[SATIŞ]]</f>
        <v>3240</v>
      </c>
      <c r="J20" s="40" t="str">
        <f t="shared" ref="J20:J43" si="0">IF(E20=0,D20*1.05,"")</f>
        <v/>
      </c>
    </row>
    <row r="21" spans="2:10" ht="21" hidden="1" customHeight="1" x14ac:dyDescent="0.3">
      <c r="B21" s="2">
        <v>45349</v>
      </c>
      <c r="C21" s="6">
        <v>150</v>
      </c>
      <c r="D21" s="10">
        <v>18.899999999999999</v>
      </c>
      <c r="E21" s="10">
        <v>19.649999999999999</v>
      </c>
      <c r="F21" s="9">
        <f>IF(Tablo145678910111213141516[[#This Row],[SATIŞ]]=0,"Açık",(E21-D21)*C21)</f>
        <v>112.5</v>
      </c>
      <c r="G21" s="11">
        <f>Tablo145678910111213141516[[#This Row],[ADET]]*Tablo145678910111213141516[[#This Row],[ALIŞ]]</f>
        <v>2835</v>
      </c>
      <c r="H21" s="11">
        <f>Tablo145678910111213141516[[#This Row],[ADET]]*Tablo145678910111213141516[[#This Row],[SATIŞ]]</f>
        <v>2947.5</v>
      </c>
      <c r="J21" s="40" t="str">
        <f t="shared" si="0"/>
        <v/>
      </c>
    </row>
    <row r="22" spans="2:10" ht="21" hidden="1" customHeight="1" x14ac:dyDescent="0.3">
      <c r="B22" s="2">
        <v>45349</v>
      </c>
      <c r="C22" s="6">
        <v>150</v>
      </c>
      <c r="D22" s="10">
        <v>18.5</v>
      </c>
      <c r="E22" s="10">
        <v>19.649999999999999</v>
      </c>
      <c r="F22" s="9">
        <f>IF(Tablo145678910111213141516[[#This Row],[SATIŞ]]=0,"Açık",(E22-D22)*C22)</f>
        <v>172.49999999999977</v>
      </c>
      <c r="G22" s="11">
        <f>Tablo145678910111213141516[[#This Row],[ADET]]*Tablo145678910111213141516[[#This Row],[ALIŞ]]</f>
        <v>2775</v>
      </c>
      <c r="H22" s="11">
        <f>Tablo145678910111213141516[[#This Row],[ADET]]*Tablo145678910111213141516[[#This Row],[SATIŞ]]</f>
        <v>2947.5</v>
      </c>
      <c r="J22" s="40" t="str">
        <f t="shared" si="0"/>
        <v/>
      </c>
    </row>
    <row r="23" spans="2:10" ht="21" hidden="1" customHeight="1" x14ac:dyDescent="0.3">
      <c r="B23" s="2">
        <v>45349</v>
      </c>
      <c r="C23" s="6">
        <v>150</v>
      </c>
      <c r="D23" s="10">
        <v>18.2</v>
      </c>
      <c r="E23" s="10">
        <v>19.649999999999999</v>
      </c>
      <c r="F23" s="9">
        <f>IF(Tablo145678910111213141516[[#This Row],[SATIŞ]]=0,"Açık",(E23-D23)*C23)</f>
        <v>217.49999999999989</v>
      </c>
      <c r="G23" s="11">
        <f>Tablo145678910111213141516[[#This Row],[ADET]]*Tablo145678910111213141516[[#This Row],[ALIŞ]]</f>
        <v>2730</v>
      </c>
      <c r="H23" s="11">
        <f>Tablo145678910111213141516[[#This Row],[ADET]]*Tablo145678910111213141516[[#This Row],[SATIŞ]]</f>
        <v>2947.5</v>
      </c>
      <c r="J23" s="40" t="str">
        <f t="shared" si="0"/>
        <v/>
      </c>
    </row>
    <row r="24" spans="2:10" ht="21" hidden="1" customHeight="1" x14ac:dyDescent="0.3">
      <c r="B24" s="2">
        <v>45349</v>
      </c>
      <c r="C24" s="6">
        <v>50</v>
      </c>
      <c r="D24" s="10">
        <v>18</v>
      </c>
      <c r="E24" s="10">
        <v>18.3</v>
      </c>
      <c r="F24" s="9">
        <f>IF(Tablo145678910111213141516[[#This Row],[SATIŞ]]=0,"Açık",(E24-D24)*C24)</f>
        <v>15.000000000000036</v>
      </c>
      <c r="G24" s="11">
        <f>Tablo145678910111213141516[[#This Row],[ADET]]*Tablo145678910111213141516[[#This Row],[ALIŞ]]</f>
        <v>900</v>
      </c>
      <c r="H24" s="11">
        <f>Tablo145678910111213141516[[#This Row],[ADET]]*Tablo145678910111213141516[[#This Row],[SATIŞ]]</f>
        <v>915</v>
      </c>
      <c r="J24" s="40" t="str">
        <f t="shared" si="0"/>
        <v/>
      </c>
    </row>
    <row r="25" spans="2:10" ht="21" hidden="1" customHeight="1" x14ac:dyDescent="0.3">
      <c r="B25" s="2">
        <v>45355</v>
      </c>
      <c r="C25" s="6">
        <v>150</v>
      </c>
      <c r="D25" s="10">
        <v>17.600000000000001</v>
      </c>
      <c r="E25" s="10">
        <v>17.727</v>
      </c>
      <c r="F25" s="9">
        <f>IF(Tablo145678910111213141516[[#This Row],[SATIŞ]]=0,"Açık",(E25-D25)*C25)</f>
        <v>19.049999999999834</v>
      </c>
      <c r="G25" s="11">
        <f>Tablo145678910111213141516[[#This Row],[ADET]]*Tablo145678910111213141516[[#This Row],[ALIŞ]]</f>
        <v>2640</v>
      </c>
      <c r="H25" s="11">
        <f>Tablo145678910111213141516[[#This Row],[ADET]]*Tablo145678910111213141516[[#This Row],[SATIŞ]]</f>
        <v>2659.05</v>
      </c>
      <c r="J25" s="40" t="str">
        <f t="shared" si="0"/>
        <v/>
      </c>
    </row>
    <row r="26" spans="2:10" ht="21" hidden="1" customHeight="1" x14ac:dyDescent="0.3">
      <c r="B26" s="2">
        <v>45364</v>
      </c>
      <c r="C26" s="6">
        <v>150</v>
      </c>
      <c r="D26" s="10">
        <v>16.7</v>
      </c>
      <c r="E26" s="10">
        <v>17</v>
      </c>
      <c r="F26" s="9">
        <f>IF(Tablo145678910111213141516[[#This Row],[SATIŞ]]=0,"Açık",(E26-D26)*C26)</f>
        <v>45.000000000000107</v>
      </c>
      <c r="G26" s="11">
        <f>Tablo145678910111213141516[[#This Row],[ADET]]*Tablo145678910111213141516[[#This Row],[ALIŞ]]</f>
        <v>2505</v>
      </c>
      <c r="H26" s="11">
        <f>Tablo145678910111213141516[[#This Row],[ADET]]*Tablo145678910111213141516[[#This Row],[SATIŞ]]</f>
        <v>2550</v>
      </c>
      <c r="J26" s="40" t="str">
        <f t="shared" si="0"/>
        <v/>
      </c>
    </row>
    <row r="27" spans="2:10" ht="21" hidden="1" customHeight="1" x14ac:dyDescent="0.3">
      <c r="B27" s="2">
        <v>45364</v>
      </c>
      <c r="C27" s="6">
        <v>100</v>
      </c>
      <c r="D27" s="10">
        <v>16.7</v>
      </c>
      <c r="E27" s="10">
        <v>17</v>
      </c>
      <c r="F27" s="9">
        <f>IF(Tablo145678910111213141516[[#This Row],[SATIŞ]]=0,"Açık",(E27-D27)*C27)</f>
        <v>30.000000000000071</v>
      </c>
      <c r="G27" s="11">
        <f>Tablo145678910111213141516[[#This Row],[ADET]]*Tablo145678910111213141516[[#This Row],[ALIŞ]]</f>
        <v>1670</v>
      </c>
      <c r="H27" s="11">
        <f>Tablo145678910111213141516[[#This Row],[ADET]]*Tablo145678910111213141516[[#This Row],[SATIŞ]]</f>
        <v>1700</v>
      </c>
      <c r="J27" s="40" t="str">
        <f t="shared" si="0"/>
        <v/>
      </c>
    </row>
    <row r="28" spans="2:10" ht="21" hidden="1" customHeight="1" x14ac:dyDescent="0.3">
      <c r="B28" s="2">
        <v>45364</v>
      </c>
      <c r="C28" s="6">
        <v>150</v>
      </c>
      <c r="D28" s="10">
        <v>16.7</v>
      </c>
      <c r="E28" s="10">
        <v>17</v>
      </c>
      <c r="F28" s="9">
        <f>IF(Tablo145678910111213141516[[#This Row],[SATIŞ]]=0,"Açık",(E28-D28)*C28)</f>
        <v>45.000000000000107</v>
      </c>
      <c r="G28" s="11">
        <f>Tablo145678910111213141516[[#This Row],[ADET]]*Tablo145678910111213141516[[#This Row],[ALIŞ]]</f>
        <v>2505</v>
      </c>
      <c r="H28" s="11">
        <f>Tablo145678910111213141516[[#This Row],[ADET]]*Tablo145678910111213141516[[#This Row],[SATIŞ]]</f>
        <v>2550</v>
      </c>
      <c r="J28" s="40" t="str">
        <f t="shared" si="0"/>
        <v/>
      </c>
    </row>
    <row r="29" spans="2:10" ht="21" hidden="1" customHeight="1" x14ac:dyDescent="0.3">
      <c r="B29" s="2">
        <v>45349</v>
      </c>
      <c r="C29" s="6">
        <v>100</v>
      </c>
      <c r="D29" s="10">
        <v>18</v>
      </c>
      <c r="E29" s="10">
        <v>17</v>
      </c>
      <c r="F29" s="9">
        <f>IF(Tablo145678910111213141516[[#This Row],[SATIŞ]]=0,"Açık",(E29-D29)*C29)</f>
        <v>-100</v>
      </c>
      <c r="G29" s="11">
        <f>Tablo145678910111213141516[[#This Row],[ADET]]*Tablo145678910111213141516[[#This Row],[ALIŞ]]</f>
        <v>1800</v>
      </c>
      <c r="H29" s="11">
        <f>Tablo145678910111213141516[[#This Row],[ADET]]*Tablo145678910111213141516[[#This Row],[SATIŞ]]</f>
        <v>1700</v>
      </c>
      <c r="J29" s="40"/>
    </row>
    <row r="30" spans="2:10" ht="21" hidden="1" customHeight="1" x14ac:dyDescent="0.3">
      <c r="B30" s="2">
        <v>45371</v>
      </c>
      <c r="C30" s="6">
        <v>100</v>
      </c>
      <c r="D30" s="10">
        <v>16.25</v>
      </c>
      <c r="E30" s="10">
        <v>16.5</v>
      </c>
      <c r="F30" s="9">
        <f>IF(Tablo145678910111213141516[[#This Row],[SATIŞ]]=0,"Açık",(E30-D30)*C30)</f>
        <v>25</v>
      </c>
      <c r="G30" s="11">
        <f>Tablo145678910111213141516[[#This Row],[ADET]]*Tablo145678910111213141516[[#This Row],[ALIŞ]]</f>
        <v>1625</v>
      </c>
      <c r="H30" s="11">
        <f>Tablo145678910111213141516[[#This Row],[ADET]]*Tablo145678910111213141516[[#This Row],[SATIŞ]]</f>
        <v>1650</v>
      </c>
      <c r="J30" s="40" t="str">
        <f t="shared" si="0"/>
        <v/>
      </c>
    </row>
    <row r="31" spans="2:10" ht="21" hidden="1" customHeight="1" x14ac:dyDescent="0.3">
      <c r="B31" s="2">
        <v>45371</v>
      </c>
      <c r="C31" s="6">
        <v>100</v>
      </c>
      <c r="D31" s="10">
        <v>16.25</v>
      </c>
      <c r="E31" s="10">
        <v>16.75</v>
      </c>
      <c r="F31" s="9">
        <f>IF(Tablo145678910111213141516[[#This Row],[SATIŞ]]=0,"Açık",(E31-D31)*C31)</f>
        <v>50</v>
      </c>
      <c r="G31" s="11">
        <f>Tablo145678910111213141516[[#This Row],[ADET]]*Tablo145678910111213141516[[#This Row],[ALIŞ]]</f>
        <v>1625</v>
      </c>
      <c r="H31" s="11">
        <f>Tablo145678910111213141516[[#This Row],[ADET]]*Tablo145678910111213141516[[#This Row],[SATIŞ]]</f>
        <v>1675</v>
      </c>
      <c r="J31" s="40" t="str">
        <f t="shared" si="0"/>
        <v/>
      </c>
    </row>
    <row r="32" spans="2:10" ht="21" hidden="1" customHeight="1" x14ac:dyDescent="0.3">
      <c r="B32" s="2">
        <v>45371</v>
      </c>
      <c r="C32" s="6">
        <v>100</v>
      </c>
      <c r="D32" s="10">
        <v>16.149999999999999</v>
      </c>
      <c r="E32" s="10">
        <v>16.5</v>
      </c>
      <c r="F32" s="9">
        <f>IF(Tablo145678910111213141516[[#This Row],[SATIŞ]]=0,"Açık",(E32-D32)*C32)</f>
        <v>35.000000000000142</v>
      </c>
      <c r="G32" s="11">
        <f>Tablo145678910111213141516[[#This Row],[ADET]]*Tablo145678910111213141516[[#This Row],[ALIŞ]]</f>
        <v>1614.9999999999998</v>
      </c>
      <c r="H32" s="11">
        <f>Tablo145678910111213141516[[#This Row],[ADET]]*Tablo145678910111213141516[[#This Row],[SATIŞ]]</f>
        <v>1650</v>
      </c>
      <c r="J32" s="40" t="str">
        <f t="shared" si="0"/>
        <v/>
      </c>
    </row>
    <row r="33" spans="2:10" ht="21" hidden="1" customHeight="1" x14ac:dyDescent="0.3">
      <c r="B33" s="2">
        <v>45371</v>
      </c>
      <c r="C33" s="6">
        <v>100</v>
      </c>
      <c r="D33" s="10">
        <v>16</v>
      </c>
      <c r="E33" s="10">
        <v>16.25</v>
      </c>
      <c r="F33" s="9">
        <f>IF(Tablo145678910111213141516[[#This Row],[SATIŞ]]=0,"Açık",(E33-D33)*C33)</f>
        <v>25</v>
      </c>
      <c r="G33" s="11">
        <f>Tablo145678910111213141516[[#This Row],[ADET]]*Tablo145678910111213141516[[#This Row],[ALIŞ]]</f>
        <v>1600</v>
      </c>
      <c r="H33" s="11">
        <f>Tablo145678910111213141516[[#This Row],[ADET]]*Tablo145678910111213141516[[#This Row],[SATIŞ]]</f>
        <v>1625</v>
      </c>
      <c r="J33" s="40" t="str">
        <f t="shared" si="0"/>
        <v/>
      </c>
    </row>
    <row r="34" spans="2:10" ht="21" hidden="1" customHeight="1" x14ac:dyDescent="0.3">
      <c r="B34" s="2">
        <v>45372</v>
      </c>
      <c r="C34" s="6">
        <v>100</v>
      </c>
      <c r="D34" s="10">
        <v>16.100000000000001</v>
      </c>
      <c r="E34" s="10">
        <v>16.3</v>
      </c>
      <c r="F34" s="9">
        <f>IF(Tablo145678910111213141516[[#This Row],[SATIŞ]]=0,"Açık",(E34-D34)*C34)</f>
        <v>19.999999999999929</v>
      </c>
      <c r="G34" s="11">
        <f>Tablo145678910111213141516[[#This Row],[ADET]]*Tablo145678910111213141516[[#This Row],[ALIŞ]]</f>
        <v>1610.0000000000002</v>
      </c>
      <c r="H34" s="11">
        <f>Tablo145678910111213141516[[#This Row],[ADET]]*Tablo145678910111213141516[[#This Row],[SATIŞ]]</f>
        <v>1630</v>
      </c>
      <c r="J34" s="40" t="str">
        <f t="shared" si="0"/>
        <v/>
      </c>
    </row>
    <row r="35" spans="2:10" ht="21" hidden="1" customHeight="1" x14ac:dyDescent="0.3">
      <c r="B35" s="2">
        <v>45377</v>
      </c>
      <c r="C35" s="6">
        <v>100</v>
      </c>
      <c r="D35" s="10">
        <v>16</v>
      </c>
      <c r="E35" s="10">
        <v>16.25</v>
      </c>
      <c r="F35" s="9">
        <f>IF(Tablo145678910111213141516[[#This Row],[SATIŞ]]=0,"Açık",(E35-D35)*C35)</f>
        <v>25</v>
      </c>
      <c r="G35" s="11">
        <f>Tablo145678910111213141516[[#This Row],[ADET]]*Tablo145678910111213141516[[#This Row],[ALIŞ]]</f>
        <v>1600</v>
      </c>
      <c r="H35" s="11">
        <f>Tablo145678910111213141516[[#This Row],[ADET]]*Tablo145678910111213141516[[#This Row],[SATIŞ]]</f>
        <v>1625</v>
      </c>
      <c r="J35" s="40" t="str">
        <f t="shared" si="0"/>
        <v/>
      </c>
    </row>
    <row r="36" spans="2:10" ht="21" hidden="1" customHeight="1" x14ac:dyDescent="0.3">
      <c r="B36" s="2">
        <v>45377</v>
      </c>
      <c r="C36" s="6">
        <v>100</v>
      </c>
      <c r="D36" s="10">
        <v>15.85</v>
      </c>
      <c r="E36" s="10">
        <v>16.079999999999998</v>
      </c>
      <c r="F36" s="9">
        <f>IF(Tablo145678910111213141516[[#This Row],[SATIŞ]]=0,"Açık",(E36-D36)*C36)</f>
        <v>22.999999999999865</v>
      </c>
      <c r="G36" s="11">
        <f>Tablo145678910111213141516[[#This Row],[ADET]]*Tablo145678910111213141516[[#This Row],[ALIŞ]]</f>
        <v>1585</v>
      </c>
      <c r="H36" s="11">
        <f>Tablo145678910111213141516[[#This Row],[ADET]]*Tablo145678910111213141516[[#This Row],[SATIŞ]]</f>
        <v>1607.9999999999998</v>
      </c>
      <c r="J36" s="40" t="str">
        <f t="shared" si="0"/>
        <v/>
      </c>
    </row>
    <row r="37" spans="2:10" ht="21" hidden="1" customHeight="1" x14ac:dyDescent="0.3">
      <c r="B37" s="2">
        <v>45383</v>
      </c>
      <c r="C37" s="6">
        <v>100</v>
      </c>
      <c r="D37" s="10">
        <v>15.75</v>
      </c>
      <c r="E37" s="10">
        <v>16</v>
      </c>
      <c r="F37" s="9">
        <f>IF(Tablo145678910111213141516[[#This Row],[SATIŞ]]=0,"Açık",(E37-D37)*C37)</f>
        <v>25</v>
      </c>
      <c r="G37" s="11">
        <f>Tablo145678910111213141516[[#This Row],[ADET]]*Tablo145678910111213141516[[#This Row],[ALIŞ]]</f>
        <v>1575</v>
      </c>
      <c r="H37" s="11">
        <f>Tablo145678910111213141516[[#This Row],[ADET]]*Tablo145678910111213141516[[#This Row],[SATIŞ]]</f>
        <v>1600</v>
      </c>
      <c r="J37" s="40" t="str">
        <f t="shared" si="0"/>
        <v/>
      </c>
    </row>
    <row r="38" spans="2:10" ht="21" hidden="1" customHeight="1" x14ac:dyDescent="0.3">
      <c r="B38" s="2">
        <v>45383</v>
      </c>
      <c r="C38" s="6">
        <v>100</v>
      </c>
      <c r="D38" s="10">
        <v>15.5</v>
      </c>
      <c r="E38" s="10">
        <v>15.75</v>
      </c>
      <c r="F38" s="9">
        <f>IF(Tablo145678910111213141516[[#This Row],[SATIŞ]]=0,"Açık",(E38-D38)*C38)</f>
        <v>25</v>
      </c>
      <c r="G38" s="11">
        <f>Tablo145678910111213141516[[#This Row],[ADET]]*Tablo145678910111213141516[[#This Row],[ALIŞ]]</f>
        <v>1550</v>
      </c>
      <c r="H38" s="11">
        <f>Tablo145678910111213141516[[#This Row],[ADET]]*Tablo145678910111213141516[[#This Row],[SATIŞ]]</f>
        <v>1575</v>
      </c>
      <c r="J38" s="40" t="str">
        <f t="shared" si="0"/>
        <v/>
      </c>
    </row>
    <row r="39" spans="2:10" ht="21" hidden="1" customHeight="1" x14ac:dyDescent="0.3">
      <c r="B39" s="2">
        <v>45383</v>
      </c>
      <c r="C39" s="6">
        <v>100</v>
      </c>
      <c r="D39" s="10">
        <v>15.25</v>
      </c>
      <c r="E39" s="10">
        <v>15.5</v>
      </c>
      <c r="F39" s="9">
        <f>IF(Tablo145678910111213141516[[#This Row],[SATIŞ]]=0,"Açık",(E39-D39)*C39)</f>
        <v>25</v>
      </c>
      <c r="G39" s="11">
        <f>Tablo145678910111213141516[[#This Row],[ADET]]*Tablo145678910111213141516[[#This Row],[ALIŞ]]</f>
        <v>1525</v>
      </c>
      <c r="H39" s="11">
        <f>Tablo145678910111213141516[[#This Row],[ADET]]*Tablo145678910111213141516[[#This Row],[SATIŞ]]</f>
        <v>1550</v>
      </c>
      <c r="J39" s="40" t="str">
        <f t="shared" si="0"/>
        <v/>
      </c>
    </row>
    <row r="40" spans="2:10" ht="21" hidden="1" customHeight="1" x14ac:dyDescent="0.3">
      <c r="B40" s="2">
        <v>45385</v>
      </c>
      <c r="C40" s="6">
        <v>100</v>
      </c>
      <c r="D40" s="10">
        <v>16</v>
      </c>
      <c r="E40" s="10">
        <v>16.3</v>
      </c>
      <c r="F40" s="9">
        <f>IF(Tablo145678910111213141516[[#This Row],[SATIŞ]]=0,"Açık",(E40-D40)*C40)</f>
        <v>30.000000000000071</v>
      </c>
      <c r="G40" s="11">
        <f>Tablo145678910111213141516[[#This Row],[ADET]]*Tablo145678910111213141516[[#This Row],[ALIŞ]]</f>
        <v>1600</v>
      </c>
      <c r="H40" s="11">
        <f>Tablo145678910111213141516[[#This Row],[ADET]]*Tablo145678910111213141516[[#This Row],[SATIŞ]]</f>
        <v>1630</v>
      </c>
      <c r="J40" s="40" t="str">
        <f t="shared" si="0"/>
        <v/>
      </c>
    </row>
    <row r="41" spans="2:10" ht="21" hidden="1" customHeight="1" x14ac:dyDescent="0.3">
      <c r="B41" s="2">
        <v>45399</v>
      </c>
      <c r="C41" s="6">
        <v>100</v>
      </c>
      <c r="D41" s="10">
        <v>17.95</v>
      </c>
      <c r="E41" s="10">
        <v>19.649999999999999</v>
      </c>
      <c r="F41" s="9">
        <f>IF(Tablo145678910111213141516[[#This Row],[SATIŞ]]=0,"Açık",(E41-D41)*C41)</f>
        <v>169.99999999999994</v>
      </c>
      <c r="G41" s="11">
        <f>Tablo145678910111213141516[[#This Row],[ADET]]*Tablo145678910111213141516[[#This Row],[ALIŞ]]</f>
        <v>1795</v>
      </c>
      <c r="H41" s="11">
        <f>Tablo145678910111213141516[[#This Row],[ADET]]*Tablo145678910111213141516[[#This Row],[SATIŞ]]</f>
        <v>1964.9999999999998</v>
      </c>
      <c r="J41" s="40" t="str">
        <f t="shared" si="0"/>
        <v/>
      </c>
    </row>
    <row r="42" spans="2:10" ht="21" hidden="1" customHeight="1" x14ac:dyDescent="0.3">
      <c r="B42" s="2">
        <v>45399</v>
      </c>
      <c r="C42" s="6">
        <v>100</v>
      </c>
      <c r="D42" s="10">
        <v>17.600000000000001</v>
      </c>
      <c r="E42" s="10">
        <v>19.649999999999999</v>
      </c>
      <c r="F42" s="9">
        <f>IF(Tablo145678910111213141516[[#This Row],[SATIŞ]]=0,"Açık",(E42-D42)*C42)</f>
        <v>204.99999999999972</v>
      </c>
      <c r="G42" s="11">
        <f>Tablo145678910111213141516[[#This Row],[ADET]]*Tablo145678910111213141516[[#This Row],[ALIŞ]]</f>
        <v>1760.0000000000002</v>
      </c>
      <c r="H42" s="11">
        <f>Tablo145678910111213141516[[#This Row],[ADET]]*Tablo145678910111213141516[[#This Row],[SATIŞ]]</f>
        <v>1964.9999999999998</v>
      </c>
      <c r="J42" s="40" t="str">
        <f t="shared" si="0"/>
        <v/>
      </c>
    </row>
    <row r="43" spans="2:10" ht="21" customHeight="1" x14ac:dyDescent="0.3">
      <c r="J43" s="40">
        <f t="shared" si="0"/>
        <v>0</v>
      </c>
    </row>
  </sheetData>
  <conditionalFormatting sqref="B4:F42">
    <cfRule type="expression" dxfId="149" priority="1">
      <formula>$F4&lt;0</formula>
    </cfRule>
    <cfRule type="expression" dxfId="148" priority="2">
      <formula>$F4="Açık"</formula>
    </cfRule>
    <cfRule type="expression" dxfId="147" priority="3">
      <formula>$F4&gt;0</formula>
    </cfRule>
  </conditionalFormatting>
  <hyperlinks>
    <hyperlink ref="B1" location="İcmal!A1" display="ANA SAYFA" xr:uid="{2E5C53DF-E85F-489D-BB9B-2C78ED89CF7F}"/>
  </hyperlinks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76172-4843-41E9-804E-3182D88CEF14}">
  <dimension ref="B1:R21"/>
  <sheetViews>
    <sheetView showGridLines="0" showZeros="0" zoomScale="110" zoomScaleNormal="110" workbookViewId="0">
      <pane ySplit="1" topLeftCell="A2" activePane="bottomLeft" state="frozen"/>
      <selection activeCell="J35" sqref="J35"/>
      <selection pane="bottomLeft" activeCell="E19" sqref="E19"/>
    </sheetView>
  </sheetViews>
  <sheetFormatPr defaultRowHeight="21" customHeight="1" x14ac:dyDescent="0.3"/>
  <cols>
    <col min="2" max="2" width="20.6640625" style="1" customWidth="1"/>
    <col min="3" max="3" width="11.33203125" style="6" customWidth="1"/>
    <col min="4" max="5" width="12.88671875" style="3" customWidth="1"/>
    <col min="6" max="6" width="12.88671875" style="5" customWidth="1"/>
    <col min="7" max="8" width="17.6640625" customWidth="1"/>
    <col min="10" max="12" width="12.44140625" customWidth="1"/>
    <col min="13" max="13" width="17.109375" customWidth="1"/>
    <col min="14" max="14" width="10.6640625" bestFit="1" customWidth="1"/>
  </cols>
  <sheetData>
    <row r="1" spans="2:18" ht="21" customHeight="1" x14ac:dyDescent="0.3">
      <c r="B1" s="12" t="s">
        <v>64</v>
      </c>
      <c r="C1" s="4">
        <f>SUMIF(Tablo14567891011121314156062[KAR],"Açık",Tablo14567891011121314156062[ADET])</f>
        <v>0</v>
      </c>
      <c r="D1" s="10">
        <f>+İcmal!E22</f>
        <v>48.6</v>
      </c>
      <c r="E1" s="10">
        <f>C1*D1</f>
        <v>0</v>
      </c>
      <c r="F1" s="10" t="str">
        <f>IFERROR(((SUM(Tablo14567891011121314156062[ALIŞ TUTAR])-SUM(Tablo14567891011121314156062[SATIŞ TUTAR]))/C1),"")</f>
        <v/>
      </c>
      <c r="G1" s="10">
        <f>IF(M3=0,L3,C1*(D1-F1))</f>
        <v>428.00000000000011</v>
      </c>
      <c r="J1" s="45" t="s">
        <v>94</v>
      </c>
      <c r="K1" s="45" t="s">
        <v>95</v>
      </c>
      <c r="L1" s="45" t="s">
        <v>96</v>
      </c>
      <c r="M1" s="33" t="str">
        <f>F1</f>
        <v/>
      </c>
      <c r="N1" s="8" t="e">
        <f>M1*(1+$J$1)</f>
        <v>#VALUE!</v>
      </c>
      <c r="P1" s="8" t="e">
        <f>Q1*(1-$J$1)</f>
        <v>#VALUE!</v>
      </c>
      <c r="Q1" s="33">
        <f>+D1</f>
        <v>48.6</v>
      </c>
      <c r="R1" s="8" t="e">
        <f>Q1*(1+$J$1)</f>
        <v>#VALUE!</v>
      </c>
    </row>
    <row r="2" spans="2:18" ht="21" customHeight="1" x14ac:dyDescent="0.3">
      <c r="B2" s="7" t="s">
        <v>88</v>
      </c>
      <c r="J2" s="45">
        <f>SUMIFS(Tablo2[HEDEF2],Tablo2[HİSSE],B2)</f>
        <v>1</v>
      </c>
      <c r="K2" s="45">
        <f>+E1/İcmal!$P$2</f>
        <v>0</v>
      </c>
      <c r="L2" s="45">
        <f>+J2-K2</f>
        <v>1</v>
      </c>
    </row>
    <row r="3" spans="2:18" ht="21" customHeight="1" x14ac:dyDescent="0.3">
      <c r="B3" s="1" t="s">
        <v>0</v>
      </c>
      <c r="C3" s="6" t="s">
        <v>4</v>
      </c>
      <c r="D3" s="3" t="s">
        <v>1</v>
      </c>
      <c r="E3" s="3" t="s">
        <v>3</v>
      </c>
      <c r="F3" s="5" t="s">
        <v>2</v>
      </c>
      <c r="G3" s="3" t="s">
        <v>8</v>
      </c>
      <c r="H3" s="3" t="s">
        <v>9</v>
      </c>
      <c r="L3" s="33">
        <f>SUM(Tablo14567891011121314156062[KAR])</f>
        <v>428.00000000000011</v>
      </c>
      <c r="M3" s="37">
        <f>+C1</f>
        <v>0</v>
      </c>
    </row>
    <row r="4" spans="2:18" ht="21" customHeight="1" x14ac:dyDescent="0.3">
      <c r="B4" s="2">
        <v>45359</v>
      </c>
      <c r="C4" s="6">
        <v>50</v>
      </c>
      <c r="D4" s="10">
        <v>53.5</v>
      </c>
      <c r="E4" s="10">
        <v>49.4</v>
      </c>
      <c r="F4" s="9">
        <f>IF(Tablo14567891011121314156062[[#This Row],[SATIŞ]]=0,"Açık",(E4-D4)*C4)</f>
        <v>-205.00000000000006</v>
      </c>
      <c r="G4" s="11">
        <f>Tablo14567891011121314156062[[#This Row],[ADET]]*Tablo14567891011121314156062[[#This Row],[ALIŞ]]</f>
        <v>2675</v>
      </c>
      <c r="H4" s="11">
        <f>Tablo14567891011121314156062[[#This Row],[ADET]]*Tablo14567891011121314156062[[#This Row],[SATIŞ]]</f>
        <v>2470</v>
      </c>
      <c r="J4" s="40" t="str">
        <f t="shared" ref="J4:J21" si="0">IF(E4=0,D4*1.05,"")</f>
        <v/>
      </c>
      <c r="L4" s="8">
        <f>SUM(Tablo14567891011121314156062[ALIŞ TUTAR])</f>
        <v>36550</v>
      </c>
      <c r="M4" s="8">
        <f>SUM(Tablo14567891011121314156062[SATIŞ TUTAR])</f>
        <v>36978</v>
      </c>
      <c r="N4" s="8">
        <f>L4-M4</f>
        <v>-428</v>
      </c>
    </row>
    <row r="5" spans="2:18" ht="21" customHeight="1" x14ac:dyDescent="0.3">
      <c r="B5" s="2">
        <v>45362</v>
      </c>
      <c r="C5" s="6">
        <v>50</v>
      </c>
      <c r="D5" s="10">
        <v>53.5</v>
      </c>
      <c r="E5" s="10">
        <v>49.4</v>
      </c>
      <c r="F5" s="9">
        <f>IF(Tablo14567891011121314156062[[#This Row],[SATIŞ]]=0,"Açık",(E5-D5)*C5)</f>
        <v>-205.00000000000006</v>
      </c>
      <c r="G5" s="11">
        <f>Tablo14567891011121314156062[[#This Row],[ADET]]*Tablo14567891011121314156062[[#This Row],[ALIŞ]]</f>
        <v>2675</v>
      </c>
      <c r="H5" s="11">
        <f>Tablo14567891011121314156062[[#This Row],[ADET]]*Tablo14567891011121314156062[[#This Row],[SATIŞ]]</f>
        <v>2470</v>
      </c>
      <c r="J5" s="40" t="str">
        <f t="shared" si="0"/>
        <v/>
      </c>
      <c r="N5">
        <f>+N4/80</f>
        <v>-5.35</v>
      </c>
    </row>
    <row r="6" spans="2:18" ht="21" hidden="1" customHeight="1" x14ac:dyDescent="0.3">
      <c r="B6" s="2">
        <v>45364</v>
      </c>
      <c r="C6" s="6">
        <v>50</v>
      </c>
      <c r="D6" s="10">
        <v>50</v>
      </c>
      <c r="E6" s="10">
        <v>51</v>
      </c>
      <c r="F6" s="9">
        <f>IF(Tablo14567891011121314156062[[#This Row],[SATIŞ]]=0,"Açık",(E6-D6)*C6)</f>
        <v>50</v>
      </c>
      <c r="G6" s="11">
        <f>Tablo14567891011121314156062[[#This Row],[ADET]]*Tablo14567891011121314156062[[#This Row],[ALIŞ]]</f>
        <v>2500</v>
      </c>
      <c r="H6" s="11">
        <f>Tablo14567891011121314156062[[#This Row],[ADET]]*Tablo14567891011121314156062[[#This Row],[SATIŞ]]</f>
        <v>2550</v>
      </c>
      <c r="J6" s="40" t="str">
        <f t="shared" si="0"/>
        <v/>
      </c>
    </row>
    <row r="7" spans="2:18" ht="21" hidden="1" customHeight="1" x14ac:dyDescent="0.3">
      <c r="B7" s="2">
        <v>45364</v>
      </c>
      <c r="C7" s="6">
        <v>50</v>
      </c>
      <c r="D7" s="10">
        <v>50</v>
      </c>
      <c r="E7" s="10">
        <v>52</v>
      </c>
      <c r="F7" s="9">
        <f>IF(Tablo14567891011121314156062[[#This Row],[SATIŞ]]=0,"Açık",(E7-D7)*C7)</f>
        <v>100</v>
      </c>
      <c r="G7" s="11">
        <f>Tablo14567891011121314156062[[#This Row],[ADET]]*Tablo14567891011121314156062[[#This Row],[ALIŞ]]</f>
        <v>2500</v>
      </c>
      <c r="H7" s="11">
        <f>Tablo14567891011121314156062[[#This Row],[ADET]]*Tablo14567891011121314156062[[#This Row],[SATIŞ]]</f>
        <v>2600</v>
      </c>
      <c r="J7" s="40" t="str">
        <f t="shared" si="0"/>
        <v/>
      </c>
    </row>
    <row r="8" spans="2:18" ht="21" hidden="1" customHeight="1" x14ac:dyDescent="0.3">
      <c r="B8" s="2">
        <v>45364</v>
      </c>
      <c r="C8" s="6">
        <v>50</v>
      </c>
      <c r="D8" s="10">
        <v>50</v>
      </c>
      <c r="E8" s="10">
        <v>53</v>
      </c>
      <c r="F8" s="9">
        <f>IF(Tablo14567891011121314156062[[#This Row],[SATIŞ]]=0,"Açık",(E8-D8)*C8)</f>
        <v>150</v>
      </c>
      <c r="G8" s="11">
        <f>Tablo14567891011121314156062[[#This Row],[ADET]]*Tablo14567891011121314156062[[#This Row],[ALIŞ]]</f>
        <v>2500</v>
      </c>
      <c r="H8" s="11">
        <f>Tablo14567891011121314156062[[#This Row],[ADET]]*Tablo14567891011121314156062[[#This Row],[SATIŞ]]</f>
        <v>2650</v>
      </c>
      <c r="J8" s="40" t="str">
        <f t="shared" si="0"/>
        <v/>
      </c>
    </row>
    <row r="9" spans="2:18" ht="21" hidden="1" customHeight="1" x14ac:dyDescent="0.3">
      <c r="B9" s="2">
        <v>45369</v>
      </c>
      <c r="C9" s="6">
        <v>50</v>
      </c>
      <c r="D9" s="10">
        <v>48.7</v>
      </c>
      <c r="E9" s="10">
        <v>50</v>
      </c>
      <c r="F9" s="9">
        <f>IF(Tablo14567891011121314156062[[#This Row],[SATIŞ]]=0,"Açık",(E9-D9)*C9)</f>
        <v>64.999999999999858</v>
      </c>
      <c r="G9" s="11">
        <f>Tablo14567891011121314156062[[#This Row],[ADET]]*Tablo14567891011121314156062[[#This Row],[ALIŞ]]</f>
        <v>2435</v>
      </c>
      <c r="H9" s="11">
        <f>Tablo14567891011121314156062[[#This Row],[ADET]]*Tablo14567891011121314156062[[#This Row],[SATIŞ]]</f>
        <v>2500</v>
      </c>
      <c r="J9" s="40" t="str">
        <f t="shared" si="0"/>
        <v/>
      </c>
    </row>
    <row r="10" spans="2:18" ht="21" hidden="1" customHeight="1" x14ac:dyDescent="0.3">
      <c r="B10" s="2">
        <v>45369</v>
      </c>
      <c r="C10" s="6">
        <v>50</v>
      </c>
      <c r="D10" s="10">
        <v>48.7</v>
      </c>
      <c r="E10" s="10">
        <v>50</v>
      </c>
      <c r="F10" s="9">
        <f>IF(Tablo14567891011121314156062[[#This Row],[SATIŞ]]=0,"Açık",(E10-D10)*C10)</f>
        <v>64.999999999999858</v>
      </c>
      <c r="G10" s="11">
        <f>Tablo14567891011121314156062[[#This Row],[ADET]]*Tablo14567891011121314156062[[#This Row],[ALIŞ]]</f>
        <v>2435</v>
      </c>
      <c r="H10" s="11">
        <f>Tablo14567891011121314156062[[#This Row],[ADET]]*Tablo14567891011121314156062[[#This Row],[SATIŞ]]</f>
        <v>2500</v>
      </c>
      <c r="J10" s="40" t="str">
        <f t="shared" si="0"/>
        <v/>
      </c>
    </row>
    <row r="11" spans="2:18" ht="21" customHeight="1" x14ac:dyDescent="0.3">
      <c r="B11" s="2">
        <v>45373</v>
      </c>
      <c r="C11" s="6">
        <v>50</v>
      </c>
      <c r="D11" s="10">
        <v>48</v>
      </c>
      <c r="E11" s="10">
        <v>50</v>
      </c>
      <c r="F11" s="9">
        <f>IF(Tablo14567891011121314156062[[#This Row],[SATIŞ]]=0,"Açık",(E11-D11)*C11)</f>
        <v>100</v>
      </c>
      <c r="G11" s="11">
        <f>Tablo14567891011121314156062[[#This Row],[ADET]]*Tablo14567891011121314156062[[#This Row],[ALIŞ]]</f>
        <v>2400</v>
      </c>
      <c r="H11" s="11">
        <f>Tablo14567891011121314156062[[#This Row],[ADET]]*Tablo14567891011121314156062[[#This Row],[SATIŞ]]</f>
        <v>2500</v>
      </c>
      <c r="J11" s="40" t="str">
        <f t="shared" si="0"/>
        <v/>
      </c>
    </row>
    <row r="12" spans="2:18" ht="21" hidden="1" customHeight="1" x14ac:dyDescent="0.3">
      <c r="B12" s="2">
        <v>45377</v>
      </c>
      <c r="C12" s="6">
        <v>50</v>
      </c>
      <c r="D12" s="10">
        <v>46.5</v>
      </c>
      <c r="E12" s="10">
        <v>47.2</v>
      </c>
      <c r="F12" s="9">
        <f>IF(Tablo14567891011121314156062[[#This Row],[SATIŞ]]=0,"Açık",(E12-D12)*C12)</f>
        <v>35.000000000000142</v>
      </c>
      <c r="G12" s="11">
        <f>Tablo14567891011121314156062[[#This Row],[ADET]]*Tablo14567891011121314156062[[#This Row],[ALIŞ]]</f>
        <v>2325</v>
      </c>
      <c r="H12" s="11">
        <f>Tablo14567891011121314156062[[#This Row],[ADET]]*Tablo14567891011121314156062[[#This Row],[SATIŞ]]</f>
        <v>2360</v>
      </c>
      <c r="J12" s="40" t="str">
        <f t="shared" si="0"/>
        <v/>
      </c>
    </row>
    <row r="13" spans="2:18" ht="21" hidden="1" customHeight="1" x14ac:dyDescent="0.3">
      <c r="B13" s="2">
        <v>45377</v>
      </c>
      <c r="C13" s="6">
        <v>50</v>
      </c>
      <c r="D13" s="10">
        <v>46.5</v>
      </c>
      <c r="E13" s="10">
        <v>47</v>
      </c>
      <c r="F13" s="9">
        <f>IF(Tablo14567891011121314156062[[#This Row],[SATIŞ]]=0,"Açık",(E13-D13)*C13)</f>
        <v>25</v>
      </c>
      <c r="G13" s="11">
        <f>Tablo14567891011121314156062[[#This Row],[ADET]]*Tablo14567891011121314156062[[#This Row],[ALIŞ]]</f>
        <v>2325</v>
      </c>
      <c r="H13" s="11">
        <f>Tablo14567891011121314156062[[#This Row],[ADET]]*Tablo14567891011121314156062[[#This Row],[SATIŞ]]</f>
        <v>2350</v>
      </c>
      <c r="J13" s="40" t="str">
        <f t="shared" si="0"/>
        <v/>
      </c>
    </row>
    <row r="14" spans="2:18" ht="21" customHeight="1" x14ac:dyDescent="0.3">
      <c r="B14" s="2">
        <v>45377</v>
      </c>
      <c r="C14" s="6">
        <v>50</v>
      </c>
      <c r="D14" s="10">
        <v>46.8</v>
      </c>
      <c r="E14" s="10">
        <v>48</v>
      </c>
      <c r="F14" s="9">
        <f>IF(Tablo14567891011121314156062[[#This Row],[SATIŞ]]=0,"Açık",(E14-D14)*C14)</f>
        <v>60.000000000000142</v>
      </c>
      <c r="G14" s="11">
        <f>Tablo14567891011121314156062[[#This Row],[ADET]]*Tablo14567891011121314156062[[#This Row],[ALIŞ]]</f>
        <v>2340</v>
      </c>
      <c r="H14" s="11">
        <f>Tablo14567891011121314156062[[#This Row],[ADET]]*Tablo14567891011121314156062[[#This Row],[SATIŞ]]</f>
        <v>2400</v>
      </c>
      <c r="J14" s="40" t="str">
        <f t="shared" si="0"/>
        <v/>
      </c>
    </row>
    <row r="15" spans="2:18" ht="21" hidden="1" customHeight="1" x14ac:dyDescent="0.3">
      <c r="B15" s="2">
        <v>45377</v>
      </c>
      <c r="C15" s="6">
        <v>50</v>
      </c>
      <c r="D15" s="10">
        <v>46.5</v>
      </c>
      <c r="E15" s="10">
        <v>46.7</v>
      </c>
      <c r="F15" s="9">
        <f>IF(Tablo14567891011121314156062[[#This Row],[SATIŞ]]=0,"Açık",(E15-D15)*C15)</f>
        <v>10.000000000000142</v>
      </c>
      <c r="G15" s="11">
        <f>Tablo14567891011121314156062[[#This Row],[ADET]]*Tablo14567891011121314156062[[#This Row],[ALIŞ]]</f>
        <v>2325</v>
      </c>
      <c r="H15" s="11">
        <f>Tablo14567891011121314156062[[#This Row],[ADET]]*Tablo14567891011121314156062[[#This Row],[SATIŞ]]</f>
        <v>2335</v>
      </c>
      <c r="J15" s="40" t="str">
        <f t="shared" si="0"/>
        <v/>
      </c>
    </row>
    <row r="16" spans="2:18" ht="21" hidden="1" customHeight="1" x14ac:dyDescent="0.3">
      <c r="B16" s="2">
        <v>45377</v>
      </c>
      <c r="C16" s="6">
        <v>50</v>
      </c>
      <c r="D16" s="10">
        <v>46.5</v>
      </c>
      <c r="E16" s="10">
        <v>46.86</v>
      </c>
      <c r="F16" s="9">
        <f>IF(Tablo14567891011121314156062[[#This Row],[SATIŞ]]=0,"Açık",(E16-D16)*C16)</f>
        <v>17.999999999999972</v>
      </c>
      <c r="G16" s="11">
        <f>Tablo14567891011121314156062[[#This Row],[ADET]]*Tablo14567891011121314156062[[#This Row],[ALIŞ]]</f>
        <v>2325</v>
      </c>
      <c r="H16" s="11">
        <f>Tablo14567891011121314156062[[#This Row],[ADET]]*Tablo14567891011121314156062[[#This Row],[SATIŞ]]</f>
        <v>2343</v>
      </c>
      <c r="J16" s="40" t="str">
        <f t="shared" si="0"/>
        <v/>
      </c>
    </row>
    <row r="17" spans="2:10" ht="21" customHeight="1" x14ac:dyDescent="0.3">
      <c r="B17" s="2">
        <v>45377</v>
      </c>
      <c r="C17" s="6">
        <v>50</v>
      </c>
      <c r="D17" s="10">
        <v>46.8</v>
      </c>
      <c r="E17" s="10">
        <v>49</v>
      </c>
      <c r="F17" s="9">
        <f>IF(Tablo14567891011121314156062[[#This Row],[SATIŞ]]=0,"Açık",(E17-D17)*C17)</f>
        <v>110.00000000000014</v>
      </c>
      <c r="G17" s="11">
        <f>Tablo14567891011121314156062[[#This Row],[ADET]]*Tablo14567891011121314156062[[#This Row],[ALIŞ]]</f>
        <v>2340</v>
      </c>
      <c r="H17" s="11">
        <f>Tablo14567891011121314156062[[#This Row],[ADET]]*Tablo14567891011121314156062[[#This Row],[SATIŞ]]</f>
        <v>2450</v>
      </c>
      <c r="J17" s="40" t="str">
        <f t="shared" si="0"/>
        <v/>
      </c>
    </row>
    <row r="18" spans="2:10" ht="21" customHeight="1" x14ac:dyDescent="0.3">
      <c r="B18" s="2">
        <v>45378</v>
      </c>
      <c r="C18" s="6">
        <v>50</v>
      </c>
      <c r="D18" s="10">
        <v>49</v>
      </c>
      <c r="E18" s="10">
        <v>50</v>
      </c>
      <c r="F18" s="9">
        <f>IF(Tablo14567891011121314156062[[#This Row],[SATIŞ]]=0,"Açık",(E18-D18)*C18)</f>
        <v>50</v>
      </c>
      <c r="G18" s="11">
        <f>Tablo14567891011121314156062[[#This Row],[ADET]]*Tablo14567891011121314156062[[#This Row],[ALIŞ]]</f>
        <v>2450</v>
      </c>
      <c r="H18" s="11">
        <f>Tablo14567891011121314156062[[#This Row],[ADET]]*Tablo14567891011121314156062[[#This Row],[SATIŞ]]</f>
        <v>2500</v>
      </c>
      <c r="J18" s="40" t="str">
        <f t="shared" si="0"/>
        <v/>
      </c>
    </row>
    <row r="19" spans="2:10" ht="21" customHeight="1" x14ac:dyDescent="0.3">
      <c r="J19" s="40">
        <f t="shared" si="0"/>
        <v>0</v>
      </c>
    </row>
    <row r="20" spans="2:10" ht="21" customHeight="1" x14ac:dyDescent="0.3">
      <c r="J20" s="40">
        <f t="shared" si="0"/>
        <v>0</v>
      </c>
    </row>
    <row r="21" spans="2:10" ht="21" customHeight="1" x14ac:dyDescent="0.3">
      <c r="J21" s="40">
        <f t="shared" si="0"/>
        <v>0</v>
      </c>
    </row>
  </sheetData>
  <conditionalFormatting sqref="B4:F18">
    <cfRule type="expression" dxfId="146" priority="1">
      <formula>$F4&lt;0</formula>
    </cfRule>
    <cfRule type="expression" dxfId="145" priority="2">
      <formula>$F4="Açık"</formula>
    </cfRule>
    <cfRule type="expression" dxfId="144" priority="3">
      <formula>$F4&gt;0</formula>
    </cfRule>
  </conditionalFormatting>
  <hyperlinks>
    <hyperlink ref="B1" location="İcmal!A1" display="ANA SAYFA" xr:uid="{122E6A9D-128F-4EC7-B37F-4D13D44FD548}"/>
  </hyperlinks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059C3-47E1-4A63-B72D-1CA0972E870D}">
  <sheetPr>
    <tabColor rgb="FF00B050"/>
  </sheetPr>
  <dimension ref="B1:R59"/>
  <sheetViews>
    <sheetView showGridLines="0" showZeros="0" zoomScale="110" zoomScaleNormal="110" workbookViewId="0">
      <pane ySplit="3" topLeftCell="A22" activePane="bottomLeft" state="frozen"/>
      <selection pane="bottomLeft" activeCell="E59" sqref="E59"/>
    </sheetView>
  </sheetViews>
  <sheetFormatPr defaultRowHeight="21" customHeight="1" x14ac:dyDescent="0.3"/>
  <cols>
    <col min="2" max="2" width="20.6640625" style="1" customWidth="1"/>
    <col min="3" max="3" width="11.33203125" style="6" customWidth="1"/>
    <col min="4" max="5" width="12.88671875" style="3" customWidth="1"/>
    <col min="6" max="6" width="12.88671875" style="5" customWidth="1"/>
    <col min="7" max="8" width="14" customWidth="1"/>
    <col min="10" max="12" width="12.44140625" customWidth="1"/>
    <col min="13" max="13" width="12.6640625" bestFit="1" customWidth="1"/>
    <col min="14" max="14" width="12" bestFit="1" customWidth="1"/>
  </cols>
  <sheetData>
    <row r="1" spans="2:18" ht="21" customHeight="1" x14ac:dyDescent="0.3">
      <c r="B1" s="12" t="s">
        <v>64</v>
      </c>
      <c r="C1" s="4">
        <f>SUMIF(Tablo14567891011121314151617[KAR],"Açık",Tablo14567891011121314151617[ADET])</f>
        <v>800</v>
      </c>
      <c r="D1" s="10">
        <f>+İcmal!E23</f>
        <v>63.05</v>
      </c>
      <c r="E1" s="10">
        <f>C1*D1</f>
        <v>50440</v>
      </c>
      <c r="F1" s="10">
        <f>IFERROR(((SUM(Tablo14567891011121314151617[ALIŞ TUTAR])-SUM(Tablo14567891011121314151617[SATIŞ TUTAR]))/C1),"")</f>
        <v>50.885108049999978</v>
      </c>
      <c r="G1" s="10">
        <f>SUM(Tablo14567891011121314151617[KAR])+C1*(D1-F1)</f>
        <v>17598.827120000034</v>
      </c>
      <c r="J1" s="45" t="s">
        <v>94</v>
      </c>
      <c r="K1" s="45" t="s">
        <v>95</v>
      </c>
      <c r="L1" s="45" t="s">
        <v>96</v>
      </c>
      <c r="M1" s="33">
        <f>F1</f>
        <v>50.885108049999978</v>
      </c>
      <c r="N1" s="8" t="e">
        <f>M1*(1+$J$1)</f>
        <v>#VALUE!</v>
      </c>
      <c r="P1" s="8" t="e">
        <f>Q1*(1-$J$1)</f>
        <v>#VALUE!</v>
      </c>
      <c r="Q1" s="33">
        <f>+D1</f>
        <v>63.05</v>
      </c>
      <c r="R1" s="8" t="e">
        <f>Q1*(1+$J$1)</f>
        <v>#VALUE!</v>
      </c>
    </row>
    <row r="2" spans="2:18" ht="21" customHeight="1" x14ac:dyDescent="0.3">
      <c r="B2" s="7" t="s">
        <v>26</v>
      </c>
      <c r="J2" s="45">
        <f>SUMIFS(Tablo2[HEDEF2],Tablo2[HİSSE],B2)</f>
        <v>2000</v>
      </c>
      <c r="K2" s="45">
        <f>+E1/İcmal!$P$2</f>
        <v>1550.5687058100214</v>
      </c>
      <c r="L2" s="45">
        <f>+J2-K2</f>
        <v>449.43129418997864</v>
      </c>
    </row>
    <row r="3" spans="2:18" ht="21" customHeight="1" x14ac:dyDescent="0.3">
      <c r="B3" s="1" t="s">
        <v>0</v>
      </c>
      <c r="C3" s="6" t="s">
        <v>4</v>
      </c>
      <c r="D3" s="3" t="s">
        <v>1</v>
      </c>
      <c r="E3" s="3" t="s">
        <v>3</v>
      </c>
      <c r="F3" s="5" t="s">
        <v>2</v>
      </c>
      <c r="G3" s="3" t="s">
        <v>8</v>
      </c>
      <c r="H3" s="3" t="s">
        <v>9</v>
      </c>
    </row>
    <row r="4" spans="2:18" ht="21" hidden="1" customHeight="1" x14ac:dyDescent="0.3">
      <c r="B4" s="2">
        <v>45322</v>
      </c>
      <c r="C4" s="6">
        <v>7034</v>
      </c>
      <c r="D4" s="10">
        <v>36.495539999999998</v>
      </c>
      <c r="E4" s="10">
        <v>36.659880000000001</v>
      </c>
      <c r="F4" s="9">
        <f>IF(Tablo14567891011121314151617[[#This Row],[SATIŞ]]=0,"Açık",(E4-D4)*C4)</f>
        <v>1155.9675600000198</v>
      </c>
      <c r="G4" s="11">
        <f>Tablo14567891011121314151617[[#This Row],[ADET]]*Tablo14567891011121314151617[[#This Row],[ALIŞ]]</f>
        <v>256709.62836</v>
      </c>
      <c r="H4" s="11">
        <f>Tablo14567891011121314151617[[#This Row],[ADET]]*Tablo14567891011121314151617[[#This Row],[SATIŞ]]</f>
        <v>257865.59592000002</v>
      </c>
      <c r="L4" s="8">
        <f>SUM(Tablo14567891011121314151617[ALIŞ TUTAR])</f>
        <v>441190.68235999998</v>
      </c>
      <c r="M4" s="8">
        <f>SUM(Tablo14567891011121314151617[SATIŞ TUTAR])</f>
        <v>400482.59591999999</v>
      </c>
      <c r="N4" s="8">
        <f>L4-M4</f>
        <v>40708.086439999985</v>
      </c>
    </row>
    <row r="5" spans="2:18" ht="21" hidden="1" customHeight="1" x14ac:dyDescent="0.3">
      <c r="B5" s="2">
        <v>45322</v>
      </c>
      <c r="C5" s="6">
        <v>20</v>
      </c>
      <c r="D5" s="10">
        <v>36.495539999999998</v>
      </c>
      <c r="E5" s="10">
        <v>58</v>
      </c>
      <c r="F5" s="9">
        <f>IF(Tablo14567891011121314151617[[#This Row],[SATIŞ]]=0,"Açık",(E5-D5)*C5)</f>
        <v>430.08920000000001</v>
      </c>
      <c r="G5" s="11">
        <f>Tablo14567891011121314151617[[#This Row],[ADET]]*Tablo14567891011121314151617[[#This Row],[ALIŞ]]</f>
        <v>729.91079999999999</v>
      </c>
      <c r="H5" s="11">
        <f>Tablo14567891011121314151617[[#This Row],[ADET]]*Tablo14567891011121314151617[[#This Row],[SATIŞ]]</f>
        <v>1160</v>
      </c>
      <c r="N5">
        <f>+N4/80</f>
        <v>508.8510804999998</v>
      </c>
    </row>
    <row r="6" spans="2:18" ht="21" hidden="1" customHeight="1" x14ac:dyDescent="0.3">
      <c r="B6" s="2">
        <v>45322</v>
      </c>
      <c r="C6" s="6">
        <v>15</v>
      </c>
      <c r="D6" s="10">
        <v>36.495539999999998</v>
      </c>
      <c r="E6" s="10">
        <v>60</v>
      </c>
      <c r="F6" s="9">
        <f>IF(Tablo14567891011121314151617[[#This Row],[SATIŞ]]=0,"Açık",(E6-D6)*C6)</f>
        <v>352.56690000000003</v>
      </c>
      <c r="G6" s="11">
        <f>Tablo14567891011121314151617[[#This Row],[ADET]]*Tablo14567891011121314151617[[#This Row],[ALIŞ]]</f>
        <v>547.43309999999997</v>
      </c>
      <c r="H6" s="11">
        <f>Tablo14567891011121314151617[[#This Row],[ADET]]*Tablo14567891011121314151617[[#This Row],[SATIŞ]]</f>
        <v>900</v>
      </c>
    </row>
    <row r="7" spans="2:18" ht="21" hidden="1" customHeight="1" x14ac:dyDescent="0.3">
      <c r="B7" s="2">
        <v>45322</v>
      </c>
      <c r="C7" s="6">
        <v>50</v>
      </c>
      <c r="D7" s="10">
        <v>36.495539999999998</v>
      </c>
      <c r="E7" s="10">
        <v>59.6</v>
      </c>
      <c r="F7" s="9">
        <f>IF(Tablo14567891011121314151617[[#This Row],[SATIŞ]]=0,"Açık",(E7-D7)*C7)</f>
        <v>1155.2230000000002</v>
      </c>
      <c r="G7" s="11">
        <f>Tablo14567891011121314151617[[#This Row],[ADET]]*Tablo14567891011121314151617[[#This Row],[ALIŞ]]</f>
        <v>1824.7769999999998</v>
      </c>
      <c r="H7" s="11">
        <f>Tablo14567891011121314151617[[#This Row],[ADET]]*Tablo14567891011121314151617[[#This Row],[SATIŞ]]</f>
        <v>2980</v>
      </c>
    </row>
    <row r="8" spans="2:18" ht="21" hidden="1" customHeight="1" x14ac:dyDescent="0.3">
      <c r="B8" s="2">
        <v>45322</v>
      </c>
      <c r="C8" s="6">
        <v>15</v>
      </c>
      <c r="D8" s="10">
        <v>36.495539999999998</v>
      </c>
      <c r="E8" s="10">
        <v>60</v>
      </c>
      <c r="F8" s="9">
        <f>IF(Tablo14567891011121314151617[[#This Row],[SATIŞ]]=0,"Açık",(E8-D8)*C8)</f>
        <v>352.56690000000003</v>
      </c>
      <c r="G8" s="11">
        <f>Tablo14567891011121314151617[[#This Row],[ADET]]*Tablo14567891011121314151617[[#This Row],[ALIŞ]]</f>
        <v>547.43309999999997</v>
      </c>
      <c r="H8" s="11">
        <f>Tablo14567891011121314151617[[#This Row],[ADET]]*Tablo14567891011121314151617[[#This Row],[SATIŞ]]</f>
        <v>900</v>
      </c>
    </row>
    <row r="9" spans="2:18" ht="21" hidden="1" customHeight="1" x14ac:dyDescent="0.3">
      <c r="B9" s="2">
        <v>45323</v>
      </c>
      <c r="C9" s="6">
        <v>5</v>
      </c>
      <c r="D9" s="10">
        <v>55</v>
      </c>
      <c r="E9" s="10">
        <v>55.5</v>
      </c>
      <c r="F9" s="9">
        <f>IF(Tablo14567891011121314151617[[#This Row],[SATIŞ]]=0,"Açık",(E9-D9)*C9)</f>
        <v>2.5</v>
      </c>
      <c r="G9" s="11">
        <f>Tablo14567891011121314151617[[#This Row],[ADET]]*Tablo14567891011121314151617[[#This Row],[ALIŞ]]</f>
        <v>275</v>
      </c>
      <c r="H9" s="11">
        <f>Tablo14567891011121314151617[[#This Row],[ADET]]*Tablo14567891011121314151617[[#This Row],[SATIŞ]]</f>
        <v>277.5</v>
      </c>
    </row>
    <row r="10" spans="2:18" ht="21" hidden="1" customHeight="1" x14ac:dyDescent="0.3">
      <c r="B10" s="2">
        <v>45323</v>
      </c>
      <c r="C10" s="6">
        <v>15</v>
      </c>
      <c r="D10" s="10">
        <v>55</v>
      </c>
      <c r="E10" s="10">
        <v>57.1</v>
      </c>
      <c r="F10" s="9">
        <f>IF(Tablo14567891011121314151617[[#This Row],[SATIŞ]]=0,"Açık",(E10-D10)*C10)</f>
        <v>31.500000000000021</v>
      </c>
      <c r="G10" s="11">
        <f>Tablo14567891011121314151617[[#This Row],[ADET]]*Tablo14567891011121314151617[[#This Row],[ALIŞ]]</f>
        <v>825</v>
      </c>
      <c r="H10" s="11">
        <f>Tablo14567891011121314151617[[#This Row],[ADET]]*Tablo14567891011121314151617[[#This Row],[SATIŞ]]</f>
        <v>856.5</v>
      </c>
    </row>
    <row r="11" spans="2:18" ht="21" hidden="1" customHeight="1" x14ac:dyDescent="0.3">
      <c r="B11" s="2">
        <v>45323</v>
      </c>
      <c r="C11" s="6">
        <v>5</v>
      </c>
      <c r="D11" s="10">
        <v>55</v>
      </c>
      <c r="E11" s="10">
        <v>56</v>
      </c>
      <c r="F11" s="9">
        <f>IF(Tablo14567891011121314151617[[#This Row],[SATIŞ]]=0,"Açık",(E11-D11)*C11)</f>
        <v>5</v>
      </c>
      <c r="G11" s="11">
        <f>Tablo14567891011121314151617[[#This Row],[ADET]]*Tablo14567891011121314151617[[#This Row],[ALIŞ]]</f>
        <v>275</v>
      </c>
      <c r="H11" s="11">
        <f>Tablo14567891011121314151617[[#This Row],[ADET]]*Tablo14567891011121314151617[[#This Row],[SATIŞ]]</f>
        <v>280</v>
      </c>
    </row>
    <row r="12" spans="2:18" ht="21" hidden="1" customHeight="1" x14ac:dyDescent="0.3">
      <c r="B12" s="2">
        <v>45328</v>
      </c>
      <c r="C12" s="6">
        <v>5</v>
      </c>
      <c r="D12" s="10">
        <v>55.5</v>
      </c>
      <c r="E12" s="10">
        <v>57.1</v>
      </c>
      <c r="F12" s="9">
        <f>IF(Tablo14567891011121314151617[[#This Row],[SATIŞ]]=0,"Açık",(E12-D12)*C12)</f>
        <v>8.0000000000000071</v>
      </c>
      <c r="G12" s="11">
        <f>Tablo14567891011121314151617[[#This Row],[ADET]]*Tablo14567891011121314151617[[#This Row],[ALIŞ]]</f>
        <v>277.5</v>
      </c>
      <c r="H12" s="11">
        <f>Tablo14567891011121314151617[[#This Row],[ADET]]*Tablo14567891011121314151617[[#This Row],[SATIŞ]]</f>
        <v>285.5</v>
      </c>
    </row>
    <row r="13" spans="2:18" ht="21" hidden="1" customHeight="1" x14ac:dyDescent="0.3">
      <c r="B13" s="2">
        <v>45328</v>
      </c>
      <c r="C13" s="6">
        <v>10</v>
      </c>
      <c r="D13" s="10">
        <v>56.25</v>
      </c>
      <c r="E13" s="10">
        <v>60</v>
      </c>
      <c r="F13" s="9">
        <f>IF(Tablo14567891011121314151617[[#This Row],[SATIŞ]]=0,"Açık",(E13-D13)*C13)</f>
        <v>37.5</v>
      </c>
      <c r="G13" s="11">
        <f>Tablo14567891011121314151617[[#This Row],[ADET]]*Tablo14567891011121314151617[[#This Row],[ALIŞ]]</f>
        <v>562.5</v>
      </c>
      <c r="H13" s="11">
        <f>Tablo14567891011121314151617[[#This Row],[ADET]]*Tablo14567891011121314151617[[#This Row],[SATIŞ]]</f>
        <v>600</v>
      </c>
    </row>
    <row r="14" spans="2:18" ht="21" hidden="1" customHeight="1" x14ac:dyDescent="0.3">
      <c r="B14" s="2">
        <v>45328</v>
      </c>
      <c r="C14" s="6">
        <v>20</v>
      </c>
      <c r="D14" s="10">
        <v>56.2</v>
      </c>
      <c r="E14" s="10">
        <v>60</v>
      </c>
      <c r="F14" s="9">
        <f>IF(Tablo14567891011121314151617[[#This Row],[SATIŞ]]=0,"Açık",(E14-D14)*C14)</f>
        <v>75.999999999999943</v>
      </c>
      <c r="G14" s="11">
        <f>Tablo14567891011121314151617[[#This Row],[ADET]]*Tablo14567891011121314151617[[#This Row],[ALIŞ]]</f>
        <v>1124</v>
      </c>
      <c r="H14" s="11">
        <f>Tablo14567891011121314151617[[#This Row],[ADET]]*Tablo14567891011121314151617[[#This Row],[SATIŞ]]</f>
        <v>1200</v>
      </c>
    </row>
    <row r="15" spans="2:18" ht="21" hidden="1" customHeight="1" x14ac:dyDescent="0.3">
      <c r="B15" s="2">
        <v>45328</v>
      </c>
      <c r="C15" s="6">
        <v>5</v>
      </c>
      <c r="D15" s="10">
        <v>56.25</v>
      </c>
      <c r="E15" s="10">
        <v>60</v>
      </c>
      <c r="F15" s="9">
        <f>IF(Tablo14567891011121314151617[[#This Row],[SATIŞ]]=0,"Açık",(E15-D15)*C15)</f>
        <v>18.75</v>
      </c>
      <c r="G15" s="11">
        <f>Tablo14567891011121314151617[[#This Row],[ADET]]*Tablo14567891011121314151617[[#This Row],[ALIŞ]]</f>
        <v>281.25</v>
      </c>
      <c r="H15" s="11">
        <f>Tablo14567891011121314151617[[#This Row],[ADET]]*Tablo14567891011121314151617[[#This Row],[SATIŞ]]</f>
        <v>300</v>
      </c>
    </row>
    <row r="16" spans="2:18" ht="21" hidden="1" customHeight="1" x14ac:dyDescent="0.3">
      <c r="B16" s="2">
        <v>45328</v>
      </c>
      <c r="C16" s="6">
        <v>5</v>
      </c>
      <c r="D16" s="10">
        <v>56.25</v>
      </c>
      <c r="E16" s="10">
        <v>62</v>
      </c>
      <c r="F16" s="9">
        <f>IF(Tablo14567891011121314151617[[#This Row],[SATIŞ]]=0,"Açık",(E16-D16)*C16)</f>
        <v>28.75</v>
      </c>
      <c r="G16" s="11">
        <f>Tablo14567891011121314151617[[#This Row],[ADET]]*Tablo14567891011121314151617[[#This Row],[ALIŞ]]</f>
        <v>281.25</v>
      </c>
      <c r="H16" s="11">
        <f>Tablo14567891011121314151617[[#This Row],[ADET]]*Tablo14567891011121314151617[[#This Row],[SATIŞ]]</f>
        <v>310</v>
      </c>
    </row>
    <row r="17" spans="2:10" ht="21" hidden="1" customHeight="1" x14ac:dyDescent="0.3">
      <c r="B17" s="2">
        <v>45329</v>
      </c>
      <c r="C17" s="6">
        <v>50</v>
      </c>
      <c r="D17" s="10">
        <v>56</v>
      </c>
      <c r="E17" s="10">
        <v>63</v>
      </c>
      <c r="F17" s="9">
        <f>IF(Tablo14567891011121314151617[[#This Row],[SATIŞ]]=0,"Açık",(E17-D17)*C17)</f>
        <v>350</v>
      </c>
      <c r="G17" s="11">
        <f>Tablo14567891011121314151617[[#This Row],[ADET]]*Tablo14567891011121314151617[[#This Row],[ALIŞ]]</f>
        <v>2800</v>
      </c>
      <c r="H17" s="11">
        <f>Tablo14567891011121314151617[[#This Row],[ADET]]*Tablo14567891011121314151617[[#This Row],[SATIŞ]]</f>
        <v>3150</v>
      </c>
    </row>
    <row r="18" spans="2:10" ht="21" hidden="1" customHeight="1" x14ac:dyDescent="0.3">
      <c r="B18" s="2">
        <v>45335</v>
      </c>
      <c r="C18" s="6">
        <v>45</v>
      </c>
      <c r="D18" s="10">
        <v>59</v>
      </c>
      <c r="E18" s="10">
        <v>62</v>
      </c>
      <c r="F18" s="9">
        <f>IF(Tablo14567891011121314151617[[#This Row],[SATIŞ]]=0,"Açık",(E18-D18)*C18)</f>
        <v>135</v>
      </c>
      <c r="G18" s="11">
        <f>Tablo14567891011121314151617[[#This Row],[ADET]]*Tablo14567891011121314151617[[#This Row],[ALIŞ]]</f>
        <v>2655</v>
      </c>
      <c r="H18" s="11">
        <f>Tablo14567891011121314151617[[#This Row],[ADET]]*Tablo14567891011121314151617[[#This Row],[SATIŞ]]</f>
        <v>2790</v>
      </c>
    </row>
    <row r="19" spans="2:10" ht="21" hidden="1" customHeight="1" x14ac:dyDescent="0.3">
      <c r="B19" s="2">
        <v>45336</v>
      </c>
      <c r="C19" s="6">
        <v>50</v>
      </c>
      <c r="D19" s="10">
        <v>57.5</v>
      </c>
      <c r="E19" s="10">
        <v>63</v>
      </c>
      <c r="F19" s="9">
        <f>IF(Tablo14567891011121314151617[[#This Row],[SATIŞ]]=0,"Açık",(E19-D19)*C19)</f>
        <v>275</v>
      </c>
      <c r="G19" s="11">
        <f>Tablo14567891011121314151617[[#This Row],[ADET]]*Tablo14567891011121314151617[[#This Row],[ALIŞ]]</f>
        <v>2875</v>
      </c>
      <c r="H19" s="11">
        <f>Tablo14567891011121314151617[[#This Row],[ADET]]*Tablo14567891011121314151617[[#This Row],[SATIŞ]]</f>
        <v>3150</v>
      </c>
    </row>
    <row r="20" spans="2:10" ht="21" hidden="1" customHeight="1" x14ac:dyDescent="0.3">
      <c r="B20" s="2">
        <v>45337</v>
      </c>
      <c r="C20" s="6">
        <v>50</v>
      </c>
      <c r="D20" s="10">
        <v>58.8</v>
      </c>
      <c r="E20" s="10">
        <v>64.2</v>
      </c>
      <c r="F20" s="9">
        <f>IF(Tablo14567891011121314151617[[#This Row],[SATIŞ]]=0,"Açık",(E20-D20)*C20)</f>
        <v>270.00000000000028</v>
      </c>
      <c r="G20" s="11">
        <f>Tablo14567891011121314151617[[#This Row],[ADET]]*Tablo14567891011121314151617[[#This Row],[ALIŞ]]</f>
        <v>2940</v>
      </c>
      <c r="H20" s="11">
        <f>Tablo14567891011121314151617[[#This Row],[ADET]]*Tablo14567891011121314151617[[#This Row],[SATIŞ]]</f>
        <v>3210</v>
      </c>
    </row>
    <row r="21" spans="2:10" ht="21" hidden="1" customHeight="1" x14ac:dyDescent="0.3">
      <c r="B21" s="2">
        <v>45341</v>
      </c>
      <c r="C21" s="6">
        <v>50</v>
      </c>
      <c r="D21" s="10">
        <v>60</v>
      </c>
      <c r="E21" s="10">
        <v>63</v>
      </c>
      <c r="F21" s="9">
        <f>IF(Tablo14567891011121314151617[[#This Row],[SATIŞ]]=0,"Açık",(E21-D21)*C21)</f>
        <v>150</v>
      </c>
      <c r="G21" s="11">
        <f>Tablo14567891011121314151617[[#This Row],[ADET]]*Tablo14567891011121314151617[[#This Row],[ALIŞ]]</f>
        <v>3000</v>
      </c>
      <c r="H21" s="11">
        <f>Tablo14567891011121314151617[[#This Row],[ADET]]*Tablo14567891011121314151617[[#This Row],[SATIŞ]]</f>
        <v>3150</v>
      </c>
    </row>
    <row r="22" spans="2:10" ht="21" customHeight="1" x14ac:dyDescent="0.3">
      <c r="B22" s="2">
        <v>45348</v>
      </c>
      <c r="C22" s="6">
        <v>50</v>
      </c>
      <c r="D22" s="10">
        <v>62</v>
      </c>
      <c r="E22" s="10"/>
      <c r="F22" s="9" t="str">
        <f>IF(Tablo14567891011121314151617[[#This Row],[SATIŞ]]=0,"Açık",(E22-D22)*C22)</f>
        <v>Açık</v>
      </c>
      <c r="G22" s="11">
        <f>Tablo14567891011121314151617[[#This Row],[ADET]]*Tablo14567891011121314151617[[#This Row],[ALIŞ]]</f>
        <v>3100</v>
      </c>
      <c r="H22" s="11">
        <f>Tablo14567891011121314151617[[#This Row],[ADET]]*Tablo14567891011121314151617[[#This Row],[SATIŞ]]</f>
        <v>0</v>
      </c>
      <c r="J22" s="40">
        <f t="shared" ref="J22:J59" si="0">IF(E22=0,D22*1.05,"")</f>
        <v>65.100000000000009</v>
      </c>
    </row>
    <row r="23" spans="2:10" ht="21" customHeight="1" x14ac:dyDescent="0.3">
      <c r="B23" s="2">
        <v>45348</v>
      </c>
      <c r="C23" s="6">
        <v>50</v>
      </c>
      <c r="D23" s="10">
        <v>63</v>
      </c>
      <c r="E23" s="10"/>
      <c r="F23" s="9" t="str">
        <f>IF(Tablo14567891011121314151617[[#This Row],[SATIŞ]]=0,"Açık",(E23-D23)*C23)</f>
        <v>Açık</v>
      </c>
      <c r="G23" s="11">
        <f>Tablo14567891011121314151617[[#This Row],[ADET]]*Tablo14567891011121314151617[[#This Row],[ALIŞ]]</f>
        <v>3150</v>
      </c>
      <c r="H23" s="11">
        <f>Tablo14567891011121314151617[[#This Row],[ADET]]*Tablo14567891011121314151617[[#This Row],[SATIŞ]]</f>
        <v>0</v>
      </c>
      <c r="J23" s="40">
        <f t="shared" si="0"/>
        <v>66.150000000000006</v>
      </c>
    </row>
    <row r="24" spans="2:10" ht="21" customHeight="1" x14ac:dyDescent="0.3">
      <c r="B24" s="2">
        <v>45349</v>
      </c>
      <c r="C24" s="6">
        <v>50</v>
      </c>
      <c r="D24" s="10">
        <v>62</v>
      </c>
      <c r="E24" s="10"/>
      <c r="F24" s="9" t="str">
        <f>IF(Tablo14567891011121314151617[[#This Row],[SATIŞ]]=0,"Açık",(E24-D24)*C24)</f>
        <v>Açık</v>
      </c>
      <c r="G24" s="11">
        <f>Tablo14567891011121314151617[[#This Row],[ADET]]*Tablo14567891011121314151617[[#This Row],[ALIŞ]]</f>
        <v>3100</v>
      </c>
      <c r="H24" s="11">
        <f>Tablo14567891011121314151617[[#This Row],[ADET]]*Tablo14567891011121314151617[[#This Row],[SATIŞ]]</f>
        <v>0</v>
      </c>
      <c r="J24" s="40">
        <f t="shared" si="0"/>
        <v>65.100000000000009</v>
      </c>
    </row>
    <row r="25" spans="2:10" ht="21" customHeight="1" x14ac:dyDescent="0.3">
      <c r="B25" s="2">
        <v>45349</v>
      </c>
      <c r="C25" s="6">
        <v>50</v>
      </c>
      <c r="D25" s="10">
        <v>61</v>
      </c>
      <c r="E25" s="10"/>
      <c r="F25" s="9" t="str">
        <f>IF(Tablo14567891011121314151617[[#This Row],[SATIŞ]]=0,"Açık",(E25-D25)*C25)</f>
        <v>Açık</v>
      </c>
      <c r="G25" s="11">
        <f>Tablo14567891011121314151617[[#This Row],[ADET]]*Tablo14567891011121314151617[[#This Row],[ALIŞ]]</f>
        <v>3050</v>
      </c>
      <c r="H25" s="11">
        <f>Tablo14567891011121314151617[[#This Row],[ADET]]*Tablo14567891011121314151617[[#This Row],[SATIŞ]]</f>
        <v>0</v>
      </c>
      <c r="J25" s="40">
        <f t="shared" si="0"/>
        <v>64.05</v>
      </c>
    </row>
    <row r="26" spans="2:10" ht="21" customHeight="1" x14ac:dyDescent="0.3">
      <c r="B26" s="2">
        <v>45349</v>
      </c>
      <c r="C26" s="6">
        <v>25</v>
      </c>
      <c r="D26" s="10">
        <v>61</v>
      </c>
      <c r="E26" s="10"/>
      <c r="F26" s="9" t="str">
        <f>IF(Tablo14567891011121314151617[[#This Row],[SATIŞ]]=0,"Açık",(E26-D26)*C26)</f>
        <v>Açık</v>
      </c>
      <c r="G26" s="11">
        <f>Tablo14567891011121314151617[[#This Row],[ADET]]*Tablo14567891011121314151617[[#This Row],[ALIŞ]]</f>
        <v>1525</v>
      </c>
      <c r="H26" s="11">
        <f>Tablo14567891011121314151617[[#This Row],[ADET]]*Tablo14567891011121314151617[[#This Row],[SATIŞ]]</f>
        <v>0</v>
      </c>
      <c r="J26" s="40">
        <f t="shared" si="0"/>
        <v>64.05</v>
      </c>
    </row>
    <row r="27" spans="2:10" ht="21" customHeight="1" x14ac:dyDescent="0.3">
      <c r="B27" s="2">
        <v>45350</v>
      </c>
      <c r="C27" s="6">
        <v>50</v>
      </c>
      <c r="D27" s="10">
        <v>60</v>
      </c>
      <c r="E27" s="10"/>
      <c r="F27" s="9" t="str">
        <f>IF(Tablo14567891011121314151617[[#This Row],[SATIŞ]]=0,"Açık",(E27-D27)*C27)</f>
        <v>Açık</v>
      </c>
      <c r="G27" s="11">
        <f>Tablo14567891011121314151617[[#This Row],[ADET]]*Tablo14567891011121314151617[[#This Row],[ALIŞ]]</f>
        <v>3000</v>
      </c>
      <c r="H27" s="11">
        <f>Tablo14567891011121314151617[[#This Row],[ADET]]*Tablo14567891011121314151617[[#This Row],[SATIŞ]]</f>
        <v>0</v>
      </c>
      <c r="J27" s="40">
        <f t="shared" si="0"/>
        <v>63</v>
      </c>
    </row>
    <row r="28" spans="2:10" ht="21" customHeight="1" x14ac:dyDescent="0.3">
      <c r="B28" s="2">
        <v>45355</v>
      </c>
      <c r="C28" s="6">
        <v>75</v>
      </c>
      <c r="D28" s="10">
        <v>60</v>
      </c>
      <c r="E28" s="10"/>
      <c r="F28" s="9" t="str">
        <f>IF(Tablo14567891011121314151617[[#This Row],[SATIŞ]]=0,"Açık",(E28-D28)*C28)</f>
        <v>Açık</v>
      </c>
      <c r="G28" s="11">
        <f>Tablo14567891011121314151617[[#This Row],[ADET]]*Tablo14567891011121314151617[[#This Row],[ALIŞ]]</f>
        <v>4500</v>
      </c>
      <c r="H28" s="11">
        <f>Tablo14567891011121314151617[[#This Row],[ADET]]*Tablo14567891011121314151617[[#This Row],[SATIŞ]]</f>
        <v>0</v>
      </c>
      <c r="J28" s="40">
        <f t="shared" si="0"/>
        <v>63</v>
      </c>
    </row>
    <row r="29" spans="2:10" ht="21" customHeight="1" x14ac:dyDescent="0.3">
      <c r="B29" s="2">
        <v>45362</v>
      </c>
      <c r="C29" s="6">
        <v>50</v>
      </c>
      <c r="D29" s="10">
        <v>60</v>
      </c>
      <c r="E29" s="10"/>
      <c r="F29" s="9" t="str">
        <f>IF(Tablo14567891011121314151617[[#This Row],[SATIŞ]]=0,"Açık",(E29-D29)*C29)</f>
        <v>Açık</v>
      </c>
      <c r="G29" s="11">
        <f>Tablo14567891011121314151617[[#This Row],[ADET]]*Tablo14567891011121314151617[[#This Row],[ALIŞ]]</f>
        <v>3000</v>
      </c>
      <c r="H29" s="11">
        <f>Tablo14567891011121314151617[[#This Row],[ADET]]*Tablo14567891011121314151617[[#This Row],[SATIŞ]]</f>
        <v>0</v>
      </c>
      <c r="J29" s="40">
        <f t="shared" si="0"/>
        <v>63</v>
      </c>
    </row>
    <row r="30" spans="2:10" ht="21" customHeight="1" x14ac:dyDescent="0.3">
      <c r="B30" s="2">
        <v>45362</v>
      </c>
      <c r="C30" s="6">
        <v>100</v>
      </c>
      <c r="D30" s="10">
        <v>60</v>
      </c>
      <c r="E30" s="10"/>
      <c r="F30" s="9" t="str">
        <f>IF(Tablo14567891011121314151617[[#This Row],[SATIŞ]]=0,"Açık",(E30-D30)*C30)</f>
        <v>Açık</v>
      </c>
      <c r="G30" s="11">
        <f>Tablo14567891011121314151617[[#This Row],[ADET]]*Tablo14567891011121314151617[[#This Row],[ALIŞ]]</f>
        <v>6000</v>
      </c>
      <c r="H30" s="11">
        <f>Tablo14567891011121314151617[[#This Row],[ADET]]*Tablo14567891011121314151617[[#This Row],[SATIŞ]]</f>
        <v>0</v>
      </c>
      <c r="J30" s="40">
        <f t="shared" si="0"/>
        <v>63</v>
      </c>
    </row>
    <row r="31" spans="2:10" ht="21" customHeight="1" x14ac:dyDescent="0.3">
      <c r="B31" s="2">
        <v>45362</v>
      </c>
      <c r="C31" s="6">
        <v>100</v>
      </c>
      <c r="D31" s="10">
        <v>59.5</v>
      </c>
      <c r="E31" s="10"/>
      <c r="F31" s="9" t="str">
        <f>IF(Tablo14567891011121314151617[[#This Row],[SATIŞ]]=0,"Açık",(E31-D31)*C31)</f>
        <v>Açık</v>
      </c>
      <c r="G31" s="11">
        <f>Tablo14567891011121314151617[[#This Row],[ADET]]*Tablo14567891011121314151617[[#This Row],[ALIŞ]]</f>
        <v>5950</v>
      </c>
      <c r="H31" s="11">
        <f>Tablo14567891011121314151617[[#This Row],[ADET]]*Tablo14567891011121314151617[[#This Row],[SATIŞ]]</f>
        <v>0</v>
      </c>
      <c r="J31" s="40">
        <f t="shared" si="0"/>
        <v>62.475000000000001</v>
      </c>
    </row>
    <row r="32" spans="2:10" ht="21" customHeight="1" x14ac:dyDescent="0.3">
      <c r="B32" s="2">
        <v>45362</v>
      </c>
      <c r="C32" s="6">
        <v>100</v>
      </c>
      <c r="D32" s="10">
        <v>59</v>
      </c>
      <c r="E32" s="10"/>
      <c r="F32" s="9" t="str">
        <f>IF(Tablo14567891011121314151617[[#This Row],[SATIŞ]]=0,"Açık",(E32-D32)*C32)</f>
        <v>Açık</v>
      </c>
      <c r="G32" s="11">
        <f>Tablo14567891011121314151617[[#This Row],[ADET]]*Tablo14567891011121314151617[[#This Row],[ALIŞ]]</f>
        <v>5900</v>
      </c>
      <c r="H32" s="11">
        <f>Tablo14567891011121314151617[[#This Row],[ADET]]*Tablo14567891011121314151617[[#This Row],[SATIŞ]]</f>
        <v>0</v>
      </c>
      <c r="J32" s="40">
        <f t="shared" si="0"/>
        <v>61.95</v>
      </c>
    </row>
    <row r="33" spans="2:10" ht="21" hidden="1" customHeight="1" x14ac:dyDescent="0.3">
      <c r="B33" s="2">
        <v>45363</v>
      </c>
      <c r="C33" s="6">
        <v>100</v>
      </c>
      <c r="D33" s="10">
        <v>57.65</v>
      </c>
      <c r="E33" s="10">
        <v>59.475000000000001</v>
      </c>
      <c r="F33" s="9">
        <f>IF(Tablo14567891011121314151617[[#This Row],[SATIŞ]]=0,"Açık",(E33-D33)*C33)</f>
        <v>182.50000000000028</v>
      </c>
      <c r="G33" s="11">
        <f>Tablo14567891011121314151617[[#This Row],[ADET]]*Tablo14567891011121314151617[[#This Row],[ALIŞ]]</f>
        <v>5765</v>
      </c>
      <c r="H33" s="11">
        <f>Tablo14567891011121314151617[[#This Row],[ADET]]*Tablo14567891011121314151617[[#This Row],[SATIŞ]]</f>
        <v>5947.5</v>
      </c>
      <c r="J33" s="40" t="str">
        <f t="shared" si="0"/>
        <v/>
      </c>
    </row>
    <row r="34" spans="2:10" ht="21" hidden="1" customHeight="1" x14ac:dyDescent="0.3">
      <c r="B34" s="2">
        <v>45363</v>
      </c>
      <c r="C34" s="6">
        <v>50</v>
      </c>
      <c r="D34" s="10">
        <v>57.75</v>
      </c>
      <c r="E34" s="10">
        <v>64</v>
      </c>
      <c r="F34" s="9">
        <f>IF(Tablo14567891011121314151617[[#This Row],[SATIŞ]]=0,"Açık",(E34-D34)*C34)</f>
        <v>312.5</v>
      </c>
      <c r="G34" s="11">
        <f>Tablo14567891011121314151617[[#This Row],[ADET]]*Tablo14567891011121314151617[[#This Row],[ALIŞ]]</f>
        <v>2887.5</v>
      </c>
      <c r="H34" s="11">
        <f>Tablo14567891011121314151617[[#This Row],[ADET]]*Tablo14567891011121314151617[[#This Row],[SATIŞ]]</f>
        <v>3200</v>
      </c>
      <c r="J34" s="40" t="str">
        <f t="shared" si="0"/>
        <v/>
      </c>
    </row>
    <row r="35" spans="2:10" ht="21" hidden="1" customHeight="1" x14ac:dyDescent="0.3">
      <c r="B35" s="2">
        <v>45363</v>
      </c>
      <c r="C35" s="6">
        <v>50</v>
      </c>
      <c r="D35" s="10">
        <v>57.75</v>
      </c>
      <c r="E35" s="10">
        <v>64</v>
      </c>
      <c r="F35" s="9">
        <f>IF(Tablo14567891011121314151617[[#This Row],[SATIŞ]]=0,"Açık",(E35-D35)*C35)</f>
        <v>312.5</v>
      </c>
      <c r="G35" s="11">
        <f>Tablo14567891011121314151617[[#This Row],[ADET]]*Tablo14567891011121314151617[[#This Row],[ALIŞ]]</f>
        <v>2887.5</v>
      </c>
      <c r="H35" s="11">
        <f>Tablo14567891011121314151617[[#This Row],[ADET]]*Tablo14567891011121314151617[[#This Row],[SATIŞ]]</f>
        <v>3200</v>
      </c>
      <c r="J35" s="40" t="str">
        <f t="shared" si="0"/>
        <v/>
      </c>
    </row>
    <row r="36" spans="2:10" ht="21" hidden="1" customHeight="1" x14ac:dyDescent="0.3">
      <c r="B36" s="2">
        <v>45363</v>
      </c>
      <c r="C36" s="6">
        <v>50</v>
      </c>
      <c r="D36" s="10">
        <v>57.75</v>
      </c>
      <c r="E36" s="10">
        <v>61.5</v>
      </c>
      <c r="F36" s="9">
        <f>IF(Tablo14567891011121314151617[[#This Row],[SATIŞ]]=0,"Açık",(E36-D36)*C36)</f>
        <v>187.5</v>
      </c>
      <c r="G36" s="11">
        <f>Tablo14567891011121314151617[[#This Row],[ADET]]*Tablo14567891011121314151617[[#This Row],[ALIŞ]]</f>
        <v>2887.5</v>
      </c>
      <c r="H36" s="11">
        <f>Tablo14567891011121314151617[[#This Row],[ADET]]*Tablo14567891011121314151617[[#This Row],[SATIŞ]]</f>
        <v>3075</v>
      </c>
      <c r="J36" s="40"/>
    </row>
    <row r="37" spans="2:10" ht="21" hidden="1" customHeight="1" x14ac:dyDescent="0.3">
      <c r="B37" s="2">
        <v>45363</v>
      </c>
      <c r="C37" s="6">
        <v>50</v>
      </c>
      <c r="D37" s="10">
        <v>57.75</v>
      </c>
      <c r="E37" s="10">
        <v>60.3</v>
      </c>
      <c r="F37" s="9">
        <f>IF(Tablo14567891011121314151617[[#This Row],[SATIŞ]]=0,"Açık",(E37-D37)*C37)</f>
        <v>127.49999999999986</v>
      </c>
      <c r="G37" s="11">
        <f>Tablo14567891011121314151617[[#This Row],[ADET]]*Tablo14567891011121314151617[[#This Row],[ALIŞ]]</f>
        <v>2887.5</v>
      </c>
      <c r="H37" s="11">
        <f>Tablo14567891011121314151617[[#This Row],[ADET]]*Tablo14567891011121314151617[[#This Row],[SATIŞ]]</f>
        <v>3015</v>
      </c>
      <c r="J37" s="40" t="str">
        <f t="shared" si="0"/>
        <v/>
      </c>
    </row>
    <row r="38" spans="2:10" ht="21" hidden="1" customHeight="1" x14ac:dyDescent="0.3">
      <c r="B38" s="2">
        <v>45363</v>
      </c>
      <c r="C38" s="6">
        <v>100</v>
      </c>
      <c r="D38" s="10">
        <v>57.75</v>
      </c>
      <c r="E38" s="10">
        <v>58.5</v>
      </c>
      <c r="F38" s="9">
        <f>IF(Tablo14567891011121314151617[[#This Row],[SATIŞ]]=0,"Açık",(E38-D38)*C38)</f>
        <v>75</v>
      </c>
      <c r="G38" s="11">
        <f>Tablo14567891011121314151617[[#This Row],[ADET]]*Tablo14567891011121314151617[[#This Row],[ALIŞ]]</f>
        <v>5775</v>
      </c>
      <c r="H38" s="11">
        <f>Tablo14567891011121314151617[[#This Row],[ADET]]*Tablo14567891011121314151617[[#This Row],[SATIŞ]]</f>
        <v>5850</v>
      </c>
      <c r="J38" s="40" t="str">
        <f t="shared" si="0"/>
        <v/>
      </c>
    </row>
    <row r="39" spans="2:10" ht="21" hidden="1" customHeight="1" x14ac:dyDescent="0.3">
      <c r="B39" s="2">
        <v>45363</v>
      </c>
      <c r="C39" s="6">
        <v>100</v>
      </c>
      <c r="D39" s="10">
        <v>57.7</v>
      </c>
      <c r="E39" s="10">
        <v>58.25</v>
      </c>
      <c r="F39" s="9">
        <f>IF(Tablo14567891011121314151617[[#This Row],[SATIŞ]]=0,"Açık",(E39-D39)*C39)</f>
        <v>54.999999999999716</v>
      </c>
      <c r="G39" s="11">
        <f>Tablo14567891011121314151617[[#This Row],[ADET]]*Tablo14567891011121314151617[[#This Row],[ALIŞ]]</f>
        <v>5770</v>
      </c>
      <c r="H39" s="11">
        <f>Tablo14567891011121314151617[[#This Row],[ADET]]*Tablo14567891011121314151617[[#This Row],[SATIŞ]]</f>
        <v>5825</v>
      </c>
      <c r="J39" s="40" t="str">
        <f t="shared" si="0"/>
        <v/>
      </c>
    </row>
    <row r="40" spans="2:10" ht="21" hidden="1" customHeight="1" x14ac:dyDescent="0.3">
      <c r="B40" s="2">
        <v>45363</v>
      </c>
      <c r="C40" s="6">
        <v>100</v>
      </c>
      <c r="D40" s="10">
        <v>57.5</v>
      </c>
      <c r="E40" s="10">
        <v>58</v>
      </c>
      <c r="F40" s="9">
        <f>IF(Tablo14567891011121314151617[[#This Row],[SATIŞ]]=0,"Açık",(E40-D40)*C40)</f>
        <v>50</v>
      </c>
      <c r="G40" s="11">
        <f>Tablo14567891011121314151617[[#This Row],[ADET]]*Tablo14567891011121314151617[[#This Row],[ALIŞ]]</f>
        <v>5750</v>
      </c>
      <c r="H40" s="11">
        <f>Tablo14567891011121314151617[[#This Row],[ADET]]*Tablo14567891011121314151617[[#This Row],[SATIŞ]]</f>
        <v>5800</v>
      </c>
      <c r="J40" s="40" t="str">
        <f t="shared" si="0"/>
        <v/>
      </c>
    </row>
    <row r="41" spans="2:10" ht="21" hidden="1" customHeight="1" x14ac:dyDescent="0.3">
      <c r="B41" s="2">
        <v>45363</v>
      </c>
      <c r="C41" s="6">
        <v>100</v>
      </c>
      <c r="D41" s="10">
        <v>57</v>
      </c>
      <c r="E41" s="10">
        <v>57.5</v>
      </c>
      <c r="F41" s="9">
        <f>IF(Tablo14567891011121314151617[[#This Row],[SATIŞ]]=0,"Açık",(E41-D41)*C41)</f>
        <v>50</v>
      </c>
      <c r="G41" s="11">
        <f>Tablo14567891011121314151617[[#This Row],[ADET]]*Tablo14567891011121314151617[[#This Row],[ALIŞ]]</f>
        <v>5700</v>
      </c>
      <c r="H41" s="11">
        <f>Tablo14567891011121314151617[[#This Row],[ADET]]*Tablo14567891011121314151617[[#This Row],[SATIŞ]]</f>
        <v>5750</v>
      </c>
      <c r="J41" s="40" t="str">
        <f t="shared" si="0"/>
        <v/>
      </c>
    </row>
    <row r="42" spans="2:10" ht="21" hidden="1" customHeight="1" x14ac:dyDescent="0.3">
      <c r="B42" s="2">
        <v>45363</v>
      </c>
      <c r="C42" s="6">
        <v>100</v>
      </c>
      <c r="D42" s="10">
        <v>57</v>
      </c>
      <c r="E42" s="10">
        <v>58</v>
      </c>
      <c r="F42" s="9">
        <f>IF(Tablo14567891011121314151617[[#This Row],[SATIŞ]]=0,"Açık",(E42-D42)*C42)</f>
        <v>100</v>
      </c>
      <c r="G42" s="11">
        <f>Tablo14567891011121314151617[[#This Row],[ADET]]*Tablo14567891011121314151617[[#This Row],[ALIŞ]]</f>
        <v>5700</v>
      </c>
      <c r="H42" s="11">
        <f>Tablo14567891011121314151617[[#This Row],[ADET]]*Tablo14567891011121314151617[[#This Row],[SATIŞ]]</f>
        <v>5800</v>
      </c>
      <c r="J42" s="40" t="str">
        <f t="shared" si="0"/>
        <v/>
      </c>
    </row>
    <row r="43" spans="2:10" ht="21" hidden="1" customHeight="1" x14ac:dyDescent="0.3">
      <c r="B43" s="2">
        <v>45364</v>
      </c>
      <c r="C43" s="6">
        <v>100</v>
      </c>
      <c r="D43" s="10">
        <v>56.5</v>
      </c>
      <c r="E43" s="10">
        <v>57.5</v>
      </c>
      <c r="F43" s="9">
        <f>IF(Tablo14567891011121314151617[[#This Row],[SATIŞ]]=0,"Açık",(E43-D43)*C43)</f>
        <v>100</v>
      </c>
      <c r="G43" s="11">
        <f>Tablo14567891011121314151617[[#This Row],[ADET]]*Tablo14567891011121314151617[[#This Row],[ALIŞ]]</f>
        <v>5650</v>
      </c>
      <c r="H43" s="11">
        <f>Tablo14567891011121314151617[[#This Row],[ADET]]*Tablo14567891011121314151617[[#This Row],[SATIŞ]]</f>
        <v>5750</v>
      </c>
      <c r="J43" s="40" t="str">
        <f t="shared" si="0"/>
        <v/>
      </c>
    </row>
    <row r="44" spans="2:10" ht="21" hidden="1" customHeight="1" x14ac:dyDescent="0.3">
      <c r="B44" s="2">
        <v>45364</v>
      </c>
      <c r="C44" s="6">
        <v>100</v>
      </c>
      <c r="D44" s="10">
        <v>56</v>
      </c>
      <c r="E44" s="10">
        <v>57</v>
      </c>
      <c r="F44" s="9">
        <f>IF(Tablo14567891011121314151617[[#This Row],[SATIŞ]]=0,"Açık",(E44-D44)*C44)</f>
        <v>100</v>
      </c>
      <c r="G44" s="11">
        <f>Tablo14567891011121314151617[[#This Row],[ADET]]*Tablo14567891011121314151617[[#This Row],[ALIŞ]]</f>
        <v>5600</v>
      </c>
      <c r="H44" s="11">
        <f>Tablo14567891011121314151617[[#This Row],[ADET]]*Tablo14567891011121314151617[[#This Row],[SATIŞ]]</f>
        <v>5700</v>
      </c>
      <c r="J44" s="40" t="str">
        <f t="shared" si="0"/>
        <v/>
      </c>
    </row>
    <row r="45" spans="2:10" ht="21" hidden="1" customHeight="1" x14ac:dyDescent="0.3">
      <c r="B45" s="2">
        <v>45364</v>
      </c>
      <c r="C45" s="6">
        <v>100</v>
      </c>
      <c r="D45" s="10">
        <v>56</v>
      </c>
      <c r="E45" s="10">
        <v>57</v>
      </c>
      <c r="F45" s="9">
        <f>IF(Tablo14567891011121314151617[[#This Row],[SATIŞ]]=0,"Açık",(E45-D45)*C45)</f>
        <v>100</v>
      </c>
      <c r="G45" s="11">
        <f>Tablo14567891011121314151617[[#This Row],[ADET]]*Tablo14567891011121314151617[[#This Row],[ALIŞ]]</f>
        <v>5600</v>
      </c>
      <c r="H45" s="11">
        <f>Tablo14567891011121314151617[[#This Row],[ADET]]*Tablo14567891011121314151617[[#This Row],[SATIŞ]]</f>
        <v>5700</v>
      </c>
      <c r="J45" s="40" t="str">
        <f t="shared" si="0"/>
        <v/>
      </c>
    </row>
    <row r="46" spans="2:10" ht="21" hidden="1" customHeight="1" x14ac:dyDescent="0.3">
      <c r="B46" s="2">
        <v>45369</v>
      </c>
      <c r="C46" s="6">
        <v>100</v>
      </c>
      <c r="D46" s="10">
        <v>57.5</v>
      </c>
      <c r="E46" s="10">
        <v>59</v>
      </c>
      <c r="F46" s="9">
        <f>IF(Tablo14567891011121314151617[[#This Row],[SATIŞ]]=0,"Açık",(E46-D46)*C46)</f>
        <v>150</v>
      </c>
      <c r="G46" s="11">
        <f>Tablo14567891011121314151617[[#This Row],[ADET]]*Tablo14567891011121314151617[[#This Row],[ALIŞ]]</f>
        <v>5750</v>
      </c>
      <c r="H46" s="11">
        <f>Tablo14567891011121314151617[[#This Row],[ADET]]*Tablo14567891011121314151617[[#This Row],[SATIŞ]]</f>
        <v>5900</v>
      </c>
      <c r="J46" s="40" t="str">
        <f t="shared" si="0"/>
        <v/>
      </c>
    </row>
    <row r="47" spans="2:10" ht="21" hidden="1" customHeight="1" x14ac:dyDescent="0.3">
      <c r="B47" s="2">
        <v>45369</v>
      </c>
      <c r="C47" s="6">
        <v>100</v>
      </c>
      <c r="D47" s="10">
        <v>56.5</v>
      </c>
      <c r="E47" s="10">
        <v>57</v>
      </c>
      <c r="F47" s="9">
        <f>IF(Tablo14567891011121314151617[[#This Row],[SATIŞ]]=0,"Açık",(E47-D47)*C47)</f>
        <v>50</v>
      </c>
      <c r="G47" s="11">
        <f>Tablo14567891011121314151617[[#This Row],[ADET]]*Tablo14567891011121314151617[[#This Row],[ALIŞ]]</f>
        <v>5650</v>
      </c>
      <c r="H47" s="11">
        <f>Tablo14567891011121314151617[[#This Row],[ADET]]*Tablo14567891011121314151617[[#This Row],[SATIŞ]]</f>
        <v>5700</v>
      </c>
      <c r="J47" s="40" t="str">
        <f t="shared" si="0"/>
        <v/>
      </c>
    </row>
    <row r="48" spans="2:10" ht="21" hidden="1" customHeight="1" x14ac:dyDescent="0.3">
      <c r="B48" s="2">
        <v>45369</v>
      </c>
      <c r="C48" s="6">
        <v>100</v>
      </c>
      <c r="D48" s="10">
        <v>57</v>
      </c>
      <c r="E48" s="10">
        <v>57.5</v>
      </c>
      <c r="F48" s="9">
        <f>IF(Tablo14567891011121314151617[[#This Row],[SATIŞ]]=0,"Açık",(E48-D48)*C48)</f>
        <v>50</v>
      </c>
      <c r="G48" s="11">
        <f>Tablo14567891011121314151617[[#This Row],[ADET]]*Tablo14567891011121314151617[[#This Row],[ALIŞ]]</f>
        <v>5700</v>
      </c>
      <c r="H48" s="11">
        <f>Tablo14567891011121314151617[[#This Row],[ADET]]*Tablo14567891011121314151617[[#This Row],[SATIŞ]]</f>
        <v>5750</v>
      </c>
      <c r="J48" s="40" t="str">
        <f t="shared" si="0"/>
        <v/>
      </c>
    </row>
    <row r="49" spans="2:10" ht="21" hidden="1" customHeight="1" x14ac:dyDescent="0.3">
      <c r="B49" s="2">
        <v>45369</v>
      </c>
      <c r="C49" s="6">
        <v>100</v>
      </c>
      <c r="D49" s="10">
        <v>57</v>
      </c>
      <c r="E49" s="10">
        <v>58</v>
      </c>
      <c r="F49" s="9">
        <f>IF(Tablo14567891011121314151617[[#This Row],[SATIŞ]]=0,"Açık",(E49-D49)*C49)</f>
        <v>100</v>
      </c>
      <c r="G49" s="11">
        <f>Tablo14567891011121314151617[[#This Row],[ADET]]*Tablo14567891011121314151617[[#This Row],[ALIŞ]]</f>
        <v>5700</v>
      </c>
      <c r="H49" s="11">
        <f>Tablo14567891011121314151617[[#This Row],[ADET]]*Tablo14567891011121314151617[[#This Row],[SATIŞ]]</f>
        <v>5800</v>
      </c>
      <c r="J49" s="40" t="str">
        <f t="shared" si="0"/>
        <v/>
      </c>
    </row>
    <row r="50" spans="2:10" ht="21" hidden="1" customHeight="1" x14ac:dyDescent="0.3">
      <c r="B50" s="2">
        <v>45369</v>
      </c>
      <c r="C50" s="6">
        <v>100</v>
      </c>
      <c r="D50" s="10">
        <v>56.5</v>
      </c>
      <c r="E50" s="10">
        <v>57</v>
      </c>
      <c r="F50" s="9">
        <f>IF(Tablo14567891011121314151617[[#This Row],[SATIŞ]]=0,"Açık",(E50-D50)*C50)</f>
        <v>50</v>
      </c>
      <c r="G50" s="11">
        <f>Tablo14567891011121314151617[[#This Row],[ADET]]*Tablo14567891011121314151617[[#This Row],[ALIŞ]]</f>
        <v>5650</v>
      </c>
      <c r="H50" s="11">
        <f>Tablo14567891011121314151617[[#This Row],[ADET]]*Tablo14567891011121314151617[[#This Row],[SATIŞ]]</f>
        <v>5700</v>
      </c>
      <c r="J50" s="40" t="str">
        <f t="shared" si="0"/>
        <v/>
      </c>
    </row>
    <row r="51" spans="2:10" ht="21" hidden="1" customHeight="1" x14ac:dyDescent="0.3">
      <c r="B51" s="2">
        <v>45377</v>
      </c>
      <c r="C51" s="6">
        <v>30</v>
      </c>
      <c r="D51" s="10">
        <v>56.5</v>
      </c>
      <c r="E51" s="10">
        <v>59</v>
      </c>
      <c r="F51" s="9">
        <f>IF(Tablo14567891011121314151617[[#This Row],[SATIŞ]]=0,"Açık",(E51-D51)*C51)</f>
        <v>75</v>
      </c>
      <c r="G51" s="11">
        <f>Tablo14567891011121314151617[[#This Row],[ADET]]*Tablo14567891011121314151617[[#This Row],[ALIŞ]]</f>
        <v>1695</v>
      </c>
      <c r="H51" s="11">
        <f>Tablo14567891011121314151617[[#This Row],[ADET]]*Tablo14567891011121314151617[[#This Row],[SATIŞ]]</f>
        <v>1770</v>
      </c>
      <c r="J51" s="40" t="str">
        <f t="shared" si="0"/>
        <v/>
      </c>
    </row>
    <row r="52" spans="2:10" ht="21" hidden="1" customHeight="1" x14ac:dyDescent="0.3">
      <c r="B52" s="2">
        <v>45377</v>
      </c>
      <c r="C52" s="6">
        <v>100</v>
      </c>
      <c r="D52" s="10">
        <v>56.5</v>
      </c>
      <c r="E52" s="10">
        <v>57</v>
      </c>
      <c r="F52" s="9">
        <f>IF(Tablo14567891011121314151617[[#This Row],[SATIŞ]]=0,"Açık",(E52-D52)*C52)</f>
        <v>50</v>
      </c>
      <c r="G52" s="11">
        <f>Tablo14567891011121314151617[[#This Row],[ADET]]*Tablo14567891011121314151617[[#This Row],[ALIŞ]]</f>
        <v>5650</v>
      </c>
      <c r="H52" s="11">
        <f>Tablo14567891011121314151617[[#This Row],[ADET]]*Tablo14567891011121314151617[[#This Row],[SATIŞ]]</f>
        <v>5700</v>
      </c>
      <c r="J52" s="40" t="str">
        <f t="shared" si="0"/>
        <v/>
      </c>
    </row>
    <row r="53" spans="2:10" ht="21" hidden="1" customHeight="1" x14ac:dyDescent="0.3">
      <c r="B53" s="2">
        <v>45377</v>
      </c>
      <c r="C53" s="6">
        <v>20</v>
      </c>
      <c r="D53" s="10">
        <v>56.5</v>
      </c>
      <c r="E53" s="10">
        <v>58</v>
      </c>
      <c r="F53" s="9">
        <f>IF(Tablo14567891011121314151617[[#This Row],[SATIŞ]]=0,"Açık",(E53-D53)*C53)</f>
        <v>30</v>
      </c>
      <c r="G53" s="11">
        <f>Tablo14567891011121314151617[[#This Row],[ADET]]*Tablo14567891011121314151617[[#This Row],[ALIŞ]]</f>
        <v>1130</v>
      </c>
      <c r="H53" s="11">
        <f>Tablo14567891011121314151617[[#This Row],[ADET]]*Tablo14567891011121314151617[[#This Row],[SATIŞ]]</f>
        <v>1160</v>
      </c>
      <c r="J53" s="40" t="str">
        <f t="shared" si="0"/>
        <v/>
      </c>
    </row>
    <row r="54" spans="2:10" ht="21" hidden="1" customHeight="1" x14ac:dyDescent="0.3">
      <c r="B54" s="2">
        <v>45383</v>
      </c>
      <c r="C54" s="6">
        <v>50</v>
      </c>
      <c r="D54" s="10">
        <v>57</v>
      </c>
      <c r="E54" s="10">
        <v>58</v>
      </c>
      <c r="F54" s="9">
        <f>IF(Tablo14567891011121314151617[[#This Row],[SATIŞ]]=0,"Açık",(E54-D54)*C54)</f>
        <v>50</v>
      </c>
      <c r="G54" s="11">
        <f>Tablo14567891011121314151617[[#This Row],[ADET]]*Tablo14567891011121314151617[[#This Row],[ALIŞ]]</f>
        <v>2850</v>
      </c>
      <c r="H54" s="11">
        <f>Tablo14567891011121314151617[[#This Row],[ADET]]*Tablo14567891011121314151617[[#This Row],[SATIŞ]]</f>
        <v>2900</v>
      </c>
      <c r="J54" s="40" t="str">
        <f t="shared" si="0"/>
        <v/>
      </c>
    </row>
    <row r="55" spans="2:10" ht="21" hidden="1" customHeight="1" x14ac:dyDescent="0.3">
      <c r="B55" s="2">
        <v>45377</v>
      </c>
      <c r="C55" s="6">
        <v>50</v>
      </c>
      <c r="D55" s="10">
        <v>56.5</v>
      </c>
      <c r="E55" s="10">
        <v>58</v>
      </c>
      <c r="F55" s="9">
        <f>IF(Tablo14567891011121314151617[[#This Row],[SATIŞ]]=0,"Açık",(E55-D55)*C55)</f>
        <v>75</v>
      </c>
      <c r="G55" s="11">
        <f>Tablo14567891011121314151617[[#This Row],[ADET]]*Tablo14567891011121314151617[[#This Row],[ALIŞ]]</f>
        <v>2825</v>
      </c>
      <c r="H55" s="11">
        <f>Tablo14567891011121314151617[[#This Row],[ADET]]*Tablo14567891011121314151617[[#This Row],[SATIŞ]]</f>
        <v>2900</v>
      </c>
      <c r="J55" s="40" t="str">
        <f t="shared" si="0"/>
        <v/>
      </c>
    </row>
    <row r="56" spans="2:10" ht="21" hidden="1" customHeight="1" x14ac:dyDescent="0.3">
      <c r="B56" s="2">
        <v>45384</v>
      </c>
      <c r="C56" s="6">
        <v>50</v>
      </c>
      <c r="D56" s="10">
        <v>57</v>
      </c>
      <c r="E56" s="10">
        <v>60</v>
      </c>
      <c r="F56" s="9">
        <f>IF(Tablo14567891011121314151617[[#This Row],[SATIŞ]]=0,"Açık",(E56-D56)*C56)</f>
        <v>150</v>
      </c>
      <c r="G56" s="11">
        <f>Tablo14567891011121314151617[[#This Row],[ADET]]*Tablo14567891011121314151617[[#This Row],[ALIŞ]]</f>
        <v>2850</v>
      </c>
      <c r="H56" s="11">
        <f>Tablo14567891011121314151617[[#This Row],[ADET]]*Tablo14567891011121314151617[[#This Row],[SATIŞ]]</f>
        <v>3000</v>
      </c>
      <c r="J56" s="40" t="str">
        <f t="shared" si="0"/>
        <v/>
      </c>
    </row>
    <row r="57" spans="2:10" ht="21" hidden="1" customHeight="1" x14ac:dyDescent="0.3">
      <c r="B57" s="2">
        <v>45363</v>
      </c>
      <c r="C57" s="6">
        <v>50</v>
      </c>
      <c r="D57" s="10">
        <v>57.75</v>
      </c>
      <c r="E57" s="10">
        <v>61</v>
      </c>
      <c r="F57" s="9">
        <f>IF(Tablo14567891011121314151617[[#This Row],[SATIŞ]]=0,"Açık",(E57-D57)*C57)</f>
        <v>162.5</v>
      </c>
      <c r="G57" s="11">
        <f>Tablo14567891011121314151617[[#This Row],[ADET]]*Tablo14567891011121314151617[[#This Row],[ALIŞ]]</f>
        <v>2887.5</v>
      </c>
      <c r="H57" s="11">
        <f>Tablo14567891011121314151617[[#This Row],[ADET]]*Tablo14567891011121314151617[[#This Row],[SATIŞ]]</f>
        <v>3050</v>
      </c>
      <c r="J57" s="40" t="str">
        <f t="shared" si="0"/>
        <v/>
      </c>
    </row>
    <row r="58" spans="2:10" ht="21" hidden="1" customHeight="1" x14ac:dyDescent="0.3">
      <c r="B58" s="2">
        <v>45363</v>
      </c>
      <c r="C58" s="6">
        <v>50</v>
      </c>
      <c r="D58" s="10">
        <v>57.75</v>
      </c>
      <c r="E58" s="10">
        <v>63.5</v>
      </c>
      <c r="F58" s="9">
        <f>IF(Tablo14567891011121314151617[[#This Row],[SATIŞ]]=0,"Açık",(E58-D58)*C58)</f>
        <v>287.5</v>
      </c>
      <c r="G58" s="11">
        <f>Tablo14567891011121314151617[[#This Row],[ADET]]*Tablo14567891011121314151617[[#This Row],[ALIŞ]]</f>
        <v>2887.5</v>
      </c>
      <c r="H58" s="11">
        <f>Tablo14567891011121314151617[[#This Row],[ADET]]*Tablo14567891011121314151617[[#This Row],[SATIŞ]]</f>
        <v>3175</v>
      </c>
      <c r="J58" s="40"/>
    </row>
    <row r="59" spans="2:10" ht="21" customHeight="1" x14ac:dyDescent="0.3">
      <c r="B59" s="2">
        <v>45399</v>
      </c>
      <c r="C59" s="6">
        <v>100</v>
      </c>
      <c r="D59" s="10">
        <v>63</v>
      </c>
      <c r="E59" s="10"/>
      <c r="F59" s="9" t="str">
        <f>IF(Tablo14567891011121314151617[[#This Row],[SATIŞ]]=0,"Açık",(E59-D59)*C59)</f>
        <v>Açık</v>
      </c>
      <c r="G59" s="11">
        <f>Tablo14567891011121314151617[[#This Row],[ADET]]*Tablo14567891011121314151617[[#This Row],[ALIŞ]]</f>
        <v>6300</v>
      </c>
      <c r="H59" s="11">
        <f>Tablo14567891011121314151617[[#This Row],[ADET]]*Tablo14567891011121314151617[[#This Row],[SATIŞ]]</f>
        <v>0</v>
      </c>
      <c r="J59" s="40">
        <f t="shared" si="0"/>
        <v>66.150000000000006</v>
      </c>
    </row>
  </sheetData>
  <conditionalFormatting sqref="B4:F59">
    <cfRule type="expression" dxfId="143" priority="1">
      <formula>$F4&lt;0</formula>
    </cfRule>
    <cfRule type="expression" dxfId="142" priority="2">
      <formula>$F4="Açık"</formula>
    </cfRule>
    <cfRule type="expression" dxfId="141" priority="3">
      <formula>$F4&gt;0</formula>
    </cfRule>
  </conditionalFormatting>
  <hyperlinks>
    <hyperlink ref="B1" location="İcmal!A1" display="ANA SAYFA" xr:uid="{C79020A4-0907-4451-8B19-56FE070A2908}"/>
  </hyperlinks>
  <pageMargins left="0.7" right="0.7" top="0.75" bottom="0.75" header="0.3" footer="0.3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C3904-6195-4D64-861D-E75559CBF1A0}">
  <dimension ref="B1:N10"/>
  <sheetViews>
    <sheetView showGridLines="0" showZeros="0" workbookViewId="0">
      <pane ySplit="1" topLeftCell="A2" activePane="bottomLeft" state="frozen"/>
      <selection activeCell="K11" sqref="K11"/>
      <selection pane="bottomLeft" activeCell="E6" sqref="E6"/>
    </sheetView>
  </sheetViews>
  <sheetFormatPr defaultRowHeight="21" customHeight="1" x14ac:dyDescent="0.3"/>
  <cols>
    <col min="2" max="2" width="20.6640625" style="1" customWidth="1"/>
    <col min="3" max="3" width="11.33203125" style="6" customWidth="1"/>
    <col min="4" max="5" width="12.88671875" style="3" customWidth="1"/>
    <col min="6" max="6" width="12.88671875" style="5" customWidth="1"/>
    <col min="7" max="8" width="11.33203125" bestFit="1" customWidth="1"/>
    <col min="12" max="13" width="11.33203125" bestFit="1" customWidth="1"/>
    <col min="14" max="14" width="10.33203125" bestFit="1" customWidth="1"/>
  </cols>
  <sheetData>
    <row r="1" spans="2:14" ht="21" customHeight="1" x14ac:dyDescent="0.3">
      <c r="B1" s="12" t="s">
        <v>64</v>
      </c>
      <c r="C1" s="4">
        <f>SUMIF(Tablo1456789101112131415161718[KAR],"Açık",Tablo1456789101112131415161718[ADET])</f>
        <v>0</v>
      </c>
      <c r="D1" s="10">
        <f>+İcmal!E26</f>
        <v>103</v>
      </c>
      <c r="E1" s="10">
        <f>C1*D1</f>
        <v>0</v>
      </c>
      <c r="F1" s="10" t="str">
        <f>IFERROR(((SUM(Tablo1456789101112131415161718[ALIŞ TUTAR])-SUM(Tablo1456789101112131415161718[SATIŞ TUTAR]))/C1),"")</f>
        <v/>
      </c>
      <c r="G1" s="10" t="e">
        <f>SUM(Tablo1456789101112131415161718[KAR])+C1*(D1-F1)</f>
        <v>#VALUE!</v>
      </c>
    </row>
    <row r="3" spans="2:14" ht="21" customHeight="1" x14ac:dyDescent="0.3">
      <c r="B3" s="1" t="s">
        <v>0</v>
      </c>
      <c r="C3" s="6" t="s">
        <v>4</v>
      </c>
      <c r="D3" s="3" t="s">
        <v>1</v>
      </c>
      <c r="E3" s="3" t="s">
        <v>3</v>
      </c>
      <c r="F3" s="5" t="s">
        <v>2</v>
      </c>
      <c r="G3" s="3" t="s">
        <v>8</v>
      </c>
      <c r="H3" s="3" t="s">
        <v>9</v>
      </c>
    </row>
    <row r="4" spans="2:14" ht="21" customHeight="1" x14ac:dyDescent="0.3">
      <c r="B4" s="2">
        <v>45313</v>
      </c>
      <c r="C4" s="6">
        <v>5</v>
      </c>
      <c r="D4" s="10">
        <v>114.3</v>
      </c>
      <c r="E4" s="10">
        <v>115</v>
      </c>
      <c r="F4" s="9">
        <f>IF(Tablo1456789101112131415161718[[#This Row],[SATIŞ]]=0,"Açık",(E4-D4)*C4)</f>
        <v>3.5000000000000142</v>
      </c>
      <c r="G4" s="11">
        <f>Tablo1456789101112131415161718[[#This Row],[ADET]]*Tablo1456789101112131415161718[[#This Row],[ALIŞ]]</f>
        <v>571.5</v>
      </c>
      <c r="H4" s="11">
        <f>Tablo1456789101112131415161718[[#This Row],[ADET]]*Tablo1456789101112131415161718[[#This Row],[SATIŞ]]</f>
        <v>575</v>
      </c>
      <c r="L4" s="8">
        <f>SUM(Tablo1456789101112131415161718[ALIŞ TUTAR])</f>
        <v>1146.5</v>
      </c>
      <c r="M4" s="8">
        <f>SUM(Tablo1456789101112131415161718[SATIŞ TUTAR])</f>
        <v>1150</v>
      </c>
      <c r="N4" s="8">
        <f>L4-M4</f>
        <v>-3.5</v>
      </c>
    </row>
    <row r="5" spans="2:14" ht="21" customHeight="1" x14ac:dyDescent="0.3">
      <c r="B5" s="2">
        <v>45321</v>
      </c>
      <c r="C5" s="6">
        <v>5</v>
      </c>
      <c r="D5" s="10">
        <v>115</v>
      </c>
      <c r="E5" s="10">
        <v>115</v>
      </c>
      <c r="F5" s="9">
        <f>IF(Tablo1456789101112131415161718[[#This Row],[SATIŞ]]=0,"Açık",(E5-D5)*C5)</f>
        <v>0</v>
      </c>
      <c r="G5" s="11">
        <f>Tablo1456789101112131415161718[[#This Row],[ADET]]*Tablo1456789101112131415161718[[#This Row],[ALIŞ]]</f>
        <v>575</v>
      </c>
      <c r="H5" s="11">
        <f>Tablo1456789101112131415161718[[#This Row],[ADET]]*Tablo1456789101112131415161718[[#This Row],[SATIŞ]]</f>
        <v>575</v>
      </c>
      <c r="N5">
        <f>+N4/80</f>
        <v>-4.3749999999999997E-2</v>
      </c>
    </row>
    <row r="6" spans="2:14" ht="21" customHeight="1" x14ac:dyDescent="0.3">
      <c r="B6" s="2"/>
      <c r="D6" s="10"/>
      <c r="E6" s="10"/>
      <c r="F6" s="9" t="str">
        <f>IF(Tablo1456789101112131415161718[[#This Row],[SATIŞ]]=0,"Açık",(E6-D6)*C6)</f>
        <v>Açık</v>
      </c>
      <c r="G6" s="11">
        <f>Tablo1456789101112131415161718[[#This Row],[ADET]]*Tablo1456789101112131415161718[[#This Row],[ALIŞ]]</f>
        <v>0</v>
      </c>
      <c r="H6" s="11">
        <f>Tablo1456789101112131415161718[[#This Row],[ADET]]*Tablo1456789101112131415161718[[#This Row],[SATIŞ]]</f>
        <v>0</v>
      </c>
    </row>
    <row r="7" spans="2:14" ht="21" customHeight="1" x14ac:dyDescent="0.3">
      <c r="B7" s="2"/>
      <c r="D7" s="10"/>
      <c r="E7" s="10"/>
      <c r="F7" s="9" t="str">
        <f>IF(Tablo1456789101112131415161718[[#This Row],[SATIŞ]]=0,"Açık",(E7-D7)*C7)</f>
        <v>Açık</v>
      </c>
      <c r="G7" s="11">
        <f>Tablo1456789101112131415161718[[#This Row],[ADET]]*Tablo1456789101112131415161718[[#This Row],[ALIŞ]]</f>
        <v>0</v>
      </c>
      <c r="H7" s="11">
        <f>Tablo1456789101112131415161718[[#This Row],[ADET]]*Tablo1456789101112131415161718[[#This Row],[SATIŞ]]</f>
        <v>0</v>
      </c>
    </row>
    <row r="8" spans="2:14" ht="21" customHeight="1" x14ac:dyDescent="0.3">
      <c r="B8" s="2"/>
      <c r="D8" s="10"/>
      <c r="E8" s="10"/>
      <c r="F8" s="9" t="str">
        <f>IF(Tablo1456789101112131415161718[[#This Row],[SATIŞ]]=0,"Açık",(E8-D8)*C8)</f>
        <v>Açık</v>
      </c>
      <c r="G8" s="11">
        <f>Tablo1456789101112131415161718[[#This Row],[ADET]]*Tablo1456789101112131415161718[[#This Row],[ALIŞ]]</f>
        <v>0</v>
      </c>
      <c r="H8" s="11">
        <f>Tablo1456789101112131415161718[[#This Row],[ADET]]*Tablo1456789101112131415161718[[#This Row],[SATIŞ]]</f>
        <v>0</v>
      </c>
    </row>
    <row r="9" spans="2:14" ht="21" customHeight="1" x14ac:dyDescent="0.3">
      <c r="B9" s="2"/>
      <c r="D9" s="10"/>
      <c r="E9" s="10"/>
      <c r="F9" s="9" t="str">
        <f>IF(Tablo1456789101112131415161718[[#This Row],[SATIŞ]]=0,"Açık",(E9-D9)*C9)</f>
        <v>Açık</v>
      </c>
      <c r="G9" s="11">
        <f>Tablo1456789101112131415161718[[#This Row],[ADET]]*Tablo1456789101112131415161718[[#This Row],[ALIŞ]]</f>
        <v>0</v>
      </c>
      <c r="H9" s="11">
        <f>Tablo1456789101112131415161718[[#This Row],[ADET]]*Tablo1456789101112131415161718[[#This Row],[SATIŞ]]</f>
        <v>0</v>
      </c>
    </row>
    <row r="10" spans="2:14" ht="21" customHeight="1" x14ac:dyDescent="0.3">
      <c r="B10" s="2"/>
      <c r="D10" s="10"/>
      <c r="E10" s="10"/>
      <c r="F10" s="9" t="str">
        <f>IF(Tablo1456789101112131415161718[[#This Row],[SATIŞ]]=0,"Açık",(E10-D10)*C10)</f>
        <v>Açık</v>
      </c>
      <c r="G10" s="11">
        <f>Tablo1456789101112131415161718[[#This Row],[ADET]]*Tablo1456789101112131415161718[[#This Row],[ALIŞ]]</f>
        <v>0</v>
      </c>
      <c r="H10" s="11">
        <f>Tablo1456789101112131415161718[[#This Row],[ADET]]*Tablo1456789101112131415161718[[#This Row],[SATIŞ]]</f>
        <v>0</v>
      </c>
    </row>
  </sheetData>
  <conditionalFormatting sqref="B4:F10">
    <cfRule type="expression" dxfId="140" priority="1">
      <formula>$F4&lt;0</formula>
    </cfRule>
    <cfRule type="expression" dxfId="139" priority="2">
      <formula>$F4="Açık"</formula>
    </cfRule>
    <cfRule type="expression" dxfId="138" priority="3">
      <formula>$F4&gt;0</formula>
    </cfRule>
  </conditionalFormatting>
  <hyperlinks>
    <hyperlink ref="B1" location="İcmal!A1" display="ANA SAYFA" xr:uid="{A49DC463-79A1-4C76-92E2-9734B73BD7F2}"/>
  </hyperlinks>
  <pageMargins left="0.7" right="0.7" top="0.75" bottom="0.75" header="0.3" footer="0.3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A9C54-CC06-41B6-A59F-5719A0774971}">
  <sheetPr>
    <tabColor rgb="FF00B050"/>
  </sheetPr>
  <dimension ref="B1:R17"/>
  <sheetViews>
    <sheetView showGridLines="0" showZeros="0" zoomScale="110" zoomScaleNormal="110" workbookViewId="0">
      <pane ySplit="3" topLeftCell="A4" activePane="bottomLeft" state="frozen"/>
      <selection pane="bottomLeft" activeCell="E14" sqref="E14"/>
    </sheetView>
  </sheetViews>
  <sheetFormatPr defaultRowHeight="21" customHeight="1" x14ac:dyDescent="0.3"/>
  <cols>
    <col min="2" max="2" width="20.6640625" style="1" customWidth="1"/>
    <col min="3" max="3" width="11.33203125" style="6" customWidth="1"/>
    <col min="4" max="5" width="12.88671875" style="3" customWidth="1"/>
    <col min="6" max="6" width="12.88671875" style="5" customWidth="1"/>
    <col min="7" max="8" width="17.6640625" customWidth="1"/>
    <col min="10" max="12" width="12.44140625" customWidth="1"/>
    <col min="13" max="13" width="17.109375" customWidth="1"/>
    <col min="14" max="14" width="10.6640625" bestFit="1" customWidth="1"/>
  </cols>
  <sheetData>
    <row r="1" spans="2:18" ht="21" customHeight="1" x14ac:dyDescent="0.3">
      <c r="B1" s="12" t="s">
        <v>64</v>
      </c>
      <c r="C1" s="4">
        <f>SUMIF(Tablo14567891011121314156063[KAR],"Açık",Tablo14567891011121314156063[ADET])</f>
        <v>500</v>
      </c>
      <c r="D1" s="10">
        <f>+İcmal!E24</f>
        <v>36.14</v>
      </c>
      <c r="E1" s="10">
        <f>C1*D1</f>
        <v>18070</v>
      </c>
      <c r="F1" s="10">
        <f>IFERROR(((SUM(Tablo14567891011121314156063[ALIŞ TUTAR])-SUM(Tablo14567891011121314156063[SATIŞ TUTAR]))/C1),"")</f>
        <v>35.590000000000003</v>
      </c>
      <c r="G1" s="10">
        <f>IF(M3=0,L3,C1*(D1-F1))</f>
        <v>274.99999999999858</v>
      </c>
      <c r="J1" s="45" t="s">
        <v>94</v>
      </c>
      <c r="K1" s="45" t="s">
        <v>95</v>
      </c>
      <c r="L1" s="45" t="s">
        <v>96</v>
      </c>
      <c r="M1" s="33">
        <f>F1</f>
        <v>35.590000000000003</v>
      </c>
      <c r="N1" s="8" t="e">
        <f>M1*(1+$J$1)</f>
        <v>#VALUE!</v>
      </c>
      <c r="P1" s="8" t="e">
        <f>Q1*(1-$J$1)</f>
        <v>#VALUE!</v>
      </c>
      <c r="Q1" s="33">
        <f>+D1</f>
        <v>36.14</v>
      </c>
      <c r="R1" s="8" t="e">
        <f>Q1*(1+$J$1)</f>
        <v>#VALUE!</v>
      </c>
    </row>
    <row r="2" spans="2:18" ht="21" customHeight="1" x14ac:dyDescent="0.3">
      <c r="B2" s="7" t="s">
        <v>90</v>
      </c>
      <c r="J2" s="45">
        <f>SUMIFS(Tablo2[HEDEF2],Tablo2[HİSSE],B2)</f>
        <v>1000</v>
      </c>
      <c r="K2" s="45">
        <f>+E1/İcmal!$P$2</f>
        <v>555.48724254534272</v>
      </c>
      <c r="L2" s="45">
        <f>+J2-K2</f>
        <v>444.51275745465728</v>
      </c>
    </row>
    <row r="3" spans="2:18" ht="21" customHeight="1" x14ac:dyDescent="0.3">
      <c r="B3" s="1" t="s">
        <v>0</v>
      </c>
      <c r="C3" s="6" t="s">
        <v>4</v>
      </c>
      <c r="D3" s="3" t="s">
        <v>1</v>
      </c>
      <c r="E3" s="3" t="s">
        <v>3</v>
      </c>
      <c r="F3" s="5" t="s">
        <v>2</v>
      </c>
      <c r="G3" s="3" t="s">
        <v>8</v>
      </c>
      <c r="H3" s="3" t="s">
        <v>9</v>
      </c>
      <c r="L3" s="33">
        <f>SUM(Tablo14567891011121314156063[KAR])</f>
        <v>399.00000000000023</v>
      </c>
      <c r="M3" s="37">
        <f>+C1</f>
        <v>500</v>
      </c>
    </row>
    <row r="4" spans="2:18" ht="21" customHeight="1" x14ac:dyDescent="0.3">
      <c r="B4" s="2">
        <v>45362</v>
      </c>
      <c r="C4" s="6">
        <v>100</v>
      </c>
      <c r="D4" s="10">
        <v>38</v>
      </c>
      <c r="E4" s="10"/>
      <c r="F4" s="9" t="str">
        <f>IF(Tablo14567891011121314156063[[#This Row],[SATIŞ]]=0,"Açık",(E4-D4)*C4)</f>
        <v>Açık</v>
      </c>
      <c r="G4" s="11">
        <f>Tablo14567891011121314156063[[#This Row],[ADET]]*Tablo14567891011121314156063[[#This Row],[ALIŞ]]</f>
        <v>3800</v>
      </c>
      <c r="H4" s="11">
        <f>Tablo14567891011121314156063[[#This Row],[ADET]]*Tablo14567891011121314156063[[#This Row],[SATIŞ]]</f>
        <v>0</v>
      </c>
      <c r="J4" s="40">
        <f t="shared" ref="J4:J17" si="0">IF(E4=0,D4*1.05,"")</f>
        <v>39.9</v>
      </c>
      <c r="L4" s="8">
        <f>SUM(Tablo14567891011121314156063[ALIŞ TUTAR])</f>
        <v>30244</v>
      </c>
      <c r="M4" s="8">
        <f>SUM(Tablo14567891011121314156063[SATIŞ TUTAR])</f>
        <v>12449</v>
      </c>
      <c r="N4" s="8">
        <f>L4-M4</f>
        <v>17795</v>
      </c>
    </row>
    <row r="5" spans="2:18" ht="21" customHeight="1" x14ac:dyDescent="0.3">
      <c r="B5" s="2">
        <v>45371</v>
      </c>
      <c r="C5" s="6">
        <v>100</v>
      </c>
      <c r="D5" s="10">
        <v>36.18</v>
      </c>
      <c r="E5" s="10"/>
      <c r="F5" s="9" t="str">
        <f>IF(Tablo14567891011121314156063[[#This Row],[SATIŞ]]=0,"Açık",(E5-D5)*C5)</f>
        <v>Açık</v>
      </c>
      <c r="G5" s="11">
        <f>Tablo14567891011121314156063[[#This Row],[ADET]]*Tablo14567891011121314156063[[#This Row],[ALIŞ]]</f>
        <v>3618</v>
      </c>
      <c r="H5" s="11">
        <f>Tablo14567891011121314156063[[#This Row],[ADET]]*Tablo14567891011121314156063[[#This Row],[SATIŞ]]</f>
        <v>0</v>
      </c>
      <c r="J5" s="40">
        <f t="shared" si="0"/>
        <v>37.989000000000004</v>
      </c>
      <c r="N5">
        <f>+N4/80</f>
        <v>222.4375</v>
      </c>
    </row>
    <row r="6" spans="2:18" ht="21" customHeight="1" x14ac:dyDescent="0.3">
      <c r="B6" s="2">
        <v>45371</v>
      </c>
      <c r="C6" s="6">
        <v>100</v>
      </c>
      <c r="D6" s="10">
        <v>35.799999999999997</v>
      </c>
      <c r="E6" s="10"/>
      <c r="F6" s="9" t="str">
        <f>IF(Tablo14567891011121314156063[[#This Row],[SATIŞ]]=0,"Açık",(E6-D6)*C6)</f>
        <v>Açık</v>
      </c>
      <c r="G6" s="11">
        <f>Tablo14567891011121314156063[[#This Row],[ADET]]*Tablo14567891011121314156063[[#This Row],[ALIŞ]]</f>
        <v>3579.9999999999995</v>
      </c>
      <c r="H6" s="11">
        <f>Tablo14567891011121314156063[[#This Row],[ADET]]*Tablo14567891011121314156063[[#This Row],[SATIŞ]]</f>
        <v>0</v>
      </c>
      <c r="J6" s="40">
        <f t="shared" si="0"/>
        <v>37.589999999999996</v>
      </c>
    </row>
    <row r="7" spans="2:18" ht="21" customHeight="1" x14ac:dyDescent="0.3">
      <c r="B7" s="2">
        <v>45372</v>
      </c>
      <c r="C7" s="6">
        <v>100</v>
      </c>
      <c r="D7" s="10">
        <v>35.4</v>
      </c>
      <c r="E7" s="10"/>
      <c r="F7" s="9" t="str">
        <f>IF(Tablo14567891011121314156063[[#This Row],[SATIŞ]]=0,"Açık",(E7-D7)*C7)</f>
        <v>Açık</v>
      </c>
      <c r="G7" s="11">
        <f>Tablo14567891011121314156063[[#This Row],[ADET]]*Tablo14567891011121314156063[[#This Row],[ALIŞ]]</f>
        <v>3540</v>
      </c>
      <c r="H7" s="11">
        <f>Tablo14567891011121314156063[[#This Row],[ADET]]*Tablo14567891011121314156063[[#This Row],[SATIŞ]]</f>
        <v>0</v>
      </c>
      <c r="J7" s="40">
        <f t="shared" si="0"/>
        <v>37.17</v>
      </c>
    </row>
    <row r="8" spans="2:18" ht="21" hidden="1" customHeight="1" x14ac:dyDescent="0.3">
      <c r="B8" s="2">
        <v>45376</v>
      </c>
      <c r="C8" s="6">
        <v>50</v>
      </c>
      <c r="D8" s="10">
        <v>35</v>
      </c>
      <c r="E8" s="10">
        <v>36.1</v>
      </c>
      <c r="F8" s="9">
        <f>IF(Tablo14567891011121314156063[[#This Row],[SATIŞ]]=0,"Açık",(E8-D8)*C8)</f>
        <v>55.000000000000071</v>
      </c>
      <c r="G8" s="11">
        <f>Tablo14567891011121314156063[[#This Row],[ADET]]*Tablo14567891011121314156063[[#This Row],[ALIŞ]]</f>
        <v>1750</v>
      </c>
      <c r="H8" s="11">
        <f>Tablo14567891011121314156063[[#This Row],[ADET]]*Tablo14567891011121314156063[[#This Row],[SATIŞ]]</f>
        <v>1805</v>
      </c>
      <c r="J8" s="40" t="str">
        <f t="shared" si="0"/>
        <v/>
      </c>
    </row>
    <row r="9" spans="2:18" ht="21" hidden="1" customHeight="1" x14ac:dyDescent="0.3">
      <c r="B9" s="2">
        <v>45377</v>
      </c>
      <c r="C9" s="6">
        <v>50</v>
      </c>
      <c r="D9" s="10">
        <v>34.5</v>
      </c>
      <c r="E9" s="10">
        <v>35</v>
      </c>
      <c r="F9" s="9">
        <f>IF(Tablo14567891011121314156063[[#This Row],[SATIŞ]]=0,"Açık",(E9-D9)*C9)</f>
        <v>25</v>
      </c>
      <c r="G9" s="11">
        <f>Tablo14567891011121314156063[[#This Row],[ADET]]*Tablo14567891011121314156063[[#This Row],[ALIŞ]]</f>
        <v>1725</v>
      </c>
      <c r="H9" s="11">
        <f>Tablo14567891011121314156063[[#This Row],[ADET]]*Tablo14567891011121314156063[[#This Row],[SATIŞ]]</f>
        <v>1750</v>
      </c>
      <c r="J9" s="40" t="str">
        <f t="shared" si="0"/>
        <v/>
      </c>
    </row>
    <row r="10" spans="2:18" ht="21" hidden="1" customHeight="1" x14ac:dyDescent="0.3">
      <c r="B10" s="2">
        <v>45377</v>
      </c>
      <c r="C10" s="6">
        <v>100</v>
      </c>
      <c r="D10" s="10">
        <v>34</v>
      </c>
      <c r="E10" s="10">
        <v>34.6</v>
      </c>
      <c r="F10" s="9">
        <f>IF(Tablo14567891011121314156063[[#This Row],[SATIŞ]]=0,"Açık",(E10-D10)*C10)</f>
        <v>60.000000000000142</v>
      </c>
      <c r="G10" s="11">
        <f>Tablo14567891011121314156063[[#This Row],[ADET]]*Tablo14567891011121314156063[[#This Row],[ALIŞ]]</f>
        <v>3400</v>
      </c>
      <c r="H10" s="11">
        <f>Tablo14567891011121314156063[[#This Row],[ADET]]*Tablo14567891011121314156063[[#This Row],[SATIŞ]]</f>
        <v>3460</v>
      </c>
      <c r="J10" s="40" t="str">
        <f t="shared" si="0"/>
        <v/>
      </c>
    </row>
    <row r="11" spans="2:18" ht="21" hidden="1" customHeight="1" x14ac:dyDescent="0.3">
      <c r="B11" s="2">
        <v>45376</v>
      </c>
      <c r="C11" s="6">
        <v>50</v>
      </c>
      <c r="D11" s="10">
        <v>35</v>
      </c>
      <c r="E11" s="10">
        <v>37</v>
      </c>
      <c r="F11" s="9">
        <f>IF(Tablo14567891011121314156063[[#This Row],[SATIŞ]]=0,"Açık",(E11-D11)*C11)</f>
        <v>100</v>
      </c>
      <c r="G11" s="11">
        <f>Tablo14567891011121314156063[[#This Row],[ADET]]*Tablo14567891011121314156063[[#This Row],[ALIŞ]]</f>
        <v>1750</v>
      </c>
      <c r="H11" s="11">
        <f>Tablo14567891011121314156063[[#This Row],[ADET]]*Tablo14567891011121314156063[[#This Row],[SATIŞ]]</f>
        <v>1850</v>
      </c>
      <c r="J11" s="40"/>
    </row>
    <row r="12" spans="2:18" ht="21" hidden="1" customHeight="1" x14ac:dyDescent="0.3">
      <c r="B12" s="2">
        <v>45377</v>
      </c>
      <c r="C12" s="6">
        <v>50</v>
      </c>
      <c r="D12" s="10">
        <v>34.5</v>
      </c>
      <c r="E12" s="10">
        <v>36.68</v>
      </c>
      <c r="F12" s="9">
        <f>IF(Tablo14567891011121314156063[[#This Row],[SATIŞ]]=0,"Açık",(E12-D12)*C12)</f>
        <v>108.99999999999999</v>
      </c>
      <c r="G12" s="11">
        <f>Tablo14567891011121314156063[[#This Row],[ADET]]*Tablo14567891011121314156063[[#This Row],[ALIŞ]]</f>
        <v>1725</v>
      </c>
      <c r="H12" s="11">
        <f>Tablo14567891011121314156063[[#This Row],[ADET]]*Tablo14567891011121314156063[[#This Row],[SATIŞ]]</f>
        <v>1834</v>
      </c>
      <c r="J12" s="40"/>
    </row>
    <row r="13" spans="2:18" ht="21" hidden="1" customHeight="1" x14ac:dyDescent="0.3">
      <c r="B13" s="2">
        <v>45384</v>
      </c>
      <c r="C13" s="6">
        <v>50</v>
      </c>
      <c r="D13" s="10">
        <v>34</v>
      </c>
      <c r="E13" s="10">
        <v>35</v>
      </c>
      <c r="F13" s="9">
        <f>IF(Tablo14567891011121314156063[[#This Row],[SATIŞ]]=0,"Açık",(E13-D13)*C13)</f>
        <v>50</v>
      </c>
      <c r="G13" s="11">
        <f>Tablo14567891011121314156063[[#This Row],[ADET]]*Tablo14567891011121314156063[[#This Row],[ALIŞ]]</f>
        <v>1700</v>
      </c>
      <c r="H13" s="11">
        <f>Tablo14567891011121314156063[[#This Row],[ADET]]*Tablo14567891011121314156063[[#This Row],[SATIŞ]]</f>
        <v>1750</v>
      </c>
      <c r="J13" s="40" t="str">
        <f t="shared" si="0"/>
        <v/>
      </c>
    </row>
    <row r="14" spans="2:18" ht="21" customHeight="1" x14ac:dyDescent="0.3">
      <c r="B14" s="2">
        <v>45391</v>
      </c>
      <c r="C14" s="6">
        <v>100</v>
      </c>
      <c r="D14" s="10">
        <v>36.56</v>
      </c>
      <c r="E14" s="10"/>
      <c r="F14" s="9" t="str">
        <f>IF(Tablo14567891011121314156063[[#This Row],[SATIŞ]]=0,"Açık",(E14-D14)*C14)</f>
        <v>Açık</v>
      </c>
      <c r="G14" s="11">
        <f>Tablo14567891011121314156063[[#This Row],[ADET]]*Tablo14567891011121314156063[[#This Row],[ALIŞ]]</f>
        <v>3656</v>
      </c>
      <c r="H14" s="11">
        <f>Tablo14567891011121314156063[[#This Row],[ADET]]*Tablo14567891011121314156063[[#This Row],[SATIŞ]]</f>
        <v>0</v>
      </c>
      <c r="J14" s="40">
        <f t="shared" si="0"/>
        <v>38.388000000000005</v>
      </c>
    </row>
    <row r="15" spans="2:18" ht="21" customHeight="1" x14ac:dyDescent="0.3">
      <c r="J15" s="40">
        <f t="shared" si="0"/>
        <v>0</v>
      </c>
    </row>
    <row r="16" spans="2:18" ht="21" customHeight="1" x14ac:dyDescent="0.3">
      <c r="J16" s="40">
        <f t="shared" si="0"/>
        <v>0</v>
      </c>
    </row>
    <row r="17" spans="10:10" ht="21" customHeight="1" x14ac:dyDescent="0.3">
      <c r="J17" s="40">
        <f t="shared" si="0"/>
        <v>0</v>
      </c>
    </row>
  </sheetData>
  <conditionalFormatting sqref="B4:F14">
    <cfRule type="expression" dxfId="137" priority="1">
      <formula>$F4&lt;0</formula>
    </cfRule>
    <cfRule type="expression" dxfId="136" priority="2">
      <formula>$F4="Açık"</formula>
    </cfRule>
    <cfRule type="expression" dxfId="135" priority="3">
      <formula>$F4&gt;0</formula>
    </cfRule>
  </conditionalFormatting>
  <hyperlinks>
    <hyperlink ref="B1" location="İcmal!A1" display="ANA SAYFA" xr:uid="{2CEA217B-AA67-4096-92FF-B5A387701239}"/>
  </hyperlinks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144B4-E37D-4FFB-9EEA-D43F749719E2}">
  <dimension ref="B1:R7"/>
  <sheetViews>
    <sheetView showGridLines="0" showZeros="0" workbookViewId="0">
      <pane ySplit="1" topLeftCell="A2" activePane="bottomLeft" state="frozen"/>
      <selection activeCell="C23" sqref="C23"/>
      <selection pane="bottomLeft" activeCell="E6" sqref="E6"/>
    </sheetView>
  </sheetViews>
  <sheetFormatPr defaultRowHeight="21" customHeight="1" x14ac:dyDescent="0.3"/>
  <cols>
    <col min="2" max="2" width="20.6640625" style="1" customWidth="1"/>
    <col min="3" max="3" width="11.33203125" style="6" customWidth="1"/>
    <col min="4" max="5" width="12.88671875" style="3" customWidth="1"/>
    <col min="6" max="6" width="12.88671875" style="5" customWidth="1"/>
    <col min="7" max="8" width="17.6640625" customWidth="1"/>
    <col min="12" max="13" width="17.109375" customWidth="1"/>
    <col min="14" max="14" width="10.33203125" bestFit="1" customWidth="1"/>
  </cols>
  <sheetData>
    <row r="1" spans="2:18" ht="21" customHeight="1" x14ac:dyDescent="0.3">
      <c r="B1" s="12" t="s">
        <v>64</v>
      </c>
      <c r="C1" s="4">
        <f>SUMIF(Tablo145678910111213141560[KAR],"Açık",Tablo145678910111213141560[ADET])</f>
        <v>0</v>
      </c>
      <c r="D1" s="10">
        <f>+İcmal!E25</f>
        <v>37.979999999999997</v>
      </c>
      <c r="E1" s="10">
        <f>C1*D1</f>
        <v>0</v>
      </c>
      <c r="F1" s="10" t="str">
        <f>IFERROR(((SUM(Tablo145678910111213141560[ALIŞ TUTAR])-SUM(Tablo145678910111213141560[SATIŞ TUTAR]))/C1),"")</f>
        <v/>
      </c>
      <c r="G1" s="10">
        <f>IF(M3=0,L3,C1*(D1-F1))</f>
        <v>679.99999999999977</v>
      </c>
      <c r="J1" s="34">
        <v>0.03</v>
      </c>
      <c r="L1" s="8" t="e">
        <f>M1*(1-$J$1)</f>
        <v>#VALUE!</v>
      </c>
      <c r="M1" s="33" t="str">
        <f>F1</f>
        <v/>
      </c>
      <c r="N1" s="8" t="e">
        <f>M1*(1+$J$1)</f>
        <v>#VALUE!</v>
      </c>
      <c r="P1" s="8">
        <f>Q1*(1-$J$1)</f>
        <v>36.840599999999995</v>
      </c>
      <c r="Q1" s="33">
        <f>+D1</f>
        <v>37.979999999999997</v>
      </c>
      <c r="R1" s="8">
        <f>Q1*(1+$J$1)</f>
        <v>39.119399999999999</v>
      </c>
    </row>
    <row r="3" spans="2:18" ht="21" customHeight="1" x14ac:dyDescent="0.3">
      <c r="B3" s="1" t="s">
        <v>0</v>
      </c>
      <c r="C3" s="6" t="s">
        <v>4</v>
      </c>
      <c r="D3" s="3" t="s">
        <v>1</v>
      </c>
      <c r="E3" s="3" t="s">
        <v>3</v>
      </c>
      <c r="F3" s="5" t="s">
        <v>2</v>
      </c>
      <c r="G3" s="3" t="s">
        <v>8</v>
      </c>
      <c r="H3" s="3" t="s">
        <v>9</v>
      </c>
      <c r="L3" s="33">
        <f>SUM(Tablo145678910111213141560[KAR])</f>
        <v>679.99999999999977</v>
      </c>
      <c r="M3" s="37">
        <f>+C1</f>
        <v>0</v>
      </c>
    </row>
    <row r="4" spans="2:18" ht="21" customHeight="1" x14ac:dyDescent="0.3">
      <c r="B4" s="2">
        <v>45348</v>
      </c>
      <c r="C4" s="6">
        <v>100</v>
      </c>
      <c r="D4" s="10">
        <v>37</v>
      </c>
      <c r="E4" s="10">
        <v>38.5</v>
      </c>
      <c r="F4" s="9">
        <f>IF(Tablo145678910111213141560[[#This Row],[SATIŞ]]=0,"Açık",(E4-D4)*C4)</f>
        <v>150</v>
      </c>
      <c r="G4" s="11">
        <f>Tablo145678910111213141560[[#This Row],[ADET]]*Tablo145678910111213141560[[#This Row],[ALIŞ]]</f>
        <v>3700</v>
      </c>
      <c r="H4" s="11">
        <f>Tablo145678910111213141560[[#This Row],[ADET]]*Tablo145678910111213141560[[#This Row],[SATIŞ]]</f>
        <v>3850</v>
      </c>
      <c r="L4" s="8">
        <f>SUM(Tablo145678910111213141560[ALIŞ TUTAR])</f>
        <v>14700</v>
      </c>
      <c r="M4" s="8">
        <f>SUM(Tablo145678910111213141560[SATIŞ TUTAR])</f>
        <v>15380</v>
      </c>
      <c r="N4" s="8">
        <f>L4-M4</f>
        <v>-680</v>
      </c>
    </row>
    <row r="5" spans="2:18" ht="21" customHeight="1" x14ac:dyDescent="0.3">
      <c r="B5" s="2">
        <v>45348</v>
      </c>
      <c r="C5" s="6">
        <v>100</v>
      </c>
      <c r="D5" s="10">
        <v>38</v>
      </c>
      <c r="E5" s="10">
        <v>40</v>
      </c>
      <c r="F5" s="9">
        <f>IF(Tablo145678910111213141560[[#This Row],[SATIŞ]]=0,"Açık",(E5-D5)*C5)</f>
        <v>200</v>
      </c>
      <c r="G5" s="11">
        <f>Tablo145678910111213141560[[#This Row],[ADET]]*Tablo145678910111213141560[[#This Row],[ALIŞ]]</f>
        <v>3800</v>
      </c>
      <c r="H5" s="11">
        <f>Tablo145678910111213141560[[#This Row],[ADET]]*Tablo145678910111213141560[[#This Row],[SATIŞ]]</f>
        <v>4000</v>
      </c>
      <c r="N5">
        <f>+N4/80</f>
        <v>-8.5</v>
      </c>
    </row>
    <row r="6" spans="2:18" ht="21" customHeight="1" x14ac:dyDescent="0.3">
      <c r="B6" s="2">
        <v>45352</v>
      </c>
      <c r="C6" s="6">
        <v>100</v>
      </c>
      <c r="D6" s="10">
        <v>37</v>
      </c>
      <c r="E6" s="10">
        <v>38.299999999999997</v>
      </c>
      <c r="F6" s="9">
        <f>IF(Tablo145678910111213141560[[#This Row],[SATIŞ]]=0,"Açık",(E6-D6)*C6)</f>
        <v>129.99999999999972</v>
      </c>
      <c r="G6" s="11">
        <f>Tablo145678910111213141560[[#This Row],[ADET]]*Tablo145678910111213141560[[#This Row],[ALIŞ]]</f>
        <v>3700</v>
      </c>
      <c r="H6" s="11">
        <f>Tablo145678910111213141560[[#This Row],[ADET]]*Tablo145678910111213141560[[#This Row],[SATIŞ]]</f>
        <v>3829.9999999999995</v>
      </c>
    </row>
    <row r="7" spans="2:18" ht="21" customHeight="1" x14ac:dyDescent="0.3">
      <c r="B7" s="2">
        <v>45355</v>
      </c>
      <c r="C7" s="6">
        <v>100</v>
      </c>
      <c r="D7" s="10">
        <v>35</v>
      </c>
      <c r="E7" s="10">
        <v>37</v>
      </c>
      <c r="F7" s="9">
        <f>IF(Tablo145678910111213141560[[#This Row],[SATIŞ]]=0,"Açık",(E7-D7)*C7)</f>
        <v>200</v>
      </c>
      <c r="G7" s="11">
        <f>Tablo145678910111213141560[[#This Row],[ADET]]*Tablo145678910111213141560[[#This Row],[ALIŞ]]</f>
        <v>3500</v>
      </c>
      <c r="H7" s="11">
        <f>Tablo145678910111213141560[[#This Row],[ADET]]*Tablo145678910111213141560[[#This Row],[SATIŞ]]</f>
        <v>3700</v>
      </c>
    </row>
  </sheetData>
  <conditionalFormatting sqref="B4:F7">
    <cfRule type="expression" dxfId="134" priority="1">
      <formula>$F4&lt;0</formula>
    </cfRule>
    <cfRule type="expression" dxfId="133" priority="2">
      <formula>$F4="Açık"</formula>
    </cfRule>
    <cfRule type="expression" dxfId="132" priority="3">
      <formula>$F4&gt;0</formula>
    </cfRule>
  </conditionalFormatting>
  <hyperlinks>
    <hyperlink ref="B1" location="İcmal!A1" display="ANA SAYFA" xr:uid="{A3084761-EC3F-428F-8751-81A99204F260}"/>
  </hyperlinks>
  <pageMargins left="0.7" right="0.7" top="0.75" bottom="0.75" header="0.3" footer="0.3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09244-2891-4DB9-B66A-7F808E6EC489}">
  <dimension ref="B1:R25"/>
  <sheetViews>
    <sheetView showGridLines="0" showZeros="0" workbookViewId="0">
      <pane ySplit="3" topLeftCell="A14" activePane="bottomLeft" state="frozen"/>
      <selection pane="bottomLeft" activeCell="E20" sqref="E20"/>
    </sheetView>
  </sheetViews>
  <sheetFormatPr defaultRowHeight="21" customHeight="1" x14ac:dyDescent="0.3"/>
  <cols>
    <col min="2" max="2" width="20.6640625" style="1" customWidth="1"/>
    <col min="3" max="3" width="11.33203125" style="6" customWidth="1"/>
    <col min="4" max="5" width="12.88671875" style="3" customWidth="1"/>
    <col min="6" max="6" width="12.88671875" style="5" customWidth="1"/>
    <col min="7" max="7" width="12.6640625" bestFit="1" customWidth="1"/>
    <col min="8" max="8" width="13.6640625" bestFit="1" customWidth="1"/>
    <col min="10" max="10" width="10.88671875" bestFit="1" customWidth="1"/>
    <col min="12" max="13" width="12.6640625" bestFit="1" customWidth="1"/>
    <col min="14" max="14" width="12" bestFit="1" customWidth="1"/>
    <col min="16" max="18" width="10.44140625" bestFit="1" customWidth="1"/>
  </cols>
  <sheetData>
    <row r="1" spans="2:18" ht="21" customHeight="1" x14ac:dyDescent="0.3">
      <c r="B1" s="12" t="s">
        <v>64</v>
      </c>
      <c r="C1" s="4">
        <f>SUMIF(Tablo145678910111213141516171819[KAR],"Açık",Tablo145678910111213141516171819[ADET])</f>
        <v>30</v>
      </c>
      <c r="D1" s="10">
        <f>+İcmal!E27</f>
        <v>1122</v>
      </c>
      <c r="E1" s="10">
        <f>C1*D1</f>
        <v>33660</v>
      </c>
      <c r="F1" s="10">
        <f>IFERROR(((SUM(Tablo145678910111213141516171819[ALIŞ TUTAR])-SUM(Tablo145678910111213141516171819[SATIŞ TUTAR]))/C1),"")</f>
        <v>979.0093099999998</v>
      </c>
      <c r="G1" s="10">
        <f>IF(M3=0,L3,C1*(D1-F1))</f>
        <v>4289.7207000000062</v>
      </c>
      <c r="J1" s="45" t="s">
        <v>94</v>
      </c>
      <c r="K1" s="45" t="s">
        <v>95</v>
      </c>
      <c r="L1" s="45" t="s">
        <v>96</v>
      </c>
      <c r="M1" s="33">
        <f>F1</f>
        <v>979.0093099999998</v>
      </c>
      <c r="N1" s="8" t="e">
        <f>M1*(1+$J$1)</f>
        <v>#VALUE!</v>
      </c>
      <c r="P1" s="8" t="e">
        <f>Q1*(1-$J$1)</f>
        <v>#VALUE!</v>
      </c>
      <c r="Q1" s="33">
        <f>+D1</f>
        <v>1122</v>
      </c>
      <c r="R1" s="8" t="e">
        <f>Q1*(1+$J$1)</f>
        <v>#VALUE!</v>
      </c>
    </row>
    <row r="2" spans="2:18" ht="21" customHeight="1" x14ac:dyDescent="0.3">
      <c r="B2" s="7" t="s">
        <v>28</v>
      </c>
      <c r="J2" s="45">
        <f>SUMIFS(Tablo2[HEDEF2],Tablo2[HİSSE],B2)</f>
        <v>1000</v>
      </c>
      <c r="K2" s="45">
        <f>+E1/İcmal!$P$2</f>
        <v>1034.7371656932062</v>
      </c>
      <c r="L2" s="45">
        <f>+J2-K2</f>
        <v>-34.73716569320618</v>
      </c>
    </row>
    <row r="3" spans="2:18" ht="21" customHeight="1" x14ac:dyDescent="0.3">
      <c r="B3" s="1" t="s">
        <v>0</v>
      </c>
      <c r="C3" s="6" t="s">
        <v>4</v>
      </c>
      <c r="D3" s="3" t="s">
        <v>1</v>
      </c>
      <c r="E3" s="3" t="s">
        <v>3</v>
      </c>
      <c r="F3" s="5" t="s">
        <v>2</v>
      </c>
      <c r="G3" s="3" t="s">
        <v>8</v>
      </c>
      <c r="H3" s="3" t="s">
        <v>9</v>
      </c>
      <c r="L3">
        <f>+SUM(Tablo145678910111213141516171819[KAR])</f>
        <v>4274.7207000000062</v>
      </c>
      <c r="M3" s="37">
        <f>+C1</f>
        <v>30</v>
      </c>
    </row>
    <row r="4" spans="2:18" ht="21" hidden="1" customHeight="1" x14ac:dyDescent="0.3">
      <c r="B4" s="2">
        <v>45291</v>
      </c>
      <c r="C4" s="6">
        <v>401</v>
      </c>
      <c r="D4" s="10">
        <v>647.28790000000004</v>
      </c>
      <c r="E4" s="10">
        <v>650.32860000000005</v>
      </c>
      <c r="F4" s="9">
        <f>IF(Tablo145678910111213141516171819[[#This Row],[SATIŞ]]=0,"Açık",(E4-D4)*C4)</f>
        <v>1219.3207000000061</v>
      </c>
      <c r="G4" s="11">
        <f>Tablo145678910111213141516171819[[#This Row],[ADET]]*Tablo145678910111213141516171819[[#This Row],[ALIŞ]]</f>
        <v>259562.44790000003</v>
      </c>
      <c r="H4" s="11">
        <f>Tablo145678910111213141516171819[[#This Row],[ADET]]*Tablo145678910111213141516171819[[#This Row],[SATIŞ]]</f>
        <v>260781.76860000001</v>
      </c>
      <c r="J4" s="40" t="str">
        <f t="shared" ref="J4:J25" si="0">IF(E4=0,D4*1.05,"")</f>
        <v/>
      </c>
      <c r="L4" s="8">
        <f>SUM(Tablo145678910111213141516171819[ALIŞ TUTAR])</f>
        <v>324733.44790000003</v>
      </c>
      <c r="M4" s="8">
        <f>SUM(Tablo145678910111213141516171819[SATIŞ TUTAR])</f>
        <v>295363.16860000003</v>
      </c>
      <c r="N4" s="8">
        <f>L4-M4</f>
        <v>29370.279299999995</v>
      </c>
    </row>
    <row r="5" spans="2:18" ht="21" hidden="1" customHeight="1" x14ac:dyDescent="0.3">
      <c r="B5" s="2">
        <v>45329</v>
      </c>
      <c r="C5" s="6">
        <v>1</v>
      </c>
      <c r="D5" s="10">
        <v>935</v>
      </c>
      <c r="E5" s="10">
        <v>950</v>
      </c>
      <c r="F5" s="9">
        <f>IF(Tablo145678910111213141516171819[[#This Row],[SATIŞ]]=0,"Açık",(E5-D5)*C5)</f>
        <v>15</v>
      </c>
      <c r="G5" s="11">
        <f>Tablo145678910111213141516171819[[#This Row],[ADET]]*Tablo145678910111213141516171819[[#This Row],[ALIŞ]]</f>
        <v>935</v>
      </c>
      <c r="H5" s="11">
        <f>Tablo145678910111213141516171819[[#This Row],[ADET]]*Tablo145678910111213141516171819[[#This Row],[SATIŞ]]</f>
        <v>950</v>
      </c>
      <c r="J5" s="40" t="str">
        <f t="shared" si="0"/>
        <v/>
      </c>
      <c r="N5">
        <f>+N4/80</f>
        <v>367.12849124999991</v>
      </c>
    </row>
    <row r="6" spans="2:18" ht="21" hidden="1" customHeight="1" x14ac:dyDescent="0.3">
      <c r="B6" s="2">
        <v>45329</v>
      </c>
      <c r="C6" s="6">
        <v>2</v>
      </c>
      <c r="D6" s="10">
        <v>930</v>
      </c>
      <c r="E6" s="10">
        <v>940</v>
      </c>
      <c r="F6" s="9">
        <f>IF(Tablo145678910111213141516171819[[#This Row],[SATIŞ]]=0,"Açık",(E6-D6)*C6)</f>
        <v>20</v>
      </c>
      <c r="G6" s="11">
        <f>Tablo145678910111213141516171819[[#This Row],[ADET]]*Tablo145678910111213141516171819[[#This Row],[ALIŞ]]</f>
        <v>1860</v>
      </c>
      <c r="H6" s="11">
        <f>Tablo145678910111213141516171819[[#This Row],[ADET]]*Tablo145678910111213141516171819[[#This Row],[SATIŞ]]</f>
        <v>1880</v>
      </c>
      <c r="J6" s="40" t="str">
        <f t="shared" si="0"/>
        <v/>
      </c>
    </row>
    <row r="7" spans="2:18" ht="21" hidden="1" customHeight="1" x14ac:dyDescent="0.3">
      <c r="B7" s="2">
        <v>45329</v>
      </c>
      <c r="C7" s="6">
        <v>1</v>
      </c>
      <c r="D7" s="10">
        <v>920</v>
      </c>
      <c r="E7" s="10">
        <v>966</v>
      </c>
      <c r="F7" s="9">
        <f>IF(Tablo145678910111213141516171819[[#This Row],[SATIŞ]]=0,"Açık",(E7-D7)*C7)</f>
        <v>46</v>
      </c>
      <c r="G7" s="11">
        <f>Tablo145678910111213141516171819[[#This Row],[ADET]]*Tablo145678910111213141516171819[[#This Row],[ALIŞ]]</f>
        <v>920</v>
      </c>
      <c r="H7" s="11">
        <f>Tablo145678910111213141516171819[[#This Row],[ADET]]*Tablo145678910111213141516171819[[#This Row],[SATIŞ]]</f>
        <v>966</v>
      </c>
      <c r="J7" s="40" t="str">
        <f t="shared" si="0"/>
        <v/>
      </c>
    </row>
    <row r="8" spans="2:18" ht="21" hidden="1" customHeight="1" x14ac:dyDescent="0.3">
      <c r="B8" s="2">
        <v>45329</v>
      </c>
      <c r="C8" s="6">
        <v>2</v>
      </c>
      <c r="D8" s="10">
        <v>920</v>
      </c>
      <c r="E8" s="10">
        <v>980</v>
      </c>
      <c r="F8" s="9">
        <f>IF(Tablo145678910111213141516171819[[#This Row],[SATIŞ]]=0,"Açık",(E8-D8)*C8)</f>
        <v>120</v>
      </c>
      <c r="G8" s="11">
        <f>Tablo145678910111213141516171819[[#This Row],[ADET]]*Tablo145678910111213141516171819[[#This Row],[ALIŞ]]</f>
        <v>1840</v>
      </c>
      <c r="H8" s="11">
        <f>Tablo145678910111213141516171819[[#This Row],[ADET]]*Tablo145678910111213141516171819[[#This Row],[SATIŞ]]</f>
        <v>1960</v>
      </c>
      <c r="J8" s="40" t="str">
        <f t="shared" si="0"/>
        <v/>
      </c>
    </row>
    <row r="9" spans="2:18" ht="21" hidden="1" customHeight="1" x14ac:dyDescent="0.3">
      <c r="B9" s="2">
        <v>45329</v>
      </c>
      <c r="C9" s="6">
        <v>5</v>
      </c>
      <c r="D9" s="10">
        <v>920</v>
      </c>
      <c r="E9" s="10">
        <v>1010</v>
      </c>
      <c r="F9" s="9">
        <f>IF(Tablo145678910111213141516171819[[#This Row],[SATIŞ]]=0,"Açık",(E9-D9)*C9)</f>
        <v>450</v>
      </c>
      <c r="G9" s="11">
        <f>Tablo145678910111213141516171819[[#This Row],[ADET]]*Tablo145678910111213141516171819[[#This Row],[ALIŞ]]</f>
        <v>4600</v>
      </c>
      <c r="H9" s="11">
        <f>Tablo145678910111213141516171819[[#This Row],[ADET]]*Tablo145678910111213141516171819[[#This Row],[SATIŞ]]</f>
        <v>5050</v>
      </c>
      <c r="J9" s="40" t="str">
        <f t="shared" si="0"/>
        <v/>
      </c>
    </row>
    <row r="10" spans="2:18" ht="21" hidden="1" customHeight="1" x14ac:dyDescent="0.3">
      <c r="B10" s="2">
        <v>45329</v>
      </c>
      <c r="C10" s="6">
        <v>2</v>
      </c>
      <c r="D10" s="10">
        <v>920</v>
      </c>
      <c r="E10" s="10">
        <v>1060</v>
      </c>
      <c r="F10" s="9">
        <f>IF(Tablo145678910111213141516171819[[#This Row],[SATIŞ]]=0,"Açık",(E10-D10)*C10)</f>
        <v>280</v>
      </c>
      <c r="G10" s="11">
        <f>Tablo145678910111213141516171819[[#This Row],[ADET]]*Tablo145678910111213141516171819[[#This Row],[ALIŞ]]</f>
        <v>1840</v>
      </c>
      <c r="H10" s="11">
        <f>Tablo145678910111213141516171819[[#This Row],[ADET]]*Tablo145678910111213141516171819[[#This Row],[SATIŞ]]</f>
        <v>2120</v>
      </c>
      <c r="J10" s="40" t="str">
        <f t="shared" si="0"/>
        <v/>
      </c>
    </row>
    <row r="11" spans="2:18" ht="21" hidden="1" customHeight="1" x14ac:dyDescent="0.3">
      <c r="B11" s="2">
        <v>45335</v>
      </c>
      <c r="C11" s="6">
        <v>3</v>
      </c>
      <c r="D11" s="10">
        <v>960</v>
      </c>
      <c r="E11" s="10">
        <v>1060</v>
      </c>
      <c r="F11" s="9">
        <f>IF(Tablo145678910111213141516171819[[#This Row],[SATIŞ]]=0,"Açık",(E11-D11)*C11)</f>
        <v>300</v>
      </c>
      <c r="G11" s="11">
        <f>Tablo145678910111213141516171819[[#This Row],[ADET]]*Tablo145678910111213141516171819[[#This Row],[ALIŞ]]</f>
        <v>2880</v>
      </c>
      <c r="H11" s="11">
        <f>Tablo145678910111213141516171819[[#This Row],[ADET]]*Tablo145678910111213141516171819[[#This Row],[SATIŞ]]</f>
        <v>3180</v>
      </c>
      <c r="J11" s="40" t="str">
        <f t="shared" si="0"/>
        <v/>
      </c>
    </row>
    <row r="12" spans="2:18" ht="21" hidden="1" customHeight="1" x14ac:dyDescent="0.3">
      <c r="B12" s="2">
        <v>45371</v>
      </c>
      <c r="C12" s="6">
        <v>5</v>
      </c>
      <c r="D12" s="10">
        <v>1100</v>
      </c>
      <c r="E12" s="10">
        <v>1200</v>
      </c>
      <c r="F12" s="9">
        <f>IF(Tablo145678910111213141516171819[[#This Row],[SATIŞ]]=0,"Açık",(E12-D12)*C12)</f>
        <v>500</v>
      </c>
      <c r="G12" s="11">
        <f>Tablo145678910111213141516171819[[#This Row],[ADET]]*Tablo145678910111213141516171819[[#This Row],[ALIŞ]]</f>
        <v>5500</v>
      </c>
      <c r="H12" s="11">
        <f>Tablo145678910111213141516171819[[#This Row],[ADET]]*Tablo145678910111213141516171819[[#This Row],[SATIŞ]]</f>
        <v>6000</v>
      </c>
      <c r="J12" s="40" t="str">
        <f t="shared" si="0"/>
        <v/>
      </c>
    </row>
    <row r="13" spans="2:18" ht="21" hidden="1" customHeight="1" x14ac:dyDescent="0.3">
      <c r="B13" s="2">
        <v>45371</v>
      </c>
      <c r="C13" s="6">
        <v>5</v>
      </c>
      <c r="D13" s="10">
        <v>1100</v>
      </c>
      <c r="E13" s="10">
        <v>1150</v>
      </c>
      <c r="F13" s="9">
        <f>IF(Tablo145678910111213141516171819[[#This Row],[SATIŞ]]=0,"Açık",(E13-D13)*C13)</f>
        <v>250</v>
      </c>
      <c r="G13" s="11">
        <f>Tablo145678910111213141516171819[[#This Row],[ADET]]*Tablo145678910111213141516171819[[#This Row],[ALIŞ]]</f>
        <v>5500</v>
      </c>
      <c r="H13" s="11">
        <f>Tablo145678910111213141516171819[[#This Row],[ADET]]*Tablo145678910111213141516171819[[#This Row],[SATIŞ]]</f>
        <v>5750</v>
      </c>
      <c r="J13" s="40" t="str">
        <f t="shared" si="0"/>
        <v/>
      </c>
    </row>
    <row r="14" spans="2:18" ht="21" customHeight="1" x14ac:dyDescent="0.3">
      <c r="B14" s="2">
        <v>45371</v>
      </c>
      <c r="C14" s="6">
        <v>10</v>
      </c>
      <c r="D14" s="10">
        <v>1113</v>
      </c>
      <c r="E14" s="10"/>
      <c r="F14" s="9" t="str">
        <f>IF(Tablo145678910111213141516171819[[#This Row],[SATIŞ]]=0,"Açık",(E14-D14)*C14)</f>
        <v>Açık</v>
      </c>
      <c r="G14" s="11">
        <f>Tablo145678910111213141516171819[[#This Row],[ADET]]*Tablo145678910111213141516171819[[#This Row],[ALIŞ]]</f>
        <v>11130</v>
      </c>
      <c r="H14" s="11">
        <f>Tablo145678910111213141516171819[[#This Row],[ADET]]*Tablo145678910111213141516171819[[#This Row],[SATIŞ]]</f>
        <v>0</v>
      </c>
      <c r="J14" s="40">
        <f t="shared" si="0"/>
        <v>1168.6500000000001</v>
      </c>
    </row>
    <row r="15" spans="2:18" ht="21" customHeight="1" x14ac:dyDescent="0.3">
      <c r="B15" s="2">
        <v>45373</v>
      </c>
      <c r="C15" s="6">
        <v>5</v>
      </c>
      <c r="D15" s="10">
        <v>1160</v>
      </c>
      <c r="E15" s="10"/>
      <c r="F15" s="9" t="str">
        <f>IF(Tablo145678910111213141516171819[[#This Row],[SATIŞ]]=0,"Açık",(E15-D15)*C15)</f>
        <v>Açık</v>
      </c>
      <c r="G15" s="11">
        <f>Tablo145678910111213141516171819[[#This Row],[ADET]]*Tablo145678910111213141516171819[[#This Row],[ALIŞ]]</f>
        <v>5800</v>
      </c>
      <c r="H15" s="11">
        <f>Tablo145678910111213141516171819[[#This Row],[ADET]]*Tablo145678910111213141516171819[[#This Row],[SATIŞ]]</f>
        <v>0</v>
      </c>
      <c r="J15" s="40">
        <f t="shared" si="0"/>
        <v>1218</v>
      </c>
    </row>
    <row r="16" spans="2:18" ht="21" customHeight="1" x14ac:dyDescent="0.3">
      <c r="B16" s="2">
        <v>45377</v>
      </c>
      <c r="C16" s="6">
        <v>5</v>
      </c>
      <c r="D16" s="10">
        <v>1095</v>
      </c>
      <c r="E16" s="10"/>
      <c r="F16" s="9" t="str">
        <f>IF(Tablo145678910111213141516171819[[#This Row],[SATIŞ]]=0,"Açık",(E16-D16)*C16)</f>
        <v>Açık</v>
      </c>
      <c r="G16" s="11">
        <f>Tablo145678910111213141516171819[[#This Row],[ADET]]*Tablo145678910111213141516171819[[#This Row],[ALIŞ]]</f>
        <v>5475</v>
      </c>
      <c r="H16" s="11">
        <f>Tablo145678910111213141516171819[[#This Row],[ADET]]*Tablo145678910111213141516171819[[#This Row],[SATIŞ]]</f>
        <v>0</v>
      </c>
      <c r="J16" s="40">
        <f t="shared" si="0"/>
        <v>1149.75</v>
      </c>
    </row>
    <row r="17" spans="2:10" ht="21" hidden="1" customHeight="1" x14ac:dyDescent="0.3">
      <c r="B17" s="2">
        <v>45380</v>
      </c>
      <c r="C17" s="6">
        <v>5</v>
      </c>
      <c r="D17" s="10">
        <v>1130</v>
      </c>
      <c r="E17" s="10">
        <v>1189</v>
      </c>
      <c r="F17" s="9">
        <f>IF(Tablo145678910111213141516171819[[#This Row],[SATIŞ]]=0,"Açık",(E17-D17)*C17)</f>
        <v>295</v>
      </c>
      <c r="G17" s="11">
        <f>Tablo145678910111213141516171819[[#This Row],[ADET]]*Tablo145678910111213141516171819[[#This Row],[ALIŞ]]</f>
        <v>5650</v>
      </c>
      <c r="H17" s="11">
        <f>Tablo145678910111213141516171819[[#This Row],[ADET]]*Tablo145678910111213141516171819[[#This Row],[SATIŞ]]</f>
        <v>5945</v>
      </c>
      <c r="J17" s="40" t="str">
        <f t="shared" si="0"/>
        <v/>
      </c>
    </row>
    <row r="18" spans="2:10" ht="21" customHeight="1" x14ac:dyDescent="0.3">
      <c r="B18" s="2">
        <v>45399</v>
      </c>
      <c r="C18" s="6">
        <v>10</v>
      </c>
      <c r="D18" s="10">
        <v>1124</v>
      </c>
      <c r="E18" s="10"/>
      <c r="F18" s="9" t="str">
        <f>IF(Tablo145678910111213141516171819[[#This Row],[SATIŞ]]=0,"Açık",(E18-D18)*C18)</f>
        <v>Açık</v>
      </c>
      <c r="G18" s="11">
        <f>Tablo145678910111213141516171819[[#This Row],[ADET]]*Tablo145678910111213141516171819[[#This Row],[ALIŞ]]</f>
        <v>11240</v>
      </c>
      <c r="H18" s="11">
        <f>Tablo145678910111213141516171819[[#This Row],[ADET]]*Tablo145678910111213141516171819[[#This Row],[SATIŞ]]</f>
        <v>0</v>
      </c>
      <c r="J18" s="40">
        <f t="shared" si="0"/>
        <v>1180.2</v>
      </c>
    </row>
    <row r="19" spans="2:10" ht="21" hidden="1" customHeight="1" x14ac:dyDescent="0.3">
      <c r="B19" s="2">
        <v>45398</v>
      </c>
      <c r="C19" s="6">
        <v>1</v>
      </c>
      <c r="D19" s="10">
        <v>1</v>
      </c>
      <c r="E19" s="10">
        <v>780.4</v>
      </c>
      <c r="F19" s="9">
        <f>IF(Tablo145678910111213141516171819[[#This Row],[SATIŞ]]=0,"Açık",(E19-D19)*C19)</f>
        <v>779.4</v>
      </c>
      <c r="G19" s="11">
        <f>Tablo145678910111213141516171819[[#This Row],[ADET]]*Tablo145678910111213141516171819[[#This Row],[ALIŞ]]</f>
        <v>1</v>
      </c>
      <c r="H19" s="11">
        <f>Tablo145678910111213141516171819[[#This Row],[ADET]]*Tablo145678910111213141516171819[[#This Row],[SATIŞ]]</f>
        <v>780.4</v>
      </c>
      <c r="J19" s="40" t="str">
        <f t="shared" si="0"/>
        <v/>
      </c>
    </row>
    <row r="20" spans="2:10" ht="21" customHeight="1" x14ac:dyDescent="0.3">
      <c r="J20" s="40">
        <f t="shared" si="0"/>
        <v>0</v>
      </c>
    </row>
    <row r="21" spans="2:10" ht="21" customHeight="1" x14ac:dyDescent="0.3">
      <c r="J21" s="40">
        <f t="shared" si="0"/>
        <v>0</v>
      </c>
    </row>
    <row r="22" spans="2:10" ht="21" customHeight="1" x14ac:dyDescent="0.3">
      <c r="J22" s="40">
        <f t="shared" si="0"/>
        <v>0</v>
      </c>
    </row>
    <row r="23" spans="2:10" ht="21" customHeight="1" x14ac:dyDescent="0.3">
      <c r="J23" s="40">
        <f t="shared" si="0"/>
        <v>0</v>
      </c>
    </row>
    <row r="24" spans="2:10" ht="21" customHeight="1" x14ac:dyDescent="0.3">
      <c r="J24" s="40">
        <f t="shared" si="0"/>
        <v>0</v>
      </c>
    </row>
    <row r="25" spans="2:10" ht="21" customHeight="1" x14ac:dyDescent="0.3">
      <c r="J25" s="40">
        <f t="shared" si="0"/>
        <v>0</v>
      </c>
    </row>
  </sheetData>
  <conditionalFormatting sqref="B4:F19">
    <cfRule type="expression" dxfId="131" priority="1">
      <formula>$F4&lt;0</formula>
    </cfRule>
    <cfRule type="expression" dxfId="130" priority="2">
      <formula>$F4="Açık"</formula>
    </cfRule>
    <cfRule type="expression" dxfId="129" priority="3">
      <formula>$F4&gt;0</formula>
    </cfRule>
  </conditionalFormatting>
  <hyperlinks>
    <hyperlink ref="B1" location="İcmal!A1" display="ANA SAYFA" xr:uid="{B920CBA9-0A6A-4D00-AB56-8B17633D105E}"/>
  </hyperlinks>
  <pageMargins left="0.7" right="0.7" top="0.75" bottom="0.75" header="0.3" footer="0.3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E2762-1AB1-4189-979E-1DE67D4F3EFA}">
  <dimension ref="B1:R10"/>
  <sheetViews>
    <sheetView showGridLines="0" showZeros="0" workbookViewId="0">
      <pane ySplit="1" topLeftCell="A2" activePane="bottomLeft" state="frozen"/>
      <selection activeCell="C23" sqref="C23"/>
      <selection pane="bottomLeft" activeCell="M4" sqref="M4"/>
    </sheetView>
  </sheetViews>
  <sheetFormatPr defaultRowHeight="21" customHeight="1" x14ac:dyDescent="0.3"/>
  <cols>
    <col min="2" max="2" width="20.6640625" style="1" customWidth="1"/>
    <col min="3" max="3" width="11.33203125" style="6" customWidth="1"/>
    <col min="4" max="5" width="12.88671875" style="3" customWidth="1"/>
    <col min="6" max="6" width="12.88671875" style="5" customWidth="1"/>
    <col min="7" max="8" width="11.33203125" bestFit="1" customWidth="1"/>
    <col min="12" max="13" width="11.33203125" bestFit="1" customWidth="1"/>
    <col min="14" max="14" width="10.33203125" bestFit="1" customWidth="1"/>
  </cols>
  <sheetData>
    <row r="1" spans="2:18" ht="21" customHeight="1" x14ac:dyDescent="0.3">
      <c r="B1" s="12" t="s">
        <v>64</v>
      </c>
      <c r="C1" s="4">
        <f>SUMIF(Tablo14567891011121314151617181920[KAR],"Açık",Tablo14567891011121314151617181920[ADET])</f>
        <v>0</v>
      </c>
      <c r="D1" s="10">
        <f>+İcmal!E28</f>
        <v>9.23</v>
      </c>
      <c r="E1" s="10">
        <f>C1*D1</f>
        <v>0</v>
      </c>
      <c r="F1" s="10" t="str">
        <f>IFERROR(((SUM(Tablo14567891011121314151617181920[ALIŞ TUTAR])-SUM(Tablo14567891011121314151617181920[SATIŞ TUTAR]))/C1),"")</f>
        <v/>
      </c>
      <c r="G1" s="10">
        <f>IF(M3=0,L3,C1*(D1-F1))</f>
        <v>460.44998999999973</v>
      </c>
      <c r="J1" s="34">
        <v>0.04</v>
      </c>
      <c r="L1" s="8" t="e">
        <f>M1*(1-$J$1)</f>
        <v>#VALUE!</v>
      </c>
      <c r="M1" s="33" t="str">
        <f>F1</f>
        <v/>
      </c>
      <c r="N1" s="8" t="e">
        <f>M1*(1+$J$1)</f>
        <v>#VALUE!</v>
      </c>
      <c r="P1" s="8">
        <f>Q1*(1-$J$1)</f>
        <v>8.8607999999999993</v>
      </c>
      <c r="Q1" s="33">
        <f>+D1</f>
        <v>9.23</v>
      </c>
      <c r="R1" s="8">
        <f>Q1*(1+$J$1)</f>
        <v>9.5992000000000015</v>
      </c>
    </row>
    <row r="3" spans="2:18" ht="21" customHeight="1" x14ac:dyDescent="0.3">
      <c r="B3" s="1" t="s">
        <v>0</v>
      </c>
      <c r="C3" s="6" t="s">
        <v>4</v>
      </c>
      <c r="D3" s="3" t="s">
        <v>1</v>
      </c>
      <c r="E3" s="3" t="s">
        <v>3</v>
      </c>
      <c r="F3" s="5" t="s">
        <v>2</v>
      </c>
      <c r="G3" s="3" t="s">
        <v>8</v>
      </c>
      <c r="H3" s="3" t="s">
        <v>9</v>
      </c>
      <c r="L3" s="33">
        <f>SUM(Tablo14567891011121314151617181920[KAR])</f>
        <v>460.44998999999973</v>
      </c>
      <c r="M3" s="37">
        <f>+C1</f>
        <v>0</v>
      </c>
    </row>
    <row r="4" spans="2:18" ht="21" customHeight="1" x14ac:dyDescent="0.3">
      <c r="B4" s="2">
        <v>45291</v>
      </c>
      <c r="C4" s="6">
        <v>2039</v>
      </c>
      <c r="D4" s="10">
        <v>7.8453809999999997</v>
      </c>
      <c r="E4" s="10">
        <v>7.9607409999999996</v>
      </c>
      <c r="F4" s="9">
        <f>IF(Tablo14567891011121314151617181920[[#This Row],[SATIŞ]]=0,"Açık",(E4-D4)*C4)</f>
        <v>235.21903999999981</v>
      </c>
      <c r="G4" s="11">
        <f>Tablo14567891011121314151617181920[[#This Row],[ADET]]*Tablo14567891011121314151617181920[[#This Row],[ALIŞ]]</f>
        <v>15996.731859</v>
      </c>
      <c r="H4" s="11">
        <f>Tablo14567891011121314151617181920[[#This Row],[ADET]]*Tablo14567891011121314151617181920[[#This Row],[SATIŞ]]</f>
        <v>16231.950898999999</v>
      </c>
      <c r="L4" s="8">
        <f>SUM(Tablo14567891011121314151617181920[ALIŞ TUTAR])</f>
        <v>18801.500908999999</v>
      </c>
      <c r="M4" s="8">
        <f>SUM(Tablo14567891011121314151617181920[SATIŞ TUTAR])</f>
        <v>19261.950898999999</v>
      </c>
      <c r="N4" s="8">
        <f>L4-M4</f>
        <v>-460.44999000000098</v>
      </c>
    </row>
    <row r="5" spans="2:18" ht="21" customHeight="1" x14ac:dyDescent="0.3">
      <c r="B5" s="2">
        <v>45291</v>
      </c>
      <c r="C5" s="6">
        <v>50</v>
      </c>
      <c r="D5" s="10">
        <v>7.8453809999999997</v>
      </c>
      <c r="E5" s="10">
        <v>9</v>
      </c>
      <c r="F5" s="9">
        <f>IF(Tablo14567891011121314151617181920[[#This Row],[SATIŞ]]=0,"Açık",(E5-D5)*C5)</f>
        <v>57.730950000000014</v>
      </c>
      <c r="G5" s="11">
        <f>Tablo14567891011121314151617181920[[#This Row],[ADET]]*Tablo14567891011121314151617181920[[#This Row],[ALIŞ]]</f>
        <v>392.26904999999999</v>
      </c>
      <c r="H5" s="11">
        <f>Tablo14567891011121314151617181920[[#This Row],[ADET]]*Tablo14567891011121314151617181920[[#This Row],[SATIŞ]]</f>
        <v>450</v>
      </c>
      <c r="N5">
        <f>+N4/80</f>
        <v>-5.7556248750000121</v>
      </c>
    </row>
    <row r="6" spans="2:18" ht="21" customHeight="1" x14ac:dyDescent="0.3">
      <c r="B6" s="2">
        <v>45323</v>
      </c>
      <c r="C6" s="6">
        <v>50</v>
      </c>
      <c r="D6" s="10">
        <v>9</v>
      </c>
      <c r="E6" s="10">
        <v>9.6</v>
      </c>
      <c r="F6" s="9">
        <f>IF(Tablo14567891011121314151617181920[[#This Row],[SATIŞ]]=0,"Açık",(E6-D6)*C6)</f>
        <v>29.999999999999982</v>
      </c>
      <c r="G6" s="11">
        <f>Tablo14567891011121314151617181920[[#This Row],[ADET]]*Tablo14567891011121314151617181920[[#This Row],[ALIŞ]]</f>
        <v>450</v>
      </c>
      <c r="H6" s="11">
        <f>Tablo14567891011121314151617181920[[#This Row],[ADET]]*Tablo14567891011121314151617181920[[#This Row],[SATIŞ]]</f>
        <v>480</v>
      </c>
    </row>
    <row r="7" spans="2:18" ht="21" customHeight="1" x14ac:dyDescent="0.3">
      <c r="B7" s="2">
        <v>45323</v>
      </c>
      <c r="C7" s="6">
        <v>50</v>
      </c>
      <c r="D7" s="10">
        <v>8.85</v>
      </c>
      <c r="E7" s="10">
        <v>9.6</v>
      </c>
      <c r="F7" s="9">
        <f>IF(Tablo14567891011121314151617181920[[#This Row],[SATIŞ]]=0,"Açık",(E7-D7)*C7)</f>
        <v>37.5</v>
      </c>
      <c r="G7" s="11">
        <f>Tablo14567891011121314151617181920[[#This Row],[ADET]]*Tablo14567891011121314151617181920[[#This Row],[ALIŞ]]</f>
        <v>442.5</v>
      </c>
      <c r="H7" s="11">
        <f>Tablo14567891011121314151617181920[[#This Row],[ADET]]*Tablo14567891011121314151617181920[[#This Row],[SATIŞ]]</f>
        <v>480</v>
      </c>
    </row>
    <row r="8" spans="2:18" ht="21" customHeight="1" x14ac:dyDescent="0.3">
      <c r="B8" s="2">
        <v>45323</v>
      </c>
      <c r="C8" s="6">
        <v>30</v>
      </c>
      <c r="D8" s="10">
        <v>8.8000000000000007</v>
      </c>
      <c r="E8" s="10">
        <v>9.6</v>
      </c>
      <c r="F8" s="9">
        <f>IF(Tablo14567891011121314151617181920[[#This Row],[SATIŞ]]=0,"Açık",(E8-D8)*C8)</f>
        <v>23.999999999999968</v>
      </c>
      <c r="G8" s="11">
        <f>Tablo14567891011121314151617181920[[#This Row],[ADET]]*Tablo14567891011121314151617181920[[#This Row],[ALIŞ]]</f>
        <v>264</v>
      </c>
      <c r="H8" s="11">
        <f>Tablo14567891011121314151617181920[[#This Row],[ADET]]*Tablo14567891011121314151617181920[[#This Row],[SATIŞ]]</f>
        <v>288</v>
      </c>
    </row>
    <row r="9" spans="2:18" ht="21" customHeight="1" x14ac:dyDescent="0.3">
      <c r="B9" s="2">
        <v>45323</v>
      </c>
      <c r="C9" s="6">
        <v>20</v>
      </c>
      <c r="D9" s="10">
        <v>8.8000000000000007</v>
      </c>
      <c r="E9" s="10">
        <v>9</v>
      </c>
      <c r="F9" s="9">
        <f>IF(Tablo14567891011121314151617181920[[#This Row],[SATIŞ]]=0,"Açık",(E9-D9)*C9)</f>
        <v>3.9999999999999858</v>
      </c>
      <c r="G9" s="11">
        <f>Tablo14567891011121314151617181920[[#This Row],[ADET]]*Tablo14567891011121314151617181920[[#This Row],[ALIŞ]]</f>
        <v>176</v>
      </c>
      <c r="H9" s="11">
        <f>Tablo14567891011121314151617181920[[#This Row],[ADET]]*Tablo14567891011121314151617181920[[#This Row],[SATIŞ]]</f>
        <v>180</v>
      </c>
    </row>
    <row r="10" spans="2:18" ht="21" customHeight="1" x14ac:dyDescent="0.3">
      <c r="B10" s="2">
        <v>45335</v>
      </c>
      <c r="C10" s="6">
        <v>120</v>
      </c>
      <c r="D10" s="10">
        <v>9</v>
      </c>
      <c r="E10" s="10">
        <v>9.6</v>
      </c>
      <c r="F10" s="9">
        <f>IF(Tablo14567891011121314151617181920[[#This Row],[SATIŞ]]=0,"Açık",(E10-D10)*C10)</f>
        <v>71.999999999999957</v>
      </c>
      <c r="G10" s="11">
        <f>Tablo14567891011121314151617181920[[#This Row],[ADET]]*Tablo14567891011121314151617181920[[#This Row],[ALIŞ]]</f>
        <v>1080</v>
      </c>
      <c r="H10" s="11">
        <f>Tablo14567891011121314151617181920[[#This Row],[ADET]]*Tablo14567891011121314151617181920[[#This Row],[SATIŞ]]</f>
        <v>1152</v>
      </c>
    </row>
  </sheetData>
  <conditionalFormatting sqref="B4:F10">
    <cfRule type="expression" dxfId="128" priority="1">
      <formula>$F4&lt;0</formula>
    </cfRule>
    <cfRule type="expression" dxfId="127" priority="2">
      <formula>$F4="Açık"</formula>
    </cfRule>
    <cfRule type="expression" dxfId="126" priority="3">
      <formula>$F4&gt;0</formula>
    </cfRule>
  </conditionalFormatting>
  <hyperlinks>
    <hyperlink ref="B1" location="İcmal!A1" display="ANA SAYFA" xr:uid="{4A88056D-D7CD-4E9F-9FA5-02A8821D7243}"/>
  </hyperlinks>
  <pageMargins left="0.7" right="0.7" top="0.75" bottom="0.75" header="0.3" footer="0.3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4D81B-D005-43AA-A708-190BD6320B1D}">
  <dimension ref="B1:R16"/>
  <sheetViews>
    <sheetView showGridLines="0" showZeros="0" zoomScale="110" zoomScaleNormal="110" workbookViewId="0">
      <pane ySplit="3" topLeftCell="A4" activePane="bottomLeft" state="frozen"/>
      <selection pane="bottomLeft" activeCell="E17" sqref="E17"/>
    </sheetView>
  </sheetViews>
  <sheetFormatPr defaultRowHeight="21" customHeight="1" x14ac:dyDescent="0.3"/>
  <cols>
    <col min="2" max="2" width="20.6640625" style="1" customWidth="1"/>
    <col min="3" max="3" width="11.33203125" style="6" customWidth="1"/>
    <col min="4" max="5" width="12.88671875" style="3" customWidth="1"/>
    <col min="6" max="6" width="12.88671875" style="5" customWidth="1"/>
    <col min="7" max="7" width="12.88671875" bestFit="1" customWidth="1"/>
    <col min="8" max="8" width="13.44140625" bestFit="1" customWidth="1"/>
    <col min="10" max="12" width="12.44140625" customWidth="1"/>
    <col min="13" max="13" width="12.6640625" bestFit="1" customWidth="1"/>
    <col min="14" max="14" width="12" bestFit="1" customWidth="1"/>
  </cols>
  <sheetData>
    <row r="1" spans="2:18" ht="21" customHeight="1" x14ac:dyDescent="0.3">
      <c r="B1" s="12" t="s">
        <v>64</v>
      </c>
      <c r="C1" s="4">
        <f>SUMIF(Tablo145678910111213141516171819202122232425262728293031323334353637383967[KAR],"Açık",Tablo145678910111213141516171819202122232425262728293031323334353637383967[ADET])</f>
        <v>0</v>
      </c>
      <c r="D1" s="10">
        <f>+İcmal!E29</f>
        <v>32.42</v>
      </c>
      <c r="E1" s="10">
        <f>C1*D1</f>
        <v>0</v>
      </c>
      <c r="F1" s="10" t="str">
        <f>IFERROR(((SUM(Tablo145678910111213141516171819202122232425262728293031323334353637383967[ALIŞ TUTAR])-SUM(Tablo145678910111213141516171819202122232425262728293031323334353637383967[SATIŞ TUTAR]))/C1),"")</f>
        <v/>
      </c>
      <c r="G1" s="10">
        <f>IF(M3=0,L3,C1*(D1-F1))</f>
        <v>-2273.9999999999995</v>
      </c>
      <c r="J1" s="45" t="s">
        <v>94</v>
      </c>
      <c r="K1" s="45" t="s">
        <v>95</v>
      </c>
      <c r="L1" s="45" t="s">
        <v>96</v>
      </c>
      <c r="M1" s="33" t="str">
        <f>F1</f>
        <v/>
      </c>
      <c r="N1" s="8" t="e">
        <f>M1*(1+$J$1)</f>
        <v>#VALUE!</v>
      </c>
      <c r="P1" s="8" t="e">
        <f>Q1*(1-$J$1)</f>
        <v>#VALUE!</v>
      </c>
      <c r="Q1" s="33">
        <f>+D1</f>
        <v>32.42</v>
      </c>
      <c r="R1" s="8" t="e">
        <f>Q1*(1+$J$1)</f>
        <v>#VALUE!</v>
      </c>
    </row>
    <row r="2" spans="2:18" ht="21" customHeight="1" x14ac:dyDescent="0.3">
      <c r="B2" s="7" t="s">
        <v>48</v>
      </c>
      <c r="J2" s="45">
        <f>SUMIFS(Tablo2[HEDEF2],Tablo2[HİSSE],B2)</f>
        <v>2000</v>
      </c>
      <c r="K2" s="45">
        <f>+E1/İcmal!$P$2</f>
        <v>0</v>
      </c>
      <c r="L2" s="45">
        <f>+J2-K2</f>
        <v>2000</v>
      </c>
    </row>
    <row r="3" spans="2:18" ht="21" customHeight="1" x14ac:dyDescent="0.3">
      <c r="B3" s="1" t="s">
        <v>0</v>
      </c>
      <c r="C3" s="6" t="s">
        <v>4</v>
      </c>
      <c r="D3" s="3" t="s">
        <v>1</v>
      </c>
      <c r="E3" s="3" t="s">
        <v>3</v>
      </c>
      <c r="F3" s="5" t="s">
        <v>2</v>
      </c>
      <c r="G3" s="3" t="s">
        <v>8</v>
      </c>
      <c r="H3" s="3" t="s">
        <v>9</v>
      </c>
      <c r="L3">
        <f>+SUM(Tablo145678910111213141516171819202122232425262728293031323334353637383967[KAR])</f>
        <v>-2273.9999999999995</v>
      </c>
      <c r="M3" s="37">
        <f>+C1</f>
        <v>0</v>
      </c>
    </row>
    <row r="4" spans="2:18" ht="21" customHeight="1" x14ac:dyDescent="0.3">
      <c r="B4" s="2">
        <v>45376</v>
      </c>
      <c r="C4" s="6">
        <v>100</v>
      </c>
      <c r="D4" s="10">
        <v>39</v>
      </c>
      <c r="E4" s="10">
        <v>31</v>
      </c>
      <c r="F4" s="9">
        <f>IF(Tablo145678910111213141516171819202122232425262728293031323334353637383967[[#This Row],[SATIŞ]]=0,"Açık",(E4-D4)*C4)</f>
        <v>-800</v>
      </c>
      <c r="G4" s="11">
        <f>Tablo145678910111213141516171819202122232425262728293031323334353637383967[[#This Row],[ADET]]*Tablo145678910111213141516171819202122232425262728293031323334353637383967[[#This Row],[ALIŞ]]</f>
        <v>3900</v>
      </c>
      <c r="H4" s="11">
        <f>Tablo145678910111213141516171819202122232425262728293031323334353637383967[[#This Row],[ADET]]*Tablo145678910111213141516171819202122232425262728293031323334353637383967[[#This Row],[SATIŞ]]</f>
        <v>3100</v>
      </c>
      <c r="J4" s="40" t="str">
        <f t="shared" ref="J4:J15" si="0">IF(E4=0,D4*1.05,"")</f>
        <v/>
      </c>
      <c r="L4" s="8">
        <f>SUM(Tablo145678910111213141516171819202122232425262728293031323334353637383967[ALIŞ TUTAR])</f>
        <v>29444</v>
      </c>
      <c r="M4" s="8">
        <f>SUM(Tablo145678910111213141516171819202122232425262728293031323334353637383967[SATIŞ TUTAR])</f>
        <v>27170</v>
      </c>
      <c r="N4" s="8">
        <f>L4-M4</f>
        <v>2274</v>
      </c>
    </row>
    <row r="5" spans="2:18" ht="21" customHeight="1" x14ac:dyDescent="0.3">
      <c r="B5" s="2">
        <v>45377</v>
      </c>
      <c r="C5" s="6">
        <v>100</v>
      </c>
      <c r="D5" s="10">
        <v>37.6</v>
      </c>
      <c r="E5" s="10">
        <v>31</v>
      </c>
      <c r="F5" s="9">
        <f>IF(Tablo145678910111213141516171819202122232425262728293031323334353637383967[[#This Row],[SATIŞ]]=0,"Açık",(E5-D5)*C5)</f>
        <v>-660.00000000000011</v>
      </c>
      <c r="G5" s="11">
        <f>Tablo145678910111213141516171819202122232425262728293031323334353637383967[[#This Row],[ADET]]*Tablo145678910111213141516171819202122232425262728293031323334353637383967[[#This Row],[ALIŞ]]</f>
        <v>3760</v>
      </c>
      <c r="H5" s="11">
        <f>Tablo145678910111213141516171819202122232425262728293031323334353637383967[[#This Row],[ADET]]*Tablo145678910111213141516171819202122232425262728293031323334353637383967[[#This Row],[SATIŞ]]</f>
        <v>3100</v>
      </c>
      <c r="J5" s="40" t="str">
        <f t="shared" si="0"/>
        <v/>
      </c>
      <c r="N5">
        <f>+N4/80</f>
        <v>28.425000000000001</v>
      </c>
    </row>
    <row r="6" spans="2:18" ht="21" customHeight="1" x14ac:dyDescent="0.3">
      <c r="B6" s="2">
        <v>45377</v>
      </c>
      <c r="C6" s="6">
        <v>100</v>
      </c>
      <c r="D6" s="10">
        <v>37</v>
      </c>
      <c r="E6" s="10">
        <v>31</v>
      </c>
      <c r="F6" s="9">
        <f>IF(Tablo145678910111213141516171819202122232425262728293031323334353637383967[[#This Row],[SATIŞ]]=0,"Açık",(E6-D6)*C6)</f>
        <v>-600</v>
      </c>
      <c r="G6" s="11">
        <f>Tablo145678910111213141516171819202122232425262728293031323334353637383967[[#This Row],[ADET]]*Tablo145678910111213141516171819202122232425262728293031323334353637383967[[#This Row],[ALIŞ]]</f>
        <v>3700</v>
      </c>
      <c r="H6" s="11">
        <f>Tablo145678910111213141516171819202122232425262728293031323334353637383967[[#This Row],[ADET]]*Tablo145678910111213141516171819202122232425262728293031323334353637383967[[#This Row],[SATIŞ]]</f>
        <v>3100</v>
      </c>
      <c r="J6" s="40" t="str">
        <f t="shared" si="0"/>
        <v/>
      </c>
    </row>
    <row r="7" spans="2:18" ht="21" hidden="1" customHeight="1" x14ac:dyDescent="0.3">
      <c r="B7" s="2">
        <v>45377</v>
      </c>
      <c r="C7" s="6">
        <v>50</v>
      </c>
      <c r="D7" s="10">
        <v>36.5</v>
      </c>
      <c r="E7" s="10">
        <v>37</v>
      </c>
      <c r="F7" s="9">
        <f>IF(Tablo145678910111213141516171819202122232425262728293031323334353637383967[[#This Row],[SATIŞ]]=0,"Açık",(E7-D7)*C7)</f>
        <v>25</v>
      </c>
      <c r="G7" s="11">
        <f>Tablo145678910111213141516171819202122232425262728293031323334353637383967[[#This Row],[ADET]]*Tablo145678910111213141516171819202122232425262728293031323334353637383967[[#This Row],[ALIŞ]]</f>
        <v>1825</v>
      </c>
      <c r="H7" s="11">
        <f>Tablo145678910111213141516171819202122232425262728293031323334353637383967[[#This Row],[ADET]]*Tablo145678910111213141516171819202122232425262728293031323334353637383967[[#This Row],[SATIŞ]]</f>
        <v>1850</v>
      </c>
      <c r="J7" s="40" t="str">
        <f t="shared" si="0"/>
        <v/>
      </c>
    </row>
    <row r="8" spans="2:18" ht="21" hidden="1" customHeight="1" x14ac:dyDescent="0.3">
      <c r="B8" s="2">
        <v>45377</v>
      </c>
      <c r="C8" s="6">
        <v>50</v>
      </c>
      <c r="D8" s="10">
        <v>36.5</v>
      </c>
      <c r="E8" s="10">
        <v>39</v>
      </c>
      <c r="F8" s="9">
        <f>IF(Tablo145678910111213141516171819202122232425262728293031323334353637383967[[#This Row],[SATIŞ]]=0,"Açık",(E8-D8)*C8)</f>
        <v>125</v>
      </c>
      <c r="G8" s="11">
        <f>Tablo145678910111213141516171819202122232425262728293031323334353637383967[[#This Row],[ADET]]*Tablo145678910111213141516171819202122232425262728293031323334353637383967[[#This Row],[ALIŞ]]</f>
        <v>1825</v>
      </c>
      <c r="H8" s="11">
        <f>Tablo145678910111213141516171819202122232425262728293031323334353637383967[[#This Row],[ADET]]*Tablo145678910111213141516171819202122232425262728293031323334353637383967[[#This Row],[SATIŞ]]</f>
        <v>1950</v>
      </c>
      <c r="J8" s="40" t="str">
        <f t="shared" si="0"/>
        <v/>
      </c>
    </row>
    <row r="9" spans="2:18" ht="21" hidden="1" customHeight="1" x14ac:dyDescent="0.3">
      <c r="B9" s="2">
        <v>45377</v>
      </c>
      <c r="C9" s="6">
        <v>50</v>
      </c>
      <c r="D9" s="10">
        <v>36.5</v>
      </c>
      <c r="E9" s="10">
        <v>37</v>
      </c>
      <c r="F9" s="9">
        <f>IF(Tablo145678910111213141516171819202122232425262728293031323334353637383967[[#This Row],[SATIŞ]]=0,"Açık",(E9-D9)*C9)</f>
        <v>25</v>
      </c>
      <c r="G9" s="11">
        <f>Tablo145678910111213141516171819202122232425262728293031323334353637383967[[#This Row],[ADET]]*Tablo145678910111213141516171819202122232425262728293031323334353637383967[[#This Row],[ALIŞ]]</f>
        <v>1825</v>
      </c>
      <c r="H9" s="11">
        <f>Tablo145678910111213141516171819202122232425262728293031323334353637383967[[#This Row],[ADET]]*Tablo145678910111213141516171819202122232425262728293031323334353637383967[[#This Row],[SATIŞ]]</f>
        <v>1850</v>
      </c>
      <c r="J9" s="40" t="str">
        <f t="shared" si="0"/>
        <v/>
      </c>
    </row>
    <row r="10" spans="2:18" ht="21" hidden="1" customHeight="1" x14ac:dyDescent="0.3">
      <c r="B10" s="2">
        <v>45377</v>
      </c>
      <c r="C10" s="6">
        <v>50</v>
      </c>
      <c r="D10" s="10">
        <v>36.5</v>
      </c>
      <c r="E10" s="10">
        <v>36.700000000000003</v>
      </c>
      <c r="F10" s="9">
        <f>IF(Tablo145678910111213141516171819202122232425262728293031323334353637383967[[#This Row],[SATIŞ]]=0,"Açık",(E10-D10)*C10)</f>
        <v>10.000000000000142</v>
      </c>
      <c r="G10" s="11">
        <f>Tablo145678910111213141516171819202122232425262728293031323334353637383967[[#This Row],[ADET]]*Tablo145678910111213141516171819202122232425262728293031323334353637383967[[#This Row],[ALIŞ]]</f>
        <v>1825</v>
      </c>
      <c r="H10" s="11">
        <f>Tablo145678910111213141516171819202122232425262728293031323334353637383967[[#This Row],[ADET]]*Tablo145678910111213141516171819202122232425262728293031323334353637383967[[#This Row],[SATIŞ]]</f>
        <v>1835.0000000000002</v>
      </c>
      <c r="J10" s="40" t="str">
        <f t="shared" si="0"/>
        <v/>
      </c>
    </row>
    <row r="11" spans="2:18" ht="21" hidden="1" customHeight="1" x14ac:dyDescent="0.3">
      <c r="B11" s="2">
        <v>45377</v>
      </c>
      <c r="C11" s="6">
        <v>50</v>
      </c>
      <c r="D11" s="10">
        <v>36.299999999999997</v>
      </c>
      <c r="E11" s="10">
        <v>36.6</v>
      </c>
      <c r="F11" s="9">
        <f>IF(Tablo145678910111213141516171819202122232425262728293031323334353637383967[[#This Row],[SATIŞ]]=0,"Açık",(E11-D11)*C11)</f>
        <v>15.000000000000213</v>
      </c>
      <c r="G11" s="11">
        <f>Tablo145678910111213141516171819202122232425262728293031323334353637383967[[#This Row],[ADET]]*Tablo145678910111213141516171819202122232425262728293031323334353637383967[[#This Row],[ALIŞ]]</f>
        <v>1814.9999999999998</v>
      </c>
      <c r="H11" s="11">
        <f>Tablo145678910111213141516171819202122232425262728293031323334353637383967[[#This Row],[ADET]]*Tablo145678910111213141516171819202122232425262728293031323334353637383967[[#This Row],[SATIŞ]]</f>
        <v>1830</v>
      </c>
      <c r="J11" s="40" t="str">
        <f t="shared" si="0"/>
        <v/>
      </c>
    </row>
    <row r="12" spans="2:18" ht="21" hidden="1" customHeight="1" x14ac:dyDescent="0.3">
      <c r="B12" s="2">
        <v>45377</v>
      </c>
      <c r="C12" s="6">
        <v>50</v>
      </c>
      <c r="D12" s="10">
        <v>36.299999999999997</v>
      </c>
      <c r="E12" s="10">
        <v>36.799999999999997</v>
      </c>
      <c r="F12" s="9">
        <f>IF(Tablo145678910111213141516171819202122232425262728293031323334353637383967[[#This Row],[SATIŞ]]=0,"Açık",(E12-D12)*C12)</f>
        <v>25</v>
      </c>
      <c r="G12" s="11">
        <f>Tablo145678910111213141516171819202122232425262728293031323334353637383967[[#This Row],[ADET]]*Tablo145678910111213141516171819202122232425262728293031323334353637383967[[#This Row],[ALIŞ]]</f>
        <v>1814.9999999999998</v>
      </c>
      <c r="H12" s="11">
        <f>Tablo145678910111213141516171819202122232425262728293031323334353637383967[[#This Row],[ADET]]*Tablo145678910111213141516171819202122232425262728293031323334353637383967[[#This Row],[SATIŞ]]</f>
        <v>1839.9999999999998</v>
      </c>
      <c r="J12" s="40" t="str">
        <f t="shared" si="0"/>
        <v/>
      </c>
    </row>
    <row r="13" spans="2:18" ht="21" customHeight="1" x14ac:dyDescent="0.3">
      <c r="B13" s="2">
        <v>45378</v>
      </c>
      <c r="C13" s="6">
        <v>50</v>
      </c>
      <c r="D13" s="10">
        <v>38</v>
      </c>
      <c r="E13" s="10">
        <v>31</v>
      </c>
      <c r="F13" s="9">
        <f>IF(Tablo145678910111213141516171819202122232425262728293031323334353637383967[[#This Row],[SATIŞ]]=0,"Açık",(E13-D13)*C13)</f>
        <v>-350</v>
      </c>
      <c r="G13" s="11">
        <f>Tablo145678910111213141516171819202122232425262728293031323334353637383967[[#This Row],[ADET]]*Tablo145678910111213141516171819202122232425262728293031323334353637383967[[#This Row],[ALIŞ]]</f>
        <v>1900</v>
      </c>
      <c r="H13" s="11">
        <f>Tablo145678910111213141516171819202122232425262728293031323334353637383967[[#This Row],[ADET]]*Tablo145678910111213141516171819202122232425262728293031323334353637383967[[#This Row],[SATIŞ]]</f>
        <v>1550</v>
      </c>
      <c r="J13" s="40" t="str">
        <f t="shared" si="0"/>
        <v/>
      </c>
    </row>
    <row r="14" spans="2:18" ht="21" hidden="1" customHeight="1" x14ac:dyDescent="0.3">
      <c r="B14" s="2">
        <v>45384</v>
      </c>
      <c r="C14" s="6">
        <v>50</v>
      </c>
      <c r="D14" s="10">
        <v>34.54</v>
      </c>
      <c r="E14" s="10">
        <v>36</v>
      </c>
      <c r="F14" s="9">
        <f>IF(Tablo145678910111213141516171819202122232425262728293031323334353637383967[[#This Row],[SATIŞ]]=0,"Açık",(E14-D14)*C14)</f>
        <v>73.000000000000043</v>
      </c>
      <c r="G14" s="11">
        <f>Tablo145678910111213141516171819202122232425262728293031323334353637383967[[#This Row],[ADET]]*Tablo145678910111213141516171819202122232425262728293031323334353637383967[[#This Row],[ALIŞ]]</f>
        <v>1727</v>
      </c>
      <c r="H14" s="11">
        <f>Tablo145678910111213141516171819202122232425262728293031323334353637383967[[#This Row],[ADET]]*Tablo145678910111213141516171819202122232425262728293031323334353637383967[[#This Row],[SATIŞ]]</f>
        <v>1800</v>
      </c>
      <c r="J14" s="40" t="str">
        <f t="shared" si="0"/>
        <v/>
      </c>
    </row>
    <row r="15" spans="2:18" ht="21" hidden="1" customHeight="1" x14ac:dyDescent="0.3">
      <c r="B15" s="2">
        <v>45384</v>
      </c>
      <c r="C15" s="6">
        <v>50</v>
      </c>
      <c r="D15" s="10">
        <v>34.54</v>
      </c>
      <c r="E15" s="10">
        <v>36.299999999999997</v>
      </c>
      <c r="F15" s="9">
        <f>IF(Tablo145678910111213141516171819202122232425262728293031323334353637383967[[#This Row],[SATIŞ]]=0,"Açık",(E15-D15)*C15)</f>
        <v>87.999999999999901</v>
      </c>
      <c r="G15" s="11">
        <f>Tablo145678910111213141516171819202122232425262728293031323334353637383967[[#This Row],[ADET]]*Tablo145678910111213141516171819202122232425262728293031323334353637383967[[#This Row],[ALIŞ]]</f>
        <v>1727</v>
      </c>
      <c r="H15" s="11">
        <f>Tablo145678910111213141516171819202122232425262728293031323334353637383967[[#This Row],[ADET]]*Tablo145678910111213141516171819202122232425262728293031323334353637383967[[#This Row],[SATIŞ]]</f>
        <v>1814.9999999999998</v>
      </c>
      <c r="J15" s="40" t="str">
        <f t="shared" si="0"/>
        <v/>
      </c>
    </row>
    <row r="16" spans="2:18" ht="21" customHeight="1" x14ac:dyDescent="0.3">
      <c r="B16" s="2">
        <v>45385</v>
      </c>
      <c r="C16" s="6">
        <v>50</v>
      </c>
      <c r="D16" s="10">
        <v>36</v>
      </c>
      <c r="E16" s="10">
        <v>31</v>
      </c>
      <c r="F16" s="9">
        <f>IF(Tablo145678910111213141516171819202122232425262728293031323334353637383967[[#This Row],[SATIŞ]]=0,"Açık",(E16-D16)*C16)</f>
        <v>-250</v>
      </c>
      <c r="G16" s="11">
        <f>Tablo145678910111213141516171819202122232425262728293031323334353637383967[[#This Row],[ADET]]*Tablo145678910111213141516171819202122232425262728293031323334353637383967[[#This Row],[ALIŞ]]</f>
        <v>1800</v>
      </c>
      <c r="H16" s="11">
        <f>Tablo145678910111213141516171819202122232425262728293031323334353637383967[[#This Row],[ADET]]*Tablo145678910111213141516171819202122232425262728293031323334353637383967[[#This Row],[SATIŞ]]</f>
        <v>1550</v>
      </c>
    </row>
  </sheetData>
  <conditionalFormatting sqref="B4:F16">
    <cfRule type="expression" dxfId="125" priority="1">
      <formula>$F4&lt;0</formula>
    </cfRule>
    <cfRule type="expression" dxfId="124" priority="2">
      <formula>$F4="Açık"</formula>
    </cfRule>
    <cfRule type="expression" dxfId="123" priority="3">
      <formula>$F4&gt;0</formula>
    </cfRule>
  </conditionalFormatting>
  <hyperlinks>
    <hyperlink ref="B1" location="İcmal!A1" display="ANA SAYFA" xr:uid="{7ED41DCB-443E-4ECD-9909-FD103C2A642D}"/>
  </hyperlinks>
  <pageMargins left="0.7" right="0.7" top="0.75" bottom="0.75" header="0.3" footer="0.3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6E0A2-2273-4514-99FB-5F32674BFA25}">
  <dimension ref="B1:R45"/>
  <sheetViews>
    <sheetView showGridLines="0" showZeros="0" zoomScale="110" zoomScaleNormal="110" workbookViewId="0">
      <pane ySplit="3" topLeftCell="A23" activePane="bottomLeft" state="frozen"/>
      <selection pane="bottomLeft" activeCell="L54" sqref="L54"/>
    </sheetView>
  </sheetViews>
  <sheetFormatPr defaultRowHeight="21" customHeight="1" x14ac:dyDescent="0.3"/>
  <cols>
    <col min="2" max="2" width="20.6640625" style="1" customWidth="1"/>
    <col min="3" max="3" width="11.33203125" style="6" customWidth="1"/>
    <col min="4" max="5" width="12.88671875" style="3" customWidth="1"/>
    <col min="6" max="6" width="12.88671875" style="5" customWidth="1"/>
    <col min="7" max="8" width="11.6640625" bestFit="1" customWidth="1"/>
    <col min="10" max="12" width="12.44140625" customWidth="1"/>
    <col min="13" max="13" width="11.6640625" bestFit="1" customWidth="1"/>
    <col min="14" max="14" width="12" bestFit="1" customWidth="1"/>
  </cols>
  <sheetData>
    <row r="1" spans="2:18" ht="21" customHeight="1" x14ac:dyDescent="0.3">
      <c r="B1" s="12" t="s">
        <v>64</v>
      </c>
      <c r="C1" s="4">
        <f>SUMIF(Tablo1456789101112131415161718192021[KAR],"Açık",Tablo1456789101112131415161718192021[ADET])</f>
        <v>150</v>
      </c>
      <c r="D1" s="10">
        <f>+İcmal!E30</f>
        <v>90.7</v>
      </c>
      <c r="E1" s="10">
        <f>C1*D1</f>
        <v>13605</v>
      </c>
      <c r="F1" s="10">
        <f>IFERROR(((SUM(Tablo1456789101112131415161718192021[ALIŞ TUTAR])-SUM(Tablo1456789101112131415161718192021[SATIŞ TUTAR]))/C1),"")</f>
        <v>47.993929666666666</v>
      </c>
      <c r="G1" s="10">
        <f>IF(M3=0,L3,C1*(D1-F1))</f>
        <v>6405.9105500000005</v>
      </c>
      <c r="J1" s="45" t="s">
        <v>94</v>
      </c>
      <c r="K1" s="45" t="s">
        <v>95</v>
      </c>
      <c r="L1" s="45" t="s">
        <v>96</v>
      </c>
      <c r="M1" s="33">
        <f>F1</f>
        <v>47.993929666666666</v>
      </c>
      <c r="N1" s="8" t="e">
        <f>M1*(1+$J$1)</f>
        <v>#VALUE!</v>
      </c>
      <c r="P1" s="8" t="e">
        <f>Q1*(1-$J$1)</f>
        <v>#VALUE!</v>
      </c>
      <c r="Q1" s="33">
        <f>+D1</f>
        <v>90.7</v>
      </c>
      <c r="R1" s="8" t="e">
        <f>Q1*(1+$J$1)</f>
        <v>#VALUE!</v>
      </c>
    </row>
    <row r="2" spans="2:18" ht="21" customHeight="1" x14ac:dyDescent="0.3">
      <c r="B2" s="7" t="s">
        <v>30</v>
      </c>
      <c r="J2" s="45">
        <f>SUMIFS(Tablo2[HEDEF2],Tablo2[HİSSE],B2)</f>
        <v>1000</v>
      </c>
      <c r="K2" s="45">
        <f>+E1/İcmal!$P$2</f>
        <v>418.22932677528433</v>
      </c>
      <c r="L2" s="45">
        <f>+J2-K2</f>
        <v>581.77067322471567</v>
      </c>
    </row>
    <row r="3" spans="2:18" ht="21" customHeight="1" x14ac:dyDescent="0.3">
      <c r="B3" s="1" t="s">
        <v>0</v>
      </c>
      <c r="C3" s="6" t="s">
        <v>4</v>
      </c>
      <c r="D3" s="3" t="s">
        <v>1</v>
      </c>
      <c r="E3" s="3" t="s">
        <v>3</v>
      </c>
      <c r="F3" s="5" t="s">
        <v>2</v>
      </c>
      <c r="G3" s="3" t="s">
        <v>8</v>
      </c>
      <c r="H3" s="3" t="s">
        <v>9</v>
      </c>
      <c r="L3" s="33">
        <f>SUM(Tablo1456789101112131415161718192021[KAR])</f>
        <v>5832.9105499999987</v>
      </c>
      <c r="M3" s="37">
        <f>+C1</f>
        <v>150</v>
      </c>
    </row>
    <row r="4" spans="2:18" ht="21" hidden="1" customHeight="1" x14ac:dyDescent="0.3">
      <c r="B4" s="2">
        <v>45291</v>
      </c>
      <c r="C4" s="6">
        <v>779</v>
      </c>
      <c r="D4" s="10">
        <v>53.761330000000001</v>
      </c>
      <c r="E4" s="10">
        <v>55.787179999999999</v>
      </c>
      <c r="F4" s="9">
        <f>IF(Tablo1456789101112131415161718192021[[#This Row],[SATIŞ]]=0,"Açık",(E4-D4)*C4)</f>
        <v>1578.1371499999987</v>
      </c>
      <c r="G4" s="11">
        <f>Tablo1456789101112131415161718192021[[#This Row],[ADET]]*Tablo1456789101112131415161718192021[[#This Row],[ALIŞ]]</f>
        <v>41880.076070000003</v>
      </c>
      <c r="H4" s="11">
        <f>Tablo1456789101112131415161718192021[[#This Row],[ADET]]*Tablo1456789101112131415161718192021[[#This Row],[SATIŞ]]</f>
        <v>43458.213219999998</v>
      </c>
      <c r="L4" s="8">
        <f>SUM(Tablo1456789101112131415161718192021[ALIŞ TUTAR])</f>
        <v>134423.30267</v>
      </c>
      <c r="M4" s="8">
        <f>SUM(Tablo1456789101112131415161718192021[SATIŞ TUTAR])</f>
        <v>127224.21322000001</v>
      </c>
      <c r="N4" s="8">
        <f>L4-M4</f>
        <v>7199.0894499999995</v>
      </c>
    </row>
    <row r="5" spans="2:18" ht="21" hidden="1" customHeight="1" x14ac:dyDescent="0.3">
      <c r="B5" s="2">
        <v>45291</v>
      </c>
      <c r="C5" s="6">
        <v>1</v>
      </c>
      <c r="D5" s="10">
        <v>53.761330000000001</v>
      </c>
      <c r="E5" s="10">
        <v>76</v>
      </c>
      <c r="F5" s="9">
        <f>IF(Tablo1456789101112131415161718192021[[#This Row],[SATIŞ]]=0,"Açık",(E5-D5)*C5)</f>
        <v>22.238669999999999</v>
      </c>
      <c r="G5" s="11">
        <f>Tablo1456789101112131415161718192021[[#This Row],[ADET]]*Tablo1456789101112131415161718192021[[#This Row],[ALIŞ]]</f>
        <v>53.761330000000001</v>
      </c>
      <c r="H5" s="11">
        <f>Tablo1456789101112131415161718192021[[#This Row],[ADET]]*Tablo1456789101112131415161718192021[[#This Row],[SATIŞ]]</f>
        <v>76</v>
      </c>
      <c r="N5">
        <f>+N4/80</f>
        <v>89.988618124999988</v>
      </c>
    </row>
    <row r="6" spans="2:18" ht="21" hidden="1" customHeight="1" x14ac:dyDescent="0.3">
      <c r="B6" s="2">
        <v>45291</v>
      </c>
      <c r="C6" s="6">
        <v>2</v>
      </c>
      <c r="D6" s="10">
        <v>53.761330000000001</v>
      </c>
      <c r="E6" s="10">
        <v>76.5</v>
      </c>
      <c r="F6" s="9">
        <f>IF(Tablo1456789101112131415161718192021[[#This Row],[SATIŞ]]=0,"Açık",(E6-D6)*C6)</f>
        <v>45.477339999999998</v>
      </c>
      <c r="G6" s="11">
        <f>Tablo1456789101112131415161718192021[[#This Row],[ADET]]*Tablo1456789101112131415161718192021[[#This Row],[ALIŞ]]</f>
        <v>107.52266</v>
      </c>
      <c r="H6" s="11">
        <f>Tablo1456789101112131415161718192021[[#This Row],[ADET]]*Tablo1456789101112131415161718192021[[#This Row],[SATIŞ]]</f>
        <v>153</v>
      </c>
    </row>
    <row r="7" spans="2:18" ht="21" hidden="1" customHeight="1" x14ac:dyDescent="0.3">
      <c r="B7" s="2">
        <v>45291</v>
      </c>
      <c r="C7" s="6">
        <v>3</v>
      </c>
      <c r="D7" s="10">
        <v>53.761330000000001</v>
      </c>
      <c r="E7" s="10">
        <v>77</v>
      </c>
      <c r="F7" s="9">
        <f>IF(Tablo1456789101112131415161718192021[[#This Row],[SATIŞ]]=0,"Açık",(E7-D7)*C7)</f>
        <v>69.716009999999997</v>
      </c>
      <c r="G7" s="11">
        <f>Tablo1456789101112131415161718192021[[#This Row],[ADET]]*Tablo1456789101112131415161718192021[[#This Row],[ALIŞ]]</f>
        <v>161.28399000000002</v>
      </c>
      <c r="H7" s="11">
        <f>Tablo1456789101112131415161718192021[[#This Row],[ADET]]*Tablo1456789101112131415161718192021[[#This Row],[SATIŞ]]</f>
        <v>231</v>
      </c>
    </row>
    <row r="8" spans="2:18" ht="21" hidden="1" customHeight="1" x14ac:dyDescent="0.3">
      <c r="B8" s="2">
        <v>45291</v>
      </c>
      <c r="C8" s="6">
        <v>4</v>
      </c>
      <c r="D8" s="10">
        <v>53.761330000000001</v>
      </c>
      <c r="E8" s="10">
        <v>77.5</v>
      </c>
      <c r="F8" s="9">
        <f>IF(Tablo1456789101112131415161718192021[[#This Row],[SATIŞ]]=0,"Açık",(E8-D8)*C8)</f>
        <v>94.954679999999996</v>
      </c>
      <c r="G8" s="11">
        <f>Tablo1456789101112131415161718192021[[#This Row],[ADET]]*Tablo1456789101112131415161718192021[[#This Row],[ALIŞ]]</f>
        <v>215.04532</v>
      </c>
      <c r="H8" s="11">
        <f>Tablo1456789101112131415161718192021[[#This Row],[ADET]]*Tablo1456789101112131415161718192021[[#This Row],[SATIŞ]]</f>
        <v>310</v>
      </c>
    </row>
    <row r="9" spans="2:18" ht="21" hidden="1" customHeight="1" x14ac:dyDescent="0.3">
      <c r="B9" s="2">
        <v>45291</v>
      </c>
      <c r="C9" s="6">
        <v>5</v>
      </c>
      <c r="D9" s="10">
        <v>53.761330000000001</v>
      </c>
      <c r="E9" s="10">
        <v>78</v>
      </c>
      <c r="F9" s="9">
        <f>IF(Tablo1456789101112131415161718192021[[#This Row],[SATIŞ]]=0,"Açık",(E9-D9)*C9)</f>
        <v>121.19335</v>
      </c>
      <c r="G9" s="11">
        <f>Tablo1456789101112131415161718192021[[#This Row],[ADET]]*Tablo1456789101112131415161718192021[[#This Row],[ALIŞ]]</f>
        <v>268.80664999999999</v>
      </c>
      <c r="H9" s="11">
        <f>Tablo1456789101112131415161718192021[[#This Row],[ADET]]*Tablo1456789101112131415161718192021[[#This Row],[SATIŞ]]</f>
        <v>390</v>
      </c>
    </row>
    <row r="10" spans="2:18" ht="21" hidden="1" customHeight="1" x14ac:dyDescent="0.3">
      <c r="B10" s="2">
        <v>45291</v>
      </c>
      <c r="C10" s="6">
        <v>5</v>
      </c>
      <c r="D10" s="10">
        <v>53.761330000000001</v>
      </c>
      <c r="E10" s="10">
        <v>75</v>
      </c>
      <c r="F10" s="9">
        <f>IF(Tablo1456789101112131415161718192021[[#This Row],[SATIŞ]]=0,"Açık",(E10-D10)*C10)</f>
        <v>106.19335</v>
      </c>
      <c r="G10" s="11">
        <f>Tablo1456789101112131415161718192021[[#This Row],[ADET]]*Tablo1456789101112131415161718192021[[#This Row],[ALIŞ]]</f>
        <v>268.80664999999999</v>
      </c>
      <c r="H10" s="11">
        <f>Tablo1456789101112131415161718192021[[#This Row],[ADET]]*Tablo1456789101112131415161718192021[[#This Row],[SATIŞ]]</f>
        <v>375</v>
      </c>
    </row>
    <row r="11" spans="2:18" ht="21" hidden="1" customHeight="1" x14ac:dyDescent="0.3">
      <c r="B11" s="2">
        <v>45328</v>
      </c>
      <c r="C11" s="6">
        <v>5</v>
      </c>
      <c r="D11" s="10">
        <v>73</v>
      </c>
      <c r="E11" s="10">
        <v>76</v>
      </c>
      <c r="F11" s="9">
        <f>IF(Tablo1456789101112131415161718192021[[#This Row],[SATIŞ]]=0,"Açık",(E11-D11)*C11)</f>
        <v>15</v>
      </c>
      <c r="G11" s="11">
        <f>Tablo1456789101112131415161718192021[[#This Row],[ADET]]*Tablo1456789101112131415161718192021[[#This Row],[ALIŞ]]</f>
        <v>365</v>
      </c>
      <c r="H11" s="11">
        <f>Tablo1456789101112131415161718192021[[#This Row],[ADET]]*Tablo1456789101112131415161718192021[[#This Row],[SATIŞ]]</f>
        <v>380</v>
      </c>
    </row>
    <row r="12" spans="2:18" ht="21" hidden="1" customHeight="1" x14ac:dyDescent="0.3">
      <c r="B12" s="2">
        <v>45328</v>
      </c>
      <c r="C12" s="6">
        <v>10</v>
      </c>
      <c r="D12" s="10">
        <v>72.5</v>
      </c>
      <c r="E12" s="10">
        <v>75</v>
      </c>
      <c r="F12" s="9">
        <f>IF(Tablo1456789101112131415161718192021[[#This Row],[SATIŞ]]=0,"Açık",(E12-D12)*C12)</f>
        <v>25</v>
      </c>
      <c r="G12" s="11">
        <f>Tablo1456789101112131415161718192021[[#This Row],[ADET]]*Tablo1456789101112131415161718192021[[#This Row],[ALIŞ]]</f>
        <v>725</v>
      </c>
      <c r="H12" s="11">
        <f>Tablo1456789101112131415161718192021[[#This Row],[ADET]]*Tablo1456789101112131415161718192021[[#This Row],[SATIŞ]]</f>
        <v>750</v>
      </c>
    </row>
    <row r="13" spans="2:18" ht="21" hidden="1" customHeight="1" x14ac:dyDescent="0.3">
      <c r="B13" s="2">
        <v>45328</v>
      </c>
      <c r="C13" s="6">
        <v>20</v>
      </c>
      <c r="D13" s="10">
        <v>73.3</v>
      </c>
      <c r="E13" s="10">
        <v>77</v>
      </c>
      <c r="F13" s="9">
        <f>IF(Tablo1456789101112131415161718192021[[#This Row],[SATIŞ]]=0,"Açık",(E13-D13)*C13)</f>
        <v>74.000000000000057</v>
      </c>
      <c r="G13" s="11">
        <f>Tablo1456789101112131415161718192021[[#This Row],[ADET]]*Tablo1456789101112131415161718192021[[#This Row],[ALIŞ]]</f>
        <v>1466</v>
      </c>
      <c r="H13" s="11">
        <f>Tablo1456789101112131415161718192021[[#This Row],[ADET]]*Tablo1456789101112131415161718192021[[#This Row],[SATIŞ]]</f>
        <v>1540</v>
      </c>
    </row>
    <row r="14" spans="2:18" ht="21" hidden="1" customHeight="1" x14ac:dyDescent="0.3">
      <c r="B14" s="2">
        <v>45328</v>
      </c>
      <c r="C14" s="6">
        <v>10</v>
      </c>
      <c r="D14" s="10">
        <v>73.3</v>
      </c>
      <c r="E14" s="10">
        <v>80.25</v>
      </c>
      <c r="F14" s="9">
        <f>IF(Tablo1456789101112131415161718192021[[#This Row],[SATIŞ]]=0,"Açık",(E14-D14)*C14)</f>
        <v>69.500000000000028</v>
      </c>
      <c r="G14" s="11">
        <f>Tablo1456789101112131415161718192021[[#This Row],[ADET]]*Tablo1456789101112131415161718192021[[#This Row],[ALIŞ]]</f>
        <v>733</v>
      </c>
      <c r="H14" s="11">
        <f>Tablo1456789101112131415161718192021[[#This Row],[ADET]]*Tablo1456789101112131415161718192021[[#This Row],[SATIŞ]]</f>
        <v>802.5</v>
      </c>
    </row>
    <row r="15" spans="2:18" ht="21" hidden="1" customHeight="1" x14ac:dyDescent="0.3">
      <c r="B15" s="2">
        <v>45329</v>
      </c>
      <c r="C15" s="6">
        <v>5</v>
      </c>
      <c r="D15" s="10">
        <v>72.5</v>
      </c>
      <c r="E15" s="10">
        <v>88</v>
      </c>
      <c r="F15" s="9">
        <f>IF(Tablo1456789101112131415161718192021[[#This Row],[SATIŞ]]=0,"Açık",(E15-D15)*C15)</f>
        <v>77.5</v>
      </c>
      <c r="G15" s="11">
        <f>Tablo1456789101112131415161718192021[[#This Row],[ADET]]*Tablo1456789101112131415161718192021[[#This Row],[ALIŞ]]</f>
        <v>362.5</v>
      </c>
      <c r="H15" s="11">
        <f>Tablo1456789101112131415161718192021[[#This Row],[ADET]]*Tablo1456789101112131415161718192021[[#This Row],[SATIŞ]]</f>
        <v>440</v>
      </c>
    </row>
    <row r="16" spans="2:18" ht="21" hidden="1" customHeight="1" x14ac:dyDescent="0.3">
      <c r="B16" s="2">
        <v>45329</v>
      </c>
      <c r="C16" s="6">
        <v>10</v>
      </c>
      <c r="D16" s="10">
        <v>72</v>
      </c>
      <c r="E16" s="10">
        <v>76</v>
      </c>
      <c r="F16" s="9">
        <f>IF(Tablo1456789101112131415161718192021[[#This Row],[SATIŞ]]=0,"Açık",(E16-D16)*C16)</f>
        <v>40</v>
      </c>
      <c r="G16" s="11">
        <f>Tablo1456789101112131415161718192021[[#This Row],[ADET]]*Tablo1456789101112131415161718192021[[#This Row],[ALIŞ]]</f>
        <v>720</v>
      </c>
      <c r="H16" s="11">
        <f>Tablo1456789101112131415161718192021[[#This Row],[ADET]]*Tablo1456789101112131415161718192021[[#This Row],[SATIŞ]]</f>
        <v>760</v>
      </c>
    </row>
    <row r="17" spans="2:10" ht="21" hidden="1" customHeight="1" x14ac:dyDescent="0.3">
      <c r="B17" s="2">
        <v>45331</v>
      </c>
      <c r="C17" s="6">
        <v>5</v>
      </c>
      <c r="D17" s="10">
        <v>73.5</v>
      </c>
      <c r="E17" s="10">
        <v>88</v>
      </c>
      <c r="F17" s="9">
        <f>IF(Tablo1456789101112131415161718192021[[#This Row],[SATIŞ]]=0,"Açık",(E17-D17)*C17)</f>
        <v>72.5</v>
      </c>
      <c r="G17" s="11">
        <f>Tablo1456789101112131415161718192021[[#This Row],[ADET]]*Tablo1456789101112131415161718192021[[#This Row],[ALIŞ]]</f>
        <v>367.5</v>
      </c>
      <c r="H17" s="11">
        <f>Tablo1456789101112131415161718192021[[#This Row],[ADET]]*Tablo1456789101112131415161718192021[[#This Row],[SATIŞ]]</f>
        <v>440</v>
      </c>
    </row>
    <row r="18" spans="2:10" ht="21" hidden="1" customHeight="1" x14ac:dyDescent="0.3">
      <c r="B18" s="2">
        <v>45331</v>
      </c>
      <c r="C18" s="6">
        <v>10</v>
      </c>
      <c r="D18" s="10">
        <v>73</v>
      </c>
      <c r="E18" s="10">
        <v>86</v>
      </c>
      <c r="F18" s="9">
        <f>IF(Tablo1456789101112131415161718192021[[#This Row],[SATIŞ]]=0,"Açık",(E18-D18)*C18)</f>
        <v>130</v>
      </c>
      <c r="G18" s="11">
        <f>Tablo1456789101112131415161718192021[[#This Row],[ADET]]*Tablo1456789101112131415161718192021[[#This Row],[ALIŞ]]</f>
        <v>730</v>
      </c>
      <c r="H18" s="11">
        <f>Tablo1456789101112131415161718192021[[#This Row],[ADET]]*Tablo1456789101112131415161718192021[[#This Row],[SATIŞ]]</f>
        <v>860</v>
      </c>
    </row>
    <row r="19" spans="2:10" ht="21" hidden="1" customHeight="1" x14ac:dyDescent="0.3">
      <c r="B19" s="2">
        <v>45331</v>
      </c>
      <c r="C19" s="6">
        <v>15</v>
      </c>
      <c r="D19" s="10">
        <v>73</v>
      </c>
      <c r="E19" s="10">
        <v>84</v>
      </c>
      <c r="F19" s="9">
        <f>IF(Tablo1456789101112131415161718192021[[#This Row],[SATIŞ]]=0,"Açık",(E19-D19)*C19)</f>
        <v>165</v>
      </c>
      <c r="G19" s="11">
        <f>Tablo1456789101112131415161718192021[[#This Row],[ADET]]*Tablo1456789101112131415161718192021[[#This Row],[ALIŞ]]</f>
        <v>1095</v>
      </c>
      <c r="H19" s="11">
        <f>Tablo1456789101112131415161718192021[[#This Row],[ADET]]*Tablo1456789101112131415161718192021[[#This Row],[SATIŞ]]</f>
        <v>1260</v>
      </c>
    </row>
    <row r="20" spans="2:10" ht="21" hidden="1" customHeight="1" x14ac:dyDescent="0.3">
      <c r="B20" s="2">
        <v>45331</v>
      </c>
      <c r="C20" s="6">
        <v>40</v>
      </c>
      <c r="D20" s="10">
        <v>73</v>
      </c>
      <c r="E20" s="10">
        <v>85.15</v>
      </c>
      <c r="F20" s="9">
        <f>IF(Tablo1456789101112131415161718192021[[#This Row],[SATIŞ]]=0,"Açık",(E20-D20)*C20)</f>
        <v>486.00000000000023</v>
      </c>
      <c r="G20" s="11">
        <f>Tablo1456789101112131415161718192021[[#This Row],[ADET]]*Tablo1456789101112131415161718192021[[#This Row],[ALIŞ]]</f>
        <v>2920</v>
      </c>
      <c r="H20" s="11">
        <f>Tablo1456789101112131415161718192021[[#This Row],[ADET]]*Tablo1456789101112131415161718192021[[#This Row],[SATIŞ]]</f>
        <v>3406</v>
      </c>
    </row>
    <row r="21" spans="2:10" ht="21" hidden="1" customHeight="1" x14ac:dyDescent="0.3">
      <c r="B21" s="2">
        <v>45331</v>
      </c>
      <c r="C21" s="6">
        <v>15</v>
      </c>
      <c r="D21" s="10">
        <v>73</v>
      </c>
      <c r="E21" s="10">
        <v>80</v>
      </c>
      <c r="F21" s="9">
        <f>IF(Tablo1456789101112131415161718192021[[#This Row],[SATIŞ]]=0,"Açık",(E21-D21)*C21)</f>
        <v>105</v>
      </c>
      <c r="G21" s="11">
        <f>Tablo1456789101112131415161718192021[[#This Row],[ADET]]*Tablo1456789101112131415161718192021[[#This Row],[ALIŞ]]</f>
        <v>1095</v>
      </c>
      <c r="H21" s="11">
        <f>Tablo1456789101112131415161718192021[[#This Row],[ADET]]*Tablo1456789101112131415161718192021[[#This Row],[SATIŞ]]</f>
        <v>1200</v>
      </c>
      <c r="J21" s="40" t="str">
        <f t="shared" ref="J21:J40" si="0">IF(E21=0,D21*1.05,"")</f>
        <v/>
      </c>
    </row>
    <row r="22" spans="2:10" ht="21" hidden="1" customHeight="1" x14ac:dyDescent="0.3">
      <c r="B22" s="2">
        <v>45336</v>
      </c>
      <c r="C22" s="6">
        <v>20</v>
      </c>
      <c r="D22" s="10">
        <v>83.5</v>
      </c>
      <c r="E22" s="10">
        <v>84</v>
      </c>
      <c r="F22" s="9">
        <f>IF(Tablo1456789101112131415161718192021[[#This Row],[SATIŞ]]=0,"Açık",(E22-D22)*C22)</f>
        <v>10</v>
      </c>
      <c r="G22" s="11">
        <f>Tablo1456789101112131415161718192021[[#This Row],[ADET]]*Tablo1456789101112131415161718192021[[#This Row],[ALIŞ]]</f>
        <v>1670</v>
      </c>
      <c r="H22" s="11">
        <f>Tablo1456789101112131415161718192021[[#This Row],[ADET]]*Tablo1456789101112131415161718192021[[#This Row],[SATIŞ]]</f>
        <v>1680</v>
      </c>
      <c r="J22" s="40" t="str">
        <f t="shared" si="0"/>
        <v/>
      </c>
    </row>
    <row r="23" spans="2:10" ht="21" customHeight="1" x14ac:dyDescent="0.3">
      <c r="B23" s="2">
        <v>45337</v>
      </c>
      <c r="C23" s="6">
        <v>20</v>
      </c>
      <c r="D23" s="10">
        <v>85</v>
      </c>
      <c r="E23" s="10"/>
      <c r="F23" s="9" t="str">
        <f>IF(Tablo1456789101112131415161718192021[[#This Row],[SATIŞ]]=0,"Açık",(E23-D23)*C23)</f>
        <v>Açık</v>
      </c>
      <c r="G23" s="11">
        <f>Tablo1456789101112131415161718192021[[#This Row],[ADET]]*Tablo1456789101112131415161718192021[[#This Row],[ALIŞ]]</f>
        <v>1700</v>
      </c>
      <c r="H23" s="11">
        <f>Tablo1456789101112131415161718192021[[#This Row],[ADET]]*Tablo1456789101112131415161718192021[[#This Row],[SATIŞ]]</f>
        <v>0</v>
      </c>
      <c r="J23" s="40">
        <f t="shared" si="0"/>
        <v>89.25</v>
      </c>
    </row>
    <row r="24" spans="2:10" ht="21" hidden="1" customHeight="1" x14ac:dyDescent="0.3">
      <c r="B24" s="2">
        <v>45338</v>
      </c>
      <c r="C24" s="6">
        <v>30</v>
      </c>
      <c r="D24" s="10">
        <v>85.2</v>
      </c>
      <c r="E24" s="10">
        <v>90</v>
      </c>
      <c r="F24" s="9">
        <f>IF(Tablo1456789101112131415161718192021[[#This Row],[SATIŞ]]=0,"Açık",(E24-D24)*C24)</f>
        <v>143.99999999999991</v>
      </c>
      <c r="G24" s="11">
        <f>Tablo1456789101112131415161718192021[[#This Row],[ADET]]*Tablo1456789101112131415161718192021[[#This Row],[ALIŞ]]</f>
        <v>2556</v>
      </c>
      <c r="H24" s="11">
        <f>Tablo1456789101112131415161718192021[[#This Row],[ADET]]*Tablo1456789101112131415161718192021[[#This Row],[SATIŞ]]</f>
        <v>2700</v>
      </c>
      <c r="J24" s="40" t="str">
        <f t="shared" si="0"/>
        <v/>
      </c>
    </row>
    <row r="25" spans="2:10" ht="21" hidden="1" customHeight="1" x14ac:dyDescent="0.3">
      <c r="B25" s="2">
        <v>45341</v>
      </c>
      <c r="C25" s="6">
        <v>20</v>
      </c>
      <c r="D25" s="10">
        <v>84</v>
      </c>
      <c r="E25" s="10">
        <v>85</v>
      </c>
      <c r="F25" s="9">
        <f>IF(Tablo1456789101112131415161718192021[[#This Row],[SATIŞ]]=0,"Açık",(E25-D25)*C25)</f>
        <v>20</v>
      </c>
      <c r="G25" s="11">
        <f>Tablo1456789101112131415161718192021[[#This Row],[ADET]]*Tablo1456789101112131415161718192021[[#This Row],[ALIŞ]]</f>
        <v>1680</v>
      </c>
      <c r="H25" s="11">
        <f>Tablo1456789101112131415161718192021[[#This Row],[ADET]]*Tablo1456789101112131415161718192021[[#This Row],[SATIŞ]]</f>
        <v>1700</v>
      </c>
      <c r="J25" s="40" t="str">
        <f t="shared" si="0"/>
        <v/>
      </c>
    </row>
    <row r="26" spans="2:10" ht="21" hidden="1" customHeight="1" x14ac:dyDescent="0.3">
      <c r="B26" s="2">
        <v>45343</v>
      </c>
      <c r="C26" s="6">
        <v>35</v>
      </c>
      <c r="D26" s="10">
        <v>83.6</v>
      </c>
      <c r="E26" s="10">
        <v>82</v>
      </c>
      <c r="F26" s="9">
        <f>IF(Tablo1456789101112131415161718192021[[#This Row],[SATIŞ]]=0,"Açık",(E26-D26)*C26)</f>
        <v>-55.999999999999801</v>
      </c>
      <c r="G26" s="11">
        <f>Tablo1456789101112131415161718192021[[#This Row],[ADET]]*Tablo1456789101112131415161718192021[[#This Row],[ALIŞ]]</f>
        <v>2926</v>
      </c>
      <c r="H26" s="11">
        <f>Tablo1456789101112131415161718192021[[#This Row],[ADET]]*Tablo1456789101112131415161718192021[[#This Row],[SATIŞ]]</f>
        <v>2870</v>
      </c>
      <c r="J26" s="40" t="str">
        <f t="shared" si="0"/>
        <v/>
      </c>
    </row>
    <row r="27" spans="2:10" ht="21" hidden="1" customHeight="1" x14ac:dyDescent="0.3">
      <c r="B27" s="2">
        <v>45348</v>
      </c>
      <c r="C27" s="6">
        <v>50</v>
      </c>
      <c r="D27" s="10">
        <v>82</v>
      </c>
      <c r="E27" s="10">
        <v>82.5</v>
      </c>
      <c r="F27" s="9">
        <f>IF(Tablo1456789101112131415161718192021[[#This Row],[SATIŞ]]=0,"Açık",(E27-D27)*C27)</f>
        <v>25</v>
      </c>
      <c r="G27" s="11">
        <f>Tablo1456789101112131415161718192021[[#This Row],[ADET]]*Tablo1456789101112131415161718192021[[#This Row],[ALIŞ]]</f>
        <v>4100</v>
      </c>
      <c r="H27" s="11">
        <f>Tablo1456789101112131415161718192021[[#This Row],[ADET]]*Tablo1456789101112131415161718192021[[#This Row],[SATIŞ]]</f>
        <v>4125</v>
      </c>
      <c r="J27" s="40" t="str">
        <f t="shared" si="0"/>
        <v/>
      </c>
    </row>
    <row r="28" spans="2:10" ht="21" hidden="1" customHeight="1" x14ac:dyDescent="0.3">
      <c r="B28" s="2">
        <v>45349</v>
      </c>
      <c r="C28" s="6">
        <v>50</v>
      </c>
      <c r="D28" s="10">
        <v>80</v>
      </c>
      <c r="E28" s="10">
        <v>83</v>
      </c>
      <c r="F28" s="9">
        <f>IF(Tablo1456789101112131415161718192021[[#This Row],[SATIŞ]]=0,"Açık",(E28-D28)*C28)</f>
        <v>150</v>
      </c>
      <c r="G28" s="11">
        <f>Tablo1456789101112131415161718192021[[#This Row],[ADET]]*Tablo1456789101112131415161718192021[[#This Row],[ALIŞ]]</f>
        <v>4000</v>
      </c>
      <c r="H28" s="11">
        <f>Tablo1456789101112131415161718192021[[#This Row],[ADET]]*Tablo1456789101112131415161718192021[[#This Row],[SATIŞ]]</f>
        <v>4150</v>
      </c>
      <c r="J28" s="40" t="str">
        <f t="shared" si="0"/>
        <v/>
      </c>
    </row>
    <row r="29" spans="2:10" ht="21" hidden="1" customHeight="1" x14ac:dyDescent="0.3">
      <c r="B29" s="2">
        <v>45350</v>
      </c>
      <c r="C29" s="6">
        <v>50</v>
      </c>
      <c r="D29" s="10">
        <v>80</v>
      </c>
      <c r="E29" s="10">
        <v>81</v>
      </c>
      <c r="F29" s="9">
        <f>IF(Tablo1456789101112131415161718192021[[#This Row],[SATIŞ]]=0,"Açık",(E29-D29)*C29)</f>
        <v>50</v>
      </c>
      <c r="G29" s="11">
        <f>Tablo1456789101112131415161718192021[[#This Row],[ADET]]*Tablo1456789101112131415161718192021[[#This Row],[ALIŞ]]</f>
        <v>4000</v>
      </c>
      <c r="H29" s="11">
        <f>Tablo1456789101112131415161718192021[[#This Row],[ADET]]*Tablo1456789101112131415161718192021[[#This Row],[SATIŞ]]</f>
        <v>4050</v>
      </c>
      <c r="J29" s="40" t="str">
        <f t="shared" si="0"/>
        <v/>
      </c>
    </row>
    <row r="30" spans="2:10" ht="21" hidden="1" customHeight="1" x14ac:dyDescent="0.3">
      <c r="B30" s="2">
        <v>45355</v>
      </c>
      <c r="C30" s="6">
        <v>50</v>
      </c>
      <c r="D30" s="10">
        <v>78.5</v>
      </c>
      <c r="E30" s="10">
        <v>80</v>
      </c>
      <c r="F30" s="9">
        <f>IF(Tablo1456789101112131415161718192021[[#This Row],[SATIŞ]]=0,"Açık",(E30-D30)*C30)</f>
        <v>75</v>
      </c>
      <c r="G30" s="11">
        <f>Tablo1456789101112131415161718192021[[#This Row],[ADET]]*Tablo1456789101112131415161718192021[[#This Row],[ALIŞ]]</f>
        <v>3925</v>
      </c>
      <c r="H30" s="11">
        <f>Tablo1456789101112131415161718192021[[#This Row],[ADET]]*Tablo1456789101112131415161718192021[[#This Row],[SATIŞ]]</f>
        <v>4000</v>
      </c>
      <c r="J30" s="40" t="str">
        <f t="shared" si="0"/>
        <v/>
      </c>
    </row>
    <row r="31" spans="2:10" ht="21" hidden="1" customHeight="1" x14ac:dyDescent="0.3">
      <c r="B31" s="2">
        <v>45362</v>
      </c>
      <c r="C31" s="6">
        <v>50</v>
      </c>
      <c r="D31" s="10">
        <v>75</v>
      </c>
      <c r="E31" s="10">
        <v>77</v>
      </c>
      <c r="F31" s="9">
        <f>IF(Tablo1456789101112131415161718192021[[#This Row],[SATIŞ]]=0,"Açık",(E31-D31)*C31)</f>
        <v>100</v>
      </c>
      <c r="G31" s="11">
        <f>Tablo1456789101112131415161718192021[[#This Row],[ADET]]*Tablo1456789101112131415161718192021[[#This Row],[ALIŞ]]</f>
        <v>3750</v>
      </c>
      <c r="H31" s="11">
        <f>Tablo1456789101112131415161718192021[[#This Row],[ADET]]*Tablo1456789101112131415161718192021[[#This Row],[SATIŞ]]</f>
        <v>3850</v>
      </c>
      <c r="J31" s="40" t="str">
        <f t="shared" si="0"/>
        <v/>
      </c>
    </row>
    <row r="32" spans="2:10" ht="21" hidden="1" customHeight="1" x14ac:dyDescent="0.3">
      <c r="B32" s="2">
        <v>45366</v>
      </c>
      <c r="C32" s="6">
        <v>50</v>
      </c>
      <c r="D32" s="10">
        <v>74</v>
      </c>
      <c r="E32" s="10">
        <v>76</v>
      </c>
      <c r="F32" s="9">
        <f>IF(Tablo1456789101112131415161718192021[[#This Row],[SATIŞ]]=0,"Açık",(E32-D32)*C32)</f>
        <v>100</v>
      </c>
      <c r="G32" s="11">
        <f>Tablo1456789101112131415161718192021[[#This Row],[ADET]]*Tablo1456789101112131415161718192021[[#This Row],[ALIŞ]]</f>
        <v>3700</v>
      </c>
      <c r="H32" s="11">
        <f>Tablo1456789101112131415161718192021[[#This Row],[ADET]]*Tablo1456789101112131415161718192021[[#This Row],[SATIŞ]]</f>
        <v>3800</v>
      </c>
      <c r="J32" s="40" t="str">
        <f t="shared" si="0"/>
        <v/>
      </c>
    </row>
    <row r="33" spans="2:10" ht="21" hidden="1" customHeight="1" x14ac:dyDescent="0.3">
      <c r="B33" s="2">
        <v>45369</v>
      </c>
      <c r="C33" s="6">
        <v>50</v>
      </c>
      <c r="D33" s="10">
        <v>72</v>
      </c>
      <c r="E33" s="10">
        <v>74</v>
      </c>
      <c r="F33" s="9">
        <f>IF(Tablo1456789101112131415161718192021[[#This Row],[SATIŞ]]=0,"Açık",(E33-D33)*C33)</f>
        <v>100</v>
      </c>
      <c r="G33" s="11">
        <f>Tablo1456789101112131415161718192021[[#This Row],[ADET]]*Tablo1456789101112131415161718192021[[#This Row],[ALIŞ]]</f>
        <v>3600</v>
      </c>
      <c r="H33" s="11">
        <f>Tablo1456789101112131415161718192021[[#This Row],[ADET]]*Tablo1456789101112131415161718192021[[#This Row],[SATIŞ]]</f>
        <v>3700</v>
      </c>
      <c r="J33" s="40" t="str">
        <f t="shared" si="0"/>
        <v/>
      </c>
    </row>
    <row r="34" spans="2:10" ht="21" hidden="1" customHeight="1" x14ac:dyDescent="0.3">
      <c r="B34" s="2">
        <v>45369</v>
      </c>
      <c r="C34" s="6">
        <v>50</v>
      </c>
      <c r="D34" s="10">
        <v>72</v>
      </c>
      <c r="E34" s="10">
        <v>73</v>
      </c>
      <c r="F34" s="9">
        <f>IF(Tablo1456789101112131415161718192021[[#This Row],[SATIŞ]]=0,"Açık",(E34-D34)*C34)</f>
        <v>50</v>
      </c>
      <c r="G34" s="11">
        <f>Tablo1456789101112131415161718192021[[#This Row],[ADET]]*Tablo1456789101112131415161718192021[[#This Row],[ALIŞ]]</f>
        <v>3600</v>
      </c>
      <c r="H34" s="11">
        <f>Tablo1456789101112131415161718192021[[#This Row],[ADET]]*Tablo1456789101112131415161718192021[[#This Row],[SATIŞ]]</f>
        <v>3650</v>
      </c>
      <c r="J34" s="40" t="str">
        <f t="shared" si="0"/>
        <v/>
      </c>
    </row>
    <row r="35" spans="2:10" ht="21" hidden="1" customHeight="1" x14ac:dyDescent="0.3">
      <c r="B35" s="2">
        <v>45369</v>
      </c>
      <c r="C35" s="6">
        <v>100</v>
      </c>
      <c r="D35" s="10">
        <v>71</v>
      </c>
      <c r="E35" s="10">
        <v>75</v>
      </c>
      <c r="F35" s="9">
        <f>IF(Tablo1456789101112131415161718192021[[#This Row],[SATIŞ]]=0,"Açık",(E35-D35)*C35)</f>
        <v>400</v>
      </c>
      <c r="G35" s="11">
        <f>Tablo1456789101112131415161718192021[[#This Row],[ADET]]*Tablo1456789101112131415161718192021[[#This Row],[ALIŞ]]</f>
        <v>7100</v>
      </c>
      <c r="H35" s="11">
        <f>Tablo1456789101112131415161718192021[[#This Row],[ADET]]*Tablo1456789101112131415161718192021[[#This Row],[SATIŞ]]</f>
        <v>7500</v>
      </c>
      <c r="J35" s="40" t="str">
        <f t="shared" si="0"/>
        <v/>
      </c>
    </row>
    <row r="36" spans="2:10" ht="21" hidden="1" customHeight="1" x14ac:dyDescent="0.3">
      <c r="B36" s="2">
        <v>45372</v>
      </c>
      <c r="C36" s="6">
        <v>50</v>
      </c>
      <c r="D36" s="10">
        <v>73</v>
      </c>
      <c r="E36" s="10">
        <v>78</v>
      </c>
      <c r="F36" s="9">
        <f>IF(Tablo1456789101112131415161718192021[[#This Row],[SATIŞ]]=0,"Açık",(E36-D36)*C36)</f>
        <v>250</v>
      </c>
      <c r="G36" s="11">
        <f>Tablo1456789101112131415161718192021[[#This Row],[ADET]]*Tablo1456789101112131415161718192021[[#This Row],[ALIŞ]]</f>
        <v>3650</v>
      </c>
      <c r="H36" s="11">
        <f>Tablo1456789101112131415161718192021[[#This Row],[ADET]]*Tablo1456789101112131415161718192021[[#This Row],[SATIŞ]]</f>
        <v>3900</v>
      </c>
      <c r="J36" s="40" t="str">
        <f t="shared" si="0"/>
        <v/>
      </c>
    </row>
    <row r="37" spans="2:10" ht="21" hidden="1" customHeight="1" x14ac:dyDescent="0.3">
      <c r="B37" s="2">
        <v>45376</v>
      </c>
      <c r="C37" s="6">
        <v>50</v>
      </c>
      <c r="D37" s="10">
        <v>70</v>
      </c>
      <c r="E37" s="10">
        <v>76</v>
      </c>
      <c r="F37" s="9">
        <f>IF(Tablo1456789101112131415161718192021[[#This Row],[SATIŞ]]=0,"Açık",(E37-D37)*C37)</f>
        <v>300</v>
      </c>
      <c r="G37" s="11">
        <f>Tablo1456789101112131415161718192021[[#This Row],[ADET]]*Tablo1456789101112131415161718192021[[#This Row],[ALIŞ]]</f>
        <v>3500</v>
      </c>
      <c r="H37" s="11">
        <f>Tablo1456789101112131415161718192021[[#This Row],[ADET]]*Tablo1456789101112131415161718192021[[#This Row],[SATIŞ]]</f>
        <v>3800</v>
      </c>
      <c r="J37" s="40" t="str">
        <f t="shared" si="0"/>
        <v/>
      </c>
    </row>
    <row r="38" spans="2:10" ht="21" hidden="1" customHeight="1" x14ac:dyDescent="0.3">
      <c r="B38" s="2">
        <v>45377</v>
      </c>
      <c r="C38" s="6">
        <v>50</v>
      </c>
      <c r="D38" s="10">
        <v>68</v>
      </c>
      <c r="E38" s="10">
        <v>74</v>
      </c>
      <c r="F38" s="9">
        <f>IF(Tablo1456789101112131415161718192021[[#This Row],[SATIŞ]]=0,"Açık",(E38-D38)*C38)</f>
        <v>300</v>
      </c>
      <c r="G38" s="11">
        <f>Tablo1456789101112131415161718192021[[#This Row],[ADET]]*Tablo1456789101112131415161718192021[[#This Row],[ALIŞ]]</f>
        <v>3400</v>
      </c>
      <c r="H38" s="11">
        <f>Tablo1456789101112131415161718192021[[#This Row],[ADET]]*Tablo1456789101112131415161718192021[[#This Row],[SATIŞ]]</f>
        <v>3700</v>
      </c>
      <c r="J38" s="40" t="str">
        <f t="shared" si="0"/>
        <v/>
      </c>
    </row>
    <row r="39" spans="2:10" ht="21" hidden="1" customHeight="1" x14ac:dyDescent="0.3">
      <c r="B39" s="2">
        <v>45377</v>
      </c>
      <c r="C39" s="6">
        <v>50</v>
      </c>
      <c r="D39" s="10">
        <v>67</v>
      </c>
      <c r="E39" s="10">
        <v>70</v>
      </c>
      <c r="F39" s="9">
        <f>IF(Tablo1456789101112131415161718192021[[#This Row],[SATIŞ]]=0,"Açık",(E39-D39)*C39)</f>
        <v>150</v>
      </c>
      <c r="G39" s="11">
        <f>Tablo1456789101112131415161718192021[[#This Row],[ADET]]*Tablo1456789101112131415161718192021[[#This Row],[ALIŞ]]</f>
        <v>3350</v>
      </c>
      <c r="H39" s="11">
        <f>Tablo1456789101112131415161718192021[[#This Row],[ADET]]*Tablo1456789101112131415161718192021[[#This Row],[SATIŞ]]</f>
        <v>3500</v>
      </c>
      <c r="J39" s="40" t="str">
        <f t="shared" si="0"/>
        <v/>
      </c>
    </row>
    <row r="40" spans="2:10" ht="21" hidden="1" customHeight="1" x14ac:dyDescent="0.3">
      <c r="B40" s="2">
        <v>45377</v>
      </c>
      <c r="C40" s="6">
        <v>50</v>
      </c>
      <c r="D40" s="10">
        <v>67</v>
      </c>
      <c r="E40" s="10">
        <v>72</v>
      </c>
      <c r="F40" s="9">
        <f>IF(Tablo1456789101112131415161718192021[[#This Row],[SATIŞ]]=0,"Açık",(E40-D40)*C40)</f>
        <v>250</v>
      </c>
      <c r="G40" s="11">
        <f>Tablo1456789101112131415161718192021[[#This Row],[ADET]]*Tablo1456789101112131415161718192021[[#This Row],[ALIŞ]]</f>
        <v>3350</v>
      </c>
      <c r="H40" s="11">
        <f>Tablo1456789101112131415161718192021[[#This Row],[ADET]]*Tablo1456789101112131415161718192021[[#This Row],[SATIŞ]]</f>
        <v>3600</v>
      </c>
      <c r="J40" s="40" t="str">
        <f t="shared" si="0"/>
        <v/>
      </c>
    </row>
    <row r="41" spans="2:10" ht="21" hidden="1" customHeight="1" x14ac:dyDescent="0.3">
      <c r="B41" s="2">
        <v>45384</v>
      </c>
      <c r="C41" s="6">
        <v>15</v>
      </c>
      <c r="D41" s="10">
        <v>80</v>
      </c>
      <c r="E41" s="10">
        <v>82</v>
      </c>
      <c r="F41" s="9">
        <f>IF(Tablo1456789101112131415161718192021[[#This Row],[SATIŞ]]=0,"Açık",(E41-D41)*C41)</f>
        <v>30</v>
      </c>
      <c r="G41" s="11">
        <f>Tablo1456789101112131415161718192021[[#This Row],[ADET]]*Tablo1456789101112131415161718192021[[#This Row],[ALIŞ]]</f>
        <v>1200</v>
      </c>
      <c r="H41" s="11">
        <f>Tablo1456789101112131415161718192021[[#This Row],[ADET]]*Tablo1456789101112131415161718192021[[#This Row],[SATIŞ]]</f>
        <v>1230</v>
      </c>
    </row>
    <row r="42" spans="2:10" ht="21" hidden="1" customHeight="1" x14ac:dyDescent="0.3">
      <c r="B42" s="2">
        <v>45384</v>
      </c>
      <c r="C42" s="6">
        <v>35</v>
      </c>
      <c r="D42" s="10">
        <v>80</v>
      </c>
      <c r="E42" s="10">
        <v>82.5</v>
      </c>
      <c r="F42" s="9">
        <f>IF(Tablo1456789101112131415161718192021[[#This Row],[SATIŞ]]=0,"Açık",(E42-D42)*C42)</f>
        <v>87.5</v>
      </c>
      <c r="G42" s="11">
        <f>Tablo1456789101112131415161718192021[[#This Row],[ADET]]*Tablo1456789101112131415161718192021[[#This Row],[ALIŞ]]</f>
        <v>2800</v>
      </c>
      <c r="H42" s="11">
        <f>Tablo1456789101112131415161718192021[[#This Row],[ADET]]*Tablo1456789101112131415161718192021[[#This Row],[SATIŞ]]</f>
        <v>2887.5</v>
      </c>
    </row>
    <row r="43" spans="2:10" ht="21" customHeight="1" x14ac:dyDescent="0.3">
      <c r="B43" s="2">
        <v>45338</v>
      </c>
      <c r="C43" s="6">
        <v>10</v>
      </c>
      <c r="D43" s="10">
        <v>85.2</v>
      </c>
      <c r="E43" s="10"/>
      <c r="F43" s="9" t="str">
        <f>IF(Tablo1456789101112131415161718192021[[#This Row],[SATIŞ]]=0,"Açık",(E43-D43)*C43)</f>
        <v>Açık</v>
      </c>
      <c r="G43" s="11">
        <f>Tablo1456789101112131415161718192021[[#This Row],[ADET]]*Tablo1456789101112131415161718192021[[#This Row],[ALIŞ]]</f>
        <v>852</v>
      </c>
      <c r="H43" s="11">
        <f>Tablo1456789101112131415161718192021[[#This Row],[ADET]]*Tablo1456789101112131415161718192021[[#This Row],[SATIŞ]]</f>
        <v>0</v>
      </c>
    </row>
    <row r="44" spans="2:10" ht="21" customHeight="1" x14ac:dyDescent="0.3">
      <c r="B44" s="2">
        <v>45384</v>
      </c>
      <c r="C44" s="6">
        <v>20</v>
      </c>
      <c r="D44" s="10">
        <v>84</v>
      </c>
      <c r="E44" s="10"/>
      <c r="F44" s="9" t="str">
        <f>IF(Tablo1456789101112131415161718192021[[#This Row],[SATIŞ]]=0,"Açık",(E44-D44)*C44)</f>
        <v>Açık</v>
      </c>
      <c r="G44" s="11">
        <f>Tablo1456789101112131415161718192021[[#This Row],[ADET]]*Tablo1456789101112131415161718192021[[#This Row],[ALIŞ]]</f>
        <v>1680</v>
      </c>
      <c r="H44" s="11">
        <f>Tablo1456789101112131415161718192021[[#This Row],[ADET]]*Tablo1456789101112131415161718192021[[#This Row],[SATIŞ]]</f>
        <v>0</v>
      </c>
    </row>
    <row r="45" spans="2:10" ht="21" customHeight="1" x14ac:dyDescent="0.3">
      <c r="B45" s="2">
        <v>45391</v>
      </c>
      <c r="C45" s="6">
        <v>100</v>
      </c>
      <c r="D45" s="10">
        <v>88</v>
      </c>
      <c r="E45" s="10"/>
      <c r="F45" s="9" t="str">
        <f>IF(Tablo1456789101112131415161718192021[[#This Row],[SATIŞ]]=0,"Açık",(E45-D45)*C45)</f>
        <v>Açık</v>
      </c>
      <c r="G45" s="11">
        <f>Tablo1456789101112131415161718192021[[#This Row],[ADET]]*Tablo1456789101112131415161718192021[[#This Row],[ALIŞ]]</f>
        <v>8800</v>
      </c>
      <c r="H45" s="11">
        <f>Tablo1456789101112131415161718192021[[#This Row],[ADET]]*Tablo1456789101112131415161718192021[[#This Row],[SATIŞ]]</f>
        <v>0</v>
      </c>
    </row>
  </sheetData>
  <conditionalFormatting sqref="B4:F45">
    <cfRule type="expression" dxfId="122" priority="1">
      <formula>$F4&lt;0</formula>
    </cfRule>
    <cfRule type="expression" dxfId="121" priority="2">
      <formula>$F4="Açık"</formula>
    </cfRule>
    <cfRule type="expression" dxfId="120" priority="3">
      <formula>$F4&gt;0</formula>
    </cfRule>
  </conditionalFormatting>
  <hyperlinks>
    <hyperlink ref="B1" location="İcmal!A1" display="ANA SAYFA" xr:uid="{4D9AA828-0369-41EA-B31C-3FB94309030B}"/>
  </hyperlinks>
  <pageMargins left="0.7" right="0.7" top="0.75" bottom="0.75" header="0.3" footer="0.3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84DDC-13CC-4AC5-A242-C02DF8603B83}">
  <sheetPr>
    <tabColor rgb="FFE20000"/>
  </sheetPr>
  <dimension ref="B1:R45"/>
  <sheetViews>
    <sheetView showGridLines="0" showZeros="0" zoomScale="110" zoomScaleNormal="110" workbookViewId="0">
      <pane ySplit="3" topLeftCell="A22" activePane="bottomLeft" state="frozen"/>
      <selection pane="bottomLeft" activeCell="E25" sqref="E25"/>
    </sheetView>
  </sheetViews>
  <sheetFormatPr defaultRowHeight="21" customHeight="1" x14ac:dyDescent="0.3"/>
  <cols>
    <col min="2" max="2" width="20.6640625" style="1" customWidth="1"/>
    <col min="3" max="3" width="11.33203125" style="6" customWidth="1"/>
    <col min="4" max="5" width="12.88671875" style="3" customWidth="1"/>
    <col min="6" max="6" width="12.88671875" style="5" customWidth="1"/>
    <col min="7" max="8" width="11.6640625" bestFit="1" customWidth="1"/>
    <col min="10" max="12" width="12.44140625" customWidth="1"/>
    <col min="13" max="13" width="11.6640625" bestFit="1" customWidth="1"/>
    <col min="14" max="14" width="12" bestFit="1" customWidth="1"/>
  </cols>
  <sheetData>
    <row r="1" spans="2:18" ht="21" customHeight="1" x14ac:dyDescent="0.3">
      <c r="B1" s="12" t="s">
        <v>64</v>
      </c>
      <c r="C1" s="4">
        <f>SUMIF(Tablo145678910111213141516171819202122[KAR],"Açık",Tablo145678910111213141516171819202122[ADET])</f>
        <v>300</v>
      </c>
      <c r="D1" s="10">
        <f>+İcmal!E31</f>
        <v>27.06</v>
      </c>
      <c r="E1" s="10">
        <f>C1*D1</f>
        <v>8118</v>
      </c>
      <c r="F1" s="10">
        <f>IFERROR(((SUM(Tablo145678910111213141516171819202122[ALIŞ TUTAR])-SUM(Tablo145678910111213141516171819202122[SATIŞ TUTAR]))/C1),"")</f>
        <v>19.290062000000034</v>
      </c>
      <c r="G1" s="10">
        <f>SUM(Tablo145678910111213141516171819202122[KAR])+C1*(D1-F1)</f>
        <v>4983.9627999999884</v>
      </c>
      <c r="J1" s="45" t="s">
        <v>94</v>
      </c>
      <c r="K1" s="45" t="s">
        <v>95</v>
      </c>
      <c r="L1" s="45" t="s">
        <v>96</v>
      </c>
      <c r="M1" s="33">
        <f>F1</f>
        <v>19.290062000000034</v>
      </c>
      <c r="N1" s="8" t="e">
        <f>M1*(1+$J$1)</f>
        <v>#VALUE!</v>
      </c>
      <c r="P1" s="8" t="e">
        <f>Q1*(1-$J$1)</f>
        <v>#VALUE!</v>
      </c>
      <c r="Q1" s="33">
        <f>+D1</f>
        <v>27.06</v>
      </c>
      <c r="R1" s="8" t="e">
        <f>Q1*(1+$J$1)</f>
        <v>#VALUE!</v>
      </c>
    </row>
    <row r="2" spans="2:18" ht="21" customHeight="1" x14ac:dyDescent="0.3">
      <c r="B2" s="7" t="s">
        <v>31</v>
      </c>
      <c r="J2" s="45">
        <f>SUMIFS(Tablo2[HEDEF2],Tablo2[HİSSE],B2)</f>
        <v>1000</v>
      </c>
      <c r="K2" s="45">
        <f>+E1/İcmal!$P$2</f>
        <v>249.5542576083615</v>
      </c>
      <c r="L2" s="45">
        <f>+J2-K2</f>
        <v>750.44574239163853</v>
      </c>
    </row>
    <row r="3" spans="2:18" ht="21" customHeight="1" x14ac:dyDescent="0.3">
      <c r="B3" s="1" t="s">
        <v>0</v>
      </c>
      <c r="C3" s="6" t="s">
        <v>4</v>
      </c>
      <c r="D3" s="3" t="s">
        <v>1</v>
      </c>
      <c r="E3" s="3" t="s">
        <v>3</v>
      </c>
      <c r="F3" s="5" t="s">
        <v>2</v>
      </c>
      <c r="G3" s="3" t="s">
        <v>8</v>
      </c>
      <c r="H3" s="3" t="s">
        <v>9</v>
      </c>
    </row>
    <row r="4" spans="2:18" ht="21" hidden="1" customHeight="1" x14ac:dyDescent="0.3">
      <c r="B4" s="2">
        <v>45291</v>
      </c>
      <c r="C4" s="6">
        <v>1730</v>
      </c>
      <c r="D4" s="10">
        <v>21.75741</v>
      </c>
      <c r="E4" s="10">
        <v>22.39659</v>
      </c>
      <c r="F4" s="9">
        <f>IF(Tablo145678910111213141516171819202122[[#This Row],[SATIŞ]]=0,"Açık",(E4-D4)*C4)</f>
        <v>1105.7813999999994</v>
      </c>
      <c r="G4" s="11">
        <f>Tablo145678910111213141516171819202122[[#This Row],[ADET]]*Tablo145678910111213141516171819202122[[#This Row],[ALIŞ]]</f>
        <v>37640.319300000003</v>
      </c>
      <c r="H4" s="11">
        <f>Tablo145678910111213141516171819202122[[#This Row],[ADET]]*Tablo145678910111213141516171819202122[[#This Row],[SATIŞ]]</f>
        <v>38746.100700000003</v>
      </c>
      <c r="L4" s="8">
        <f>SUM(Tablo145678910111213141516171819202122[ALIŞ TUTAR])</f>
        <v>116121.3193</v>
      </c>
      <c r="M4" s="8">
        <f>SUM(Tablo145678910111213141516171819202122[SATIŞ TUTAR])</f>
        <v>110334.30069999999</v>
      </c>
      <c r="N4" s="8">
        <f>L4-M4</f>
        <v>5787.0186000000103</v>
      </c>
    </row>
    <row r="5" spans="2:18" ht="21" hidden="1" customHeight="1" x14ac:dyDescent="0.3">
      <c r="B5" s="2">
        <v>45329</v>
      </c>
      <c r="C5" s="6">
        <v>10</v>
      </c>
      <c r="D5" s="10">
        <v>27.1</v>
      </c>
      <c r="E5" s="10">
        <v>27.5</v>
      </c>
      <c r="F5" s="9">
        <f>IF(Tablo145678910111213141516171819202122[[#This Row],[SATIŞ]]=0,"Açık",(E5-D5)*C5)</f>
        <v>3.9999999999999858</v>
      </c>
      <c r="G5" s="11">
        <f>Tablo145678910111213141516171819202122[[#This Row],[ADET]]*Tablo145678910111213141516171819202122[[#This Row],[ALIŞ]]</f>
        <v>271</v>
      </c>
      <c r="H5" s="11">
        <f>Tablo145678910111213141516171819202122[[#This Row],[ADET]]*Tablo145678910111213141516171819202122[[#This Row],[SATIŞ]]</f>
        <v>275</v>
      </c>
      <c r="N5">
        <f>+N4/80</f>
        <v>72.337732500000129</v>
      </c>
    </row>
    <row r="6" spans="2:18" ht="21" hidden="1" customHeight="1" x14ac:dyDescent="0.3">
      <c r="B6" s="2">
        <v>45329</v>
      </c>
      <c r="C6" s="6">
        <v>10</v>
      </c>
      <c r="D6" s="10">
        <v>27.1</v>
      </c>
      <c r="E6" s="10">
        <v>28.12</v>
      </c>
      <c r="F6" s="9">
        <f>IF(Tablo145678910111213141516171819202122[[#This Row],[SATIŞ]]=0,"Açık",(E6-D6)*C6)</f>
        <v>10.199999999999996</v>
      </c>
      <c r="G6" s="11">
        <f>Tablo145678910111213141516171819202122[[#This Row],[ADET]]*Tablo145678910111213141516171819202122[[#This Row],[ALIŞ]]</f>
        <v>271</v>
      </c>
      <c r="H6" s="11">
        <f>Tablo145678910111213141516171819202122[[#This Row],[ADET]]*Tablo145678910111213141516171819202122[[#This Row],[SATIŞ]]</f>
        <v>281.2</v>
      </c>
    </row>
    <row r="7" spans="2:18" ht="21" hidden="1" customHeight="1" x14ac:dyDescent="0.3">
      <c r="B7" s="2">
        <v>45329</v>
      </c>
      <c r="C7" s="6">
        <v>25</v>
      </c>
      <c r="D7" s="10">
        <v>27.92</v>
      </c>
      <c r="E7" s="10">
        <v>28.26</v>
      </c>
      <c r="F7" s="9">
        <f>IF(Tablo145678910111213141516171819202122[[#This Row],[SATIŞ]]=0,"Açık",(E7-D7)*C7)</f>
        <v>8.4999999999999964</v>
      </c>
      <c r="G7" s="11">
        <f>Tablo145678910111213141516171819202122[[#This Row],[ADET]]*Tablo145678910111213141516171819202122[[#This Row],[ALIŞ]]</f>
        <v>698</v>
      </c>
      <c r="H7" s="11">
        <f>Tablo145678910111213141516171819202122[[#This Row],[ADET]]*Tablo145678910111213141516171819202122[[#This Row],[SATIŞ]]</f>
        <v>706.5</v>
      </c>
    </row>
    <row r="8" spans="2:18" ht="21" hidden="1" customHeight="1" x14ac:dyDescent="0.3">
      <c r="B8" s="2">
        <v>45329</v>
      </c>
      <c r="C8" s="6">
        <v>25</v>
      </c>
      <c r="D8" s="10">
        <v>27.92</v>
      </c>
      <c r="E8" s="10">
        <v>28.5</v>
      </c>
      <c r="F8" s="9">
        <f>IF(Tablo145678910111213141516171819202122[[#This Row],[SATIŞ]]=0,"Açık",(E8-D8)*C8)</f>
        <v>14.499999999999957</v>
      </c>
      <c r="G8" s="11">
        <f>Tablo145678910111213141516171819202122[[#This Row],[ADET]]*Tablo145678910111213141516171819202122[[#This Row],[ALIŞ]]</f>
        <v>698</v>
      </c>
      <c r="H8" s="11">
        <f>Tablo145678910111213141516171819202122[[#This Row],[ADET]]*Tablo145678910111213141516171819202122[[#This Row],[SATIŞ]]</f>
        <v>712.5</v>
      </c>
    </row>
    <row r="9" spans="2:18" ht="21" hidden="1" customHeight="1" x14ac:dyDescent="0.3">
      <c r="B9" s="2">
        <v>45329</v>
      </c>
      <c r="C9" s="6">
        <v>50</v>
      </c>
      <c r="D9" s="10">
        <v>27.94</v>
      </c>
      <c r="E9" s="10">
        <v>28</v>
      </c>
      <c r="F9" s="9">
        <f>IF(Tablo145678910111213141516171819202122[[#This Row],[SATIŞ]]=0,"Açık",(E9-D9)*C9)</f>
        <v>2.9999999999999361</v>
      </c>
      <c r="G9" s="11">
        <f>Tablo145678910111213141516171819202122[[#This Row],[ADET]]*Tablo145678910111213141516171819202122[[#This Row],[ALIŞ]]</f>
        <v>1397</v>
      </c>
      <c r="H9" s="11">
        <f>Tablo145678910111213141516171819202122[[#This Row],[ADET]]*Tablo145678910111213141516171819202122[[#This Row],[SATIŞ]]</f>
        <v>1400</v>
      </c>
    </row>
    <row r="10" spans="2:18" ht="21" hidden="1" customHeight="1" x14ac:dyDescent="0.3">
      <c r="B10" s="2">
        <v>45330</v>
      </c>
      <c r="C10" s="6">
        <v>20</v>
      </c>
      <c r="D10" s="10">
        <v>27.7</v>
      </c>
      <c r="E10" s="10">
        <v>28.2</v>
      </c>
      <c r="F10" s="9">
        <f>IF(Tablo145678910111213141516171819202122[[#This Row],[SATIŞ]]=0,"Açık",(E10-D10)*C10)</f>
        <v>10</v>
      </c>
      <c r="G10" s="11">
        <f>Tablo145678910111213141516171819202122[[#This Row],[ADET]]*Tablo145678910111213141516171819202122[[#This Row],[ALIŞ]]</f>
        <v>554</v>
      </c>
      <c r="H10" s="11">
        <f>Tablo145678910111213141516171819202122[[#This Row],[ADET]]*Tablo145678910111213141516171819202122[[#This Row],[SATIŞ]]</f>
        <v>564</v>
      </c>
    </row>
    <row r="11" spans="2:18" ht="21" hidden="1" customHeight="1" x14ac:dyDescent="0.3">
      <c r="B11" s="2">
        <v>45330</v>
      </c>
      <c r="C11" s="6">
        <v>10</v>
      </c>
      <c r="D11" s="10">
        <v>27.7</v>
      </c>
      <c r="E11" s="10">
        <v>28</v>
      </c>
      <c r="F11" s="9">
        <f>IF(Tablo145678910111213141516171819202122[[#This Row],[SATIŞ]]=0,"Açık",(E11-D11)*C11)</f>
        <v>3.0000000000000071</v>
      </c>
      <c r="G11" s="11">
        <f>Tablo145678910111213141516171819202122[[#This Row],[ADET]]*Tablo145678910111213141516171819202122[[#This Row],[ALIŞ]]</f>
        <v>277</v>
      </c>
      <c r="H11" s="11">
        <f>Tablo145678910111213141516171819202122[[#This Row],[ADET]]*Tablo145678910111213141516171819202122[[#This Row],[SATIŞ]]</f>
        <v>280</v>
      </c>
      <c r="J11" s="40" t="str">
        <f t="shared" ref="J11:J40" si="0">IF(E11=0,D11*1.05,"")</f>
        <v/>
      </c>
    </row>
    <row r="12" spans="2:18" ht="21" hidden="1" customHeight="1" x14ac:dyDescent="0.3">
      <c r="B12" s="2">
        <v>45331</v>
      </c>
      <c r="C12" s="6">
        <v>20</v>
      </c>
      <c r="D12" s="10">
        <v>27.9</v>
      </c>
      <c r="E12" s="10">
        <v>28</v>
      </c>
      <c r="F12" s="9">
        <f>IF(Tablo145678910111213141516171819202122[[#This Row],[SATIŞ]]=0,"Açık",(E12-D12)*C12)</f>
        <v>2.0000000000000284</v>
      </c>
      <c r="G12" s="11">
        <f>Tablo145678910111213141516171819202122[[#This Row],[ADET]]*Tablo145678910111213141516171819202122[[#This Row],[ALIŞ]]</f>
        <v>558</v>
      </c>
      <c r="H12" s="11">
        <f>Tablo145678910111213141516171819202122[[#This Row],[ADET]]*Tablo145678910111213141516171819202122[[#This Row],[SATIŞ]]</f>
        <v>560</v>
      </c>
      <c r="J12" s="40" t="str">
        <f t="shared" si="0"/>
        <v/>
      </c>
    </row>
    <row r="13" spans="2:18" ht="21" hidden="1" customHeight="1" x14ac:dyDescent="0.3">
      <c r="B13" s="2">
        <v>45331</v>
      </c>
      <c r="C13" s="6">
        <v>30</v>
      </c>
      <c r="D13" s="10">
        <v>27.7</v>
      </c>
      <c r="E13" s="10">
        <v>27.8</v>
      </c>
      <c r="F13" s="9">
        <f>IF(Tablo145678910111213141516171819202122[[#This Row],[SATIŞ]]=0,"Açık",(E13-D13)*C13)</f>
        <v>3.0000000000000426</v>
      </c>
      <c r="G13" s="11">
        <f>Tablo145678910111213141516171819202122[[#This Row],[ADET]]*Tablo145678910111213141516171819202122[[#This Row],[ALIŞ]]</f>
        <v>831</v>
      </c>
      <c r="H13" s="11">
        <f>Tablo145678910111213141516171819202122[[#This Row],[ADET]]*Tablo145678910111213141516171819202122[[#This Row],[SATIŞ]]</f>
        <v>834</v>
      </c>
      <c r="J13" s="40" t="str">
        <f t="shared" si="0"/>
        <v/>
      </c>
    </row>
    <row r="14" spans="2:18" ht="21" hidden="1" customHeight="1" x14ac:dyDescent="0.3">
      <c r="B14" s="2">
        <v>45331</v>
      </c>
      <c r="C14" s="6">
        <v>20</v>
      </c>
      <c r="D14" s="10">
        <v>27.6</v>
      </c>
      <c r="E14" s="10">
        <v>27.8</v>
      </c>
      <c r="F14" s="9">
        <f>IF(Tablo145678910111213141516171819202122[[#This Row],[SATIŞ]]=0,"Açık",(E14-D14)*C14)</f>
        <v>3.9999999999999858</v>
      </c>
      <c r="G14" s="11">
        <f>Tablo145678910111213141516171819202122[[#This Row],[ADET]]*Tablo145678910111213141516171819202122[[#This Row],[ALIŞ]]</f>
        <v>552</v>
      </c>
      <c r="H14" s="11">
        <f>Tablo145678910111213141516171819202122[[#This Row],[ADET]]*Tablo145678910111213141516171819202122[[#This Row],[SATIŞ]]</f>
        <v>556</v>
      </c>
      <c r="J14" s="40" t="str">
        <f t="shared" si="0"/>
        <v/>
      </c>
    </row>
    <row r="15" spans="2:18" ht="21" hidden="1" customHeight="1" x14ac:dyDescent="0.3">
      <c r="B15" s="2">
        <v>45331</v>
      </c>
      <c r="C15" s="6">
        <v>50</v>
      </c>
      <c r="D15" s="10">
        <v>27.5</v>
      </c>
      <c r="E15" s="10">
        <v>27.8</v>
      </c>
      <c r="F15" s="9">
        <f>IF(Tablo145678910111213141516171819202122[[#This Row],[SATIŞ]]=0,"Açık",(E15-D15)*C15)</f>
        <v>15.000000000000036</v>
      </c>
      <c r="G15" s="11">
        <f>Tablo145678910111213141516171819202122[[#This Row],[ADET]]*Tablo145678910111213141516171819202122[[#This Row],[ALIŞ]]</f>
        <v>1375</v>
      </c>
      <c r="H15" s="11">
        <f>Tablo145678910111213141516171819202122[[#This Row],[ADET]]*Tablo145678910111213141516171819202122[[#This Row],[SATIŞ]]</f>
        <v>1390</v>
      </c>
      <c r="J15" s="40" t="str">
        <f t="shared" si="0"/>
        <v/>
      </c>
    </row>
    <row r="16" spans="2:18" ht="21" hidden="1" customHeight="1" x14ac:dyDescent="0.3">
      <c r="B16" s="2">
        <v>45334</v>
      </c>
      <c r="C16" s="6">
        <v>50</v>
      </c>
      <c r="D16" s="10">
        <v>28.2</v>
      </c>
      <c r="E16" s="10">
        <v>29.7</v>
      </c>
      <c r="F16" s="9">
        <f>IF(Tablo145678910111213141516171819202122[[#This Row],[SATIŞ]]=0,"Açık",(E16-D16)*C16)</f>
        <v>75</v>
      </c>
      <c r="G16" s="11">
        <f>Tablo145678910111213141516171819202122[[#This Row],[ADET]]*Tablo145678910111213141516171819202122[[#This Row],[ALIŞ]]</f>
        <v>1410</v>
      </c>
      <c r="H16" s="11">
        <f>Tablo145678910111213141516171819202122[[#This Row],[ADET]]*Tablo145678910111213141516171819202122[[#This Row],[SATIŞ]]</f>
        <v>1485</v>
      </c>
      <c r="J16" s="40" t="str">
        <f t="shared" si="0"/>
        <v/>
      </c>
    </row>
    <row r="17" spans="2:10" ht="21" hidden="1" customHeight="1" x14ac:dyDescent="0.3">
      <c r="B17" s="2">
        <v>45335</v>
      </c>
      <c r="C17" s="6">
        <v>50</v>
      </c>
      <c r="D17" s="10">
        <v>28</v>
      </c>
      <c r="E17" s="10">
        <v>29.7</v>
      </c>
      <c r="F17" s="9">
        <f>IF(Tablo145678910111213141516171819202122[[#This Row],[SATIŞ]]=0,"Açık",(E17-D17)*C17)</f>
        <v>84.999999999999972</v>
      </c>
      <c r="G17" s="11">
        <f>Tablo145678910111213141516171819202122[[#This Row],[ADET]]*Tablo145678910111213141516171819202122[[#This Row],[ALIŞ]]</f>
        <v>1400</v>
      </c>
      <c r="H17" s="11">
        <f>Tablo145678910111213141516171819202122[[#This Row],[ADET]]*Tablo145678910111213141516171819202122[[#This Row],[SATIŞ]]</f>
        <v>1485</v>
      </c>
      <c r="J17" s="40" t="str">
        <f t="shared" si="0"/>
        <v/>
      </c>
    </row>
    <row r="18" spans="2:10" ht="21" hidden="1" customHeight="1" x14ac:dyDescent="0.3">
      <c r="B18" s="2">
        <v>45335</v>
      </c>
      <c r="C18" s="6">
        <v>70</v>
      </c>
      <c r="D18" s="10">
        <v>27.7</v>
      </c>
      <c r="E18" s="10">
        <v>28.5</v>
      </c>
      <c r="F18" s="9">
        <f>IF(Tablo145678910111213141516171819202122[[#This Row],[SATIŞ]]=0,"Açık",(E18-D18)*C18)</f>
        <v>56.00000000000005</v>
      </c>
      <c r="G18" s="11">
        <f>Tablo145678910111213141516171819202122[[#This Row],[ADET]]*Tablo145678910111213141516171819202122[[#This Row],[ALIŞ]]</f>
        <v>1939</v>
      </c>
      <c r="H18" s="11">
        <f>Tablo145678910111213141516171819202122[[#This Row],[ADET]]*Tablo145678910111213141516171819202122[[#This Row],[SATIŞ]]</f>
        <v>1995</v>
      </c>
      <c r="J18" s="40" t="str">
        <f t="shared" si="0"/>
        <v/>
      </c>
    </row>
    <row r="19" spans="2:10" ht="21" hidden="1" customHeight="1" x14ac:dyDescent="0.3">
      <c r="B19" s="2">
        <v>45336</v>
      </c>
      <c r="C19" s="6">
        <v>20</v>
      </c>
      <c r="D19" s="10">
        <v>27.2</v>
      </c>
      <c r="E19" s="10">
        <v>27.6</v>
      </c>
      <c r="F19" s="9">
        <f>IF(Tablo145678910111213141516171819202122[[#This Row],[SATIŞ]]=0,"Açık",(E19-D19)*C19)</f>
        <v>8.0000000000000426</v>
      </c>
      <c r="G19" s="11">
        <f>Tablo145678910111213141516171819202122[[#This Row],[ADET]]*Tablo145678910111213141516171819202122[[#This Row],[ALIŞ]]</f>
        <v>544</v>
      </c>
      <c r="H19" s="11">
        <f>Tablo145678910111213141516171819202122[[#This Row],[ADET]]*Tablo145678910111213141516171819202122[[#This Row],[SATIŞ]]</f>
        <v>552</v>
      </c>
      <c r="J19" s="40" t="str">
        <f t="shared" si="0"/>
        <v/>
      </c>
    </row>
    <row r="20" spans="2:10" ht="21" hidden="1" customHeight="1" x14ac:dyDescent="0.3">
      <c r="B20" s="2">
        <v>45336</v>
      </c>
      <c r="C20" s="6">
        <v>30</v>
      </c>
      <c r="D20" s="10">
        <v>27.2</v>
      </c>
      <c r="E20" s="10">
        <v>28</v>
      </c>
      <c r="F20" s="9">
        <f>IF(Tablo145678910111213141516171819202122[[#This Row],[SATIŞ]]=0,"Açık",(E20-D20)*C20)</f>
        <v>24.000000000000021</v>
      </c>
      <c r="G20" s="11">
        <f>Tablo145678910111213141516171819202122[[#This Row],[ADET]]*Tablo145678910111213141516171819202122[[#This Row],[ALIŞ]]</f>
        <v>816</v>
      </c>
      <c r="H20" s="11">
        <f>Tablo145678910111213141516171819202122[[#This Row],[ADET]]*Tablo145678910111213141516171819202122[[#This Row],[SATIŞ]]</f>
        <v>840</v>
      </c>
      <c r="J20" s="40" t="str">
        <f t="shared" si="0"/>
        <v/>
      </c>
    </row>
    <row r="21" spans="2:10" ht="21" hidden="1" customHeight="1" x14ac:dyDescent="0.3">
      <c r="B21" s="2">
        <v>45341</v>
      </c>
      <c r="C21" s="6">
        <v>120</v>
      </c>
      <c r="D21" s="10">
        <v>27.7</v>
      </c>
      <c r="E21" s="10">
        <v>28</v>
      </c>
      <c r="F21" s="9">
        <f>IF(Tablo145678910111213141516171819202122[[#This Row],[SATIŞ]]=0,"Açık",(E21-D21)*C21)</f>
        <v>36.000000000000085</v>
      </c>
      <c r="G21" s="11">
        <f>Tablo145678910111213141516171819202122[[#This Row],[ADET]]*Tablo145678910111213141516171819202122[[#This Row],[ALIŞ]]</f>
        <v>3324</v>
      </c>
      <c r="H21" s="11">
        <f>Tablo145678910111213141516171819202122[[#This Row],[ADET]]*Tablo145678910111213141516171819202122[[#This Row],[SATIŞ]]</f>
        <v>3360</v>
      </c>
      <c r="J21" s="40" t="str">
        <f t="shared" si="0"/>
        <v/>
      </c>
    </row>
    <row r="22" spans="2:10" ht="21" customHeight="1" x14ac:dyDescent="0.3">
      <c r="B22" s="2">
        <v>45343</v>
      </c>
      <c r="C22" s="6">
        <v>100</v>
      </c>
      <c r="D22" s="10">
        <v>27</v>
      </c>
      <c r="E22" s="10"/>
      <c r="F22" s="9" t="str">
        <f>IF(Tablo145678910111213141516171819202122[[#This Row],[SATIŞ]]=0,"Açık",(E22-D22)*C22)</f>
        <v>Açık</v>
      </c>
      <c r="G22" s="11">
        <f>Tablo145678910111213141516171819202122[[#This Row],[ADET]]*Tablo145678910111213141516171819202122[[#This Row],[ALIŞ]]</f>
        <v>2700</v>
      </c>
      <c r="H22" s="11">
        <f>Tablo145678910111213141516171819202122[[#This Row],[ADET]]*Tablo145678910111213141516171819202122[[#This Row],[SATIŞ]]</f>
        <v>0</v>
      </c>
      <c r="J22" s="40">
        <f t="shared" si="0"/>
        <v>28.35</v>
      </c>
    </row>
    <row r="23" spans="2:10" ht="21" hidden="1" customHeight="1" x14ac:dyDescent="0.3">
      <c r="B23" s="2">
        <v>45348</v>
      </c>
      <c r="C23" s="6">
        <v>100</v>
      </c>
      <c r="D23" s="10">
        <v>29</v>
      </c>
      <c r="E23" s="10">
        <v>29.6</v>
      </c>
      <c r="F23" s="9">
        <f>IF(Tablo145678910111213141516171819202122[[#This Row],[SATIŞ]]=0,"Açık",(E23-D23)*C23)</f>
        <v>60.000000000000142</v>
      </c>
      <c r="G23" s="11">
        <f>Tablo145678910111213141516171819202122[[#This Row],[ADET]]*Tablo145678910111213141516171819202122[[#This Row],[ALIŞ]]</f>
        <v>2900</v>
      </c>
      <c r="H23" s="11">
        <f>Tablo145678910111213141516171819202122[[#This Row],[ADET]]*Tablo145678910111213141516171819202122[[#This Row],[SATIŞ]]</f>
        <v>2960</v>
      </c>
      <c r="J23" s="40" t="str">
        <f t="shared" si="0"/>
        <v/>
      </c>
    </row>
    <row r="24" spans="2:10" ht="21" customHeight="1" x14ac:dyDescent="0.3">
      <c r="B24" s="2">
        <v>45349</v>
      </c>
      <c r="C24" s="6">
        <v>100</v>
      </c>
      <c r="D24" s="10">
        <v>29</v>
      </c>
      <c r="E24" s="10"/>
      <c r="F24" s="9" t="str">
        <f>IF(Tablo145678910111213141516171819202122[[#This Row],[SATIŞ]]=0,"Açık",(E24-D24)*C24)</f>
        <v>Açık</v>
      </c>
      <c r="G24" s="11">
        <f>Tablo145678910111213141516171819202122[[#This Row],[ADET]]*Tablo145678910111213141516171819202122[[#This Row],[ALIŞ]]</f>
        <v>2900</v>
      </c>
      <c r="H24" s="11">
        <f>Tablo145678910111213141516171819202122[[#This Row],[ADET]]*Tablo145678910111213141516171819202122[[#This Row],[SATIŞ]]</f>
        <v>0</v>
      </c>
      <c r="J24" s="40">
        <f t="shared" si="0"/>
        <v>30.450000000000003</v>
      </c>
    </row>
    <row r="25" spans="2:10" ht="21" customHeight="1" x14ac:dyDescent="0.3">
      <c r="B25" s="2">
        <v>45349</v>
      </c>
      <c r="C25" s="6">
        <v>100</v>
      </c>
      <c r="D25" s="10">
        <v>28.4</v>
      </c>
      <c r="E25" s="10"/>
      <c r="F25" s="9" t="str">
        <f>IF(Tablo145678910111213141516171819202122[[#This Row],[SATIŞ]]=0,"Açık",(E25-D25)*C25)</f>
        <v>Açık</v>
      </c>
      <c r="G25" s="11">
        <f>Tablo145678910111213141516171819202122[[#This Row],[ADET]]*Tablo145678910111213141516171819202122[[#This Row],[ALIŞ]]</f>
        <v>2840</v>
      </c>
      <c r="H25" s="11">
        <f>Tablo145678910111213141516171819202122[[#This Row],[ADET]]*Tablo145678910111213141516171819202122[[#This Row],[SATIŞ]]</f>
        <v>0</v>
      </c>
      <c r="J25" s="40">
        <f t="shared" si="0"/>
        <v>29.82</v>
      </c>
    </row>
    <row r="26" spans="2:10" ht="21" hidden="1" customHeight="1" x14ac:dyDescent="0.3">
      <c r="B26" s="2">
        <v>45355</v>
      </c>
      <c r="C26" s="6">
        <v>100</v>
      </c>
      <c r="D26" s="10">
        <v>27</v>
      </c>
      <c r="E26" s="10">
        <v>27.2</v>
      </c>
      <c r="F26" s="9">
        <f>IF(Tablo145678910111213141516171819202122[[#This Row],[SATIŞ]]=0,"Açık",(E26-D26)*C26)</f>
        <v>19.999999999999929</v>
      </c>
      <c r="G26" s="11">
        <f>Tablo145678910111213141516171819202122[[#This Row],[ADET]]*Tablo145678910111213141516171819202122[[#This Row],[ALIŞ]]</f>
        <v>2700</v>
      </c>
      <c r="H26" s="11">
        <f>Tablo145678910111213141516171819202122[[#This Row],[ADET]]*Tablo145678910111213141516171819202122[[#This Row],[SATIŞ]]</f>
        <v>2720</v>
      </c>
      <c r="J26" s="40" t="str">
        <f t="shared" si="0"/>
        <v/>
      </c>
    </row>
    <row r="27" spans="2:10" ht="21" hidden="1" customHeight="1" x14ac:dyDescent="0.3">
      <c r="B27" s="2">
        <v>45358</v>
      </c>
      <c r="C27" s="6">
        <v>100</v>
      </c>
      <c r="D27" s="10">
        <v>25.8</v>
      </c>
      <c r="E27" s="10">
        <v>26</v>
      </c>
      <c r="F27" s="9">
        <f>IF(Tablo145678910111213141516171819202122[[#This Row],[SATIŞ]]=0,"Açık",(E27-D27)*C27)</f>
        <v>19.999999999999929</v>
      </c>
      <c r="G27" s="11">
        <f>Tablo145678910111213141516171819202122[[#This Row],[ADET]]*Tablo145678910111213141516171819202122[[#This Row],[ALIŞ]]</f>
        <v>2580</v>
      </c>
      <c r="H27" s="11">
        <f>Tablo145678910111213141516171819202122[[#This Row],[ADET]]*Tablo145678910111213141516171819202122[[#This Row],[SATIŞ]]</f>
        <v>2600</v>
      </c>
      <c r="J27" s="40" t="str">
        <f t="shared" si="0"/>
        <v/>
      </c>
    </row>
    <row r="28" spans="2:10" ht="21" hidden="1" customHeight="1" x14ac:dyDescent="0.3">
      <c r="B28" s="2">
        <v>45358</v>
      </c>
      <c r="C28" s="6">
        <v>100</v>
      </c>
      <c r="D28" s="10">
        <v>25.8</v>
      </c>
      <c r="E28" s="10">
        <v>27.22</v>
      </c>
      <c r="F28" s="9">
        <f>IF(Tablo145678910111213141516171819202122[[#This Row],[SATIŞ]]=0,"Açık",(E28-D28)*C28)</f>
        <v>141.99999999999983</v>
      </c>
      <c r="G28" s="11">
        <f>Tablo145678910111213141516171819202122[[#This Row],[ADET]]*Tablo145678910111213141516171819202122[[#This Row],[ALIŞ]]</f>
        <v>2580</v>
      </c>
      <c r="H28" s="11">
        <f>Tablo145678910111213141516171819202122[[#This Row],[ADET]]*Tablo145678910111213141516171819202122[[#This Row],[SATIŞ]]</f>
        <v>2722</v>
      </c>
      <c r="J28" s="40" t="str">
        <f t="shared" si="0"/>
        <v/>
      </c>
    </row>
    <row r="29" spans="2:10" ht="21" hidden="1" customHeight="1" x14ac:dyDescent="0.3">
      <c r="B29" s="2">
        <v>45362</v>
      </c>
      <c r="C29" s="6">
        <v>100</v>
      </c>
      <c r="D29" s="10">
        <v>26.5</v>
      </c>
      <c r="E29" s="10">
        <v>27</v>
      </c>
      <c r="F29" s="9">
        <f>IF(Tablo145678910111213141516171819202122[[#This Row],[SATIŞ]]=0,"Açık",(E29-D29)*C29)</f>
        <v>50</v>
      </c>
      <c r="G29" s="11">
        <f>Tablo145678910111213141516171819202122[[#This Row],[ADET]]*Tablo145678910111213141516171819202122[[#This Row],[ALIŞ]]</f>
        <v>2650</v>
      </c>
      <c r="H29" s="11">
        <f>Tablo145678910111213141516171819202122[[#This Row],[ADET]]*Tablo145678910111213141516171819202122[[#This Row],[SATIŞ]]</f>
        <v>2700</v>
      </c>
      <c r="J29" s="40" t="str">
        <f t="shared" si="0"/>
        <v/>
      </c>
    </row>
    <row r="30" spans="2:10" ht="21" hidden="1" customHeight="1" x14ac:dyDescent="0.3">
      <c r="B30" s="2">
        <v>45363</v>
      </c>
      <c r="C30" s="6">
        <v>100</v>
      </c>
      <c r="D30" s="10">
        <v>26.2</v>
      </c>
      <c r="E30" s="10">
        <v>26.7</v>
      </c>
      <c r="F30" s="9">
        <f>IF(Tablo145678910111213141516171819202122[[#This Row],[SATIŞ]]=0,"Açık",(E30-D30)*C30)</f>
        <v>50</v>
      </c>
      <c r="G30" s="11">
        <f>Tablo145678910111213141516171819202122[[#This Row],[ADET]]*Tablo145678910111213141516171819202122[[#This Row],[ALIŞ]]</f>
        <v>2620</v>
      </c>
      <c r="H30" s="11">
        <f>Tablo145678910111213141516171819202122[[#This Row],[ADET]]*Tablo145678910111213141516171819202122[[#This Row],[SATIŞ]]</f>
        <v>2670</v>
      </c>
      <c r="J30" s="40" t="str">
        <f t="shared" si="0"/>
        <v/>
      </c>
    </row>
    <row r="31" spans="2:10" ht="21" hidden="1" customHeight="1" x14ac:dyDescent="0.3">
      <c r="B31" s="2">
        <v>45363</v>
      </c>
      <c r="C31" s="6">
        <v>100</v>
      </c>
      <c r="D31" s="10">
        <v>26.1</v>
      </c>
      <c r="E31" s="10">
        <v>26.5</v>
      </c>
      <c r="F31" s="9">
        <f>IF(Tablo145678910111213141516171819202122[[#This Row],[SATIŞ]]=0,"Açık",(E31-D31)*C31)</f>
        <v>39.999999999999858</v>
      </c>
      <c r="G31" s="11">
        <f>Tablo145678910111213141516171819202122[[#This Row],[ADET]]*Tablo145678910111213141516171819202122[[#This Row],[ALIŞ]]</f>
        <v>2610</v>
      </c>
      <c r="H31" s="11">
        <f>Tablo145678910111213141516171819202122[[#This Row],[ADET]]*Tablo145678910111213141516171819202122[[#This Row],[SATIŞ]]</f>
        <v>2650</v>
      </c>
      <c r="J31" s="40" t="str">
        <f t="shared" si="0"/>
        <v/>
      </c>
    </row>
    <row r="32" spans="2:10" ht="21" hidden="1" customHeight="1" x14ac:dyDescent="0.3">
      <c r="B32" s="2">
        <v>45365</v>
      </c>
      <c r="C32" s="6">
        <v>100</v>
      </c>
      <c r="D32" s="10">
        <v>25.5</v>
      </c>
      <c r="E32" s="10">
        <v>26</v>
      </c>
      <c r="F32" s="9">
        <f>IF(Tablo145678910111213141516171819202122[[#This Row],[SATIŞ]]=0,"Açık",(E32-D32)*C32)</f>
        <v>50</v>
      </c>
      <c r="G32" s="11">
        <f>Tablo145678910111213141516171819202122[[#This Row],[ADET]]*Tablo145678910111213141516171819202122[[#This Row],[ALIŞ]]</f>
        <v>2550</v>
      </c>
      <c r="H32" s="11">
        <f>Tablo145678910111213141516171819202122[[#This Row],[ADET]]*Tablo145678910111213141516171819202122[[#This Row],[SATIŞ]]</f>
        <v>2600</v>
      </c>
      <c r="J32" s="40" t="str">
        <f t="shared" si="0"/>
        <v/>
      </c>
    </row>
    <row r="33" spans="2:10" ht="21" hidden="1" customHeight="1" x14ac:dyDescent="0.3">
      <c r="B33" s="2">
        <v>45369</v>
      </c>
      <c r="C33" s="6">
        <v>100</v>
      </c>
      <c r="D33" s="10">
        <v>25.5</v>
      </c>
      <c r="E33" s="10">
        <v>26.16</v>
      </c>
      <c r="F33" s="9">
        <f>IF(Tablo145678910111213141516171819202122[[#This Row],[SATIŞ]]=0,"Açık",(E33-D33)*C33)</f>
        <v>66.000000000000014</v>
      </c>
      <c r="G33" s="11">
        <f>Tablo145678910111213141516171819202122[[#This Row],[ADET]]*Tablo145678910111213141516171819202122[[#This Row],[ALIŞ]]</f>
        <v>2550</v>
      </c>
      <c r="H33" s="11">
        <f>Tablo145678910111213141516171819202122[[#This Row],[ADET]]*Tablo145678910111213141516171819202122[[#This Row],[SATIŞ]]</f>
        <v>2616</v>
      </c>
      <c r="J33" s="40" t="str">
        <f t="shared" si="0"/>
        <v/>
      </c>
    </row>
    <row r="34" spans="2:10" ht="21" hidden="1" customHeight="1" x14ac:dyDescent="0.3">
      <c r="B34" s="2">
        <v>45371</v>
      </c>
      <c r="C34" s="6">
        <v>100</v>
      </c>
      <c r="D34" s="10">
        <v>25.1</v>
      </c>
      <c r="E34" s="10">
        <v>26</v>
      </c>
      <c r="F34" s="9">
        <f>IF(Tablo145678910111213141516171819202122[[#This Row],[SATIŞ]]=0,"Açık",(E34-D34)*C34)</f>
        <v>89.999999999999858</v>
      </c>
      <c r="G34" s="11">
        <f>Tablo145678910111213141516171819202122[[#This Row],[ADET]]*Tablo145678910111213141516171819202122[[#This Row],[ALIŞ]]</f>
        <v>2510</v>
      </c>
      <c r="H34" s="11">
        <f>Tablo145678910111213141516171819202122[[#This Row],[ADET]]*Tablo145678910111213141516171819202122[[#This Row],[SATIŞ]]</f>
        <v>2600</v>
      </c>
      <c r="J34" s="40" t="str">
        <f t="shared" si="0"/>
        <v/>
      </c>
    </row>
    <row r="35" spans="2:10" ht="21" hidden="1" customHeight="1" x14ac:dyDescent="0.3">
      <c r="B35" s="2">
        <v>45371</v>
      </c>
      <c r="C35" s="6">
        <v>100</v>
      </c>
      <c r="D35" s="10">
        <v>25</v>
      </c>
      <c r="E35" s="10">
        <v>25.5</v>
      </c>
      <c r="F35" s="9">
        <f>IF(Tablo145678910111213141516171819202122[[#This Row],[SATIŞ]]=0,"Açık",(E35-D35)*C35)</f>
        <v>50</v>
      </c>
      <c r="G35" s="11">
        <f>Tablo145678910111213141516171819202122[[#This Row],[ADET]]*Tablo145678910111213141516171819202122[[#This Row],[ALIŞ]]</f>
        <v>2500</v>
      </c>
      <c r="H35" s="11">
        <f>Tablo145678910111213141516171819202122[[#This Row],[ADET]]*Tablo145678910111213141516171819202122[[#This Row],[SATIŞ]]</f>
        <v>2550</v>
      </c>
      <c r="J35" s="40" t="str">
        <f t="shared" si="0"/>
        <v/>
      </c>
    </row>
    <row r="36" spans="2:10" ht="21" hidden="1" customHeight="1" x14ac:dyDescent="0.3">
      <c r="B36" s="2">
        <v>45372</v>
      </c>
      <c r="C36" s="6">
        <v>100</v>
      </c>
      <c r="D36" s="10">
        <v>25</v>
      </c>
      <c r="E36" s="10">
        <v>25.5</v>
      </c>
      <c r="F36" s="9">
        <f>IF(Tablo145678910111213141516171819202122[[#This Row],[SATIŞ]]=0,"Açık",(E36-D36)*C36)</f>
        <v>50</v>
      </c>
      <c r="G36" s="11">
        <f>Tablo145678910111213141516171819202122[[#This Row],[ADET]]*Tablo145678910111213141516171819202122[[#This Row],[ALIŞ]]</f>
        <v>2500</v>
      </c>
      <c r="H36" s="11">
        <f>Tablo145678910111213141516171819202122[[#This Row],[ADET]]*Tablo145678910111213141516171819202122[[#This Row],[SATIŞ]]</f>
        <v>2550</v>
      </c>
      <c r="J36" s="40" t="str">
        <f t="shared" si="0"/>
        <v/>
      </c>
    </row>
    <row r="37" spans="2:10" ht="21" hidden="1" customHeight="1" x14ac:dyDescent="0.3">
      <c r="B37" s="2">
        <v>45373</v>
      </c>
      <c r="C37" s="6">
        <v>100</v>
      </c>
      <c r="D37" s="10">
        <v>23.5</v>
      </c>
      <c r="E37" s="10">
        <v>25.14</v>
      </c>
      <c r="F37" s="9">
        <f>IF(Tablo145678910111213141516171819202122[[#This Row],[SATIŞ]]=0,"Açık",(E37-D37)*C37)</f>
        <v>164.00000000000006</v>
      </c>
      <c r="G37" s="11">
        <f>Tablo145678910111213141516171819202122[[#This Row],[ADET]]*Tablo145678910111213141516171819202122[[#This Row],[ALIŞ]]</f>
        <v>2350</v>
      </c>
      <c r="H37" s="11">
        <f>Tablo145678910111213141516171819202122[[#This Row],[ADET]]*Tablo145678910111213141516171819202122[[#This Row],[SATIŞ]]</f>
        <v>2514</v>
      </c>
      <c r="J37" s="40" t="str">
        <f t="shared" si="0"/>
        <v/>
      </c>
    </row>
    <row r="38" spans="2:10" ht="21" hidden="1" customHeight="1" x14ac:dyDescent="0.3">
      <c r="B38" s="2">
        <v>45377</v>
      </c>
      <c r="C38" s="6">
        <v>100</v>
      </c>
      <c r="D38" s="10">
        <v>24.66</v>
      </c>
      <c r="E38" s="10">
        <v>25.1</v>
      </c>
      <c r="F38" s="9">
        <f>IF(Tablo145678910111213141516171819202122[[#This Row],[SATIŞ]]=0,"Açık",(E38-D38)*C38)</f>
        <v>44.000000000000128</v>
      </c>
      <c r="G38" s="11">
        <f>Tablo145678910111213141516171819202122[[#This Row],[ADET]]*Tablo145678910111213141516171819202122[[#This Row],[ALIŞ]]</f>
        <v>2466</v>
      </c>
      <c r="H38" s="11">
        <f>Tablo145678910111213141516171819202122[[#This Row],[ADET]]*Tablo145678910111213141516171819202122[[#This Row],[SATIŞ]]</f>
        <v>2510</v>
      </c>
      <c r="J38" s="40" t="str">
        <f t="shared" si="0"/>
        <v/>
      </c>
    </row>
    <row r="39" spans="2:10" ht="21" hidden="1" customHeight="1" x14ac:dyDescent="0.3">
      <c r="B39" s="2">
        <v>45377</v>
      </c>
      <c r="C39" s="6">
        <v>100</v>
      </c>
      <c r="D39" s="10">
        <v>24.5</v>
      </c>
      <c r="E39" s="10">
        <v>25</v>
      </c>
      <c r="F39" s="9">
        <f>IF(Tablo145678910111213141516171819202122[[#This Row],[SATIŞ]]=0,"Açık",(E39-D39)*C39)</f>
        <v>50</v>
      </c>
      <c r="G39" s="11">
        <f>Tablo145678910111213141516171819202122[[#This Row],[ADET]]*Tablo145678910111213141516171819202122[[#This Row],[ALIŞ]]</f>
        <v>2450</v>
      </c>
      <c r="H39" s="11">
        <f>Tablo145678910111213141516171819202122[[#This Row],[ADET]]*Tablo145678910111213141516171819202122[[#This Row],[SATIŞ]]</f>
        <v>2500</v>
      </c>
      <c r="J39" s="40" t="str">
        <f t="shared" si="0"/>
        <v/>
      </c>
    </row>
    <row r="40" spans="2:10" ht="21" hidden="1" customHeight="1" x14ac:dyDescent="0.3">
      <c r="B40" s="2">
        <v>45377</v>
      </c>
      <c r="C40" s="6">
        <v>100</v>
      </c>
      <c r="D40" s="10">
        <v>24.7</v>
      </c>
      <c r="E40" s="10">
        <v>25</v>
      </c>
      <c r="F40" s="9">
        <f>IF(Tablo145678910111213141516171819202122[[#This Row],[SATIŞ]]=0,"Açık",(E40-D40)*C40)</f>
        <v>30.000000000000071</v>
      </c>
      <c r="G40" s="11">
        <f>Tablo145678910111213141516171819202122[[#This Row],[ADET]]*Tablo145678910111213141516171819202122[[#This Row],[ALIŞ]]</f>
        <v>2470</v>
      </c>
      <c r="H40" s="11">
        <f>Tablo145678910111213141516171819202122[[#This Row],[ADET]]*Tablo145678910111213141516171819202122[[#This Row],[SATIŞ]]</f>
        <v>2500</v>
      </c>
      <c r="J40" s="40" t="str">
        <f t="shared" si="0"/>
        <v/>
      </c>
    </row>
    <row r="41" spans="2:10" ht="21" hidden="1" customHeight="1" x14ac:dyDescent="0.3">
      <c r="B41" s="2">
        <v>45377</v>
      </c>
      <c r="C41" s="6">
        <v>100</v>
      </c>
      <c r="D41" s="10">
        <v>24.5</v>
      </c>
      <c r="E41" s="10">
        <v>24.7</v>
      </c>
      <c r="F41" s="9">
        <f>IF(Tablo145678910111213141516171819202122[[#This Row],[SATIŞ]]=0,"Açık",(E41-D41)*C41)</f>
        <v>19.999999999999929</v>
      </c>
      <c r="G41" s="11">
        <f>Tablo145678910111213141516171819202122[[#This Row],[ADET]]*Tablo145678910111213141516171819202122[[#This Row],[ALIŞ]]</f>
        <v>2450</v>
      </c>
      <c r="H41" s="11">
        <f>Tablo145678910111213141516171819202122[[#This Row],[ADET]]*Tablo145678910111213141516171819202122[[#This Row],[SATIŞ]]</f>
        <v>2470</v>
      </c>
    </row>
    <row r="42" spans="2:10" ht="21" hidden="1" customHeight="1" x14ac:dyDescent="0.3">
      <c r="B42" s="2">
        <v>45380</v>
      </c>
      <c r="C42" s="6">
        <v>100</v>
      </c>
      <c r="D42" s="10">
        <v>24.4</v>
      </c>
      <c r="E42" s="10">
        <v>25.2</v>
      </c>
      <c r="F42" s="9">
        <f>IF(Tablo145678910111213141516171819202122[[#This Row],[SATIŞ]]=0,"Açık",(E42-D42)*C42)</f>
        <v>80.000000000000071</v>
      </c>
      <c r="G42" s="11">
        <f>Tablo145678910111213141516171819202122[[#This Row],[ADET]]*Tablo145678910111213141516171819202122[[#This Row],[ALIŞ]]</f>
        <v>2440</v>
      </c>
      <c r="H42" s="11">
        <f>Tablo145678910111213141516171819202122[[#This Row],[ADET]]*Tablo145678910111213141516171819202122[[#This Row],[SATIŞ]]</f>
        <v>2520</v>
      </c>
    </row>
    <row r="43" spans="2:10" ht="21" hidden="1" customHeight="1" x14ac:dyDescent="0.3">
      <c r="B43" s="2">
        <v>45383</v>
      </c>
      <c r="C43" s="6">
        <v>100</v>
      </c>
      <c r="D43" s="10">
        <v>24.7</v>
      </c>
      <c r="E43" s="10">
        <v>25</v>
      </c>
      <c r="F43" s="9">
        <f>IF(Tablo145678910111213141516171819202122[[#This Row],[SATIŞ]]=0,"Açık",(E43-D43)*C43)</f>
        <v>30.000000000000071</v>
      </c>
      <c r="G43" s="11">
        <f>Tablo145678910111213141516171819202122[[#This Row],[ADET]]*Tablo145678910111213141516171819202122[[#This Row],[ALIŞ]]</f>
        <v>2470</v>
      </c>
      <c r="H43" s="11">
        <f>Tablo145678910111213141516171819202122[[#This Row],[ADET]]*Tablo145678910111213141516171819202122[[#This Row],[SATIŞ]]</f>
        <v>2500</v>
      </c>
    </row>
    <row r="44" spans="2:10" ht="21" hidden="1" customHeight="1" x14ac:dyDescent="0.3">
      <c r="B44" s="2">
        <v>45384</v>
      </c>
      <c r="C44" s="6">
        <v>100</v>
      </c>
      <c r="D44" s="10">
        <v>24</v>
      </c>
      <c r="E44" s="10">
        <v>24.5</v>
      </c>
      <c r="F44" s="9">
        <f>IF(Tablo145678910111213141516171819202122[[#This Row],[SATIŞ]]=0,"Açık",(E44-D44)*C44)</f>
        <v>50</v>
      </c>
      <c r="G44" s="11">
        <f>Tablo145678910111213141516171819202122[[#This Row],[ADET]]*Tablo145678910111213141516171819202122[[#This Row],[ALIŞ]]</f>
        <v>2400</v>
      </c>
      <c r="H44" s="11">
        <f>Tablo145678910111213141516171819202122[[#This Row],[ADET]]*Tablo145678910111213141516171819202122[[#This Row],[SATIŞ]]</f>
        <v>2450</v>
      </c>
    </row>
    <row r="45" spans="2:10" ht="21" hidden="1" customHeight="1" x14ac:dyDescent="0.3">
      <c r="B45" s="2">
        <v>45385</v>
      </c>
      <c r="C45" s="6">
        <v>100</v>
      </c>
      <c r="D45" s="10">
        <v>23.8</v>
      </c>
      <c r="E45" s="10">
        <v>24.1</v>
      </c>
      <c r="F45" s="9">
        <f>IF(Tablo145678910111213141516171819202122[[#This Row],[SATIŞ]]=0,"Açık",(E45-D45)*C45)</f>
        <v>30.000000000000071</v>
      </c>
      <c r="G45" s="11">
        <f>Tablo145678910111213141516171819202122[[#This Row],[ADET]]*Tablo145678910111213141516171819202122[[#This Row],[ALIŞ]]</f>
        <v>2380</v>
      </c>
      <c r="H45" s="11">
        <f>Tablo145678910111213141516171819202122[[#This Row],[ADET]]*Tablo145678910111213141516171819202122[[#This Row],[SATIŞ]]</f>
        <v>2410</v>
      </c>
    </row>
  </sheetData>
  <conditionalFormatting sqref="B4:F45">
    <cfRule type="expression" dxfId="119" priority="1">
      <formula>$F4&lt;0</formula>
    </cfRule>
    <cfRule type="expression" dxfId="118" priority="2">
      <formula>$F4="Açık"</formula>
    </cfRule>
    <cfRule type="expression" dxfId="117" priority="3">
      <formula>$F4&gt;0</formula>
    </cfRule>
  </conditionalFormatting>
  <hyperlinks>
    <hyperlink ref="B1" location="İcmal!A1" display="ANA SAYFA" xr:uid="{A26FAB3D-8DDF-4CA5-AFFB-3027219D629A}"/>
  </hyperlinks>
  <pageMargins left="0.7" right="0.7" top="0.75" bottom="0.75" header="0.3" footer="0.3"/>
  <tableParts count="1">
    <tablePart r:id="rId1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35E2F-C579-4E62-AC32-D2B9C64C8B72}">
  <sheetPr>
    <tabColor rgb="FF00B050"/>
  </sheetPr>
  <dimension ref="B1:R26"/>
  <sheetViews>
    <sheetView showGridLines="0" showZeros="0" zoomScale="110" zoomScaleNormal="110" workbookViewId="0">
      <pane ySplit="3" topLeftCell="A17" activePane="bottomLeft" state="frozen"/>
      <selection pane="bottomLeft" activeCell="E18" sqref="E18"/>
    </sheetView>
  </sheetViews>
  <sheetFormatPr defaultRowHeight="21" customHeight="1" x14ac:dyDescent="0.3"/>
  <cols>
    <col min="2" max="2" width="20.6640625" style="1" customWidth="1"/>
    <col min="3" max="3" width="11.33203125" style="6" customWidth="1"/>
    <col min="4" max="5" width="12.88671875" style="3" customWidth="1"/>
    <col min="6" max="6" width="12.88671875" style="5" customWidth="1"/>
    <col min="7" max="8" width="11.44140625" bestFit="1" customWidth="1"/>
    <col min="10" max="12" width="12.44140625" customWidth="1"/>
    <col min="13" max="13" width="11.44140625" bestFit="1" customWidth="1"/>
    <col min="14" max="14" width="11.6640625" bestFit="1" customWidth="1"/>
  </cols>
  <sheetData>
    <row r="1" spans="2:18" ht="21" customHeight="1" x14ac:dyDescent="0.3">
      <c r="B1" s="12" t="s">
        <v>64</v>
      </c>
      <c r="C1" s="4">
        <f>SUMIF(Tablo1456789101112131415161718192021222361[KAR],"Açık",Tablo1456789101112131415161718192021222361[ADET])</f>
        <v>100</v>
      </c>
      <c r="D1" s="10">
        <f>+İcmal!E32</f>
        <v>71.55</v>
      </c>
      <c r="E1" s="10">
        <f>C1*D1</f>
        <v>7155</v>
      </c>
      <c r="F1" s="10">
        <f>IFERROR(((SUM(Tablo1456789101112131415161718192021222361[ALIŞ TUTAR])-SUM(Tablo1456789101112131415161718192021222361[SATIŞ TUTAR]))/C1),"")</f>
        <v>32.424999999999997</v>
      </c>
      <c r="G1" s="10">
        <f>IF(M3=0,L3,C1*(D1-F1))</f>
        <v>3912.5</v>
      </c>
      <c r="J1" s="45" t="s">
        <v>94</v>
      </c>
      <c r="K1" s="45" t="s">
        <v>95</v>
      </c>
      <c r="L1" s="45" t="s">
        <v>96</v>
      </c>
      <c r="M1" s="33">
        <f>F1</f>
        <v>32.424999999999997</v>
      </c>
      <c r="N1" s="8" t="e">
        <f>M1*(1+$J$1)</f>
        <v>#VALUE!</v>
      </c>
      <c r="P1" s="8" t="e">
        <f>Q1*(1-$J$1)</f>
        <v>#VALUE!</v>
      </c>
      <c r="Q1" s="33">
        <f>+D1</f>
        <v>71.55</v>
      </c>
      <c r="R1" s="8" t="e">
        <f>Q1*(1+$J$1)</f>
        <v>#VALUE!</v>
      </c>
    </row>
    <row r="2" spans="2:18" ht="21" customHeight="1" x14ac:dyDescent="0.3">
      <c r="B2" s="7" t="s">
        <v>87</v>
      </c>
      <c r="J2" s="45">
        <f>SUMIFS(Tablo2[HEDEF2],Tablo2[HİSSE],B2)</f>
        <v>1000</v>
      </c>
      <c r="K2" s="45">
        <f>+E1/İcmal!$P$2</f>
        <v>219.95081463264677</v>
      </c>
      <c r="L2" s="45">
        <f>+J2-K2</f>
        <v>780.04918536735318</v>
      </c>
    </row>
    <row r="3" spans="2:18" ht="21" customHeight="1" x14ac:dyDescent="0.3">
      <c r="B3" s="1" t="s">
        <v>0</v>
      </c>
      <c r="C3" s="6" t="s">
        <v>4</v>
      </c>
      <c r="D3" s="3" t="s">
        <v>1</v>
      </c>
      <c r="E3" s="3" t="s">
        <v>3</v>
      </c>
      <c r="F3" s="5" t="s">
        <v>2</v>
      </c>
      <c r="G3" s="3" t="s">
        <v>8</v>
      </c>
      <c r="H3" s="3" t="s">
        <v>9</v>
      </c>
      <c r="L3">
        <f>+SUM(Tablo1456789101112131415161718192021222361[KAR])</f>
        <v>3757.4999999999995</v>
      </c>
      <c r="M3" s="37">
        <f>+C1</f>
        <v>100</v>
      </c>
    </row>
    <row r="4" spans="2:18" ht="21" hidden="1" customHeight="1" x14ac:dyDescent="0.3">
      <c r="B4" s="2">
        <v>45356</v>
      </c>
      <c r="C4" s="6">
        <v>20</v>
      </c>
      <c r="D4" s="10">
        <v>65</v>
      </c>
      <c r="E4" s="10">
        <v>70</v>
      </c>
      <c r="F4" s="9">
        <f>IF(Tablo1456789101112131415161718192021222361[[#This Row],[SATIŞ]]=0,"Açık",(E4-D4)*C4)</f>
        <v>100</v>
      </c>
      <c r="G4" s="11">
        <f>Tablo1456789101112131415161718192021222361[[#This Row],[ADET]]*Tablo1456789101112131415161718192021222361[[#This Row],[ALIŞ]]</f>
        <v>1300</v>
      </c>
      <c r="H4" s="11">
        <f>Tablo1456789101112131415161718192021222361[[#This Row],[ADET]]*Tablo1456789101112131415161718192021222361[[#This Row],[SATIŞ]]</f>
        <v>1400</v>
      </c>
      <c r="J4" s="40" t="str">
        <f t="shared" ref="J4:J14" si="0">IF(E4=0,D4*1.05,"")</f>
        <v/>
      </c>
      <c r="L4" s="8">
        <f>SUM(Tablo1456789101112131415161718192021222361[ALIŞ TUTAR])</f>
        <v>49095</v>
      </c>
      <c r="M4" s="8">
        <f>SUM(Tablo1456789101112131415161718192021222361[SATIŞ TUTAR])</f>
        <v>45852.5</v>
      </c>
      <c r="N4" s="8">
        <f>L4-M4</f>
        <v>3242.5</v>
      </c>
    </row>
    <row r="5" spans="2:18" ht="21" hidden="1" customHeight="1" x14ac:dyDescent="0.3">
      <c r="B5" s="2">
        <v>45356</v>
      </c>
      <c r="C5" s="6">
        <v>20</v>
      </c>
      <c r="D5" s="10">
        <v>63</v>
      </c>
      <c r="E5" s="10">
        <v>70</v>
      </c>
      <c r="F5" s="9">
        <f>IF(Tablo1456789101112131415161718192021222361[[#This Row],[SATIŞ]]=0,"Açık",(E5-D5)*C5)</f>
        <v>140</v>
      </c>
      <c r="G5" s="11">
        <f>Tablo1456789101112131415161718192021222361[[#This Row],[ADET]]*Tablo1456789101112131415161718192021222361[[#This Row],[ALIŞ]]</f>
        <v>1260</v>
      </c>
      <c r="H5" s="11">
        <f>Tablo1456789101112131415161718192021222361[[#This Row],[ADET]]*Tablo1456789101112131415161718192021222361[[#This Row],[SATIŞ]]</f>
        <v>1400</v>
      </c>
      <c r="J5" s="40" t="str">
        <f t="shared" si="0"/>
        <v/>
      </c>
      <c r="N5">
        <f>+N4/80</f>
        <v>40.53125</v>
      </c>
    </row>
    <row r="6" spans="2:18" ht="21" hidden="1" customHeight="1" x14ac:dyDescent="0.3">
      <c r="B6" s="2">
        <v>45362</v>
      </c>
      <c r="C6" s="6">
        <v>20</v>
      </c>
      <c r="D6" s="10">
        <v>69</v>
      </c>
      <c r="E6" s="10">
        <v>70</v>
      </c>
      <c r="F6" s="9">
        <f>IF(Tablo1456789101112131415161718192021222361[[#This Row],[SATIŞ]]=0,"Açık",(E6-D6)*C6)</f>
        <v>20</v>
      </c>
      <c r="G6" s="11">
        <f>Tablo1456789101112131415161718192021222361[[#This Row],[ADET]]*Tablo1456789101112131415161718192021222361[[#This Row],[ALIŞ]]</f>
        <v>1380</v>
      </c>
      <c r="H6" s="11">
        <f>Tablo1456789101112131415161718192021222361[[#This Row],[ADET]]*Tablo1456789101112131415161718192021222361[[#This Row],[SATIŞ]]</f>
        <v>1400</v>
      </c>
      <c r="J6" s="40" t="str">
        <f t="shared" si="0"/>
        <v/>
      </c>
    </row>
    <row r="7" spans="2:18" ht="21" hidden="1" customHeight="1" x14ac:dyDescent="0.3">
      <c r="B7" s="2">
        <v>45365</v>
      </c>
      <c r="C7" s="6">
        <v>100</v>
      </c>
      <c r="D7" s="10">
        <v>64</v>
      </c>
      <c r="E7" s="10">
        <v>69</v>
      </c>
      <c r="F7" s="9">
        <f>IF(Tablo1456789101112131415161718192021222361[[#This Row],[SATIŞ]]=0,"Açık",(E7-D7)*C7)</f>
        <v>500</v>
      </c>
      <c r="G7" s="11">
        <f>Tablo1456789101112131415161718192021222361[[#This Row],[ADET]]*Tablo1456789101112131415161718192021222361[[#This Row],[ALIŞ]]</f>
        <v>6400</v>
      </c>
      <c r="H7" s="11">
        <f>Tablo1456789101112131415161718192021222361[[#This Row],[ADET]]*Tablo1456789101112131415161718192021222361[[#This Row],[SATIŞ]]</f>
        <v>6900</v>
      </c>
      <c r="J7" s="40" t="str">
        <f t="shared" si="0"/>
        <v/>
      </c>
    </row>
    <row r="8" spans="2:18" ht="21" hidden="1" customHeight="1" x14ac:dyDescent="0.3">
      <c r="B8" s="2">
        <v>45369</v>
      </c>
      <c r="C8" s="6">
        <v>50</v>
      </c>
      <c r="D8" s="10">
        <v>61</v>
      </c>
      <c r="E8" s="10">
        <v>66.5</v>
      </c>
      <c r="F8" s="9">
        <f>IF(Tablo1456789101112131415161718192021222361[[#This Row],[SATIŞ]]=0,"Açık",(E8-D8)*C8)</f>
        <v>275</v>
      </c>
      <c r="G8" s="11">
        <f>Tablo1456789101112131415161718192021222361[[#This Row],[ADET]]*Tablo1456789101112131415161718192021222361[[#This Row],[ALIŞ]]</f>
        <v>3050</v>
      </c>
      <c r="H8" s="11">
        <f>Tablo1456789101112131415161718192021222361[[#This Row],[ADET]]*Tablo1456789101112131415161718192021222361[[#This Row],[SATIŞ]]</f>
        <v>3325</v>
      </c>
      <c r="J8" s="40" t="str">
        <f t="shared" si="0"/>
        <v/>
      </c>
    </row>
    <row r="9" spans="2:18" ht="21" hidden="1" customHeight="1" x14ac:dyDescent="0.3">
      <c r="B9" s="2">
        <v>45369</v>
      </c>
      <c r="C9" s="6">
        <v>50</v>
      </c>
      <c r="D9" s="10">
        <v>60</v>
      </c>
      <c r="E9" s="10">
        <v>64.25</v>
      </c>
      <c r="F9" s="9">
        <f>IF(Tablo1456789101112131415161718192021222361[[#This Row],[SATIŞ]]=0,"Açık",(E9-D9)*C9)</f>
        <v>212.5</v>
      </c>
      <c r="G9" s="11">
        <f>Tablo1456789101112131415161718192021222361[[#This Row],[ADET]]*Tablo1456789101112131415161718192021222361[[#This Row],[ALIŞ]]</f>
        <v>3000</v>
      </c>
      <c r="H9" s="11">
        <f>Tablo1456789101112131415161718192021222361[[#This Row],[ADET]]*Tablo1456789101112131415161718192021222361[[#This Row],[SATIŞ]]</f>
        <v>3212.5</v>
      </c>
      <c r="J9" s="40" t="str">
        <f t="shared" si="0"/>
        <v/>
      </c>
    </row>
    <row r="10" spans="2:18" ht="21" hidden="1" customHeight="1" x14ac:dyDescent="0.3">
      <c r="B10" s="2">
        <v>45369</v>
      </c>
      <c r="C10" s="6">
        <v>50</v>
      </c>
      <c r="D10" s="10">
        <v>60</v>
      </c>
      <c r="E10" s="10">
        <v>68</v>
      </c>
      <c r="F10" s="9">
        <f>IF(Tablo1456789101112131415161718192021222361[[#This Row],[SATIŞ]]=0,"Açık",(E10-D10)*C10)</f>
        <v>400</v>
      </c>
      <c r="G10" s="11">
        <f>Tablo1456789101112131415161718192021222361[[#This Row],[ADET]]*Tablo1456789101112131415161718192021222361[[#This Row],[ALIŞ]]</f>
        <v>3000</v>
      </c>
      <c r="H10" s="11">
        <f>Tablo1456789101112131415161718192021222361[[#This Row],[ADET]]*Tablo1456789101112131415161718192021222361[[#This Row],[SATIŞ]]</f>
        <v>3400</v>
      </c>
      <c r="J10" s="40" t="str">
        <f t="shared" si="0"/>
        <v/>
      </c>
    </row>
    <row r="11" spans="2:18" ht="21" hidden="1" customHeight="1" x14ac:dyDescent="0.3">
      <c r="B11" s="2">
        <v>45369</v>
      </c>
      <c r="C11" s="6">
        <v>50</v>
      </c>
      <c r="D11" s="10">
        <v>61</v>
      </c>
      <c r="E11" s="10">
        <v>67.599999999999994</v>
      </c>
      <c r="F11" s="9">
        <f>IF(Tablo1456789101112131415161718192021222361[[#This Row],[SATIŞ]]=0,"Açık",(E11-D11)*C11)</f>
        <v>329.99999999999972</v>
      </c>
      <c r="G11" s="11">
        <f>Tablo1456789101112131415161718192021222361[[#This Row],[ADET]]*Tablo1456789101112131415161718192021222361[[#This Row],[ALIŞ]]</f>
        <v>3050</v>
      </c>
      <c r="H11" s="11">
        <f>Tablo1456789101112131415161718192021222361[[#This Row],[ADET]]*Tablo1456789101112131415161718192021222361[[#This Row],[SATIŞ]]</f>
        <v>3379.9999999999995</v>
      </c>
      <c r="J11" s="40"/>
    </row>
    <row r="12" spans="2:18" ht="21" hidden="1" customHeight="1" x14ac:dyDescent="0.3">
      <c r="B12" s="2">
        <v>45371</v>
      </c>
      <c r="C12" s="6">
        <v>50</v>
      </c>
      <c r="D12" s="10">
        <v>62</v>
      </c>
      <c r="E12" s="10">
        <v>67.599999999999994</v>
      </c>
      <c r="F12" s="9">
        <f>IF(Tablo1456789101112131415161718192021222361[[#This Row],[SATIŞ]]=0,"Açık",(E12-D12)*C12)</f>
        <v>279.99999999999972</v>
      </c>
      <c r="G12" s="11">
        <f>Tablo1456789101112131415161718192021222361[[#This Row],[ADET]]*Tablo1456789101112131415161718192021222361[[#This Row],[ALIŞ]]</f>
        <v>3100</v>
      </c>
      <c r="H12" s="11">
        <f>Tablo1456789101112131415161718192021222361[[#This Row],[ADET]]*Tablo1456789101112131415161718192021222361[[#This Row],[SATIŞ]]</f>
        <v>3379.9999999999995</v>
      </c>
      <c r="J12" s="40" t="str">
        <f t="shared" si="0"/>
        <v/>
      </c>
    </row>
    <row r="13" spans="2:18" ht="21" hidden="1" customHeight="1" x14ac:dyDescent="0.3">
      <c r="B13" s="2">
        <v>45372</v>
      </c>
      <c r="C13" s="6">
        <v>50</v>
      </c>
      <c r="D13" s="10">
        <v>61</v>
      </c>
      <c r="E13" s="10">
        <v>68</v>
      </c>
      <c r="F13" s="9">
        <f>IF(Tablo1456789101112131415161718192021222361[[#This Row],[SATIŞ]]=0,"Açık",(E13-D13)*C13)</f>
        <v>350</v>
      </c>
      <c r="G13" s="11">
        <f>Tablo1456789101112131415161718192021222361[[#This Row],[ADET]]*Tablo1456789101112131415161718192021222361[[#This Row],[ALIŞ]]</f>
        <v>3050</v>
      </c>
      <c r="H13" s="11">
        <f>Tablo1456789101112131415161718192021222361[[#This Row],[ADET]]*Tablo1456789101112131415161718192021222361[[#This Row],[SATIŞ]]</f>
        <v>3400</v>
      </c>
      <c r="J13" s="40" t="str">
        <f t="shared" si="0"/>
        <v/>
      </c>
    </row>
    <row r="14" spans="2:18" ht="21" hidden="1" customHeight="1" x14ac:dyDescent="0.3">
      <c r="B14" s="2">
        <v>45379</v>
      </c>
      <c r="C14" s="6">
        <v>100</v>
      </c>
      <c r="D14" s="10">
        <v>63</v>
      </c>
      <c r="E14" s="10">
        <v>68</v>
      </c>
      <c r="F14" s="9">
        <f>IF(Tablo1456789101112131415161718192021222361[[#This Row],[SATIŞ]]=0,"Açık",(E14-D14)*C14)</f>
        <v>500</v>
      </c>
      <c r="G14" s="11">
        <f>Tablo1456789101112131415161718192021222361[[#This Row],[ADET]]*Tablo1456789101112131415161718192021222361[[#This Row],[ALIŞ]]</f>
        <v>6300</v>
      </c>
      <c r="H14" s="11">
        <f>Tablo1456789101112131415161718192021222361[[#This Row],[ADET]]*Tablo1456789101112131415161718192021222361[[#This Row],[SATIŞ]]</f>
        <v>6800</v>
      </c>
      <c r="J14" s="40" t="str">
        <f t="shared" si="0"/>
        <v/>
      </c>
    </row>
    <row r="15" spans="2:18" ht="21" hidden="1" customHeight="1" x14ac:dyDescent="0.3">
      <c r="B15" s="2">
        <v>45379</v>
      </c>
      <c r="C15" s="6">
        <v>10</v>
      </c>
      <c r="D15" s="10">
        <v>63</v>
      </c>
      <c r="E15" s="10">
        <v>68</v>
      </c>
      <c r="F15" s="9">
        <f>IF(Tablo1456789101112131415161718192021222361[[#This Row],[SATIŞ]]=0,"Açık",(E15-D15)*C15)</f>
        <v>50</v>
      </c>
      <c r="G15" s="11">
        <f>Tablo1456789101112131415161718192021222361[[#This Row],[ADET]]*Tablo1456789101112131415161718192021222361[[#This Row],[ALIŞ]]</f>
        <v>630</v>
      </c>
      <c r="H15" s="11">
        <f>Tablo1456789101112131415161718192021222361[[#This Row],[ADET]]*Tablo1456789101112131415161718192021222361[[#This Row],[SATIŞ]]</f>
        <v>680</v>
      </c>
      <c r="J15" s="40" t="str">
        <f t="shared" ref="J15:J26" si="1">IF(E15=0,D15*1.05,"")</f>
        <v/>
      </c>
    </row>
    <row r="16" spans="2:18" ht="21" hidden="1" customHeight="1" x14ac:dyDescent="0.3">
      <c r="B16" s="2">
        <v>45384</v>
      </c>
      <c r="C16" s="6">
        <v>50</v>
      </c>
      <c r="D16" s="10">
        <v>66.5</v>
      </c>
      <c r="E16" s="10">
        <v>71</v>
      </c>
      <c r="F16" s="9">
        <f>IF(Tablo1456789101112131415161718192021222361[[#This Row],[SATIŞ]]=0,"Açık",(E16-D16)*C16)</f>
        <v>225</v>
      </c>
      <c r="G16" s="11">
        <f>Tablo1456789101112131415161718192021222361[[#This Row],[ADET]]*Tablo1456789101112131415161718192021222361[[#This Row],[ALIŞ]]</f>
        <v>3325</v>
      </c>
      <c r="H16" s="11">
        <f>Tablo1456789101112131415161718192021222361[[#This Row],[ADET]]*Tablo1456789101112131415161718192021222361[[#This Row],[SATIŞ]]</f>
        <v>3550</v>
      </c>
      <c r="J16" s="40" t="str">
        <f t="shared" si="1"/>
        <v/>
      </c>
    </row>
    <row r="17" spans="2:10" ht="21" hidden="1" customHeight="1" x14ac:dyDescent="0.3">
      <c r="B17" s="2">
        <v>45384</v>
      </c>
      <c r="C17" s="6">
        <v>50</v>
      </c>
      <c r="D17" s="10">
        <v>65</v>
      </c>
      <c r="E17" s="10">
        <v>72.5</v>
      </c>
      <c r="F17" s="9">
        <f>IF(Tablo1456789101112131415161718192021222361[[#This Row],[SATIŞ]]=0,"Açık",(E17-D17)*C17)</f>
        <v>375</v>
      </c>
      <c r="G17" s="11">
        <f>Tablo1456789101112131415161718192021222361[[#This Row],[ADET]]*Tablo1456789101112131415161718192021222361[[#This Row],[ALIŞ]]</f>
        <v>3250</v>
      </c>
      <c r="H17" s="11">
        <f>Tablo1456789101112131415161718192021222361[[#This Row],[ADET]]*Tablo1456789101112131415161718192021222361[[#This Row],[SATIŞ]]</f>
        <v>3625</v>
      </c>
      <c r="J17" s="40" t="str">
        <f t="shared" si="1"/>
        <v/>
      </c>
    </row>
    <row r="18" spans="2:10" ht="21" customHeight="1" x14ac:dyDescent="0.3">
      <c r="B18" s="2">
        <v>45398</v>
      </c>
      <c r="C18" s="6">
        <v>100</v>
      </c>
      <c r="D18" s="10">
        <v>70</v>
      </c>
      <c r="E18" s="10"/>
      <c r="F18" s="9" t="str">
        <f>IF(Tablo1456789101112131415161718192021222361[[#This Row],[SATIŞ]]=0,"Açık",(E18-D18)*C18)</f>
        <v>Açık</v>
      </c>
      <c r="G18" s="11">
        <f>Tablo1456789101112131415161718192021222361[[#This Row],[ADET]]*Tablo1456789101112131415161718192021222361[[#This Row],[ALIŞ]]</f>
        <v>7000</v>
      </c>
      <c r="H18" s="11">
        <f>Tablo1456789101112131415161718192021222361[[#This Row],[ADET]]*Tablo1456789101112131415161718192021222361[[#This Row],[SATIŞ]]</f>
        <v>0</v>
      </c>
      <c r="J18" s="40">
        <f t="shared" si="1"/>
        <v>73.5</v>
      </c>
    </row>
    <row r="19" spans="2:10" ht="21" customHeight="1" x14ac:dyDescent="0.3">
      <c r="B19" s="2"/>
      <c r="D19" s="10"/>
      <c r="E19" s="10"/>
      <c r="F19" s="9" t="str">
        <f>IF(Tablo1456789101112131415161718192021222361[[#This Row],[SATIŞ]]=0,"Açık",(E19-D19)*C19)</f>
        <v>Açık</v>
      </c>
      <c r="G19" s="11">
        <f>Tablo1456789101112131415161718192021222361[[#This Row],[ADET]]*Tablo1456789101112131415161718192021222361[[#This Row],[ALIŞ]]</f>
        <v>0</v>
      </c>
      <c r="H19" s="11">
        <f>Tablo1456789101112131415161718192021222361[[#This Row],[ADET]]*Tablo1456789101112131415161718192021222361[[#This Row],[SATIŞ]]</f>
        <v>0</v>
      </c>
      <c r="J19" s="40">
        <f t="shared" si="1"/>
        <v>0</v>
      </c>
    </row>
    <row r="20" spans="2:10" ht="21" customHeight="1" x14ac:dyDescent="0.3">
      <c r="B20" s="2"/>
      <c r="D20" s="10"/>
      <c r="E20" s="10"/>
      <c r="F20" s="9" t="str">
        <f>IF(Tablo1456789101112131415161718192021222361[[#This Row],[SATIŞ]]=0,"Açık",(E20-D20)*C20)</f>
        <v>Açık</v>
      </c>
      <c r="G20" s="11">
        <f>Tablo1456789101112131415161718192021222361[[#This Row],[ADET]]*Tablo1456789101112131415161718192021222361[[#This Row],[ALIŞ]]</f>
        <v>0</v>
      </c>
      <c r="H20" s="11">
        <f>Tablo1456789101112131415161718192021222361[[#This Row],[ADET]]*Tablo1456789101112131415161718192021222361[[#This Row],[SATIŞ]]</f>
        <v>0</v>
      </c>
      <c r="J20" s="40">
        <f t="shared" si="1"/>
        <v>0</v>
      </c>
    </row>
    <row r="21" spans="2:10" ht="21" customHeight="1" x14ac:dyDescent="0.3">
      <c r="B21" s="2"/>
      <c r="D21" s="10"/>
      <c r="E21" s="10"/>
      <c r="F21" s="9" t="str">
        <f>IF(Tablo1456789101112131415161718192021222361[[#This Row],[SATIŞ]]=0,"Açık",(E21-D21)*C21)</f>
        <v>Açık</v>
      </c>
      <c r="G21" s="11">
        <f>Tablo1456789101112131415161718192021222361[[#This Row],[ADET]]*Tablo1456789101112131415161718192021222361[[#This Row],[ALIŞ]]</f>
        <v>0</v>
      </c>
      <c r="H21" s="11">
        <f>Tablo1456789101112131415161718192021222361[[#This Row],[ADET]]*Tablo1456789101112131415161718192021222361[[#This Row],[SATIŞ]]</f>
        <v>0</v>
      </c>
      <c r="J21" s="40">
        <f t="shared" si="1"/>
        <v>0</v>
      </c>
    </row>
    <row r="22" spans="2:10" ht="21" customHeight="1" x14ac:dyDescent="0.3">
      <c r="B22" s="2"/>
      <c r="D22" s="10"/>
      <c r="E22" s="10"/>
      <c r="F22" s="9" t="str">
        <f>IF(Tablo1456789101112131415161718192021222361[[#This Row],[SATIŞ]]=0,"Açık",(E22-D22)*C22)</f>
        <v>Açık</v>
      </c>
      <c r="G22" s="11">
        <f>Tablo1456789101112131415161718192021222361[[#This Row],[ADET]]*Tablo1456789101112131415161718192021222361[[#This Row],[ALIŞ]]</f>
        <v>0</v>
      </c>
      <c r="H22" s="11">
        <f>Tablo1456789101112131415161718192021222361[[#This Row],[ADET]]*Tablo1456789101112131415161718192021222361[[#This Row],[SATIŞ]]</f>
        <v>0</v>
      </c>
      <c r="J22" s="40">
        <f t="shared" si="1"/>
        <v>0</v>
      </c>
    </row>
    <row r="23" spans="2:10" ht="21" customHeight="1" x14ac:dyDescent="0.3">
      <c r="B23" s="2"/>
      <c r="D23" s="10"/>
      <c r="E23" s="10"/>
      <c r="F23" s="9" t="str">
        <f>IF(Tablo1456789101112131415161718192021222361[[#This Row],[SATIŞ]]=0,"Açık",(E23-D23)*C23)</f>
        <v>Açık</v>
      </c>
      <c r="G23" s="11">
        <f>Tablo1456789101112131415161718192021222361[[#This Row],[ADET]]*Tablo1456789101112131415161718192021222361[[#This Row],[ALIŞ]]</f>
        <v>0</v>
      </c>
      <c r="H23" s="11">
        <f>Tablo1456789101112131415161718192021222361[[#This Row],[ADET]]*Tablo1456789101112131415161718192021222361[[#This Row],[SATIŞ]]</f>
        <v>0</v>
      </c>
      <c r="J23" s="40">
        <f t="shared" si="1"/>
        <v>0</v>
      </c>
    </row>
    <row r="24" spans="2:10" ht="21" customHeight="1" x14ac:dyDescent="0.3">
      <c r="B24" s="2"/>
      <c r="D24" s="10"/>
      <c r="E24" s="10"/>
      <c r="F24" s="9" t="str">
        <f>IF(Tablo1456789101112131415161718192021222361[[#This Row],[SATIŞ]]=0,"Açık",(E24-D24)*C24)</f>
        <v>Açık</v>
      </c>
      <c r="G24" s="11">
        <f>Tablo1456789101112131415161718192021222361[[#This Row],[ADET]]*Tablo1456789101112131415161718192021222361[[#This Row],[ALIŞ]]</f>
        <v>0</v>
      </c>
      <c r="H24" s="11">
        <f>Tablo1456789101112131415161718192021222361[[#This Row],[ADET]]*Tablo1456789101112131415161718192021222361[[#This Row],[SATIŞ]]</f>
        <v>0</v>
      </c>
      <c r="J24" s="40">
        <f t="shared" si="1"/>
        <v>0</v>
      </c>
    </row>
    <row r="25" spans="2:10" ht="21" customHeight="1" x14ac:dyDescent="0.3">
      <c r="J25" s="40">
        <f t="shared" si="1"/>
        <v>0</v>
      </c>
    </row>
    <row r="26" spans="2:10" ht="21" customHeight="1" x14ac:dyDescent="0.3">
      <c r="J26" s="40">
        <f t="shared" si="1"/>
        <v>0</v>
      </c>
    </row>
  </sheetData>
  <conditionalFormatting sqref="B4:F24">
    <cfRule type="expression" dxfId="116" priority="1">
      <formula>$F4&lt;0</formula>
    </cfRule>
    <cfRule type="expression" dxfId="115" priority="2">
      <formula>$F4="Açık"</formula>
    </cfRule>
    <cfRule type="expression" dxfId="114" priority="3">
      <formula>$F4&gt;0</formula>
    </cfRule>
  </conditionalFormatting>
  <hyperlinks>
    <hyperlink ref="B1" location="İcmal!A1" display="ANA SAYFA" xr:uid="{1CEB9B30-1B90-4286-8B67-128BFA574370}"/>
  </hyperlinks>
  <pageMargins left="0.7" right="0.7" top="0.75" bottom="0.75" header="0.3" footer="0.3"/>
  <tableParts count="1">
    <tablePart r:id="rId1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200E2-84F2-4C8D-8713-EF9750528117}">
  <dimension ref="B1:R22"/>
  <sheetViews>
    <sheetView showGridLines="0" showZeros="0" workbookViewId="0">
      <pane ySplit="1" topLeftCell="A11" activePane="bottomLeft" state="frozen"/>
      <selection activeCell="C23" sqref="C23"/>
      <selection pane="bottomLeft" activeCell="M4" sqref="M4"/>
    </sheetView>
  </sheetViews>
  <sheetFormatPr defaultRowHeight="21" customHeight="1" x14ac:dyDescent="0.3"/>
  <cols>
    <col min="2" max="2" width="20.6640625" style="1" customWidth="1"/>
    <col min="3" max="3" width="11.33203125" style="6" customWidth="1"/>
    <col min="4" max="5" width="12.88671875" style="3" customWidth="1"/>
    <col min="6" max="6" width="12.88671875" style="5" customWidth="1"/>
    <col min="7" max="8" width="11.33203125" bestFit="1" customWidth="1"/>
    <col min="12" max="13" width="11.33203125" bestFit="1" customWidth="1"/>
    <col min="14" max="14" width="10.33203125" bestFit="1" customWidth="1"/>
  </cols>
  <sheetData>
    <row r="1" spans="2:18" ht="21" customHeight="1" x14ac:dyDescent="0.3">
      <c r="B1" s="12" t="s">
        <v>64</v>
      </c>
      <c r="C1" s="4">
        <f>SUMIF(Tablo14567891011121314151617181920212223[KAR],"Açık",Tablo14567891011121314151617181920212223[ADET])</f>
        <v>0</v>
      </c>
      <c r="D1" s="10">
        <f>+İcmal!E33</f>
        <v>10.6</v>
      </c>
      <c r="E1" s="10">
        <f>C1*D1</f>
        <v>0</v>
      </c>
      <c r="F1" s="10" t="str">
        <f>IFERROR(((SUM(Tablo14567891011121314151617181920212223[ALIŞ TUTAR])-SUM(Tablo14567891011121314151617181920212223[SATIŞ TUTAR]))/C1),"")</f>
        <v/>
      </c>
      <c r="G1" s="10">
        <f>IF(M3=0,L3,C1*(D1-F1))</f>
        <v>898.39809999999943</v>
      </c>
      <c r="J1" s="34">
        <v>0.02</v>
      </c>
      <c r="L1" s="8" t="e">
        <f>M1*(1-$J$1)</f>
        <v>#VALUE!</v>
      </c>
      <c r="M1" s="33" t="str">
        <f>F1</f>
        <v/>
      </c>
      <c r="N1" s="8" t="e">
        <f>M1*(1+$J$1)</f>
        <v>#VALUE!</v>
      </c>
      <c r="P1" s="8">
        <f>Q1*(1-$J$1)</f>
        <v>10.388</v>
      </c>
      <c r="Q1" s="33">
        <f>+D1</f>
        <v>10.6</v>
      </c>
      <c r="R1" s="8">
        <f>Q1*(1+$J$1)</f>
        <v>10.811999999999999</v>
      </c>
    </row>
    <row r="3" spans="2:18" ht="21" customHeight="1" x14ac:dyDescent="0.3">
      <c r="B3" s="1" t="s">
        <v>0</v>
      </c>
      <c r="C3" s="6" t="s">
        <v>4</v>
      </c>
      <c r="D3" s="3" t="s">
        <v>1</v>
      </c>
      <c r="E3" s="3" t="s">
        <v>3</v>
      </c>
      <c r="F3" s="5" t="s">
        <v>2</v>
      </c>
      <c r="G3" s="3" t="s">
        <v>8</v>
      </c>
      <c r="H3" s="3" t="s">
        <v>9</v>
      </c>
      <c r="L3" s="33">
        <f>SUM(Tablo14567891011121314151617181920212223[KAR])</f>
        <v>898.39809999999943</v>
      </c>
      <c r="M3" s="37">
        <f>+C1</f>
        <v>0</v>
      </c>
    </row>
    <row r="4" spans="2:18" ht="21" customHeight="1" x14ac:dyDescent="0.3">
      <c r="B4" s="2">
        <v>45291</v>
      </c>
      <c r="C4" s="6">
        <v>445</v>
      </c>
      <c r="D4" s="10">
        <v>19.183150000000001</v>
      </c>
      <c r="E4" s="10">
        <v>19.41573</v>
      </c>
      <c r="F4" s="9">
        <f>IF(Tablo14567891011121314151617181920212223[[#This Row],[SATIŞ]]=0,"Açık",(E4-D4)*C4)</f>
        <v>103.49809999999941</v>
      </c>
      <c r="G4" s="11">
        <f>Tablo14567891011121314151617181920212223[[#This Row],[ADET]]*Tablo14567891011121314151617181920212223[[#This Row],[ALIŞ]]</f>
        <v>8536.5017500000013</v>
      </c>
      <c r="H4" s="11">
        <f>Tablo14567891011121314151617181920212223[[#This Row],[ADET]]*Tablo14567891011121314151617181920212223[[#This Row],[SATIŞ]]</f>
        <v>8639.9998500000002</v>
      </c>
      <c r="L4" s="8">
        <f>SUM(Tablo14567891011121314151617181920212223[ALIŞ TUTAR])</f>
        <v>21549.001750000003</v>
      </c>
      <c r="M4" s="8">
        <f>SUM(Tablo14567891011121314151617181920212223[SATIŞ TUTAR])</f>
        <v>22447.399850000002</v>
      </c>
      <c r="N4" s="8">
        <f>L4-M4</f>
        <v>-898.39809999999852</v>
      </c>
    </row>
    <row r="5" spans="2:18" ht="21" customHeight="1" x14ac:dyDescent="0.3">
      <c r="B5" s="2">
        <v>45329</v>
      </c>
      <c r="C5" s="6">
        <v>50</v>
      </c>
      <c r="D5" s="10">
        <v>8.2899999999999991</v>
      </c>
      <c r="E5" s="10">
        <v>8.3000000000000007</v>
      </c>
      <c r="F5" s="9">
        <f>IF(Tablo14567891011121314151617181920212223[[#This Row],[SATIŞ]]=0,"Açık",(E5-D5)*C5)</f>
        <v>0.50000000000007816</v>
      </c>
      <c r="G5" s="11">
        <f>Tablo14567891011121314151617181920212223[[#This Row],[ADET]]*Tablo14567891011121314151617181920212223[[#This Row],[ALIŞ]]</f>
        <v>414.49999999999994</v>
      </c>
      <c r="H5" s="11">
        <f>Tablo14567891011121314151617181920212223[[#This Row],[ADET]]*Tablo14567891011121314151617181920212223[[#This Row],[SATIŞ]]</f>
        <v>415.00000000000006</v>
      </c>
      <c r="N5">
        <f>+N4/80</f>
        <v>-11.229976249999982</v>
      </c>
    </row>
    <row r="6" spans="2:18" ht="21" customHeight="1" x14ac:dyDescent="0.3">
      <c r="B6" s="2">
        <v>45329</v>
      </c>
      <c r="C6" s="6">
        <v>100</v>
      </c>
      <c r="D6" s="10">
        <v>8.25</v>
      </c>
      <c r="E6" s="10">
        <v>8.4</v>
      </c>
      <c r="F6" s="9">
        <f>IF(Tablo14567891011121314151617181920212223[[#This Row],[SATIŞ]]=0,"Açık",(E6-D6)*C6)</f>
        <v>15.000000000000036</v>
      </c>
      <c r="G6" s="11">
        <f>Tablo14567891011121314151617181920212223[[#This Row],[ADET]]*Tablo14567891011121314151617181920212223[[#This Row],[ALIŞ]]</f>
        <v>825</v>
      </c>
      <c r="H6" s="11">
        <f>Tablo14567891011121314151617181920212223[[#This Row],[ADET]]*Tablo14567891011121314151617181920212223[[#This Row],[SATIŞ]]</f>
        <v>840</v>
      </c>
    </row>
    <row r="7" spans="2:18" ht="21" customHeight="1" x14ac:dyDescent="0.3">
      <c r="B7" s="2">
        <v>45329</v>
      </c>
      <c r="C7" s="6">
        <v>50</v>
      </c>
      <c r="D7" s="10">
        <v>8.1999999999999993</v>
      </c>
      <c r="E7" s="10">
        <v>8.4</v>
      </c>
      <c r="F7" s="9">
        <f>IF(Tablo14567891011121314151617181920212223[[#This Row],[SATIŞ]]=0,"Açık",(E7-D7)*C7)</f>
        <v>10.000000000000053</v>
      </c>
      <c r="G7" s="11">
        <f>Tablo14567891011121314151617181920212223[[#This Row],[ADET]]*Tablo14567891011121314151617181920212223[[#This Row],[ALIŞ]]</f>
        <v>409.99999999999994</v>
      </c>
      <c r="H7" s="11">
        <f>Tablo14567891011121314151617181920212223[[#This Row],[ADET]]*Tablo14567891011121314151617181920212223[[#This Row],[SATIŞ]]</f>
        <v>420</v>
      </c>
    </row>
    <row r="8" spans="2:18" ht="21" customHeight="1" x14ac:dyDescent="0.3">
      <c r="B8" s="2">
        <v>45331</v>
      </c>
      <c r="C8" s="6">
        <v>20</v>
      </c>
      <c r="D8" s="10">
        <v>8.1999999999999993</v>
      </c>
      <c r="E8" s="10">
        <v>8.7200000000000006</v>
      </c>
      <c r="F8" s="9">
        <f>IF(Tablo14567891011121314151617181920212223[[#This Row],[SATIŞ]]=0,"Açık",(E8-D8)*C8)</f>
        <v>10.400000000000027</v>
      </c>
      <c r="G8" s="11">
        <f>Tablo14567891011121314151617181920212223[[#This Row],[ADET]]*Tablo14567891011121314151617181920212223[[#This Row],[ALIŞ]]</f>
        <v>164</v>
      </c>
      <c r="H8" s="11">
        <f>Tablo14567891011121314151617181920212223[[#This Row],[ADET]]*Tablo14567891011121314151617181920212223[[#This Row],[SATIŞ]]</f>
        <v>174.4</v>
      </c>
    </row>
    <row r="9" spans="2:18" ht="21" customHeight="1" x14ac:dyDescent="0.3">
      <c r="B9" s="2">
        <v>45331</v>
      </c>
      <c r="C9" s="6">
        <v>60</v>
      </c>
      <c r="D9" s="10">
        <v>8.25</v>
      </c>
      <c r="E9" s="10">
        <v>8.75</v>
      </c>
      <c r="F9" s="9">
        <f>IF(Tablo14567891011121314151617181920212223[[#This Row],[SATIŞ]]=0,"Açık",(E9-D9)*C9)</f>
        <v>30</v>
      </c>
      <c r="G9" s="11">
        <f>Tablo14567891011121314151617181920212223[[#This Row],[ADET]]*Tablo14567891011121314151617181920212223[[#This Row],[ALIŞ]]</f>
        <v>495</v>
      </c>
      <c r="H9" s="11">
        <f>Tablo14567891011121314151617181920212223[[#This Row],[ADET]]*Tablo14567891011121314151617181920212223[[#This Row],[SATIŞ]]</f>
        <v>525</v>
      </c>
    </row>
    <row r="10" spans="2:18" ht="21" customHeight="1" x14ac:dyDescent="0.3">
      <c r="B10" s="2">
        <v>45331</v>
      </c>
      <c r="C10" s="6">
        <v>40</v>
      </c>
      <c r="D10" s="10">
        <v>8.25</v>
      </c>
      <c r="E10" s="10">
        <v>8.6</v>
      </c>
      <c r="F10" s="9">
        <f>IF(Tablo14567891011121314151617181920212223[[#This Row],[SATIŞ]]=0,"Açık",(E10-D10)*C10)</f>
        <v>13.999999999999986</v>
      </c>
      <c r="G10" s="11">
        <f>Tablo14567891011121314151617181920212223[[#This Row],[ADET]]*Tablo14567891011121314151617181920212223[[#This Row],[ALIŞ]]</f>
        <v>330</v>
      </c>
      <c r="H10" s="11">
        <f>Tablo14567891011121314151617181920212223[[#This Row],[ADET]]*Tablo14567891011121314151617181920212223[[#This Row],[SATIŞ]]</f>
        <v>344</v>
      </c>
    </row>
    <row r="11" spans="2:18" ht="21" customHeight="1" x14ac:dyDescent="0.3">
      <c r="B11" s="2">
        <v>45331</v>
      </c>
      <c r="C11" s="6">
        <v>50</v>
      </c>
      <c r="D11" s="10">
        <v>8.1999999999999993</v>
      </c>
      <c r="E11" s="10">
        <v>8.6999999999999993</v>
      </c>
      <c r="F11" s="9">
        <f>IF(Tablo14567891011121314151617181920212223[[#This Row],[SATIŞ]]=0,"Açık",(E11-D11)*C11)</f>
        <v>25</v>
      </c>
      <c r="G11" s="11">
        <f>Tablo14567891011121314151617181920212223[[#This Row],[ADET]]*Tablo14567891011121314151617181920212223[[#This Row],[ALIŞ]]</f>
        <v>409.99999999999994</v>
      </c>
      <c r="H11" s="11">
        <f>Tablo14567891011121314151617181920212223[[#This Row],[ADET]]*Tablo14567891011121314151617181920212223[[#This Row],[SATIŞ]]</f>
        <v>434.99999999999994</v>
      </c>
    </row>
    <row r="12" spans="2:18" ht="21" customHeight="1" x14ac:dyDescent="0.3">
      <c r="B12" s="2">
        <v>45331</v>
      </c>
      <c r="C12" s="6">
        <v>30</v>
      </c>
      <c r="D12" s="10">
        <v>8.1999999999999993</v>
      </c>
      <c r="E12" s="10">
        <v>9</v>
      </c>
      <c r="F12" s="9">
        <f>IF(Tablo14567891011121314151617181920212223[[#This Row],[SATIŞ]]=0,"Açık",(E12-D12)*C12)</f>
        <v>24.000000000000021</v>
      </c>
      <c r="G12" s="11">
        <f>Tablo14567891011121314151617181920212223[[#This Row],[ADET]]*Tablo14567891011121314151617181920212223[[#This Row],[ALIŞ]]</f>
        <v>245.99999999999997</v>
      </c>
      <c r="H12" s="11">
        <f>Tablo14567891011121314151617181920212223[[#This Row],[ADET]]*Tablo14567891011121314151617181920212223[[#This Row],[SATIŞ]]</f>
        <v>270</v>
      </c>
    </row>
    <row r="13" spans="2:18" ht="21" customHeight="1" x14ac:dyDescent="0.3">
      <c r="B13" s="2">
        <v>45334</v>
      </c>
      <c r="C13" s="6">
        <v>40</v>
      </c>
      <c r="D13" s="10">
        <v>8.5</v>
      </c>
      <c r="E13" s="10">
        <v>8.6</v>
      </c>
      <c r="F13" s="9">
        <f>IF(Tablo14567891011121314151617181920212223[[#This Row],[SATIŞ]]=0,"Açık",(E13-D13)*C13)</f>
        <v>3.9999999999999858</v>
      </c>
      <c r="G13" s="11">
        <f>Tablo14567891011121314151617181920212223[[#This Row],[ADET]]*Tablo14567891011121314151617181920212223[[#This Row],[ALIŞ]]</f>
        <v>340</v>
      </c>
      <c r="H13" s="11">
        <f>Tablo14567891011121314151617181920212223[[#This Row],[ADET]]*Tablo14567891011121314151617181920212223[[#This Row],[SATIŞ]]</f>
        <v>344</v>
      </c>
    </row>
    <row r="14" spans="2:18" ht="21" customHeight="1" x14ac:dyDescent="0.3">
      <c r="B14" s="2">
        <v>45334</v>
      </c>
      <c r="C14" s="6">
        <v>90</v>
      </c>
      <c r="D14" s="10">
        <v>8.4</v>
      </c>
      <c r="E14" s="10">
        <v>9</v>
      </c>
      <c r="F14" s="9">
        <f>IF(Tablo14567891011121314151617181920212223[[#This Row],[SATIŞ]]=0,"Açık",(E14-D14)*C14)</f>
        <v>53.999999999999972</v>
      </c>
      <c r="G14" s="11">
        <f>Tablo14567891011121314151617181920212223[[#This Row],[ADET]]*Tablo14567891011121314151617181920212223[[#This Row],[ALIŞ]]</f>
        <v>756</v>
      </c>
      <c r="H14" s="11">
        <f>Tablo14567891011121314151617181920212223[[#This Row],[ADET]]*Tablo14567891011121314151617181920212223[[#This Row],[SATIŞ]]</f>
        <v>810</v>
      </c>
    </row>
    <row r="15" spans="2:18" ht="21" customHeight="1" x14ac:dyDescent="0.3">
      <c r="B15" s="2">
        <v>45335</v>
      </c>
      <c r="C15" s="6">
        <v>40</v>
      </c>
      <c r="D15" s="10">
        <v>8.4</v>
      </c>
      <c r="E15" s="10">
        <v>9</v>
      </c>
      <c r="F15" s="9">
        <f>IF(Tablo14567891011121314151617181920212223[[#This Row],[SATIŞ]]=0,"Açık",(E15-D15)*C15)</f>
        <v>23.999999999999986</v>
      </c>
      <c r="G15" s="11">
        <f>Tablo14567891011121314151617181920212223[[#This Row],[ADET]]*Tablo14567891011121314151617181920212223[[#This Row],[ALIŞ]]</f>
        <v>336</v>
      </c>
      <c r="H15" s="11">
        <f>Tablo14567891011121314151617181920212223[[#This Row],[ADET]]*Tablo14567891011121314151617181920212223[[#This Row],[SATIŞ]]</f>
        <v>360</v>
      </c>
    </row>
    <row r="16" spans="2:18" ht="21" customHeight="1" x14ac:dyDescent="0.3">
      <c r="B16" s="2">
        <v>45335</v>
      </c>
      <c r="C16" s="6">
        <v>50</v>
      </c>
      <c r="D16" s="10">
        <v>8.4</v>
      </c>
      <c r="E16" s="10">
        <v>8.9499999999999993</v>
      </c>
      <c r="F16" s="9">
        <f>IF(Tablo14567891011121314151617181920212223[[#This Row],[SATIŞ]]=0,"Açık",(E16-D16)*C16)</f>
        <v>27.499999999999947</v>
      </c>
      <c r="G16" s="11">
        <f>Tablo14567891011121314151617181920212223[[#This Row],[ADET]]*Tablo14567891011121314151617181920212223[[#This Row],[ALIŞ]]</f>
        <v>420</v>
      </c>
      <c r="H16" s="11">
        <f>Tablo14567891011121314151617181920212223[[#This Row],[ADET]]*Tablo14567891011121314151617181920212223[[#This Row],[SATIŞ]]</f>
        <v>447.49999999999994</v>
      </c>
    </row>
    <row r="17" spans="2:8" ht="21" customHeight="1" x14ac:dyDescent="0.3">
      <c r="B17" s="2">
        <v>45336</v>
      </c>
      <c r="C17" s="6">
        <v>100</v>
      </c>
      <c r="D17" s="10">
        <v>8.3000000000000007</v>
      </c>
      <c r="E17" s="10">
        <v>8.9</v>
      </c>
      <c r="F17" s="9">
        <f>IF(Tablo14567891011121314151617181920212223[[#This Row],[SATIŞ]]=0,"Açık",(E17-D17)*C17)</f>
        <v>59.999999999999964</v>
      </c>
      <c r="G17" s="11">
        <f>Tablo14567891011121314151617181920212223[[#This Row],[ADET]]*Tablo14567891011121314151617181920212223[[#This Row],[ALIŞ]]</f>
        <v>830.00000000000011</v>
      </c>
      <c r="H17" s="11">
        <f>Tablo14567891011121314151617181920212223[[#This Row],[ADET]]*Tablo14567891011121314151617181920212223[[#This Row],[SATIŞ]]</f>
        <v>890</v>
      </c>
    </row>
    <row r="18" spans="2:8" ht="21" customHeight="1" x14ac:dyDescent="0.3">
      <c r="B18" s="2">
        <v>45336</v>
      </c>
      <c r="C18" s="6">
        <v>50</v>
      </c>
      <c r="D18" s="10">
        <v>8.4499999999999993</v>
      </c>
      <c r="E18" s="10">
        <v>8.9499999999999993</v>
      </c>
      <c r="F18" s="9">
        <f>IF(Tablo14567891011121314151617181920212223[[#This Row],[SATIŞ]]=0,"Açık",(E18-D18)*C18)</f>
        <v>25</v>
      </c>
      <c r="G18" s="11">
        <f>Tablo14567891011121314151617181920212223[[#This Row],[ADET]]*Tablo14567891011121314151617181920212223[[#This Row],[ALIŞ]]</f>
        <v>422.49999999999994</v>
      </c>
      <c r="H18" s="11">
        <f>Tablo14567891011121314151617181920212223[[#This Row],[ADET]]*Tablo14567891011121314151617181920212223[[#This Row],[SATIŞ]]</f>
        <v>447.49999999999994</v>
      </c>
    </row>
    <row r="19" spans="2:8" ht="21" customHeight="1" x14ac:dyDescent="0.3">
      <c r="B19" s="2">
        <v>45338</v>
      </c>
      <c r="C19" s="6">
        <v>150</v>
      </c>
      <c r="D19" s="10">
        <v>8.69</v>
      </c>
      <c r="E19" s="10">
        <v>8.9</v>
      </c>
      <c r="F19" s="9">
        <f>IF(Tablo14567891011121314151617181920212223[[#This Row],[SATIŞ]]=0,"Açık",(E19-D19)*C19)</f>
        <v>31.500000000000128</v>
      </c>
      <c r="G19" s="11">
        <f>Tablo14567891011121314151617181920212223[[#This Row],[ADET]]*Tablo14567891011121314151617181920212223[[#This Row],[ALIŞ]]</f>
        <v>1303.5</v>
      </c>
      <c r="H19" s="11">
        <f>Tablo14567891011121314151617181920212223[[#This Row],[ADET]]*Tablo14567891011121314151617181920212223[[#This Row],[SATIŞ]]</f>
        <v>1335</v>
      </c>
    </row>
    <row r="20" spans="2:8" ht="21" customHeight="1" x14ac:dyDescent="0.3">
      <c r="B20" s="2">
        <v>45338</v>
      </c>
      <c r="C20" s="6">
        <v>250</v>
      </c>
      <c r="D20" s="10">
        <v>8.69</v>
      </c>
      <c r="E20" s="10">
        <v>9.1</v>
      </c>
      <c r="F20" s="9">
        <f>IF(Tablo14567891011121314151617181920212223[[#This Row],[SATIŞ]]=0,"Açık",(E20-D20)*C20)</f>
        <v>102.50000000000003</v>
      </c>
      <c r="G20" s="11">
        <f>Tablo14567891011121314151617181920212223[[#This Row],[ADET]]*Tablo14567891011121314151617181920212223[[#This Row],[ALIŞ]]</f>
        <v>2172.5</v>
      </c>
      <c r="H20" s="11">
        <f>Tablo14567891011121314151617181920212223[[#This Row],[ADET]]*Tablo14567891011121314151617181920212223[[#This Row],[SATIŞ]]</f>
        <v>2275</v>
      </c>
    </row>
    <row r="21" spans="2:8" ht="21" customHeight="1" x14ac:dyDescent="0.3">
      <c r="B21" s="2">
        <v>45341</v>
      </c>
      <c r="C21" s="6">
        <v>250</v>
      </c>
      <c r="D21" s="10">
        <v>8.5500000000000007</v>
      </c>
      <c r="E21" s="10">
        <v>9.5</v>
      </c>
      <c r="F21" s="9">
        <f>IF(Tablo14567891011121314151617181920212223[[#This Row],[SATIŞ]]=0,"Açık",(E21-D21)*C21)</f>
        <v>237.49999999999983</v>
      </c>
      <c r="G21" s="11">
        <f>Tablo14567891011121314151617181920212223[[#This Row],[ADET]]*Tablo14567891011121314151617181920212223[[#This Row],[ALIŞ]]</f>
        <v>2137.5</v>
      </c>
      <c r="H21" s="11">
        <f>Tablo14567891011121314151617181920212223[[#This Row],[ADET]]*Tablo14567891011121314151617181920212223[[#This Row],[SATIŞ]]</f>
        <v>2375</v>
      </c>
    </row>
    <row r="22" spans="2:8" ht="21" customHeight="1" x14ac:dyDescent="0.3">
      <c r="B22" s="2">
        <v>45355</v>
      </c>
      <c r="C22" s="6">
        <v>100</v>
      </c>
      <c r="D22" s="10">
        <v>10</v>
      </c>
      <c r="E22" s="10">
        <v>11</v>
      </c>
      <c r="F22" s="9">
        <f>IF(Tablo14567891011121314151617181920212223[[#This Row],[SATIŞ]]=0,"Açık",(E22-D22)*C22)</f>
        <v>100</v>
      </c>
      <c r="G22" s="11">
        <f>Tablo14567891011121314151617181920212223[[#This Row],[ADET]]*Tablo14567891011121314151617181920212223[[#This Row],[ALIŞ]]</f>
        <v>1000</v>
      </c>
      <c r="H22" s="11">
        <f>Tablo14567891011121314151617181920212223[[#This Row],[ADET]]*Tablo14567891011121314151617181920212223[[#This Row],[SATIŞ]]</f>
        <v>1100</v>
      </c>
    </row>
  </sheetData>
  <conditionalFormatting sqref="B4:F22">
    <cfRule type="expression" dxfId="113" priority="1">
      <formula>$F4&lt;0</formula>
    </cfRule>
    <cfRule type="expression" dxfId="112" priority="2">
      <formula>$F4="Açık"</formula>
    </cfRule>
    <cfRule type="expression" dxfId="111" priority="3">
      <formula>$F4&gt;0</formula>
    </cfRule>
  </conditionalFormatting>
  <hyperlinks>
    <hyperlink ref="B1" location="İcmal!A1" display="ANA SAYFA" xr:uid="{8DA5787A-5F90-4502-BDFD-5185EE53C9F9}"/>
  </hyperlinks>
  <pageMargins left="0.7" right="0.7" top="0.75" bottom="0.75" header="0.3" footer="0.3"/>
  <tableParts count="1">
    <tablePart r:id="rId1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BF593-F0EC-47E0-B7C2-0DF61CFB7F2E}">
  <dimension ref="B1:R32"/>
  <sheetViews>
    <sheetView showGridLines="0" showZeros="0" zoomScale="110" zoomScaleNormal="110" workbookViewId="0">
      <pane ySplit="3" topLeftCell="A16" activePane="bottomLeft" state="frozen"/>
      <selection pane="bottomLeft" activeCell="E30" sqref="E30"/>
    </sheetView>
  </sheetViews>
  <sheetFormatPr defaultRowHeight="21" customHeight="1" x14ac:dyDescent="0.3"/>
  <cols>
    <col min="2" max="2" width="20.6640625" style="1" customWidth="1"/>
    <col min="3" max="3" width="11.33203125" style="6" customWidth="1"/>
    <col min="4" max="5" width="12.88671875" style="3" customWidth="1"/>
    <col min="6" max="6" width="12.88671875" style="5" customWidth="1"/>
    <col min="7" max="8" width="11.44140625" bestFit="1" customWidth="1"/>
    <col min="10" max="12" width="12.44140625" customWidth="1"/>
    <col min="13" max="13" width="11.6640625" bestFit="1" customWidth="1"/>
    <col min="14" max="14" width="10.6640625" bestFit="1" customWidth="1"/>
  </cols>
  <sheetData>
    <row r="1" spans="2:18" ht="21" customHeight="1" x14ac:dyDescent="0.3">
      <c r="B1" s="12" t="s">
        <v>64</v>
      </c>
      <c r="C1" s="4">
        <f>SUMIF(Tablo1456789101112131415161718192021222324[KAR],"Açık",Tablo1456789101112131415161718192021222324[ADET])</f>
        <v>90</v>
      </c>
      <c r="D1" s="10">
        <f>+İcmal!E34</f>
        <v>110.6</v>
      </c>
      <c r="E1" s="10">
        <f>C1*D1</f>
        <v>9954</v>
      </c>
      <c r="F1" s="10">
        <f>IFERROR(((SUM(Tablo1456789101112131415161718192021222324[ALIŞ TUTAR])-SUM(Tablo1456789101112131415161718192021222324[SATIŞ TUTAR]))/C1),"")</f>
        <v>119.55555555555556</v>
      </c>
      <c r="G1" s="10">
        <f>IF(M3=0,L3,C1*(D1-F1))</f>
        <v>-806.00000000000068</v>
      </c>
      <c r="J1" s="45" t="s">
        <v>94</v>
      </c>
      <c r="K1" s="45" t="s">
        <v>95</v>
      </c>
      <c r="L1" s="45" t="s">
        <v>96</v>
      </c>
      <c r="M1" s="33">
        <f>F1</f>
        <v>119.55555555555556</v>
      </c>
      <c r="N1" s="8" t="e">
        <f>M1*(1+$J$1)</f>
        <v>#VALUE!</v>
      </c>
      <c r="P1" s="8" t="e">
        <f>Q1*(1-$J$1)</f>
        <v>#VALUE!</v>
      </c>
      <c r="Q1" s="33">
        <f>+D1</f>
        <v>110.6</v>
      </c>
      <c r="R1" s="8" t="e">
        <f>Q1*(1+$J$1)</f>
        <v>#VALUE!</v>
      </c>
    </row>
    <row r="2" spans="2:18" ht="21" customHeight="1" x14ac:dyDescent="0.3">
      <c r="B2" s="7" t="s">
        <v>33</v>
      </c>
      <c r="J2" s="45">
        <f>SUMIFS(Tablo2[HEDEF2],Tablo2[HİSSE],B2)</f>
        <v>1</v>
      </c>
      <c r="K2" s="45">
        <f>+E1/İcmal!$P$2</f>
        <v>305.99446664617273</v>
      </c>
      <c r="L2" s="45">
        <f>+J2-K2</f>
        <v>-304.99446664617273</v>
      </c>
    </row>
    <row r="3" spans="2:18" ht="21" customHeight="1" x14ac:dyDescent="0.3">
      <c r="B3" s="1" t="s">
        <v>0</v>
      </c>
      <c r="C3" s="6" t="s">
        <v>4</v>
      </c>
      <c r="D3" s="3" t="s">
        <v>1</v>
      </c>
      <c r="E3" s="3" t="s">
        <v>3</v>
      </c>
      <c r="F3" s="5" t="s">
        <v>2</v>
      </c>
      <c r="G3" s="3" t="s">
        <v>8</v>
      </c>
      <c r="H3" s="3" t="s">
        <v>9</v>
      </c>
      <c r="L3" s="33">
        <f>SUM(Tablo1456789101112131415161718192021222324[KAR])</f>
        <v>1875</v>
      </c>
      <c r="M3" s="37">
        <f>+C1</f>
        <v>90</v>
      </c>
    </row>
    <row r="4" spans="2:18" ht="21" hidden="1" customHeight="1" x14ac:dyDescent="0.3">
      <c r="B4" s="2">
        <v>45322</v>
      </c>
      <c r="C4" s="6">
        <v>5</v>
      </c>
      <c r="D4" s="10">
        <v>151</v>
      </c>
      <c r="E4" s="10">
        <v>170</v>
      </c>
      <c r="F4" s="9">
        <f>IF(Tablo1456789101112131415161718192021222324[[#This Row],[SATIŞ]]=0,"Açık",(E4-D4)*C4)</f>
        <v>95</v>
      </c>
      <c r="G4" s="11">
        <f>Tablo1456789101112131415161718192021222324[[#This Row],[ADET]]*Tablo1456789101112131415161718192021222324[[#This Row],[ALIŞ]]</f>
        <v>755</v>
      </c>
      <c r="H4" s="11">
        <f>Tablo1456789101112131415161718192021222324[[#This Row],[ADET]]*Tablo1456789101112131415161718192021222324[[#This Row],[SATIŞ]]</f>
        <v>850</v>
      </c>
      <c r="J4" s="40" t="str">
        <f t="shared" ref="J4:J32" si="0">IF(E4=0,D4*1.05,"")</f>
        <v/>
      </c>
      <c r="L4" s="8">
        <f>SUM(Tablo1456789101112131415161718192021222324[ALIŞ TUTAR])</f>
        <v>33756</v>
      </c>
      <c r="M4" s="8">
        <f>SUM(Tablo1456789101112131415161718192021222324[SATIŞ TUTAR])</f>
        <v>22996</v>
      </c>
      <c r="N4" s="8">
        <f>L4-M4</f>
        <v>10760</v>
      </c>
    </row>
    <row r="5" spans="2:18" ht="21" hidden="1" customHeight="1" x14ac:dyDescent="0.3">
      <c r="B5" s="2">
        <v>45323</v>
      </c>
      <c r="C5" s="6">
        <v>10</v>
      </c>
      <c r="D5" s="10">
        <v>136</v>
      </c>
      <c r="E5" s="10">
        <v>155</v>
      </c>
      <c r="F5" s="9">
        <f>IF(Tablo1456789101112131415161718192021222324[[#This Row],[SATIŞ]]=0,"Açık",(E5-D5)*C5)</f>
        <v>190</v>
      </c>
      <c r="G5" s="11">
        <f>Tablo1456789101112131415161718192021222324[[#This Row],[ADET]]*Tablo1456789101112131415161718192021222324[[#This Row],[ALIŞ]]</f>
        <v>1360</v>
      </c>
      <c r="H5" s="11">
        <f>Tablo1456789101112131415161718192021222324[[#This Row],[ADET]]*Tablo1456789101112131415161718192021222324[[#This Row],[SATIŞ]]</f>
        <v>1550</v>
      </c>
      <c r="J5" s="40" t="str">
        <f t="shared" si="0"/>
        <v/>
      </c>
      <c r="N5">
        <f>+N4/80</f>
        <v>134.5</v>
      </c>
    </row>
    <row r="6" spans="2:18" ht="21" hidden="1" customHeight="1" x14ac:dyDescent="0.3">
      <c r="B6" s="2">
        <v>45324</v>
      </c>
      <c r="C6" s="6">
        <v>5</v>
      </c>
      <c r="D6" s="10">
        <v>122.4</v>
      </c>
      <c r="E6" s="10">
        <v>150</v>
      </c>
      <c r="F6" s="9">
        <f>IF(Tablo1456789101112131415161718192021222324[[#This Row],[SATIŞ]]=0,"Açık",(E6-D6)*C6)</f>
        <v>137.99999999999997</v>
      </c>
      <c r="G6" s="11">
        <f>Tablo1456789101112131415161718192021222324[[#This Row],[ADET]]*Tablo1456789101112131415161718192021222324[[#This Row],[ALIŞ]]</f>
        <v>612</v>
      </c>
      <c r="H6" s="11">
        <f>Tablo1456789101112131415161718192021222324[[#This Row],[ADET]]*Tablo1456789101112131415161718192021222324[[#This Row],[SATIŞ]]</f>
        <v>750</v>
      </c>
      <c r="J6" s="40" t="str">
        <f t="shared" si="0"/>
        <v/>
      </c>
    </row>
    <row r="7" spans="2:18" ht="21" hidden="1" customHeight="1" x14ac:dyDescent="0.3">
      <c r="B7" s="2">
        <v>45324</v>
      </c>
      <c r="C7" s="6">
        <v>5</v>
      </c>
      <c r="D7" s="10">
        <v>122.4</v>
      </c>
      <c r="E7" s="10">
        <v>134.6</v>
      </c>
      <c r="F7" s="9">
        <f>IF(Tablo1456789101112131415161718192021222324[[#This Row],[SATIŞ]]=0,"Açık",(E7-D7)*C7)</f>
        <v>60.999999999999943</v>
      </c>
      <c r="G7" s="11">
        <f>Tablo1456789101112131415161718192021222324[[#This Row],[ADET]]*Tablo1456789101112131415161718192021222324[[#This Row],[ALIŞ]]</f>
        <v>612</v>
      </c>
      <c r="H7" s="11">
        <f>Tablo1456789101112131415161718192021222324[[#This Row],[ADET]]*Tablo1456789101112131415161718192021222324[[#This Row],[SATIŞ]]</f>
        <v>673</v>
      </c>
      <c r="J7" s="40" t="str">
        <f t="shared" si="0"/>
        <v/>
      </c>
    </row>
    <row r="8" spans="2:18" ht="21" hidden="1" customHeight="1" x14ac:dyDescent="0.3">
      <c r="B8" s="2">
        <v>45324</v>
      </c>
      <c r="C8" s="6">
        <v>5</v>
      </c>
      <c r="D8" s="10">
        <v>122.4</v>
      </c>
      <c r="E8" s="10">
        <v>148</v>
      </c>
      <c r="F8" s="9">
        <f>IF(Tablo1456789101112131415161718192021222324[[#This Row],[SATIŞ]]=0,"Açık",(E8-D8)*C8)</f>
        <v>127.99999999999997</v>
      </c>
      <c r="G8" s="11">
        <f>Tablo1456789101112131415161718192021222324[[#This Row],[ADET]]*Tablo1456789101112131415161718192021222324[[#This Row],[ALIŞ]]</f>
        <v>612</v>
      </c>
      <c r="H8" s="11">
        <f>Tablo1456789101112131415161718192021222324[[#This Row],[ADET]]*Tablo1456789101112131415161718192021222324[[#This Row],[SATIŞ]]</f>
        <v>740</v>
      </c>
      <c r="J8" s="40" t="str">
        <f t="shared" si="0"/>
        <v/>
      </c>
    </row>
    <row r="9" spans="2:18" ht="21" hidden="1" customHeight="1" x14ac:dyDescent="0.3">
      <c r="B9" s="2">
        <v>45330</v>
      </c>
      <c r="C9" s="6">
        <v>5</v>
      </c>
      <c r="D9" s="10">
        <v>140</v>
      </c>
      <c r="E9" s="10">
        <v>170</v>
      </c>
      <c r="F9" s="9">
        <f>IF(Tablo1456789101112131415161718192021222324[[#This Row],[SATIŞ]]=0,"Açık",(E9-D9)*C9)</f>
        <v>150</v>
      </c>
      <c r="G9" s="11">
        <f>Tablo1456789101112131415161718192021222324[[#This Row],[ADET]]*Tablo1456789101112131415161718192021222324[[#This Row],[ALIŞ]]</f>
        <v>700</v>
      </c>
      <c r="H9" s="11">
        <f>Tablo1456789101112131415161718192021222324[[#This Row],[ADET]]*Tablo1456789101112131415161718192021222324[[#This Row],[SATIŞ]]</f>
        <v>850</v>
      </c>
      <c r="J9" s="40" t="str">
        <f t="shared" si="0"/>
        <v/>
      </c>
    </row>
    <row r="10" spans="2:18" ht="21" hidden="1" customHeight="1" x14ac:dyDescent="0.3">
      <c r="B10" s="2">
        <v>45331</v>
      </c>
      <c r="C10" s="6">
        <v>5</v>
      </c>
      <c r="D10" s="10">
        <v>140</v>
      </c>
      <c r="E10" s="10">
        <v>145</v>
      </c>
      <c r="F10" s="9">
        <f>IF(Tablo1456789101112131415161718192021222324[[#This Row],[SATIŞ]]=0,"Açık",(E10-D10)*C10)</f>
        <v>25</v>
      </c>
      <c r="G10" s="11">
        <f>Tablo1456789101112131415161718192021222324[[#This Row],[ADET]]*Tablo1456789101112131415161718192021222324[[#This Row],[ALIŞ]]</f>
        <v>700</v>
      </c>
      <c r="H10" s="11">
        <f>Tablo1456789101112131415161718192021222324[[#This Row],[ADET]]*Tablo1456789101112131415161718192021222324[[#This Row],[SATIŞ]]</f>
        <v>725</v>
      </c>
      <c r="J10" s="40" t="str">
        <f t="shared" si="0"/>
        <v/>
      </c>
    </row>
    <row r="11" spans="2:18" ht="21" hidden="1" customHeight="1" x14ac:dyDescent="0.3">
      <c r="B11" s="2">
        <v>45335</v>
      </c>
      <c r="C11" s="6">
        <v>10</v>
      </c>
      <c r="D11" s="10">
        <v>140</v>
      </c>
      <c r="E11" s="10">
        <v>145</v>
      </c>
      <c r="F11" s="9">
        <f>IF(Tablo1456789101112131415161718192021222324[[#This Row],[SATIŞ]]=0,"Açık",(E11-D11)*C11)</f>
        <v>50</v>
      </c>
      <c r="G11" s="11">
        <f>Tablo1456789101112131415161718192021222324[[#This Row],[ADET]]*Tablo1456789101112131415161718192021222324[[#This Row],[ALIŞ]]</f>
        <v>1400</v>
      </c>
      <c r="H11" s="11">
        <f>Tablo1456789101112131415161718192021222324[[#This Row],[ADET]]*Tablo1456789101112131415161718192021222324[[#This Row],[SATIŞ]]</f>
        <v>1450</v>
      </c>
      <c r="J11" s="40" t="str">
        <f t="shared" si="0"/>
        <v/>
      </c>
    </row>
    <row r="12" spans="2:18" ht="21" hidden="1" customHeight="1" x14ac:dyDescent="0.3">
      <c r="B12" s="2">
        <v>45335</v>
      </c>
      <c r="C12" s="6">
        <v>5</v>
      </c>
      <c r="D12" s="10">
        <v>135</v>
      </c>
      <c r="E12" s="10">
        <v>140</v>
      </c>
      <c r="F12" s="9">
        <f>IF(Tablo1456789101112131415161718192021222324[[#This Row],[SATIŞ]]=0,"Açık",(E12-D12)*C12)</f>
        <v>25</v>
      </c>
      <c r="G12" s="11">
        <f>Tablo1456789101112131415161718192021222324[[#This Row],[ADET]]*Tablo1456789101112131415161718192021222324[[#This Row],[ALIŞ]]</f>
        <v>675</v>
      </c>
      <c r="H12" s="11">
        <f>Tablo1456789101112131415161718192021222324[[#This Row],[ADET]]*Tablo1456789101112131415161718192021222324[[#This Row],[SATIŞ]]</f>
        <v>700</v>
      </c>
      <c r="J12" s="40" t="str">
        <f t="shared" si="0"/>
        <v/>
      </c>
    </row>
    <row r="13" spans="2:18" ht="21" hidden="1" customHeight="1" x14ac:dyDescent="0.3">
      <c r="B13" s="2">
        <v>45335</v>
      </c>
      <c r="C13" s="6">
        <v>10</v>
      </c>
      <c r="D13" s="10">
        <v>135</v>
      </c>
      <c r="E13" s="10">
        <v>145</v>
      </c>
      <c r="F13" s="9">
        <f>IF(Tablo1456789101112131415161718192021222324[[#This Row],[SATIŞ]]=0,"Açık",(E13-D13)*C13)</f>
        <v>100</v>
      </c>
      <c r="G13" s="11">
        <f>Tablo1456789101112131415161718192021222324[[#This Row],[ADET]]*Tablo1456789101112131415161718192021222324[[#This Row],[ALIŞ]]</f>
        <v>1350</v>
      </c>
      <c r="H13" s="11">
        <f>Tablo1456789101112131415161718192021222324[[#This Row],[ADET]]*Tablo1456789101112131415161718192021222324[[#This Row],[SATIŞ]]</f>
        <v>1450</v>
      </c>
      <c r="J13" s="40" t="str">
        <f t="shared" si="0"/>
        <v/>
      </c>
    </row>
    <row r="14" spans="2:18" ht="21" hidden="1" customHeight="1" x14ac:dyDescent="0.3">
      <c r="B14" s="2">
        <v>45336</v>
      </c>
      <c r="C14" s="6">
        <v>5</v>
      </c>
      <c r="D14" s="10">
        <v>130</v>
      </c>
      <c r="E14" s="10">
        <v>135</v>
      </c>
      <c r="F14" s="9">
        <f>IF(Tablo1456789101112131415161718192021222324[[#This Row],[SATIŞ]]=0,"Açık",(E14-D14)*C14)</f>
        <v>25</v>
      </c>
      <c r="G14" s="11">
        <f>Tablo1456789101112131415161718192021222324[[#This Row],[ADET]]*Tablo1456789101112131415161718192021222324[[#This Row],[ALIŞ]]</f>
        <v>650</v>
      </c>
      <c r="H14" s="11">
        <f>Tablo1456789101112131415161718192021222324[[#This Row],[ADET]]*Tablo1456789101112131415161718192021222324[[#This Row],[SATIŞ]]</f>
        <v>675</v>
      </c>
      <c r="J14" s="40" t="str">
        <f t="shared" si="0"/>
        <v/>
      </c>
    </row>
    <row r="15" spans="2:18" ht="21" hidden="1" customHeight="1" x14ac:dyDescent="0.3">
      <c r="B15" s="2">
        <v>45336</v>
      </c>
      <c r="C15" s="6">
        <v>10</v>
      </c>
      <c r="D15" s="10">
        <v>130</v>
      </c>
      <c r="E15" s="10">
        <v>180</v>
      </c>
      <c r="F15" s="9">
        <f>IF(Tablo1456789101112131415161718192021222324[[#This Row],[SATIŞ]]=0,"Açık",(E15-D15)*C15)</f>
        <v>500</v>
      </c>
      <c r="G15" s="11">
        <f>Tablo1456789101112131415161718192021222324[[#This Row],[ADET]]*Tablo1456789101112131415161718192021222324[[#This Row],[ALIŞ]]</f>
        <v>1300</v>
      </c>
      <c r="H15" s="11">
        <f>Tablo1456789101112131415161718192021222324[[#This Row],[ADET]]*Tablo1456789101112131415161718192021222324[[#This Row],[SATIŞ]]</f>
        <v>1800</v>
      </c>
      <c r="J15" s="40" t="str">
        <f t="shared" si="0"/>
        <v/>
      </c>
    </row>
    <row r="16" spans="2:18" ht="21" customHeight="1" x14ac:dyDescent="0.3">
      <c r="B16" s="2">
        <v>45352</v>
      </c>
      <c r="C16" s="6">
        <v>10</v>
      </c>
      <c r="D16" s="10">
        <v>165</v>
      </c>
      <c r="E16" s="10"/>
      <c r="F16" s="9" t="str">
        <f>IF(Tablo1456789101112131415161718192021222324[[#This Row],[SATIŞ]]=0,"Açık",(E16-D16)*C16)</f>
        <v>Açık</v>
      </c>
      <c r="G16" s="11">
        <f>Tablo1456789101112131415161718192021222324[[#This Row],[ADET]]*Tablo1456789101112131415161718192021222324[[#This Row],[ALIŞ]]</f>
        <v>1650</v>
      </c>
      <c r="H16" s="11">
        <f>Tablo1456789101112131415161718192021222324[[#This Row],[ADET]]*Tablo1456789101112131415161718192021222324[[#This Row],[SATIŞ]]</f>
        <v>0</v>
      </c>
      <c r="J16" s="40">
        <f t="shared" si="0"/>
        <v>173.25</v>
      </c>
    </row>
    <row r="17" spans="2:10" ht="21" customHeight="1" x14ac:dyDescent="0.3">
      <c r="B17" s="2">
        <v>45352</v>
      </c>
      <c r="C17" s="6">
        <v>20</v>
      </c>
      <c r="D17" s="10">
        <v>156.69999999999999</v>
      </c>
      <c r="E17" s="10"/>
      <c r="F17" s="9" t="str">
        <f>IF(Tablo1456789101112131415161718192021222324[[#This Row],[SATIŞ]]=0,"Açık",(E17-D17)*C17)</f>
        <v>Açık</v>
      </c>
      <c r="G17" s="11">
        <f>Tablo1456789101112131415161718192021222324[[#This Row],[ADET]]*Tablo1456789101112131415161718192021222324[[#This Row],[ALIŞ]]</f>
        <v>3134</v>
      </c>
      <c r="H17" s="11">
        <f>Tablo1456789101112131415161718192021222324[[#This Row],[ADET]]*Tablo1456789101112131415161718192021222324[[#This Row],[SATIŞ]]</f>
        <v>0</v>
      </c>
      <c r="J17" s="40">
        <f t="shared" si="0"/>
        <v>164.535</v>
      </c>
    </row>
    <row r="18" spans="2:10" ht="21" hidden="1" customHeight="1" x14ac:dyDescent="0.3">
      <c r="B18" s="2">
        <v>45355</v>
      </c>
      <c r="C18" s="6">
        <v>10</v>
      </c>
      <c r="D18" s="10">
        <v>148</v>
      </c>
      <c r="E18" s="10">
        <v>155</v>
      </c>
      <c r="F18" s="9">
        <f>IF(Tablo1456789101112131415161718192021222324[[#This Row],[SATIŞ]]=0,"Açık",(E18-D18)*C18)</f>
        <v>70</v>
      </c>
      <c r="G18" s="11">
        <f>Tablo1456789101112131415161718192021222324[[#This Row],[ADET]]*Tablo1456789101112131415161718192021222324[[#This Row],[ALIŞ]]</f>
        <v>1480</v>
      </c>
      <c r="H18" s="11">
        <f>Tablo1456789101112131415161718192021222324[[#This Row],[ADET]]*Tablo1456789101112131415161718192021222324[[#This Row],[SATIŞ]]</f>
        <v>1550</v>
      </c>
      <c r="J18" s="40" t="str">
        <f t="shared" si="0"/>
        <v/>
      </c>
    </row>
    <row r="19" spans="2:10" ht="21" customHeight="1" x14ac:dyDescent="0.3">
      <c r="B19" s="2">
        <v>45356</v>
      </c>
      <c r="C19" s="6">
        <v>10</v>
      </c>
      <c r="D19" s="10">
        <v>150</v>
      </c>
      <c r="E19" s="10"/>
      <c r="F19" s="9" t="str">
        <f>IF(Tablo1456789101112131415161718192021222324[[#This Row],[SATIŞ]]=0,"Açık",(E19-D19)*C19)</f>
        <v>Açık</v>
      </c>
      <c r="G19" s="11">
        <f>Tablo1456789101112131415161718192021222324[[#This Row],[ADET]]*Tablo1456789101112131415161718192021222324[[#This Row],[ALIŞ]]</f>
        <v>1500</v>
      </c>
      <c r="H19" s="11">
        <f>Tablo1456789101112131415161718192021222324[[#This Row],[ADET]]*Tablo1456789101112131415161718192021222324[[#This Row],[SATIŞ]]</f>
        <v>0</v>
      </c>
      <c r="J19" s="40">
        <f t="shared" si="0"/>
        <v>157.5</v>
      </c>
    </row>
    <row r="20" spans="2:10" ht="21" customHeight="1" x14ac:dyDescent="0.3">
      <c r="B20" s="2">
        <v>45362</v>
      </c>
      <c r="C20" s="6">
        <v>10</v>
      </c>
      <c r="D20" s="10">
        <v>141.1</v>
      </c>
      <c r="E20" s="10"/>
      <c r="F20" s="9" t="str">
        <f>IF(Tablo1456789101112131415161718192021222324[[#This Row],[SATIŞ]]=0,"Açık",(E20-D20)*C20)</f>
        <v>Açık</v>
      </c>
      <c r="G20" s="11">
        <f>Tablo1456789101112131415161718192021222324[[#This Row],[ADET]]*Tablo1456789101112131415161718192021222324[[#This Row],[ALIŞ]]</f>
        <v>1411</v>
      </c>
      <c r="H20" s="11">
        <f>Tablo1456789101112131415161718192021222324[[#This Row],[ADET]]*Tablo1456789101112131415161718192021222324[[#This Row],[SATIŞ]]</f>
        <v>0</v>
      </c>
      <c r="J20" s="40">
        <f t="shared" si="0"/>
        <v>148.155</v>
      </c>
    </row>
    <row r="21" spans="2:10" ht="21" customHeight="1" x14ac:dyDescent="0.3">
      <c r="B21" s="2">
        <v>45362</v>
      </c>
      <c r="C21" s="6">
        <v>10</v>
      </c>
      <c r="D21" s="10">
        <v>135</v>
      </c>
      <c r="E21" s="10"/>
      <c r="F21" s="9" t="str">
        <f>IF(Tablo1456789101112131415161718192021222324[[#This Row],[SATIŞ]]=0,"Açık",(E21-D21)*C21)</f>
        <v>Açık</v>
      </c>
      <c r="G21" s="11">
        <f>Tablo1456789101112131415161718192021222324[[#This Row],[ADET]]*Tablo1456789101112131415161718192021222324[[#This Row],[ALIŞ]]</f>
        <v>1350</v>
      </c>
      <c r="H21" s="11">
        <f>Tablo1456789101112131415161718192021222324[[#This Row],[ADET]]*Tablo1456789101112131415161718192021222324[[#This Row],[SATIŞ]]</f>
        <v>0</v>
      </c>
      <c r="J21" s="40">
        <f t="shared" si="0"/>
        <v>141.75</v>
      </c>
    </row>
    <row r="22" spans="2:10" ht="21" customHeight="1" x14ac:dyDescent="0.3">
      <c r="B22" s="2">
        <v>45365</v>
      </c>
      <c r="C22" s="6">
        <v>10</v>
      </c>
      <c r="D22" s="10">
        <v>129</v>
      </c>
      <c r="E22" s="10"/>
      <c r="F22" s="9" t="str">
        <f>IF(Tablo1456789101112131415161718192021222324[[#This Row],[SATIŞ]]=0,"Açık",(E22-D22)*C22)</f>
        <v>Açık</v>
      </c>
      <c r="G22" s="11">
        <f>Tablo1456789101112131415161718192021222324[[#This Row],[ADET]]*Tablo1456789101112131415161718192021222324[[#This Row],[ALIŞ]]</f>
        <v>1290</v>
      </c>
      <c r="H22" s="11">
        <f>Tablo1456789101112131415161718192021222324[[#This Row],[ADET]]*Tablo1456789101112131415161718192021222324[[#This Row],[SATIŞ]]</f>
        <v>0</v>
      </c>
      <c r="J22" s="40">
        <f t="shared" si="0"/>
        <v>135.45000000000002</v>
      </c>
    </row>
    <row r="23" spans="2:10" ht="21" customHeight="1" x14ac:dyDescent="0.3">
      <c r="B23" s="2">
        <v>45372</v>
      </c>
      <c r="C23" s="6">
        <v>10</v>
      </c>
      <c r="D23" s="10">
        <v>120</v>
      </c>
      <c r="E23" s="10"/>
      <c r="F23" s="9" t="str">
        <f>IF(Tablo1456789101112131415161718192021222324[[#This Row],[SATIŞ]]=0,"Açık",(E23-D23)*C23)</f>
        <v>Açık</v>
      </c>
      <c r="G23" s="11">
        <f>Tablo1456789101112131415161718192021222324[[#This Row],[ADET]]*Tablo1456789101112131415161718192021222324[[#This Row],[ALIŞ]]</f>
        <v>1200</v>
      </c>
      <c r="H23" s="11">
        <f>Tablo1456789101112131415161718192021222324[[#This Row],[ADET]]*Tablo1456789101112131415161718192021222324[[#This Row],[SATIŞ]]</f>
        <v>0</v>
      </c>
      <c r="J23" s="40">
        <f t="shared" si="0"/>
        <v>126</v>
      </c>
    </row>
    <row r="24" spans="2:10" ht="21" hidden="1" customHeight="1" x14ac:dyDescent="0.3">
      <c r="B24" s="2">
        <v>45373</v>
      </c>
      <c r="C24" s="6">
        <v>10</v>
      </c>
      <c r="D24" s="10">
        <v>115</v>
      </c>
      <c r="E24" s="10">
        <v>119</v>
      </c>
      <c r="F24" s="9">
        <f>IF(Tablo1456789101112131415161718192021222324[[#This Row],[SATIŞ]]=0,"Açık",(E24-D24)*C24)</f>
        <v>40</v>
      </c>
      <c r="G24" s="11">
        <f>Tablo1456789101112131415161718192021222324[[#This Row],[ADET]]*Tablo1456789101112131415161718192021222324[[#This Row],[ALIŞ]]</f>
        <v>1150</v>
      </c>
      <c r="H24" s="11">
        <f>Tablo1456789101112131415161718192021222324[[#This Row],[ADET]]*Tablo1456789101112131415161718192021222324[[#This Row],[SATIŞ]]</f>
        <v>1190</v>
      </c>
      <c r="J24" s="40" t="str">
        <f t="shared" si="0"/>
        <v/>
      </c>
    </row>
    <row r="25" spans="2:10" ht="21" hidden="1" customHeight="1" x14ac:dyDescent="0.3">
      <c r="B25" s="2">
        <v>45377</v>
      </c>
      <c r="C25" s="6">
        <v>10</v>
      </c>
      <c r="D25" s="10">
        <v>109</v>
      </c>
      <c r="E25" s="10">
        <v>115</v>
      </c>
      <c r="F25" s="9">
        <f>IF(Tablo1456789101112131415161718192021222324[[#This Row],[SATIŞ]]=0,"Açık",(E25-D25)*C25)</f>
        <v>60</v>
      </c>
      <c r="G25" s="11">
        <f>Tablo1456789101112131415161718192021222324[[#This Row],[ADET]]*Tablo1456789101112131415161718192021222324[[#This Row],[ALIŞ]]</f>
        <v>1090</v>
      </c>
      <c r="H25" s="11">
        <f>Tablo1456789101112131415161718192021222324[[#This Row],[ADET]]*Tablo1456789101112131415161718192021222324[[#This Row],[SATIŞ]]</f>
        <v>1150</v>
      </c>
      <c r="J25" s="40" t="str">
        <f t="shared" si="0"/>
        <v/>
      </c>
    </row>
    <row r="26" spans="2:10" ht="21" hidden="1" customHeight="1" x14ac:dyDescent="0.3">
      <c r="B26" s="2">
        <v>45379</v>
      </c>
      <c r="C26" s="6">
        <v>10</v>
      </c>
      <c r="D26" s="10">
        <v>115</v>
      </c>
      <c r="E26" s="10">
        <v>116.3</v>
      </c>
      <c r="F26" s="9">
        <f>IF(Tablo1456789101112131415161718192021222324[[#This Row],[SATIŞ]]=0,"Açık",(E26-D26)*C26)</f>
        <v>12.999999999999972</v>
      </c>
      <c r="G26" s="11">
        <f>Tablo1456789101112131415161718192021222324[[#This Row],[ADET]]*Tablo1456789101112131415161718192021222324[[#This Row],[ALIŞ]]</f>
        <v>1150</v>
      </c>
      <c r="H26" s="11">
        <f>Tablo1456789101112131415161718192021222324[[#This Row],[ADET]]*Tablo1456789101112131415161718192021222324[[#This Row],[SATIŞ]]</f>
        <v>1163</v>
      </c>
      <c r="J26" s="40" t="str">
        <f t="shared" si="0"/>
        <v/>
      </c>
    </row>
    <row r="27" spans="2:10" ht="21" hidden="1" customHeight="1" x14ac:dyDescent="0.3">
      <c r="B27" s="2">
        <v>45379</v>
      </c>
      <c r="C27" s="6">
        <v>10</v>
      </c>
      <c r="D27" s="10">
        <v>115</v>
      </c>
      <c r="E27" s="10">
        <v>119.2</v>
      </c>
      <c r="F27" s="9">
        <f>IF(Tablo1456789101112131415161718192021222324[[#This Row],[SATIŞ]]=0,"Açık",(E27-D27)*C27)</f>
        <v>42.000000000000028</v>
      </c>
      <c r="G27" s="11">
        <f>Tablo1456789101112131415161718192021222324[[#This Row],[ADET]]*Tablo1456789101112131415161718192021222324[[#This Row],[ALIŞ]]</f>
        <v>1150</v>
      </c>
      <c r="H27" s="11">
        <f>Tablo1456789101112131415161718192021222324[[#This Row],[ADET]]*Tablo1456789101112131415161718192021222324[[#This Row],[SATIŞ]]</f>
        <v>1192</v>
      </c>
      <c r="J27" s="40" t="str">
        <f t="shared" si="0"/>
        <v/>
      </c>
    </row>
    <row r="28" spans="2:10" ht="21" hidden="1" customHeight="1" x14ac:dyDescent="0.3">
      <c r="B28" s="2">
        <v>45379</v>
      </c>
      <c r="C28" s="6">
        <v>10</v>
      </c>
      <c r="D28" s="10">
        <v>110</v>
      </c>
      <c r="E28" s="10">
        <v>115</v>
      </c>
      <c r="F28" s="9">
        <f>IF(Tablo1456789101112131415161718192021222324[[#This Row],[SATIŞ]]=0,"Açık",(E28-D28)*C28)</f>
        <v>50</v>
      </c>
      <c r="G28" s="11">
        <f>Tablo1456789101112131415161718192021222324[[#This Row],[ADET]]*Tablo1456789101112131415161718192021222324[[#This Row],[ALIŞ]]</f>
        <v>1100</v>
      </c>
      <c r="H28" s="11">
        <f>Tablo1456789101112131415161718192021222324[[#This Row],[ADET]]*Tablo1456789101112131415161718192021222324[[#This Row],[SATIŞ]]</f>
        <v>1150</v>
      </c>
      <c r="J28" s="40" t="str">
        <f t="shared" si="0"/>
        <v/>
      </c>
    </row>
    <row r="29" spans="2:10" ht="21" hidden="1" customHeight="1" x14ac:dyDescent="0.3">
      <c r="B29" s="2">
        <v>45383</v>
      </c>
      <c r="C29" s="6">
        <v>10</v>
      </c>
      <c r="D29" s="10">
        <v>112.5</v>
      </c>
      <c r="E29" s="10">
        <v>115</v>
      </c>
      <c r="F29" s="9">
        <f>IF(Tablo1456789101112131415161718192021222324[[#This Row],[SATIŞ]]=0,"Açık",(E29-D29)*C29)</f>
        <v>25</v>
      </c>
      <c r="G29" s="11">
        <f>Tablo1456789101112131415161718192021222324[[#This Row],[ADET]]*Tablo1456789101112131415161718192021222324[[#This Row],[ALIŞ]]</f>
        <v>1125</v>
      </c>
      <c r="H29" s="11">
        <f>Tablo1456789101112131415161718192021222324[[#This Row],[ADET]]*Tablo1456789101112131415161718192021222324[[#This Row],[SATIŞ]]</f>
        <v>1150</v>
      </c>
      <c r="J29" s="40" t="str">
        <f t="shared" si="0"/>
        <v/>
      </c>
    </row>
    <row r="30" spans="2:10" ht="21" customHeight="1" x14ac:dyDescent="0.3">
      <c r="B30" s="2">
        <v>45398</v>
      </c>
      <c r="C30" s="6">
        <v>10</v>
      </c>
      <c r="D30" s="10">
        <v>110</v>
      </c>
      <c r="E30" s="10"/>
      <c r="F30" s="9" t="str">
        <f>IF(Tablo1456789101112131415161718192021222324[[#This Row],[SATIŞ]]=0,"Açık",(E30-D30)*C30)</f>
        <v>Açık</v>
      </c>
      <c r="G30" s="11">
        <f>Tablo1456789101112131415161718192021222324[[#This Row],[ADET]]*Tablo1456789101112131415161718192021222324[[#This Row],[ALIŞ]]</f>
        <v>1100</v>
      </c>
      <c r="H30" s="11">
        <f>Tablo1456789101112131415161718192021222324[[#This Row],[ADET]]*Tablo1456789101112131415161718192021222324[[#This Row],[SATIŞ]]</f>
        <v>0</v>
      </c>
      <c r="J30" s="40">
        <f t="shared" si="0"/>
        <v>115.5</v>
      </c>
    </row>
    <row r="31" spans="2:10" ht="21" hidden="1" customHeight="1" x14ac:dyDescent="0.3">
      <c r="B31" s="2">
        <v>45399</v>
      </c>
      <c r="C31" s="6">
        <v>10</v>
      </c>
      <c r="D31" s="10">
        <v>108</v>
      </c>
      <c r="E31" s="10">
        <v>112.8</v>
      </c>
      <c r="F31" s="9">
        <f>IF(Tablo1456789101112131415161718192021222324[[#This Row],[SATIŞ]]=0,"Açık",(E31-D31)*C31)</f>
        <v>47.999999999999972</v>
      </c>
      <c r="G31" s="11">
        <f>Tablo1456789101112131415161718192021222324[[#This Row],[ADET]]*Tablo1456789101112131415161718192021222324[[#This Row],[ALIŞ]]</f>
        <v>1080</v>
      </c>
      <c r="H31" s="11">
        <f>Tablo1456789101112131415161718192021222324[[#This Row],[ADET]]*Tablo1456789101112131415161718192021222324[[#This Row],[SATIŞ]]</f>
        <v>1128</v>
      </c>
      <c r="J31" s="40" t="str">
        <f t="shared" si="0"/>
        <v/>
      </c>
    </row>
    <row r="32" spans="2:10" ht="21" hidden="1" customHeight="1" x14ac:dyDescent="0.3">
      <c r="B32" s="2">
        <v>45399</v>
      </c>
      <c r="C32" s="6">
        <v>10</v>
      </c>
      <c r="D32" s="10">
        <v>107</v>
      </c>
      <c r="E32" s="10">
        <v>111</v>
      </c>
      <c r="F32" s="9">
        <f>IF(Tablo1456789101112131415161718192021222324[[#This Row],[SATIŞ]]=0,"Açık",(E32-D32)*C32)</f>
        <v>40</v>
      </c>
      <c r="G32" s="11">
        <f>Tablo1456789101112131415161718192021222324[[#This Row],[ADET]]*Tablo1456789101112131415161718192021222324[[#This Row],[ALIŞ]]</f>
        <v>1070</v>
      </c>
      <c r="H32" s="11">
        <f>Tablo1456789101112131415161718192021222324[[#This Row],[ADET]]*Tablo1456789101112131415161718192021222324[[#This Row],[SATIŞ]]</f>
        <v>1110</v>
      </c>
      <c r="J32" s="40" t="str">
        <f t="shared" si="0"/>
        <v/>
      </c>
    </row>
  </sheetData>
  <conditionalFormatting sqref="B4:F32">
    <cfRule type="expression" dxfId="110" priority="1">
      <formula>$F4&lt;0</formula>
    </cfRule>
    <cfRule type="expression" dxfId="109" priority="2">
      <formula>$F4="Açık"</formula>
    </cfRule>
    <cfRule type="expression" dxfId="108" priority="3">
      <formula>$F4&gt;0</formula>
    </cfRule>
  </conditionalFormatting>
  <hyperlinks>
    <hyperlink ref="B1" location="İcmal!A1" display="ANA SAYFA" xr:uid="{4C7BE984-CFA5-45C5-AB7F-874473118EFD}"/>
  </hyperlinks>
  <pageMargins left="0.7" right="0.7" top="0.75" bottom="0.75" header="0.3" footer="0.3"/>
  <tableParts count="1">
    <tablePart r:id="rId1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09C29-F91F-4A16-AFE7-7D41CA7EFC68}">
  <sheetPr>
    <tabColor rgb="FF00B050"/>
  </sheetPr>
  <dimension ref="B1:R51"/>
  <sheetViews>
    <sheetView showGridLines="0" showZeros="0" zoomScale="110" zoomScaleNormal="110" workbookViewId="0">
      <pane ySplit="3" topLeftCell="A35" activePane="bottomLeft" state="frozen"/>
      <selection activeCell="E37" sqref="E37"/>
      <selection pane="bottomLeft" activeCell="E52" sqref="E52"/>
    </sheetView>
  </sheetViews>
  <sheetFormatPr defaultRowHeight="21" customHeight="1" x14ac:dyDescent="0.3"/>
  <cols>
    <col min="2" max="2" width="20.6640625" style="1" customWidth="1"/>
    <col min="3" max="3" width="11.33203125" style="6" customWidth="1"/>
    <col min="4" max="5" width="12.88671875" style="3" customWidth="1"/>
    <col min="6" max="6" width="12.88671875" style="5" customWidth="1"/>
    <col min="7" max="7" width="12.6640625" bestFit="1" customWidth="1"/>
    <col min="8" max="8" width="13.44140625" bestFit="1" customWidth="1"/>
    <col min="10" max="12" width="12.44140625" customWidth="1"/>
    <col min="13" max="13" width="12.6640625" bestFit="1" customWidth="1"/>
    <col min="14" max="14" width="12" bestFit="1" customWidth="1"/>
  </cols>
  <sheetData>
    <row r="1" spans="2:18" ht="21" customHeight="1" x14ac:dyDescent="0.3">
      <c r="B1" s="12" t="s">
        <v>64</v>
      </c>
      <c r="C1" s="4">
        <f>SUMIF(Tablo145678910111213141516171819202122232425[KAR],"Açık",Tablo145678910111213141516171819202122232425[ADET])</f>
        <v>230</v>
      </c>
      <c r="D1" s="10">
        <f>+İcmal!E35</f>
        <v>216</v>
      </c>
      <c r="E1" s="10">
        <f>C1*D1</f>
        <v>49680</v>
      </c>
      <c r="F1" s="10">
        <f>IFERROR(((SUM(Tablo145678910111213141516171819202122232425[ALIŞ TUTAR])-SUM(Tablo145678910111213141516171819202122232425[SATIŞ TUTAR]))/C1),"")</f>
        <v>182.55283913043462</v>
      </c>
      <c r="G1" s="10">
        <f>IF(M3=0,L3,C1*(D1-F1))</f>
        <v>7692.847000000037</v>
      </c>
      <c r="J1" s="45" t="s">
        <v>94</v>
      </c>
      <c r="K1" s="45" t="s">
        <v>95</v>
      </c>
      <c r="L1" s="45" t="s">
        <v>96</v>
      </c>
      <c r="M1" s="33">
        <f>F1</f>
        <v>182.55283913043462</v>
      </c>
      <c r="N1" s="8" t="e">
        <f>M1*(1+$J$1)</f>
        <v>#VALUE!</v>
      </c>
      <c r="P1" s="8" t="e">
        <f>Q1*(1-$J$1)</f>
        <v>#VALUE!</v>
      </c>
      <c r="Q1" s="33">
        <f>+D1</f>
        <v>216</v>
      </c>
      <c r="R1" s="8" t="e">
        <f>Q1*(1+$J$1)</f>
        <v>#VALUE!</v>
      </c>
    </row>
    <row r="2" spans="2:18" ht="21" customHeight="1" x14ac:dyDescent="0.3">
      <c r="B2" s="7" t="s">
        <v>34</v>
      </c>
      <c r="J2" s="45">
        <f>SUMIFS(Tablo2[HEDEF2],Tablo2[HİSSE],B2)</f>
        <v>2000</v>
      </c>
      <c r="K2" s="45">
        <f>+E1/İcmal!$P$2</f>
        <v>1527.2056563172455</v>
      </c>
      <c r="L2" s="45">
        <f>+J2-K2</f>
        <v>472.79434368275452</v>
      </c>
    </row>
    <row r="3" spans="2:18" ht="21" customHeight="1" x14ac:dyDescent="0.3">
      <c r="B3" s="1" t="s">
        <v>0</v>
      </c>
      <c r="C3" s="6" t="s">
        <v>4</v>
      </c>
      <c r="D3" s="3" t="s">
        <v>1</v>
      </c>
      <c r="E3" s="3" t="s">
        <v>3</v>
      </c>
      <c r="F3" s="5" t="s">
        <v>2</v>
      </c>
      <c r="G3" s="3" t="s">
        <v>8</v>
      </c>
      <c r="H3" s="3" t="s">
        <v>9</v>
      </c>
      <c r="L3" s="33">
        <f>SUM(Tablo145678910111213141516171819202122232425[KAR])</f>
        <v>6343.8469999999916</v>
      </c>
      <c r="M3" s="37">
        <f>+C1</f>
        <v>230</v>
      </c>
    </row>
    <row r="4" spans="2:18" ht="21" hidden="1" customHeight="1" x14ac:dyDescent="0.3">
      <c r="B4" s="2">
        <v>45291</v>
      </c>
      <c r="C4" s="6">
        <v>1143</v>
      </c>
      <c r="D4" s="10">
        <v>119.43300000000001</v>
      </c>
      <c r="E4" s="10">
        <v>120.872</v>
      </c>
      <c r="F4" s="9">
        <f>IF(Tablo145678910111213141516171819202122232425[[#This Row],[SATIŞ]]=0,"Açık",(E4-D4)*C4)</f>
        <v>1644.7769999999919</v>
      </c>
      <c r="G4" s="11">
        <f>Tablo145678910111213141516171819202122232425[[#This Row],[ADET]]*Tablo145678910111213141516171819202122232425[[#This Row],[ALIŞ]]</f>
        <v>136511.91899999999</v>
      </c>
      <c r="H4" s="11">
        <f>Tablo145678910111213141516171819202122232425[[#This Row],[ADET]]*Tablo145678910111213141516171819202122232425[[#This Row],[SATIŞ]]</f>
        <v>138156.696</v>
      </c>
      <c r="L4" s="8">
        <f>SUM(Tablo145678910111213141516171819202122232425[ALIŞ TUTAR])</f>
        <v>254254.24899999998</v>
      </c>
      <c r="M4" s="8">
        <f>SUM(Tablo145678910111213141516171819202122232425[SATIŞ TUTAR])</f>
        <v>212267.09600000002</v>
      </c>
      <c r="N4" s="8">
        <f>L4-M4</f>
        <v>41987.152999999962</v>
      </c>
    </row>
    <row r="5" spans="2:18" ht="21" hidden="1" customHeight="1" x14ac:dyDescent="0.3">
      <c r="B5" s="2">
        <v>45291</v>
      </c>
      <c r="C5" s="6">
        <v>1</v>
      </c>
      <c r="D5" s="10">
        <v>119.43300000000001</v>
      </c>
      <c r="E5" s="10">
        <v>170</v>
      </c>
      <c r="F5" s="9">
        <f>IF(Tablo145678910111213141516171819202122232425[[#This Row],[SATIŞ]]=0,"Açık",(E5-D5)*C5)</f>
        <v>50.566999999999993</v>
      </c>
      <c r="G5" s="11">
        <f>Tablo145678910111213141516171819202122232425[[#This Row],[ADET]]*Tablo145678910111213141516171819202122232425[[#This Row],[ALIŞ]]</f>
        <v>119.43300000000001</v>
      </c>
      <c r="H5" s="11">
        <f>Tablo145678910111213141516171819202122232425[[#This Row],[ADET]]*Tablo145678910111213141516171819202122232425[[#This Row],[SATIŞ]]</f>
        <v>170</v>
      </c>
      <c r="N5">
        <f>+N4/80</f>
        <v>524.83941249999953</v>
      </c>
    </row>
    <row r="6" spans="2:18" ht="21" hidden="1" customHeight="1" x14ac:dyDescent="0.3">
      <c r="B6" s="2">
        <v>45291</v>
      </c>
      <c r="C6" s="6">
        <v>2</v>
      </c>
      <c r="D6" s="10">
        <v>119.43300000000001</v>
      </c>
      <c r="E6" s="10">
        <v>171</v>
      </c>
      <c r="F6" s="9">
        <f>IF(Tablo145678910111213141516171819202122232425[[#This Row],[SATIŞ]]=0,"Açık",(E6-D6)*C6)</f>
        <v>103.13399999999999</v>
      </c>
      <c r="G6" s="11">
        <f>Tablo145678910111213141516171819202122232425[[#This Row],[ADET]]*Tablo145678910111213141516171819202122232425[[#This Row],[ALIŞ]]</f>
        <v>238.86600000000001</v>
      </c>
      <c r="H6" s="11">
        <f>Tablo145678910111213141516171819202122232425[[#This Row],[ADET]]*Tablo145678910111213141516171819202122232425[[#This Row],[SATIŞ]]</f>
        <v>342</v>
      </c>
    </row>
    <row r="7" spans="2:18" ht="21" hidden="1" customHeight="1" x14ac:dyDescent="0.3">
      <c r="B7" s="2">
        <v>45291</v>
      </c>
      <c r="C7" s="6">
        <v>3</v>
      </c>
      <c r="D7" s="10">
        <v>119.43300000000001</v>
      </c>
      <c r="E7" s="10">
        <v>172</v>
      </c>
      <c r="F7" s="9">
        <f>IF(Tablo145678910111213141516171819202122232425[[#This Row],[SATIŞ]]=0,"Açık",(E7-D7)*C7)</f>
        <v>157.70099999999996</v>
      </c>
      <c r="G7" s="11">
        <f>Tablo145678910111213141516171819202122232425[[#This Row],[ADET]]*Tablo145678910111213141516171819202122232425[[#This Row],[ALIŞ]]</f>
        <v>358.29900000000004</v>
      </c>
      <c r="H7" s="11">
        <f>Tablo145678910111213141516171819202122232425[[#This Row],[ADET]]*Tablo145678910111213141516171819202122232425[[#This Row],[SATIŞ]]</f>
        <v>516</v>
      </c>
    </row>
    <row r="8" spans="2:18" ht="21" hidden="1" customHeight="1" x14ac:dyDescent="0.3">
      <c r="B8" s="2">
        <v>45291</v>
      </c>
      <c r="C8" s="6">
        <v>1</v>
      </c>
      <c r="D8" s="10">
        <v>119.43300000000001</v>
      </c>
      <c r="E8" s="10">
        <v>173</v>
      </c>
      <c r="F8" s="9">
        <f>IF(Tablo145678910111213141516171819202122232425[[#This Row],[SATIŞ]]=0,"Açık",(E8-D8)*C8)</f>
        <v>53.566999999999993</v>
      </c>
      <c r="G8" s="11">
        <f>Tablo145678910111213141516171819202122232425[[#This Row],[ADET]]*Tablo145678910111213141516171819202122232425[[#This Row],[ALIŞ]]</f>
        <v>119.43300000000001</v>
      </c>
      <c r="H8" s="11">
        <f>Tablo145678910111213141516171819202122232425[[#This Row],[ADET]]*Tablo145678910111213141516171819202122232425[[#This Row],[SATIŞ]]</f>
        <v>173</v>
      </c>
    </row>
    <row r="9" spans="2:18" ht="21" hidden="1" customHeight="1" x14ac:dyDescent="0.3">
      <c r="B9" s="2">
        <v>45291</v>
      </c>
      <c r="C9" s="6">
        <v>3</v>
      </c>
      <c r="D9" s="10">
        <v>119.43300000000001</v>
      </c>
      <c r="E9" s="10">
        <v>174</v>
      </c>
      <c r="F9" s="9">
        <f>IF(Tablo145678910111213141516171819202122232425[[#This Row],[SATIŞ]]=0,"Açık",(E9-D9)*C9)</f>
        <v>163.70099999999996</v>
      </c>
      <c r="G9" s="11">
        <f>Tablo145678910111213141516171819202122232425[[#This Row],[ADET]]*Tablo145678910111213141516171819202122232425[[#This Row],[ALIŞ]]</f>
        <v>358.29900000000004</v>
      </c>
      <c r="H9" s="11">
        <f>Tablo145678910111213141516171819202122232425[[#This Row],[ADET]]*Tablo145678910111213141516171819202122232425[[#This Row],[SATIŞ]]</f>
        <v>522</v>
      </c>
    </row>
    <row r="10" spans="2:18" ht="21" hidden="1" customHeight="1" x14ac:dyDescent="0.3">
      <c r="B10" s="2">
        <v>45327</v>
      </c>
      <c r="C10" s="6">
        <v>1</v>
      </c>
      <c r="D10" s="10">
        <v>170</v>
      </c>
      <c r="E10" s="10">
        <v>180</v>
      </c>
      <c r="F10" s="9">
        <f>IF(Tablo145678910111213141516171819202122232425[[#This Row],[SATIŞ]]=0,"Açık",(E10-D10)*C10)</f>
        <v>10</v>
      </c>
      <c r="G10" s="11">
        <f>Tablo145678910111213141516171819202122232425[[#This Row],[ADET]]*Tablo145678910111213141516171819202122232425[[#This Row],[ALIŞ]]</f>
        <v>170</v>
      </c>
      <c r="H10" s="11">
        <f>Tablo145678910111213141516171819202122232425[[#This Row],[ADET]]*Tablo145678910111213141516171819202122232425[[#This Row],[SATIŞ]]</f>
        <v>180</v>
      </c>
    </row>
    <row r="11" spans="2:18" ht="21" hidden="1" customHeight="1" x14ac:dyDescent="0.3">
      <c r="B11" s="2">
        <v>45327</v>
      </c>
      <c r="C11" s="6">
        <v>2</v>
      </c>
      <c r="D11" s="10">
        <v>169</v>
      </c>
      <c r="E11" s="10">
        <v>171.6</v>
      </c>
      <c r="F11" s="9">
        <f>IF(Tablo145678910111213141516171819202122232425[[#This Row],[SATIŞ]]=0,"Açık",(E11-D11)*C11)</f>
        <v>5.1999999999999886</v>
      </c>
      <c r="G11" s="11">
        <f>Tablo145678910111213141516171819202122232425[[#This Row],[ADET]]*Tablo145678910111213141516171819202122232425[[#This Row],[ALIŞ]]</f>
        <v>338</v>
      </c>
      <c r="H11" s="11">
        <f>Tablo145678910111213141516171819202122232425[[#This Row],[ADET]]*Tablo145678910111213141516171819202122232425[[#This Row],[SATIŞ]]</f>
        <v>343.2</v>
      </c>
    </row>
    <row r="12" spans="2:18" ht="21" hidden="1" customHeight="1" x14ac:dyDescent="0.3">
      <c r="B12" s="2">
        <v>45329</v>
      </c>
      <c r="C12" s="6">
        <v>4</v>
      </c>
      <c r="D12" s="10">
        <v>170</v>
      </c>
      <c r="E12" s="10">
        <v>180</v>
      </c>
      <c r="F12" s="9">
        <f>IF(Tablo145678910111213141516171819202122232425[[#This Row],[SATIŞ]]=0,"Açık",(E12-D12)*C12)</f>
        <v>40</v>
      </c>
      <c r="G12" s="11">
        <f>Tablo145678910111213141516171819202122232425[[#This Row],[ADET]]*Tablo145678910111213141516171819202122232425[[#This Row],[ALIŞ]]</f>
        <v>680</v>
      </c>
      <c r="H12" s="11">
        <f>Tablo145678910111213141516171819202122232425[[#This Row],[ADET]]*Tablo145678910111213141516171819202122232425[[#This Row],[SATIŞ]]</f>
        <v>720</v>
      </c>
    </row>
    <row r="13" spans="2:18" ht="21" hidden="1" customHeight="1" x14ac:dyDescent="0.3">
      <c r="B13" s="2">
        <v>45329</v>
      </c>
      <c r="C13" s="6">
        <v>2</v>
      </c>
      <c r="D13" s="10">
        <v>169</v>
      </c>
      <c r="E13" s="10">
        <v>174.6</v>
      </c>
      <c r="F13" s="9">
        <f>IF(Tablo145678910111213141516171819202122232425[[#This Row],[SATIŞ]]=0,"Açık",(E13-D13)*C13)</f>
        <v>11.199999999999989</v>
      </c>
      <c r="G13" s="11">
        <f>Tablo145678910111213141516171819202122232425[[#This Row],[ADET]]*Tablo145678910111213141516171819202122232425[[#This Row],[ALIŞ]]</f>
        <v>338</v>
      </c>
      <c r="H13" s="11">
        <f>Tablo145678910111213141516171819202122232425[[#This Row],[ADET]]*Tablo145678910111213141516171819202122232425[[#This Row],[SATIŞ]]</f>
        <v>349.2</v>
      </c>
    </row>
    <row r="14" spans="2:18" ht="21" hidden="1" customHeight="1" x14ac:dyDescent="0.3">
      <c r="B14" s="2">
        <v>45329</v>
      </c>
      <c r="C14" s="6">
        <v>8</v>
      </c>
      <c r="D14" s="10">
        <v>169</v>
      </c>
      <c r="E14" s="10">
        <v>175</v>
      </c>
      <c r="F14" s="9">
        <f>IF(Tablo145678910111213141516171819202122232425[[#This Row],[SATIŞ]]=0,"Açık",(E14-D14)*C14)</f>
        <v>48</v>
      </c>
      <c r="G14" s="11">
        <f>Tablo145678910111213141516171819202122232425[[#This Row],[ADET]]*Tablo145678910111213141516171819202122232425[[#This Row],[ALIŞ]]</f>
        <v>1352</v>
      </c>
      <c r="H14" s="11">
        <f>Tablo145678910111213141516171819202122232425[[#This Row],[ADET]]*Tablo145678910111213141516171819202122232425[[#This Row],[SATIŞ]]</f>
        <v>1400</v>
      </c>
    </row>
    <row r="15" spans="2:18" ht="21" hidden="1" customHeight="1" x14ac:dyDescent="0.3">
      <c r="B15" s="2">
        <v>45334</v>
      </c>
      <c r="C15" s="6">
        <v>5</v>
      </c>
      <c r="D15" s="10">
        <v>173</v>
      </c>
      <c r="E15" s="10">
        <v>180</v>
      </c>
      <c r="F15" s="9">
        <f>IF(Tablo145678910111213141516171819202122232425[[#This Row],[SATIŞ]]=0,"Açık",(E15-D15)*C15)</f>
        <v>35</v>
      </c>
      <c r="G15" s="11">
        <f>Tablo145678910111213141516171819202122232425[[#This Row],[ADET]]*Tablo145678910111213141516171819202122232425[[#This Row],[ALIŞ]]</f>
        <v>865</v>
      </c>
      <c r="H15" s="11">
        <f>Tablo145678910111213141516171819202122232425[[#This Row],[ADET]]*Tablo145678910111213141516171819202122232425[[#This Row],[SATIŞ]]</f>
        <v>900</v>
      </c>
    </row>
    <row r="16" spans="2:18" ht="21" hidden="1" customHeight="1" x14ac:dyDescent="0.3">
      <c r="B16" s="2">
        <v>45335</v>
      </c>
      <c r="C16" s="6">
        <v>7</v>
      </c>
      <c r="D16" s="10">
        <v>170</v>
      </c>
      <c r="E16" s="10">
        <v>175</v>
      </c>
      <c r="F16" s="9">
        <f>IF(Tablo145678910111213141516171819202122232425[[#This Row],[SATIŞ]]=0,"Açık",(E16-D16)*C16)</f>
        <v>35</v>
      </c>
      <c r="G16" s="11">
        <f>Tablo145678910111213141516171819202122232425[[#This Row],[ADET]]*Tablo145678910111213141516171819202122232425[[#This Row],[ALIŞ]]</f>
        <v>1190</v>
      </c>
      <c r="H16" s="11">
        <f>Tablo145678910111213141516171819202122232425[[#This Row],[ADET]]*Tablo145678910111213141516171819202122232425[[#This Row],[SATIŞ]]</f>
        <v>1225</v>
      </c>
    </row>
    <row r="17" spans="2:10" ht="21" hidden="1" customHeight="1" x14ac:dyDescent="0.3">
      <c r="B17" s="2">
        <v>45343</v>
      </c>
      <c r="C17" s="6">
        <v>10</v>
      </c>
      <c r="D17" s="10">
        <v>174</v>
      </c>
      <c r="E17" s="10">
        <v>182</v>
      </c>
      <c r="F17" s="9">
        <f>IF(Tablo145678910111213141516171819202122232425[[#This Row],[SATIŞ]]=0,"Açık",(E17-D17)*C17)</f>
        <v>80</v>
      </c>
      <c r="G17" s="11">
        <f>Tablo145678910111213141516171819202122232425[[#This Row],[ADET]]*Tablo145678910111213141516171819202122232425[[#This Row],[ALIŞ]]</f>
        <v>1740</v>
      </c>
      <c r="H17" s="11">
        <f>Tablo145678910111213141516171819202122232425[[#This Row],[ADET]]*Tablo145678910111213141516171819202122232425[[#This Row],[SATIŞ]]</f>
        <v>1820</v>
      </c>
    </row>
    <row r="18" spans="2:10" ht="21" hidden="1" customHeight="1" x14ac:dyDescent="0.3">
      <c r="B18" s="2">
        <v>45351</v>
      </c>
      <c r="C18" s="6">
        <v>10</v>
      </c>
      <c r="D18" s="10">
        <v>169</v>
      </c>
      <c r="E18" s="10">
        <v>185</v>
      </c>
      <c r="F18" s="9">
        <f>IF(Tablo145678910111213141516171819202122232425[[#This Row],[SATIŞ]]=0,"Açık",(E18-D18)*C18)</f>
        <v>160</v>
      </c>
      <c r="G18" s="11">
        <f>Tablo145678910111213141516171819202122232425[[#This Row],[ADET]]*Tablo145678910111213141516171819202122232425[[#This Row],[ALIŞ]]</f>
        <v>1690</v>
      </c>
      <c r="H18" s="11">
        <f>Tablo145678910111213141516171819202122232425[[#This Row],[ADET]]*Tablo145678910111213141516171819202122232425[[#This Row],[SATIŞ]]</f>
        <v>1850</v>
      </c>
      <c r="J18" s="40" t="str">
        <f t="shared" ref="J18:J42" si="0">IF(E18=0,D18*1.05,"")</f>
        <v/>
      </c>
    </row>
    <row r="19" spans="2:10" ht="21" hidden="1" customHeight="1" x14ac:dyDescent="0.3">
      <c r="B19" s="2">
        <v>45351</v>
      </c>
      <c r="C19" s="6">
        <v>10</v>
      </c>
      <c r="D19" s="10">
        <v>167</v>
      </c>
      <c r="E19" s="10">
        <v>195</v>
      </c>
      <c r="F19" s="9">
        <f>IF(Tablo145678910111213141516171819202122232425[[#This Row],[SATIŞ]]=0,"Açık",(E19-D19)*C19)</f>
        <v>280</v>
      </c>
      <c r="G19" s="11">
        <f>Tablo145678910111213141516171819202122232425[[#This Row],[ADET]]*Tablo145678910111213141516171819202122232425[[#This Row],[ALIŞ]]</f>
        <v>1670</v>
      </c>
      <c r="H19" s="11">
        <f>Tablo145678910111213141516171819202122232425[[#This Row],[ADET]]*Tablo145678910111213141516171819202122232425[[#This Row],[SATIŞ]]</f>
        <v>1950</v>
      </c>
      <c r="J19" s="40" t="str">
        <f t="shared" si="0"/>
        <v/>
      </c>
    </row>
    <row r="20" spans="2:10" ht="21" hidden="1" customHeight="1" x14ac:dyDescent="0.3">
      <c r="B20" s="2">
        <v>45355</v>
      </c>
      <c r="C20" s="6">
        <v>10</v>
      </c>
      <c r="D20" s="10">
        <v>165</v>
      </c>
      <c r="E20" s="10">
        <v>200</v>
      </c>
      <c r="F20" s="9">
        <f>IF(Tablo145678910111213141516171819202122232425[[#This Row],[SATIŞ]]=0,"Açık",(E20-D20)*C20)</f>
        <v>350</v>
      </c>
      <c r="G20" s="11">
        <f>Tablo145678910111213141516171819202122232425[[#This Row],[ADET]]*Tablo145678910111213141516171819202122232425[[#This Row],[ALIŞ]]</f>
        <v>1650</v>
      </c>
      <c r="H20" s="11">
        <f>Tablo145678910111213141516171819202122232425[[#This Row],[ADET]]*Tablo145678910111213141516171819202122232425[[#This Row],[SATIŞ]]</f>
        <v>2000</v>
      </c>
      <c r="J20" s="40" t="str">
        <f t="shared" si="0"/>
        <v/>
      </c>
    </row>
    <row r="21" spans="2:10" ht="21" hidden="1" customHeight="1" x14ac:dyDescent="0.3">
      <c r="B21" s="2">
        <v>45362</v>
      </c>
      <c r="C21" s="6">
        <v>10</v>
      </c>
      <c r="D21" s="10">
        <v>180</v>
      </c>
      <c r="E21" s="10">
        <v>205</v>
      </c>
      <c r="F21" s="9">
        <f>IF(Tablo145678910111213141516171819202122232425[[#This Row],[SATIŞ]]=0,"Açık",(E21-D21)*C21)</f>
        <v>250</v>
      </c>
      <c r="G21" s="11">
        <f>Tablo145678910111213141516171819202122232425[[#This Row],[ADET]]*Tablo145678910111213141516171819202122232425[[#This Row],[ALIŞ]]</f>
        <v>1800</v>
      </c>
      <c r="H21" s="11">
        <f>Tablo145678910111213141516171819202122232425[[#This Row],[ADET]]*Tablo145678910111213141516171819202122232425[[#This Row],[SATIŞ]]</f>
        <v>2050</v>
      </c>
      <c r="J21" s="40" t="str">
        <f t="shared" si="0"/>
        <v/>
      </c>
    </row>
    <row r="22" spans="2:10" ht="21" hidden="1" customHeight="1" x14ac:dyDescent="0.3">
      <c r="B22" s="2">
        <v>45365</v>
      </c>
      <c r="C22" s="6">
        <v>10</v>
      </c>
      <c r="D22" s="10">
        <v>177</v>
      </c>
      <c r="E22" s="10">
        <v>205</v>
      </c>
      <c r="F22" s="9">
        <f>IF(Tablo145678910111213141516171819202122232425[[#This Row],[SATIŞ]]=0,"Açık",(E22-D22)*C22)</f>
        <v>280</v>
      </c>
      <c r="G22" s="11">
        <f>Tablo145678910111213141516171819202122232425[[#This Row],[ADET]]*Tablo145678910111213141516171819202122232425[[#This Row],[ALIŞ]]</f>
        <v>1770</v>
      </c>
      <c r="H22" s="11">
        <f>Tablo145678910111213141516171819202122232425[[#This Row],[ADET]]*Tablo145678910111213141516171819202122232425[[#This Row],[SATIŞ]]</f>
        <v>2050</v>
      </c>
      <c r="J22" s="40" t="str">
        <f t="shared" si="0"/>
        <v/>
      </c>
    </row>
    <row r="23" spans="2:10" ht="21" hidden="1" customHeight="1" x14ac:dyDescent="0.3">
      <c r="B23" s="2">
        <v>45369</v>
      </c>
      <c r="C23" s="6">
        <v>50</v>
      </c>
      <c r="D23" s="10">
        <v>171.5</v>
      </c>
      <c r="E23" s="10">
        <v>173</v>
      </c>
      <c r="F23" s="9">
        <f>IF(Tablo145678910111213141516171819202122232425[[#This Row],[SATIŞ]]=0,"Açık",(E23-D23)*C23)</f>
        <v>75</v>
      </c>
      <c r="G23" s="11">
        <f>Tablo145678910111213141516171819202122232425[[#This Row],[ADET]]*Tablo145678910111213141516171819202122232425[[#This Row],[ALIŞ]]</f>
        <v>8575</v>
      </c>
      <c r="H23" s="11">
        <f>Tablo145678910111213141516171819202122232425[[#This Row],[ADET]]*Tablo145678910111213141516171819202122232425[[#This Row],[SATIŞ]]</f>
        <v>8650</v>
      </c>
      <c r="J23" s="40" t="str">
        <f t="shared" si="0"/>
        <v/>
      </c>
    </row>
    <row r="24" spans="2:10" ht="21" hidden="1" customHeight="1" x14ac:dyDescent="0.3">
      <c r="B24" s="2">
        <v>45369</v>
      </c>
      <c r="C24" s="6">
        <v>50</v>
      </c>
      <c r="D24" s="10">
        <v>171.5</v>
      </c>
      <c r="E24" s="10">
        <v>175</v>
      </c>
      <c r="F24" s="9">
        <f>IF(Tablo145678910111213141516171819202122232425[[#This Row],[SATIŞ]]=0,"Açık",(E24-D24)*C24)</f>
        <v>175</v>
      </c>
      <c r="G24" s="11">
        <f>Tablo145678910111213141516171819202122232425[[#This Row],[ADET]]*Tablo145678910111213141516171819202122232425[[#This Row],[ALIŞ]]</f>
        <v>8575</v>
      </c>
      <c r="H24" s="11">
        <f>Tablo145678910111213141516171819202122232425[[#This Row],[ADET]]*Tablo145678910111213141516171819202122232425[[#This Row],[SATIŞ]]</f>
        <v>8750</v>
      </c>
      <c r="J24" s="40" t="str">
        <f t="shared" si="0"/>
        <v/>
      </c>
    </row>
    <row r="25" spans="2:10" ht="21" hidden="1" customHeight="1" x14ac:dyDescent="0.3">
      <c r="B25" s="2">
        <v>45369</v>
      </c>
      <c r="C25" s="6">
        <v>10</v>
      </c>
      <c r="D25" s="10">
        <v>173.5</v>
      </c>
      <c r="E25" s="10">
        <v>205</v>
      </c>
      <c r="F25" s="9">
        <f>IF(Tablo145678910111213141516171819202122232425[[#This Row],[SATIŞ]]=0,"Açık",(E25-D25)*C25)</f>
        <v>315</v>
      </c>
      <c r="G25" s="11">
        <f>Tablo145678910111213141516171819202122232425[[#This Row],[ADET]]*Tablo145678910111213141516171819202122232425[[#This Row],[ALIŞ]]</f>
        <v>1735</v>
      </c>
      <c r="H25" s="11">
        <f>Tablo145678910111213141516171819202122232425[[#This Row],[ADET]]*Tablo145678910111213141516171819202122232425[[#This Row],[SATIŞ]]</f>
        <v>2050</v>
      </c>
      <c r="J25" s="40" t="str">
        <f t="shared" si="0"/>
        <v/>
      </c>
    </row>
    <row r="26" spans="2:10" ht="21" hidden="1" customHeight="1" x14ac:dyDescent="0.3">
      <c r="B26" s="2">
        <v>45369</v>
      </c>
      <c r="C26" s="6">
        <v>10</v>
      </c>
      <c r="D26" s="10">
        <v>173.5</v>
      </c>
      <c r="E26" s="10">
        <v>210</v>
      </c>
      <c r="F26" s="9">
        <f>IF(Tablo145678910111213141516171819202122232425[[#This Row],[SATIŞ]]=0,"Açık",(E26-D26)*C26)</f>
        <v>365</v>
      </c>
      <c r="G26" s="11">
        <f>Tablo145678910111213141516171819202122232425[[#This Row],[ADET]]*Tablo145678910111213141516171819202122232425[[#This Row],[ALIŞ]]</f>
        <v>1735</v>
      </c>
      <c r="H26" s="11">
        <f>Tablo145678910111213141516171819202122232425[[#This Row],[ADET]]*Tablo145678910111213141516171819202122232425[[#This Row],[SATIŞ]]</f>
        <v>2100</v>
      </c>
      <c r="J26" s="40" t="str">
        <f t="shared" si="0"/>
        <v/>
      </c>
    </row>
    <row r="27" spans="2:10" ht="21" hidden="1" customHeight="1" x14ac:dyDescent="0.3">
      <c r="B27" s="2">
        <v>45369</v>
      </c>
      <c r="C27" s="6">
        <v>10</v>
      </c>
      <c r="D27" s="10">
        <v>173.5</v>
      </c>
      <c r="E27" s="10">
        <v>215</v>
      </c>
      <c r="F27" s="9">
        <f>IF(Tablo145678910111213141516171819202122232425[[#This Row],[SATIŞ]]=0,"Açık",(E27-D27)*C27)</f>
        <v>415</v>
      </c>
      <c r="G27" s="11">
        <f>Tablo145678910111213141516171819202122232425[[#This Row],[ADET]]*Tablo145678910111213141516171819202122232425[[#This Row],[ALIŞ]]</f>
        <v>1735</v>
      </c>
      <c r="H27" s="11">
        <f>Tablo145678910111213141516171819202122232425[[#This Row],[ADET]]*Tablo145678910111213141516171819202122232425[[#This Row],[SATIŞ]]</f>
        <v>2150</v>
      </c>
      <c r="J27" s="40"/>
    </row>
    <row r="28" spans="2:10" ht="21" hidden="1" customHeight="1" x14ac:dyDescent="0.3">
      <c r="B28" s="2">
        <v>45369</v>
      </c>
      <c r="C28" s="6">
        <v>10</v>
      </c>
      <c r="D28" s="10">
        <v>173.5</v>
      </c>
      <c r="E28" s="10">
        <v>226</v>
      </c>
      <c r="F28" s="9">
        <f>IF(Tablo145678910111213141516171819202122232425[[#This Row],[SATIŞ]]=0,"Açık",(E28-D28)*C28)</f>
        <v>525</v>
      </c>
      <c r="G28" s="11">
        <f>Tablo145678910111213141516171819202122232425[[#This Row],[ADET]]*Tablo145678910111213141516171819202122232425[[#This Row],[ALIŞ]]</f>
        <v>1735</v>
      </c>
      <c r="H28" s="11">
        <f>Tablo145678910111213141516171819202122232425[[#This Row],[ADET]]*Tablo145678910111213141516171819202122232425[[#This Row],[SATIŞ]]</f>
        <v>2260</v>
      </c>
      <c r="J28" s="40"/>
    </row>
    <row r="29" spans="2:10" ht="21" customHeight="1" x14ac:dyDescent="0.3">
      <c r="B29" s="2">
        <v>45369</v>
      </c>
      <c r="C29" s="6">
        <v>10</v>
      </c>
      <c r="D29" s="10">
        <v>173.5</v>
      </c>
      <c r="E29" s="10"/>
      <c r="F29" s="9" t="str">
        <f>IF(Tablo145678910111213141516171819202122232425[[#This Row],[SATIŞ]]=0,"Açık",(E29-D29)*C29)</f>
        <v>Açık</v>
      </c>
      <c r="G29" s="11">
        <f>Tablo145678910111213141516171819202122232425[[#This Row],[ADET]]*Tablo145678910111213141516171819202122232425[[#This Row],[ALIŞ]]</f>
        <v>1735</v>
      </c>
      <c r="H29" s="11">
        <f>Tablo145678910111213141516171819202122232425[[#This Row],[ADET]]*Tablo145678910111213141516171819202122232425[[#This Row],[SATIŞ]]</f>
        <v>0</v>
      </c>
      <c r="J29" s="40"/>
    </row>
    <row r="30" spans="2:10" ht="21" customHeight="1" x14ac:dyDescent="0.3">
      <c r="B30" s="2">
        <v>45376</v>
      </c>
      <c r="C30" s="6">
        <v>20</v>
      </c>
      <c r="D30" s="10">
        <v>200</v>
      </c>
      <c r="E30" s="10"/>
      <c r="F30" s="9" t="str">
        <f>IF(Tablo145678910111213141516171819202122232425[[#This Row],[SATIŞ]]=0,"Açık",(E30-D30)*C30)</f>
        <v>Açık</v>
      </c>
      <c r="G30" s="11">
        <f>Tablo145678910111213141516171819202122232425[[#This Row],[ADET]]*Tablo145678910111213141516171819202122232425[[#This Row],[ALIŞ]]</f>
        <v>4000</v>
      </c>
      <c r="H30" s="11">
        <f>Tablo145678910111213141516171819202122232425[[#This Row],[ADET]]*Tablo145678910111213141516171819202122232425[[#This Row],[SATIŞ]]</f>
        <v>0</v>
      </c>
      <c r="J30" s="40">
        <f t="shared" si="0"/>
        <v>210</v>
      </c>
    </row>
    <row r="31" spans="2:10" ht="21" customHeight="1" x14ac:dyDescent="0.3">
      <c r="B31" s="2">
        <v>45377</v>
      </c>
      <c r="C31" s="6">
        <v>30</v>
      </c>
      <c r="D31" s="10">
        <v>194</v>
      </c>
      <c r="E31" s="10"/>
      <c r="F31" s="9" t="str">
        <f>IF(Tablo145678910111213141516171819202122232425[[#This Row],[SATIŞ]]=0,"Açık",(E31-D31)*C31)</f>
        <v>Açık</v>
      </c>
      <c r="G31" s="11">
        <f>Tablo145678910111213141516171819202122232425[[#This Row],[ADET]]*Tablo145678910111213141516171819202122232425[[#This Row],[ALIŞ]]</f>
        <v>5820</v>
      </c>
      <c r="H31" s="11">
        <f>Tablo145678910111213141516171819202122232425[[#This Row],[ADET]]*Tablo145678910111213141516171819202122232425[[#This Row],[SATIŞ]]</f>
        <v>0</v>
      </c>
      <c r="J31" s="40">
        <f t="shared" si="0"/>
        <v>203.70000000000002</v>
      </c>
    </row>
    <row r="32" spans="2:10" ht="21" hidden="1" customHeight="1" x14ac:dyDescent="0.3">
      <c r="B32" s="2">
        <v>45377</v>
      </c>
      <c r="C32" s="6">
        <v>20</v>
      </c>
      <c r="D32" s="10">
        <v>193</v>
      </c>
      <c r="E32" s="10">
        <v>200</v>
      </c>
      <c r="F32" s="9">
        <f>IF(Tablo145678910111213141516171819202122232425[[#This Row],[SATIŞ]]=0,"Açık",(E32-D32)*C32)</f>
        <v>140</v>
      </c>
      <c r="G32" s="11">
        <f>Tablo145678910111213141516171819202122232425[[#This Row],[ADET]]*Tablo145678910111213141516171819202122232425[[#This Row],[ALIŞ]]</f>
        <v>3860</v>
      </c>
      <c r="H32" s="11">
        <f>Tablo145678910111213141516171819202122232425[[#This Row],[ADET]]*Tablo145678910111213141516171819202122232425[[#This Row],[SATIŞ]]</f>
        <v>4000</v>
      </c>
      <c r="J32" s="40" t="str">
        <f t="shared" si="0"/>
        <v/>
      </c>
    </row>
    <row r="33" spans="2:10" ht="21" hidden="1" customHeight="1" x14ac:dyDescent="0.3">
      <c r="B33" s="2">
        <v>45377</v>
      </c>
      <c r="C33" s="6">
        <v>10</v>
      </c>
      <c r="D33" s="10">
        <v>192</v>
      </c>
      <c r="E33" s="10">
        <v>195</v>
      </c>
      <c r="F33" s="9">
        <f>IF(Tablo145678910111213141516171819202122232425[[#This Row],[SATIŞ]]=0,"Açık",(E33-D33)*C33)</f>
        <v>30</v>
      </c>
      <c r="G33" s="11">
        <f>Tablo145678910111213141516171819202122232425[[#This Row],[ADET]]*Tablo145678910111213141516171819202122232425[[#This Row],[ALIŞ]]</f>
        <v>1920</v>
      </c>
      <c r="H33" s="11">
        <f>Tablo145678910111213141516171819202122232425[[#This Row],[ADET]]*Tablo145678910111213141516171819202122232425[[#This Row],[SATIŞ]]</f>
        <v>1950</v>
      </c>
      <c r="J33" s="40" t="str">
        <f t="shared" si="0"/>
        <v/>
      </c>
    </row>
    <row r="34" spans="2:10" ht="21" hidden="1" customHeight="1" x14ac:dyDescent="0.3">
      <c r="B34" s="2">
        <v>45378</v>
      </c>
      <c r="C34" s="6">
        <v>20</v>
      </c>
      <c r="D34" s="10">
        <v>190</v>
      </c>
      <c r="E34" s="10">
        <v>197</v>
      </c>
      <c r="F34" s="9">
        <f>IF(Tablo145678910111213141516171819202122232425[[#This Row],[SATIŞ]]=0,"Açık",(E34-D34)*C34)</f>
        <v>140</v>
      </c>
      <c r="G34" s="11">
        <f>Tablo145678910111213141516171819202122232425[[#This Row],[ADET]]*Tablo145678910111213141516171819202122232425[[#This Row],[ALIŞ]]</f>
        <v>3800</v>
      </c>
      <c r="H34" s="11">
        <f>Tablo145678910111213141516171819202122232425[[#This Row],[ADET]]*Tablo145678910111213141516171819202122232425[[#This Row],[SATIŞ]]</f>
        <v>3940</v>
      </c>
      <c r="J34" s="40" t="str">
        <f t="shared" si="0"/>
        <v/>
      </c>
    </row>
    <row r="35" spans="2:10" ht="21" customHeight="1" x14ac:dyDescent="0.3">
      <c r="B35" s="2">
        <v>45380</v>
      </c>
      <c r="C35" s="6">
        <v>10</v>
      </c>
      <c r="D35" s="10">
        <v>200</v>
      </c>
      <c r="E35" s="10"/>
      <c r="F35" s="9" t="str">
        <f>IF(Tablo145678910111213141516171819202122232425[[#This Row],[SATIŞ]]=0,"Açık",(E35-D35)*C35)</f>
        <v>Açık</v>
      </c>
      <c r="G35" s="11">
        <f>Tablo145678910111213141516171819202122232425[[#This Row],[ADET]]*Tablo145678910111213141516171819202122232425[[#This Row],[ALIŞ]]</f>
        <v>2000</v>
      </c>
      <c r="H35" s="11">
        <f>Tablo145678910111213141516171819202122232425[[#This Row],[ADET]]*Tablo145678910111213141516171819202122232425[[#This Row],[SATIŞ]]</f>
        <v>0</v>
      </c>
      <c r="J35" s="40">
        <f t="shared" si="0"/>
        <v>210</v>
      </c>
    </row>
    <row r="36" spans="2:10" ht="21" customHeight="1" x14ac:dyDescent="0.3">
      <c r="B36" s="2">
        <v>45384</v>
      </c>
      <c r="C36" s="6">
        <v>10</v>
      </c>
      <c r="D36" s="10">
        <v>210</v>
      </c>
      <c r="E36" s="10"/>
      <c r="F36" s="9" t="str">
        <f>IF(Tablo145678910111213141516171819202122232425[[#This Row],[SATIŞ]]=0,"Açık",(E36-D36)*C36)</f>
        <v>Açık</v>
      </c>
      <c r="G36" s="11">
        <f>Tablo145678910111213141516171819202122232425[[#This Row],[ADET]]*Tablo145678910111213141516171819202122232425[[#This Row],[ALIŞ]]</f>
        <v>2100</v>
      </c>
      <c r="H36" s="11">
        <f>Tablo145678910111213141516171819202122232425[[#This Row],[ADET]]*Tablo145678910111213141516171819202122232425[[#This Row],[SATIŞ]]</f>
        <v>0</v>
      </c>
      <c r="J36" s="40">
        <f t="shared" si="0"/>
        <v>220.5</v>
      </c>
    </row>
    <row r="37" spans="2:10" ht="21" customHeight="1" x14ac:dyDescent="0.3">
      <c r="B37" s="2">
        <v>45387</v>
      </c>
      <c r="C37" s="6">
        <v>10</v>
      </c>
      <c r="D37" s="10">
        <v>216</v>
      </c>
      <c r="E37" s="10"/>
      <c r="F37" s="9" t="str">
        <f>IF(Tablo145678910111213141516171819202122232425[[#This Row],[SATIŞ]]=0,"Açık",(E37-D37)*C37)</f>
        <v>Açık</v>
      </c>
      <c r="G37" s="11">
        <f>Tablo145678910111213141516171819202122232425[[#This Row],[ADET]]*Tablo145678910111213141516171819202122232425[[#This Row],[ALIŞ]]</f>
        <v>2160</v>
      </c>
      <c r="H37" s="11">
        <f>Tablo145678910111213141516171819202122232425[[#This Row],[ADET]]*Tablo145678910111213141516171819202122232425[[#This Row],[SATIŞ]]</f>
        <v>0</v>
      </c>
      <c r="J37" s="40">
        <f t="shared" si="0"/>
        <v>226.8</v>
      </c>
    </row>
    <row r="38" spans="2:10" ht="21" customHeight="1" x14ac:dyDescent="0.3">
      <c r="B38" s="2">
        <v>45387</v>
      </c>
      <c r="C38" s="6">
        <v>10</v>
      </c>
      <c r="D38" s="10">
        <v>216.5</v>
      </c>
      <c r="E38" s="10"/>
      <c r="F38" s="9" t="str">
        <f>IF(Tablo145678910111213141516171819202122232425[[#This Row],[SATIŞ]]=0,"Açık",(E38-D38)*C38)</f>
        <v>Açık</v>
      </c>
      <c r="G38" s="11">
        <f>Tablo145678910111213141516171819202122232425[[#This Row],[ADET]]*Tablo145678910111213141516171819202122232425[[#This Row],[ALIŞ]]</f>
        <v>2165</v>
      </c>
      <c r="H38" s="11">
        <f>Tablo145678910111213141516171819202122232425[[#This Row],[ADET]]*Tablo145678910111213141516171819202122232425[[#This Row],[SATIŞ]]</f>
        <v>0</v>
      </c>
      <c r="J38" s="40">
        <f t="shared" si="0"/>
        <v>227.32500000000002</v>
      </c>
    </row>
    <row r="39" spans="2:10" ht="21" hidden="1" customHeight="1" x14ac:dyDescent="0.3">
      <c r="B39" s="2">
        <v>45387</v>
      </c>
      <c r="C39" s="6">
        <v>10</v>
      </c>
      <c r="D39" s="10">
        <v>213.9</v>
      </c>
      <c r="E39" s="10">
        <v>215</v>
      </c>
      <c r="F39" s="9">
        <f>IF(Tablo145678910111213141516171819202122232425[[#This Row],[SATIŞ]]=0,"Açık",(E39-D39)*C39)</f>
        <v>10.999999999999943</v>
      </c>
      <c r="G39" s="11">
        <f>Tablo145678910111213141516171819202122232425[[#This Row],[ADET]]*Tablo145678910111213141516171819202122232425[[#This Row],[ALIŞ]]</f>
        <v>2139</v>
      </c>
      <c r="H39" s="11">
        <f>Tablo145678910111213141516171819202122232425[[#This Row],[ADET]]*Tablo145678910111213141516171819202122232425[[#This Row],[SATIŞ]]</f>
        <v>2150</v>
      </c>
      <c r="J39" s="40" t="str">
        <f t="shared" si="0"/>
        <v/>
      </c>
    </row>
    <row r="40" spans="2:10" ht="21" hidden="1" customHeight="1" x14ac:dyDescent="0.3">
      <c r="B40" s="2">
        <v>45387</v>
      </c>
      <c r="C40" s="6">
        <v>10</v>
      </c>
      <c r="D40" s="10">
        <v>213.9</v>
      </c>
      <c r="E40" s="10">
        <v>216</v>
      </c>
      <c r="F40" s="9">
        <f>IF(Tablo145678910111213141516171819202122232425[[#This Row],[SATIŞ]]=0,"Açık",(E40-D40)*C40)</f>
        <v>20.999999999999943</v>
      </c>
      <c r="G40" s="11">
        <f>Tablo145678910111213141516171819202122232425[[#This Row],[ADET]]*Tablo145678910111213141516171819202122232425[[#This Row],[ALIŞ]]</f>
        <v>2139</v>
      </c>
      <c r="H40" s="11">
        <f>Tablo145678910111213141516171819202122232425[[#This Row],[ADET]]*Tablo145678910111213141516171819202122232425[[#This Row],[SATIŞ]]</f>
        <v>2160</v>
      </c>
      <c r="J40" s="40" t="str">
        <f t="shared" si="0"/>
        <v/>
      </c>
    </row>
    <row r="41" spans="2:10" ht="21" hidden="1" customHeight="1" x14ac:dyDescent="0.3">
      <c r="B41" s="2">
        <v>45387</v>
      </c>
      <c r="C41" s="6">
        <v>20</v>
      </c>
      <c r="D41" s="10">
        <v>213.9</v>
      </c>
      <c r="E41" s="10">
        <v>217.5</v>
      </c>
      <c r="F41" s="9">
        <f>IF(Tablo145678910111213141516171819202122232425[[#This Row],[SATIŞ]]=0,"Açık",(E41-D41)*C41)</f>
        <v>71.999999999999886</v>
      </c>
      <c r="G41" s="11">
        <f>Tablo145678910111213141516171819202122232425[[#This Row],[ADET]]*Tablo145678910111213141516171819202122232425[[#This Row],[ALIŞ]]</f>
        <v>4278</v>
      </c>
      <c r="H41" s="11">
        <f>Tablo145678910111213141516171819202122232425[[#This Row],[ADET]]*Tablo145678910111213141516171819202122232425[[#This Row],[SATIŞ]]</f>
        <v>4350</v>
      </c>
      <c r="J41" s="40" t="str">
        <f t="shared" si="0"/>
        <v/>
      </c>
    </row>
    <row r="42" spans="2:10" ht="21" hidden="1" customHeight="1" x14ac:dyDescent="0.3">
      <c r="B42" s="2">
        <v>45387</v>
      </c>
      <c r="C42" s="6">
        <v>10</v>
      </c>
      <c r="D42" s="10">
        <v>213.9</v>
      </c>
      <c r="E42" s="10">
        <v>219</v>
      </c>
      <c r="F42" s="9">
        <f>IF(Tablo145678910111213141516171819202122232425[[#This Row],[SATIŞ]]=0,"Açık",(E42-D42)*C42)</f>
        <v>50.999999999999943</v>
      </c>
      <c r="G42" s="11">
        <f>Tablo145678910111213141516171819202122232425[[#This Row],[ADET]]*Tablo145678910111213141516171819202122232425[[#This Row],[ALIŞ]]</f>
        <v>2139</v>
      </c>
      <c r="H42" s="11">
        <f>Tablo145678910111213141516171819202122232425[[#This Row],[ADET]]*Tablo145678910111213141516171819202122232425[[#This Row],[SATIŞ]]</f>
        <v>2190</v>
      </c>
      <c r="J42" s="40" t="str">
        <f t="shared" si="0"/>
        <v/>
      </c>
    </row>
    <row r="43" spans="2:10" ht="21" hidden="1" customHeight="1" x14ac:dyDescent="0.3">
      <c r="B43" s="2">
        <v>45387</v>
      </c>
      <c r="C43" s="6">
        <v>10</v>
      </c>
      <c r="D43" s="10">
        <v>213.9</v>
      </c>
      <c r="E43" s="10">
        <v>220</v>
      </c>
      <c r="F43" s="9">
        <f>IF(Tablo145678910111213141516171819202122232425[[#This Row],[SATIŞ]]=0,"Açık",(E43-D43)*C43)</f>
        <v>60.999999999999943</v>
      </c>
      <c r="G43" s="11">
        <f>Tablo145678910111213141516171819202122232425[[#This Row],[ADET]]*Tablo145678910111213141516171819202122232425[[#This Row],[ALIŞ]]</f>
        <v>2139</v>
      </c>
      <c r="H43" s="11">
        <f>Tablo145678910111213141516171819202122232425[[#This Row],[ADET]]*Tablo145678910111213141516171819202122232425[[#This Row],[SATIŞ]]</f>
        <v>2200</v>
      </c>
    </row>
    <row r="44" spans="2:10" ht="21" customHeight="1" x14ac:dyDescent="0.3">
      <c r="B44" s="2">
        <v>45387</v>
      </c>
      <c r="C44" s="6">
        <v>40</v>
      </c>
      <c r="D44" s="10">
        <v>213.9</v>
      </c>
      <c r="E44" s="10"/>
      <c r="F44" s="9" t="str">
        <f>IF(Tablo145678910111213141516171819202122232425[[#This Row],[SATIŞ]]=0,"Açık",(E44-D44)*C44)</f>
        <v>Açık</v>
      </c>
      <c r="G44" s="11">
        <f>Tablo145678910111213141516171819202122232425[[#This Row],[ADET]]*Tablo145678910111213141516171819202122232425[[#This Row],[ALIŞ]]</f>
        <v>8556</v>
      </c>
      <c r="H44" s="11">
        <f>Tablo145678910111213141516171819202122232425[[#This Row],[ADET]]*Tablo145678910111213141516171819202122232425[[#This Row],[SATIŞ]]</f>
        <v>0</v>
      </c>
    </row>
    <row r="45" spans="2:10" ht="21" customHeight="1" x14ac:dyDescent="0.3">
      <c r="B45" s="2">
        <v>45390</v>
      </c>
      <c r="C45" s="6">
        <v>10</v>
      </c>
      <c r="D45" s="10">
        <v>222</v>
      </c>
      <c r="E45" s="10"/>
      <c r="F45" s="9" t="str">
        <f>IF(Tablo145678910111213141516171819202122232425[[#This Row],[SATIŞ]]=0,"Açık",(E45-D45)*C45)</f>
        <v>Açık</v>
      </c>
      <c r="G45" s="11">
        <f>Tablo145678910111213141516171819202122232425[[#This Row],[ADET]]*Tablo145678910111213141516171819202122232425[[#This Row],[ALIŞ]]</f>
        <v>2220</v>
      </c>
      <c r="H45" s="11">
        <f>Tablo145678910111213141516171819202122232425[[#This Row],[ADET]]*Tablo145678910111213141516171819202122232425[[#This Row],[SATIŞ]]</f>
        <v>0</v>
      </c>
    </row>
    <row r="46" spans="2:10" ht="21" customHeight="1" x14ac:dyDescent="0.3">
      <c r="B46" s="2">
        <v>45390</v>
      </c>
      <c r="C46" s="6">
        <v>20</v>
      </c>
      <c r="D46" s="10">
        <v>221</v>
      </c>
      <c r="E46" s="10"/>
      <c r="F46" s="9" t="str">
        <f>IF(Tablo145678910111213141516171819202122232425[[#This Row],[SATIŞ]]=0,"Açık",(E46-D46)*C46)</f>
        <v>Açık</v>
      </c>
      <c r="G46" s="11">
        <f>Tablo145678910111213141516171819202122232425[[#This Row],[ADET]]*Tablo145678910111213141516171819202122232425[[#This Row],[ALIŞ]]</f>
        <v>4420</v>
      </c>
      <c r="H46" s="11">
        <f>Tablo145678910111213141516171819202122232425[[#This Row],[ADET]]*Tablo145678910111213141516171819202122232425[[#This Row],[SATIŞ]]</f>
        <v>0</v>
      </c>
    </row>
    <row r="47" spans="2:10" ht="21" customHeight="1" x14ac:dyDescent="0.3">
      <c r="B47" s="2">
        <v>45390</v>
      </c>
      <c r="C47" s="6">
        <v>30</v>
      </c>
      <c r="D47" s="10">
        <v>220</v>
      </c>
      <c r="E47" s="10"/>
      <c r="F47" s="9" t="str">
        <f>IF(Tablo145678910111213141516171819202122232425[[#This Row],[SATIŞ]]=0,"Açık",(E47-D47)*C47)</f>
        <v>Açık</v>
      </c>
      <c r="G47" s="11">
        <f>Tablo145678910111213141516171819202122232425[[#This Row],[ADET]]*Tablo145678910111213141516171819202122232425[[#This Row],[ALIŞ]]</f>
        <v>6600</v>
      </c>
      <c r="H47" s="11">
        <f>Tablo145678910111213141516171819202122232425[[#This Row],[ADET]]*Tablo145678910111213141516171819202122232425[[#This Row],[SATIŞ]]</f>
        <v>0</v>
      </c>
    </row>
    <row r="48" spans="2:10" ht="21" customHeight="1" x14ac:dyDescent="0.3">
      <c r="B48" s="2">
        <v>45390</v>
      </c>
      <c r="C48" s="6">
        <v>30</v>
      </c>
      <c r="D48" s="10">
        <v>218.5</v>
      </c>
      <c r="E48" s="10"/>
      <c r="F48" s="9" t="str">
        <f>IF(Tablo145678910111213141516171819202122232425[[#This Row],[SATIŞ]]=0,"Açık",(E48-D48)*C48)</f>
        <v>Açık</v>
      </c>
      <c r="G48" s="11">
        <f>Tablo145678910111213141516171819202122232425[[#This Row],[ADET]]*Tablo145678910111213141516171819202122232425[[#This Row],[ALIŞ]]</f>
        <v>6555</v>
      </c>
      <c r="H48" s="11">
        <f>Tablo145678910111213141516171819202122232425[[#This Row],[ADET]]*Tablo145678910111213141516171819202122232425[[#This Row],[SATIŞ]]</f>
        <v>0</v>
      </c>
    </row>
    <row r="49" spans="2:8" ht="21" hidden="1" customHeight="1" x14ac:dyDescent="0.3">
      <c r="B49" s="2">
        <v>45397</v>
      </c>
      <c r="C49" s="6">
        <v>10</v>
      </c>
      <c r="D49" s="10">
        <v>216</v>
      </c>
      <c r="E49" s="10">
        <v>223</v>
      </c>
      <c r="F49" s="9">
        <f>IF(Tablo145678910111213141516171819202122232425[[#This Row],[SATIŞ]]=0,"Açık",(E49-D49)*C49)</f>
        <v>70</v>
      </c>
      <c r="G49" s="11">
        <f>Tablo145678910111213141516171819202122232425[[#This Row],[ADET]]*Tablo145678910111213141516171819202122232425[[#This Row],[ALIŞ]]</f>
        <v>2160</v>
      </c>
      <c r="H49" s="11">
        <f>Tablo145678910111213141516171819202122232425[[#This Row],[ADET]]*Tablo145678910111213141516171819202122232425[[#This Row],[SATIŞ]]</f>
        <v>2230</v>
      </c>
    </row>
    <row r="50" spans="2:8" ht="21" hidden="1" customHeight="1" x14ac:dyDescent="0.3">
      <c r="B50" s="2">
        <v>45397</v>
      </c>
      <c r="C50" s="6">
        <v>10</v>
      </c>
      <c r="D50" s="10">
        <v>215</v>
      </c>
      <c r="E50" s="10">
        <v>220</v>
      </c>
      <c r="F50" s="9">
        <f>IF(Tablo145678910111213141516171819202122232425[[#This Row],[SATIŞ]]=0,"Açık",(E50-D50)*C50)</f>
        <v>50</v>
      </c>
      <c r="G50" s="11">
        <f>Tablo145678910111213141516171819202122232425[[#This Row],[ADET]]*Tablo145678910111213141516171819202122232425[[#This Row],[ALIŞ]]</f>
        <v>2150</v>
      </c>
      <c r="H50" s="11">
        <f>Tablo145678910111213141516171819202122232425[[#This Row],[ADET]]*Tablo145678910111213141516171819202122232425[[#This Row],[SATIŞ]]</f>
        <v>2200</v>
      </c>
    </row>
    <row r="51" spans="2:8" ht="21" hidden="1" customHeight="1" x14ac:dyDescent="0.3">
      <c r="B51" s="2">
        <v>45397</v>
      </c>
      <c r="C51" s="6">
        <v>10</v>
      </c>
      <c r="D51" s="10">
        <v>215</v>
      </c>
      <c r="E51" s="10">
        <v>222</v>
      </c>
      <c r="F51" s="9">
        <f>IF(Tablo145678910111213141516171819202122232425[[#This Row],[SATIŞ]]=0,"Açık",(E51-D51)*C51)</f>
        <v>70</v>
      </c>
      <c r="G51" s="11">
        <f>Tablo145678910111213141516171819202122232425[[#This Row],[ADET]]*Tablo145678910111213141516171819202122232425[[#This Row],[ALIŞ]]</f>
        <v>2150</v>
      </c>
      <c r="H51" s="11">
        <f>Tablo145678910111213141516171819202122232425[[#This Row],[ADET]]*Tablo145678910111213141516171819202122232425[[#This Row],[SATIŞ]]</f>
        <v>2220</v>
      </c>
    </row>
  </sheetData>
  <conditionalFormatting sqref="B4:F51">
    <cfRule type="expression" dxfId="107" priority="1">
      <formula>$F4&lt;0</formula>
    </cfRule>
    <cfRule type="expression" dxfId="106" priority="2">
      <formula>$F4="Açık"</formula>
    </cfRule>
    <cfRule type="expression" dxfId="105" priority="3">
      <formula>$F4&gt;0</formula>
    </cfRule>
  </conditionalFormatting>
  <hyperlinks>
    <hyperlink ref="B1" location="İcmal!A1" display="ANA SAYFA" xr:uid="{D45548DB-1B54-4D43-9F13-50C4A8DC9DBE}"/>
  </hyperlinks>
  <pageMargins left="0.7" right="0.7" top="0.75" bottom="0.75" header="0.3" footer="0.3"/>
  <tableParts count="1">
    <tablePart r:id="rId1"/>
  </tablePart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89AF5-98DA-43B2-934B-2729577617CB}">
  <dimension ref="B1:R25"/>
  <sheetViews>
    <sheetView showGridLines="0" showZeros="0" workbookViewId="0">
      <pane ySplit="1" topLeftCell="A14" activePane="bottomLeft" state="frozen"/>
      <selection activeCell="C23" sqref="C23"/>
      <selection pane="bottomLeft" activeCell="G1" sqref="G1"/>
    </sheetView>
  </sheetViews>
  <sheetFormatPr defaultRowHeight="21" customHeight="1" x14ac:dyDescent="0.3"/>
  <cols>
    <col min="2" max="2" width="20.6640625" style="1" customWidth="1"/>
    <col min="3" max="3" width="11.33203125" style="6" customWidth="1"/>
    <col min="4" max="5" width="12.88671875" style="3" customWidth="1"/>
    <col min="6" max="6" width="12.88671875" style="5" customWidth="1"/>
    <col min="7" max="8" width="11.33203125" bestFit="1" customWidth="1"/>
    <col min="12" max="13" width="11.33203125" bestFit="1" customWidth="1"/>
    <col min="14" max="14" width="10.33203125" bestFit="1" customWidth="1"/>
  </cols>
  <sheetData>
    <row r="1" spans="2:18" ht="21" customHeight="1" x14ac:dyDescent="0.3">
      <c r="B1" s="12" t="s">
        <v>64</v>
      </c>
      <c r="C1" s="4">
        <f>SUMIF(Tablo14567891011121314151617181920212223242526[KAR],"Açık",Tablo14567891011121314151617181920212223242526[ADET])</f>
        <v>0</v>
      </c>
      <c r="D1" s="10">
        <f>+İcmal!E36</f>
        <v>9.9700000000000006</v>
      </c>
      <c r="E1" s="10">
        <f>C1*D1</f>
        <v>0</v>
      </c>
      <c r="F1" s="10" t="str">
        <f>IFERROR(((SUM(Tablo14567891011121314151617181920212223242526[ALIŞ TUTAR])-SUM(Tablo14567891011121314151617181920212223242526[SATIŞ TUTAR]))/C1),"")</f>
        <v/>
      </c>
      <c r="G1" s="10">
        <f>IF(M3=0,L3,C1*(D1-F1))</f>
        <v>2420.7022399999996</v>
      </c>
      <c r="J1" s="34">
        <v>0.03</v>
      </c>
      <c r="L1" s="8" t="e">
        <f>M1*(1-$J$1)</f>
        <v>#VALUE!</v>
      </c>
      <c r="M1" s="33" t="str">
        <f>F1</f>
        <v/>
      </c>
      <c r="N1" s="8" t="e">
        <f>M1*(1+$J$1)</f>
        <v>#VALUE!</v>
      </c>
      <c r="P1" s="8">
        <f>Q1*(1-$J$1)</f>
        <v>9.6708999999999996</v>
      </c>
      <c r="Q1" s="33">
        <f>+D1</f>
        <v>9.9700000000000006</v>
      </c>
      <c r="R1" s="8">
        <f>Q1*(1+$J$1)</f>
        <v>10.269100000000002</v>
      </c>
    </row>
    <row r="3" spans="2:18" ht="21" customHeight="1" x14ac:dyDescent="0.3">
      <c r="B3" s="1" t="s">
        <v>0</v>
      </c>
      <c r="C3" s="6" t="s">
        <v>4</v>
      </c>
      <c r="D3" s="3" t="s">
        <v>1</v>
      </c>
      <c r="E3" s="3" t="s">
        <v>3</v>
      </c>
      <c r="F3" s="5" t="s">
        <v>2</v>
      </c>
      <c r="G3" s="3" t="s">
        <v>8</v>
      </c>
      <c r="H3" s="3" t="s">
        <v>9</v>
      </c>
      <c r="L3" s="33">
        <f>SUM(Tablo14567891011121314151617181920212223242526[KAR])</f>
        <v>2420.7022399999996</v>
      </c>
      <c r="M3" s="37">
        <f>+C1</f>
        <v>0</v>
      </c>
    </row>
    <row r="4" spans="2:18" ht="21" customHeight="1" x14ac:dyDescent="0.3">
      <c r="B4" s="2">
        <v>45291</v>
      </c>
      <c r="C4" s="6">
        <v>2865</v>
      </c>
      <c r="D4" s="10">
        <v>7.2111340000000004</v>
      </c>
      <c r="E4" s="10">
        <v>7.4365100000000002</v>
      </c>
      <c r="F4" s="9">
        <f>IF(Tablo14567891011121314151617181920212223242526[[#This Row],[SATIŞ]]=0,"Açık",(E4-D4)*C4)</f>
        <v>645.70223999999939</v>
      </c>
      <c r="G4" s="11">
        <f>Tablo14567891011121314151617181920212223242526[[#This Row],[ADET]]*Tablo14567891011121314151617181920212223242526[[#This Row],[ALIŞ]]</f>
        <v>20659.89891</v>
      </c>
      <c r="H4" s="11">
        <f>Tablo14567891011121314151617181920212223242526[[#This Row],[ADET]]*Tablo14567891011121314151617181920212223242526[[#This Row],[SATIŞ]]</f>
        <v>21305.601150000002</v>
      </c>
      <c r="L4" s="8">
        <f>SUM(Tablo14567891011121314151617181920212223242526[ALIŞ TUTAR])</f>
        <v>54555.898910000004</v>
      </c>
      <c r="M4" s="8">
        <f>SUM(Tablo14567891011121314151617181920212223242526[SATIŞ TUTAR])</f>
        <v>56976.601150000002</v>
      </c>
      <c r="N4" s="8">
        <f>L4-M4</f>
        <v>-2420.7022399999987</v>
      </c>
    </row>
    <row r="5" spans="2:18" ht="21" customHeight="1" x14ac:dyDescent="0.3">
      <c r="B5" s="2">
        <v>45328</v>
      </c>
      <c r="C5" s="6">
        <v>100</v>
      </c>
      <c r="D5" s="10">
        <v>8.36</v>
      </c>
      <c r="E5" s="10">
        <v>8.1</v>
      </c>
      <c r="F5" s="9">
        <f>IF(Tablo14567891011121314151617181920212223242526[[#This Row],[SATIŞ]]=0,"Açık",(E5-D5)*C5)</f>
        <v>-25.999999999999979</v>
      </c>
      <c r="G5" s="11">
        <f>Tablo14567891011121314151617181920212223242526[[#This Row],[ADET]]*Tablo14567891011121314151617181920212223242526[[#This Row],[ALIŞ]]</f>
        <v>836</v>
      </c>
      <c r="H5" s="11">
        <f>Tablo14567891011121314151617181920212223242526[[#This Row],[ADET]]*Tablo14567891011121314151617181920212223242526[[#This Row],[SATIŞ]]</f>
        <v>810</v>
      </c>
      <c r="N5">
        <f>+N4/80</f>
        <v>-30.258777999999985</v>
      </c>
    </row>
    <row r="6" spans="2:18" ht="21" customHeight="1" x14ac:dyDescent="0.3">
      <c r="B6" s="2">
        <v>45328</v>
      </c>
      <c r="C6" s="6">
        <v>100</v>
      </c>
      <c r="D6" s="10">
        <v>8.3000000000000007</v>
      </c>
      <c r="E6" s="10">
        <v>8.3000000000000007</v>
      </c>
      <c r="F6" s="9">
        <f>IF(Tablo14567891011121314151617181920212223242526[[#This Row],[SATIŞ]]=0,"Açık",(E6-D6)*C6)</f>
        <v>0</v>
      </c>
      <c r="G6" s="11">
        <f>Tablo14567891011121314151617181920212223242526[[#This Row],[ADET]]*Tablo14567891011121314151617181920212223242526[[#This Row],[ALIŞ]]</f>
        <v>830.00000000000011</v>
      </c>
      <c r="H6" s="11">
        <f>Tablo14567891011121314151617181920212223242526[[#This Row],[ADET]]*Tablo14567891011121314151617181920212223242526[[#This Row],[SATIŞ]]</f>
        <v>830.00000000000011</v>
      </c>
    </row>
    <row r="7" spans="2:18" ht="21" customHeight="1" x14ac:dyDescent="0.3">
      <c r="B7" s="2">
        <v>45329</v>
      </c>
      <c r="C7" s="6">
        <v>100</v>
      </c>
      <c r="D7" s="10">
        <v>8.1999999999999993</v>
      </c>
      <c r="E7" s="10">
        <v>8.3000000000000007</v>
      </c>
      <c r="F7" s="9">
        <f>IF(Tablo14567891011121314151617181920212223242526[[#This Row],[SATIŞ]]=0,"Açık",(E7-D7)*C7)</f>
        <v>10.000000000000142</v>
      </c>
      <c r="G7" s="11">
        <f>Tablo14567891011121314151617181920212223242526[[#This Row],[ADET]]*Tablo14567891011121314151617181920212223242526[[#This Row],[ALIŞ]]</f>
        <v>819.99999999999989</v>
      </c>
      <c r="H7" s="11">
        <f>Tablo14567891011121314151617181920212223242526[[#This Row],[ADET]]*Tablo14567891011121314151617181920212223242526[[#This Row],[SATIŞ]]</f>
        <v>830.00000000000011</v>
      </c>
    </row>
    <row r="8" spans="2:18" ht="21" customHeight="1" x14ac:dyDescent="0.3">
      <c r="B8" s="2">
        <v>45329</v>
      </c>
      <c r="C8" s="6">
        <v>200</v>
      </c>
      <c r="D8" s="10">
        <v>8</v>
      </c>
      <c r="E8" s="10">
        <v>8.25</v>
      </c>
      <c r="F8" s="9">
        <f>IF(Tablo14567891011121314151617181920212223242526[[#This Row],[SATIŞ]]=0,"Açık",(E8-D8)*C8)</f>
        <v>50</v>
      </c>
      <c r="G8" s="11">
        <f>Tablo14567891011121314151617181920212223242526[[#This Row],[ADET]]*Tablo14567891011121314151617181920212223242526[[#This Row],[ALIŞ]]</f>
        <v>1600</v>
      </c>
      <c r="H8" s="11">
        <f>Tablo14567891011121314151617181920212223242526[[#This Row],[ADET]]*Tablo14567891011121314151617181920212223242526[[#This Row],[SATIŞ]]</f>
        <v>1650</v>
      </c>
    </row>
    <row r="9" spans="2:18" ht="21" customHeight="1" x14ac:dyDescent="0.3">
      <c r="B9" s="2">
        <v>45329</v>
      </c>
      <c r="C9" s="6">
        <v>50</v>
      </c>
      <c r="D9" s="10">
        <v>8</v>
      </c>
      <c r="E9" s="10">
        <v>8.35</v>
      </c>
      <c r="F9" s="9">
        <f>IF(Tablo14567891011121314151617181920212223242526[[#This Row],[SATIŞ]]=0,"Açık",(E9-D9)*C9)</f>
        <v>17.499999999999982</v>
      </c>
      <c r="G9" s="11">
        <f>Tablo14567891011121314151617181920212223242526[[#This Row],[ADET]]*Tablo14567891011121314151617181920212223242526[[#This Row],[ALIŞ]]</f>
        <v>400</v>
      </c>
      <c r="H9" s="11">
        <f>Tablo14567891011121314151617181920212223242526[[#This Row],[ADET]]*Tablo14567891011121314151617181920212223242526[[#This Row],[SATIŞ]]</f>
        <v>417.5</v>
      </c>
    </row>
    <row r="10" spans="2:18" ht="21" customHeight="1" x14ac:dyDescent="0.3">
      <c r="B10" s="2">
        <v>45329</v>
      </c>
      <c r="C10" s="6">
        <v>50</v>
      </c>
      <c r="D10" s="10">
        <v>8</v>
      </c>
      <c r="E10" s="10">
        <v>9.68</v>
      </c>
      <c r="F10" s="9">
        <f>IF(Tablo14567891011121314151617181920212223242526[[#This Row],[SATIŞ]]=0,"Açık",(E10-D10)*C10)</f>
        <v>83.999999999999986</v>
      </c>
      <c r="G10" s="11">
        <f>Tablo14567891011121314151617181920212223242526[[#This Row],[ADET]]*Tablo14567891011121314151617181920212223242526[[#This Row],[ALIŞ]]</f>
        <v>400</v>
      </c>
      <c r="H10" s="11">
        <f>Tablo14567891011121314151617181920212223242526[[#This Row],[ADET]]*Tablo14567891011121314151617181920212223242526[[#This Row],[SATIŞ]]</f>
        <v>484</v>
      </c>
    </row>
    <row r="11" spans="2:18" ht="21" customHeight="1" x14ac:dyDescent="0.3">
      <c r="B11" s="2">
        <v>45329</v>
      </c>
      <c r="C11" s="6">
        <v>200</v>
      </c>
      <c r="D11" s="10">
        <v>8</v>
      </c>
      <c r="E11" s="10">
        <v>9.68</v>
      </c>
      <c r="F11" s="9">
        <f>IF(Tablo14567891011121314151617181920212223242526[[#This Row],[SATIŞ]]=0,"Açık",(E11-D11)*C11)</f>
        <v>335.99999999999994</v>
      </c>
      <c r="G11" s="11">
        <f>Tablo14567891011121314151617181920212223242526[[#This Row],[ADET]]*Tablo14567891011121314151617181920212223242526[[#This Row],[ALIŞ]]</f>
        <v>1600</v>
      </c>
      <c r="H11" s="11">
        <f>Tablo14567891011121314151617181920212223242526[[#This Row],[ADET]]*Tablo14567891011121314151617181920212223242526[[#This Row],[SATIŞ]]</f>
        <v>1936</v>
      </c>
    </row>
    <row r="12" spans="2:18" ht="21" customHeight="1" x14ac:dyDescent="0.3">
      <c r="B12" s="2">
        <v>45329</v>
      </c>
      <c r="C12" s="6">
        <v>100</v>
      </c>
      <c r="D12" s="10">
        <v>8</v>
      </c>
      <c r="E12" s="10">
        <v>10.64</v>
      </c>
      <c r="F12" s="9">
        <f>IF(Tablo14567891011121314151617181920212223242526[[#This Row],[SATIŞ]]=0,"Açık",(E12-D12)*C12)</f>
        <v>264.00000000000006</v>
      </c>
      <c r="G12" s="11">
        <f>Tablo14567891011121314151617181920212223242526[[#This Row],[ADET]]*Tablo14567891011121314151617181920212223242526[[#This Row],[ALIŞ]]</f>
        <v>800</v>
      </c>
      <c r="H12" s="11">
        <f>Tablo14567891011121314151617181920212223242526[[#This Row],[ADET]]*Tablo14567891011121314151617181920212223242526[[#This Row],[SATIŞ]]</f>
        <v>1064</v>
      </c>
    </row>
    <row r="13" spans="2:18" ht="21" customHeight="1" x14ac:dyDescent="0.3">
      <c r="B13" s="2">
        <v>45329</v>
      </c>
      <c r="C13" s="6">
        <v>100</v>
      </c>
      <c r="D13" s="10">
        <v>8</v>
      </c>
      <c r="E13" s="10">
        <v>10.475</v>
      </c>
      <c r="F13" s="9">
        <f>IF(Tablo14567891011121314151617181920212223242526[[#This Row],[SATIŞ]]=0,"Açık",(E13-D13)*C13)</f>
        <v>247.49999999999997</v>
      </c>
      <c r="G13" s="11">
        <f>Tablo14567891011121314151617181920212223242526[[#This Row],[ADET]]*Tablo14567891011121314151617181920212223242526[[#This Row],[ALIŞ]]</f>
        <v>800</v>
      </c>
      <c r="H13" s="11">
        <f>Tablo14567891011121314151617181920212223242526[[#This Row],[ADET]]*Tablo14567891011121314151617181920212223242526[[#This Row],[SATIŞ]]</f>
        <v>1047.5</v>
      </c>
    </row>
    <row r="14" spans="2:18" ht="21" customHeight="1" x14ac:dyDescent="0.3">
      <c r="B14" s="2">
        <v>45334</v>
      </c>
      <c r="C14" s="6">
        <v>100</v>
      </c>
      <c r="D14" s="10">
        <v>9.5500000000000007</v>
      </c>
      <c r="E14" s="10">
        <v>9.68</v>
      </c>
      <c r="F14" s="9">
        <f>IF(Tablo14567891011121314151617181920212223242526[[#This Row],[SATIŞ]]=0,"Açık",(E14-D14)*C14)</f>
        <v>12.999999999999901</v>
      </c>
      <c r="G14" s="11">
        <f>Tablo14567891011121314151617181920212223242526[[#This Row],[ADET]]*Tablo14567891011121314151617181920212223242526[[#This Row],[ALIŞ]]</f>
        <v>955.00000000000011</v>
      </c>
      <c r="H14" s="11">
        <f>Tablo14567891011121314151617181920212223242526[[#This Row],[ADET]]*Tablo14567891011121314151617181920212223242526[[#This Row],[SATIŞ]]</f>
        <v>968</v>
      </c>
    </row>
    <row r="15" spans="2:18" ht="21" customHeight="1" x14ac:dyDescent="0.3">
      <c r="B15" s="2">
        <v>45335</v>
      </c>
      <c r="C15" s="6">
        <v>100</v>
      </c>
      <c r="D15" s="10">
        <v>10.4</v>
      </c>
      <c r="E15" s="10">
        <v>11</v>
      </c>
      <c r="F15" s="9">
        <f>IF(Tablo14567891011121314151617181920212223242526[[#This Row],[SATIŞ]]=0,"Açık",(E15-D15)*C15)</f>
        <v>59.999999999999964</v>
      </c>
      <c r="G15" s="11">
        <f>Tablo14567891011121314151617181920212223242526[[#This Row],[ADET]]*Tablo14567891011121314151617181920212223242526[[#This Row],[ALIŞ]]</f>
        <v>1040</v>
      </c>
      <c r="H15" s="11">
        <f>Tablo14567891011121314151617181920212223242526[[#This Row],[ADET]]*Tablo14567891011121314151617181920212223242526[[#This Row],[SATIŞ]]</f>
        <v>1100</v>
      </c>
    </row>
    <row r="16" spans="2:18" ht="21" customHeight="1" x14ac:dyDescent="0.3">
      <c r="B16" s="2">
        <v>45335</v>
      </c>
      <c r="C16" s="6">
        <v>100</v>
      </c>
      <c r="D16" s="10">
        <v>10</v>
      </c>
      <c r="E16" s="10">
        <v>10.3</v>
      </c>
      <c r="F16" s="9">
        <f>IF(Tablo14567891011121314151617181920212223242526[[#This Row],[SATIŞ]]=0,"Açık",(E16-D16)*C16)</f>
        <v>30.000000000000071</v>
      </c>
      <c r="G16" s="11">
        <f>Tablo14567891011121314151617181920212223242526[[#This Row],[ADET]]*Tablo14567891011121314151617181920212223242526[[#This Row],[ALIŞ]]</f>
        <v>1000</v>
      </c>
      <c r="H16" s="11">
        <f>Tablo14567891011121314151617181920212223242526[[#This Row],[ADET]]*Tablo14567891011121314151617181920212223242526[[#This Row],[SATIŞ]]</f>
        <v>1030</v>
      </c>
    </row>
    <row r="17" spans="2:8" ht="21" customHeight="1" x14ac:dyDescent="0.3">
      <c r="B17" s="2">
        <v>45336</v>
      </c>
      <c r="C17" s="6">
        <v>100</v>
      </c>
      <c r="D17" s="10">
        <v>9.85</v>
      </c>
      <c r="E17" s="10">
        <v>10.3</v>
      </c>
      <c r="F17" s="9">
        <f>IF(Tablo14567891011121314151617181920212223242526[[#This Row],[SATIŞ]]=0,"Açık",(E17-D17)*C17)</f>
        <v>45.000000000000107</v>
      </c>
      <c r="G17" s="11">
        <f>Tablo14567891011121314151617181920212223242526[[#This Row],[ADET]]*Tablo14567891011121314151617181920212223242526[[#This Row],[ALIŞ]]</f>
        <v>985</v>
      </c>
      <c r="H17" s="11">
        <f>Tablo14567891011121314151617181920212223242526[[#This Row],[ADET]]*Tablo14567891011121314151617181920212223242526[[#This Row],[SATIŞ]]</f>
        <v>1030</v>
      </c>
    </row>
    <row r="18" spans="2:8" ht="21" customHeight="1" x14ac:dyDescent="0.3">
      <c r="B18" s="2">
        <v>45337</v>
      </c>
      <c r="C18" s="6">
        <v>100</v>
      </c>
      <c r="D18" s="10">
        <v>10.7</v>
      </c>
      <c r="E18" s="10">
        <v>10.3</v>
      </c>
      <c r="F18" s="9">
        <f>IF(Tablo14567891011121314151617181920212223242526[[#This Row],[SATIŞ]]=0,"Açık",(E18-D18)*C18)</f>
        <v>-39.999999999999858</v>
      </c>
      <c r="G18" s="11">
        <f>Tablo14567891011121314151617181920212223242526[[#This Row],[ADET]]*Tablo14567891011121314151617181920212223242526[[#This Row],[ALIŞ]]</f>
        <v>1070</v>
      </c>
      <c r="H18" s="11">
        <f>Tablo14567891011121314151617181920212223242526[[#This Row],[ADET]]*Tablo14567891011121314151617181920212223242526[[#This Row],[SATIŞ]]</f>
        <v>1030</v>
      </c>
    </row>
    <row r="19" spans="2:8" ht="21" customHeight="1" x14ac:dyDescent="0.3">
      <c r="B19" s="2">
        <v>45337</v>
      </c>
      <c r="C19" s="6">
        <v>300</v>
      </c>
      <c r="D19" s="10">
        <v>10</v>
      </c>
      <c r="E19" s="10">
        <v>9.6300000000000008</v>
      </c>
      <c r="F19" s="9">
        <f>IF(Tablo14567891011121314151617181920212223242526[[#This Row],[SATIŞ]]=0,"Açık",(E19-D19)*C19)</f>
        <v>-110.99999999999977</v>
      </c>
      <c r="G19" s="11">
        <f>Tablo14567891011121314151617181920212223242526[[#This Row],[ADET]]*Tablo14567891011121314151617181920212223242526[[#This Row],[ALIŞ]]</f>
        <v>3000</v>
      </c>
      <c r="H19" s="11">
        <f>Tablo14567891011121314151617181920212223242526[[#This Row],[ADET]]*Tablo14567891011121314151617181920212223242526[[#This Row],[SATIŞ]]</f>
        <v>2889.0000000000005</v>
      </c>
    </row>
    <row r="20" spans="2:8" ht="21" customHeight="1" x14ac:dyDescent="0.3">
      <c r="B20" s="2">
        <v>45338</v>
      </c>
      <c r="C20" s="6">
        <v>300</v>
      </c>
      <c r="D20" s="10">
        <v>9.85</v>
      </c>
      <c r="E20" s="10">
        <v>9.43</v>
      </c>
      <c r="F20" s="9">
        <f>IF(Tablo14567891011121314151617181920212223242526[[#This Row],[SATIŞ]]=0,"Açık",(E20-D20)*C20)</f>
        <v>-125.99999999999997</v>
      </c>
      <c r="G20" s="11">
        <f>Tablo14567891011121314151617181920212223242526[[#This Row],[ADET]]*Tablo14567891011121314151617181920212223242526[[#This Row],[ALIŞ]]</f>
        <v>2955</v>
      </c>
      <c r="H20" s="11">
        <f>Tablo14567891011121314151617181920212223242526[[#This Row],[ADET]]*Tablo14567891011121314151617181920212223242526[[#This Row],[SATIŞ]]</f>
        <v>2829</v>
      </c>
    </row>
    <row r="21" spans="2:8" ht="21" customHeight="1" x14ac:dyDescent="0.3">
      <c r="B21" s="2">
        <v>45341</v>
      </c>
      <c r="C21" s="6">
        <v>300</v>
      </c>
      <c r="D21" s="10">
        <v>9.9</v>
      </c>
      <c r="E21" s="10">
        <v>10</v>
      </c>
      <c r="F21" s="9">
        <f>IF(Tablo14567891011121314151617181920212223242526[[#This Row],[SATIŞ]]=0,"Açık",(E21-D21)*C21)</f>
        <v>29.999999999999893</v>
      </c>
      <c r="G21" s="11">
        <f>Tablo14567891011121314151617181920212223242526[[#This Row],[ADET]]*Tablo14567891011121314151617181920212223242526[[#This Row],[ALIŞ]]</f>
        <v>2970</v>
      </c>
      <c r="H21" s="11">
        <f>Tablo14567891011121314151617181920212223242526[[#This Row],[ADET]]*Tablo14567891011121314151617181920212223242526[[#This Row],[SATIŞ]]</f>
        <v>3000</v>
      </c>
    </row>
    <row r="22" spans="2:8" ht="21" customHeight="1" x14ac:dyDescent="0.3">
      <c r="B22" s="2">
        <v>45341</v>
      </c>
      <c r="C22" s="6">
        <v>300</v>
      </c>
      <c r="D22" s="10">
        <v>9.8000000000000007</v>
      </c>
      <c r="E22" s="10">
        <v>10</v>
      </c>
      <c r="F22" s="9">
        <f>IF(Tablo14567891011121314151617181920212223242526[[#This Row],[SATIŞ]]=0,"Açık",(E22-D22)*C22)</f>
        <v>59.999999999999787</v>
      </c>
      <c r="G22" s="11">
        <f>Tablo14567891011121314151617181920212223242526[[#This Row],[ADET]]*Tablo14567891011121314151617181920212223242526[[#This Row],[ALIŞ]]</f>
        <v>2940</v>
      </c>
      <c r="H22" s="11">
        <f>Tablo14567891011121314151617181920212223242526[[#This Row],[ADET]]*Tablo14567891011121314151617181920212223242526[[#This Row],[SATIŞ]]</f>
        <v>3000</v>
      </c>
    </row>
    <row r="23" spans="2:8" ht="21" customHeight="1" x14ac:dyDescent="0.3">
      <c r="B23" s="2">
        <v>45345</v>
      </c>
      <c r="C23" s="6">
        <v>300</v>
      </c>
      <c r="D23" s="10">
        <v>9.65</v>
      </c>
      <c r="E23" s="10">
        <v>10.5</v>
      </c>
      <c r="F23" s="9">
        <f>IF(Tablo14567891011121314151617181920212223242526[[#This Row],[SATIŞ]]=0,"Açık",(E23-D23)*C23)</f>
        <v>254.99999999999989</v>
      </c>
      <c r="G23" s="11">
        <f>Tablo14567891011121314151617181920212223242526[[#This Row],[ADET]]*Tablo14567891011121314151617181920212223242526[[#This Row],[ALIŞ]]</f>
        <v>2895</v>
      </c>
      <c r="H23" s="11">
        <f>Tablo14567891011121314151617181920212223242526[[#This Row],[ADET]]*Tablo14567891011121314151617181920212223242526[[#This Row],[SATIŞ]]</f>
        <v>3150</v>
      </c>
    </row>
    <row r="24" spans="2:8" ht="21" customHeight="1" x14ac:dyDescent="0.3">
      <c r="B24" s="2">
        <v>45349</v>
      </c>
      <c r="C24" s="6">
        <v>300</v>
      </c>
      <c r="D24" s="10">
        <v>10</v>
      </c>
      <c r="E24" s="10">
        <v>10.96</v>
      </c>
      <c r="F24" s="9">
        <f>IF(Tablo14567891011121314151617181920212223242526[[#This Row],[SATIŞ]]=0,"Açık",(E24-D24)*C24)</f>
        <v>288.00000000000023</v>
      </c>
      <c r="G24" s="11">
        <f>Tablo14567891011121314151617181920212223242526[[#This Row],[ADET]]*Tablo14567891011121314151617181920212223242526[[#This Row],[ALIŞ]]</f>
        <v>3000</v>
      </c>
      <c r="H24" s="11">
        <f>Tablo14567891011121314151617181920212223242526[[#This Row],[ADET]]*Tablo14567891011121314151617181920212223242526[[#This Row],[SATIŞ]]</f>
        <v>3288.0000000000005</v>
      </c>
    </row>
    <row r="25" spans="2:8" ht="21" customHeight="1" x14ac:dyDescent="0.3">
      <c r="B25" s="2">
        <v>45349</v>
      </c>
      <c r="C25" s="6">
        <v>300</v>
      </c>
      <c r="D25" s="10">
        <v>10</v>
      </c>
      <c r="E25" s="10">
        <v>10.96</v>
      </c>
      <c r="F25" s="9">
        <f>IF(Tablo14567891011121314151617181920212223242526[[#This Row],[SATIŞ]]=0,"Açık",(E25-D25)*C25)</f>
        <v>288.00000000000023</v>
      </c>
      <c r="G25" s="11">
        <f>Tablo14567891011121314151617181920212223242526[[#This Row],[ADET]]*Tablo14567891011121314151617181920212223242526[[#This Row],[ALIŞ]]</f>
        <v>3000</v>
      </c>
      <c r="H25" s="11">
        <f>Tablo14567891011121314151617181920212223242526[[#This Row],[ADET]]*Tablo14567891011121314151617181920212223242526[[#This Row],[SATIŞ]]</f>
        <v>3288.0000000000005</v>
      </c>
    </row>
  </sheetData>
  <conditionalFormatting sqref="B4:F25">
    <cfRule type="expression" dxfId="104" priority="1">
      <formula>$F4&lt;0</formula>
    </cfRule>
    <cfRule type="expression" dxfId="103" priority="2">
      <formula>$F4="Açık"</formula>
    </cfRule>
    <cfRule type="expression" dxfId="102" priority="3">
      <formula>$F4&gt;0</formula>
    </cfRule>
  </conditionalFormatting>
  <hyperlinks>
    <hyperlink ref="B1" location="İcmal!A1" display="ANA SAYFA" xr:uid="{65C6E087-1252-4DA1-A2ED-0E51D1A14285}"/>
  </hyperlinks>
  <pageMargins left="0.7" right="0.7" top="0.75" bottom="0.75" header="0.3" footer="0.3"/>
  <tableParts count="1">
    <tablePart r:id="rId1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46773-35A0-4198-961B-EEFA764C43EF}">
  <dimension ref="B1:R37"/>
  <sheetViews>
    <sheetView showGridLines="0" showZeros="0" zoomScale="110" zoomScaleNormal="110" workbookViewId="0">
      <pane ySplit="3" topLeftCell="A18" activePane="bottomLeft" state="frozen"/>
      <selection pane="bottomLeft" activeCell="E33" sqref="E33"/>
    </sheetView>
  </sheetViews>
  <sheetFormatPr defaultRowHeight="21" customHeight="1" x14ac:dyDescent="0.3"/>
  <cols>
    <col min="2" max="2" width="20.6640625" style="1" customWidth="1"/>
    <col min="3" max="3" width="11.33203125" style="6" customWidth="1"/>
    <col min="4" max="5" width="12.88671875" style="3" customWidth="1"/>
    <col min="6" max="6" width="12.88671875" style="5" customWidth="1"/>
    <col min="7" max="7" width="12.6640625" bestFit="1" customWidth="1"/>
    <col min="8" max="8" width="11.6640625" bestFit="1" customWidth="1"/>
    <col min="10" max="12" width="12.44140625" customWidth="1"/>
    <col min="13" max="13" width="12.6640625" bestFit="1" customWidth="1"/>
    <col min="14" max="14" width="11.6640625" bestFit="1" customWidth="1"/>
  </cols>
  <sheetData>
    <row r="1" spans="2:18" ht="21" customHeight="1" x14ac:dyDescent="0.3">
      <c r="B1" s="12" t="s">
        <v>64</v>
      </c>
      <c r="C1" s="4">
        <f>SUMIF(Tablo1456789101112131415161718192021222324252627[KAR],"Açık",Tablo1456789101112131415161718192021222324252627[ADET])</f>
        <v>30</v>
      </c>
      <c r="D1" s="10">
        <f>+İcmal!E38</f>
        <v>233.5</v>
      </c>
      <c r="E1" s="10">
        <f>C1*D1</f>
        <v>7005</v>
      </c>
      <c r="F1" s="10">
        <f>IFERROR(((SUM(Tablo1456789101112131415161718192021222324252627[ALIŞ TUTAR])-SUM(Tablo1456789101112131415161718192021222324252627[SATIŞ TUTAR]))/C1),"")</f>
        <v>464.45689333333286</v>
      </c>
      <c r="G1" s="10">
        <f>IF(M3=0,L3,C1*(D1-F1))</f>
        <v>-6928.7067999999854</v>
      </c>
      <c r="J1" s="45" t="s">
        <v>94</v>
      </c>
      <c r="K1" s="45" t="s">
        <v>95</v>
      </c>
      <c r="L1" s="45" t="s">
        <v>96</v>
      </c>
      <c r="M1" s="33">
        <f>F1</f>
        <v>464.45689333333286</v>
      </c>
      <c r="N1" s="8" t="e">
        <f>M1*(1+$J$1)</f>
        <v>#VALUE!</v>
      </c>
      <c r="P1" s="8" t="e">
        <f>Q1*(1-$J$1)</f>
        <v>#VALUE!</v>
      </c>
      <c r="Q1" s="33">
        <f>+D1</f>
        <v>233.5</v>
      </c>
      <c r="R1" s="8" t="e">
        <f>Q1*(1+$J$1)</f>
        <v>#VALUE!</v>
      </c>
    </row>
    <row r="2" spans="2:18" ht="21" customHeight="1" x14ac:dyDescent="0.3">
      <c r="B2" s="7" t="s">
        <v>36</v>
      </c>
      <c r="J2" s="45">
        <f>SUMIFS(Tablo2[HEDEF2],Tablo2[HİSSE],B2)</f>
        <v>1000</v>
      </c>
      <c r="K2" s="45">
        <f>+E1/İcmal!$P$2</f>
        <v>215.33968644328311</v>
      </c>
      <c r="L2" s="45">
        <f>+J2-K2</f>
        <v>784.66031355671691</v>
      </c>
    </row>
    <row r="3" spans="2:18" ht="21" customHeight="1" x14ac:dyDescent="0.3">
      <c r="B3" s="1" t="s">
        <v>0</v>
      </c>
      <c r="C3" s="6" t="s">
        <v>4</v>
      </c>
      <c r="D3" s="3" t="s">
        <v>1</v>
      </c>
      <c r="E3" s="3" t="s">
        <v>3</v>
      </c>
      <c r="F3" s="5" t="s">
        <v>2</v>
      </c>
      <c r="G3" s="3" t="s">
        <v>8</v>
      </c>
      <c r="H3" s="3" t="s">
        <v>9</v>
      </c>
      <c r="L3" s="33">
        <f>SUM(Tablo1456789101112131415161718192021222324252627[KAR])</f>
        <v>-6018.7067999999917</v>
      </c>
      <c r="M3" s="37">
        <f>+C1</f>
        <v>30</v>
      </c>
    </row>
    <row r="4" spans="2:18" ht="21" hidden="1" customHeight="1" x14ac:dyDescent="0.3">
      <c r="B4" s="2">
        <v>45291</v>
      </c>
      <c r="C4" s="6">
        <v>572</v>
      </c>
      <c r="D4" s="10">
        <v>176.29499999999999</v>
      </c>
      <c r="E4" s="10">
        <v>163.9581</v>
      </c>
      <c r="F4" s="9">
        <f>IF(Tablo1456789101112131415161718192021222324252627[[#This Row],[SATIŞ]]=0,"Açık",(E4-D4)*C4)</f>
        <v>-7056.7067999999917</v>
      </c>
      <c r="G4" s="11">
        <f>Tablo1456789101112131415161718192021222324252627[[#This Row],[ADET]]*Tablo1456789101112131415161718192021222324252627[[#This Row],[ALIŞ]]</f>
        <v>100840.73999999999</v>
      </c>
      <c r="H4" s="11">
        <f>Tablo1456789101112131415161718192021222324252627[[#This Row],[ADET]]*Tablo1456789101112131415161718192021222324252627[[#This Row],[SATIŞ]]</f>
        <v>93784.033200000005</v>
      </c>
      <c r="J4" s="40" t="str">
        <f t="shared" ref="J4:J37" si="0">IF(E4=0,D4*1.05,"")</f>
        <v/>
      </c>
      <c r="L4" s="8">
        <f>SUM(Tablo1456789101112131415161718192021222324252627[ALIŞ TUTAR])</f>
        <v>150918.74</v>
      </c>
      <c r="M4" s="8">
        <f>SUM(Tablo1456789101112131415161718192021222324252627[SATIŞ TUTAR])</f>
        <v>136985.03320000001</v>
      </c>
      <c r="N4" s="8">
        <f>L4-M4</f>
        <v>13933.706799999985</v>
      </c>
    </row>
    <row r="5" spans="2:18" ht="21" hidden="1" customHeight="1" x14ac:dyDescent="0.3">
      <c r="B5" s="2">
        <v>45329</v>
      </c>
      <c r="C5" s="6">
        <v>2</v>
      </c>
      <c r="D5" s="10">
        <v>261</v>
      </c>
      <c r="E5" s="10">
        <v>268.5</v>
      </c>
      <c r="F5" s="9">
        <f>IF(Tablo1456789101112131415161718192021222324252627[[#This Row],[SATIŞ]]=0,"Açık",(E5-D5)*C5)</f>
        <v>15</v>
      </c>
      <c r="G5" s="11">
        <f>Tablo1456789101112131415161718192021222324252627[[#This Row],[ADET]]*Tablo1456789101112131415161718192021222324252627[[#This Row],[ALIŞ]]</f>
        <v>522</v>
      </c>
      <c r="H5" s="11">
        <f>Tablo1456789101112131415161718192021222324252627[[#This Row],[ADET]]*Tablo1456789101112131415161718192021222324252627[[#This Row],[SATIŞ]]</f>
        <v>537</v>
      </c>
      <c r="J5" s="40" t="str">
        <f t="shared" si="0"/>
        <v/>
      </c>
      <c r="N5">
        <f>+N4/80</f>
        <v>174.17133499999983</v>
      </c>
    </row>
    <row r="6" spans="2:18" ht="21" hidden="1" customHeight="1" x14ac:dyDescent="0.3">
      <c r="B6" s="2">
        <v>45329</v>
      </c>
      <c r="C6" s="6">
        <v>8</v>
      </c>
      <c r="D6" s="10">
        <v>261</v>
      </c>
      <c r="E6" s="10">
        <v>260</v>
      </c>
      <c r="F6" s="9">
        <f>IF(Tablo1456789101112131415161718192021222324252627[[#This Row],[SATIŞ]]=0,"Açık",(E6-D6)*C6)</f>
        <v>-8</v>
      </c>
      <c r="G6" s="11">
        <f>Tablo1456789101112131415161718192021222324252627[[#This Row],[ADET]]*Tablo1456789101112131415161718192021222324252627[[#This Row],[ALIŞ]]</f>
        <v>2088</v>
      </c>
      <c r="H6" s="11">
        <f>Tablo1456789101112131415161718192021222324252627[[#This Row],[ADET]]*Tablo1456789101112131415161718192021222324252627[[#This Row],[SATIŞ]]</f>
        <v>2080</v>
      </c>
      <c r="J6" s="40" t="str">
        <f t="shared" si="0"/>
        <v/>
      </c>
    </row>
    <row r="7" spans="2:18" ht="21" hidden="1" customHeight="1" x14ac:dyDescent="0.3">
      <c r="B7" s="2">
        <v>45329</v>
      </c>
      <c r="C7" s="6">
        <v>3</v>
      </c>
      <c r="D7" s="10">
        <v>263</v>
      </c>
      <c r="E7" s="10">
        <v>260</v>
      </c>
      <c r="F7" s="9">
        <f>IF(Tablo1456789101112131415161718192021222324252627[[#This Row],[SATIŞ]]=0,"Açık",(E7-D7)*C7)</f>
        <v>-9</v>
      </c>
      <c r="G7" s="11">
        <f>Tablo1456789101112131415161718192021222324252627[[#This Row],[ADET]]*Tablo1456789101112131415161718192021222324252627[[#This Row],[ALIŞ]]</f>
        <v>789</v>
      </c>
      <c r="H7" s="11">
        <f>Tablo1456789101112131415161718192021222324252627[[#This Row],[ADET]]*Tablo1456789101112131415161718192021222324252627[[#This Row],[SATIŞ]]</f>
        <v>780</v>
      </c>
      <c r="J7" s="40" t="str">
        <f t="shared" si="0"/>
        <v/>
      </c>
    </row>
    <row r="8" spans="2:18" ht="21" hidden="1" customHeight="1" x14ac:dyDescent="0.3">
      <c r="B8" s="2">
        <v>45329</v>
      </c>
      <c r="C8" s="6">
        <v>2</v>
      </c>
      <c r="D8" s="10">
        <v>263</v>
      </c>
      <c r="E8" s="10">
        <v>271</v>
      </c>
      <c r="F8" s="9">
        <f>IF(Tablo1456789101112131415161718192021222324252627[[#This Row],[SATIŞ]]=0,"Açık",(E8-D8)*C8)</f>
        <v>16</v>
      </c>
      <c r="G8" s="11">
        <f>Tablo1456789101112131415161718192021222324252627[[#This Row],[ADET]]*Tablo1456789101112131415161718192021222324252627[[#This Row],[ALIŞ]]</f>
        <v>526</v>
      </c>
      <c r="H8" s="11">
        <f>Tablo1456789101112131415161718192021222324252627[[#This Row],[ADET]]*Tablo1456789101112131415161718192021222324252627[[#This Row],[SATIŞ]]</f>
        <v>542</v>
      </c>
      <c r="J8" s="40" t="str">
        <f t="shared" si="0"/>
        <v/>
      </c>
    </row>
    <row r="9" spans="2:18" ht="21" hidden="1" customHeight="1" x14ac:dyDescent="0.3">
      <c r="B9" s="2">
        <v>45330</v>
      </c>
      <c r="C9" s="6">
        <v>5</v>
      </c>
      <c r="D9" s="10">
        <v>263</v>
      </c>
      <c r="E9" s="10">
        <v>260</v>
      </c>
      <c r="F9" s="9">
        <f>IF(Tablo1456789101112131415161718192021222324252627[[#This Row],[SATIŞ]]=0,"Açık",(E9-D9)*C9)</f>
        <v>-15</v>
      </c>
      <c r="G9" s="11">
        <f>Tablo1456789101112131415161718192021222324252627[[#This Row],[ADET]]*Tablo1456789101112131415161718192021222324252627[[#This Row],[ALIŞ]]</f>
        <v>1315</v>
      </c>
      <c r="H9" s="11">
        <f>Tablo1456789101112131415161718192021222324252627[[#This Row],[ADET]]*Tablo1456789101112131415161718192021222324252627[[#This Row],[SATIŞ]]</f>
        <v>1300</v>
      </c>
      <c r="J9" s="40" t="str">
        <f t="shared" si="0"/>
        <v/>
      </c>
    </row>
    <row r="10" spans="2:18" ht="21" hidden="1" customHeight="1" x14ac:dyDescent="0.3">
      <c r="B10" s="2">
        <v>45330</v>
      </c>
      <c r="C10" s="6">
        <v>5</v>
      </c>
      <c r="D10" s="10">
        <v>261</v>
      </c>
      <c r="E10" s="10">
        <v>264</v>
      </c>
      <c r="F10" s="9">
        <f>IF(Tablo1456789101112131415161718192021222324252627[[#This Row],[SATIŞ]]=0,"Açık",(E10-D10)*C10)</f>
        <v>15</v>
      </c>
      <c r="G10" s="11">
        <f>Tablo1456789101112131415161718192021222324252627[[#This Row],[ADET]]*Tablo1456789101112131415161718192021222324252627[[#This Row],[ALIŞ]]</f>
        <v>1305</v>
      </c>
      <c r="H10" s="11">
        <f>Tablo1456789101112131415161718192021222324252627[[#This Row],[ADET]]*Tablo1456789101112131415161718192021222324252627[[#This Row],[SATIŞ]]</f>
        <v>1320</v>
      </c>
      <c r="J10" s="40" t="str">
        <f t="shared" si="0"/>
        <v/>
      </c>
    </row>
    <row r="11" spans="2:18" ht="21" hidden="1" customHeight="1" x14ac:dyDescent="0.3">
      <c r="B11" s="2">
        <v>45334</v>
      </c>
      <c r="C11" s="6">
        <v>4</v>
      </c>
      <c r="D11" s="10">
        <v>264</v>
      </c>
      <c r="E11" s="10">
        <v>260</v>
      </c>
      <c r="F11" s="9">
        <f>IF(Tablo1456789101112131415161718192021222324252627[[#This Row],[SATIŞ]]=0,"Açık",(E11-D11)*C11)</f>
        <v>-16</v>
      </c>
      <c r="G11" s="11">
        <f>Tablo1456789101112131415161718192021222324252627[[#This Row],[ADET]]*Tablo1456789101112131415161718192021222324252627[[#This Row],[ALIŞ]]</f>
        <v>1056</v>
      </c>
      <c r="H11" s="11">
        <f>Tablo1456789101112131415161718192021222324252627[[#This Row],[ADET]]*Tablo1456789101112131415161718192021222324252627[[#This Row],[SATIŞ]]</f>
        <v>1040</v>
      </c>
      <c r="J11" s="40" t="str">
        <f t="shared" si="0"/>
        <v/>
      </c>
    </row>
    <row r="12" spans="2:18" ht="21" hidden="1" customHeight="1" x14ac:dyDescent="0.3">
      <c r="B12" s="2">
        <v>45335</v>
      </c>
      <c r="C12" s="6">
        <v>5</v>
      </c>
      <c r="D12" s="10">
        <v>260</v>
      </c>
      <c r="E12" s="10">
        <v>264</v>
      </c>
      <c r="F12" s="9">
        <f>IF(Tablo1456789101112131415161718192021222324252627[[#This Row],[SATIŞ]]=0,"Açık",(E12-D12)*C12)</f>
        <v>20</v>
      </c>
      <c r="G12" s="11">
        <f>Tablo1456789101112131415161718192021222324252627[[#This Row],[ADET]]*Tablo1456789101112131415161718192021222324252627[[#This Row],[ALIŞ]]</f>
        <v>1300</v>
      </c>
      <c r="H12" s="11">
        <f>Tablo1456789101112131415161718192021222324252627[[#This Row],[ADET]]*Tablo1456789101112131415161718192021222324252627[[#This Row],[SATIŞ]]</f>
        <v>1320</v>
      </c>
      <c r="J12" s="40" t="str">
        <f t="shared" si="0"/>
        <v/>
      </c>
    </row>
    <row r="13" spans="2:18" ht="21" hidden="1" customHeight="1" x14ac:dyDescent="0.3">
      <c r="B13" s="2">
        <v>45335</v>
      </c>
      <c r="C13" s="6">
        <v>5</v>
      </c>
      <c r="D13" s="10">
        <v>255</v>
      </c>
      <c r="E13" s="10">
        <v>260</v>
      </c>
      <c r="F13" s="9">
        <f>IF(Tablo1456789101112131415161718192021222324252627[[#This Row],[SATIŞ]]=0,"Açık",(E13-D13)*C13)</f>
        <v>25</v>
      </c>
      <c r="G13" s="11">
        <f>Tablo1456789101112131415161718192021222324252627[[#This Row],[ADET]]*Tablo1456789101112131415161718192021222324252627[[#This Row],[ALIŞ]]</f>
        <v>1275</v>
      </c>
      <c r="H13" s="11">
        <f>Tablo1456789101112131415161718192021222324252627[[#This Row],[ADET]]*Tablo1456789101112131415161718192021222324252627[[#This Row],[SATIŞ]]</f>
        <v>1300</v>
      </c>
      <c r="J13" s="40" t="str">
        <f t="shared" si="0"/>
        <v/>
      </c>
    </row>
    <row r="14" spans="2:18" ht="21" hidden="1" customHeight="1" x14ac:dyDescent="0.3">
      <c r="B14" s="2">
        <v>45335</v>
      </c>
      <c r="C14" s="6">
        <v>10</v>
      </c>
      <c r="D14" s="10">
        <v>250</v>
      </c>
      <c r="E14" s="10">
        <v>255</v>
      </c>
      <c r="F14" s="9">
        <f>IF(Tablo1456789101112131415161718192021222324252627[[#This Row],[SATIŞ]]=0,"Açık",(E14-D14)*C14)</f>
        <v>50</v>
      </c>
      <c r="G14" s="11">
        <f>Tablo1456789101112131415161718192021222324252627[[#This Row],[ADET]]*Tablo1456789101112131415161718192021222324252627[[#This Row],[ALIŞ]]</f>
        <v>2500</v>
      </c>
      <c r="H14" s="11">
        <f>Tablo1456789101112131415161718192021222324252627[[#This Row],[ADET]]*Tablo1456789101112131415161718192021222324252627[[#This Row],[SATIŞ]]</f>
        <v>2550</v>
      </c>
      <c r="J14" s="40" t="str">
        <f t="shared" si="0"/>
        <v/>
      </c>
    </row>
    <row r="15" spans="2:18" ht="21" hidden="1" customHeight="1" x14ac:dyDescent="0.3">
      <c r="B15" s="2">
        <v>45336</v>
      </c>
      <c r="C15" s="6">
        <v>5</v>
      </c>
      <c r="D15" s="10">
        <v>245</v>
      </c>
      <c r="E15" s="10">
        <v>250</v>
      </c>
      <c r="F15" s="9">
        <f>IF(Tablo1456789101112131415161718192021222324252627[[#This Row],[SATIŞ]]=0,"Açık",(E15-D15)*C15)</f>
        <v>25</v>
      </c>
      <c r="G15" s="11">
        <f>Tablo1456789101112131415161718192021222324252627[[#This Row],[ADET]]*Tablo1456789101112131415161718192021222324252627[[#This Row],[ALIŞ]]</f>
        <v>1225</v>
      </c>
      <c r="H15" s="11">
        <f>Tablo1456789101112131415161718192021222324252627[[#This Row],[ADET]]*Tablo1456789101112131415161718192021222324252627[[#This Row],[SATIŞ]]</f>
        <v>1250</v>
      </c>
      <c r="J15" s="40" t="str">
        <f t="shared" si="0"/>
        <v/>
      </c>
    </row>
    <row r="16" spans="2:18" ht="21" hidden="1" customHeight="1" x14ac:dyDescent="0.3">
      <c r="B16" s="2">
        <v>45336</v>
      </c>
      <c r="C16" s="6">
        <v>5</v>
      </c>
      <c r="D16" s="10">
        <v>245</v>
      </c>
      <c r="E16" s="10">
        <v>260</v>
      </c>
      <c r="F16" s="9">
        <f>IF(Tablo1456789101112131415161718192021222324252627[[#This Row],[SATIŞ]]=0,"Açık",(E16-D16)*C16)</f>
        <v>75</v>
      </c>
      <c r="G16" s="11">
        <f>Tablo1456789101112131415161718192021222324252627[[#This Row],[ADET]]*Tablo1456789101112131415161718192021222324252627[[#This Row],[ALIŞ]]</f>
        <v>1225</v>
      </c>
      <c r="H16" s="11">
        <f>Tablo1456789101112131415161718192021222324252627[[#This Row],[ADET]]*Tablo1456789101112131415161718192021222324252627[[#This Row],[SATIŞ]]</f>
        <v>1300</v>
      </c>
      <c r="J16" s="40" t="str">
        <f t="shared" si="0"/>
        <v/>
      </c>
    </row>
    <row r="17" spans="2:10" ht="21" hidden="1" customHeight="1" x14ac:dyDescent="0.3">
      <c r="B17" s="2">
        <v>45349</v>
      </c>
      <c r="C17" s="6">
        <v>5</v>
      </c>
      <c r="D17" s="10">
        <v>280</v>
      </c>
      <c r="E17" s="10">
        <v>300</v>
      </c>
      <c r="F17" s="9">
        <f>IF(Tablo1456789101112131415161718192021222324252627[[#This Row],[SATIŞ]]=0,"Açık",(E17-D17)*C17)</f>
        <v>100</v>
      </c>
      <c r="G17" s="11">
        <f>Tablo1456789101112131415161718192021222324252627[[#This Row],[ADET]]*Tablo1456789101112131415161718192021222324252627[[#This Row],[ALIŞ]]</f>
        <v>1400</v>
      </c>
      <c r="H17" s="11">
        <f>Tablo1456789101112131415161718192021222324252627[[#This Row],[ADET]]*Tablo1456789101112131415161718192021222324252627[[#This Row],[SATIŞ]]</f>
        <v>1500</v>
      </c>
      <c r="J17" s="40" t="str">
        <f t="shared" si="0"/>
        <v/>
      </c>
    </row>
    <row r="18" spans="2:10" ht="21" customHeight="1" x14ac:dyDescent="0.3">
      <c r="B18" s="2">
        <v>45294</v>
      </c>
      <c r="C18" s="6">
        <v>5</v>
      </c>
      <c r="D18" s="10">
        <v>290</v>
      </c>
      <c r="E18" s="10"/>
      <c r="F18" s="9" t="str">
        <f>IF(Tablo1456789101112131415161718192021222324252627[[#This Row],[SATIŞ]]=0,"Açık",(E18-D18)*C18)</f>
        <v>Açık</v>
      </c>
      <c r="G18" s="11">
        <f>Tablo1456789101112131415161718192021222324252627[[#This Row],[ADET]]*Tablo1456789101112131415161718192021222324252627[[#This Row],[ALIŞ]]</f>
        <v>1450</v>
      </c>
      <c r="H18" s="11">
        <f>Tablo1456789101112131415161718192021222324252627[[#This Row],[ADET]]*Tablo1456789101112131415161718192021222324252627[[#This Row],[SATIŞ]]</f>
        <v>0</v>
      </c>
      <c r="J18" s="40">
        <f t="shared" si="0"/>
        <v>304.5</v>
      </c>
    </row>
    <row r="19" spans="2:10" ht="21" customHeight="1" x14ac:dyDescent="0.3">
      <c r="B19" s="2">
        <v>45355</v>
      </c>
      <c r="C19" s="6">
        <v>5</v>
      </c>
      <c r="D19" s="10">
        <v>275</v>
      </c>
      <c r="E19" s="10"/>
      <c r="F19" s="9" t="str">
        <f>IF(Tablo1456789101112131415161718192021222324252627[[#This Row],[SATIŞ]]=0,"Açık",(E19-D19)*C19)</f>
        <v>Açık</v>
      </c>
      <c r="G19" s="11">
        <f>Tablo1456789101112131415161718192021222324252627[[#This Row],[ADET]]*Tablo1456789101112131415161718192021222324252627[[#This Row],[ALIŞ]]</f>
        <v>1375</v>
      </c>
      <c r="H19" s="11">
        <f>Tablo1456789101112131415161718192021222324252627[[#This Row],[ADET]]*Tablo1456789101112131415161718192021222324252627[[#This Row],[SATIŞ]]</f>
        <v>0</v>
      </c>
      <c r="J19" s="40">
        <f t="shared" si="0"/>
        <v>288.75</v>
      </c>
    </row>
    <row r="20" spans="2:10" ht="21" customHeight="1" x14ac:dyDescent="0.3">
      <c r="B20" s="2">
        <v>45362</v>
      </c>
      <c r="C20" s="6">
        <v>10</v>
      </c>
      <c r="D20" s="10">
        <v>260</v>
      </c>
      <c r="E20" s="10"/>
      <c r="F20" s="9" t="str">
        <f>IF(Tablo1456789101112131415161718192021222324252627[[#This Row],[SATIŞ]]=0,"Açık",(E20-D20)*C20)</f>
        <v>Açık</v>
      </c>
      <c r="G20" s="11">
        <f>Tablo1456789101112131415161718192021222324252627[[#This Row],[ADET]]*Tablo1456789101112131415161718192021222324252627[[#This Row],[ALIŞ]]</f>
        <v>2600</v>
      </c>
      <c r="H20" s="11">
        <f>Tablo1456789101112131415161718192021222324252627[[#This Row],[ADET]]*Tablo1456789101112131415161718192021222324252627[[#This Row],[SATIŞ]]</f>
        <v>0</v>
      </c>
      <c r="J20" s="40">
        <f t="shared" si="0"/>
        <v>273</v>
      </c>
    </row>
    <row r="21" spans="2:10" ht="21" customHeight="1" x14ac:dyDescent="0.3">
      <c r="B21" s="2">
        <v>45365</v>
      </c>
      <c r="C21" s="6">
        <v>10</v>
      </c>
      <c r="D21" s="10">
        <v>249</v>
      </c>
      <c r="E21" s="10"/>
      <c r="F21" s="9" t="str">
        <f>IF(Tablo1456789101112131415161718192021222324252627[[#This Row],[SATIŞ]]=0,"Açık",(E21-D21)*C21)</f>
        <v>Açık</v>
      </c>
      <c r="G21" s="11">
        <f>Tablo1456789101112131415161718192021222324252627[[#This Row],[ADET]]*Tablo1456789101112131415161718192021222324252627[[#This Row],[ALIŞ]]</f>
        <v>2490</v>
      </c>
      <c r="H21" s="11">
        <f>Tablo1456789101112131415161718192021222324252627[[#This Row],[ADET]]*Tablo1456789101112131415161718192021222324252627[[#This Row],[SATIŞ]]</f>
        <v>0</v>
      </c>
      <c r="J21" s="40">
        <f t="shared" si="0"/>
        <v>261.45</v>
      </c>
    </row>
    <row r="22" spans="2:10" ht="21" hidden="1" customHeight="1" x14ac:dyDescent="0.3">
      <c r="B22" s="2">
        <v>45369</v>
      </c>
      <c r="C22" s="6">
        <v>10</v>
      </c>
      <c r="D22" s="10">
        <v>238</v>
      </c>
      <c r="E22" s="10">
        <v>251</v>
      </c>
      <c r="F22" s="9">
        <f>IF(Tablo1456789101112131415161718192021222324252627[[#This Row],[SATIŞ]]=0,"Açık",(E22-D22)*C22)</f>
        <v>130</v>
      </c>
      <c r="G22" s="11">
        <f>Tablo1456789101112131415161718192021222324252627[[#This Row],[ADET]]*Tablo1456789101112131415161718192021222324252627[[#This Row],[ALIŞ]]</f>
        <v>2380</v>
      </c>
      <c r="H22" s="11">
        <f>Tablo1456789101112131415161718192021222324252627[[#This Row],[ADET]]*Tablo1456789101112131415161718192021222324252627[[#This Row],[SATIŞ]]</f>
        <v>2510</v>
      </c>
      <c r="J22" s="40" t="str">
        <f t="shared" si="0"/>
        <v/>
      </c>
    </row>
    <row r="23" spans="2:10" ht="21" hidden="1" customHeight="1" x14ac:dyDescent="0.3">
      <c r="B23" s="2">
        <v>45369</v>
      </c>
      <c r="C23" s="6">
        <v>10</v>
      </c>
      <c r="D23" s="10">
        <v>235</v>
      </c>
      <c r="E23" s="10">
        <v>238</v>
      </c>
      <c r="F23" s="9">
        <f>IF(Tablo1456789101112131415161718192021222324252627[[#This Row],[SATIŞ]]=0,"Açık",(E23-D23)*C23)</f>
        <v>30</v>
      </c>
      <c r="G23" s="11">
        <f>Tablo1456789101112131415161718192021222324252627[[#This Row],[ADET]]*Tablo1456789101112131415161718192021222324252627[[#This Row],[ALIŞ]]</f>
        <v>2350</v>
      </c>
      <c r="H23" s="11">
        <f>Tablo1456789101112131415161718192021222324252627[[#This Row],[ADET]]*Tablo1456789101112131415161718192021222324252627[[#This Row],[SATIŞ]]</f>
        <v>2380</v>
      </c>
      <c r="J23" s="40" t="str">
        <f t="shared" si="0"/>
        <v/>
      </c>
    </row>
    <row r="24" spans="2:10" ht="21" hidden="1" customHeight="1" x14ac:dyDescent="0.3">
      <c r="B24" s="2">
        <v>45369</v>
      </c>
      <c r="C24" s="6">
        <v>10</v>
      </c>
      <c r="D24" s="10">
        <v>235</v>
      </c>
      <c r="E24" s="10">
        <v>245</v>
      </c>
      <c r="F24" s="9">
        <f>IF(Tablo1456789101112131415161718192021222324252627[[#This Row],[SATIŞ]]=0,"Açık",(E24-D24)*C24)</f>
        <v>100</v>
      </c>
      <c r="G24" s="11">
        <f>Tablo1456789101112131415161718192021222324252627[[#This Row],[ADET]]*Tablo1456789101112131415161718192021222324252627[[#This Row],[ALIŞ]]</f>
        <v>2350</v>
      </c>
      <c r="H24" s="11">
        <f>Tablo1456789101112131415161718192021222324252627[[#This Row],[ADET]]*Tablo1456789101112131415161718192021222324252627[[#This Row],[SATIŞ]]</f>
        <v>2450</v>
      </c>
      <c r="J24" s="40" t="str">
        <f t="shared" si="0"/>
        <v/>
      </c>
    </row>
    <row r="25" spans="2:10" ht="21" hidden="1" customHeight="1" x14ac:dyDescent="0.3">
      <c r="B25" s="2">
        <v>45371</v>
      </c>
      <c r="C25" s="6">
        <v>10</v>
      </c>
      <c r="D25" s="10">
        <v>235.7</v>
      </c>
      <c r="E25" s="10">
        <v>241.5</v>
      </c>
      <c r="F25" s="9">
        <f>IF(Tablo1456789101112131415161718192021222324252627[[#This Row],[SATIŞ]]=0,"Açık",(E25-D25)*C25)</f>
        <v>58.000000000000114</v>
      </c>
      <c r="G25" s="11">
        <f>Tablo1456789101112131415161718192021222324252627[[#This Row],[ADET]]*Tablo1456789101112131415161718192021222324252627[[#This Row],[ALIŞ]]</f>
        <v>2357</v>
      </c>
      <c r="H25" s="11">
        <f>Tablo1456789101112131415161718192021222324252627[[#This Row],[ADET]]*Tablo1456789101112131415161718192021222324252627[[#This Row],[SATIŞ]]</f>
        <v>2415</v>
      </c>
      <c r="J25" s="40" t="str">
        <f t="shared" si="0"/>
        <v/>
      </c>
    </row>
    <row r="26" spans="2:10" ht="21" hidden="1" customHeight="1" x14ac:dyDescent="0.3">
      <c r="B26" s="2">
        <v>45372</v>
      </c>
      <c r="C26" s="6">
        <v>10</v>
      </c>
      <c r="D26" s="10">
        <v>240</v>
      </c>
      <c r="E26" s="10">
        <v>245</v>
      </c>
      <c r="F26" s="9">
        <f>IF(Tablo1456789101112131415161718192021222324252627[[#This Row],[SATIŞ]]=0,"Açık",(E26-D26)*C26)</f>
        <v>50</v>
      </c>
      <c r="G26" s="11">
        <f>Tablo1456789101112131415161718192021222324252627[[#This Row],[ADET]]*Tablo1456789101112131415161718192021222324252627[[#This Row],[ALIŞ]]</f>
        <v>2400</v>
      </c>
      <c r="H26" s="11">
        <f>Tablo1456789101112131415161718192021222324252627[[#This Row],[ADET]]*Tablo1456789101112131415161718192021222324252627[[#This Row],[SATIŞ]]</f>
        <v>2450</v>
      </c>
      <c r="J26" s="40" t="str">
        <f t="shared" si="0"/>
        <v/>
      </c>
    </row>
    <row r="27" spans="2:10" ht="21" hidden="1" customHeight="1" x14ac:dyDescent="0.3">
      <c r="B27" s="2">
        <v>45372</v>
      </c>
      <c r="C27" s="6">
        <v>10</v>
      </c>
      <c r="D27" s="10">
        <v>235</v>
      </c>
      <c r="E27" s="10">
        <v>240</v>
      </c>
      <c r="F27" s="9">
        <f>IF(Tablo1456789101112131415161718192021222324252627[[#This Row],[SATIŞ]]=0,"Açık",(E27-D27)*C27)</f>
        <v>50</v>
      </c>
      <c r="G27" s="11">
        <f>Tablo1456789101112131415161718192021222324252627[[#This Row],[ADET]]*Tablo1456789101112131415161718192021222324252627[[#This Row],[ALIŞ]]</f>
        <v>2350</v>
      </c>
      <c r="H27" s="11">
        <f>Tablo1456789101112131415161718192021222324252627[[#This Row],[ADET]]*Tablo1456789101112131415161718192021222324252627[[#This Row],[SATIŞ]]</f>
        <v>2400</v>
      </c>
      <c r="J27" s="40" t="str">
        <f t="shared" si="0"/>
        <v/>
      </c>
    </row>
    <row r="28" spans="2:10" ht="21" hidden="1" customHeight="1" x14ac:dyDescent="0.3">
      <c r="B28" s="2">
        <v>45376</v>
      </c>
      <c r="C28" s="6">
        <v>10</v>
      </c>
      <c r="D28" s="10">
        <v>230</v>
      </c>
      <c r="E28" s="10">
        <v>235</v>
      </c>
      <c r="F28" s="9">
        <f>IF(Tablo1456789101112131415161718192021222324252627[[#This Row],[SATIŞ]]=0,"Açık",(E28-D28)*C28)</f>
        <v>50</v>
      </c>
      <c r="G28" s="11">
        <f>Tablo1456789101112131415161718192021222324252627[[#This Row],[ADET]]*Tablo1456789101112131415161718192021222324252627[[#This Row],[ALIŞ]]</f>
        <v>2300</v>
      </c>
      <c r="H28" s="11">
        <f>Tablo1456789101112131415161718192021222324252627[[#This Row],[ADET]]*Tablo1456789101112131415161718192021222324252627[[#This Row],[SATIŞ]]</f>
        <v>2350</v>
      </c>
      <c r="J28" s="40" t="str">
        <f t="shared" si="0"/>
        <v/>
      </c>
    </row>
    <row r="29" spans="2:10" ht="21" hidden="1" customHeight="1" x14ac:dyDescent="0.3">
      <c r="B29" s="2">
        <v>45377</v>
      </c>
      <c r="C29" s="6">
        <v>10</v>
      </c>
      <c r="D29" s="10">
        <v>225</v>
      </c>
      <c r="E29" s="10">
        <v>231.2</v>
      </c>
      <c r="F29" s="9">
        <f>IF(Tablo1456789101112131415161718192021222324252627[[#This Row],[SATIŞ]]=0,"Açık",(E29-D29)*C29)</f>
        <v>61.999999999999886</v>
      </c>
      <c r="G29" s="11">
        <f>Tablo1456789101112131415161718192021222324252627[[#This Row],[ADET]]*Tablo1456789101112131415161718192021222324252627[[#This Row],[ALIŞ]]</f>
        <v>2250</v>
      </c>
      <c r="H29" s="11">
        <f>Tablo1456789101112131415161718192021222324252627[[#This Row],[ADET]]*Tablo1456789101112131415161718192021222324252627[[#This Row],[SATIŞ]]</f>
        <v>2312</v>
      </c>
      <c r="J29" s="40" t="str">
        <f t="shared" si="0"/>
        <v/>
      </c>
    </row>
    <row r="30" spans="2:10" ht="21" hidden="1" customHeight="1" x14ac:dyDescent="0.3">
      <c r="B30" s="2">
        <v>45378</v>
      </c>
      <c r="C30" s="6">
        <v>10</v>
      </c>
      <c r="D30" s="10">
        <v>225</v>
      </c>
      <c r="E30" s="10">
        <v>230</v>
      </c>
      <c r="F30" s="9">
        <f>IF(Tablo1456789101112131415161718192021222324252627[[#This Row],[SATIŞ]]=0,"Açık",(E30-D30)*C30)</f>
        <v>50</v>
      </c>
      <c r="G30" s="11">
        <f>Tablo1456789101112131415161718192021222324252627[[#This Row],[ADET]]*Tablo1456789101112131415161718192021222324252627[[#This Row],[ALIŞ]]</f>
        <v>2250</v>
      </c>
      <c r="H30" s="11">
        <f>Tablo1456789101112131415161718192021222324252627[[#This Row],[ADET]]*Tablo1456789101112131415161718192021222324252627[[#This Row],[SATIŞ]]</f>
        <v>2300</v>
      </c>
      <c r="J30" s="40" t="str">
        <f t="shared" si="0"/>
        <v/>
      </c>
    </row>
    <row r="31" spans="2:10" ht="21" hidden="1" customHeight="1" x14ac:dyDescent="0.3">
      <c r="B31" s="2">
        <v>45383</v>
      </c>
      <c r="C31" s="6">
        <v>10</v>
      </c>
      <c r="D31" s="10">
        <v>235</v>
      </c>
      <c r="E31" s="10">
        <v>240</v>
      </c>
      <c r="F31" s="9">
        <f>IF(Tablo1456789101112131415161718192021222324252627[[#This Row],[SATIŞ]]=0,"Açık",(E31-D31)*C31)</f>
        <v>50</v>
      </c>
      <c r="G31" s="11">
        <f>Tablo1456789101112131415161718192021222324252627[[#This Row],[ADET]]*Tablo1456789101112131415161718192021222324252627[[#This Row],[ALIŞ]]</f>
        <v>2350</v>
      </c>
      <c r="H31" s="11">
        <f>Tablo1456789101112131415161718192021222324252627[[#This Row],[ADET]]*Tablo1456789101112131415161718192021222324252627[[#This Row],[SATIŞ]]</f>
        <v>2400</v>
      </c>
      <c r="J31" s="40" t="str">
        <f t="shared" si="0"/>
        <v/>
      </c>
    </row>
    <row r="32" spans="2:10" ht="21" hidden="1" customHeight="1" x14ac:dyDescent="0.3">
      <c r="B32" s="2">
        <v>45384</v>
      </c>
      <c r="C32" s="6">
        <v>10</v>
      </c>
      <c r="D32" s="10">
        <v>230</v>
      </c>
      <c r="E32" s="10">
        <v>241.5</v>
      </c>
      <c r="F32" s="9">
        <f>IF(Tablo1456789101112131415161718192021222324252627[[#This Row],[SATIŞ]]=0,"Açık",(E32-D32)*C32)</f>
        <v>115</v>
      </c>
      <c r="G32" s="11">
        <f>Tablo1456789101112131415161718192021222324252627[[#This Row],[ADET]]*Tablo1456789101112131415161718192021222324252627[[#This Row],[ALIŞ]]</f>
        <v>2300</v>
      </c>
      <c r="H32" s="11">
        <f>Tablo1456789101112131415161718192021222324252627[[#This Row],[ADET]]*Tablo1456789101112131415161718192021222324252627[[#This Row],[SATIŞ]]</f>
        <v>2415</v>
      </c>
      <c r="J32" s="40" t="str">
        <f t="shared" si="0"/>
        <v/>
      </c>
    </row>
    <row r="33" spans="10:10" ht="21" customHeight="1" x14ac:dyDescent="0.3">
      <c r="J33" s="40">
        <f t="shared" si="0"/>
        <v>0</v>
      </c>
    </row>
    <row r="34" spans="10:10" ht="21" customHeight="1" x14ac:dyDescent="0.3">
      <c r="J34" s="40">
        <f t="shared" si="0"/>
        <v>0</v>
      </c>
    </row>
    <row r="35" spans="10:10" ht="21" customHeight="1" x14ac:dyDescent="0.3">
      <c r="J35" s="40">
        <f t="shared" si="0"/>
        <v>0</v>
      </c>
    </row>
    <row r="36" spans="10:10" ht="21" customHeight="1" x14ac:dyDescent="0.3">
      <c r="J36" s="40">
        <f t="shared" si="0"/>
        <v>0</v>
      </c>
    </row>
    <row r="37" spans="10:10" ht="21" customHeight="1" x14ac:dyDescent="0.3">
      <c r="J37" s="40">
        <f t="shared" si="0"/>
        <v>0</v>
      </c>
    </row>
  </sheetData>
  <conditionalFormatting sqref="B4:F32">
    <cfRule type="expression" dxfId="101" priority="1">
      <formula>$F4&lt;0</formula>
    </cfRule>
    <cfRule type="expression" dxfId="100" priority="2">
      <formula>$F4="Açık"</formula>
    </cfRule>
    <cfRule type="expression" dxfId="99" priority="3">
      <formula>$F4&gt;0</formula>
    </cfRule>
  </conditionalFormatting>
  <hyperlinks>
    <hyperlink ref="B1" location="İcmal!A1" display="ANA SAYFA" xr:uid="{392D3464-5552-46B3-931F-369F43FA28C8}"/>
  </hyperlinks>
  <pageMargins left="0.7" right="0.7" top="0.75" bottom="0.75" header="0.3" footer="0.3"/>
  <tableParts count="1">
    <tablePart r:id="rId1"/>
  </tablePart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0ABD3-6035-42AD-907F-80D6FEE6D6CF}">
  <dimension ref="B1:R22"/>
  <sheetViews>
    <sheetView showGridLines="0" showZeros="0" zoomScaleNormal="100" workbookViewId="0">
      <pane ySplit="1" topLeftCell="A2" activePane="bottomLeft" state="frozen"/>
      <selection activeCell="C23" sqref="C23"/>
      <selection pane="bottomLeft" activeCell="B1" sqref="B1"/>
    </sheetView>
  </sheetViews>
  <sheetFormatPr defaultRowHeight="21" customHeight="1" x14ac:dyDescent="0.3"/>
  <cols>
    <col min="2" max="2" width="20.6640625" style="1" customWidth="1"/>
    <col min="3" max="3" width="11.33203125" style="6" customWidth="1"/>
    <col min="4" max="5" width="12.88671875" style="3" customWidth="1"/>
    <col min="6" max="6" width="12.88671875" style="5" customWidth="1"/>
    <col min="7" max="8" width="11.33203125" bestFit="1" customWidth="1"/>
    <col min="12" max="13" width="11.33203125" bestFit="1" customWidth="1"/>
    <col min="14" max="14" width="10.33203125" bestFit="1" customWidth="1"/>
  </cols>
  <sheetData>
    <row r="1" spans="2:18" ht="21" customHeight="1" x14ac:dyDescent="0.3">
      <c r="B1" s="12" t="s">
        <v>64</v>
      </c>
      <c r="C1" s="4">
        <f>SUMIF(Tablo157[KAR],"Açık",Tablo157[ADET])</f>
        <v>0</v>
      </c>
      <c r="D1" s="10">
        <f>+İcmal!E37</f>
        <v>27.2</v>
      </c>
      <c r="E1" s="10">
        <f>C1*D1</f>
        <v>0</v>
      </c>
      <c r="F1" s="10" t="str">
        <f>IFERROR(((SUM(Tablo157[ALIŞ TUTAR])-SUM(Tablo157[SATIŞ TUTAR]))/C1),"")</f>
        <v/>
      </c>
      <c r="G1" s="10">
        <f>IF(M3=0,L3,C1*(D1-F1))</f>
        <v>602.49999999999989</v>
      </c>
      <c r="J1" s="34">
        <v>0.02</v>
      </c>
      <c r="L1" s="8" t="e">
        <f>M1*(1-$J$1)</f>
        <v>#VALUE!</v>
      </c>
      <c r="M1" s="33" t="str">
        <f>F1</f>
        <v/>
      </c>
      <c r="N1" s="8" t="e">
        <f>M1*(1+$J$1)</f>
        <v>#VALUE!</v>
      </c>
      <c r="P1" s="8">
        <f>Q1*(1-$J$1)</f>
        <v>26.655999999999999</v>
      </c>
      <c r="Q1" s="33">
        <f>+D1</f>
        <v>27.2</v>
      </c>
      <c r="R1" s="8">
        <f>Q1*(1+$J$1)</f>
        <v>27.744</v>
      </c>
    </row>
    <row r="2" spans="2:18" ht="21" customHeight="1" x14ac:dyDescent="0.3">
      <c r="B2" s="7"/>
    </row>
    <row r="3" spans="2:18" ht="21" customHeight="1" x14ac:dyDescent="0.3">
      <c r="B3" s="1" t="s">
        <v>0</v>
      </c>
      <c r="C3" s="6" t="s">
        <v>4</v>
      </c>
      <c r="D3" s="3" t="s">
        <v>1</v>
      </c>
      <c r="E3" s="3" t="s">
        <v>3</v>
      </c>
      <c r="F3" s="5" t="s">
        <v>2</v>
      </c>
      <c r="G3" s="3" t="s">
        <v>8</v>
      </c>
      <c r="H3" s="3" t="s">
        <v>9</v>
      </c>
      <c r="L3" s="33">
        <f>SUM(Tablo157[KAR])</f>
        <v>602.49999999999989</v>
      </c>
      <c r="M3" s="37">
        <f>C1</f>
        <v>0</v>
      </c>
    </row>
    <row r="4" spans="2:18" ht="21" customHeight="1" x14ac:dyDescent="0.3">
      <c r="B4" s="2">
        <v>45341</v>
      </c>
      <c r="C4" s="6">
        <v>50</v>
      </c>
      <c r="D4" s="10">
        <v>27.1</v>
      </c>
      <c r="E4" s="10">
        <v>27.6</v>
      </c>
      <c r="F4" s="9">
        <f>IF(Tablo157[[#This Row],[SATIŞ]]=0,"Açık",(E4-D4)*C4)</f>
        <v>25</v>
      </c>
      <c r="G4" s="11">
        <f>Tablo157[[#This Row],[ADET]]*Tablo157[[#This Row],[ALIŞ]]</f>
        <v>1355</v>
      </c>
      <c r="H4" s="11">
        <f>Tablo157[[#This Row],[ADET]]*Tablo157[[#This Row],[SATIŞ]]</f>
        <v>1380</v>
      </c>
      <c r="L4" s="8"/>
      <c r="M4" s="8"/>
      <c r="N4" s="8"/>
    </row>
    <row r="5" spans="2:18" ht="21" customHeight="1" x14ac:dyDescent="0.3">
      <c r="B5" s="2">
        <v>45341</v>
      </c>
      <c r="C5" s="6">
        <v>50</v>
      </c>
      <c r="D5" s="10">
        <v>27.1</v>
      </c>
      <c r="E5" s="10">
        <v>27.8</v>
      </c>
      <c r="F5" s="9">
        <f>IF(Tablo157[[#This Row],[SATIŞ]]=0,"Açık",(E5-D5)*C5)</f>
        <v>34.999999999999964</v>
      </c>
      <c r="G5" s="11">
        <f>Tablo157[[#This Row],[ADET]]*Tablo157[[#This Row],[ALIŞ]]</f>
        <v>1355</v>
      </c>
      <c r="H5" s="11">
        <f>Tablo157[[#This Row],[ADET]]*Tablo157[[#This Row],[SATIŞ]]</f>
        <v>1390</v>
      </c>
    </row>
    <row r="6" spans="2:18" ht="21" customHeight="1" x14ac:dyDescent="0.3">
      <c r="B6" s="2">
        <v>45341</v>
      </c>
      <c r="C6" s="6">
        <v>50</v>
      </c>
      <c r="D6" s="10">
        <v>27</v>
      </c>
      <c r="E6" s="10">
        <v>27.5</v>
      </c>
      <c r="F6" s="9">
        <f>IF(Tablo157[[#This Row],[SATIŞ]]=0,"Açık",(E6-D6)*C6)</f>
        <v>25</v>
      </c>
      <c r="G6" s="11">
        <f>Tablo157[[#This Row],[ADET]]*Tablo157[[#This Row],[ALIŞ]]</f>
        <v>1350</v>
      </c>
      <c r="H6" s="11">
        <f>Tablo157[[#This Row],[ADET]]*Tablo157[[#This Row],[SATIŞ]]</f>
        <v>1375</v>
      </c>
    </row>
    <row r="7" spans="2:18" ht="21" customHeight="1" x14ac:dyDescent="0.3">
      <c r="B7" s="2">
        <v>45341</v>
      </c>
      <c r="C7" s="6">
        <v>50</v>
      </c>
      <c r="D7" s="10">
        <v>26.9</v>
      </c>
      <c r="E7" s="10">
        <v>27</v>
      </c>
      <c r="F7" s="9">
        <f>IF(Tablo157[[#This Row],[SATIŞ]]=0,"Açık",(E7-D7)*C7)</f>
        <v>5.0000000000000711</v>
      </c>
      <c r="G7" s="11">
        <f>Tablo157[[#This Row],[ADET]]*Tablo157[[#This Row],[ALIŞ]]</f>
        <v>1345</v>
      </c>
      <c r="H7" s="11">
        <f>Tablo157[[#This Row],[ADET]]*Tablo157[[#This Row],[SATIŞ]]</f>
        <v>1350</v>
      </c>
    </row>
    <row r="8" spans="2:18" ht="21" customHeight="1" x14ac:dyDescent="0.3">
      <c r="B8" s="2">
        <v>45341</v>
      </c>
      <c r="C8" s="6">
        <v>50</v>
      </c>
      <c r="D8" s="10">
        <v>26.5</v>
      </c>
      <c r="E8" s="10">
        <v>27</v>
      </c>
      <c r="F8" s="9">
        <f>IF(Tablo157[[#This Row],[SATIŞ]]=0,"Açık",(E8-D8)*C8)</f>
        <v>25</v>
      </c>
      <c r="G8" s="11">
        <f>Tablo157[[#This Row],[ADET]]*Tablo157[[#This Row],[ALIŞ]]</f>
        <v>1325</v>
      </c>
      <c r="H8" s="11">
        <f>Tablo157[[#This Row],[ADET]]*Tablo157[[#This Row],[SATIŞ]]</f>
        <v>1350</v>
      </c>
    </row>
    <row r="9" spans="2:18" ht="21" customHeight="1" x14ac:dyDescent="0.3">
      <c r="B9" s="2">
        <v>45341</v>
      </c>
      <c r="C9" s="6">
        <v>50</v>
      </c>
      <c r="D9" s="10">
        <v>26.5</v>
      </c>
      <c r="E9" s="10">
        <v>26.75</v>
      </c>
      <c r="F9" s="9">
        <f>IF(Tablo157[[#This Row],[SATIŞ]]=0,"Açık",(E9-D9)*C9)</f>
        <v>12.5</v>
      </c>
      <c r="G9" s="11">
        <f>Tablo157[[#This Row],[ADET]]*Tablo157[[#This Row],[ALIŞ]]</f>
        <v>1325</v>
      </c>
      <c r="H9" s="11">
        <f>Tablo157[[#This Row],[ADET]]*Tablo157[[#This Row],[SATIŞ]]</f>
        <v>1337.5</v>
      </c>
    </row>
    <row r="10" spans="2:18" ht="21" customHeight="1" x14ac:dyDescent="0.3">
      <c r="B10" s="2">
        <v>45341</v>
      </c>
      <c r="C10" s="6">
        <v>100</v>
      </c>
      <c r="D10" s="10">
        <v>26</v>
      </c>
      <c r="E10" s="10">
        <v>26.5</v>
      </c>
      <c r="F10" s="9">
        <f>IF(Tablo157[[#This Row],[SATIŞ]]=0,"Açık",(E10-D10)*C10)</f>
        <v>50</v>
      </c>
      <c r="G10" s="11">
        <f>Tablo157[[#This Row],[ADET]]*Tablo157[[#This Row],[ALIŞ]]</f>
        <v>2600</v>
      </c>
      <c r="H10" s="11">
        <f>Tablo157[[#This Row],[ADET]]*Tablo157[[#This Row],[SATIŞ]]</f>
        <v>2650</v>
      </c>
    </row>
    <row r="11" spans="2:18" ht="21" customHeight="1" x14ac:dyDescent="0.3">
      <c r="B11" s="2">
        <v>45342</v>
      </c>
      <c r="C11" s="6">
        <v>125</v>
      </c>
      <c r="D11" s="10">
        <v>25.6</v>
      </c>
      <c r="E11" s="10">
        <v>27.5</v>
      </c>
      <c r="F11" s="9">
        <f>IF(Tablo157[[#This Row],[SATIŞ]]=0,"Açık",(E11-D11)*C11)</f>
        <v>237.49999999999983</v>
      </c>
      <c r="G11" s="11">
        <f>Tablo157[[#This Row],[ADET]]*Tablo157[[#This Row],[ALIŞ]]</f>
        <v>3200</v>
      </c>
      <c r="H11" s="11">
        <f>Tablo157[[#This Row],[ADET]]*Tablo157[[#This Row],[SATIŞ]]</f>
        <v>3437.5</v>
      </c>
      <c r="J11">
        <f>+Tablo157[[#This Row],[ALIŞ]]*1.02</f>
        <v>26.112000000000002</v>
      </c>
    </row>
    <row r="12" spans="2:18" ht="21" customHeight="1" x14ac:dyDescent="0.3">
      <c r="B12" s="2">
        <v>45343</v>
      </c>
      <c r="C12" s="6">
        <v>125</v>
      </c>
      <c r="D12" s="10">
        <v>27</v>
      </c>
      <c r="E12" s="10">
        <v>27.5</v>
      </c>
      <c r="F12" s="9">
        <f>IF(Tablo157[[#This Row],[SATIŞ]]=0,"Açık",(E12-D12)*C12)</f>
        <v>62.5</v>
      </c>
      <c r="G12" s="11">
        <f>Tablo157[[#This Row],[ADET]]*Tablo157[[#This Row],[ALIŞ]]</f>
        <v>3375</v>
      </c>
      <c r="H12" s="11">
        <f>Tablo157[[#This Row],[ADET]]*Tablo157[[#This Row],[SATIŞ]]</f>
        <v>3437.5</v>
      </c>
    </row>
    <row r="13" spans="2:18" ht="21" customHeight="1" x14ac:dyDescent="0.3">
      <c r="B13" s="2">
        <v>45344</v>
      </c>
      <c r="C13" s="6">
        <v>125</v>
      </c>
      <c r="D13" s="10">
        <v>26</v>
      </c>
      <c r="E13" s="10">
        <v>27</v>
      </c>
      <c r="F13" s="9">
        <f>IF(Tablo157[[#This Row],[SATIŞ]]=0,"Açık",(E13-D13)*C13)</f>
        <v>125</v>
      </c>
      <c r="G13" s="11">
        <f>Tablo157[[#This Row],[ADET]]*Tablo157[[#This Row],[ALIŞ]]</f>
        <v>3250</v>
      </c>
      <c r="H13" s="11">
        <f>Tablo157[[#This Row],[ADET]]*Tablo157[[#This Row],[SATIŞ]]</f>
        <v>3375</v>
      </c>
    </row>
    <row r="14" spans="2:18" ht="21" customHeight="1" x14ac:dyDescent="0.3">
      <c r="B14" s="2"/>
      <c r="D14" s="10"/>
      <c r="E14" s="10"/>
      <c r="F14" s="9" t="str">
        <f>IF(Tablo157[[#This Row],[SATIŞ]]=0,"Açık",(E14-D14)*C14)</f>
        <v>Açık</v>
      </c>
      <c r="G14" s="11">
        <f>Tablo157[[#This Row],[ADET]]*Tablo157[[#This Row],[ALIŞ]]</f>
        <v>0</v>
      </c>
      <c r="H14" s="11">
        <f>Tablo157[[#This Row],[ADET]]*Tablo157[[#This Row],[SATIŞ]]</f>
        <v>0</v>
      </c>
    </row>
    <row r="15" spans="2:18" ht="21" customHeight="1" x14ac:dyDescent="0.3">
      <c r="B15" s="2"/>
      <c r="D15" s="10"/>
      <c r="E15" s="10"/>
      <c r="F15" s="9" t="str">
        <f>IF(Tablo157[[#This Row],[SATIŞ]]=0,"Açık",(E15-D15)*C15)</f>
        <v>Açık</v>
      </c>
      <c r="G15" s="11">
        <f>Tablo157[[#This Row],[ADET]]*Tablo157[[#This Row],[ALIŞ]]</f>
        <v>0</v>
      </c>
      <c r="H15" s="11">
        <f>Tablo157[[#This Row],[ADET]]*Tablo157[[#This Row],[SATIŞ]]</f>
        <v>0</v>
      </c>
    </row>
    <row r="16" spans="2:18" ht="21" customHeight="1" x14ac:dyDescent="0.3">
      <c r="B16" s="2"/>
      <c r="D16" s="10"/>
      <c r="E16" s="10"/>
      <c r="F16" s="9" t="str">
        <f>IF(Tablo157[[#This Row],[SATIŞ]]=0,"Açık",(E16-D16)*C16)</f>
        <v>Açık</v>
      </c>
      <c r="G16" s="11">
        <f>Tablo157[[#This Row],[ADET]]*Tablo157[[#This Row],[ALIŞ]]</f>
        <v>0</v>
      </c>
      <c r="H16" s="11">
        <f>Tablo157[[#This Row],[ADET]]*Tablo157[[#This Row],[SATIŞ]]</f>
        <v>0</v>
      </c>
    </row>
    <row r="17" spans="2:8" ht="21" customHeight="1" x14ac:dyDescent="0.3">
      <c r="B17" s="2"/>
      <c r="D17" s="10"/>
      <c r="E17" s="10"/>
      <c r="F17" s="9" t="str">
        <f>IF(Tablo157[[#This Row],[SATIŞ]]=0,"Açık",(E17-D17)*C17)</f>
        <v>Açık</v>
      </c>
      <c r="G17" s="11">
        <f>Tablo157[[#This Row],[ADET]]*Tablo157[[#This Row],[ALIŞ]]</f>
        <v>0</v>
      </c>
      <c r="H17" s="11">
        <f>Tablo157[[#This Row],[ADET]]*Tablo157[[#This Row],[SATIŞ]]</f>
        <v>0</v>
      </c>
    </row>
    <row r="18" spans="2:8" ht="21" customHeight="1" x14ac:dyDescent="0.3">
      <c r="B18" s="2"/>
      <c r="D18" s="10"/>
      <c r="E18" s="10"/>
      <c r="F18" s="9" t="str">
        <f>IF(Tablo157[[#This Row],[SATIŞ]]=0,"Açık",(E18-D18)*C18)</f>
        <v>Açık</v>
      </c>
      <c r="G18" s="11">
        <f>Tablo157[[#This Row],[ADET]]*Tablo157[[#This Row],[ALIŞ]]</f>
        <v>0</v>
      </c>
      <c r="H18" s="11">
        <f>Tablo157[[#This Row],[ADET]]*Tablo157[[#This Row],[SATIŞ]]</f>
        <v>0</v>
      </c>
    </row>
    <row r="19" spans="2:8" ht="21" customHeight="1" x14ac:dyDescent="0.3">
      <c r="B19" s="2"/>
      <c r="D19" s="10"/>
      <c r="E19" s="10"/>
      <c r="F19" s="9" t="str">
        <f>IF(Tablo157[[#This Row],[SATIŞ]]=0,"Açık",(E19-D19)*C19)</f>
        <v>Açık</v>
      </c>
      <c r="G19" s="11">
        <f>Tablo157[[#This Row],[ADET]]*Tablo157[[#This Row],[ALIŞ]]</f>
        <v>0</v>
      </c>
      <c r="H19" s="11">
        <f>Tablo157[[#This Row],[ADET]]*Tablo157[[#This Row],[SATIŞ]]</f>
        <v>0</v>
      </c>
    </row>
    <row r="20" spans="2:8" ht="21" customHeight="1" x14ac:dyDescent="0.3">
      <c r="B20" s="2"/>
      <c r="D20" s="10"/>
      <c r="E20" s="10"/>
      <c r="F20" s="9" t="str">
        <f>IF(Tablo157[[#This Row],[SATIŞ]]=0,"Açık",(E20-D20)*C20)</f>
        <v>Açık</v>
      </c>
      <c r="G20" s="11">
        <f>Tablo157[[#This Row],[ADET]]*Tablo157[[#This Row],[ALIŞ]]</f>
        <v>0</v>
      </c>
      <c r="H20" s="11">
        <f>Tablo157[[#This Row],[ADET]]*Tablo157[[#This Row],[SATIŞ]]</f>
        <v>0</v>
      </c>
    </row>
    <row r="21" spans="2:8" ht="21" customHeight="1" x14ac:dyDescent="0.3">
      <c r="B21" s="2"/>
      <c r="D21" s="10"/>
      <c r="E21" s="10"/>
      <c r="F21" s="9" t="str">
        <f>IF(Tablo157[[#This Row],[SATIŞ]]=0,"Açık",(E21-D21)*C21)</f>
        <v>Açık</v>
      </c>
      <c r="G21" s="11">
        <f>Tablo157[[#This Row],[ADET]]*Tablo157[[#This Row],[ALIŞ]]</f>
        <v>0</v>
      </c>
      <c r="H21" s="11">
        <f>Tablo157[[#This Row],[ADET]]*Tablo157[[#This Row],[SATIŞ]]</f>
        <v>0</v>
      </c>
    </row>
    <row r="22" spans="2:8" ht="21" customHeight="1" x14ac:dyDescent="0.3">
      <c r="B22" s="2"/>
      <c r="D22" s="10"/>
      <c r="E22" s="10"/>
      <c r="F22" s="9" t="str">
        <f>IF(Tablo157[[#This Row],[SATIŞ]]=0,"Açık",(E22-D22)*C22)</f>
        <v>Açık</v>
      </c>
      <c r="G22" s="11">
        <f>Tablo157[[#This Row],[ADET]]*Tablo157[[#This Row],[ALIŞ]]</f>
        <v>0</v>
      </c>
      <c r="H22" s="11">
        <f>Tablo157[[#This Row],[ADET]]*Tablo157[[#This Row],[SATIŞ]]</f>
        <v>0</v>
      </c>
    </row>
  </sheetData>
  <conditionalFormatting sqref="B4:F22">
    <cfRule type="expression" dxfId="98" priority="1">
      <formula>$F4&lt;0</formula>
    </cfRule>
    <cfRule type="expression" dxfId="97" priority="2">
      <formula>$F4="Açık"</formula>
    </cfRule>
    <cfRule type="expression" dxfId="96" priority="3">
      <formula>$F4&gt;0</formula>
    </cfRule>
  </conditionalFormatting>
  <hyperlinks>
    <hyperlink ref="B1" location="İcmal!A1" display="ANA SAYFA" xr:uid="{8590ECB7-3610-4577-9A2B-AB1D91719FAD}"/>
  </hyperlinks>
  <pageMargins left="0.7" right="0.7" top="0.75" bottom="0.75" header="0.3" footer="0.3"/>
  <tableParts count="1">
    <tablePart r:id="rId1"/>
  </tablePart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33061-0A54-4351-BC10-A84492AE2644}">
  <sheetPr>
    <tabColor rgb="FF00B050"/>
  </sheetPr>
  <dimension ref="B1:R53"/>
  <sheetViews>
    <sheetView showGridLines="0" showZeros="0" zoomScale="110" zoomScaleNormal="110" workbookViewId="0">
      <pane ySplit="3" topLeftCell="A27" activePane="bottomLeft" state="frozen"/>
      <selection pane="bottomLeft" activeCell="E40" sqref="E40"/>
    </sheetView>
  </sheetViews>
  <sheetFormatPr defaultRowHeight="21" customHeight="1" x14ac:dyDescent="0.3"/>
  <cols>
    <col min="2" max="2" width="20.6640625" style="1" customWidth="1"/>
    <col min="3" max="3" width="11.33203125" style="6" customWidth="1"/>
    <col min="4" max="5" width="12.88671875" style="3" customWidth="1"/>
    <col min="6" max="6" width="12.88671875" style="5" customWidth="1"/>
    <col min="7" max="8" width="11.33203125" bestFit="1" customWidth="1"/>
    <col min="10" max="12" width="12.44140625" customWidth="1"/>
    <col min="13" max="13" width="11.33203125" bestFit="1" customWidth="1"/>
    <col min="14" max="14" width="10.33203125" bestFit="1" customWidth="1"/>
  </cols>
  <sheetData>
    <row r="1" spans="2:18" ht="21" customHeight="1" x14ac:dyDescent="0.3">
      <c r="B1" s="12" t="s">
        <v>64</v>
      </c>
      <c r="C1" s="4">
        <f>SUMIF(Tablo145678910111213141516171819202122232425262728[KAR],"Açık",Tablo145678910111213141516171819202122232425262728[ADET])</f>
        <v>450</v>
      </c>
      <c r="D1" s="10">
        <f>+İcmal!E39</f>
        <v>81.05</v>
      </c>
      <c r="E1" s="10">
        <f>C1*D1</f>
        <v>36472.5</v>
      </c>
      <c r="F1" s="10">
        <f>IFERROR(((SUM(Tablo145678910111213141516171819202122232425262728[ALIŞ TUTAR])-SUM(Tablo145678910111213141516171819202122232425262728[SATIŞ TUTAR]))/C1),"")</f>
        <v>64.178177777777833</v>
      </c>
      <c r="G1" s="10">
        <f>IF(M3=0,L3,C1*(D1-F1))</f>
        <v>7592.3199999999742</v>
      </c>
      <c r="J1" s="45" t="s">
        <v>94</v>
      </c>
      <c r="K1" s="45" t="s">
        <v>95</v>
      </c>
      <c r="L1" s="45" t="s">
        <v>96</v>
      </c>
      <c r="M1" s="33">
        <f>F1</f>
        <v>64.178177777777833</v>
      </c>
      <c r="N1" s="8" t="e">
        <f>M1*(1+$J$1)</f>
        <v>#VALUE!</v>
      </c>
      <c r="P1" s="8" t="e">
        <f>Q1*(1-$J$1)</f>
        <v>#VALUE!</v>
      </c>
      <c r="Q1" s="33">
        <f>+D1</f>
        <v>81.05</v>
      </c>
      <c r="R1" s="8" t="e">
        <f>Q1*(1+$J$1)</f>
        <v>#VALUE!</v>
      </c>
    </row>
    <row r="2" spans="2:18" ht="21" customHeight="1" x14ac:dyDescent="0.3">
      <c r="B2" s="7" t="s">
        <v>37</v>
      </c>
      <c r="J2" s="45">
        <f>SUMIFS(Tablo2[HEDEF2],Tablo2[HİSSE],B2)</f>
        <v>1000</v>
      </c>
      <c r="K2" s="45">
        <f>+E1/İcmal!$P$2</f>
        <v>1121.1958192437748</v>
      </c>
      <c r="L2" s="45">
        <f>+J2-K2</f>
        <v>-121.19581924377485</v>
      </c>
    </row>
    <row r="3" spans="2:18" ht="21" customHeight="1" x14ac:dyDescent="0.3">
      <c r="B3" s="1" t="s">
        <v>0</v>
      </c>
      <c r="C3" s="6" t="s">
        <v>4</v>
      </c>
      <c r="D3" s="3" t="s">
        <v>1</v>
      </c>
      <c r="E3" s="3" t="s">
        <v>3</v>
      </c>
      <c r="F3" s="5" t="s">
        <v>2</v>
      </c>
      <c r="G3" s="3" t="s">
        <v>8</v>
      </c>
      <c r="H3" s="3" t="s">
        <v>9</v>
      </c>
      <c r="L3" s="33">
        <f>SUM(Tablo145678910111213141516171819202122232425262728[KAR])</f>
        <v>7604.8199999999979</v>
      </c>
      <c r="M3" s="37">
        <f>+C1</f>
        <v>450</v>
      </c>
    </row>
    <row r="4" spans="2:18" ht="21" hidden="1" customHeight="1" x14ac:dyDescent="0.3">
      <c r="B4" s="2">
        <v>45291</v>
      </c>
      <c r="C4" s="6">
        <v>200</v>
      </c>
      <c r="D4" s="10">
        <v>129.35290000000001</v>
      </c>
      <c r="E4" s="10">
        <v>129.172</v>
      </c>
      <c r="F4" s="9">
        <f>IF(Tablo145678910111213141516171819202122232425262728[[#This Row],[SATIŞ]]=0,"Açık",(E4-D4)*C4)</f>
        <v>-36.180000000001655</v>
      </c>
      <c r="G4" s="11">
        <f>Tablo145678910111213141516171819202122232425262728[[#This Row],[ADET]]*Tablo145678910111213141516171819202122232425262728[[#This Row],[ALIŞ]]</f>
        <v>25870.58</v>
      </c>
      <c r="H4" s="11">
        <f>Tablo145678910111213141516171819202122232425262728[[#This Row],[ADET]]*Tablo145678910111213141516171819202122232425262728[[#This Row],[SATIŞ]]</f>
        <v>25834.399999999998</v>
      </c>
      <c r="J4" s="40" t="str">
        <f t="shared" ref="J4:J52" si="0">IF(E4=0,D4*1.05,"")</f>
        <v/>
      </c>
      <c r="L4" s="8">
        <f>SUM(Tablo145678910111213141516171819202122232425262728[ALIŞ TUTAR])</f>
        <v>188191.08000000002</v>
      </c>
      <c r="M4" s="8">
        <f>SUM(Tablo145678910111213141516171819202122232425262728[SATIŞ TUTAR])</f>
        <v>159310.9</v>
      </c>
      <c r="N4" s="8">
        <f>L4-M4</f>
        <v>28880.180000000022</v>
      </c>
    </row>
    <row r="5" spans="2:18" ht="21" hidden="1" customHeight="1" x14ac:dyDescent="0.3">
      <c r="B5" s="2">
        <v>45329</v>
      </c>
      <c r="C5" s="6">
        <v>3</v>
      </c>
      <c r="D5" s="10">
        <v>147.5</v>
      </c>
      <c r="E5" s="10">
        <v>147.6</v>
      </c>
      <c r="F5" s="9">
        <f>IF(Tablo145678910111213141516171819202122232425262728[[#This Row],[SATIŞ]]=0,"Açık",(E5-D5)*C5)</f>
        <v>0.29999999999998295</v>
      </c>
      <c r="G5" s="11">
        <f>Tablo145678910111213141516171819202122232425262728[[#This Row],[ADET]]*Tablo145678910111213141516171819202122232425262728[[#This Row],[ALIŞ]]</f>
        <v>442.5</v>
      </c>
      <c r="H5" s="11">
        <f>Tablo145678910111213141516171819202122232425262728[[#This Row],[ADET]]*Tablo145678910111213141516171819202122232425262728[[#This Row],[SATIŞ]]</f>
        <v>442.79999999999995</v>
      </c>
      <c r="J5" s="40" t="str">
        <f t="shared" si="0"/>
        <v/>
      </c>
      <c r="N5">
        <f>+N4/80</f>
        <v>361.00225000000029</v>
      </c>
    </row>
    <row r="6" spans="2:18" ht="21" hidden="1" customHeight="1" x14ac:dyDescent="0.3">
      <c r="B6" s="2">
        <v>45329</v>
      </c>
      <c r="C6" s="6">
        <v>5</v>
      </c>
      <c r="D6" s="10">
        <v>147</v>
      </c>
      <c r="E6" s="10">
        <v>150</v>
      </c>
      <c r="F6" s="9">
        <f>IF(Tablo145678910111213141516171819202122232425262728[[#This Row],[SATIŞ]]=0,"Açık",(E6-D6)*C6)</f>
        <v>15</v>
      </c>
      <c r="G6" s="11">
        <f>Tablo145678910111213141516171819202122232425262728[[#This Row],[ADET]]*Tablo145678910111213141516171819202122232425262728[[#This Row],[ALIŞ]]</f>
        <v>735</v>
      </c>
      <c r="H6" s="11">
        <f>Tablo145678910111213141516171819202122232425262728[[#This Row],[ADET]]*Tablo145678910111213141516171819202122232425262728[[#This Row],[SATIŞ]]</f>
        <v>750</v>
      </c>
      <c r="J6" s="40" t="str">
        <f t="shared" si="0"/>
        <v/>
      </c>
    </row>
    <row r="7" spans="2:18" ht="21" hidden="1" customHeight="1" x14ac:dyDescent="0.3">
      <c r="B7" s="2">
        <v>45329</v>
      </c>
      <c r="C7" s="6">
        <v>8</v>
      </c>
      <c r="D7" s="10">
        <v>145</v>
      </c>
      <c r="E7" s="10">
        <v>147.6</v>
      </c>
      <c r="F7" s="9">
        <f>IF(Tablo145678910111213141516171819202122232425262728[[#This Row],[SATIŞ]]=0,"Açık",(E7-D7)*C7)</f>
        <v>20.799999999999955</v>
      </c>
      <c r="G7" s="11">
        <f>Tablo145678910111213141516171819202122232425262728[[#This Row],[ADET]]*Tablo145678910111213141516171819202122232425262728[[#This Row],[ALIŞ]]</f>
        <v>1160</v>
      </c>
      <c r="H7" s="11">
        <f>Tablo145678910111213141516171819202122232425262728[[#This Row],[ADET]]*Tablo145678910111213141516171819202122232425262728[[#This Row],[SATIŞ]]</f>
        <v>1180.8</v>
      </c>
      <c r="J7" s="40" t="str">
        <f t="shared" si="0"/>
        <v/>
      </c>
    </row>
    <row r="8" spans="2:18" ht="21" hidden="1" customHeight="1" x14ac:dyDescent="0.3">
      <c r="B8" s="2">
        <v>45329</v>
      </c>
      <c r="C8" s="6">
        <v>2</v>
      </c>
      <c r="D8" s="10">
        <v>145</v>
      </c>
      <c r="E8" s="10">
        <v>149.5</v>
      </c>
      <c r="F8" s="9">
        <f>IF(Tablo145678910111213141516171819202122232425262728[[#This Row],[SATIŞ]]=0,"Açık",(E8-D8)*C8)</f>
        <v>9</v>
      </c>
      <c r="G8" s="11">
        <f>Tablo145678910111213141516171819202122232425262728[[#This Row],[ADET]]*Tablo145678910111213141516171819202122232425262728[[#This Row],[ALIŞ]]</f>
        <v>290</v>
      </c>
      <c r="H8" s="11">
        <f>Tablo145678910111213141516171819202122232425262728[[#This Row],[ADET]]*Tablo145678910111213141516171819202122232425262728[[#This Row],[SATIŞ]]</f>
        <v>299</v>
      </c>
      <c r="J8" s="40" t="str">
        <f t="shared" si="0"/>
        <v/>
      </c>
    </row>
    <row r="9" spans="2:18" ht="21" hidden="1" customHeight="1" x14ac:dyDescent="0.3">
      <c r="B9" s="2">
        <v>45335</v>
      </c>
      <c r="C9" s="6">
        <v>9</v>
      </c>
      <c r="D9" s="10">
        <v>147</v>
      </c>
      <c r="E9" s="10">
        <v>147.6</v>
      </c>
      <c r="F9" s="9">
        <f>IF(Tablo145678910111213141516171819202122232425262728[[#This Row],[SATIŞ]]=0,"Açık",(E9-D9)*C9)</f>
        <v>5.3999999999999488</v>
      </c>
      <c r="G9" s="11">
        <f>Tablo145678910111213141516171819202122232425262728[[#This Row],[ADET]]*Tablo145678910111213141516171819202122232425262728[[#This Row],[ALIŞ]]</f>
        <v>1323</v>
      </c>
      <c r="H9" s="11">
        <f>Tablo145678910111213141516171819202122232425262728[[#This Row],[ADET]]*Tablo145678910111213141516171819202122232425262728[[#This Row],[SATIŞ]]</f>
        <v>1328.3999999999999</v>
      </c>
      <c r="J9" s="40" t="str">
        <f t="shared" si="0"/>
        <v/>
      </c>
    </row>
    <row r="10" spans="2:18" ht="21" hidden="1" customHeight="1" x14ac:dyDescent="0.3">
      <c r="B10" s="2">
        <v>45335</v>
      </c>
      <c r="C10" s="6">
        <v>5</v>
      </c>
      <c r="D10" s="10">
        <v>145</v>
      </c>
      <c r="E10" s="10">
        <v>150</v>
      </c>
      <c r="F10" s="9">
        <f>IF(Tablo145678910111213141516171819202122232425262728[[#This Row],[SATIŞ]]=0,"Açık",(E10-D10)*C10)</f>
        <v>25</v>
      </c>
      <c r="G10" s="11">
        <f>Tablo145678910111213141516171819202122232425262728[[#This Row],[ADET]]*Tablo145678910111213141516171819202122232425262728[[#This Row],[ALIŞ]]</f>
        <v>725</v>
      </c>
      <c r="H10" s="11">
        <f>Tablo145678910111213141516171819202122232425262728[[#This Row],[ADET]]*Tablo145678910111213141516171819202122232425262728[[#This Row],[SATIŞ]]</f>
        <v>750</v>
      </c>
      <c r="J10" s="40" t="str">
        <f t="shared" si="0"/>
        <v/>
      </c>
    </row>
    <row r="11" spans="2:18" ht="21" hidden="1" customHeight="1" x14ac:dyDescent="0.3">
      <c r="B11" s="2">
        <v>45336</v>
      </c>
      <c r="C11" s="6">
        <v>10</v>
      </c>
      <c r="D11" s="10">
        <v>140</v>
      </c>
      <c r="E11" s="10">
        <v>150</v>
      </c>
      <c r="F11" s="9">
        <f>IF(Tablo145678910111213141516171819202122232425262728[[#This Row],[SATIŞ]]=0,"Açık",(E11-D11)*C11)</f>
        <v>100</v>
      </c>
      <c r="G11" s="11">
        <f>Tablo145678910111213141516171819202122232425262728[[#This Row],[ADET]]*Tablo145678910111213141516171819202122232425262728[[#This Row],[ALIŞ]]</f>
        <v>1400</v>
      </c>
      <c r="H11" s="11">
        <f>Tablo145678910111213141516171819202122232425262728[[#This Row],[ADET]]*Tablo145678910111213141516171819202122232425262728[[#This Row],[SATIŞ]]</f>
        <v>1500</v>
      </c>
      <c r="J11" s="40" t="str">
        <f t="shared" si="0"/>
        <v/>
      </c>
    </row>
    <row r="12" spans="2:18" ht="21" hidden="1" customHeight="1" x14ac:dyDescent="0.3">
      <c r="B12" s="2">
        <v>45338</v>
      </c>
      <c r="C12" s="6">
        <v>20</v>
      </c>
      <c r="D12" s="10">
        <v>143</v>
      </c>
      <c r="E12" s="10">
        <v>146</v>
      </c>
      <c r="F12" s="9">
        <f>IF(Tablo145678910111213141516171819202122232425262728[[#This Row],[SATIŞ]]=0,"Açık",(E12-D12)*C12)</f>
        <v>60</v>
      </c>
      <c r="G12" s="11">
        <f>Tablo145678910111213141516171819202122232425262728[[#This Row],[ADET]]*Tablo145678910111213141516171819202122232425262728[[#This Row],[ALIŞ]]</f>
        <v>2860</v>
      </c>
      <c r="H12" s="11">
        <f>Tablo145678910111213141516171819202122232425262728[[#This Row],[ADET]]*Tablo145678910111213141516171819202122232425262728[[#This Row],[SATIŞ]]</f>
        <v>2920</v>
      </c>
      <c r="J12" s="40" t="str">
        <f t="shared" si="0"/>
        <v/>
      </c>
    </row>
    <row r="13" spans="2:18" ht="21" hidden="1" customHeight="1" x14ac:dyDescent="0.3">
      <c r="B13" s="2">
        <v>45341</v>
      </c>
      <c r="C13" s="6">
        <v>20</v>
      </c>
      <c r="D13" s="10">
        <v>143</v>
      </c>
      <c r="E13" s="10">
        <v>144</v>
      </c>
      <c r="F13" s="9">
        <f>IF(Tablo145678910111213141516171819202122232425262728[[#This Row],[SATIŞ]]=0,"Açık",(E13-D13)*C13)</f>
        <v>20</v>
      </c>
      <c r="G13" s="11">
        <f>Tablo145678910111213141516171819202122232425262728[[#This Row],[ADET]]*Tablo145678910111213141516171819202122232425262728[[#This Row],[ALIŞ]]</f>
        <v>2860</v>
      </c>
      <c r="H13" s="11">
        <f>Tablo145678910111213141516171819202122232425262728[[#This Row],[ADET]]*Tablo145678910111213141516171819202122232425262728[[#This Row],[SATIŞ]]</f>
        <v>2880</v>
      </c>
      <c r="J13" s="40" t="str">
        <f t="shared" si="0"/>
        <v/>
      </c>
    </row>
    <row r="14" spans="2:18" ht="21" hidden="1" customHeight="1" x14ac:dyDescent="0.3">
      <c r="B14" s="2">
        <v>45343</v>
      </c>
      <c r="C14" s="6">
        <v>20</v>
      </c>
      <c r="D14" s="10">
        <v>140</v>
      </c>
      <c r="E14" s="10">
        <v>143</v>
      </c>
      <c r="F14" s="9">
        <f>IF(Tablo145678910111213141516171819202122232425262728[[#This Row],[SATIŞ]]=0,"Açık",(E14-D14)*C14)</f>
        <v>60</v>
      </c>
      <c r="G14" s="11">
        <f>Tablo145678910111213141516171819202122232425262728[[#This Row],[ADET]]*Tablo145678910111213141516171819202122232425262728[[#This Row],[ALIŞ]]</f>
        <v>2800</v>
      </c>
      <c r="H14" s="11">
        <f>Tablo145678910111213141516171819202122232425262728[[#This Row],[ADET]]*Tablo145678910111213141516171819202122232425262728[[#This Row],[SATIŞ]]</f>
        <v>2860</v>
      </c>
      <c r="J14" s="40" t="str">
        <f t="shared" si="0"/>
        <v/>
      </c>
    </row>
    <row r="15" spans="2:18" ht="21" hidden="1" customHeight="1" x14ac:dyDescent="0.3">
      <c r="B15" s="2">
        <v>45349</v>
      </c>
      <c r="C15" s="6">
        <v>20</v>
      </c>
      <c r="D15" s="10">
        <v>140</v>
      </c>
      <c r="E15" s="10">
        <v>143</v>
      </c>
      <c r="F15" s="9">
        <f>IF(Tablo145678910111213141516171819202122232425262728[[#This Row],[SATIŞ]]=0,"Açık",(E15-D15)*C15)</f>
        <v>60</v>
      </c>
      <c r="G15" s="11">
        <f>Tablo145678910111213141516171819202122232425262728[[#This Row],[ADET]]*Tablo145678910111213141516171819202122232425262728[[#This Row],[ALIŞ]]</f>
        <v>2800</v>
      </c>
      <c r="H15" s="11">
        <f>Tablo145678910111213141516171819202122232425262728[[#This Row],[ADET]]*Tablo145678910111213141516171819202122232425262728[[#This Row],[SATIŞ]]</f>
        <v>2860</v>
      </c>
      <c r="J15" s="40" t="str">
        <f t="shared" si="0"/>
        <v/>
      </c>
    </row>
    <row r="16" spans="2:18" ht="21" hidden="1" customHeight="1" x14ac:dyDescent="0.3">
      <c r="B16" s="2">
        <v>45349</v>
      </c>
      <c r="C16" s="6">
        <v>20</v>
      </c>
      <c r="D16" s="10">
        <v>140</v>
      </c>
      <c r="E16" s="10">
        <v>142</v>
      </c>
      <c r="F16" s="9">
        <f>IF(Tablo145678910111213141516171819202122232425262728[[#This Row],[SATIŞ]]=0,"Açık",(E16-D16)*C16)</f>
        <v>40</v>
      </c>
      <c r="G16" s="11">
        <f>Tablo145678910111213141516171819202122232425262728[[#This Row],[ADET]]*Tablo145678910111213141516171819202122232425262728[[#This Row],[ALIŞ]]</f>
        <v>2800</v>
      </c>
      <c r="H16" s="11">
        <f>Tablo145678910111213141516171819202122232425262728[[#This Row],[ADET]]*Tablo145678910111213141516171819202122232425262728[[#This Row],[SATIŞ]]</f>
        <v>2840</v>
      </c>
      <c r="J16" s="40" t="str">
        <f t="shared" si="0"/>
        <v/>
      </c>
    </row>
    <row r="17" spans="2:10" ht="21" hidden="1" customHeight="1" x14ac:dyDescent="0.3">
      <c r="B17" s="2">
        <v>45349</v>
      </c>
      <c r="C17" s="6">
        <v>20</v>
      </c>
      <c r="D17" s="10">
        <v>139</v>
      </c>
      <c r="E17" s="10">
        <v>147</v>
      </c>
      <c r="F17" s="9">
        <f>IF(Tablo145678910111213141516171819202122232425262728[[#This Row],[SATIŞ]]=0,"Açık",(E17-D17)*C17)</f>
        <v>160</v>
      </c>
      <c r="G17" s="11">
        <f>Tablo145678910111213141516171819202122232425262728[[#This Row],[ADET]]*Tablo145678910111213141516171819202122232425262728[[#This Row],[ALIŞ]]</f>
        <v>2780</v>
      </c>
      <c r="H17" s="11">
        <f>Tablo145678910111213141516171819202122232425262728[[#This Row],[ADET]]*Tablo145678910111213141516171819202122232425262728[[#This Row],[SATIŞ]]</f>
        <v>2940</v>
      </c>
      <c r="J17" s="40" t="str">
        <f t="shared" si="0"/>
        <v/>
      </c>
    </row>
    <row r="18" spans="2:10" ht="21" hidden="1" customHeight="1" x14ac:dyDescent="0.3">
      <c r="B18" s="2">
        <v>45355</v>
      </c>
      <c r="C18" s="6">
        <v>20</v>
      </c>
      <c r="D18" s="10">
        <v>140</v>
      </c>
      <c r="E18" s="10">
        <v>143</v>
      </c>
      <c r="F18" s="9">
        <f>IF(Tablo145678910111213141516171819202122232425262728[[#This Row],[SATIŞ]]=0,"Açık",(E18-D18)*C18)</f>
        <v>60</v>
      </c>
      <c r="G18" s="11">
        <f>Tablo145678910111213141516171819202122232425262728[[#This Row],[ADET]]*Tablo145678910111213141516171819202122232425262728[[#This Row],[ALIŞ]]</f>
        <v>2800</v>
      </c>
      <c r="H18" s="11">
        <f>Tablo145678910111213141516171819202122232425262728[[#This Row],[ADET]]*Tablo145678910111213141516171819202122232425262728[[#This Row],[SATIŞ]]</f>
        <v>2860</v>
      </c>
      <c r="J18" s="40" t="str">
        <f t="shared" si="0"/>
        <v/>
      </c>
    </row>
    <row r="19" spans="2:10" ht="21" hidden="1" customHeight="1" x14ac:dyDescent="0.3">
      <c r="B19" s="2">
        <v>45328</v>
      </c>
      <c r="C19" s="6">
        <v>20</v>
      </c>
      <c r="D19" s="10">
        <v>141</v>
      </c>
      <c r="E19" s="10">
        <v>143</v>
      </c>
      <c r="F19" s="9">
        <f>IF(Tablo145678910111213141516171819202122232425262728[[#This Row],[SATIŞ]]=0,"Açık",(E19-D19)*C19)</f>
        <v>40</v>
      </c>
      <c r="G19" s="11">
        <f>Tablo145678910111213141516171819202122232425262728[[#This Row],[ADET]]*Tablo145678910111213141516171819202122232425262728[[#This Row],[ALIŞ]]</f>
        <v>2820</v>
      </c>
      <c r="H19" s="11">
        <f>Tablo145678910111213141516171819202122232425262728[[#This Row],[ADET]]*Tablo145678910111213141516171819202122232425262728[[#This Row],[SATIŞ]]</f>
        <v>2860</v>
      </c>
      <c r="J19" s="40" t="str">
        <f t="shared" si="0"/>
        <v/>
      </c>
    </row>
    <row r="20" spans="2:10" ht="21" hidden="1" customHeight="1" x14ac:dyDescent="0.3">
      <c r="B20" s="2">
        <v>45359</v>
      </c>
      <c r="C20" s="6">
        <v>20</v>
      </c>
      <c r="D20" s="10">
        <v>145.30000000000001</v>
      </c>
      <c r="E20" s="10">
        <v>150</v>
      </c>
      <c r="F20" s="9">
        <f>IF(Tablo145678910111213141516171819202122232425262728[[#This Row],[SATIŞ]]=0,"Açık",(E20-D20)*C20)</f>
        <v>93.999999999999773</v>
      </c>
      <c r="G20" s="11">
        <f>Tablo145678910111213141516171819202122232425262728[[#This Row],[ADET]]*Tablo145678910111213141516171819202122232425262728[[#This Row],[ALIŞ]]</f>
        <v>2906</v>
      </c>
      <c r="H20" s="11">
        <f>Tablo145678910111213141516171819202122232425262728[[#This Row],[ADET]]*Tablo145678910111213141516171819202122232425262728[[#This Row],[SATIŞ]]</f>
        <v>3000</v>
      </c>
      <c r="J20" s="40" t="str">
        <f t="shared" si="0"/>
        <v/>
      </c>
    </row>
    <row r="21" spans="2:10" ht="21" hidden="1" customHeight="1" x14ac:dyDescent="0.3">
      <c r="B21" s="2">
        <v>45365</v>
      </c>
      <c r="C21" s="6">
        <v>20</v>
      </c>
      <c r="D21" s="10">
        <v>142.19999999999999</v>
      </c>
      <c r="E21" s="10">
        <v>155.4</v>
      </c>
      <c r="F21" s="9">
        <f>IF(Tablo145678910111213141516171819202122232425262728[[#This Row],[SATIŞ]]=0,"Açık",(E21-D21)*C21)</f>
        <v>264.00000000000034</v>
      </c>
      <c r="G21" s="11">
        <f>Tablo145678910111213141516171819202122232425262728[[#This Row],[ADET]]*Tablo145678910111213141516171819202122232425262728[[#This Row],[ALIŞ]]</f>
        <v>2844</v>
      </c>
      <c r="H21" s="11">
        <f>Tablo145678910111213141516171819202122232425262728[[#This Row],[ADET]]*Tablo145678910111213141516171819202122232425262728[[#This Row],[SATIŞ]]</f>
        <v>3108</v>
      </c>
      <c r="J21" s="40" t="str">
        <f t="shared" si="0"/>
        <v/>
      </c>
    </row>
    <row r="22" spans="2:10" ht="21" hidden="1" customHeight="1" x14ac:dyDescent="0.3">
      <c r="B22" s="2">
        <v>45370</v>
      </c>
      <c r="C22" s="6">
        <v>50</v>
      </c>
      <c r="D22" s="10">
        <v>74</v>
      </c>
      <c r="E22" s="10">
        <v>78</v>
      </c>
      <c r="F22" s="9">
        <f>IF(Tablo145678910111213141516171819202122232425262728[[#This Row],[SATIŞ]]=0,"Açık",(E22-D22)*C22)</f>
        <v>200</v>
      </c>
      <c r="G22" s="11">
        <f>Tablo145678910111213141516171819202122232425262728[[#This Row],[ADET]]*Tablo145678910111213141516171819202122232425262728[[#This Row],[ALIŞ]]</f>
        <v>3700</v>
      </c>
      <c r="H22" s="11">
        <f>Tablo145678910111213141516171819202122232425262728[[#This Row],[ADET]]*Tablo145678910111213141516171819202122232425262728[[#This Row],[SATIŞ]]</f>
        <v>3900</v>
      </c>
      <c r="J22" s="40" t="str">
        <f t="shared" si="0"/>
        <v/>
      </c>
    </row>
    <row r="23" spans="2:10" ht="21" hidden="1" customHeight="1" x14ac:dyDescent="0.3">
      <c r="B23" s="2">
        <v>45370</v>
      </c>
      <c r="C23" s="6">
        <v>50</v>
      </c>
      <c r="D23" s="10">
        <v>73</v>
      </c>
      <c r="E23" s="10">
        <v>74</v>
      </c>
      <c r="F23" s="9">
        <f>IF(Tablo145678910111213141516171819202122232425262728[[#This Row],[SATIŞ]]=0,"Açık",(E23-D23)*C23)</f>
        <v>50</v>
      </c>
      <c r="G23" s="11">
        <f>Tablo145678910111213141516171819202122232425262728[[#This Row],[ADET]]*Tablo145678910111213141516171819202122232425262728[[#This Row],[ALIŞ]]</f>
        <v>3650</v>
      </c>
      <c r="H23" s="11">
        <f>Tablo145678910111213141516171819202122232425262728[[#This Row],[ADET]]*Tablo145678910111213141516171819202122232425262728[[#This Row],[SATIŞ]]</f>
        <v>3700</v>
      </c>
      <c r="J23" s="40" t="str">
        <f t="shared" si="0"/>
        <v/>
      </c>
    </row>
    <row r="24" spans="2:10" ht="21" hidden="1" customHeight="1" x14ac:dyDescent="0.3">
      <c r="B24" s="2">
        <v>45370</v>
      </c>
      <c r="C24" s="6">
        <v>50</v>
      </c>
      <c r="D24" s="10">
        <v>72</v>
      </c>
      <c r="E24" s="10">
        <v>81.95</v>
      </c>
      <c r="F24" s="9">
        <f>IF(Tablo145678910111213141516171819202122232425262728[[#This Row],[SATIŞ]]=0,"Açık",(E24-D24)*C24)</f>
        <v>497.50000000000011</v>
      </c>
      <c r="G24" s="11">
        <f>Tablo145678910111213141516171819202122232425262728[[#This Row],[ADET]]*Tablo145678910111213141516171819202122232425262728[[#This Row],[ALIŞ]]</f>
        <v>3600</v>
      </c>
      <c r="H24" s="11">
        <f>Tablo145678910111213141516171819202122232425262728[[#This Row],[ADET]]*Tablo145678910111213141516171819202122232425262728[[#This Row],[SATIŞ]]</f>
        <v>4097.5</v>
      </c>
      <c r="J24" s="40" t="str">
        <f t="shared" si="0"/>
        <v/>
      </c>
    </row>
    <row r="25" spans="2:10" ht="21" hidden="1" customHeight="1" x14ac:dyDescent="0.3">
      <c r="B25" s="2">
        <v>45370</v>
      </c>
      <c r="C25" s="6">
        <v>50</v>
      </c>
      <c r="D25" s="10">
        <v>72</v>
      </c>
      <c r="E25" s="10">
        <v>81</v>
      </c>
      <c r="F25" s="9">
        <f>IF(Tablo145678910111213141516171819202122232425262728[[#This Row],[SATIŞ]]=0,"Açık",(E25-D25)*C25)</f>
        <v>450</v>
      </c>
      <c r="G25" s="11">
        <f>Tablo145678910111213141516171819202122232425262728[[#This Row],[ADET]]*Tablo145678910111213141516171819202122232425262728[[#This Row],[ALIŞ]]</f>
        <v>3600</v>
      </c>
      <c r="H25" s="11">
        <f>Tablo145678910111213141516171819202122232425262728[[#This Row],[ADET]]*Tablo145678910111213141516171819202122232425262728[[#This Row],[SATIŞ]]</f>
        <v>4050</v>
      </c>
      <c r="J25" s="40" t="str">
        <f t="shared" si="0"/>
        <v/>
      </c>
    </row>
    <row r="26" spans="2:10" ht="21" hidden="1" customHeight="1" x14ac:dyDescent="0.3">
      <c r="B26" s="2">
        <v>45370</v>
      </c>
      <c r="C26" s="6">
        <v>50</v>
      </c>
      <c r="D26" s="10">
        <v>73</v>
      </c>
      <c r="E26" s="10">
        <v>81</v>
      </c>
      <c r="F26" s="9">
        <f>IF(Tablo145678910111213141516171819202122232425262728[[#This Row],[SATIŞ]]=0,"Açık",(E26-D26)*C26)</f>
        <v>400</v>
      </c>
      <c r="G26" s="11">
        <f>Tablo145678910111213141516171819202122232425262728[[#This Row],[ADET]]*Tablo145678910111213141516171819202122232425262728[[#This Row],[ALIŞ]]</f>
        <v>3650</v>
      </c>
      <c r="H26" s="11">
        <f>Tablo145678910111213141516171819202122232425262728[[#This Row],[ADET]]*Tablo145678910111213141516171819202122232425262728[[#This Row],[SATIŞ]]</f>
        <v>4050</v>
      </c>
      <c r="J26" s="40" t="str">
        <f t="shared" si="0"/>
        <v/>
      </c>
    </row>
    <row r="27" spans="2:10" ht="21" hidden="1" customHeight="1" x14ac:dyDescent="0.3">
      <c r="B27" s="2">
        <v>45371</v>
      </c>
      <c r="C27" s="6">
        <v>50</v>
      </c>
      <c r="D27" s="10">
        <v>74.5</v>
      </c>
      <c r="E27" s="10">
        <v>82.5</v>
      </c>
      <c r="F27" s="9">
        <f>IF(Tablo145678910111213141516171819202122232425262728[[#This Row],[SATIŞ]]=0,"Açık",(E27-D27)*C27)</f>
        <v>400</v>
      </c>
      <c r="G27" s="11">
        <f>Tablo145678910111213141516171819202122232425262728[[#This Row],[ADET]]*Tablo145678910111213141516171819202122232425262728[[#This Row],[ALIŞ]]</f>
        <v>3725</v>
      </c>
      <c r="H27" s="11">
        <f>Tablo145678910111213141516171819202122232425262728[[#This Row],[ADET]]*Tablo145678910111213141516171819202122232425262728[[#This Row],[SATIŞ]]</f>
        <v>4125</v>
      </c>
      <c r="J27" s="40" t="str">
        <f t="shared" si="0"/>
        <v/>
      </c>
    </row>
    <row r="28" spans="2:10" ht="21" customHeight="1" x14ac:dyDescent="0.3">
      <c r="B28" s="2">
        <v>45372</v>
      </c>
      <c r="C28" s="6">
        <v>50</v>
      </c>
      <c r="D28" s="10">
        <v>81.5</v>
      </c>
      <c r="E28" s="10"/>
      <c r="F28" s="9" t="str">
        <f>IF(Tablo145678910111213141516171819202122232425262728[[#This Row],[SATIŞ]]=0,"Açık",(E28-D28)*C28)</f>
        <v>Açık</v>
      </c>
      <c r="G28" s="11">
        <f>Tablo145678910111213141516171819202122232425262728[[#This Row],[ADET]]*Tablo145678910111213141516171819202122232425262728[[#This Row],[ALIŞ]]</f>
        <v>4075</v>
      </c>
      <c r="H28" s="11">
        <f>Tablo145678910111213141516171819202122232425262728[[#This Row],[ADET]]*Tablo145678910111213141516171819202122232425262728[[#This Row],[SATIŞ]]</f>
        <v>0</v>
      </c>
      <c r="J28" s="40">
        <f t="shared" si="0"/>
        <v>85.575000000000003</v>
      </c>
    </row>
    <row r="29" spans="2:10" ht="21" customHeight="1" x14ac:dyDescent="0.3">
      <c r="B29" s="2">
        <v>45372</v>
      </c>
      <c r="C29" s="6">
        <v>50</v>
      </c>
      <c r="D29" s="10">
        <v>80</v>
      </c>
      <c r="E29" s="10"/>
      <c r="F29" s="9" t="str">
        <f>IF(Tablo145678910111213141516171819202122232425262728[[#This Row],[SATIŞ]]=0,"Açık",(E29-D29)*C29)</f>
        <v>Açık</v>
      </c>
      <c r="G29" s="11">
        <f>Tablo145678910111213141516171819202122232425262728[[#This Row],[ADET]]*Tablo145678910111213141516171819202122232425262728[[#This Row],[ALIŞ]]</f>
        <v>4000</v>
      </c>
      <c r="H29" s="11">
        <f>Tablo145678910111213141516171819202122232425262728[[#This Row],[ADET]]*Tablo145678910111213141516171819202122232425262728[[#This Row],[SATIŞ]]</f>
        <v>0</v>
      </c>
      <c r="J29" s="40">
        <f t="shared" si="0"/>
        <v>84</v>
      </c>
    </row>
    <row r="30" spans="2:10" ht="21" customHeight="1" x14ac:dyDescent="0.3">
      <c r="B30" s="2">
        <v>45373</v>
      </c>
      <c r="C30" s="6">
        <v>50</v>
      </c>
      <c r="D30" s="10">
        <v>80</v>
      </c>
      <c r="E30" s="10"/>
      <c r="F30" s="9" t="str">
        <f>IF(Tablo145678910111213141516171819202122232425262728[[#This Row],[SATIŞ]]=0,"Açık",(E30-D30)*C30)</f>
        <v>Açık</v>
      </c>
      <c r="G30" s="11">
        <f>Tablo145678910111213141516171819202122232425262728[[#This Row],[ADET]]*Tablo145678910111213141516171819202122232425262728[[#This Row],[ALIŞ]]</f>
        <v>4000</v>
      </c>
      <c r="H30" s="11">
        <f>Tablo145678910111213141516171819202122232425262728[[#This Row],[ADET]]*Tablo145678910111213141516171819202122232425262728[[#This Row],[SATIŞ]]</f>
        <v>0</v>
      </c>
      <c r="J30" s="40">
        <f t="shared" si="0"/>
        <v>84</v>
      </c>
    </row>
    <row r="31" spans="2:10" ht="21" customHeight="1" x14ac:dyDescent="0.3">
      <c r="B31" s="2">
        <v>45373</v>
      </c>
      <c r="C31" s="6">
        <v>50</v>
      </c>
      <c r="D31" s="10">
        <v>78</v>
      </c>
      <c r="E31" s="10"/>
      <c r="F31" s="9" t="str">
        <f>IF(Tablo145678910111213141516171819202122232425262728[[#This Row],[SATIŞ]]=0,"Açık",(E31-D31)*C31)</f>
        <v>Açık</v>
      </c>
      <c r="G31" s="11">
        <f>Tablo145678910111213141516171819202122232425262728[[#This Row],[ADET]]*Tablo145678910111213141516171819202122232425262728[[#This Row],[ALIŞ]]</f>
        <v>3900</v>
      </c>
      <c r="H31" s="11">
        <f>Tablo145678910111213141516171819202122232425262728[[#This Row],[ADET]]*Tablo145678910111213141516171819202122232425262728[[#This Row],[SATIŞ]]</f>
        <v>0</v>
      </c>
      <c r="J31" s="40">
        <f t="shared" si="0"/>
        <v>81.900000000000006</v>
      </c>
    </row>
    <row r="32" spans="2:10" ht="21" hidden="1" customHeight="1" x14ac:dyDescent="0.3">
      <c r="B32" s="2">
        <v>45377</v>
      </c>
      <c r="C32" s="6">
        <v>50</v>
      </c>
      <c r="D32" s="10">
        <v>75</v>
      </c>
      <c r="E32" s="10">
        <v>82.5</v>
      </c>
      <c r="F32" s="9">
        <f>IF(Tablo145678910111213141516171819202122232425262728[[#This Row],[SATIŞ]]=0,"Açık",(E32-D32)*C32)</f>
        <v>375</v>
      </c>
      <c r="G32" s="11">
        <f>Tablo145678910111213141516171819202122232425262728[[#This Row],[ADET]]*Tablo145678910111213141516171819202122232425262728[[#This Row],[ALIŞ]]</f>
        <v>3750</v>
      </c>
      <c r="H32" s="11">
        <f>Tablo145678910111213141516171819202122232425262728[[#This Row],[ADET]]*Tablo145678910111213141516171819202122232425262728[[#This Row],[SATIŞ]]</f>
        <v>4125</v>
      </c>
      <c r="J32" s="40" t="str">
        <f t="shared" si="0"/>
        <v/>
      </c>
    </row>
    <row r="33" spans="2:10" ht="21" hidden="1" customHeight="1" x14ac:dyDescent="0.3">
      <c r="B33" s="2">
        <v>45377</v>
      </c>
      <c r="C33" s="6">
        <v>50</v>
      </c>
      <c r="D33" s="10">
        <v>74</v>
      </c>
      <c r="E33" s="10">
        <v>83</v>
      </c>
      <c r="F33" s="9">
        <f>IF(Tablo145678910111213141516171819202122232425262728[[#This Row],[SATIŞ]]=0,"Açık",(E33-D33)*C33)</f>
        <v>450</v>
      </c>
      <c r="G33" s="11">
        <f>Tablo145678910111213141516171819202122232425262728[[#This Row],[ADET]]*Tablo145678910111213141516171819202122232425262728[[#This Row],[ALIŞ]]</f>
        <v>3700</v>
      </c>
      <c r="H33" s="11">
        <f>Tablo145678910111213141516171819202122232425262728[[#This Row],[ADET]]*Tablo145678910111213141516171819202122232425262728[[#This Row],[SATIŞ]]</f>
        <v>4150</v>
      </c>
      <c r="J33" s="40" t="str">
        <f t="shared" si="0"/>
        <v/>
      </c>
    </row>
    <row r="34" spans="2:10" ht="21" hidden="1" customHeight="1" x14ac:dyDescent="0.3">
      <c r="B34" s="2">
        <v>45377</v>
      </c>
      <c r="C34" s="6">
        <v>50</v>
      </c>
      <c r="D34" s="10">
        <v>73</v>
      </c>
      <c r="E34" s="10">
        <v>78</v>
      </c>
      <c r="F34" s="9">
        <f>IF(Tablo145678910111213141516171819202122232425262728[[#This Row],[SATIŞ]]=0,"Açık",(E34-D34)*C34)</f>
        <v>250</v>
      </c>
      <c r="G34" s="11">
        <f>Tablo145678910111213141516171819202122232425262728[[#This Row],[ADET]]*Tablo145678910111213141516171819202122232425262728[[#This Row],[ALIŞ]]</f>
        <v>3650</v>
      </c>
      <c r="H34" s="11">
        <f>Tablo145678910111213141516171819202122232425262728[[#This Row],[ADET]]*Tablo145678910111213141516171819202122232425262728[[#This Row],[SATIŞ]]</f>
        <v>3900</v>
      </c>
      <c r="J34" s="40" t="str">
        <f t="shared" si="0"/>
        <v/>
      </c>
    </row>
    <row r="35" spans="2:10" ht="21" hidden="1" customHeight="1" x14ac:dyDescent="0.3">
      <c r="B35" s="2">
        <v>45377</v>
      </c>
      <c r="C35" s="6">
        <v>50</v>
      </c>
      <c r="D35" s="10">
        <v>72</v>
      </c>
      <c r="E35" s="10">
        <v>74</v>
      </c>
      <c r="F35" s="9">
        <f>IF(Tablo145678910111213141516171819202122232425262728[[#This Row],[SATIŞ]]=0,"Açık",(E35-D35)*C35)</f>
        <v>100</v>
      </c>
      <c r="G35" s="11">
        <f>Tablo145678910111213141516171819202122232425262728[[#This Row],[ADET]]*Tablo145678910111213141516171819202122232425262728[[#This Row],[ALIŞ]]</f>
        <v>3600</v>
      </c>
      <c r="H35" s="11">
        <f>Tablo145678910111213141516171819202122232425262728[[#This Row],[ADET]]*Tablo145678910111213141516171819202122232425262728[[#This Row],[SATIŞ]]</f>
        <v>3700</v>
      </c>
      <c r="J35" s="40" t="str">
        <f t="shared" si="0"/>
        <v/>
      </c>
    </row>
    <row r="36" spans="2:10" ht="21" hidden="1" customHeight="1" x14ac:dyDescent="0.3">
      <c r="B36" s="2">
        <v>45377</v>
      </c>
      <c r="C36" s="6">
        <v>50</v>
      </c>
      <c r="D36" s="10">
        <v>72.8</v>
      </c>
      <c r="E36" s="10">
        <v>77</v>
      </c>
      <c r="F36" s="9">
        <f>IF(Tablo145678910111213141516171819202122232425262728[[#This Row],[SATIŞ]]=0,"Açık",(E36-D36)*C36)</f>
        <v>210.00000000000014</v>
      </c>
      <c r="G36" s="11">
        <f>Tablo145678910111213141516171819202122232425262728[[#This Row],[ADET]]*Tablo145678910111213141516171819202122232425262728[[#This Row],[ALIŞ]]</f>
        <v>3640</v>
      </c>
      <c r="H36" s="11">
        <f>Tablo145678910111213141516171819202122232425262728[[#This Row],[ADET]]*Tablo145678910111213141516171819202122232425262728[[#This Row],[SATIŞ]]</f>
        <v>3850</v>
      </c>
      <c r="J36" s="40" t="str">
        <f t="shared" si="0"/>
        <v/>
      </c>
    </row>
    <row r="37" spans="2:10" ht="21" hidden="1" customHeight="1" x14ac:dyDescent="0.3">
      <c r="B37" s="2">
        <v>45377</v>
      </c>
      <c r="C37" s="6">
        <v>50</v>
      </c>
      <c r="D37" s="10">
        <v>71</v>
      </c>
      <c r="E37" s="10">
        <v>76</v>
      </c>
      <c r="F37" s="9">
        <f>IF(Tablo145678910111213141516171819202122232425262728[[#This Row],[SATIŞ]]=0,"Açık",(E37-D37)*C37)</f>
        <v>250</v>
      </c>
      <c r="G37" s="11">
        <f>Tablo145678910111213141516171819202122232425262728[[#This Row],[ADET]]*Tablo145678910111213141516171819202122232425262728[[#This Row],[ALIŞ]]</f>
        <v>3550</v>
      </c>
      <c r="H37" s="11">
        <f>Tablo145678910111213141516171819202122232425262728[[#This Row],[ADET]]*Tablo145678910111213141516171819202122232425262728[[#This Row],[SATIŞ]]</f>
        <v>3800</v>
      </c>
      <c r="J37" s="40" t="str">
        <f t="shared" si="0"/>
        <v/>
      </c>
    </row>
    <row r="38" spans="2:10" ht="21" hidden="1" customHeight="1" x14ac:dyDescent="0.3">
      <c r="B38" s="2">
        <v>45377</v>
      </c>
      <c r="C38" s="6">
        <v>50</v>
      </c>
      <c r="D38" s="10">
        <v>71</v>
      </c>
      <c r="E38" s="10">
        <v>74</v>
      </c>
      <c r="F38" s="9">
        <f>IF(Tablo145678910111213141516171819202122232425262728[[#This Row],[SATIŞ]]=0,"Açık",(E38-D38)*C38)</f>
        <v>150</v>
      </c>
      <c r="G38" s="11">
        <f>Tablo145678910111213141516171819202122232425262728[[#This Row],[ADET]]*Tablo145678910111213141516171819202122232425262728[[#This Row],[ALIŞ]]</f>
        <v>3550</v>
      </c>
      <c r="H38" s="11">
        <f>Tablo145678910111213141516171819202122232425262728[[#This Row],[ADET]]*Tablo145678910111213141516171819202122232425262728[[#This Row],[SATIŞ]]</f>
        <v>3700</v>
      </c>
      <c r="J38" s="40" t="str">
        <f t="shared" si="0"/>
        <v/>
      </c>
    </row>
    <row r="39" spans="2:10" ht="21" hidden="1" customHeight="1" x14ac:dyDescent="0.3">
      <c r="B39" s="2">
        <v>45378</v>
      </c>
      <c r="C39" s="6">
        <v>50</v>
      </c>
      <c r="D39" s="10">
        <v>70.5</v>
      </c>
      <c r="E39" s="10">
        <v>73</v>
      </c>
      <c r="F39" s="9">
        <f>IF(Tablo145678910111213141516171819202122232425262728[[#This Row],[SATIŞ]]=0,"Açık",(E39-D39)*C39)</f>
        <v>125</v>
      </c>
      <c r="G39" s="11">
        <f>Tablo145678910111213141516171819202122232425262728[[#This Row],[ADET]]*Tablo145678910111213141516171819202122232425262728[[#This Row],[ALIŞ]]</f>
        <v>3525</v>
      </c>
      <c r="H39" s="11">
        <f>Tablo145678910111213141516171819202122232425262728[[#This Row],[ADET]]*Tablo145678910111213141516171819202122232425262728[[#This Row],[SATIŞ]]</f>
        <v>3650</v>
      </c>
      <c r="J39" s="40" t="str">
        <f t="shared" si="0"/>
        <v/>
      </c>
    </row>
    <row r="40" spans="2:10" ht="21" hidden="1" customHeight="1" x14ac:dyDescent="0.3">
      <c r="B40" s="2">
        <v>45383</v>
      </c>
      <c r="C40" s="6">
        <v>50</v>
      </c>
      <c r="D40" s="10">
        <v>74</v>
      </c>
      <c r="E40" s="10">
        <v>82</v>
      </c>
      <c r="F40" s="9">
        <f>IF(Tablo145678910111213141516171819202122232425262728[[#This Row],[SATIŞ]]=0,"Açık",(E40-D40)*C40)</f>
        <v>400</v>
      </c>
      <c r="G40" s="11">
        <f>Tablo145678910111213141516171819202122232425262728[[#This Row],[ADET]]*Tablo145678910111213141516171819202122232425262728[[#This Row],[ALIŞ]]</f>
        <v>3700</v>
      </c>
      <c r="H40" s="11">
        <f>Tablo145678910111213141516171819202122232425262728[[#This Row],[ADET]]*Tablo145678910111213141516171819202122232425262728[[#This Row],[SATIŞ]]</f>
        <v>4100</v>
      </c>
      <c r="J40" s="40" t="str">
        <f t="shared" si="0"/>
        <v/>
      </c>
    </row>
    <row r="41" spans="2:10" ht="21" hidden="1" customHeight="1" x14ac:dyDescent="0.3">
      <c r="B41" s="2">
        <v>45383</v>
      </c>
      <c r="C41" s="6">
        <v>50</v>
      </c>
      <c r="D41" s="10">
        <v>73</v>
      </c>
      <c r="E41" s="10">
        <v>74.5</v>
      </c>
      <c r="F41" s="9">
        <f>IF(Tablo145678910111213141516171819202122232425262728[[#This Row],[SATIŞ]]=0,"Açık",(E41-D41)*C41)</f>
        <v>75</v>
      </c>
      <c r="G41" s="11">
        <f>Tablo145678910111213141516171819202122232425262728[[#This Row],[ADET]]*Tablo145678910111213141516171819202122232425262728[[#This Row],[ALIŞ]]</f>
        <v>3650</v>
      </c>
      <c r="H41" s="11">
        <f>Tablo145678910111213141516171819202122232425262728[[#This Row],[ADET]]*Tablo145678910111213141516171819202122232425262728[[#This Row],[SATIŞ]]</f>
        <v>3725</v>
      </c>
      <c r="J41" s="40" t="str">
        <f t="shared" si="0"/>
        <v/>
      </c>
    </row>
    <row r="42" spans="2:10" ht="21" hidden="1" customHeight="1" x14ac:dyDescent="0.3">
      <c r="B42" s="2">
        <v>45383</v>
      </c>
      <c r="C42" s="6">
        <v>50</v>
      </c>
      <c r="D42" s="10">
        <v>72</v>
      </c>
      <c r="E42" s="10">
        <v>74.5</v>
      </c>
      <c r="F42" s="9">
        <f>IF(Tablo145678910111213141516171819202122232425262728[[#This Row],[SATIŞ]]=0,"Açık",(E42-D42)*C42)</f>
        <v>125</v>
      </c>
      <c r="G42" s="11">
        <f>Tablo145678910111213141516171819202122232425262728[[#This Row],[ADET]]*Tablo145678910111213141516171819202122232425262728[[#This Row],[ALIŞ]]</f>
        <v>3600</v>
      </c>
      <c r="H42" s="11">
        <f>Tablo145678910111213141516171819202122232425262728[[#This Row],[ADET]]*Tablo145678910111213141516171819202122232425262728[[#This Row],[SATIŞ]]</f>
        <v>3725</v>
      </c>
      <c r="J42" s="40" t="str">
        <f t="shared" si="0"/>
        <v/>
      </c>
    </row>
    <row r="43" spans="2:10" ht="21" hidden="1" customHeight="1" x14ac:dyDescent="0.3">
      <c r="B43" s="2">
        <v>45383</v>
      </c>
      <c r="C43" s="6">
        <v>50</v>
      </c>
      <c r="D43" s="10">
        <v>71</v>
      </c>
      <c r="E43" s="10">
        <v>74</v>
      </c>
      <c r="F43" s="9">
        <f>IF(Tablo145678910111213141516171819202122232425262728[[#This Row],[SATIŞ]]=0,"Açık",(E43-D43)*C43)</f>
        <v>150</v>
      </c>
      <c r="G43" s="11">
        <f>Tablo145678910111213141516171819202122232425262728[[#This Row],[ADET]]*Tablo145678910111213141516171819202122232425262728[[#This Row],[ALIŞ]]</f>
        <v>3550</v>
      </c>
      <c r="H43" s="11">
        <f>Tablo145678910111213141516171819202122232425262728[[#This Row],[ADET]]*Tablo145678910111213141516171819202122232425262728[[#This Row],[SATIŞ]]</f>
        <v>3700</v>
      </c>
      <c r="J43" s="40" t="str">
        <f t="shared" si="0"/>
        <v/>
      </c>
    </row>
    <row r="44" spans="2:10" ht="21" hidden="1" customHeight="1" x14ac:dyDescent="0.3">
      <c r="B44" s="2">
        <v>45383</v>
      </c>
      <c r="C44" s="6">
        <v>50</v>
      </c>
      <c r="D44" s="10">
        <v>70</v>
      </c>
      <c r="E44" s="10">
        <v>74</v>
      </c>
      <c r="F44" s="9">
        <f>IF(Tablo145678910111213141516171819202122232425262728[[#This Row],[SATIŞ]]=0,"Açık",(E44-D44)*C44)</f>
        <v>200</v>
      </c>
      <c r="G44" s="11">
        <f>Tablo145678910111213141516171819202122232425262728[[#This Row],[ADET]]*Tablo145678910111213141516171819202122232425262728[[#This Row],[ALIŞ]]</f>
        <v>3500</v>
      </c>
      <c r="H44" s="11">
        <f>Tablo145678910111213141516171819202122232425262728[[#This Row],[ADET]]*Tablo145678910111213141516171819202122232425262728[[#This Row],[SATIŞ]]</f>
        <v>3700</v>
      </c>
      <c r="J44" s="40" t="str">
        <f t="shared" si="0"/>
        <v/>
      </c>
    </row>
    <row r="45" spans="2:10" ht="21" hidden="1" customHeight="1" x14ac:dyDescent="0.3">
      <c r="B45" s="2">
        <v>45385</v>
      </c>
      <c r="C45" s="6">
        <v>50</v>
      </c>
      <c r="D45" s="10">
        <v>73.5</v>
      </c>
      <c r="E45" s="10">
        <v>85</v>
      </c>
      <c r="F45" s="9">
        <f>IF(Tablo145678910111213141516171819202122232425262728[[#This Row],[SATIŞ]]=0,"Açık",(E45-D45)*C45)</f>
        <v>575</v>
      </c>
      <c r="G45" s="11">
        <f>Tablo145678910111213141516171819202122232425262728[[#This Row],[ADET]]*Tablo145678910111213141516171819202122232425262728[[#This Row],[ALIŞ]]</f>
        <v>3675</v>
      </c>
      <c r="H45" s="11">
        <f>Tablo145678910111213141516171819202122232425262728[[#This Row],[ADET]]*Tablo145678910111213141516171819202122232425262728[[#This Row],[SATIŞ]]</f>
        <v>4250</v>
      </c>
      <c r="J45" s="40" t="str">
        <f t="shared" si="0"/>
        <v/>
      </c>
    </row>
    <row r="46" spans="2:10" ht="21" hidden="1" customHeight="1" x14ac:dyDescent="0.3">
      <c r="B46" s="2">
        <v>45385</v>
      </c>
      <c r="C46" s="6">
        <v>50</v>
      </c>
      <c r="D46" s="10">
        <v>73</v>
      </c>
      <c r="E46" s="10">
        <v>79</v>
      </c>
      <c r="F46" s="9">
        <f>IF(Tablo145678910111213141516171819202122232425262728[[#This Row],[SATIŞ]]=0,"Açık",(E46-D46)*C46)</f>
        <v>300</v>
      </c>
      <c r="G46" s="11">
        <f>Tablo145678910111213141516171819202122232425262728[[#This Row],[ADET]]*Tablo145678910111213141516171819202122232425262728[[#This Row],[ALIŞ]]</f>
        <v>3650</v>
      </c>
      <c r="H46" s="11">
        <f>Tablo145678910111213141516171819202122232425262728[[#This Row],[ADET]]*Tablo145678910111213141516171819202122232425262728[[#This Row],[SATIŞ]]</f>
        <v>3950</v>
      </c>
      <c r="J46" s="40" t="str">
        <f t="shared" si="0"/>
        <v/>
      </c>
    </row>
    <row r="47" spans="2:10" ht="21" hidden="1" customHeight="1" x14ac:dyDescent="0.3">
      <c r="B47" s="2">
        <v>45385</v>
      </c>
      <c r="C47" s="6">
        <v>50</v>
      </c>
      <c r="D47" s="10">
        <v>72.5</v>
      </c>
      <c r="E47" s="10">
        <v>75</v>
      </c>
      <c r="F47" s="9">
        <f>IF(Tablo145678910111213141516171819202122232425262728[[#This Row],[SATIŞ]]=0,"Açık",(E47-D47)*C47)</f>
        <v>125</v>
      </c>
      <c r="G47" s="11">
        <f>Tablo145678910111213141516171819202122232425262728[[#This Row],[ADET]]*Tablo145678910111213141516171819202122232425262728[[#This Row],[ALIŞ]]</f>
        <v>3625</v>
      </c>
      <c r="H47" s="11">
        <f>Tablo145678910111213141516171819202122232425262728[[#This Row],[ADET]]*Tablo145678910111213141516171819202122232425262728[[#This Row],[SATIŞ]]</f>
        <v>3750</v>
      </c>
      <c r="J47" s="40" t="str">
        <f t="shared" si="0"/>
        <v/>
      </c>
    </row>
    <row r="48" spans="2:10" ht="21" hidden="1" customHeight="1" x14ac:dyDescent="0.3">
      <c r="B48" s="2">
        <v>45385</v>
      </c>
      <c r="C48" s="6">
        <v>50</v>
      </c>
      <c r="D48" s="10">
        <v>73</v>
      </c>
      <c r="E48" s="10">
        <v>83</v>
      </c>
      <c r="F48" s="9">
        <f>IF(Tablo145678910111213141516171819202122232425262728[[#This Row],[SATIŞ]]=0,"Açık",(E48-D48)*C48)</f>
        <v>500</v>
      </c>
      <c r="G48" s="11">
        <f>Tablo145678910111213141516171819202122232425262728[[#This Row],[ADET]]*Tablo145678910111213141516171819202122232425262728[[#This Row],[ALIŞ]]</f>
        <v>3650</v>
      </c>
      <c r="H48" s="11">
        <f>Tablo145678910111213141516171819202122232425262728[[#This Row],[ADET]]*Tablo145678910111213141516171819202122232425262728[[#This Row],[SATIŞ]]</f>
        <v>4150</v>
      </c>
      <c r="J48" s="40" t="str">
        <f t="shared" si="0"/>
        <v/>
      </c>
    </row>
    <row r="49" spans="2:10" ht="21" customHeight="1" x14ac:dyDescent="0.3">
      <c r="B49" s="2">
        <v>45387</v>
      </c>
      <c r="C49" s="6">
        <v>50</v>
      </c>
      <c r="D49" s="10">
        <v>79.5</v>
      </c>
      <c r="E49" s="10"/>
      <c r="F49" s="9" t="str">
        <f>IF(Tablo145678910111213141516171819202122232425262728[[#This Row],[SATIŞ]]=0,"Açık",(E49-D49)*C49)</f>
        <v>Açık</v>
      </c>
      <c r="G49" s="11">
        <f>Tablo145678910111213141516171819202122232425262728[[#This Row],[ADET]]*Tablo145678910111213141516171819202122232425262728[[#This Row],[ALIŞ]]</f>
        <v>3975</v>
      </c>
      <c r="H49" s="11">
        <f>Tablo145678910111213141516171819202122232425262728[[#This Row],[ADET]]*Tablo145678910111213141516171819202122232425262728[[#This Row],[SATIŞ]]</f>
        <v>0</v>
      </c>
      <c r="J49" s="40">
        <f t="shared" si="0"/>
        <v>83.475000000000009</v>
      </c>
    </row>
    <row r="50" spans="2:10" ht="21" customHeight="1" x14ac:dyDescent="0.3">
      <c r="B50" s="2">
        <v>45391</v>
      </c>
      <c r="C50" s="6">
        <v>100</v>
      </c>
      <c r="D50" s="10">
        <v>82.85</v>
      </c>
      <c r="E50" s="10"/>
      <c r="F50" s="9" t="str">
        <f>IF(Tablo145678910111213141516171819202122232425262728[[#This Row],[SATIŞ]]=0,"Açık",(E50-D50)*C50)</f>
        <v>Açık</v>
      </c>
      <c r="G50" s="11">
        <f>Tablo145678910111213141516171819202122232425262728[[#This Row],[ADET]]*Tablo145678910111213141516171819202122232425262728[[#This Row],[ALIŞ]]</f>
        <v>8285</v>
      </c>
      <c r="H50" s="11">
        <f>Tablo145678910111213141516171819202122232425262728[[#This Row],[ADET]]*Tablo145678910111213141516171819202122232425262728[[#This Row],[SATIŞ]]</f>
        <v>0</v>
      </c>
      <c r="J50" s="40">
        <f t="shared" si="0"/>
        <v>86.992499999999993</v>
      </c>
    </row>
    <row r="51" spans="2:10" ht="21" customHeight="1" x14ac:dyDescent="0.3">
      <c r="B51" s="2">
        <v>45398</v>
      </c>
      <c r="C51" s="6">
        <v>100</v>
      </c>
      <c r="D51" s="10">
        <v>82.5</v>
      </c>
      <c r="E51" s="10"/>
      <c r="F51" s="9" t="str">
        <f>IF(Tablo145678910111213141516171819202122232425262728[[#This Row],[SATIŞ]]=0,"Açık",(E51-D51)*C51)</f>
        <v>Açık</v>
      </c>
      <c r="G51" s="11">
        <f>Tablo145678910111213141516171819202122232425262728[[#This Row],[ADET]]*Tablo145678910111213141516171819202122232425262728[[#This Row],[ALIŞ]]</f>
        <v>8250</v>
      </c>
      <c r="H51" s="11">
        <f>Tablo145678910111213141516171819202122232425262728[[#This Row],[ADET]]*Tablo145678910111213141516171819202122232425262728[[#This Row],[SATIŞ]]</f>
        <v>0</v>
      </c>
      <c r="J51" s="40">
        <f t="shared" si="0"/>
        <v>86.625</v>
      </c>
    </row>
    <row r="52" spans="2:10" ht="21" hidden="1" customHeight="1" x14ac:dyDescent="0.3">
      <c r="B52" s="2">
        <v>45398</v>
      </c>
      <c r="C52" s="6">
        <v>50</v>
      </c>
      <c r="D52" s="10">
        <v>80</v>
      </c>
      <c r="E52" s="10">
        <v>82</v>
      </c>
      <c r="F52" s="9">
        <f>IF(Tablo145678910111213141516171819202122232425262728[[#This Row],[SATIŞ]]=0,"Açık",(E52-D52)*C52)</f>
        <v>100</v>
      </c>
      <c r="G52" s="11">
        <f>Tablo145678910111213141516171819202122232425262728[[#This Row],[ADET]]*Tablo145678910111213141516171819202122232425262728[[#This Row],[ALIŞ]]</f>
        <v>4000</v>
      </c>
      <c r="H52" s="11">
        <f>Tablo145678910111213141516171819202122232425262728[[#This Row],[ADET]]*Tablo145678910111213141516171819202122232425262728[[#This Row],[SATIŞ]]</f>
        <v>4100</v>
      </c>
      <c r="J52" s="40" t="str">
        <f t="shared" si="0"/>
        <v/>
      </c>
    </row>
    <row r="53" spans="2:10" ht="21" hidden="1" customHeight="1" x14ac:dyDescent="0.3">
      <c r="B53" s="2">
        <v>45400</v>
      </c>
      <c r="C53" s="6">
        <v>50</v>
      </c>
      <c r="D53" s="10">
        <v>80</v>
      </c>
      <c r="E53" s="10">
        <v>83</v>
      </c>
      <c r="F53" s="9">
        <f>IF(Tablo145678910111213141516171819202122232425262728[[#This Row],[SATIŞ]]=0,"Açık",(E53-D53)*C53)</f>
        <v>150</v>
      </c>
      <c r="G53" s="11">
        <f>Tablo145678910111213141516171819202122232425262728[[#This Row],[ADET]]*Tablo145678910111213141516171819202122232425262728[[#This Row],[ALIŞ]]</f>
        <v>4000</v>
      </c>
      <c r="H53" s="11">
        <f>Tablo145678910111213141516171819202122232425262728[[#This Row],[ADET]]*Tablo145678910111213141516171819202122232425262728[[#This Row],[SATIŞ]]</f>
        <v>4150</v>
      </c>
    </row>
  </sheetData>
  <conditionalFormatting sqref="B4:F53">
    <cfRule type="expression" dxfId="95" priority="1">
      <formula>$F4&lt;0</formula>
    </cfRule>
    <cfRule type="expression" dxfId="94" priority="2">
      <formula>$F4="Açık"</formula>
    </cfRule>
    <cfRule type="expression" dxfId="93" priority="3">
      <formula>$F4&gt;0</formula>
    </cfRule>
  </conditionalFormatting>
  <hyperlinks>
    <hyperlink ref="B1" location="İcmal!A1" display="ANA SAYFA" xr:uid="{B4ABCF46-469B-4A4D-B9E9-8AF736A7C420}"/>
  </hyperlinks>
  <pageMargins left="0.7" right="0.7" top="0.75" bottom="0.75" header="0.3" footer="0.3"/>
  <tableParts count="1">
    <tablePart r:id="rId1"/>
  </tablePart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9B0F6-CF6F-4328-8E31-700ECBAC58AA}">
  <dimension ref="B1:R32"/>
  <sheetViews>
    <sheetView showGridLines="0" showZeros="0" zoomScale="110" zoomScaleNormal="110" workbookViewId="0">
      <pane ySplit="3" topLeftCell="A13" activePane="bottomLeft" state="frozen"/>
      <selection pane="bottomLeft" activeCell="E32" sqref="E32"/>
    </sheetView>
  </sheetViews>
  <sheetFormatPr defaultRowHeight="21" customHeight="1" x14ac:dyDescent="0.3"/>
  <cols>
    <col min="2" max="2" width="20.6640625" style="1" customWidth="1"/>
    <col min="3" max="3" width="11.33203125" style="6" customWidth="1"/>
    <col min="4" max="5" width="12.88671875" style="3" customWidth="1"/>
    <col min="6" max="6" width="12.88671875" style="5" customWidth="1"/>
    <col min="7" max="8" width="11.44140625" bestFit="1" customWidth="1"/>
    <col min="10" max="12" width="12.44140625" customWidth="1"/>
    <col min="13" max="13" width="11.44140625" bestFit="1" customWidth="1"/>
    <col min="14" max="14" width="12" bestFit="1" customWidth="1"/>
  </cols>
  <sheetData>
    <row r="1" spans="2:18" ht="21" customHeight="1" x14ac:dyDescent="0.3">
      <c r="B1" s="12" t="s">
        <v>64</v>
      </c>
      <c r="C1" s="4">
        <f>SUMIF(Tablo14567891011121314151617181920212223242526272829[KAR],"Açık",Tablo14567891011121314151617181920212223242526272829[ADET])</f>
        <v>270</v>
      </c>
      <c r="D1" s="10">
        <f>+İcmal!E40</f>
        <v>61.35</v>
      </c>
      <c r="E1" s="10">
        <f>C1*D1</f>
        <v>16564.5</v>
      </c>
      <c r="F1" s="10">
        <f>IFERROR(((SUM(Tablo14567891011121314151617181920212223242526272829[ALIŞ TUTAR])-SUM(Tablo14567891011121314151617181920212223242526272829[SATIŞ TUTAR]))/C1),"")</f>
        <v>63.112222592592623</v>
      </c>
      <c r="G1" s="10">
        <f>IF(M3=0,L3,C1*(D1-F1))</f>
        <v>-475.80010000000783</v>
      </c>
      <c r="J1" s="45" t="s">
        <v>94</v>
      </c>
      <c r="K1" s="45" t="s">
        <v>95</v>
      </c>
      <c r="L1" s="45" t="s">
        <v>96</v>
      </c>
      <c r="M1" s="33">
        <f>F1</f>
        <v>63.112222592592623</v>
      </c>
      <c r="N1" s="8" t="e">
        <f>M1*(1+$J$1)</f>
        <v>#VALUE!</v>
      </c>
      <c r="P1" s="8" t="e">
        <f>Q1*(1-$J$1)</f>
        <v>#VALUE!</v>
      </c>
      <c r="Q1" s="33">
        <f>+D1</f>
        <v>61.35</v>
      </c>
      <c r="R1" s="8" t="e">
        <f>Q1*(1+$J$1)</f>
        <v>#VALUE!</v>
      </c>
    </row>
    <row r="2" spans="2:18" ht="21" customHeight="1" x14ac:dyDescent="0.3">
      <c r="B2" s="7" t="s">
        <v>38</v>
      </c>
      <c r="J2" s="45">
        <f>SUMIFS(Tablo2[HEDEF2],Tablo2[HİSSE],B2)</f>
        <v>1000</v>
      </c>
      <c r="K2" s="45">
        <f>+E1/İcmal!$P$2</f>
        <v>509.20688595142946</v>
      </c>
      <c r="L2" s="45">
        <f>+J2-K2</f>
        <v>490.79311404857054</v>
      </c>
    </row>
    <row r="3" spans="2:18" ht="21" customHeight="1" x14ac:dyDescent="0.3">
      <c r="B3" s="1" t="s">
        <v>0</v>
      </c>
      <c r="C3" s="6" t="s">
        <v>4</v>
      </c>
      <c r="D3" s="3" t="s">
        <v>1</v>
      </c>
      <c r="E3" s="3" t="s">
        <v>3</v>
      </c>
      <c r="F3" s="5" t="s">
        <v>2</v>
      </c>
      <c r="G3" s="3" t="s">
        <v>8</v>
      </c>
      <c r="H3" s="3" t="s">
        <v>9</v>
      </c>
      <c r="L3">
        <f>+SUM(Tablo14567891011121314151617181920212223242526272829[KAR])</f>
        <v>1758.1999000000001</v>
      </c>
      <c r="M3" s="37">
        <f>+C1</f>
        <v>270</v>
      </c>
    </row>
    <row r="4" spans="2:18" ht="21" hidden="1" customHeight="1" x14ac:dyDescent="0.3">
      <c r="B4" s="2">
        <v>45291</v>
      </c>
      <c r="C4" s="6">
        <v>40</v>
      </c>
      <c r="D4" s="10">
        <v>66.881820000000005</v>
      </c>
      <c r="E4" s="10">
        <v>76.625</v>
      </c>
      <c r="F4" s="9">
        <f>IF(Tablo14567891011121314151617181920212223242526272829[[#This Row],[SATIŞ]]=0,"Açık",(E4-D4)*C4)</f>
        <v>389.72719999999981</v>
      </c>
      <c r="G4" s="11">
        <f>Tablo14567891011121314151617181920212223242526272829[[#This Row],[ADET]]*Tablo14567891011121314151617181920212223242526272829[[#This Row],[ALIŞ]]</f>
        <v>2675.2728000000002</v>
      </c>
      <c r="H4" s="11">
        <f>Tablo14567891011121314151617181920212223242526272829[[#This Row],[ADET]]*Tablo14567891011121314151617181920212223242526272829[[#This Row],[SATIŞ]]</f>
        <v>3065</v>
      </c>
      <c r="J4" s="40" t="str">
        <f t="shared" ref="J4:J27" si="0">IF(E4=0,D4*1.05,"")</f>
        <v/>
      </c>
      <c r="L4" s="8">
        <f>SUM(Tablo14567891011121314151617181920212223242526272829[ALIŞ TUTAR])</f>
        <v>51531.000100000005</v>
      </c>
      <c r="M4" s="8">
        <f>SUM(Tablo14567891011121314151617181920212223242526272829[SATIŞ TUTAR])</f>
        <v>34490.699999999997</v>
      </c>
      <c r="N4" s="8">
        <f>L4-M4</f>
        <v>17040.300100000008</v>
      </c>
    </row>
    <row r="5" spans="2:18" ht="21" hidden="1" customHeight="1" x14ac:dyDescent="0.3">
      <c r="B5" s="2">
        <v>45291</v>
      </c>
      <c r="C5" s="6">
        <v>1</v>
      </c>
      <c r="D5" s="10">
        <v>66.881820000000005</v>
      </c>
      <c r="E5" s="10">
        <v>83</v>
      </c>
      <c r="F5" s="9">
        <f>IF(Tablo14567891011121314151617181920212223242526272829[[#This Row],[SATIŞ]]=0,"Açık",(E5-D5)*C5)</f>
        <v>16.118179999999995</v>
      </c>
      <c r="G5" s="11">
        <f>Tablo14567891011121314151617181920212223242526272829[[#This Row],[ADET]]*Tablo14567891011121314151617181920212223242526272829[[#This Row],[ALIŞ]]</f>
        <v>66.881820000000005</v>
      </c>
      <c r="H5" s="11">
        <f>Tablo14567891011121314151617181920212223242526272829[[#This Row],[ADET]]*Tablo14567891011121314151617181920212223242526272829[[#This Row],[SATIŞ]]</f>
        <v>83</v>
      </c>
      <c r="J5" s="40" t="str">
        <f t="shared" si="0"/>
        <v/>
      </c>
      <c r="N5">
        <f>+N4/80</f>
        <v>213.00375125000011</v>
      </c>
    </row>
    <row r="6" spans="2:18" ht="21" hidden="1" customHeight="1" x14ac:dyDescent="0.3">
      <c r="B6" s="2">
        <v>45291</v>
      </c>
      <c r="C6" s="6">
        <v>2</v>
      </c>
      <c r="D6" s="10">
        <v>66.881820000000005</v>
      </c>
      <c r="E6" s="10">
        <v>85</v>
      </c>
      <c r="F6" s="9">
        <f>IF(Tablo14567891011121314151617181920212223242526272829[[#This Row],[SATIŞ]]=0,"Açık",(E6-D6)*C6)</f>
        <v>36.236359999999991</v>
      </c>
      <c r="G6" s="11">
        <f>Tablo14567891011121314151617181920212223242526272829[[#This Row],[ADET]]*Tablo14567891011121314151617181920212223242526272829[[#This Row],[ALIŞ]]</f>
        <v>133.76364000000001</v>
      </c>
      <c r="H6" s="11">
        <f>Tablo14567891011121314151617181920212223242526272829[[#This Row],[ADET]]*Tablo14567891011121314151617181920212223242526272829[[#This Row],[SATIŞ]]</f>
        <v>170</v>
      </c>
      <c r="J6" s="40" t="str">
        <f t="shared" si="0"/>
        <v/>
      </c>
    </row>
    <row r="7" spans="2:18" ht="21" hidden="1" customHeight="1" x14ac:dyDescent="0.3">
      <c r="B7" s="2">
        <v>45291</v>
      </c>
      <c r="C7" s="6">
        <v>3</v>
      </c>
      <c r="D7" s="10">
        <v>66.881820000000005</v>
      </c>
      <c r="E7" s="10">
        <v>85.9</v>
      </c>
      <c r="F7" s="9">
        <f>IF(Tablo14567891011121314151617181920212223242526272829[[#This Row],[SATIŞ]]=0,"Açık",(E7-D7)*C7)</f>
        <v>57.054540000000003</v>
      </c>
      <c r="G7" s="11">
        <f>Tablo14567891011121314151617181920212223242526272829[[#This Row],[ADET]]*Tablo14567891011121314151617181920212223242526272829[[#This Row],[ALIŞ]]</f>
        <v>200.64546000000001</v>
      </c>
      <c r="H7" s="11">
        <f>Tablo14567891011121314151617181920212223242526272829[[#This Row],[ADET]]*Tablo14567891011121314151617181920212223242526272829[[#This Row],[SATIŞ]]</f>
        <v>257.70000000000005</v>
      </c>
      <c r="J7" s="40" t="str">
        <f t="shared" si="0"/>
        <v/>
      </c>
    </row>
    <row r="8" spans="2:18" ht="21" hidden="1" customHeight="1" x14ac:dyDescent="0.3">
      <c r="B8" s="2">
        <v>45291</v>
      </c>
      <c r="C8" s="6">
        <v>9</v>
      </c>
      <c r="D8" s="10">
        <v>66.881820000000005</v>
      </c>
      <c r="E8" s="10">
        <v>85.9</v>
      </c>
      <c r="F8" s="9">
        <f>IF(Tablo14567891011121314151617181920212223242526272829[[#This Row],[SATIŞ]]=0,"Açık",(E8-D8)*C8)</f>
        <v>171.16362000000001</v>
      </c>
      <c r="G8" s="11">
        <f>Tablo14567891011121314151617181920212223242526272829[[#This Row],[ADET]]*Tablo14567891011121314151617181920212223242526272829[[#This Row],[ALIŞ]]</f>
        <v>601.9363800000001</v>
      </c>
      <c r="H8" s="11">
        <f>Tablo14567891011121314151617181920212223242526272829[[#This Row],[ADET]]*Tablo14567891011121314151617181920212223242526272829[[#This Row],[SATIŞ]]</f>
        <v>773.1</v>
      </c>
      <c r="J8" s="40" t="str">
        <f t="shared" si="0"/>
        <v/>
      </c>
    </row>
    <row r="9" spans="2:18" ht="21" hidden="1" customHeight="1" x14ac:dyDescent="0.3">
      <c r="B9" s="2">
        <v>45323</v>
      </c>
      <c r="C9" s="6">
        <v>1</v>
      </c>
      <c r="D9" s="10">
        <v>82</v>
      </c>
      <c r="E9" s="10">
        <v>83</v>
      </c>
      <c r="F9" s="9">
        <f>IF(Tablo14567891011121314151617181920212223242526272829[[#This Row],[SATIŞ]]=0,"Açık",(E9-D9)*C9)</f>
        <v>1</v>
      </c>
      <c r="G9" s="11">
        <f>Tablo14567891011121314151617181920212223242526272829[[#This Row],[ADET]]*Tablo14567891011121314151617181920212223242526272829[[#This Row],[ALIŞ]]</f>
        <v>82</v>
      </c>
      <c r="H9" s="11">
        <f>Tablo14567891011121314151617181920212223242526272829[[#This Row],[ADET]]*Tablo14567891011121314151617181920212223242526272829[[#This Row],[SATIŞ]]</f>
        <v>83</v>
      </c>
      <c r="J9" s="40" t="str">
        <f t="shared" si="0"/>
        <v/>
      </c>
    </row>
    <row r="10" spans="2:18" ht="21" hidden="1" customHeight="1" x14ac:dyDescent="0.3">
      <c r="B10" s="2">
        <v>45323</v>
      </c>
      <c r="C10" s="6">
        <v>1</v>
      </c>
      <c r="D10" s="10">
        <v>82</v>
      </c>
      <c r="E10" s="10">
        <v>85.9</v>
      </c>
      <c r="F10" s="9">
        <f>IF(Tablo14567891011121314151617181920212223242526272829[[#This Row],[SATIŞ]]=0,"Açık",(E10-D10)*C10)</f>
        <v>3.9000000000000057</v>
      </c>
      <c r="G10" s="11">
        <f>Tablo14567891011121314151617181920212223242526272829[[#This Row],[ADET]]*Tablo14567891011121314151617181920212223242526272829[[#This Row],[ALIŞ]]</f>
        <v>82</v>
      </c>
      <c r="H10" s="11">
        <f>Tablo14567891011121314151617181920212223242526272829[[#This Row],[ADET]]*Tablo14567891011121314151617181920212223242526272829[[#This Row],[SATIŞ]]</f>
        <v>85.9</v>
      </c>
      <c r="J10" s="40" t="str">
        <f t="shared" si="0"/>
        <v/>
      </c>
    </row>
    <row r="11" spans="2:18" ht="21" hidden="1" customHeight="1" x14ac:dyDescent="0.3">
      <c r="B11" s="2">
        <v>45324</v>
      </c>
      <c r="C11" s="6">
        <v>5</v>
      </c>
      <c r="D11" s="10">
        <v>85</v>
      </c>
      <c r="E11" s="10">
        <v>86</v>
      </c>
      <c r="F11" s="9">
        <f>IF(Tablo14567891011121314151617181920212223242526272829[[#This Row],[SATIŞ]]=0,"Açık",(E11-D11)*C11)</f>
        <v>5</v>
      </c>
      <c r="G11" s="11">
        <f>Tablo14567891011121314151617181920212223242526272829[[#This Row],[ADET]]*Tablo14567891011121314151617181920212223242526272829[[#This Row],[ALIŞ]]</f>
        <v>425</v>
      </c>
      <c r="H11" s="11">
        <f>Tablo14567891011121314151617181920212223242526272829[[#This Row],[ADET]]*Tablo14567891011121314151617181920212223242526272829[[#This Row],[SATIŞ]]</f>
        <v>430</v>
      </c>
      <c r="J11" s="40" t="str">
        <f t="shared" si="0"/>
        <v/>
      </c>
    </row>
    <row r="12" spans="2:18" ht="21" customHeight="1" x14ac:dyDescent="0.3">
      <c r="B12" s="2">
        <v>45324</v>
      </c>
      <c r="C12" s="6">
        <v>5</v>
      </c>
      <c r="D12" s="10">
        <v>82</v>
      </c>
      <c r="E12" s="10"/>
      <c r="F12" s="9" t="str">
        <f>IF(Tablo14567891011121314151617181920212223242526272829[[#This Row],[SATIŞ]]=0,"Açık",(E12-D12)*C12)</f>
        <v>Açık</v>
      </c>
      <c r="G12" s="11">
        <f>Tablo14567891011121314151617181920212223242526272829[[#This Row],[ADET]]*Tablo14567891011121314151617181920212223242526272829[[#This Row],[ALIŞ]]</f>
        <v>410</v>
      </c>
      <c r="H12" s="11">
        <f>Tablo14567891011121314151617181920212223242526272829[[#This Row],[ADET]]*Tablo14567891011121314151617181920212223242526272829[[#This Row],[SATIŞ]]</f>
        <v>0</v>
      </c>
      <c r="J12" s="40">
        <f t="shared" si="0"/>
        <v>86.100000000000009</v>
      </c>
    </row>
    <row r="13" spans="2:18" ht="21" customHeight="1" x14ac:dyDescent="0.3">
      <c r="B13" s="2">
        <v>45328</v>
      </c>
      <c r="C13" s="6">
        <v>10</v>
      </c>
      <c r="D13" s="10">
        <v>86.6</v>
      </c>
      <c r="E13" s="10"/>
      <c r="F13" s="9" t="str">
        <f>IF(Tablo14567891011121314151617181920212223242526272829[[#This Row],[SATIŞ]]=0,"Açık",(E13-D13)*C13)</f>
        <v>Açık</v>
      </c>
      <c r="G13" s="11">
        <f>Tablo14567891011121314151617181920212223242526272829[[#This Row],[ADET]]*Tablo14567891011121314151617181920212223242526272829[[#This Row],[ALIŞ]]</f>
        <v>866</v>
      </c>
      <c r="H13" s="11">
        <f>Tablo14567891011121314151617181920212223242526272829[[#This Row],[ADET]]*Tablo14567891011121314151617181920212223242526272829[[#This Row],[SATIŞ]]</f>
        <v>0</v>
      </c>
      <c r="J13" s="40">
        <f t="shared" si="0"/>
        <v>90.929999999999993</v>
      </c>
    </row>
    <row r="14" spans="2:18" ht="21" customHeight="1" x14ac:dyDescent="0.3">
      <c r="B14" s="2">
        <v>45329</v>
      </c>
      <c r="C14" s="6">
        <v>5</v>
      </c>
      <c r="D14" s="10">
        <v>86.5</v>
      </c>
      <c r="E14" s="10"/>
      <c r="F14" s="9" t="str">
        <f>IF(Tablo14567891011121314151617181920212223242526272829[[#This Row],[SATIŞ]]=0,"Açık",(E14-D14)*C14)</f>
        <v>Açık</v>
      </c>
      <c r="G14" s="11">
        <f>Tablo14567891011121314151617181920212223242526272829[[#This Row],[ADET]]*Tablo14567891011121314151617181920212223242526272829[[#This Row],[ALIŞ]]</f>
        <v>432.5</v>
      </c>
      <c r="H14" s="11">
        <f>Tablo14567891011121314151617181920212223242526272829[[#This Row],[ADET]]*Tablo14567891011121314151617181920212223242526272829[[#This Row],[SATIŞ]]</f>
        <v>0</v>
      </c>
      <c r="J14" s="40">
        <f t="shared" si="0"/>
        <v>90.825000000000003</v>
      </c>
    </row>
    <row r="15" spans="2:18" ht="21" customHeight="1" x14ac:dyDescent="0.3">
      <c r="B15" s="2">
        <v>45329</v>
      </c>
      <c r="C15" s="6">
        <v>10</v>
      </c>
      <c r="D15" s="10">
        <v>85</v>
      </c>
      <c r="E15" s="10"/>
      <c r="F15" s="9" t="str">
        <f>IF(Tablo14567891011121314151617181920212223242526272829[[#This Row],[SATIŞ]]=0,"Açık",(E15-D15)*C15)</f>
        <v>Açık</v>
      </c>
      <c r="G15" s="11">
        <f>Tablo14567891011121314151617181920212223242526272829[[#This Row],[ADET]]*Tablo14567891011121314151617181920212223242526272829[[#This Row],[ALIŞ]]</f>
        <v>850</v>
      </c>
      <c r="H15" s="11">
        <f>Tablo14567891011121314151617181920212223242526272829[[#This Row],[ADET]]*Tablo14567891011121314151617181920212223242526272829[[#This Row],[SATIŞ]]</f>
        <v>0</v>
      </c>
      <c r="J15" s="40">
        <f t="shared" si="0"/>
        <v>89.25</v>
      </c>
    </row>
    <row r="16" spans="2:18" ht="21" customHeight="1" x14ac:dyDescent="0.3">
      <c r="B16" s="2">
        <v>45329</v>
      </c>
      <c r="C16" s="6">
        <v>15</v>
      </c>
      <c r="D16" s="10">
        <v>82</v>
      </c>
      <c r="E16" s="10"/>
      <c r="F16" s="9" t="str">
        <f>IF(Tablo14567891011121314151617181920212223242526272829[[#This Row],[SATIŞ]]=0,"Açık",(E16-D16)*C16)</f>
        <v>Açık</v>
      </c>
      <c r="G16" s="11">
        <f>Tablo14567891011121314151617181920212223242526272829[[#This Row],[ADET]]*Tablo14567891011121314151617181920212223242526272829[[#This Row],[ALIŞ]]</f>
        <v>1230</v>
      </c>
      <c r="H16" s="11">
        <f>Tablo14567891011121314151617181920212223242526272829[[#This Row],[ADET]]*Tablo14567891011121314151617181920212223242526272829[[#This Row],[SATIŞ]]</f>
        <v>0</v>
      </c>
      <c r="J16" s="40">
        <f t="shared" si="0"/>
        <v>86.100000000000009</v>
      </c>
    </row>
    <row r="17" spans="2:10" ht="21" hidden="1" customHeight="1" x14ac:dyDescent="0.3">
      <c r="B17" s="2">
        <v>45330</v>
      </c>
      <c r="C17" s="6">
        <v>5</v>
      </c>
      <c r="D17" s="10">
        <v>80</v>
      </c>
      <c r="E17" s="10">
        <v>81</v>
      </c>
      <c r="F17" s="9">
        <f>IF(Tablo14567891011121314151617181920212223242526272829[[#This Row],[SATIŞ]]=0,"Açık",(E17-D17)*C17)</f>
        <v>5</v>
      </c>
      <c r="G17" s="11">
        <f>Tablo14567891011121314151617181920212223242526272829[[#This Row],[ADET]]*Tablo14567891011121314151617181920212223242526272829[[#This Row],[ALIŞ]]</f>
        <v>400</v>
      </c>
      <c r="H17" s="11">
        <f>Tablo14567891011121314151617181920212223242526272829[[#This Row],[ADET]]*Tablo14567891011121314151617181920212223242526272829[[#This Row],[SATIŞ]]</f>
        <v>405</v>
      </c>
      <c r="J17" s="40" t="str">
        <f t="shared" si="0"/>
        <v/>
      </c>
    </row>
    <row r="18" spans="2:10" ht="21" customHeight="1" x14ac:dyDescent="0.3">
      <c r="B18" s="2">
        <v>45335</v>
      </c>
      <c r="C18" s="6">
        <v>10</v>
      </c>
      <c r="D18" s="10">
        <v>83</v>
      </c>
      <c r="E18" s="10"/>
      <c r="F18" s="9" t="str">
        <f>IF(Tablo14567891011121314151617181920212223242526272829[[#This Row],[SATIŞ]]=0,"Açık",(E18-D18)*C18)</f>
        <v>Açık</v>
      </c>
      <c r="G18" s="11">
        <f>Tablo14567891011121314151617181920212223242526272829[[#This Row],[ADET]]*Tablo14567891011121314151617181920212223242526272829[[#This Row],[ALIŞ]]</f>
        <v>830</v>
      </c>
      <c r="H18" s="11">
        <f>Tablo14567891011121314151617181920212223242526272829[[#This Row],[ADET]]*Tablo14567891011121314151617181920212223242526272829[[#This Row],[SATIŞ]]</f>
        <v>0</v>
      </c>
      <c r="J18" s="40">
        <f t="shared" si="0"/>
        <v>87.15</v>
      </c>
    </row>
    <row r="19" spans="2:10" ht="21" customHeight="1" x14ac:dyDescent="0.3">
      <c r="B19" s="2">
        <v>45336</v>
      </c>
      <c r="C19" s="6">
        <v>15</v>
      </c>
      <c r="D19" s="10">
        <v>79</v>
      </c>
      <c r="E19" s="10"/>
      <c r="F19" s="9" t="str">
        <f>IF(Tablo14567891011121314151617181920212223242526272829[[#This Row],[SATIŞ]]=0,"Açık",(E19-D19)*C19)</f>
        <v>Açık</v>
      </c>
      <c r="G19" s="11">
        <f>Tablo14567891011121314151617181920212223242526272829[[#This Row],[ADET]]*Tablo14567891011121314151617181920212223242526272829[[#This Row],[ALIŞ]]</f>
        <v>1185</v>
      </c>
      <c r="H19" s="11">
        <f>Tablo14567891011121314151617181920212223242526272829[[#This Row],[ADET]]*Tablo14567891011121314151617181920212223242526272829[[#This Row],[SATIŞ]]</f>
        <v>0</v>
      </c>
      <c r="J19" s="40">
        <f t="shared" si="0"/>
        <v>82.95</v>
      </c>
    </row>
    <row r="20" spans="2:10" ht="21" hidden="1" customHeight="1" x14ac:dyDescent="0.3">
      <c r="B20" s="2">
        <v>45336</v>
      </c>
      <c r="C20" s="6">
        <v>5</v>
      </c>
      <c r="D20" s="10">
        <v>79</v>
      </c>
      <c r="E20" s="10">
        <v>82</v>
      </c>
      <c r="F20" s="9">
        <f>IF(Tablo14567891011121314151617181920212223242526272829[[#This Row],[SATIŞ]]=0,"Açık",(E20-D20)*C20)</f>
        <v>15</v>
      </c>
      <c r="G20" s="11">
        <f>Tablo14567891011121314151617181920212223242526272829[[#This Row],[ADET]]*Tablo14567891011121314151617181920212223242526272829[[#This Row],[ALIŞ]]</f>
        <v>395</v>
      </c>
      <c r="H20" s="11">
        <f>Tablo14567891011121314151617181920212223242526272829[[#This Row],[ADET]]*Tablo14567891011121314151617181920212223242526272829[[#This Row],[SATIŞ]]</f>
        <v>410</v>
      </c>
      <c r="J20" s="40" t="str">
        <f t="shared" si="0"/>
        <v/>
      </c>
    </row>
    <row r="21" spans="2:10" ht="21" customHeight="1" x14ac:dyDescent="0.3">
      <c r="B21" s="2">
        <v>45349</v>
      </c>
      <c r="C21" s="6">
        <v>30</v>
      </c>
      <c r="D21" s="10">
        <v>76</v>
      </c>
      <c r="E21" s="10"/>
      <c r="F21" s="9" t="str">
        <f>IF(Tablo14567891011121314151617181920212223242526272829[[#This Row],[SATIŞ]]=0,"Açık",(E21-D21)*C21)</f>
        <v>Açık</v>
      </c>
      <c r="G21" s="11">
        <f>Tablo14567891011121314151617181920212223242526272829[[#This Row],[ADET]]*Tablo14567891011121314151617181920212223242526272829[[#This Row],[ALIŞ]]</f>
        <v>2280</v>
      </c>
      <c r="H21" s="11">
        <f>Tablo14567891011121314151617181920212223242526272829[[#This Row],[ADET]]*Tablo14567891011121314151617181920212223242526272829[[#This Row],[SATIŞ]]</f>
        <v>0</v>
      </c>
      <c r="J21" s="40">
        <f t="shared" si="0"/>
        <v>79.8</v>
      </c>
    </row>
    <row r="22" spans="2:10" ht="21" customHeight="1" x14ac:dyDescent="0.3">
      <c r="B22" s="2">
        <v>45362</v>
      </c>
      <c r="C22" s="6">
        <v>20</v>
      </c>
      <c r="D22" s="10">
        <v>67</v>
      </c>
      <c r="E22" s="10"/>
      <c r="F22" s="9" t="str">
        <f>IF(Tablo14567891011121314151617181920212223242526272829[[#This Row],[SATIŞ]]=0,"Açık",(E22-D22)*C22)</f>
        <v>Açık</v>
      </c>
      <c r="G22" s="11">
        <f>Tablo14567891011121314151617181920212223242526272829[[#This Row],[ADET]]*Tablo14567891011121314151617181920212223242526272829[[#This Row],[ALIŞ]]</f>
        <v>1340</v>
      </c>
      <c r="H22" s="11">
        <f>Tablo14567891011121314151617181920212223242526272829[[#This Row],[ADET]]*Tablo14567891011121314151617181920212223242526272829[[#This Row],[SATIŞ]]</f>
        <v>0</v>
      </c>
      <c r="J22" s="40">
        <f t="shared" si="0"/>
        <v>70.350000000000009</v>
      </c>
    </row>
    <row r="23" spans="2:10" ht="21" hidden="1" customHeight="1" x14ac:dyDescent="0.3">
      <c r="B23" s="2">
        <v>45365</v>
      </c>
      <c r="C23" s="6">
        <v>30</v>
      </c>
      <c r="D23" s="10">
        <v>63.5</v>
      </c>
      <c r="E23" s="10">
        <v>65</v>
      </c>
      <c r="F23" s="9">
        <f>IF(Tablo14567891011121314151617181920212223242526272829[[#This Row],[SATIŞ]]=0,"Açık",(E23-D23)*C23)</f>
        <v>45</v>
      </c>
      <c r="G23" s="11">
        <f>Tablo14567891011121314151617181920212223242526272829[[#This Row],[ADET]]*Tablo14567891011121314151617181920212223242526272829[[#This Row],[ALIŞ]]</f>
        <v>1905</v>
      </c>
      <c r="H23" s="11">
        <f>Tablo14567891011121314151617181920212223242526272829[[#This Row],[ADET]]*Tablo14567891011121314151617181920212223242526272829[[#This Row],[SATIŞ]]</f>
        <v>1950</v>
      </c>
      <c r="J23" s="40" t="str">
        <f t="shared" si="0"/>
        <v/>
      </c>
    </row>
    <row r="24" spans="2:10" ht="21" hidden="1" customHeight="1" x14ac:dyDescent="0.3">
      <c r="B24" s="2">
        <v>45369</v>
      </c>
      <c r="C24" s="6">
        <v>100</v>
      </c>
      <c r="D24" s="10">
        <v>62</v>
      </c>
      <c r="E24" s="10">
        <v>66.55</v>
      </c>
      <c r="F24" s="9">
        <f>IF(Tablo14567891011121314151617181920212223242526272829[[#This Row],[SATIŞ]]=0,"Açık",(E24-D24)*C24)</f>
        <v>454.99999999999972</v>
      </c>
      <c r="G24" s="11">
        <f>Tablo14567891011121314151617181920212223242526272829[[#This Row],[ADET]]*Tablo14567891011121314151617181920212223242526272829[[#This Row],[ALIŞ]]</f>
        <v>6200</v>
      </c>
      <c r="H24" s="11">
        <f>Tablo14567891011121314151617181920212223242526272829[[#This Row],[ADET]]*Tablo14567891011121314151617181920212223242526272829[[#This Row],[SATIŞ]]</f>
        <v>6655</v>
      </c>
      <c r="J24" s="40" t="str">
        <f t="shared" si="0"/>
        <v/>
      </c>
    </row>
    <row r="25" spans="2:10" ht="21" hidden="1" customHeight="1" x14ac:dyDescent="0.3">
      <c r="B25" s="2">
        <v>45371</v>
      </c>
      <c r="C25" s="6">
        <v>100</v>
      </c>
      <c r="D25" s="10">
        <v>61.9</v>
      </c>
      <c r="E25" s="10">
        <v>63</v>
      </c>
      <c r="F25" s="9">
        <f>IF(Tablo14567891011121314151617181920212223242526272829[[#This Row],[SATIŞ]]=0,"Açık",(E25-D25)*C25)</f>
        <v>110.00000000000014</v>
      </c>
      <c r="G25" s="11">
        <f>Tablo14567891011121314151617181920212223242526272829[[#This Row],[ADET]]*Tablo14567891011121314151617181920212223242526272829[[#This Row],[ALIŞ]]</f>
        <v>6190</v>
      </c>
      <c r="H25" s="11">
        <f>Tablo14567891011121314151617181920212223242526272829[[#This Row],[ADET]]*Tablo14567891011121314151617181920212223242526272829[[#This Row],[SATIŞ]]</f>
        <v>6300</v>
      </c>
      <c r="J25" s="40" t="str">
        <f t="shared" si="0"/>
        <v/>
      </c>
    </row>
    <row r="26" spans="2:10" ht="21" hidden="1" customHeight="1" x14ac:dyDescent="0.3">
      <c r="B26" s="2">
        <v>45376</v>
      </c>
      <c r="C26" s="6">
        <v>50</v>
      </c>
      <c r="D26" s="10">
        <v>63</v>
      </c>
      <c r="E26" s="10">
        <v>63.4</v>
      </c>
      <c r="F26" s="9">
        <f>IF(Tablo14567891011121314151617181920212223242526272829[[#This Row],[SATIŞ]]=0,"Açık",(E26-D26)*C26)</f>
        <v>19.999999999999929</v>
      </c>
      <c r="G26" s="11">
        <f>Tablo14567891011121314151617181920212223242526272829[[#This Row],[ADET]]*Tablo14567891011121314151617181920212223242526272829[[#This Row],[ALIŞ]]</f>
        <v>3150</v>
      </c>
      <c r="H26" s="11">
        <f>Tablo14567891011121314151617181920212223242526272829[[#This Row],[ADET]]*Tablo14567891011121314151617181920212223242526272829[[#This Row],[SATIŞ]]</f>
        <v>3170</v>
      </c>
      <c r="J26" s="40" t="str">
        <f t="shared" si="0"/>
        <v/>
      </c>
    </row>
    <row r="27" spans="2:10" ht="21" hidden="1" customHeight="1" x14ac:dyDescent="0.3">
      <c r="B27" s="2">
        <v>45377</v>
      </c>
      <c r="C27" s="6">
        <v>50</v>
      </c>
      <c r="D27" s="10">
        <v>60</v>
      </c>
      <c r="E27" s="10">
        <v>63.7</v>
      </c>
      <c r="F27" s="9">
        <f>IF(Tablo14567891011121314151617181920212223242526272829[[#This Row],[SATIŞ]]=0,"Açık",(E27-D27)*C27)</f>
        <v>185.00000000000014</v>
      </c>
      <c r="G27" s="11">
        <f>Tablo14567891011121314151617181920212223242526272829[[#This Row],[ADET]]*Tablo14567891011121314151617181920212223242526272829[[#This Row],[ALIŞ]]</f>
        <v>3000</v>
      </c>
      <c r="H27" s="11">
        <f>Tablo14567891011121314151617181920212223242526272829[[#This Row],[ADET]]*Tablo14567891011121314151617181920212223242526272829[[#This Row],[SATIŞ]]</f>
        <v>3185</v>
      </c>
      <c r="J27" s="40" t="str">
        <f t="shared" si="0"/>
        <v/>
      </c>
    </row>
    <row r="28" spans="2:10" ht="21" hidden="1" customHeight="1" x14ac:dyDescent="0.3">
      <c r="B28" s="2">
        <v>45380</v>
      </c>
      <c r="C28" s="6">
        <v>50</v>
      </c>
      <c r="D28" s="10">
        <v>61</v>
      </c>
      <c r="E28" s="10">
        <v>63.4</v>
      </c>
      <c r="F28" s="9">
        <f>IF(Tablo14567891011121314151617181920212223242526272829[[#This Row],[SATIŞ]]=0,"Açık",(E28-D28)*C28)</f>
        <v>119.99999999999993</v>
      </c>
      <c r="G28" s="11">
        <f>Tablo14567891011121314151617181920212223242526272829[[#This Row],[ADET]]*Tablo14567891011121314151617181920212223242526272829[[#This Row],[ALIŞ]]</f>
        <v>3050</v>
      </c>
      <c r="H28" s="11">
        <f>Tablo14567891011121314151617181920212223242526272829[[#This Row],[ADET]]*Tablo14567891011121314151617181920212223242526272829[[#This Row],[SATIŞ]]</f>
        <v>3170</v>
      </c>
    </row>
    <row r="29" spans="2:10" ht="21" hidden="1" customHeight="1" x14ac:dyDescent="0.3">
      <c r="B29" s="2">
        <v>45383</v>
      </c>
      <c r="C29" s="6">
        <v>20</v>
      </c>
      <c r="D29" s="10">
        <v>60</v>
      </c>
      <c r="E29" s="10">
        <v>63.4</v>
      </c>
      <c r="F29" s="9">
        <f>IF(Tablo14567891011121314151617181920212223242526272829[[#This Row],[SATIŞ]]=0,"Açık",(E29-D29)*C29)</f>
        <v>67.999999999999972</v>
      </c>
      <c r="G29" s="11">
        <f>Tablo14567891011121314151617181920212223242526272829[[#This Row],[ADET]]*Tablo14567891011121314151617181920212223242526272829[[#This Row],[ALIŞ]]</f>
        <v>1200</v>
      </c>
      <c r="H29" s="11">
        <f>Tablo14567891011121314151617181920212223242526272829[[#This Row],[ADET]]*Tablo14567891011121314151617181920212223242526272829[[#This Row],[SATIŞ]]</f>
        <v>1268</v>
      </c>
    </row>
    <row r="30" spans="2:10" ht="21" hidden="1" customHeight="1" x14ac:dyDescent="0.3">
      <c r="B30" s="2">
        <v>45384</v>
      </c>
      <c r="C30" s="6">
        <v>50</v>
      </c>
      <c r="D30" s="10">
        <v>59.5</v>
      </c>
      <c r="E30" s="10">
        <v>60.6</v>
      </c>
      <c r="F30" s="9">
        <f>IF(Tablo14567891011121314151617181920212223242526272829[[#This Row],[SATIŞ]]=0,"Açık",(E30-D30)*C30)</f>
        <v>55.000000000000071</v>
      </c>
      <c r="G30" s="11">
        <f>Tablo14567891011121314151617181920212223242526272829[[#This Row],[ADET]]*Tablo14567891011121314151617181920212223242526272829[[#This Row],[ALIŞ]]</f>
        <v>2975</v>
      </c>
      <c r="H30" s="11">
        <f>Tablo14567891011121314151617181920212223242526272829[[#This Row],[ADET]]*Tablo14567891011121314151617181920212223242526272829[[#This Row],[SATIŞ]]</f>
        <v>3030</v>
      </c>
    </row>
    <row r="31" spans="2:10" ht="21" customHeight="1" x14ac:dyDescent="0.3">
      <c r="B31" s="2">
        <v>45398</v>
      </c>
      <c r="C31" s="6">
        <v>50</v>
      </c>
      <c r="D31" s="10">
        <v>64</v>
      </c>
      <c r="E31" s="10"/>
      <c r="F31" s="9" t="str">
        <f>IF(Tablo14567891011121314151617181920212223242526272829[[#This Row],[SATIŞ]]=0,"Açık",(E31-D31)*C31)</f>
        <v>Açık</v>
      </c>
      <c r="G31" s="11">
        <f>Tablo14567891011121314151617181920212223242526272829[[#This Row],[ADET]]*Tablo14567891011121314151617181920212223242526272829[[#This Row],[ALIŞ]]</f>
        <v>3200</v>
      </c>
      <c r="H31" s="11">
        <f>Tablo14567891011121314151617181920212223242526272829[[#This Row],[ADET]]*Tablo14567891011121314151617181920212223242526272829[[#This Row],[SATIŞ]]</f>
        <v>0</v>
      </c>
    </row>
    <row r="32" spans="2:10" ht="21" customHeight="1" x14ac:dyDescent="0.3">
      <c r="B32" s="2">
        <v>45399</v>
      </c>
      <c r="C32" s="6">
        <v>100</v>
      </c>
      <c r="D32" s="10">
        <v>61.75</v>
      </c>
      <c r="E32" s="10"/>
      <c r="F32" s="9" t="str">
        <f>IF(Tablo14567891011121314151617181920212223242526272829[[#This Row],[SATIŞ]]=0,"Açık",(E32-D32)*C32)</f>
        <v>Açık</v>
      </c>
      <c r="G32" s="11">
        <f>Tablo14567891011121314151617181920212223242526272829[[#This Row],[ADET]]*Tablo14567891011121314151617181920212223242526272829[[#This Row],[ALIŞ]]</f>
        <v>6175</v>
      </c>
      <c r="H32" s="11">
        <f>Tablo14567891011121314151617181920212223242526272829[[#This Row],[ADET]]*Tablo14567891011121314151617181920212223242526272829[[#This Row],[SATIŞ]]</f>
        <v>0</v>
      </c>
    </row>
  </sheetData>
  <conditionalFormatting sqref="B4:F32">
    <cfRule type="expression" dxfId="92" priority="1">
      <formula>$F4&lt;0</formula>
    </cfRule>
    <cfRule type="expression" dxfId="91" priority="2">
      <formula>$F4="Açık"</formula>
    </cfRule>
    <cfRule type="expression" dxfId="90" priority="3">
      <formula>$F4&gt;0</formula>
    </cfRule>
  </conditionalFormatting>
  <hyperlinks>
    <hyperlink ref="B1" location="İcmal!A1" display="ANA SAYFA" xr:uid="{FB00FA15-8FEE-41BA-8D37-C5A60F2F42C7}"/>
  </hyperlinks>
  <pageMargins left="0.7" right="0.7" top="0.75" bottom="0.75" header="0.3" footer="0.3"/>
  <tableParts count="1">
    <tablePart r:id="rId1"/>
  </tablePart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1F514-B736-45AF-84D1-2C5D7C978091}">
  <dimension ref="B1:R10"/>
  <sheetViews>
    <sheetView showGridLines="0" showZeros="0" workbookViewId="0">
      <pane ySplit="1" topLeftCell="A2" activePane="bottomLeft" state="frozen"/>
      <selection activeCell="C23" sqref="C23"/>
      <selection pane="bottomLeft" activeCell="G1" sqref="G1"/>
    </sheetView>
  </sheetViews>
  <sheetFormatPr defaultRowHeight="21" customHeight="1" x14ac:dyDescent="0.3"/>
  <cols>
    <col min="2" max="2" width="20.6640625" style="1" customWidth="1"/>
    <col min="3" max="3" width="11.33203125" style="6" customWidth="1"/>
    <col min="4" max="5" width="12.88671875" style="3" customWidth="1"/>
    <col min="6" max="6" width="12.88671875" style="5" customWidth="1"/>
    <col min="7" max="8" width="11.33203125" bestFit="1" customWidth="1"/>
    <col min="12" max="13" width="11.33203125" bestFit="1" customWidth="1"/>
    <col min="14" max="14" width="10.33203125" bestFit="1" customWidth="1"/>
  </cols>
  <sheetData>
    <row r="1" spans="2:18" ht="21" customHeight="1" x14ac:dyDescent="0.3">
      <c r="B1" s="12" t="s">
        <v>64</v>
      </c>
      <c r="C1" s="4">
        <f>SUMIF(Tablo1456789101112131415161718192021222324252627282930[KAR],"Açık",Tablo1456789101112131415161718192021222324252627282930[ADET])</f>
        <v>0</v>
      </c>
      <c r="D1" s="10">
        <f>+İcmal!E41</f>
        <v>79</v>
      </c>
      <c r="E1" s="10">
        <f>C1*D1</f>
        <v>0</v>
      </c>
      <c r="F1" s="10" t="str">
        <f>IFERROR(((SUM(Tablo1456789101112131415161718192021222324252627282930[ALIŞ TUTAR])-SUM(Tablo1456789101112131415161718192021222324252627282930[SATIŞ TUTAR]))/C1),"")</f>
        <v/>
      </c>
      <c r="G1" s="10">
        <f>IF(M3=0,L3,C1*(D1-F1))</f>
        <v>154.86438000000015</v>
      </c>
      <c r="J1" s="34">
        <v>0.05</v>
      </c>
      <c r="L1" s="8" t="e">
        <f>M1*(1-$J$1)</f>
        <v>#VALUE!</v>
      </c>
      <c r="M1" s="33" t="str">
        <f>F1</f>
        <v/>
      </c>
      <c r="N1" s="8" t="e">
        <f>M1*(1+$J$1)</f>
        <v>#VALUE!</v>
      </c>
      <c r="P1" s="8">
        <f>Q1*(1-$J$1)</f>
        <v>75.05</v>
      </c>
      <c r="Q1" s="33">
        <f>+D1</f>
        <v>79</v>
      </c>
      <c r="R1" s="8">
        <f>Q1*(1+$J$1)</f>
        <v>82.95</v>
      </c>
    </row>
    <row r="3" spans="2:18" ht="21" customHeight="1" x14ac:dyDescent="0.3">
      <c r="B3" s="1" t="s">
        <v>0</v>
      </c>
      <c r="C3" s="6" t="s">
        <v>4</v>
      </c>
      <c r="D3" s="3" t="s">
        <v>1</v>
      </c>
      <c r="E3" s="3" t="s">
        <v>3</v>
      </c>
      <c r="F3" s="5" t="s">
        <v>2</v>
      </c>
      <c r="G3" s="3" t="s">
        <v>8</v>
      </c>
      <c r="H3" s="3" t="s">
        <v>9</v>
      </c>
      <c r="L3" s="33">
        <f>SUM(Tablo1456789101112131415161718192021222324252627282930[KAR])</f>
        <v>154.86438000000015</v>
      </c>
      <c r="M3" s="37">
        <f>+C1</f>
        <v>0</v>
      </c>
    </row>
    <row r="4" spans="2:18" ht="21" customHeight="1" x14ac:dyDescent="0.3">
      <c r="B4" s="2">
        <v>45291</v>
      </c>
      <c r="C4" s="6">
        <v>63</v>
      </c>
      <c r="D4" s="10">
        <v>44.260739999999998</v>
      </c>
      <c r="E4" s="10">
        <v>41.957000000000001</v>
      </c>
      <c r="F4" s="9">
        <f>IF(Tablo1456789101112131415161718192021222324252627282930[[#This Row],[SATIŞ]]=0,"Açık",(E4-D4)*C4)</f>
        <v>-145.13561999999985</v>
      </c>
      <c r="G4" s="11">
        <f>Tablo1456789101112131415161718192021222324252627282930[[#This Row],[ADET]]*Tablo1456789101112131415161718192021222324252627282930[[#This Row],[ALIŞ]]</f>
        <v>2788.4266199999997</v>
      </c>
      <c r="H4" s="11">
        <f>Tablo1456789101112131415161718192021222324252627282930[[#This Row],[ADET]]*Tablo1456789101112131415161718192021222324252627282930[[#This Row],[SATIŞ]]</f>
        <v>2643.2910000000002</v>
      </c>
      <c r="L4" s="8">
        <f>SUM(Tablo1456789101112131415161718192021222324252627282930[ALIŞ TUTAR])</f>
        <v>5448.4266200000002</v>
      </c>
      <c r="M4" s="8">
        <f>SUM(Tablo1456789101112131415161718192021222324252627282930[SATIŞ TUTAR])</f>
        <v>5603.2910000000002</v>
      </c>
      <c r="N4" s="8">
        <f>L4-M4</f>
        <v>-154.86437999999998</v>
      </c>
    </row>
    <row r="5" spans="2:18" ht="21" customHeight="1" x14ac:dyDescent="0.3">
      <c r="B5" s="2">
        <v>45329</v>
      </c>
      <c r="C5" s="6">
        <v>10</v>
      </c>
      <c r="D5" s="10">
        <v>54</v>
      </c>
      <c r="E5" s="10">
        <v>56</v>
      </c>
      <c r="F5" s="9">
        <f>IF(Tablo1456789101112131415161718192021222324252627282930[[#This Row],[SATIŞ]]=0,"Açık",(E5-D5)*C5)</f>
        <v>20</v>
      </c>
      <c r="G5" s="11">
        <f>Tablo1456789101112131415161718192021222324252627282930[[#This Row],[ADET]]*Tablo1456789101112131415161718192021222324252627282930[[#This Row],[ALIŞ]]</f>
        <v>540</v>
      </c>
      <c r="H5" s="11">
        <f>Tablo1456789101112131415161718192021222324252627282930[[#This Row],[ADET]]*Tablo1456789101112131415161718192021222324252627282930[[#This Row],[SATIŞ]]</f>
        <v>560</v>
      </c>
      <c r="N5">
        <f>+N4/80</f>
        <v>-1.9358047499999997</v>
      </c>
    </row>
    <row r="6" spans="2:18" ht="21" customHeight="1" x14ac:dyDescent="0.3">
      <c r="B6" s="2">
        <v>45329</v>
      </c>
      <c r="C6" s="6">
        <v>10</v>
      </c>
      <c r="D6" s="10">
        <v>50</v>
      </c>
      <c r="E6" s="10">
        <v>60</v>
      </c>
      <c r="F6" s="9">
        <f>IF(Tablo1456789101112131415161718192021222324252627282930[[#This Row],[SATIŞ]]=0,"Açık",(E6-D6)*C6)</f>
        <v>100</v>
      </c>
      <c r="G6" s="11">
        <f>Tablo1456789101112131415161718192021222324252627282930[[#This Row],[ADET]]*Tablo1456789101112131415161718192021222324252627282930[[#This Row],[ALIŞ]]</f>
        <v>500</v>
      </c>
      <c r="H6" s="11">
        <f>Tablo1456789101112131415161718192021222324252627282930[[#This Row],[ADET]]*Tablo1456789101112131415161718192021222324252627282930[[#This Row],[SATIŞ]]</f>
        <v>600</v>
      </c>
    </row>
    <row r="7" spans="2:18" ht="21" customHeight="1" x14ac:dyDescent="0.3">
      <c r="B7" s="2">
        <v>45335</v>
      </c>
      <c r="C7" s="6">
        <v>30</v>
      </c>
      <c r="D7" s="10">
        <v>54</v>
      </c>
      <c r="E7" s="10">
        <v>60</v>
      </c>
      <c r="F7" s="9">
        <f>IF(Tablo1456789101112131415161718192021222324252627282930[[#This Row],[SATIŞ]]=0,"Açık",(E7-D7)*C7)</f>
        <v>180</v>
      </c>
      <c r="G7" s="11">
        <f>Tablo1456789101112131415161718192021222324252627282930[[#This Row],[ADET]]*Tablo1456789101112131415161718192021222324252627282930[[#This Row],[ALIŞ]]</f>
        <v>1620</v>
      </c>
      <c r="H7" s="11">
        <f>Tablo1456789101112131415161718192021222324252627282930[[#This Row],[ADET]]*Tablo1456789101112131415161718192021222324252627282930[[#This Row],[SATIŞ]]</f>
        <v>1800</v>
      </c>
    </row>
    <row r="8" spans="2:18" ht="21" customHeight="1" x14ac:dyDescent="0.3">
      <c r="B8" s="2"/>
      <c r="D8" s="10"/>
      <c r="E8" s="10"/>
      <c r="F8" s="9" t="str">
        <f>IF(Tablo1456789101112131415161718192021222324252627282930[[#This Row],[SATIŞ]]=0,"Açık",(E8-D8)*C8)</f>
        <v>Açık</v>
      </c>
      <c r="G8" s="11">
        <f>Tablo1456789101112131415161718192021222324252627282930[[#This Row],[ADET]]*Tablo1456789101112131415161718192021222324252627282930[[#This Row],[ALIŞ]]</f>
        <v>0</v>
      </c>
      <c r="H8" s="11">
        <f>Tablo1456789101112131415161718192021222324252627282930[[#This Row],[ADET]]*Tablo1456789101112131415161718192021222324252627282930[[#This Row],[SATIŞ]]</f>
        <v>0</v>
      </c>
    </row>
    <row r="9" spans="2:18" ht="21" customHeight="1" x14ac:dyDescent="0.3">
      <c r="B9" s="2"/>
      <c r="D9" s="10"/>
      <c r="E9" s="10"/>
      <c r="F9" s="9" t="str">
        <f>IF(Tablo1456789101112131415161718192021222324252627282930[[#This Row],[SATIŞ]]=0,"Açık",(E9-D9)*C9)</f>
        <v>Açık</v>
      </c>
      <c r="G9" s="11">
        <f>Tablo1456789101112131415161718192021222324252627282930[[#This Row],[ADET]]*Tablo1456789101112131415161718192021222324252627282930[[#This Row],[ALIŞ]]</f>
        <v>0</v>
      </c>
      <c r="H9" s="11">
        <f>Tablo1456789101112131415161718192021222324252627282930[[#This Row],[ADET]]*Tablo1456789101112131415161718192021222324252627282930[[#This Row],[SATIŞ]]</f>
        <v>0</v>
      </c>
    </row>
    <row r="10" spans="2:18" ht="21" customHeight="1" x14ac:dyDescent="0.3">
      <c r="B10" s="2"/>
      <c r="D10" s="10"/>
      <c r="E10" s="10"/>
      <c r="F10" s="9" t="str">
        <f>IF(Tablo1456789101112131415161718192021222324252627282930[[#This Row],[SATIŞ]]=0,"Açık",(E10-D10)*C10)</f>
        <v>Açık</v>
      </c>
      <c r="G10" s="11">
        <f>Tablo1456789101112131415161718192021222324252627282930[[#This Row],[ADET]]*Tablo1456789101112131415161718192021222324252627282930[[#This Row],[ALIŞ]]</f>
        <v>0</v>
      </c>
      <c r="H10" s="11">
        <f>Tablo1456789101112131415161718192021222324252627282930[[#This Row],[ADET]]*Tablo1456789101112131415161718192021222324252627282930[[#This Row],[SATIŞ]]</f>
        <v>0</v>
      </c>
    </row>
  </sheetData>
  <conditionalFormatting sqref="B4:F10">
    <cfRule type="expression" dxfId="89" priority="1">
      <formula>$F4&lt;0</formula>
    </cfRule>
    <cfRule type="expression" dxfId="88" priority="2">
      <formula>$F4="Açık"</formula>
    </cfRule>
    <cfRule type="expression" dxfId="87" priority="3">
      <formula>$F4&gt;0</formula>
    </cfRule>
  </conditionalFormatting>
  <hyperlinks>
    <hyperlink ref="B1" location="İcmal!A1" display="ANA SAYFA" xr:uid="{CBAFBF6F-AAA8-4F6F-984A-AABFB3D958FD}"/>
  </hyperlinks>
  <pageMargins left="0.7" right="0.7" top="0.75" bottom="0.75" header="0.3" footer="0.3"/>
  <tableParts count="1">
    <tablePart r:id="rId1"/>
  </tablePart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14F05-FA7C-49F8-A384-5F20D71663D4}">
  <dimension ref="B1:R53"/>
  <sheetViews>
    <sheetView showGridLines="0" showZeros="0" zoomScale="110" zoomScaleNormal="110" workbookViewId="0">
      <pane ySplit="3" topLeftCell="A21" activePane="bottomLeft" state="frozen"/>
      <selection pane="bottomLeft" activeCell="E50" sqref="E50"/>
    </sheetView>
  </sheetViews>
  <sheetFormatPr defaultRowHeight="21" customHeight="1" x14ac:dyDescent="0.3"/>
  <cols>
    <col min="2" max="2" width="20.6640625" style="1" customWidth="1"/>
    <col min="3" max="3" width="11.33203125" style="6" customWidth="1"/>
    <col min="4" max="5" width="12.88671875" style="3" customWidth="1"/>
    <col min="6" max="6" width="12.88671875" style="5" customWidth="1"/>
    <col min="7" max="8" width="11.44140625" bestFit="1" customWidth="1"/>
    <col min="10" max="12" width="12.44140625" customWidth="1"/>
    <col min="13" max="14" width="11.6640625" bestFit="1" customWidth="1"/>
  </cols>
  <sheetData>
    <row r="1" spans="2:18" ht="21" customHeight="1" x14ac:dyDescent="0.3">
      <c r="B1" s="12" t="s">
        <v>64</v>
      </c>
      <c r="C1" s="4">
        <f>SUMIF(Tablo1456789101112131415161718192021222324252627282930313254[KAR],"Açık",Tablo1456789101112131415161718192021222324252627282930313254[ADET])</f>
        <v>430</v>
      </c>
      <c r="D1" s="10">
        <f>+İcmal!E42</f>
        <v>174.2</v>
      </c>
      <c r="E1" s="10">
        <f>C1*D1</f>
        <v>74906</v>
      </c>
      <c r="F1" s="10">
        <f>IFERROR(((SUM(Tablo1456789101112131415161718192021222324252627282930313254[ALIŞ TUTAR])-SUM(Tablo1456789101112131415161718192021222324252627282930313254[SATIŞ TUTAR]))/C1),"")</f>
        <v>184.31744186046512</v>
      </c>
      <c r="G1" s="10">
        <f>IF(M3=0,L3,C1*(D1-F1))</f>
        <v>-4350.5000000000082</v>
      </c>
      <c r="J1" s="45" t="s">
        <v>94</v>
      </c>
      <c r="K1" s="45" t="s">
        <v>95</v>
      </c>
      <c r="L1" s="45" t="s">
        <v>96</v>
      </c>
      <c r="M1" s="33">
        <f>F1</f>
        <v>184.31744186046512</v>
      </c>
      <c r="N1" s="8" t="e">
        <f>M1*(1+$J$1)</f>
        <v>#VALUE!</v>
      </c>
      <c r="P1" s="8" t="e">
        <f>Q1*(1-$J$1)</f>
        <v>#VALUE!</v>
      </c>
      <c r="Q1" s="33">
        <f>+D1</f>
        <v>174.2</v>
      </c>
      <c r="R1" s="8" t="e">
        <f>Q1*(1+$J$1)</f>
        <v>#VALUE!</v>
      </c>
    </row>
    <row r="2" spans="2:18" ht="21" customHeight="1" x14ac:dyDescent="0.3">
      <c r="B2" s="7" t="s">
        <v>75</v>
      </c>
      <c r="J2" s="45">
        <f>SUMIFS(Tablo2[HEDEF2],Tablo2[HİSSE],B2)</f>
        <v>1000</v>
      </c>
      <c r="K2" s="45">
        <f>+E1/İcmal!$P$2</f>
        <v>2302.6744543498307</v>
      </c>
      <c r="L2" s="45">
        <f>+J2-K2</f>
        <v>-1302.6744543498307</v>
      </c>
    </row>
    <row r="3" spans="2:18" ht="21" customHeight="1" x14ac:dyDescent="0.3">
      <c r="B3" s="1" t="s">
        <v>0</v>
      </c>
      <c r="C3" s="6" t="s">
        <v>4</v>
      </c>
      <c r="D3" s="3" t="s">
        <v>1</v>
      </c>
      <c r="E3" s="3" t="s">
        <v>3</v>
      </c>
      <c r="F3" s="5" t="s">
        <v>2</v>
      </c>
      <c r="G3" s="3" t="s">
        <v>8</v>
      </c>
      <c r="H3" s="3" t="s">
        <v>9</v>
      </c>
      <c r="L3">
        <f>+SUM(Tablo1456789101112131415161718192021222324252627282930313254[KAR])</f>
        <v>2525.5</v>
      </c>
      <c r="M3" s="37">
        <f>+C1</f>
        <v>430</v>
      </c>
    </row>
    <row r="4" spans="2:18" ht="21" hidden="1" customHeight="1" x14ac:dyDescent="0.3">
      <c r="B4" s="2">
        <v>45338</v>
      </c>
      <c r="C4" s="6">
        <v>10</v>
      </c>
      <c r="D4" s="10">
        <v>241.4</v>
      </c>
      <c r="E4" s="10">
        <v>245</v>
      </c>
      <c r="F4" s="9">
        <f>IF(Tablo1456789101112131415161718192021222324252627282930313254[[#This Row],[SATIŞ]]=0,"Açık",(E4-D4)*C4)</f>
        <v>35.999999999999943</v>
      </c>
      <c r="G4" s="11">
        <f>Tablo1456789101112131415161718192021222324252627282930313254[[#This Row],[ADET]]*Tablo1456789101112131415161718192021222324252627282930313254[[#This Row],[ALIŞ]]</f>
        <v>2414</v>
      </c>
      <c r="H4" s="11">
        <f>Tablo1456789101112131415161718192021222324252627282930313254[[#This Row],[ADET]]*Tablo1456789101112131415161718192021222324252627282930313254[[#This Row],[SATIŞ]]</f>
        <v>2450</v>
      </c>
      <c r="J4" s="40" t="str">
        <f t="shared" ref="J4:J34" si="0">IF(E4=0,D4*1.05,"")</f>
        <v/>
      </c>
      <c r="L4" s="8">
        <f>SUM(Tablo1456789101112131415161718192021222324252627282930313254[ALIŞ TUTAR])</f>
        <v>159199.5</v>
      </c>
      <c r="M4" s="8">
        <f>SUM(Tablo1456789101112131415161718192021222324252627282930313254[SATIŞ TUTAR])</f>
        <v>79943</v>
      </c>
      <c r="N4" s="8">
        <f>L4-M4</f>
        <v>79256.5</v>
      </c>
    </row>
    <row r="5" spans="2:18" ht="21" hidden="1" customHeight="1" x14ac:dyDescent="0.3">
      <c r="B5" s="2">
        <v>45338</v>
      </c>
      <c r="C5" s="6">
        <v>10</v>
      </c>
      <c r="D5" s="10">
        <v>241.4</v>
      </c>
      <c r="E5" s="10">
        <v>260</v>
      </c>
      <c r="F5" s="9">
        <f>IF(Tablo1456789101112131415161718192021222324252627282930313254[[#This Row],[SATIŞ]]=0,"Açık",(E5-D5)*C5)</f>
        <v>185.99999999999994</v>
      </c>
      <c r="G5" s="11">
        <f>Tablo1456789101112131415161718192021222324252627282930313254[[#This Row],[ADET]]*Tablo1456789101112131415161718192021222324252627282930313254[[#This Row],[ALIŞ]]</f>
        <v>2414</v>
      </c>
      <c r="H5" s="11">
        <f>Tablo1456789101112131415161718192021222324252627282930313254[[#This Row],[ADET]]*Tablo1456789101112131415161718192021222324252627282930313254[[#This Row],[SATIŞ]]</f>
        <v>2600</v>
      </c>
      <c r="J5" s="40" t="str">
        <f t="shared" si="0"/>
        <v/>
      </c>
      <c r="N5">
        <f>+N4/80</f>
        <v>990.70624999999995</v>
      </c>
    </row>
    <row r="6" spans="2:18" ht="21" hidden="1" customHeight="1" x14ac:dyDescent="0.3">
      <c r="B6" s="2">
        <v>45338</v>
      </c>
      <c r="C6" s="6">
        <v>10</v>
      </c>
      <c r="D6" s="10">
        <v>240</v>
      </c>
      <c r="E6" s="10">
        <v>245</v>
      </c>
      <c r="F6" s="9">
        <f>IF(Tablo1456789101112131415161718192021222324252627282930313254[[#This Row],[SATIŞ]]=0,"Açık",(E6-D6)*C6)</f>
        <v>50</v>
      </c>
      <c r="G6" s="11">
        <f>Tablo1456789101112131415161718192021222324252627282930313254[[#This Row],[ADET]]*Tablo1456789101112131415161718192021222324252627282930313254[[#This Row],[ALIŞ]]</f>
        <v>2400</v>
      </c>
      <c r="H6" s="11">
        <f>Tablo1456789101112131415161718192021222324252627282930313254[[#This Row],[ADET]]*Tablo1456789101112131415161718192021222324252627282930313254[[#This Row],[SATIŞ]]</f>
        <v>2450</v>
      </c>
      <c r="J6" s="40" t="str">
        <f t="shared" si="0"/>
        <v/>
      </c>
    </row>
    <row r="7" spans="2:18" ht="21" hidden="1" customHeight="1" x14ac:dyDescent="0.3">
      <c r="B7" s="2">
        <v>45341</v>
      </c>
      <c r="C7" s="6">
        <v>15</v>
      </c>
      <c r="D7" s="10">
        <v>234.7</v>
      </c>
      <c r="E7" s="10">
        <v>240</v>
      </c>
      <c r="F7" s="9">
        <f>IF(Tablo1456789101112131415161718192021222324252627282930313254[[#This Row],[SATIŞ]]=0,"Açık",(E7-D7)*C7)</f>
        <v>79.500000000000171</v>
      </c>
      <c r="G7" s="11">
        <f>Tablo1456789101112131415161718192021222324252627282930313254[[#This Row],[ADET]]*Tablo1456789101112131415161718192021222324252627282930313254[[#This Row],[ALIŞ]]</f>
        <v>3520.5</v>
      </c>
      <c r="H7" s="11">
        <f>Tablo1456789101112131415161718192021222324252627282930313254[[#This Row],[ADET]]*Tablo1456789101112131415161718192021222324252627282930313254[[#This Row],[SATIŞ]]</f>
        <v>3600</v>
      </c>
      <c r="J7" s="40" t="str">
        <f t="shared" si="0"/>
        <v/>
      </c>
    </row>
    <row r="8" spans="2:18" ht="21" hidden="1" customHeight="1" x14ac:dyDescent="0.3">
      <c r="B8" s="2">
        <v>45342</v>
      </c>
      <c r="C8" s="6">
        <v>10</v>
      </c>
      <c r="D8" s="10">
        <v>235</v>
      </c>
      <c r="E8" s="10">
        <v>240</v>
      </c>
      <c r="F8" s="9">
        <f>IF(Tablo1456789101112131415161718192021222324252627282930313254[[#This Row],[SATIŞ]]=0,"Açık",(E8-D8)*C8)</f>
        <v>50</v>
      </c>
      <c r="G8" s="11">
        <f>Tablo1456789101112131415161718192021222324252627282930313254[[#This Row],[ADET]]*Tablo1456789101112131415161718192021222324252627282930313254[[#This Row],[ALIŞ]]</f>
        <v>2350</v>
      </c>
      <c r="H8" s="11">
        <f>Tablo1456789101112131415161718192021222324252627282930313254[[#This Row],[ADET]]*Tablo1456789101112131415161718192021222324252627282930313254[[#This Row],[SATIŞ]]</f>
        <v>2400</v>
      </c>
      <c r="J8" s="40" t="str">
        <f t="shared" si="0"/>
        <v/>
      </c>
    </row>
    <row r="9" spans="2:18" ht="21" hidden="1" customHeight="1" x14ac:dyDescent="0.3">
      <c r="B9" s="2">
        <v>45342</v>
      </c>
      <c r="C9" s="6">
        <v>10</v>
      </c>
      <c r="D9" s="10">
        <v>235</v>
      </c>
      <c r="E9" s="10">
        <v>255</v>
      </c>
      <c r="F9" s="9">
        <f>IF(Tablo1456789101112131415161718192021222324252627282930313254[[#This Row],[SATIŞ]]=0,"Açık",(E9-D9)*C9)</f>
        <v>200</v>
      </c>
      <c r="G9" s="11">
        <f>Tablo1456789101112131415161718192021222324252627282930313254[[#This Row],[ADET]]*Tablo1456789101112131415161718192021222324252627282930313254[[#This Row],[ALIŞ]]</f>
        <v>2350</v>
      </c>
      <c r="H9" s="11">
        <f>Tablo1456789101112131415161718192021222324252627282930313254[[#This Row],[ADET]]*Tablo1456789101112131415161718192021222324252627282930313254[[#This Row],[SATIŞ]]</f>
        <v>2550</v>
      </c>
      <c r="J9" s="40" t="str">
        <f t="shared" si="0"/>
        <v/>
      </c>
    </row>
    <row r="10" spans="2:18" ht="21" customHeight="1" x14ac:dyDescent="0.3">
      <c r="B10" s="2">
        <v>45338</v>
      </c>
      <c r="C10" s="6">
        <v>30</v>
      </c>
      <c r="D10" s="10">
        <v>241.4</v>
      </c>
      <c r="E10" s="10"/>
      <c r="F10" s="9" t="str">
        <f>IF(Tablo1456789101112131415161718192021222324252627282930313254[[#This Row],[SATIŞ]]=0,"Açık",(E10-D10)*C10)</f>
        <v>Açık</v>
      </c>
      <c r="G10" s="11">
        <f>Tablo1456789101112131415161718192021222324252627282930313254[[#This Row],[ADET]]*Tablo1456789101112131415161718192021222324252627282930313254[[#This Row],[ALIŞ]]</f>
        <v>7242</v>
      </c>
      <c r="H10" s="11">
        <f>Tablo1456789101112131415161718192021222324252627282930313254[[#This Row],[ADET]]*Tablo1456789101112131415161718192021222324252627282930313254[[#This Row],[SATIŞ]]</f>
        <v>0</v>
      </c>
      <c r="J10" s="40">
        <f t="shared" si="0"/>
        <v>253.47000000000003</v>
      </c>
    </row>
    <row r="11" spans="2:18" ht="21" hidden="1" customHeight="1" x14ac:dyDescent="0.3">
      <c r="B11" s="2">
        <v>45349</v>
      </c>
      <c r="C11" s="6">
        <v>10</v>
      </c>
      <c r="D11" s="10">
        <v>250</v>
      </c>
      <c r="E11" s="10">
        <v>255</v>
      </c>
      <c r="F11" s="9">
        <f>IF(Tablo1456789101112131415161718192021222324252627282930313254[[#This Row],[SATIŞ]]=0,"Açık",(E11-D11)*C11)</f>
        <v>50</v>
      </c>
      <c r="G11" s="11">
        <f>Tablo1456789101112131415161718192021222324252627282930313254[[#This Row],[ADET]]*Tablo1456789101112131415161718192021222324252627282930313254[[#This Row],[ALIŞ]]</f>
        <v>2500</v>
      </c>
      <c r="H11" s="11">
        <f>Tablo1456789101112131415161718192021222324252627282930313254[[#This Row],[ADET]]*Tablo1456789101112131415161718192021222324252627282930313254[[#This Row],[SATIŞ]]</f>
        <v>2550</v>
      </c>
      <c r="J11" s="40" t="str">
        <f t="shared" si="0"/>
        <v/>
      </c>
    </row>
    <row r="12" spans="2:18" ht="21" hidden="1" customHeight="1" x14ac:dyDescent="0.3">
      <c r="B12" s="2">
        <v>45349</v>
      </c>
      <c r="C12" s="6">
        <v>10</v>
      </c>
      <c r="D12" s="10">
        <v>245</v>
      </c>
      <c r="E12" s="10">
        <v>250</v>
      </c>
      <c r="F12" s="9">
        <f>IF(Tablo1456789101112131415161718192021222324252627282930313254[[#This Row],[SATIŞ]]=0,"Açık",(E12-D12)*C12)</f>
        <v>50</v>
      </c>
      <c r="G12" s="11">
        <f>Tablo1456789101112131415161718192021222324252627282930313254[[#This Row],[ADET]]*Tablo1456789101112131415161718192021222324252627282930313254[[#This Row],[ALIŞ]]</f>
        <v>2450</v>
      </c>
      <c r="H12" s="11">
        <f>Tablo1456789101112131415161718192021222324252627282930313254[[#This Row],[ADET]]*Tablo1456789101112131415161718192021222324252627282930313254[[#This Row],[SATIŞ]]</f>
        <v>2500</v>
      </c>
      <c r="J12" s="40" t="str">
        <f t="shared" si="0"/>
        <v/>
      </c>
    </row>
    <row r="13" spans="2:18" ht="21" hidden="1" customHeight="1" x14ac:dyDescent="0.3">
      <c r="B13" s="2">
        <v>45349</v>
      </c>
      <c r="C13" s="6">
        <v>10</v>
      </c>
      <c r="D13" s="10">
        <v>240</v>
      </c>
      <c r="E13" s="10">
        <v>260</v>
      </c>
      <c r="F13" s="9">
        <f>IF(Tablo1456789101112131415161718192021222324252627282930313254[[#This Row],[SATIŞ]]=0,"Açık",(E13-D13)*C13)</f>
        <v>200</v>
      </c>
      <c r="G13" s="11">
        <f>Tablo1456789101112131415161718192021222324252627282930313254[[#This Row],[ADET]]*Tablo1456789101112131415161718192021222324252627282930313254[[#This Row],[ALIŞ]]</f>
        <v>2400</v>
      </c>
      <c r="H13" s="11">
        <f>Tablo1456789101112131415161718192021222324252627282930313254[[#This Row],[ADET]]*Tablo1456789101112131415161718192021222324252627282930313254[[#This Row],[SATIŞ]]</f>
        <v>2600</v>
      </c>
      <c r="J13" s="40" t="str">
        <f t="shared" si="0"/>
        <v/>
      </c>
    </row>
    <row r="14" spans="2:18" ht="21" customHeight="1" x14ac:dyDescent="0.3">
      <c r="B14" s="2">
        <v>45330</v>
      </c>
      <c r="C14" s="6">
        <v>10</v>
      </c>
      <c r="D14" s="10">
        <v>250</v>
      </c>
      <c r="E14" s="10"/>
      <c r="F14" s="9" t="str">
        <f>IF(Tablo1456789101112131415161718192021222324252627282930313254[[#This Row],[SATIŞ]]=0,"Açık",(E14-D14)*C14)</f>
        <v>Açık</v>
      </c>
      <c r="G14" s="11">
        <f>Tablo1456789101112131415161718192021222324252627282930313254[[#This Row],[ADET]]*Tablo1456789101112131415161718192021222324252627282930313254[[#This Row],[ALIŞ]]</f>
        <v>2500</v>
      </c>
      <c r="H14" s="11">
        <f>Tablo1456789101112131415161718192021222324252627282930313254[[#This Row],[ADET]]*Tablo1456789101112131415161718192021222324252627282930313254[[#This Row],[SATIŞ]]</f>
        <v>0</v>
      </c>
      <c r="J14" s="40">
        <f t="shared" si="0"/>
        <v>262.5</v>
      </c>
    </row>
    <row r="15" spans="2:18" ht="21" customHeight="1" x14ac:dyDescent="0.3">
      <c r="B15" s="2">
        <v>45355</v>
      </c>
      <c r="C15" s="6">
        <v>10</v>
      </c>
      <c r="D15" s="10">
        <v>230</v>
      </c>
      <c r="E15" s="10"/>
      <c r="F15" s="9" t="str">
        <f>IF(Tablo1456789101112131415161718192021222324252627282930313254[[#This Row],[SATIŞ]]=0,"Açık",(E15-D15)*C15)</f>
        <v>Açık</v>
      </c>
      <c r="G15" s="11">
        <f>Tablo1456789101112131415161718192021222324252627282930313254[[#This Row],[ADET]]*Tablo1456789101112131415161718192021222324252627282930313254[[#This Row],[ALIŞ]]</f>
        <v>2300</v>
      </c>
      <c r="H15" s="11">
        <f>Tablo1456789101112131415161718192021222324252627282930313254[[#This Row],[ADET]]*Tablo1456789101112131415161718192021222324252627282930313254[[#This Row],[SATIŞ]]</f>
        <v>0</v>
      </c>
      <c r="J15" s="40">
        <f t="shared" si="0"/>
        <v>241.5</v>
      </c>
    </row>
    <row r="16" spans="2:18" ht="21" customHeight="1" x14ac:dyDescent="0.3">
      <c r="B16" s="2">
        <v>45362</v>
      </c>
      <c r="C16" s="6">
        <v>10</v>
      </c>
      <c r="D16" s="10">
        <v>215</v>
      </c>
      <c r="E16" s="10"/>
      <c r="F16" s="9" t="str">
        <f>IF(Tablo1456789101112131415161718192021222324252627282930313254[[#This Row],[SATIŞ]]=0,"Açık",(E16-D16)*C16)</f>
        <v>Açık</v>
      </c>
      <c r="G16" s="11">
        <f>Tablo1456789101112131415161718192021222324252627282930313254[[#This Row],[ADET]]*Tablo1456789101112131415161718192021222324252627282930313254[[#This Row],[ALIŞ]]</f>
        <v>2150</v>
      </c>
      <c r="H16" s="11">
        <f>Tablo1456789101112131415161718192021222324252627282930313254[[#This Row],[ADET]]*Tablo1456789101112131415161718192021222324252627282930313254[[#This Row],[SATIŞ]]</f>
        <v>0</v>
      </c>
      <c r="J16" s="40">
        <f t="shared" si="0"/>
        <v>225.75</v>
      </c>
    </row>
    <row r="17" spans="2:10" ht="21" customHeight="1" x14ac:dyDescent="0.3">
      <c r="B17" s="2">
        <v>45364</v>
      </c>
      <c r="C17" s="6">
        <v>10</v>
      </c>
      <c r="D17" s="10">
        <v>210</v>
      </c>
      <c r="E17" s="10"/>
      <c r="F17" s="9" t="str">
        <f>IF(Tablo1456789101112131415161718192021222324252627282930313254[[#This Row],[SATIŞ]]=0,"Açık",(E17-D17)*C17)</f>
        <v>Açık</v>
      </c>
      <c r="G17" s="11">
        <f>Tablo1456789101112131415161718192021222324252627282930313254[[#This Row],[ADET]]*Tablo1456789101112131415161718192021222324252627282930313254[[#This Row],[ALIŞ]]</f>
        <v>2100</v>
      </c>
      <c r="H17" s="11">
        <f>Tablo1456789101112131415161718192021222324252627282930313254[[#This Row],[ADET]]*Tablo1456789101112131415161718192021222324252627282930313254[[#This Row],[SATIŞ]]</f>
        <v>0</v>
      </c>
      <c r="J17" s="40">
        <f t="shared" si="0"/>
        <v>220.5</v>
      </c>
    </row>
    <row r="18" spans="2:10" ht="21" hidden="1" customHeight="1" x14ac:dyDescent="0.3">
      <c r="B18" s="2">
        <v>45369</v>
      </c>
      <c r="C18" s="6">
        <v>10</v>
      </c>
      <c r="D18" s="10">
        <v>202</v>
      </c>
      <c r="E18" s="10">
        <v>205</v>
      </c>
      <c r="F18" s="9">
        <f>IF(Tablo1456789101112131415161718192021222324252627282930313254[[#This Row],[SATIŞ]]=0,"Açık",(E18-D18)*C18)</f>
        <v>30</v>
      </c>
      <c r="G18" s="11">
        <f>Tablo1456789101112131415161718192021222324252627282930313254[[#This Row],[ADET]]*Tablo1456789101112131415161718192021222324252627282930313254[[#This Row],[ALIŞ]]</f>
        <v>2020</v>
      </c>
      <c r="H18" s="11">
        <f>Tablo1456789101112131415161718192021222324252627282930313254[[#This Row],[ADET]]*Tablo1456789101112131415161718192021222324252627282930313254[[#This Row],[SATIŞ]]</f>
        <v>2050</v>
      </c>
      <c r="J18" s="40" t="str">
        <f t="shared" si="0"/>
        <v/>
      </c>
    </row>
    <row r="19" spans="2:10" ht="21" hidden="1" customHeight="1" x14ac:dyDescent="0.3">
      <c r="B19" s="2">
        <v>45369</v>
      </c>
      <c r="C19" s="6">
        <v>10</v>
      </c>
      <c r="D19" s="10">
        <v>200</v>
      </c>
      <c r="E19" s="10">
        <v>205</v>
      </c>
      <c r="F19" s="9">
        <f>IF(Tablo1456789101112131415161718192021222324252627282930313254[[#This Row],[SATIŞ]]=0,"Açık",(E19-D19)*C19)</f>
        <v>50</v>
      </c>
      <c r="G19" s="11">
        <f>Tablo1456789101112131415161718192021222324252627282930313254[[#This Row],[ADET]]*Tablo1456789101112131415161718192021222324252627282930313254[[#This Row],[ALIŞ]]</f>
        <v>2000</v>
      </c>
      <c r="H19" s="11">
        <f>Tablo1456789101112131415161718192021222324252627282930313254[[#This Row],[ADET]]*Tablo1456789101112131415161718192021222324252627282930313254[[#This Row],[SATIŞ]]</f>
        <v>2050</v>
      </c>
      <c r="J19" s="40" t="str">
        <f t="shared" si="0"/>
        <v/>
      </c>
    </row>
    <row r="20" spans="2:10" ht="21" customHeight="1" x14ac:dyDescent="0.3">
      <c r="B20" s="2">
        <v>45369</v>
      </c>
      <c r="C20" s="6">
        <v>20</v>
      </c>
      <c r="D20" s="10">
        <v>200</v>
      </c>
      <c r="E20" s="10"/>
      <c r="F20" s="9" t="str">
        <f>IF(Tablo1456789101112131415161718192021222324252627282930313254[[#This Row],[SATIŞ]]=0,"Açık",(E20-D20)*C20)</f>
        <v>Açık</v>
      </c>
      <c r="G20" s="11">
        <f>Tablo1456789101112131415161718192021222324252627282930313254[[#This Row],[ADET]]*Tablo1456789101112131415161718192021222324252627282930313254[[#This Row],[ALIŞ]]</f>
        <v>4000</v>
      </c>
      <c r="H20" s="11">
        <f>Tablo1456789101112131415161718192021222324252627282930313254[[#This Row],[ADET]]*Tablo1456789101112131415161718192021222324252627282930313254[[#This Row],[SATIŞ]]</f>
        <v>0</v>
      </c>
      <c r="J20" s="40">
        <f t="shared" si="0"/>
        <v>210</v>
      </c>
    </row>
    <row r="21" spans="2:10" ht="21" customHeight="1" x14ac:dyDescent="0.3">
      <c r="B21" s="2">
        <v>45370</v>
      </c>
      <c r="C21" s="6">
        <v>10</v>
      </c>
      <c r="D21" s="10">
        <v>200</v>
      </c>
      <c r="E21" s="10"/>
      <c r="F21" s="9" t="str">
        <f>IF(Tablo1456789101112131415161718192021222324252627282930313254[[#This Row],[SATIŞ]]=0,"Açık",(E21-D21)*C21)</f>
        <v>Açık</v>
      </c>
      <c r="G21" s="11">
        <f>Tablo1456789101112131415161718192021222324252627282930313254[[#This Row],[ADET]]*Tablo1456789101112131415161718192021222324252627282930313254[[#This Row],[ALIŞ]]</f>
        <v>2000</v>
      </c>
      <c r="H21" s="11">
        <f>Tablo1456789101112131415161718192021222324252627282930313254[[#This Row],[ADET]]*Tablo1456789101112131415161718192021222324252627282930313254[[#This Row],[SATIŞ]]</f>
        <v>0</v>
      </c>
      <c r="J21" s="40">
        <f t="shared" si="0"/>
        <v>210</v>
      </c>
    </row>
    <row r="22" spans="2:10" ht="21" customHeight="1" x14ac:dyDescent="0.3">
      <c r="B22" s="2">
        <v>45372</v>
      </c>
      <c r="C22" s="6">
        <v>10</v>
      </c>
      <c r="D22" s="10">
        <v>200</v>
      </c>
      <c r="E22" s="10"/>
      <c r="F22" s="9" t="str">
        <f>IF(Tablo1456789101112131415161718192021222324252627282930313254[[#This Row],[SATIŞ]]=0,"Açık",(E22-D22)*C22)</f>
        <v>Açık</v>
      </c>
      <c r="G22" s="11">
        <f>Tablo1456789101112131415161718192021222324252627282930313254[[#This Row],[ADET]]*Tablo1456789101112131415161718192021222324252627282930313254[[#This Row],[ALIŞ]]</f>
        <v>2000</v>
      </c>
      <c r="H22" s="11">
        <f>Tablo1456789101112131415161718192021222324252627282930313254[[#This Row],[ADET]]*Tablo1456789101112131415161718192021222324252627282930313254[[#This Row],[SATIŞ]]</f>
        <v>0</v>
      </c>
      <c r="J22" s="40">
        <f t="shared" si="0"/>
        <v>210</v>
      </c>
    </row>
    <row r="23" spans="2:10" ht="21" customHeight="1" x14ac:dyDescent="0.3">
      <c r="B23" s="2">
        <v>45373</v>
      </c>
      <c r="C23" s="6">
        <v>10</v>
      </c>
      <c r="D23" s="10">
        <v>195</v>
      </c>
      <c r="E23" s="10"/>
      <c r="F23" s="9" t="str">
        <f>IF(Tablo1456789101112131415161718192021222324252627282930313254[[#This Row],[SATIŞ]]=0,"Açık",(E23-D23)*C23)</f>
        <v>Açık</v>
      </c>
      <c r="G23" s="11">
        <f>Tablo1456789101112131415161718192021222324252627282930313254[[#This Row],[ADET]]*Tablo1456789101112131415161718192021222324252627282930313254[[#This Row],[ALIŞ]]</f>
        <v>1950</v>
      </c>
      <c r="H23" s="11">
        <f>Tablo1456789101112131415161718192021222324252627282930313254[[#This Row],[ADET]]*Tablo1456789101112131415161718192021222324252627282930313254[[#This Row],[SATIŞ]]</f>
        <v>0</v>
      </c>
      <c r="J23" s="40">
        <f t="shared" si="0"/>
        <v>204.75</v>
      </c>
    </row>
    <row r="24" spans="2:10" ht="21" hidden="1" customHeight="1" x14ac:dyDescent="0.3">
      <c r="B24" s="2">
        <v>45376</v>
      </c>
      <c r="C24" s="6">
        <v>10</v>
      </c>
      <c r="D24" s="10">
        <v>188</v>
      </c>
      <c r="E24" s="10">
        <v>192</v>
      </c>
      <c r="F24" s="9">
        <f>IF(Tablo1456789101112131415161718192021222324252627282930313254[[#This Row],[SATIŞ]]=0,"Açık",(E24-D24)*C24)</f>
        <v>40</v>
      </c>
      <c r="G24" s="11">
        <f>Tablo1456789101112131415161718192021222324252627282930313254[[#This Row],[ADET]]*Tablo1456789101112131415161718192021222324252627282930313254[[#This Row],[ALIŞ]]</f>
        <v>1880</v>
      </c>
      <c r="H24" s="11">
        <f>Tablo1456789101112131415161718192021222324252627282930313254[[#This Row],[ADET]]*Tablo1456789101112131415161718192021222324252627282930313254[[#This Row],[SATIŞ]]</f>
        <v>1920</v>
      </c>
      <c r="J24" s="40" t="str">
        <f t="shared" si="0"/>
        <v/>
      </c>
    </row>
    <row r="25" spans="2:10" ht="21" hidden="1" customHeight="1" x14ac:dyDescent="0.3">
      <c r="B25" s="2">
        <v>45377</v>
      </c>
      <c r="C25" s="6">
        <v>10</v>
      </c>
      <c r="D25" s="10">
        <v>188</v>
      </c>
      <c r="E25" s="10">
        <v>193.4</v>
      </c>
      <c r="F25" s="9">
        <f>IF(Tablo1456789101112131415161718192021222324252627282930313254[[#This Row],[SATIŞ]]=0,"Açık",(E25-D25)*C25)</f>
        <v>54.000000000000057</v>
      </c>
      <c r="G25" s="11">
        <f>Tablo1456789101112131415161718192021222324252627282930313254[[#This Row],[ADET]]*Tablo1456789101112131415161718192021222324252627282930313254[[#This Row],[ALIŞ]]</f>
        <v>1880</v>
      </c>
      <c r="H25" s="11">
        <f>Tablo1456789101112131415161718192021222324252627282930313254[[#This Row],[ADET]]*Tablo1456789101112131415161718192021222324252627282930313254[[#This Row],[SATIŞ]]</f>
        <v>1934</v>
      </c>
      <c r="J25" s="40" t="str">
        <f t="shared" si="0"/>
        <v/>
      </c>
    </row>
    <row r="26" spans="2:10" ht="21" hidden="1" customHeight="1" x14ac:dyDescent="0.3">
      <c r="B26" s="2">
        <v>45377</v>
      </c>
      <c r="C26" s="6">
        <v>10</v>
      </c>
      <c r="D26" s="10">
        <v>187</v>
      </c>
      <c r="E26" s="10">
        <v>195</v>
      </c>
      <c r="F26" s="9">
        <f>IF(Tablo1456789101112131415161718192021222324252627282930313254[[#This Row],[SATIŞ]]=0,"Açık",(E26-D26)*C26)</f>
        <v>80</v>
      </c>
      <c r="G26" s="11">
        <f>Tablo1456789101112131415161718192021222324252627282930313254[[#This Row],[ADET]]*Tablo1456789101112131415161718192021222324252627282930313254[[#This Row],[ALIŞ]]</f>
        <v>1870</v>
      </c>
      <c r="H26" s="11">
        <f>Tablo1456789101112131415161718192021222324252627282930313254[[#This Row],[ADET]]*Tablo1456789101112131415161718192021222324252627282930313254[[#This Row],[SATIŞ]]</f>
        <v>1950</v>
      </c>
      <c r="J26" s="40" t="str">
        <f t="shared" si="0"/>
        <v/>
      </c>
    </row>
    <row r="27" spans="2:10" ht="21" hidden="1" customHeight="1" x14ac:dyDescent="0.3">
      <c r="B27" s="2">
        <v>45377</v>
      </c>
      <c r="C27" s="6">
        <v>10</v>
      </c>
      <c r="D27" s="10">
        <v>185</v>
      </c>
      <c r="E27" s="10">
        <v>194</v>
      </c>
      <c r="F27" s="9">
        <f>IF(Tablo1456789101112131415161718192021222324252627282930313254[[#This Row],[SATIŞ]]=0,"Açık",(E27-D27)*C27)</f>
        <v>90</v>
      </c>
      <c r="G27" s="11">
        <f>Tablo1456789101112131415161718192021222324252627282930313254[[#This Row],[ADET]]*Tablo1456789101112131415161718192021222324252627282930313254[[#This Row],[ALIŞ]]</f>
        <v>1850</v>
      </c>
      <c r="H27" s="11">
        <f>Tablo1456789101112131415161718192021222324252627282930313254[[#This Row],[ADET]]*Tablo1456789101112131415161718192021222324252627282930313254[[#This Row],[SATIŞ]]</f>
        <v>1940</v>
      </c>
      <c r="J27" s="40" t="str">
        <f t="shared" si="0"/>
        <v/>
      </c>
    </row>
    <row r="28" spans="2:10" ht="21" hidden="1" customHeight="1" x14ac:dyDescent="0.3">
      <c r="B28" s="2">
        <v>45377</v>
      </c>
      <c r="C28" s="6">
        <v>10</v>
      </c>
      <c r="D28" s="10">
        <v>182</v>
      </c>
      <c r="E28" s="10">
        <v>195.9</v>
      </c>
      <c r="F28" s="9">
        <f>IF(Tablo1456789101112131415161718192021222324252627282930313254[[#This Row],[SATIŞ]]=0,"Açık",(E28-D28)*C28)</f>
        <v>139.00000000000006</v>
      </c>
      <c r="G28" s="11">
        <f>Tablo1456789101112131415161718192021222324252627282930313254[[#This Row],[ADET]]*Tablo1456789101112131415161718192021222324252627282930313254[[#This Row],[ALIŞ]]</f>
        <v>1820</v>
      </c>
      <c r="H28" s="11">
        <f>Tablo1456789101112131415161718192021222324252627282930313254[[#This Row],[ADET]]*Tablo1456789101112131415161718192021222324252627282930313254[[#This Row],[SATIŞ]]</f>
        <v>1959</v>
      </c>
      <c r="J28" s="40" t="str">
        <f t="shared" si="0"/>
        <v/>
      </c>
    </row>
    <row r="29" spans="2:10" ht="21" hidden="1" customHeight="1" x14ac:dyDescent="0.3">
      <c r="B29" s="2">
        <v>45378</v>
      </c>
      <c r="C29" s="6">
        <v>10</v>
      </c>
      <c r="D29" s="10">
        <v>182.4</v>
      </c>
      <c r="E29" s="10">
        <v>192.3</v>
      </c>
      <c r="F29" s="9">
        <f>IF(Tablo1456789101112131415161718192021222324252627282930313254[[#This Row],[SATIŞ]]=0,"Açık",(E29-D29)*C29)</f>
        <v>99.000000000000057</v>
      </c>
      <c r="G29" s="11">
        <f>Tablo1456789101112131415161718192021222324252627282930313254[[#This Row],[ADET]]*Tablo1456789101112131415161718192021222324252627282930313254[[#This Row],[ALIŞ]]</f>
        <v>1824</v>
      </c>
      <c r="H29" s="11">
        <f>Tablo1456789101112131415161718192021222324252627282930313254[[#This Row],[ADET]]*Tablo1456789101112131415161718192021222324252627282930313254[[#This Row],[SATIŞ]]</f>
        <v>1923</v>
      </c>
      <c r="J29" s="40" t="str">
        <f t="shared" si="0"/>
        <v/>
      </c>
    </row>
    <row r="30" spans="2:10" ht="21" hidden="1" customHeight="1" x14ac:dyDescent="0.3">
      <c r="B30" s="2">
        <v>45383</v>
      </c>
      <c r="C30" s="6">
        <v>10</v>
      </c>
      <c r="D30" s="10">
        <v>187</v>
      </c>
      <c r="E30" s="10">
        <v>196</v>
      </c>
      <c r="F30" s="9">
        <f>IF(Tablo1456789101112131415161718192021222324252627282930313254[[#This Row],[SATIŞ]]=0,"Açık",(E30-D30)*C30)</f>
        <v>90</v>
      </c>
      <c r="G30" s="11">
        <f>Tablo1456789101112131415161718192021222324252627282930313254[[#This Row],[ADET]]*Tablo1456789101112131415161718192021222324252627282930313254[[#This Row],[ALIŞ]]</f>
        <v>1870</v>
      </c>
      <c r="H30" s="11">
        <f>Tablo1456789101112131415161718192021222324252627282930313254[[#This Row],[ADET]]*Tablo1456789101112131415161718192021222324252627282930313254[[#This Row],[SATIŞ]]</f>
        <v>1960</v>
      </c>
      <c r="J30" s="40" t="str">
        <f t="shared" si="0"/>
        <v/>
      </c>
    </row>
    <row r="31" spans="2:10" ht="21" customHeight="1" x14ac:dyDescent="0.3">
      <c r="B31" s="2">
        <v>45384</v>
      </c>
      <c r="C31" s="6">
        <v>10</v>
      </c>
      <c r="D31" s="10">
        <v>193</v>
      </c>
      <c r="E31" s="10"/>
      <c r="F31" s="9" t="str">
        <f>IF(Tablo1456789101112131415161718192021222324252627282930313254[[#This Row],[SATIŞ]]=0,"Açık",(E31-D31)*C31)</f>
        <v>Açık</v>
      </c>
      <c r="G31" s="11">
        <f>Tablo1456789101112131415161718192021222324252627282930313254[[#This Row],[ADET]]*Tablo1456789101112131415161718192021222324252627282930313254[[#This Row],[ALIŞ]]</f>
        <v>1930</v>
      </c>
      <c r="H31" s="11">
        <f>Tablo1456789101112131415161718192021222324252627282930313254[[#This Row],[ADET]]*Tablo1456789101112131415161718192021222324252627282930313254[[#This Row],[SATIŞ]]</f>
        <v>0</v>
      </c>
      <c r="J31" s="40">
        <f t="shared" si="0"/>
        <v>202.65</v>
      </c>
    </row>
    <row r="32" spans="2:10" ht="21" customHeight="1" x14ac:dyDescent="0.3">
      <c r="B32" s="2">
        <v>45384</v>
      </c>
      <c r="C32" s="6">
        <v>10</v>
      </c>
      <c r="D32" s="10">
        <v>191</v>
      </c>
      <c r="E32" s="10"/>
      <c r="F32" s="9" t="str">
        <f>IF(Tablo1456789101112131415161718192021222324252627282930313254[[#This Row],[SATIŞ]]=0,"Açık",(E32-D32)*C32)</f>
        <v>Açık</v>
      </c>
      <c r="G32" s="11">
        <f>Tablo1456789101112131415161718192021222324252627282930313254[[#This Row],[ADET]]*Tablo1456789101112131415161718192021222324252627282930313254[[#This Row],[ALIŞ]]</f>
        <v>1910</v>
      </c>
      <c r="H32" s="11">
        <f>Tablo1456789101112131415161718192021222324252627282930313254[[#This Row],[ADET]]*Tablo1456789101112131415161718192021222324252627282930313254[[#This Row],[SATIŞ]]</f>
        <v>0</v>
      </c>
      <c r="J32" s="40">
        <f t="shared" si="0"/>
        <v>200.55</v>
      </c>
    </row>
    <row r="33" spans="2:10" ht="21" hidden="1" customHeight="1" x14ac:dyDescent="0.3">
      <c r="B33" s="2">
        <v>45384</v>
      </c>
      <c r="C33" s="6">
        <v>10</v>
      </c>
      <c r="D33" s="10">
        <v>189</v>
      </c>
      <c r="E33" s="10">
        <v>195.2</v>
      </c>
      <c r="F33" s="9">
        <f>IF(Tablo1456789101112131415161718192021222324252627282930313254[[#This Row],[SATIŞ]]=0,"Açık",(E33-D33)*C33)</f>
        <v>61.999999999999886</v>
      </c>
      <c r="G33" s="11">
        <f>Tablo1456789101112131415161718192021222324252627282930313254[[#This Row],[ADET]]*Tablo1456789101112131415161718192021222324252627282930313254[[#This Row],[ALIŞ]]</f>
        <v>1890</v>
      </c>
      <c r="H33" s="11">
        <f>Tablo1456789101112131415161718192021222324252627282930313254[[#This Row],[ADET]]*Tablo1456789101112131415161718192021222324252627282930313254[[#This Row],[SATIŞ]]</f>
        <v>1952</v>
      </c>
      <c r="J33" s="40" t="str">
        <f t="shared" si="0"/>
        <v/>
      </c>
    </row>
    <row r="34" spans="2:10" ht="21" hidden="1" customHeight="1" x14ac:dyDescent="0.3">
      <c r="B34" s="2">
        <v>45384</v>
      </c>
      <c r="C34" s="6">
        <v>10</v>
      </c>
      <c r="D34" s="10">
        <v>185</v>
      </c>
      <c r="E34" s="10">
        <v>187.3</v>
      </c>
      <c r="F34" s="9">
        <f>IF(Tablo1456789101112131415161718192021222324252627282930313254[[#This Row],[SATIŞ]]=0,"Açık",(E34-D34)*C34)</f>
        <v>23.000000000000114</v>
      </c>
      <c r="G34" s="11">
        <f>Tablo1456789101112131415161718192021222324252627282930313254[[#This Row],[ADET]]*Tablo1456789101112131415161718192021222324252627282930313254[[#This Row],[ALIŞ]]</f>
        <v>1850</v>
      </c>
      <c r="H34" s="11">
        <f>Tablo1456789101112131415161718192021222324252627282930313254[[#This Row],[ADET]]*Tablo1456789101112131415161718192021222324252627282930313254[[#This Row],[SATIŞ]]</f>
        <v>1873</v>
      </c>
      <c r="J34" s="40" t="str">
        <f t="shared" si="0"/>
        <v/>
      </c>
    </row>
    <row r="35" spans="2:10" ht="21" customHeight="1" x14ac:dyDescent="0.3">
      <c r="B35" s="2">
        <v>45390</v>
      </c>
      <c r="C35" s="6">
        <v>10</v>
      </c>
      <c r="D35" s="10">
        <v>190</v>
      </c>
      <c r="E35" s="10"/>
      <c r="F35" s="9" t="str">
        <f>IF(Tablo1456789101112131415161718192021222324252627282930313254[[#This Row],[SATIŞ]]=0,"Açık",(E35-D35)*C35)</f>
        <v>Açık</v>
      </c>
      <c r="G35" s="11">
        <f>Tablo1456789101112131415161718192021222324252627282930313254[[#This Row],[ADET]]*Tablo1456789101112131415161718192021222324252627282930313254[[#This Row],[ALIŞ]]</f>
        <v>1900</v>
      </c>
      <c r="H35" s="11">
        <f>Tablo1456789101112131415161718192021222324252627282930313254[[#This Row],[ADET]]*Tablo1456789101112131415161718192021222324252627282930313254[[#This Row],[SATIŞ]]</f>
        <v>0</v>
      </c>
    </row>
    <row r="36" spans="2:10" ht="21" customHeight="1" x14ac:dyDescent="0.3">
      <c r="B36" s="2">
        <v>45390</v>
      </c>
      <c r="C36" s="6">
        <v>100</v>
      </c>
      <c r="D36" s="10">
        <v>178.5</v>
      </c>
      <c r="E36" s="10"/>
      <c r="F36" s="9" t="str">
        <f>IF(Tablo1456789101112131415161718192021222324252627282930313254[[#This Row],[SATIŞ]]=0,"Açık",(E36-D36)*C36)</f>
        <v>Açık</v>
      </c>
      <c r="G36" s="11">
        <f>Tablo1456789101112131415161718192021222324252627282930313254[[#This Row],[ADET]]*Tablo1456789101112131415161718192021222324252627282930313254[[#This Row],[ALIŞ]]</f>
        <v>17850</v>
      </c>
      <c r="H36" s="11">
        <f>Tablo1456789101112131415161718192021222324252627282930313254[[#This Row],[ADET]]*Tablo1456789101112131415161718192021222324252627282930313254[[#This Row],[SATIŞ]]</f>
        <v>0</v>
      </c>
    </row>
    <row r="37" spans="2:10" ht="21" hidden="1" customHeight="1" x14ac:dyDescent="0.3">
      <c r="B37" s="2">
        <v>45390</v>
      </c>
      <c r="C37" s="6">
        <v>10</v>
      </c>
      <c r="D37" s="10">
        <v>178</v>
      </c>
      <c r="E37" s="10">
        <v>179</v>
      </c>
      <c r="F37" s="9">
        <f>IF(Tablo1456789101112131415161718192021222324252627282930313254[[#This Row],[SATIŞ]]=0,"Açık",(E37-D37)*C37)</f>
        <v>10</v>
      </c>
      <c r="G37" s="11">
        <f>Tablo1456789101112131415161718192021222324252627282930313254[[#This Row],[ADET]]*Tablo1456789101112131415161718192021222324252627282930313254[[#This Row],[ALIŞ]]</f>
        <v>1780</v>
      </c>
      <c r="H37" s="11">
        <f>Tablo1456789101112131415161718192021222324252627282930313254[[#This Row],[ADET]]*Tablo1456789101112131415161718192021222324252627282930313254[[#This Row],[SATIŞ]]</f>
        <v>1790</v>
      </c>
    </row>
    <row r="38" spans="2:10" ht="21" customHeight="1" x14ac:dyDescent="0.3">
      <c r="B38" s="2">
        <v>45390</v>
      </c>
      <c r="C38" s="6">
        <v>90</v>
      </c>
      <c r="D38" s="10">
        <v>178</v>
      </c>
      <c r="E38" s="10"/>
      <c r="F38" s="9" t="str">
        <f>IF(Tablo1456789101112131415161718192021222324252627282930313254[[#This Row],[SATIŞ]]=0,"Açık",(E38-D38)*C38)</f>
        <v>Açık</v>
      </c>
      <c r="G38" s="11">
        <f>Tablo1456789101112131415161718192021222324252627282930313254[[#This Row],[ADET]]*Tablo1456789101112131415161718192021222324252627282930313254[[#This Row],[ALIŞ]]</f>
        <v>16020</v>
      </c>
      <c r="H38" s="11">
        <f>Tablo1456789101112131415161718192021222324252627282930313254[[#This Row],[ADET]]*Tablo1456789101112131415161718192021222324252627282930313254[[#This Row],[SATIŞ]]</f>
        <v>0</v>
      </c>
    </row>
    <row r="39" spans="2:10" ht="21" hidden="1" customHeight="1" x14ac:dyDescent="0.3">
      <c r="B39" s="2">
        <v>45390</v>
      </c>
      <c r="C39" s="6">
        <v>10</v>
      </c>
      <c r="D39" s="10">
        <v>177</v>
      </c>
      <c r="E39" s="10">
        <v>178</v>
      </c>
      <c r="F39" s="9">
        <f>IF(Tablo1456789101112131415161718192021222324252627282930313254[[#This Row],[SATIŞ]]=0,"Açık",(E39-D39)*C39)</f>
        <v>10</v>
      </c>
      <c r="G39" s="11">
        <f>Tablo1456789101112131415161718192021222324252627282930313254[[#This Row],[ADET]]*Tablo1456789101112131415161718192021222324252627282930313254[[#This Row],[ALIŞ]]</f>
        <v>1770</v>
      </c>
      <c r="H39" s="11">
        <f>Tablo1456789101112131415161718192021222324252627282930313254[[#This Row],[ADET]]*Tablo1456789101112131415161718192021222324252627282930313254[[#This Row],[SATIŞ]]</f>
        <v>1780</v>
      </c>
    </row>
    <row r="40" spans="2:10" ht="21" customHeight="1" x14ac:dyDescent="0.3">
      <c r="B40" s="2">
        <v>45390</v>
      </c>
      <c r="C40" s="6">
        <v>90</v>
      </c>
      <c r="D40" s="10">
        <v>177</v>
      </c>
      <c r="E40" s="10"/>
      <c r="F40" s="9" t="str">
        <f>IF(Tablo1456789101112131415161718192021222324252627282930313254[[#This Row],[SATIŞ]]=0,"Açık",(E40-D40)*C40)</f>
        <v>Açık</v>
      </c>
      <c r="G40" s="11">
        <f>Tablo1456789101112131415161718192021222324252627282930313254[[#This Row],[ADET]]*Tablo1456789101112131415161718192021222324252627282930313254[[#This Row],[ALIŞ]]</f>
        <v>15930</v>
      </c>
      <c r="H40" s="11">
        <f>Tablo1456789101112131415161718192021222324252627282930313254[[#This Row],[ADET]]*Tablo1456789101112131415161718192021222324252627282930313254[[#This Row],[SATIŞ]]</f>
        <v>0</v>
      </c>
    </row>
    <row r="41" spans="2:10" ht="21" hidden="1" customHeight="1" x14ac:dyDescent="0.3">
      <c r="B41" s="2">
        <v>45397</v>
      </c>
      <c r="C41" s="6">
        <v>10</v>
      </c>
      <c r="D41" s="10">
        <v>165.9</v>
      </c>
      <c r="E41" s="10">
        <v>174</v>
      </c>
      <c r="F41" s="9">
        <f>IF(Tablo1456789101112131415161718192021222324252627282930313254[[#This Row],[SATIŞ]]=0,"Açık",(E41-D41)*C41)</f>
        <v>80.999999999999943</v>
      </c>
      <c r="G41" s="11">
        <f>Tablo1456789101112131415161718192021222324252627282930313254[[#This Row],[ADET]]*Tablo1456789101112131415161718192021222324252627282930313254[[#This Row],[ALIŞ]]</f>
        <v>1659</v>
      </c>
      <c r="H41" s="11">
        <f>Tablo1456789101112131415161718192021222324252627282930313254[[#This Row],[ADET]]*Tablo1456789101112131415161718192021222324252627282930313254[[#This Row],[SATIŞ]]</f>
        <v>1740</v>
      </c>
    </row>
    <row r="42" spans="2:10" ht="21" hidden="1" customHeight="1" x14ac:dyDescent="0.3">
      <c r="B42" s="2">
        <v>45397</v>
      </c>
      <c r="C42" s="6">
        <v>10</v>
      </c>
      <c r="D42" s="10">
        <v>165.9</v>
      </c>
      <c r="E42" s="10">
        <v>173</v>
      </c>
      <c r="F42" s="9">
        <f>IF(Tablo1456789101112131415161718192021222324252627282930313254[[#This Row],[SATIŞ]]=0,"Açık",(E42-D42)*C42)</f>
        <v>70.999999999999943</v>
      </c>
      <c r="G42" s="11">
        <f>Tablo1456789101112131415161718192021222324252627282930313254[[#This Row],[ADET]]*Tablo1456789101112131415161718192021222324252627282930313254[[#This Row],[ALIŞ]]</f>
        <v>1659</v>
      </c>
      <c r="H42" s="11">
        <f>Tablo1456789101112131415161718192021222324252627282930313254[[#This Row],[ADET]]*Tablo1456789101112131415161718192021222324252627282930313254[[#This Row],[SATIŞ]]</f>
        <v>1730</v>
      </c>
    </row>
    <row r="43" spans="2:10" ht="21" hidden="1" customHeight="1" x14ac:dyDescent="0.3">
      <c r="B43" s="2">
        <v>45397</v>
      </c>
      <c r="C43" s="6">
        <v>10</v>
      </c>
      <c r="D43" s="10">
        <v>165.9</v>
      </c>
      <c r="E43" s="10">
        <v>172</v>
      </c>
      <c r="F43" s="9">
        <f>IF(Tablo1456789101112131415161718192021222324252627282930313254[[#This Row],[SATIŞ]]=0,"Açık",(E43-D43)*C43)</f>
        <v>60.999999999999943</v>
      </c>
      <c r="G43" s="11">
        <f>Tablo1456789101112131415161718192021222324252627282930313254[[#This Row],[ADET]]*Tablo1456789101112131415161718192021222324252627282930313254[[#This Row],[ALIŞ]]</f>
        <v>1659</v>
      </c>
      <c r="H43" s="11">
        <f>Tablo1456789101112131415161718192021222324252627282930313254[[#This Row],[ADET]]*Tablo1456789101112131415161718192021222324252627282930313254[[#This Row],[SATIŞ]]</f>
        <v>1720</v>
      </c>
    </row>
    <row r="44" spans="2:10" ht="21" hidden="1" customHeight="1" x14ac:dyDescent="0.3">
      <c r="B44" s="2">
        <v>45397</v>
      </c>
      <c r="C44" s="6">
        <v>10</v>
      </c>
      <c r="D44" s="10">
        <v>165.9</v>
      </c>
      <c r="E44" s="10">
        <v>171</v>
      </c>
      <c r="F44" s="9">
        <f>IF(Tablo1456789101112131415161718192021222324252627282930313254[[#This Row],[SATIŞ]]=0,"Açık",(E44-D44)*C44)</f>
        <v>50.999999999999943</v>
      </c>
      <c r="G44" s="11">
        <f>Tablo1456789101112131415161718192021222324252627282930313254[[#This Row],[ADET]]*Tablo1456789101112131415161718192021222324252627282930313254[[#This Row],[ALIŞ]]</f>
        <v>1659</v>
      </c>
      <c r="H44" s="11">
        <f>Tablo1456789101112131415161718192021222324252627282930313254[[#This Row],[ADET]]*Tablo1456789101112131415161718192021222324252627282930313254[[#This Row],[SATIŞ]]</f>
        <v>1710</v>
      </c>
    </row>
    <row r="45" spans="2:10" ht="21" hidden="1" customHeight="1" x14ac:dyDescent="0.3">
      <c r="B45" s="2">
        <v>45397</v>
      </c>
      <c r="C45" s="6">
        <v>10</v>
      </c>
      <c r="D45" s="10">
        <v>165.9</v>
      </c>
      <c r="E45" s="10">
        <v>170</v>
      </c>
      <c r="F45" s="9">
        <f>IF(Tablo1456789101112131415161718192021222324252627282930313254[[#This Row],[SATIŞ]]=0,"Açık",(E45-D45)*C45)</f>
        <v>40.999999999999943</v>
      </c>
      <c r="G45" s="11">
        <f>Tablo1456789101112131415161718192021222324252627282930313254[[#This Row],[ADET]]*Tablo1456789101112131415161718192021222324252627282930313254[[#This Row],[ALIŞ]]</f>
        <v>1659</v>
      </c>
      <c r="H45" s="11">
        <f>Tablo1456789101112131415161718192021222324252627282930313254[[#This Row],[ADET]]*Tablo1456789101112131415161718192021222324252627282930313254[[#This Row],[SATIŞ]]</f>
        <v>1700</v>
      </c>
    </row>
    <row r="46" spans="2:10" ht="21" hidden="1" customHeight="1" x14ac:dyDescent="0.3">
      <c r="B46" s="2">
        <v>45398</v>
      </c>
      <c r="C46" s="6">
        <v>10</v>
      </c>
      <c r="D46" s="10">
        <v>170</v>
      </c>
      <c r="E46" s="10">
        <v>172.5</v>
      </c>
      <c r="F46" s="9">
        <f>IF(Tablo1456789101112131415161718192021222324252627282930313254[[#This Row],[SATIŞ]]=0,"Açık",(E46-D46)*C46)</f>
        <v>25</v>
      </c>
      <c r="G46" s="11">
        <f>Tablo1456789101112131415161718192021222324252627282930313254[[#This Row],[ADET]]*Tablo1456789101112131415161718192021222324252627282930313254[[#This Row],[ALIŞ]]</f>
        <v>1700</v>
      </c>
      <c r="H46" s="11">
        <f>Tablo1456789101112131415161718192021222324252627282930313254[[#This Row],[ADET]]*Tablo1456789101112131415161718192021222324252627282930313254[[#This Row],[SATIŞ]]</f>
        <v>1725</v>
      </c>
    </row>
    <row r="47" spans="2:10" ht="21" hidden="1" customHeight="1" x14ac:dyDescent="0.3">
      <c r="B47" s="2">
        <v>45398</v>
      </c>
      <c r="C47" s="6">
        <v>10</v>
      </c>
      <c r="D47" s="10">
        <v>170</v>
      </c>
      <c r="E47" s="10">
        <v>171.5</v>
      </c>
      <c r="F47" s="9">
        <f>IF(Tablo1456789101112131415161718192021222324252627282930313254[[#This Row],[SATIŞ]]=0,"Açık",(E47-D47)*C47)</f>
        <v>15</v>
      </c>
      <c r="G47" s="11">
        <f>Tablo1456789101112131415161718192021222324252627282930313254[[#This Row],[ADET]]*Tablo1456789101112131415161718192021222324252627282930313254[[#This Row],[ALIŞ]]</f>
        <v>1700</v>
      </c>
      <c r="H47" s="11">
        <f>Tablo1456789101112131415161718192021222324252627282930313254[[#This Row],[ADET]]*Tablo1456789101112131415161718192021222324252627282930313254[[#This Row],[SATIŞ]]</f>
        <v>1715</v>
      </c>
    </row>
    <row r="48" spans="2:10" ht="21" hidden="1" customHeight="1" x14ac:dyDescent="0.3">
      <c r="B48" s="2">
        <v>45398</v>
      </c>
      <c r="C48" s="6">
        <v>10</v>
      </c>
      <c r="D48" s="10">
        <v>170</v>
      </c>
      <c r="E48" s="10">
        <v>173</v>
      </c>
      <c r="F48" s="9">
        <f>IF(Tablo1456789101112131415161718192021222324252627282930313254[[#This Row],[SATIŞ]]=0,"Açık",(E48-D48)*C48)</f>
        <v>30</v>
      </c>
      <c r="G48" s="11">
        <f>Tablo1456789101112131415161718192021222324252627282930313254[[#This Row],[ADET]]*Tablo1456789101112131415161718192021222324252627282930313254[[#This Row],[ALIŞ]]</f>
        <v>1700</v>
      </c>
      <c r="H48" s="11">
        <f>Tablo1456789101112131415161718192021222324252627282930313254[[#This Row],[ADET]]*Tablo1456789101112131415161718192021222324252627282930313254[[#This Row],[SATIŞ]]</f>
        <v>1730</v>
      </c>
    </row>
    <row r="49" spans="2:8" ht="21" hidden="1" customHeight="1" x14ac:dyDescent="0.3">
      <c r="B49" s="2">
        <v>45398</v>
      </c>
      <c r="C49" s="6">
        <v>20</v>
      </c>
      <c r="D49" s="10">
        <v>170</v>
      </c>
      <c r="E49" s="10">
        <v>175</v>
      </c>
      <c r="F49" s="9">
        <f>IF(Tablo1456789101112131415161718192021222324252627282930313254[[#This Row],[SATIŞ]]=0,"Açık",(E49-D49)*C49)</f>
        <v>100</v>
      </c>
      <c r="G49" s="11">
        <f>Tablo1456789101112131415161718192021222324252627282930313254[[#This Row],[ADET]]*Tablo1456789101112131415161718192021222324252627282930313254[[#This Row],[ALIŞ]]</f>
        <v>3400</v>
      </c>
      <c r="H49" s="11">
        <f>Tablo1456789101112131415161718192021222324252627282930313254[[#This Row],[ADET]]*Tablo1456789101112131415161718192021222324252627282930313254[[#This Row],[SATIŞ]]</f>
        <v>3500</v>
      </c>
    </row>
    <row r="50" spans="2:8" ht="21" hidden="1" customHeight="1" x14ac:dyDescent="0.3">
      <c r="B50" s="2">
        <v>45398</v>
      </c>
      <c r="C50" s="6">
        <v>50</v>
      </c>
      <c r="D50" s="10">
        <v>170</v>
      </c>
      <c r="E50" s="10">
        <v>175</v>
      </c>
      <c r="F50" s="9">
        <f>IF(Tablo1456789101112131415161718192021222324252627282930313254[[#This Row],[SATIŞ]]=0,"Açık",(E50-D50)*C50)</f>
        <v>250</v>
      </c>
      <c r="G50" s="11">
        <f>Tablo1456789101112131415161718192021222324252627282930313254[[#This Row],[ADET]]*Tablo1456789101112131415161718192021222324252627282930313254[[#This Row],[ALIŞ]]</f>
        <v>8500</v>
      </c>
      <c r="H50" s="11">
        <f>Tablo1456789101112131415161718192021222324252627282930313254[[#This Row],[ADET]]*Tablo1456789101112131415161718192021222324252627282930313254[[#This Row],[SATIŞ]]</f>
        <v>8750</v>
      </c>
    </row>
    <row r="51" spans="2:8" ht="21" hidden="1" customHeight="1" x14ac:dyDescent="0.3">
      <c r="B51" s="2">
        <v>45399</v>
      </c>
      <c r="C51" s="6">
        <v>10</v>
      </c>
      <c r="D51" s="10">
        <v>168</v>
      </c>
      <c r="E51" s="10">
        <v>172.1</v>
      </c>
      <c r="F51" s="9">
        <f>IF(Tablo1456789101112131415161718192021222324252627282930313254[[#This Row],[SATIŞ]]=0,"Açık",(E51-D51)*C51)</f>
        <v>40.999999999999943</v>
      </c>
      <c r="G51" s="11">
        <f>Tablo1456789101112131415161718192021222324252627282930313254[[#This Row],[ADET]]*Tablo1456789101112131415161718192021222324252627282930313254[[#This Row],[ALIŞ]]</f>
        <v>1680</v>
      </c>
      <c r="H51" s="11">
        <f>Tablo1456789101112131415161718192021222324252627282930313254[[#This Row],[ADET]]*Tablo1456789101112131415161718192021222324252627282930313254[[#This Row],[SATIŞ]]</f>
        <v>1721</v>
      </c>
    </row>
    <row r="52" spans="2:8" ht="21" hidden="1" customHeight="1" x14ac:dyDescent="0.3">
      <c r="B52" s="2">
        <v>45399</v>
      </c>
      <c r="C52" s="6">
        <v>10</v>
      </c>
      <c r="D52" s="10">
        <v>167</v>
      </c>
      <c r="E52" s="10">
        <v>170</v>
      </c>
      <c r="F52" s="9">
        <f>IF(Tablo1456789101112131415161718192021222324252627282930313254[[#This Row],[SATIŞ]]=0,"Açık",(E52-D52)*C52)</f>
        <v>30</v>
      </c>
      <c r="G52" s="11">
        <f>Tablo1456789101112131415161718192021222324252627282930313254[[#This Row],[ADET]]*Tablo1456789101112131415161718192021222324252627282930313254[[#This Row],[ALIŞ]]</f>
        <v>1670</v>
      </c>
      <c r="H52" s="11">
        <f>Tablo1456789101112131415161718192021222324252627282930313254[[#This Row],[ADET]]*Tablo1456789101112131415161718192021222324252627282930313254[[#This Row],[SATIŞ]]</f>
        <v>1700</v>
      </c>
    </row>
    <row r="53" spans="2:8" ht="21" hidden="1" customHeight="1" x14ac:dyDescent="0.3">
      <c r="B53" s="2">
        <v>45399</v>
      </c>
      <c r="C53" s="6">
        <v>10</v>
      </c>
      <c r="D53" s="10">
        <v>167</v>
      </c>
      <c r="E53" s="10">
        <v>172.1</v>
      </c>
      <c r="F53" s="9">
        <f>IF(Tablo1456789101112131415161718192021222324252627282930313254[[#This Row],[SATIŞ]]=0,"Açık",(E53-D53)*C53)</f>
        <v>50.999999999999943</v>
      </c>
      <c r="G53" s="11">
        <f>Tablo1456789101112131415161718192021222324252627282930313254[[#This Row],[ADET]]*Tablo1456789101112131415161718192021222324252627282930313254[[#This Row],[ALIŞ]]</f>
        <v>1670</v>
      </c>
      <c r="H53" s="11">
        <f>Tablo1456789101112131415161718192021222324252627282930313254[[#This Row],[ADET]]*Tablo1456789101112131415161718192021222324252627282930313254[[#This Row],[SATIŞ]]</f>
        <v>1721</v>
      </c>
    </row>
  </sheetData>
  <conditionalFormatting sqref="B4:F53">
    <cfRule type="expression" dxfId="86" priority="1">
      <formula>$F4&lt;0</formula>
    </cfRule>
    <cfRule type="expression" dxfId="85" priority="2">
      <formula>$F4="Açık"</formula>
    </cfRule>
    <cfRule type="expression" dxfId="84" priority="3">
      <formula>$F4&gt;0</formula>
    </cfRule>
  </conditionalFormatting>
  <hyperlinks>
    <hyperlink ref="B1" location="İcmal!A1" display="ANA SAYFA" xr:uid="{C7E2A53D-B256-4C32-9E95-D3D3FC04A8FB}"/>
  </hyperlinks>
  <pageMargins left="0.7" right="0.7" top="0.75" bottom="0.75" header="0.3" footer="0.3"/>
  <tableParts count="1">
    <tablePart r:id="rId1"/>
  </tablePart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2622A-1E1F-4D0B-A48D-BA9153038C1E}">
  <dimension ref="B1:R52"/>
  <sheetViews>
    <sheetView showGridLines="0" showZeros="0" zoomScale="115" zoomScaleNormal="115" workbookViewId="0">
      <pane ySplit="3" topLeftCell="A30" activePane="bottomLeft" state="frozen"/>
      <selection pane="bottomLeft" activeCell="E53" sqref="E53"/>
    </sheetView>
  </sheetViews>
  <sheetFormatPr defaultRowHeight="21" customHeight="1" x14ac:dyDescent="0.3"/>
  <cols>
    <col min="2" max="2" width="20.6640625" style="1" customWidth="1"/>
    <col min="3" max="3" width="11.33203125" style="6" customWidth="1"/>
    <col min="4" max="5" width="12.88671875" style="3" customWidth="1"/>
    <col min="6" max="6" width="12.88671875" style="5" customWidth="1"/>
    <col min="7" max="8" width="14.44140625" bestFit="1" customWidth="1"/>
    <col min="10" max="12" width="12.44140625" customWidth="1"/>
    <col min="13" max="13" width="14.44140625" bestFit="1" customWidth="1"/>
    <col min="14" max="14" width="12" bestFit="1" customWidth="1"/>
  </cols>
  <sheetData>
    <row r="1" spans="2:18" ht="21" customHeight="1" x14ac:dyDescent="0.3">
      <c r="B1" s="12" t="s">
        <v>64</v>
      </c>
      <c r="C1" s="4">
        <f>SUMIF(Tablo145678910111213141516171819202122232425262728293031[KAR],"Açık",Tablo145678910111213141516171819202122232425262728293031[ADET])</f>
        <v>450</v>
      </c>
      <c r="D1" s="10">
        <f>+İcmal!E43</f>
        <v>70.3</v>
      </c>
      <c r="E1" s="10">
        <f>C1*D1</f>
        <v>31635</v>
      </c>
      <c r="F1" s="10">
        <f>IFERROR(((SUM(Tablo145678910111213141516171819202122232425262728293031[ALIŞ TUTAR])-SUM(Tablo145678910111213141516171819202122232425262728293031[SATIŞ TUTAR]))/C1),"")</f>
        <v>65.811035822222735</v>
      </c>
      <c r="G1" s="10">
        <f>IF(M3=0,L3,C1*(D1-F1))</f>
        <v>2020.033879999768</v>
      </c>
      <c r="J1" s="45" t="s">
        <v>94</v>
      </c>
      <c r="K1" s="45" t="s">
        <v>95</v>
      </c>
      <c r="L1" s="45" t="s">
        <v>96</v>
      </c>
      <c r="M1" s="33">
        <f>F1</f>
        <v>65.811035822222735</v>
      </c>
      <c r="N1" s="8" t="e">
        <f>M1*(1+$J$1)</f>
        <v>#VALUE!</v>
      </c>
      <c r="P1" s="8" t="e">
        <f>Q1*(1-$J$1)</f>
        <v>#VALUE!</v>
      </c>
      <c r="Q1" s="33">
        <f>+D1</f>
        <v>70.3</v>
      </c>
      <c r="R1" s="8" t="e">
        <f>Q1*(1+$J$1)</f>
        <v>#VALUE!</v>
      </c>
    </row>
    <row r="2" spans="2:18" ht="21" customHeight="1" x14ac:dyDescent="0.3">
      <c r="B2" s="7" t="s">
        <v>40</v>
      </c>
      <c r="J2" s="45">
        <f>SUMIFS(Tablo2[HEDEF2],Tablo2[HİSSE],B2)</f>
        <v>1000</v>
      </c>
      <c r="K2" s="45">
        <f>+E1/İcmal!$P$2</f>
        <v>972.48693513679677</v>
      </c>
      <c r="L2" s="45">
        <f>+J2-K2</f>
        <v>27.513064863203226</v>
      </c>
    </row>
    <row r="3" spans="2:18" ht="21" customHeight="1" x14ac:dyDescent="0.3">
      <c r="B3" s="1" t="s">
        <v>0</v>
      </c>
      <c r="C3" s="6" t="s">
        <v>4</v>
      </c>
      <c r="D3" s="3" t="s">
        <v>1</v>
      </c>
      <c r="E3" s="3" t="s">
        <v>3</v>
      </c>
      <c r="F3" s="5" t="s">
        <v>2</v>
      </c>
      <c r="G3" s="3" t="s">
        <v>8</v>
      </c>
      <c r="H3" s="3" t="s">
        <v>9</v>
      </c>
      <c r="L3">
        <f>+SUM(Tablo145678910111213141516171819202122232425262728293031[KAR])</f>
        <v>3395.0338799998776</v>
      </c>
      <c r="M3" s="37">
        <f>+C1</f>
        <v>450</v>
      </c>
    </row>
    <row r="4" spans="2:18" ht="21" hidden="1" customHeight="1" x14ac:dyDescent="0.3">
      <c r="B4" s="2">
        <v>45291</v>
      </c>
      <c r="C4" s="6">
        <v>32707</v>
      </c>
      <c r="D4" s="10">
        <v>57.611350000000002</v>
      </c>
      <c r="E4" s="10">
        <v>57.603189999999998</v>
      </c>
      <c r="F4" s="9">
        <f>IF(Tablo145678910111213141516171819202122232425262728293031[[#This Row],[SATIŞ]]=0,"Açık",(E4-D4)*C4)</f>
        <v>-266.88912000012169</v>
      </c>
      <c r="G4" s="11">
        <f>Tablo145678910111213141516171819202122232425262728293031[[#This Row],[ADET]]*Tablo145678910111213141516171819202122232425262728293031[[#This Row],[ALIŞ]]</f>
        <v>1884294.42445</v>
      </c>
      <c r="H4" s="11">
        <f>Tablo145678910111213141516171819202122232425262728293031[[#This Row],[ADET]]*Tablo145678910111213141516171819202122232425262728293031[[#This Row],[SATIŞ]]</f>
        <v>1884027.5353299999</v>
      </c>
      <c r="L4" s="8">
        <f>SUM(Tablo145678910111213141516171819202122232425262728293031[ALIŞ TUTAR])</f>
        <v>1989074.2514500001</v>
      </c>
      <c r="M4" s="8">
        <f>SUM(Tablo145678910111213141516171819202122232425262728293031[SATIŞ TUTAR])</f>
        <v>1959459.2853299999</v>
      </c>
      <c r="N4" s="8">
        <f>L4-M4</f>
        <v>29614.96612000023</v>
      </c>
    </row>
    <row r="5" spans="2:18" ht="21" hidden="1" customHeight="1" x14ac:dyDescent="0.3">
      <c r="B5" s="2">
        <v>45291</v>
      </c>
      <c r="C5" s="6">
        <v>5</v>
      </c>
      <c r="D5" s="10">
        <v>57.611350000000002</v>
      </c>
      <c r="E5" s="10">
        <v>74</v>
      </c>
      <c r="F5" s="9">
        <f>IF(Tablo145678910111213141516171819202122232425262728293031[[#This Row],[SATIŞ]]=0,"Açık",(E5-D5)*C5)</f>
        <v>81.943249999999992</v>
      </c>
      <c r="G5" s="11">
        <f>Tablo145678910111213141516171819202122232425262728293031[[#This Row],[ADET]]*Tablo145678910111213141516171819202122232425262728293031[[#This Row],[ALIŞ]]</f>
        <v>288.05675000000002</v>
      </c>
      <c r="H5" s="11">
        <f>Tablo145678910111213141516171819202122232425262728293031[[#This Row],[ADET]]*Tablo145678910111213141516171819202122232425262728293031[[#This Row],[SATIŞ]]</f>
        <v>370</v>
      </c>
      <c r="N5">
        <f>+N4/80</f>
        <v>370.18707650000289</v>
      </c>
    </row>
    <row r="6" spans="2:18" ht="21" hidden="1" customHeight="1" x14ac:dyDescent="0.3">
      <c r="B6" s="2">
        <v>45291</v>
      </c>
      <c r="C6" s="6">
        <v>1</v>
      </c>
      <c r="D6" s="10">
        <v>57.611350000000002</v>
      </c>
      <c r="E6" s="10">
        <v>72</v>
      </c>
      <c r="F6" s="9">
        <f>IF(Tablo145678910111213141516171819202122232425262728293031[[#This Row],[SATIŞ]]=0,"Açık",(E6-D6)*C6)</f>
        <v>14.388649999999998</v>
      </c>
      <c r="G6" s="11">
        <f>Tablo145678910111213141516171819202122232425262728293031[[#This Row],[ADET]]*Tablo145678910111213141516171819202122232425262728293031[[#This Row],[ALIŞ]]</f>
        <v>57.611350000000002</v>
      </c>
      <c r="H6" s="11">
        <f>Tablo145678910111213141516171819202122232425262728293031[[#This Row],[ADET]]*Tablo145678910111213141516171819202122232425262728293031[[#This Row],[SATIŞ]]</f>
        <v>72</v>
      </c>
    </row>
    <row r="7" spans="2:18" ht="21" hidden="1" customHeight="1" x14ac:dyDescent="0.3">
      <c r="B7" s="2">
        <v>45291</v>
      </c>
      <c r="C7" s="6">
        <v>2</v>
      </c>
      <c r="D7" s="10">
        <v>57.611350000000002</v>
      </c>
      <c r="E7" s="10">
        <v>72.5</v>
      </c>
      <c r="F7" s="9">
        <f>IF(Tablo145678910111213141516171819202122232425262728293031[[#This Row],[SATIŞ]]=0,"Açık",(E7-D7)*C7)</f>
        <v>29.777299999999997</v>
      </c>
      <c r="G7" s="11">
        <f>Tablo145678910111213141516171819202122232425262728293031[[#This Row],[ADET]]*Tablo145678910111213141516171819202122232425262728293031[[#This Row],[ALIŞ]]</f>
        <v>115.2227</v>
      </c>
      <c r="H7" s="11">
        <f>Tablo145678910111213141516171819202122232425262728293031[[#This Row],[ADET]]*Tablo145678910111213141516171819202122232425262728293031[[#This Row],[SATIŞ]]</f>
        <v>145</v>
      </c>
    </row>
    <row r="8" spans="2:18" ht="21" hidden="1" customHeight="1" x14ac:dyDescent="0.3">
      <c r="B8" s="2">
        <v>45291</v>
      </c>
      <c r="C8" s="6">
        <v>3</v>
      </c>
      <c r="D8" s="10">
        <v>57.611350000000002</v>
      </c>
      <c r="E8" s="10">
        <v>73</v>
      </c>
      <c r="F8" s="9">
        <f>IF(Tablo145678910111213141516171819202122232425262728293031[[#This Row],[SATIŞ]]=0,"Açık",(E8-D8)*C8)</f>
        <v>46.165949999999995</v>
      </c>
      <c r="G8" s="11">
        <f>Tablo145678910111213141516171819202122232425262728293031[[#This Row],[ADET]]*Tablo145678910111213141516171819202122232425262728293031[[#This Row],[ALIŞ]]</f>
        <v>172.83404999999999</v>
      </c>
      <c r="H8" s="11">
        <f>Tablo145678910111213141516171819202122232425262728293031[[#This Row],[ADET]]*Tablo145678910111213141516171819202122232425262728293031[[#This Row],[SATIŞ]]</f>
        <v>219</v>
      </c>
    </row>
    <row r="9" spans="2:18" ht="21" hidden="1" customHeight="1" x14ac:dyDescent="0.3">
      <c r="B9" s="2">
        <v>45291</v>
      </c>
      <c r="C9" s="6">
        <v>4</v>
      </c>
      <c r="D9" s="10">
        <v>57.611350000000002</v>
      </c>
      <c r="E9" s="10">
        <v>73.5</v>
      </c>
      <c r="F9" s="9">
        <f>IF(Tablo145678910111213141516171819202122232425262728293031[[#This Row],[SATIŞ]]=0,"Açık",(E9-D9)*C9)</f>
        <v>63.554599999999994</v>
      </c>
      <c r="G9" s="11">
        <f>Tablo145678910111213141516171819202122232425262728293031[[#This Row],[ADET]]*Tablo145678910111213141516171819202122232425262728293031[[#This Row],[ALIŞ]]</f>
        <v>230.44540000000001</v>
      </c>
      <c r="H9" s="11">
        <f>Tablo145678910111213141516171819202122232425262728293031[[#This Row],[ADET]]*Tablo145678910111213141516171819202122232425262728293031[[#This Row],[SATIŞ]]</f>
        <v>294</v>
      </c>
    </row>
    <row r="10" spans="2:18" ht="21" hidden="1" customHeight="1" x14ac:dyDescent="0.3">
      <c r="B10" s="2">
        <v>45291</v>
      </c>
      <c r="C10" s="6">
        <v>5</v>
      </c>
      <c r="D10" s="10">
        <v>57.611350000000002</v>
      </c>
      <c r="E10" s="10">
        <v>80</v>
      </c>
      <c r="F10" s="9">
        <f>IF(Tablo145678910111213141516171819202122232425262728293031[[#This Row],[SATIŞ]]=0,"Açık",(E10-D10)*C10)</f>
        <v>111.94324999999999</v>
      </c>
      <c r="G10" s="11">
        <f>Tablo145678910111213141516171819202122232425262728293031[[#This Row],[ADET]]*Tablo145678910111213141516171819202122232425262728293031[[#This Row],[ALIŞ]]</f>
        <v>288.05675000000002</v>
      </c>
      <c r="H10" s="11">
        <f>Tablo145678910111213141516171819202122232425262728293031[[#This Row],[ADET]]*Tablo145678910111213141516171819202122232425262728293031[[#This Row],[SATIŞ]]</f>
        <v>400</v>
      </c>
    </row>
    <row r="11" spans="2:18" ht="21" hidden="1" customHeight="1" x14ac:dyDescent="0.3">
      <c r="B11" s="2">
        <v>45323</v>
      </c>
      <c r="C11" s="6">
        <v>1</v>
      </c>
      <c r="D11" s="10">
        <v>73</v>
      </c>
      <c r="E11" s="10">
        <v>78</v>
      </c>
      <c r="F11" s="9">
        <f>IF(Tablo145678910111213141516171819202122232425262728293031[[#This Row],[SATIŞ]]=0,"Açık",(E11-D11)*C11)</f>
        <v>5</v>
      </c>
      <c r="G11" s="11">
        <f>Tablo145678910111213141516171819202122232425262728293031[[#This Row],[ADET]]*Tablo145678910111213141516171819202122232425262728293031[[#This Row],[ALIŞ]]</f>
        <v>73</v>
      </c>
      <c r="H11" s="11">
        <f>Tablo145678910111213141516171819202122232425262728293031[[#This Row],[ADET]]*Tablo145678910111213141516171819202122232425262728293031[[#This Row],[SATIŞ]]</f>
        <v>78</v>
      </c>
    </row>
    <row r="12" spans="2:18" ht="21" hidden="1" customHeight="1" x14ac:dyDescent="0.3">
      <c r="B12" s="2">
        <v>45323</v>
      </c>
      <c r="C12" s="6">
        <v>3</v>
      </c>
      <c r="D12" s="10">
        <v>72.5</v>
      </c>
      <c r="E12" s="10">
        <v>73.5</v>
      </c>
      <c r="F12" s="9">
        <f>IF(Tablo145678910111213141516171819202122232425262728293031[[#This Row],[SATIŞ]]=0,"Açık",(E12-D12)*C12)</f>
        <v>3</v>
      </c>
      <c r="G12" s="11">
        <f>Tablo145678910111213141516171819202122232425262728293031[[#This Row],[ADET]]*Tablo145678910111213141516171819202122232425262728293031[[#This Row],[ALIŞ]]</f>
        <v>217.5</v>
      </c>
      <c r="H12" s="11">
        <f>Tablo145678910111213141516171819202122232425262728293031[[#This Row],[ADET]]*Tablo145678910111213141516171819202122232425262728293031[[#This Row],[SATIŞ]]</f>
        <v>220.5</v>
      </c>
    </row>
    <row r="13" spans="2:18" ht="21" hidden="1" customHeight="1" x14ac:dyDescent="0.3">
      <c r="B13" s="2">
        <v>45323</v>
      </c>
      <c r="C13" s="6">
        <v>5</v>
      </c>
      <c r="D13" s="10">
        <v>72</v>
      </c>
      <c r="E13" s="10">
        <v>81</v>
      </c>
      <c r="F13" s="9">
        <f>IF(Tablo145678910111213141516171819202122232425262728293031[[#This Row],[SATIŞ]]=0,"Açık",(E13-D13)*C13)</f>
        <v>45</v>
      </c>
      <c r="G13" s="11">
        <f>Tablo145678910111213141516171819202122232425262728293031[[#This Row],[ADET]]*Tablo145678910111213141516171819202122232425262728293031[[#This Row],[ALIŞ]]</f>
        <v>360</v>
      </c>
      <c r="H13" s="11">
        <f>Tablo145678910111213141516171819202122232425262728293031[[#This Row],[ADET]]*Tablo145678910111213141516171819202122232425262728293031[[#This Row],[SATIŞ]]</f>
        <v>405</v>
      </c>
    </row>
    <row r="14" spans="2:18" ht="21" hidden="1" customHeight="1" x14ac:dyDescent="0.3">
      <c r="B14" s="2">
        <v>45327</v>
      </c>
      <c r="C14" s="6">
        <v>3</v>
      </c>
      <c r="D14" s="10">
        <v>75.2</v>
      </c>
      <c r="E14" s="10">
        <v>78</v>
      </c>
      <c r="F14" s="9">
        <f>IF(Tablo145678910111213141516171819202122232425262728293031[[#This Row],[SATIŞ]]=0,"Açık",(E14-D14)*C14)</f>
        <v>8.3999999999999915</v>
      </c>
      <c r="G14" s="11">
        <f>Tablo145678910111213141516171819202122232425262728293031[[#This Row],[ADET]]*Tablo145678910111213141516171819202122232425262728293031[[#This Row],[ALIŞ]]</f>
        <v>225.60000000000002</v>
      </c>
      <c r="H14" s="11">
        <f>Tablo145678910111213141516171819202122232425262728293031[[#This Row],[ADET]]*Tablo145678910111213141516171819202122232425262728293031[[#This Row],[SATIŞ]]</f>
        <v>234</v>
      </c>
    </row>
    <row r="15" spans="2:18" ht="21" hidden="1" customHeight="1" x14ac:dyDescent="0.3">
      <c r="B15" s="2">
        <v>45329</v>
      </c>
      <c r="C15" s="6">
        <v>6</v>
      </c>
      <c r="D15" s="10">
        <v>74</v>
      </c>
      <c r="E15" s="10">
        <v>78</v>
      </c>
      <c r="F15" s="9">
        <f>IF(Tablo145678910111213141516171819202122232425262728293031[[#This Row],[SATIŞ]]=0,"Açık",(E15-D15)*C15)</f>
        <v>24</v>
      </c>
      <c r="G15" s="11">
        <f>Tablo145678910111213141516171819202122232425262728293031[[#This Row],[ADET]]*Tablo145678910111213141516171819202122232425262728293031[[#This Row],[ALIŞ]]</f>
        <v>444</v>
      </c>
      <c r="H15" s="11">
        <f>Tablo145678910111213141516171819202122232425262728293031[[#This Row],[ADET]]*Tablo145678910111213141516171819202122232425262728293031[[#This Row],[SATIŞ]]</f>
        <v>468</v>
      </c>
    </row>
    <row r="16" spans="2:18" ht="21" hidden="1" customHeight="1" x14ac:dyDescent="0.3">
      <c r="B16" s="2">
        <v>45330</v>
      </c>
      <c r="C16" s="6">
        <v>10</v>
      </c>
      <c r="D16" s="10">
        <v>78.5</v>
      </c>
      <c r="E16" s="10">
        <v>82</v>
      </c>
      <c r="F16" s="9">
        <f>IF(Tablo145678910111213141516171819202122232425262728293031[[#This Row],[SATIŞ]]=0,"Açık",(E16-D16)*C16)</f>
        <v>35</v>
      </c>
      <c r="G16" s="11">
        <f>Tablo145678910111213141516171819202122232425262728293031[[#This Row],[ADET]]*Tablo145678910111213141516171819202122232425262728293031[[#This Row],[ALIŞ]]</f>
        <v>785</v>
      </c>
      <c r="H16" s="11">
        <f>Tablo145678910111213141516171819202122232425262728293031[[#This Row],[ADET]]*Tablo145678910111213141516171819202122232425262728293031[[#This Row],[SATIŞ]]</f>
        <v>820</v>
      </c>
    </row>
    <row r="17" spans="2:10" ht="21" hidden="1" customHeight="1" x14ac:dyDescent="0.3">
      <c r="B17" s="2">
        <v>45330</v>
      </c>
      <c r="C17" s="6">
        <v>20</v>
      </c>
      <c r="D17" s="10">
        <v>77</v>
      </c>
      <c r="E17" s="10">
        <v>80</v>
      </c>
      <c r="F17" s="9">
        <f>IF(Tablo145678910111213141516171819202122232425262728293031[[#This Row],[SATIŞ]]=0,"Açık",(E17-D17)*C17)</f>
        <v>60</v>
      </c>
      <c r="G17" s="11">
        <f>Tablo145678910111213141516171819202122232425262728293031[[#This Row],[ADET]]*Tablo145678910111213141516171819202122232425262728293031[[#This Row],[ALIŞ]]</f>
        <v>1540</v>
      </c>
      <c r="H17" s="11">
        <f>Tablo145678910111213141516171819202122232425262728293031[[#This Row],[ADET]]*Tablo145678910111213141516171819202122232425262728293031[[#This Row],[SATIŞ]]</f>
        <v>1600</v>
      </c>
    </row>
    <row r="18" spans="2:10" ht="21" hidden="1" customHeight="1" x14ac:dyDescent="0.3">
      <c r="B18" s="2">
        <v>45330</v>
      </c>
      <c r="C18" s="6">
        <v>5</v>
      </c>
      <c r="D18" s="10">
        <v>76.5</v>
      </c>
      <c r="E18" s="10">
        <v>82</v>
      </c>
      <c r="F18" s="9">
        <f>IF(Tablo145678910111213141516171819202122232425262728293031[[#This Row],[SATIŞ]]=0,"Açık",(E18-D18)*C18)</f>
        <v>27.5</v>
      </c>
      <c r="G18" s="11">
        <f>Tablo145678910111213141516171819202122232425262728293031[[#This Row],[ADET]]*Tablo145678910111213141516171819202122232425262728293031[[#This Row],[ALIŞ]]</f>
        <v>382.5</v>
      </c>
      <c r="H18" s="11">
        <f>Tablo145678910111213141516171819202122232425262728293031[[#This Row],[ADET]]*Tablo145678910111213141516171819202122232425262728293031[[#This Row],[SATIŞ]]</f>
        <v>410</v>
      </c>
    </row>
    <row r="19" spans="2:10" ht="21" hidden="1" customHeight="1" x14ac:dyDescent="0.3">
      <c r="B19" s="2">
        <v>45334</v>
      </c>
      <c r="C19" s="6">
        <v>5</v>
      </c>
      <c r="D19" s="10">
        <v>79</v>
      </c>
      <c r="E19" s="10">
        <v>84</v>
      </c>
      <c r="F19" s="9">
        <f>IF(Tablo145678910111213141516171819202122232425262728293031[[#This Row],[SATIŞ]]=0,"Açık",(E19-D19)*C19)</f>
        <v>25</v>
      </c>
      <c r="G19" s="11">
        <f>Tablo145678910111213141516171819202122232425262728293031[[#This Row],[ADET]]*Tablo145678910111213141516171819202122232425262728293031[[#This Row],[ALIŞ]]</f>
        <v>395</v>
      </c>
      <c r="H19" s="11">
        <f>Tablo145678910111213141516171819202122232425262728293031[[#This Row],[ADET]]*Tablo145678910111213141516171819202122232425262728293031[[#This Row],[SATIŞ]]</f>
        <v>420</v>
      </c>
    </row>
    <row r="20" spans="2:10" ht="21" hidden="1" customHeight="1" x14ac:dyDescent="0.3">
      <c r="B20" s="2">
        <v>45334</v>
      </c>
      <c r="C20" s="6">
        <v>5</v>
      </c>
      <c r="D20" s="10">
        <v>79</v>
      </c>
      <c r="E20" s="10">
        <v>86.2</v>
      </c>
      <c r="F20" s="9">
        <f>IF(Tablo145678910111213141516171819202122232425262728293031[[#This Row],[SATIŞ]]=0,"Açık",(E20-D20)*C20)</f>
        <v>36.000000000000014</v>
      </c>
      <c r="G20" s="11">
        <f>Tablo145678910111213141516171819202122232425262728293031[[#This Row],[ADET]]*Tablo145678910111213141516171819202122232425262728293031[[#This Row],[ALIŞ]]</f>
        <v>395</v>
      </c>
      <c r="H20" s="11">
        <f>Tablo145678910111213141516171819202122232425262728293031[[#This Row],[ADET]]*Tablo145678910111213141516171819202122232425262728293031[[#This Row],[SATIŞ]]</f>
        <v>431</v>
      </c>
    </row>
    <row r="21" spans="2:10" ht="21" hidden="1" customHeight="1" x14ac:dyDescent="0.3">
      <c r="B21" s="2">
        <v>45334</v>
      </c>
      <c r="C21" s="6">
        <v>15</v>
      </c>
      <c r="D21" s="10">
        <v>78</v>
      </c>
      <c r="E21" s="10">
        <v>79</v>
      </c>
      <c r="F21" s="9">
        <f>IF(Tablo145678910111213141516171819202122232425262728293031[[#This Row],[SATIŞ]]=0,"Açık",(E21-D21)*C21)</f>
        <v>15</v>
      </c>
      <c r="G21" s="11">
        <f>Tablo145678910111213141516171819202122232425262728293031[[#This Row],[ADET]]*Tablo145678910111213141516171819202122232425262728293031[[#This Row],[ALIŞ]]</f>
        <v>1170</v>
      </c>
      <c r="H21" s="11">
        <f>Tablo145678910111213141516171819202122232425262728293031[[#This Row],[ADET]]*Tablo145678910111213141516171819202122232425262728293031[[#This Row],[SATIŞ]]</f>
        <v>1185</v>
      </c>
    </row>
    <row r="22" spans="2:10" ht="21" hidden="1" customHeight="1" x14ac:dyDescent="0.3">
      <c r="B22" s="2">
        <v>45335</v>
      </c>
      <c r="C22" s="6">
        <v>30</v>
      </c>
      <c r="D22" s="10">
        <v>77</v>
      </c>
      <c r="E22" s="10">
        <v>86.2</v>
      </c>
      <c r="F22" s="9">
        <f>IF(Tablo145678910111213141516171819202122232425262728293031[[#This Row],[SATIŞ]]=0,"Açık",(E22-D22)*C22)</f>
        <v>276.00000000000011</v>
      </c>
      <c r="G22" s="11">
        <f>Tablo145678910111213141516171819202122232425262728293031[[#This Row],[ADET]]*Tablo145678910111213141516171819202122232425262728293031[[#This Row],[ALIŞ]]</f>
        <v>2310</v>
      </c>
      <c r="H22" s="11">
        <f>Tablo145678910111213141516171819202122232425262728293031[[#This Row],[ADET]]*Tablo145678910111213141516171819202122232425262728293031[[#This Row],[SATIŞ]]</f>
        <v>2586</v>
      </c>
    </row>
    <row r="23" spans="2:10" ht="21" hidden="1" customHeight="1" x14ac:dyDescent="0.3">
      <c r="B23" s="2">
        <v>45335</v>
      </c>
      <c r="C23" s="6">
        <v>10</v>
      </c>
      <c r="D23" s="10">
        <v>81</v>
      </c>
      <c r="E23" s="10">
        <v>82.95</v>
      </c>
      <c r="F23" s="9">
        <f>IF(Tablo145678910111213141516171819202122232425262728293031[[#This Row],[SATIŞ]]=0,"Açık",(E23-D23)*C23)</f>
        <v>19.500000000000028</v>
      </c>
      <c r="G23" s="11">
        <f>Tablo145678910111213141516171819202122232425262728293031[[#This Row],[ADET]]*Tablo145678910111213141516171819202122232425262728293031[[#This Row],[ALIŞ]]</f>
        <v>810</v>
      </c>
      <c r="H23" s="11">
        <f>Tablo145678910111213141516171819202122232425262728293031[[#This Row],[ADET]]*Tablo145678910111213141516171819202122232425262728293031[[#This Row],[SATIŞ]]</f>
        <v>829.5</v>
      </c>
    </row>
    <row r="24" spans="2:10" ht="21" hidden="1" customHeight="1" x14ac:dyDescent="0.3">
      <c r="B24" s="2">
        <v>45335</v>
      </c>
      <c r="C24" s="6">
        <v>10</v>
      </c>
      <c r="D24" s="10">
        <v>81</v>
      </c>
      <c r="E24" s="10">
        <v>88</v>
      </c>
      <c r="F24" s="9">
        <f>IF(Tablo145678910111213141516171819202122232425262728293031[[#This Row],[SATIŞ]]=0,"Açık",(E24-D24)*C24)</f>
        <v>70</v>
      </c>
      <c r="G24" s="11">
        <f>Tablo145678910111213141516171819202122232425262728293031[[#This Row],[ADET]]*Tablo145678910111213141516171819202122232425262728293031[[#This Row],[ALIŞ]]</f>
        <v>810</v>
      </c>
      <c r="H24" s="11">
        <f>Tablo145678910111213141516171819202122232425262728293031[[#This Row],[ADET]]*Tablo145678910111213141516171819202122232425262728293031[[#This Row],[SATIŞ]]</f>
        <v>880</v>
      </c>
    </row>
    <row r="25" spans="2:10" ht="21" hidden="1" customHeight="1" x14ac:dyDescent="0.3">
      <c r="B25" s="2">
        <v>45335</v>
      </c>
      <c r="C25" s="6">
        <v>25</v>
      </c>
      <c r="D25" s="10">
        <v>85</v>
      </c>
      <c r="E25" s="10">
        <v>88</v>
      </c>
      <c r="F25" s="9">
        <f>IF(Tablo145678910111213141516171819202122232425262728293031[[#This Row],[SATIŞ]]=0,"Açık",(E25-D25)*C25)</f>
        <v>75</v>
      </c>
      <c r="G25" s="11">
        <f>Tablo145678910111213141516171819202122232425262728293031[[#This Row],[ADET]]*Tablo145678910111213141516171819202122232425262728293031[[#This Row],[ALIŞ]]</f>
        <v>2125</v>
      </c>
      <c r="H25" s="11">
        <f>Tablo145678910111213141516171819202122232425262728293031[[#This Row],[ADET]]*Tablo145678910111213141516171819202122232425262728293031[[#This Row],[SATIŞ]]</f>
        <v>2200</v>
      </c>
    </row>
    <row r="26" spans="2:10" ht="21" hidden="1" customHeight="1" x14ac:dyDescent="0.3">
      <c r="B26" s="2">
        <v>45335</v>
      </c>
      <c r="C26" s="6">
        <v>35</v>
      </c>
      <c r="D26" s="10">
        <v>84</v>
      </c>
      <c r="E26" s="10">
        <v>85</v>
      </c>
      <c r="F26" s="9">
        <f>IF(Tablo145678910111213141516171819202122232425262728293031[[#This Row],[SATIŞ]]=0,"Açık",(E26-D26)*C26)</f>
        <v>35</v>
      </c>
      <c r="G26" s="11">
        <f>Tablo145678910111213141516171819202122232425262728293031[[#This Row],[ADET]]*Tablo145678910111213141516171819202122232425262728293031[[#This Row],[ALIŞ]]</f>
        <v>2940</v>
      </c>
      <c r="H26" s="11">
        <f>Tablo145678910111213141516171819202122232425262728293031[[#This Row],[ADET]]*Tablo145678910111213141516171819202122232425262728293031[[#This Row],[SATIŞ]]</f>
        <v>2975</v>
      </c>
    </row>
    <row r="27" spans="2:10" ht="21" hidden="1" customHeight="1" x14ac:dyDescent="0.3">
      <c r="B27" s="2">
        <v>45335</v>
      </c>
      <c r="C27" s="6">
        <v>25</v>
      </c>
      <c r="D27" s="10">
        <v>82</v>
      </c>
      <c r="E27" s="10">
        <v>82.95</v>
      </c>
      <c r="F27" s="9">
        <f>IF(Tablo145678910111213141516171819202122232425262728293031[[#This Row],[SATIŞ]]=0,"Açık",(E27-D27)*C27)</f>
        <v>23.750000000000071</v>
      </c>
      <c r="G27" s="11">
        <f>Tablo145678910111213141516171819202122232425262728293031[[#This Row],[ADET]]*Tablo145678910111213141516171819202122232425262728293031[[#This Row],[ALIŞ]]</f>
        <v>2050</v>
      </c>
      <c r="H27" s="11">
        <f>Tablo145678910111213141516171819202122232425262728293031[[#This Row],[ADET]]*Tablo145678910111213141516171819202122232425262728293031[[#This Row],[SATIŞ]]</f>
        <v>2073.75</v>
      </c>
    </row>
    <row r="28" spans="2:10" ht="21" hidden="1" customHeight="1" x14ac:dyDescent="0.3">
      <c r="B28" s="2">
        <v>45336</v>
      </c>
      <c r="C28" s="6">
        <v>25</v>
      </c>
      <c r="D28" s="10">
        <v>80.2</v>
      </c>
      <c r="E28" s="10">
        <v>83</v>
      </c>
      <c r="F28" s="9">
        <f>IF(Tablo145678910111213141516171819202122232425262728293031[[#This Row],[SATIŞ]]=0,"Açık",(E28-D28)*C28)</f>
        <v>69.999999999999929</v>
      </c>
      <c r="G28" s="11">
        <f>Tablo145678910111213141516171819202122232425262728293031[[#This Row],[ADET]]*Tablo145678910111213141516171819202122232425262728293031[[#This Row],[ALIŞ]]</f>
        <v>2005</v>
      </c>
      <c r="H28" s="11">
        <f>Tablo145678910111213141516171819202122232425262728293031[[#This Row],[ADET]]*Tablo145678910111213141516171819202122232425262728293031[[#This Row],[SATIŞ]]</f>
        <v>2075</v>
      </c>
    </row>
    <row r="29" spans="2:10" ht="21" hidden="1" customHeight="1" x14ac:dyDescent="0.3">
      <c r="B29" s="2">
        <v>45336</v>
      </c>
      <c r="C29" s="6">
        <v>10</v>
      </c>
      <c r="D29" s="10">
        <v>78</v>
      </c>
      <c r="E29" s="10">
        <v>83</v>
      </c>
      <c r="F29" s="9">
        <f>IF(Tablo145678910111213141516171819202122232425262728293031[[#This Row],[SATIŞ]]=0,"Açık",(E29-D29)*C29)</f>
        <v>50</v>
      </c>
      <c r="G29" s="11">
        <f>Tablo145678910111213141516171819202122232425262728293031[[#This Row],[ADET]]*Tablo145678910111213141516171819202122232425262728293031[[#This Row],[ALIŞ]]</f>
        <v>780</v>
      </c>
      <c r="H29" s="11">
        <f>Tablo145678910111213141516171819202122232425262728293031[[#This Row],[ADET]]*Tablo145678910111213141516171819202122232425262728293031[[#This Row],[SATIŞ]]</f>
        <v>830</v>
      </c>
    </row>
    <row r="30" spans="2:10" ht="21" customHeight="1" x14ac:dyDescent="0.3">
      <c r="B30" s="2">
        <v>45349</v>
      </c>
      <c r="C30" s="6">
        <v>20</v>
      </c>
      <c r="D30" s="10">
        <v>84</v>
      </c>
      <c r="E30" s="10"/>
      <c r="F30" s="9" t="str">
        <f>IF(Tablo145678910111213141516171819202122232425262728293031[[#This Row],[SATIŞ]]=0,"Açık",(E30-D30)*C30)</f>
        <v>Açık</v>
      </c>
      <c r="G30" s="11">
        <f>Tablo145678910111213141516171819202122232425262728293031[[#This Row],[ADET]]*Tablo145678910111213141516171819202122232425262728293031[[#This Row],[ALIŞ]]</f>
        <v>1680</v>
      </c>
      <c r="H30" s="11">
        <f>Tablo145678910111213141516171819202122232425262728293031[[#This Row],[ADET]]*Tablo145678910111213141516171819202122232425262728293031[[#This Row],[SATIŞ]]</f>
        <v>0</v>
      </c>
      <c r="J30" s="40">
        <f t="shared" ref="J30:J45" si="0">IF(E30=0,D30*1.05,"")</f>
        <v>88.2</v>
      </c>
    </row>
    <row r="31" spans="2:10" ht="21" hidden="1" customHeight="1" x14ac:dyDescent="0.3">
      <c r="B31" s="2">
        <v>45350</v>
      </c>
      <c r="C31" s="6">
        <v>20</v>
      </c>
      <c r="D31" s="10">
        <v>80</v>
      </c>
      <c r="E31" s="10">
        <v>81</v>
      </c>
      <c r="F31" s="9">
        <f>IF(Tablo145678910111213141516171819202122232425262728293031[[#This Row],[SATIŞ]]=0,"Açık",(E31-D31)*C31)</f>
        <v>20</v>
      </c>
      <c r="G31" s="11">
        <f>Tablo145678910111213141516171819202122232425262728293031[[#This Row],[ADET]]*Tablo145678910111213141516171819202122232425262728293031[[#This Row],[ALIŞ]]</f>
        <v>1600</v>
      </c>
      <c r="H31" s="11">
        <f>Tablo145678910111213141516171819202122232425262728293031[[#This Row],[ADET]]*Tablo145678910111213141516171819202122232425262728293031[[#This Row],[SATIŞ]]</f>
        <v>1620</v>
      </c>
      <c r="J31" s="40" t="str">
        <f t="shared" si="0"/>
        <v/>
      </c>
    </row>
    <row r="32" spans="2:10" ht="21" customHeight="1" x14ac:dyDescent="0.3">
      <c r="B32" s="2">
        <v>45351</v>
      </c>
      <c r="C32" s="6">
        <v>40</v>
      </c>
      <c r="D32" s="10">
        <v>79</v>
      </c>
      <c r="E32" s="10"/>
      <c r="F32" s="9" t="str">
        <f>IF(Tablo145678910111213141516171819202122232425262728293031[[#This Row],[SATIŞ]]=0,"Açık",(E32-D32)*C32)</f>
        <v>Açık</v>
      </c>
      <c r="G32" s="11">
        <f>Tablo145678910111213141516171819202122232425262728293031[[#This Row],[ADET]]*Tablo145678910111213141516171819202122232425262728293031[[#This Row],[ALIŞ]]</f>
        <v>3160</v>
      </c>
      <c r="H32" s="11">
        <f>Tablo145678910111213141516171819202122232425262728293031[[#This Row],[ADET]]*Tablo145678910111213141516171819202122232425262728293031[[#This Row],[SATIŞ]]</f>
        <v>0</v>
      </c>
      <c r="J32" s="40">
        <f t="shared" si="0"/>
        <v>82.95</v>
      </c>
    </row>
    <row r="33" spans="2:10" ht="21" customHeight="1" x14ac:dyDescent="0.3">
      <c r="B33" s="2">
        <v>45355</v>
      </c>
      <c r="C33" s="6">
        <v>20</v>
      </c>
      <c r="D33" s="10">
        <v>79</v>
      </c>
      <c r="E33" s="10"/>
      <c r="F33" s="9" t="str">
        <f>IF(Tablo145678910111213141516171819202122232425262728293031[[#This Row],[SATIŞ]]=0,"Açık",(E33-D33)*C33)</f>
        <v>Açık</v>
      </c>
      <c r="G33" s="11">
        <f>Tablo145678910111213141516171819202122232425262728293031[[#This Row],[ADET]]*Tablo145678910111213141516171819202122232425262728293031[[#This Row],[ALIŞ]]</f>
        <v>1580</v>
      </c>
      <c r="H33" s="11">
        <f>Tablo145678910111213141516171819202122232425262728293031[[#This Row],[ADET]]*Tablo145678910111213141516171819202122232425262728293031[[#This Row],[SATIŞ]]</f>
        <v>0</v>
      </c>
      <c r="J33" s="40">
        <f t="shared" si="0"/>
        <v>82.95</v>
      </c>
    </row>
    <row r="34" spans="2:10" ht="21" hidden="1" customHeight="1" x14ac:dyDescent="0.3">
      <c r="B34" s="2">
        <v>45358</v>
      </c>
      <c r="C34" s="6">
        <v>20</v>
      </c>
      <c r="D34" s="10">
        <v>74</v>
      </c>
      <c r="E34" s="10">
        <v>78.05</v>
      </c>
      <c r="F34" s="9">
        <f>IF(Tablo145678910111213141516171819202122232425262728293031[[#This Row],[SATIŞ]]=0,"Açık",(E34-D34)*C34)</f>
        <v>80.999999999999943</v>
      </c>
      <c r="G34" s="11">
        <f>Tablo145678910111213141516171819202122232425262728293031[[#This Row],[ADET]]*Tablo145678910111213141516171819202122232425262728293031[[#This Row],[ALIŞ]]</f>
        <v>1480</v>
      </c>
      <c r="H34" s="11">
        <f>Tablo145678910111213141516171819202122232425262728293031[[#This Row],[ADET]]*Tablo145678910111213141516171819202122232425262728293031[[#This Row],[SATIŞ]]</f>
        <v>1561</v>
      </c>
      <c r="J34" s="40" t="str">
        <f t="shared" si="0"/>
        <v/>
      </c>
    </row>
    <row r="35" spans="2:10" ht="21" customHeight="1" x14ac:dyDescent="0.3">
      <c r="B35" s="2">
        <v>45362</v>
      </c>
      <c r="C35" s="6">
        <v>20</v>
      </c>
      <c r="D35" s="10">
        <v>77</v>
      </c>
      <c r="E35" s="10"/>
      <c r="F35" s="9" t="str">
        <f>IF(Tablo145678910111213141516171819202122232425262728293031[[#This Row],[SATIŞ]]=0,"Açık",(E35-D35)*C35)</f>
        <v>Açık</v>
      </c>
      <c r="G35" s="11">
        <f>Tablo145678910111213141516171819202122232425262728293031[[#This Row],[ADET]]*Tablo145678910111213141516171819202122232425262728293031[[#This Row],[ALIŞ]]</f>
        <v>1540</v>
      </c>
      <c r="H35" s="11">
        <f>Tablo145678910111213141516171819202122232425262728293031[[#This Row],[ADET]]*Tablo145678910111213141516171819202122232425262728293031[[#This Row],[SATIŞ]]</f>
        <v>0</v>
      </c>
      <c r="J35" s="40">
        <f t="shared" si="0"/>
        <v>80.850000000000009</v>
      </c>
    </row>
    <row r="36" spans="2:10" ht="21" hidden="1" customHeight="1" x14ac:dyDescent="0.3">
      <c r="B36" s="2">
        <v>45365</v>
      </c>
      <c r="C36" s="6">
        <v>50</v>
      </c>
      <c r="D36" s="10">
        <v>73</v>
      </c>
      <c r="E36" s="10">
        <v>75</v>
      </c>
      <c r="F36" s="9">
        <f>IF(Tablo145678910111213141516171819202122232425262728293031[[#This Row],[SATIŞ]]=0,"Açık",(E36-D36)*C36)</f>
        <v>100</v>
      </c>
      <c r="G36" s="11">
        <f>Tablo145678910111213141516171819202122232425262728293031[[#This Row],[ADET]]*Tablo145678910111213141516171819202122232425262728293031[[#This Row],[ALIŞ]]</f>
        <v>3650</v>
      </c>
      <c r="H36" s="11">
        <f>Tablo145678910111213141516171819202122232425262728293031[[#This Row],[ADET]]*Tablo145678910111213141516171819202122232425262728293031[[#This Row],[SATIŞ]]</f>
        <v>3750</v>
      </c>
      <c r="J36" s="40" t="str">
        <f t="shared" si="0"/>
        <v/>
      </c>
    </row>
    <row r="37" spans="2:10" ht="21" customHeight="1" x14ac:dyDescent="0.3">
      <c r="B37" s="2">
        <v>45365</v>
      </c>
      <c r="C37" s="6">
        <v>50</v>
      </c>
      <c r="D37" s="10">
        <v>73</v>
      </c>
      <c r="E37" s="10"/>
      <c r="F37" s="9" t="str">
        <f>IF(Tablo145678910111213141516171819202122232425262728293031[[#This Row],[SATIŞ]]=0,"Açık",(E37-D37)*C37)</f>
        <v>Açık</v>
      </c>
      <c r="G37" s="11">
        <f>Tablo145678910111213141516171819202122232425262728293031[[#This Row],[ADET]]*Tablo145678910111213141516171819202122232425262728293031[[#This Row],[ALIŞ]]</f>
        <v>3650</v>
      </c>
      <c r="H37" s="11">
        <f>Tablo145678910111213141516171819202122232425262728293031[[#This Row],[ADET]]*Tablo145678910111213141516171819202122232425262728293031[[#This Row],[SATIŞ]]</f>
        <v>0</v>
      </c>
      <c r="J37" s="40">
        <f t="shared" si="0"/>
        <v>76.650000000000006</v>
      </c>
    </row>
    <row r="38" spans="2:10" ht="21" hidden="1" customHeight="1" x14ac:dyDescent="0.3">
      <c r="B38" s="2">
        <v>45369</v>
      </c>
      <c r="C38" s="6">
        <v>50</v>
      </c>
      <c r="D38" s="10">
        <v>72.5</v>
      </c>
      <c r="E38" s="10">
        <v>76</v>
      </c>
      <c r="F38" s="9">
        <f>IF(Tablo145678910111213141516171819202122232425262728293031[[#This Row],[SATIŞ]]=0,"Açık",(E38-D38)*C38)</f>
        <v>175</v>
      </c>
      <c r="G38" s="11">
        <f>Tablo145678910111213141516171819202122232425262728293031[[#This Row],[ADET]]*Tablo145678910111213141516171819202122232425262728293031[[#This Row],[ALIŞ]]</f>
        <v>3625</v>
      </c>
      <c r="H38" s="11">
        <f>Tablo145678910111213141516171819202122232425262728293031[[#This Row],[ADET]]*Tablo145678910111213141516171819202122232425262728293031[[#This Row],[SATIŞ]]</f>
        <v>3800</v>
      </c>
      <c r="J38" s="40" t="str">
        <f t="shared" si="0"/>
        <v/>
      </c>
    </row>
    <row r="39" spans="2:10" ht="21" hidden="1" customHeight="1" x14ac:dyDescent="0.3">
      <c r="B39" s="2">
        <v>45371</v>
      </c>
      <c r="C39" s="6">
        <v>50</v>
      </c>
      <c r="D39" s="10">
        <v>71.5</v>
      </c>
      <c r="E39" s="10">
        <v>75</v>
      </c>
      <c r="F39" s="9">
        <f>IF(Tablo145678910111213141516171819202122232425262728293031[[#This Row],[SATIŞ]]=0,"Açık",(E39-D39)*C39)</f>
        <v>175</v>
      </c>
      <c r="G39" s="11">
        <f>Tablo145678910111213141516171819202122232425262728293031[[#This Row],[ADET]]*Tablo145678910111213141516171819202122232425262728293031[[#This Row],[ALIŞ]]</f>
        <v>3575</v>
      </c>
      <c r="H39" s="11">
        <f>Tablo145678910111213141516171819202122232425262728293031[[#This Row],[ADET]]*Tablo145678910111213141516171819202122232425262728293031[[#This Row],[SATIŞ]]</f>
        <v>3750</v>
      </c>
      <c r="J39" s="40" t="str">
        <f t="shared" si="0"/>
        <v/>
      </c>
    </row>
    <row r="40" spans="2:10" ht="21" hidden="1" customHeight="1" x14ac:dyDescent="0.3">
      <c r="B40" s="2">
        <v>45373</v>
      </c>
      <c r="C40" s="6">
        <v>50</v>
      </c>
      <c r="D40" s="10">
        <v>70</v>
      </c>
      <c r="E40" s="10">
        <v>74.5</v>
      </c>
      <c r="F40" s="9">
        <f>IF(Tablo145678910111213141516171819202122232425262728293031[[#This Row],[SATIŞ]]=0,"Açık",(E40-D40)*C40)</f>
        <v>225</v>
      </c>
      <c r="G40" s="11">
        <f>Tablo145678910111213141516171819202122232425262728293031[[#This Row],[ADET]]*Tablo145678910111213141516171819202122232425262728293031[[#This Row],[ALIŞ]]</f>
        <v>3500</v>
      </c>
      <c r="H40" s="11">
        <f>Tablo145678910111213141516171819202122232425262728293031[[#This Row],[ADET]]*Tablo145678910111213141516171819202122232425262728293031[[#This Row],[SATIŞ]]</f>
        <v>3725</v>
      </c>
      <c r="J40" s="40" t="str">
        <f t="shared" si="0"/>
        <v/>
      </c>
    </row>
    <row r="41" spans="2:10" ht="21" hidden="1" customHeight="1" x14ac:dyDescent="0.3">
      <c r="B41" s="2">
        <v>45376</v>
      </c>
      <c r="C41" s="6">
        <v>50</v>
      </c>
      <c r="D41" s="10">
        <v>70</v>
      </c>
      <c r="E41" s="10">
        <v>74.5</v>
      </c>
      <c r="F41" s="9">
        <f>IF(Tablo145678910111213141516171819202122232425262728293031[[#This Row],[SATIŞ]]=0,"Açık",(E41-D41)*C41)</f>
        <v>225</v>
      </c>
      <c r="G41" s="11">
        <f>Tablo145678910111213141516171819202122232425262728293031[[#This Row],[ADET]]*Tablo145678910111213141516171819202122232425262728293031[[#This Row],[ALIŞ]]</f>
        <v>3500</v>
      </c>
      <c r="H41" s="11">
        <f>Tablo145678910111213141516171819202122232425262728293031[[#This Row],[ADET]]*Tablo145678910111213141516171819202122232425262728293031[[#This Row],[SATIŞ]]</f>
        <v>3725</v>
      </c>
      <c r="J41" s="40" t="str">
        <f t="shared" si="0"/>
        <v/>
      </c>
    </row>
    <row r="42" spans="2:10" ht="21" hidden="1" customHeight="1" x14ac:dyDescent="0.3">
      <c r="B42" s="2">
        <v>45377</v>
      </c>
      <c r="C42" s="6">
        <v>50</v>
      </c>
      <c r="D42" s="10">
        <v>67.5</v>
      </c>
      <c r="E42" s="10">
        <v>72.5</v>
      </c>
      <c r="F42" s="9">
        <f>IF(Tablo145678910111213141516171819202122232425262728293031[[#This Row],[SATIŞ]]=0,"Açık",(E42-D42)*C42)</f>
        <v>250</v>
      </c>
      <c r="G42" s="11">
        <f>Tablo145678910111213141516171819202122232425262728293031[[#This Row],[ADET]]*Tablo145678910111213141516171819202122232425262728293031[[#This Row],[ALIŞ]]</f>
        <v>3375</v>
      </c>
      <c r="H42" s="11">
        <f>Tablo145678910111213141516171819202122232425262728293031[[#This Row],[ADET]]*Tablo145678910111213141516171819202122232425262728293031[[#This Row],[SATIŞ]]</f>
        <v>3625</v>
      </c>
      <c r="J42" s="40" t="str">
        <f t="shared" si="0"/>
        <v/>
      </c>
    </row>
    <row r="43" spans="2:10" ht="21" hidden="1" customHeight="1" x14ac:dyDescent="0.3">
      <c r="B43" s="2">
        <v>45383</v>
      </c>
      <c r="C43" s="6">
        <v>50</v>
      </c>
      <c r="D43" s="10">
        <v>71</v>
      </c>
      <c r="E43" s="10">
        <v>74</v>
      </c>
      <c r="F43" s="9">
        <f>IF(Tablo145678910111213141516171819202122232425262728293031[[#This Row],[SATIŞ]]=0,"Açık",(E43-D43)*C43)</f>
        <v>150</v>
      </c>
      <c r="G43" s="11">
        <f>Tablo145678910111213141516171819202122232425262728293031[[#This Row],[ADET]]*Tablo145678910111213141516171819202122232425262728293031[[#This Row],[ALIŞ]]</f>
        <v>3550</v>
      </c>
      <c r="H43" s="11">
        <f>Tablo145678910111213141516171819202122232425262728293031[[#This Row],[ADET]]*Tablo145678910111213141516171819202122232425262728293031[[#This Row],[SATIŞ]]</f>
        <v>3700</v>
      </c>
      <c r="J43" s="40" t="str">
        <f t="shared" si="0"/>
        <v/>
      </c>
    </row>
    <row r="44" spans="2:10" ht="21" hidden="1" customHeight="1" x14ac:dyDescent="0.3">
      <c r="B44" s="2">
        <v>45383</v>
      </c>
      <c r="C44" s="6">
        <v>50</v>
      </c>
      <c r="D44" s="10">
        <v>70</v>
      </c>
      <c r="E44" s="10">
        <v>73.5</v>
      </c>
      <c r="F44" s="9">
        <f>IF(Tablo145678910111213141516171819202122232425262728293031[[#This Row],[SATIŞ]]=0,"Açık",(E44-D44)*C44)</f>
        <v>175</v>
      </c>
      <c r="G44" s="11">
        <f>Tablo145678910111213141516171819202122232425262728293031[[#This Row],[ADET]]*Tablo145678910111213141516171819202122232425262728293031[[#This Row],[ALIŞ]]</f>
        <v>3500</v>
      </c>
      <c r="H44" s="11">
        <f>Tablo145678910111213141516171819202122232425262728293031[[#This Row],[ADET]]*Tablo145678910111213141516171819202122232425262728293031[[#This Row],[SATIŞ]]</f>
        <v>3675</v>
      </c>
      <c r="J44" s="40" t="str">
        <f t="shared" si="0"/>
        <v/>
      </c>
    </row>
    <row r="45" spans="2:10" ht="21" hidden="1" customHeight="1" x14ac:dyDescent="0.3">
      <c r="B45" s="2">
        <v>45383</v>
      </c>
      <c r="C45" s="6">
        <v>50</v>
      </c>
      <c r="D45" s="10">
        <v>68</v>
      </c>
      <c r="E45" s="10">
        <v>72.7</v>
      </c>
      <c r="F45" s="9">
        <f>IF(Tablo145678910111213141516171819202122232425262728293031[[#This Row],[SATIŞ]]=0,"Açık",(E45-D45)*C45)</f>
        <v>235.00000000000014</v>
      </c>
      <c r="G45" s="11">
        <f>Tablo145678910111213141516171819202122232425262728293031[[#This Row],[ADET]]*Tablo145678910111213141516171819202122232425262728293031[[#This Row],[ALIŞ]]</f>
        <v>3400</v>
      </c>
      <c r="H45" s="11">
        <f>Tablo145678910111213141516171819202122232425262728293031[[#This Row],[ADET]]*Tablo145678910111213141516171819202122232425262728293031[[#This Row],[SATIŞ]]</f>
        <v>3635</v>
      </c>
      <c r="J45" s="40" t="str">
        <f t="shared" si="0"/>
        <v/>
      </c>
    </row>
    <row r="46" spans="2:10" ht="21" hidden="1" customHeight="1" x14ac:dyDescent="0.3">
      <c r="B46" s="2">
        <v>45384</v>
      </c>
      <c r="C46" s="6">
        <v>50</v>
      </c>
      <c r="D46" s="10">
        <v>67.5</v>
      </c>
      <c r="E46" s="10">
        <v>70.7</v>
      </c>
      <c r="F46" s="9">
        <f>IF(Tablo145678910111213141516171819202122232425262728293031[[#This Row],[SATIŞ]]=0,"Açık",(E46-D46)*C46)</f>
        <v>160.00000000000014</v>
      </c>
      <c r="G46" s="11">
        <f>Tablo145678910111213141516171819202122232425262728293031[[#This Row],[ADET]]*Tablo145678910111213141516171819202122232425262728293031[[#This Row],[ALIŞ]]</f>
        <v>3375</v>
      </c>
      <c r="H46" s="11">
        <f>Tablo145678910111213141516171819202122232425262728293031[[#This Row],[ADET]]*Tablo145678910111213141516171819202122232425262728293031[[#This Row],[SATIŞ]]</f>
        <v>3535</v>
      </c>
    </row>
    <row r="47" spans="2:10" ht="21" customHeight="1" x14ac:dyDescent="0.3">
      <c r="B47" s="2">
        <v>45397</v>
      </c>
      <c r="C47" s="6">
        <v>100</v>
      </c>
      <c r="D47" s="10">
        <v>73</v>
      </c>
      <c r="E47" s="10"/>
      <c r="F47" s="9" t="str">
        <f>IF(Tablo145678910111213141516171819202122232425262728293031[[#This Row],[SATIŞ]]=0,"Açık",(E47-D47)*C47)</f>
        <v>Açık</v>
      </c>
      <c r="G47" s="11">
        <f>Tablo145678910111213141516171819202122232425262728293031[[#This Row],[ADET]]*Tablo145678910111213141516171819202122232425262728293031[[#This Row],[ALIŞ]]</f>
        <v>7300</v>
      </c>
      <c r="H47" s="11">
        <f>Tablo145678910111213141516171819202122232425262728293031[[#This Row],[ADET]]*Tablo145678910111213141516171819202122232425262728293031[[#This Row],[SATIŞ]]</f>
        <v>0</v>
      </c>
    </row>
    <row r="48" spans="2:10" ht="21" hidden="1" customHeight="1" x14ac:dyDescent="0.3">
      <c r="B48" s="2">
        <v>45398</v>
      </c>
      <c r="C48" s="6">
        <v>100</v>
      </c>
      <c r="D48" s="10">
        <v>71</v>
      </c>
      <c r="E48" s="10">
        <f>+(73.4+74.3)/2</f>
        <v>73.849999999999994</v>
      </c>
      <c r="F48" s="9">
        <f>IF(Tablo145678910111213141516171819202122232425262728293031[[#This Row],[SATIŞ]]=0,"Açık",(E48-D48)*C48)</f>
        <v>284.99999999999943</v>
      </c>
      <c r="G48" s="11">
        <f>Tablo145678910111213141516171819202122232425262728293031[[#This Row],[ADET]]*Tablo145678910111213141516171819202122232425262728293031[[#This Row],[ALIŞ]]</f>
        <v>7100</v>
      </c>
      <c r="H48" s="11">
        <f>Tablo145678910111213141516171819202122232425262728293031[[#This Row],[ADET]]*Tablo145678910111213141516171819202122232425262728293031[[#This Row],[SATIŞ]]</f>
        <v>7384.9999999999991</v>
      </c>
    </row>
    <row r="49" spans="2:8" ht="21" hidden="1" customHeight="1" x14ac:dyDescent="0.3">
      <c r="B49" s="2">
        <v>45398</v>
      </c>
      <c r="C49" s="6">
        <v>50</v>
      </c>
      <c r="D49" s="10">
        <v>70</v>
      </c>
      <c r="E49" s="10">
        <v>72.5</v>
      </c>
      <c r="F49" s="9">
        <f>IF(Tablo145678910111213141516171819202122232425262728293031[[#This Row],[SATIŞ]]=0,"Açık",(E49-D49)*C49)</f>
        <v>125</v>
      </c>
      <c r="G49" s="11">
        <f>Tablo145678910111213141516171819202122232425262728293031[[#This Row],[ADET]]*Tablo145678910111213141516171819202122232425262728293031[[#This Row],[ALIŞ]]</f>
        <v>3500</v>
      </c>
      <c r="H49" s="11">
        <f>Tablo145678910111213141516171819202122232425262728293031[[#This Row],[ADET]]*Tablo145678910111213141516171819202122232425262728293031[[#This Row],[SATIŞ]]</f>
        <v>3625</v>
      </c>
    </row>
    <row r="50" spans="2:8" ht="21" customHeight="1" x14ac:dyDescent="0.3">
      <c r="B50" s="2">
        <v>45399</v>
      </c>
      <c r="C50" s="6">
        <v>100</v>
      </c>
      <c r="D50" s="10">
        <v>71</v>
      </c>
      <c r="E50" s="10"/>
      <c r="F50" s="9" t="str">
        <f>IF(Tablo145678910111213141516171819202122232425262728293031[[#This Row],[SATIŞ]]=0,"Açık",(E50-D50)*C50)</f>
        <v>Açık</v>
      </c>
      <c r="G50" s="11">
        <f>Tablo145678910111213141516171819202122232425262728293031[[#This Row],[ADET]]*Tablo145678910111213141516171819202122232425262728293031[[#This Row],[ALIŞ]]</f>
        <v>7100</v>
      </c>
      <c r="H50" s="11">
        <f>Tablo145678910111213141516171819202122232425262728293031[[#This Row],[ADET]]*Tablo145678910111213141516171819202122232425262728293031[[#This Row],[SATIŞ]]</f>
        <v>0</v>
      </c>
    </row>
    <row r="51" spans="2:8" ht="21" customHeight="1" x14ac:dyDescent="0.3">
      <c r="B51" s="2">
        <v>45399</v>
      </c>
      <c r="C51" s="6">
        <v>100</v>
      </c>
      <c r="D51" s="10">
        <v>70</v>
      </c>
      <c r="E51" s="10"/>
      <c r="F51" s="9" t="str">
        <f>IF(Tablo145678910111213141516171819202122232425262728293031[[#This Row],[SATIŞ]]=0,"Açık",(E51-D51)*C51)</f>
        <v>Açık</v>
      </c>
      <c r="G51" s="11">
        <f>Tablo145678910111213141516171819202122232425262728293031[[#This Row],[ADET]]*Tablo145678910111213141516171819202122232425262728293031[[#This Row],[ALIŞ]]</f>
        <v>7000</v>
      </c>
      <c r="H51" s="11">
        <f>Tablo145678910111213141516171819202122232425262728293031[[#This Row],[ADET]]*Tablo145678910111213141516171819202122232425262728293031[[#This Row],[SATIŞ]]</f>
        <v>0</v>
      </c>
    </row>
    <row r="52" spans="2:8" ht="21" hidden="1" customHeight="1" x14ac:dyDescent="0.3">
      <c r="B52" s="2">
        <v>45400</v>
      </c>
      <c r="C52" s="6">
        <v>30</v>
      </c>
      <c r="D52" s="10">
        <v>69</v>
      </c>
      <c r="E52" s="10">
        <v>70</v>
      </c>
      <c r="F52" s="9">
        <f>IF(Tablo145678910111213141516171819202122232425262728293031[[#This Row],[SATIŞ]]=0,"Açık",(E52-D52)*C52)</f>
        <v>30</v>
      </c>
      <c r="G52" s="11">
        <f>Tablo145678910111213141516171819202122232425262728293031[[#This Row],[ADET]]*Tablo145678910111213141516171819202122232425262728293031[[#This Row],[ALIŞ]]</f>
        <v>2070</v>
      </c>
      <c r="H52" s="11">
        <f>Tablo145678910111213141516171819202122232425262728293031[[#This Row],[ADET]]*Tablo145678910111213141516171819202122232425262728293031[[#This Row],[SATIŞ]]</f>
        <v>2100</v>
      </c>
    </row>
  </sheetData>
  <conditionalFormatting sqref="B4:F52">
    <cfRule type="expression" dxfId="83" priority="1">
      <formula>$F4&lt;0</formula>
    </cfRule>
    <cfRule type="expression" dxfId="82" priority="2">
      <formula>$F4="Açık"</formula>
    </cfRule>
    <cfRule type="expression" dxfId="81" priority="3">
      <formula>$F4&gt;0</formula>
    </cfRule>
  </conditionalFormatting>
  <hyperlinks>
    <hyperlink ref="B1" location="İcmal!A1" display="ANA SAYFA" xr:uid="{2ED9EFCC-3F8D-48C4-9AE6-B53C2F1DCD73}"/>
  </hyperlinks>
  <pageMargins left="0.7" right="0.7" top="0.75" bottom="0.75" header="0.3" footer="0.3"/>
  <tableParts count="1">
    <tablePart r:id="rId1"/>
  </tablePart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A8C76-A055-49BE-A307-FC58C5C1BC17}">
  <dimension ref="B1:N10"/>
  <sheetViews>
    <sheetView showGridLines="0" showZeros="0" workbookViewId="0">
      <pane ySplit="1" topLeftCell="A2" activePane="bottomLeft" state="frozen"/>
      <selection activeCell="C23" sqref="C23"/>
      <selection pane="bottomLeft" activeCell="E6" sqref="E6"/>
    </sheetView>
  </sheetViews>
  <sheetFormatPr defaultRowHeight="21" customHeight="1" x14ac:dyDescent="0.3"/>
  <cols>
    <col min="2" max="2" width="20.6640625" style="1" customWidth="1"/>
    <col min="3" max="3" width="11.33203125" style="6" customWidth="1"/>
    <col min="4" max="5" width="12.88671875" style="3" customWidth="1"/>
    <col min="6" max="6" width="12.88671875" style="5" customWidth="1"/>
    <col min="7" max="8" width="11.33203125" bestFit="1" customWidth="1"/>
    <col min="12" max="13" width="11.33203125" bestFit="1" customWidth="1"/>
    <col min="14" max="14" width="10.33203125" bestFit="1" customWidth="1"/>
  </cols>
  <sheetData>
    <row r="1" spans="2:14" ht="21" customHeight="1" x14ac:dyDescent="0.3">
      <c r="B1" s="12" t="s">
        <v>64</v>
      </c>
      <c r="C1" s="4">
        <f>SUMIF(Tablo14567891011121314151617181920212223242526272829303132[KAR],"Açık",Tablo14567891011121314151617181920212223242526272829303132[ADET])</f>
        <v>0</v>
      </c>
      <c r="D1" s="10">
        <f>+İcmal!E44</f>
        <v>315</v>
      </c>
      <c r="E1" s="10">
        <f>C1*D1</f>
        <v>0</v>
      </c>
      <c r="F1" s="10" t="str">
        <f>IFERROR(((SUM(Tablo14567891011121314151617181920212223242526272829303132[ALIŞ TUTAR])-SUM(Tablo14567891011121314151617181920212223242526272829303132[SATIŞ TUTAR]))/C1),"")</f>
        <v/>
      </c>
      <c r="G1" s="10" t="e">
        <f>SUM(Tablo14567891011121314151617181920212223242526272829303132[KAR])+C1*(D1-F1)</f>
        <v>#VALUE!</v>
      </c>
    </row>
    <row r="3" spans="2:14" ht="21" customHeight="1" x14ac:dyDescent="0.3">
      <c r="B3" s="1" t="s">
        <v>0</v>
      </c>
      <c r="C3" s="6" t="s">
        <v>4</v>
      </c>
      <c r="D3" s="3" t="s">
        <v>1</v>
      </c>
      <c r="E3" s="3" t="s">
        <v>3</v>
      </c>
      <c r="F3" s="5" t="s">
        <v>2</v>
      </c>
      <c r="G3" s="3" t="s">
        <v>8</v>
      </c>
      <c r="H3" s="3" t="s">
        <v>9</v>
      </c>
    </row>
    <row r="4" spans="2:14" ht="21" customHeight="1" x14ac:dyDescent="0.3">
      <c r="B4" s="2">
        <v>45291</v>
      </c>
      <c r="C4" s="6">
        <v>3</v>
      </c>
      <c r="D4" s="10">
        <v>327.8</v>
      </c>
      <c r="E4" s="10">
        <v>332.83330000000001</v>
      </c>
      <c r="F4" s="9">
        <f>IF(Tablo14567891011121314151617181920212223242526272829303132[[#This Row],[SATIŞ]]=0,"Açık",(E4-D4)*C4)</f>
        <v>15.099899999999991</v>
      </c>
      <c r="G4" s="11">
        <f>Tablo14567891011121314151617181920212223242526272829303132[[#This Row],[ADET]]*Tablo14567891011121314151617181920212223242526272829303132[[#This Row],[ALIŞ]]</f>
        <v>983.40000000000009</v>
      </c>
      <c r="H4" s="11">
        <f>Tablo14567891011121314151617181920212223242526272829303132[[#This Row],[ADET]]*Tablo14567891011121314151617181920212223242526272829303132[[#This Row],[SATIŞ]]</f>
        <v>998.49990000000003</v>
      </c>
      <c r="L4" s="8">
        <f>SUM(Tablo14567891011121314151617181920212223242526272829303132[ALIŞ TUTAR])</f>
        <v>1639</v>
      </c>
      <c r="M4" s="8">
        <f>SUM(Tablo14567891011121314151617181920212223242526272829303132[SATIŞ TUTAR])</f>
        <v>1632.4999</v>
      </c>
      <c r="N4" s="8">
        <f>L4-M4</f>
        <v>6.5000999999999749</v>
      </c>
    </row>
    <row r="5" spans="2:14" ht="21" customHeight="1" x14ac:dyDescent="0.3">
      <c r="B5" s="2">
        <v>45291</v>
      </c>
      <c r="C5" s="6">
        <v>2</v>
      </c>
      <c r="D5" s="10">
        <v>327.8</v>
      </c>
      <c r="E5" s="10">
        <v>317</v>
      </c>
      <c r="F5" s="9">
        <f>IF(Tablo14567891011121314151617181920212223242526272829303132[[#This Row],[SATIŞ]]=0,"Açık",(E5-D5)*C5)</f>
        <v>-21.600000000000023</v>
      </c>
      <c r="G5" s="11">
        <f>Tablo14567891011121314151617181920212223242526272829303132[[#This Row],[ADET]]*Tablo14567891011121314151617181920212223242526272829303132[[#This Row],[ALIŞ]]</f>
        <v>655.6</v>
      </c>
      <c r="H5" s="11">
        <f>Tablo14567891011121314151617181920212223242526272829303132[[#This Row],[ADET]]*Tablo14567891011121314151617181920212223242526272829303132[[#This Row],[SATIŞ]]</f>
        <v>634</v>
      </c>
      <c r="N5">
        <f>+N4/80</f>
        <v>8.1251249999999692E-2</v>
      </c>
    </row>
    <row r="6" spans="2:14" ht="21" customHeight="1" x14ac:dyDescent="0.3">
      <c r="B6" s="2"/>
      <c r="D6" s="10"/>
      <c r="E6" s="10"/>
      <c r="F6" s="9" t="str">
        <f>IF(Tablo14567891011121314151617181920212223242526272829303132[[#This Row],[SATIŞ]]=0,"Açık",(E6-D6)*C6)</f>
        <v>Açık</v>
      </c>
      <c r="G6" s="11">
        <f>Tablo14567891011121314151617181920212223242526272829303132[[#This Row],[ADET]]*Tablo14567891011121314151617181920212223242526272829303132[[#This Row],[ALIŞ]]</f>
        <v>0</v>
      </c>
      <c r="H6" s="11">
        <f>Tablo14567891011121314151617181920212223242526272829303132[[#This Row],[ADET]]*Tablo14567891011121314151617181920212223242526272829303132[[#This Row],[SATIŞ]]</f>
        <v>0</v>
      </c>
    </row>
    <row r="7" spans="2:14" ht="21" customHeight="1" x14ac:dyDescent="0.3">
      <c r="B7" s="2"/>
      <c r="D7" s="10"/>
      <c r="E7" s="10"/>
      <c r="F7" s="9" t="str">
        <f>IF(Tablo14567891011121314151617181920212223242526272829303132[[#This Row],[SATIŞ]]=0,"Açık",(E7-D7)*C7)</f>
        <v>Açık</v>
      </c>
      <c r="G7" s="11">
        <f>Tablo14567891011121314151617181920212223242526272829303132[[#This Row],[ADET]]*Tablo14567891011121314151617181920212223242526272829303132[[#This Row],[ALIŞ]]</f>
        <v>0</v>
      </c>
      <c r="H7" s="11">
        <f>Tablo14567891011121314151617181920212223242526272829303132[[#This Row],[ADET]]*Tablo14567891011121314151617181920212223242526272829303132[[#This Row],[SATIŞ]]</f>
        <v>0</v>
      </c>
    </row>
    <row r="8" spans="2:14" ht="21" customHeight="1" x14ac:dyDescent="0.3">
      <c r="B8" s="2"/>
      <c r="D8" s="10"/>
      <c r="E8" s="10"/>
      <c r="F8" s="9" t="str">
        <f>IF(Tablo14567891011121314151617181920212223242526272829303132[[#This Row],[SATIŞ]]=0,"Açık",(E8-D8)*C8)</f>
        <v>Açık</v>
      </c>
      <c r="G8" s="11">
        <f>Tablo14567891011121314151617181920212223242526272829303132[[#This Row],[ADET]]*Tablo14567891011121314151617181920212223242526272829303132[[#This Row],[ALIŞ]]</f>
        <v>0</v>
      </c>
      <c r="H8" s="11">
        <f>Tablo14567891011121314151617181920212223242526272829303132[[#This Row],[ADET]]*Tablo14567891011121314151617181920212223242526272829303132[[#This Row],[SATIŞ]]</f>
        <v>0</v>
      </c>
    </row>
    <row r="9" spans="2:14" ht="21" customHeight="1" x14ac:dyDescent="0.3">
      <c r="B9" s="2"/>
      <c r="D9" s="10"/>
      <c r="E9" s="10"/>
      <c r="F9" s="9" t="str">
        <f>IF(Tablo14567891011121314151617181920212223242526272829303132[[#This Row],[SATIŞ]]=0,"Açık",(E9-D9)*C9)</f>
        <v>Açık</v>
      </c>
      <c r="G9" s="11">
        <f>Tablo14567891011121314151617181920212223242526272829303132[[#This Row],[ADET]]*Tablo14567891011121314151617181920212223242526272829303132[[#This Row],[ALIŞ]]</f>
        <v>0</v>
      </c>
      <c r="H9" s="11">
        <f>Tablo14567891011121314151617181920212223242526272829303132[[#This Row],[ADET]]*Tablo14567891011121314151617181920212223242526272829303132[[#This Row],[SATIŞ]]</f>
        <v>0</v>
      </c>
    </row>
    <row r="10" spans="2:14" ht="21" customHeight="1" x14ac:dyDescent="0.3">
      <c r="B10" s="2"/>
      <c r="D10" s="10"/>
      <c r="E10" s="10"/>
      <c r="F10" s="9" t="str">
        <f>IF(Tablo14567891011121314151617181920212223242526272829303132[[#This Row],[SATIŞ]]=0,"Açık",(E10-D10)*C10)</f>
        <v>Açık</v>
      </c>
      <c r="G10" s="11">
        <f>Tablo14567891011121314151617181920212223242526272829303132[[#This Row],[ADET]]*Tablo14567891011121314151617181920212223242526272829303132[[#This Row],[ALIŞ]]</f>
        <v>0</v>
      </c>
      <c r="H10" s="11">
        <f>Tablo14567891011121314151617181920212223242526272829303132[[#This Row],[ADET]]*Tablo14567891011121314151617181920212223242526272829303132[[#This Row],[SATIŞ]]</f>
        <v>0</v>
      </c>
    </row>
  </sheetData>
  <conditionalFormatting sqref="B4:F10">
    <cfRule type="expression" dxfId="80" priority="1">
      <formula>$F4&lt;0</formula>
    </cfRule>
    <cfRule type="expression" dxfId="79" priority="2">
      <formula>$F4="Açık"</formula>
    </cfRule>
    <cfRule type="expression" dxfId="78" priority="3">
      <formula>$F4&gt;0</formula>
    </cfRule>
  </conditionalFormatting>
  <hyperlinks>
    <hyperlink ref="B1" location="İcmal!A1" display="ANA SAYFA" xr:uid="{7D08F26C-4942-4851-8578-BBAC04419446}"/>
  </hyperlinks>
  <pageMargins left="0.7" right="0.7" top="0.75" bottom="0.75" header="0.3" footer="0.3"/>
  <tableParts count="1">
    <tablePart r:id="rId1"/>
  </tablePart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D9D0D-BADF-4858-BECD-DBF649743984}">
  <sheetPr>
    <tabColor rgb="FFFFABAB"/>
  </sheetPr>
  <dimension ref="B1:R33"/>
  <sheetViews>
    <sheetView showGridLines="0" showZeros="0" zoomScale="110" zoomScaleNormal="110" workbookViewId="0">
      <pane ySplit="3" topLeftCell="A13" activePane="bottomLeft" state="frozen"/>
      <selection pane="bottomLeft" activeCell="E24" sqref="E24"/>
    </sheetView>
  </sheetViews>
  <sheetFormatPr defaultRowHeight="21" customHeight="1" x14ac:dyDescent="0.3"/>
  <cols>
    <col min="2" max="2" width="20.6640625" style="1" customWidth="1"/>
    <col min="3" max="3" width="11.33203125" style="6" customWidth="1"/>
    <col min="4" max="5" width="12.88671875" style="3" customWidth="1"/>
    <col min="6" max="6" width="12.88671875" style="5" customWidth="1"/>
    <col min="7" max="8" width="11.44140625" bestFit="1" customWidth="1"/>
    <col min="10" max="12" width="12.44140625" customWidth="1"/>
    <col min="13" max="14" width="11.6640625" bestFit="1" customWidth="1"/>
  </cols>
  <sheetData>
    <row r="1" spans="2:18" ht="21" customHeight="1" x14ac:dyDescent="0.3">
      <c r="B1" s="12" t="s">
        <v>64</v>
      </c>
      <c r="C1" s="4">
        <f>SUMIF(Tablo1456789101112131415161718192021222324252627282930313233[KAR],"Açık",Tablo1456789101112131415161718192021222324252627282930313233[ADET])</f>
        <v>700</v>
      </c>
      <c r="D1" s="10">
        <f>+İcmal!E45</f>
        <v>57.65</v>
      </c>
      <c r="E1" s="10">
        <f>C1*D1</f>
        <v>40355</v>
      </c>
      <c r="F1" s="10">
        <f>IFERROR(((SUM(Tablo1456789101112131415161718192021222324252627282930313233[ALIŞ TUTAR])-SUM(Tablo1456789101112131415161718192021222324252627282930313233[SATIŞ TUTAR]))/C1),"")</f>
        <v>62.28293428571429</v>
      </c>
      <c r="G1" s="10">
        <f>IF(M3=0,L3,C1*(D1-F1))</f>
        <v>-3243.0540000000042</v>
      </c>
      <c r="J1" s="45" t="s">
        <v>94</v>
      </c>
      <c r="K1" s="45" t="s">
        <v>95</v>
      </c>
      <c r="L1" s="45" t="s">
        <v>96</v>
      </c>
      <c r="M1" s="33">
        <f>F1</f>
        <v>62.28293428571429</v>
      </c>
      <c r="N1" s="8" t="e">
        <f>M1*(1+$J$1)</f>
        <v>#VALUE!</v>
      </c>
      <c r="P1" s="8" t="e">
        <f>Q1*(1-$J$1)</f>
        <v>#VALUE!</v>
      </c>
      <c r="Q1" s="33">
        <f>+D1</f>
        <v>57.65</v>
      </c>
      <c r="R1" s="8" t="e">
        <f>Q1*(1+$J$1)</f>
        <v>#VALUE!</v>
      </c>
    </row>
    <row r="2" spans="2:18" ht="21" customHeight="1" x14ac:dyDescent="0.3">
      <c r="B2" s="7" t="s">
        <v>42</v>
      </c>
      <c r="J2" s="45">
        <f>SUMIFS(Tablo2[HEDEF2],Tablo2[HİSSE],B2)</f>
        <v>2000</v>
      </c>
      <c r="K2" s="45">
        <f>+E1/İcmal!$P$2</f>
        <v>1240.5471872118044</v>
      </c>
      <c r="L2" s="45">
        <f>+J2-K2</f>
        <v>759.45281278819562</v>
      </c>
    </row>
    <row r="3" spans="2:18" ht="21" customHeight="1" x14ac:dyDescent="0.3">
      <c r="B3" s="1" t="s">
        <v>0</v>
      </c>
      <c r="C3" s="6" t="s">
        <v>4</v>
      </c>
      <c r="D3" s="3" t="s">
        <v>1</v>
      </c>
      <c r="E3" s="3" t="s">
        <v>3</v>
      </c>
      <c r="F3" s="5" t="s">
        <v>2</v>
      </c>
      <c r="G3" s="3" t="s">
        <v>8</v>
      </c>
      <c r="H3" s="3" t="s">
        <v>9</v>
      </c>
      <c r="L3">
        <f>+SUM(Tablo1456789101112131415161718192021222324252627282930313233[KAR])</f>
        <v>1060.4459999999999</v>
      </c>
      <c r="M3" s="37">
        <f>+C1</f>
        <v>700</v>
      </c>
    </row>
    <row r="4" spans="2:18" ht="21" hidden="1" customHeight="1" x14ac:dyDescent="0.3">
      <c r="B4" s="2">
        <v>45291</v>
      </c>
      <c r="C4" s="6">
        <v>100</v>
      </c>
      <c r="D4" s="10">
        <v>32.832470000000001</v>
      </c>
      <c r="E4" s="10">
        <v>33.366930000000004</v>
      </c>
      <c r="F4" s="9">
        <f>IF(Tablo1456789101112131415161718192021222324252627282930313233[[#This Row],[SATIŞ]]=0,"Açık",(E4-D4)*C4)</f>
        <v>53.446000000000282</v>
      </c>
      <c r="G4" s="11">
        <f>Tablo1456789101112131415161718192021222324252627282930313233[[#This Row],[ADET]]*Tablo1456789101112131415161718192021222324252627282930313233[[#This Row],[ALIŞ]]</f>
        <v>3283.2470000000003</v>
      </c>
      <c r="H4" s="11">
        <f>Tablo1456789101112131415161718192021222324252627282930313233[[#This Row],[ADET]]*Tablo1456789101112131415161718192021222324252627282930313233[[#This Row],[SATIŞ]]</f>
        <v>3336.6930000000002</v>
      </c>
      <c r="J4" s="40" t="str">
        <f t="shared" ref="J4:J29" si="0">IF(E4=0,D4*1.05,"")</f>
        <v/>
      </c>
      <c r="L4" s="8">
        <f>SUM(Tablo1456789101112131415161718192021222324252627282930313233[ALIŞ TUTAR])</f>
        <v>91014.747000000003</v>
      </c>
      <c r="M4" s="8">
        <f>SUM(Tablo1456789101112131415161718192021222324252627282930313233[SATIŞ TUTAR])</f>
        <v>47416.692999999999</v>
      </c>
      <c r="N4" s="8">
        <f>L4-M4</f>
        <v>43598.054000000004</v>
      </c>
    </row>
    <row r="5" spans="2:18" ht="21" hidden="1" customHeight="1" x14ac:dyDescent="0.3">
      <c r="B5" s="2">
        <v>45329</v>
      </c>
      <c r="C5" s="6">
        <v>10</v>
      </c>
      <c r="D5" s="10">
        <v>63.5</v>
      </c>
      <c r="E5" s="10">
        <v>67.5</v>
      </c>
      <c r="F5" s="9">
        <f>IF(Tablo1456789101112131415161718192021222324252627282930313233[[#This Row],[SATIŞ]]=0,"Açık",(E5-D5)*C5)</f>
        <v>40</v>
      </c>
      <c r="G5" s="11">
        <f>Tablo1456789101112131415161718192021222324252627282930313233[[#This Row],[ADET]]*Tablo1456789101112131415161718192021222324252627282930313233[[#This Row],[ALIŞ]]</f>
        <v>635</v>
      </c>
      <c r="H5" s="11">
        <f>Tablo1456789101112131415161718192021222324252627282930313233[[#This Row],[ADET]]*Tablo1456789101112131415161718192021222324252627282930313233[[#This Row],[SATIŞ]]</f>
        <v>675</v>
      </c>
      <c r="J5" s="40" t="str">
        <f t="shared" si="0"/>
        <v/>
      </c>
      <c r="N5">
        <f>+N4/80</f>
        <v>544.97567500000002</v>
      </c>
    </row>
    <row r="6" spans="2:18" ht="21" customHeight="1" x14ac:dyDescent="0.3">
      <c r="B6" s="2">
        <v>45335</v>
      </c>
      <c r="C6" s="6">
        <v>40</v>
      </c>
      <c r="D6" s="10">
        <v>67.400000000000006</v>
      </c>
      <c r="E6" s="10"/>
      <c r="F6" s="9" t="str">
        <f>IF(Tablo1456789101112131415161718192021222324252627282930313233[[#This Row],[SATIŞ]]=0,"Açık",(E6-D6)*C6)</f>
        <v>Açık</v>
      </c>
      <c r="G6" s="11">
        <f>Tablo1456789101112131415161718192021222324252627282930313233[[#This Row],[ADET]]*Tablo1456789101112131415161718192021222324252627282930313233[[#This Row],[ALIŞ]]</f>
        <v>2696</v>
      </c>
      <c r="H6" s="11">
        <f>Tablo1456789101112131415161718192021222324252627282930313233[[#This Row],[ADET]]*Tablo1456789101112131415161718192021222324252627282930313233[[#This Row],[SATIŞ]]</f>
        <v>0</v>
      </c>
      <c r="J6" s="40">
        <f t="shared" si="0"/>
        <v>70.77000000000001</v>
      </c>
    </row>
    <row r="7" spans="2:18" ht="21" hidden="1" customHeight="1" x14ac:dyDescent="0.3">
      <c r="B7" s="2">
        <v>45335</v>
      </c>
      <c r="C7" s="6">
        <v>10</v>
      </c>
      <c r="D7" s="10">
        <v>66.8</v>
      </c>
      <c r="E7" s="10">
        <v>67.5</v>
      </c>
      <c r="F7" s="9">
        <f>IF(Tablo1456789101112131415161718192021222324252627282930313233[[#This Row],[SATIŞ]]=0,"Açık",(E7-D7)*C7)</f>
        <v>7.0000000000000284</v>
      </c>
      <c r="G7" s="11">
        <f>Tablo1456789101112131415161718192021222324252627282930313233[[#This Row],[ADET]]*Tablo1456789101112131415161718192021222324252627282930313233[[#This Row],[ALIŞ]]</f>
        <v>668</v>
      </c>
      <c r="H7" s="11">
        <f>Tablo1456789101112131415161718192021222324252627282930313233[[#This Row],[ADET]]*Tablo1456789101112131415161718192021222324252627282930313233[[#This Row],[SATIŞ]]</f>
        <v>675</v>
      </c>
      <c r="J7" s="40" t="str">
        <f t="shared" si="0"/>
        <v/>
      </c>
    </row>
    <row r="8" spans="2:18" ht="21" hidden="1" customHeight="1" x14ac:dyDescent="0.3">
      <c r="B8" s="2">
        <v>45336</v>
      </c>
      <c r="C8" s="6">
        <v>40</v>
      </c>
      <c r="D8" s="10">
        <v>65</v>
      </c>
      <c r="E8" s="10">
        <v>67</v>
      </c>
      <c r="F8" s="9">
        <f>IF(Tablo1456789101112131415161718192021222324252627282930313233[[#This Row],[SATIŞ]]=0,"Açık",(E8-D8)*C8)</f>
        <v>80</v>
      </c>
      <c r="G8" s="11">
        <f>Tablo1456789101112131415161718192021222324252627282930313233[[#This Row],[ADET]]*Tablo1456789101112131415161718192021222324252627282930313233[[#This Row],[ALIŞ]]</f>
        <v>2600</v>
      </c>
      <c r="H8" s="11">
        <f>Tablo1456789101112131415161718192021222324252627282930313233[[#This Row],[ADET]]*Tablo1456789101112131415161718192021222324252627282930313233[[#This Row],[SATIŞ]]</f>
        <v>2680</v>
      </c>
      <c r="J8" s="40" t="str">
        <f t="shared" si="0"/>
        <v/>
      </c>
    </row>
    <row r="9" spans="2:18" ht="21" hidden="1" customHeight="1" x14ac:dyDescent="0.3">
      <c r="B9" s="2">
        <v>45341</v>
      </c>
      <c r="C9" s="6">
        <v>40</v>
      </c>
      <c r="D9" s="10">
        <v>65.5</v>
      </c>
      <c r="E9" s="10">
        <v>67</v>
      </c>
      <c r="F9" s="9">
        <f>IF(Tablo1456789101112131415161718192021222324252627282930313233[[#This Row],[SATIŞ]]=0,"Açık",(E9-D9)*C9)</f>
        <v>60</v>
      </c>
      <c r="G9" s="11">
        <f>Tablo1456789101112131415161718192021222324252627282930313233[[#This Row],[ADET]]*Tablo1456789101112131415161718192021222324252627282930313233[[#This Row],[ALIŞ]]</f>
        <v>2620</v>
      </c>
      <c r="H9" s="11">
        <f>Tablo1456789101112131415161718192021222324252627282930313233[[#This Row],[ADET]]*Tablo1456789101112131415161718192021222324252627282930313233[[#This Row],[SATIŞ]]</f>
        <v>2680</v>
      </c>
      <c r="J9" s="40" t="str">
        <f t="shared" si="0"/>
        <v/>
      </c>
    </row>
    <row r="10" spans="2:18" ht="21" customHeight="1" x14ac:dyDescent="0.3">
      <c r="B10" s="2">
        <v>45349</v>
      </c>
      <c r="C10" s="6">
        <v>40</v>
      </c>
      <c r="D10" s="10">
        <v>69</v>
      </c>
      <c r="E10" s="10"/>
      <c r="F10" s="9" t="str">
        <f>IF(Tablo1456789101112131415161718192021222324252627282930313233[[#This Row],[SATIŞ]]=0,"Açık",(E10-D10)*C10)</f>
        <v>Açık</v>
      </c>
      <c r="G10" s="11">
        <f>Tablo1456789101112131415161718192021222324252627282930313233[[#This Row],[ADET]]*Tablo1456789101112131415161718192021222324252627282930313233[[#This Row],[ALIŞ]]</f>
        <v>2760</v>
      </c>
      <c r="H10" s="11">
        <f>Tablo1456789101112131415161718192021222324252627282930313233[[#This Row],[ADET]]*Tablo1456789101112131415161718192021222324252627282930313233[[#This Row],[SATIŞ]]</f>
        <v>0</v>
      </c>
      <c r="J10" s="40">
        <f t="shared" si="0"/>
        <v>72.45</v>
      </c>
    </row>
    <row r="11" spans="2:18" ht="21" hidden="1" customHeight="1" x14ac:dyDescent="0.3">
      <c r="B11" s="2">
        <v>45349</v>
      </c>
      <c r="C11" s="6">
        <v>30</v>
      </c>
      <c r="D11" s="10">
        <v>67</v>
      </c>
      <c r="E11" s="10">
        <v>69</v>
      </c>
      <c r="F11" s="9">
        <f>IF(Tablo1456789101112131415161718192021222324252627282930313233[[#This Row],[SATIŞ]]=0,"Açık",(E11-D11)*C11)</f>
        <v>60</v>
      </c>
      <c r="G11" s="11">
        <f>Tablo1456789101112131415161718192021222324252627282930313233[[#This Row],[ADET]]*Tablo1456789101112131415161718192021222324252627282930313233[[#This Row],[ALIŞ]]</f>
        <v>2010</v>
      </c>
      <c r="H11" s="11">
        <f>Tablo1456789101112131415161718192021222324252627282930313233[[#This Row],[ADET]]*Tablo1456789101112131415161718192021222324252627282930313233[[#This Row],[SATIŞ]]</f>
        <v>2070</v>
      </c>
      <c r="J11" s="40" t="str">
        <f t="shared" si="0"/>
        <v/>
      </c>
    </row>
    <row r="12" spans="2:18" ht="21" customHeight="1" x14ac:dyDescent="0.3">
      <c r="B12" s="2">
        <v>45349</v>
      </c>
      <c r="C12" s="6">
        <v>20</v>
      </c>
      <c r="D12" s="10">
        <v>67</v>
      </c>
      <c r="E12" s="10"/>
      <c r="F12" s="9" t="str">
        <f>IF(Tablo1456789101112131415161718192021222324252627282930313233[[#This Row],[SATIŞ]]=0,"Açık",(E12-D12)*C12)</f>
        <v>Açık</v>
      </c>
      <c r="G12" s="11">
        <f>Tablo1456789101112131415161718192021222324252627282930313233[[#This Row],[ADET]]*Tablo1456789101112131415161718192021222324252627282930313233[[#This Row],[ALIŞ]]</f>
        <v>1340</v>
      </c>
      <c r="H12" s="11">
        <f>Tablo1456789101112131415161718192021222324252627282930313233[[#This Row],[ADET]]*Tablo1456789101112131415161718192021222324252627282930313233[[#This Row],[SATIŞ]]</f>
        <v>0</v>
      </c>
      <c r="J12" s="40">
        <f t="shared" si="0"/>
        <v>70.350000000000009</v>
      </c>
    </row>
    <row r="13" spans="2:18" ht="21" customHeight="1" x14ac:dyDescent="0.3">
      <c r="B13" s="2">
        <v>45355</v>
      </c>
      <c r="C13" s="6">
        <v>50</v>
      </c>
      <c r="D13" s="10">
        <v>68</v>
      </c>
      <c r="E13" s="10"/>
      <c r="F13" s="9" t="str">
        <f>IF(Tablo1456789101112131415161718192021222324252627282930313233[[#This Row],[SATIŞ]]=0,"Açık",(E13-D13)*C13)</f>
        <v>Açık</v>
      </c>
      <c r="G13" s="11">
        <f>Tablo1456789101112131415161718192021222324252627282930313233[[#This Row],[ADET]]*Tablo1456789101112131415161718192021222324252627282930313233[[#This Row],[ALIŞ]]</f>
        <v>3400</v>
      </c>
      <c r="H13" s="11">
        <f>Tablo1456789101112131415161718192021222324252627282930313233[[#This Row],[ADET]]*Tablo1456789101112131415161718192021222324252627282930313233[[#This Row],[SATIŞ]]</f>
        <v>0</v>
      </c>
      <c r="J13" s="40">
        <f t="shared" si="0"/>
        <v>71.400000000000006</v>
      </c>
    </row>
    <row r="14" spans="2:18" ht="21" customHeight="1" x14ac:dyDescent="0.3">
      <c r="B14" s="2">
        <v>45359</v>
      </c>
      <c r="C14" s="6">
        <v>50</v>
      </c>
      <c r="D14" s="10">
        <v>68.5</v>
      </c>
      <c r="E14" s="10"/>
      <c r="F14" s="9" t="str">
        <f>IF(Tablo1456789101112131415161718192021222324252627282930313233[[#This Row],[SATIŞ]]=0,"Açık",(E14-D14)*C14)</f>
        <v>Açık</v>
      </c>
      <c r="G14" s="11">
        <f>Tablo1456789101112131415161718192021222324252627282930313233[[#This Row],[ADET]]*Tablo1456789101112131415161718192021222324252627282930313233[[#This Row],[ALIŞ]]</f>
        <v>3425</v>
      </c>
      <c r="H14" s="11">
        <f>Tablo1456789101112131415161718192021222324252627282930313233[[#This Row],[ADET]]*Tablo1456789101112131415161718192021222324252627282930313233[[#This Row],[SATIŞ]]</f>
        <v>0</v>
      </c>
      <c r="J14" s="40">
        <f t="shared" si="0"/>
        <v>71.924999999999997</v>
      </c>
    </row>
    <row r="15" spans="2:18" ht="21" customHeight="1" x14ac:dyDescent="0.3">
      <c r="B15" s="2">
        <v>45359</v>
      </c>
      <c r="C15" s="6">
        <v>50</v>
      </c>
      <c r="D15" s="10">
        <v>68</v>
      </c>
      <c r="E15" s="10"/>
      <c r="F15" s="9" t="str">
        <f>IF(Tablo1456789101112131415161718192021222324252627282930313233[[#This Row],[SATIŞ]]=0,"Açık",(E15-D15)*C15)</f>
        <v>Açık</v>
      </c>
      <c r="G15" s="11">
        <f>Tablo1456789101112131415161718192021222324252627282930313233[[#This Row],[ADET]]*Tablo1456789101112131415161718192021222324252627282930313233[[#This Row],[ALIŞ]]</f>
        <v>3400</v>
      </c>
      <c r="H15" s="11">
        <f>Tablo1456789101112131415161718192021222324252627282930313233[[#This Row],[ADET]]*Tablo1456789101112131415161718192021222324252627282930313233[[#This Row],[SATIŞ]]</f>
        <v>0</v>
      </c>
      <c r="J15" s="40">
        <f t="shared" si="0"/>
        <v>71.400000000000006</v>
      </c>
    </row>
    <row r="16" spans="2:18" ht="21" customHeight="1" x14ac:dyDescent="0.3">
      <c r="B16" s="2">
        <v>45365</v>
      </c>
      <c r="C16" s="6">
        <v>100</v>
      </c>
      <c r="D16" s="10">
        <v>63.95</v>
      </c>
      <c r="E16" s="10"/>
      <c r="F16" s="9" t="str">
        <f>IF(Tablo1456789101112131415161718192021222324252627282930313233[[#This Row],[SATIŞ]]=0,"Açık",(E16-D16)*C16)</f>
        <v>Açık</v>
      </c>
      <c r="G16" s="11">
        <f>Tablo1456789101112131415161718192021222324252627282930313233[[#This Row],[ADET]]*Tablo1456789101112131415161718192021222324252627282930313233[[#This Row],[ALIŞ]]</f>
        <v>6395</v>
      </c>
      <c r="H16" s="11">
        <f>Tablo1456789101112131415161718192021222324252627282930313233[[#This Row],[ADET]]*Tablo1456789101112131415161718192021222324252627282930313233[[#This Row],[SATIŞ]]</f>
        <v>0</v>
      </c>
      <c r="J16" s="40">
        <f t="shared" si="0"/>
        <v>67.147500000000008</v>
      </c>
    </row>
    <row r="17" spans="2:10" ht="21" customHeight="1" x14ac:dyDescent="0.3">
      <c r="B17" s="2">
        <v>45371</v>
      </c>
      <c r="C17" s="6">
        <v>50</v>
      </c>
      <c r="D17" s="10">
        <v>61.25</v>
      </c>
      <c r="E17" s="10"/>
      <c r="F17" s="9" t="str">
        <f>IF(Tablo1456789101112131415161718192021222324252627282930313233[[#This Row],[SATIŞ]]=0,"Açık",(E17-D17)*C17)</f>
        <v>Açık</v>
      </c>
      <c r="G17" s="11">
        <f>Tablo1456789101112131415161718192021222324252627282930313233[[#This Row],[ADET]]*Tablo1456789101112131415161718192021222324252627282930313233[[#This Row],[ALIŞ]]</f>
        <v>3062.5</v>
      </c>
      <c r="H17" s="11">
        <f>Tablo1456789101112131415161718192021222324252627282930313233[[#This Row],[ADET]]*Tablo1456789101112131415161718192021222324252627282930313233[[#This Row],[SATIŞ]]</f>
        <v>0</v>
      </c>
      <c r="J17" s="40">
        <f t="shared" si="0"/>
        <v>64.3125</v>
      </c>
    </row>
    <row r="18" spans="2:10" ht="21" customHeight="1" x14ac:dyDescent="0.3">
      <c r="B18" s="2">
        <v>45371</v>
      </c>
      <c r="C18" s="6">
        <v>100</v>
      </c>
      <c r="D18" s="10">
        <v>60.75</v>
      </c>
      <c r="E18" s="10"/>
      <c r="F18" s="9" t="str">
        <f>IF(Tablo1456789101112131415161718192021222324252627282930313233[[#This Row],[SATIŞ]]=0,"Açık",(E18-D18)*C18)</f>
        <v>Açık</v>
      </c>
      <c r="G18" s="11">
        <f>Tablo1456789101112131415161718192021222324252627282930313233[[#This Row],[ADET]]*Tablo1456789101112131415161718192021222324252627282930313233[[#This Row],[ALIŞ]]</f>
        <v>6075</v>
      </c>
      <c r="H18" s="11">
        <f>Tablo1456789101112131415161718192021222324252627282930313233[[#This Row],[ADET]]*Tablo1456789101112131415161718192021222324252627282930313233[[#This Row],[SATIŞ]]</f>
        <v>0</v>
      </c>
      <c r="J18" s="40">
        <f t="shared" si="0"/>
        <v>63.787500000000001</v>
      </c>
    </row>
    <row r="19" spans="2:10" ht="21" hidden="1" customHeight="1" x14ac:dyDescent="0.3">
      <c r="B19" s="2">
        <v>45372</v>
      </c>
      <c r="C19" s="6">
        <v>50</v>
      </c>
      <c r="D19" s="10">
        <v>60.6</v>
      </c>
      <c r="E19" s="10">
        <v>63</v>
      </c>
      <c r="F19" s="9">
        <f>IF(Tablo1456789101112131415161718192021222324252627282930313233[[#This Row],[SATIŞ]]=0,"Açık",(E19-D19)*C19)</f>
        <v>119.99999999999993</v>
      </c>
      <c r="G19" s="11">
        <f>Tablo1456789101112131415161718192021222324252627282930313233[[#This Row],[ADET]]*Tablo1456789101112131415161718192021222324252627282930313233[[#This Row],[ALIŞ]]</f>
        <v>3030</v>
      </c>
      <c r="H19" s="11">
        <f>Tablo1456789101112131415161718192021222324252627282930313233[[#This Row],[ADET]]*Tablo1456789101112131415161718192021222324252627282930313233[[#This Row],[SATIŞ]]</f>
        <v>3150</v>
      </c>
      <c r="J19" s="40" t="str">
        <f t="shared" si="0"/>
        <v/>
      </c>
    </row>
    <row r="20" spans="2:10" ht="21" hidden="1" customHeight="1" x14ac:dyDescent="0.3">
      <c r="B20" s="2">
        <v>45373</v>
      </c>
      <c r="C20" s="6">
        <v>100</v>
      </c>
      <c r="D20" s="10">
        <v>59.5</v>
      </c>
      <c r="E20" s="10">
        <v>61</v>
      </c>
      <c r="F20" s="9">
        <f>IF(Tablo1456789101112131415161718192021222324252627282930313233[[#This Row],[SATIŞ]]=0,"Açık",(E20-D20)*C20)</f>
        <v>150</v>
      </c>
      <c r="G20" s="11">
        <f>Tablo1456789101112131415161718192021222324252627282930313233[[#This Row],[ADET]]*Tablo1456789101112131415161718192021222324252627282930313233[[#This Row],[ALIŞ]]</f>
        <v>5950</v>
      </c>
      <c r="H20" s="11">
        <f>Tablo1456789101112131415161718192021222324252627282930313233[[#This Row],[ADET]]*Tablo1456789101112131415161718192021222324252627282930313233[[#This Row],[SATIŞ]]</f>
        <v>6100</v>
      </c>
      <c r="J20" s="40" t="str">
        <f t="shared" si="0"/>
        <v/>
      </c>
    </row>
    <row r="21" spans="2:10" ht="21" customHeight="1" x14ac:dyDescent="0.3">
      <c r="B21" s="2">
        <v>45372</v>
      </c>
      <c r="C21" s="6">
        <v>50</v>
      </c>
      <c r="D21" s="10">
        <v>60.6</v>
      </c>
      <c r="E21" s="10"/>
      <c r="F21" s="9" t="str">
        <f>IF(Tablo1456789101112131415161718192021222324252627282930313233[[#This Row],[SATIŞ]]=0,"Açık",(E21-D21)*C21)</f>
        <v>Açık</v>
      </c>
      <c r="G21" s="11">
        <f>Tablo1456789101112131415161718192021222324252627282930313233[[#This Row],[ADET]]*Tablo1456789101112131415161718192021222324252627282930313233[[#This Row],[ALIŞ]]</f>
        <v>3030</v>
      </c>
      <c r="H21" s="11">
        <f>Tablo1456789101112131415161718192021222324252627282930313233[[#This Row],[ADET]]*Tablo1456789101112131415161718192021222324252627282930313233[[#This Row],[SATIŞ]]</f>
        <v>0</v>
      </c>
      <c r="J21" s="40">
        <f t="shared" si="0"/>
        <v>63.63</v>
      </c>
    </row>
    <row r="22" spans="2:10" ht="21" customHeight="1" x14ac:dyDescent="0.3">
      <c r="B22" s="2">
        <v>45376</v>
      </c>
      <c r="C22" s="6">
        <v>50</v>
      </c>
      <c r="D22" s="10">
        <v>62</v>
      </c>
      <c r="E22" s="10"/>
      <c r="F22" s="9" t="str">
        <f>IF(Tablo1456789101112131415161718192021222324252627282930313233[[#This Row],[SATIŞ]]=0,"Açık",(E22-D22)*C22)</f>
        <v>Açık</v>
      </c>
      <c r="G22" s="11">
        <f>Tablo1456789101112131415161718192021222324252627282930313233[[#This Row],[ADET]]*Tablo1456789101112131415161718192021222324252627282930313233[[#This Row],[ALIŞ]]</f>
        <v>3100</v>
      </c>
      <c r="H22" s="11">
        <f>Tablo1456789101112131415161718192021222324252627282930313233[[#This Row],[ADET]]*Tablo1456789101112131415161718192021222324252627282930313233[[#This Row],[SATIŞ]]</f>
        <v>0</v>
      </c>
      <c r="J22" s="40">
        <f t="shared" si="0"/>
        <v>65.100000000000009</v>
      </c>
    </row>
    <row r="23" spans="2:10" ht="21" customHeight="1" x14ac:dyDescent="0.3">
      <c r="B23" s="2">
        <v>45377</v>
      </c>
      <c r="C23" s="6">
        <v>50</v>
      </c>
      <c r="D23" s="10">
        <v>60</v>
      </c>
      <c r="E23" s="10"/>
      <c r="F23" s="9" t="str">
        <f>IF(Tablo1456789101112131415161718192021222324252627282930313233[[#This Row],[SATIŞ]]=0,"Açık",(E23-D23)*C23)</f>
        <v>Açık</v>
      </c>
      <c r="G23" s="11">
        <f>Tablo1456789101112131415161718192021222324252627282930313233[[#This Row],[ADET]]*Tablo1456789101112131415161718192021222324252627282930313233[[#This Row],[ALIŞ]]</f>
        <v>3000</v>
      </c>
      <c r="H23" s="11">
        <f>Tablo1456789101112131415161718192021222324252627282930313233[[#This Row],[ADET]]*Tablo1456789101112131415161718192021222324252627282930313233[[#This Row],[SATIŞ]]</f>
        <v>0</v>
      </c>
      <c r="J23" s="40">
        <f t="shared" si="0"/>
        <v>63</v>
      </c>
    </row>
    <row r="24" spans="2:10" ht="21" customHeight="1" x14ac:dyDescent="0.3">
      <c r="B24" s="2">
        <v>45377</v>
      </c>
      <c r="C24" s="6">
        <v>50</v>
      </c>
      <c r="D24" s="10">
        <v>59.5</v>
      </c>
      <c r="E24" s="10"/>
      <c r="F24" s="9" t="str">
        <f>IF(Tablo1456789101112131415161718192021222324252627282930313233[[#This Row],[SATIŞ]]=0,"Açık",(E24-D24)*C24)</f>
        <v>Açık</v>
      </c>
      <c r="G24" s="11">
        <f>Tablo1456789101112131415161718192021222324252627282930313233[[#This Row],[ADET]]*Tablo1456789101112131415161718192021222324252627282930313233[[#This Row],[ALIŞ]]</f>
        <v>2975</v>
      </c>
      <c r="H24" s="11">
        <f>Tablo1456789101112131415161718192021222324252627282930313233[[#This Row],[ADET]]*Tablo1456789101112131415161718192021222324252627282930313233[[#This Row],[SATIŞ]]</f>
        <v>0</v>
      </c>
      <c r="J24" s="40">
        <f t="shared" si="0"/>
        <v>62.475000000000001</v>
      </c>
    </row>
    <row r="25" spans="2:10" ht="21" hidden="1" customHeight="1" x14ac:dyDescent="0.3">
      <c r="B25" s="2">
        <v>45377</v>
      </c>
      <c r="C25" s="6">
        <v>50</v>
      </c>
      <c r="D25" s="10">
        <v>59</v>
      </c>
      <c r="E25" s="10">
        <v>59.5</v>
      </c>
      <c r="F25" s="9">
        <f>IF(Tablo1456789101112131415161718192021222324252627282930313233[[#This Row],[SATIŞ]]=0,"Açık",(E25-D25)*C25)</f>
        <v>25</v>
      </c>
      <c r="G25" s="11">
        <f>Tablo1456789101112131415161718192021222324252627282930313233[[#This Row],[ADET]]*Tablo1456789101112131415161718192021222324252627282930313233[[#This Row],[ALIŞ]]</f>
        <v>2950</v>
      </c>
      <c r="H25" s="11">
        <f>Tablo1456789101112131415161718192021222324252627282930313233[[#This Row],[ADET]]*Tablo1456789101112131415161718192021222324252627282930313233[[#This Row],[SATIŞ]]</f>
        <v>2975</v>
      </c>
      <c r="J25" s="40" t="str">
        <f t="shared" si="0"/>
        <v/>
      </c>
    </row>
    <row r="26" spans="2:10" ht="21" hidden="1" customHeight="1" x14ac:dyDescent="0.3">
      <c r="B26" s="2">
        <v>45383</v>
      </c>
      <c r="C26" s="6">
        <v>50</v>
      </c>
      <c r="D26" s="10">
        <v>57.6</v>
      </c>
      <c r="E26" s="10">
        <v>58</v>
      </c>
      <c r="F26" s="9">
        <f>IF(Tablo1456789101112131415161718192021222324252627282930313233[[#This Row],[SATIŞ]]=0,"Açık",(E26-D26)*C26)</f>
        <v>19.999999999999929</v>
      </c>
      <c r="G26" s="11">
        <f>Tablo1456789101112131415161718192021222324252627282930313233[[#This Row],[ADET]]*Tablo1456789101112131415161718192021222324252627282930313233[[#This Row],[ALIŞ]]</f>
        <v>2880</v>
      </c>
      <c r="H26" s="11">
        <f>Tablo1456789101112131415161718192021222324252627282930313233[[#This Row],[ADET]]*Tablo1456789101112131415161718192021222324252627282930313233[[#This Row],[SATIŞ]]</f>
        <v>2900</v>
      </c>
      <c r="J26" s="40" t="str">
        <f t="shared" si="0"/>
        <v/>
      </c>
    </row>
    <row r="27" spans="2:10" ht="21" hidden="1" customHeight="1" x14ac:dyDescent="0.3">
      <c r="B27" s="2">
        <v>45383</v>
      </c>
      <c r="C27" s="6">
        <v>50</v>
      </c>
      <c r="D27" s="10">
        <v>57.6</v>
      </c>
      <c r="E27" s="10">
        <v>59</v>
      </c>
      <c r="F27" s="9">
        <f>IF(Tablo1456789101112131415161718192021222324252627282930313233[[#This Row],[SATIŞ]]=0,"Açık",(E27-D27)*C27)</f>
        <v>69.999999999999929</v>
      </c>
      <c r="G27" s="11">
        <f>Tablo1456789101112131415161718192021222324252627282930313233[[#This Row],[ADET]]*Tablo1456789101112131415161718192021222324252627282930313233[[#This Row],[ALIŞ]]</f>
        <v>2880</v>
      </c>
      <c r="H27" s="11">
        <f>Tablo1456789101112131415161718192021222324252627282930313233[[#This Row],[ADET]]*Tablo1456789101112131415161718192021222324252627282930313233[[#This Row],[SATIŞ]]</f>
        <v>2950</v>
      </c>
      <c r="J27" s="40" t="str">
        <f t="shared" si="0"/>
        <v/>
      </c>
    </row>
    <row r="28" spans="2:10" ht="21" hidden="1" customHeight="1" x14ac:dyDescent="0.3">
      <c r="B28" s="2">
        <v>45384</v>
      </c>
      <c r="C28" s="6">
        <v>50</v>
      </c>
      <c r="D28" s="10">
        <v>57</v>
      </c>
      <c r="E28" s="10">
        <v>57</v>
      </c>
      <c r="F28" s="9">
        <f>IF(Tablo1456789101112131415161718192021222324252627282930313233[[#This Row],[SATIŞ]]=0,"Açık",(E28-D28)*C28)</f>
        <v>0</v>
      </c>
      <c r="G28" s="11">
        <f>Tablo1456789101112131415161718192021222324252627282930313233[[#This Row],[ADET]]*Tablo1456789101112131415161718192021222324252627282930313233[[#This Row],[ALIŞ]]</f>
        <v>2850</v>
      </c>
      <c r="H28" s="11">
        <f>Tablo1456789101112131415161718192021222324252627282930313233[[#This Row],[ADET]]*Tablo1456789101112131415161718192021222324252627282930313233[[#This Row],[SATIŞ]]</f>
        <v>2850</v>
      </c>
      <c r="J28" s="40" t="str">
        <f t="shared" si="0"/>
        <v/>
      </c>
    </row>
    <row r="29" spans="2:10" ht="21" hidden="1" customHeight="1" x14ac:dyDescent="0.3">
      <c r="B29" s="2">
        <v>45384</v>
      </c>
      <c r="C29" s="6">
        <v>50</v>
      </c>
      <c r="D29" s="10">
        <v>56</v>
      </c>
      <c r="E29" s="10">
        <v>56.5</v>
      </c>
      <c r="F29" s="9">
        <f>IF(Tablo1456789101112131415161718192021222324252627282930313233[[#This Row],[SATIŞ]]=0,"Açık",(E29-D29)*C29)</f>
        <v>25</v>
      </c>
      <c r="G29" s="11">
        <f>Tablo1456789101112131415161718192021222324252627282930313233[[#This Row],[ADET]]*Tablo1456789101112131415161718192021222324252627282930313233[[#This Row],[ALIŞ]]</f>
        <v>2800</v>
      </c>
      <c r="H29" s="11">
        <f>Tablo1456789101112131415161718192021222324252627282930313233[[#This Row],[ADET]]*Tablo1456789101112131415161718192021222324252627282930313233[[#This Row],[SATIŞ]]</f>
        <v>2825</v>
      </c>
      <c r="J29" s="40" t="str">
        <f t="shared" si="0"/>
        <v/>
      </c>
    </row>
    <row r="30" spans="2:10" ht="21" hidden="1" customHeight="1" x14ac:dyDescent="0.3">
      <c r="B30" s="2">
        <v>45387</v>
      </c>
      <c r="C30" s="6">
        <v>50</v>
      </c>
      <c r="D30" s="10">
        <v>56</v>
      </c>
      <c r="E30" s="10">
        <v>57.5</v>
      </c>
      <c r="F30" s="9">
        <f>IF(Tablo1456789101112131415161718192021222324252627282930313233[[#This Row],[SATIŞ]]=0,"Açık",(E30-D30)*C30)</f>
        <v>75</v>
      </c>
      <c r="G30" s="11">
        <f>Tablo1456789101112131415161718192021222324252627282930313233[[#This Row],[ADET]]*Tablo1456789101112131415161718192021222324252627282930313233[[#This Row],[ALIŞ]]</f>
        <v>2800</v>
      </c>
      <c r="H30" s="11">
        <f>Tablo1456789101112131415161718192021222324252627282930313233[[#This Row],[ADET]]*Tablo1456789101112131415161718192021222324252627282930313233[[#This Row],[SATIŞ]]</f>
        <v>2875</v>
      </c>
    </row>
    <row r="31" spans="2:10" ht="21" hidden="1" customHeight="1" x14ac:dyDescent="0.3">
      <c r="B31" s="2">
        <v>45387</v>
      </c>
      <c r="C31" s="6">
        <v>50</v>
      </c>
      <c r="D31" s="10">
        <v>56</v>
      </c>
      <c r="E31" s="10">
        <v>57.5</v>
      </c>
      <c r="F31" s="9">
        <f>IF(Tablo1456789101112131415161718192021222324252627282930313233[[#This Row],[SATIŞ]]=0,"Açık",(E31-D31)*C31)</f>
        <v>75</v>
      </c>
      <c r="G31" s="11">
        <f>Tablo1456789101112131415161718192021222324252627282930313233[[#This Row],[ADET]]*Tablo1456789101112131415161718192021222324252627282930313233[[#This Row],[ALIŞ]]</f>
        <v>2800</v>
      </c>
      <c r="H31" s="11">
        <f>Tablo1456789101112131415161718192021222324252627282930313233[[#This Row],[ADET]]*Tablo1456789101112131415161718192021222324252627282930313233[[#This Row],[SATIŞ]]</f>
        <v>2875</v>
      </c>
    </row>
    <row r="32" spans="2:10" ht="21" hidden="1" customHeight="1" x14ac:dyDescent="0.3">
      <c r="B32" s="2">
        <v>45398</v>
      </c>
      <c r="C32" s="6">
        <v>50</v>
      </c>
      <c r="D32" s="10">
        <v>56</v>
      </c>
      <c r="E32" s="10">
        <v>57.5</v>
      </c>
      <c r="F32" s="9">
        <f>IF(Tablo1456789101112131415161718192021222324252627282930313233[[#This Row],[SATIŞ]]=0,"Açık",(E32-D32)*C32)</f>
        <v>75</v>
      </c>
      <c r="G32" s="11">
        <f>Tablo1456789101112131415161718192021222324252627282930313233[[#This Row],[ADET]]*Tablo1456789101112131415161718192021222324252627282930313233[[#This Row],[ALIŞ]]</f>
        <v>2800</v>
      </c>
      <c r="H32" s="11">
        <f>Tablo1456789101112131415161718192021222324252627282930313233[[#This Row],[ADET]]*Tablo1456789101112131415161718192021222324252627282930313233[[#This Row],[SATIŞ]]</f>
        <v>2875</v>
      </c>
    </row>
    <row r="33" spans="2:8" ht="21" hidden="1" customHeight="1" x14ac:dyDescent="0.3">
      <c r="B33" s="2">
        <v>45398</v>
      </c>
      <c r="C33" s="6">
        <v>50</v>
      </c>
      <c r="D33" s="10">
        <v>56</v>
      </c>
      <c r="E33" s="10">
        <v>58.5</v>
      </c>
      <c r="F33" s="9">
        <f>IF(Tablo1456789101112131415161718192021222324252627282930313233[[#This Row],[SATIŞ]]=0,"Açık",(E33-D33)*C33)</f>
        <v>125</v>
      </c>
      <c r="G33" s="11">
        <f>Tablo1456789101112131415161718192021222324252627282930313233[[#This Row],[ADET]]*Tablo1456789101112131415161718192021222324252627282930313233[[#This Row],[ALIŞ]]</f>
        <v>2800</v>
      </c>
      <c r="H33" s="11">
        <f>Tablo1456789101112131415161718192021222324252627282930313233[[#This Row],[ADET]]*Tablo1456789101112131415161718192021222324252627282930313233[[#This Row],[SATIŞ]]</f>
        <v>2925</v>
      </c>
    </row>
  </sheetData>
  <conditionalFormatting sqref="B4:F33">
    <cfRule type="expression" dxfId="77" priority="1">
      <formula>$F4&lt;0</formula>
    </cfRule>
    <cfRule type="expression" dxfId="76" priority="2">
      <formula>$F4="Açık"</formula>
    </cfRule>
    <cfRule type="expression" dxfId="75" priority="3">
      <formula>$F4&gt;0</formula>
    </cfRule>
  </conditionalFormatting>
  <hyperlinks>
    <hyperlink ref="B1" location="İcmal!A1" display="ANA SAYFA" xr:uid="{DAEEC6D2-7F71-4833-9405-87F5DDDE0DDF}"/>
  </hyperlinks>
  <pageMargins left="0.7" right="0.7" top="0.75" bottom="0.75" header="0.3" footer="0.3"/>
  <tableParts count="1">
    <tablePart r:id="rId1"/>
  </tablePart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1D8A0-CB90-4C8A-8137-AEEA08B1211C}">
  <dimension ref="B1:R12"/>
  <sheetViews>
    <sheetView showGridLines="0" showZeros="0" workbookViewId="0">
      <pane ySplit="1" topLeftCell="A2" activePane="bottomLeft" state="frozen"/>
      <selection activeCell="C23" sqref="C23"/>
      <selection pane="bottomLeft" activeCell="E13" sqref="E13"/>
    </sheetView>
  </sheetViews>
  <sheetFormatPr defaultRowHeight="21" customHeight="1" x14ac:dyDescent="0.3"/>
  <cols>
    <col min="2" max="2" width="20.6640625" style="1" customWidth="1"/>
    <col min="3" max="3" width="11.33203125" style="6" customWidth="1"/>
    <col min="4" max="5" width="12.88671875" style="3" customWidth="1"/>
    <col min="6" max="6" width="12.88671875" style="5" customWidth="1"/>
    <col min="7" max="8" width="11.33203125" bestFit="1" customWidth="1"/>
    <col min="12" max="13" width="11.33203125" bestFit="1" customWidth="1"/>
    <col min="14" max="14" width="10.33203125" bestFit="1" customWidth="1"/>
  </cols>
  <sheetData>
    <row r="1" spans="2:18" ht="21" customHeight="1" x14ac:dyDescent="0.3">
      <c r="B1" s="12" t="s">
        <v>64</v>
      </c>
      <c r="C1" s="4">
        <f>SUMIF(Tablo145678910111213141516171819202122232425262728293031323334[KAR],"Açık",Tablo145678910111213141516171819202122232425262728293031323334[ADET])</f>
        <v>0</v>
      </c>
      <c r="D1" s="10">
        <f>+İcmal!E46</f>
        <v>11.9</v>
      </c>
      <c r="E1" s="10">
        <f>C1*D1</f>
        <v>0</v>
      </c>
      <c r="F1" s="10" t="str">
        <f>IFERROR(((SUM(Tablo145678910111213141516171819202122232425262728293031323334[ALIŞ TUTAR])-SUM(Tablo145678910111213141516171819202122232425262728293031323334[SATIŞ TUTAR]))/C1),"")</f>
        <v/>
      </c>
      <c r="G1" s="10" t="e">
        <f>SUM(Tablo145678910111213141516171819202122232425262728293031323334[KAR])+C1*(D1-F1)</f>
        <v>#VALUE!</v>
      </c>
      <c r="J1" s="34">
        <v>0.03</v>
      </c>
      <c r="L1" s="8" t="e">
        <f>M1*(1-$J$1)</f>
        <v>#VALUE!</v>
      </c>
      <c r="M1" s="33" t="str">
        <f>F1</f>
        <v/>
      </c>
      <c r="N1" s="8" t="e">
        <f>M1*(1+$J$1)</f>
        <v>#VALUE!</v>
      </c>
      <c r="P1" s="8">
        <f>Q1*(1-$J$1)</f>
        <v>11.542999999999999</v>
      </c>
      <c r="Q1" s="33">
        <f>+D1</f>
        <v>11.9</v>
      </c>
      <c r="R1" s="8">
        <f>Q1*(1+$J$1)</f>
        <v>12.257000000000001</v>
      </c>
    </row>
    <row r="3" spans="2:18" ht="21" customHeight="1" x14ac:dyDescent="0.3">
      <c r="B3" s="1" t="s">
        <v>0</v>
      </c>
      <c r="C3" s="6" t="s">
        <v>4</v>
      </c>
      <c r="D3" s="3" t="s">
        <v>1</v>
      </c>
      <c r="E3" s="3" t="s">
        <v>3</v>
      </c>
      <c r="F3" s="5" t="s">
        <v>2</v>
      </c>
      <c r="G3" s="3" t="s">
        <v>8</v>
      </c>
      <c r="H3" s="3" t="s">
        <v>9</v>
      </c>
    </row>
    <row r="4" spans="2:18" ht="21" customHeight="1" x14ac:dyDescent="0.3">
      <c r="B4" s="2">
        <v>45291</v>
      </c>
      <c r="C4" s="6">
        <v>7830</v>
      </c>
      <c r="D4" s="10">
        <v>8.8475509999999993</v>
      </c>
      <c r="E4" s="10">
        <v>8.9778909999999996</v>
      </c>
      <c r="F4" s="9">
        <f>IF(Tablo145678910111213141516171819202122232425262728293031323334[[#This Row],[SATIŞ]]=0,"Açık",(E4-D4)*C4)</f>
        <v>1020.5622000000027</v>
      </c>
      <c r="G4" s="11">
        <f>Tablo145678910111213141516171819202122232425262728293031323334[[#This Row],[ADET]]*Tablo145678910111213141516171819202122232425262728293031323334[[#This Row],[ALIŞ]]</f>
        <v>69276.324329999989</v>
      </c>
      <c r="H4" s="11">
        <f>Tablo145678910111213141516171819202122232425262728293031323334[[#This Row],[ADET]]*Tablo145678910111213141516171819202122232425262728293031323334[[#This Row],[SATIŞ]]</f>
        <v>70296.886530000003</v>
      </c>
      <c r="L4" s="8">
        <f>SUM(Tablo145678910111213141516171819202122232425262728293031323334[ALIŞ TUTAR])</f>
        <v>75798.701879999993</v>
      </c>
      <c r="M4" s="8">
        <f>SUM(Tablo145678910111213141516171819202122232425262728293031323334[SATIŞ TUTAR])</f>
        <v>77055.386530000003</v>
      </c>
      <c r="N4" s="8">
        <f>L4-M4</f>
        <v>-1256.6846500000102</v>
      </c>
    </row>
    <row r="5" spans="2:18" ht="21" customHeight="1" x14ac:dyDescent="0.3">
      <c r="B5" s="2">
        <v>45291</v>
      </c>
      <c r="C5" s="6">
        <v>50</v>
      </c>
      <c r="D5" s="10">
        <v>8.8475509999999993</v>
      </c>
      <c r="E5" s="10">
        <v>10</v>
      </c>
      <c r="F5" s="9">
        <f>IF(Tablo145678910111213141516171819202122232425262728293031323334[[#This Row],[SATIŞ]]=0,"Açık",(E5-D5)*C5)</f>
        <v>57.622450000000036</v>
      </c>
      <c r="G5" s="11">
        <f>Tablo145678910111213141516171819202122232425262728293031323334[[#This Row],[ADET]]*Tablo145678910111213141516171819202122232425262728293031323334[[#This Row],[ALIŞ]]</f>
        <v>442.37754999999999</v>
      </c>
      <c r="H5" s="11">
        <f>Tablo145678910111213141516171819202122232425262728293031323334[[#This Row],[ADET]]*Tablo145678910111213141516171819202122232425262728293031323334[[#This Row],[SATIŞ]]</f>
        <v>500</v>
      </c>
      <c r="N5">
        <f>+N4/80</f>
        <v>-15.708558125000128</v>
      </c>
    </row>
    <row r="6" spans="2:18" ht="21" customHeight="1" x14ac:dyDescent="0.3">
      <c r="B6" s="2">
        <v>45331</v>
      </c>
      <c r="C6" s="6">
        <v>50</v>
      </c>
      <c r="D6" s="10">
        <v>10.5</v>
      </c>
      <c r="E6" s="10">
        <v>10.8</v>
      </c>
      <c r="F6" s="9">
        <f>IF(Tablo145678910111213141516171819202122232425262728293031323334[[#This Row],[SATIŞ]]=0,"Açık",(E6-D6)*C6)</f>
        <v>15.000000000000036</v>
      </c>
      <c r="G6" s="11">
        <f>Tablo145678910111213141516171819202122232425262728293031323334[[#This Row],[ADET]]*Tablo145678910111213141516171819202122232425262728293031323334[[#This Row],[ALIŞ]]</f>
        <v>525</v>
      </c>
      <c r="H6" s="11">
        <f>Tablo145678910111213141516171819202122232425262728293031323334[[#This Row],[ADET]]*Tablo145678910111213141516171819202122232425262728293031323334[[#This Row],[SATIŞ]]</f>
        <v>540</v>
      </c>
    </row>
    <row r="7" spans="2:18" ht="21" customHeight="1" x14ac:dyDescent="0.3">
      <c r="B7" s="2">
        <v>45335</v>
      </c>
      <c r="C7" s="6">
        <v>50</v>
      </c>
      <c r="D7" s="10">
        <v>10.6</v>
      </c>
      <c r="E7" s="10">
        <v>10.8</v>
      </c>
      <c r="F7" s="9">
        <f>IF(Tablo145678910111213141516171819202122232425262728293031323334[[#This Row],[SATIŞ]]=0,"Açık",(E7-D7)*C7)</f>
        <v>10.000000000000053</v>
      </c>
      <c r="G7" s="11">
        <f>Tablo145678910111213141516171819202122232425262728293031323334[[#This Row],[ADET]]*Tablo145678910111213141516171819202122232425262728293031323334[[#This Row],[ALIŞ]]</f>
        <v>530</v>
      </c>
      <c r="H7" s="11">
        <f>Tablo145678910111213141516171819202122232425262728293031323334[[#This Row],[ADET]]*Tablo145678910111213141516171819202122232425262728293031323334[[#This Row],[SATIŞ]]</f>
        <v>540</v>
      </c>
    </row>
    <row r="8" spans="2:18" ht="21" customHeight="1" x14ac:dyDescent="0.3">
      <c r="B8" s="2">
        <v>45336</v>
      </c>
      <c r="C8" s="6">
        <v>100</v>
      </c>
      <c r="D8" s="10">
        <v>10</v>
      </c>
      <c r="E8" s="10">
        <v>10.53</v>
      </c>
      <c r="F8" s="9">
        <f>IF(Tablo145678910111213141516171819202122232425262728293031323334[[#This Row],[SATIŞ]]=0,"Açık",(E8-D8)*C8)</f>
        <v>52.999999999999936</v>
      </c>
      <c r="G8" s="11">
        <f>Tablo145678910111213141516171819202122232425262728293031323334[[#This Row],[ADET]]*Tablo145678910111213141516171819202122232425262728293031323334[[#This Row],[ALIŞ]]</f>
        <v>1000</v>
      </c>
      <c r="H8" s="11">
        <f>Tablo145678910111213141516171819202122232425262728293031323334[[#This Row],[ADET]]*Tablo145678910111213141516171819202122232425262728293031323334[[#This Row],[SATIŞ]]</f>
        <v>1053</v>
      </c>
    </row>
    <row r="9" spans="2:18" ht="21" customHeight="1" x14ac:dyDescent="0.3">
      <c r="B9" s="2">
        <v>45336</v>
      </c>
      <c r="C9" s="6">
        <v>50</v>
      </c>
      <c r="D9" s="10">
        <v>9.75</v>
      </c>
      <c r="E9" s="10">
        <v>10</v>
      </c>
      <c r="F9" s="9">
        <f>IF(Tablo145678910111213141516171819202122232425262728293031323334[[#This Row],[SATIŞ]]=0,"Açık",(E9-D9)*C9)</f>
        <v>12.5</v>
      </c>
      <c r="G9" s="11">
        <f>Tablo145678910111213141516171819202122232425262728293031323334[[#This Row],[ADET]]*Tablo145678910111213141516171819202122232425262728293031323334[[#This Row],[ALIŞ]]</f>
        <v>487.5</v>
      </c>
      <c r="H9" s="11">
        <f>Tablo145678910111213141516171819202122232425262728293031323334[[#This Row],[ADET]]*Tablo145678910111213141516171819202122232425262728293031323334[[#This Row],[SATIŞ]]</f>
        <v>500</v>
      </c>
    </row>
    <row r="10" spans="2:18" ht="21" customHeight="1" x14ac:dyDescent="0.3">
      <c r="B10" s="2">
        <v>45336</v>
      </c>
      <c r="C10" s="6">
        <v>50</v>
      </c>
      <c r="D10" s="10">
        <v>9.75</v>
      </c>
      <c r="E10" s="10">
        <v>10.25</v>
      </c>
      <c r="F10" s="9">
        <f>IF(Tablo145678910111213141516171819202122232425262728293031323334[[#This Row],[SATIŞ]]=0,"Açık",(E10-D10)*C10)</f>
        <v>25</v>
      </c>
      <c r="G10" s="11">
        <f>Tablo145678910111213141516171819202122232425262728293031323334[[#This Row],[ADET]]*Tablo145678910111213141516171819202122232425262728293031323334[[#This Row],[ALIŞ]]</f>
        <v>487.5</v>
      </c>
      <c r="H10" s="11">
        <f>Tablo145678910111213141516171819202122232425262728293031323334[[#This Row],[ADET]]*Tablo145678910111213141516171819202122232425262728293031323334[[#This Row],[SATIŞ]]</f>
        <v>512.5</v>
      </c>
    </row>
    <row r="11" spans="2:18" ht="21" customHeight="1" x14ac:dyDescent="0.3">
      <c r="B11" s="2">
        <v>45337</v>
      </c>
      <c r="C11" s="6">
        <v>100</v>
      </c>
      <c r="D11" s="10">
        <v>10.5</v>
      </c>
      <c r="E11" s="10">
        <v>10.53</v>
      </c>
      <c r="F11" s="9">
        <f>IF(Tablo145678910111213141516171819202122232425262728293031323334[[#This Row],[SATIŞ]]=0,"Açık",(E11-D11)*C11)</f>
        <v>2.9999999999999361</v>
      </c>
      <c r="G11" s="11">
        <f>Tablo145678910111213141516171819202122232425262728293031323334[[#This Row],[ADET]]*Tablo145678910111213141516171819202122232425262728293031323334[[#This Row],[ALIŞ]]</f>
        <v>1050</v>
      </c>
      <c r="H11" s="11">
        <f>Tablo145678910111213141516171819202122232425262728293031323334[[#This Row],[ADET]]*Tablo145678910111213141516171819202122232425262728293031323334[[#This Row],[SATIŞ]]</f>
        <v>1053</v>
      </c>
    </row>
    <row r="12" spans="2:18" ht="21" customHeight="1" x14ac:dyDescent="0.3">
      <c r="B12" s="2">
        <v>45343</v>
      </c>
      <c r="C12" s="6">
        <v>200</v>
      </c>
      <c r="D12" s="10">
        <v>10</v>
      </c>
      <c r="E12" s="10">
        <v>10.3</v>
      </c>
      <c r="F12" s="9">
        <f>IF(Tablo145678910111213141516171819202122232425262728293031323334[[#This Row],[SATIŞ]]=0,"Açık",(E12-D12)*C12)</f>
        <v>60.000000000000142</v>
      </c>
      <c r="G12" s="11">
        <f>Tablo145678910111213141516171819202122232425262728293031323334[[#This Row],[ADET]]*Tablo145678910111213141516171819202122232425262728293031323334[[#This Row],[ALIŞ]]</f>
        <v>2000</v>
      </c>
      <c r="H12" s="11">
        <f>Tablo145678910111213141516171819202122232425262728293031323334[[#This Row],[ADET]]*Tablo145678910111213141516171819202122232425262728293031323334[[#This Row],[SATIŞ]]</f>
        <v>2060</v>
      </c>
    </row>
  </sheetData>
  <conditionalFormatting sqref="B4:F12">
    <cfRule type="expression" dxfId="74" priority="1">
      <formula>$F4&lt;0</formula>
    </cfRule>
    <cfRule type="expression" dxfId="73" priority="2">
      <formula>$F4="Açık"</formula>
    </cfRule>
    <cfRule type="expression" dxfId="72" priority="3">
      <formula>$F4&gt;0</formula>
    </cfRule>
  </conditionalFormatting>
  <hyperlinks>
    <hyperlink ref="B1" location="İcmal!A1" display="ANA SAYFA" xr:uid="{2C005909-E856-44C9-9AE0-F56E5847B2A6}"/>
  </hyperlinks>
  <pageMargins left="0.7" right="0.7" top="0.75" bottom="0.75" header="0.3" footer="0.3"/>
  <tableParts count="1">
    <tablePart r:id="rId1"/>
  </tablePart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14C22-C431-48C9-A173-93EFF2CBA869}">
  <dimension ref="B1:R63"/>
  <sheetViews>
    <sheetView showGridLines="0" showZeros="0" zoomScale="110" zoomScaleNormal="110" workbookViewId="0">
      <pane ySplit="3" topLeftCell="A32" activePane="bottomLeft" state="frozen"/>
      <selection pane="bottomLeft" activeCell="E47" sqref="E47"/>
    </sheetView>
  </sheetViews>
  <sheetFormatPr defaultRowHeight="21" customHeight="1" x14ac:dyDescent="0.3"/>
  <cols>
    <col min="2" max="2" width="20.6640625" style="1" customWidth="1"/>
    <col min="3" max="3" width="11.33203125" style="6" customWidth="1"/>
    <col min="4" max="5" width="12.88671875" style="3" customWidth="1"/>
    <col min="6" max="6" width="12.88671875" style="5" customWidth="1"/>
    <col min="7" max="7" width="12.6640625" bestFit="1" customWidth="1"/>
    <col min="8" max="8" width="13.44140625" bestFit="1" customWidth="1"/>
    <col min="10" max="12" width="12.44140625" customWidth="1"/>
    <col min="13" max="13" width="12.6640625" bestFit="1" customWidth="1"/>
    <col min="14" max="14" width="11.6640625" bestFit="1" customWidth="1"/>
  </cols>
  <sheetData>
    <row r="1" spans="2:18" ht="21" customHeight="1" x14ac:dyDescent="0.3">
      <c r="B1" s="12" t="s">
        <v>64</v>
      </c>
      <c r="C1" s="4">
        <f>SUMIF(Tablo14567891011121314151617181920212223242526272829303132333435[KAR],"Açık",Tablo14567891011121314151617181920212223242526272829303132333435[ADET])</f>
        <v>200</v>
      </c>
      <c r="D1" s="10">
        <f>+İcmal!E47</f>
        <v>60.85</v>
      </c>
      <c r="E1" s="10">
        <f>C1*D1</f>
        <v>12170</v>
      </c>
      <c r="F1" s="10">
        <f>IFERROR(((SUM(Tablo14567891011121314151617181920212223242526272829303132333435[ALIŞ TUTAR])-SUM(Tablo14567891011121314151617181920212223242526272829303132333435[SATIŞ TUTAR]))/C1),"")</f>
        <v>55.083879999999773</v>
      </c>
      <c r="G1" s="10">
        <f>IF(M3=0,L3,C1*(D1-F1))</f>
        <v>1153.2240000000456</v>
      </c>
      <c r="J1" s="45" t="s">
        <v>94</v>
      </c>
      <c r="K1" s="45" t="s">
        <v>95</v>
      </c>
      <c r="L1" s="45" t="s">
        <v>96</v>
      </c>
      <c r="M1" s="33">
        <f>F1</f>
        <v>55.083879999999773</v>
      </c>
      <c r="N1" s="8" t="e">
        <f>M1*(1+$J$1)</f>
        <v>#VALUE!</v>
      </c>
      <c r="P1" s="8" t="e">
        <f>Q1*(1-$J$1)</f>
        <v>#VALUE!</v>
      </c>
      <c r="Q1" s="33">
        <f>+D1</f>
        <v>60.85</v>
      </c>
      <c r="R1" s="8" t="e">
        <f>Q1*(1+$J$1)</f>
        <v>#VALUE!</v>
      </c>
    </row>
    <row r="2" spans="2:18" ht="21" customHeight="1" x14ac:dyDescent="0.3">
      <c r="B2" s="7" t="s">
        <v>44</v>
      </c>
      <c r="J2" s="45">
        <f>SUMIFS(Tablo2[HEDEF2],Tablo2[HİSSE],B2)</f>
        <v>1000</v>
      </c>
      <c r="K2" s="45">
        <f>+E1/İcmal!$P$2</f>
        <v>374.11620043037198</v>
      </c>
      <c r="L2" s="45">
        <f>+J2-K2</f>
        <v>625.88379956962808</v>
      </c>
    </row>
    <row r="3" spans="2:18" ht="21" customHeight="1" x14ac:dyDescent="0.3">
      <c r="B3" s="1" t="s">
        <v>0</v>
      </c>
      <c r="C3" s="6" t="s">
        <v>4</v>
      </c>
      <c r="D3" s="3" t="s">
        <v>1</v>
      </c>
      <c r="E3" s="3" t="s">
        <v>3</v>
      </c>
      <c r="F3" s="5" t="s">
        <v>2</v>
      </c>
      <c r="G3" s="3" t="s">
        <v>8</v>
      </c>
      <c r="H3" s="3" t="s">
        <v>9</v>
      </c>
      <c r="L3">
        <f>+SUM(Tablo14567891011121314151617181920212223242526272829303132333435[KAR])</f>
        <v>2008.2240000000033</v>
      </c>
      <c r="M3" s="37">
        <f>+C1</f>
        <v>200</v>
      </c>
    </row>
    <row r="4" spans="2:18" ht="21" hidden="1" customHeight="1" x14ac:dyDescent="0.3">
      <c r="B4" s="2">
        <v>45291</v>
      </c>
      <c r="C4" s="6">
        <v>24885</v>
      </c>
      <c r="D4" s="10">
        <v>28.180209999999999</v>
      </c>
      <c r="E4" s="10">
        <v>28.129529999999999</v>
      </c>
      <c r="F4" s="9">
        <f>IF(Tablo14567891011121314151617181920212223242526272829303132333435[[#This Row],[SATIŞ]]=0,"Açık",(E4-D4)*C4)</f>
        <v>-1261.171799999996</v>
      </c>
      <c r="G4" s="11">
        <f>Tablo14567891011121314151617181920212223242526272829303132333435[[#This Row],[ADET]]*Tablo14567891011121314151617181920212223242526272829303132333435[[#This Row],[ALIŞ]]</f>
        <v>701264.52584999998</v>
      </c>
      <c r="H4" s="11">
        <f>Tablo14567891011121314151617181920212223242526272829303132333435[[#This Row],[ADET]]*Tablo14567891011121314151617181920212223242526272829303132333435[[#This Row],[SATIŞ]]</f>
        <v>700003.35404999997</v>
      </c>
      <c r="L4" s="8">
        <f>SUM(Tablo14567891011121314151617181920212223242526272829303132333435[ALIŞ TUTAR])</f>
        <v>822472.13004999992</v>
      </c>
      <c r="M4" s="8">
        <f>SUM(Tablo14567891011121314151617181920212223242526272829303132333435[SATIŞ TUTAR])</f>
        <v>811455.35404999997</v>
      </c>
      <c r="N4" s="8">
        <f>L4-M4</f>
        <v>11016.775999999954</v>
      </c>
    </row>
    <row r="5" spans="2:18" ht="21" hidden="1" customHeight="1" x14ac:dyDescent="0.3">
      <c r="B5" s="2">
        <v>45291</v>
      </c>
      <c r="C5" s="6">
        <v>1</v>
      </c>
      <c r="D5" s="10">
        <v>28.180209999999999</v>
      </c>
      <c r="E5" s="10">
        <v>61.5</v>
      </c>
      <c r="F5" s="9">
        <f>IF(Tablo14567891011121314151617181920212223242526272829303132333435[[#This Row],[SATIŞ]]=0,"Açık",(E5-D5)*C5)</f>
        <v>33.319789999999998</v>
      </c>
      <c r="G5" s="11">
        <f>Tablo14567891011121314151617181920212223242526272829303132333435[[#This Row],[ADET]]*Tablo14567891011121314151617181920212223242526272829303132333435[[#This Row],[ALIŞ]]</f>
        <v>28.180209999999999</v>
      </c>
      <c r="H5" s="11">
        <f>Tablo14567891011121314151617181920212223242526272829303132333435[[#This Row],[ADET]]*Tablo14567891011121314151617181920212223242526272829303132333435[[#This Row],[SATIŞ]]</f>
        <v>61.5</v>
      </c>
      <c r="N5">
        <f>+N4/80</f>
        <v>137.70969999999943</v>
      </c>
    </row>
    <row r="6" spans="2:18" ht="21" hidden="1" customHeight="1" x14ac:dyDescent="0.3">
      <c r="B6" s="2">
        <v>45291</v>
      </c>
      <c r="C6" s="6">
        <v>4</v>
      </c>
      <c r="D6" s="10">
        <v>28.180209999999999</v>
      </c>
      <c r="E6" s="10">
        <v>55.5</v>
      </c>
      <c r="F6" s="9">
        <f>IF(Tablo14567891011121314151617181920212223242526272829303132333435[[#This Row],[SATIŞ]]=0,"Açık",(E6-D6)*C6)</f>
        <v>109.27916</v>
      </c>
      <c r="G6" s="11">
        <f>Tablo14567891011121314151617181920212223242526272829303132333435[[#This Row],[ADET]]*Tablo14567891011121314151617181920212223242526272829303132333435[[#This Row],[ALIŞ]]</f>
        <v>112.72084</v>
      </c>
      <c r="H6" s="11">
        <f>Tablo14567891011121314151617181920212223242526272829303132333435[[#This Row],[ADET]]*Tablo14567891011121314151617181920212223242526272829303132333435[[#This Row],[SATIŞ]]</f>
        <v>222</v>
      </c>
    </row>
    <row r="7" spans="2:18" ht="21" hidden="1" customHeight="1" x14ac:dyDescent="0.3">
      <c r="B7" s="2">
        <v>45291</v>
      </c>
      <c r="C7" s="6">
        <v>10</v>
      </c>
      <c r="D7" s="10">
        <v>28.180209999999999</v>
      </c>
      <c r="E7" s="10">
        <v>59.8</v>
      </c>
      <c r="F7" s="9">
        <f>IF(Tablo14567891011121314151617181920212223242526272829303132333435[[#This Row],[SATIŞ]]=0,"Açık",(E7-D7)*C7)</f>
        <v>316.1979</v>
      </c>
      <c r="G7" s="11">
        <f>Tablo14567891011121314151617181920212223242526272829303132333435[[#This Row],[ADET]]*Tablo14567891011121314151617181920212223242526272829303132333435[[#This Row],[ALIŞ]]</f>
        <v>281.8021</v>
      </c>
      <c r="H7" s="11">
        <f>Tablo14567891011121314151617181920212223242526272829303132333435[[#This Row],[ADET]]*Tablo14567891011121314151617181920212223242526272829303132333435[[#This Row],[SATIŞ]]</f>
        <v>598</v>
      </c>
    </row>
    <row r="8" spans="2:18" ht="21" hidden="1" customHeight="1" x14ac:dyDescent="0.3">
      <c r="B8" s="2">
        <v>45291</v>
      </c>
      <c r="C8" s="6">
        <v>5</v>
      </c>
      <c r="D8" s="10">
        <v>28.180209999999999</v>
      </c>
      <c r="E8" s="10">
        <v>61.5</v>
      </c>
      <c r="F8" s="9">
        <f>IF(Tablo14567891011121314151617181920212223242526272829303132333435[[#This Row],[SATIŞ]]=0,"Açık",(E8-D8)*C8)</f>
        <v>166.59895</v>
      </c>
      <c r="G8" s="11">
        <f>Tablo14567891011121314151617181920212223242526272829303132333435[[#This Row],[ADET]]*Tablo14567891011121314151617181920212223242526272829303132333435[[#This Row],[ALIŞ]]</f>
        <v>140.90105</v>
      </c>
      <c r="H8" s="11">
        <f>Tablo14567891011121314151617181920212223242526272829303132333435[[#This Row],[ADET]]*Tablo14567891011121314151617181920212223242526272829303132333435[[#This Row],[SATIŞ]]</f>
        <v>307.5</v>
      </c>
    </row>
    <row r="9" spans="2:18" ht="21" hidden="1" customHeight="1" x14ac:dyDescent="0.3">
      <c r="B9" s="2">
        <v>45323</v>
      </c>
      <c r="C9" s="6">
        <v>5</v>
      </c>
      <c r="D9" s="10">
        <v>58.5</v>
      </c>
      <c r="E9" s="10">
        <v>62</v>
      </c>
      <c r="F9" s="9">
        <f>IF(Tablo14567891011121314151617181920212223242526272829303132333435[[#This Row],[SATIŞ]]=0,"Açık",(E9-D9)*C9)</f>
        <v>17.5</v>
      </c>
      <c r="G9" s="11">
        <f>Tablo14567891011121314151617181920212223242526272829303132333435[[#This Row],[ADET]]*Tablo14567891011121314151617181920212223242526272829303132333435[[#This Row],[ALIŞ]]</f>
        <v>292.5</v>
      </c>
      <c r="H9" s="11">
        <f>Tablo14567891011121314151617181920212223242526272829303132333435[[#This Row],[ADET]]*Tablo14567891011121314151617181920212223242526272829303132333435[[#This Row],[SATIŞ]]</f>
        <v>310</v>
      </c>
    </row>
    <row r="10" spans="2:18" ht="21" hidden="1" customHeight="1" x14ac:dyDescent="0.3">
      <c r="B10" s="2">
        <v>45323</v>
      </c>
      <c r="C10" s="6">
        <v>5</v>
      </c>
      <c r="D10" s="10">
        <v>58.5</v>
      </c>
      <c r="E10" s="10">
        <v>64</v>
      </c>
      <c r="F10" s="9">
        <f>IF(Tablo14567891011121314151617181920212223242526272829303132333435[[#This Row],[SATIŞ]]=0,"Açık",(E10-D10)*C10)</f>
        <v>27.5</v>
      </c>
      <c r="G10" s="11">
        <f>Tablo14567891011121314151617181920212223242526272829303132333435[[#This Row],[ADET]]*Tablo14567891011121314151617181920212223242526272829303132333435[[#This Row],[ALIŞ]]</f>
        <v>292.5</v>
      </c>
      <c r="H10" s="11">
        <f>Tablo14567891011121314151617181920212223242526272829303132333435[[#This Row],[ADET]]*Tablo14567891011121314151617181920212223242526272829303132333435[[#This Row],[SATIŞ]]</f>
        <v>320</v>
      </c>
    </row>
    <row r="11" spans="2:18" ht="21" hidden="1" customHeight="1" x14ac:dyDescent="0.3">
      <c r="B11" s="2">
        <v>45323</v>
      </c>
      <c r="C11" s="6">
        <v>10</v>
      </c>
      <c r="D11" s="10">
        <v>58</v>
      </c>
      <c r="E11" s="10">
        <v>63.2</v>
      </c>
      <c r="F11" s="9">
        <f>IF(Tablo14567891011121314151617181920212223242526272829303132333435[[#This Row],[SATIŞ]]=0,"Açık",(E11-D11)*C11)</f>
        <v>52.000000000000028</v>
      </c>
      <c r="G11" s="11">
        <f>Tablo14567891011121314151617181920212223242526272829303132333435[[#This Row],[ADET]]*Tablo14567891011121314151617181920212223242526272829303132333435[[#This Row],[ALIŞ]]</f>
        <v>580</v>
      </c>
      <c r="H11" s="11">
        <f>Tablo14567891011121314151617181920212223242526272829303132333435[[#This Row],[ADET]]*Tablo14567891011121314151617181920212223242526272829303132333435[[#This Row],[SATIŞ]]</f>
        <v>632</v>
      </c>
    </row>
    <row r="12" spans="2:18" ht="21" hidden="1" customHeight="1" x14ac:dyDescent="0.3">
      <c r="B12" s="2">
        <v>45323</v>
      </c>
      <c r="C12" s="6">
        <v>5</v>
      </c>
      <c r="D12" s="10">
        <v>58</v>
      </c>
      <c r="E12" s="10">
        <v>66</v>
      </c>
      <c r="F12" s="9">
        <f>IF(Tablo14567891011121314151617181920212223242526272829303132333435[[#This Row],[SATIŞ]]=0,"Açık",(E12-D12)*C12)</f>
        <v>40</v>
      </c>
      <c r="G12" s="11">
        <f>Tablo14567891011121314151617181920212223242526272829303132333435[[#This Row],[ADET]]*Tablo14567891011121314151617181920212223242526272829303132333435[[#This Row],[ALIŞ]]</f>
        <v>290</v>
      </c>
      <c r="H12" s="11">
        <f>Tablo14567891011121314151617181920212223242526272829303132333435[[#This Row],[ADET]]*Tablo14567891011121314151617181920212223242526272829303132333435[[#This Row],[SATIŞ]]</f>
        <v>330</v>
      </c>
    </row>
    <row r="13" spans="2:18" ht="21" hidden="1" customHeight="1" x14ac:dyDescent="0.3">
      <c r="B13" s="2">
        <v>45323</v>
      </c>
      <c r="C13" s="6">
        <v>5</v>
      </c>
      <c r="D13" s="10">
        <v>58</v>
      </c>
      <c r="E13" s="10">
        <v>65</v>
      </c>
      <c r="F13" s="9">
        <f>IF(Tablo14567891011121314151617181920212223242526272829303132333435[[#This Row],[SATIŞ]]=0,"Açık",(E13-D13)*C13)</f>
        <v>35</v>
      </c>
      <c r="G13" s="11">
        <f>Tablo14567891011121314151617181920212223242526272829303132333435[[#This Row],[ADET]]*Tablo14567891011121314151617181920212223242526272829303132333435[[#This Row],[ALIŞ]]</f>
        <v>290</v>
      </c>
      <c r="H13" s="11">
        <f>Tablo14567891011121314151617181920212223242526272829303132333435[[#This Row],[ADET]]*Tablo14567891011121314151617181920212223242526272829303132333435[[#This Row],[SATIŞ]]</f>
        <v>325</v>
      </c>
    </row>
    <row r="14" spans="2:18" ht="21" hidden="1" customHeight="1" x14ac:dyDescent="0.3">
      <c r="B14" s="2">
        <v>45328</v>
      </c>
      <c r="C14" s="6">
        <v>5</v>
      </c>
      <c r="D14" s="10">
        <v>55</v>
      </c>
      <c r="E14" s="10">
        <v>58</v>
      </c>
      <c r="F14" s="9">
        <f>IF(Tablo14567891011121314151617181920212223242526272829303132333435[[#This Row],[SATIŞ]]=0,"Açık",(E14-D14)*C14)</f>
        <v>15</v>
      </c>
      <c r="G14" s="11">
        <f>Tablo14567891011121314151617181920212223242526272829303132333435[[#This Row],[ADET]]*Tablo14567891011121314151617181920212223242526272829303132333435[[#This Row],[ALIŞ]]</f>
        <v>275</v>
      </c>
      <c r="H14" s="11">
        <f>Tablo14567891011121314151617181920212223242526272829303132333435[[#This Row],[ADET]]*Tablo14567891011121314151617181920212223242526272829303132333435[[#This Row],[SATIŞ]]</f>
        <v>290</v>
      </c>
    </row>
    <row r="15" spans="2:18" ht="21" hidden="1" customHeight="1" x14ac:dyDescent="0.3">
      <c r="B15" s="2">
        <v>45328</v>
      </c>
      <c r="C15" s="6">
        <v>20</v>
      </c>
      <c r="D15" s="10">
        <v>57.5</v>
      </c>
      <c r="E15" s="10">
        <v>57.6</v>
      </c>
      <c r="F15" s="9">
        <f>IF(Tablo14567891011121314151617181920212223242526272829303132333435[[#This Row],[SATIŞ]]=0,"Açık",(E15-D15)*C15)</f>
        <v>2.0000000000000284</v>
      </c>
      <c r="G15" s="11">
        <f>Tablo14567891011121314151617181920212223242526272829303132333435[[#This Row],[ADET]]*Tablo14567891011121314151617181920212223242526272829303132333435[[#This Row],[ALIŞ]]</f>
        <v>1150</v>
      </c>
      <c r="H15" s="11">
        <f>Tablo14567891011121314151617181920212223242526272829303132333435[[#This Row],[ADET]]*Tablo14567891011121314151617181920212223242526272829303132333435[[#This Row],[SATIŞ]]</f>
        <v>1152</v>
      </c>
    </row>
    <row r="16" spans="2:18" ht="21" hidden="1" customHeight="1" x14ac:dyDescent="0.3">
      <c r="B16" s="2">
        <v>45329</v>
      </c>
      <c r="C16" s="6">
        <v>10</v>
      </c>
      <c r="D16" s="10">
        <v>57.5</v>
      </c>
      <c r="E16" s="10">
        <v>58.5</v>
      </c>
      <c r="F16" s="9">
        <f>IF(Tablo14567891011121314151617181920212223242526272829303132333435[[#This Row],[SATIŞ]]=0,"Açık",(E16-D16)*C16)</f>
        <v>10</v>
      </c>
      <c r="G16" s="11">
        <f>Tablo14567891011121314151617181920212223242526272829303132333435[[#This Row],[ADET]]*Tablo14567891011121314151617181920212223242526272829303132333435[[#This Row],[ALIŞ]]</f>
        <v>575</v>
      </c>
      <c r="H16" s="11">
        <f>Tablo14567891011121314151617181920212223242526272829303132333435[[#This Row],[ADET]]*Tablo14567891011121314151617181920212223242526272829303132333435[[#This Row],[SATIŞ]]</f>
        <v>585</v>
      </c>
    </row>
    <row r="17" spans="2:10" ht="21" hidden="1" customHeight="1" x14ac:dyDescent="0.3">
      <c r="B17" s="2">
        <v>45329</v>
      </c>
      <c r="C17" s="6">
        <v>10</v>
      </c>
      <c r="D17" s="10">
        <v>57</v>
      </c>
      <c r="E17" s="10">
        <v>62</v>
      </c>
      <c r="F17" s="9">
        <f>IF(Tablo14567891011121314151617181920212223242526272829303132333435[[#This Row],[SATIŞ]]=0,"Açık",(E17-D17)*C17)</f>
        <v>50</v>
      </c>
      <c r="G17" s="11">
        <f>Tablo14567891011121314151617181920212223242526272829303132333435[[#This Row],[ADET]]*Tablo14567891011121314151617181920212223242526272829303132333435[[#This Row],[ALIŞ]]</f>
        <v>570</v>
      </c>
      <c r="H17" s="11">
        <f>Tablo14567891011121314151617181920212223242526272829303132333435[[#This Row],[ADET]]*Tablo14567891011121314151617181920212223242526272829303132333435[[#This Row],[SATIŞ]]</f>
        <v>620</v>
      </c>
    </row>
    <row r="18" spans="2:10" ht="21" hidden="1" customHeight="1" x14ac:dyDescent="0.3">
      <c r="B18" s="2">
        <v>45329</v>
      </c>
      <c r="C18" s="6">
        <v>10</v>
      </c>
      <c r="D18" s="10">
        <v>57</v>
      </c>
      <c r="E18" s="10">
        <v>62</v>
      </c>
      <c r="F18" s="9">
        <f>IF(Tablo14567891011121314151617181920212223242526272829303132333435[[#This Row],[SATIŞ]]=0,"Açık",(E18-D18)*C18)</f>
        <v>50</v>
      </c>
      <c r="G18" s="11">
        <f>Tablo14567891011121314151617181920212223242526272829303132333435[[#This Row],[ADET]]*Tablo14567891011121314151617181920212223242526272829303132333435[[#This Row],[ALIŞ]]</f>
        <v>570</v>
      </c>
      <c r="H18" s="11">
        <f>Tablo14567891011121314151617181920212223242526272829303132333435[[#This Row],[ADET]]*Tablo14567891011121314151617181920212223242526272829303132333435[[#This Row],[SATIŞ]]</f>
        <v>620</v>
      </c>
    </row>
    <row r="19" spans="2:10" ht="21" hidden="1" customHeight="1" x14ac:dyDescent="0.3">
      <c r="B19" s="2">
        <v>45331</v>
      </c>
      <c r="C19" s="6">
        <v>10</v>
      </c>
      <c r="D19" s="10">
        <v>63</v>
      </c>
      <c r="E19" s="10">
        <v>63.2</v>
      </c>
      <c r="F19" s="9">
        <f>IF(Tablo14567891011121314151617181920212223242526272829303132333435[[#This Row],[SATIŞ]]=0,"Açık",(E19-D19)*C19)</f>
        <v>2.0000000000000284</v>
      </c>
      <c r="G19" s="11">
        <f>Tablo14567891011121314151617181920212223242526272829303132333435[[#This Row],[ADET]]*Tablo14567891011121314151617181920212223242526272829303132333435[[#This Row],[ALIŞ]]</f>
        <v>630</v>
      </c>
      <c r="H19" s="11">
        <f>Tablo14567891011121314151617181920212223242526272829303132333435[[#This Row],[ADET]]*Tablo14567891011121314151617181920212223242526272829303132333435[[#This Row],[SATIŞ]]</f>
        <v>632</v>
      </c>
    </row>
    <row r="20" spans="2:10" ht="21" hidden="1" customHeight="1" x14ac:dyDescent="0.3">
      <c r="B20" s="2">
        <v>45331</v>
      </c>
      <c r="C20" s="6">
        <v>10</v>
      </c>
      <c r="D20" s="10">
        <v>64.5</v>
      </c>
      <c r="E20" s="10">
        <v>65</v>
      </c>
      <c r="F20" s="9">
        <f>IF(Tablo14567891011121314151617181920212223242526272829303132333435[[#This Row],[SATIŞ]]=0,"Açık",(E20-D20)*C20)</f>
        <v>5</v>
      </c>
      <c r="G20" s="11">
        <f>Tablo14567891011121314151617181920212223242526272829303132333435[[#This Row],[ADET]]*Tablo14567891011121314151617181920212223242526272829303132333435[[#This Row],[ALIŞ]]</f>
        <v>645</v>
      </c>
      <c r="H20" s="11">
        <f>Tablo14567891011121314151617181920212223242526272829303132333435[[#This Row],[ADET]]*Tablo14567891011121314151617181920212223242526272829303132333435[[#This Row],[SATIŞ]]</f>
        <v>650</v>
      </c>
    </row>
    <row r="21" spans="2:10" ht="21" hidden="1" customHeight="1" x14ac:dyDescent="0.3">
      <c r="B21" s="2">
        <v>45331</v>
      </c>
      <c r="C21" s="6">
        <v>10</v>
      </c>
      <c r="D21" s="10">
        <v>62</v>
      </c>
      <c r="E21" s="10">
        <v>62.5</v>
      </c>
      <c r="F21" s="9">
        <f>IF(Tablo14567891011121314151617181920212223242526272829303132333435[[#This Row],[SATIŞ]]=0,"Açık",(E21-D21)*C21)</f>
        <v>5</v>
      </c>
      <c r="G21" s="11">
        <f>Tablo14567891011121314151617181920212223242526272829303132333435[[#This Row],[ADET]]*Tablo14567891011121314151617181920212223242526272829303132333435[[#This Row],[ALIŞ]]</f>
        <v>620</v>
      </c>
      <c r="H21" s="11">
        <f>Tablo14567891011121314151617181920212223242526272829303132333435[[#This Row],[ADET]]*Tablo14567891011121314151617181920212223242526272829303132333435[[#This Row],[SATIŞ]]</f>
        <v>625</v>
      </c>
    </row>
    <row r="22" spans="2:10" ht="21" hidden="1" customHeight="1" x14ac:dyDescent="0.3">
      <c r="B22" s="2">
        <v>45331</v>
      </c>
      <c r="C22" s="6">
        <v>10</v>
      </c>
      <c r="D22" s="10">
        <v>62</v>
      </c>
      <c r="E22" s="10">
        <v>63</v>
      </c>
      <c r="F22" s="9">
        <f>IF(Tablo14567891011121314151617181920212223242526272829303132333435[[#This Row],[SATIŞ]]=0,"Açık",(E22-D22)*C22)</f>
        <v>10</v>
      </c>
      <c r="G22" s="11">
        <f>Tablo14567891011121314151617181920212223242526272829303132333435[[#This Row],[ADET]]*Tablo14567891011121314151617181920212223242526272829303132333435[[#This Row],[ALIŞ]]</f>
        <v>620</v>
      </c>
      <c r="H22" s="11">
        <f>Tablo14567891011121314151617181920212223242526272829303132333435[[#This Row],[ADET]]*Tablo14567891011121314151617181920212223242526272829303132333435[[#This Row],[SATIŞ]]</f>
        <v>630</v>
      </c>
    </row>
    <row r="23" spans="2:10" ht="21" hidden="1" customHeight="1" x14ac:dyDescent="0.3">
      <c r="B23" s="2">
        <v>45334</v>
      </c>
      <c r="C23" s="6">
        <v>20</v>
      </c>
      <c r="D23" s="10">
        <v>61.2</v>
      </c>
      <c r="E23" s="10">
        <v>63.5</v>
      </c>
      <c r="F23" s="9">
        <f>IF(Tablo14567891011121314151617181920212223242526272829303132333435[[#This Row],[SATIŞ]]=0,"Açık",(E23-D23)*C23)</f>
        <v>45.999999999999943</v>
      </c>
      <c r="G23" s="11">
        <f>Tablo14567891011121314151617181920212223242526272829303132333435[[#This Row],[ADET]]*Tablo14567891011121314151617181920212223242526272829303132333435[[#This Row],[ALIŞ]]</f>
        <v>1224</v>
      </c>
      <c r="H23" s="11">
        <f>Tablo14567891011121314151617181920212223242526272829303132333435[[#This Row],[ADET]]*Tablo14567891011121314151617181920212223242526272829303132333435[[#This Row],[SATIŞ]]</f>
        <v>1270</v>
      </c>
    </row>
    <row r="24" spans="2:10" ht="21" hidden="1" customHeight="1" x14ac:dyDescent="0.3">
      <c r="B24" s="2">
        <v>45334</v>
      </c>
      <c r="C24" s="6">
        <v>20</v>
      </c>
      <c r="D24" s="10">
        <v>62.75</v>
      </c>
      <c r="E24" s="10">
        <v>63.5</v>
      </c>
      <c r="F24" s="9">
        <f>IF(Tablo14567891011121314151617181920212223242526272829303132333435[[#This Row],[SATIŞ]]=0,"Açık",(E24-D24)*C24)</f>
        <v>15</v>
      </c>
      <c r="G24" s="11">
        <f>Tablo14567891011121314151617181920212223242526272829303132333435[[#This Row],[ADET]]*Tablo14567891011121314151617181920212223242526272829303132333435[[#This Row],[ALIŞ]]</f>
        <v>1255</v>
      </c>
      <c r="H24" s="11">
        <f>Tablo14567891011121314151617181920212223242526272829303132333435[[#This Row],[ADET]]*Tablo14567891011121314151617181920212223242526272829303132333435[[#This Row],[SATIŞ]]</f>
        <v>1270</v>
      </c>
    </row>
    <row r="25" spans="2:10" ht="21" hidden="1" customHeight="1" x14ac:dyDescent="0.3">
      <c r="B25" s="2">
        <v>45334</v>
      </c>
      <c r="C25" s="6">
        <v>20</v>
      </c>
      <c r="D25" s="10">
        <v>61</v>
      </c>
      <c r="E25" s="10">
        <v>63.2</v>
      </c>
      <c r="F25" s="9">
        <f>IF(Tablo14567891011121314151617181920212223242526272829303132333435[[#This Row],[SATIŞ]]=0,"Açık",(E25-D25)*C25)</f>
        <v>44.000000000000057</v>
      </c>
      <c r="G25" s="11">
        <f>Tablo14567891011121314151617181920212223242526272829303132333435[[#This Row],[ADET]]*Tablo14567891011121314151617181920212223242526272829303132333435[[#This Row],[ALIŞ]]</f>
        <v>1220</v>
      </c>
      <c r="H25" s="11">
        <f>Tablo14567891011121314151617181920212223242526272829303132333435[[#This Row],[ADET]]*Tablo14567891011121314151617181920212223242526272829303132333435[[#This Row],[SATIŞ]]</f>
        <v>1264</v>
      </c>
    </row>
    <row r="26" spans="2:10" ht="21" hidden="1" customHeight="1" x14ac:dyDescent="0.3">
      <c r="B26" s="2">
        <v>45335</v>
      </c>
      <c r="C26" s="6">
        <v>20</v>
      </c>
      <c r="D26" s="10">
        <v>61</v>
      </c>
      <c r="E26" s="10">
        <v>63.2</v>
      </c>
      <c r="F26" s="9">
        <f>IF(Tablo14567891011121314151617181920212223242526272829303132333435[[#This Row],[SATIŞ]]=0,"Açık",(E26-D26)*C26)</f>
        <v>44.000000000000057</v>
      </c>
      <c r="G26" s="11">
        <f>Tablo14567891011121314151617181920212223242526272829303132333435[[#This Row],[ADET]]*Tablo14567891011121314151617181920212223242526272829303132333435[[#This Row],[ALIŞ]]</f>
        <v>1220</v>
      </c>
      <c r="H26" s="11">
        <f>Tablo14567891011121314151617181920212223242526272829303132333435[[#This Row],[ADET]]*Tablo14567891011121314151617181920212223242526272829303132333435[[#This Row],[SATIŞ]]</f>
        <v>1264</v>
      </c>
    </row>
    <row r="27" spans="2:10" ht="21" hidden="1" customHeight="1" x14ac:dyDescent="0.3">
      <c r="B27" s="2">
        <v>45336</v>
      </c>
      <c r="C27" s="6">
        <v>20</v>
      </c>
      <c r="D27" s="10">
        <v>60</v>
      </c>
      <c r="E27" s="10">
        <v>65</v>
      </c>
      <c r="F27" s="9">
        <f>IF(Tablo14567891011121314151617181920212223242526272829303132333435[[#This Row],[SATIŞ]]=0,"Açık",(E27-D27)*C27)</f>
        <v>100</v>
      </c>
      <c r="G27" s="11">
        <f>Tablo14567891011121314151617181920212223242526272829303132333435[[#This Row],[ADET]]*Tablo14567891011121314151617181920212223242526272829303132333435[[#This Row],[ALIŞ]]</f>
        <v>1200</v>
      </c>
      <c r="H27" s="11">
        <f>Tablo14567891011121314151617181920212223242526272829303132333435[[#This Row],[ADET]]*Tablo14567891011121314151617181920212223242526272829303132333435[[#This Row],[SATIŞ]]</f>
        <v>1300</v>
      </c>
    </row>
    <row r="28" spans="2:10" ht="21" hidden="1" customHeight="1" x14ac:dyDescent="0.3">
      <c r="B28" s="2">
        <v>45336</v>
      </c>
      <c r="C28" s="6">
        <v>20</v>
      </c>
      <c r="D28" s="10">
        <v>60</v>
      </c>
      <c r="E28" s="10">
        <v>65</v>
      </c>
      <c r="F28" s="9">
        <f>IF(Tablo14567891011121314151617181920212223242526272829303132333435[[#This Row],[SATIŞ]]=0,"Açık",(E28-D28)*C28)</f>
        <v>100</v>
      </c>
      <c r="G28" s="11">
        <f>Tablo14567891011121314151617181920212223242526272829303132333435[[#This Row],[ADET]]*Tablo14567891011121314151617181920212223242526272829303132333435[[#This Row],[ALIŞ]]</f>
        <v>1200</v>
      </c>
      <c r="H28" s="11">
        <f>Tablo14567891011121314151617181920212223242526272829303132333435[[#This Row],[ADET]]*Tablo14567891011121314151617181920212223242526272829303132333435[[#This Row],[SATIŞ]]</f>
        <v>1300</v>
      </c>
    </row>
    <row r="29" spans="2:10" ht="21" hidden="1" customHeight="1" x14ac:dyDescent="0.3">
      <c r="B29" s="2">
        <v>45342</v>
      </c>
      <c r="C29" s="6">
        <v>50</v>
      </c>
      <c r="D29" s="10">
        <v>62</v>
      </c>
      <c r="E29" s="10">
        <v>66</v>
      </c>
      <c r="F29" s="9">
        <f>IF(Tablo14567891011121314151617181920212223242526272829303132333435[[#This Row],[SATIŞ]]=0,"Açık",(E29-D29)*C29)</f>
        <v>200</v>
      </c>
      <c r="G29" s="11">
        <f>Tablo14567891011121314151617181920212223242526272829303132333435[[#This Row],[ADET]]*Tablo14567891011121314151617181920212223242526272829303132333435[[#This Row],[ALIŞ]]</f>
        <v>3100</v>
      </c>
      <c r="H29" s="11">
        <f>Tablo14567891011121314151617181920212223242526272829303132333435[[#This Row],[ADET]]*Tablo14567891011121314151617181920212223242526272829303132333435[[#This Row],[SATIŞ]]</f>
        <v>3300</v>
      </c>
    </row>
    <row r="30" spans="2:10" ht="21" hidden="1" customHeight="1" x14ac:dyDescent="0.3">
      <c r="B30" s="2">
        <v>45344</v>
      </c>
      <c r="C30" s="6">
        <v>50</v>
      </c>
      <c r="D30" s="10">
        <v>63</v>
      </c>
      <c r="E30" s="10">
        <v>67</v>
      </c>
      <c r="F30" s="9">
        <f>IF(Tablo14567891011121314151617181920212223242526272829303132333435[[#This Row],[SATIŞ]]=0,"Açık",(E30-D30)*C30)</f>
        <v>200</v>
      </c>
      <c r="G30" s="11">
        <f>Tablo14567891011121314151617181920212223242526272829303132333435[[#This Row],[ADET]]*Tablo14567891011121314151617181920212223242526272829303132333435[[#This Row],[ALIŞ]]</f>
        <v>3150</v>
      </c>
      <c r="H30" s="11">
        <f>Tablo14567891011121314151617181920212223242526272829303132333435[[#This Row],[ADET]]*Tablo14567891011121314151617181920212223242526272829303132333435[[#This Row],[SATIŞ]]</f>
        <v>3350</v>
      </c>
    </row>
    <row r="31" spans="2:10" ht="21" hidden="1" customHeight="1" x14ac:dyDescent="0.3">
      <c r="B31" s="2">
        <v>45349</v>
      </c>
      <c r="C31" s="6">
        <v>50</v>
      </c>
      <c r="D31" s="10">
        <v>65</v>
      </c>
      <c r="E31" s="10">
        <v>66.5</v>
      </c>
      <c r="F31" s="9">
        <f>IF(Tablo14567891011121314151617181920212223242526272829303132333435[[#This Row],[SATIŞ]]=0,"Açık",(E31-D31)*C31)</f>
        <v>75</v>
      </c>
      <c r="G31" s="11">
        <f>Tablo14567891011121314151617181920212223242526272829303132333435[[#This Row],[ADET]]*Tablo14567891011121314151617181920212223242526272829303132333435[[#This Row],[ALIŞ]]</f>
        <v>3250</v>
      </c>
      <c r="H31" s="11">
        <f>Tablo14567891011121314151617181920212223242526272829303132333435[[#This Row],[ADET]]*Tablo14567891011121314151617181920212223242526272829303132333435[[#This Row],[SATIŞ]]</f>
        <v>3325</v>
      </c>
    </row>
    <row r="32" spans="2:10" ht="21" hidden="1" customHeight="1" x14ac:dyDescent="0.3">
      <c r="B32" s="2">
        <v>45350</v>
      </c>
      <c r="C32" s="6">
        <v>10</v>
      </c>
      <c r="D32" s="10">
        <v>61</v>
      </c>
      <c r="E32" s="10">
        <v>61.15</v>
      </c>
      <c r="F32" s="9">
        <f>IF(Tablo14567891011121314151617181920212223242526272829303132333435[[#This Row],[SATIŞ]]=0,"Açık",(E32-D32)*C32)</f>
        <v>1.4999999999999858</v>
      </c>
      <c r="G32" s="11">
        <f>Tablo14567891011121314151617181920212223242526272829303132333435[[#This Row],[ADET]]*Tablo14567891011121314151617181920212223242526272829303132333435[[#This Row],[ALIŞ]]</f>
        <v>610</v>
      </c>
      <c r="H32" s="11">
        <f>Tablo14567891011121314151617181920212223242526272829303132333435[[#This Row],[ADET]]*Tablo14567891011121314151617181920212223242526272829303132333435[[#This Row],[SATIŞ]]</f>
        <v>611.5</v>
      </c>
      <c r="J32" s="40" t="str">
        <f t="shared" ref="J32:J55" si="0">IF(E32=0,D32*1.05,"")</f>
        <v/>
      </c>
    </row>
    <row r="33" spans="2:10" ht="21" hidden="1" customHeight="1" x14ac:dyDescent="0.3">
      <c r="B33" s="2">
        <v>45350</v>
      </c>
      <c r="C33" s="6">
        <v>50</v>
      </c>
      <c r="D33" s="10">
        <v>59.25</v>
      </c>
      <c r="E33" s="10">
        <v>60</v>
      </c>
      <c r="F33" s="9">
        <f>IF(Tablo14567891011121314151617181920212223242526272829303132333435[[#This Row],[SATIŞ]]=0,"Açık",(E33-D33)*C33)</f>
        <v>37.5</v>
      </c>
      <c r="G33" s="11">
        <f>Tablo14567891011121314151617181920212223242526272829303132333435[[#This Row],[ADET]]*Tablo14567891011121314151617181920212223242526272829303132333435[[#This Row],[ALIŞ]]</f>
        <v>2962.5</v>
      </c>
      <c r="H33" s="11">
        <f>Tablo14567891011121314151617181920212223242526272829303132333435[[#This Row],[ADET]]*Tablo14567891011121314151617181920212223242526272829303132333435[[#This Row],[SATIŞ]]</f>
        <v>3000</v>
      </c>
      <c r="J33" s="40" t="str">
        <f t="shared" si="0"/>
        <v/>
      </c>
    </row>
    <row r="34" spans="2:10" ht="21" hidden="1" customHeight="1" x14ac:dyDescent="0.3">
      <c r="B34" s="2">
        <v>45351</v>
      </c>
      <c r="C34" s="6">
        <v>50</v>
      </c>
      <c r="D34" s="10">
        <v>56.45</v>
      </c>
      <c r="E34" s="10">
        <v>62</v>
      </c>
      <c r="F34" s="9">
        <f>IF(Tablo14567891011121314151617181920212223242526272829303132333435[[#This Row],[SATIŞ]]=0,"Açık",(E34-D34)*C34)</f>
        <v>277.49999999999989</v>
      </c>
      <c r="G34" s="11">
        <f>Tablo14567891011121314151617181920212223242526272829303132333435[[#This Row],[ADET]]*Tablo14567891011121314151617181920212223242526272829303132333435[[#This Row],[ALIŞ]]</f>
        <v>2822.5</v>
      </c>
      <c r="H34" s="11">
        <f>Tablo14567891011121314151617181920212223242526272829303132333435[[#This Row],[ADET]]*Tablo14567891011121314151617181920212223242526272829303132333435[[#This Row],[SATIŞ]]</f>
        <v>3100</v>
      </c>
      <c r="J34" s="40" t="str">
        <f t="shared" si="0"/>
        <v/>
      </c>
    </row>
    <row r="35" spans="2:10" ht="21" customHeight="1" x14ac:dyDescent="0.3">
      <c r="B35" s="2">
        <v>45364</v>
      </c>
      <c r="C35" s="6">
        <v>100</v>
      </c>
      <c r="D35" s="10">
        <v>65.5</v>
      </c>
      <c r="E35" s="10"/>
      <c r="F35" s="9" t="str">
        <f>IF(Tablo14567891011121314151617181920212223242526272829303132333435[[#This Row],[SATIŞ]]=0,"Açık",(E35-D35)*C35)</f>
        <v>Açık</v>
      </c>
      <c r="G35" s="11">
        <f>Tablo14567891011121314151617181920212223242526272829303132333435[[#This Row],[ADET]]*Tablo14567891011121314151617181920212223242526272829303132333435[[#This Row],[ALIŞ]]</f>
        <v>6550</v>
      </c>
      <c r="H35" s="11">
        <f>Tablo14567891011121314151617181920212223242526272829303132333435[[#This Row],[ADET]]*Tablo14567891011121314151617181920212223242526272829303132333435[[#This Row],[SATIŞ]]</f>
        <v>0</v>
      </c>
      <c r="J35" s="40">
        <f t="shared" si="0"/>
        <v>68.775000000000006</v>
      </c>
    </row>
    <row r="36" spans="2:10" ht="21" hidden="1" customHeight="1" x14ac:dyDescent="0.3">
      <c r="B36" s="2">
        <v>45364</v>
      </c>
      <c r="C36" s="6">
        <v>50</v>
      </c>
      <c r="D36" s="10">
        <v>64.5</v>
      </c>
      <c r="E36" s="10">
        <v>66</v>
      </c>
      <c r="F36" s="9">
        <f>IF(Tablo14567891011121314151617181920212223242526272829303132333435[[#This Row],[SATIŞ]]=0,"Açık",(E36-D36)*C36)</f>
        <v>75</v>
      </c>
      <c r="G36" s="11">
        <f>Tablo14567891011121314151617181920212223242526272829303132333435[[#This Row],[ADET]]*Tablo14567891011121314151617181920212223242526272829303132333435[[#This Row],[ALIŞ]]</f>
        <v>3225</v>
      </c>
      <c r="H36" s="11">
        <f>Tablo14567891011121314151617181920212223242526272829303132333435[[#This Row],[ADET]]*Tablo14567891011121314151617181920212223242526272829303132333435[[#This Row],[SATIŞ]]</f>
        <v>3300</v>
      </c>
      <c r="J36" s="40" t="str">
        <f t="shared" si="0"/>
        <v/>
      </c>
    </row>
    <row r="37" spans="2:10" ht="21" customHeight="1" x14ac:dyDescent="0.3">
      <c r="B37" s="2">
        <v>45364</v>
      </c>
      <c r="C37" s="6">
        <v>50</v>
      </c>
      <c r="D37" s="10">
        <v>64.5</v>
      </c>
      <c r="E37" s="10"/>
      <c r="F37" s="9" t="str">
        <f>IF(Tablo14567891011121314151617181920212223242526272829303132333435[[#This Row],[SATIŞ]]=0,"Açık",(E37-D37)*C37)</f>
        <v>Açık</v>
      </c>
      <c r="G37" s="11">
        <f>Tablo14567891011121314151617181920212223242526272829303132333435[[#This Row],[ADET]]*Tablo14567891011121314151617181920212223242526272829303132333435[[#This Row],[ALIŞ]]</f>
        <v>3225</v>
      </c>
      <c r="H37" s="11">
        <f>Tablo14567891011121314151617181920212223242526272829303132333435[[#This Row],[ADET]]*Tablo14567891011121314151617181920212223242526272829303132333435[[#This Row],[SATIŞ]]</f>
        <v>0</v>
      </c>
      <c r="J37" s="40">
        <f t="shared" si="0"/>
        <v>67.725000000000009</v>
      </c>
    </row>
    <row r="38" spans="2:10" ht="21" hidden="1" customHeight="1" x14ac:dyDescent="0.3">
      <c r="B38" s="2">
        <v>45364</v>
      </c>
      <c r="C38" s="6">
        <v>50</v>
      </c>
      <c r="D38" s="10">
        <v>65</v>
      </c>
      <c r="E38" s="10">
        <v>67</v>
      </c>
      <c r="F38" s="9">
        <f>IF(Tablo14567891011121314151617181920212223242526272829303132333435[[#This Row],[SATIŞ]]=0,"Açık",(E38-D38)*C38)</f>
        <v>100</v>
      </c>
      <c r="G38" s="11">
        <f>Tablo14567891011121314151617181920212223242526272829303132333435[[#This Row],[ADET]]*Tablo14567891011121314151617181920212223242526272829303132333435[[#This Row],[ALIŞ]]</f>
        <v>3250</v>
      </c>
      <c r="H38" s="11">
        <f>Tablo14567891011121314151617181920212223242526272829303132333435[[#This Row],[ADET]]*Tablo14567891011121314151617181920212223242526272829303132333435[[#This Row],[SATIŞ]]</f>
        <v>3350</v>
      </c>
      <c r="J38" s="40" t="str">
        <f t="shared" si="0"/>
        <v/>
      </c>
    </row>
    <row r="39" spans="2:10" ht="21" hidden="1" customHeight="1" x14ac:dyDescent="0.3">
      <c r="B39" s="2">
        <v>45364</v>
      </c>
      <c r="C39" s="6">
        <v>50</v>
      </c>
      <c r="D39" s="10">
        <v>64</v>
      </c>
      <c r="E39" s="10">
        <v>65</v>
      </c>
      <c r="F39" s="9">
        <f>IF(Tablo14567891011121314151617181920212223242526272829303132333435[[#This Row],[SATIŞ]]=0,"Açık",(E39-D39)*C39)</f>
        <v>50</v>
      </c>
      <c r="G39" s="11">
        <f>Tablo14567891011121314151617181920212223242526272829303132333435[[#This Row],[ADET]]*Tablo14567891011121314151617181920212223242526272829303132333435[[#This Row],[ALIŞ]]</f>
        <v>3200</v>
      </c>
      <c r="H39" s="11">
        <f>Tablo14567891011121314151617181920212223242526272829303132333435[[#This Row],[ADET]]*Tablo14567891011121314151617181920212223242526272829303132333435[[#This Row],[SATIŞ]]</f>
        <v>3250</v>
      </c>
      <c r="J39" s="40" t="str">
        <f t="shared" si="0"/>
        <v/>
      </c>
    </row>
    <row r="40" spans="2:10" ht="21" hidden="1" customHeight="1" x14ac:dyDescent="0.3">
      <c r="B40" s="2">
        <v>45364</v>
      </c>
      <c r="C40" s="6">
        <v>50</v>
      </c>
      <c r="D40" s="10">
        <v>64</v>
      </c>
      <c r="E40" s="10">
        <v>65</v>
      </c>
      <c r="F40" s="9">
        <f>IF(Tablo14567891011121314151617181920212223242526272829303132333435[[#This Row],[SATIŞ]]=0,"Açık",(E40-D40)*C40)</f>
        <v>50</v>
      </c>
      <c r="G40" s="11">
        <f>Tablo14567891011121314151617181920212223242526272829303132333435[[#This Row],[ADET]]*Tablo14567891011121314151617181920212223242526272829303132333435[[#This Row],[ALIŞ]]</f>
        <v>3200</v>
      </c>
      <c r="H40" s="11">
        <f>Tablo14567891011121314151617181920212223242526272829303132333435[[#This Row],[ADET]]*Tablo14567891011121314151617181920212223242526272829303132333435[[#This Row],[SATIŞ]]</f>
        <v>3250</v>
      </c>
      <c r="J40" s="40" t="str">
        <f t="shared" si="0"/>
        <v/>
      </c>
    </row>
    <row r="41" spans="2:10" ht="21" hidden="1" customHeight="1" x14ac:dyDescent="0.3">
      <c r="B41" s="2">
        <v>45365</v>
      </c>
      <c r="C41" s="6">
        <v>50</v>
      </c>
      <c r="D41" s="10">
        <v>63</v>
      </c>
      <c r="E41" s="10">
        <v>64.5</v>
      </c>
      <c r="F41" s="9">
        <f>IF(Tablo14567891011121314151617181920212223242526272829303132333435[[#This Row],[SATIŞ]]=0,"Açık",(E41-D41)*C41)</f>
        <v>75</v>
      </c>
      <c r="G41" s="11">
        <f>Tablo14567891011121314151617181920212223242526272829303132333435[[#This Row],[ADET]]*Tablo14567891011121314151617181920212223242526272829303132333435[[#This Row],[ALIŞ]]</f>
        <v>3150</v>
      </c>
      <c r="H41" s="11">
        <f>Tablo14567891011121314151617181920212223242526272829303132333435[[#This Row],[ADET]]*Tablo14567891011121314151617181920212223242526272829303132333435[[#This Row],[SATIŞ]]</f>
        <v>3225</v>
      </c>
      <c r="J41" s="40" t="str">
        <f t="shared" si="0"/>
        <v/>
      </c>
    </row>
    <row r="42" spans="2:10" ht="21" hidden="1" customHeight="1" x14ac:dyDescent="0.3">
      <c r="B42" s="2">
        <v>45365</v>
      </c>
      <c r="C42" s="6">
        <v>50</v>
      </c>
      <c r="D42" s="10">
        <v>63</v>
      </c>
      <c r="E42" s="10">
        <v>64</v>
      </c>
      <c r="F42" s="9">
        <f>IF(Tablo14567891011121314151617181920212223242526272829303132333435[[#This Row],[SATIŞ]]=0,"Açık",(E42-D42)*C42)</f>
        <v>50</v>
      </c>
      <c r="G42" s="11">
        <f>Tablo14567891011121314151617181920212223242526272829303132333435[[#This Row],[ADET]]*Tablo14567891011121314151617181920212223242526272829303132333435[[#This Row],[ALIŞ]]</f>
        <v>3150</v>
      </c>
      <c r="H42" s="11">
        <f>Tablo14567891011121314151617181920212223242526272829303132333435[[#This Row],[ADET]]*Tablo14567891011121314151617181920212223242526272829303132333435[[#This Row],[SATIŞ]]</f>
        <v>3200</v>
      </c>
      <c r="J42" s="40" t="str">
        <f t="shared" si="0"/>
        <v/>
      </c>
    </row>
    <row r="43" spans="2:10" ht="21" hidden="1" customHeight="1" x14ac:dyDescent="0.3">
      <c r="B43" s="2">
        <v>45369</v>
      </c>
      <c r="C43" s="6">
        <v>50</v>
      </c>
      <c r="D43" s="10">
        <v>61</v>
      </c>
      <c r="E43" s="10">
        <v>63</v>
      </c>
      <c r="F43" s="9">
        <f>IF(Tablo14567891011121314151617181920212223242526272829303132333435[[#This Row],[SATIŞ]]=0,"Açık",(E43-D43)*C43)</f>
        <v>100</v>
      </c>
      <c r="G43" s="11">
        <f>Tablo14567891011121314151617181920212223242526272829303132333435[[#This Row],[ADET]]*Tablo14567891011121314151617181920212223242526272829303132333435[[#This Row],[ALIŞ]]</f>
        <v>3050</v>
      </c>
      <c r="H43" s="11">
        <f>Tablo14567891011121314151617181920212223242526272829303132333435[[#This Row],[ADET]]*Tablo14567891011121314151617181920212223242526272829303132333435[[#This Row],[SATIŞ]]</f>
        <v>3150</v>
      </c>
      <c r="J43" s="40" t="str">
        <f t="shared" si="0"/>
        <v/>
      </c>
    </row>
    <row r="44" spans="2:10" ht="21" hidden="1" customHeight="1" x14ac:dyDescent="0.3">
      <c r="B44" s="2">
        <v>45369</v>
      </c>
      <c r="C44" s="6">
        <v>50</v>
      </c>
      <c r="D44" s="10">
        <v>61</v>
      </c>
      <c r="E44" s="10">
        <v>62</v>
      </c>
      <c r="F44" s="9">
        <f>IF(Tablo14567891011121314151617181920212223242526272829303132333435[[#This Row],[SATIŞ]]=0,"Açık",(E44-D44)*C44)</f>
        <v>50</v>
      </c>
      <c r="G44" s="11">
        <f>Tablo14567891011121314151617181920212223242526272829303132333435[[#This Row],[ADET]]*Tablo14567891011121314151617181920212223242526272829303132333435[[#This Row],[ALIŞ]]</f>
        <v>3050</v>
      </c>
      <c r="H44" s="11">
        <f>Tablo14567891011121314151617181920212223242526272829303132333435[[#This Row],[ADET]]*Tablo14567891011121314151617181920212223242526272829303132333435[[#This Row],[SATIŞ]]</f>
        <v>3100</v>
      </c>
      <c r="J44" s="40" t="str">
        <f t="shared" si="0"/>
        <v/>
      </c>
    </row>
    <row r="45" spans="2:10" ht="21" hidden="1" customHeight="1" x14ac:dyDescent="0.3">
      <c r="B45" s="2">
        <v>45369</v>
      </c>
      <c r="C45" s="6">
        <v>50</v>
      </c>
      <c r="D45" s="10">
        <v>60</v>
      </c>
      <c r="E45" s="10">
        <v>60.25</v>
      </c>
      <c r="F45" s="9">
        <f>IF(Tablo14567891011121314151617181920212223242526272829303132333435[[#This Row],[SATIŞ]]=0,"Açık",(E45-D45)*C45)</f>
        <v>12.5</v>
      </c>
      <c r="G45" s="11">
        <f>Tablo14567891011121314151617181920212223242526272829303132333435[[#This Row],[ADET]]*Tablo14567891011121314151617181920212223242526272829303132333435[[#This Row],[ALIŞ]]</f>
        <v>3000</v>
      </c>
      <c r="H45" s="11">
        <f>Tablo14567891011121314151617181920212223242526272829303132333435[[#This Row],[ADET]]*Tablo14567891011121314151617181920212223242526272829303132333435[[#This Row],[SATIŞ]]</f>
        <v>3012.5</v>
      </c>
      <c r="J45" s="40" t="str">
        <f t="shared" si="0"/>
        <v/>
      </c>
    </row>
    <row r="46" spans="2:10" ht="21" hidden="1" customHeight="1" x14ac:dyDescent="0.3">
      <c r="B46" s="2">
        <v>45369</v>
      </c>
      <c r="C46" s="6">
        <v>50</v>
      </c>
      <c r="D46" s="10">
        <v>60</v>
      </c>
      <c r="E46" s="10">
        <v>61</v>
      </c>
      <c r="F46" s="9">
        <f>IF(Tablo14567891011121314151617181920212223242526272829303132333435[[#This Row],[SATIŞ]]=0,"Açık",(E46-D46)*C46)</f>
        <v>50</v>
      </c>
      <c r="G46" s="11">
        <f>Tablo14567891011121314151617181920212223242526272829303132333435[[#This Row],[ADET]]*Tablo14567891011121314151617181920212223242526272829303132333435[[#This Row],[ALIŞ]]</f>
        <v>3000</v>
      </c>
      <c r="H46" s="11">
        <f>Tablo14567891011121314151617181920212223242526272829303132333435[[#This Row],[ADET]]*Tablo14567891011121314151617181920212223242526272829303132333435[[#This Row],[SATIŞ]]</f>
        <v>3050</v>
      </c>
      <c r="J46" s="40" t="str">
        <f t="shared" si="0"/>
        <v/>
      </c>
    </row>
    <row r="47" spans="2:10" ht="21" customHeight="1" x14ac:dyDescent="0.3">
      <c r="B47" s="2">
        <v>45369</v>
      </c>
      <c r="C47" s="6">
        <v>50</v>
      </c>
      <c r="D47" s="10">
        <v>65</v>
      </c>
      <c r="E47" s="10"/>
      <c r="F47" s="9" t="str">
        <f>IF(Tablo14567891011121314151617181920212223242526272829303132333435[[#This Row],[SATIŞ]]=0,"Açık",(E47-D47)*C47)</f>
        <v>Açık</v>
      </c>
      <c r="G47" s="11">
        <f>Tablo14567891011121314151617181920212223242526272829303132333435[[#This Row],[ADET]]*Tablo14567891011121314151617181920212223242526272829303132333435[[#This Row],[ALIŞ]]</f>
        <v>3250</v>
      </c>
      <c r="H47" s="11">
        <f>Tablo14567891011121314151617181920212223242526272829303132333435[[#This Row],[ADET]]*Tablo14567891011121314151617181920212223242526272829303132333435[[#This Row],[SATIŞ]]</f>
        <v>0</v>
      </c>
      <c r="J47" s="40">
        <f t="shared" si="0"/>
        <v>68.25</v>
      </c>
    </row>
    <row r="48" spans="2:10" ht="21" hidden="1" customHeight="1" x14ac:dyDescent="0.3">
      <c r="B48" s="2">
        <v>45369</v>
      </c>
      <c r="C48" s="6">
        <v>50</v>
      </c>
      <c r="D48" s="10">
        <v>64</v>
      </c>
      <c r="E48" s="10">
        <v>61.15</v>
      </c>
      <c r="F48" s="9">
        <f>IF(Tablo14567891011121314151617181920212223242526272829303132333435[[#This Row],[SATIŞ]]=0,"Açık",(E48-D48)*C48)</f>
        <v>-142.50000000000006</v>
      </c>
      <c r="G48" s="11">
        <f>Tablo14567891011121314151617181920212223242526272829303132333435[[#This Row],[ADET]]*Tablo14567891011121314151617181920212223242526272829303132333435[[#This Row],[ALIŞ]]</f>
        <v>3200</v>
      </c>
      <c r="H48" s="11">
        <f>Tablo14567891011121314151617181920212223242526272829303132333435[[#This Row],[ADET]]*Tablo14567891011121314151617181920212223242526272829303132333435[[#This Row],[SATIŞ]]</f>
        <v>3057.5</v>
      </c>
      <c r="J48" s="40" t="str">
        <f t="shared" si="0"/>
        <v/>
      </c>
    </row>
    <row r="49" spans="2:10" ht="21" hidden="1" customHeight="1" x14ac:dyDescent="0.3">
      <c r="B49" s="2">
        <v>45371</v>
      </c>
      <c r="C49" s="6">
        <v>50</v>
      </c>
      <c r="D49" s="10">
        <v>64</v>
      </c>
      <c r="E49" s="10">
        <v>61.15</v>
      </c>
      <c r="F49" s="9">
        <f>IF(Tablo14567891011121314151617181920212223242526272829303132333435[[#This Row],[SATIŞ]]=0,"Açık",(E49-D49)*C49)</f>
        <v>-142.50000000000006</v>
      </c>
      <c r="G49" s="11">
        <f>Tablo14567891011121314151617181920212223242526272829303132333435[[#This Row],[ADET]]*Tablo14567891011121314151617181920212223242526272829303132333435[[#This Row],[ALIŞ]]</f>
        <v>3200</v>
      </c>
      <c r="H49" s="11">
        <f>Tablo14567891011121314151617181920212223242526272829303132333435[[#This Row],[ADET]]*Tablo14567891011121314151617181920212223242526272829303132333435[[#This Row],[SATIŞ]]</f>
        <v>3057.5</v>
      </c>
      <c r="J49" s="40" t="str">
        <f t="shared" si="0"/>
        <v/>
      </c>
    </row>
    <row r="50" spans="2:10" ht="21" hidden="1" customHeight="1" x14ac:dyDescent="0.3">
      <c r="B50" s="2">
        <v>45373</v>
      </c>
      <c r="C50" s="6">
        <v>50</v>
      </c>
      <c r="D50" s="10">
        <v>61.45</v>
      </c>
      <c r="E50" s="10">
        <v>62.5</v>
      </c>
      <c r="F50" s="9">
        <f>IF(Tablo14567891011121314151617181920212223242526272829303132333435[[#This Row],[SATIŞ]]=0,"Açık",(E50-D50)*C50)</f>
        <v>52.499999999999858</v>
      </c>
      <c r="G50" s="11">
        <f>Tablo14567891011121314151617181920212223242526272829303132333435[[#This Row],[ADET]]*Tablo14567891011121314151617181920212223242526272829303132333435[[#This Row],[ALIŞ]]</f>
        <v>3072.5</v>
      </c>
      <c r="H50" s="11">
        <f>Tablo14567891011121314151617181920212223242526272829303132333435[[#This Row],[ADET]]*Tablo14567891011121314151617181920212223242526272829303132333435[[#This Row],[SATIŞ]]</f>
        <v>3125</v>
      </c>
      <c r="J50" s="40" t="str">
        <f t="shared" si="0"/>
        <v/>
      </c>
    </row>
    <row r="51" spans="2:10" ht="21" hidden="1" customHeight="1" x14ac:dyDescent="0.3">
      <c r="B51" s="2">
        <v>45373</v>
      </c>
      <c r="C51" s="6">
        <v>50</v>
      </c>
      <c r="D51" s="10">
        <v>61.45</v>
      </c>
      <c r="E51" s="10">
        <v>61</v>
      </c>
      <c r="F51" s="9">
        <f>IF(Tablo14567891011121314151617181920212223242526272829303132333435[[#This Row],[SATIŞ]]=0,"Açık",(E51-D51)*C51)</f>
        <v>-22.500000000000142</v>
      </c>
      <c r="G51" s="11">
        <f>Tablo14567891011121314151617181920212223242526272829303132333435[[#This Row],[ADET]]*Tablo14567891011121314151617181920212223242526272829303132333435[[#This Row],[ALIŞ]]</f>
        <v>3072.5</v>
      </c>
      <c r="H51" s="11">
        <f>Tablo14567891011121314151617181920212223242526272829303132333435[[#This Row],[ADET]]*Tablo14567891011121314151617181920212223242526272829303132333435[[#This Row],[SATIŞ]]</f>
        <v>3050</v>
      </c>
      <c r="J51" s="40" t="str">
        <f t="shared" si="0"/>
        <v/>
      </c>
    </row>
    <row r="52" spans="2:10" ht="21" hidden="1" customHeight="1" x14ac:dyDescent="0.3">
      <c r="B52" s="2">
        <v>45376</v>
      </c>
      <c r="C52" s="6">
        <v>50</v>
      </c>
      <c r="D52" s="10">
        <v>60</v>
      </c>
      <c r="E52" s="10">
        <v>60.5</v>
      </c>
      <c r="F52" s="9">
        <f>IF(Tablo14567891011121314151617181920212223242526272829303132333435[[#This Row],[SATIŞ]]=0,"Açık",(E52-D52)*C52)</f>
        <v>25</v>
      </c>
      <c r="G52" s="11">
        <f>Tablo14567891011121314151617181920212223242526272829303132333435[[#This Row],[ADET]]*Tablo14567891011121314151617181920212223242526272829303132333435[[#This Row],[ALIŞ]]</f>
        <v>3000</v>
      </c>
      <c r="H52" s="11">
        <f>Tablo14567891011121314151617181920212223242526272829303132333435[[#This Row],[ADET]]*Tablo14567891011121314151617181920212223242526272829303132333435[[#This Row],[SATIŞ]]</f>
        <v>3025</v>
      </c>
      <c r="J52" s="40" t="str">
        <f t="shared" si="0"/>
        <v/>
      </c>
    </row>
    <row r="53" spans="2:10" ht="21" hidden="1" customHeight="1" x14ac:dyDescent="0.3">
      <c r="B53" s="2">
        <v>45377</v>
      </c>
      <c r="C53" s="6">
        <v>50</v>
      </c>
      <c r="D53" s="10">
        <v>59</v>
      </c>
      <c r="E53" s="10">
        <v>60</v>
      </c>
      <c r="F53" s="9">
        <f>IF(Tablo14567891011121314151617181920212223242526272829303132333435[[#This Row],[SATIŞ]]=0,"Açık",(E53-D53)*C53)</f>
        <v>50</v>
      </c>
      <c r="G53" s="11">
        <f>Tablo14567891011121314151617181920212223242526272829303132333435[[#This Row],[ADET]]*Tablo14567891011121314151617181920212223242526272829303132333435[[#This Row],[ALIŞ]]</f>
        <v>2950</v>
      </c>
      <c r="H53" s="11">
        <f>Tablo14567891011121314151617181920212223242526272829303132333435[[#This Row],[ADET]]*Tablo14567891011121314151617181920212223242526272829303132333435[[#This Row],[SATIŞ]]</f>
        <v>3000</v>
      </c>
      <c r="J53" s="40" t="str">
        <f t="shared" si="0"/>
        <v/>
      </c>
    </row>
    <row r="54" spans="2:10" ht="21" hidden="1" customHeight="1" x14ac:dyDescent="0.3">
      <c r="B54" s="2">
        <v>45380</v>
      </c>
      <c r="C54" s="6">
        <v>50</v>
      </c>
      <c r="D54" s="10">
        <v>55</v>
      </c>
      <c r="E54" s="10">
        <v>59.4</v>
      </c>
      <c r="F54" s="9">
        <f>IF(Tablo14567891011121314151617181920212223242526272829303132333435[[#This Row],[SATIŞ]]=0,"Açık",(E54-D54)*C54)</f>
        <v>219.99999999999994</v>
      </c>
      <c r="G54" s="11">
        <f>Tablo14567891011121314151617181920212223242526272829303132333435[[#This Row],[ADET]]*Tablo14567891011121314151617181920212223242526272829303132333435[[#This Row],[ALIŞ]]</f>
        <v>2750</v>
      </c>
      <c r="H54" s="11">
        <f>Tablo14567891011121314151617181920212223242526272829303132333435[[#This Row],[ADET]]*Tablo14567891011121314151617181920212223242526272829303132333435[[#This Row],[SATIŞ]]</f>
        <v>2970</v>
      </c>
      <c r="J54" s="40" t="str">
        <f t="shared" si="0"/>
        <v/>
      </c>
    </row>
    <row r="55" spans="2:10" ht="21" hidden="1" customHeight="1" x14ac:dyDescent="0.3">
      <c r="B55" s="2">
        <v>45380</v>
      </c>
      <c r="C55" s="6">
        <v>20</v>
      </c>
      <c r="D55" s="10">
        <v>55</v>
      </c>
      <c r="E55" s="10">
        <v>56</v>
      </c>
      <c r="F55" s="9">
        <f>IF(Tablo14567891011121314151617181920212223242526272829303132333435[[#This Row],[SATIŞ]]=0,"Açık",(E55-D55)*C55)</f>
        <v>20</v>
      </c>
      <c r="G55" s="11">
        <f>Tablo14567891011121314151617181920212223242526272829303132333435[[#This Row],[ADET]]*Tablo14567891011121314151617181920212223242526272829303132333435[[#This Row],[ALIŞ]]</f>
        <v>1100</v>
      </c>
      <c r="H55" s="11">
        <f>Tablo14567891011121314151617181920212223242526272829303132333435[[#This Row],[ADET]]*Tablo14567891011121314151617181920212223242526272829303132333435[[#This Row],[SATIŞ]]</f>
        <v>1120</v>
      </c>
      <c r="J55" s="40" t="str">
        <f t="shared" si="0"/>
        <v/>
      </c>
    </row>
    <row r="56" spans="2:10" ht="21" hidden="1" customHeight="1" x14ac:dyDescent="0.3">
      <c r="B56" s="2">
        <v>45380</v>
      </c>
      <c r="C56" s="6">
        <v>30</v>
      </c>
      <c r="D56" s="10">
        <v>55</v>
      </c>
      <c r="E56" s="10">
        <v>55</v>
      </c>
      <c r="F56" s="9">
        <f>IF(Tablo14567891011121314151617181920212223242526272829303132333435[[#This Row],[SATIŞ]]=0,"Açık",(E56-D56)*C56)</f>
        <v>0</v>
      </c>
      <c r="G56" s="11">
        <f>Tablo14567891011121314151617181920212223242526272829303132333435[[#This Row],[ADET]]*Tablo14567891011121314151617181920212223242526272829303132333435[[#This Row],[ALIŞ]]</f>
        <v>1650</v>
      </c>
      <c r="H56" s="11">
        <f>Tablo14567891011121314151617181920212223242526272829303132333435[[#This Row],[ADET]]*Tablo14567891011121314151617181920212223242526272829303132333435[[#This Row],[SATIŞ]]</f>
        <v>1650</v>
      </c>
      <c r="J56" s="40"/>
    </row>
    <row r="57" spans="2:10" ht="21" hidden="1" customHeight="1" x14ac:dyDescent="0.3">
      <c r="B57" s="2">
        <v>45383</v>
      </c>
      <c r="C57" s="6">
        <v>20</v>
      </c>
      <c r="D57" s="10">
        <v>53</v>
      </c>
      <c r="E57" s="10">
        <v>55</v>
      </c>
      <c r="F57" s="9">
        <f>IF(Tablo14567891011121314151617181920212223242526272829303132333435[[#This Row],[SATIŞ]]=0,"Açık",(E57-D57)*C57)</f>
        <v>40</v>
      </c>
      <c r="G57" s="11">
        <f>Tablo14567891011121314151617181920212223242526272829303132333435[[#This Row],[ADET]]*Tablo14567891011121314151617181920212223242526272829303132333435[[#This Row],[ALIŞ]]</f>
        <v>1060</v>
      </c>
      <c r="H57" s="11">
        <f>Tablo14567891011121314151617181920212223242526272829303132333435[[#This Row],[ADET]]*Tablo14567891011121314151617181920212223242526272829303132333435[[#This Row],[SATIŞ]]</f>
        <v>1100</v>
      </c>
    </row>
    <row r="58" spans="2:10" ht="21" hidden="1" customHeight="1" x14ac:dyDescent="0.3">
      <c r="B58" s="2">
        <v>45397</v>
      </c>
      <c r="C58" s="6">
        <v>50</v>
      </c>
      <c r="D58" s="10">
        <v>59</v>
      </c>
      <c r="E58" s="10">
        <v>62</v>
      </c>
      <c r="F58" s="9">
        <f>IF(Tablo14567891011121314151617181920212223242526272829303132333435[[#This Row],[SATIŞ]]=0,"Açık",(E58-D58)*C58)</f>
        <v>150</v>
      </c>
      <c r="G58" s="11">
        <f>Tablo14567891011121314151617181920212223242526272829303132333435[[#This Row],[ADET]]*Tablo14567891011121314151617181920212223242526272829303132333435[[#This Row],[ALIŞ]]</f>
        <v>2950</v>
      </c>
      <c r="H58" s="11">
        <f>Tablo14567891011121314151617181920212223242526272829303132333435[[#This Row],[ADET]]*Tablo14567891011121314151617181920212223242526272829303132333435[[#This Row],[SATIŞ]]</f>
        <v>3100</v>
      </c>
    </row>
    <row r="59" spans="2:10" ht="21" hidden="1" customHeight="1" x14ac:dyDescent="0.3">
      <c r="B59" s="2">
        <v>45398</v>
      </c>
      <c r="C59" s="6">
        <v>50</v>
      </c>
      <c r="D59" s="10">
        <v>60</v>
      </c>
      <c r="E59" s="10">
        <v>61.15</v>
      </c>
      <c r="F59" s="9">
        <f>IF(Tablo14567891011121314151617181920212223242526272829303132333435[[#This Row],[SATIŞ]]=0,"Açık",(E59-D59)*C59)</f>
        <v>57.499999999999929</v>
      </c>
      <c r="G59" s="11">
        <f>Tablo14567891011121314151617181920212223242526272829303132333435[[#This Row],[ADET]]*Tablo14567891011121314151617181920212223242526272829303132333435[[#This Row],[ALIŞ]]</f>
        <v>3000</v>
      </c>
      <c r="H59" s="11">
        <f>Tablo14567891011121314151617181920212223242526272829303132333435[[#This Row],[ADET]]*Tablo14567891011121314151617181920212223242526272829303132333435[[#This Row],[SATIŞ]]</f>
        <v>3057.5</v>
      </c>
    </row>
    <row r="60" spans="2:10" ht="21" hidden="1" customHeight="1" x14ac:dyDescent="0.3">
      <c r="B60" s="2">
        <v>45398</v>
      </c>
      <c r="C60" s="6">
        <v>50</v>
      </c>
      <c r="D60" s="10">
        <v>59</v>
      </c>
      <c r="E60" s="10">
        <v>60.35</v>
      </c>
      <c r="F60" s="9">
        <f>IF(Tablo14567891011121314151617181920212223242526272829303132333435[[#This Row],[SATIŞ]]=0,"Açık",(E60-D60)*C60)</f>
        <v>67.500000000000071</v>
      </c>
      <c r="G60" s="11">
        <f>Tablo14567891011121314151617181920212223242526272829303132333435[[#This Row],[ADET]]*Tablo14567891011121314151617181920212223242526272829303132333435[[#This Row],[ALIŞ]]</f>
        <v>2950</v>
      </c>
      <c r="H60" s="11">
        <f>Tablo14567891011121314151617181920212223242526272829303132333435[[#This Row],[ADET]]*Tablo14567891011121314151617181920212223242526272829303132333435[[#This Row],[SATIŞ]]</f>
        <v>3017.5</v>
      </c>
    </row>
    <row r="61" spans="2:10" ht="21" hidden="1" customHeight="1" x14ac:dyDescent="0.3">
      <c r="B61" s="2">
        <v>45398</v>
      </c>
      <c r="C61" s="6">
        <v>50</v>
      </c>
      <c r="D61" s="10">
        <v>60</v>
      </c>
      <c r="E61" s="10">
        <v>61</v>
      </c>
      <c r="F61" s="9">
        <f>IF(Tablo14567891011121314151617181920212223242526272829303132333435[[#This Row],[SATIŞ]]=0,"Açık",(E61-D61)*C61)</f>
        <v>50</v>
      </c>
      <c r="G61" s="11">
        <f>Tablo14567891011121314151617181920212223242526272829303132333435[[#This Row],[ADET]]*Tablo14567891011121314151617181920212223242526272829303132333435[[#This Row],[ALIŞ]]</f>
        <v>3000</v>
      </c>
      <c r="H61" s="11">
        <f>Tablo14567891011121314151617181920212223242526272829303132333435[[#This Row],[ADET]]*Tablo14567891011121314151617181920212223242526272829303132333435[[#This Row],[SATIŞ]]</f>
        <v>3050</v>
      </c>
    </row>
    <row r="62" spans="2:10" ht="21" hidden="1" customHeight="1" x14ac:dyDescent="0.3">
      <c r="B62" s="2">
        <v>45399</v>
      </c>
      <c r="C62" s="6">
        <v>100</v>
      </c>
      <c r="D62" s="10">
        <v>59</v>
      </c>
      <c r="E62" s="10">
        <v>60</v>
      </c>
      <c r="F62" s="9">
        <f>IF(Tablo14567891011121314151617181920212223242526272829303132333435[[#This Row],[SATIŞ]]=0,"Açık",(E62-D62)*C62)</f>
        <v>100</v>
      </c>
      <c r="G62" s="11">
        <f>Tablo14567891011121314151617181920212223242526272829303132333435[[#This Row],[ADET]]*Tablo14567891011121314151617181920212223242526272829303132333435[[#This Row],[ALIŞ]]</f>
        <v>5900</v>
      </c>
      <c r="H62" s="11">
        <f>Tablo14567891011121314151617181920212223242526272829303132333435[[#This Row],[ADET]]*Tablo14567891011121314151617181920212223242526272829303132333435[[#This Row],[SATIŞ]]</f>
        <v>6000</v>
      </c>
    </row>
    <row r="63" spans="2:10" ht="21" hidden="1" customHeight="1" x14ac:dyDescent="0.3">
      <c r="B63" s="2">
        <v>45400</v>
      </c>
      <c r="C63" s="6">
        <v>50</v>
      </c>
      <c r="D63" s="10">
        <v>57.5</v>
      </c>
      <c r="E63" s="10">
        <v>58.4</v>
      </c>
      <c r="F63" s="9">
        <f>IF(Tablo14567891011121314151617181920212223242526272829303132333435[[#This Row],[SATIŞ]]=0,"Açık",(E63-D63)*C63)</f>
        <v>44.999999999999929</v>
      </c>
      <c r="G63" s="11">
        <f>Tablo14567891011121314151617181920212223242526272829303132333435[[#This Row],[ADET]]*Tablo14567891011121314151617181920212223242526272829303132333435[[#This Row],[ALIŞ]]</f>
        <v>2875</v>
      </c>
      <c r="H63" s="11">
        <f>Tablo14567891011121314151617181920212223242526272829303132333435[[#This Row],[ADET]]*Tablo14567891011121314151617181920212223242526272829303132333435[[#This Row],[SATIŞ]]</f>
        <v>2920</v>
      </c>
    </row>
  </sheetData>
  <conditionalFormatting sqref="B4:F63">
    <cfRule type="expression" dxfId="71" priority="1">
      <formula>$F4&lt;0</formula>
    </cfRule>
    <cfRule type="expression" dxfId="70" priority="2">
      <formula>$F4="Açık"</formula>
    </cfRule>
    <cfRule type="expression" dxfId="69" priority="3">
      <formula>$F4&gt;0</formula>
    </cfRule>
  </conditionalFormatting>
  <hyperlinks>
    <hyperlink ref="B1" location="İcmal!A1" display="ANA SAYFA" xr:uid="{6AEA7784-174B-4514-B391-014B32CB1E76}"/>
  </hyperlinks>
  <pageMargins left="0.7" right="0.7" top="0.75" bottom="0.75" header="0.3" footer="0.3"/>
  <tableParts count="1">
    <tablePart r:id="rId1"/>
  </tablePart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629CF-03DE-46D0-944D-07407D094CBF}">
  <dimension ref="B1:R69"/>
  <sheetViews>
    <sheetView showGridLines="0" showZeros="0" zoomScale="110" zoomScaleNormal="110" workbookViewId="0">
      <pane ySplit="3" topLeftCell="A43" activePane="bottomLeft" state="frozen"/>
      <selection pane="bottomLeft" activeCell="C1" sqref="C1"/>
    </sheetView>
  </sheetViews>
  <sheetFormatPr defaultRowHeight="21" customHeight="1" x14ac:dyDescent="0.3"/>
  <cols>
    <col min="2" max="2" width="20.6640625" style="1" customWidth="1"/>
    <col min="3" max="3" width="11.33203125" style="6" customWidth="1"/>
    <col min="4" max="5" width="12.88671875" style="3" customWidth="1"/>
    <col min="6" max="6" width="12.88671875" style="5" customWidth="1"/>
    <col min="7" max="8" width="11.44140625" bestFit="1" customWidth="1"/>
    <col min="10" max="12" width="12.44140625" customWidth="1"/>
    <col min="13" max="13" width="11.6640625" bestFit="1" customWidth="1"/>
    <col min="14" max="14" width="12" bestFit="1" customWidth="1"/>
  </cols>
  <sheetData>
    <row r="1" spans="2:18" ht="21" customHeight="1" x14ac:dyDescent="0.3">
      <c r="B1" s="12" t="s">
        <v>64</v>
      </c>
      <c r="C1" s="4">
        <f>SUMIF(Tablo1456789101112131415161718192021222324252627282930313233343536[KAR],"Açık",Tablo1456789101112131415161718192021222324252627282930313233343536[ADET])</f>
        <v>1100</v>
      </c>
      <c r="D1" s="10">
        <f>+İcmal!E48</f>
        <v>13.52</v>
      </c>
      <c r="E1" s="10">
        <f>C1*D1</f>
        <v>14872</v>
      </c>
      <c r="F1" s="10">
        <f>IFERROR(((SUM(Tablo1456789101112131415161718192021222324252627282930313233343536[ALIŞ TUTAR])-SUM(Tablo1456789101112131415161718192021222324252627282930313233343536[SATIŞ TUTAR]))/C1),"")</f>
        <v>12.625346272727276</v>
      </c>
      <c r="G1" s="10">
        <f>IF(M3=0,L3,C1*(D1-F1))</f>
        <v>984.11909999999614</v>
      </c>
      <c r="J1" s="45" t="s">
        <v>94</v>
      </c>
      <c r="K1" s="45" t="s">
        <v>95</v>
      </c>
      <c r="L1" s="45" t="s">
        <v>96</v>
      </c>
      <c r="M1" s="33">
        <f>F1</f>
        <v>12.625346272727276</v>
      </c>
      <c r="N1" s="8" t="e">
        <f>M1*(1+$J$1)</f>
        <v>#VALUE!</v>
      </c>
      <c r="P1" s="8" t="e">
        <f>Q1*(1-$J$1)</f>
        <v>#VALUE!</v>
      </c>
      <c r="Q1" s="33">
        <f>+D1</f>
        <v>13.52</v>
      </c>
      <c r="R1" s="8" t="e">
        <f>Q1*(1+$J$1)</f>
        <v>#VALUE!</v>
      </c>
    </row>
    <row r="2" spans="2:18" ht="21" customHeight="1" x14ac:dyDescent="0.3">
      <c r="B2" s="7" t="s">
        <v>45</v>
      </c>
      <c r="J2" s="45">
        <f>SUMIFS(Tablo2[HEDEF2],Tablo2[HİSSE],B2)</f>
        <v>1000</v>
      </c>
      <c r="K2" s="45">
        <f>+E1/İcmal!$P$2</f>
        <v>457.17798954810939</v>
      </c>
      <c r="L2" s="45">
        <f>+J2-K2</f>
        <v>542.82201045189061</v>
      </c>
    </row>
    <row r="3" spans="2:18" ht="21" customHeight="1" x14ac:dyDescent="0.3">
      <c r="B3" s="1" t="s">
        <v>0</v>
      </c>
      <c r="C3" s="6" t="s">
        <v>4</v>
      </c>
      <c r="D3" s="3" t="s">
        <v>1</v>
      </c>
      <c r="E3" s="3" t="s">
        <v>3</v>
      </c>
      <c r="F3" s="5" t="s">
        <v>2</v>
      </c>
      <c r="G3" s="3" t="s">
        <v>8</v>
      </c>
      <c r="H3" s="3" t="s">
        <v>9</v>
      </c>
      <c r="L3" s="33">
        <f>SUM(Tablo1456789101112131415161718192021222324252627282930313233343536[KAR])</f>
        <v>2610.1190999999999</v>
      </c>
      <c r="M3" s="37">
        <f>+C1</f>
        <v>1100</v>
      </c>
    </row>
    <row r="4" spans="2:18" ht="21" hidden="1" customHeight="1" x14ac:dyDescent="0.3">
      <c r="B4" s="2">
        <v>45291</v>
      </c>
      <c r="C4" s="6">
        <v>145</v>
      </c>
      <c r="D4" s="10">
        <v>25.381060000000002</v>
      </c>
      <c r="E4" s="10">
        <v>30.86232</v>
      </c>
      <c r="F4" s="9">
        <f>IF(Tablo1456789101112131415161718192021222324252627282930313233343536[[#This Row],[SATIŞ]]=0,"Açık",(E4-D4)*C4)</f>
        <v>794.78269999999986</v>
      </c>
      <c r="G4" s="11">
        <f>Tablo1456789101112131415161718192021222324252627282930313233343536[[#This Row],[ADET]]*Tablo1456789101112131415161718192021222324252627282930313233343536[[#This Row],[ALIŞ]]</f>
        <v>3680.2537000000002</v>
      </c>
      <c r="H4" s="11">
        <f>Tablo1456789101112131415161718192021222324252627282930313233343536[[#This Row],[ADET]]*Tablo1456789101112131415161718192021222324252627282930313233343536[[#This Row],[SATIŞ]]</f>
        <v>4475.0364</v>
      </c>
      <c r="L4" s="8">
        <f>SUM(Tablo1456789101112131415161718192021222324252627282930313233343536[ALIŞ TUTAR])</f>
        <v>97207.117299999998</v>
      </c>
      <c r="M4" s="8">
        <f>SUM(Tablo1456789101112131415161718192021222324252627282930313233343536[SATIŞ TUTAR])</f>
        <v>83319.236399999994</v>
      </c>
      <c r="N4" s="8">
        <f>L4-M4</f>
        <v>13887.880900000004</v>
      </c>
    </row>
    <row r="5" spans="2:18" ht="21" hidden="1" customHeight="1" x14ac:dyDescent="0.3">
      <c r="B5" s="2">
        <v>45291</v>
      </c>
      <c r="C5" s="6">
        <v>10</v>
      </c>
      <c r="D5" s="10">
        <v>25.381060000000002</v>
      </c>
      <c r="E5" s="10">
        <v>13.5</v>
      </c>
      <c r="F5" s="9">
        <f>IF(Tablo1456789101112131415161718192021222324252627282930313233343536[[#This Row],[SATIŞ]]=0,"Açık",(E5-D5)*C5)</f>
        <v>-118.81060000000002</v>
      </c>
      <c r="G5" s="11">
        <f>Tablo1456789101112131415161718192021222324252627282930313233343536[[#This Row],[ADET]]*Tablo1456789101112131415161718192021222324252627282930313233343536[[#This Row],[ALIŞ]]</f>
        <v>253.81060000000002</v>
      </c>
      <c r="H5" s="11">
        <f>Tablo1456789101112131415161718192021222324252627282930313233343536[[#This Row],[ADET]]*Tablo1456789101112131415161718192021222324252627282930313233343536[[#This Row],[SATIŞ]]</f>
        <v>135</v>
      </c>
      <c r="N5">
        <f>+N4/80</f>
        <v>173.59851125000006</v>
      </c>
    </row>
    <row r="6" spans="2:18" ht="21" hidden="1" customHeight="1" x14ac:dyDescent="0.3">
      <c r="B6" s="2">
        <v>45291</v>
      </c>
      <c r="C6" s="6">
        <v>20</v>
      </c>
      <c r="D6" s="10">
        <v>25.381060000000002</v>
      </c>
      <c r="E6" s="10">
        <v>13.6</v>
      </c>
      <c r="F6" s="9">
        <f>IF(Tablo1456789101112131415161718192021222324252627282930313233343536[[#This Row],[SATIŞ]]=0,"Açık",(E6-D6)*C6)</f>
        <v>-235.62120000000004</v>
      </c>
      <c r="G6" s="11">
        <f>Tablo1456789101112131415161718192021222324252627282930313233343536[[#This Row],[ADET]]*Tablo1456789101112131415161718192021222324252627282930313233343536[[#This Row],[ALIŞ]]</f>
        <v>507.62120000000004</v>
      </c>
      <c r="H6" s="11">
        <f>Tablo1456789101112131415161718192021222324252627282930313233343536[[#This Row],[ADET]]*Tablo1456789101112131415161718192021222324252627282930313233343536[[#This Row],[SATIŞ]]</f>
        <v>272</v>
      </c>
    </row>
    <row r="7" spans="2:18" ht="21" hidden="1" customHeight="1" x14ac:dyDescent="0.3">
      <c r="B7" s="2">
        <v>45291</v>
      </c>
      <c r="C7" s="6">
        <v>30</v>
      </c>
      <c r="D7" s="10">
        <v>25.381060000000002</v>
      </c>
      <c r="E7" s="10">
        <v>13.7</v>
      </c>
      <c r="F7" s="9">
        <f>IF(Tablo1456789101112131415161718192021222324252627282930313233343536[[#This Row],[SATIŞ]]=0,"Açık",(E7-D7)*C7)</f>
        <v>-350.43180000000007</v>
      </c>
      <c r="G7" s="11">
        <f>Tablo1456789101112131415161718192021222324252627282930313233343536[[#This Row],[ADET]]*Tablo1456789101112131415161718192021222324252627282930313233343536[[#This Row],[ALIŞ]]</f>
        <v>761.43180000000007</v>
      </c>
      <c r="H7" s="11">
        <f>Tablo1456789101112131415161718192021222324252627282930313233343536[[#This Row],[ADET]]*Tablo1456789101112131415161718192021222324252627282930313233343536[[#This Row],[SATIŞ]]</f>
        <v>411</v>
      </c>
    </row>
    <row r="8" spans="2:18" ht="21" hidden="1" customHeight="1" x14ac:dyDescent="0.3">
      <c r="B8" s="2">
        <v>45328</v>
      </c>
      <c r="C8" s="6">
        <v>50</v>
      </c>
      <c r="D8" s="10">
        <v>14.45</v>
      </c>
      <c r="E8" s="10">
        <v>14.5</v>
      </c>
      <c r="F8" s="9">
        <f>IF(Tablo1456789101112131415161718192021222324252627282930313233343536[[#This Row],[SATIŞ]]=0,"Açık",(E8-D8)*C8)</f>
        <v>2.5000000000000355</v>
      </c>
      <c r="G8" s="11">
        <f>Tablo1456789101112131415161718192021222324252627282930313233343536[[#This Row],[ADET]]*Tablo1456789101112131415161718192021222324252627282930313233343536[[#This Row],[ALIŞ]]</f>
        <v>722.5</v>
      </c>
      <c r="H8" s="11">
        <f>Tablo1456789101112131415161718192021222324252627282930313233343536[[#This Row],[ADET]]*Tablo1456789101112131415161718192021222324252627282930313233343536[[#This Row],[SATIŞ]]</f>
        <v>725</v>
      </c>
    </row>
    <row r="9" spans="2:18" ht="21" hidden="1" customHeight="1" x14ac:dyDescent="0.3">
      <c r="B9" s="2">
        <v>45328</v>
      </c>
      <c r="C9" s="6">
        <v>50</v>
      </c>
      <c r="D9" s="10">
        <v>14.45</v>
      </c>
      <c r="E9" s="10">
        <v>14.8</v>
      </c>
      <c r="F9" s="9">
        <f>IF(Tablo1456789101112131415161718192021222324252627282930313233343536[[#This Row],[SATIŞ]]=0,"Açık",(E9-D9)*C9)</f>
        <v>17.500000000000071</v>
      </c>
      <c r="G9" s="11">
        <f>Tablo1456789101112131415161718192021222324252627282930313233343536[[#This Row],[ADET]]*Tablo1456789101112131415161718192021222324252627282930313233343536[[#This Row],[ALIŞ]]</f>
        <v>722.5</v>
      </c>
      <c r="H9" s="11">
        <f>Tablo1456789101112131415161718192021222324252627282930313233343536[[#This Row],[ADET]]*Tablo1456789101112131415161718192021222324252627282930313233343536[[#This Row],[SATIŞ]]</f>
        <v>740</v>
      </c>
    </row>
    <row r="10" spans="2:18" ht="21" hidden="1" customHeight="1" x14ac:dyDescent="0.3">
      <c r="B10" s="2">
        <v>45328</v>
      </c>
      <c r="C10" s="6">
        <v>100</v>
      </c>
      <c r="D10" s="10">
        <v>14.5</v>
      </c>
      <c r="E10" s="10">
        <v>15</v>
      </c>
      <c r="F10" s="9">
        <f>IF(Tablo1456789101112131415161718192021222324252627282930313233343536[[#This Row],[SATIŞ]]=0,"Açık",(E10-D10)*C10)</f>
        <v>50</v>
      </c>
      <c r="G10" s="11">
        <f>Tablo1456789101112131415161718192021222324252627282930313233343536[[#This Row],[ADET]]*Tablo1456789101112131415161718192021222324252627282930313233343536[[#This Row],[ALIŞ]]</f>
        <v>1450</v>
      </c>
      <c r="H10" s="11">
        <f>Tablo1456789101112131415161718192021222324252627282930313233343536[[#This Row],[ADET]]*Tablo1456789101112131415161718192021222324252627282930313233343536[[#This Row],[SATIŞ]]</f>
        <v>1500</v>
      </c>
    </row>
    <row r="11" spans="2:18" ht="21" hidden="1" customHeight="1" x14ac:dyDescent="0.3">
      <c r="B11" s="2">
        <v>45328</v>
      </c>
      <c r="C11" s="6">
        <v>100</v>
      </c>
      <c r="D11" s="10">
        <v>14.45</v>
      </c>
      <c r="E11" s="10">
        <v>15.3</v>
      </c>
      <c r="F11" s="9">
        <f>IF(Tablo1456789101112131415161718192021222324252627282930313233343536[[#This Row],[SATIŞ]]=0,"Açık",(E11-D11)*C11)</f>
        <v>85.000000000000142</v>
      </c>
      <c r="G11" s="11">
        <f>Tablo1456789101112131415161718192021222324252627282930313233343536[[#This Row],[ADET]]*Tablo1456789101112131415161718192021222324252627282930313233343536[[#This Row],[ALIŞ]]</f>
        <v>1445</v>
      </c>
      <c r="H11" s="11">
        <f>Tablo1456789101112131415161718192021222324252627282930313233343536[[#This Row],[ADET]]*Tablo1456789101112131415161718192021222324252627282930313233343536[[#This Row],[SATIŞ]]</f>
        <v>1530</v>
      </c>
    </row>
    <row r="12" spans="2:18" ht="21" hidden="1" customHeight="1" x14ac:dyDescent="0.3">
      <c r="B12" s="2">
        <v>45328</v>
      </c>
      <c r="C12" s="6">
        <v>35</v>
      </c>
      <c r="D12" s="10">
        <v>14.45</v>
      </c>
      <c r="E12" s="10">
        <v>15.7</v>
      </c>
      <c r="F12" s="9">
        <f>IF(Tablo1456789101112131415161718192021222324252627282930313233343536[[#This Row],[SATIŞ]]=0,"Açık",(E12-D12)*C12)</f>
        <v>43.75</v>
      </c>
      <c r="G12" s="11">
        <f>Tablo1456789101112131415161718192021222324252627282930313233343536[[#This Row],[ADET]]*Tablo1456789101112131415161718192021222324252627282930313233343536[[#This Row],[ALIŞ]]</f>
        <v>505.75</v>
      </c>
      <c r="H12" s="11">
        <f>Tablo1456789101112131415161718192021222324252627282930313233343536[[#This Row],[ADET]]*Tablo1456789101112131415161718192021222324252627282930313233343536[[#This Row],[SATIŞ]]</f>
        <v>549.5</v>
      </c>
    </row>
    <row r="13" spans="2:18" ht="21" hidden="1" customHeight="1" x14ac:dyDescent="0.3">
      <c r="B13" s="2">
        <v>45328</v>
      </c>
      <c r="C13" s="6">
        <v>65</v>
      </c>
      <c r="D13" s="10">
        <v>14.45</v>
      </c>
      <c r="E13" s="10">
        <v>15.3</v>
      </c>
      <c r="F13" s="9">
        <f>IF(Tablo1456789101112131415161718192021222324252627282930313233343536[[#This Row],[SATIŞ]]=0,"Açık",(E13-D13)*C13)</f>
        <v>55.250000000000092</v>
      </c>
      <c r="G13" s="11">
        <f>Tablo1456789101112131415161718192021222324252627282930313233343536[[#This Row],[ADET]]*Tablo1456789101112131415161718192021222324252627282930313233343536[[#This Row],[ALIŞ]]</f>
        <v>939.25</v>
      </c>
      <c r="H13" s="11">
        <f>Tablo1456789101112131415161718192021222324252627282930313233343536[[#This Row],[ADET]]*Tablo1456789101112131415161718192021222324252627282930313233343536[[#This Row],[SATIŞ]]</f>
        <v>994.5</v>
      </c>
    </row>
    <row r="14" spans="2:18" ht="21" hidden="1" customHeight="1" x14ac:dyDescent="0.3">
      <c r="B14" s="2">
        <v>45328</v>
      </c>
      <c r="C14" s="6">
        <v>100</v>
      </c>
      <c r="D14" s="10">
        <v>14.45</v>
      </c>
      <c r="E14" s="10">
        <v>15.41</v>
      </c>
      <c r="F14" s="9">
        <f>IF(Tablo1456789101112131415161718192021222324252627282930313233343536[[#This Row],[SATIŞ]]=0,"Açık",(E14-D14)*C14)</f>
        <v>96.000000000000085</v>
      </c>
      <c r="G14" s="11">
        <f>Tablo1456789101112131415161718192021222324252627282930313233343536[[#This Row],[ADET]]*Tablo1456789101112131415161718192021222324252627282930313233343536[[#This Row],[ALIŞ]]</f>
        <v>1445</v>
      </c>
      <c r="H14" s="11">
        <f>Tablo1456789101112131415161718192021222324252627282930313233343536[[#This Row],[ADET]]*Tablo1456789101112131415161718192021222324252627282930313233343536[[#This Row],[SATIŞ]]</f>
        <v>1541</v>
      </c>
    </row>
    <row r="15" spans="2:18" ht="21" hidden="1" customHeight="1" x14ac:dyDescent="0.3">
      <c r="B15" s="2">
        <v>45329</v>
      </c>
      <c r="C15" s="6">
        <v>30</v>
      </c>
      <c r="D15" s="10">
        <v>14.55</v>
      </c>
      <c r="E15" s="10">
        <v>14.8</v>
      </c>
      <c r="F15" s="9">
        <f>IF(Tablo1456789101112131415161718192021222324252627282930313233343536[[#This Row],[SATIŞ]]=0,"Açık",(E15-D15)*C15)</f>
        <v>7.5</v>
      </c>
      <c r="G15" s="11">
        <f>Tablo1456789101112131415161718192021222324252627282930313233343536[[#This Row],[ADET]]*Tablo1456789101112131415161718192021222324252627282930313233343536[[#This Row],[ALIŞ]]</f>
        <v>436.5</v>
      </c>
      <c r="H15" s="11">
        <f>Tablo1456789101112131415161718192021222324252627282930313233343536[[#This Row],[ADET]]*Tablo1456789101112131415161718192021222324252627282930313233343536[[#This Row],[SATIŞ]]</f>
        <v>444</v>
      </c>
    </row>
    <row r="16" spans="2:18" ht="21" hidden="1" customHeight="1" x14ac:dyDescent="0.3">
      <c r="B16" s="2">
        <v>45329</v>
      </c>
      <c r="C16" s="6">
        <v>70</v>
      </c>
      <c r="D16" s="10">
        <v>14.4</v>
      </c>
      <c r="E16" s="10">
        <v>14.61</v>
      </c>
      <c r="F16" s="9">
        <f>IF(Tablo1456789101112131415161718192021222324252627282930313233343536[[#This Row],[SATIŞ]]=0,"Açık",(E16-D16)*C16)</f>
        <v>14.699999999999935</v>
      </c>
      <c r="G16" s="11">
        <f>Tablo1456789101112131415161718192021222324252627282930313233343536[[#This Row],[ADET]]*Tablo1456789101112131415161718192021222324252627282930313233343536[[#This Row],[ALIŞ]]</f>
        <v>1008</v>
      </c>
      <c r="H16" s="11">
        <f>Tablo1456789101112131415161718192021222324252627282930313233343536[[#This Row],[ADET]]*Tablo1456789101112131415161718192021222324252627282930313233343536[[#This Row],[SATIŞ]]</f>
        <v>1022.6999999999999</v>
      </c>
    </row>
    <row r="17" spans="2:8" ht="21" hidden="1" customHeight="1" x14ac:dyDescent="0.3">
      <c r="B17" s="2">
        <v>45329</v>
      </c>
      <c r="C17" s="6">
        <v>50</v>
      </c>
      <c r="D17" s="10">
        <v>14.3</v>
      </c>
      <c r="E17" s="10">
        <v>14.6</v>
      </c>
      <c r="F17" s="9">
        <f>IF(Tablo1456789101112131415161718192021222324252627282930313233343536[[#This Row],[SATIŞ]]=0,"Açık",(E17-D17)*C17)</f>
        <v>14.999999999999947</v>
      </c>
      <c r="G17" s="11">
        <f>Tablo1456789101112131415161718192021222324252627282930313233343536[[#This Row],[ADET]]*Tablo1456789101112131415161718192021222324252627282930313233343536[[#This Row],[ALIŞ]]</f>
        <v>715</v>
      </c>
      <c r="H17" s="11">
        <f>Tablo1456789101112131415161718192021222324252627282930313233343536[[#This Row],[ADET]]*Tablo1456789101112131415161718192021222324252627282930313233343536[[#This Row],[SATIŞ]]</f>
        <v>730</v>
      </c>
    </row>
    <row r="18" spans="2:8" ht="21" hidden="1" customHeight="1" x14ac:dyDescent="0.3">
      <c r="B18" s="2">
        <v>45329</v>
      </c>
      <c r="C18" s="6">
        <v>50</v>
      </c>
      <c r="D18" s="10">
        <v>14.3</v>
      </c>
      <c r="E18" s="10">
        <v>14.4</v>
      </c>
      <c r="F18" s="9">
        <f>IF(Tablo1456789101112131415161718192021222324252627282930313233343536[[#This Row],[SATIŞ]]=0,"Açık",(E18-D18)*C18)</f>
        <v>4.9999999999999822</v>
      </c>
      <c r="G18" s="11">
        <f>Tablo1456789101112131415161718192021222324252627282930313233343536[[#This Row],[ADET]]*Tablo1456789101112131415161718192021222324252627282930313233343536[[#This Row],[ALIŞ]]</f>
        <v>715</v>
      </c>
      <c r="H18" s="11">
        <f>Tablo1456789101112131415161718192021222324252627282930313233343536[[#This Row],[ADET]]*Tablo1456789101112131415161718192021222324252627282930313233343536[[#This Row],[SATIŞ]]</f>
        <v>720</v>
      </c>
    </row>
    <row r="19" spans="2:8" ht="21" hidden="1" customHeight="1" x14ac:dyDescent="0.3">
      <c r="B19" s="2">
        <v>45331</v>
      </c>
      <c r="C19" s="6">
        <v>40</v>
      </c>
      <c r="D19" s="10">
        <v>14.2</v>
      </c>
      <c r="E19" s="10">
        <v>15.8</v>
      </c>
      <c r="F19" s="9">
        <f>IF(Tablo1456789101112131415161718192021222324252627282930313233343536[[#This Row],[SATIŞ]]=0,"Açık",(E19-D19)*C19)</f>
        <v>64.000000000000057</v>
      </c>
      <c r="G19" s="11">
        <f>Tablo1456789101112131415161718192021222324252627282930313233343536[[#This Row],[ADET]]*Tablo1456789101112131415161718192021222324252627282930313233343536[[#This Row],[ALIŞ]]</f>
        <v>568</v>
      </c>
      <c r="H19" s="11">
        <f>Tablo1456789101112131415161718192021222324252627282930313233343536[[#This Row],[ADET]]*Tablo1456789101112131415161718192021222324252627282930313233343536[[#This Row],[SATIŞ]]</f>
        <v>632</v>
      </c>
    </row>
    <row r="20" spans="2:8" ht="21" hidden="1" customHeight="1" x14ac:dyDescent="0.3">
      <c r="B20" s="2">
        <v>45331</v>
      </c>
      <c r="C20" s="6">
        <v>60</v>
      </c>
      <c r="D20" s="10">
        <v>14.2</v>
      </c>
      <c r="E20" s="10">
        <v>16.149999999999999</v>
      </c>
      <c r="F20" s="9">
        <f>IF(Tablo1456789101112131415161718192021222324252627282930313233343536[[#This Row],[SATIŞ]]=0,"Açık",(E20-D20)*C20)</f>
        <v>116.99999999999996</v>
      </c>
      <c r="G20" s="11">
        <f>Tablo1456789101112131415161718192021222324252627282930313233343536[[#This Row],[ADET]]*Tablo1456789101112131415161718192021222324252627282930313233343536[[#This Row],[ALIŞ]]</f>
        <v>852</v>
      </c>
      <c r="H20" s="11">
        <f>Tablo1456789101112131415161718192021222324252627282930313233343536[[#This Row],[ADET]]*Tablo1456789101112131415161718192021222324252627282930313233343536[[#This Row],[SATIŞ]]</f>
        <v>968.99999999999989</v>
      </c>
    </row>
    <row r="21" spans="2:8" ht="21" hidden="1" customHeight="1" x14ac:dyDescent="0.3">
      <c r="B21" s="2">
        <v>45331</v>
      </c>
      <c r="C21" s="6">
        <v>50</v>
      </c>
      <c r="D21" s="10">
        <v>14.2</v>
      </c>
      <c r="E21" s="10">
        <v>16.5</v>
      </c>
      <c r="F21" s="9">
        <f>IF(Tablo1456789101112131415161718192021222324252627282930313233343536[[#This Row],[SATIŞ]]=0,"Açık",(E21-D21)*C21)</f>
        <v>115.00000000000003</v>
      </c>
      <c r="G21" s="11">
        <f>Tablo1456789101112131415161718192021222324252627282930313233343536[[#This Row],[ADET]]*Tablo1456789101112131415161718192021222324252627282930313233343536[[#This Row],[ALIŞ]]</f>
        <v>710</v>
      </c>
      <c r="H21" s="11">
        <f>Tablo1456789101112131415161718192021222324252627282930313233343536[[#This Row],[ADET]]*Tablo1456789101112131415161718192021222324252627282930313233343536[[#This Row],[SATIŞ]]</f>
        <v>825</v>
      </c>
    </row>
    <row r="22" spans="2:8" ht="21" hidden="1" customHeight="1" x14ac:dyDescent="0.3">
      <c r="B22" s="2">
        <v>45335</v>
      </c>
      <c r="C22" s="6">
        <v>25</v>
      </c>
      <c r="D22" s="10">
        <v>15</v>
      </c>
      <c r="E22" s="10">
        <v>15.25</v>
      </c>
      <c r="F22" s="9">
        <f>IF(Tablo1456789101112131415161718192021222324252627282930313233343536[[#This Row],[SATIŞ]]=0,"Açık",(E22-D22)*C22)</f>
        <v>6.25</v>
      </c>
      <c r="G22" s="11">
        <f>Tablo1456789101112131415161718192021222324252627282930313233343536[[#This Row],[ADET]]*Tablo1456789101112131415161718192021222324252627282930313233343536[[#This Row],[ALIŞ]]</f>
        <v>375</v>
      </c>
      <c r="H22" s="11">
        <f>Tablo1456789101112131415161718192021222324252627282930313233343536[[#This Row],[ADET]]*Tablo1456789101112131415161718192021222324252627282930313233343536[[#This Row],[SATIŞ]]</f>
        <v>381.25</v>
      </c>
    </row>
    <row r="23" spans="2:8" ht="21" hidden="1" customHeight="1" x14ac:dyDescent="0.3">
      <c r="B23" s="2">
        <v>45335</v>
      </c>
      <c r="C23" s="6">
        <v>25</v>
      </c>
      <c r="D23" s="10">
        <v>15</v>
      </c>
      <c r="E23" s="10">
        <v>16.149999999999999</v>
      </c>
      <c r="F23" s="9">
        <f>IF(Tablo1456789101112131415161718192021222324252627282930313233343536[[#This Row],[SATIŞ]]=0,"Açık",(E23-D23)*C23)</f>
        <v>28.749999999999964</v>
      </c>
      <c r="G23" s="11">
        <f>Tablo1456789101112131415161718192021222324252627282930313233343536[[#This Row],[ADET]]*Tablo1456789101112131415161718192021222324252627282930313233343536[[#This Row],[ALIŞ]]</f>
        <v>375</v>
      </c>
      <c r="H23" s="11">
        <f>Tablo1456789101112131415161718192021222324252627282930313233343536[[#This Row],[ADET]]*Tablo1456789101112131415161718192021222324252627282930313233343536[[#This Row],[SATIŞ]]</f>
        <v>403.74999999999994</v>
      </c>
    </row>
    <row r="24" spans="2:8" ht="21" hidden="1" customHeight="1" x14ac:dyDescent="0.3">
      <c r="B24" s="2">
        <v>45336</v>
      </c>
      <c r="C24" s="6">
        <v>10</v>
      </c>
      <c r="D24" s="10">
        <v>15.1</v>
      </c>
      <c r="E24" s="10">
        <v>16.149999999999999</v>
      </c>
      <c r="F24" s="9">
        <f>IF(Tablo1456789101112131415161718192021222324252627282930313233343536[[#This Row],[SATIŞ]]=0,"Açık",(E24-D24)*C24)</f>
        <v>10.499999999999989</v>
      </c>
      <c r="G24" s="11">
        <f>Tablo1456789101112131415161718192021222324252627282930313233343536[[#This Row],[ADET]]*Tablo1456789101112131415161718192021222324252627282930313233343536[[#This Row],[ALIŞ]]</f>
        <v>151</v>
      </c>
      <c r="H24" s="11">
        <f>Tablo1456789101112131415161718192021222324252627282930313233343536[[#This Row],[ADET]]*Tablo1456789101112131415161718192021222324252627282930313233343536[[#This Row],[SATIŞ]]</f>
        <v>161.5</v>
      </c>
    </row>
    <row r="25" spans="2:8" ht="21" hidden="1" customHeight="1" x14ac:dyDescent="0.3">
      <c r="B25" s="2">
        <v>45336</v>
      </c>
      <c r="C25" s="6">
        <v>150</v>
      </c>
      <c r="D25" s="10">
        <v>15.1</v>
      </c>
      <c r="E25" s="10">
        <v>16.5</v>
      </c>
      <c r="F25" s="9">
        <f>IF(Tablo1456789101112131415161718192021222324252627282930313233343536[[#This Row],[SATIŞ]]=0,"Açık",(E25-D25)*C25)</f>
        <v>210.00000000000006</v>
      </c>
      <c r="G25" s="11">
        <f>Tablo1456789101112131415161718192021222324252627282930313233343536[[#This Row],[ADET]]*Tablo1456789101112131415161718192021222324252627282930313233343536[[#This Row],[ALIŞ]]</f>
        <v>2265</v>
      </c>
      <c r="H25" s="11">
        <f>Tablo1456789101112131415161718192021222324252627282930313233343536[[#This Row],[ADET]]*Tablo1456789101112131415161718192021222324252627282930313233343536[[#This Row],[SATIŞ]]</f>
        <v>2475</v>
      </c>
    </row>
    <row r="26" spans="2:8" ht="21" hidden="1" customHeight="1" x14ac:dyDescent="0.3">
      <c r="B26" s="2">
        <v>45337</v>
      </c>
      <c r="C26" s="6">
        <v>100</v>
      </c>
      <c r="D26" s="10">
        <v>15.75</v>
      </c>
      <c r="E26" s="10">
        <v>15.9</v>
      </c>
      <c r="F26" s="9">
        <f>IF(Tablo1456789101112131415161718192021222324252627282930313233343536[[#This Row],[SATIŞ]]=0,"Açık",(E26-D26)*C26)</f>
        <v>15.000000000000036</v>
      </c>
      <c r="G26" s="11">
        <f>Tablo1456789101112131415161718192021222324252627282930313233343536[[#This Row],[ADET]]*Tablo1456789101112131415161718192021222324252627282930313233343536[[#This Row],[ALIŞ]]</f>
        <v>1575</v>
      </c>
      <c r="H26" s="11">
        <f>Tablo1456789101112131415161718192021222324252627282930313233343536[[#This Row],[ADET]]*Tablo1456789101112131415161718192021222324252627282930313233343536[[#This Row],[SATIŞ]]</f>
        <v>1590</v>
      </c>
    </row>
    <row r="27" spans="2:8" ht="21" hidden="1" customHeight="1" x14ac:dyDescent="0.3">
      <c r="B27" s="2">
        <v>45341</v>
      </c>
      <c r="C27" s="6">
        <v>250</v>
      </c>
      <c r="D27" s="10">
        <v>16.260000000000002</v>
      </c>
      <c r="E27" s="10">
        <v>16.3</v>
      </c>
      <c r="F27" s="9">
        <f>IF(Tablo1456789101112131415161718192021222324252627282930313233343536[[#This Row],[SATIŞ]]=0,"Açık",(E27-D27)*C27)</f>
        <v>9.9999999999997868</v>
      </c>
      <c r="G27" s="11">
        <f>Tablo1456789101112131415161718192021222324252627282930313233343536[[#This Row],[ADET]]*Tablo1456789101112131415161718192021222324252627282930313233343536[[#This Row],[ALIŞ]]</f>
        <v>4065.0000000000005</v>
      </c>
      <c r="H27" s="11">
        <f>Tablo1456789101112131415161718192021222324252627282930313233343536[[#This Row],[ADET]]*Tablo1456789101112131415161718192021222324252627282930313233343536[[#This Row],[SATIŞ]]</f>
        <v>4075</v>
      </c>
    </row>
    <row r="28" spans="2:8" ht="21" hidden="1" customHeight="1" x14ac:dyDescent="0.3">
      <c r="B28" s="2">
        <v>45342</v>
      </c>
      <c r="C28" s="6">
        <v>250</v>
      </c>
      <c r="D28" s="10">
        <v>15.9</v>
      </c>
      <c r="E28" s="10">
        <v>16</v>
      </c>
      <c r="F28" s="9">
        <f>IF(Tablo1456789101112131415161718192021222324252627282930313233343536[[#This Row],[SATIŞ]]=0,"Açık",(E28-D28)*C28)</f>
        <v>24.999999999999911</v>
      </c>
      <c r="G28" s="11">
        <f>Tablo1456789101112131415161718192021222324252627282930313233343536[[#This Row],[ADET]]*Tablo1456789101112131415161718192021222324252627282930313233343536[[#This Row],[ALIŞ]]</f>
        <v>3975</v>
      </c>
      <c r="H28" s="11">
        <f>Tablo1456789101112131415161718192021222324252627282930313233343536[[#This Row],[ADET]]*Tablo1456789101112131415161718192021222324252627282930313233343536[[#This Row],[SATIŞ]]</f>
        <v>4000</v>
      </c>
    </row>
    <row r="29" spans="2:8" ht="21" hidden="1" customHeight="1" x14ac:dyDescent="0.3">
      <c r="B29" s="2">
        <v>45343</v>
      </c>
      <c r="C29" s="6">
        <v>250</v>
      </c>
      <c r="D29" s="10">
        <v>15.6</v>
      </c>
      <c r="E29" s="10">
        <v>16</v>
      </c>
      <c r="F29" s="9">
        <f>IF(Tablo1456789101112131415161718192021222324252627282930313233343536[[#This Row],[SATIŞ]]=0,"Açık",(E29-D29)*C29)</f>
        <v>100.00000000000009</v>
      </c>
      <c r="G29" s="11">
        <f>Tablo1456789101112131415161718192021222324252627282930313233343536[[#This Row],[ADET]]*Tablo1456789101112131415161718192021222324252627282930313233343536[[#This Row],[ALIŞ]]</f>
        <v>3900</v>
      </c>
      <c r="H29" s="11">
        <f>Tablo1456789101112131415161718192021222324252627282930313233343536[[#This Row],[ADET]]*Tablo1456789101112131415161718192021222324252627282930313233343536[[#This Row],[SATIŞ]]</f>
        <v>4000</v>
      </c>
    </row>
    <row r="30" spans="2:8" ht="21" hidden="1" customHeight="1" x14ac:dyDescent="0.3">
      <c r="B30" s="2">
        <v>45345</v>
      </c>
      <c r="C30" s="6">
        <v>250</v>
      </c>
      <c r="D30" s="10">
        <v>15.75</v>
      </c>
      <c r="E30" s="10">
        <v>16</v>
      </c>
      <c r="F30" s="9">
        <f>IF(Tablo1456789101112131415161718192021222324252627282930313233343536[[#This Row],[SATIŞ]]=0,"Açık",(E30-D30)*C30)</f>
        <v>62.5</v>
      </c>
      <c r="G30" s="11">
        <f>Tablo1456789101112131415161718192021222324252627282930313233343536[[#This Row],[ADET]]*Tablo1456789101112131415161718192021222324252627282930313233343536[[#This Row],[ALIŞ]]</f>
        <v>3937.5</v>
      </c>
      <c r="H30" s="11">
        <f>Tablo1456789101112131415161718192021222324252627282930313233343536[[#This Row],[ADET]]*Tablo1456789101112131415161718192021222324252627282930313233343536[[#This Row],[SATIŞ]]</f>
        <v>4000</v>
      </c>
    </row>
    <row r="31" spans="2:8" ht="21" hidden="1" customHeight="1" x14ac:dyDescent="0.3">
      <c r="B31" s="2">
        <v>45349</v>
      </c>
      <c r="C31" s="6">
        <v>250</v>
      </c>
      <c r="D31" s="10">
        <v>15.5</v>
      </c>
      <c r="E31" s="10">
        <v>16.2</v>
      </c>
      <c r="F31" s="9">
        <f>IF(Tablo1456789101112131415161718192021222324252627282930313233343536[[#This Row],[SATIŞ]]=0,"Açık",(E31-D31)*C31)</f>
        <v>174.99999999999983</v>
      </c>
      <c r="G31" s="11">
        <f>Tablo1456789101112131415161718192021222324252627282930313233343536[[#This Row],[ADET]]*Tablo1456789101112131415161718192021222324252627282930313233343536[[#This Row],[ALIŞ]]</f>
        <v>3875</v>
      </c>
      <c r="H31" s="11">
        <f>Tablo1456789101112131415161718192021222324252627282930313233343536[[#This Row],[ADET]]*Tablo1456789101112131415161718192021222324252627282930313233343536[[#This Row],[SATIŞ]]</f>
        <v>4050</v>
      </c>
    </row>
    <row r="32" spans="2:8" ht="21" hidden="1" customHeight="1" x14ac:dyDescent="0.3">
      <c r="B32" s="2">
        <v>45351</v>
      </c>
      <c r="C32" s="6">
        <v>250</v>
      </c>
      <c r="D32" s="10">
        <v>15.6</v>
      </c>
      <c r="E32" s="10">
        <v>17</v>
      </c>
      <c r="F32" s="9">
        <f>IF(Tablo1456789101112131415161718192021222324252627282930313233343536[[#This Row],[SATIŞ]]=0,"Açık",(E32-D32)*C32)</f>
        <v>350.00000000000011</v>
      </c>
      <c r="G32" s="11">
        <f>Tablo1456789101112131415161718192021222324252627282930313233343536[[#This Row],[ADET]]*Tablo1456789101112131415161718192021222324252627282930313233343536[[#This Row],[ALIŞ]]</f>
        <v>3900</v>
      </c>
      <c r="H32" s="11">
        <f>Tablo1456789101112131415161718192021222324252627282930313233343536[[#This Row],[ADET]]*Tablo1456789101112131415161718192021222324252627282930313233343536[[#This Row],[SATIŞ]]</f>
        <v>4250</v>
      </c>
    </row>
    <row r="33" spans="2:10" ht="21" customHeight="1" x14ac:dyDescent="0.3">
      <c r="B33" s="2">
        <v>45356</v>
      </c>
      <c r="C33" s="6">
        <v>100</v>
      </c>
      <c r="D33" s="10">
        <v>17.260000000000002</v>
      </c>
      <c r="E33" s="10"/>
      <c r="F33" s="9" t="str">
        <f>IF(Tablo1456789101112131415161718192021222324252627282930313233343536[[#This Row],[SATIŞ]]=0,"Açık",(E33-D33)*C33)</f>
        <v>Açık</v>
      </c>
      <c r="G33" s="11">
        <f>Tablo1456789101112131415161718192021222324252627282930313233343536[[#This Row],[ADET]]*Tablo1456789101112131415161718192021222324252627282930313233343536[[#This Row],[ALIŞ]]</f>
        <v>1726.0000000000002</v>
      </c>
      <c r="H33" s="11">
        <f>Tablo1456789101112131415161718192021222324252627282930313233343536[[#This Row],[ADET]]*Tablo1456789101112131415161718192021222324252627282930313233343536[[#This Row],[SATIŞ]]</f>
        <v>0</v>
      </c>
      <c r="J33" s="40">
        <f t="shared" ref="J33:J61" si="0">IF(E33=0,D33*1.05,"")</f>
        <v>18.123000000000001</v>
      </c>
    </row>
    <row r="34" spans="2:10" ht="21" hidden="1" customHeight="1" x14ac:dyDescent="0.3">
      <c r="B34" s="2">
        <v>45357</v>
      </c>
      <c r="C34" s="6">
        <v>100</v>
      </c>
      <c r="D34" s="10">
        <v>15.54</v>
      </c>
      <c r="E34" s="10">
        <v>16</v>
      </c>
      <c r="F34" s="9">
        <f>IF(Tablo1456789101112131415161718192021222324252627282930313233343536[[#This Row],[SATIŞ]]=0,"Açık",(E34-D34)*C34)</f>
        <v>46.000000000000085</v>
      </c>
      <c r="G34" s="11">
        <f>Tablo1456789101112131415161718192021222324252627282930313233343536[[#This Row],[ADET]]*Tablo1456789101112131415161718192021222324252627282930313233343536[[#This Row],[ALIŞ]]</f>
        <v>1554</v>
      </c>
      <c r="H34" s="11">
        <f>Tablo1456789101112131415161718192021222324252627282930313233343536[[#This Row],[ADET]]*Tablo1456789101112131415161718192021222324252627282930313233343536[[#This Row],[SATIŞ]]</f>
        <v>1600</v>
      </c>
      <c r="J34" s="40" t="str">
        <f t="shared" si="0"/>
        <v/>
      </c>
    </row>
    <row r="35" spans="2:10" ht="21" customHeight="1" x14ac:dyDescent="0.3">
      <c r="B35" s="2">
        <v>45359</v>
      </c>
      <c r="C35" s="6">
        <v>100</v>
      </c>
      <c r="D35" s="10">
        <v>15.85</v>
      </c>
      <c r="E35" s="10"/>
      <c r="F35" s="9" t="str">
        <f>IF(Tablo1456789101112131415161718192021222324252627282930313233343536[[#This Row],[SATIŞ]]=0,"Açık",(E35-D35)*C35)</f>
        <v>Açık</v>
      </c>
      <c r="G35" s="11">
        <f>Tablo1456789101112131415161718192021222324252627282930313233343536[[#This Row],[ADET]]*Tablo1456789101112131415161718192021222324252627282930313233343536[[#This Row],[ALIŞ]]</f>
        <v>1585</v>
      </c>
      <c r="H35" s="11">
        <f>Tablo1456789101112131415161718192021222324252627282930313233343536[[#This Row],[ADET]]*Tablo1456789101112131415161718192021222324252627282930313233343536[[#This Row],[SATIŞ]]</f>
        <v>0</v>
      </c>
      <c r="J35" s="40">
        <f t="shared" si="0"/>
        <v>16.642500000000002</v>
      </c>
    </row>
    <row r="36" spans="2:10" ht="21" customHeight="1" x14ac:dyDescent="0.3">
      <c r="B36" s="2">
        <v>45359</v>
      </c>
      <c r="C36" s="6">
        <v>100</v>
      </c>
      <c r="D36" s="10">
        <v>15.5</v>
      </c>
      <c r="E36" s="10"/>
      <c r="F36" s="9" t="str">
        <f>IF(Tablo1456789101112131415161718192021222324252627282930313233343536[[#This Row],[SATIŞ]]=0,"Açık",(E36-D36)*C36)</f>
        <v>Açık</v>
      </c>
      <c r="G36" s="11">
        <f>Tablo1456789101112131415161718192021222324252627282930313233343536[[#This Row],[ADET]]*Tablo1456789101112131415161718192021222324252627282930313233343536[[#This Row],[ALIŞ]]</f>
        <v>1550</v>
      </c>
      <c r="H36" s="11">
        <f>Tablo1456789101112131415161718192021222324252627282930313233343536[[#This Row],[ADET]]*Tablo1456789101112131415161718192021222324252627282930313233343536[[#This Row],[SATIŞ]]</f>
        <v>0</v>
      </c>
      <c r="J36" s="40">
        <f t="shared" si="0"/>
        <v>16.275000000000002</v>
      </c>
    </row>
    <row r="37" spans="2:10" ht="21" hidden="1" customHeight="1" x14ac:dyDescent="0.3">
      <c r="B37" s="2">
        <v>45359</v>
      </c>
      <c r="C37" s="6">
        <v>100</v>
      </c>
      <c r="D37" s="10">
        <v>15.1</v>
      </c>
      <c r="E37" s="10">
        <v>15.5</v>
      </c>
      <c r="F37" s="9">
        <f>IF(Tablo1456789101112131415161718192021222324252627282930313233343536[[#This Row],[SATIŞ]]=0,"Açık",(E37-D37)*C37)</f>
        <v>40.000000000000036</v>
      </c>
      <c r="G37" s="11">
        <f>Tablo1456789101112131415161718192021222324252627282930313233343536[[#This Row],[ADET]]*Tablo1456789101112131415161718192021222324252627282930313233343536[[#This Row],[ALIŞ]]</f>
        <v>1510</v>
      </c>
      <c r="H37" s="11">
        <f>Tablo1456789101112131415161718192021222324252627282930313233343536[[#This Row],[ADET]]*Tablo1456789101112131415161718192021222324252627282930313233343536[[#This Row],[SATIŞ]]</f>
        <v>1550</v>
      </c>
      <c r="J37" s="40" t="str">
        <f t="shared" si="0"/>
        <v/>
      </c>
    </row>
    <row r="38" spans="2:10" ht="21" hidden="1" customHeight="1" x14ac:dyDescent="0.3">
      <c r="B38" s="2">
        <v>45362</v>
      </c>
      <c r="C38" s="6">
        <v>100</v>
      </c>
      <c r="D38" s="10">
        <v>15</v>
      </c>
      <c r="E38" s="10">
        <v>15.6</v>
      </c>
      <c r="F38" s="9">
        <f>IF(Tablo1456789101112131415161718192021222324252627282930313233343536[[#This Row],[SATIŞ]]=0,"Açık",(E38-D38)*C38)</f>
        <v>59.999999999999964</v>
      </c>
      <c r="G38" s="11">
        <f>Tablo1456789101112131415161718192021222324252627282930313233343536[[#This Row],[ADET]]*Tablo1456789101112131415161718192021222324252627282930313233343536[[#This Row],[ALIŞ]]</f>
        <v>1500</v>
      </c>
      <c r="H38" s="11">
        <f>Tablo1456789101112131415161718192021222324252627282930313233343536[[#This Row],[ADET]]*Tablo1456789101112131415161718192021222324252627282930313233343536[[#This Row],[SATIŞ]]</f>
        <v>1560</v>
      </c>
      <c r="J38" s="40" t="str">
        <f t="shared" si="0"/>
        <v/>
      </c>
    </row>
    <row r="39" spans="2:10" ht="21" hidden="1" customHeight="1" x14ac:dyDescent="0.3">
      <c r="B39" s="2">
        <v>45363</v>
      </c>
      <c r="C39" s="6">
        <v>100</v>
      </c>
      <c r="D39" s="10">
        <v>15.3</v>
      </c>
      <c r="E39" s="10">
        <v>15.5</v>
      </c>
      <c r="F39" s="9">
        <f>IF(Tablo1456789101112131415161718192021222324252627282930313233343536[[#This Row],[SATIŞ]]=0,"Açık",(E39-D39)*C39)</f>
        <v>19.999999999999929</v>
      </c>
      <c r="G39" s="11">
        <f>Tablo1456789101112131415161718192021222324252627282930313233343536[[#This Row],[ADET]]*Tablo1456789101112131415161718192021222324252627282930313233343536[[#This Row],[ALIŞ]]</f>
        <v>1530</v>
      </c>
      <c r="H39" s="11">
        <f>Tablo1456789101112131415161718192021222324252627282930313233343536[[#This Row],[ADET]]*Tablo1456789101112131415161718192021222324252627282930313233343536[[#This Row],[SATIŞ]]</f>
        <v>1550</v>
      </c>
      <c r="J39" s="40" t="str">
        <f t="shared" si="0"/>
        <v/>
      </c>
    </row>
    <row r="40" spans="2:10" ht="21" customHeight="1" x14ac:dyDescent="0.3">
      <c r="B40" s="2">
        <v>45363</v>
      </c>
      <c r="C40" s="6">
        <v>100</v>
      </c>
      <c r="D40" s="10">
        <v>15.3</v>
      </c>
      <c r="E40" s="10"/>
      <c r="F40" s="9" t="str">
        <f>IF(Tablo1456789101112131415161718192021222324252627282930313233343536[[#This Row],[SATIŞ]]=0,"Açık",(E40-D40)*C40)</f>
        <v>Açık</v>
      </c>
      <c r="G40" s="11">
        <f>Tablo1456789101112131415161718192021222324252627282930313233343536[[#This Row],[ADET]]*Tablo1456789101112131415161718192021222324252627282930313233343536[[#This Row],[ALIŞ]]</f>
        <v>1530</v>
      </c>
      <c r="H40" s="11">
        <f>Tablo1456789101112131415161718192021222324252627282930313233343536[[#This Row],[ADET]]*Tablo1456789101112131415161718192021222324252627282930313233343536[[#This Row],[SATIŞ]]</f>
        <v>0</v>
      </c>
      <c r="J40" s="40">
        <f t="shared" si="0"/>
        <v>16.065000000000001</v>
      </c>
    </row>
    <row r="41" spans="2:10" ht="21" customHeight="1" x14ac:dyDescent="0.3">
      <c r="B41" s="2">
        <v>45363</v>
      </c>
      <c r="C41" s="6">
        <v>100</v>
      </c>
      <c r="D41" s="10">
        <v>15</v>
      </c>
      <c r="E41" s="10"/>
      <c r="F41" s="9" t="str">
        <f>IF(Tablo1456789101112131415161718192021222324252627282930313233343536[[#This Row],[SATIŞ]]=0,"Açık",(E41-D41)*C41)</f>
        <v>Açık</v>
      </c>
      <c r="G41" s="11">
        <f>Tablo1456789101112131415161718192021222324252627282930313233343536[[#This Row],[ADET]]*Tablo1456789101112131415161718192021222324252627282930313233343536[[#This Row],[ALIŞ]]</f>
        <v>1500</v>
      </c>
      <c r="H41" s="11">
        <f>Tablo1456789101112131415161718192021222324252627282930313233343536[[#This Row],[ADET]]*Tablo1456789101112131415161718192021222324252627282930313233343536[[#This Row],[SATIŞ]]</f>
        <v>0</v>
      </c>
      <c r="J41" s="40">
        <f t="shared" si="0"/>
        <v>15.75</v>
      </c>
    </row>
    <row r="42" spans="2:10" ht="21" customHeight="1" x14ac:dyDescent="0.3">
      <c r="B42" s="2">
        <v>45364</v>
      </c>
      <c r="C42" s="6">
        <v>100</v>
      </c>
      <c r="D42" s="10">
        <v>14.35</v>
      </c>
      <c r="E42" s="10"/>
      <c r="F42" s="9" t="str">
        <f>IF(Tablo1456789101112131415161718192021222324252627282930313233343536[[#This Row],[SATIŞ]]=0,"Açık",(E42-D42)*C42)</f>
        <v>Açık</v>
      </c>
      <c r="G42" s="11">
        <f>Tablo1456789101112131415161718192021222324252627282930313233343536[[#This Row],[ADET]]*Tablo1456789101112131415161718192021222324252627282930313233343536[[#This Row],[ALIŞ]]</f>
        <v>1435</v>
      </c>
      <c r="H42" s="11">
        <f>Tablo1456789101112131415161718192021222324252627282930313233343536[[#This Row],[ADET]]*Tablo1456789101112131415161718192021222324252627282930313233343536[[#This Row],[SATIŞ]]</f>
        <v>0</v>
      </c>
      <c r="J42" s="40">
        <f t="shared" si="0"/>
        <v>15.067500000000001</v>
      </c>
    </row>
    <row r="43" spans="2:10" ht="21" customHeight="1" x14ac:dyDescent="0.3">
      <c r="B43" s="2">
        <v>45364</v>
      </c>
      <c r="C43" s="6">
        <v>100</v>
      </c>
      <c r="D43" s="10">
        <v>14.37</v>
      </c>
      <c r="E43" s="10"/>
      <c r="F43" s="9" t="str">
        <f>IF(Tablo1456789101112131415161718192021222324252627282930313233343536[[#This Row],[SATIŞ]]=0,"Açık",(E43-D43)*C43)</f>
        <v>Açık</v>
      </c>
      <c r="G43" s="11">
        <f>Tablo1456789101112131415161718192021222324252627282930313233343536[[#This Row],[ADET]]*Tablo1456789101112131415161718192021222324252627282930313233343536[[#This Row],[ALIŞ]]</f>
        <v>1437</v>
      </c>
      <c r="H43" s="11">
        <f>Tablo1456789101112131415161718192021222324252627282930313233343536[[#This Row],[ADET]]*Tablo1456789101112131415161718192021222324252627282930313233343536[[#This Row],[SATIŞ]]</f>
        <v>0</v>
      </c>
      <c r="J43" s="40">
        <f t="shared" si="0"/>
        <v>15.0885</v>
      </c>
    </row>
    <row r="44" spans="2:10" ht="21" customHeight="1" x14ac:dyDescent="0.3">
      <c r="B44" s="2">
        <v>45364</v>
      </c>
      <c r="C44" s="6">
        <v>100</v>
      </c>
      <c r="D44" s="10">
        <v>14.35</v>
      </c>
      <c r="E44" s="10"/>
      <c r="F44" s="9" t="str">
        <f>IF(Tablo1456789101112131415161718192021222324252627282930313233343536[[#This Row],[SATIŞ]]=0,"Açık",(E44-D44)*C44)</f>
        <v>Açık</v>
      </c>
      <c r="G44" s="11">
        <f>Tablo1456789101112131415161718192021222324252627282930313233343536[[#This Row],[ADET]]*Tablo1456789101112131415161718192021222324252627282930313233343536[[#This Row],[ALIŞ]]</f>
        <v>1435</v>
      </c>
      <c r="H44" s="11">
        <f>Tablo1456789101112131415161718192021222324252627282930313233343536[[#This Row],[ADET]]*Tablo1456789101112131415161718192021222324252627282930313233343536[[#This Row],[SATIŞ]]</f>
        <v>0</v>
      </c>
      <c r="J44" s="40">
        <f t="shared" si="0"/>
        <v>15.067500000000001</v>
      </c>
    </row>
    <row r="45" spans="2:10" ht="21" hidden="1" customHeight="1" x14ac:dyDescent="0.3">
      <c r="B45" s="2">
        <v>45364</v>
      </c>
      <c r="C45" s="6">
        <v>100</v>
      </c>
      <c r="D45" s="10">
        <v>14.36</v>
      </c>
      <c r="E45" s="10">
        <v>14.5</v>
      </c>
      <c r="F45" s="9">
        <f>IF(Tablo1456789101112131415161718192021222324252627282930313233343536[[#This Row],[SATIŞ]]=0,"Açık",(E45-D45)*C45)</f>
        <v>14.000000000000057</v>
      </c>
      <c r="G45" s="11">
        <f>Tablo1456789101112131415161718192021222324252627282930313233343536[[#This Row],[ADET]]*Tablo1456789101112131415161718192021222324252627282930313233343536[[#This Row],[ALIŞ]]</f>
        <v>1436</v>
      </c>
      <c r="H45" s="11">
        <f>Tablo1456789101112131415161718192021222324252627282930313233343536[[#This Row],[ADET]]*Tablo1456789101112131415161718192021222324252627282930313233343536[[#This Row],[SATIŞ]]</f>
        <v>1450</v>
      </c>
      <c r="J45" s="40" t="str">
        <f t="shared" si="0"/>
        <v/>
      </c>
    </row>
    <row r="46" spans="2:10" ht="21" hidden="1" customHeight="1" x14ac:dyDescent="0.3">
      <c r="B46" s="2">
        <v>45364</v>
      </c>
      <c r="C46" s="6">
        <v>100</v>
      </c>
      <c r="D46" s="10">
        <v>14.3</v>
      </c>
      <c r="E46" s="10">
        <v>14.44</v>
      </c>
      <c r="F46" s="9">
        <f>IF(Tablo1456789101112131415161718192021222324252627282930313233343536[[#This Row],[SATIŞ]]=0,"Açık",(E46-D46)*C46)</f>
        <v>13.999999999999879</v>
      </c>
      <c r="G46" s="11">
        <f>Tablo1456789101112131415161718192021222324252627282930313233343536[[#This Row],[ADET]]*Tablo1456789101112131415161718192021222324252627282930313233343536[[#This Row],[ALIŞ]]</f>
        <v>1430</v>
      </c>
      <c r="H46" s="11">
        <f>Tablo1456789101112131415161718192021222324252627282930313233343536[[#This Row],[ADET]]*Tablo1456789101112131415161718192021222324252627282930313233343536[[#This Row],[SATIŞ]]</f>
        <v>1444</v>
      </c>
      <c r="J46" s="40" t="str">
        <f t="shared" si="0"/>
        <v/>
      </c>
    </row>
    <row r="47" spans="2:10" ht="21" hidden="1" customHeight="1" x14ac:dyDescent="0.3">
      <c r="B47" s="2">
        <v>45364</v>
      </c>
      <c r="C47" s="6">
        <v>100</v>
      </c>
      <c r="D47" s="10">
        <v>14.3</v>
      </c>
      <c r="E47" s="10">
        <v>14.4</v>
      </c>
      <c r="F47" s="9">
        <f>IF(Tablo1456789101112131415161718192021222324252627282930313233343536[[#This Row],[SATIŞ]]=0,"Açık",(E47-D47)*C47)</f>
        <v>9.9999999999999645</v>
      </c>
      <c r="G47" s="11">
        <f>Tablo1456789101112131415161718192021222324252627282930313233343536[[#This Row],[ADET]]*Tablo1456789101112131415161718192021222324252627282930313233343536[[#This Row],[ALIŞ]]</f>
        <v>1430</v>
      </c>
      <c r="H47" s="11">
        <f>Tablo1456789101112131415161718192021222324252627282930313233343536[[#This Row],[ADET]]*Tablo1456789101112131415161718192021222324252627282930313233343536[[#This Row],[SATIŞ]]</f>
        <v>1440</v>
      </c>
      <c r="J47" s="40" t="str">
        <f t="shared" si="0"/>
        <v/>
      </c>
    </row>
    <row r="48" spans="2:10" ht="21" customHeight="1" x14ac:dyDescent="0.3">
      <c r="B48" s="2">
        <v>45364</v>
      </c>
      <c r="C48" s="6">
        <v>100</v>
      </c>
      <c r="D48" s="10">
        <v>14.4</v>
      </c>
      <c r="E48" s="10"/>
      <c r="F48" s="9" t="str">
        <f>IF(Tablo1456789101112131415161718192021222324252627282930313233343536[[#This Row],[SATIŞ]]=0,"Açık",(E48-D48)*C48)</f>
        <v>Açık</v>
      </c>
      <c r="G48" s="11">
        <f>Tablo1456789101112131415161718192021222324252627282930313233343536[[#This Row],[ADET]]*Tablo1456789101112131415161718192021222324252627282930313233343536[[#This Row],[ALIŞ]]</f>
        <v>1440</v>
      </c>
      <c r="H48" s="11">
        <f>Tablo1456789101112131415161718192021222324252627282930313233343536[[#This Row],[ADET]]*Tablo1456789101112131415161718192021222324252627282930313233343536[[#This Row],[SATIŞ]]</f>
        <v>0</v>
      </c>
      <c r="J48" s="40">
        <f t="shared" si="0"/>
        <v>15.120000000000001</v>
      </c>
    </row>
    <row r="49" spans="2:10" ht="21" customHeight="1" x14ac:dyDescent="0.3">
      <c r="B49" s="2">
        <v>45364</v>
      </c>
      <c r="C49" s="6">
        <v>100</v>
      </c>
      <c r="D49" s="10">
        <v>14.3</v>
      </c>
      <c r="E49" s="10"/>
      <c r="F49" s="9" t="str">
        <f>IF(Tablo1456789101112131415161718192021222324252627282930313233343536[[#This Row],[SATIŞ]]=0,"Açık",(E49-D49)*C49)</f>
        <v>Açık</v>
      </c>
      <c r="G49" s="11">
        <f>Tablo1456789101112131415161718192021222324252627282930313233343536[[#This Row],[ADET]]*Tablo1456789101112131415161718192021222324252627282930313233343536[[#This Row],[ALIŞ]]</f>
        <v>1430</v>
      </c>
      <c r="H49" s="11">
        <f>Tablo1456789101112131415161718192021222324252627282930313233343536[[#This Row],[ADET]]*Tablo1456789101112131415161718192021222324252627282930313233343536[[#This Row],[SATIŞ]]</f>
        <v>0</v>
      </c>
      <c r="J49" s="40">
        <f t="shared" si="0"/>
        <v>15.015000000000001</v>
      </c>
    </row>
    <row r="50" spans="2:10" ht="21" customHeight="1" x14ac:dyDescent="0.3">
      <c r="B50" s="2">
        <v>45364</v>
      </c>
      <c r="C50" s="6">
        <v>100</v>
      </c>
      <c r="D50" s="10">
        <v>14.3</v>
      </c>
      <c r="E50" s="10"/>
      <c r="F50" s="9" t="str">
        <f>IF(Tablo1456789101112131415161718192021222324252627282930313233343536[[#This Row],[SATIŞ]]=0,"Açık",(E50-D50)*C50)</f>
        <v>Açık</v>
      </c>
      <c r="G50" s="11">
        <f>Tablo1456789101112131415161718192021222324252627282930313233343536[[#This Row],[ADET]]*Tablo1456789101112131415161718192021222324252627282930313233343536[[#This Row],[ALIŞ]]</f>
        <v>1430</v>
      </c>
      <c r="H50" s="11">
        <f>Tablo1456789101112131415161718192021222324252627282930313233343536[[#This Row],[ADET]]*Tablo1456789101112131415161718192021222324252627282930313233343536[[#This Row],[SATIŞ]]</f>
        <v>0</v>
      </c>
      <c r="J50" s="40">
        <f t="shared" si="0"/>
        <v>15.015000000000001</v>
      </c>
    </row>
    <row r="51" spans="2:10" ht="21" hidden="1" customHeight="1" x14ac:dyDescent="0.3">
      <c r="B51" s="2">
        <v>45364</v>
      </c>
      <c r="C51" s="6">
        <v>100</v>
      </c>
      <c r="D51" s="10">
        <v>13.45</v>
      </c>
      <c r="E51" s="10">
        <v>13.75</v>
      </c>
      <c r="F51" s="9">
        <f>IF(Tablo1456789101112131415161718192021222324252627282930313233343536[[#This Row],[SATIŞ]]=0,"Açık",(E51-D51)*C51)</f>
        <v>30.000000000000071</v>
      </c>
      <c r="G51" s="11">
        <f>Tablo1456789101112131415161718192021222324252627282930313233343536[[#This Row],[ADET]]*Tablo1456789101112131415161718192021222324252627282930313233343536[[#This Row],[ALIŞ]]</f>
        <v>1345</v>
      </c>
      <c r="H51" s="11">
        <f>Tablo1456789101112131415161718192021222324252627282930313233343536[[#This Row],[ADET]]*Tablo1456789101112131415161718192021222324252627282930313233343536[[#This Row],[SATIŞ]]</f>
        <v>1375</v>
      </c>
      <c r="J51" s="40" t="str">
        <f t="shared" si="0"/>
        <v/>
      </c>
    </row>
    <row r="52" spans="2:10" ht="21" hidden="1" customHeight="1" x14ac:dyDescent="0.3">
      <c r="B52" s="2">
        <v>45371</v>
      </c>
      <c r="C52" s="6">
        <v>100</v>
      </c>
      <c r="D52" s="10">
        <v>13.74</v>
      </c>
      <c r="E52" s="10">
        <v>14</v>
      </c>
      <c r="F52" s="9">
        <f>IF(Tablo1456789101112131415161718192021222324252627282930313233343536[[#This Row],[SATIŞ]]=0,"Açık",(E52-D52)*C52)</f>
        <v>25.999999999999979</v>
      </c>
      <c r="G52" s="11">
        <f>Tablo1456789101112131415161718192021222324252627282930313233343536[[#This Row],[ADET]]*Tablo1456789101112131415161718192021222324252627282930313233343536[[#This Row],[ALIŞ]]</f>
        <v>1374</v>
      </c>
      <c r="H52" s="11">
        <f>Tablo1456789101112131415161718192021222324252627282930313233343536[[#This Row],[ADET]]*Tablo1456789101112131415161718192021222324252627282930313233343536[[#This Row],[SATIŞ]]</f>
        <v>1400</v>
      </c>
      <c r="J52" s="40" t="str">
        <f t="shared" si="0"/>
        <v/>
      </c>
    </row>
    <row r="53" spans="2:10" ht="21" hidden="1" customHeight="1" x14ac:dyDescent="0.3">
      <c r="B53" s="2">
        <v>45371</v>
      </c>
      <c r="C53" s="6">
        <v>100</v>
      </c>
      <c r="D53" s="10">
        <v>13.7</v>
      </c>
      <c r="E53" s="10">
        <v>14</v>
      </c>
      <c r="F53" s="9">
        <f>IF(Tablo1456789101112131415161718192021222324252627282930313233343536[[#This Row],[SATIŞ]]=0,"Açık",(E53-D53)*C53)</f>
        <v>30.000000000000071</v>
      </c>
      <c r="G53" s="11">
        <f>Tablo1456789101112131415161718192021222324252627282930313233343536[[#This Row],[ADET]]*Tablo1456789101112131415161718192021222324252627282930313233343536[[#This Row],[ALIŞ]]</f>
        <v>1370</v>
      </c>
      <c r="H53" s="11">
        <f>Tablo1456789101112131415161718192021222324252627282930313233343536[[#This Row],[ADET]]*Tablo1456789101112131415161718192021222324252627282930313233343536[[#This Row],[SATIŞ]]</f>
        <v>1400</v>
      </c>
      <c r="J53" s="40" t="str">
        <f t="shared" si="0"/>
        <v/>
      </c>
    </row>
    <row r="54" spans="2:10" ht="21" hidden="1" customHeight="1" x14ac:dyDescent="0.3">
      <c r="B54" s="2">
        <v>45372</v>
      </c>
      <c r="C54" s="6">
        <v>100</v>
      </c>
      <c r="D54" s="10">
        <v>13.7</v>
      </c>
      <c r="E54" s="10">
        <v>14</v>
      </c>
      <c r="F54" s="9">
        <f>IF(Tablo1456789101112131415161718192021222324252627282930313233343536[[#This Row],[SATIŞ]]=0,"Açık",(E54-D54)*C54)</f>
        <v>30.000000000000071</v>
      </c>
      <c r="G54" s="11">
        <f>Tablo1456789101112131415161718192021222324252627282930313233343536[[#This Row],[ADET]]*Tablo1456789101112131415161718192021222324252627282930313233343536[[#This Row],[ALIŞ]]</f>
        <v>1370</v>
      </c>
      <c r="H54" s="11">
        <f>Tablo1456789101112131415161718192021222324252627282930313233343536[[#This Row],[ADET]]*Tablo1456789101112131415161718192021222324252627282930313233343536[[#This Row],[SATIŞ]]</f>
        <v>1400</v>
      </c>
      <c r="J54" s="40" t="str">
        <f t="shared" si="0"/>
        <v/>
      </c>
    </row>
    <row r="55" spans="2:10" ht="21" hidden="1" customHeight="1" x14ac:dyDescent="0.3">
      <c r="B55" s="2">
        <v>45372</v>
      </c>
      <c r="C55" s="6">
        <v>100</v>
      </c>
      <c r="D55" s="10">
        <v>13.5</v>
      </c>
      <c r="E55" s="10">
        <v>13.7</v>
      </c>
      <c r="F55" s="9">
        <f>IF(Tablo1456789101112131415161718192021222324252627282930313233343536[[#This Row],[SATIŞ]]=0,"Açık",(E55-D55)*C55)</f>
        <v>19.999999999999929</v>
      </c>
      <c r="G55" s="11">
        <f>Tablo1456789101112131415161718192021222324252627282930313233343536[[#This Row],[ADET]]*Tablo1456789101112131415161718192021222324252627282930313233343536[[#This Row],[ALIŞ]]</f>
        <v>1350</v>
      </c>
      <c r="H55" s="11">
        <f>Tablo1456789101112131415161718192021222324252627282930313233343536[[#This Row],[ADET]]*Tablo1456789101112131415161718192021222324252627282930313233343536[[#This Row],[SATIŞ]]</f>
        <v>1370</v>
      </c>
      <c r="J55" s="40" t="str">
        <f t="shared" si="0"/>
        <v/>
      </c>
    </row>
    <row r="56" spans="2:10" ht="21" hidden="1" customHeight="1" x14ac:dyDescent="0.3">
      <c r="B56" s="2">
        <v>45376</v>
      </c>
      <c r="C56" s="6">
        <v>100</v>
      </c>
      <c r="D56" s="10">
        <v>13.2</v>
      </c>
      <c r="E56" s="10">
        <v>13.5</v>
      </c>
      <c r="F56" s="9">
        <f>IF(Tablo1456789101112131415161718192021222324252627282930313233343536[[#This Row],[SATIŞ]]=0,"Açık",(E56-D56)*C56)</f>
        <v>30.000000000000071</v>
      </c>
      <c r="G56" s="11">
        <f>Tablo1456789101112131415161718192021222324252627282930313233343536[[#This Row],[ADET]]*Tablo1456789101112131415161718192021222324252627282930313233343536[[#This Row],[ALIŞ]]</f>
        <v>1320</v>
      </c>
      <c r="H56" s="11">
        <f>Tablo1456789101112131415161718192021222324252627282930313233343536[[#This Row],[ADET]]*Tablo1456789101112131415161718192021222324252627282930313233343536[[#This Row],[SATIŞ]]</f>
        <v>1350</v>
      </c>
      <c r="J56" s="40" t="str">
        <f t="shared" si="0"/>
        <v/>
      </c>
    </row>
    <row r="57" spans="2:10" ht="21" hidden="1" customHeight="1" x14ac:dyDescent="0.3">
      <c r="B57" s="2">
        <v>45376</v>
      </c>
      <c r="C57" s="6">
        <v>100</v>
      </c>
      <c r="D57" s="10">
        <v>13</v>
      </c>
      <c r="E57" s="10">
        <v>13.2</v>
      </c>
      <c r="F57" s="9">
        <f>IF(Tablo1456789101112131415161718192021222324252627282930313233343536[[#This Row],[SATIŞ]]=0,"Açık",(E57-D57)*C57)</f>
        <v>19.999999999999929</v>
      </c>
      <c r="G57" s="11">
        <f>Tablo1456789101112131415161718192021222324252627282930313233343536[[#This Row],[ADET]]*Tablo1456789101112131415161718192021222324252627282930313233343536[[#This Row],[ALIŞ]]</f>
        <v>1300</v>
      </c>
      <c r="H57" s="11">
        <f>Tablo1456789101112131415161718192021222324252627282930313233343536[[#This Row],[ADET]]*Tablo1456789101112131415161718192021222324252627282930313233343536[[#This Row],[SATIŞ]]</f>
        <v>1320</v>
      </c>
      <c r="J57" s="40" t="str">
        <f t="shared" si="0"/>
        <v/>
      </c>
    </row>
    <row r="58" spans="2:10" ht="21" hidden="1" customHeight="1" x14ac:dyDescent="0.3">
      <c r="B58" s="2">
        <v>45378</v>
      </c>
      <c r="C58" s="6">
        <v>100</v>
      </c>
      <c r="D58" s="10">
        <v>13</v>
      </c>
      <c r="E58" s="10">
        <v>13.25</v>
      </c>
      <c r="F58" s="9">
        <f>IF(Tablo1456789101112131415161718192021222324252627282930313233343536[[#This Row],[SATIŞ]]=0,"Açık",(E58-D58)*C58)</f>
        <v>25</v>
      </c>
      <c r="G58" s="11">
        <f>Tablo1456789101112131415161718192021222324252627282930313233343536[[#This Row],[ADET]]*Tablo1456789101112131415161718192021222324252627282930313233343536[[#This Row],[ALIŞ]]</f>
        <v>1300</v>
      </c>
      <c r="H58" s="11">
        <f>Tablo1456789101112131415161718192021222324252627282930313233343536[[#This Row],[ADET]]*Tablo1456789101112131415161718192021222324252627282930313233343536[[#This Row],[SATIŞ]]</f>
        <v>1325</v>
      </c>
      <c r="J58" s="40" t="str">
        <f t="shared" si="0"/>
        <v/>
      </c>
    </row>
    <row r="59" spans="2:10" ht="21" hidden="1" customHeight="1" x14ac:dyDescent="0.3">
      <c r="B59" s="2">
        <v>45379</v>
      </c>
      <c r="C59" s="6">
        <v>100</v>
      </c>
      <c r="D59" s="10">
        <v>13</v>
      </c>
      <c r="E59" s="10">
        <v>13.4</v>
      </c>
      <c r="F59" s="9">
        <f>IF(Tablo1456789101112131415161718192021222324252627282930313233343536[[#This Row],[SATIŞ]]=0,"Açık",(E59-D59)*C59)</f>
        <v>40.000000000000036</v>
      </c>
      <c r="G59" s="11">
        <f>Tablo1456789101112131415161718192021222324252627282930313233343536[[#This Row],[ADET]]*Tablo1456789101112131415161718192021222324252627282930313233343536[[#This Row],[ALIŞ]]</f>
        <v>1300</v>
      </c>
      <c r="H59" s="11">
        <f>Tablo1456789101112131415161718192021222324252627282930313233343536[[#This Row],[ADET]]*Tablo1456789101112131415161718192021222324252627282930313233343536[[#This Row],[SATIŞ]]</f>
        <v>1340</v>
      </c>
      <c r="J59" s="40" t="str">
        <f t="shared" si="0"/>
        <v/>
      </c>
    </row>
    <row r="60" spans="2:10" ht="21" hidden="1" customHeight="1" x14ac:dyDescent="0.3">
      <c r="B60" s="2">
        <v>45380</v>
      </c>
      <c r="C60" s="6">
        <v>100</v>
      </c>
      <c r="D60" s="10">
        <v>12.75</v>
      </c>
      <c r="E60" s="10">
        <v>12.9</v>
      </c>
      <c r="F60" s="9">
        <f>IF(Tablo1456789101112131415161718192021222324252627282930313233343536[[#This Row],[SATIŞ]]=0,"Açık",(E60-D60)*C60)</f>
        <v>15.000000000000036</v>
      </c>
      <c r="G60" s="11">
        <f>Tablo1456789101112131415161718192021222324252627282930313233343536[[#This Row],[ADET]]*Tablo1456789101112131415161718192021222324252627282930313233343536[[#This Row],[ALIŞ]]</f>
        <v>1275</v>
      </c>
      <c r="H60" s="11">
        <f>Tablo1456789101112131415161718192021222324252627282930313233343536[[#This Row],[ADET]]*Tablo1456789101112131415161718192021222324252627282930313233343536[[#This Row],[SATIŞ]]</f>
        <v>1290</v>
      </c>
      <c r="J60" s="40" t="str">
        <f t="shared" si="0"/>
        <v/>
      </c>
    </row>
    <row r="61" spans="2:10" ht="21" hidden="1" customHeight="1" x14ac:dyDescent="0.3">
      <c r="B61" s="2">
        <v>45383</v>
      </c>
      <c r="C61" s="6">
        <v>100</v>
      </c>
      <c r="D61" s="10">
        <v>12.3</v>
      </c>
      <c r="E61" s="10">
        <v>12.82</v>
      </c>
      <c r="F61" s="9">
        <f>IF(Tablo1456789101112131415161718192021222324252627282930313233343536[[#This Row],[SATIŞ]]=0,"Açık",(E61-D61)*C61)</f>
        <v>51.999999999999957</v>
      </c>
      <c r="G61" s="11">
        <f>Tablo1456789101112131415161718192021222324252627282930313233343536[[#This Row],[ADET]]*Tablo1456789101112131415161718192021222324252627282930313233343536[[#This Row],[ALIŞ]]</f>
        <v>1230</v>
      </c>
      <c r="H61" s="11">
        <f>Tablo1456789101112131415161718192021222324252627282930313233343536[[#This Row],[ADET]]*Tablo1456789101112131415161718192021222324252627282930313233343536[[#This Row],[SATIŞ]]</f>
        <v>1282</v>
      </c>
      <c r="J61" s="40" t="str">
        <f t="shared" si="0"/>
        <v/>
      </c>
    </row>
    <row r="62" spans="2:10" ht="21" hidden="1" customHeight="1" x14ac:dyDescent="0.3">
      <c r="B62" s="2">
        <v>45384</v>
      </c>
      <c r="C62" s="6">
        <v>100</v>
      </c>
      <c r="D62" s="10">
        <v>12.24</v>
      </c>
      <c r="E62" s="10">
        <v>12.55</v>
      </c>
      <c r="F62" s="9">
        <f>IF(Tablo1456789101112131415161718192021222324252627282930313233343536[[#This Row],[SATIŞ]]=0,"Açık",(E62-D62)*C62)</f>
        <v>31.00000000000005</v>
      </c>
      <c r="G62" s="11">
        <f>Tablo1456789101112131415161718192021222324252627282930313233343536[[#This Row],[ADET]]*Tablo1456789101112131415161718192021222324252627282930313233343536[[#This Row],[ALIŞ]]</f>
        <v>1224</v>
      </c>
      <c r="H62" s="11">
        <f>Tablo1456789101112131415161718192021222324252627282930313233343536[[#This Row],[ADET]]*Tablo1456789101112131415161718192021222324252627282930313233343536[[#This Row],[SATIŞ]]</f>
        <v>1255</v>
      </c>
    </row>
    <row r="63" spans="2:10" ht="21" hidden="1" customHeight="1" x14ac:dyDescent="0.3">
      <c r="B63" s="2">
        <v>45384</v>
      </c>
      <c r="C63" s="6">
        <v>100</v>
      </c>
      <c r="D63" s="10">
        <v>12</v>
      </c>
      <c r="E63" s="10">
        <v>12.25</v>
      </c>
      <c r="F63" s="9">
        <f>IF(Tablo1456789101112131415161718192021222324252627282930313233343536[[#This Row],[SATIŞ]]=0,"Açık",(E63-D63)*C63)</f>
        <v>25</v>
      </c>
      <c r="G63" s="11">
        <f>Tablo1456789101112131415161718192021222324252627282930313233343536[[#This Row],[ADET]]*Tablo1456789101112131415161718192021222324252627282930313233343536[[#This Row],[ALIŞ]]</f>
        <v>1200</v>
      </c>
      <c r="H63" s="11">
        <f>Tablo1456789101112131415161718192021222324252627282930313233343536[[#This Row],[ADET]]*Tablo1456789101112131415161718192021222324252627282930313233343536[[#This Row],[SATIŞ]]</f>
        <v>1225</v>
      </c>
    </row>
    <row r="64" spans="2:10" ht="21" hidden="1" customHeight="1" x14ac:dyDescent="0.3">
      <c r="B64" s="2">
        <v>45385</v>
      </c>
      <c r="C64" s="6">
        <v>100</v>
      </c>
      <c r="D64" s="10">
        <v>12</v>
      </c>
      <c r="E64" s="10">
        <v>12.3</v>
      </c>
      <c r="F64" s="9">
        <f>IF(Tablo1456789101112131415161718192021222324252627282930313233343536[[#This Row],[SATIŞ]]=0,"Açık",(E64-D64)*C64)</f>
        <v>30.000000000000071</v>
      </c>
      <c r="G64" s="11">
        <f>Tablo1456789101112131415161718192021222324252627282930313233343536[[#This Row],[ADET]]*Tablo1456789101112131415161718192021222324252627282930313233343536[[#This Row],[ALIŞ]]</f>
        <v>1200</v>
      </c>
      <c r="H64" s="11">
        <f>Tablo1456789101112131415161718192021222324252627282930313233343536[[#This Row],[ADET]]*Tablo1456789101112131415161718192021222324252627282930313233343536[[#This Row],[SATIŞ]]</f>
        <v>1230</v>
      </c>
    </row>
    <row r="65" spans="2:8" ht="21" hidden="1" customHeight="1" x14ac:dyDescent="0.3">
      <c r="B65" s="2">
        <v>45387</v>
      </c>
      <c r="C65" s="6">
        <v>100</v>
      </c>
      <c r="D65" s="10">
        <v>11.86</v>
      </c>
      <c r="E65" s="10">
        <v>12.1</v>
      </c>
      <c r="F65" s="9">
        <f>IF(Tablo1456789101112131415161718192021222324252627282930313233343536[[#This Row],[SATIŞ]]=0,"Açık",(E65-D65)*C65)</f>
        <v>24.000000000000021</v>
      </c>
      <c r="G65" s="11">
        <f>Tablo1456789101112131415161718192021222324252627282930313233343536[[#This Row],[ADET]]*Tablo1456789101112131415161718192021222324252627282930313233343536[[#This Row],[ALIŞ]]</f>
        <v>1186</v>
      </c>
      <c r="H65" s="11">
        <f>Tablo1456789101112131415161718192021222324252627282930313233343536[[#This Row],[ADET]]*Tablo1456789101112131415161718192021222324252627282930313233343536[[#This Row],[SATIŞ]]</f>
        <v>1210</v>
      </c>
    </row>
    <row r="66" spans="2:8" ht="21" hidden="1" customHeight="1" x14ac:dyDescent="0.3">
      <c r="B66" s="2">
        <v>45397</v>
      </c>
      <c r="C66" s="6">
        <v>100</v>
      </c>
      <c r="D66" s="10">
        <v>12.84</v>
      </c>
      <c r="E66" s="10">
        <v>13.3</v>
      </c>
      <c r="F66" s="9">
        <f>IF(Tablo1456789101112131415161718192021222324252627282930313233343536[[#This Row],[SATIŞ]]=0,"Açık",(E66-D66)*C66)</f>
        <v>46.000000000000085</v>
      </c>
      <c r="G66" s="11">
        <f>Tablo1456789101112131415161718192021222324252627282930313233343536[[#This Row],[ADET]]*Tablo1456789101112131415161718192021222324252627282930313233343536[[#This Row],[ALIŞ]]</f>
        <v>1284</v>
      </c>
      <c r="H66" s="11">
        <f>Tablo1456789101112131415161718192021222324252627282930313233343536[[#This Row],[ADET]]*Tablo1456789101112131415161718192021222324252627282930313233343536[[#This Row],[SATIŞ]]</f>
        <v>1330</v>
      </c>
    </row>
    <row r="67" spans="2:8" ht="21" hidden="1" customHeight="1" x14ac:dyDescent="0.3">
      <c r="B67" s="2">
        <v>45398</v>
      </c>
      <c r="C67" s="6">
        <v>100</v>
      </c>
      <c r="D67" s="10">
        <v>13</v>
      </c>
      <c r="E67" s="10">
        <v>13.8</v>
      </c>
      <c r="F67" s="9">
        <f>IF(Tablo1456789101112131415161718192021222324252627282930313233343536[[#This Row],[SATIŞ]]=0,"Açık",(E67-D67)*C67)</f>
        <v>80.000000000000071</v>
      </c>
      <c r="G67" s="11">
        <f>Tablo1456789101112131415161718192021222324252627282930313233343536[[#This Row],[ADET]]*Tablo1456789101112131415161718192021222324252627282930313233343536[[#This Row],[ALIŞ]]</f>
        <v>1300</v>
      </c>
      <c r="H67" s="11">
        <f>Tablo1456789101112131415161718192021222324252627282930313233343536[[#This Row],[ADET]]*Tablo1456789101112131415161718192021222324252627282930313233343536[[#This Row],[SATIŞ]]</f>
        <v>1380</v>
      </c>
    </row>
    <row r="68" spans="2:8" ht="21" hidden="1" customHeight="1" x14ac:dyDescent="0.3">
      <c r="B68" s="2">
        <v>45398</v>
      </c>
      <c r="C68" s="6">
        <v>100</v>
      </c>
      <c r="D68" s="10">
        <v>12.7</v>
      </c>
      <c r="E68" s="10">
        <v>13.17</v>
      </c>
      <c r="F68" s="9">
        <f>IF(Tablo1456789101112131415161718192021222324252627282930313233343536[[#This Row],[SATIŞ]]=0,"Açık",(E68-D68)*C68)</f>
        <v>47.000000000000064</v>
      </c>
      <c r="G68" s="11">
        <f>Tablo1456789101112131415161718192021222324252627282930313233343536[[#This Row],[ADET]]*Tablo1456789101112131415161718192021222324252627282930313233343536[[#This Row],[ALIŞ]]</f>
        <v>1270</v>
      </c>
      <c r="H68" s="11">
        <f>Tablo1456789101112131415161718192021222324252627282930313233343536[[#This Row],[ADET]]*Tablo1456789101112131415161718192021222324252627282930313233343536[[#This Row],[SATIŞ]]</f>
        <v>1317</v>
      </c>
    </row>
    <row r="69" spans="2:8" ht="21" hidden="1" customHeight="1" x14ac:dyDescent="0.3">
      <c r="B69" s="2">
        <v>45399</v>
      </c>
      <c r="C69" s="6">
        <v>100</v>
      </c>
      <c r="D69" s="10">
        <v>12.9</v>
      </c>
      <c r="E69" s="10">
        <v>13.24</v>
      </c>
      <c r="F69" s="9">
        <f>IF(Tablo1456789101112131415161718192021222324252627282930313233343536[[#This Row],[SATIŞ]]=0,"Açık",(E69-D69)*C69)</f>
        <v>33.999999999999986</v>
      </c>
      <c r="G69" s="11">
        <f>Tablo1456789101112131415161718192021222324252627282930313233343536[[#This Row],[ADET]]*Tablo1456789101112131415161718192021222324252627282930313233343536[[#This Row],[ALIŞ]]</f>
        <v>1290</v>
      </c>
      <c r="H69" s="11">
        <f>Tablo1456789101112131415161718192021222324252627282930313233343536[[#This Row],[ADET]]*Tablo1456789101112131415161718192021222324252627282930313233343536[[#This Row],[SATIŞ]]</f>
        <v>1324</v>
      </c>
    </row>
  </sheetData>
  <conditionalFormatting sqref="B4:F69">
    <cfRule type="expression" dxfId="68" priority="1">
      <formula>$F4&lt;0</formula>
    </cfRule>
    <cfRule type="expression" dxfId="67" priority="2">
      <formula>$F4="Açık"</formula>
    </cfRule>
    <cfRule type="expression" dxfId="66" priority="3">
      <formula>$F4&gt;0</formula>
    </cfRule>
  </conditionalFormatting>
  <hyperlinks>
    <hyperlink ref="B1" location="İcmal!A1" display="ANA SAYFA" xr:uid="{2653E77C-013B-42C6-A1DC-560B258EE63F}"/>
  </hyperlinks>
  <pageMargins left="0.7" right="0.7" top="0.75" bottom="0.75" header="0.3" footer="0.3"/>
  <tableParts count="1">
    <tablePart r:id="rId1"/>
  </tablePart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58F19-D411-4AF5-9832-050450F53D62}">
  <sheetPr>
    <tabColor rgb="FF00B050"/>
  </sheetPr>
  <dimension ref="B1:R28"/>
  <sheetViews>
    <sheetView showGridLines="0" showZeros="0" zoomScale="110" zoomScaleNormal="110" workbookViewId="0">
      <pane ySplit="3" topLeftCell="A4" activePane="bottomLeft" state="frozen"/>
      <selection pane="bottomLeft" activeCell="E28" sqref="E28"/>
    </sheetView>
  </sheetViews>
  <sheetFormatPr defaultRowHeight="21" customHeight="1" x14ac:dyDescent="0.3"/>
  <cols>
    <col min="2" max="2" width="20.6640625" style="1" customWidth="1"/>
    <col min="3" max="3" width="11.33203125" style="6" customWidth="1"/>
    <col min="4" max="5" width="12.88671875" style="3" customWidth="1"/>
    <col min="6" max="6" width="12.88671875" style="5" customWidth="1"/>
    <col min="7" max="8" width="11.44140625" bestFit="1" customWidth="1"/>
    <col min="10" max="12" width="12.44140625" customWidth="1"/>
    <col min="13" max="13" width="11.6640625" bestFit="1" customWidth="1"/>
    <col min="14" max="14" width="10.6640625" bestFit="1" customWidth="1"/>
  </cols>
  <sheetData>
    <row r="1" spans="2:18" ht="21" customHeight="1" x14ac:dyDescent="0.3">
      <c r="B1" s="12" t="s">
        <v>64</v>
      </c>
      <c r="C1" s="4">
        <f>SUMIF(Tablo14567891011121366[KAR],"Açık",Tablo14567891011121366[ADET])</f>
        <v>1000</v>
      </c>
      <c r="D1" s="10">
        <f>+İcmal!E49</f>
        <v>6.75</v>
      </c>
      <c r="E1" s="10">
        <f>C1*D1</f>
        <v>6750</v>
      </c>
      <c r="F1" s="10">
        <f>IFERROR(((SUM(Tablo14567891011121366[ALIŞ TUTAR])-SUM(Tablo14567891011121366[SATIŞ TUTAR]))/C1),"")</f>
        <v>5.9409999999999998</v>
      </c>
      <c r="G1" s="10">
        <f>IF(M3=0,L3,C1*(D1-F1))</f>
        <v>809.00000000000011</v>
      </c>
      <c r="J1" s="45" t="s">
        <v>94</v>
      </c>
      <c r="K1" s="45" t="s">
        <v>95</v>
      </c>
      <c r="L1" s="45" t="s">
        <v>96</v>
      </c>
      <c r="M1" s="33">
        <f>F1</f>
        <v>5.9409999999999998</v>
      </c>
      <c r="N1" s="8" t="e">
        <f>M1*(1+$J$1)</f>
        <v>#VALUE!</v>
      </c>
      <c r="P1" s="8" t="e">
        <f>Q1*(1-$J$1)</f>
        <v>#VALUE!</v>
      </c>
      <c r="Q1" s="33">
        <f>+D1</f>
        <v>6.75</v>
      </c>
      <c r="R1" s="8" t="e">
        <f>Q1*(1+$J$1)</f>
        <v>#VALUE!</v>
      </c>
    </row>
    <row r="2" spans="2:18" ht="21" customHeight="1" x14ac:dyDescent="0.3">
      <c r="B2" s="7" t="s">
        <v>112</v>
      </c>
      <c r="J2" s="45">
        <f>SUMIFS(Tablo2[HEDEF2],Tablo2[HİSSE],B2)</f>
        <v>500</v>
      </c>
      <c r="K2" s="45">
        <f>+E1/İcmal!$P$2</f>
        <v>207.50076852136488</v>
      </c>
      <c r="L2" s="45">
        <f>+J2-K2</f>
        <v>292.49923147863512</v>
      </c>
    </row>
    <row r="3" spans="2:18" ht="21" customHeight="1" x14ac:dyDescent="0.3">
      <c r="B3" s="1" t="s">
        <v>0</v>
      </c>
      <c r="C3" s="6" t="s">
        <v>4</v>
      </c>
      <c r="D3" s="3" t="s">
        <v>1</v>
      </c>
      <c r="E3" s="3" t="s">
        <v>3</v>
      </c>
      <c r="F3" s="5" t="s">
        <v>2</v>
      </c>
      <c r="G3" s="3" t="s">
        <v>8</v>
      </c>
      <c r="H3" s="3" t="s">
        <v>9</v>
      </c>
      <c r="L3" s="33">
        <f>SUM(Tablo14567891011121366[KAR])</f>
        <v>664.99999999999989</v>
      </c>
      <c r="M3" s="37">
        <f>+C1</f>
        <v>1000</v>
      </c>
    </row>
    <row r="4" spans="2:18" ht="21" customHeight="1" x14ac:dyDescent="0.3">
      <c r="B4" s="2">
        <v>45372</v>
      </c>
      <c r="C4" s="6">
        <v>200</v>
      </c>
      <c r="D4" s="10">
        <v>6.7</v>
      </c>
      <c r="E4" s="10"/>
      <c r="F4" s="9" t="str">
        <f>IF(Tablo14567891011121366[[#This Row],[SATIŞ]]=0,"Açık",(E4-D4)*C4)</f>
        <v>Açık</v>
      </c>
      <c r="G4" s="11">
        <f>Tablo14567891011121366[[#This Row],[ADET]]*Tablo14567891011121366[[#This Row],[ALIŞ]]</f>
        <v>1340</v>
      </c>
      <c r="H4" s="11">
        <f>Tablo14567891011121366[[#This Row],[ADET]]*Tablo14567891011121366[[#This Row],[SATIŞ]]</f>
        <v>0</v>
      </c>
      <c r="J4" s="40">
        <f t="shared" ref="J4:J28" si="0">IF(E4=0,D4*1.05,"")</f>
        <v>7.0350000000000001</v>
      </c>
      <c r="L4" s="8">
        <f>SUM(Tablo14567891011121366[ALIŞ TUTAR])</f>
        <v>20928</v>
      </c>
      <c r="M4" s="8">
        <f>SUM(Tablo14567891011121366[SATIŞ TUTAR])</f>
        <v>14987</v>
      </c>
      <c r="N4" s="8">
        <f>L4-M4</f>
        <v>5941</v>
      </c>
    </row>
    <row r="5" spans="2:18" ht="21" customHeight="1" x14ac:dyDescent="0.3">
      <c r="B5" s="2">
        <v>45372</v>
      </c>
      <c r="C5" s="6">
        <v>100</v>
      </c>
      <c r="D5" s="10">
        <v>6.69</v>
      </c>
      <c r="E5" s="10"/>
      <c r="F5" s="9" t="str">
        <f>IF(Tablo14567891011121366[[#This Row],[SATIŞ]]=0,"Açık",(E5-D5)*C5)</f>
        <v>Açık</v>
      </c>
      <c r="G5" s="11">
        <f>Tablo14567891011121366[[#This Row],[ADET]]*Tablo14567891011121366[[#This Row],[ALIŞ]]</f>
        <v>669</v>
      </c>
      <c r="H5" s="11">
        <f>Tablo14567891011121366[[#This Row],[ADET]]*Tablo14567891011121366[[#This Row],[SATIŞ]]</f>
        <v>0</v>
      </c>
      <c r="J5" s="40">
        <f t="shared" si="0"/>
        <v>7.0245000000000006</v>
      </c>
      <c r="N5">
        <f>+N4/80</f>
        <v>74.262500000000003</v>
      </c>
    </row>
    <row r="6" spans="2:18" ht="21" customHeight="1" x14ac:dyDescent="0.3">
      <c r="B6" s="2">
        <v>45372</v>
      </c>
      <c r="C6" s="6">
        <v>100</v>
      </c>
      <c r="D6" s="10">
        <v>6.69</v>
      </c>
      <c r="E6" s="10"/>
      <c r="F6" s="9" t="str">
        <f>IF(Tablo14567891011121366[[#This Row],[SATIŞ]]=0,"Açık",(E6-D6)*C6)</f>
        <v>Açık</v>
      </c>
      <c r="G6" s="11">
        <f>Tablo14567891011121366[[#This Row],[ADET]]*Tablo14567891011121366[[#This Row],[ALIŞ]]</f>
        <v>669</v>
      </c>
      <c r="H6" s="11">
        <f>Tablo14567891011121366[[#This Row],[ADET]]*Tablo14567891011121366[[#This Row],[SATIŞ]]</f>
        <v>0</v>
      </c>
      <c r="J6" s="40">
        <f t="shared" si="0"/>
        <v>7.0245000000000006</v>
      </c>
    </row>
    <row r="7" spans="2:18" ht="21" customHeight="1" x14ac:dyDescent="0.3">
      <c r="B7" s="2">
        <v>45372</v>
      </c>
      <c r="C7" s="6">
        <v>100</v>
      </c>
      <c r="D7" s="10">
        <v>6.67</v>
      </c>
      <c r="E7" s="10"/>
      <c r="F7" s="9" t="str">
        <f>IF(Tablo14567891011121366[[#This Row],[SATIŞ]]=0,"Açık",(E7-D7)*C7)</f>
        <v>Açık</v>
      </c>
      <c r="G7" s="11">
        <f>Tablo14567891011121366[[#This Row],[ADET]]*Tablo14567891011121366[[#This Row],[ALIŞ]]</f>
        <v>667</v>
      </c>
      <c r="H7" s="11">
        <f>Tablo14567891011121366[[#This Row],[ADET]]*Tablo14567891011121366[[#This Row],[SATIŞ]]</f>
        <v>0</v>
      </c>
      <c r="J7" s="40">
        <f t="shared" si="0"/>
        <v>7.0034999999999998</v>
      </c>
    </row>
    <row r="8" spans="2:18" ht="21" customHeight="1" x14ac:dyDescent="0.3">
      <c r="B8" s="2">
        <v>45372</v>
      </c>
      <c r="C8" s="6">
        <v>100</v>
      </c>
      <c r="D8" s="10">
        <v>6.66</v>
      </c>
      <c r="E8" s="10"/>
      <c r="F8" s="9" t="str">
        <f>IF(Tablo14567891011121366[[#This Row],[SATIŞ]]=0,"Açık",(E8-D8)*C8)</f>
        <v>Açık</v>
      </c>
      <c r="G8" s="11">
        <f>Tablo14567891011121366[[#This Row],[ADET]]*Tablo14567891011121366[[#This Row],[ALIŞ]]</f>
        <v>666</v>
      </c>
      <c r="H8" s="11">
        <f>Tablo14567891011121366[[#This Row],[ADET]]*Tablo14567891011121366[[#This Row],[SATIŞ]]</f>
        <v>0</v>
      </c>
      <c r="J8" s="40">
        <f t="shared" si="0"/>
        <v>6.9930000000000003</v>
      </c>
    </row>
    <row r="9" spans="2:18" ht="21" customHeight="1" x14ac:dyDescent="0.3">
      <c r="B9" s="2">
        <v>45372</v>
      </c>
      <c r="C9" s="6">
        <v>100</v>
      </c>
      <c r="D9" s="10">
        <v>6.65</v>
      </c>
      <c r="E9" s="10"/>
      <c r="F9" s="9" t="str">
        <f>IF(Tablo14567891011121366[[#This Row],[SATIŞ]]=0,"Açık",(E9-D9)*C9)</f>
        <v>Açık</v>
      </c>
      <c r="G9" s="11">
        <f>Tablo14567891011121366[[#This Row],[ADET]]*Tablo14567891011121366[[#This Row],[ALIŞ]]</f>
        <v>665</v>
      </c>
      <c r="H9" s="11">
        <f>Tablo14567891011121366[[#This Row],[ADET]]*Tablo14567891011121366[[#This Row],[SATIŞ]]</f>
        <v>0</v>
      </c>
      <c r="J9" s="40">
        <f t="shared" si="0"/>
        <v>6.9825000000000008</v>
      </c>
    </row>
    <row r="10" spans="2:18" ht="21" hidden="1" customHeight="1" x14ac:dyDescent="0.3">
      <c r="B10" s="2">
        <v>45373</v>
      </c>
      <c r="C10" s="6">
        <v>100</v>
      </c>
      <c r="D10" s="10">
        <v>6.55</v>
      </c>
      <c r="E10" s="10">
        <v>6.9</v>
      </c>
      <c r="F10" s="9">
        <f>IF(Tablo14567891011121366[[#This Row],[SATIŞ]]=0,"Açık",(E10-D10)*C10)</f>
        <v>35.000000000000057</v>
      </c>
      <c r="G10" s="11">
        <f>Tablo14567891011121366[[#This Row],[ADET]]*Tablo14567891011121366[[#This Row],[ALIŞ]]</f>
        <v>655</v>
      </c>
      <c r="H10" s="11">
        <f>Tablo14567891011121366[[#This Row],[ADET]]*Tablo14567891011121366[[#This Row],[SATIŞ]]</f>
        <v>690</v>
      </c>
      <c r="J10" s="40" t="str">
        <f t="shared" si="0"/>
        <v/>
      </c>
    </row>
    <row r="11" spans="2:18" ht="21" customHeight="1" x14ac:dyDescent="0.3">
      <c r="B11" s="2">
        <v>45377</v>
      </c>
      <c r="C11" s="6">
        <v>100</v>
      </c>
      <c r="D11" s="10">
        <v>6.45</v>
      </c>
      <c r="E11" s="10"/>
      <c r="F11" s="9" t="str">
        <f>IF(Tablo14567891011121366[[#This Row],[SATIŞ]]=0,"Açık",(E11-D11)*C11)</f>
        <v>Açık</v>
      </c>
      <c r="G11" s="11">
        <f>Tablo14567891011121366[[#This Row],[ADET]]*Tablo14567891011121366[[#This Row],[ALIŞ]]</f>
        <v>645</v>
      </c>
      <c r="H11" s="11">
        <f>Tablo14567891011121366[[#This Row],[ADET]]*Tablo14567891011121366[[#This Row],[SATIŞ]]</f>
        <v>0</v>
      </c>
      <c r="J11" s="40">
        <f t="shared" si="0"/>
        <v>6.7725000000000009</v>
      </c>
    </row>
    <row r="12" spans="2:18" ht="21" customHeight="1" x14ac:dyDescent="0.3">
      <c r="B12" s="2">
        <v>45377</v>
      </c>
      <c r="C12" s="6">
        <v>100</v>
      </c>
      <c r="D12" s="10">
        <v>6.45</v>
      </c>
      <c r="E12" s="10"/>
      <c r="F12" s="9" t="str">
        <f>IF(Tablo14567891011121366[[#This Row],[SATIŞ]]=0,"Açık",(E12-D12)*C12)</f>
        <v>Açık</v>
      </c>
      <c r="G12" s="11">
        <f>Tablo14567891011121366[[#This Row],[ADET]]*Tablo14567891011121366[[#This Row],[ALIŞ]]</f>
        <v>645</v>
      </c>
      <c r="H12" s="11">
        <f>Tablo14567891011121366[[#This Row],[ADET]]*Tablo14567891011121366[[#This Row],[SATIŞ]]</f>
        <v>0</v>
      </c>
      <c r="J12" s="40">
        <f t="shared" si="0"/>
        <v>6.7725000000000009</v>
      </c>
    </row>
    <row r="13" spans="2:18" ht="21" customHeight="1" x14ac:dyDescent="0.3">
      <c r="B13" s="2">
        <v>45377</v>
      </c>
      <c r="C13" s="6">
        <v>100</v>
      </c>
      <c r="D13" s="10">
        <v>6.4</v>
      </c>
      <c r="E13" s="10"/>
      <c r="F13" s="9" t="str">
        <f>IF(Tablo14567891011121366[[#This Row],[SATIŞ]]=0,"Açık",(E13-D13)*C13)</f>
        <v>Açık</v>
      </c>
      <c r="G13" s="11">
        <f>Tablo14567891011121366[[#This Row],[ADET]]*Tablo14567891011121366[[#This Row],[ALIŞ]]</f>
        <v>640</v>
      </c>
      <c r="H13" s="11">
        <f>Tablo14567891011121366[[#This Row],[ADET]]*Tablo14567891011121366[[#This Row],[SATIŞ]]</f>
        <v>0</v>
      </c>
      <c r="J13" s="40">
        <f t="shared" si="0"/>
        <v>6.7200000000000006</v>
      </c>
    </row>
    <row r="14" spans="2:18" ht="21" hidden="1" customHeight="1" x14ac:dyDescent="0.3">
      <c r="B14" s="2">
        <v>45380</v>
      </c>
      <c r="C14" s="6">
        <v>200</v>
      </c>
      <c r="D14" s="10">
        <v>6.25</v>
      </c>
      <c r="E14" s="10">
        <v>6.375</v>
      </c>
      <c r="F14" s="9">
        <f>IF(Tablo14567891011121366[[#This Row],[SATIŞ]]=0,"Açık",(E14-D14)*C14)</f>
        <v>25</v>
      </c>
      <c r="G14" s="11">
        <f>Tablo14567891011121366[[#This Row],[ADET]]*Tablo14567891011121366[[#This Row],[ALIŞ]]</f>
        <v>1250</v>
      </c>
      <c r="H14" s="11">
        <f>Tablo14567891011121366[[#This Row],[ADET]]*Tablo14567891011121366[[#This Row],[SATIŞ]]</f>
        <v>1275</v>
      </c>
      <c r="J14" s="40" t="str">
        <f t="shared" si="0"/>
        <v/>
      </c>
    </row>
    <row r="15" spans="2:18" ht="21" hidden="1" customHeight="1" x14ac:dyDescent="0.3">
      <c r="B15" s="2">
        <v>45380</v>
      </c>
      <c r="C15" s="6">
        <v>100</v>
      </c>
      <c r="D15" s="10">
        <v>6.25</v>
      </c>
      <c r="E15" s="10">
        <v>6.65</v>
      </c>
      <c r="F15" s="9">
        <f>IF(Tablo14567891011121366[[#This Row],[SATIŞ]]=0,"Açık",(E15-D15)*C15)</f>
        <v>40.000000000000036</v>
      </c>
      <c r="G15" s="11">
        <f>Tablo14567891011121366[[#This Row],[ADET]]*Tablo14567891011121366[[#This Row],[ALIŞ]]</f>
        <v>625</v>
      </c>
      <c r="H15" s="11">
        <f>Tablo14567891011121366[[#This Row],[ADET]]*Tablo14567891011121366[[#This Row],[SATIŞ]]</f>
        <v>665</v>
      </c>
      <c r="J15" s="40" t="str">
        <f t="shared" si="0"/>
        <v/>
      </c>
    </row>
    <row r="16" spans="2:18" ht="21" hidden="1" customHeight="1" x14ac:dyDescent="0.3">
      <c r="B16" s="2">
        <v>45380</v>
      </c>
      <c r="C16" s="6">
        <v>100</v>
      </c>
      <c r="D16" s="10">
        <v>6.24</v>
      </c>
      <c r="E16" s="10">
        <v>6.3</v>
      </c>
      <c r="F16" s="9">
        <f>IF(Tablo14567891011121366[[#This Row],[SATIŞ]]=0,"Açık",(E16-D16)*C16)</f>
        <v>5.9999999999999609</v>
      </c>
      <c r="G16" s="11">
        <f>Tablo14567891011121366[[#This Row],[ADET]]*Tablo14567891011121366[[#This Row],[ALIŞ]]</f>
        <v>624</v>
      </c>
      <c r="H16" s="11">
        <f>Tablo14567891011121366[[#This Row],[ADET]]*Tablo14567891011121366[[#This Row],[SATIŞ]]</f>
        <v>630</v>
      </c>
      <c r="J16" s="40" t="str">
        <f t="shared" si="0"/>
        <v/>
      </c>
    </row>
    <row r="17" spans="2:10" ht="21" hidden="1" customHeight="1" x14ac:dyDescent="0.3">
      <c r="B17" s="2">
        <v>45380</v>
      </c>
      <c r="C17" s="6">
        <v>400</v>
      </c>
      <c r="D17" s="10">
        <v>6.25</v>
      </c>
      <c r="E17" s="10">
        <v>6.6</v>
      </c>
      <c r="F17" s="9">
        <f>IF(Tablo14567891011121366[[#This Row],[SATIŞ]]=0,"Açık",(E17-D17)*C17)</f>
        <v>139.99999999999986</v>
      </c>
      <c r="G17" s="11">
        <f>Tablo14567891011121366[[#This Row],[ADET]]*Tablo14567891011121366[[#This Row],[ALIŞ]]</f>
        <v>2500</v>
      </c>
      <c r="H17" s="11">
        <f>Tablo14567891011121366[[#This Row],[ADET]]*Tablo14567891011121366[[#This Row],[SATIŞ]]</f>
        <v>2640</v>
      </c>
      <c r="J17" s="40"/>
    </row>
    <row r="18" spans="2:10" ht="21" hidden="1" customHeight="1" x14ac:dyDescent="0.3">
      <c r="B18" s="2">
        <v>45380</v>
      </c>
      <c r="C18" s="6">
        <v>300</v>
      </c>
      <c r="D18" s="10">
        <v>6.25</v>
      </c>
      <c r="E18" s="10">
        <v>6.55</v>
      </c>
      <c r="F18" s="9">
        <f>IF(Tablo14567891011121366[[#This Row],[SATIŞ]]=0,"Açık",(E18-D18)*C18)</f>
        <v>89.999999999999943</v>
      </c>
      <c r="G18" s="11">
        <f>Tablo14567891011121366[[#This Row],[ADET]]*Tablo14567891011121366[[#This Row],[ALIŞ]]</f>
        <v>1875</v>
      </c>
      <c r="H18" s="11">
        <f>Tablo14567891011121366[[#This Row],[ADET]]*Tablo14567891011121366[[#This Row],[SATIŞ]]</f>
        <v>1965</v>
      </c>
      <c r="J18" s="40"/>
    </row>
    <row r="19" spans="2:10" ht="21" hidden="1" customHeight="1" x14ac:dyDescent="0.3">
      <c r="B19" s="2">
        <v>45380</v>
      </c>
      <c r="C19" s="6">
        <v>200</v>
      </c>
      <c r="D19" s="10">
        <v>6.25</v>
      </c>
      <c r="E19" s="10">
        <v>6.5</v>
      </c>
      <c r="F19" s="9">
        <f>IF(Tablo14567891011121366[[#This Row],[SATIŞ]]=0,"Açık",(E19-D19)*C19)</f>
        <v>50</v>
      </c>
      <c r="G19" s="11">
        <f>Tablo14567891011121366[[#This Row],[ADET]]*Tablo14567891011121366[[#This Row],[ALIŞ]]</f>
        <v>1250</v>
      </c>
      <c r="H19" s="11">
        <f>Tablo14567891011121366[[#This Row],[ADET]]*Tablo14567891011121366[[#This Row],[SATIŞ]]</f>
        <v>1300</v>
      </c>
      <c r="J19" s="40"/>
    </row>
    <row r="20" spans="2:10" ht="21" hidden="1" customHeight="1" x14ac:dyDescent="0.3">
      <c r="B20" s="2">
        <v>45384</v>
      </c>
      <c r="C20" s="6">
        <v>100</v>
      </c>
      <c r="D20" s="10">
        <v>6.18</v>
      </c>
      <c r="E20" s="10">
        <v>6.45</v>
      </c>
      <c r="F20" s="9">
        <f>IF(Tablo14567891011121366[[#This Row],[SATIŞ]]=0,"Açık",(E20-D20)*C20)</f>
        <v>27.000000000000046</v>
      </c>
      <c r="G20" s="11">
        <f>Tablo14567891011121366[[#This Row],[ADET]]*Tablo14567891011121366[[#This Row],[ALIŞ]]</f>
        <v>618</v>
      </c>
      <c r="H20" s="11">
        <f>Tablo14567891011121366[[#This Row],[ADET]]*Tablo14567891011121366[[#This Row],[SATIŞ]]</f>
        <v>645</v>
      </c>
      <c r="J20" s="40" t="str">
        <f t="shared" si="0"/>
        <v/>
      </c>
    </row>
    <row r="21" spans="2:10" ht="21" hidden="1" customHeight="1" x14ac:dyDescent="0.3">
      <c r="B21" s="2">
        <v>45384</v>
      </c>
      <c r="C21" s="6">
        <v>100</v>
      </c>
      <c r="D21" s="10">
        <v>6.17</v>
      </c>
      <c r="E21" s="10">
        <v>6.4</v>
      </c>
      <c r="F21" s="9">
        <f>IF(Tablo14567891011121366[[#This Row],[SATIŞ]]=0,"Açık",(E21-D21)*C21)</f>
        <v>23.000000000000043</v>
      </c>
      <c r="G21" s="11">
        <f>Tablo14567891011121366[[#This Row],[ADET]]*Tablo14567891011121366[[#This Row],[ALIŞ]]</f>
        <v>617</v>
      </c>
      <c r="H21" s="11">
        <f>Tablo14567891011121366[[#This Row],[ADET]]*Tablo14567891011121366[[#This Row],[SATIŞ]]</f>
        <v>640</v>
      </c>
      <c r="J21" s="40" t="str">
        <f t="shared" si="0"/>
        <v/>
      </c>
    </row>
    <row r="22" spans="2:10" ht="21" hidden="1" customHeight="1" x14ac:dyDescent="0.3">
      <c r="B22" s="2">
        <v>45384</v>
      </c>
      <c r="C22" s="6">
        <v>100</v>
      </c>
      <c r="D22" s="10">
        <v>6.15</v>
      </c>
      <c r="E22" s="10">
        <v>6.35</v>
      </c>
      <c r="F22" s="9">
        <f>IF(Tablo14567891011121366[[#This Row],[SATIŞ]]=0,"Açık",(E22-D22)*C22)</f>
        <v>19.999999999999929</v>
      </c>
      <c r="G22" s="11">
        <f>Tablo14567891011121366[[#This Row],[ADET]]*Tablo14567891011121366[[#This Row],[ALIŞ]]</f>
        <v>615</v>
      </c>
      <c r="H22" s="11">
        <f>Tablo14567891011121366[[#This Row],[ADET]]*Tablo14567891011121366[[#This Row],[SATIŞ]]</f>
        <v>635</v>
      </c>
      <c r="J22" s="40" t="str">
        <f t="shared" si="0"/>
        <v/>
      </c>
    </row>
    <row r="23" spans="2:10" ht="21" hidden="1" customHeight="1" x14ac:dyDescent="0.3">
      <c r="B23" s="2">
        <v>45384</v>
      </c>
      <c r="C23" s="6">
        <v>100</v>
      </c>
      <c r="D23" s="10">
        <v>6.1</v>
      </c>
      <c r="E23" s="10">
        <v>6.32</v>
      </c>
      <c r="F23" s="9">
        <f>IF(Tablo14567891011121366[[#This Row],[SATIŞ]]=0,"Açık",(E23-D23)*C23)</f>
        <v>22.000000000000064</v>
      </c>
      <c r="G23" s="11">
        <f>Tablo14567891011121366[[#This Row],[ADET]]*Tablo14567891011121366[[#This Row],[ALIŞ]]</f>
        <v>610</v>
      </c>
      <c r="H23" s="11">
        <f>Tablo14567891011121366[[#This Row],[ADET]]*Tablo14567891011121366[[#This Row],[SATIŞ]]</f>
        <v>632</v>
      </c>
      <c r="J23" s="40" t="str">
        <f t="shared" si="0"/>
        <v/>
      </c>
    </row>
    <row r="24" spans="2:10" ht="21" hidden="1" customHeight="1" x14ac:dyDescent="0.3">
      <c r="B24" s="2">
        <v>45384</v>
      </c>
      <c r="C24" s="6">
        <v>100</v>
      </c>
      <c r="D24" s="10">
        <v>6.1</v>
      </c>
      <c r="E24" s="10">
        <v>6.3</v>
      </c>
      <c r="F24" s="9">
        <f>IF(Tablo14567891011121366[[#This Row],[SATIŞ]]=0,"Açık",(E24-D24)*C24)</f>
        <v>20.000000000000018</v>
      </c>
      <c r="G24" s="11">
        <f>Tablo14567891011121366[[#This Row],[ADET]]*Tablo14567891011121366[[#This Row],[ALIŞ]]</f>
        <v>610</v>
      </c>
      <c r="H24" s="11">
        <f>Tablo14567891011121366[[#This Row],[ADET]]*Tablo14567891011121366[[#This Row],[SATIŞ]]</f>
        <v>630</v>
      </c>
      <c r="J24" s="40" t="str">
        <f t="shared" si="0"/>
        <v/>
      </c>
    </row>
    <row r="25" spans="2:10" ht="21" hidden="1" customHeight="1" x14ac:dyDescent="0.3">
      <c r="B25" s="2">
        <v>45387</v>
      </c>
      <c r="C25" s="6">
        <v>100</v>
      </c>
      <c r="D25" s="10">
        <v>5.98</v>
      </c>
      <c r="E25" s="10">
        <v>6.2</v>
      </c>
      <c r="F25" s="9">
        <f>IF(Tablo14567891011121366[[#This Row],[SATIŞ]]=0,"Açık",(E25-D25)*C25)</f>
        <v>21.999999999999975</v>
      </c>
      <c r="G25" s="11">
        <f>Tablo14567891011121366[[#This Row],[ADET]]*Tablo14567891011121366[[#This Row],[ALIŞ]]</f>
        <v>598</v>
      </c>
      <c r="H25" s="11">
        <f>Tablo14567891011121366[[#This Row],[ADET]]*Tablo14567891011121366[[#This Row],[SATIŞ]]</f>
        <v>620</v>
      </c>
      <c r="J25" s="40" t="str">
        <f t="shared" si="0"/>
        <v/>
      </c>
    </row>
    <row r="26" spans="2:10" ht="21" hidden="1" customHeight="1" x14ac:dyDescent="0.3">
      <c r="B26" s="2">
        <v>45380</v>
      </c>
      <c r="C26" s="6">
        <v>100</v>
      </c>
      <c r="D26" s="10">
        <v>6.25</v>
      </c>
      <c r="E26" s="10">
        <v>6.7</v>
      </c>
      <c r="F26" s="9">
        <f>IF(Tablo14567891011121366[[#This Row],[SATIŞ]]=0,"Açık",(E26-D26)*C26)</f>
        <v>45.000000000000014</v>
      </c>
      <c r="G26" s="11">
        <f>Tablo14567891011121366[[#This Row],[ADET]]*Tablo14567891011121366[[#This Row],[ALIŞ]]</f>
        <v>625</v>
      </c>
      <c r="H26" s="11">
        <f>Tablo14567891011121366[[#This Row],[ADET]]*Tablo14567891011121366[[#This Row],[SATIŞ]]</f>
        <v>670</v>
      </c>
      <c r="J26" s="40" t="str">
        <f t="shared" si="0"/>
        <v/>
      </c>
    </row>
    <row r="27" spans="2:10" ht="21" hidden="1" customHeight="1" x14ac:dyDescent="0.3">
      <c r="B27" s="2">
        <v>45380</v>
      </c>
      <c r="C27" s="6">
        <v>200</v>
      </c>
      <c r="D27" s="10">
        <v>6.25</v>
      </c>
      <c r="E27" s="10">
        <v>6.75</v>
      </c>
      <c r="F27" s="9">
        <f>IF(Tablo14567891011121366[[#This Row],[SATIŞ]]=0,"Açık",(E27-D27)*C27)</f>
        <v>100</v>
      </c>
      <c r="G27" s="11">
        <f>Tablo14567891011121366[[#This Row],[ADET]]*Tablo14567891011121366[[#This Row],[ALIŞ]]</f>
        <v>1250</v>
      </c>
      <c r="H27" s="11">
        <f>Tablo14567891011121366[[#This Row],[ADET]]*Tablo14567891011121366[[#This Row],[SATIŞ]]</f>
        <v>1350</v>
      </c>
      <c r="J27" s="40" t="str">
        <f t="shared" si="0"/>
        <v/>
      </c>
    </row>
    <row r="28" spans="2:10" ht="21" customHeight="1" x14ac:dyDescent="0.3">
      <c r="J28" s="40">
        <f t="shared" si="0"/>
        <v>0</v>
      </c>
    </row>
  </sheetData>
  <conditionalFormatting sqref="B4:F27">
    <cfRule type="expression" dxfId="65" priority="1">
      <formula>$F4&lt;0</formula>
    </cfRule>
    <cfRule type="expression" dxfId="64" priority="2">
      <formula>$F4="Açık"</formula>
    </cfRule>
    <cfRule type="expression" dxfId="63" priority="3">
      <formula>$F4&gt;0</formula>
    </cfRule>
  </conditionalFormatting>
  <hyperlinks>
    <hyperlink ref="B1" location="İcmal!A1" display="ANA SAYFA" xr:uid="{626D11E1-E4BC-4BC4-9FEA-E1327A64E0D7}"/>
  </hyperlinks>
  <pageMargins left="0.7" right="0.7" top="0.75" bottom="0.75" header="0.3" footer="0.3"/>
  <tableParts count="1">
    <tablePart r:id="rId1"/>
  </tablePart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EC14D-E227-406E-900A-F459A1B25E58}">
  <dimension ref="B1:R34"/>
  <sheetViews>
    <sheetView showGridLines="0" showZeros="0" zoomScale="115" zoomScaleNormal="115" workbookViewId="0">
      <pane ySplit="3" topLeftCell="A12" activePane="bottomLeft" state="frozen"/>
      <selection pane="bottomLeft" activeCell="E26" sqref="E26"/>
    </sheetView>
  </sheetViews>
  <sheetFormatPr defaultRowHeight="21" customHeight="1" x14ac:dyDescent="0.3"/>
  <cols>
    <col min="2" max="2" width="20.6640625" style="1" customWidth="1"/>
    <col min="3" max="3" width="11.33203125" style="6" customWidth="1"/>
    <col min="4" max="5" width="12.88671875" style="3" customWidth="1"/>
    <col min="6" max="6" width="12.88671875" style="5" customWidth="1"/>
    <col min="7" max="8" width="11.44140625" bestFit="1" customWidth="1"/>
    <col min="10" max="12" width="12.44140625" customWidth="1"/>
    <col min="13" max="13" width="11.6640625" bestFit="1" customWidth="1"/>
    <col min="14" max="14" width="12" bestFit="1" customWidth="1"/>
  </cols>
  <sheetData>
    <row r="1" spans="2:18" ht="21" customHeight="1" x14ac:dyDescent="0.3">
      <c r="B1" s="12" t="s">
        <v>64</v>
      </c>
      <c r="C1" s="4">
        <f>SUMIF(Tablo145678910111213141516171819202122232425262728293031323334353637[KAR],"Açık",Tablo145678910111213141516171819202122232425262728293031323334353637[ADET])</f>
        <v>2500</v>
      </c>
      <c r="D1" s="10">
        <f>+İcmal!E50</f>
        <v>4.1100000000000003</v>
      </c>
      <c r="E1" s="10">
        <f>C1*D1</f>
        <v>10275</v>
      </c>
      <c r="F1" s="10">
        <f>IFERROR(((SUM(Tablo145678910111213141516171819202122232425262728293031323334353637[ALIŞ TUTAR])-SUM(Tablo145678910111213141516171819202122232425262728293031323334353637[SATIŞ TUTAR]))/C1),"")</f>
        <v>4.3946958799999996</v>
      </c>
      <c r="G1" s="10">
        <f>IF(M3=0,L3,C1*(D1-F1))</f>
        <v>-711.73969999999804</v>
      </c>
      <c r="J1" s="45" t="s">
        <v>94</v>
      </c>
      <c r="K1" s="45" t="s">
        <v>95</v>
      </c>
      <c r="L1" s="45" t="s">
        <v>96</v>
      </c>
      <c r="M1" s="33">
        <f>F1</f>
        <v>4.3946958799999996</v>
      </c>
      <c r="N1" s="8" t="e">
        <f>M1*(1+$J$1)</f>
        <v>#VALUE!</v>
      </c>
      <c r="P1" s="8" t="e">
        <f>Q1*(1-$J$1)</f>
        <v>#VALUE!</v>
      </c>
      <c r="Q1" s="33">
        <f>+D1</f>
        <v>4.1100000000000003</v>
      </c>
      <c r="R1" s="8" t="e">
        <f>Q1*(1+$J$1)</f>
        <v>#VALUE!</v>
      </c>
    </row>
    <row r="2" spans="2:18" ht="21" customHeight="1" x14ac:dyDescent="0.3">
      <c r="B2" s="7" t="s">
        <v>46</v>
      </c>
      <c r="J2" s="45">
        <f>SUMIFS(Tablo2[HEDEF2],Tablo2[HİSSE],B2)</f>
        <v>1000</v>
      </c>
      <c r="K2" s="45">
        <f>+E1/İcmal!$P$2</f>
        <v>315.862280971411</v>
      </c>
      <c r="L2" s="45">
        <f>+J2-K2</f>
        <v>684.137719028589</v>
      </c>
    </row>
    <row r="3" spans="2:18" ht="21" customHeight="1" x14ac:dyDescent="0.3">
      <c r="B3" s="1" t="s">
        <v>0</v>
      </c>
      <c r="C3" s="6" t="s">
        <v>4</v>
      </c>
      <c r="D3" s="3" t="s">
        <v>1</v>
      </c>
      <c r="E3" s="3" t="s">
        <v>3</v>
      </c>
      <c r="F3" s="5" t="s">
        <v>2</v>
      </c>
      <c r="G3" s="3" t="s">
        <v>8</v>
      </c>
      <c r="H3" s="3" t="s">
        <v>9</v>
      </c>
      <c r="L3">
        <f>+SUM(Tablo145678910111213141516171819202122232425262728293031323334353637[KAR])</f>
        <v>-411.73969999999986</v>
      </c>
      <c r="M3" s="37">
        <f>+C1</f>
        <v>2500</v>
      </c>
    </row>
    <row r="4" spans="2:18" ht="21" hidden="1" customHeight="1" x14ac:dyDescent="0.3">
      <c r="B4" s="2">
        <v>45291</v>
      </c>
      <c r="C4" s="6">
        <v>650</v>
      </c>
      <c r="D4" s="10">
        <v>4.7984929999999997</v>
      </c>
      <c r="E4" s="10">
        <v>4.4076919999999999</v>
      </c>
      <c r="F4" s="9">
        <f>IF(Tablo145678910111213141516171819202122232425262728293031323334353637[[#This Row],[SATIŞ]]=0,"Açık",(E4-D4)*C4)</f>
        <v>-254.02064999999982</v>
      </c>
      <c r="G4" s="11">
        <f>Tablo145678910111213141516171819202122232425262728293031323334353637[[#This Row],[ADET]]*Tablo145678910111213141516171819202122232425262728293031323334353637[[#This Row],[ALIŞ]]</f>
        <v>3119.02045</v>
      </c>
      <c r="H4" s="11">
        <f>Tablo145678910111213141516171819202122232425262728293031323334353637[[#This Row],[ADET]]*Tablo145678910111213141516171819202122232425262728293031323334353637[[#This Row],[SATIŞ]]</f>
        <v>2864.9998000000001</v>
      </c>
      <c r="L4" s="8">
        <f>SUM(Tablo145678910111213141516171819202122232425262728293031323334353637[ALIŞ TUTAR])</f>
        <v>51862.739499999996</v>
      </c>
      <c r="M4" s="8">
        <f>SUM(Tablo145678910111213141516171819202122232425262728293031323334353637[SATIŞ TUTAR])</f>
        <v>40875.999799999998</v>
      </c>
      <c r="N4" s="8">
        <f>L4-M4</f>
        <v>10986.739699999998</v>
      </c>
    </row>
    <row r="5" spans="2:18" ht="21" hidden="1" customHeight="1" x14ac:dyDescent="0.3">
      <c r="B5" s="2">
        <v>45291</v>
      </c>
      <c r="C5" s="6">
        <v>250</v>
      </c>
      <c r="D5" s="10">
        <v>4.7984929999999997</v>
      </c>
      <c r="E5" s="10">
        <v>4.4000000000000004</v>
      </c>
      <c r="F5" s="9">
        <f>IF(Tablo145678910111213141516171819202122232425262728293031323334353637[[#This Row],[SATIŞ]]=0,"Açık",(E5-D5)*C5)</f>
        <v>-99.623249999999828</v>
      </c>
      <c r="G5" s="11">
        <f>Tablo145678910111213141516171819202122232425262728293031323334353637[[#This Row],[ADET]]*Tablo145678910111213141516171819202122232425262728293031323334353637[[#This Row],[ALIŞ]]</f>
        <v>1199.6232499999999</v>
      </c>
      <c r="H5" s="11">
        <f>Tablo145678910111213141516171819202122232425262728293031323334353637[[#This Row],[ADET]]*Tablo145678910111213141516171819202122232425262728293031323334353637[[#This Row],[SATIŞ]]</f>
        <v>1100</v>
      </c>
      <c r="N5">
        <f>+N4/80</f>
        <v>137.33424624999998</v>
      </c>
    </row>
    <row r="6" spans="2:18" ht="21" hidden="1" customHeight="1" x14ac:dyDescent="0.3">
      <c r="B6" s="2">
        <v>45291</v>
      </c>
      <c r="C6" s="6">
        <v>200</v>
      </c>
      <c r="D6" s="10">
        <v>4.7984929999999997</v>
      </c>
      <c r="E6" s="10">
        <v>4.3049999999999997</v>
      </c>
      <c r="F6" s="9">
        <f>IF(Tablo145678910111213141516171819202122232425262728293031323334353637[[#This Row],[SATIŞ]]=0,"Açık",(E6-D6)*C6)</f>
        <v>-98.698599999999999</v>
      </c>
      <c r="G6" s="11">
        <f>Tablo145678910111213141516171819202122232425262728293031323334353637[[#This Row],[ADET]]*Tablo145678910111213141516171819202122232425262728293031323334353637[[#This Row],[ALIŞ]]</f>
        <v>959.69859999999994</v>
      </c>
      <c r="H6" s="11">
        <f>Tablo145678910111213141516171819202122232425262728293031323334353637[[#This Row],[ADET]]*Tablo145678910111213141516171819202122232425262728293031323334353637[[#This Row],[SATIŞ]]</f>
        <v>861</v>
      </c>
    </row>
    <row r="7" spans="2:18" ht="21" hidden="1" customHeight="1" x14ac:dyDescent="0.3">
      <c r="B7" s="2">
        <v>45291</v>
      </c>
      <c r="C7" s="6">
        <v>200</v>
      </c>
      <c r="D7" s="10">
        <v>4.7984929999999997</v>
      </c>
      <c r="E7" s="10">
        <v>4.3</v>
      </c>
      <c r="F7" s="9">
        <f>IF(Tablo145678910111213141516171819202122232425262728293031323334353637[[#This Row],[SATIŞ]]=0,"Açık",(E7-D7)*C7)</f>
        <v>-99.698599999999971</v>
      </c>
      <c r="G7" s="11">
        <f>Tablo145678910111213141516171819202122232425262728293031323334353637[[#This Row],[ADET]]*Tablo145678910111213141516171819202122232425262728293031323334353637[[#This Row],[ALIŞ]]</f>
        <v>959.69859999999994</v>
      </c>
      <c r="H7" s="11">
        <f>Tablo145678910111213141516171819202122232425262728293031323334353637[[#This Row],[ADET]]*Tablo145678910111213141516171819202122232425262728293031323334353637[[#This Row],[SATIŞ]]</f>
        <v>860</v>
      </c>
    </row>
    <row r="8" spans="2:18" ht="21" hidden="1" customHeight="1" x14ac:dyDescent="0.3">
      <c r="B8" s="2">
        <v>45291</v>
      </c>
      <c r="C8" s="6">
        <v>100</v>
      </c>
      <c r="D8" s="10">
        <v>4.7984929999999997</v>
      </c>
      <c r="E8" s="10">
        <v>4.25</v>
      </c>
      <c r="F8" s="9">
        <f>IF(Tablo145678910111213141516171819202122232425262728293031323334353637[[#This Row],[SATIŞ]]=0,"Açık",(E8-D8)*C8)</f>
        <v>-54.849299999999971</v>
      </c>
      <c r="G8" s="11">
        <f>Tablo145678910111213141516171819202122232425262728293031323334353637[[#This Row],[ADET]]*Tablo145678910111213141516171819202122232425262728293031323334353637[[#This Row],[ALIŞ]]</f>
        <v>479.84929999999997</v>
      </c>
      <c r="H8" s="11">
        <f>Tablo145678910111213141516171819202122232425262728293031323334353637[[#This Row],[ADET]]*Tablo145678910111213141516171819202122232425262728293031323334353637[[#This Row],[SATIŞ]]</f>
        <v>425</v>
      </c>
    </row>
    <row r="9" spans="2:18" ht="21" hidden="1" customHeight="1" x14ac:dyDescent="0.3">
      <c r="B9" s="2">
        <v>45291</v>
      </c>
      <c r="C9" s="6">
        <v>50</v>
      </c>
      <c r="D9" s="10">
        <v>4.7984929999999997</v>
      </c>
      <c r="E9" s="10">
        <v>4.1500000000000004</v>
      </c>
      <c r="F9" s="9">
        <f>IF(Tablo145678910111213141516171819202122232425262728293031323334353637[[#This Row],[SATIŞ]]=0,"Açık",(E9-D9)*C9)</f>
        <v>-32.424649999999964</v>
      </c>
      <c r="G9" s="11">
        <f>Tablo145678910111213141516171819202122232425262728293031323334353637[[#This Row],[ADET]]*Tablo145678910111213141516171819202122232425262728293031323334353637[[#This Row],[ALIŞ]]</f>
        <v>239.92464999999999</v>
      </c>
      <c r="H9" s="11">
        <f>Tablo145678910111213141516171819202122232425262728293031323334353637[[#This Row],[ADET]]*Tablo145678910111213141516171819202122232425262728293031323334353637[[#This Row],[SATIŞ]]</f>
        <v>207.50000000000003</v>
      </c>
    </row>
    <row r="10" spans="2:18" ht="21" hidden="1" customHeight="1" x14ac:dyDescent="0.3">
      <c r="B10" s="2">
        <v>45291</v>
      </c>
      <c r="C10" s="6">
        <v>50</v>
      </c>
      <c r="D10" s="10">
        <v>4.7984929999999997</v>
      </c>
      <c r="E10" s="10">
        <v>4.1500000000000004</v>
      </c>
      <c r="F10" s="9">
        <f>IF(Tablo145678910111213141516171819202122232425262728293031323334353637[[#This Row],[SATIŞ]]=0,"Açık",(E10-D10)*C10)</f>
        <v>-32.424649999999964</v>
      </c>
      <c r="G10" s="11">
        <f>Tablo145678910111213141516171819202122232425262728293031323334353637[[#This Row],[ADET]]*Tablo145678910111213141516171819202122232425262728293031323334353637[[#This Row],[ALIŞ]]</f>
        <v>239.92464999999999</v>
      </c>
      <c r="H10" s="11">
        <f>Tablo145678910111213141516171819202122232425262728293031323334353637[[#This Row],[ADET]]*Tablo145678910111213141516171819202122232425262728293031323334353637[[#This Row],[SATIŞ]]</f>
        <v>207.50000000000003</v>
      </c>
    </row>
    <row r="11" spans="2:18" ht="21" hidden="1" customHeight="1" x14ac:dyDescent="0.3">
      <c r="B11" s="2">
        <v>45328</v>
      </c>
      <c r="C11" s="6">
        <v>350</v>
      </c>
      <c r="D11" s="10">
        <v>3.99</v>
      </c>
      <c r="E11" s="10">
        <v>4.07</v>
      </c>
      <c r="F11" s="9">
        <f>IF(Tablo145678910111213141516171819202122232425262728293031323334353637[[#This Row],[SATIŞ]]=0,"Açık",(E11-D11)*C11)</f>
        <v>28.000000000000025</v>
      </c>
      <c r="G11" s="11">
        <f>Tablo145678910111213141516171819202122232425262728293031323334353637[[#This Row],[ADET]]*Tablo145678910111213141516171819202122232425262728293031323334353637[[#This Row],[ALIŞ]]</f>
        <v>1396.5</v>
      </c>
      <c r="H11" s="11">
        <f>Tablo145678910111213141516171819202122232425262728293031323334353637[[#This Row],[ADET]]*Tablo145678910111213141516171819202122232425262728293031323334353637[[#This Row],[SATIŞ]]</f>
        <v>1424.5</v>
      </c>
    </row>
    <row r="12" spans="2:18" ht="21" customHeight="1" x14ac:dyDescent="0.3">
      <c r="B12" s="2">
        <v>45291</v>
      </c>
      <c r="C12" s="6">
        <v>500</v>
      </c>
      <c r="D12" s="10">
        <v>4.8</v>
      </c>
      <c r="E12" s="10"/>
      <c r="F12" s="9" t="str">
        <f>IF(Tablo145678910111213141516171819202122232425262728293031323334353637[[#This Row],[SATIŞ]]=0,"Açık",(E12-D12)*C12)</f>
        <v>Açık</v>
      </c>
      <c r="G12" s="11">
        <f>Tablo145678910111213141516171819202122232425262728293031323334353637[[#This Row],[ADET]]*Tablo145678910111213141516171819202122232425262728293031323334353637[[#This Row],[ALIŞ]]</f>
        <v>2400</v>
      </c>
      <c r="H12" s="11">
        <f>Tablo145678910111213141516171819202122232425262728293031323334353637[[#This Row],[ADET]]*Tablo145678910111213141516171819202122232425262728293031323334353637[[#This Row],[SATIŞ]]</f>
        <v>0</v>
      </c>
      <c r="J12" s="40">
        <f t="shared" ref="J12:J33" si="0">IF(E12=0,D12*1.05,"")</f>
        <v>5.04</v>
      </c>
    </row>
    <row r="13" spans="2:18" ht="21" hidden="1" customHeight="1" x14ac:dyDescent="0.3">
      <c r="B13" s="2">
        <v>45291</v>
      </c>
      <c r="C13" s="6">
        <v>900</v>
      </c>
      <c r="D13" s="10">
        <v>4.8</v>
      </c>
      <c r="E13" s="10">
        <v>4.63</v>
      </c>
      <c r="F13" s="9">
        <f>IF(Tablo145678910111213141516171819202122232425262728293031323334353637[[#This Row],[SATIŞ]]=0,"Açık",(E13-D13)*C13)</f>
        <v>-152.99999999999994</v>
      </c>
      <c r="G13" s="11">
        <f>Tablo145678910111213141516171819202122232425262728293031323334353637[[#This Row],[ADET]]*Tablo145678910111213141516171819202122232425262728293031323334353637[[#This Row],[ALIŞ]]</f>
        <v>4320</v>
      </c>
      <c r="H13" s="11">
        <f>Tablo145678910111213141516171819202122232425262728293031323334353637[[#This Row],[ADET]]*Tablo145678910111213141516171819202122232425262728293031323334353637[[#This Row],[SATIŞ]]</f>
        <v>4167</v>
      </c>
      <c r="J13" s="40" t="str">
        <f t="shared" si="0"/>
        <v/>
      </c>
    </row>
    <row r="14" spans="2:18" ht="21" hidden="1" customHeight="1" x14ac:dyDescent="0.3">
      <c r="B14" s="2">
        <v>45291</v>
      </c>
      <c r="C14" s="6">
        <v>850</v>
      </c>
      <c r="D14" s="10">
        <v>4.8</v>
      </c>
      <c r="E14" s="10">
        <v>4.55</v>
      </c>
      <c r="F14" s="9">
        <f>IF(Tablo145678910111213141516171819202122232425262728293031323334353637[[#This Row],[SATIŞ]]=0,"Açık",(E14-D14)*C14)</f>
        <v>-212.5</v>
      </c>
      <c r="G14" s="11">
        <f>Tablo145678910111213141516171819202122232425262728293031323334353637[[#This Row],[ADET]]*Tablo145678910111213141516171819202122232425262728293031323334353637[[#This Row],[ALIŞ]]</f>
        <v>4080</v>
      </c>
      <c r="H14" s="11">
        <f>Tablo145678910111213141516171819202122232425262728293031323334353637[[#This Row],[ADET]]*Tablo145678910111213141516171819202122232425262728293031323334353637[[#This Row],[SATIŞ]]</f>
        <v>3867.5</v>
      </c>
      <c r="J14" s="40" t="str">
        <f t="shared" si="0"/>
        <v/>
      </c>
    </row>
    <row r="15" spans="2:18" ht="21" hidden="1" customHeight="1" x14ac:dyDescent="0.3">
      <c r="B15" s="2">
        <v>45328</v>
      </c>
      <c r="C15" s="6">
        <v>150</v>
      </c>
      <c r="D15" s="10">
        <v>3.99</v>
      </c>
      <c r="E15" s="10">
        <v>4.45</v>
      </c>
      <c r="F15" s="9">
        <f>IF(Tablo145678910111213141516171819202122232425262728293031323334353637[[#This Row],[SATIŞ]]=0,"Açık",(E15-D15)*C15)</f>
        <v>69</v>
      </c>
      <c r="G15" s="11">
        <f>Tablo145678910111213141516171819202122232425262728293031323334353637[[#This Row],[ADET]]*Tablo145678910111213141516171819202122232425262728293031323334353637[[#This Row],[ALIŞ]]</f>
        <v>598.5</v>
      </c>
      <c r="H15" s="11">
        <f>Tablo145678910111213141516171819202122232425262728293031323334353637[[#This Row],[ADET]]*Tablo145678910111213141516171819202122232425262728293031323334353637[[#This Row],[SATIŞ]]</f>
        <v>667.5</v>
      </c>
      <c r="J15" s="40" t="str">
        <f t="shared" si="0"/>
        <v/>
      </c>
    </row>
    <row r="16" spans="2:18" ht="21" hidden="1" customHeight="1" x14ac:dyDescent="0.3">
      <c r="B16" s="2">
        <v>45657</v>
      </c>
      <c r="C16" s="6">
        <v>500</v>
      </c>
      <c r="D16" s="10">
        <v>4.8</v>
      </c>
      <c r="E16" s="10">
        <v>4.1500000000000004</v>
      </c>
      <c r="F16" s="9">
        <f>IF(Tablo145678910111213141516171819202122232425262728293031323334353637[[#This Row],[SATIŞ]]=0,"Açık",(E16-D16)*C16)</f>
        <v>-324.99999999999972</v>
      </c>
      <c r="G16" s="11">
        <f>Tablo145678910111213141516171819202122232425262728293031323334353637[[#This Row],[ADET]]*Tablo145678910111213141516171819202122232425262728293031323334353637[[#This Row],[ALIŞ]]</f>
        <v>2400</v>
      </c>
      <c r="H16" s="11">
        <f>Tablo145678910111213141516171819202122232425262728293031323334353637[[#This Row],[ADET]]*Tablo145678910111213141516171819202122232425262728293031323334353637[[#This Row],[SATIŞ]]</f>
        <v>2075</v>
      </c>
      <c r="J16" s="40" t="str">
        <f t="shared" si="0"/>
        <v/>
      </c>
    </row>
    <row r="17" spans="2:10" ht="21" hidden="1" customHeight="1" x14ac:dyDescent="0.3">
      <c r="B17" s="2">
        <v>45331</v>
      </c>
      <c r="C17" s="6">
        <v>150</v>
      </c>
      <c r="D17" s="10">
        <v>4.3</v>
      </c>
      <c r="E17" s="10">
        <v>4.55</v>
      </c>
      <c r="F17" s="9">
        <f>IF(Tablo145678910111213141516171819202122232425262728293031323334353637[[#This Row],[SATIŞ]]=0,"Açık",(E17-D17)*C17)</f>
        <v>37.5</v>
      </c>
      <c r="G17" s="11">
        <f>Tablo145678910111213141516171819202122232425262728293031323334353637[[#This Row],[ADET]]*Tablo145678910111213141516171819202122232425262728293031323334353637[[#This Row],[ALIŞ]]</f>
        <v>645</v>
      </c>
      <c r="H17" s="11">
        <f>Tablo145678910111213141516171819202122232425262728293031323334353637[[#This Row],[ADET]]*Tablo145678910111213141516171819202122232425262728293031323334353637[[#This Row],[SATIŞ]]</f>
        <v>682.5</v>
      </c>
      <c r="J17" s="40" t="str">
        <f t="shared" si="0"/>
        <v/>
      </c>
    </row>
    <row r="18" spans="2:10" ht="21" hidden="1" customHeight="1" x14ac:dyDescent="0.3">
      <c r="B18" s="2">
        <v>45335</v>
      </c>
      <c r="C18" s="6">
        <v>400</v>
      </c>
      <c r="D18" s="10">
        <v>4.3</v>
      </c>
      <c r="E18" s="10">
        <v>4.4000000000000004</v>
      </c>
      <c r="F18" s="9">
        <f>IF(Tablo145678910111213141516171819202122232425262728293031323334353637[[#This Row],[SATIŞ]]=0,"Açık",(E18-D18)*C18)</f>
        <v>40.000000000000213</v>
      </c>
      <c r="G18" s="11">
        <f>Tablo145678910111213141516171819202122232425262728293031323334353637[[#This Row],[ADET]]*Tablo145678910111213141516171819202122232425262728293031323334353637[[#This Row],[ALIŞ]]</f>
        <v>1720</v>
      </c>
      <c r="H18" s="11">
        <f>Tablo145678910111213141516171819202122232425262728293031323334353637[[#This Row],[ADET]]*Tablo145678910111213141516171819202122232425262728293031323334353637[[#This Row],[SATIŞ]]</f>
        <v>1760.0000000000002</v>
      </c>
      <c r="J18" s="40" t="str">
        <f t="shared" si="0"/>
        <v/>
      </c>
    </row>
    <row r="19" spans="2:10" ht="21" customHeight="1" x14ac:dyDescent="0.3">
      <c r="B19" s="2">
        <v>45355</v>
      </c>
      <c r="C19" s="6">
        <v>500</v>
      </c>
      <c r="D19" s="10">
        <v>4.25</v>
      </c>
      <c r="E19" s="10"/>
      <c r="F19" s="9" t="str">
        <f>IF(Tablo145678910111213141516171819202122232425262728293031323334353637[[#This Row],[SATIŞ]]=0,"Açık",(E19-D19)*C19)</f>
        <v>Açık</v>
      </c>
      <c r="G19" s="11">
        <f>Tablo145678910111213141516171819202122232425262728293031323334353637[[#This Row],[ADET]]*Tablo145678910111213141516171819202122232425262728293031323334353637[[#This Row],[ALIŞ]]</f>
        <v>2125</v>
      </c>
      <c r="H19" s="11">
        <f>Tablo145678910111213141516171819202122232425262728293031323334353637[[#This Row],[ADET]]*Tablo145678910111213141516171819202122232425262728293031323334353637[[#This Row],[SATIŞ]]</f>
        <v>0</v>
      </c>
      <c r="J19" s="40">
        <f t="shared" si="0"/>
        <v>4.4625000000000004</v>
      </c>
    </row>
    <row r="20" spans="2:10" ht="21" hidden="1" customHeight="1" x14ac:dyDescent="0.3">
      <c r="B20" s="2">
        <v>45359</v>
      </c>
      <c r="C20" s="6">
        <v>100</v>
      </c>
      <c r="D20" s="10">
        <v>4.0999999999999996</v>
      </c>
      <c r="E20" s="10">
        <v>4.2</v>
      </c>
      <c r="F20" s="9">
        <f>IF(Tablo145678910111213141516171819202122232425262728293031323334353637[[#This Row],[SATIŞ]]=0,"Açık",(E20-D20)*C20)</f>
        <v>10.000000000000053</v>
      </c>
      <c r="G20" s="11">
        <f>Tablo145678910111213141516171819202122232425262728293031323334353637[[#This Row],[ADET]]*Tablo145678910111213141516171819202122232425262728293031323334353637[[#This Row],[ALIŞ]]</f>
        <v>409.99999999999994</v>
      </c>
      <c r="H20" s="11">
        <f>Tablo145678910111213141516171819202122232425262728293031323334353637[[#This Row],[ADET]]*Tablo145678910111213141516171819202122232425262728293031323334353637[[#This Row],[SATIŞ]]</f>
        <v>420</v>
      </c>
      <c r="J20" s="40" t="str">
        <f t="shared" si="0"/>
        <v/>
      </c>
    </row>
    <row r="21" spans="2:10" ht="21" customHeight="1" x14ac:dyDescent="0.3">
      <c r="B21" s="2">
        <v>45365</v>
      </c>
      <c r="C21" s="6">
        <v>1000</v>
      </c>
      <c r="D21" s="10">
        <v>4.05</v>
      </c>
      <c r="E21" s="10"/>
      <c r="F21" s="9" t="str">
        <f>IF(Tablo145678910111213141516171819202122232425262728293031323334353637[[#This Row],[SATIŞ]]=0,"Açık",(E21-D21)*C21)</f>
        <v>Açık</v>
      </c>
      <c r="G21" s="11">
        <f>Tablo145678910111213141516171819202122232425262728293031323334353637[[#This Row],[ADET]]*Tablo145678910111213141516171819202122232425262728293031323334353637[[#This Row],[ALIŞ]]</f>
        <v>4050</v>
      </c>
      <c r="H21" s="11">
        <f>Tablo145678910111213141516171819202122232425262728293031323334353637[[#This Row],[ADET]]*Tablo145678910111213141516171819202122232425262728293031323334353637[[#This Row],[SATIŞ]]</f>
        <v>0</v>
      </c>
      <c r="J21" s="40">
        <f t="shared" si="0"/>
        <v>4.2525000000000004</v>
      </c>
    </row>
    <row r="22" spans="2:10" ht="21" hidden="1" customHeight="1" x14ac:dyDescent="0.3">
      <c r="B22" s="2">
        <v>45370</v>
      </c>
      <c r="C22" s="6">
        <v>1000</v>
      </c>
      <c r="D22" s="10">
        <v>3.93</v>
      </c>
      <c r="E22" s="10">
        <v>4.0999999999999996</v>
      </c>
      <c r="F22" s="9">
        <f>IF(Tablo145678910111213141516171819202122232425262728293031323334353637[[#This Row],[SATIŞ]]=0,"Açık",(E22-D22)*C22)</f>
        <v>169.99999999999949</v>
      </c>
      <c r="G22" s="11">
        <f>Tablo145678910111213141516171819202122232425262728293031323334353637[[#This Row],[ADET]]*Tablo145678910111213141516171819202122232425262728293031323334353637[[#This Row],[ALIŞ]]</f>
        <v>3930</v>
      </c>
      <c r="H22" s="11">
        <f>Tablo145678910111213141516171819202122232425262728293031323334353637[[#This Row],[ADET]]*Tablo145678910111213141516171819202122232425262728293031323334353637[[#This Row],[SATIŞ]]</f>
        <v>4100</v>
      </c>
      <c r="J22" s="40" t="str">
        <f t="shared" si="0"/>
        <v/>
      </c>
    </row>
    <row r="23" spans="2:10" ht="21" hidden="1" customHeight="1" x14ac:dyDescent="0.3">
      <c r="B23" s="2">
        <v>45370</v>
      </c>
      <c r="C23" s="6">
        <v>500</v>
      </c>
      <c r="D23" s="10">
        <v>3.9</v>
      </c>
      <c r="E23" s="10">
        <v>4.0999999999999996</v>
      </c>
      <c r="F23" s="9">
        <f>IF(Tablo145678910111213141516171819202122232425262728293031323334353637[[#This Row],[SATIŞ]]=0,"Açık",(E23-D23)*C23)</f>
        <v>99.999999999999872</v>
      </c>
      <c r="G23" s="11">
        <f>Tablo145678910111213141516171819202122232425262728293031323334353637[[#This Row],[ADET]]*Tablo145678910111213141516171819202122232425262728293031323334353637[[#This Row],[ALIŞ]]</f>
        <v>1950</v>
      </c>
      <c r="H23" s="11">
        <f>Tablo145678910111213141516171819202122232425262728293031323334353637[[#This Row],[ADET]]*Tablo145678910111213141516171819202122232425262728293031323334353637[[#This Row],[SATIŞ]]</f>
        <v>2050</v>
      </c>
      <c r="J23" s="40" t="str">
        <f t="shared" si="0"/>
        <v/>
      </c>
    </row>
    <row r="24" spans="2:10" ht="21" customHeight="1" x14ac:dyDescent="0.3">
      <c r="B24" s="2">
        <v>45370</v>
      </c>
      <c r="C24" s="6">
        <v>400</v>
      </c>
      <c r="D24" s="10">
        <v>3.9</v>
      </c>
      <c r="E24" s="10">
        <v>4.1500000000000004</v>
      </c>
      <c r="F24" s="9">
        <f>IF(Tablo145678910111213141516171819202122232425262728293031323334353637[[#This Row],[SATIŞ]]=0,"Açık",(E24-D24)*C24)</f>
        <v>100.00000000000017</v>
      </c>
      <c r="G24" s="11">
        <f>Tablo145678910111213141516171819202122232425262728293031323334353637[[#This Row],[ADET]]*Tablo145678910111213141516171819202122232425262728293031323334353637[[#This Row],[ALIŞ]]</f>
        <v>1560</v>
      </c>
      <c r="H24" s="11">
        <f>Tablo145678910111213141516171819202122232425262728293031323334353637[[#This Row],[ADET]]*Tablo145678910111213141516171819202122232425262728293031323334353637[[#This Row],[SATIŞ]]</f>
        <v>1660.0000000000002</v>
      </c>
      <c r="J24" s="40" t="str">
        <f t="shared" si="0"/>
        <v/>
      </c>
    </row>
    <row r="25" spans="2:10" ht="21" hidden="1" customHeight="1" x14ac:dyDescent="0.3">
      <c r="B25" s="2">
        <v>45370</v>
      </c>
      <c r="C25" s="6">
        <v>100</v>
      </c>
      <c r="D25" s="10">
        <v>3.9</v>
      </c>
      <c r="E25" s="10">
        <v>4.05</v>
      </c>
      <c r="F25" s="9">
        <f>IF(Tablo145678910111213141516171819202122232425262728293031323334353637[[#This Row],[SATIŞ]]=0,"Açık",(E25-D25)*C25)</f>
        <v>14.999999999999991</v>
      </c>
      <c r="G25" s="11">
        <f>Tablo145678910111213141516171819202122232425262728293031323334353637[[#This Row],[ADET]]*Tablo145678910111213141516171819202122232425262728293031323334353637[[#This Row],[ALIŞ]]</f>
        <v>390</v>
      </c>
      <c r="H25" s="11">
        <f>Tablo145678910111213141516171819202122232425262728293031323334353637[[#This Row],[ADET]]*Tablo145678910111213141516171819202122232425262728293031323334353637[[#This Row],[SATIŞ]]</f>
        <v>405</v>
      </c>
      <c r="J25" s="40"/>
    </row>
    <row r="26" spans="2:10" ht="21" customHeight="1" x14ac:dyDescent="0.3">
      <c r="B26" s="2">
        <v>45370</v>
      </c>
      <c r="C26" s="6">
        <v>500</v>
      </c>
      <c r="D26" s="10">
        <v>4</v>
      </c>
      <c r="E26" s="10"/>
      <c r="F26" s="9" t="str">
        <f>IF(Tablo145678910111213141516171819202122232425262728293031323334353637[[#This Row],[SATIŞ]]=0,"Açık",(E26-D26)*C26)</f>
        <v>Açık</v>
      </c>
      <c r="G26" s="11">
        <f>Tablo145678910111213141516171819202122232425262728293031323334353637[[#This Row],[ADET]]*Tablo145678910111213141516171819202122232425262728293031323334353637[[#This Row],[ALIŞ]]</f>
        <v>2000</v>
      </c>
      <c r="H26" s="11">
        <f>Tablo145678910111213141516171819202122232425262728293031323334353637[[#This Row],[ADET]]*Tablo145678910111213141516171819202122232425262728293031323334353637[[#This Row],[SATIŞ]]</f>
        <v>0</v>
      </c>
      <c r="J26" s="40">
        <f t="shared" si="0"/>
        <v>4.2</v>
      </c>
    </row>
    <row r="27" spans="2:10" ht="21" hidden="1" customHeight="1" x14ac:dyDescent="0.3">
      <c r="B27" s="2">
        <v>45370</v>
      </c>
      <c r="C27" s="6">
        <v>500</v>
      </c>
      <c r="D27" s="10">
        <v>4</v>
      </c>
      <c r="E27" s="10">
        <v>4.1500000000000004</v>
      </c>
      <c r="F27" s="9">
        <f>IF(Tablo145678910111213141516171819202122232425262728293031323334353637[[#This Row],[SATIŞ]]=0,"Açık",(E27-D27)*C27)</f>
        <v>75.000000000000171</v>
      </c>
      <c r="G27" s="11">
        <f>Tablo145678910111213141516171819202122232425262728293031323334353637[[#This Row],[ADET]]*Tablo145678910111213141516171819202122232425262728293031323334353637[[#This Row],[ALIŞ]]</f>
        <v>2000</v>
      </c>
      <c r="H27" s="11">
        <f>Tablo145678910111213141516171819202122232425262728293031323334353637[[#This Row],[ADET]]*Tablo145678910111213141516171819202122232425262728293031323334353637[[#This Row],[SATIŞ]]</f>
        <v>2075</v>
      </c>
      <c r="J27" s="40" t="str">
        <f t="shared" si="0"/>
        <v/>
      </c>
    </row>
    <row r="28" spans="2:10" ht="21" hidden="1" customHeight="1" x14ac:dyDescent="0.3">
      <c r="B28" s="2">
        <v>45372</v>
      </c>
      <c r="C28" s="6">
        <v>500</v>
      </c>
      <c r="D28" s="10">
        <v>4</v>
      </c>
      <c r="E28" s="10">
        <v>4.0999999999999996</v>
      </c>
      <c r="F28" s="9">
        <f>IF(Tablo145678910111213141516171819202122232425262728293031323334353637[[#This Row],[SATIŞ]]=0,"Açık",(E28-D28)*C28)</f>
        <v>49.999999999999822</v>
      </c>
      <c r="G28" s="11">
        <f>Tablo145678910111213141516171819202122232425262728293031323334353637[[#This Row],[ADET]]*Tablo145678910111213141516171819202122232425262728293031323334353637[[#This Row],[ALIŞ]]</f>
        <v>2000</v>
      </c>
      <c r="H28" s="11">
        <f>Tablo145678910111213141516171819202122232425262728293031323334353637[[#This Row],[ADET]]*Tablo145678910111213141516171819202122232425262728293031323334353637[[#This Row],[SATIŞ]]</f>
        <v>2050</v>
      </c>
      <c r="J28" s="40" t="str">
        <f t="shared" si="0"/>
        <v/>
      </c>
    </row>
    <row r="29" spans="2:10" ht="21" hidden="1" customHeight="1" x14ac:dyDescent="0.3">
      <c r="B29" s="2">
        <v>45378</v>
      </c>
      <c r="C29" s="6">
        <v>500</v>
      </c>
      <c r="D29" s="10">
        <v>3.97</v>
      </c>
      <c r="E29" s="10">
        <v>4.05</v>
      </c>
      <c r="F29" s="9">
        <f>IF(Tablo145678910111213141516171819202122232425262728293031323334353637[[#This Row],[SATIŞ]]=0,"Açık",(E29-D29)*C29)</f>
        <v>39.999999999999815</v>
      </c>
      <c r="G29" s="11">
        <f>Tablo145678910111213141516171819202122232425262728293031323334353637[[#This Row],[ADET]]*Tablo145678910111213141516171819202122232425262728293031323334353637[[#This Row],[ALIŞ]]</f>
        <v>1985</v>
      </c>
      <c r="H29" s="11">
        <f>Tablo145678910111213141516171819202122232425262728293031323334353637[[#This Row],[ADET]]*Tablo145678910111213141516171819202122232425262728293031323334353637[[#This Row],[SATIŞ]]</f>
        <v>2025</v>
      </c>
      <c r="J29" s="40" t="str">
        <f t="shared" si="0"/>
        <v/>
      </c>
    </row>
    <row r="30" spans="2:10" ht="21" hidden="1" customHeight="1" x14ac:dyDescent="0.3">
      <c r="B30" s="2">
        <v>45378</v>
      </c>
      <c r="C30" s="6">
        <v>300</v>
      </c>
      <c r="D30" s="10">
        <v>3.97</v>
      </c>
      <c r="E30" s="10">
        <v>4.1500000000000004</v>
      </c>
      <c r="F30" s="9">
        <f>IF(Tablo145678910111213141516171819202122232425262728293031323334353637[[#This Row],[SATIŞ]]=0,"Açık",(E30-D30)*C30)</f>
        <v>54.00000000000005</v>
      </c>
      <c r="G30" s="11">
        <f>Tablo145678910111213141516171819202122232425262728293031323334353637[[#This Row],[ADET]]*Tablo145678910111213141516171819202122232425262728293031323334353637[[#This Row],[ALIŞ]]</f>
        <v>1191</v>
      </c>
      <c r="H30" s="11">
        <f>Tablo145678910111213141516171819202122232425262728293031323334353637[[#This Row],[ADET]]*Tablo145678910111213141516171819202122232425262728293031323334353637[[#This Row],[SATIŞ]]</f>
        <v>1245</v>
      </c>
      <c r="J30" s="40" t="str">
        <f t="shared" si="0"/>
        <v/>
      </c>
    </row>
    <row r="31" spans="2:10" ht="21" hidden="1" customHeight="1" x14ac:dyDescent="0.3">
      <c r="B31" s="2">
        <v>45378</v>
      </c>
      <c r="C31" s="6">
        <v>200</v>
      </c>
      <c r="D31" s="10">
        <v>3.97</v>
      </c>
      <c r="E31" s="10">
        <v>4.0999999999999996</v>
      </c>
      <c r="F31" s="9">
        <f>IF(Tablo145678910111213141516171819202122232425262728293031323334353637[[#This Row],[SATIŞ]]=0,"Açık",(E31-D31)*C31)</f>
        <v>25.99999999999989</v>
      </c>
      <c r="G31" s="11">
        <f>Tablo145678910111213141516171819202122232425262728293031323334353637[[#This Row],[ADET]]*Tablo145678910111213141516171819202122232425262728293031323334353637[[#This Row],[ALIŞ]]</f>
        <v>794</v>
      </c>
      <c r="H31" s="11">
        <f>Tablo145678910111213141516171819202122232425262728293031323334353637[[#This Row],[ADET]]*Tablo145678910111213141516171819202122232425262728293031323334353637[[#This Row],[SATIŞ]]</f>
        <v>819.99999999999989</v>
      </c>
      <c r="J31" s="40"/>
    </row>
    <row r="32" spans="2:10" ht="21" hidden="1" customHeight="1" x14ac:dyDescent="0.3">
      <c r="B32" s="2">
        <v>45383</v>
      </c>
      <c r="C32" s="6">
        <v>100</v>
      </c>
      <c r="D32" s="10">
        <v>3.96</v>
      </c>
      <c r="E32" s="10">
        <v>4.0599999999999996</v>
      </c>
      <c r="F32" s="9">
        <f>IF(Tablo145678910111213141516171819202122232425262728293031323334353637[[#This Row],[SATIŞ]]=0,"Açık",(E32-D32)*C32)</f>
        <v>9.9999999999999645</v>
      </c>
      <c r="G32" s="11">
        <f>Tablo145678910111213141516171819202122232425262728293031323334353637[[#This Row],[ADET]]*Tablo145678910111213141516171819202122232425262728293031323334353637[[#This Row],[ALIŞ]]</f>
        <v>396</v>
      </c>
      <c r="H32" s="11">
        <f>Tablo145678910111213141516171819202122232425262728293031323334353637[[#This Row],[ADET]]*Tablo145678910111213141516171819202122232425262728293031323334353637[[#This Row],[SATIŞ]]</f>
        <v>405.99999999999994</v>
      </c>
      <c r="J32" s="40" t="str">
        <f t="shared" si="0"/>
        <v/>
      </c>
    </row>
    <row r="33" spans="2:10" ht="21" hidden="1" customHeight="1" x14ac:dyDescent="0.3">
      <c r="B33" s="2">
        <v>45383</v>
      </c>
      <c r="C33" s="6">
        <v>100</v>
      </c>
      <c r="D33" s="10">
        <v>3.94</v>
      </c>
      <c r="E33" s="10">
        <v>4</v>
      </c>
      <c r="F33" s="9">
        <f>IF(Tablo145678910111213141516171819202122232425262728293031323334353637[[#This Row],[SATIŞ]]=0,"Açık",(E33-D33)*C33)</f>
        <v>6.0000000000000053</v>
      </c>
      <c r="G33" s="11">
        <f>Tablo145678910111213141516171819202122232425262728293031323334353637[[#This Row],[ADET]]*Tablo145678910111213141516171819202122232425262728293031323334353637[[#This Row],[ALIŞ]]</f>
        <v>394</v>
      </c>
      <c r="H33" s="11">
        <f>Tablo145678910111213141516171819202122232425262728293031323334353637[[#This Row],[ADET]]*Tablo145678910111213141516171819202122232425262728293031323334353637[[#This Row],[SATIŞ]]</f>
        <v>400</v>
      </c>
      <c r="J33" s="40" t="str">
        <f t="shared" si="0"/>
        <v/>
      </c>
    </row>
    <row r="34" spans="2:10" ht="21" hidden="1" customHeight="1" x14ac:dyDescent="0.3">
      <c r="B34" s="2">
        <v>45387</v>
      </c>
      <c r="C34" s="6">
        <v>500</v>
      </c>
      <c r="D34" s="10">
        <v>3.86</v>
      </c>
      <c r="E34" s="10">
        <v>4.0999999999999996</v>
      </c>
      <c r="F34" s="9">
        <f>IF(Tablo145678910111213141516171819202122232425262728293031323334353637[[#This Row],[SATIŞ]]=0,"Açık",(E34-D34)*C34)</f>
        <v>119.99999999999989</v>
      </c>
      <c r="G34" s="11">
        <f>Tablo145678910111213141516171819202122232425262728293031323334353637[[#This Row],[ADET]]*Tablo145678910111213141516171819202122232425262728293031323334353637[[#This Row],[ALIŞ]]</f>
        <v>1930</v>
      </c>
      <c r="H34" s="11">
        <f>Tablo145678910111213141516171819202122232425262728293031323334353637[[#This Row],[ADET]]*Tablo145678910111213141516171819202122232425262728293031323334353637[[#This Row],[SATIŞ]]</f>
        <v>2050</v>
      </c>
    </row>
  </sheetData>
  <conditionalFormatting sqref="B4:F34">
    <cfRule type="expression" dxfId="62" priority="1">
      <formula>$F4&lt;0</formula>
    </cfRule>
    <cfRule type="expression" dxfId="61" priority="2">
      <formula>$F4="Açık"</formula>
    </cfRule>
    <cfRule type="expression" dxfId="60" priority="3">
      <formula>$F4&gt;0</formula>
    </cfRule>
  </conditionalFormatting>
  <hyperlinks>
    <hyperlink ref="B1" location="İcmal!A1" display="ANA SAYFA" xr:uid="{A46EEA08-401C-4943-980D-AEB7183CA5F9}"/>
  </hyperlinks>
  <pageMargins left="0.7" right="0.7" top="0.75" bottom="0.75" header="0.3" footer="0.3"/>
  <tableParts count="1">
    <tablePart r:id="rId1"/>
  </tablePart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95310-15A5-418E-A96B-3B020B5C1234}">
  <dimension ref="B1:R23"/>
  <sheetViews>
    <sheetView showGridLines="0" showZeros="0" zoomScaleNormal="100" workbookViewId="0">
      <pane ySplit="1" topLeftCell="A2" activePane="bottomLeft" state="frozen"/>
      <selection activeCell="C23" sqref="C23"/>
      <selection pane="bottomLeft" activeCell="B19" sqref="B19:C20"/>
    </sheetView>
  </sheetViews>
  <sheetFormatPr defaultRowHeight="21" customHeight="1" x14ac:dyDescent="0.3"/>
  <cols>
    <col min="2" max="2" width="20.6640625" style="1" customWidth="1"/>
    <col min="3" max="3" width="11.33203125" style="6" customWidth="1"/>
    <col min="4" max="5" width="12.88671875" style="3" customWidth="1"/>
    <col min="6" max="6" width="12.88671875" style="5" customWidth="1"/>
    <col min="7" max="8" width="11.33203125" bestFit="1" customWidth="1"/>
    <col min="12" max="13" width="11.33203125" bestFit="1" customWidth="1"/>
    <col min="14" max="14" width="10.33203125" bestFit="1" customWidth="1"/>
  </cols>
  <sheetData>
    <row r="1" spans="2:18" ht="21" customHeight="1" x14ac:dyDescent="0.3">
      <c r="B1" s="12" t="s">
        <v>64</v>
      </c>
      <c r="C1" s="4">
        <f>SUMIF(Tablo158[KAR],"Açık",Tablo158[ADET])</f>
        <v>0</v>
      </c>
      <c r="D1" s="10">
        <f>+İcmal!E51</f>
        <v>44.04</v>
      </c>
      <c r="E1" s="10">
        <f>C1*D1</f>
        <v>0</v>
      </c>
      <c r="F1" s="10" t="str">
        <f>IFERROR(((SUM(Tablo158[ALIŞ TUTAR])-SUM(Tablo158[SATIŞ TUTAR]))/C1),"")</f>
        <v/>
      </c>
      <c r="G1" s="10">
        <f>IF(M3=0,L3,C1*(D1-F1))</f>
        <v>2070.0000000000005</v>
      </c>
      <c r="J1" s="34">
        <v>0.02</v>
      </c>
      <c r="L1" s="8" t="e">
        <f>M1*(1-$J$1)</f>
        <v>#VALUE!</v>
      </c>
      <c r="M1" s="33" t="str">
        <f>F1</f>
        <v/>
      </c>
      <c r="N1" s="8" t="e">
        <f>M1*(1+$J$1)</f>
        <v>#VALUE!</v>
      </c>
      <c r="P1" s="8">
        <f>Q1*(1-$J$1)</f>
        <v>43.159199999999998</v>
      </c>
      <c r="Q1" s="33">
        <f>+D1</f>
        <v>44.04</v>
      </c>
      <c r="R1" s="8">
        <f>Q1*(1+$J$1)</f>
        <v>44.9208</v>
      </c>
    </row>
    <row r="2" spans="2:18" ht="21" customHeight="1" x14ac:dyDescent="0.3">
      <c r="B2" s="7"/>
    </row>
    <row r="3" spans="2:18" ht="21" customHeight="1" x14ac:dyDescent="0.3">
      <c r="B3" s="1" t="s">
        <v>0</v>
      </c>
      <c r="C3" s="6" t="s">
        <v>4</v>
      </c>
      <c r="D3" s="3" t="s">
        <v>1</v>
      </c>
      <c r="E3" s="3" t="s">
        <v>3</v>
      </c>
      <c r="F3" s="5" t="s">
        <v>2</v>
      </c>
      <c r="G3" s="3" t="s">
        <v>8</v>
      </c>
      <c r="H3" s="3" t="s">
        <v>9</v>
      </c>
      <c r="L3" s="33">
        <f>SUM(Tablo158[KAR])</f>
        <v>2070.0000000000005</v>
      </c>
      <c r="M3" s="37">
        <f>C1</f>
        <v>0</v>
      </c>
    </row>
    <row r="4" spans="2:18" ht="21" customHeight="1" x14ac:dyDescent="0.3">
      <c r="B4" s="2">
        <v>45341</v>
      </c>
      <c r="C4" s="6">
        <v>50</v>
      </c>
      <c r="D4" s="10">
        <v>42</v>
      </c>
      <c r="E4" s="10">
        <v>42.7</v>
      </c>
      <c r="F4" s="9">
        <f>IF(Tablo158[[#This Row],[SATIŞ]]=0,"Açık",(E4-D4)*C4)</f>
        <v>35.000000000000142</v>
      </c>
      <c r="G4" s="11">
        <f>Tablo158[[#This Row],[ADET]]*Tablo158[[#This Row],[ALIŞ]]</f>
        <v>2100</v>
      </c>
      <c r="H4" s="11">
        <f>Tablo158[[#This Row],[ADET]]*Tablo158[[#This Row],[SATIŞ]]</f>
        <v>2135</v>
      </c>
      <c r="L4" s="8"/>
      <c r="M4" s="8"/>
      <c r="N4" s="8"/>
    </row>
    <row r="5" spans="2:18" ht="21" customHeight="1" x14ac:dyDescent="0.3">
      <c r="B5" s="2">
        <v>45341</v>
      </c>
      <c r="C5" s="6">
        <v>50</v>
      </c>
      <c r="D5" s="10">
        <v>42</v>
      </c>
      <c r="E5" s="10">
        <v>42.5</v>
      </c>
      <c r="F5" s="9">
        <f>IF(Tablo158[[#This Row],[SATIŞ]]=0,"Açık",(E5-D5)*C5)</f>
        <v>25</v>
      </c>
      <c r="G5" s="11">
        <f>Tablo158[[#This Row],[ADET]]*Tablo158[[#This Row],[ALIŞ]]</f>
        <v>2100</v>
      </c>
      <c r="H5" s="11">
        <f>Tablo158[[#This Row],[ADET]]*Tablo158[[#This Row],[SATIŞ]]</f>
        <v>2125</v>
      </c>
    </row>
    <row r="6" spans="2:18" ht="21" customHeight="1" x14ac:dyDescent="0.3">
      <c r="B6" s="2">
        <v>45341</v>
      </c>
      <c r="C6" s="6">
        <v>50</v>
      </c>
      <c r="D6" s="10">
        <v>41.8</v>
      </c>
      <c r="E6" s="10">
        <v>44.2</v>
      </c>
      <c r="F6" s="9">
        <f>IF(Tablo158[[#This Row],[SATIŞ]]=0,"Açık",(E6-D6)*C6)</f>
        <v>120.00000000000028</v>
      </c>
      <c r="G6" s="11">
        <f>Tablo158[[#This Row],[ADET]]*Tablo158[[#This Row],[ALIŞ]]</f>
        <v>2090</v>
      </c>
      <c r="H6" s="11">
        <f>Tablo158[[#This Row],[ADET]]*Tablo158[[#This Row],[SATIŞ]]</f>
        <v>2210</v>
      </c>
    </row>
    <row r="7" spans="2:18" ht="21" customHeight="1" x14ac:dyDescent="0.3">
      <c r="B7" s="2">
        <v>45341</v>
      </c>
      <c r="C7" s="6">
        <v>50</v>
      </c>
      <c r="D7" s="10">
        <v>42</v>
      </c>
      <c r="E7" s="10">
        <v>42.7</v>
      </c>
      <c r="F7" s="9">
        <f>IF(Tablo158[[#This Row],[SATIŞ]]=0,"Açık",(E7-D7)*C7)</f>
        <v>35.000000000000142</v>
      </c>
      <c r="G7" s="11">
        <f>Tablo158[[#This Row],[ADET]]*Tablo158[[#This Row],[ALIŞ]]</f>
        <v>2100</v>
      </c>
      <c r="H7" s="11">
        <f>Tablo158[[#This Row],[ADET]]*Tablo158[[#This Row],[SATIŞ]]</f>
        <v>2135</v>
      </c>
    </row>
    <row r="8" spans="2:18" ht="21" customHeight="1" x14ac:dyDescent="0.3">
      <c r="B8" s="2">
        <v>45341</v>
      </c>
      <c r="C8" s="6">
        <v>50</v>
      </c>
      <c r="D8" s="10">
        <v>41.5</v>
      </c>
      <c r="E8" s="10">
        <v>42.7</v>
      </c>
      <c r="F8" s="9">
        <f>IF(Tablo158[[#This Row],[SATIŞ]]=0,"Açık",(E8-D8)*C8)</f>
        <v>60.000000000000142</v>
      </c>
      <c r="G8" s="11">
        <f>Tablo158[[#This Row],[ADET]]*Tablo158[[#This Row],[ALIŞ]]</f>
        <v>2075</v>
      </c>
      <c r="H8" s="11">
        <f>Tablo158[[#This Row],[ADET]]*Tablo158[[#This Row],[SATIŞ]]</f>
        <v>2135</v>
      </c>
    </row>
    <row r="9" spans="2:18" ht="21" customHeight="1" x14ac:dyDescent="0.3">
      <c r="B9" s="2">
        <v>45341</v>
      </c>
      <c r="C9" s="6">
        <v>50</v>
      </c>
      <c r="D9" s="10">
        <v>41.5</v>
      </c>
      <c r="E9" s="10">
        <v>44.2</v>
      </c>
      <c r="F9" s="9">
        <f>IF(Tablo158[[#This Row],[SATIŞ]]=0,"Açık",(E9-D9)*C9)</f>
        <v>135.00000000000014</v>
      </c>
      <c r="G9" s="11">
        <f>Tablo158[[#This Row],[ADET]]*Tablo158[[#This Row],[ALIŞ]]</f>
        <v>2075</v>
      </c>
      <c r="H9" s="11">
        <f>Tablo158[[#This Row],[ADET]]*Tablo158[[#This Row],[SATIŞ]]</f>
        <v>2210</v>
      </c>
    </row>
    <row r="10" spans="2:18" ht="21" customHeight="1" x14ac:dyDescent="0.3">
      <c r="B10" s="2">
        <v>45341</v>
      </c>
      <c r="C10" s="6">
        <v>50</v>
      </c>
      <c r="D10" s="10">
        <v>41</v>
      </c>
      <c r="E10" s="10">
        <v>41.5</v>
      </c>
      <c r="F10" s="9">
        <f>IF(Tablo158[[#This Row],[SATIŞ]]=0,"Açık",(E10-D10)*C10)</f>
        <v>25</v>
      </c>
      <c r="G10" s="11">
        <f>Tablo158[[#This Row],[ADET]]*Tablo158[[#This Row],[ALIŞ]]</f>
        <v>2050</v>
      </c>
      <c r="H10" s="11">
        <f>Tablo158[[#This Row],[ADET]]*Tablo158[[#This Row],[SATIŞ]]</f>
        <v>2075</v>
      </c>
    </row>
    <row r="11" spans="2:18" ht="21" customHeight="1" x14ac:dyDescent="0.3">
      <c r="B11" s="2">
        <v>45341</v>
      </c>
      <c r="C11" s="6">
        <v>50</v>
      </c>
      <c r="D11" s="10">
        <v>40.520000000000003</v>
      </c>
      <c r="E11" s="10">
        <v>41.5</v>
      </c>
      <c r="F11" s="9">
        <f>IF(Tablo158[[#This Row],[SATIŞ]]=0,"Açık",(E11-D11)*C11)</f>
        <v>48.999999999999844</v>
      </c>
      <c r="G11" s="11">
        <f>Tablo158[[#This Row],[ADET]]*Tablo158[[#This Row],[ALIŞ]]</f>
        <v>2026.0000000000002</v>
      </c>
      <c r="H11" s="11">
        <f>Tablo158[[#This Row],[ADET]]*Tablo158[[#This Row],[SATIŞ]]</f>
        <v>2075</v>
      </c>
    </row>
    <row r="12" spans="2:18" ht="21" customHeight="1" x14ac:dyDescent="0.3">
      <c r="B12" s="2">
        <v>45341</v>
      </c>
      <c r="C12" s="6">
        <v>100</v>
      </c>
      <c r="D12" s="10">
        <v>40.520000000000003</v>
      </c>
      <c r="E12" s="10">
        <v>43</v>
      </c>
      <c r="F12" s="9">
        <f>IF(Tablo158[[#This Row],[SATIŞ]]=0,"Açık",(E12-D12)*C12)</f>
        <v>247.99999999999969</v>
      </c>
      <c r="G12" s="11">
        <f>Tablo158[[#This Row],[ADET]]*Tablo158[[#This Row],[ALIŞ]]</f>
        <v>4052.0000000000005</v>
      </c>
      <c r="H12" s="11">
        <f>Tablo158[[#This Row],[ADET]]*Tablo158[[#This Row],[SATIŞ]]</f>
        <v>4300</v>
      </c>
    </row>
    <row r="13" spans="2:18" ht="21" customHeight="1" x14ac:dyDescent="0.3">
      <c r="B13" s="2">
        <v>45341</v>
      </c>
      <c r="C13" s="6">
        <v>100</v>
      </c>
      <c r="D13" s="10">
        <v>40.520000000000003</v>
      </c>
      <c r="E13" s="10">
        <v>44.5</v>
      </c>
      <c r="F13" s="9">
        <f>IF(Tablo158[[#This Row],[SATIŞ]]=0,"Açık",(E13-D13)*C13)</f>
        <v>397.99999999999966</v>
      </c>
      <c r="G13" s="11">
        <f>Tablo158[[#This Row],[ADET]]*Tablo158[[#This Row],[ALIŞ]]</f>
        <v>4052.0000000000005</v>
      </c>
      <c r="H13" s="11">
        <f>Tablo158[[#This Row],[ADET]]*Tablo158[[#This Row],[SATIŞ]]</f>
        <v>4450</v>
      </c>
    </row>
    <row r="14" spans="2:18" ht="21" customHeight="1" x14ac:dyDescent="0.3">
      <c r="B14" s="2">
        <v>45342</v>
      </c>
      <c r="C14" s="6">
        <v>100</v>
      </c>
      <c r="D14" s="10">
        <v>40.4</v>
      </c>
      <c r="E14" s="10">
        <v>41</v>
      </c>
      <c r="F14" s="9">
        <f>IF(Tablo158[[#This Row],[SATIŞ]]=0,"Açık",(E14-D14)*C14)</f>
        <v>60.000000000000142</v>
      </c>
      <c r="G14" s="11">
        <f>Tablo158[[#This Row],[ADET]]*Tablo158[[#This Row],[ALIŞ]]</f>
        <v>4040</v>
      </c>
      <c r="H14" s="11">
        <f>Tablo158[[#This Row],[ADET]]*Tablo158[[#This Row],[SATIŞ]]</f>
        <v>4100</v>
      </c>
    </row>
    <row r="15" spans="2:18" ht="21" customHeight="1" x14ac:dyDescent="0.3">
      <c r="B15" s="2">
        <v>45342</v>
      </c>
      <c r="C15" s="6">
        <v>100</v>
      </c>
      <c r="D15" s="10">
        <v>39.799999999999997</v>
      </c>
      <c r="E15" s="10">
        <v>41</v>
      </c>
      <c r="F15" s="9">
        <f>IF(Tablo158[[#This Row],[SATIŞ]]=0,"Açık",(E15-D15)*C15)</f>
        <v>120.00000000000028</v>
      </c>
      <c r="G15" s="11">
        <f>Tablo158[[#This Row],[ADET]]*Tablo158[[#This Row],[ALIŞ]]</f>
        <v>3979.9999999999995</v>
      </c>
      <c r="H15" s="11">
        <f>Tablo158[[#This Row],[ADET]]*Tablo158[[#This Row],[SATIŞ]]</f>
        <v>4100</v>
      </c>
    </row>
    <row r="16" spans="2:18" ht="21" customHeight="1" x14ac:dyDescent="0.3">
      <c r="B16" s="2">
        <v>45343</v>
      </c>
      <c r="C16" s="6">
        <v>100</v>
      </c>
      <c r="D16" s="10">
        <v>40.5</v>
      </c>
      <c r="E16" s="10">
        <v>45</v>
      </c>
      <c r="F16" s="9">
        <f>IF(Tablo158[[#This Row],[SATIŞ]]=0,"Açık",(E16-D16)*C16)</f>
        <v>450</v>
      </c>
      <c r="G16" s="11">
        <f>Tablo158[[#This Row],[ADET]]*Tablo158[[#This Row],[ALIŞ]]</f>
        <v>4050</v>
      </c>
      <c r="H16" s="11">
        <f>Tablo158[[#This Row],[ADET]]*Tablo158[[#This Row],[SATIŞ]]</f>
        <v>4500</v>
      </c>
    </row>
    <row r="17" spans="2:8" ht="21" customHeight="1" x14ac:dyDescent="0.3">
      <c r="B17" s="2">
        <v>45345</v>
      </c>
      <c r="C17" s="6">
        <v>100</v>
      </c>
      <c r="D17" s="10">
        <v>44</v>
      </c>
      <c r="E17" s="10">
        <v>44.4</v>
      </c>
      <c r="F17" s="9">
        <f>IF(Tablo158[[#This Row],[SATIŞ]]=0,"Açık",(E17-D17)*C17)</f>
        <v>39.999999999999858</v>
      </c>
      <c r="G17" s="11">
        <f>Tablo158[[#This Row],[ADET]]*Tablo158[[#This Row],[ALIŞ]]</f>
        <v>4400</v>
      </c>
      <c r="H17" s="11">
        <f>Tablo158[[#This Row],[ADET]]*Tablo158[[#This Row],[SATIŞ]]</f>
        <v>4440</v>
      </c>
    </row>
    <row r="18" spans="2:8" ht="21" customHeight="1" x14ac:dyDescent="0.3">
      <c r="B18" s="2">
        <v>45345</v>
      </c>
      <c r="C18" s="6">
        <v>100</v>
      </c>
      <c r="D18" s="10">
        <v>42</v>
      </c>
      <c r="E18" s="10">
        <v>44.7</v>
      </c>
      <c r="F18" s="9">
        <f>IF(Tablo158[[#This Row],[SATIŞ]]=0,"Açık",(E18-D18)*C18)</f>
        <v>270.00000000000028</v>
      </c>
      <c r="G18" s="11">
        <f>Tablo158[[#This Row],[ADET]]*Tablo158[[#This Row],[ALIŞ]]</f>
        <v>4200</v>
      </c>
      <c r="H18" s="11">
        <f>Tablo158[[#This Row],[ADET]]*Tablo158[[#This Row],[SATIŞ]]</f>
        <v>4470</v>
      </c>
    </row>
    <row r="19" spans="2:8" ht="21" customHeight="1" x14ac:dyDescent="0.3">
      <c r="B19" s="2"/>
      <c r="D19" s="10"/>
      <c r="E19" s="10"/>
      <c r="F19" s="9" t="str">
        <f>IF(Tablo158[[#This Row],[SATIŞ]]=0,"Açık",(E19-D19)*C19)</f>
        <v>Açık</v>
      </c>
      <c r="G19" s="11">
        <f>Tablo158[[#This Row],[ADET]]*Tablo158[[#This Row],[ALIŞ]]</f>
        <v>0</v>
      </c>
      <c r="H19" s="11">
        <f>Tablo158[[#This Row],[ADET]]*Tablo158[[#This Row],[SATIŞ]]</f>
        <v>0</v>
      </c>
    </row>
    <row r="20" spans="2:8" ht="21" customHeight="1" x14ac:dyDescent="0.3">
      <c r="B20" s="2"/>
      <c r="D20" s="10"/>
      <c r="E20" s="10"/>
      <c r="F20" s="9" t="str">
        <f>IF(Tablo158[[#This Row],[SATIŞ]]=0,"Açık",(E20-D20)*C20)</f>
        <v>Açık</v>
      </c>
      <c r="G20" s="11">
        <f>Tablo158[[#This Row],[ADET]]*Tablo158[[#This Row],[ALIŞ]]</f>
        <v>0</v>
      </c>
      <c r="H20" s="11">
        <f>Tablo158[[#This Row],[ADET]]*Tablo158[[#This Row],[SATIŞ]]</f>
        <v>0</v>
      </c>
    </row>
    <row r="21" spans="2:8" ht="21" customHeight="1" x14ac:dyDescent="0.3">
      <c r="B21" s="2"/>
      <c r="D21" s="10"/>
      <c r="E21" s="10"/>
      <c r="F21" s="9" t="str">
        <f>IF(Tablo158[[#This Row],[SATIŞ]]=0,"Açık",(E21-D21)*C21)</f>
        <v>Açık</v>
      </c>
      <c r="G21" s="11">
        <f>Tablo158[[#This Row],[ADET]]*Tablo158[[#This Row],[ALIŞ]]</f>
        <v>0</v>
      </c>
      <c r="H21" s="11">
        <f>Tablo158[[#This Row],[ADET]]*Tablo158[[#This Row],[SATIŞ]]</f>
        <v>0</v>
      </c>
    </row>
    <row r="22" spans="2:8" ht="21" customHeight="1" x14ac:dyDescent="0.3">
      <c r="B22" s="2"/>
      <c r="D22" s="10"/>
      <c r="E22" s="10"/>
      <c r="F22" s="9" t="str">
        <f>IF(Tablo158[[#This Row],[SATIŞ]]=0,"Açık",(E22-D22)*C22)</f>
        <v>Açık</v>
      </c>
      <c r="G22" s="11">
        <f>Tablo158[[#This Row],[ADET]]*Tablo158[[#This Row],[ALIŞ]]</f>
        <v>0</v>
      </c>
      <c r="H22" s="11">
        <f>Tablo158[[#This Row],[ADET]]*Tablo158[[#This Row],[SATIŞ]]</f>
        <v>0</v>
      </c>
    </row>
    <row r="23" spans="2:8" ht="21" customHeight="1" x14ac:dyDescent="0.3">
      <c r="B23" s="2"/>
      <c r="D23" s="10"/>
      <c r="E23" s="10"/>
      <c r="F23" s="9" t="str">
        <f>IF(Tablo158[[#This Row],[SATIŞ]]=0,"Açık",(E23-D23)*C23)</f>
        <v>Açık</v>
      </c>
      <c r="G23" s="11">
        <f>Tablo158[[#This Row],[ADET]]*Tablo158[[#This Row],[ALIŞ]]</f>
        <v>0</v>
      </c>
      <c r="H23" s="11">
        <f>Tablo158[[#This Row],[ADET]]*Tablo158[[#This Row],[SATIŞ]]</f>
        <v>0</v>
      </c>
    </row>
  </sheetData>
  <conditionalFormatting sqref="B4:F23">
    <cfRule type="expression" dxfId="59" priority="1">
      <formula>$F4&lt;0</formula>
    </cfRule>
    <cfRule type="expression" dxfId="58" priority="2">
      <formula>$F4="Açık"</formula>
    </cfRule>
    <cfRule type="expression" dxfId="57" priority="3">
      <formula>$F4&gt;0</formula>
    </cfRule>
  </conditionalFormatting>
  <hyperlinks>
    <hyperlink ref="B1" location="İcmal!A1" display="ANA SAYFA" xr:uid="{AE5F2A41-C600-4A15-AE4F-C9EE507B5240}"/>
  </hyperlinks>
  <pageMargins left="0.7" right="0.7" top="0.75" bottom="0.75" header="0.3" footer="0.3"/>
  <tableParts count="1">
    <tablePart r:id="rId1"/>
  </tablePart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68513-1F33-46BD-9362-7E1D3B2BC517}">
  <dimension ref="B1:R34"/>
  <sheetViews>
    <sheetView showGridLines="0" showZeros="0" zoomScale="110" zoomScaleNormal="110" workbookViewId="0">
      <pane ySplit="3" topLeftCell="A24" activePane="bottomLeft" state="frozen"/>
      <selection pane="bottomLeft" activeCell="E28" sqref="E28"/>
    </sheetView>
  </sheetViews>
  <sheetFormatPr defaultRowHeight="21" customHeight="1" x14ac:dyDescent="0.3"/>
  <cols>
    <col min="2" max="2" width="20.6640625" style="1" customWidth="1"/>
    <col min="3" max="3" width="11.33203125" style="6" customWidth="1"/>
    <col min="4" max="5" width="12.88671875" style="3" customWidth="1"/>
    <col min="6" max="6" width="12.88671875" style="5" customWidth="1"/>
    <col min="7" max="8" width="11.6640625" bestFit="1" customWidth="1"/>
    <col min="10" max="12" width="12.44140625" customWidth="1"/>
    <col min="13" max="13" width="11.6640625" bestFit="1" customWidth="1"/>
    <col min="14" max="14" width="12" bestFit="1" customWidth="1"/>
  </cols>
  <sheetData>
    <row r="1" spans="2:18" ht="21" customHeight="1" x14ac:dyDescent="0.3">
      <c r="B1" s="12" t="s">
        <v>64</v>
      </c>
      <c r="C1" s="4">
        <f>SUMIF(Tablo14567891011121314151617181920212223242526272829303132333435363738[KAR],"Açık",Tablo14567891011121314151617181920212223242526272829303132333435363738[ADET])</f>
        <v>410</v>
      </c>
      <c r="D1" s="10">
        <f>+İcmal!E52</f>
        <v>85.7</v>
      </c>
      <c r="E1" s="10">
        <f>C1*D1</f>
        <v>35137</v>
      </c>
      <c r="F1" s="10">
        <f>IFERROR(((SUM(Tablo14567891011121314151617181920212223242526272829303132333435363738[ALIŞ TUTAR])-SUM(Tablo14567891011121314151617181920212223242526272829303132333435363738[SATIŞ TUTAR]))/C1),"")</f>
        <v>77.316260975609765</v>
      </c>
      <c r="G1" s="10">
        <f>IF(M3=0,L3,C1*(D1-F1))</f>
        <v>3437.3329999999974</v>
      </c>
      <c r="J1" s="45" t="s">
        <v>94</v>
      </c>
      <c r="K1" s="45" t="s">
        <v>95</v>
      </c>
      <c r="L1" s="45" t="s">
        <v>96</v>
      </c>
      <c r="M1" s="33">
        <f>F1</f>
        <v>77.316260975609765</v>
      </c>
      <c r="N1" s="8" t="e">
        <f>M1*(1+$J$1)</f>
        <v>#VALUE!</v>
      </c>
      <c r="P1" s="8" t="e">
        <f>Q1*(1-$J$1)</f>
        <v>#VALUE!</v>
      </c>
      <c r="Q1" s="33">
        <f>+D1</f>
        <v>85.7</v>
      </c>
      <c r="R1" s="8" t="e">
        <f>Q1*(1+$J$1)</f>
        <v>#VALUE!</v>
      </c>
    </row>
    <row r="2" spans="2:18" ht="21" customHeight="1" x14ac:dyDescent="0.3">
      <c r="B2" s="7" t="s">
        <v>47</v>
      </c>
      <c r="J2" s="45">
        <f>SUMIFS(Tablo2[HEDEF2],Tablo2[HİSSE],B2)</f>
        <v>2000</v>
      </c>
      <c r="K2" s="45">
        <f>+E1/İcmal!$P$2</f>
        <v>1080.1414079311405</v>
      </c>
      <c r="L2" s="45">
        <f>+J2-K2</f>
        <v>919.85859206885948</v>
      </c>
    </row>
    <row r="3" spans="2:18" ht="21" customHeight="1" x14ac:dyDescent="0.3">
      <c r="B3" s="1" t="s">
        <v>0</v>
      </c>
      <c r="C3" s="6" t="s">
        <v>4</v>
      </c>
      <c r="D3" s="3" t="s">
        <v>1</v>
      </c>
      <c r="E3" s="3" t="s">
        <v>3</v>
      </c>
      <c r="F3" s="5" t="s">
        <v>2</v>
      </c>
      <c r="G3" s="3" t="s">
        <v>8</v>
      </c>
      <c r="H3" s="3" t="s">
        <v>9</v>
      </c>
      <c r="L3">
        <f>+SUM(Tablo14567891011121314151617181920212223242526272829303132333435363738[KAR])</f>
        <v>3850.3330000000042</v>
      </c>
      <c r="M3" s="37">
        <f>+C1</f>
        <v>410</v>
      </c>
    </row>
    <row r="4" spans="2:18" ht="21" hidden="1" customHeight="1" x14ac:dyDescent="0.3">
      <c r="B4" s="2">
        <v>45291</v>
      </c>
      <c r="C4" s="6">
        <v>1380</v>
      </c>
      <c r="D4" s="10">
        <v>52.44473</v>
      </c>
      <c r="E4" s="10">
        <v>52.852580000000003</v>
      </c>
      <c r="F4" s="9">
        <f>IF(Tablo14567891011121314151617181920212223242526272829303132333435363738[[#This Row],[SATIŞ]]=0,"Açık",(E4-D4)*C4)</f>
        <v>562.83300000000463</v>
      </c>
      <c r="G4" s="11">
        <f>Tablo14567891011121314151617181920212223242526272829303132333435363738[[#This Row],[ADET]]*Tablo14567891011121314151617181920212223242526272829303132333435363738[[#This Row],[ALIŞ]]</f>
        <v>72373.727400000003</v>
      </c>
      <c r="H4" s="11">
        <f>Tablo14567891011121314151617181920212223242526272829303132333435363738[[#This Row],[ADET]]*Tablo14567891011121314151617181920212223242526272829303132333435363738[[#This Row],[SATIŞ]]</f>
        <v>72936.560400000002</v>
      </c>
      <c r="J4" s="40" t="str">
        <f t="shared" ref="J4:J25" si="0">IF(E4=0,D4*1.05,"")</f>
        <v/>
      </c>
      <c r="L4" s="8">
        <f>SUM(Tablo14567891011121314151617181920212223242526272829303132333435363738[ALIŞ TUTAR])</f>
        <v>161981.2274</v>
      </c>
      <c r="M4" s="8">
        <f>SUM(Tablo14567891011121314151617181920212223242526272829303132333435363738[SATIŞ TUTAR])</f>
        <v>130281.5604</v>
      </c>
      <c r="N4" s="8">
        <f>L4-M4</f>
        <v>31699.667000000001</v>
      </c>
    </row>
    <row r="5" spans="2:18" ht="21" hidden="1" customHeight="1" x14ac:dyDescent="0.3">
      <c r="B5" s="2">
        <v>45329</v>
      </c>
      <c r="C5" s="6">
        <v>10</v>
      </c>
      <c r="D5" s="10">
        <v>77</v>
      </c>
      <c r="E5" s="10">
        <v>81.25</v>
      </c>
      <c r="F5" s="9">
        <f>IF(Tablo14567891011121314151617181920212223242526272829303132333435363738[[#This Row],[SATIŞ]]=0,"Açık",(E5-D5)*C5)</f>
        <v>42.5</v>
      </c>
      <c r="G5" s="11">
        <f>Tablo14567891011121314151617181920212223242526272829303132333435363738[[#This Row],[ADET]]*Tablo14567891011121314151617181920212223242526272829303132333435363738[[#This Row],[ALIŞ]]</f>
        <v>770</v>
      </c>
      <c r="H5" s="11">
        <f>Tablo14567891011121314151617181920212223242526272829303132333435363738[[#This Row],[ADET]]*Tablo14567891011121314151617181920212223242526272829303132333435363738[[#This Row],[SATIŞ]]</f>
        <v>812.5</v>
      </c>
      <c r="J5" s="40" t="str">
        <f t="shared" si="0"/>
        <v/>
      </c>
      <c r="N5">
        <f>+N4/80</f>
        <v>396.24583749999999</v>
      </c>
    </row>
    <row r="6" spans="2:18" ht="21" hidden="1" customHeight="1" x14ac:dyDescent="0.3">
      <c r="B6" s="2">
        <v>45334</v>
      </c>
      <c r="C6" s="6">
        <v>10</v>
      </c>
      <c r="D6" s="10">
        <v>81.5</v>
      </c>
      <c r="E6" s="10">
        <v>90</v>
      </c>
      <c r="F6" s="9">
        <f>IF(Tablo14567891011121314151617181920212223242526272829303132333435363738[[#This Row],[SATIŞ]]=0,"Açık",(E6-D6)*C6)</f>
        <v>85</v>
      </c>
      <c r="G6" s="11">
        <f>Tablo14567891011121314151617181920212223242526272829303132333435363738[[#This Row],[ADET]]*Tablo14567891011121314151617181920212223242526272829303132333435363738[[#This Row],[ALIŞ]]</f>
        <v>815</v>
      </c>
      <c r="H6" s="11">
        <f>Tablo14567891011121314151617181920212223242526272829303132333435363738[[#This Row],[ADET]]*Tablo14567891011121314151617181920212223242526272829303132333435363738[[#This Row],[SATIŞ]]</f>
        <v>900</v>
      </c>
      <c r="J6" s="40" t="str">
        <f t="shared" si="0"/>
        <v/>
      </c>
    </row>
    <row r="7" spans="2:18" ht="21" hidden="1" customHeight="1" x14ac:dyDescent="0.3">
      <c r="B7" s="2">
        <v>45334</v>
      </c>
      <c r="C7" s="6">
        <v>10</v>
      </c>
      <c r="D7" s="10">
        <v>80.900000000000006</v>
      </c>
      <c r="E7" s="10">
        <v>86.15</v>
      </c>
      <c r="F7" s="9">
        <f>IF(Tablo14567891011121314151617181920212223242526272829303132333435363738[[#This Row],[SATIŞ]]=0,"Açık",(E7-D7)*C7)</f>
        <v>52.5</v>
      </c>
      <c r="G7" s="11">
        <f>Tablo14567891011121314151617181920212223242526272829303132333435363738[[#This Row],[ADET]]*Tablo14567891011121314151617181920212223242526272829303132333435363738[[#This Row],[ALIŞ]]</f>
        <v>809</v>
      </c>
      <c r="H7" s="11">
        <f>Tablo14567891011121314151617181920212223242526272829303132333435363738[[#This Row],[ADET]]*Tablo14567891011121314151617181920212223242526272829303132333435363738[[#This Row],[SATIŞ]]</f>
        <v>861.5</v>
      </c>
      <c r="J7" s="40" t="str">
        <f t="shared" si="0"/>
        <v/>
      </c>
    </row>
    <row r="8" spans="2:18" ht="21" hidden="1" customHeight="1" x14ac:dyDescent="0.3">
      <c r="B8" s="2">
        <v>45334</v>
      </c>
      <c r="C8" s="6">
        <v>20</v>
      </c>
      <c r="D8" s="10">
        <v>80</v>
      </c>
      <c r="E8" s="10">
        <v>81.25</v>
      </c>
      <c r="F8" s="9">
        <f>IF(Tablo14567891011121314151617181920212223242526272829303132333435363738[[#This Row],[SATIŞ]]=0,"Açık",(E8-D8)*C8)</f>
        <v>25</v>
      </c>
      <c r="G8" s="11">
        <f>Tablo14567891011121314151617181920212223242526272829303132333435363738[[#This Row],[ADET]]*Tablo14567891011121314151617181920212223242526272829303132333435363738[[#This Row],[ALIŞ]]</f>
        <v>1600</v>
      </c>
      <c r="H8" s="11">
        <f>Tablo14567891011121314151617181920212223242526272829303132333435363738[[#This Row],[ADET]]*Tablo14567891011121314151617181920212223242526272829303132333435363738[[#This Row],[SATIŞ]]</f>
        <v>1625</v>
      </c>
      <c r="J8" s="40" t="str">
        <f t="shared" si="0"/>
        <v/>
      </c>
    </row>
    <row r="9" spans="2:18" ht="21" hidden="1" customHeight="1" x14ac:dyDescent="0.3">
      <c r="B9" s="2">
        <v>45336</v>
      </c>
      <c r="C9" s="6">
        <v>50</v>
      </c>
      <c r="D9" s="10">
        <v>79</v>
      </c>
      <c r="E9" s="10">
        <v>86</v>
      </c>
      <c r="F9" s="9">
        <f>IF(Tablo14567891011121314151617181920212223242526272829303132333435363738[[#This Row],[SATIŞ]]=0,"Açık",(E9-D9)*C9)</f>
        <v>350</v>
      </c>
      <c r="G9" s="11">
        <f>Tablo14567891011121314151617181920212223242526272829303132333435363738[[#This Row],[ADET]]*Tablo14567891011121314151617181920212223242526272829303132333435363738[[#This Row],[ALIŞ]]</f>
        <v>3950</v>
      </c>
      <c r="H9" s="11">
        <f>Tablo14567891011121314151617181920212223242526272829303132333435363738[[#This Row],[ADET]]*Tablo14567891011121314151617181920212223242526272829303132333435363738[[#This Row],[SATIŞ]]</f>
        <v>4300</v>
      </c>
      <c r="J9" s="40" t="str">
        <f t="shared" si="0"/>
        <v/>
      </c>
    </row>
    <row r="10" spans="2:18" ht="21" hidden="1" customHeight="1" x14ac:dyDescent="0.3">
      <c r="B10" s="2">
        <v>45341</v>
      </c>
      <c r="C10" s="6">
        <v>30</v>
      </c>
      <c r="D10" s="10">
        <v>79</v>
      </c>
      <c r="E10" s="10">
        <v>85</v>
      </c>
      <c r="F10" s="9">
        <f>IF(Tablo14567891011121314151617181920212223242526272829303132333435363738[[#This Row],[SATIŞ]]=0,"Açık",(E10-D10)*C10)</f>
        <v>180</v>
      </c>
      <c r="G10" s="11">
        <f>Tablo14567891011121314151617181920212223242526272829303132333435363738[[#This Row],[ADET]]*Tablo14567891011121314151617181920212223242526272829303132333435363738[[#This Row],[ALIŞ]]</f>
        <v>2370</v>
      </c>
      <c r="H10" s="11">
        <f>Tablo14567891011121314151617181920212223242526272829303132333435363738[[#This Row],[ADET]]*Tablo14567891011121314151617181920212223242526272829303132333435363738[[#This Row],[SATIŞ]]</f>
        <v>2550</v>
      </c>
      <c r="J10" s="40" t="str">
        <f t="shared" si="0"/>
        <v/>
      </c>
    </row>
    <row r="11" spans="2:18" ht="21" hidden="1" customHeight="1" x14ac:dyDescent="0.3">
      <c r="B11" s="2">
        <v>45351</v>
      </c>
      <c r="C11" s="6">
        <v>50</v>
      </c>
      <c r="D11" s="10">
        <v>79</v>
      </c>
      <c r="E11" s="10">
        <v>85</v>
      </c>
      <c r="F11" s="9">
        <f>IF(Tablo14567891011121314151617181920212223242526272829303132333435363738[[#This Row],[SATIŞ]]=0,"Açık",(E11-D11)*C11)</f>
        <v>300</v>
      </c>
      <c r="G11" s="11">
        <f>Tablo14567891011121314151617181920212223242526272829303132333435363738[[#This Row],[ADET]]*Tablo14567891011121314151617181920212223242526272829303132333435363738[[#This Row],[ALIŞ]]</f>
        <v>3950</v>
      </c>
      <c r="H11" s="11">
        <f>Tablo14567891011121314151617181920212223242526272829303132333435363738[[#This Row],[ADET]]*Tablo14567891011121314151617181920212223242526272829303132333435363738[[#This Row],[SATIŞ]]</f>
        <v>4250</v>
      </c>
      <c r="J11" s="40" t="str">
        <f t="shared" si="0"/>
        <v/>
      </c>
    </row>
    <row r="12" spans="2:18" ht="21" hidden="1" customHeight="1" x14ac:dyDescent="0.3">
      <c r="B12" s="2">
        <v>45355</v>
      </c>
      <c r="C12" s="6">
        <v>20</v>
      </c>
      <c r="D12" s="10">
        <v>77</v>
      </c>
      <c r="E12" s="10">
        <v>81.599999999999994</v>
      </c>
      <c r="F12" s="9">
        <f>IF(Tablo14567891011121314151617181920212223242526272829303132333435363738[[#This Row],[SATIŞ]]=0,"Açık",(E12-D12)*C12)</f>
        <v>91.999999999999886</v>
      </c>
      <c r="G12" s="11">
        <f>Tablo14567891011121314151617181920212223242526272829303132333435363738[[#This Row],[ADET]]*Tablo14567891011121314151617181920212223242526272829303132333435363738[[#This Row],[ALIŞ]]</f>
        <v>1540</v>
      </c>
      <c r="H12" s="11">
        <f>Tablo14567891011121314151617181920212223242526272829303132333435363738[[#This Row],[ADET]]*Tablo14567891011121314151617181920212223242526272829303132333435363738[[#This Row],[SATIŞ]]</f>
        <v>1632</v>
      </c>
      <c r="J12" s="40" t="str">
        <f t="shared" si="0"/>
        <v/>
      </c>
    </row>
    <row r="13" spans="2:18" ht="21" hidden="1" customHeight="1" x14ac:dyDescent="0.3">
      <c r="B13" s="2">
        <v>45362</v>
      </c>
      <c r="C13" s="6">
        <v>10</v>
      </c>
      <c r="D13" s="10">
        <v>79.400000000000006</v>
      </c>
      <c r="E13" s="10">
        <v>82.25</v>
      </c>
      <c r="F13" s="9">
        <f>IF(Tablo14567891011121314151617181920212223242526272829303132333435363738[[#This Row],[SATIŞ]]=0,"Açık",(E13-D13)*C13)</f>
        <v>28.499999999999943</v>
      </c>
      <c r="G13" s="11">
        <f>Tablo14567891011121314151617181920212223242526272829303132333435363738[[#This Row],[ADET]]*Tablo14567891011121314151617181920212223242526272829303132333435363738[[#This Row],[ALIŞ]]</f>
        <v>794</v>
      </c>
      <c r="H13" s="11">
        <f>Tablo14567891011121314151617181920212223242526272829303132333435363738[[#This Row],[ADET]]*Tablo14567891011121314151617181920212223242526272829303132333435363738[[#This Row],[SATIŞ]]</f>
        <v>822.5</v>
      </c>
      <c r="J13" s="40" t="str">
        <f t="shared" si="0"/>
        <v/>
      </c>
    </row>
    <row r="14" spans="2:18" ht="21" hidden="1" customHeight="1" x14ac:dyDescent="0.3">
      <c r="B14" s="2">
        <v>45364</v>
      </c>
      <c r="C14" s="6">
        <v>50</v>
      </c>
      <c r="D14" s="10">
        <v>78</v>
      </c>
      <c r="E14" s="10">
        <v>79</v>
      </c>
      <c r="F14" s="9">
        <f>IF(Tablo14567891011121314151617181920212223242526272829303132333435363738[[#This Row],[SATIŞ]]=0,"Açık",(E14-D14)*C14)</f>
        <v>50</v>
      </c>
      <c r="G14" s="11">
        <f>Tablo14567891011121314151617181920212223242526272829303132333435363738[[#This Row],[ADET]]*Tablo14567891011121314151617181920212223242526272829303132333435363738[[#This Row],[ALIŞ]]</f>
        <v>3900</v>
      </c>
      <c r="H14" s="11">
        <f>Tablo14567891011121314151617181920212223242526272829303132333435363738[[#This Row],[ADET]]*Tablo14567891011121314151617181920212223242526272829303132333435363738[[#This Row],[SATIŞ]]</f>
        <v>3950</v>
      </c>
      <c r="J14" s="40" t="str">
        <f t="shared" si="0"/>
        <v/>
      </c>
    </row>
    <row r="15" spans="2:18" ht="21" hidden="1" customHeight="1" x14ac:dyDescent="0.3">
      <c r="B15" s="2">
        <v>45364</v>
      </c>
      <c r="C15" s="6">
        <v>50</v>
      </c>
      <c r="D15" s="10">
        <v>78</v>
      </c>
      <c r="E15" s="10">
        <v>84</v>
      </c>
      <c r="F15" s="9">
        <f>IF(Tablo14567891011121314151617181920212223242526272829303132333435363738[[#This Row],[SATIŞ]]=0,"Açık",(E15-D15)*C15)</f>
        <v>300</v>
      </c>
      <c r="G15" s="11">
        <f>Tablo14567891011121314151617181920212223242526272829303132333435363738[[#This Row],[ADET]]*Tablo14567891011121314151617181920212223242526272829303132333435363738[[#This Row],[ALIŞ]]</f>
        <v>3900</v>
      </c>
      <c r="H15" s="11">
        <f>Tablo14567891011121314151617181920212223242526272829303132333435363738[[#This Row],[ADET]]*Tablo14567891011121314151617181920212223242526272829303132333435363738[[#This Row],[SATIŞ]]</f>
        <v>4200</v>
      </c>
      <c r="J15" s="40" t="str">
        <f t="shared" si="0"/>
        <v/>
      </c>
    </row>
    <row r="16" spans="2:18" ht="21" hidden="1" customHeight="1" x14ac:dyDescent="0.3">
      <c r="B16" s="2">
        <v>45365</v>
      </c>
      <c r="C16" s="6">
        <v>50</v>
      </c>
      <c r="D16" s="10">
        <v>78</v>
      </c>
      <c r="E16" s="10">
        <v>84.6</v>
      </c>
      <c r="F16" s="9">
        <f>IF(Tablo14567891011121314151617181920212223242526272829303132333435363738[[#This Row],[SATIŞ]]=0,"Açık",(E16-D16)*C16)</f>
        <v>329.99999999999972</v>
      </c>
      <c r="G16" s="11">
        <f>Tablo14567891011121314151617181920212223242526272829303132333435363738[[#This Row],[ADET]]*Tablo14567891011121314151617181920212223242526272829303132333435363738[[#This Row],[ALIŞ]]</f>
        <v>3900</v>
      </c>
      <c r="H16" s="11">
        <f>Tablo14567891011121314151617181920212223242526272829303132333435363738[[#This Row],[ADET]]*Tablo14567891011121314151617181920212223242526272829303132333435363738[[#This Row],[SATIŞ]]</f>
        <v>4230</v>
      </c>
      <c r="J16" s="40" t="str">
        <f t="shared" si="0"/>
        <v/>
      </c>
    </row>
    <row r="17" spans="2:10" ht="21" hidden="1" customHeight="1" x14ac:dyDescent="0.3">
      <c r="B17" s="2">
        <v>45369</v>
      </c>
      <c r="C17" s="6">
        <v>50</v>
      </c>
      <c r="D17" s="10">
        <v>76</v>
      </c>
      <c r="E17" s="10">
        <v>80</v>
      </c>
      <c r="F17" s="9">
        <f>IF(Tablo14567891011121314151617181920212223242526272829303132333435363738[[#This Row],[SATIŞ]]=0,"Açık",(E17-D17)*C17)</f>
        <v>200</v>
      </c>
      <c r="G17" s="11">
        <f>Tablo14567891011121314151617181920212223242526272829303132333435363738[[#This Row],[ADET]]*Tablo14567891011121314151617181920212223242526272829303132333435363738[[#This Row],[ALIŞ]]</f>
        <v>3800</v>
      </c>
      <c r="H17" s="11">
        <f>Tablo14567891011121314151617181920212223242526272829303132333435363738[[#This Row],[ADET]]*Tablo14567891011121314151617181920212223242526272829303132333435363738[[#This Row],[SATIŞ]]</f>
        <v>4000</v>
      </c>
      <c r="J17" s="40" t="str">
        <f t="shared" si="0"/>
        <v/>
      </c>
    </row>
    <row r="18" spans="2:10" ht="21" hidden="1" customHeight="1" x14ac:dyDescent="0.3">
      <c r="B18" s="2">
        <v>45369</v>
      </c>
      <c r="C18" s="6">
        <v>50</v>
      </c>
      <c r="D18" s="10">
        <v>76</v>
      </c>
      <c r="E18" s="10">
        <v>82</v>
      </c>
      <c r="F18" s="9">
        <f>IF(Tablo14567891011121314151617181920212223242526272829303132333435363738[[#This Row],[SATIŞ]]=0,"Açık",(E18-D18)*C18)</f>
        <v>300</v>
      </c>
      <c r="G18" s="11">
        <f>Tablo14567891011121314151617181920212223242526272829303132333435363738[[#This Row],[ADET]]*Tablo14567891011121314151617181920212223242526272829303132333435363738[[#This Row],[ALIŞ]]</f>
        <v>3800</v>
      </c>
      <c r="H18" s="11">
        <f>Tablo14567891011121314151617181920212223242526272829303132333435363738[[#This Row],[ADET]]*Tablo14567891011121314151617181920212223242526272829303132333435363738[[#This Row],[SATIŞ]]</f>
        <v>4100</v>
      </c>
      <c r="J18" s="40" t="str">
        <f t="shared" si="0"/>
        <v/>
      </c>
    </row>
    <row r="19" spans="2:10" ht="21" hidden="1" customHeight="1" x14ac:dyDescent="0.3">
      <c r="B19" s="2">
        <v>45371</v>
      </c>
      <c r="C19" s="6">
        <v>30</v>
      </c>
      <c r="D19" s="10">
        <v>76.349999999999994</v>
      </c>
      <c r="E19" s="10">
        <v>80</v>
      </c>
      <c r="F19" s="9">
        <f>IF(Tablo14567891011121314151617181920212223242526272829303132333435363738[[#This Row],[SATIŞ]]=0,"Açık",(E19-D19)*C19)</f>
        <v>109.50000000000017</v>
      </c>
      <c r="G19" s="11">
        <f>Tablo14567891011121314151617181920212223242526272829303132333435363738[[#This Row],[ADET]]*Tablo14567891011121314151617181920212223242526272829303132333435363738[[#This Row],[ALIŞ]]</f>
        <v>2290.5</v>
      </c>
      <c r="H19" s="11">
        <f>Tablo14567891011121314151617181920212223242526272829303132333435363738[[#This Row],[ADET]]*Tablo14567891011121314151617181920212223242526272829303132333435363738[[#This Row],[SATIŞ]]</f>
        <v>2400</v>
      </c>
      <c r="J19" s="40" t="str">
        <f t="shared" si="0"/>
        <v/>
      </c>
    </row>
    <row r="20" spans="2:10" ht="21" hidden="1" customHeight="1" x14ac:dyDescent="0.3">
      <c r="B20" s="2">
        <v>45373</v>
      </c>
      <c r="C20" s="6">
        <v>50</v>
      </c>
      <c r="D20" s="10">
        <v>80</v>
      </c>
      <c r="E20" s="10">
        <v>85</v>
      </c>
      <c r="F20" s="9">
        <f>IF(Tablo14567891011121314151617181920212223242526272829303132333435363738[[#This Row],[SATIŞ]]=0,"Açık",(E20-D20)*C20)</f>
        <v>250</v>
      </c>
      <c r="G20" s="11">
        <f>Tablo14567891011121314151617181920212223242526272829303132333435363738[[#This Row],[ADET]]*Tablo14567891011121314151617181920212223242526272829303132333435363738[[#This Row],[ALIŞ]]</f>
        <v>4000</v>
      </c>
      <c r="H20" s="11">
        <f>Tablo14567891011121314151617181920212223242526272829303132333435363738[[#This Row],[ADET]]*Tablo14567891011121314151617181920212223242526272829303132333435363738[[#This Row],[SATIŞ]]</f>
        <v>4250</v>
      </c>
      <c r="J20" s="40" t="str">
        <f t="shared" si="0"/>
        <v/>
      </c>
    </row>
    <row r="21" spans="2:10" ht="21" hidden="1" customHeight="1" x14ac:dyDescent="0.3">
      <c r="B21" s="2">
        <v>45378</v>
      </c>
      <c r="C21" s="6">
        <v>50</v>
      </c>
      <c r="D21" s="10">
        <v>77</v>
      </c>
      <c r="E21" s="10">
        <v>80</v>
      </c>
      <c r="F21" s="9">
        <f>IF(Tablo14567891011121314151617181920212223242526272829303132333435363738[[#This Row],[SATIŞ]]=0,"Açık",(E21-D21)*C21)</f>
        <v>150</v>
      </c>
      <c r="G21" s="11">
        <f>Tablo14567891011121314151617181920212223242526272829303132333435363738[[#This Row],[ADET]]*Tablo14567891011121314151617181920212223242526272829303132333435363738[[#This Row],[ALIŞ]]</f>
        <v>3850</v>
      </c>
      <c r="H21" s="11">
        <f>Tablo14567891011121314151617181920212223242526272829303132333435363738[[#This Row],[ADET]]*Tablo14567891011121314151617181920212223242526272829303132333435363738[[#This Row],[SATIŞ]]</f>
        <v>4000</v>
      </c>
      <c r="J21" s="40" t="str">
        <f t="shared" si="0"/>
        <v/>
      </c>
    </row>
    <row r="22" spans="2:10" ht="21" hidden="1" customHeight="1" x14ac:dyDescent="0.3">
      <c r="B22" s="2">
        <v>45378</v>
      </c>
      <c r="C22" s="6">
        <v>50</v>
      </c>
      <c r="D22" s="10">
        <v>77</v>
      </c>
      <c r="E22" s="10">
        <v>82.5</v>
      </c>
      <c r="F22" s="9">
        <f>IF(Tablo14567891011121314151617181920212223242526272829303132333435363738[[#This Row],[SATIŞ]]=0,"Açık",(E22-D22)*C22)</f>
        <v>275</v>
      </c>
      <c r="G22" s="11">
        <f>Tablo14567891011121314151617181920212223242526272829303132333435363738[[#This Row],[ADET]]*Tablo14567891011121314151617181920212223242526272829303132333435363738[[#This Row],[ALIŞ]]</f>
        <v>3850</v>
      </c>
      <c r="H22" s="11">
        <f>Tablo14567891011121314151617181920212223242526272829303132333435363738[[#This Row],[ADET]]*Tablo14567891011121314151617181920212223242526272829303132333435363738[[#This Row],[SATIŞ]]</f>
        <v>4125</v>
      </c>
      <c r="J22" s="40" t="str">
        <f t="shared" si="0"/>
        <v/>
      </c>
    </row>
    <row r="23" spans="2:10" ht="21" hidden="1" customHeight="1" x14ac:dyDescent="0.3">
      <c r="B23" s="2">
        <v>45362</v>
      </c>
      <c r="C23" s="6">
        <v>10</v>
      </c>
      <c r="D23" s="10">
        <v>79.400000000000006</v>
      </c>
      <c r="E23" s="10">
        <v>85.7</v>
      </c>
      <c r="F23" s="9">
        <f>IF(Tablo14567891011121314151617181920212223242526272829303132333435363738[[#This Row],[SATIŞ]]=0,"Açık",(E23-D23)*C23)</f>
        <v>62.999999999999972</v>
      </c>
      <c r="G23" s="11">
        <f>Tablo14567891011121314151617181920212223242526272829303132333435363738[[#This Row],[ADET]]*Tablo14567891011121314151617181920212223242526272829303132333435363738[[#This Row],[ALIŞ]]</f>
        <v>794</v>
      </c>
      <c r="H23" s="11">
        <f>Tablo14567891011121314151617181920212223242526272829303132333435363738[[#This Row],[ADET]]*Tablo14567891011121314151617181920212223242526272829303132333435363738[[#This Row],[SATIŞ]]</f>
        <v>857</v>
      </c>
      <c r="J23" s="40"/>
    </row>
    <row r="24" spans="2:10" ht="21" customHeight="1" x14ac:dyDescent="0.3">
      <c r="B24" s="2">
        <v>45390</v>
      </c>
      <c r="C24" s="6">
        <v>10</v>
      </c>
      <c r="D24" s="10">
        <v>89</v>
      </c>
      <c r="E24" s="10"/>
      <c r="F24" s="9" t="str">
        <f>IF(Tablo14567891011121314151617181920212223242526272829303132333435363738[[#This Row],[SATIŞ]]=0,"Açık",(E24-D24)*C24)</f>
        <v>Açık</v>
      </c>
      <c r="G24" s="11">
        <f>Tablo14567891011121314151617181920212223242526272829303132333435363738[[#This Row],[ADET]]*Tablo14567891011121314151617181920212223242526272829303132333435363738[[#This Row],[ALIŞ]]</f>
        <v>890</v>
      </c>
      <c r="H24" s="11">
        <f>Tablo14567891011121314151617181920212223242526272829303132333435363738[[#This Row],[ADET]]*Tablo14567891011121314151617181920212223242526272829303132333435363738[[#This Row],[SATIŞ]]</f>
        <v>0</v>
      </c>
      <c r="J24" s="40">
        <f t="shared" si="0"/>
        <v>93.45</v>
      </c>
    </row>
    <row r="25" spans="2:10" ht="21" customHeight="1" x14ac:dyDescent="0.3">
      <c r="B25" s="2">
        <v>45390</v>
      </c>
      <c r="C25" s="6">
        <v>10</v>
      </c>
      <c r="D25" s="10">
        <v>89</v>
      </c>
      <c r="E25" s="10"/>
      <c r="F25" s="9" t="str">
        <f>IF(Tablo14567891011121314151617181920212223242526272829303132333435363738[[#This Row],[SATIŞ]]=0,"Açık",(E25-D25)*C25)</f>
        <v>Açık</v>
      </c>
      <c r="G25" s="11">
        <f>Tablo14567891011121314151617181920212223242526272829303132333435363738[[#This Row],[ADET]]*Tablo14567891011121314151617181920212223242526272829303132333435363738[[#This Row],[ALIŞ]]</f>
        <v>890</v>
      </c>
      <c r="H25" s="11">
        <f>Tablo14567891011121314151617181920212223242526272829303132333435363738[[#This Row],[ADET]]*Tablo14567891011121314151617181920212223242526272829303132333435363738[[#This Row],[SATIŞ]]</f>
        <v>0</v>
      </c>
      <c r="J25" s="40">
        <f t="shared" si="0"/>
        <v>93.45</v>
      </c>
    </row>
    <row r="26" spans="2:10" ht="21" customHeight="1" x14ac:dyDescent="0.3">
      <c r="B26" s="2">
        <v>45390</v>
      </c>
      <c r="C26" s="6">
        <v>10</v>
      </c>
      <c r="D26" s="10">
        <v>88</v>
      </c>
      <c r="E26" s="10"/>
      <c r="F26" s="9" t="str">
        <f>IF(Tablo14567891011121314151617181920212223242526272829303132333435363738[[#This Row],[SATIŞ]]=0,"Açık",(E26-D26)*C26)</f>
        <v>Açık</v>
      </c>
      <c r="G26" s="11">
        <f>Tablo14567891011121314151617181920212223242526272829303132333435363738[[#This Row],[ADET]]*Tablo14567891011121314151617181920212223242526272829303132333435363738[[#This Row],[ALIŞ]]</f>
        <v>880</v>
      </c>
      <c r="H26" s="11">
        <f>Tablo14567891011121314151617181920212223242526272829303132333435363738[[#This Row],[ADET]]*Tablo14567891011121314151617181920212223242526272829303132333435363738[[#This Row],[SATIŞ]]</f>
        <v>0</v>
      </c>
    </row>
    <row r="27" spans="2:10" ht="21" customHeight="1" x14ac:dyDescent="0.3">
      <c r="B27" s="2">
        <v>45391</v>
      </c>
      <c r="C27" s="6">
        <v>100</v>
      </c>
      <c r="D27" s="10">
        <v>88</v>
      </c>
      <c r="E27" s="10"/>
      <c r="F27" s="9" t="str">
        <f>IF(Tablo14567891011121314151617181920212223242526272829303132333435363738[[#This Row],[SATIŞ]]=0,"Açık",(E27-D27)*C27)</f>
        <v>Açık</v>
      </c>
      <c r="G27" s="11">
        <f>Tablo14567891011121314151617181920212223242526272829303132333435363738[[#This Row],[ADET]]*Tablo14567891011121314151617181920212223242526272829303132333435363738[[#This Row],[ALIŞ]]</f>
        <v>8800</v>
      </c>
      <c r="H27" s="11">
        <f>Tablo14567891011121314151617181920212223242526272829303132333435363738[[#This Row],[ADET]]*Tablo14567891011121314151617181920212223242526272829303132333435363738[[#This Row],[SATIŞ]]</f>
        <v>0</v>
      </c>
    </row>
    <row r="28" spans="2:10" ht="21" customHeight="1" x14ac:dyDescent="0.3">
      <c r="B28" s="2">
        <v>45391</v>
      </c>
      <c r="C28" s="6">
        <v>100</v>
      </c>
      <c r="D28" s="10">
        <v>87</v>
      </c>
      <c r="E28" s="10"/>
      <c r="F28" s="9" t="str">
        <f>IF(Tablo14567891011121314151617181920212223242526272829303132333435363738[[#This Row],[SATIŞ]]=0,"Açık",(E28-D28)*C28)</f>
        <v>Açık</v>
      </c>
      <c r="G28" s="11">
        <f>Tablo14567891011121314151617181920212223242526272829303132333435363738[[#This Row],[ADET]]*Tablo14567891011121314151617181920212223242526272829303132333435363738[[#This Row],[ALIŞ]]</f>
        <v>8700</v>
      </c>
      <c r="H28" s="11">
        <f>Tablo14567891011121314151617181920212223242526272829303132333435363738[[#This Row],[ADET]]*Tablo14567891011121314151617181920212223242526272829303132333435363738[[#This Row],[SATIŞ]]</f>
        <v>0</v>
      </c>
    </row>
    <row r="29" spans="2:10" ht="21" customHeight="1" x14ac:dyDescent="0.3">
      <c r="B29" s="2">
        <v>45397</v>
      </c>
      <c r="C29" s="6">
        <v>100</v>
      </c>
      <c r="D29" s="10">
        <v>85.9</v>
      </c>
      <c r="E29" s="10"/>
      <c r="F29" s="9" t="str">
        <f>IF(Tablo14567891011121314151617181920212223242526272829303132333435363738[[#This Row],[SATIŞ]]=0,"Açık",(E29-D29)*C29)</f>
        <v>Açık</v>
      </c>
      <c r="G29" s="11">
        <f>Tablo14567891011121314151617181920212223242526272829303132333435363738[[#This Row],[ADET]]*Tablo14567891011121314151617181920212223242526272829303132333435363738[[#This Row],[ALIŞ]]</f>
        <v>8590</v>
      </c>
      <c r="H29" s="11">
        <f>Tablo14567891011121314151617181920212223242526272829303132333435363738[[#This Row],[ADET]]*Tablo14567891011121314151617181920212223242526272829303132333435363738[[#This Row],[SATIŞ]]</f>
        <v>0</v>
      </c>
    </row>
    <row r="30" spans="2:10" ht="21" hidden="1" customHeight="1" x14ac:dyDescent="0.3">
      <c r="B30" s="2">
        <v>45398</v>
      </c>
      <c r="C30" s="6">
        <v>10</v>
      </c>
      <c r="D30" s="10">
        <v>84</v>
      </c>
      <c r="E30" s="10">
        <v>86</v>
      </c>
      <c r="F30" s="9">
        <f>IF(Tablo14567891011121314151617181920212223242526272829303132333435363738[[#This Row],[SATIŞ]]=0,"Açık",(E30-D30)*C30)</f>
        <v>20</v>
      </c>
      <c r="G30" s="11">
        <f>Tablo14567891011121314151617181920212223242526272829303132333435363738[[#This Row],[ADET]]*Tablo14567891011121314151617181920212223242526272829303132333435363738[[#This Row],[ALIŞ]]</f>
        <v>840</v>
      </c>
      <c r="H30" s="11">
        <f>Tablo14567891011121314151617181920212223242526272829303132333435363738[[#This Row],[ADET]]*Tablo14567891011121314151617181920212223242526272829303132333435363738[[#This Row],[SATIŞ]]</f>
        <v>860</v>
      </c>
    </row>
    <row r="31" spans="2:10" ht="21" hidden="1" customHeight="1" x14ac:dyDescent="0.3">
      <c r="B31" s="2">
        <v>45398</v>
      </c>
      <c r="C31" s="6">
        <v>10</v>
      </c>
      <c r="D31" s="10">
        <v>83.5</v>
      </c>
      <c r="E31" s="10">
        <v>86</v>
      </c>
      <c r="F31" s="9">
        <f>IF(Tablo14567891011121314151617181920212223242526272829303132333435363738[[#This Row],[SATIŞ]]=0,"Açık",(E31-D31)*C31)</f>
        <v>25</v>
      </c>
      <c r="G31" s="11">
        <f>Tablo14567891011121314151617181920212223242526272829303132333435363738[[#This Row],[ADET]]*Tablo14567891011121314151617181920212223242526272829303132333435363738[[#This Row],[ALIŞ]]</f>
        <v>835</v>
      </c>
      <c r="H31" s="11">
        <f>Tablo14567891011121314151617181920212223242526272829303132333435363738[[#This Row],[ADET]]*Tablo14567891011121314151617181920212223242526272829303132333435363738[[#This Row],[SATIŞ]]</f>
        <v>860</v>
      </c>
    </row>
    <row r="32" spans="2:10" ht="21" hidden="1" customHeight="1" x14ac:dyDescent="0.3">
      <c r="B32" s="2">
        <v>45399</v>
      </c>
      <c r="C32" s="6">
        <v>10</v>
      </c>
      <c r="D32" s="10">
        <v>85</v>
      </c>
      <c r="E32" s="10">
        <v>87.95</v>
      </c>
      <c r="F32" s="9">
        <f>IF(Tablo14567891011121314151617181920212223242526272829303132333435363738[[#This Row],[SATIŞ]]=0,"Açık",(E32-D32)*C32)</f>
        <v>29.500000000000028</v>
      </c>
      <c r="G32" s="11">
        <f>Tablo14567891011121314151617181920212223242526272829303132333435363738[[#This Row],[ADET]]*Tablo14567891011121314151617181920212223242526272829303132333435363738[[#This Row],[ALIŞ]]</f>
        <v>850</v>
      </c>
      <c r="H32" s="11">
        <f>Tablo14567891011121314151617181920212223242526272829303132333435363738[[#This Row],[ADET]]*Tablo14567891011121314151617181920212223242526272829303132333435363738[[#This Row],[SATIŞ]]</f>
        <v>879.5</v>
      </c>
    </row>
    <row r="33" spans="2:8" ht="21" hidden="1" customHeight="1" x14ac:dyDescent="0.3">
      <c r="B33" s="2">
        <v>45399</v>
      </c>
      <c r="C33" s="6">
        <v>10</v>
      </c>
      <c r="D33" s="10">
        <v>85</v>
      </c>
      <c r="E33" s="10">
        <v>88</v>
      </c>
      <c r="F33" s="9">
        <f>IF(Tablo14567891011121314151617181920212223242526272829303132333435363738[[#This Row],[SATIŞ]]=0,"Açık",(E33-D33)*C33)</f>
        <v>30</v>
      </c>
      <c r="G33" s="11">
        <f>Tablo14567891011121314151617181920212223242526272829303132333435363738[[#This Row],[ADET]]*Tablo14567891011121314151617181920212223242526272829303132333435363738[[#This Row],[ALIŞ]]</f>
        <v>850</v>
      </c>
      <c r="H33" s="11">
        <f>Tablo14567891011121314151617181920212223242526272829303132333435363738[[#This Row],[ADET]]*Tablo14567891011121314151617181920212223242526272829303132333435363738[[#This Row],[SATIŞ]]</f>
        <v>880</v>
      </c>
    </row>
    <row r="34" spans="2:8" ht="21" customHeight="1" x14ac:dyDescent="0.3">
      <c r="B34" s="2">
        <v>45399</v>
      </c>
      <c r="C34" s="6">
        <v>80</v>
      </c>
      <c r="D34" s="10">
        <v>85</v>
      </c>
      <c r="E34" s="10"/>
      <c r="F34" s="9" t="str">
        <f>IF(Tablo14567891011121314151617181920212223242526272829303132333435363738[[#This Row],[SATIŞ]]=0,"Açık",(E34-D34)*C34)</f>
        <v>Açık</v>
      </c>
      <c r="G34" s="11">
        <f>Tablo14567891011121314151617181920212223242526272829303132333435363738[[#This Row],[ADET]]*Tablo14567891011121314151617181920212223242526272829303132333435363738[[#This Row],[ALIŞ]]</f>
        <v>6800</v>
      </c>
      <c r="H34" s="11">
        <f>Tablo14567891011121314151617181920212223242526272829303132333435363738[[#This Row],[ADET]]*Tablo14567891011121314151617181920212223242526272829303132333435363738[[#This Row],[SATIŞ]]</f>
        <v>0</v>
      </c>
    </row>
  </sheetData>
  <conditionalFormatting sqref="B4:F34">
    <cfRule type="expression" dxfId="56" priority="1">
      <formula>$F4&lt;0</formula>
    </cfRule>
    <cfRule type="expression" dxfId="55" priority="2">
      <formula>$F4="Açık"</formula>
    </cfRule>
    <cfRule type="expression" dxfId="54" priority="3">
      <formula>$F4&gt;0</formula>
    </cfRule>
  </conditionalFormatting>
  <hyperlinks>
    <hyperlink ref="B1" location="İcmal!A1" display="ANA SAYFA" xr:uid="{0AD60A9C-4E63-4AC7-A359-8AF4236E3516}"/>
  </hyperlinks>
  <pageMargins left="0.7" right="0.7" top="0.75" bottom="0.75" header="0.3" footer="0.3"/>
  <tableParts count="1">
    <tablePart r:id="rId1"/>
  </tablePart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88EE5-15AB-48A3-B544-A5D2D649BC0E}">
  <dimension ref="B1:R23"/>
  <sheetViews>
    <sheetView showGridLines="0" showZeros="0" zoomScale="110" zoomScaleNormal="110" workbookViewId="0">
      <pane ySplit="3" topLeftCell="A5" activePane="bottomLeft" state="frozen"/>
      <selection pane="bottomLeft" activeCell="B24" sqref="B24"/>
    </sheetView>
  </sheetViews>
  <sheetFormatPr defaultRowHeight="21" customHeight="1" x14ac:dyDescent="0.3"/>
  <cols>
    <col min="2" max="2" width="20.6640625" style="1" customWidth="1"/>
    <col min="3" max="3" width="11.33203125" style="6" customWidth="1"/>
    <col min="4" max="5" width="12.88671875" style="3" customWidth="1"/>
    <col min="6" max="6" width="12.88671875" style="5" customWidth="1"/>
    <col min="7" max="7" width="12.88671875" bestFit="1" customWidth="1"/>
    <col min="8" max="8" width="13.44140625" bestFit="1" customWidth="1"/>
    <col min="10" max="12" width="12.44140625" customWidth="1"/>
    <col min="13" max="13" width="12.6640625" bestFit="1" customWidth="1"/>
    <col min="14" max="14" width="12" bestFit="1" customWidth="1"/>
  </cols>
  <sheetData>
    <row r="1" spans="2:18" ht="21" customHeight="1" x14ac:dyDescent="0.3">
      <c r="B1" s="12" t="s">
        <v>64</v>
      </c>
      <c r="C1" s="4">
        <f>SUMIF(Tablo1456789101112131415161718192021222324252627282930313233343536373839[KAR],"Açık",Tablo1456789101112131415161718192021222324252627282930313233343536373839[ADET])</f>
        <v>240</v>
      </c>
      <c r="D1" s="10">
        <f>+İcmal!E53</f>
        <v>40</v>
      </c>
      <c r="E1" s="10">
        <f>C1*D1</f>
        <v>9600</v>
      </c>
      <c r="F1" s="10">
        <f>IFERROR(((SUM(Tablo1456789101112131415161718192021222324252627282930313233343536373839[ALIŞ TUTAR])-SUM(Tablo1456789101112131415161718192021222324252627282930313233343536373839[SATIŞ TUTAR]))/C1),"")</f>
        <v>29.838412375000068</v>
      </c>
      <c r="G1" s="10">
        <f>IF(M3=0,L3,C1*(D1-F1))</f>
        <v>2438.7810299999837</v>
      </c>
      <c r="J1" s="45" t="s">
        <v>94</v>
      </c>
      <c r="K1" s="45" t="s">
        <v>95</v>
      </c>
      <c r="L1" s="45" t="s">
        <v>96</v>
      </c>
      <c r="M1" s="33">
        <f>F1</f>
        <v>29.838412375000068</v>
      </c>
      <c r="N1" s="8" t="e">
        <f>M1*(1+$J$1)</f>
        <v>#VALUE!</v>
      </c>
      <c r="P1" s="8" t="e">
        <f>Q1*(1-$J$1)</f>
        <v>#VALUE!</v>
      </c>
      <c r="Q1" s="33">
        <f>+D1</f>
        <v>40</v>
      </c>
      <c r="R1" s="8" t="e">
        <f>Q1*(1+$J$1)</f>
        <v>#VALUE!</v>
      </c>
    </row>
    <row r="2" spans="2:18" ht="21" customHeight="1" x14ac:dyDescent="0.3">
      <c r="B2" s="7" t="s">
        <v>48</v>
      </c>
      <c r="J2" s="45">
        <f>SUMIFS(Tablo2[HEDEF2],Tablo2[HİSSE],B2)</f>
        <v>2000</v>
      </c>
      <c r="K2" s="45">
        <f>+E1/İcmal!$P$2</f>
        <v>295.11220411927451</v>
      </c>
      <c r="L2" s="45">
        <f>+J2-K2</f>
        <v>1704.8877958807254</v>
      </c>
    </row>
    <row r="3" spans="2:18" ht="21" customHeight="1" x14ac:dyDescent="0.3">
      <c r="B3" s="1" t="s">
        <v>0</v>
      </c>
      <c r="C3" s="6" t="s">
        <v>4</v>
      </c>
      <c r="D3" s="3" t="s">
        <v>1</v>
      </c>
      <c r="E3" s="3" t="s">
        <v>3</v>
      </c>
      <c r="F3" s="5" t="s">
        <v>2</v>
      </c>
      <c r="G3" s="3" t="s">
        <v>8</v>
      </c>
      <c r="H3" s="3" t="s">
        <v>9</v>
      </c>
      <c r="L3">
        <f>+SUM(Tablo1456789101112131415161718192021222324252627282930313233343536373839[KAR])</f>
        <v>4222.0906299999897</v>
      </c>
      <c r="M3" s="37">
        <f>+C1</f>
        <v>240</v>
      </c>
    </row>
    <row r="4" spans="2:18" ht="21" hidden="1" customHeight="1" x14ac:dyDescent="0.3">
      <c r="B4" s="2">
        <v>45291</v>
      </c>
      <c r="C4" s="6">
        <v>1753</v>
      </c>
      <c r="D4" s="10">
        <v>79.082740000000001</v>
      </c>
      <c r="E4" s="10">
        <v>80.865449999999996</v>
      </c>
      <c r="F4" s="9">
        <f>IF(Tablo1456789101112131415161718192021222324252627282930313233343536373839[[#This Row],[SATIŞ]]=0,"Açık",(E4-D4)*C4)</f>
        <v>3125.0906299999901</v>
      </c>
      <c r="G4" s="11">
        <f>Tablo1456789101112131415161718192021222324252627282930313233343536373839[[#This Row],[ADET]]*Tablo1456789101112131415161718192021222324252627282930313233343536373839[[#This Row],[ALIŞ]]</f>
        <v>138632.04321999999</v>
      </c>
      <c r="H4" s="11">
        <f>Tablo1456789101112131415161718192021222324252627282930313233343536373839[[#This Row],[ADET]]*Tablo1456789101112131415161718192021222324252627282930313233343536373839[[#This Row],[SATIŞ]]</f>
        <v>141757.13384999998</v>
      </c>
      <c r="J4" s="40" t="str">
        <f t="shared" ref="J4:J15" si="0">IF(E4=0,D4*1.05,"")</f>
        <v/>
      </c>
      <c r="L4" s="8">
        <f>SUM(Tablo1456789101112131415161718192021222324252627282930313233343536373839[ALIŞ TUTAR])</f>
        <v>176812.35282</v>
      </c>
      <c r="M4" s="8">
        <f>SUM(Tablo1456789101112131415161718192021222324252627282930313233343536373839[SATIŞ TUTAR])</f>
        <v>169651.13384999998</v>
      </c>
      <c r="N4" s="8">
        <f>L4-M4</f>
        <v>7161.2189700000163</v>
      </c>
    </row>
    <row r="5" spans="2:18" ht="21" customHeight="1" x14ac:dyDescent="0.3">
      <c r="B5" s="2">
        <v>45291</v>
      </c>
      <c r="C5" s="6">
        <v>40</v>
      </c>
      <c r="D5" s="10">
        <v>79.082740000000001</v>
      </c>
      <c r="E5" s="10"/>
      <c r="F5" s="9" t="str">
        <f>IF(Tablo1456789101112131415161718192021222324252627282930313233343536373839[[#This Row],[SATIŞ]]=0,"Açık",(E5-D5)*C5)</f>
        <v>Açık</v>
      </c>
      <c r="G5" s="11">
        <f>Tablo1456789101112131415161718192021222324252627282930313233343536373839[[#This Row],[ADET]]*Tablo1456789101112131415161718192021222324252627282930313233343536373839[[#This Row],[ALIŞ]]</f>
        <v>3163.3096</v>
      </c>
      <c r="H5" s="11">
        <f>Tablo1456789101112131415161718192021222324252627282930313233343536373839[[#This Row],[ADET]]*Tablo1456789101112131415161718192021222324252627282930313233343536373839[[#This Row],[SATIŞ]]</f>
        <v>0</v>
      </c>
      <c r="J5" s="40">
        <f t="shared" si="0"/>
        <v>83.036877000000004</v>
      </c>
      <c r="N5">
        <f>+N4/80</f>
        <v>89.515237125000198</v>
      </c>
    </row>
    <row r="6" spans="2:18" ht="21" hidden="1" customHeight="1" x14ac:dyDescent="0.3">
      <c r="B6" s="2">
        <v>45329</v>
      </c>
      <c r="C6" s="6">
        <v>10</v>
      </c>
      <c r="D6" s="10">
        <v>39.799999999999997</v>
      </c>
      <c r="E6" s="10">
        <v>42.3</v>
      </c>
      <c r="F6" s="9">
        <f>IF(Tablo1456789101112131415161718192021222324252627282930313233343536373839[[#This Row],[SATIŞ]]=0,"Açık",(E6-D6)*C6)</f>
        <v>25</v>
      </c>
      <c r="G6" s="11">
        <f>Tablo1456789101112131415161718192021222324252627282930313233343536373839[[#This Row],[ADET]]*Tablo1456789101112131415161718192021222324252627282930313233343536373839[[#This Row],[ALIŞ]]</f>
        <v>398</v>
      </c>
      <c r="H6" s="11">
        <f>Tablo1456789101112131415161718192021222324252627282930313233343536373839[[#This Row],[ADET]]*Tablo1456789101112131415161718192021222324252627282930313233343536373839[[#This Row],[SATIŞ]]</f>
        <v>423</v>
      </c>
      <c r="J6" s="40" t="str">
        <f t="shared" si="0"/>
        <v/>
      </c>
    </row>
    <row r="7" spans="2:18" ht="21" hidden="1" customHeight="1" x14ac:dyDescent="0.3">
      <c r="B7" s="2">
        <v>45329</v>
      </c>
      <c r="C7" s="6">
        <v>20</v>
      </c>
      <c r="D7" s="10">
        <v>39.700000000000003</v>
      </c>
      <c r="E7" s="10">
        <v>42.3</v>
      </c>
      <c r="F7" s="9">
        <f>IF(Tablo1456789101112131415161718192021222324252627282930313233343536373839[[#This Row],[SATIŞ]]=0,"Açık",(E7-D7)*C7)</f>
        <v>51.999999999999886</v>
      </c>
      <c r="G7" s="11">
        <f>Tablo1456789101112131415161718192021222324252627282930313233343536373839[[#This Row],[ADET]]*Tablo1456789101112131415161718192021222324252627282930313233343536373839[[#This Row],[ALIŞ]]</f>
        <v>794</v>
      </c>
      <c r="H7" s="11">
        <f>Tablo1456789101112131415161718192021222324252627282930313233343536373839[[#This Row],[ADET]]*Tablo1456789101112131415161718192021222324252627282930313233343536373839[[#This Row],[SATIŞ]]</f>
        <v>846</v>
      </c>
      <c r="J7" s="40" t="str">
        <f t="shared" si="0"/>
        <v/>
      </c>
    </row>
    <row r="8" spans="2:18" ht="21" customHeight="1" x14ac:dyDescent="0.3">
      <c r="B8" s="2">
        <v>45341</v>
      </c>
      <c r="C8" s="6">
        <v>50</v>
      </c>
      <c r="D8" s="10">
        <v>44</v>
      </c>
      <c r="E8" s="10"/>
      <c r="F8" s="9" t="str">
        <f>IF(Tablo1456789101112131415161718192021222324252627282930313233343536373839[[#This Row],[SATIŞ]]=0,"Açık",(E8-D8)*C8)</f>
        <v>Açık</v>
      </c>
      <c r="G8" s="11">
        <f>Tablo1456789101112131415161718192021222324252627282930313233343536373839[[#This Row],[ADET]]*Tablo1456789101112131415161718192021222324252627282930313233343536373839[[#This Row],[ALIŞ]]</f>
        <v>2200</v>
      </c>
      <c r="H8" s="11">
        <f>Tablo1456789101112131415161718192021222324252627282930313233343536373839[[#This Row],[ADET]]*Tablo1456789101112131415161718192021222324252627282930313233343536373839[[#This Row],[SATIŞ]]</f>
        <v>0</v>
      </c>
      <c r="J8" s="40">
        <f t="shared" si="0"/>
        <v>46.2</v>
      </c>
    </row>
    <row r="9" spans="2:18" ht="21" hidden="1" customHeight="1" x14ac:dyDescent="0.3">
      <c r="B9" s="2">
        <v>45348</v>
      </c>
      <c r="C9" s="6">
        <v>50</v>
      </c>
      <c r="D9" s="10">
        <v>39.700000000000003</v>
      </c>
      <c r="E9" s="10">
        <v>41</v>
      </c>
      <c r="F9" s="9">
        <f>IF(Tablo1456789101112131415161718192021222324252627282930313233343536373839[[#This Row],[SATIŞ]]=0,"Açık",(E9-D9)*C9)</f>
        <v>64.999999999999858</v>
      </c>
      <c r="G9" s="11">
        <f>Tablo1456789101112131415161718192021222324252627282930313233343536373839[[#This Row],[ADET]]*Tablo1456789101112131415161718192021222324252627282930313233343536373839[[#This Row],[ALIŞ]]</f>
        <v>1985.0000000000002</v>
      </c>
      <c r="H9" s="11">
        <f>Tablo1456789101112131415161718192021222324252627282930313233343536373839[[#This Row],[ADET]]*Tablo1456789101112131415161718192021222324252627282930313233343536373839[[#This Row],[SATIŞ]]</f>
        <v>2050</v>
      </c>
      <c r="J9" s="40" t="str">
        <f t="shared" si="0"/>
        <v/>
      </c>
    </row>
    <row r="10" spans="2:18" ht="21" hidden="1" customHeight="1" x14ac:dyDescent="0.3">
      <c r="B10" s="2">
        <v>45350</v>
      </c>
      <c r="C10" s="6">
        <v>50</v>
      </c>
      <c r="D10" s="10">
        <v>40</v>
      </c>
      <c r="E10" s="10">
        <v>42</v>
      </c>
      <c r="F10" s="9">
        <f>IF(Tablo1456789101112131415161718192021222324252627282930313233343536373839[[#This Row],[SATIŞ]]=0,"Açık",(E10-D10)*C10)</f>
        <v>100</v>
      </c>
      <c r="G10" s="11">
        <f>Tablo1456789101112131415161718192021222324252627282930313233343536373839[[#This Row],[ADET]]*Tablo1456789101112131415161718192021222324252627282930313233343536373839[[#This Row],[ALIŞ]]</f>
        <v>2000</v>
      </c>
      <c r="H10" s="11">
        <f>Tablo1456789101112131415161718192021222324252627282930313233343536373839[[#This Row],[ADET]]*Tablo1456789101112131415161718192021222324252627282930313233343536373839[[#This Row],[SATIŞ]]</f>
        <v>2100</v>
      </c>
      <c r="J10" s="40" t="str">
        <f t="shared" si="0"/>
        <v/>
      </c>
    </row>
    <row r="11" spans="2:18" ht="21" hidden="1" customHeight="1" x14ac:dyDescent="0.3">
      <c r="B11" s="2">
        <v>45355</v>
      </c>
      <c r="C11" s="6">
        <v>50</v>
      </c>
      <c r="D11" s="10">
        <v>38</v>
      </c>
      <c r="E11" s="10">
        <v>41.5</v>
      </c>
      <c r="F11" s="9">
        <f>IF(Tablo1456789101112131415161718192021222324252627282930313233343536373839[[#This Row],[SATIŞ]]=0,"Açık",(E11-D11)*C11)</f>
        <v>175</v>
      </c>
      <c r="G11" s="11">
        <f>Tablo1456789101112131415161718192021222324252627282930313233343536373839[[#This Row],[ADET]]*Tablo1456789101112131415161718192021222324252627282930313233343536373839[[#This Row],[ALIŞ]]</f>
        <v>1900</v>
      </c>
      <c r="H11" s="11">
        <f>Tablo1456789101112131415161718192021222324252627282930313233343536373839[[#This Row],[ADET]]*Tablo1456789101112131415161718192021222324252627282930313233343536373839[[#This Row],[SATIŞ]]</f>
        <v>2075</v>
      </c>
      <c r="J11" s="40" t="str">
        <f t="shared" si="0"/>
        <v/>
      </c>
    </row>
    <row r="12" spans="2:18" ht="21" hidden="1" customHeight="1" x14ac:dyDescent="0.3">
      <c r="B12" s="2">
        <v>45362</v>
      </c>
      <c r="C12" s="6">
        <v>50</v>
      </c>
      <c r="D12" s="10">
        <v>40</v>
      </c>
      <c r="E12" s="10">
        <v>40.56</v>
      </c>
      <c r="F12" s="9">
        <f>IF(Tablo1456789101112131415161718192021222324252627282930313233343536373839[[#This Row],[SATIŞ]]=0,"Açık",(E12-D12)*C12)</f>
        <v>28.000000000000114</v>
      </c>
      <c r="G12" s="11">
        <f>Tablo1456789101112131415161718192021222324252627282930313233343536373839[[#This Row],[ADET]]*Tablo1456789101112131415161718192021222324252627282930313233343536373839[[#This Row],[ALIŞ]]</f>
        <v>2000</v>
      </c>
      <c r="H12" s="11">
        <f>Tablo1456789101112131415161718192021222324252627282930313233343536373839[[#This Row],[ADET]]*Tablo1456789101112131415161718192021222324252627282930313233343536373839[[#This Row],[SATIŞ]]</f>
        <v>2028</v>
      </c>
      <c r="J12" s="40" t="str">
        <f t="shared" si="0"/>
        <v/>
      </c>
    </row>
    <row r="13" spans="2:18" ht="21" customHeight="1" x14ac:dyDescent="0.3">
      <c r="B13" s="2">
        <v>45376</v>
      </c>
      <c r="C13" s="6">
        <v>50</v>
      </c>
      <c r="D13" s="10">
        <v>41</v>
      </c>
      <c r="E13" s="10"/>
      <c r="F13" s="9" t="str">
        <f>IF(Tablo1456789101112131415161718192021222324252627282930313233343536373839[[#This Row],[SATIŞ]]=0,"Açık",(E13-D13)*C13)</f>
        <v>Açık</v>
      </c>
      <c r="G13" s="11">
        <f>Tablo1456789101112131415161718192021222324252627282930313233343536373839[[#This Row],[ADET]]*Tablo1456789101112131415161718192021222324252627282930313233343536373839[[#This Row],[ALIŞ]]</f>
        <v>2050</v>
      </c>
      <c r="H13" s="11">
        <f>Tablo1456789101112131415161718192021222324252627282930313233343536373839[[#This Row],[ADET]]*Tablo1456789101112131415161718192021222324252627282930313233343536373839[[#This Row],[SATIŞ]]</f>
        <v>0</v>
      </c>
      <c r="J13" s="40">
        <f t="shared" si="0"/>
        <v>43.050000000000004</v>
      </c>
    </row>
    <row r="14" spans="2:18" ht="21" hidden="1" customHeight="1" x14ac:dyDescent="0.3">
      <c r="B14" s="2">
        <v>45377</v>
      </c>
      <c r="C14" s="6">
        <v>50</v>
      </c>
      <c r="D14" s="10">
        <v>38.96</v>
      </c>
      <c r="E14" s="10">
        <v>44</v>
      </c>
      <c r="F14" s="9">
        <f>IF(Tablo1456789101112131415161718192021222324252627282930313233343536373839[[#This Row],[SATIŞ]]=0,"Açık",(E14-D14)*C14)</f>
        <v>251.99999999999994</v>
      </c>
      <c r="G14" s="11">
        <f>Tablo1456789101112131415161718192021222324252627282930313233343536373839[[#This Row],[ADET]]*Tablo1456789101112131415161718192021222324252627282930313233343536373839[[#This Row],[ALIŞ]]</f>
        <v>1948</v>
      </c>
      <c r="H14" s="11">
        <f>Tablo1456789101112131415161718192021222324252627282930313233343536373839[[#This Row],[ADET]]*Tablo1456789101112131415161718192021222324252627282930313233343536373839[[#This Row],[SATIŞ]]</f>
        <v>2200</v>
      </c>
      <c r="J14" s="40" t="str">
        <f t="shared" si="0"/>
        <v/>
      </c>
    </row>
    <row r="15" spans="2:18" ht="21" hidden="1" customHeight="1" x14ac:dyDescent="0.3">
      <c r="B15" s="2">
        <v>45377</v>
      </c>
      <c r="C15" s="6">
        <v>50</v>
      </c>
      <c r="D15" s="10">
        <v>38.96</v>
      </c>
      <c r="E15" s="10">
        <v>43</v>
      </c>
      <c r="F15" s="9">
        <f>IF(Tablo1456789101112131415161718192021222324252627282930313233343536373839[[#This Row],[SATIŞ]]=0,"Açık",(E15-D15)*C15)</f>
        <v>201.99999999999994</v>
      </c>
      <c r="G15" s="11">
        <f>Tablo1456789101112131415161718192021222324252627282930313233343536373839[[#This Row],[ADET]]*Tablo1456789101112131415161718192021222324252627282930313233343536373839[[#This Row],[ALIŞ]]</f>
        <v>1948</v>
      </c>
      <c r="H15" s="11">
        <f>Tablo1456789101112131415161718192021222324252627282930313233343536373839[[#This Row],[ADET]]*Tablo1456789101112131415161718192021222324252627282930313233343536373839[[#This Row],[SATIŞ]]</f>
        <v>2150</v>
      </c>
      <c r="J15" s="40" t="str">
        <f t="shared" si="0"/>
        <v/>
      </c>
    </row>
    <row r="16" spans="2:18" ht="21" hidden="1" customHeight="1" x14ac:dyDescent="0.3">
      <c r="B16" s="2">
        <v>45377</v>
      </c>
      <c r="C16" s="6">
        <v>50</v>
      </c>
      <c r="D16" s="10">
        <v>38.5</v>
      </c>
      <c r="E16" s="10">
        <v>38.92</v>
      </c>
      <c r="F16" s="9">
        <f>IF(Tablo1456789101112131415161718192021222324252627282930313233343536373839[[#This Row],[SATIŞ]]=0,"Açık",(E16-D16)*C16)</f>
        <v>21.000000000000085</v>
      </c>
      <c r="G16" s="11">
        <f>Tablo1456789101112131415161718192021222324252627282930313233343536373839[[#This Row],[ADET]]*Tablo1456789101112131415161718192021222324252627282930313233343536373839[[#This Row],[ALIŞ]]</f>
        <v>1925</v>
      </c>
      <c r="H16" s="11">
        <f>Tablo1456789101112131415161718192021222324252627282930313233343536373839[[#This Row],[ADET]]*Tablo1456789101112131415161718192021222324252627282930313233343536373839[[#This Row],[SATIŞ]]</f>
        <v>1946</v>
      </c>
    </row>
    <row r="17" spans="2:8" ht="21" hidden="1" customHeight="1" x14ac:dyDescent="0.3">
      <c r="B17" s="2">
        <v>45377</v>
      </c>
      <c r="C17" s="6">
        <v>50</v>
      </c>
      <c r="D17" s="10">
        <v>38.5</v>
      </c>
      <c r="E17" s="10">
        <v>38.92</v>
      </c>
      <c r="F17" s="9">
        <f>IF(Tablo1456789101112131415161718192021222324252627282930313233343536373839[[#This Row],[SATIŞ]]=0,"Açık",(E17-D17)*C17)</f>
        <v>21.000000000000085</v>
      </c>
      <c r="G17" s="11">
        <f>Tablo1456789101112131415161718192021222324252627282930313233343536373839[[#This Row],[ADET]]*Tablo1456789101112131415161718192021222324252627282930313233343536373839[[#This Row],[ALIŞ]]</f>
        <v>1925</v>
      </c>
      <c r="H17" s="11">
        <f>Tablo1456789101112131415161718192021222324252627282930313233343536373839[[#This Row],[ADET]]*Tablo1456789101112131415161718192021222324252627282930313233343536373839[[#This Row],[SATIŞ]]</f>
        <v>1946</v>
      </c>
    </row>
    <row r="18" spans="2:8" ht="21" hidden="1" customHeight="1" x14ac:dyDescent="0.3">
      <c r="B18" s="2">
        <v>45383</v>
      </c>
      <c r="C18" s="6">
        <v>50</v>
      </c>
      <c r="D18" s="10">
        <v>40.6</v>
      </c>
      <c r="E18" s="10">
        <v>41.5</v>
      </c>
      <c r="F18" s="9">
        <f>IF(Tablo1456789101112131415161718192021222324252627282930313233343536373839[[#This Row],[SATIŞ]]=0,"Açık",(E18-D18)*C18)</f>
        <v>44.999999999999929</v>
      </c>
      <c r="G18" s="11">
        <f>Tablo1456789101112131415161718192021222324252627282930313233343536373839[[#This Row],[ADET]]*Tablo1456789101112131415161718192021222324252627282930313233343536373839[[#This Row],[ALIŞ]]</f>
        <v>2030</v>
      </c>
      <c r="H18" s="11">
        <f>Tablo1456789101112131415161718192021222324252627282930313233343536373839[[#This Row],[ADET]]*Tablo1456789101112131415161718192021222324252627282930313233343536373839[[#This Row],[SATIŞ]]</f>
        <v>2075</v>
      </c>
    </row>
    <row r="19" spans="2:8" ht="21" hidden="1" customHeight="1" x14ac:dyDescent="0.3">
      <c r="B19" s="2">
        <v>45384</v>
      </c>
      <c r="C19" s="6">
        <v>50</v>
      </c>
      <c r="D19" s="10">
        <v>40.5</v>
      </c>
      <c r="E19" s="10">
        <v>41</v>
      </c>
      <c r="F19" s="9">
        <f>IF(Tablo1456789101112131415161718192021222324252627282930313233343536373839[[#This Row],[SATIŞ]]=0,"Açık",(E19-D19)*C19)</f>
        <v>25</v>
      </c>
      <c r="G19" s="11">
        <f>Tablo1456789101112131415161718192021222324252627282930313233343536373839[[#This Row],[ADET]]*Tablo1456789101112131415161718192021222324252627282930313233343536373839[[#This Row],[ALIŞ]]</f>
        <v>2025</v>
      </c>
      <c r="H19" s="11">
        <f>Tablo1456789101112131415161718192021222324252627282930313233343536373839[[#This Row],[ADET]]*Tablo1456789101112131415161718192021222324252627282930313233343536373839[[#This Row],[SATIŞ]]</f>
        <v>2050</v>
      </c>
    </row>
    <row r="20" spans="2:8" ht="21" hidden="1" customHeight="1" x14ac:dyDescent="0.3">
      <c r="B20" s="2">
        <v>45384</v>
      </c>
      <c r="C20" s="6">
        <v>50</v>
      </c>
      <c r="D20" s="10">
        <v>39.5</v>
      </c>
      <c r="E20" s="10">
        <v>40.200000000000003</v>
      </c>
      <c r="F20" s="9">
        <f>IF(Tablo1456789101112131415161718192021222324252627282930313233343536373839[[#This Row],[SATIŞ]]=0,"Açık",(E20-D20)*C20)</f>
        <v>35.000000000000142</v>
      </c>
      <c r="G20" s="11">
        <f>Tablo1456789101112131415161718192021222324252627282930313233343536373839[[#This Row],[ADET]]*Tablo1456789101112131415161718192021222324252627282930313233343536373839[[#This Row],[ALIŞ]]</f>
        <v>1975</v>
      </c>
      <c r="H20" s="11">
        <f>Tablo1456789101112131415161718192021222324252627282930313233343536373839[[#This Row],[ADET]]*Tablo1456789101112131415161718192021222324252627282930313233343536373839[[#This Row],[SATIŞ]]</f>
        <v>2010.0000000000002</v>
      </c>
    </row>
    <row r="21" spans="2:8" ht="21" hidden="1" customHeight="1" x14ac:dyDescent="0.3">
      <c r="B21" s="2">
        <v>45384</v>
      </c>
      <c r="C21" s="6">
        <v>50</v>
      </c>
      <c r="D21" s="10">
        <v>39.44</v>
      </c>
      <c r="E21" s="10">
        <v>40</v>
      </c>
      <c r="F21" s="9">
        <f>IF(Tablo1456789101112131415161718192021222324252627282930313233343536373839[[#This Row],[SATIŞ]]=0,"Açık",(E21-D21)*C21)</f>
        <v>28.000000000000114</v>
      </c>
      <c r="G21" s="11">
        <f>Tablo1456789101112131415161718192021222324252627282930313233343536373839[[#This Row],[ADET]]*Tablo1456789101112131415161718192021222324252627282930313233343536373839[[#This Row],[ALIŞ]]</f>
        <v>1972</v>
      </c>
      <c r="H21" s="11">
        <f>Tablo1456789101112131415161718192021222324252627282930313233343536373839[[#This Row],[ADET]]*Tablo1456789101112131415161718192021222324252627282930313233343536373839[[#This Row],[SATIŞ]]</f>
        <v>2000</v>
      </c>
    </row>
    <row r="22" spans="2:8" ht="21" hidden="1" customHeight="1" x14ac:dyDescent="0.3">
      <c r="B22" s="2">
        <v>45384</v>
      </c>
      <c r="C22" s="6">
        <v>50</v>
      </c>
      <c r="D22" s="10">
        <v>39.44</v>
      </c>
      <c r="E22" s="10">
        <v>39.9</v>
      </c>
      <c r="F22" s="9">
        <f>IF(Tablo1456789101112131415161718192021222324252627282930313233343536373839[[#This Row],[SATIŞ]]=0,"Açık",(E22-D22)*C22)</f>
        <v>23.000000000000043</v>
      </c>
      <c r="G22" s="11">
        <f>Tablo1456789101112131415161718192021222324252627282930313233343536373839[[#This Row],[ADET]]*Tablo1456789101112131415161718192021222324252627282930313233343536373839[[#This Row],[ALIŞ]]</f>
        <v>1972</v>
      </c>
      <c r="H22" s="11">
        <f>Tablo1456789101112131415161718192021222324252627282930313233343536373839[[#This Row],[ADET]]*Tablo1456789101112131415161718192021222324252627282930313233343536373839[[#This Row],[SATIŞ]]</f>
        <v>1995</v>
      </c>
    </row>
    <row r="23" spans="2:8" ht="21" customHeight="1" x14ac:dyDescent="0.3">
      <c r="B23" s="2">
        <v>45399</v>
      </c>
      <c r="C23" s="6">
        <v>100</v>
      </c>
      <c r="D23" s="10">
        <v>39.700000000000003</v>
      </c>
      <c r="E23" s="10"/>
      <c r="F23" s="9" t="str">
        <f>IF(Tablo1456789101112131415161718192021222324252627282930313233343536373839[[#This Row],[SATIŞ]]=0,"Açık",(E23-D23)*C23)</f>
        <v>Açık</v>
      </c>
      <c r="G23" s="11">
        <f>Tablo1456789101112131415161718192021222324252627282930313233343536373839[[#This Row],[ADET]]*Tablo1456789101112131415161718192021222324252627282930313233343536373839[[#This Row],[ALIŞ]]</f>
        <v>3970.0000000000005</v>
      </c>
      <c r="H23" s="11">
        <f>Tablo1456789101112131415161718192021222324252627282930313233343536373839[[#This Row],[ADET]]*Tablo1456789101112131415161718192021222324252627282930313233343536373839[[#This Row],[SATIŞ]]</f>
        <v>0</v>
      </c>
    </row>
  </sheetData>
  <conditionalFormatting sqref="B4:F23">
    <cfRule type="expression" dxfId="53" priority="1">
      <formula>$F4&lt;0</formula>
    </cfRule>
    <cfRule type="expression" dxfId="52" priority="2">
      <formula>$F4="Açık"</formula>
    </cfRule>
    <cfRule type="expression" dxfId="51" priority="3">
      <formula>$F4&gt;0</formula>
    </cfRule>
  </conditionalFormatting>
  <hyperlinks>
    <hyperlink ref="B1" location="İcmal!A1" display="ANA SAYFA" xr:uid="{159E4358-0DCF-49C4-86ED-2FBAB7771360}"/>
  </hyperlinks>
  <pageMargins left="0.7" right="0.7" top="0.75" bottom="0.75" header="0.3" footer="0.3"/>
  <tableParts count="1">
    <tablePart r:id="rId1"/>
  </tablePart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D8F66-DF0E-48E3-B5ED-97F3D44F8AC7}">
  <dimension ref="B1:N10"/>
  <sheetViews>
    <sheetView showGridLines="0" showZeros="0" zoomScale="110" zoomScaleNormal="110" workbookViewId="0">
      <pane ySplit="1" topLeftCell="A2" activePane="bottomLeft" state="frozen"/>
      <selection activeCell="J35" sqref="J35"/>
      <selection pane="bottomLeft" activeCell="B3" sqref="B3"/>
    </sheetView>
  </sheetViews>
  <sheetFormatPr defaultRowHeight="21" customHeight="1" x14ac:dyDescent="0.3"/>
  <cols>
    <col min="2" max="2" width="20.6640625" style="1" customWidth="1"/>
    <col min="3" max="3" width="11.33203125" style="6" customWidth="1"/>
    <col min="4" max="5" width="12.88671875" style="3" customWidth="1"/>
    <col min="6" max="6" width="12.88671875" style="5" customWidth="1"/>
    <col min="7" max="8" width="11.44140625" bestFit="1" customWidth="1"/>
    <col min="10" max="12" width="12.44140625" customWidth="1"/>
    <col min="13" max="13" width="11.44140625" bestFit="1" customWidth="1"/>
    <col min="14" max="14" width="10.6640625" bestFit="1" customWidth="1"/>
  </cols>
  <sheetData>
    <row r="1" spans="2:14" ht="21" customHeight="1" x14ac:dyDescent="0.3">
      <c r="B1" s="12" t="s">
        <v>64</v>
      </c>
      <c r="C1" s="4">
        <f>SUMIF(Tablo145678910111213141516171819202122232425262728293031323334353637383940[KAR],"Açık",Tablo145678910111213141516171819202122232425262728293031323334353637383940[ADET])</f>
        <v>100</v>
      </c>
      <c r="D1" s="10">
        <f>+İcmal!E54</f>
        <v>8</v>
      </c>
      <c r="E1" s="10">
        <f>C1*D1</f>
        <v>800</v>
      </c>
      <c r="F1" s="10">
        <f>IFERROR(((SUM(Tablo145678910111213141516171819202122232425262728293031323334353637383940[ALIŞ TUTAR])-SUM(Tablo145678910111213141516171819202122232425262728293031323334353637383940[SATIŞ TUTAR]))/C1),"")</f>
        <v>13.484572000000007</v>
      </c>
      <c r="G1" s="10">
        <f>SUM(Tablo145678910111213141516171819202122232425262728293031323334353637383940[KAR])+C1*(D1-F1)</f>
        <v>-1064.0156000000015</v>
      </c>
      <c r="J1" s="45" t="s">
        <v>94</v>
      </c>
      <c r="K1" s="45" t="s">
        <v>95</v>
      </c>
      <c r="L1" s="45" t="s">
        <v>96</v>
      </c>
    </row>
    <row r="2" spans="2:14" ht="21" customHeight="1" x14ac:dyDescent="0.3">
      <c r="B2" s="7" t="s">
        <v>49</v>
      </c>
      <c r="J2" s="45">
        <f>SUMIFS(Tablo2[HEDEF2],Tablo2[HİSSE],B2)</f>
        <v>1</v>
      </c>
      <c r="K2" s="45">
        <f>+E1/İcmal!$P$2</f>
        <v>24.59268367660621</v>
      </c>
      <c r="L2" s="45">
        <f>+J2-K2</f>
        <v>-23.59268367660621</v>
      </c>
    </row>
    <row r="3" spans="2:14" ht="21" customHeight="1" x14ac:dyDescent="0.3">
      <c r="B3" s="1" t="s">
        <v>0</v>
      </c>
      <c r="C3" s="6" t="s">
        <v>4</v>
      </c>
      <c r="D3" s="3" t="s">
        <v>1</v>
      </c>
      <c r="E3" s="3" t="s">
        <v>3</v>
      </c>
      <c r="F3" s="5" t="s">
        <v>2</v>
      </c>
      <c r="G3" s="3" t="s">
        <v>8</v>
      </c>
      <c r="H3" s="3" t="s">
        <v>9</v>
      </c>
    </row>
    <row r="4" spans="2:14" ht="21" customHeight="1" x14ac:dyDescent="0.3">
      <c r="B4" s="2">
        <v>45291</v>
      </c>
      <c r="C4" s="6">
        <v>700</v>
      </c>
      <c r="D4" s="10">
        <v>8.3289880000000007</v>
      </c>
      <c r="E4" s="10">
        <v>7.5924759999999996</v>
      </c>
      <c r="F4" s="9">
        <f>IF(Tablo145678910111213141516171819202122232425262728293031323334353637383940[[#This Row],[SATIŞ]]=0,"Açık",(E4-D4)*C4)</f>
        <v>-515.5584000000008</v>
      </c>
      <c r="G4" s="11">
        <f>Tablo145678910111213141516171819202122232425262728293031323334353637383940[[#This Row],[ADET]]*Tablo145678910111213141516171819202122232425262728293031323334353637383940[[#This Row],[ALIŞ]]</f>
        <v>5830.2916000000005</v>
      </c>
      <c r="H4" s="11">
        <f>Tablo145678910111213141516171819202122232425262728293031323334353637383940[[#This Row],[ADET]]*Tablo145678910111213141516171819202122232425262728293031323334353637383940[[#This Row],[SATIŞ]]</f>
        <v>5314.7331999999997</v>
      </c>
      <c r="L4" s="8">
        <f>SUM(Tablo145678910111213141516171819202122232425262728293031323334353637383940[ALIŞ TUTAR])</f>
        <v>6663.1904000000004</v>
      </c>
      <c r="M4" s="8">
        <f>SUM(Tablo145678910111213141516171819202122232425262728293031323334353637383940[SATIŞ TUTAR])</f>
        <v>5314.7331999999997</v>
      </c>
      <c r="N4" s="8">
        <f>L4-M4</f>
        <v>1348.4572000000007</v>
      </c>
    </row>
    <row r="5" spans="2:14" ht="21" customHeight="1" x14ac:dyDescent="0.3">
      <c r="B5" s="2">
        <v>45291</v>
      </c>
      <c r="C5" s="6">
        <v>100</v>
      </c>
      <c r="D5" s="10">
        <v>8.3289880000000007</v>
      </c>
      <c r="E5" s="10"/>
      <c r="F5" s="9" t="str">
        <f>IF(Tablo145678910111213141516171819202122232425262728293031323334353637383940[[#This Row],[SATIŞ]]=0,"Açık",(E5-D5)*C5)</f>
        <v>Açık</v>
      </c>
      <c r="G5" s="11">
        <f>Tablo145678910111213141516171819202122232425262728293031323334353637383940[[#This Row],[ADET]]*Tablo145678910111213141516171819202122232425262728293031323334353637383940[[#This Row],[ALIŞ]]</f>
        <v>832.89880000000005</v>
      </c>
      <c r="H5" s="11">
        <f>Tablo145678910111213141516171819202122232425262728293031323334353637383940[[#This Row],[ADET]]*Tablo145678910111213141516171819202122232425262728293031323334353637383940[[#This Row],[SATIŞ]]</f>
        <v>0</v>
      </c>
      <c r="N5">
        <f>+N4/80</f>
        <v>16.855715000000011</v>
      </c>
    </row>
    <row r="6" spans="2:14" ht="21" customHeight="1" x14ac:dyDescent="0.3">
      <c r="B6" s="2"/>
      <c r="D6" s="10"/>
      <c r="E6" s="10"/>
      <c r="F6" s="9" t="str">
        <f>IF(Tablo145678910111213141516171819202122232425262728293031323334353637383940[[#This Row],[SATIŞ]]=0,"Açık",(E6-D6)*C6)</f>
        <v>Açık</v>
      </c>
      <c r="G6" s="11">
        <f>Tablo145678910111213141516171819202122232425262728293031323334353637383940[[#This Row],[ADET]]*Tablo145678910111213141516171819202122232425262728293031323334353637383940[[#This Row],[ALIŞ]]</f>
        <v>0</v>
      </c>
      <c r="H6" s="11">
        <f>Tablo145678910111213141516171819202122232425262728293031323334353637383940[[#This Row],[ADET]]*Tablo145678910111213141516171819202122232425262728293031323334353637383940[[#This Row],[SATIŞ]]</f>
        <v>0</v>
      </c>
    </row>
    <row r="7" spans="2:14" ht="21" customHeight="1" x14ac:dyDescent="0.3">
      <c r="B7" s="2"/>
      <c r="D7" s="10"/>
      <c r="E7" s="10"/>
      <c r="F7" s="9" t="str">
        <f>IF(Tablo145678910111213141516171819202122232425262728293031323334353637383940[[#This Row],[SATIŞ]]=0,"Açık",(E7-D7)*C7)</f>
        <v>Açık</v>
      </c>
      <c r="G7" s="11">
        <f>Tablo145678910111213141516171819202122232425262728293031323334353637383940[[#This Row],[ADET]]*Tablo145678910111213141516171819202122232425262728293031323334353637383940[[#This Row],[ALIŞ]]</f>
        <v>0</v>
      </c>
      <c r="H7" s="11">
        <f>Tablo145678910111213141516171819202122232425262728293031323334353637383940[[#This Row],[ADET]]*Tablo145678910111213141516171819202122232425262728293031323334353637383940[[#This Row],[SATIŞ]]</f>
        <v>0</v>
      </c>
    </row>
    <row r="8" spans="2:14" ht="21" customHeight="1" x14ac:dyDescent="0.3">
      <c r="B8" s="2"/>
      <c r="D8" s="10"/>
      <c r="E8" s="10"/>
      <c r="F8" s="9" t="str">
        <f>IF(Tablo145678910111213141516171819202122232425262728293031323334353637383940[[#This Row],[SATIŞ]]=0,"Açık",(E8-D8)*C8)</f>
        <v>Açık</v>
      </c>
      <c r="G8" s="11">
        <f>Tablo145678910111213141516171819202122232425262728293031323334353637383940[[#This Row],[ADET]]*Tablo145678910111213141516171819202122232425262728293031323334353637383940[[#This Row],[ALIŞ]]</f>
        <v>0</v>
      </c>
      <c r="H8" s="11">
        <f>Tablo145678910111213141516171819202122232425262728293031323334353637383940[[#This Row],[ADET]]*Tablo145678910111213141516171819202122232425262728293031323334353637383940[[#This Row],[SATIŞ]]</f>
        <v>0</v>
      </c>
    </row>
    <row r="9" spans="2:14" ht="21" customHeight="1" x14ac:dyDescent="0.3">
      <c r="B9" s="2"/>
      <c r="D9" s="10"/>
      <c r="E9" s="10"/>
      <c r="F9" s="9" t="str">
        <f>IF(Tablo145678910111213141516171819202122232425262728293031323334353637383940[[#This Row],[SATIŞ]]=0,"Açık",(E9-D9)*C9)</f>
        <v>Açık</v>
      </c>
      <c r="G9" s="11">
        <f>Tablo145678910111213141516171819202122232425262728293031323334353637383940[[#This Row],[ADET]]*Tablo145678910111213141516171819202122232425262728293031323334353637383940[[#This Row],[ALIŞ]]</f>
        <v>0</v>
      </c>
      <c r="H9" s="11">
        <f>Tablo145678910111213141516171819202122232425262728293031323334353637383940[[#This Row],[ADET]]*Tablo145678910111213141516171819202122232425262728293031323334353637383940[[#This Row],[SATIŞ]]</f>
        <v>0</v>
      </c>
    </row>
    <row r="10" spans="2:14" ht="21" customHeight="1" x14ac:dyDescent="0.3">
      <c r="B10" s="2"/>
      <c r="D10" s="10"/>
      <c r="E10" s="10"/>
      <c r="F10" s="9" t="str">
        <f>IF(Tablo145678910111213141516171819202122232425262728293031323334353637383940[[#This Row],[SATIŞ]]=0,"Açık",(E10-D10)*C10)</f>
        <v>Açık</v>
      </c>
      <c r="G10" s="11">
        <f>Tablo145678910111213141516171819202122232425262728293031323334353637383940[[#This Row],[ADET]]*Tablo145678910111213141516171819202122232425262728293031323334353637383940[[#This Row],[ALIŞ]]</f>
        <v>0</v>
      </c>
      <c r="H10" s="11">
        <f>Tablo145678910111213141516171819202122232425262728293031323334353637383940[[#This Row],[ADET]]*Tablo145678910111213141516171819202122232425262728293031323334353637383940[[#This Row],[SATIŞ]]</f>
        <v>0</v>
      </c>
    </row>
  </sheetData>
  <conditionalFormatting sqref="B4:F10">
    <cfRule type="expression" dxfId="50" priority="1">
      <formula>$F4&lt;0</formula>
    </cfRule>
    <cfRule type="expression" dxfId="49" priority="2">
      <formula>$F4="Açık"</formula>
    </cfRule>
    <cfRule type="expression" dxfId="48" priority="3">
      <formula>$F4&gt;0</formula>
    </cfRule>
  </conditionalFormatting>
  <hyperlinks>
    <hyperlink ref="B1" location="İcmal!A1" display="ANA SAYFA" xr:uid="{DF47D336-FA8D-4833-B492-48E6418FD60F}"/>
  </hyperlinks>
  <pageMargins left="0.7" right="0.7" top="0.75" bottom="0.75" header="0.3" footer="0.3"/>
  <tableParts count="1">
    <tablePart r:id="rId1"/>
  </tablePart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A2DD1-09AB-42F1-AC8C-C9F12DBDC815}">
  <dimension ref="B1:R285"/>
  <sheetViews>
    <sheetView showGridLines="0" showZeros="0" zoomScale="110" zoomScaleNormal="110" workbookViewId="0">
      <pane ySplit="3" topLeftCell="A254" activePane="bottomLeft" state="frozen"/>
      <selection pane="bottomLeft" activeCell="E263" sqref="E263"/>
    </sheetView>
  </sheetViews>
  <sheetFormatPr defaultRowHeight="21" customHeight="1" x14ac:dyDescent="0.3"/>
  <cols>
    <col min="2" max="2" width="20.6640625" style="1" customWidth="1"/>
    <col min="3" max="3" width="11.33203125" style="6" customWidth="1"/>
    <col min="4" max="5" width="12.88671875" style="3" customWidth="1"/>
    <col min="6" max="6" width="12.88671875" style="5" customWidth="1"/>
    <col min="7" max="7" width="12.44140625" bestFit="1" customWidth="1"/>
    <col min="8" max="8" width="11.6640625" bestFit="1" customWidth="1"/>
    <col min="10" max="12" width="12.44140625" customWidth="1"/>
    <col min="13" max="13" width="12.6640625" bestFit="1" customWidth="1"/>
    <col min="14" max="14" width="10.44140625" bestFit="1" customWidth="1"/>
  </cols>
  <sheetData>
    <row r="1" spans="2:18" ht="21" customHeight="1" x14ac:dyDescent="0.3">
      <c r="B1" s="12" t="s">
        <v>64</v>
      </c>
      <c r="C1" s="4">
        <f>SUMIF(Tablo14567891011121314151617181920212223242526272829303132333435363738394041[KAR],"Açık",Tablo14567891011121314151617181920212223242526272829303132333435363738394041[ADET])</f>
        <v>0</v>
      </c>
      <c r="D1" s="10">
        <f>+İcmal!E55</f>
        <v>45</v>
      </c>
      <c r="E1" s="10">
        <f>C1*D1</f>
        <v>0</v>
      </c>
      <c r="F1" s="10" t="str">
        <f>IFERROR(((SUM(Tablo14567891011121314151617181920212223242526272829303132333435363738394041[ALIŞ TUTAR])-SUM(Tablo14567891011121314151617181920212223242526272829303132333435363738394041[SATIŞ TUTAR]))/C1),"")</f>
        <v/>
      </c>
      <c r="G1" s="10">
        <f>IF(M3=0,L3,C1*(D1-F1))</f>
        <v>24606.57439999999</v>
      </c>
      <c r="J1" s="45" t="s">
        <v>94</v>
      </c>
      <c r="K1" s="45" t="s">
        <v>95</v>
      </c>
      <c r="L1" s="45" t="s">
        <v>96</v>
      </c>
      <c r="M1" s="33" t="str">
        <f>F1</f>
        <v/>
      </c>
      <c r="N1" s="8" t="e">
        <f>M1*(1+$J$1)</f>
        <v>#VALUE!</v>
      </c>
      <c r="P1" s="8" t="e">
        <f>Q1*(1-$J$1)</f>
        <v>#VALUE!</v>
      </c>
      <c r="Q1" s="33">
        <f>+D1</f>
        <v>45</v>
      </c>
      <c r="R1" s="8" t="e">
        <f>Q1*(1+$J$1)</f>
        <v>#VALUE!</v>
      </c>
    </row>
    <row r="2" spans="2:18" ht="21" customHeight="1" x14ac:dyDescent="0.3">
      <c r="B2" s="7" t="s">
        <v>50</v>
      </c>
      <c r="J2" s="45">
        <f>SUMIFS(Tablo2[HEDEF2],Tablo2[HİSSE],B2)</f>
        <v>1000</v>
      </c>
      <c r="K2" s="45">
        <f>+E1/İcmal!$P$2</f>
        <v>0</v>
      </c>
      <c r="L2" s="45">
        <f>+J2-K2</f>
        <v>1000</v>
      </c>
      <c r="M2" s="37"/>
    </row>
    <row r="3" spans="2:18" ht="21" customHeight="1" x14ac:dyDescent="0.3">
      <c r="B3" s="1" t="s">
        <v>0</v>
      </c>
      <c r="C3" s="6" t="s">
        <v>4</v>
      </c>
      <c r="D3" s="3" t="s">
        <v>1</v>
      </c>
      <c r="E3" s="3" t="s">
        <v>3</v>
      </c>
      <c r="F3" s="5" t="s">
        <v>2</v>
      </c>
      <c r="G3" s="3" t="s">
        <v>8</v>
      </c>
      <c r="H3" s="3" t="s">
        <v>9</v>
      </c>
      <c r="L3" s="33">
        <f>SUM(Tablo14567891011121314151617181920212223242526272829303132333435363738394041[KAR])</f>
        <v>24606.57439999999</v>
      </c>
      <c r="M3" s="37">
        <f>+C1</f>
        <v>0</v>
      </c>
    </row>
    <row r="4" spans="2:18" ht="21" hidden="1" customHeight="1" x14ac:dyDescent="0.3">
      <c r="B4" s="2">
        <v>45291</v>
      </c>
      <c r="C4" s="6">
        <v>2680</v>
      </c>
      <c r="D4" s="10">
        <v>31.698070000000001</v>
      </c>
      <c r="E4" s="10">
        <v>34.27478</v>
      </c>
      <c r="F4" s="9">
        <f>IF(Tablo14567891011121314151617181920212223242526272829303132333435363738394041[[#This Row],[SATIŞ]]=0,"Açık",(E4-D4)*C4)</f>
        <v>6905.5827999999956</v>
      </c>
      <c r="G4" s="11">
        <f>Tablo14567891011121314151617181920212223242526272829303132333435363738394041[[#This Row],[ADET]]*Tablo14567891011121314151617181920212223242526272829303132333435363738394041[[#This Row],[ALIŞ]]</f>
        <v>84950.827600000004</v>
      </c>
      <c r="H4" s="11">
        <f>Tablo14567891011121314151617181920212223242526272829303132333435363738394041[[#This Row],[ADET]]*Tablo14567891011121314151617181920212223242526272829303132333435363738394041[[#This Row],[SATIŞ]]</f>
        <v>91856.410399999993</v>
      </c>
      <c r="L4" s="8">
        <f>SUM(Tablo14567891011121314151617181920212223242526272829303132333435363738394041[ALIŞ TUTAR])</f>
        <v>893569.39599999995</v>
      </c>
      <c r="M4" s="8">
        <f>SUM(Tablo14567891011121314151617181920212223242526272829303132333435363738394041[SATIŞ TUTAR])</f>
        <v>918175.97039999999</v>
      </c>
      <c r="N4" s="8">
        <f>L4-M4</f>
        <v>-24606.574400000041</v>
      </c>
    </row>
    <row r="5" spans="2:18" ht="21" hidden="1" customHeight="1" x14ac:dyDescent="0.3">
      <c r="B5" s="2">
        <v>45291</v>
      </c>
      <c r="C5" s="6">
        <v>50</v>
      </c>
      <c r="D5" s="10">
        <v>31.698070000000001</v>
      </c>
      <c r="E5" s="10">
        <v>41.24</v>
      </c>
      <c r="F5" s="9">
        <f>IF(Tablo14567891011121314151617181920212223242526272829303132333435363738394041[[#This Row],[SATIŞ]]=0,"Açık",(E5-D5)*C5)</f>
        <v>477.09650000000005</v>
      </c>
      <c r="G5" s="11">
        <f>Tablo14567891011121314151617181920212223242526272829303132333435363738394041[[#This Row],[ADET]]*Tablo14567891011121314151617181920212223242526272829303132333435363738394041[[#This Row],[ALIŞ]]</f>
        <v>1584.9035000000001</v>
      </c>
      <c r="H5" s="11">
        <f>Tablo14567891011121314151617181920212223242526272829303132333435363738394041[[#This Row],[ADET]]*Tablo14567891011121314151617181920212223242526272829303132333435363738394041[[#This Row],[SATIŞ]]</f>
        <v>2062</v>
      </c>
      <c r="N5">
        <f>+N4/80</f>
        <v>-307.58218000000051</v>
      </c>
    </row>
    <row r="6" spans="2:18" ht="21" hidden="1" customHeight="1" x14ac:dyDescent="0.3">
      <c r="B6" s="2">
        <v>45291</v>
      </c>
      <c r="C6" s="6">
        <v>5</v>
      </c>
      <c r="D6" s="10">
        <v>31.698070000000001</v>
      </c>
      <c r="E6" s="10">
        <v>42</v>
      </c>
      <c r="F6" s="9">
        <f>IF(Tablo14567891011121314151617181920212223242526272829303132333435363738394041[[#This Row],[SATIŞ]]=0,"Açık",(E6-D6)*C6)</f>
        <v>51.509649999999993</v>
      </c>
      <c r="G6" s="11">
        <f>Tablo14567891011121314151617181920212223242526272829303132333435363738394041[[#This Row],[ADET]]*Tablo14567891011121314151617181920212223242526272829303132333435363738394041[[#This Row],[ALIŞ]]</f>
        <v>158.49035000000001</v>
      </c>
      <c r="H6" s="11">
        <f>Tablo14567891011121314151617181920212223242526272829303132333435363738394041[[#This Row],[ADET]]*Tablo14567891011121314151617181920212223242526272829303132333435363738394041[[#This Row],[SATIŞ]]</f>
        <v>210</v>
      </c>
    </row>
    <row r="7" spans="2:18" ht="21" hidden="1" customHeight="1" x14ac:dyDescent="0.3">
      <c r="B7" s="2">
        <v>45291</v>
      </c>
      <c r="C7" s="6">
        <v>25</v>
      </c>
      <c r="D7" s="10">
        <v>31.698070000000001</v>
      </c>
      <c r="E7" s="10">
        <v>43</v>
      </c>
      <c r="F7" s="9">
        <f>IF(Tablo14567891011121314151617181920212223242526272829303132333435363738394041[[#This Row],[SATIŞ]]=0,"Açık",(E7-D7)*C7)</f>
        <v>282.54824999999994</v>
      </c>
      <c r="G7" s="11">
        <f>Tablo14567891011121314151617181920212223242526272829303132333435363738394041[[#This Row],[ADET]]*Tablo14567891011121314151617181920212223242526272829303132333435363738394041[[#This Row],[ALIŞ]]</f>
        <v>792.45175000000006</v>
      </c>
      <c r="H7" s="11">
        <f>Tablo14567891011121314151617181920212223242526272829303132333435363738394041[[#This Row],[ADET]]*Tablo14567891011121314151617181920212223242526272829303132333435363738394041[[#This Row],[SATIŞ]]</f>
        <v>1075</v>
      </c>
    </row>
    <row r="8" spans="2:18" ht="21" hidden="1" customHeight="1" x14ac:dyDescent="0.3">
      <c r="B8" s="2">
        <v>45291</v>
      </c>
      <c r="C8" s="6">
        <v>20</v>
      </c>
      <c r="D8" s="10">
        <v>31.698070000000001</v>
      </c>
      <c r="E8" s="10">
        <v>38.75</v>
      </c>
      <c r="F8" s="9">
        <f>IF(Tablo14567891011121314151617181920212223242526272829303132333435363738394041[[#This Row],[SATIŞ]]=0,"Açık",(E8-D8)*C8)</f>
        <v>141.03859999999997</v>
      </c>
      <c r="G8" s="11">
        <f>Tablo14567891011121314151617181920212223242526272829303132333435363738394041[[#This Row],[ADET]]*Tablo14567891011121314151617181920212223242526272829303132333435363738394041[[#This Row],[ALIŞ]]</f>
        <v>633.96140000000003</v>
      </c>
      <c r="H8" s="11">
        <f>Tablo14567891011121314151617181920212223242526272829303132333435363738394041[[#This Row],[ADET]]*Tablo14567891011121314151617181920212223242526272829303132333435363738394041[[#This Row],[SATIŞ]]</f>
        <v>775</v>
      </c>
    </row>
    <row r="9" spans="2:18" ht="21" hidden="1" customHeight="1" x14ac:dyDescent="0.3">
      <c r="B9" s="2">
        <v>45291</v>
      </c>
      <c r="C9" s="6">
        <v>20</v>
      </c>
      <c r="D9" s="10">
        <v>31.698070000000001</v>
      </c>
      <c r="E9" s="10">
        <v>39</v>
      </c>
      <c r="F9" s="9">
        <f>IF(Tablo14567891011121314151617181920212223242526272829303132333435363738394041[[#This Row],[SATIŞ]]=0,"Açık",(E9-D9)*C9)</f>
        <v>146.03859999999997</v>
      </c>
      <c r="G9" s="11">
        <f>Tablo14567891011121314151617181920212223242526272829303132333435363738394041[[#This Row],[ADET]]*Tablo14567891011121314151617181920212223242526272829303132333435363738394041[[#This Row],[ALIŞ]]</f>
        <v>633.96140000000003</v>
      </c>
      <c r="H9" s="11">
        <f>Tablo14567891011121314151617181920212223242526272829303132333435363738394041[[#This Row],[ADET]]*Tablo14567891011121314151617181920212223242526272829303132333435363738394041[[#This Row],[SATIŞ]]</f>
        <v>780</v>
      </c>
    </row>
    <row r="10" spans="2:18" ht="21" hidden="1" customHeight="1" x14ac:dyDescent="0.3">
      <c r="B10" s="2">
        <v>45323</v>
      </c>
      <c r="C10" s="6">
        <v>20</v>
      </c>
      <c r="D10" s="10">
        <v>37.799999999999997</v>
      </c>
      <c r="E10" s="10">
        <v>38.549999999999997</v>
      </c>
      <c r="F10" s="9">
        <f>IF(Tablo14567891011121314151617181920212223242526272829303132333435363738394041[[#This Row],[SATIŞ]]=0,"Açık",(E10-D10)*C10)</f>
        <v>15</v>
      </c>
      <c r="G10" s="11">
        <f>Tablo14567891011121314151617181920212223242526272829303132333435363738394041[[#This Row],[ADET]]*Tablo14567891011121314151617181920212223242526272829303132333435363738394041[[#This Row],[ALIŞ]]</f>
        <v>756</v>
      </c>
      <c r="H10" s="11">
        <f>Tablo14567891011121314151617181920212223242526272829303132333435363738394041[[#This Row],[ADET]]*Tablo14567891011121314151617181920212223242526272829303132333435363738394041[[#This Row],[SATIŞ]]</f>
        <v>771</v>
      </c>
    </row>
    <row r="11" spans="2:18" ht="21" hidden="1" customHeight="1" x14ac:dyDescent="0.3">
      <c r="B11" s="2">
        <v>45323</v>
      </c>
      <c r="C11" s="6">
        <v>15</v>
      </c>
      <c r="D11" s="10">
        <v>37.799999999999997</v>
      </c>
      <c r="E11" s="10">
        <v>38</v>
      </c>
      <c r="F11" s="9">
        <f>IF(Tablo14567891011121314151617181920212223242526272829303132333435363738394041[[#This Row],[SATIŞ]]=0,"Açık",(E11-D11)*C11)</f>
        <v>3.0000000000000426</v>
      </c>
      <c r="G11" s="11">
        <f>Tablo14567891011121314151617181920212223242526272829303132333435363738394041[[#This Row],[ADET]]*Tablo14567891011121314151617181920212223242526272829303132333435363738394041[[#This Row],[ALIŞ]]</f>
        <v>567</v>
      </c>
      <c r="H11" s="11">
        <f>Tablo14567891011121314151617181920212223242526272829303132333435363738394041[[#This Row],[ADET]]*Tablo14567891011121314151617181920212223242526272829303132333435363738394041[[#This Row],[SATIŞ]]</f>
        <v>570</v>
      </c>
    </row>
    <row r="12" spans="2:18" ht="21" hidden="1" customHeight="1" x14ac:dyDescent="0.3">
      <c r="B12" s="2">
        <v>45323</v>
      </c>
      <c r="C12" s="6">
        <v>10</v>
      </c>
      <c r="D12" s="10">
        <v>37.700000000000003</v>
      </c>
      <c r="E12" s="10">
        <v>38</v>
      </c>
      <c r="F12" s="9">
        <f>IF(Tablo14567891011121314151617181920212223242526272829303132333435363738394041[[#This Row],[SATIŞ]]=0,"Açık",(E12-D12)*C12)</f>
        <v>2.9999999999999716</v>
      </c>
      <c r="G12" s="11">
        <f>Tablo14567891011121314151617181920212223242526272829303132333435363738394041[[#This Row],[ADET]]*Tablo14567891011121314151617181920212223242526272829303132333435363738394041[[#This Row],[ALIŞ]]</f>
        <v>377</v>
      </c>
      <c r="H12" s="11">
        <f>Tablo14567891011121314151617181920212223242526272829303132333435363738394041[[#This Row],[ADET]]*Tablo14567891011121314151617181920212223242526272829303132333435363738394041[[#This Row],[SATIŞ]]</f>
        <v>380</v>
      </c>
    </row>
    <row r="13" spans="2:18" ht="21" hidden="1" customHeight="1" x14ac:dyDescent="0.3">
      <c r="B13" s="2">
        <v>45323</v>
      </c>
      <c r="C13" s="6">
        <v>5</v>
      </c>
      <c r="D13" s="10">
        <v>37.700000000000003</v>
      </c>
      <c r="E13" s="10">
        <v>38.4</v>
      </c>
      <c r="F13" s="9">
        <f>IF(Tablo14567891011121314151617181920212223242526272829303132333435363738394041[[#This Row],[SATIŞ]]=0,"Açık",(E13-D13)*C13)</f>
        <v>3.4999999999999787</v>
      </c>
      <c r="G13" s="11">
        <f>Tablo14567891011121314151617181920212223242526272829303132333435363738394041[[#This Row],[ADET]]*Tablo14567891011121314151617181920212223242526272829303132333435363738394041[[#This Row],[ALIŞ]]</f>
        <v>188.5</v>
      </c>
      <c r="H13" s="11">
        <f>Tablo14567891011121314151617181920212223242526272829303132333435363738394041[[#This Row],[ADET]]*Tablo14567891011121314151617181920212223242526272829303132333435363738394041[[#This Row],[SATIŞ]]</f>
        <v>192</v>
      </c>
    </row>
    <row r="14" spans="2:18" ht="21" hidden="1" customHeight="1" x14ac:dyDescent="0.3">
      <c r="B14" s="2">
        <v>45323</v>
      </c>
      <c r="C14" s="6">
        <v>10</v>
      </c>
      <c r="D14" s="10">
        <v>37.6</v>
      </c>
      <c r="E14" s="10">
        <v>37.700000000000003</v>
      </c>
      <c r="F14" s="9">
        <f>IF(Tablo14567891011121314151617181920212223242526272829303132333435363738394041[[#This Row],[SATIŞ]]=0,"Açık",(E14-D14)*C14)</f>
        <v>1.0000000000000142</v>
      </c>
      <c r="G14" s="11">
        <f>Tablo14567891011121314151617181920212223242526272829303132333435363738394041[[#This Row],[ADET]]*Tablo14567891011121314151617181920212223242526272829303132333435363738394041[[#This Row],[ALIŞ]]</f>
        <v>376</v>
      </c>
      <c r="H14" s="11">
        <f>Tablo14567891011121314151617181920212223242526272829303132333435363738394041[[#This Row],[ADET]]*Tablo14567891011121314151617181920212223242526272829303132333435363738394041[[#This Row],[SATIŞ]]</f>
        <v>377</v>
      </c>
    </row>
    <row r="15" spans="2:18" ht="21" hidden="1" customHeight="1" x14ac:dyDescent="0.3">
      <c r="B15" s="2">
        <v>45323</v>
      </c>
      <c r="C15" s="6">
        <v>10</v>
      </c>
      <c r="D15" s="10">
        <v>37.6</v>
      </c>
      <c r="E15" s="10">
        <v>42.5</v>
      </c>
      <c r="F15" s="9">
        <f>IF(Tablo14567891011121314151617181920212223242526272829303132333435363738394041[[#This Row],[SATIŞ]]=0,"Açık",(E15-D15)*C15)</f>
        <v>48.999999999999986</v>
      </c>
      <c r="G15" s="11">
        <f>Tablo14567891011121314151617181920212223242526272829303132333435363738394041[[#This Row],[ADET]]*Tablo14567891011121314151617181920212223242526272829303132333435363738394041[[#This Row],[ALIŞ]]</f>
        <v>376</v>
      </c>
      <c r="H15" s="11">
        <f>Tablo14567891011121314151617181920212223242526272829303132333435363738394041[[#This Row],[ADET]]*Tablo14567891011121314151617181920212223242526272829303132333435363738394041[[#This Row],[SATIŞ]]</f>
        <v>425</v>
      </c>
    </row>
    <row r="16" spans="2:18" ht="21" hidden="1" customHeight="1" x14ac:dyDescent="0.3">
      <c r="B16" s="2">
        <v>45323</v>
      </c>
      <c r="C16" s="6">
        <v>10</v>
      </c>
      <c r="D16" s="10">
        <v>34.700000000000003</v>
      </c>
      <c r="E16" s="10">
        <v>44</v>
      </c>
      <c r="F16" s="9">
        <f>IF(Tablo14567891011121314151617181920212223242526272829303132333435363738394041[[#This Row],[SATIŞ]]=0,"Açık",(E16-D16)*C16)</f>
        <v>92.999999999999972</v>
      </c>
      <c r="G16" s="11">
        <f>Tablo14567891011121314151617181920212223242526272829303132333435363738394041[[#This Row],[ADET]]*Tablo14567891011121314151617181920212223242526272829303132333435363738394041[[#This Row],[ALIŞ]]</f>
        <v>347</v>
      </c>
      <c r="H16" s="11">
        <f>Tablo14567891011121314151617181920212223242526272829303132333435363738394041[[#This Row],[ADET]]*Tablo14567891011121314151617181920212223242526272829303132333435363738394041[[#This Row],[SATIŞ]]</f>
        <v>440</v>
      </c>
    </row>
    <row r="17" spans="2:8" ht="21" hidden="1" customHeight="1" x14ac:dyDescent="0.3">
      <c r="B17" s="2">
        <v>45323</v>
      </c>
      <c r="C17" s="6">
        <v>20</v>
      </c>
      <c r="D17" s="10">
        <v>34.700000000000003</v>
      </c>
      <c r="E17" s="10">
        <v>38</v>
      </c>
      <c r="F17" s="9">
        <f>IF(Tablo14567891011121314151617181920212223242526272829303132333435363738394041[[#This Row],[SATIŞ]]=0,"Açık",(E17-D17)*C17)</f>
        <v>65.999999999999943</v>
      </c>
      <c r="G17" s="11">
        <f>Tablo14567891011121314151617181920212223242526272829303132333435363738394041[[#This Row],[ADET]]*Tablo14567891011121314151617181920212223242526272829303132333435363738394041[[#This Row],[ALIŞ]]</f>
        <v>694</v>
      </c>
      <c r="H17" s="11">
        <f>Tablo14567891011121314151617181920212223242526272829303132333435363738394041[[#This Row],[ADET]]*Tablo14567891011121314151617181920212223242526272829303132333435363738394041[[#This Row],[SATIŞ]]</f>
        <v>760</v>
      </c>
    </row>
    <row r="18" spans="2:8" ht="21" hidden="1" customHeight="1" x14ac:dyDescent="0.3">
      <c r="B18" s="2">
        <v>45323</v>
      </c>
      <c r="C18" s="6">
        <v>35</v>
      </c>
      <c r="D18" s="10">
        <v>37.299999999999997</v>
      </c>
      <c r="E18" s="10">
        <v>45.36</v>
      </c>
      <c r="F18" s="9">
        <f>IF(Tablo14567891011121314151617181920212223242526272829303132333435363738394041[[#This Row],[SATIŞ]]=0,"Açık",(E18-D18)*C18)</f>
        <v>282.10000000000008</v>
      </c>
      <c r="G18" s="11">
        <f>Tablo14567891011121314151617181920212223242526272829303132333435363738394041[[#This Row],[ADET]]*Tablo14567891011121314151617181920212223242526272829303132333435363738394041[[#This Row],[ALIŞ]]</f>
        <v>1305.5</v>
      </c>
      <c r="H18" s="11">
        <f>Tablo14567891011121314151617181920212223242526272829303132333435363738394041[[#This Row],[ADET]]*Tablo14567891011121314151617181920212223242526272829303132333435363738394041[[#This Row],[SATIŞ]]</f>
        <v>1587.6</v>
      </c>
    </row>
    <row r="19" spans="2:8" ht="21" hidden="1" customHeight="1" x14ac:dyDescent="0.3">
      <c r="B19" s="2">
        <v>45323</v>
      </c>
      <c r="C19" s="6">
        <v>15</v>
      </c>
      <c r="D19" s="10">
        <v>37.200000000000003</v>
      </c>
      <c r="E19" s="10">
        <v>45.36</v>
      </c>
      <c r="F19" s="9">
        <f>IF(Tablo14567891011121314151617181920212223242526272829303132333435363738394041[[#This Row],[SATIŞ]]=0,"Açık",(E19-D19)*C19)</f>
        <v>122.39999999999995</v>
      </c>
      <c r="G19" s="11">
        <f>Tablo14567891011121314151617181920212223242526272829303132333435363738394041[[#This Row],[ADET]]*Tablo14567891011121314151617181920212223242526272829303132333435363738394041[[#This Row],[ALIŞ]]</f>
        <v>558</v>
      </c>
      <c r="H19" s="11">
        <f>Tablo14567891011121314151617181920212223242526272829303132333435363738394041[[#This Row],[ADET]]*Tablo14567891011121314151617181920212223242526272829303132333435363738394041[[#This Row],[SATIŞ]]</f>
        <v>680.4</v>
      </c>
    </row>
    <row r="20" spans="2:8" ht="21" hidden="1" customHeight="1" x14ac:dyDescent="0.3">
      <c r="B20" s="2">
        <v>45323</v>
      </c>
      <c r="C20" s="6">
        <v>10</v>
      </c>
      <c r="D20" s="10">
        <v>37.200000000000003</v>
      </c>
      <c r="E20" s="10">
        <v>47</v>
      </c>
      <c r="F20" s="9">
        <f>IF(Tablo14567891011121314151617181920212223242526272829303132333435363738394041[[#This Row],[SATIŞ]]=0,"Açık",(E20-D20)*C20)</f>
        <v>97.999999999999972</v>
      </c>
      <c r="G20" s="11">
        <f>Tablo14567891011121314151617181920212223242526272829303132333435363738394041[[#This Row],[ADET]]*Tablo14567891011121314151617181920212223242526272829303132333435363738394041[[#This Row],[ALIŞ]]</f>
        <v>372</v>
      </c>
      <c r="H20" s="11">
        <f>Tablo14567891011121314151617181920212223242526272829303132333435363738394041[[#This Row],[ADET]]*Tablo14567891011121314151617181920212223242526272829303132333435363738394041[[#This Row],[SATIŞ]]</f>
        <v>470</v>
      </c>
    </row>
    <row r="21" spans="2:8" ht="21" hidden="1" customHeight="1" x14ac:dyDescent="0.3">
      <c r="B21" s="2">
        <v>45323</v>
      </c>
      <c r="C21" s="6">
        <v>15</v>
      </c>
      <c r="D21" s="10">
        <v>37.200000000000003</v>
      </c>
      <c r="E21" s="10">
        <v>38.200000000000003</v>
      </c>
      <c r="F21" s="9">
        <f>IF(Tablo14567891011121314151617181920212223242526272829303132333435363738394041[[#This Row],[SATIŞ]]=0,"Açık",(E21-D21)*C21)</f>
        <v>15</v>
      </c>
      <c r="G21" s="11">
        <f>Tablo14567891011121314151617181920212223242526272829303132333435363738394041[[#This Row],[ADET]]*Tablo14567891011121314151617181920212223242526272829303132333435363738394041[[#This Row],[ALIŞ]]</f>
        <v>558</v>
      </c>
      <c r="H21" s="11">
        <f>Tablo14567891011121314151617181920212223242526272829303132333435363738394041[[#This Row],[ADET]]*Tablo14567891011121314151617181920212223242526272829303132333435363738394041[[#This Row],[SATIŞ]]</f>
        <v>573</v>
      </c>
    </row>
    <row r="22" spans="2:8" ht="21" hidden="1" customHeight="1" x14ac:dyDescent="0.3">
      <c r="B22" s="2">
        <v>45324</v>
      </c>
      <c r="C22" s="6">
        <v>5</v>
      </c>
      <c r="D22" s="10">
        <v>37.1</v>
      </c>
      <c r="E22" s="10">
        <v>37.200000000000003</v>
      </c>
      <c r="F22" s="9">
        <f>IF(Tablo14567891011121314151617181920212223242526272829303132333435363738394041[[#This Row],[SATIŞ]]=0,"Açık",(E22-D22)*C22)</f>
        <v>0.50000000000000711</v>
      </c>
      <c r="G22" s="11">
        <f>Tablo14567891011121314151617181920212223242526272829303132333435363738394041[[#This Row],[ADET]]*Tablo14567891011121314151617181920212223242526272829303132333435363738394041[[#This Row],[ALIŞ]]</f>
        <v>185.5</v>
      </c>
      <c r="H22" s="11">
        <f>Tablo14567891011121314151617181920212223242526272829303132333435363738394041[[#This Row],[ADET]]*Tablo14567891011121314151617181920212223242526272829303132333435363738394041[[#This Row],[SATIŞ]]</f>
        <v>186</v>
      </c>
    </row>
    <row r="23" spans="2:8" ht="21" hidden="1" customHeight="1" x14ac:dyDescent="0.3">
      <c r="B23" s="2">
        <v>45324</v>
      </c>
      <c r="C23" s="6">
        <v>10</v>
      </c>
      <c r="D23" s="10">
        <v>37</v>
      </c>
      <c r="E23" s="10">
        <v>37.299999999999997</v>
      </c>
      <c r="F23" s="9">
        <f>IF(Tablo14567891011121314151617181920212223242526272829303132333435363738394041[[#This Row],[SATIŞ]]=0,"Açık",(E23-D23)*C23)</f>
        <v>2.9999999999999716</v>
      </c>
      <c r="G23" s="11">
        <f>Tablo14567891011121314151617181920212223242526272829303132333435363738394041[[#This Row],[ADET]]*Tablo14567891011121314151617181920212223242526272829303132333435363738394041[[#This Row],[ALIŞ]]</f>
        <v>370</v>
      </c>
      <c r="H23" s="11">
        <f>Tablo14567891011121314151617181920212223242526272829303132333435363738394041[[#This Row],[ADET]]*Tablo14567891011121314151617181920212223242526272829303132333435363738394041[[#This Row],[SATIŞ]]</f>
        <v>373</v>
      </c>
    </row>
    <row r="24" spans="2:8" ht="21" hidden="1" customHeight="1" x14ac:dyDescent="0.3">
      <c r="B24" s="2">
        <v>45324</v>
      </c>
      <c r="C24" s="6">
        <v>30</v>
      </c>
      <c r="D24" s="10">
        <v>37.9</v>
      </c>
      <c r="E24" s="10">
        <v>45.36</v>
      </c>
      <c r="F24" s="9">
        <f>IF(Tablo14567891011121314151617181920212223242526272829303132333435363738394041[[#This Row],[SATIŞ]]=0,"Açık",(E24-D24)*C24)</f>
        <v>223.8</v>
      </c>
      <c r="G24" s="11">
        <f>Tablo14567891011121314151617181920212223242526272829303132333435363738394041[[#This Row],[ADET]]*Tablo14567891011121314151617181920212223242526272829303132333435363738394041[[#This Row],[ALIŞ]]</f>
        <v>1137</v>
      </c>
      <c r="H24" s="11">
        <f>Tablo14567891011121314151617181920212223242526272829303132333435363738394041[[#This Row],[ADET]]*Tablo14567891011121314151617181920212223242526272829303132333435363738394041[[#This Row],[SATIŞ]]</f>
        <v>1360.8</v>
      </c>
    </row>
    <row r="25" spans="2:8" ht="21" hidden="1" customHeight="1" x14ac:dyDescent="0.3">
      <c r="B25" s="2">
        <v>45327</v>
      </c>
      <c r="C25" s="6">
        <v>10</v>
      </c>
      <c r="D25" s="10">
        <v>37.5</v>
      </c>
      <c r="E25" s="10">
        <v>44</v>
      </c>
      <c r="F25" s="9">
        <f>IF(Tablo14567891011121314151617181920212223242526272829303132333435363738394041[[#This Row],[SATIŞ]]=0,"Açık",(E25-D25)*C25)</f>
        <v>65</v>
      </c>
      <c r="G25" s="11">
        <f>Tablo14567891011121314151617181920212223242526272829303132333435363738394041[[#This Row],[ADET]]*Tablo14567891011121314151617181920212223242526272829303132333435363738394041[[#This Row],[ALIŞ]]</f>
        <v>375</v>
      </c>
      <c r="H25" s="11">
        <f>Tablo14567891011121314151617181920212223242526272829303132333435363738394041[[#This Row],[ADET]]*Tablo14567891011121314151617181920212223242526272829303132333435363738394041[[#This Row],[SATIŞ]]</f>
        <v>440</v>
      </c>
    </row>
    <row r="26" spans="2:8" ht="21" hidden="1" customHeight="1" x14ac:dyDescent="0.3">
      <c r="B26" s="2">
        <v>45328</v>
      </c>
      <c r="C26" s="6">
        <v>10</v>
      </c>
      <c r="D26" s="10">
        <v>38</v>
      </c>
      <c r="E26" s="10">
        <v>43.4</v>
      </c>
      <c r="F26" s="9">
        <f>IF(Tablo14567891011121314151617181920212223242526272829303132333435363738394041[[#This Row],[SATIŞ]]=0,"Açık",(E26-D26)*C26)</f>
        <v>53.999999999999986</v>
      </c>
      <c r="G26" s="11">
        <f>Tablo14567891011121314151617181920212223242526272829303132333435363738394041[[#This Row],[ADET]]*Tablo14567891011121314151617181920212223242526272829303132333435363738394041[[#This Row],[ALIŞ]]</f>
        <v>380</v>
      </c>
      <c r="H26" s="11">
        <f>Tablo14567891011121314151617181920212223242526272829303132333435363738394041[[#This Row],[ADET]]*Tablo14567891011121314151617181920212223242526272829303132333435363738394041[[#This Row],[SATIŞ]]</f>
        <v>434</v>
      </c>
    </row>
    <row r="27" spans="2:8" ht="21" hidden="1" customHeight="1" x14ac:dyDescent="0.3">
      <c r="B27" s="2">
        <v>45328</v>
      </c>
      <c r="C27" s="6">
        <v>20</v>
      </c>
      <c r="D27" s="10">
        <v>44</v>
      </c>
      <c r="E27" s="10">
        <v>45.36</v>
      </c>
      <c r="F27" s="9">
        <f>IF(Tablo14567891011121314151617181920212223242526272829303132333435363738394041[[#This Row],[SATIŞ]]=0,"Açık",(E27-D27)*C27)</f>
        <v>27.199999999999989</v>
      </c>
      <c r="G27" s="11">
        <f>Tablo14567891011121314151617181920212223242526272829303132333435363738394041[[#This Row],[ADET]]*Tablo14567891011121314151617181920212223242526272829303132333435363738394041[[#This Row],[ALIŞ]]</f>
        <v>880</v>
      </c>
      <c r="H27" s="11">
        <f>Tablo14567891011121314151617181920212223242526272829303132333435363738394041[[#This Row],[ADET]]*Tablo14567891011121314151617181920212223242526272829303132333435363738394041[[#This Row],[SATIŞ]]</f>
        <v>907.2</v>
      </c>
    </row>
    <row r="28" spans="2:8" ht="21" hidden="1" customHeight="1" x14ac:dyDescent="0.3">
      <c r="B28" s="2">
        <v>45328</v>
      </c>
      <c r="C28" s="6">
        <v>20</v>
      </c>
      <c r="D28" s="10">
        <v>43.9</v>
      </c>
      <c r="E28" s="10">
        <v>43.4</v>
      </c>
      <c r="F28" s="9">
        <f>IF(Tablo14567891011121314151617181920212223242526272829303132333435363738394041[[#This Row],[SATIŞ]]=0,"Açık",(E28-D28)*C28)</f>
        <v>-10</v>
      </c>
      <c r="G28" s="11">
        <f>Tablo14567891011121314151617181920212223242526272829303132333435363738394041[[#This Row],[ADET]]*Tablo14567891011121314151617181920212223242526272829303132333435363738394041[[#This Row],[ALIŞ]]</f>
        <v>878</v>
      </c>
      <c r="H28" s="11">
        <f>Tablo14567891011121314151617181920212223242526272829303132333435363738394041[[#This Row],[ADET]]*Tablo14567891011121314151617181920212223242526272829303132333435363738394041[[#This Row],[SATIŞ]]</f>
        <v>868</v>
      </c>
    </row>
    <row r="29" spans="2:8" ht="21" hidden="1" customHeight="1" x14ac:dyDescent="0.3">
      <c r="B29" s="2">
        <v>45328</v>
      </c>
      <c r="C29" s="6">
        <v>25</v>
      </c>
      <c r="D29" s="10">
        <v>43.8</v>
      </c>
      <c r="E29" s="10">
        <v>47</v>
      </c>
      <c r="F29" s="9">
        <f>IF(Tablo14567891011121314151617181920212223242526272829303132333435363738394041[[#This Row],[SATIŞ]]=0,"Açık",(E29-D29)*C29)</f>
        <v>80.000000000000071</v>
      </c>
      <c r="G29" s="11">
        <f>Tablo14567891011121314151617181920212223242526272829303132333435363738394041[[#This Row],[ADET]]*Tablo14567891011121314151617181920212223242526272829303132333435363738394041[[#This Row],[ALIŞ]]</f>
        <v>1095</v>
      </c>
      <c r="H29" s="11">
        <f>Tablo14567891011121314151617181920212223242526272829303132333435363738394041[[#This Row],[ADET]]*Tablo14567891011121314151617181920212223242526272829303132333435363738394041[[#This Row],[SATIŞ]]</f>
        <v>1175</v>
      </c>
    </row>
    <row r="30" spans="2:8" ht="21" hidden="1" customHeight="1" x14ac:dyDescent="0.3">
      <c r="B30" s="2">
        <v>45328</v>
      </c>
      <c r="C30" s="6">
        <v>5</v>
      </c>
      <c r="D30" s="10">
        <v>43.8</v>
      </c>
      <c r="E30" s="10">
        <v>43.4</v>
      </c>
      <c r="F30" s="9">
        <f>IF(Tablo14567891011121314151617181920212223242526272829303132333435363738394041[[#This Row],[SATIŞ]]=0,"Açık",(E30-D30)*C30)</f>
        <v>-1.9999999999999929</v>
      </c>
      <c r="G30" s="11">
        <f>Tablo14567891011121314151617181920212223242526272829303132333435363738394041[[#This Row],[ADET]]*Tablo14567891011121314151617181920212223242526272829303132333435363738394041[[#This Row],[ALIŞ]]</f>
        <v>219</v>
      </c>
      <c r="H30" s="11">
        <f>Tablo14567891011121314151617181920212223242526272829303132333435363738394041[[#This Row],[ADET]]*Tablo14567891011121314151617181920212223242526272829303132333435363738394041[[#This Row],[SATIŞ]]</f>
        <v>217</v>
      </c>
    </row>
    <row r="31" spans="2:8" ht="21" hidden="1" customHeight="1" x14ac:dyDescent="0.3">
      <c r="B31" s="2">
        <v>45328</v>
      </c>
      <c r="C31" s="6">
        <v>20</v>
      </c>
      <c r="D31" s="10">
        <v>44.8</v>
      </c>
      <c r="E31" s="10">
        <v>43.4</v>
      </c>
      <c r="F31" s="9">
        <f>IF(Tablo14567891011121314151617181920212223242526272829303132333435363738394041[[#This Row],[SATIŞ]]=0,"Açık",(E31-D31)*C31)</f>
        <v>-27.999999999999972</v>
      </c>
      <c r="G31" s="11">
        <f>Tablo14567891011121314151617181920212223242526272829303132333435363738394041[[#This Row],[ADET]]*Tablo14567891011121314151617181920212223242526272829303132333435363738394041[[#This Row],[ALIŞ]]</f>
        <v>896</v>
      </c>
      <c r="H31" s="11">
        <f>Tablo14567891011121314151617181920212223242526272829303132333435363738394041[[#This Row],[ADET]]*Tablo14567891011121314151617181920212223242526272829303132333435363738394041[[#This Row],[SATIŞ]]</f>
        <v>868</v>
      </c>
    </row>
    <row r="32" spans="2:8" ht="21" hidden="1" customHeight="1" x14ac:dyDescent="0.3">
      <c r="B32" s="2">
        <v>45328</v>
      </c>
      <c r="C32" s="6">
        <v>20</v>
      </c>
      <c r="D32" s="10">
        <v>44.86</v>
      </c>
      <c r="E32" s="10">
        <v>43.4</v>
      </c>
      <c r="F32" s="9">
        <f>IF(Tablo14567891011121314151617181920212223242526272829303132333435363738394041[[#This Row],[SATIŞ]]=0,"Açık",(E32-D32)*C32)</f>
        <v>-29.200000000000017</v>
      </c>
      <c r="G32" s="11">
        <f>Tablo14567891011121314151617181920212223242526272829303132333435363738394041[[#This Row],[ADET]]*Tablo14567891011121314151617181920212223242526272829303132333435363738394041[[#This Row],[ALIŞ]]</f>
        <v>897.2</v>
      </c>
      <c r="H32" s="11">
        <f>Tablo14567891011121314151617181920212223242526272829303132333435363738394041[[#This Row],[ADET]]*Tablo14567891011121314151617181920212223242526272829303132333435363738394041[[#This Row],[SATIŞ]]</f>
        <v>868</v>
      </c>
    </row>
    <row r="33" spans="2:8" ht="21" hidden="1" customHeight="1" x14ac:dyDescent="0.3">
      <c r="B33" s="2">
        <v>45328</v>
      </c>
      <c r="C33" s="6">
        <v>20</v>
      </c>
      <c r="D33" s="10">
        <v>44.9</v>
      </c>
      <c r="E33" s="10">
        <v>43.4</v>
      </c>
      <c r="F33" s="9">
        <f>IF(Tablo14567891011121314151617181920212223242526272829303132333435363738394041[[#This Row],[SATIŞ]]=0,"Açık",(E33-D33)*C33)</f>
        <v>-30</v>
      </c>
      <c r="G33" s="11">
        <f>Tablo14567891011121314151617181920212223242526272829303132333435363738394041[[#This Row],[ADET]]*Tablo14567891011121314151617181920212223242526272829303132333435363738394041[[#This Row],[ALIŞ]]</f>
        <v>898</v>
      </c>
      <c r="H33" s="11">
        <f>Tablo14567891011121314151617181920212223242526272829303132333435363738394041[[#This Row],[ADET]]*Tablo14567891011121314151617181920212223242526272829303132333435363738394041[[#This Row],[SATIŞ]]</f>
        <v>868</v>
      </c>
    </row>
    <row r="34" spans="2:8" ht="21" hidden="1" customHeight="1" x14ac:dyDescent="0.3">
      <c r="B34" s="2">
        <v>45328</v>
      </c>
      <c r="C34" s="6">
        <v>100</v>
      </c>
      <c r="D34" s="10">
        <v>45</v>
      </c>
      <c r="E34" s="10">
        <v>45.36</v>
      </c>
      <c r="F34" s="9">
        <f>IF(Tablo14567891011121314151617181920212223242526272829303132333435363738394041[[#This Row],[SATIŞ]]=0,"Açık",(E34-D34)*C34)</f>
        <v>35.999999999999943</v>
      </c>
      <c r="G34" s="11">
        <f>Tablo14567891011121314151617181920212223242526272829303132333435363738394041[[#This Row],[ADET]]*Tablo14567891011121314151617181920212223242526272829303132333435363738394041[[#This Row],[ALIŞ]]</f>
        <v>4500</v>
      </c>
      <c r="H34" s="11">
        <f>Tablo14567891011121314151617181920212223242526272829303132333435363738394041[[#This Row],[ADET]]*Tablo14567891011121314151617181920212223242526272829303132333435363738394041[[#This Row],[SATIŞ]]</f>
        <v>4536</v>
      </c>
    </row>
    <row r="35" spans="2:8" ht="21" hidden="1" customHeight="1" x14ac:dyDescent="0.3">
      <c r="B35" s="2">
        <v>45328</v>
      </c>
      <c r="C35" s="6">
        <v>100</v>
      </c>
      <c r="D35" s="10">
        <v>45.1</v>
      </c>
      <c r="E35" s="10">
        <v>45.36</v>
      </c>
      <c r="F35" s="9">
        <f>IF(Tablo14567891011121314151617181920212223242526272829303132333435363738394041[[#This Row],[SATIŞ]]=0,"Açık",(E35-D35)*C35)</f>
        <v>25.999999999999801</v>
      </c>
      <c r="G35" s="11">
        <f>Tablo14567891011121314151617181920212223242526272829303132333435363738394041[[#This Row],[ADET]]*Tablo14567891011121314151617181920212223242526272829303132333435363738394041[[#This Row],[ALIŞ]]</f>
        <v>4510</v>
      </c>
      <c r="H35" s="11">
        <f>Tablo14567891011121314151617181920212223242526272829303132333435363738394041[[#This Row],[ADET]]*Tablo14567891011121314151617181920212223242526272829303132333435363738394041[[#This Row],[SATIŞ]]</f>
        <v>4536</v>
      </c>
    </row>
    <row r="36" spans="2:8" ht="21" hidden="1" customHeight="1" x14ac:dyDescent="0.3">
      <c r="B36" s="2">
        <v>45328</v>
      </c>
      <c r="C36" s="6">
        <v>100</v>
      </c>
      <c r="D36" s="10">
        <v>45.2</v>
      </c>
      <c r="E36" s="10">
        <v>45.36</v>
      </c>
      <c r="F36" s="9">
        <f>IF(Tablo14567891011121314151617181920212223242526272829303132333435363738394041[[#This Row],[SATIŞ]]=0,"Açık",(E36-D36)*C36)</f>
        <v>15.999999999999659</v>
      </c>
      <c r="G36" s="11">
        <f>Tablo14567891011121314151617181920212223242526272829303132333435363738394041[[#This Row],[ADET]]*Tablo14567891011121314151617181920212223242526272829303132333435363738394041[[#This Row],[ALIŞ]]</f>
        <v>4520</v>
      </c>
      <c r="H36" s="11">
        <f>Tablo14567891011121314151617181920212223242526272829303132333435363738394041[[#This Row],[ADET]]*Tablo14567891011121314151617181920212223242526272829303132333435363738394041[[#This Row],[SATIŞ]]</f>
        <v>4536</v>
      </c>
    </row>
    <row r="37" spans="2:8" ht="21" hidden="1" customHeight="1" x14ac:dyDescent="0.3">
      <c r="B37" s="2">
        <v>45328</v>
      </c>
      <c r="C37" s="6">
        <v>100</v>
      </c>
      <c r="D37" s="10">
        <v>45.1</v>
      </c>
      <c r="E37" s="10">
        <v>45.36</v>
      </c>
      <c r="F37" s="9">
        <f>IF(Tablo14567891011121314151617181920212223242526272829303132333435363738394041[[#This Row],[SATIŞ]]=0,"Açık",(E37-D37)*C37)</f>
        <v>25.999999999999801</v>
      </c>
      <c r="G37" s="11">
        <f>Tablo14567891011121314151617181920212223242526272829303132333435363738394041[[#This Row],[ADET]]*Tablo14567891011121314151617181920212223242526272829303132333435363738394041[[#This Row],[ALIŞ]]</f>
        <v>4510</v>
      </c>
      <c r="H37" s="11">
        <f>Tablo14567891011121314151617181920212223242526272829303132333435363738394041[[#This Row],[ADET]]*Tablo14567891011121314151617181920212223242526272829303132333435363738394041[[#This Row],[SATIŞ]]</f>
        <v>4536</v>
      </c>
    </row>
    <row r="38" spans="2:8" ht="21" hidden="1" customHeight="1" x14ac:dyDescent="0.3">
      <c r="B38" s="2">
        <v>45329</v>
      </c>
      <c r="C38" s="6">
        <v>70</v>
      </c>
      <c r="D38" s="10">
        <v>45.5</v>
      </c>
      <c r="E38" s="10">
        <v>43.4</v>
      </c>
      <c r="F38" s="9">
        <f>IF(Tablo14567891011121314151617181920212223242526272829303132333435363738394041[[#This Row],[SATIŞ]]=0,"Açık",(E38-D38)*C38)</f>
        <v>-147.00000000000011</v>
      </c>
      <c r="G38" s="11">
        <f>Tablo14567891011121314151617181920212223242526272829303132333435363738394041[[#This Row],[ADET]]*Tablo14567891011121314151617181920212223242526272829303132333435363738394041[[#This Row],[ALIŞ]]</f>
        <v>3185</v>
      </c>
      <c r="H38" s="11">
        <f>Tablo14567891011121314151617181920212223242526272829303132333435363738394041[[#This Row],[ADET]]*Tablo14567891011121314151617181920212223242526272829303132333435363738394041[[#This Row],[SATIŞ]]</f>
        <v>3038</v>
      </c>
    </row>
    <row r="39" spans="2:8" ht="21" hidden="1" customHeight="1" x14ac:dyDescent="0.3">
      <c r="B39" s="2">
        <v>45329</v>
      </c>
      <c r="C39" s="6">
        <v>100</v>
      </c>
      <c r="D39" s="10">
        <v>44.2</v>
      </c>
      <c r="E39" s="10">
        <v>43.4</v>
      </c>
      <c r="F39" s="9">
        <f>IF(Tablo14567891011121314151617181920212223242526272829303132333435363738394041[[#This Row],[SATIŞ]]=0,"Açık",(E39-D39)*C39)</f>
        <v>-80.000000000000426</v>
      </c>
      <c r="G39" s="11">
        <f>Tablo14567891011121314151617181920212223242526272829303132333435363738394041[[#This Row],[ADET]]*Tablo14567891011121314151617181920212223242526272829303132333435363738394041[[#This Row],[ALIŞ]]</f>
        <v>4420</v>
      </c>
      <c r="H39" s="11">
        <f>Tablo14567891011121314151617181920212223242526272829303132333435363738394041[[#This Row],[ADET]]*Tablo14567891011121314151617181920212223242526272829303132333435363738394041[[#This Row],[SATIŞ]]</f>
        <v>4340</v>
      </c>
    </row>
    <row r="40" spans="2:8" ht="21" hidden="1" customHeight="1" x14ac:dyDescent="0.3">
      <c r="B40" s="2">
        <v>45329</v>
      </c>
      <c r="C40" s="6">
        <v>16</v>
      </c>
      <c r="D40" s="10">
        <v>46</v>
      </c>
      <c r="E40" s="10">
        <v>43.4</v>
      </c>
      <c r="F40" s="9">
        <f>IF(Tablo14567891011121314151617181920212223242526272829303132333435363738394041[[#This Row],[SATIŞ]]=0,"Açık",(E40-D40)*C40)</f>
        <v>-41.600000000000023</v>
      </c>
      <c r="G40" s="11">
        <f>Tablo14567891011121314151617181920212223242526272829303132333435363738394041[[#This Row],[ADET]]*Tablo14567891011121314151617181920212223242526272829303132333435363738394041[[#This Row],[ALIŞ]]</f>
        <v>736</v>
      </c>
      <c r="H40" s="11">
        <f>Tablo14567891011121314151617181920212223242526272829303132333435363738394041[[#This Row],[ADET]]*Tablo14567891011121314151617181920212223242526272829303132333435363738394041[[#This Row],[SATIŞ]]</f>
        <v>694.4</v>
      </c>
    </row>
    <row r="41" spans="2:8" ht="21" hidden="1" customHeight="1" x14ac:dyDescent="0.3">
      <c r="B41" s="2">
        <v>45329</v>
      </c>
      <c r="C41" s="6">
        <v>34</v>
      </c>
      <c r="D41" s="10">
        <v>46</v>
      </c>
      <c r="E41" s="10">
        <v>44.14</v>
      </c>
      <c r="F41" s="9">
        <f>IF(Tablo14567891011121314151617181920212223242526272829303132333435363738394041[[#This Row],[SATIŞ]]=0,"Açık",(E41-D41)*C41)</f>
        <v>-63.239999999999981</v>
      </c>
      <c r="G41" s="11">
        <f>Tablo14567891011121314151617181920212223242526272829303132333435363738394041[[#This Row],[ADET]]*Tablo14567891011121314151617181920212223242526272829303132333435363738394041[[#This Row],[ALIŞ]]</f>
        <v>1564</v>
      </c>
      <c r="H41" s="11">
        <f>Tablo14567891011121314151617181920212223242526272829303132333435363738394041[[#This Row],[ADET]]*Tablo14567891011121314151617181920212223242526272829303132333435363738394041[[#This Row],[SATIŞ]]</f>
        <v>1500.76</v>
      </c>
    </row>
    <row r="42" spans="2:8" ht="21" hidden="1" customHeight="1" x14ac:dyDescent="0.3">
      <c r="B42" s="2">
        <v>45329</v>
      </c>
      <c r="C42" s="6">
        <v>50</v>
      </c>
      <c r="D42" s="10">
        <v>46.5</v>
      </c>
      <c r="E42" s="10">
        <v>44.14</v>
      </c>
      <c r="F42" s="9">
        <f>IF(Tablo14567891011121314151617181920212223242526272829303132333435363738394041[[#This Row],[SATIŞ]]=0,"Açık",(E42-D42)*C42)</f>
        <v>-117.99999999999997</v>
      </c>
      <c r="G42" s="11">
        <f>Tablo14567891011121314151617181920212223242526272829303132333435363738394041[[#This Row],[ADET]]*Tablo14567891011121314151617181920212223242526272829303132333435363738394041[[#This Row],[ALIŞ]]</f>
        <v>2325</v>
      </c>
      <c r="H42" s="11">
        <f>Tablo14567891011121314151617181920212223242526272829303132333435363738394041[[#This Row],[ADET]]*Tablo14567891011121314151617181920212223242526272829303132333435363738394041[[#This Row],[SATIŞ]]</f>
        <v>2207</v>
      </c>
    </row>
    <row r="43" spans="2:8" ht="21" hidden="1" customHeight="1" x14ac:dyDescent="0.3">
      <c r="B43" s="2">
        <v>45329</v>
      </c>
      <c r="C43" s="6">
        <v>85</v>
      </c>
      <c r="D43" s="10">
        <v>44.9</v>
      </c>
      <c r="E43" s="10">
        <v>44.14</v>
      </c>
      <c r="F43" s="9">
        <f>IF(Tablo14567891011121314151617181920212223242526272829303132333435363738394041[[#This Row],[SATIŞ]]=0,"Açık",(E43-D43)*C43)</f>
        <v>-64.599999999999824</v>
      </c>
      <c r="G43" s="11">
        <f>Tablo14567891011121314151617181920212223242526272829303132333435363738394041[[#This Row],[ADET]]*Tablo14567891011121314151617181920212223242526272829303132333435363738394041[[#This Row],[ALIŞ]]</f>
        <v>3816.5</v>
      </c>
      <c r="H43" s="11">
        <f>Tablo14567891011121314151617181920212223242526272829303132333435363738394041[[#This Row],[ADET]]*Tablo14567891011121314151617181920212223242526272829303132333435363738394041[[#This Row],[SATIŞ]]</f>
        <v>3751.9</v>
      </c>
    </row>
    <row r="44" spans="2:8" ht="21" hidden="1" customHeight="1" x14ac:dyDescent="0.3">
      <c r="B44" s="2">
        <v>45329</v>
      </c>
      <c r="C44" s="6">
        <v>100</v>
      </c>
      <c r="D44" s="10">
        <v>43.5</v>
      </c>
      <c r="E44" s="10">
        <v>44.14</v>
      </c>
      <c r="F44" s="9">
        <f>IF(Tablo14567891011121314151617181920212223242526272829303132333435363738394041[[#This Row],[SATIŞ]]=0,"Açık",(E44-D44)*C44)</f>
        <v>64.000000000000057</v>
      </c>
      <c r="G44" s="11">
        <f>Tablo14567891011121314151617181920212223242526272829303132333435363738394041[[#This Row],[ADET]]*Tablo14567891011121314151617181920212223242526272829303132333435363738394041[[#This Row],[ALIŞ]]</f>
        <v>4350</v>
      </c>
      <c r="H44" s="11">
        <f>Tablo14567891011121314151617181920212223242526272829303132333435363738394041[[#This Row],[ADET]]*Tablo14567891011121314151617181920212223242526272829303132333435363738394041[[#This Row],[SATIŞ]]</f>
        <v>4414</v>
      </c>
    </row>
    <row r="45" spans="2:8" ht="21" hidden="1" customHeight="1" x14ac:dyDescent="0.3">
      <c r="B45" s="2">
        <v>45329</v>
      </c>
      <c r="C45" s="6">
        <v>150</v>
      </c>
      <c r="D45" s="10">
        <v>43.5</v>
      </c>
      <c r="E45" s="10">
        <v>44.3</v>
      </c>
      <c r="F45" s="9">
        <f>IF(Tablo14567891011121314151617181920212223242526272829303132333435363738394041[[#This Row],[SATIŞ]]=0,"Açık",(E45-D45)*C45)</f>
        <v>119.99999999999957</v>
      </c>
      <c r="G45" s="11">
        <f>Tablo14567891011121314151617181920212223242526272829303132333435363738394041[[#This Row],[ADET]]*Tablo14567891011121314151617181920212223242526272829303132333435363738394041[[#This Row],[ALIŞ]]</f>
        <v>6525</v>
      </c>
      <c r="H45" s="11">
        <f>Tablo14567891011121314151617181920212223242526272829303132333435363738394041[[#This Row],[ADET]]*Tablo14567891011121314151617181920212223242526272829303132333435363738394041[[#This Row],[SATIŞ]]</f>
        <v>6645</v>
      </c>
    </row>
    <row r="46" spans="2:8" ht="21" hidden="1" customHeight="1" x14ac:dyDescent="0.3">
      <c r="B46" s="2">
        <v>45329</v>
      </c>
      <c r="C46" s="6">
        <v>100</v>
      </c>
      <c r="D46" s="10">
        <v>43.5</v>
      </c>
      <c r="E46" s="10">
        <v>44.1</v>
      </c>
      <c r="F46" s="9">
        <f>IF(Tablo14567891011121314151617181920212223242526272829303132333435363738394041[[#This Row],[SATIŞ]]=0,"Açık",(E46-D46)*C46)</f>
        <v>60.000000000000142</v>
      </c>
      <c r="G46" s="11">
        <f>Tablo14567891011121314151617181920212223242526272829303132333435363738394041[[#This Row],[ADET]]*Tablo14567891011121314151617181920212223242526272829303132333435363738394041[[#This Row],[ALIŞ]]</f>
        <v>4350</v>
      </c>
      <c r="H46" s="11">
        <f>Tablo14567891011121314151617181920212223242526272829303132333435363738394041[[#This Row],[ADET]]*Tablo14567891011121314151617181920212223242526272829303132333435363738394041[[#This Row],[SATIŞ]]</f>
        <v>4410</v>
      </c>
    </row>
    <row r="47" spans="2:8" ht="21" hidden="1" customHeight="1" x14ac:dyDescent="0.3">
      <c r="B47" s="2">
        <v>45329</v>
      </c>
      <c r="C47" s="6">
        <v>50</v>
      </c>
      <c r="D47" s="10">
        <v>43.5</v>
      </c>
      <c r="E47" s="10">
        <v>45.4</v>
      </c>
      <c r="F47" s="9">
        <f>IF(Tablo14567891011121314151617181920212223242526272829303132333435363738394041[[#This Row],[SATIŞ]]=0,"Açık",(E47-D47)*C47)</f>
        <v>94.999999999999929</v>
      </c>
      <c r="G47" s="11">
        <f>Tablo14567891011121314151617181920212223242526272829303132333435363738394041[[#This Row],[ADET]]*Tablo14567891011121314151617181920212223242526272829303132333435363738394041[[#This Row],[ALIŞ]]</f>
        <v>2175</v>
      </c>
      <c r="H47" s="11">
        <f>Tablo14567891011121314151617181920212223242526272829303132333435363738394041[[#This Row],[ADET]]*Tablo14567891011121314151617181920212223242526272829303132333435363738394041[[#This Row],[SATIŞ]]</f>
        <v>2270</v>
      </c>
    </row>
    <row r="48" spans="2:8" ht="21" hidden="1" customHeight="1" x14ac:dyDescent="0.3">
      <c r="B48" s="2">
        <v>45329</v>
      </c>
      <c r="C48" s="6">
        <v>50</v>
      </c>
      <c r="D48" s="10">
        <v>43.5</v>
      </c>
      <c r="E48" s="10">
        <v>44.6</v>
      </c>
      <c r="F48" s="9">
        <f>IF(Tablo14567891011121314151617181920212223242526272829303132333435363738394041[[#This Row],[SATIŞ]]=0,"Açık",(E48-D48)*C48)</f>
        <v>55.000000000000071</v>
      </c>
      <c r="G48" s="11">
        <f>Tablo14567891011121314151617181920212223242526272829303132333435363738394041[[#This Row],[ADET]]*Tablo14567891011121314151617181920212223242526272829303132333435363738394041[[#This Row],[ALIŞ]]</f>
        <v>2175</v>
      </c>
      <c r="H48" s="11">
        <f>Tablo14567891011121314151617181920212223242526272829303132333435363738394041[[#This Row],[ADET]]*Tablo14567891011121314151617181920212223242526272829303132333435363738394041[[#This Row],[SATIŞ]]</f>
        <v>2230</v>
      </c>
    </row>
    <row r="49" spans="2:8" ht="21" hidden="1" customHeight="1" x14ac:dyDescent="0.3">
      <c r="B49" s="2">
        <v>45329</v>
      </c>
      <c r="C49" s="6">
        <v>50</v>
      </c>
      <c r="D49" s="10">
        <v>43.5</v>
      </c>
      <c r="E49" s="10">
        <v>44.4</v>
      </c>
      <c r="F49" s="9">
        <f>IF(Tablo14567891011121314151617181920212223242526272829303132333435363738394041[[#This Row],[SATIŞ]]=0,"Açık",(E49-D49)*C49)</f>
        <v>44.999999999999929</v>
      </c>
      <c r="G49" s="11">
        <f>Tablo14567891011121314151617181920212223242526272829303132333435363738394041[[#This Row],[ADET]]*Tablo14567891011121314151617181920212223242526272829303132333435363738394041[[#This Row],[ALIŞ]]</f>
        <v>2175</v>
      </c>
      <c r="H49" s="11">
        <f>Tablo14567891011121314151617181920212223242526272829303132333435363738394041[[#This Row],[ADET]]*Tablo14567891011121314151617181920212223242526272829303132333435363738394041[[#This Row],[SATIŞ]]</f>
        <v>2220</v>
      </c>
    </row>
    <row r="50" spans="2:8" ht="21" hidden="1" customHeight="1" x14ac:dyDescent="0.3">
      <c r="B50" s="2">
        <v>45329</v>
      </c>
      <c r="C50" s="6">
        <v>100</v>
      </c>
      <c r="D50" s="10">
        <v>43.2</v>
      </c>
      <c r="E50" s="10">
        <v>43.5</v>
      </c>
      <c r="F50" s="9">
        <f>IF(Tablo14567891011121314151617181920212223242526272829303132333435363738394041[[#This Row],[SATIŞ]]=0,"Açık",(E50-D50)*C50)</f>
        <v>29.999999999999716</v>
      </c>
      <c r="G50" s="11">
        <f>Tablo14567891011121314151617181920212223242526272829303132333435363738394041[[#This Row],[ADET]]*Tablo14567891011121314151617181920212223242526272829303132333435363738394041[[#This Row],[ALIŞ]]</f>
        <v>4320</v>
      </c>
      <c r="H50" s="11">
        <f>Tablo14567891011121314151617181920212223242526272829303132333435363738394041[[#This Row],[ADET]]*Tablo14567891011121314151617181920212223242526272829303132333435363738394041[[#This Row],[SATIŞ]]</f>
        <v>4350</v>
      </c>
    </row>
    <row r="51" spans="2:8" ht="21" hidden="1" customHeight="1" x14ac:dyDescent="0.3">
      <c r="B51" s="2">
        <v>45329</v>
      </c>
      <c r="C51" s="6">
        <v>100</v>
      </c>
      <c r="D51" s="10">
        <v>43.2</v>
      </c>
      <c r="E51" s="10">
        <v>43.4</v>
      </c>
      <c r="F51" s="9">
        <f>IF(Tablo14567891011121314151617181920212223242526272829303132333435363738394041[[#This Row],[SATIŞ]]=0,"Açık",(E51-D51)*C51)</f>
        <v>19.999999999999574</v>
      </c>
      <c r="G51" s="11">
        <f>Tablo14567891011121314151617181920212223242526272829303132333435363738394041[[#This Row],[ADET]]*Tablo14567891011121314151617181920212223242526272829303132333435363738394041[[#This Row],[ALIŞ]]</f>
        <v>4320</v>
      </c>
      <c r="H51" s="11">
        <f>Tablo14567891011121314151617181920212223242526272829303132333435363738394041[[#This Row],[ADET]]*Tablo14567891011121314151617181920212223242526272829303132333435363738394041[[#This Row],[SATIŞ]]</f>
        <v>4340</v>
      </c>
    </row>
    <row r="52" spans="2:8" ht="21" hidden="1" customHeight="1" x14ac:dyDescent="0.3">
      <c r="B52" s="2">
        <v>45329</v>
      </c>
      <c r="C52" s="6">
        <v>100</v>
      </c>
      <c r="D52" s="10">
        <v>43.2</v>
      </c>
      <c r="E52" s="10">
        <v>43.3</v>
      </c>
      <c r="F52" s="9">
        <f>IF(Tablo14567891011121314151617181920212223242526272829303132333435363738394041[[#This Row],[SATIŞ]]=0,"Açık",(E52-D52)*C52)</f>
        <v>9.9999999999994316</v>
      </c>
      <c r="G52" s="11">
        <f>Tablo14567891011121314151617181920212223242526272829303132333435363738394041[[#This Row],[ADET]]*Tablo14567891011121314151617181920212223242526272829303132333435363738394041[[#This Row],[ALIŞ]]</f>
        <v>4320</v>
      </c>
      <c r="H52" s="11">
        <f>Tablo14567891011121314151617181920212223242526272829303132333435363738394041[[#This Row],[ADET]]*Tablo14567891011121314151617181920212223242526272829303132333435363738394041[[#This Row],[SATIŞ]]</f>
        <v>4330</v>
      </c>
    </row>
    <row r="53" spans="2:8" ht="21" hidden="1" customHeight="1" x14ac:dyDescent="0.3">
      <c r="B53" s="2">
        <v>45329</v>
      </c>
      <c r="C53" s="6">
        <v>50</v>
      </c>
      <c r="D53" s="10">
        <v>43.2</v>
      </c>
      <c r="E53" s="10">
        <v>43.7</v>
      </c>
      <c r="F53" s="9">
        <f>IF(Tablo14567891011121314151617181920212223242526272829303132333435363738394041[[#This Row],[SATIŞ]]=0,"Açık",(E53-D53)*C53)</f>
        <v>25</v>
      </c>
      <c r="G53" s="11">
        <f>Tablo14567891011121314151617181920212223242526272829303132333435363738394041[[#This Row],[ADET]]*Tablo14567891011121314151617181920212223242526272829303132333435363738394041[[#This Row],[ALIŞ]]</f>
        <v>2160</v>
      </c>
      <c r="H53" s="11">
        <f>Tablo14567891011121314151617181920212223242526272829303132333435363738394041[[#This Row],[ADET]]*Tablo14567891011121314151617181920212223242526272829303132333435363738394041[[#This Row],[SATIŞ]]</f>
        <v>2185</v>
      </c>
    </row>
    <row r="54" spans="2:8" ht="21" hidden="1" customHeight="1" x14ac:dyDescent="0.3">
      <c r="B54" s="2">
        <v>45329</v>
      </c>
      <c r="C54" s="6">
        <v>50</v>
      </c>
      <c r="D54" s="10">
        <v>43.2</v>
      </c>
      <c r="E54" s="10">
        <v>43.6</v>
      </c>
      <c r="F54" s="9">
        <f>IF(Tablo14567891011121314151617181920212223242526272829303132333435363738394041[[#This Row],[SATIŞ]]=0,"Açık",(E54-D54)*C54)</f>
        <v>19.999999999999929</v>
      </c>
      <c r="G54" s="11">
        <f>Tablo14567891011121314151617181920212223242526272829303132333435363738394041[[#This Row],[ADET]]*Tablo14567891011121314151617181920212223242526272829303132333435363738394041[[#This Row],[ALIŞ]]</f>
        <v>2160</v>
      </c>
      <c r="H54" s="11">
        <f>Tablo14567891011121314151617181920212223242526272829303132333435363738394041[[#This Row],[ADET]]*Tablo14567891011121314151617181920212223242526272829303132333435363738394041[[#This Row],[SATIŞ]]</f>
        <v>2180</v>
      </c>
    </row>
    <row r="55" spans="2:8" ht="21" hidden="1" customHeight="1" x14ac:dyDescent="0.3">
      <c r="B55" s="2">
        <v>45329</v>
      </c>
      <c r="C55" s="6">
        <v>50</v>
      </c>
      <c r="D55" s="10">
        <v>43.2</v>
      </c>
      <c r="E55" s="10">
        <v>43.5</v>
      </c>
      <c r="F55" s="9">
        <f>IF(Tablo14567891011121314151617181920212223242526272829303132333435363738394041[[#This Row],[SATIŞ]]=0,"Açık",(E55-D55)*C55)</f>
        <v>14.999999999999858</v>
      </c>
      <c r="G55" s="11">
        <f>Tablo14567891011121314151617181920212223242526272829303132333435363738394041[[#This Row],[ADET]]*Tablo14567891011121314151617181920212223242526272829303132333435363738394041[[#This Row],[ALIŞ]]</f>
        <v>2160</v>
      </c>
      <c r="H55" s="11">
        <f>Tablo14567891011121314151617181920212223242526272829303132333435363738394041[[#This Row],[ADET]]*Tablo14567891011121314151617181920212223242526272829303132333435363738394041[[#This Row],[SATIŞ]]</f>
        <v>2175</v>
      </c>
    </row>
    <row r="56" spans="2:8" ht="21" hidden="1" customHeight="1" x14ac:dyDescent="0.3">
      <c r="B56" s="2">
        <v>45329</v>
      </c>
      <c r="C56" s="6">
        <v>50</v>
      </c>
      <c r="D56" s="10">
        <v>43.2</v>
      </c>
      <c r="E56" s="10">
        <v>43.4</v>
      </c>
      <c r="F56" s="9">
        <f>IF(Tablo14567891011121314151617181920212223242526272829303132333435363738394041[[#This Row],[SATIŞ]]=0,"Açık",(E56-D56)*C56)</f>
        <v>9.9999999999997868</v>
      </c>
      <c r="G56" s="11">
        <f>Tablo14567891011121314151617181920212223242526272829303132333435363738394041[[#This Row],[ADET]]*Tablo14567891011121314151617181920212223242526272829303132333435363738394041[[#This Row],[ALIŞ]]</f>
        <v>2160</v>
      </c>
      <c r="H56" s="11">
        <f>Tablo14567891011121314151617181920212223242526272829303132333435363738394041[[#This Row],[ADET]]*Tablo14567891011121314151617181920212223242526272829303132333435363738394041[[#This Row],[SATIŞ]]</f>
        <v>2170</v>
      </c>
    </row>
    <row r="57" spans="2:8" ht="21" hidden="1" customHeight="1" x14ac:dyDescent="0.3">
      <c r="B57" s="2">
        <v>45329</v>
      </c>
      <c r="C57" s="6">
        <v>350</v>
      </c>
      <c r="D57" s="10">
        <v>43</v>
      </c>
      <c r="E57" s="10">
        <v>45</v>
      </c>
      <c r="F57" s="9">
        <f>IF(Tablo14567891011121314151617181920212223242526272829303132333435363738394041[[#This Row],[SATIŞ]]=0,"Açık",(E57-D57)*C57)</f>
        <v>700</v>
      </c>
      <c r="G57" s="11">
        <f>Tablo14567891011121314151617181920212223242526272829303132333435363738394041[[#This Row],[ADET]]*Tablo14567891011121314151617181920212223242526272829303132333435363738394041[[#This Row],[ALIŞ]]</f>
        <v>15050</v>
      </c>
      <c r="H57" s="11">
        <f>Tablo14567891011121314151617181920212223242526272829303132333435363738394041[[#This Row],[ADET]]*Tablo14567891011121314151617181920212223242526272829303132333435363738394041[[#This Row],[SATIŞ]]</f>
        <v>15750</v>
      </c>
    </row>
    <row r="58" spans="2:8" ht="21" hidden="1" customHeight="1" x14ac:dyDescent="0.3">
      <c r="B58" s="2">
        <v>45329</v>
      </c>
      <c r="C58" s="6">
        <v>50</v>
      </c>
      <c r="D58" s="10">
        <v>43</v>
      </c>
      <c r="E58" s="10">
        <v>43.5</v>
      </c>
      <c r="F58" s="9">
        <f>IF(Tablo14567891011121314151617181920212223242526272829303132333435363738394041[[#This Row],[SATIŞ]]=0,"Açık",(E58-D58)*C58)</f>
        <v>25</v>
      </c>
      <c r="G58" s="11">
        <f>Tablo14567891011121314151617181920212223242526272829303132333435363738394041[[#This Row],[ADET]]*Tablo14567891011121314151617181920212223242526272829303132333435363738394041[[#This Row],[ALIŞ]]</f>
        <v>2150</v>
      </c>
      <c r="H58" s="11">
        <f>Tablo14567891011121314151617181920212223242526272829303132333435363738394041[[#This Row],[ADET]]*Tablo14567891011121314151617181920212223242526272829303132333435363738394041[[#This Row],[SATIŞ]]</f>
        <v>2175</v>
      </c>
    </row>
    <row r="59" spans="2:8" ht="21" hidden="1" customHeight="1" x14ac:dyDescent="0.3">
      <c r="B59" s="2">
        <v>45329</v>
      </c>
      <c r="C59" s="6">
        <v>50</v>
      </c>
      <c r="D59" s="10">
        <v>43</v>
      </c>
      <c r="E59" s="10">
        <v>43.4</v>
      </c>
      <c r="F59" s="9">
        <f>IF(Tablo14567891011121314151617181920212223242526272829303132333435363738394041[[#This Row],[SATIŞ]]=0,"Açık",(E59-D59)*C59)</f>
        <v>19.999999999999929</v>
      </c>
      <c r="G59" s="11">
        <f>Tablo14567891011121314151617181920212223242526272829303132333435363738394041[[#This Row],[ADET]]*Tablo14567891011121314151617181920212223242526272829303132333435363738394041[[#This Row],[ALIŞ]]</f>
        <v>2150</v>
      </c>
      <c r="H59" s="11">
        <f>Tablo14567891011121314151617181920212223242526272829303132333435363738394041[[#This Row],[ADET]]*Tablo14567891011121314151617181920212223242526272829303132333435363738394041[[#This Row],[SATIŞ]]</f>
        <v>2170</v>
      </c>
    </row>
    <row r="60" spans="2:8" ht="21" hidden="1" customHeight="1" x14ac:dyDescent="0.3">
      <c r="B60" s="2">
        <v>45329</v>
      </c>
      <c r="C60" s="6">
        <v>350</v>
      </c>
      <c r="D60" s="10">
        <v>43</v>
      </c>
      <c r="E60" s="10">
        <v>43.12</v>
      </c>
      <c r="F60" s="9">
        <f>IF(Tablo14567891011121314151617181920212223242526272829303132333435363738394041[[#This Row],[SATIŞ]]=0,"Açık",(E60-D60)*C60)</f>
        <v>41.999999999999105</v>
      </c>
      <c r="G60" s="11">
        <f>Tablo14567891011121314151617181920212223242526272829303132333435363738394041[[#This Row],[ADET]]*Tablo14567891011121314151617181920212223242526272829303132333435363738394041[[#This Row],[ALIŞ]]</f>
        <v>15050</v>
      </c>
      <c r="H60" s="11">
        <f>Tablo14567891011121314151617181920212223242526272829303132333435363738394041[[#This Row],[ADET]]*Tablo14567891011121314151617181920212223242526272829303132333435363738394041[[#This Row],[SATIŞ]]</f>
        <v>15092</v>
      </c>
    </row>
    <row r="61" spans="2:8" ht="21" hidden="1" customHeight="1" x14ac:dyDescent="0.3">
      <c r="B61" s="2">
        <v>45329</v>
      </c>
      <c r="C61" s="6">
        <v>100</v>
      </c>
      <c r="D61" s="10">
        <v>42.4</v>
      </c>
      <c r="E61" s="10">
        <v>44.3</v>
      </c>
      <c r="F61" s="9">
        <f>IF(Tablo14567891011121314151617181920212223242526272829303132333435363738394041[[#This Row],[SATIŞ]]=0,"Açık",(E61-D61)*C61)</f>
        <v>189.99999999999986</v>
      </c>
      <c r="G61" s="11">
        <f>Tablo14567891011121314151617181920212223242526272829303132333435363738394041[[#This Row],[ADET]]*Tablo14567891011121314151617181920212223242526272829303132333435363738394041[[#This Row],[ALIŞ]]</f>
        <v>4240</v>
      </c>
      <c r="H61" s="11">
        <f>Tablo14567891011121314151617181920212223242526272829303132333435363738394041[[#This Row],[ADET]]*Tablo14567891011121314151617181920212223242526272829303132333435363738394041[[#This Row],[SATIŞ]]</f>
        <v>4430</v>
      </c>
    </row>
    <row r="62" spans="2:8" ht="21" hidden="1" customHeight="1" x14ac:dyDescent="0.3">
      <c r="B62" s="2">
        <v>45329</v>
      </c>
      <c r="C62" s="6">
        <v>100</v>
      </c>
      <c r="D62" s="10">
        <v>42.4</v>
      </c>
      <c r="E62" s="10">
        <v>44.2</v>
      </c>
      <c r="F62" s="9">
        <f>IF(Tablo14567891011121314151617181920212223242526272829303132333435363738394041[[#This Row],[SATIŞ]]=0,"Açık",(E62-D62)*C62)</f>
        <v>180.00000000000043</v>
      </c>
      <c r="G62" s="11">
        <f>Tablo14567891011121314151617181920212223242526272829303132333435363738394041[[#This Row],[ADET]]*Tablo14567891011121314151617181920212223242526272829303132333435363738394041[[#This Row],[ALIŞ]]</f>
        <v>4240</v>
      </c>
      <c r="H62" s="11">
        <f>Tablo14567891011121314151617181920212223242526272829303132333435363738394041[[#This Row],[ADET]]*Tablo14567891011121314151617181920212223242526272829303132333435363738394041[[#This Row],[SATIŞ]]</f>
        <v>4420</v>
      </c>
    </row>
    <row r="63" spans="2:8" ht="21" hidden="1" customHeight="1" x14ac:dyDescent="0.3">
      <c r="B63" s="2">
        <v>45330</v>
      </c>
      <c r="C63" s="6">
        <v>100</v>
      </c>
      <c r="D63" s="10">
        <v>42.9</v>
      </c>
      <c r="E63" s="10">
        <v>44.1</v>
      </c>
      <c r="F63" s="9">
        <f>IF(Tablo14567891011121314151617181920212223242526272829303132333435363738394041[[#This Row],[SATIŞ]]=0,"Açık",(E63-D63)*C63)</f>
        <v>120.00000000000028</v>
      </c>
      <c r="G63" s="11">
        <f>Tablo14567891011121314151617181920212223242526272829303132333435363738394041[[#This Row],[ADET]]*Tablo14567891011121314151617181920212223242526272829303132333435363738394041[[#This Row],[ALIŞ]]</f>
        <v>4290</v>
      </c>
      <c r="H63" s="11">
        <f>Tablo14567891011121314151617181920212223242526272829303132333435363738394041[[#This Row],[ADET]]*Tablo14567891011121314151617181920212223242526272829303132333435363738394041[[#This Row],[SATIŞ]]</f>
        <v>4410</v>
      </c>
    </row>
    <row r="64" spans="2:8" ht="21" hidden="1" customHeight="1" x14ac:dyDescent="0.3">
      <c r="B64" s="2">
        <v>45330</v>
      </c>
      <c r="C64" s="6">
        <v>100</v>
      </c>
      <c r="D64" s="10">
        <v>42.9</v>
      </c>
      <c r="E64" s="10">
        <v>44</v>
      </c>
      <c r="F64" s="9">
        <f>IF(Tablo14567891011121314151617181920212223242526272829303132333435363738394041[[#This Row],[SATIŞ]]=0,"Açık",(E64-D64)*C64)</f>
        <v>110.00000000000014</v>
      </c>
      <c r="G64" s="11">
        <f>Tablo14567891011121314151617181920212223242526272829303132333435363738394041[[#This Row],[ADET]]*Tablo14567891011121314151617181920212223242526272829303132333435363738394041[[#This Row],[ALIŞ]]</f>
        <v>4290</v>
      </c>
      <c r="H64" s="11">
        <f>Tablo14567891011121314151617181920212223242526272829303132333435363738394041[[#This Row],[ADET]]*Tablo14567891011121314151617181920212223242526272829303132333435363738394041[[#This Row],[SATIŞ]]</f>
        <v>4400</v>
      </c>
    </row>
    <row r="65" spans="2:8" ht="21" hidden="1" customHeight="1" x14ac:dyDescent="0.3">
      <c r="B65" s="2">
        <v>45330</v>
      </c>
      <c r="C65" s="6">
        <v>100</v>
      </c>
      <c r="D65" s="10">
        <v>42.9</v>
      </c>
      <c r="E65" s="10">
        <v>43.9</v>
      </c>
      <c r="F65" s="9">
        <f>IF(Tablo14567891011121314151617181920212223242526272829303132333435363738394041[[#This Row],[SATIŞ]]=0,"Açık",(E65-D65)*C65)</f>
        <v>100</v>
      </c>
      <c r="G65" s="11">
        <f>Tablo14567891011121314151617181920212223242526272829303132333435363738394041[[#This Row],[ADET]]*Tablo14567891011121314151617181920212223242526272829303132333435363738394041[[#This Row],[ALIŞ]]</f>
        <v>4290</v>
      </c>
      <c r="H65" s="11">
        <f>Tablo14567891011121314151617181920212223242526272829303132333435363738394041[[#This Row],[ADET]]*Tablo14567891011121314151617181920212223242526272829303132333435363738394041[[#This Row],[SATIŞ]]</f>
        <v>4390</v>
      </c>
    </row>
    <row r="66" spans="2:8" ht="21" hidden="1" customHeight="1" x14ac:dyDescent="0.3">
      <c r="B66" s="2">
        <v>45330</v>
      </c>
      <c r="C66" s="6">
        <v>100</v>
      </c>
      <c r="D66" s="10">
        <v>42.9</v>
      </c>
      <c r="E66" s="10">
        <v>43.8</v>
      </c>
      <c r="F66" s="9">
        <f>IF(Tablo14567891011121314151617181920212223242526272829303132333435363738394041[[#This Row],[SATIŞ]]=0,"Açık",(E66-D66)*C66)</f>
        <v>89.999999999999858</v>
      </c>
      <c r="G66" s="11">
        <f>Tablo14567891011121314151617181920212223242526272829303132333435363738394041[[#This Row],[ADET]]*Tablo14567891011121314151617181920212223242526272829303132333435363738394041[[#This Row],[ALIŞ]]</f>
        <v>4290</v>
      </c>
      <c r="H66" s="11">
        <f>Tablo14567891011121314151617181920212223242526272829303132333435363738394041[[#This Row],[ADET]]*Tablo14567891011121314151617181920212223242526272829303132333435363738394041[[#This Row],[SATIŞ]]</f>
        <v>4380</v>
      </c>
    </row>
    <row r="67" spans="2:8" ht="21" hidden="1" customHeight="1" x14ac:dyDescent="0.3">
      <c r="B67" s="2">
        <v>45330</v>
      </c>
      <c r="C67" s="6">
        <v>100</v>
      </c>
      <c r="D67" s="10">
        <v>42.9</v>
      </c>
      <c r="E67" s="10">
        <v>43.7</v>
      </c>
      <c r="F67" s="9">
        <f>IF(Tablo14567891011121314151617181920212223242526272829303132333435363738394041[[#This Row],[SATIŞ]]=0,"Açık",(E67-D67)*C67)</f>
        <v>80.000000000000426</v>
      </c>
      <c r="G67" s="11">
        <f>Tablo14567891011121314151617181920212223242526272829303132333435363738394041[[#This Row],[ADET]]*Tablo14567891011121314151617181920212223242526272829303132333435363738394041[[#This Row],[ALIŞ]]</f>
        <v>4290</v>
      </c>
      <c r="H67" s="11">
        <f>Tablo14567891011121314151617181920212223242526272829303132333435363738394041[[#This Row],[ADET]]*Tablo14567891011121314151617181920212223242526272829303132333435363738394041[[#This Row],[SATIŞ]]</f>
        <v>4370</v>
      </c>
    </row>
    <row r="68" spans="2:8" ht="21" hidden="1" customHeight="1" x14ac:dyDescent="0.3">
      <c r="B68" s="2">
        <v>45330</v>
      </c>
      <c r="C68" s="6">
        <v>100</v>
      </c>
      <c r="D68" s="10">
        <v>42.9</v>
      </c>
      <c r="E68" s="10">
        <v>43.6</v>
      </c>
      <c r="F68" s="9">
        <f>IF(Tablo14567891011121314151617181920212223242526272829303132333435363738394041[[#This Row],[SATIŞ]]=0,"Açık",(E68-D68)*C68)</f>
        <v>70.000000000000284</v>
      </c>
      <c r="G68" s="11">
        <f>Tablo14567891011121314151617181920212223242526272829303132333435363738394041[[#This Row],[ADET]]*Tablo14567891011121314151617181920212223242526272829303132333435363738394041[[#This Row],[ALIŞ]]</f>
        <v>4290</v>
      </c>
      <c r="H68" s="11">
        <f>Tablo14567891011121314151617181920212223242526272829303132333435363738394041[[#This Row],[ADET]]*Tablo14567891011121314151617181920212223242526272829303132333435363738394041[[#This Row],[SATIŞ]]</f>
        <v>4360</v>
      </c>
    </row>
    <row r="69" spans="2:8" ht="21" hidden="1" customHeight="1" x14ac:dyDescent="0.3">
      <c r="B69" s="2">
        <v>45330</v>
      </c>
      <c r="C69" s="6">
        <v>150</v>
      </c>
      <c r="D69" s="10">
        <v>42</v>
      </c>
      <c r="E69" s="10">
        <v>42.5</v>
      </c>
      <c r="F69" s="9">
        <f>IF(Tablo14567891011121314151617181920212223242526272829303132333435363738394041[[#This Row],[SATIŞ]]=0,"Açık",(E69-D69)*C69)</f>
        <v>75</v>
      </c>
      <c r="G69" s="11">
        <f>Tablo14567891011121314151617181920212223242526272829303132333435363738394041[[#This Row],[ADET]]*Tablo14567891011121314151617181920212223242526272829303132333435363738394041[[#This Row],[ALIŞ]]</f>
        <v>6300</v>
      </c>
      <c r="H69" s="11">
        <f>Tablo14567891011121314151617181920212223242526272829303132333435363738394041[[#This Row],[ADET]]*Tablo14567891011121314151617181920212223242526272829303132333435363738394041[[#This Row],[SATIŞ]]</f>
        <v>6375</v>
      </c>
    </row>
    <row r="70" spans="2:8" ht="21" hidden="1" customHeight="1" x14ac:dyDescent="0.3">
      <c r="B70" s="2">
        <v>45330</v>
      </c>
      <c r="C70" s="6">
        <v>100</v>
      </c>
      <c r="D70" s="10">
        <v>42</v>
      </c>
      <c r="E70" s="10">
        <v>42.4</v>
      </c>
      <c r="F70" s="9">
        <f>IF(Tablo14567891011121314151617181920212223242526272829303132333435363738394041[[#This Row],[SATIŞ]]=0,"Açık",(E70-D70)*C70)</f>
        <v>39.999999999999858</v>
      </c>
      <c r="G70" s="11">
        <f>Tablo14567891011121314151617181920212223242526272829303132333435363738394041[[#This Row],[ADET]]*Tablo14567891011121314151617181920212223242526272829303132333435363738394041[[#This Row],[ALIŞ]]</f>
        <v>4200</v>
      </c>
      <c r="H70" s="11">
        <f>Tablo14567891011121314151617181920212223242526272829303132333435363738394041[[#This Row],[ADET]]*Tablo14567891011121314151617181920212223242526272829303132333435363738394041[[#This Row],[SATIŞ]]</f>
        <v>4240</v>
      </c>
    </row>
    <row r="71" spans="2:8" ht="21" hidden="1" customHeight="1" x14ac:dyDescent="0.3">
      <c r="B71" s="2">
        <v>45330</v>
      </c>
      <c r="C71" s="6">
        <v>100</v>
      </c>
      <c r="D71" s="10">
        <v>42</v>
      </c>
      <c r="E71" s="10">
        <v>42.2</v>
      </c>
      <c r="F71" s="9">
        <f>IF(Tablo14567891011121314151617181920212223242526272829303132333435363738394041[[#This Row],[SATIŞ]]=0,"Açık",(E71-D71)*C71)</f>
        <v>20.000000000000284</v>
      </c>
      <c r="G71" s="11">
        <f>Tablo14567891011121314151617181920212223242526272829303132333435363738394041[[#This Row],[ADET]]*Tablo14567891011121314151617181920212223242526272829303132333435363738394041[[#This Row],[ALIŞ]]</f>
        <v>4200</v>
      </c>
      <c r="H71" s="11">
        <f>Tablo14567891011121314151617181920212223242526272829303132333435363738394041[[#This Row],[ADET]]*Tablo14567891011121314151617181920212223242526272829303132333435363738394041[[#This Row],[SATIŞ]]</f>
        <v>4220</v>
      </c>
    </row>
    <row r="72" spans="2:8" ht="21" hidden="1" customHeight="1" x14ac:dyDescent="0.3">
      <c r="B72" s="2">
        <v>45330</v>
      </c>
      <c r="C72" s="6">
        <v>50</v>
      </c>
      <c r="D72" s="10">
        <v>42</v>
      </c>
      <c r="E72" s="10">
        <v>42.3</v>
      </c>
      <c r="F72" s="9">
        <f>IF(Tablo14567891011121314151617181920212223242526272829303132333435363738394041[[#This Row],[SATIŞ]]=0,"Açık",(E72-D72)*C72)</f>
        <v>14.999999999999858</v>
      </c>
      <c r="G72" s="11">
        <f>Tablo14567891011121314151617181920212223242526272829303132333435363738394041[[#This Row],[ADET]]*Tablo14567891011121314151617181920212223242526272829303132333435363738394041[[#This Row],[ALIŞ]]</f>
        <v>2100</v>
      </c>
      <c r="H72" s="11">
        <f>Tablo14567891011121314151617181920212223242526272829303132333435363738394041[[#This Row],[ADET]]*Tablo14567891011121314151617181920212223242526272829303132333435363738394041[[#This Row],[SATIŞ]]</f>
        <v>2115</v>
      </c>
    </row>
    <row r="73" spans="2:8" ht="21" hidden="1" customHeight="1" x14ac:dyDescent="0.3">
      <c r="B73" s="2">
        <v>45330</v>
      </c>
      <c r="C73" s="6">
        <v>150</v>
      </c>
      <c r="D73" s="10">
        <v>42</v>
      </c>
      <c r="E73" s="10">
        <v>42.3</v>
      </c>
      <c r="F73" s="9">
        <f>IF(Tablo14567891011121314151617181920212223242526272829303132333435363738394041[[#This Row],[SATIŞ]]=0,"Açık",(E73-D73)*C73)</f>
        <v>44.999999999999574</v>
      </c>
      <c r="G73" s="11">
        <f>Tablo14567891011121314151617181920212223242526272829303132333435363738394041[[#This Row],[ADET]]*Tablo14567891011121314151617181920212223242526272829303132333435363738394041[[#This Row],[ALIŞ]]</f>
        <v>6300</v>
      </c>
      <c r="H73" s="11">
        <f>Tablo14567891011121314151617181920212223242526272829303132333435363738394041[[#This Row],[ADET]]*Tablo14567891011121314151617181920212223242526272829303132333435363738394041[[#This Row],[SATIŞ]]</f>
        <v>6345</v>
      </c>
    </row>
    <row r="74" spans="2:8" ht="21" hidden="1" customHeight="1" x14ac:dyDescent="0.3">
      <c r="B74" s="2">
        <v>45330</v>
      </c>
      <c r="C74" s="6">
        <v>200</v>
      </c>
      <c r="D74" s="10">
        <v>42</v>
      </c>
      <c r="E74" s="10">
        <v>42.8</v>
      </c>
      <c r="F74" s="9">
        <f>IF(Tablo14567891011121314151617181920212223242526272829303132333435363738394041[[#This Row],[SATIŞ]]=0,"Açık",(E74-D74)*C74)</f>
        <v>159.99999999999943</v>
      </c>
      <c r="G74" s="11">
        <f>Tablo14567891011121314151617181920212223242526272829303132333435363738394041[[#This Row],[ADET]]*Tablo14567891011121314151617181920212223242526272829303132333435363738394041[[#This Row],[ALIŞ]]</f>
        <v>8400</v>
      </c>
      <c r="H74" s="11">
        <f>Tablo14567891011121314151617181920212223242526272829303132333435363738394041[[#This Row],[ADET]]*Tablo14567891011121314151617181920212223242526272829303132333435363738394041[[#This Row],[SATIŞ]]</f>
        <v>8560</v>
      </c>
    </row>
    <row r="75" spans="2:8" ht="21" hidden="1" customHeight="1" x14ac:dyDescent="0.3">
      <c r="B75" s="2">
        <v>45330</v>
      </c>
      <c r="C75" s="6">
        <v>100</v>
      </c>
      <c r="D75" s="10">
        <v>42</v>
      </c>
      <c r="E75" s="10">
        <v>42.1</v>
      </c>
      <c r="F75" s="9">
        <f>IF(Tablo14567891011121314151617181920212223242526272829303132333435363738394041[[#This Row],[SATIŞ]]=0,"Açık",(E75-D75)*C75)</f>
        <v>10.000000000000142</v>
      </c>
      <c r="G75" s="11">
        <f>Tablo14567891011121314151617181920212223242526272829303132333435363738394041[[#This Row],[ADET]]*Tablo14567891011121314151617181920212223242526272829303132333435363738394041[[#This Row],[ALIŞ]]</f>
        <v>4200</v>
      </c>
      <c r="H75" s="11">
        <f>Tablo14567891011121314151617181920212223242526272829303132333435363738394041[[#This Row],[ADET]]*Tablo14567891011121314151617181920212223242526272829303132333435363738394041[[#This Row],[SATIŞ]]</f>
        <v>4210</v>
      </c>
    </row>
    <row r="76" spans="2:8" ht="21" hidden="1" customHeight="1" x14ac:dyDescent="0.3">
      <c r="B76" s="2">
        <v>45330</v>
      </c>
      <c r="C76" s="6">
        <v>50</v>
      </c>
      <c r="D76" s="10">
        <v>42</v>
      </c>
      <c r="E76" s="10">
        <v>42.1</v>
      </c>
      <c r="F76" s="9">
        <f>IF(Tablo14567891011121314151617181920212223242526272829303132333435363738394041[[#This Row],[SATIŞ]]=0,"Açık",(E76-D76)*C76)</f>
        <v>5.0000000000000711</v>
      </c>
      <c r="G76" s="11">
        <f>Tablo14567891011121314151617181920212223242526272829303132333435363738394041[[#This Row],[ADET]]*Tablo14567891011121314151617181920212223242526272829303132333435363738394041[[#This Row],[ALIŞ]]</f>
        <v>2100</v>
      </c>
      <c r="H76" s="11">
        <f>Tablo14567891011121314151617181920212223242526272829303132333435363738394041[[#This Row],[ADET]]*Tablo14567891011121314151617181920212223242526272829303132333435363738394041[[#This Row],[SATIŞ]]</f>
        <v>2105</v>
      </c>
    </row>
    <row r="77" spans="2:8" ht="21" hidden="1" customHeight="1" x14ac:dyDescent="0.3">
      <c r="B77" s="2">
        <v>45330</v>
      </c>
      <c r="C77" s="6">
        <v>100</v>
      </c>
      <c r="D77" s="10">
        <v>41.5</v>
      </c>
      <c r="E77" s="10">
        <v>41.8</v>
      </c>
      <c r="F77" s="9">
        <f>IF(Tablo14567891011121314151617181920212223242526272829303132333435363738394041[[#This Row],[SATIŞ]]=0,"Açık",(E77-D77)*C77)</f>
        <v>29.999999999999716</v>
      </c>
      <c r="G77" s="11">
        <f>Tablo14567891011121314151617181920212223242526272829303132333435363738394041[[#This Row],[ADET]]*Tablo14567891011121314151617181920212223242526272829303132333435363738394041[[#This Row],[ALIŞ]]</f>
        <v>4150</v>
      </c>
      <c r="H77" s="11">
        <f>Tablo14567891011121314151617181920212223242526272829303132333435363738394041[[#This Row],[ADET]]*Tablo14567891011121314151617181920212223242526272829303132333435363738394041[[#This Row],[SATIŞ]]</f>
        <v>4180</v>
      </c>
    </row>
    <row r="78" spans="2:8" ht="21" hidden="1" customHeight="1" x14ac:dyDescent="0.3">
      <c r="B78" s="2">
        <v>45330</v>
      </c>
      <c r="C78" s="6">
        <v>100</v>
      </c>
      <c r="D78" s="10">
        <v>41.7</v>
      </c>
      <c r="E78" s="10">
        <v>42</v>
      </c>
      <c r="F78" s="9">
        <f>IF(Tablo14567891011121314151617181920212223242526272829303132333435363738394041[[#This Row],[SATIŞ]]=0,"Açık",(E78-D78)*C78)</f>
        <v>29.999999999999716</v>
      </c>
      <c r="G78" s="11">
        <f>Tablo14567891011121314151617181920212223242526272829303132333435363738394041[[#This Row],[ADET]]*Tablo14567891011121314151617181920212223242526272829303132333435363738394041[[#This Row],[ALIŞ]]</f>
        <v>4170</v>
      </c>
      <c r="H78" s="11">
        <f>Tablo14567891011121314151617181920212223242526272829303132333435363738394041[[#This Row],[ADET]]*Tablo14567891011121314151617181920212223242526272829303132333435363738394041[[#This Row],[SATIŞ]]</f>
        <v>4200</v>
      </c>
    </row>
    <row r="79" spans="2:8" ht="21" hidden="1" customHeight="1" x14ac:dyDescent="0.3">
      <c r="B79" s="2">
        <v>45330</v>
      </c>
      <c r="C79" s="6">
        <v>50</v>
      </c>
      <c r="D79" s="10">
        <v>42</v>
      </c>
      <c r="E79" s="10">
        <v>41.9</v>
      </c>
      <c r="F79" s="9">
        <f>IF(Tablo14567891011121314151617181920212223242526272829303132333435363738394041[[#This Row],[SATIŞ]]=0,"Açık",(E79-D79)*C79)</f>
        <v>-5.0000000000000711</v>
      </c>
      <c r="G79" s="11">
        <f>Tablo14567891011121314151617181920212223242526272829303132333435363738394041[[#This Row],[ADET]]*Tablo14567891011121314151617181920212223242526272829303132333435363738394041[[#This Row],[ALIŞ]]</f>
        <v>2100</v>
      </c>
      <c r="H79" s="11">
        <f>Tablo14567891011121314151617181920212223242526272829303132333435363738394041[[#This Row],[ADET]]*Tablo14567891011121314151617181920212223242526272829303132333435363738394041[[#This Row],[SATIŞ]]</f>
        <v>2095</v>
      </c>
    </row>
    <row r="80" spans="2:8" ht="21" hidden="1" customHeight="1" x14ac:dyDescent="0.3">
      <c r="B80" s="2">
        <v>45330</v>
      </c>
      <c r="C80" s="6">
        <v>50</v>
      </c>
      <c r="D80" s="10">
        <v>42</v>
      </c>
      <c r="E80" s="10">
        <v>42.2</v>
      </c>
      <c r="F80" s="9">
        <f>IF(Tablo14567891011121314151617181920212223242526272829303132333435363738394041[[#This Row],[SATIŞ]]=0,"Açık",(E80-D80)*C80)</f>
        <v>10.000000000000142</v>
      </c>
      <c r="G80" s="11">
        <f>Tablo14567891011121314151617181920212223242526272829303132333435363738394041[[#This Row],[ADET]]*Tablo14567891011121314151617181920212223242526272829303132333435363738394041[[#This Row],[ALIŞ]]</f>
        <v>2100</v>
      </c>
      <c r="H80" s="11">
        <f>Tablo14567891011121314151617181920212223242526272829303132333435363738394041[[#This Row],[ADET]]*Tablo14567891011121314151617181920212223242526272829303132333435363738394041[[#This Row],[SATIŞ]]</f>
        <v>2110</v>
      </c>
    </row>
    <row r="81" spans="2:8" ht="21" hidden="1" customHeight="1" x14ac:dyDescent="0.3">
      <c r="B81" s="2">
        <v>45330</v>
      </c>
      <c r="C81" s="6">
        <v>100</v>
      </c>
      <c r="D81" s="10">
        <v>42.4</v>
      </c>
      <c r="E81" s="10">
        <v>42.2</v>
      </c>
      <c r="F81" s="9">
        <f>IF(Tablo14567891011121314151617181920212223242526272829303132333435363738394041[[#This Row],[SATIŞ]]=0,"Açık",(E81-D81)*C81)</f>
        <v>-19.999999999999574</v>
      </c>
      <c r="G81" s="11">
        <f>Tablo14567891011121314151617181920212223242526272829303132333435363738394041[[#This Row],[ADET]]*Tablo14567891011121314151617181920212223242526272829303132333435363738394041[[#This Row],[ALIŞ]]</f>
        <v>4240</v>
      </c>
      <c r="H81" s="11">
        <f>Tablo14567891011121314151617181920212223242526272829303132333435363738394041[[#This Row],[ADET]]*Tablo14567891011121314151617181920212223242526272829303132333435363738394041[[#This Row],[SATIŞ]]</f>
        <v>4220</v>
      </c>
    </row>
    <row r="82" spans="2:8" ht="21" hidden="1" customHeight="1" x14ac:dyDescent="0.3">
      <c r="B82" s="2">
        <v>45330</v>
      </c>
      <c r="C82" s="6">
        <v>100</v>
      </c>
      <c r="D82" s="10">
        <v>42.4</v>
      </c>
      <c r="E82" s="10">
        <v>42.3</v>
      </c>
      <c r="F82" s="9">
        <f>IF(Tablo14567891011121314151617181920212223242526272829303132333435363738394041[[#This Row],[SATIŞ]]=0,"Açık",(E82-D82)*C82)</f>
        <v>-10.000000000000142</v>
      </c>
      <c r="G82" s="11">
        <f>Tablo14567891011121314151617181920212223242526272829303132333435363738394041[[#This Row],[ADET]]*Tablo14567891011121314151617181920212223242526272829303132333435363738394041[[#This Row],[ALIŞ]]</f>
        <v>4240</v>
      </c>
      <c r="H82" s="11">
        <f>Tablo14567891011121314151617181920212223242526272829303132333435363738394041[[#This Row],[ADET]]*Tablo14567891011121314151617181920212223242526272829303132333435363738394041[[#This Row],[SATIŞ]]</f>
        <v>4230</v>
      </c>
    </row>
    <row r="83" spans="2:8" ht="21" hidden="1" customHeight="1" x14ac:dyDescent="0.3">
      <c r="B83" s="2">
        <v>45330</v>
      </c>
      <c r="C83" s="6">
        <v>100</v>
      </c>
      <c r="D83" s="10">
        <v>42.4</v>
      </c>
      <c r="E83" s="10">
        <v>42.4</v>
      </c>
      <c r="F83" s="9">
        <f>IF(Tablo14567891011121314151617181920212223242526272829303132333435363738394041[[#This Row],[SATIŞ]]=0,"Açık",(E83-D83)*C83)</f>
        <v>0</v>
      </c>
      <c r="G83" s="11">
        <f>Tablo14567891011121314151617181920212223242526272829303132333435363738394041[[#This Row],[ADET]]*Tablo14567891011121314151617181920212223242526272829303132333435363738394041[[#This Row],[ALIŞ]]</f>
        <v>4240</v>
      </c>
      <c r="H83" s="11">
        <f>Tablo14567891011121314151617181920212223242526272829303132333435363738394041[[#This Row],[ADET]]*Tablo14567891011121314151617181920212223242526272829303132333435363738394041[[#This Row],[SATIŞ]]</f>
        <v>4240</v>
      </c>
    </row>
    <row r="84" spans="2:8" ht="21" hidden="1" customHeight="1" x14ac:dyDescent="0.3">
      <c r="B84" s="2">
        <v>45330</v>
      </c>
      <c r="C84" s="6">
        <v>50</v>
      </c>
      <c r="D84" s="10">
        <v>42.2</v>
      </c>
      <c r="E84" s="10">
        <v>43.2</v>
      </c>
      <c r="F84" s="9">
        <f>IF(Tablo14567891011121314151617181920212223242526272829303132333435363738394041[[#This Row],[SATIŞ]]=0,"Açık",(E84-D84)*C84)</f>
        <v>50</v>
      </c>
      <c r="G84" s="11">
        <f>Tablo14567891011121314151617181920212223242526272829303132333435363738394041[[#This Row],[ADET]]*Tablo14567891011121314151617181920212223242526272829303132333435363738394041[[#This Row],[ALIŞ]]</f>
        <v>2110</v>
      </c>
      <c r="H84" s="11">
        <f>Tablo14567891011121314151617181920212223242526272829303132333435363738394041[[#This Row],[ADET]]*Tablo14567891011121314151617181920212223242526272829303132333435363738394041[[#This Row],[SATIŞ]]</f>
        <v>2160</v>
      </c>
    </row>
    <row r="85" spans="2:8" ht="21" hidden="1" customHeight="1" x14ac:dyDescent="0.3">
      <c r="B85" s="2">
        <v>45330</v>
      </c>
      <c r="C85" s="6">
        <v>50</v>
      </c>
      <c r="D85" s="10">
        <v>42.1</v>
      </c>
      <c r="E85" s="10">
        <v>43.12</v>
      </c>
      <c r="F85" s="9">
        <f>IF(Tablo14567891011121314151617181920212223242526272829303132333435363738394041[[#This Row],[SATIŞ]]=0,"Açık",(E85-D85)*C85)</f>
        <v>50.999999999999801</v>
      </c>
      <c r="G85" s="11">
        <f>Tablo14567891011121314151617181920212223242526272829303132333435363738394041[[#This Row],[ADET]]*Tablo14567891011121314151617181920212223242526272829303132333435363738394041[[#This Row],[ALIŞ]]</f>
        <v>2105</v>
      </c>
      <c r="H85" s="11">
        <f>Tablo14567891011121314151617181920212223242526272829303132333435363738394041[[#This Row],[ADET]]*Tablo14567891011121314151617181920212223242526272829303132333435363738394041[[#This Row],[SATIŞ]]</f>
        <v>2156</v>
      </c>
    </row>
    <row r="86" spans="2:8" ht="21" hidden="1" customHeight="1" x14ac:dyDescent="0.3">
      <c r="B86" s="2">
        <v>45330</v>
      </c>
      <c r="C86" s="6">
        <v>50</v>
      </c>
      <c r="D86" s="10">
        <v>42</v>
      </c>
      <c r="E86" s="10">
        <v>43.12</v>
      </c>
      <c r="F86" s="9">
        <f>IF(Tablo14567891011121314151617181920212223242526272829303132333435363738394041[[#This Row],[SATIŞ]]=0,"Açık",(E86-D86)*C86)</f>
        <v>55.999999999999872</v>
      </c>
      <c r="G86" s="11">
        <f>Tablo14567891011121314151617181920212223242526272829303132333435363738394041[[#This Row],[ADET]]*Tablo14567891011121314151617181920212223242526272829303132333435363738394041[[#This Row],[ALIŞ]]</f>
        <v>2100</v>
      </c>
      <c r="H86" s="11">
        <f>Tablo14567891011121314151617181920212223242526272829303132333435363738394041[[#This Row],[ADET]]*Tablo14567891011121314151617181920212223242526272829303132333435363738394041[[#This Row],[SATIŞ]]</f>
        <v>2156</v>
      </c>
    </row>
    <row r="87" spans="2:8" ht="21" hidden="1" customHeight="1" x14ac:dyDescent="0.3">
      <c r="B87" s="2">
        <v>45331</v>
      </c>
      <c r="C87" s="6">
        <v>50</v>
      </c>
      <c r="D87" s="10">
        <v>43</v>
      </c>
      <c r="E87" s="10">
        <v>44</v>
      </c>
      <c r="F87" s="9">
        <f>IF(Tablo14567891011121314151617181920212223242526272829303132333435363738394041[[#This Row],[SATIŞ]]=0,"Açık",(E87-D87)*C87)</f>
        <v>50</v>
      </c>
      <c r="G87" s="11">
        <f>Tablo14567891011121314151617181920212223242526272829303132333435363738394041[[#This Row],[ADET]]*Tablo14567891011121314151617181920212223242526272829303132333435363738394041[[#This Row],[ALIŞ]]</f>
        <v>2150</v>
      </c>
      <c r="H87" s="11">
        <f>Tablo14567891011121314151617181920212223242526272829303132333435363738394041[[#This Row],[ADET]]*Tablo14567891011121314151617181920212223242526272829303132333435363738394041[[#This Row],[SATIŞ]]</f>
        <v>2200</v>
      </c>
    </row>
    <row r="88" spans="2:8" ht="21" hidden="1" customHeight="1" x14ac:dyDescent="0.3">
      <c r="B88" s="2">
        <v>45331</v>
      </c>
      <c r="C88" s="6">
        <v>50</v>
      </c>
      <c r="D88" s="10">
        <v>43</v>
      </c>
      <c r="E88" s="10">
        <v>43.9</v>
      </c>
      <c r="F88" s="9">
        <f>IF(Tablo14567891011121314151617181920212223242526272829303132333435363738394041[[#This Row],[SATIŞ]]=0,"Açık",(E88-D88)*C88)</f>
        <v>44.999999999999929</v>
      </c>
      <c r="G88" s="11">
        <f>Tablo14567891011121314151617181920212223242526272829303132333435363738394041[[#This Row],[ADET]]*Tablo14567891011121314151617181920212223242526272829303132333435363738394041[[#This Row],[ALIŞ]]</f>
        <v>2150</v>
      </c>
      <c r="H88" s="11">
        <f>Tablo14567891011121314151617181920212223242526272829303132333435363738394041[[#This Row],[ADET]]*Tablo14567891011121314151617181920212223242526272829303132333435363738394041[[#This Row],[SATIŞ]]</f>
        <v>2195</v>
      </c>
    </row>
    <row r="89" spans="2:8" ht="21" hidden="1" customHeight="1" x14ac:dyDescent="0.3">
      <c r="B89" s="2">
        <v>45331</v>
      </c>
      <c r="C89" s="6">
        <v>50</v>
      </c>
      <c r="D89" s="10">
        <v>43</v>
      </c>
      <c r="E89" s="10">
        <v>43.8</v>
      </c>
      <c r="F89" s="9">
        <f>IF(Tablo14567891011121314151617181920212223242526272829303132333435363738394041[[#This Row],[SATIŞ]]=0,"Açık",(E89-D89)*C89)</f>
        <v>39.999999999999858</v>
      </c>
      <c r="G89" s="11">
        <f>Tablo14567891011121314151617181920212223242526272829303132333435363738394041[[#This Row],[ADET]]*Tablo14567891011121314151617181920212223242526272829303132333435363738394041[[#This Row],[ALIŞ]]</f>
        <v>2150</v>
      </c>
      <c r="H89" s="11">
        <f>Tablo14567891011121314151617181920212223242526272829303132333435363738394041[[#This Row],[ADET]]*Tablo14567891011121314151617181920212223242526272829303132333435363738394041[[#This Row],[SATIŞ]]</f>
        <v>2190</v>
      </c>
    </row>
    <row r="90" spans="2:8" ht="21" hidden="1" customHeight="1" x14ac:dyDescent="0.3">
      <c r="B90" s="2">
        <v>45331</v>
      </c>
      <c r="C90" s="6">
        <v>50</v>
      </c>
      <c r="D90" s="10">
        <v>43</v>
      </c>
      <c r="E90" s="10">
        <v>43.3</v>
      </c>
      <c r="F90" s="9">
        <f>IF(Tablo14567891011121314151617181920212223242526272829303132333435363738394041[[#This Row],[SATIŞ]]=0,"Açık",(E90-D90)*C90)</f>
        <v>14.999999999999858</v>
      </c>
      <c r="G90" s="11">
        <f>Tablo14567891011121314151617181920212223242526272829303132333435363738394041[[#This Row],[ADET]]*Tablo14567891011121314151617181920212223242526272829303132333435363738394041[[#This Row],[ALIŞ]]</f>
        <v>2150</v>
      </c>
      <c r="H90" s="11">
        <f>Tablo14567891011121314151617181920212223242526272829303132333435363738394041[[#This Row],[ADET]]*Tablo14567891011121314151617181920212223242526272829303132333435363738394041[[#This Row],[SATIŞ]]</f>
        <v>2165</v>
      </c>
    </row>
    <row r="91" spans="2:8" ht="21" hidden="1" customHeight="1" x14ac:dyDescent="0.3">
      <c r="B91" s="2">
        <v>45331</v>
      </c>
      <c r="C91" s="6">
        <v>50</v>
      </c>
      <c r="D91" s="10">
        <v>43.1</v>
      </c>
      <c r="E91" s="10">
        <v>43.3</v>
      </c>
      <c r="F91" s="9">
        <f>IF(Tablo14567891011121314151617181920212223242526272829303132333435363738394041[[#This Row],[SATIŞ]]=0,"Açık",(E91-D91)*C91)</f>
        <v>9.9999999999997868</v>
      </c>
      <c r="G91" s="11">
        <f>Tablo14567891011121314151617181920212223242526272829303132333435363738394041[[#This Row],[ADET]]*Tablo14567891011121314151617181920212223242526272829303132333435363738394041[[#This Row],[ALIŞ]]</f>
        <v>2155</v>
      </c>
      <c r="H91" s="11">
        <f>Tablo14567891011121314151617181920212223242526272829303132333435363738394041[[#This Row],[ADET]]*Tablo14567891011121314151617181920212223242526272829303132333435363738394041[[#This Row],[SATIŞ]]</f>
        <v>2165</v>
      </c>
    </row>
    <row r="92" spans="2:8" ht="21" hidden="1" customHeight="1" x14ac:dyDescent="0.3">
      <c r="B92" s="2">
        <v>45331</v>
      </c>
      <c r="C92" s="6">
        <v>50</v>
      </c>
      <c r="D92" s="10">
        <v>43.1</v>
      </c>
      <c r="E92" s="10">
        <v>43.2</v>
      </c>
      <c r="F92" s="9">
        <f>IF(Tablo14567891011121314151617181920212223242526272829303132333435363738394041[[#This Row],[SATIŞ]]=0,"Açık",(E92-D92)*C92)</f>
        <v>5.0000000000000711</v>
      </c>
      <c r="G92" s="11">
        <f>Tablo14567891011121314151617181920212223242526272829303132333435363738394041[[#This Row],[ADET]]*Tablo14567891011121314151617181920212223242526272829303132333435363738394041[[#This Row],[ALIŞ]]</f>
        <v>2155</v>
      </c>
      <c r="H92" s="11">
        <f>Tablo14567891011121314151617181920212223242526272829303132333435363738394041[[#This Row],[ADET]]*Tablo14567891011121314151617181920212223242526272829303132333435363738394041[[#This Row],[SATIŞ]]</f>
        <v>2160</v>
      </c>
    </row>
    <row r="93" spans="2:8" ht="21" hidden="1" customHeight="1" x14ac:dyDescent="0.3">
      <c r="B93" s="2">
        <v>45331</v>
      </c>
      <c r="C93" s="6">
        <v>50</v>
      </c>
      <c r="D93" s="10">
        <v>41.8</v>
      </c>
      <c r="E93" s="10">
        <v>43</v>
      </c>
      <c r="F93" s="9">
        <f>IF(Tablo14567891011121314151617181920212223242526272829303132333435363738394041[[#This Row],[SATIŞ]]=0,"Açık",(E93-D93)*C93)</f>
        <v>60.000000000000142</v>
      </c>
      <c r="G93" s="11">
        <f>Tablo14567891011121314151617181920212223242526272829303132333435363738394041[[#This Row],[ADET]]*Tablo14567891011121314151617181920212223242526272829303132333435363738394041[[#This Row],[ALIŞ]]</f>
        <v>2090</v>
      </c>
      <c r="H93" s="11">
        <f>Tablo14567891011121314151617181920212223242526272829303132333435363738394041[[#This Row],[ADET]]*Tablo14567891011121314151617181920212223242526272829303132333435363738394041[[#This Row],[SATIŞ]]</f>
        <v>2150</v>
      </c>
    </row>
    <row r="94" spans="2:8" ht="21" hidden="1" customHeight="1" x14ac:dyDescent="0.3">
      <c r="B94" s="2">
        <v>45329</v>
      </c>
      <c r="C94" s="6">
        <v>200</v>
      </c>
      <c r="D94" s="10">
        <v>43</v>
      </c>
      <c r="E94" s="10">
        <v>46.15</v>
      </c>
      <c r="F94" s="9">
        <f>IF(Tablo14567891011121314151617181920212223242526272829303132333435363738394041[[#This Row],[SATIŞ]]=0,"Açık",(E94-D94)*C94)</f>
        <v>629.99999999999977</v>
      </c>
      <c r="G94" s="11">
        <f>Tablo14567891011121314151617181920212223242526272829303132333435363738394041[[#This Row],[ADET]]*Tablo14567891011121314151617181920212223242526272829303132333435363738394041[[#This Row],[ALIŞ]]</f>
        <v>8600</v>
      </c>
      <c r="H94" s="11">
        <f>Tablo14567891011121314151617181920212223242526272829303132333435363738394041[[#This Row],[ADET]]*Tablo14567891011121314151617181920212223242526272829303132333435363738394041[[#This Row],[SATIŞ]]</f>
        <v>9230</v>
      </c>
    </row>
    <row r="95" spans="2:8" ht="21" hidden="1" customHeight="1" x14ac:dyDescent="0.3">
      <c r="B95" s="2">
        <v>45331</v>
      </c>
      <c r="C95" s="6">
        <v>50</v>
      </c>
      <c r="D95" s="10">
        <v>42.9</v>
      </c>
      <c r="E95" s="10">
        <v>46.4</v>
      </c>
      <c r="F95" s="9">
        <f>IF(Tablo14567891011121314151617181920212223242526272829303132333435363738394041[[#This Row],[SATIŞ]]=0,"Açık",(E95-D95)*C95)</f>
        <v>175</v>
      </c>
      <c r="G95" s="11">
        <f>Tablo14567891011121314151617181920212223242526272829303132333435363738394041[[#This Row],[ADET]]*Tablo14567891011121314151617181920212223242526272829303132333435363738394041[[#This Row],[ALIŞ]]</f>
        <v>2145</v>
      </c>
      <c r="H95" s="11">
        <f>Tablo14567891011121314151617181920212223242526272829303132333435363738394041[[#This Row],[ADET]]*Tablo14567891011121314151617181920212223242526272829303132333435363738394041[[#This Row],[SATIŞ]]</f>
        <v>2320</v>
      </c>
    </row>
    <row r="96" spans="2:8" ht="21" hidden="1" customHeight="1" x14ac:dyDescent="0.3">
      <c r="B96" s="2">
        <v>45331</v>
      </c>
      <c r="C96" s="6">
        <v>50</v>
      </c>
      <c r="D96" s="10">
        <v>42.9</v>
      </c>
      <c r="E96" s="10">
        <v>46.5</v>
      </c>
      <c r="F96" s="9">
        <f>IF(Tablo14567891011121314151617181920212223242526272829303132333435363738394041[[#This Row],[SATIŞ]]=0,"Açık",(E96-D96)*C96)</f>
        <v>180.00000000000006</v>
      </c>
      <c r="G96" s="11">
        <f>Tablo14567891011121314151617181920212223242526272829303132333435363738394041[[#This Row],[ADET]]*Tablo14567891011121314151617181920212223242526272829303132333435363738394041[[#This Row],[ALIŞ]]</f>
        <v>2145</v>
      </c>
      <c r="H96" s="11">
        <f>Tablo14567891011121314151617181920212223242526272829303132333435363738394041[[#This Row],[ADET]]*Tablo14567891011121314151617181920212223242526272829303132333435363738394041[[#This Row],[SATIŞ]]</f>
        <v>2325</v>
      </c>
    </row>
    <row r="97" spans="2:8" ht="21" hidden="1" customHeight="1" x14ac:dyDescent="0.3">
      <c r="B97" s="2">
        <v>45331</v>
      </c>
      <c r="C97" s="6">
        <v>50</v>
      </c>
      <c r="D97" s="10">
        <v>42.8</v>
      </c>
      <c r="E97" s="10">
        <v>46.7</v>
      </c>
      <c r="F97" s="9">
        <f>IF(Tablo14567891011121314151617181920212223242526272829303132333435363738394041[[#This Row],[SATIŞ]]=0,"Açık",(E97-D97)*C97)</f>
        <v>195.00000000000028</v>
      </c>
      <c r="G97" s="11">
        <f>Tablo14567891011121314151617181920212223242526272829303132333435363738394041[[#This Row],[ADET]]*Tablo14567891011121314151617181920212223242526272829303132333435363738394041[[#This Row],[ALIŞ]]</f>
        <v>2140</v>
      </c>
      <c r="H97" s="11">
        <f>Tablo14567891011121314151617181920212223242526272829303132333435363738394041[[#This Row],[ADET]]*Tablo14567891011121314151617181920212223242526272829303132333435363738394041[[#This Row],[SATIŞ]]</f>
        <v>2335</v>
      </c>
    </row>
    <row r="98" spans="2:8" ht="21" hidden="1" customHeight="1" x14ac:dyDescent="0.3">
      <c r="B98" s="2">
        <v>45331</v>
      </c>
      <c r="C98" s="6">
        <v>50</v>
      </c>
      <c r="D98" s="10">
        <v>42.8</v>
      </c>
      <c r="E98" s="10">
        <v>43.6</v>
      </c>
      <c r="F98" s="9">
        <f>IF(Tablo14567891011121314151617181920212223242526272829303132333435363738394041[[#This Row],[SATIŞ]]=0,"Açık",(E98-D98)*C98)</f>
        <v>40.000000000000213</v>
      </c>
      <c r="G98" s="11">
        <f>Tablo14567891011121314151617181920212223242526272829303132333435363738394041[[#This Row],[ADET]]*Tablo14567891011121314151617181920212223242526272829303132333435363738394041[[#This Row],[ALIŞ]]</f>
        <v>2140</v>
      </c>
      <c r="H98" s="11">
        <f>Tablo14567891011121314151617181920212223242526272829303132333435363738394041[[#This Row],[ADET]]*Tablo14567891011121314151617181920212223242526272829303132333435363738394041[[#This Row],[SATIŞ]]</f>
        <v>2180</v>
      </c>
    </row>
    <row r="99" spans="2:8" ht="21" hidden="1" customHeight="1" x14ac:dyDescent="0.3">
      <c r="B99" s="2">
        <v>45331</v>
      </c>
      <c r="C99" s="6">
        <v>50</v>
      </c>
      <c r="D99" s="10">
        <v>42.84</v>
      </c>
      <c r="E99" s="10">
        <v>43.4</v>
      </c>
      <c r="F99" s="9">
        <f>IF(Tablo14567891011121314151617181920212223242526272829303132333435363738394041[[#This Row],[SATIŞ]]=0,"Açık",(E99-D99)*C99)</f>
        <v>27.999999999999758</v>
      </c>
      <c r="G99" s="11">
        <f>Tablo14567891011121314151617181920212223242526272829303132333435363738394041[[#This Row],[ADET]]*Tablo14567891011121314151617181920212223242526272829303132333435363738394041[[#This Row],[ALIŞ]]</f>
        <v>2142</v>
      </c>
      <c r="H99" s="11">
        <f>Tablo14567891011121314151617181920212223242526272829303132333435363738394041[[#This Row],[ADET]]*Tablo14567891011121314151617181920212223242526272829303132333435363738394041[[#This Row],[SATIŞ]]</f>
        <v>2170</v>
      </c>
    </row>
    <row r="100" spans="2:8" ht="21" hidden="1" customHeight="1" x14ac:dyDescent="0.3">
      <c r="B100" s="2">
        <v>45331</v>
      </c>
      <c r="C100" s="6">
        <v>50</v>
      </c>
      <c r="D100" s="10">
        <v>42.8</v>
      </c>
      <c r="E100" s="10">
        <v>43.5</v>
      </c>
      <c r="F100" s="9">
        <f>IF(Tablo14567891011121314151617181920212223242526272829303132333435363738394041[[#This Row],[SATIŞ]]=0,"Açık",(E100-D100)*C100)</f>
        <v>35.000000000000142</v>
      </c>
      <c r="G100" s="11">
        <f>Tablo14567891011121314151617181920212223242526272829303132333435363738394041[[#This Row],[ADET]]*Tablo14567891011121314151617181920212223242526272829303132333435363738394041[[#This Row],[ALIŞ]]</f>
        <v>2140</v>
      </c>
      <c r="H100" s="11">
        <f>Tablo14567891011121314151617181920212223242526272829303132333435363738394041[[#This Row],[ADET]]*Tablo14567891011121314151617181920212223242526272829303132333435363738394041[[#This Row],[SATIŞ]]</f>
        <v>2175</v>
      </c>
    </row>
    <row r="101" spans="2:8" ht="21" hidden="1" customHeight="1" x14ac:dyDescent="0.3">
      <c r="B101" s="2">
        <v>45331</v>
      </c>
      <c r="C101" s="6">
        <v>50</v>
      </c>
      <c r="D101" s="10">
        <v>42.8</v>
      </c>
      <c r="E101" s="10">
        <v>43.2</v>
      </c>
      <c r="F101" s="9">
        <f>IF(Tablo14567891011121314151617181920212223242526272829303132333435363738394041[[#This Row],[SATIŞ]]=0,"Açık",(E101-D101)*C101)</f>
        <v>20.000000000000284</v>
      </c>
      <c r="G101" s="11">
        <f>Tablo14567891011121314151617181920212223242526272829303132333435363738394041[[#This Row],[ADET]]*Tablo14567891011121314151617181920212223242526272829303132333435363738394041[[#This Row],[ALIŞ]]</f>
        <v>2140</v>
      </c>
      <c r="H101" s="11">
        <f>Tablo14567891011121314151617181920212223242526272829303132333435363738394041[[#This Row],[ADET]]*Tablo14567891011121314151617181920212223242526272829303132333435363738394041[[#This Row],[SATIŞ]]</f>
        <v>2160</v>
      </c>
    </row>
    <row r="102" spans="2:8" ht="21" hidden="1" customHeight="1" x14ac:dyDescent="0.3">
      <c r="B102" s="2">
        <v>45331</v>
      </c>
      <c r="C102" s="6">
        <v>50</v>
      </c>
      <c r="D102" s="10">
        <v>42.8</v>
      </c>
      <c r="E102" s="10">
        <v>43.1</v>
      </c>
      <c r="F102" s="9">
        <f>IF(Tablo14567891011121314151617181920212223242526272829303132333435363738394041[[#This Row],[SATIŞ]]=0,"Açık",(E102-D102)*C102)</f>
        <v>15.000000000000213</v>
      </c>
      <c r="G102" s="11">
        <f>Tablo14567891011121314151617181920212223242526272829303132333435363738394041[[#This Row],[ADET]]*Tablo14567891011121314151617181920212223242526272829303132333435363738394041[[#This Row],[ALIŞ]]</f>
        <v>2140</v>
      </c>
      <c r="H102" s="11">
        <f>Tablo14567891011121314151617181920212223242526272829303132333435363738394041[[#This Row],[ADET]]*Tablo14567891011121314151617181920212223242526272829303132333435363738394041[[#This Row],[SATIŞ]]</f>
        <v>2155</v>
      </c>
    </row>
    <row r="103" spans="2:8" ht="21" hidden="1" customHeight="1" x14ac:dyDescent="0.3">
      <c r="B103" s="2">
        <v>45331</v>
      </c>
      <c r="C103" s="6">
        <v>50</v>
      </c>
      <c r="D103" s="10">
        <v>42.8</v>
      </c>
      <c r="E103" s="10">
        <v>43.3</v>
      </c>
      <c r="F103" s="9">
        <f>IF(Tablo14567891011121314151617181920212223242526272829303132333435363738394041[[#This Row],[SATIŞ]]=0,"Açık",(E103-D103)*C103)</f>
        <v>25</v>
      </c>
      <c r="G103" s="11">
        <f>Tablo14567891011121314151617181920212223242526272829303132333435363738394041[[#This Row],[ADET]]*Tablo14567891011121314151617181920212223242526272829303132333435363738394041[[#This Row],[ALIŞ]]</f>
        <v>2140</v>
      </c>
      <c r="H103" s="11">
        <f>Tablo14567891011121314151617181920212223242526272829303132333435363738394041[[#This Row],[ADET]]*Tablo14567891011121314151617181920212223242526272829303132333435363738394041[[#This Row],[SATIŞ]]</f>
        <v>2165</v>
      </c>
    </row>
    <row r="104" spans="2:8" ht="21" hidden="1" customHeight="1" x14ac:dyDescent="0.3">
      <c r="B104" s="2">
        <v>45331</v>
      </c>
      <c r="C104" s="6">
        <v>50</v>
      </c>
      <c r="D104" s="10">
        <v>42.7</v>
      </c>
      <c r="E104" s="10">
        <v>43</v>
      </c>
      <c r="F104" s="9">
        <f>IF(Tablo14567891011121314151617181920212223242526272829303132333435363738394041[[#This Row],[SATIŞ]]=0,"Açık",(E104-D104)*C104)</f>
        <v>14.999999999999858</v>
      </c>
      <c r="G104" s="11">
        <f>Tablo14567891011121314151617181920212223242526272829303132333435363738394041[[#This Row],[ADET]]*Tablo14567891011121314151617181920212223242526272829303132333435363738394041[[#This Row],[ALIŞ]]</f>
        <v>2135</v>
      </c>
      <c r="H104" s="11">
        <f>Tablo14567891011121314151617181920212223242526272829303132333435363738394041[[#This Row],[ADET]]*Tablo14567891011121314151617181920212223242526272829303132333435363738394041[[#This Row],[SATIŞ]]</f>
        <v>2150</v>
      </c>
    </row>
    <row r="105" spans="2:8" ht="21" hidden="1" customHeight="1" x14ac:dyDescent="0.3">
      <c r="B105" s="2">
        <v>45331</v>
      </c>
      <c r="C105" s="6">
        <v>50</v>
      </c>
      <c r="D105" s="10">
        <v>42.7</v>
      </c>
      <c r="E105" s="10">
        <v>42.9</v>
      </c>
      <c r="F105" s="9">
        <f>IF(Tablo14567891011121314151617181920212223242526272829303132333435363738394041[[#This Row],[SATIŞ]]=0,"Açık",(E105-D105)*C105)</f>
        <v>9.9999999999997868</v>
      </c>
      <c r="G105" s="11">
        <f>Tablo14567891011121314151617181920212223242526272829303132333435363738394041[[#This Row],[ADET]]*Tablo14567891011121314151617181920212223242526272829303132333435363738394041[[#This Row],[ALIŞ]]</f>
        <v>2135</v>
      </c>
      <c r="H105" s="11">
        <f>Tablo14567891011121314151617181920212223242526272829303132333435363738394041[[#This Row],[ADET]]*Tablo14567891011121314151617181920212223242526272829303132333435363738394041[[#This Row],[SATIŞ]]</f>
        <v>2145</v>
      </c>
    </row>
    <row r="106" spans="2:8" ht="21" hidden="1" customHeight="1" x14ac:dyDescent="0.3">
      <c r="B106" s="2">
        <v>45331</v>
      </c>
      <c r="C106" s="6">
        <v>50</v>
      </c>
      <c r="D106" s="10">
        <v>42.5</v>
      </c>
      <c r="E106" s="10">
        <v>42.7</v>
      </c>
      <c r="F106" s="9">
        <f>IF(Tablo14567891011121314151617181920212223242526272829303132333435363738394041[[#This Row],[SATIŞ]]=0,"Açık",(E106-D106)*C106)</f>
        <v>10.000000000000142</v>
      </c>
      <c r="G106" s="11">
        <f>Tablo14567891011121314151617181920212223242526272829303132333435363738394041[[#This Row],[ADET]]*Tablo14567891011121314151617181920212223242526272829303132333435363738394041[[#This Row],[ALIŞ]]</f>
        <v>2125</v>
      </c>
      <c r="H106" s="11">
        <f>Tablo14567891011121314151617181920212223242526272829303132333435363738394041[[#This Row],[ADET]]*Tablo14567891011121314151617181920212223242526272829303132333435363738394041[[#This Row],[SATIŞ]]</f>
        <v>2135</v>
      </c>
    </row>
    <row r="107" spans="2:8" ht="21" hidden="1" customHeight="1" x14ac:dyDescent="0.3">
      <c r="B107" s="2">
        <v>45331</v>
      </c>
      <c r="C107" s="6">
        <v>50</v>
      </c>
      <c r="D107" s="10">
        <v>42.5</v>
      </c>
      <c r="E107" s="10">
        <v>42.6</v>
      </c>
      <c r="F107" s="9">
        <f>IF(Tablo14567891011121314151617181920212223242526272829303132333435363738394041[[#This Row],[SATIŞ]]=0,"Açık",(E107-D107)*C107)</f>
        <v>5.0000000000000711</v>
      </c>
      <c r="G107" s="11">
        <f>Tablo14567891011121314151617181920212223242526272829303132333435363738394041[[#This Row],[ADET]]*Tablo14567891011121314151617181920212223242526272829303132333435363738394041[[#This Row],[ALIŞ]]</f>
        <v>2125</v>
      </c>
      <c r="H107" s="11">
        <f>Tablo14567891011121314151617181920212223242526272829303132333435363738394041[[#This Row],[ADET]]*Tablo14567891011121314151617181920212223242526272829303132333435363738394041[[#This Row],[SATIŞ]]</f>
        <v>2130</v>
      </c>
    </row>
    <row r="108" spans="2:8" ht="21" hidden="1" customHeight="1" x14ac:dyDescent="0.3">
      <c r="B108" s="2">
        <v>45331</v>
      </c>
      <c r="C108" s="6">
        <v>50</v>
      </c>
      <c r="D108" s="10">
        <v>42.5</v>
      </c>
      <c r="E108" s="10">
        <v>42.7</v>
      </c>
      <c r="F108" s="9">
        <f>IF(Tablo14567891011121314151617181920212223242526272829303132333435363738394041[[#This Row],[SATIŞ]]=0,"Açık",(E108-D108)*C108)</f>
        <v>10.000000000000142</v>
      </c>
      <c r="G108" s="11">
        <f>Tablo14567891011121314151617181920212223242526272829303132333435363738394041[[#This Row],[ADET]]*Tablo14567891011121314151617181920212223242526272829303132333435363738394041[[#This Row],[ALIŞ]]</f>
        <v>2125</v>
      </c>
      <c r="H108" s="11">
        <f>Tablo14567891011121314151617181920212223242526272829303132333435363738394041[[#This Row],[ADET]]*Tablo14567891011121314151617181920212223242526272829303132333435363738394041[[#This Row],[SATIŞ]]</f>
        <v>2135</v>
      </c>
    </row>
    <row r="109" spans="2:8" ht="21" hidden="1" customHeight="1" x14ac:dyDescent="0.3">
      <c r="B109" s="2">
        <v>45331</v>
      </c>
      <c r="C109" s="6">
        <v>50</v>
      </c>
      <c r="D109" s="10">
        <v>42.5</v>
      </c>
      <c r="E109" s="10">
        <v>42.8</v>
      </c>
      <c r="F109" s="9">
        <f>IF(Tablo14567891011121314151617181920212223242526272829303132333435363738394041[[#This Row],[SATIŞ]]=0,"Açık",(E109-D109)*C109)</f>
        <v>14.999999999999858</v>
      </c>
      <c r="G109" s="11">
        <f>Tablo14567891011121314151617181920212223242526272829303132333435363738394041[[#This Row],[ADET]]*Tablo14567891011121314151617181920212223242526272829303132333435363738394041[[#This Row],[ALIŞ]]</f>
        <v>2125</v>
      </c>
      <c r="H109" s="11">
        <f>Tablo14567891011121314151617181920212223242526272829303132333435363738394041[[#This Row],[ADET]]*Tablo14567891011121314151617181920212223242526272829303132333435363738394041[[#This Row],[SATIŞ]]</f>
        <v>2140</v>
      </c>
    </row>
    <row r="110" spans="2:8" ht="21" hidden="1" customHeight="1" x14ac:dyDescent="0.3">
      <c r="B110" s="2">
        <v>45331</v>
      </c>
      <c r="C110" s="6">
        <v>50</v>
      </c>
      <c r="D110" s="10">
        <v>43.1</v>
      </c>
      <c r="E110" s="10">
        <v>46.6</v>
      </c>
      <c r="F110" s="9">
        <f>IF(Tablo14567891011121314151617181920212223242526272829303132333435363738394041[[#This Row],[SATIŞ]]=0,"Açık",(E110-D110)*C110)</f>
        <v>175</v>
      </c>
      <c r="G110" s="11">
        <f>Tablo14567891011121314151617181920212223242526272829303132333435363738394041[[#This Row],[ADET]]*Tablo14567891011121314151617181920212223242526272829303132333435363738394041[[#This Row],[ALIŞ]]</f>
        <v>2155</v>
      </c>
      <c r="H110" s="11">
        <f>Tablo14567891011121314151617181920212223242526272829303132333435363738394041[[#This Row],[ADET]]*Tablo14567891011121314151617181920212223242526272829303132333435363738394041[[#This Row],[SATIŞ]]</f>
        <v>2330</v>
      </c>
    </row>
    <row r="111" spans="2:8" ht="21" hidden="1" customHeight="1" x14ac:dyDescent="0.3">
      <c r="B111" s="2">
        <v>45331</v>
      </c>
      <c r="C111" s="6">
        <v>50</v>
      </c>
      <c r="D111" s="10">
        <v>43.1</v>
      </c>
      <c r="E111" s="10">
        <v>46.3</v>
      </c>
      <c r="F111" s="9">
        <f>IF(Tablo14567891011121314151617181920212223242526272829303132333435363738394041[[#This Row],[SATIŞ]]=0,"Açık",(E111-D111)*C111)</f>
        <v>159.99999999999977</v>
      </c>
      <c r="G111" s="11">
        <f>Tablo14567891011121314151617181920212223242526272829303132333435363738394041[[#This Row],[ADET]]*Tablo14567891011121314151617181920212223242526272829303132333435363738394041[[#This Row],[ALIŞ]]</f>
        <v>2155</v>
      </c>
      <c r="H111" s="11">
        <f>Tablo14567891011121314151617181920212223242526272829303132333435363738394041[[#This Row],[ADET]]*Tablo14567891011121314151617181920212223242526272829303132333435363738394041[[#This Row],[SATIŞ]]</f>
        <v>2315</v>
      </c>
    </row>
    <row r="112" spans="2:8" ht="21" hidden="1" customHeight="1" x14ac:dyDescent="0.3">
      <c r="B112" s="2">
        <v>45334</v>
      </c>
      <c r="C112" s="6">
        <v>50</v>
      </c>
      <c r="D112" s="10">
        <v>43.7</v>
      </c>
      <c r="E112" s="10">
        <v>47</v>
      </c>
      <c r="F112" s="9">
        <f>IF(Tablo14567891011121314151617181920212223242526272829303132333435363738394041[[#This Row],[SATIŞ]]=0,"Açık",(E112-D112)*C112)</f>
        <v>164.99999999999986</v>
      </c>
      <c r="G112" s="11">
        <f>Tablo14567891011121314151617181920212223242526272829303132333435363738394041[[#This Row],[ADET]]*Tablo14567891011121314151617181920212223242526272829303132333435363738394041[[#This Row],[ALIŞ]]</f>
        <v>2185</v>
      </c>
      <c r="H112" s="11">
        <f>Tablo14567891011121314151617181920212223242526272829303132333435363738394041[[#This Row],[ADET]]*Tablo14567891011121314151617181920212223242526272829303132333435363738394041[[#This Row],[SATIŞ]]</f>
        <v>2350</v>
      </c>
    </row>
    <row r="113" spans="2:8" ht="21" hidden="1" customHeight="1" x14ac:dyDescent="0.3">
      <c r="B113" s="2">
        <v>45334</v>
      </c>
      <c r="C113" s="6">
        <v>50</v>
      </c>
      <c r="D113" s="10">
        <v>43.7</v>
      </c>
      <c r="E113" s="10">
        <v>46.8</v>
      </c>
      <c r="F113" s="9">
        <f>IF(Tablo14567891011121314151617181920212223242526272829303132333435363738394041[[#This Row],[SATIŞ]]=0,"Açık",(E113-D113)*C113)</f>
        <v>154.99999999999972</v>
      </c>
      <c r="G113" s="11">
        <f>Tablo14567891011121314151617181920212223242526272829303132333435363738394041[[#This Row],[ADET]]*Tablo14567891011121314151617181920212223242526272829303132333435363738394041[[#This Row],[ALIŞ]]</f>
        <v>2185</v>
      </c>
      <c r="H113" s="11">
        <f>Tablo14567891011121314151617181920212223242526272829303132333435363738394041[[#This Row],[ADET]]*Tablo14567891011121314151617181920212223242526272829303132333435363738394041[[#This Row],[SATIŞ]]</f>
        <v>2340</v>
      </c>
    </row>
    <row r="114" spans="2:8" ht="21" hidden="1" customHeight="1" x14ac:dyDescent="0.3">
      <c r="B114" s="2">
        <v>45334</v>
      </c>
      <c r="C114" s="6">
        <v>50</v>
      </c>
      <c r="D114" s="10">
        <v>46.4</v>
      </c>
      <c r="E114" s="10">
        <v>46.7</v>
      </c>
      <c r="F114" s="9">
        <f>IF(Tablo14567891011121314151617181920212223242526272829303132333435363738394041[[#This Row],[SATIŞ]]=0,"Açık",(E114-D114)*C114)</f>
        <v>15.000000000000213</v>
      </c>
      <c r="G114" s="11">
        <f>Tablo14567891011121314151617181920212223242526272829303132333435363738394041[[#This Row],[ADET]]*Tablo14567891011121314151617181920212223242526272829303132333435363738394041[[#This Row],[ALIŞ]]</f>
        <v>2320</v>
      </c>
      <c r="H114" s="11">
        <f>Tablo14567891011121314151617181920212223242526272829303132333435363738394041[[#This Row],[ADET]]*Tablo14567891011121314151617181920212223242526272829303132333435363738394041[[#This Row],[SATIŞ]]</f>
        <v>2335</v>
      </c>
    </row>
    <row r="115" spans="2:8" ht="21" hidden="1" customHeight="1" x14ac:dyDescent="0.3">
      <c r="B115" s="2">
        <v>45334</v>
      </c>
      <c r="C115" s="6">
        <v>50</v>
      </c>
      <c r="D115" s="10">
        <v>46.4</v>
      </c>
      <c r="E115" s="10">
        <v>47.3</v>
      </c>
      <c r="F115" s="9">
        <f>IF(Tablo14567891011121314151617181920212223242526272829303132333435363738394041[[#This Row],[SATIŞ]]=0,"Açık",(E115-D115)*C115)</f>
        <v>44.999999999999929</v>
      </c>
      <c r="G115" s="11">
        <f>Tablo14567891011121314151617181920212223242526272829303132333435363738394041[[#This Row],[ADET]]*Tablo14567891011121314151617181920212223242526272829303132333435363738394041[[#This Row],[ALIŞ]]</f>
        <v>2320</v>
      </c>
      <c r="H115" s="11">
        <f>Tablo14567891011121314151617181920212223242526272829303132333435363738394041[[#This Row],[ADET]]*Tablo14567891011121314151617181920212223242526272829303132333435363738394041[[#This Row],[SATIŞ]]</f>
        <v>2365</v>
      </c>
    </row>
    <row r="116" spans="2:8" ht="21" hidden="1" customHeight="1" x14ac:dyDescent="0.3">
      <c r="B116" s="2">
        <v>45334</v>
      </c>
      <c r="C116" s="6">
        <v>50</v>
      </c>
      <c r="D116" s="10">
        <v>46.5</v>
      </c>
      <c r="E116" s="10">
        <v>46.6</v>
      </c>
      <c r="F116" s="9">
        <f>IF(Tablo14567891011121314151617181920212223242526272829303132333435363738394041[[#This Row],[SATIŞ]]=0,"Açık",(E116-D116)*C116)</f>
        <v>5.0000000000000711</v>
      </c>
      <c r="G116" s="11">
        <f>Tablo14567891011121314151617181920212223242526272829303132333435363738394041[[#This Row],[ADET]]*Tablo14567891011121314151617181920212223242526272829303132333435363738394041[[#This Row],[ALIŞ]]</f>
        <v>2325</v>
      </c>
      <c r="H116" s="11">
        <f>Tablo14567891011121314151617181920212223242526272829303132333435363738394041[[#This Row],[ADET]]*Tablo14567891011121314151617181920212223242526272829303132333435363738394041[[#This Row],[SATIŞ]]</f>
        <v>2330</v>
      </c>
    </row>
    <row r="117" spans="2:8" ht="21" hidden="1" customHeight="1" x14ac:dyDescent="0.3">
      <c r="B117" s="2">
        <v>45334</v>
      </c>
      <c r="C117" s="6">
        <v>50</v>
      </c>
      <c r="D117" s="10">
        <v>46.1</v>
      </c>
      <c r="E117" s="10">
        <v>46.5</v>
      </c>
      <c r="F117" s="9">
        <f>IF(Tablo14567891011121314151617181920212223242526272829303132333435363738394041[[#This Row],[SATIŞ]]=0,"Açık",(E117-D117)*C117)</f>
        <v>19.999999999999929</v>
      </c>
      <c r="G117" s="11">
        <f>Tablo14567891011121314151617181920212223242526272829303132333435363738394041[[#This Row],[ADET]]*Tablo14567891011121314151617181920212223242526272829303132333435363738394041[[#This Row],[ALIŞ]]</f>
        <v>2305</v>
      </c>
      <c r="H117" s="11">
        <f>Tablo14567891011121314151617181920212223242526272829303132333435363738394041[[#This Row],[ADET]]*Tablo14567891011121314151617181920212223242526272829303132333435363738394041[[#This Row],[SATIŞ]]</f>
        <v>2325</v>
      </c>
    </row>
    <row r="118" spans="2:8" ht="21" hidden="1" customHeight="1" x14ac:dyDescent="0.3">
      <c r="B118" s="2">
        <v>45334</v>
      </c>
      <c r="C118" s="6">
        <v>50</v>
      </c>
      <c r="D118" s="10">
        <v>46.1</v>
      </c>
      <c r="E118" s="10">
        <v>46.4</v>
      </c>
      <c r="F118" s="9">
        <f>IF(Tablo14567891011121314151617181920212223242526272829303132333435363738394041[[#This Row],[SATIŞ]]=0,"Açık",(E118-D118)*C118)</f>
        <v>14.999999999999858</v>
      </c>
      <c r="G118" s="11">
        <f>Tablo14567891011121314151617181920212223242526272829303132333435363738394041[[#This Row],[ADET]]*Tablo14567891011121314151617181920212223242526272829303132333435363738394041[[#This Row],[ALIŞ]]</f>
        <v>2305</v>
      </c>
      <c r="H118" s="11">
        <f>Tablo14567891011121314151617181920212223242526272829303132333435363738394041[[#This Row],[ADET]]*Tablo14567891011121314151617181920212223242526272829303132333435363738394041[[#This Row],[SATIŞ]]</f>
        <v>2320</v>
      </c>
    </row>
    <row r="119" spans="2:8" ht="21" hidden="1" customHeight="1" x14ac:dyDescent="0.3">
      <c r="B119" s="2">
        <v>45334</v>
      </c>
      <c r="C119" s="6">
        <v>100</v>
      </c>
      <c r="D119" s="10">
        <v>45.8</v>
      </c>
      <c r="E119" s="10">
        <v>47.3</v>
      </c>
      <c r="F119" s="9">
        <f>IF(Tablo14567891011121314151617181920212223242526272829303132333435363738394041[[#This Row],[SATIŞ]]=0,"Açık",(E119-D119)*C119)</f>
        <v>150</v>
      </c>
      <c r="G119" s="11">
        <f>Tablo14567891011121314151617181920212223242526272829303132333435363738394041[[#This Row],[ADET]]*Tablo14567891011121314151617181920212223242526272829303132333435363738394041[[#This Row],[ALIŞ]]</f>
        <v>4580</v>
      </c>
      <c r="H119" s="11">
        <f>Tablo14567891011121314151617181920212223242526272829303132333435363738394041[[#This Row],[ADET]]*Tablo14567891011121314151617181920212223242526272829303132333435363738394041[[#This Row],[SATIŞ]]</f>
        <v>4730</v>
      </c>
    </row>
    <row r="120" spans="2:8" ht="21" hidden="1" customHeight="1" x14ac:dyDescent="0.3">
      <c r="B120" s="2">
        <v>45334</v>
      </c>
      <c r="C120" s="6">
        <v>100</v>
      </c>
      <c r="D120" s="10">
        <v>45.9</v>
      </c>
      <c r="E120" s="10">
        <v>47.3</v>
      </c>
      <c r="F120" s="9">
        <f>IF(Tablo14567891011121314151617181920212223242526272829303132333435363738394041[[#This Row],[SATIŞ]]=0,"Açık",(E120-D120)*C120)</f>
        <v>139.99999999999986</v>
      </c>
      <c r="G120" s="11">
        <f>Tablo14567891011121314151617181920212223242526272829303132333435363738394041[[#This Row],[ADET]]*Tablo14567891011121314151617181920212223242526272829303132333435363738394041[[#This Row],[ALIŞ]]</f>
        <v>4590</v>
      </c>
      <c r="H120" s="11">
        <f>Tablo14567891011121314151617181920212223242526272829303132333435363738394041[[#This Row],[ADET]]*Tablo14567891011121314151617181920212223242526272829303132333435363738394041[[#This Row],[SATIŞ]]</f>
        <v>4730</v>
      </c>
    </row>
    <row r="121" spans="2:8" ht="21" hidden="1" customHeight="1" x14ac:dyDescent="0.3">
      <c r="B121" s="2">
        <v>45334</v>
      </c>
      <c r="C121" s="6">
        <v>100</v>
      </c>
      <c r="D121" s="10">
        <v>46</v>
      </c>
      <c r="E121" s="10">
        <v>50</v>
      </c>
      <c r="F121" s="9">
        <f>IF(Tablo14567891011121314151617181920212223242526272829303132333435363738394041[[#This Row],[SATIŞ]]=0,"Açık",(E121-D121)*C121)</f>
        <v>400</v>
      </c>
      <c r="G121" s="11">
        <f>Tablo14567891011121314151617181920212223242526272829303132333435363738394041[[#This Row],[ADET]]*Tablo14567891011121314151617181920212223242526272829303132333435363738394041[[#This Row],[ALIŞ]]</f>
        <v>4600</v>
      </c>
      <c r="H121" s="11">
        <f>Tablo14567891011121314151617181920212223242526272829303132333435363738394041[[#This Row],[ADET]]*Tablo14567891011121314151617181920212223242526272829303132333435363738394041[[#This Row],[SATIŞ]]</f>
        <v>5000</v>
      </c>
    </row>
    <row r="122" spans="2:8" ht="21" hidden="1" customHeight="1" x14ac:dyDescent="0.3">
      <c r="B122" s="2">
        <v>45334</v>
      </c>
      <c r="C122" s="6">
        <v>90</v>
      </c>
      <c r="D122" s="10">
        <v>47</v>
      </c>
      <c r="E122" s="10">
        <v>47.3</v>
      </c>
      <c r="F122" s="9">
        <f>IF(Tablo14567891011121314151617181920212223242526272829303132333435363738394041[[#This Row],[SATIŞ]]=0,"Açık",(E122-D122)*C122)</f>
        <v>26.999999999999744</v>
      </c>
      <c r="G122" s="11">
        <f>Tablo14567891011121314151617181920212223242526272829303132333435363738394041[[#This Row],[ADET]]*Tablo14567891011121314151617181920212223242526272829303132333435363738394041[[#This Row],[ALIŞ]]</f>
        <v>4230</v>
      </c>
      <c r="H122" s="11">
        <f>Tablo14567891011121314151617181920212223242526272829303132333435363738394041[[#This Row],[ADET]]*Tablo14567891011121314151617181920212223242526272829303132333435363738394041[[#This Row],[SATIŞ]]</f>
        <v>4257</v>
      </c>
    </row>
    <row r="123" spans="2:8" ht="21" hidden="1" customHeight="1" x14ac:dyDescent="0.3">
      <c r="B123" s="2">
        <v>45335</v>
      </c>
      <c r="C123" s="6">
        <v>60</v>
      </c>
      <c r="D123" s="10">
        <v>46</v>
      </c>
      <c r="E123" s="10">
        <v>52</v>
      </c>
      <c r="F123" s="9">
        <f>IF(Tablo14567891011121314151617181920212223242526272829303132333435363738394041[[#This Row],[SATIŞ]]=0,"Açık",(E123-D123)*C123)</f>
        <v>360</v>
      </c>
      <c r="G123" s="11">
        <f>Tablo14567891011121314151617181920212223242526272829303132333435363738394041[[#This Row],[ADET]]*Tablo14567891011121314151617181920212223242526272829303132333435363738394041[[#This Row],[ALIŞ]]</f>
        <v>2760</v>
      </c>
      <c r="H123" s="11">
        <f>Tablo14567891011121314151617181920212223242526272829303132333435363738394041[[#This Row],[ADET]]*Tablo14567891011121314151617181920212223242526272829303132333435363738394041[[#This Row],[SATIŞ]]</f>
        <v>3120</v>
      </c>
    </row>
    <row r="124" spans="2:8" ht="21" hidden="1" customHeight="1" x14ac:dyDescent="0.3">
      <c r="B124" s="2">
        <v>45335</v>
      </c>
      <c r="C124" s="6">
        <v>10</v>
      </c>
      <c r="D124" s="10">
        <v>45</v>
      </c>
      <c r="E124" s="10">
        <v>45.2</v>
      </c>
      <c r="F124" s="9">
        <f>IF(Tablo14567891011121314151617181920212223242526272829303132333435363738394041[[#This Row],[SATIŞ]]=0,"Açık",(E124-D124)*C124)</f>
        <v>2.0000000000000284</v>
      </c>
      <c r="G124" s="11">
        <f>Tablo14567891011121314151617181920212223242526272829303132333435363738394041[[#This Row],[ADET]]*Tablo14567891011121314151617181920212223242526272829303132333435363738394041[[#This Row],[ALIŞ]]</f>
        <v>450</v>
      </c>
      <c r="H124" s="11">
        <f>Tablo14567891011121314151617181920212223242526272829303132333435363738394041[[#This Row],[ADET]]*Tablo14567891011121314151617181920212223242526272829303132333435363738394041[[#This Row],[SATIŞ]]</f>
        <v>452</v>
      </c>
    </row>
    <row r="125" spans="2:8" ht="21" hidden="1" customHeight="1" x14ac:dyDescent="0.3">
      <c r="B125" s="2">
        <v>45335</v>
      </c>
      <c r="C125" s="6">
        <v>20</v>
      </c>
      <c r="D125" s="10">
        <v>45</v>
      </c>
      <c r="E125" s="10">
        <v>45.35</v>
      </c>
      <c r="F125" s="9">
        <f>IF(Tablo14567891011121314151617181920212223242526272829303132333435363738394041[[#This Row],[SATIŞ]]=0,"Açık",(E125-D125)*C125)</f>
        <v>7.0000000000000284</v>
      </c>
      <c r="G125" s="11">
        <f>Tablo14567891011121314151617181920212223242526272829303132333435363738394041[[#This Row],[ADET]]*Tablo14567891011121314151617181920212223242526272829303132333435363738394041[[#This Row],[ALIŞ]]</f>
        <v>900</v>
      </c>
      <c r="H125" s="11">
        <f>Tablo14567891011121314151617181920212223242526272829303132333435363738394041[[#This Row],[ADET]]*Tablo14567891011121314151617181920212223242526272829303132333435363738394041[[#This Row],[SATIŞ]]</f>
        <v>907</v>
      </c>
    </row>
    <row r="126" spans="2:8" ht="21" hidden="1" customHeight="1" x14ac:dyDescent="0.3">
      <c r="B126" s="2">
        <v>45335</v>
      </c>
      <c r="C126" s="6">
        <v>10</v>
      </c>
      <c r="D126" s="10">
        <v>45</v>
      </c>
      <c r="E126" s="10">
        <v>45.5</v>
      </c>
      <c r="F126" s="9">
        <f>IF(Tablo14567891011121314151617181920212223242526272829303132333435363738394041[[#This Row],[SATIŞ]]=0,"Açık",(E126-D126)*C126)</f>
        <v>5</v>
      </c>
      <c r="G126" s="11">
        <f>Tablo14567891011121314151617181920212223242526272829303132333435363738394041[[#This Row],[ADET]]*Tablo14567891011121314151617181920212223242526272829303132333435363738394041[[#This Row],[ALIŞ]]</f>
        <v>450</v>
      </c>
      <c r="H126" s="11">
        <f>Tablo14567891011121314151617181920212223242526272829303132333435363738394041[[#This Row],[ADET]]*Tablo14567891011121314151617181920212223242526272829303132333435363738394041[[#This Row],[SATIŞ]]</f>
        <v>455</v>
      </c>
    </row>
    <row r="127" spans="2:8" ht="21" hidden="1" customHeight="1" x14ac:dyDescent="0.3">
      <c r="B127" s="2">
        <v>45335</v>
      </c>
      <c r="C127" s="6">
        <v>10</v>
      </c>
      <c r="D127" s="10">
        <v>45</v>
      </c>
      <c r="E127" s="10">
        <v>45.6</v>
      </c>
      <c r="F127" s="9">
        <f>IF(Tablo14567891011121314151617181920212223242526272829303132333435363738394041[[#This Row],[SATIŞ]]=0,"Açık",(E127-D127)*C127)</f>
        <v>6.0000000000000142</v>
      </c>
      <c r="G127" s="11">
        <f>Tablo14567891011121314151617181920212223242526272829303132333435363738394041[[#This Row],[ADET]]*Tablo14567891011121314151617181920212223242526272829303132333435363738394041[[#This Row],[ALIŞ]]</f>
        <v>450</v>
      </c>
      <c r="H127" s="11">
        <f>Tablo14567891011121314151617181920212223242526272829303132333435363738394041[[#This Row],[ADET]]*Tablo14567891011121314151617181920212223242526272829303132333435363738394041[[#This Row],[SATIŞ]]</f>
        <v>456</v>
      </c>
    </row>
    <row r="128" spans="2:8" ht="21" hidden="1" customHeight="1" x14ac:dyDescent="0.3">
      <c r="B128" s="2">
        <v>45335</v>
      </c>
      <c r="C128" s="6">
        <v>20</v>
      </c>
      <c r="D128" s="10">
        <v>45</v>
      </c>
      <c r="E128" s="10">
        <v>45.75</v>
      </c>
      <c r="F128" s="9">
        <f>IF(Tablo14567891011121314151617181920212223242526272829303132333435363738394041[[#This Row],[SATIŞ]]=0,"Açık",(E128-D128)*C128)</f>
        <v>15</v>
      </c>
      <c r="G128" s="11">
        <f>Tablo14567891011121314151617181920212223242526272829303132333435363738394041[[#This Row],[ADET]]*Tablo14567891011121314151617181920212223242526272829303132333435363738394041[[#This Row],[ALIŞ]]</f>
        <v>900</v>
      </c>
      <c r="H128" s="11">
        <f>Tablo14567891011121314151617181920212223242526272829303132333435363738394041[[#This Row],[ADET]]*Tablo14567891011121314151617181920212223242526272829303132333435363738394041[[#This Row],[SATIŞ]]</f>
        <v>915</v>
      </c>
    </row>
    <row r="129" spans="2:8" ht="21" hidden="1" customHeight="1" x14ac:dyDescent="0.3">
      <c r="B129" s="2">
        <v>45335</v>
      </c>
      <c r="C129" s="6">
        <v>30</v>
      </c>
      <c r="D129" s="10">
        <v>45</v>
      </c>
      <c r="E129" s="10">
        <v>52</v>
      </c>
      <c r="F129" s="9">
        <f>IF(Tablo14567891011121314151617181920212223242526272829303132333435363738394041[[#This Row],[SATIŞ]]=0,"Açık",(E129-D129)*C129)</f>
        <v>210</v>
      </c>
      <c r="G129" s="11">
        <f>Tablo14567891011121314151617181920212223242526272829303132333435363738394041[[#This Row],[ADET]]*Tablo14567891011121314151617181920212223242526272829303132333435363738394041[[#This Row],[ALIŞ]]</f>
        <v>1350</v>
      </c>
      <c r="H129" s="11">
        <f>Tablo14567891011121314151617181920212223242526272829303132333435363738394041[[#This Row],[ADET]]*Tablo14567891011121314151617181920212223242526272829303132333435363738394041[[#This Row],[SATIŞ]]</f>
        <v>1560</v>
      </c>
    </row>
    <row r="130" spans="2:8" ht="21" hidden="1" customHeight="1" x14ac:dyDescent="0.3">
      <c r="B130" s="2">
        <v>45335</v>
      </c>
      <c r="C130" s="6">
        <v>25</v>
      </c>
      <c r="D130" s="10">
        <v>44.7</v>
      </c>
      <c r="E130" s="10">
        <v>45</v>
      </c>
      <c r="F130" s="9">
        <f>IF(Tablo14567891011121314151617181920212223242526272829303132333435363738394041[[#This Row],[SATIŞ]]=0,"Açık",(E130-D130)*C130)</f>
        <v>7.4999999999999289</v>
      </c>
      <c r="G130" s="11">
        <f>Tablo14567891011121314151617181920212223242526272829303132333435363738394041[[#This Row],[ADET]]*Tablo14567891011121314151617181920212223242526272829303132333435363738394041[[#This Row],[ALIŞ]]</f>
        <v>1117.5</v>
      </c>
      <c r="H130" s="11">
        <f>Tablo14567891011121314151617181920212223242526272829303132333435363738394041[[#This Row],[ADET]]*Tablo14567891011121314151617181920212223242526272829303132333435363738394041[[#This Row],[SATIŞ]]</f>
        <v>1125</v>
      </c>
    </row>
    <row r="131" spans="2:8" ht="21" hidden="1" customHeight="1" x14ac:dyDescent="0.3">
      <c r="B131" s="2">
        <v>45335</v>
      </c>
      <c r="C131" s="6">
        <v>25</v>
      </c>
      <c r="D131" s="10">
        <v>44.7</v>
      </c>
      <c r="E131" s="10">
        <v>57.2</v>
      </c>
      <c r="F131" s="9">
        <f>IF(Tablo14567891011121314151617181920212223242526272829303132333435363738394041[[#This Row],[SATIŞ]]=0,"Açık",(E131-D131)*C131)</f>
        <v>312.5</v>
      </c>
      <c r="G131" s="11">
        <f>Tablo14567891011121314151617181920212223242526272829303132333435363738394041[[#This Row],[ADET]]*Tablo14567891011121314151617181920212223242526272829303132333435363738394041[[#This Row],[ALIŞ]]</f>
        <v>1117.5</v>
      </c>
      <c r="H131" s="11">
        <f>Tablo14567891011121314151617181920212223242526272829303132333435363738394041[[#This Row],[ADET]]*Tablo14567891011121314151617181920212223242526272829303132333435363738394041[[#This Row],[SATIŞ]]</f>
        <v>1430</v>
      </c>
    </row>
    <row r="132" spans="2:8" ht="21" hidden="1" customHeight="1" x14ac:dyDescent="0.3">
      <c r="B132" s="2">
        <v>45335</v>
      </c>
      <c r="C132" s="6">
        <v>50</v>
      </c>
      <c r="D132" s="10">
        <v>44.7</v>
      </c>
      <c r="E132" s="10">
        <v>44.9</v>
      </c>
      <c r="F132" s="9">
        <f>IF(Tablo14567891011121314151617181920212223242526272829303132333435363738394041[[#This Row],[SATIŞ]]=0,"Açık",(E132-D132)*C132)</f>
        <v>9.9999999999997868</v>
      </c>
      <c r="G132" s="11">
        <f>Tablo14567891011121314151617181920212223242526272829303132333435363738394041[[#This Row],[ADET]]*Tablo14567891011121314151617181920212223242526272829303132333435363738394041[[#This Row],[ALIŞ]]</f>
        <v>2235</v>
      </c>
      <c r="H132" s="11">
        <f>Tablo14567891011121314151617181920212223242526272829303132333435363738394041[[#This Row],[ADET]]*Tablo14567891011121314151617181920212223242526272829303132333435363738394041[[#This Row],[SATIŞ]]</f>
        <v>2245</v>
      </c>
    </row>
    <row r="133" spans="2:8" ht="21" hidden="1" customHeight="1" x14ac:dyDescent="0.3">
      <c r="B133" s="2">
        <v>45335</v>
      </c>
      <c r="C133" s="6">
        <v>50</v>
      </c>
      <c r="D133" s="10">
        <v>44.7</v>
      </c>
      <c r="E133" s="10">
        <v>47.3</v>
      </c>
      <c r="F133" s="9">
        <f>IF(Tablo14567891011121314151617181920212223242526272829303132333435363738394041[[#This Row],[SATIŞ]]=0,"Açık",(E133-D133)*C133)</f>
        <v>129.99999999999972</v>
      </c>
      <c r="G133" s="11">
        <f>Tablo14567891011121314151617181920212223242526272829303132333435363738394041[[#This Row],[ADET]]*Tablo14567891011121314151617181920212223242526272829303132333435363738394041[[#This Row],[ALIŞ]]</f>
        <v>2235</v>
      </c>
      <c r="H133" s="11">
        <f>Tablo14567891011121314151617181920212223242526272829303132333435363738394041[[#This Row],[ADET]]*Tablo14567891011121314151617181920212223242526272829303132333435363738394041[[#This Row],[SATIŞ]]</f>
        <v>2365</v>
      </c>
    </row>
    <row r="134" spans="2:8" ht="21" hidden="1" customHeight="1" x14ac:dyDescent="0.3">
      <c r="B134" s="2">
        <v>45335</v>
      </c>
      <c r="C134" s="6">
        <v>50</v>
      </c>
      <c r="D134" s="10">
        <v>44.6</v>
      </c>
      <c r="E134" s="10">
        <v>45.3</v>
      </c>
      <c r="F134" s="9">
        <f>IF(Tablo14567891011121314151617181920212223242526272829303132333435363738394041[[#This Row],[SATIŞ]]=0,"Açık",(E134-D134)*C134)</f>
        <v>34.999999999999787</v>
      </c>
      <c r="G134" s="11">
        <f>Tablo14567891011121314151617181920212223242526272829303132333435363738394041[[#This Row],[ADET]]*Tablo14567891011121314151617181920212223242526272829303132333435363738394041[[#This Row],[ALIŞ]]</f>
        <v>2230</v>
      </c>
      <c r="H134" s="11">
        <f>Tablo14567891011121314151617181920212223242526272829303132333435363738394041[[#This Row],[ADET]]*Tablo14567891011121314151617181920212223242526272829303132333435363738394041[[#This Row],[SATIŞ]]</f>
        <v>2265</v>
      </c>
    </row>
    <row r="135" spans="2:8" ht="21" hidden="1" customHeight="1" x14ac:dyDescent="0.3">
      <c r="B135" s="2">
        <v>45335</v>
      </c>
      <c r="C135" s="6">
        <v>25</v>
      </c>
      <c r="D135" s="10">
        <v>44.5</v>
      </c>
      <c r="E135" s="10">
        <v>44.7</v>
      </c>
      <c r="F135" s="9">
        <f>IF(Tablo14567891011121314151617181920212223242526272829303132333435363738394041[[#This Row],[SATIŞ]]=0,"Açık",(E135-D135)*C135)</f>
        <v>5.0000000000000711</v>
      </c>
      <c r="G135" s="11">
        <f>Tablo14567891011121314151617181920212223242526272829303132333435363738394041[[#This Row],[ADET]]*Tablo14567891011121314151617181920212223242526272829303132333435363738394041[[#This Row],[ALIŞ]]</f>
        <v>1112.5</v>
      </c>
      <c r="H135" s="11">
        <f>Tablo14567891011121314151617181920212223242526272829303132333435363738394041[[#This Row],[ADET]]*Tablo14567891011121314151617181920212223242526272829303132333435363738394041[[#This Row],[SATIŞ]]</f>
        <v>1117.5</v>
      </c>
    </row>
    <row r="136" spans="2:8" ht="21" hidden="1" customHeight="1" x14ac:dyDescent="0.3">
      <c r="B136" s="2">
        <v>45335</v>
      </c>
      <c r="C136" s="6">
        <v>25</v>
      </c>
      <c r="D136" s="10">
        <v>44.5</v>
      </c>
      <c r="E136" s="10">
        <v>57.2</v>
      </c>
      <c r="F136" s="9">
        <f>IF(Tablo14567891011121314151617181920212223242526272829303132333435363738394041[[#This Row],[SATIŞ]]=0,"Açık",(E136-D136)*C136)</f>
        <v>317.50000000000006</v>
      </c>
      <c r="G136" s="11">
        <f>Tablo14567891011121314151617181920212223242526272829303132333435363738394041[[#This Row],[ADET]]*Tablo14567891011121314151617181920212223242526272829303132333435363738394041[[#This Row],[ALIŞ]]</f>
        <v>1112.5</v>
      </c>
      <c r="H136" s="11">
        <f>Tablo14567891011121314151617181920212223242526272829303132333435363738394041[[#This Row],[ADET]]*Tablo14567891011121314151617181920212223242526272829303132333435363738394041[[#This Row],[SATIŞ]]</f>
        <v>1430</v>
      </c>
    </row>
    <row r="137" spans="2:8" ht="21" hidden="1" customHeight="1" x14ac:dyDescent="0.3">
      <c r="B137" s="2">
        <v>45335</v>
      </c>
      <c r="C137" s="6">
        <v>50</v>
      </c>
      <c r="D137" s="10">
        <v>44.5</v>
      </c>
      <c r="E137" s="10">
        <v>45.4</v>
      </c>
      <c r="F137" s="9">
        <f>IF(Tablo14567891011121314151617181920212223242526272829303132333435363738394041[[#This Row],[SATIŞ]]=0,"Açık",(E137-D137)*C137)</f>
        <v>44.999999999999929</v>
      </c>
      <c r="G137" s="11">
        <f>Tablo14567891011121314151617181920212223242526272829303132333435363738394041[[#This Row],[ADET]]*Tablo14567891011121314151617181920212223242526272829303132333435363738394041[[#This Row],[ALIŞ]]</f>
        <v>2225</v>
      </c>
      <c r="H137" s="11">
        <f>Tablo14567891011121314151617181920212223242526272829303132333435363738394041[[#This Row],[ADET]]*Tablo14567891011121314151617181920212223242526272829303132333435363738394041[[#This Row],[SATIŞ]]</f>
        <v>2270</v>
      </c>
    </row>
    <row r="138" spans="2:8" ht="21" hidden="1" customHeight="1" x14ac:dyDescent="0.3">
      <c r="B138" s="2">
        <v>45335</v>
      </c>
      <c r="C138" s="6">
        <v>30</v>
      </c>
      <c r="D138" s="10">
        <v>44</v>
      </c>
      <c r="E138" s="10">
        <v>44.2</v>
      </c>
      <c r="F138" s="9">
        <f>IF(Tablo14567891011121314151617181920212223242526272829303132333435363738394041[[#This Row],[SATIŞ]]=0,"Açık",(E138-D138)*C138)</f>
        <v>6.0000000000000853</v>
      </c>
      <c r="G138" s="11">
        <f>Tablo14567891011121314151617181920212223242526272829303132333435363738394041[[#This Row],[ADET]]*Tablo14567891011121314151617181920212223242526272829303132333435363738394041[[#This Row],[ALIŞ]]</f>
        <v>1320</v>
      </c>
      <c r="H138" s="11">
        <f>Tablo14567891011121314151617181920212223242526272829303132333435363738394041[[#This Row],[ADET]]*Tablo14567891011121314151617181920212223242526272829303132333435363738394041[[#This Row],[SATIŞ]]</f>
        <v>1326</v>
      </c>
    </row>
    <row r="139" spans="2:8" ht="21" hidden="1" customHeight="1" x14ac:dyDescent="0.3">
      <c r="B139" s="2">
        <v>45335</v>
      </c>
      <c r="C139" s="6">
        <v>100</v>
      </c>
      <c r="D139" s="10">
        <v>44</v>
      </c>
      <c r="E139" s="10">
        <v>44.1</v>
      </c>
      <c r="F139" s="9">
        <f>IF(Tablo14567891011121314151617181920212223242526272829303132333435363738394041[[#This Row],[SATIŞ]]=0,"Açık",(E139-D139)*C139)</f>
        <v>10.000000000000142</v>
      </c>
      <c r="G139" s="11">
        <f>Tablo14567891011121314151617181920212223242526272829303132333435363738394041[[#This Row],[ADET]]*Tablo14567891011121314151617181920212223242526272829303132333435363738394041[[#This Row],[ALIŞ]]</f>
        <v>4400</v>
      </c>
      <c r="H139" s="11">
        <f>Tablo14567891011121314151617181920212223242526272829303132333435363738394041[[#This Row],[ADET]]*Tablo14567891011121314151617181920212223242526272829303132333435363738394041[[#This Row],[SATIŞ]]</f>
        <v>4410</v>
      </c>
    </row>
    <row r="140" spans="2:8" ht="21" hidden="1" customHeight="1" x14ac:dyDescent="0.3">
      <c r="B140" s="2">
        <v>45335</v>
      </c>
      <c r="C140" s="6">
        <v>10</v>
      </c>
      <c r="D140" s="10">
        <v>44</v>
      </c>
      <c r="E140" s="10">
        <v>52</v>
      </c>
      <c r="F140" s="9">
        <f>IF(Tablo14567891011121314151617181920212223242526272829303132333435363738394041[[#This Row],[SATIŞ]]=0,"Açık",(E140-D140)*C140)</f>
        <v>80</v>
      </c>
      <c r="G140" s="11">
        <f>Tablo14567891011121314151617181920212223242526272829303132333435363738394041[[#This Row],[ADET]]*Tablo14567891011121314151617181920212223242526272829303132333435363738394041[[#This Row],[ALIŞ]]</f>
        <v>440</v>
      </c>
      <c r="H140" s="11">
        <f>Tablo14567891011121314151617181920212223242526272829303132333435363738394041[[#This Row],[ADET]]*Tablo14567891011121314151617181920212223242526272829303132333435363738394041[[#This Row],[SATIŞ]]</f>
        <v>520</v>
      </c>
    </row>
    <row r="141" spans="2:8" ht="21" hidden="1" customHeight="1" x14ac:dyDescent="0.3">
      <c r="B141" s="2">
        <v>45335</v>
      </c>
      <c r="C141" s="6">
        <v>20</v>
      </c>
      <c r="D141" s="10">
        <v>44</v>
      </c>
      <c r="E141" s="10">
        <v>44.2</v>
      </c>
      <c r="F141" s="9">
        <f>IF(Tablo14567891011121314151617181920212223242526272829303132333435363738394041[[#This Row],[SATIŞ]]=0,"Açık",(E141-D141)*C141)</f>
        <v>4.0000000000000568</v>
      </c>
      <c r="G141" s="11">
        <f>Tablo14567891011121314151617181920212223242526272829303132333435363738394041[[#This Row],[ADET]]*Tablo14567891011121314151617181920212223242526272829303132333435363738394041[[#This Row],[ALIŞ]]</f>
        <v>880</v>
      </c>
      <c r="H141" s="11">
        <f>Tablo14567891011121314151617181920212223242526272829303132333435363738394041[[#This Row],[ADET]]*Tablo14567891011121314151617181920212223242526272829303132333435363738394041[[#This Row],[SATIŞ]]</f>
        <v>884</v>
      </c>
    </row>
    <row r="142" spans="2:8" ht="21" hidden="1" customHeight="1" x14ac:dyDescent="0.3">
      <c r="B142" s="2">
        <v>45335</v>
      </c>
      <c r="C142" s="6">
        <v>30</v>
      </c>
      <c r="D142" s="10">
        <v>43.8</v>
      </c>
      <c r="E142" s="10">
        <v>44.2</v>
      </c>
      <c r="F142" s="9">
        <f>IF(Tablo14567891011121314151617181920212223242526272829303132333435363738394041[[#This Row],[SATIŞ]]=0,"Açık",(E142-D142)*C142)</f>
        <v>12.000000000000171</v>
      </c>
      <c r="G142" s="11">
        <f>Tablo14567891011121314151617181920212223242526272829303132333435363738394041[[#This Row],[ADET]]*Tablo14567891011121314151617181920212223242526272829303132333435363738394041[[#This Row],[ALIŞ]]</f>
        <v>1314</v>
      </c>
      <c r="H142" s="11">
        <f>Tablo14567891011121314151617181920212223242526272829303132333435363738394041[[#This Row],[ADET]]*Tablo14567891011121314151617181920212223242526272829303132333435363738394041[[#This Row],[SATIŞ]]</f>
        <v>1326</v>
      </c>
    </row>
    <row r="143" spans="2:8" ht="21" hidden="1" customHeight="1" x14ac:dyDescent="0.3">
      <c r="B143" s="2">
        <v>45335</v>
      </c>
      <c r="C143" s="6">
        <v>60</v>
      </c>
      <c r="D143" s="10">
        <v>43.36</v>
      </c>
      <c r="E143" s="10">
        <v>44.2</v>
      </c>
      <c r="F143" s="9">
        <f>IF(Tablo14567891011121314151617181920212223242526272829303132333435363738394041[[#This Row],[SATIŞ]]=0,"Açık",(E143-D143)*C143)</f>
        <v>50.400000000000205</v>
      </c>
      <c r="G143" s="11">
        <f>Tablo14567891011121314151617181920212223242526272829303132333435363738394041[[#This Row],[ADET]]*Tablo14567891011121314151617181920212223242526272829303132333435363738394041[[#This Row],[ALIŞ]]</f>
        <v>2601.6</v>
      </c>
      <c r="H143" s="11">
        <f>Tablo14567891011121314151617181920212223242526272829303132333435363738394041[[#This Row],[ADET]]*Tablo14567891011121314151617181920212223242526272829303132333435363738394041[[#This Row],[SATIŞ]]</f>
        <v>2652</v>
      </c>
    </row>
    <row r="144" spans="2:8" ht="21" hidden="1" customHeight="1" x14ac:dyDescent="0.3">
      <c r="B144" s="2">
        <v>45335</v>
      </c>
      <c r="C144" s="6">
        <v>100</v>
      </c>
      <c r="D144" s="10">
        <v>43.3</v>
      </c>
      <c r="E144" s="10">
        <v>43.8</v>
      </c>
      <c r="F144" s="9">
        <f>IF(Tablo14567891011121314151617181920212223242526272829303132333435363738394041[[#This Row],[SATIŞ]]=0,"Açık",(E144-D144)*C144)</f>
        <v>50</v>
      </c>
      <c r="G144" s="11">
        <f>Tablo14567891011121314151617181920212223242526272829303132333435363738394041[[#This Row],[ADET]]*Tablo14567891011121314151617181920212223242526272829303132333435363738394041[[#This Row],[ALIŞ]]</f>
        <v>4330</v>
      </c>
      <c r="H144" s="11">
        <f>Tablo14567891011121314151617181920212223242526272829303132333435363738394041[[#This Row],[ADET]]*Tablo14567891011121314151617181920212223242526272829303132333435363738394041[[#This Row],[SATIŞ]]</f>
        <v>4380</v>
      </c>
    </row>
    <row r="145" spans="2:8" ht="21" hidden="1" customHeight="1" x14ac:dyDescent="0.3">
      <c r="B145" s="2">
        <v>45335</v>
      </c>
      <c r="C145" s="6">
        <v>100</v>
      </c>
      <c r="D145" s="10">
        <v>43.2</v>
      </c>
      <c r="E145" s="10">
        <v>43.7</v>
      </c>
      <c r="F145" s="9">
        <f>IF(Tablo14567891011121314151617181920212223242526272829303132333435363738394041[[#This Row],[SATIŞ]]=0,"Açık",(E145-D145)*C145)</f>
        <v>50</v>
      </c>
      <c r="G145" s="11">
        <f>Tablo14567891011121314151617181920212223242526272829303132333435363738394041[[#This Row],[ADET]]*Tablo14567891011121314151617181920212223242526272829303132333435363738394041[[#This Row],[ALIŞ]]</f>
        <v>4320</v>
      </c>
      <c r="H145" s="11">
        <f>Tablo14567891011121314151617181920212223242526272829303132333435363738394041[[#This Row],[ADET]]*Tablo14567891011121314151617181920212223242526272829303132333435363738394041[[#This Row],[SATIŞ]]</f>
        <v>4370</v>
      </c>
    </row>
    <row r="146" spans="2:8" ht="21" hidden="1" customHeight="1" x14ac:dyDescent="0.3">
      <c r="B146" s="2">
        <v>45335</v>
      </c>
      <c r="C146" s="6">
        <v>50</v>
      </c>
      <c r="D146" s="10">
        <v>43.1</v>
      </c>
      <c r="E146" s="10">
        <v>43.6</v>
      </c>
      <c r="F146" s="9">
        <f>IF(Tablo14567891011121314151617181920212223242526272829303132333435363738394041[[#This Row],[SATIŞ]]=0,"Açık",(E146-D146)*C146)</f>
        <v>25</v>
      </c>
      <c r="G146" s="11">
        <f>Tablo14567891011121314151617181920212223242526272829303132333435363738394041[[#This Row],[ADET]]*Tablo14567891011121314151617181920212223242526272829303132333435363738394041[[#This Row],[ALIŞ]]</f>
        <v>2155</v>
      </c>
      <c r="H146" s="11">
        <f>Tablo14567891011121314151617181920212223242526272829303132333435363738394041[[#This Row],[ADET]]*Tablo14567891011121314151617181920212223242526272829303132333435363738394041[[#This Row],[SATIŞ]]</f>
        <v>2180</v>
      </c>
    </row>
    <row r="147" spans="2:8" ht="21" hidden="1" customHeight="1" x14ac:dyDescent="0.3">
      <c r="B147" s="2">
        <v>45335</v>
      </c>
      <c r="C147" s="6">
        <v>50</v>
      </c>
      <c r="D147" s="10">
        <v>43.1</v>
      </c>
      <c r="E147" s="10">
        <v>43.7</v>
      </c>
      <c r="F147" s="9">
        <f>IF(Tablo14567891011121314151617181920212223242526272829303132333435363738394041[[#This Row],[SATIŞ]]=0,"Açık",(E147-D147)*C147)</f>
        <v>30.000000000000071</v>
      </c>
      <c r="G147" s="11">
        <f>Tablo14567891011121314151617181920212223242526272829303132333435363738394041[[#This Row],[ADET]]*Tablo14567891011121314151617181920212223242526272829303132333435363738394041[[#This Row],[ALIŞ]]</f>
        <v>2155</v>
      </c>
      <c r="H147" s="11">
        <f>Tablo14567891011121314151617181920212223242526272829303132333435363738394041[[#This Row],[ADET]]*Tablo14567891011121314151617181920212223242526272829303132333435363738394041[[#This Row],[SATIŞ]]</f>
        <v>2185</v>
      </c>
    </row>
    <row r="148" spans="2:8" ht="21" hidden="1" customHeight="1" x14ac:dyDescent="0.3">
      <c r="B148" s="2">
        <v>45335</v>
      </c>
      <c r="C148" s="6">
        <v>50</v>
      </c>
      <c r="D148" s="10">
        <v>43.1</v>
      </c>
      <c r="E148" s="10">
        <v>43.6</v>
      </c>
      <c r="F148" s="9">
        <f>IF(Tablo14567891011121314151617181920212223242526272829303132333435363738394041[[#This Row],[SATIŞ]]=0,"Açık",(E148-D148)*C148)</f>
        <v>25</v>
      </c>
      <c r="G148" s="11">
        <f>Tablo14567891011121314151617181920212223242526272829303132333435363738394041[[#This Row],[ADET]]*Tablo14567891011121314151617181920212223242526272829303132333435363738394041[[#This Row],[ALIŞ]]</f>
        <v>2155</v>
      </c>
      <c r="H148" s="11">
        <f>Tablo14567891011121314151617181920212223242526272829303132333435363738394041[[#This Row],[ADET]]*Tablo14567891011121314151617181920212223242526272829303132333435363738394041[[#This Row],[SATIŞ]]</f>
        <v>2180</v>
      </c>
    </row>
    <row r="149" spans="2:8" ht="21" hidden="1" customHeight="1" x14ac:dyDescent="0.3">
      <c r="B149" s="2">
        <v>45335</v>
      </c>
      <c r="C149" s="6">
        <v>50</v>
      </c>
      <c r="D149" s="10">
        <v>43.1</v>
      </c>
      <c r="E149" s="10">
        <v>43.5</v>
      </c>
      <c r="F149" s="9">
        <f>IF(Tablo14567891011121314151617181920212223242526272829303132333435363738394041[[#This Row],[SATIŞ]]=0,"Açık",(E149-D149)*C149)</f>
        <v>19.999999999999929</v>
      </c>
      <c r="G149" s="11">
        <f>Tablo14567891011121314151617181920212223242526272829303132333435363738394041[[#This Row],[ADET]]*Tablo14567891011121314151617181920212223242526272829303132333435363738394041[[#This Row],[ALIŞ]]</f>
        <v>2155</v>
      </c>
      <c r="H149" s="11">
        <f>Tablo14567891011121314151617181920212223242526272829303132333435363738394041[[#This Row],[ADET]]*Tablo14567891011121314151617181920212223242526272829303132333435363738394041[[#This Row],[SATIŞ]]</f>
        <v>2175</v>
      </c>
    </row>
    <row r="150" spans="2:8" ht="21" hidden="1" customHeight="1" x14ac:dyDescent="0.3">
      <c r="B150" s="2">
        <v>45335</v>
      </c>
      <c r="C150" s="6">
        <v>50</v>
      </c>
      <c r="D150" s="10">
        <v>43</v>
      </c>
      <c r="E150" s="10">
        <v>43.1</v>
      </c>
      <c r="F150" s="9">
        <f>IF(Tablo14567891011121314151617181920212223242526272829303132333435363738394041[[#This Row],[SATIŞ]]=0,"Açık",(E150-D150)*C150)</f>
        <v>5.0000000000000711</v>
      </c>
      <c r="G150" s="11">
        <f>Tablo14567891011121314151617181920212223242526272829303132333435363738394041[[#This Row],[ADET]]*Tablo14567891011121314151617181920212223242526272829303132333435363738394041[[#This Row],[ALIŞ]]</f>
        <v>2150</v>
      </c>
      <c r="H150" s="11">
        <f>Tablo14567891011121314151617181920212223242526272829303132333435363738394041[[#This Row],[ADET]]*Tablo14567891011121314151617181920212223242526272829303132333435363738394041[[#This Row],[SATIŞ]]</f>
        <v>2155</v>
      </c>
    </row>
    <row r="151" spans="2:8" ht="21" hidden="1" customHeight="1" x14ac:dyDescent="0.3">
      <c r="B151" s="2">
        <v>45335</v>
      </c>
      <c r="C151" s="6">
        <v>50</v>
      </c>
      <c r="D151" s="10">
        <v>43</v>
      </c>
      <c r="E151" s="10">
        <v>43.2</v>
      </c>
      <c r="F151" s="9">
        <f>IF(Tablo14567891011121314151617181920212223242526272829303132333435363738394041[[#This Row],[SATIŞ]]=0,"Açık",(E151-D151)*C151)</f>
        <v>10.000000000000142</v>
      </c>
      <c r="G151" s="11">
        <f>Tablo14567891011121314151617181920212223242526272829303132333435363738394041[[#This Row],[ADET]]*Tablo14567891011121314151617181920212223242526272829303132333435363738394041[[#This Row],[ALIŞ]]</f>
        <v>2150</v>
      </c>
      <c r="H151" s="11">
        <f>Tablo14567891011121314151617181920212223242526272829303132333435363738394041[[#This Row],[ADET]]*Tablo14567891011121314151617181920212223242526272829303132333435363738394041[[#This Row],[SATIŞ]]</f>
        <v>2160</v>
      </c>
    </row>
    <row r="152" spans="2:8" ht="21" hidden="1" customHeight="1" x14ac:dyDescent="0.3">
      <c r="B152" s="2">
        <v>45335</v>
      </c>
      <c r="C152" s="6">
        <v>50</v>
      </c>
      <c r="D152" s="10">
        <v>43</v>
      </c>
      <c r="E152" s="10">
        <v>43.3</v>
      </c>
      <c r="F152" s="9">
        <f>IF(Tablo14567891011121314151617181920212223242526272829303132333435363738394041[[#This Row],[SATIŞ]]=0,"Açık",(E152-D152)*C152)</f>
        <v>14.999999999999858</v>
      </c>
      <c r="G152" s="11">
        <f>Tablo14567891011121314151617181920212223242526272829303132333435363738394041[[#This Row],[ADET]]*Tablo14567891011121314151617181920212223242526272829303132333435363738394041[[#This Row],[ALIŞ]]</f>
        <v>2150</v>
      </c>
      <c r="H152" s="11">
        <f>Tablo14567891011121314151617181920212223242526272829303132333435363738394041[[#This Row],[ADET]]*Tablo14567891011121314151617181920212223242526272829303132333435363738394041[[#This Row],[SATIŞ]]</f>
        <v>2165</v>
      </c>
    </row>
    <row r="153" spans="2:8" ht="21" hidden="1" customHeight="1" x14ac:dyDescent="0.3">
      <c r="B153" s="2">
        <v>45335</v>
      </c>
      <c r="C153" s="6">
        <v>50</v>
      </c>
      <c r="D153" s="10">
        <v>43</v>
      </c>
      <c r="E153" s="10">
        <v>43.4</v>
      </c>
      <c r="F153" s="9">
        <f>IF(Tablo14567891011121314151617181920212223242526272829303132333435363738394041[[#This Row],[SATIŞ]]=0,"Açık",(E153-D153)*C153)</f>
        <v>19.999999999999929</v>
      </c>
      <c r="G153" s="11">
        <f>Tablo14567891011121314151617181920212223242526272829303132333435363738394041[[#This Row],[ADET]]*Tablo14567891011121314151617181920212223242526272829303132333435363738394041[[#This Row],[ALIŞ]]</f>
        <v>2150</v>
      </c>
      <c r="H153" s="11">
        <f>Tablo14567891011121314151617181920212223242526272829303132333435363738394041[[#This Row],[ADET]]*Tablo14567891011121314151617181920212223242526272829303132333435363738394041[[#This Row],[SATIŞ]]</f>
        <v>2170</v>
      </c>
    </row>
    <row r="154" spans="2:8" ht="21" hidden="1" customHeight="1" x14ac:dyDescent="0.3">
      <c r="B154" s="2">
        <v>45335</v>
      </c>
      <c r="C154" s="6">
        <v>50</v>
      </c>
      <c r="D154" s="10">
        <v>43.2</v>
      </c>
      <c r="E154" s="10">
        <v>43.3</v>
      </c>
      <c r="F154" s="9">
        <f>IF(Tablo14567891011121314151617181920212223242526272829303132333435363738394041[[#This Row],[SATIŞ]]=0,"Açık",(E154-D154)*C154)</f>
        <v>4.9999999999997158</v>
      </c>
      <c r="G154" s="11">
        <f>Tablo14567891011121314151617181920212223242526272829303132333435363738394041[[#This Row],[ADET]]*Tablo14567891011121314151617181920212223242526272829303132333435363738394041[[#This Row],[ALIŞ]]</f>
        <v>2160</v>
      </c>
      <c r="H154" s="11">
        <f>Tablo14567891011121314151617181920212223242526272829303132333435363738394041[[#This Row],[ADET]]*Tablo14567891011121314151617181920212223242526272829303132333435363738394041[[#This Row],[SATIŞ]]</f>
        <v>2165</v>
      </c>
    </row>
    <row r="155" spans="2:8" ht="21" hidden="1" customHeight="1" x14ac:dyDescent="0.3">
      <c r="B155" s="2">
        <v>45335</v>
      </c>
      <c r="C155" s="6">
        <v>200</v>
      </c>
      <c r="D155" s="10">
        <v>43.2</v>
      </c>
      <c r="E155" s="10">
        <v>43.3</v>
      </c>
      <c r="F155" s="9">
        <f>IF(Tablo14567891011121314151617181920212223242526272829303132333435363738394041[[#This Row],[SATIŞ]]=0,"Açık",(E155-D155)*C155)</f>
        <v>19.999999999998863</v>
      </c>
      <c r="G155" s="11">
        <f>Tablo14567891011121314151617181920212223242526272829303132333435363738394041[[#This Row],[ADET]]*Tablo14567891011121314151617181920212223242526272829303132333435363738394041[[#This Row],[ALIŞ]]</f>
        <v>8640</v>
      </c>
      <c r="H155" s="11">
        <f>Tablo14567891011121314151617181920212223242526272829303132333435363738394041[[#This Row],[ADET]]*Tablo14567891011121314151617181920212223242526272829303132333435363738394041[[#This Row],[SATIŞ]]</f>
        <v>8660</v>
      </c>
    </row>
    <row r="156" spans="2:8" ht="21" hidden="1" customHeight="1" x14ac:dyDescent="0.3">
      <c r="B156" s="2">
        <v>45335</v>
      </c>
      <c r="C156" s="6">
        <v>100</v>
      </c>
      <c r="D156" s="10">
        <v>43.2</v>
      </c>
      <c r="E156" s="10">
        <v>43.3</v>
      </c>
      <c r="F156" s="9">
        <f>IF(Tablo14567891011121314151617181920212223242526272829303132333435363738394041[[#This Row],[SATIŞ]]=0,"Açık",(E156-D156)*C156)</f>
        <v>9.9999999999994316</v>
      </c>
      <c r="G156" s="11">
        <f>Tablo14567891011121314151617181920212223242526272829303132333435363738394041[[#This Row],[ADET]]*Tablo14567891011121314151617181920212223242526272829303132333435363738394041[[#This Row],[ALIŞ]]</f>
        <v>4320</v>
      </c>
      <c r="H156" s="11">
        <f>Tablo14567891011121314151617181920212223242526272829303132333435363738394041[[#This Row],[ADET]]*Tablo14567891011121314151617181920212223242526272829303132333435363738394041[[#This Row],[SATIŞ]]</f>
        <v>4330</v>
      </c>
    </row>
    <row r="157" spans="2:8" ht="21" hidden="1" customHeight="1" x14ac:dyDescent="0.3">
      <c r="B157" s="2">
        <v>45335</v>
      </c>
      <c r="C157" s="6">
        <v>50</v>
      </c>
      <c r="D157" s="10">
        <v>43.1</v>
      </c>
      <c r="E157" s="10">
        <v>43.3</v>
      </c>
      <c r="F157" s="9">
        <f>IF(Tablo14567891011121314151617181920212223242526272829303132333435363738394041[[#This Row],[SATIŞ]]=0,"Açık",(E157-D157)*C157)</f>
        <v>9.9999999999997868</v>
      </c>
      <c r="G157" s="11">
        <f>Tablo14567891011121314151617181920212223242526272829303132333435363738394041[[#This Row],[ADET]]*Tablo14567891011121314151617181920212223242526272829303132333435363738394041[[#This Row],[ALIŞ]]</f>
        <v>2155</v>
      </c>
      <c r="H157" s="11">
        <f>Tablo14567891011121314151617181920212223242526272829303132333435363738394041[[#This Row],[ADET]]*Tablo14567891011121314151617181920212223242526272829303132333435363738394041[[#This Row],[SATIŞ]]</f>
        <v>2165</v>
      </c>
    </row>
    <row r="158" spans="2:8" ht="21" hidden="1" customHeight="1" x14ac:dyDescent="0.3">
      <c r="B158" s="2">
        <v>45335</v>
      </c>
      <c r="C158" s="6">
        <v>300</v>
      </c>
      <c r="D158" s="10">
        <v>43</v>
      </c>
      <c r="E158" s="10">
        <v>43.2</v>
      </c>
      <c r="F158" s="9">
        <f>IF(Tablo14567891011121314151617181920212223242526272829303132333435363738394041[[#This Row],[SATIŞ]]=0,"Açık",(E158-D158)*C158)</f>
        <v>60.000000000000853</v>
      </c>
      <c r="G158" s="11">
        <f>Tablo14567891011121314151617181920212223242526272829303132333435363738394041[[#This Row],[ADET]]*Tablo14567891011121314151617181920212223242526272829303132333435363738394041[[#This Row],[ALIŞ]]</f>
        <v>12900</v>
      </c>
      <c r="H158" s="11">
        <f>Tablo14567891011121314151617181920212223242526272829303132333435363738394041[[#This Row],[ADET]]*Tablo14567891011121314151617181920212223242526272829303132333435363738394041[[#This Row],[SATIŞ]]</f>
        <v>12960</v>
      </c>
    </row>
    <row r="159" spans="2:8" ht="21" hidden="1" customHeight="1" x14ac:dyDescent="0.3">
      <c r="B159" s="2">
        <v>45335</v>
      </c>
      <c r="C159" s="6">
        <v>200</v>
      </c>
      <c r="D159" s="10">
        <v>42.9</v>
      </c>
      <c r="E159" s="10">
        <v>43.1</v>
      </c>
      <c r="F159" s="9">
        <f>IF(Tablo14567891011121314151617181920212223242526272829303132333435363738394041[[#This Row],[SATIŞ]]=0,"Açık",(E159-D159)*C159)</f>
        <v>40.000000000000568</v>
      </c>
      <c r="G159" s="11">
        <f>Tablo14567891011121314151617181920212223242526272829303132333435363738394041[[#This Row],[ADET]]*Tablo14567891011121314151617181920212223242526272829303132333435363738394041[[#This Row],[ALIŞ]]</f>
        <v>8580</v>
      </c>
      <c r="H159" s="11">
        <f>Tablo14567891011121314151617181920212223242526272829303132333435363738394041[[#This Row],[ADET]]*Tablo14567891011121314151617181920212223242526272829303132333435363738394041[[#This Row],[SATIŞ]]</f>
        <v>8620</v>
      </c>
    </row>
    <row r="160" spans="2:8" ht="21" hidden="1" customHeight="1" x14ac:dyDescent="0.3">
      <c r="B160" s="2">
        <v>45335</v>
      </c>
      <c r="C160" s="6">
        <v>200</v>
      </c>
      <c r="D160" s="10">
        <v>42.8</v>
      </c>
      <c r="E160" s="10">
        <v>43</v>
      </c>
      <c r="F160" s="9">
        <f>IF(Tablo14567891011121314151617181920212223242526272829303132333435363738394041[[#This Row],[SATIŞ]]=0,"Açık",(E160-D160)*C160)</f>
        <v>40.000000000000568</v>
      </c>
      <c r="G160" s="11">
        <f>Tablo14567891011121314151617181920212223242526272829303132333435363738394041[[#This Row],[ADET]]*Tablo14567891011121314151617181920212223242526272829303132333435363738394041[[#This Row],[ALIŞ]]</f>
        <v>8560</v>
      </c>
      <c r="H160" s="11">
        <f>Tablo14567891011121314151617181920212223242526272829303132333435363738394041[[#This Row],[ADET]]*Tablo14567891011121314151617181920212223242526272829303132333435363738394041[[#This Row],[SATIŞ]]</f>
        <v>8600</v>
      </c>
    </row>
    <row r="161" spans="2:8" ht="21" hidden="1" customHeight="1" x14ac:dyDescent="0.3">
      <c r="B161" s="2">
        <v>45335</v>
      </c>
      <c r="C161" s="6">
        <v>200</v>
      </c>
      <c r="D161" s="10">
        <v>42.9</v>
      </c>
      <c r="E161" s="10">
        <v>43.2</v>
      </c>
      <c r="F161" s="9">
        <f>IF(Tablo14567891011121314151617181920212223242526272829303132333435363738394041[[#This Row],[SATIŞ]]=0,"Açık",(E161-D161)*C161)</f>
        <v>60.000000000000853</v>
      </c>
      <c r="G161" s="11">
        <f>Tablo14567891011121314151617181920212223242526272829303132333435363738394041[[#This Row],[ADET]]*Tablo14567891011121314151617181920212223242526272829303132333435363738394041[[#This Row],[ALIŞ]]</f>
        <v>8580</v>
      </c>
      <c r="H161" s="11">
        <f>Tablo14567891011121314151617181920212223242526272829303132333435363738394041[[#This Row],[ADET]]*Tablo14567891011121314151617181920212223242526272829303132333435363738394041[[#This Row],[SATIŞ]]</f>
        <v>8640</v>
      </c>
    </row>
    <row r="162" spans="2:8" ht="21" hidden="1" customHeight="1" x14ac:dyDescent="0.3">
      <c r="B162" s="2">
        <v>45335</v>
      </c>
      <c r="C162" s="6">
        <v>100</v>
      </c>
      <c r="D162" s="10">
        <v>43.1</v>
      </c>
      <c r="E162" s="10">
        <v>43.3</v>
      </c>
      <c r="F162" s="9">
        <f>IF(Tablo14567891011121314151617181920212223242526272829303132333435363738394041[[#This Row],[SATIŞ]]=0,"Açık",(E162-D162)*C162)</f>
        <v>19.999999999999574</v>
      </c>
      <c r="G162" s="11">
        <f>Tablo14567891011121314151617181920212223242526272829303132333435363738394041[[#This Row],[ADET]]*Tablo14567891011121314151617181920212223242526272829303132333435363738394041[[#This Row],[ALIŞ]]</f>
        <v>4310</v>
      </c>
      <c r="H162" s="11">
        <f>Tablo14567891011121314151617181920212223242526272829303132333435363738394041[[#This Row],[ADET]]*Tablo14567891011121314151617181920212223242526272829303132333435363738394041[[#This Row],[SATIŞ]]</f>
        <v>4330</v>
      </c>
    </row>
    <row r="163" spans="2:8" ht="21" hidden="1" customHeight="1" x14ac:dyDescent="0.3">
      <c r="B163" s="2">
        <v>45335</v>
      </c>
      <c r="C163" s="6">
        <v>100</v>
      </c>
      <c r="D163" s="10">
        <v>43.1</v>
      </c>
      <c r="E163" s="10">
        <v>43.4</v>
      </c>
      <c r="F163" s="9">
        <f>IF(Tablo14567891011121314151617181920212223242526272829303132333435363738394041[[#This Row],[SATIŞ]]=0,"Açık",(E163-D163)*C163)</f>
        <v>29.999999999999716</v>
      </c>
      <c r="G163" s="11">
        <f>Tablo14567891011121314151617181920212223242526272829303132333435363738394041[[#This Row],[ADET]]*Tablo14567891011121314151617181920212223242526272829303132333435363738394041[[#This Row],[ALIŞ]]</f>
        <v>4310</v>
      </c>
      <c r="H163" s="11">
        <f>Tablo14567891011121314151617181920212223242526272829303132333435363738394041[[#This Row],[ADET]]*Tablo14567891011121314151617181920212223242526272829303132333435363738394041[[#This Row],[SATIŞ]]</f>
        <v>4340</v>
      </c>
    </row>
    <row r="164" spans="2:8" ht="21" hidden="1" customHeight="1" x14ac:dyDescent="0.3">
      <c r="B164" s="2">
        <v>45335</v>
      </c>
      <c r="C164" s="6">
        <v>200</v>
      </c>
      <c r="D164" s="10">
        <v>43</v>
      </c>
      <c r="E164" s="10">
        <v>43.4</v>
      </c>
      <c r="F164" s="9">
        <f>IF(Tablo14567891011121314151617181920212223242526272829303132333435363738394041[[#This Row],[SATIŞ]]=0,"Açık",(E164-D164)*C164)</f>
        <v>79.999999999999716</v>
      </c>
      <c r="G164" s="11">
        <f>Tablo14567891011121314151617181920212223242526272829303132333435363738394041[[#This Row],[ADET]]*Tablo14567891011121314151617181920212223242526272829303132333435363738394041[[#This Row],[ALIŞ]]</f>
        <v>8600</v>
      </c>
      <c r="H164" s="11">
        <f>Tablo14567891011121314151617181920212223242526272829303132333435363738394041[[#This Row],[ADET]]*Tablo14567891011121314151617181920212223242526272829303132333435363738394041[[#This Row],[SATIŞ]]</f>
        <v>8680</v>
      </c>
    </row>
    <row r="165" spans="2:8" ht="21" hidden="1" customHeight="1" x14ac:dyDescent="0.3">
      <c r="B165" s="2">
        <v>45335</v>
      </c>
      <c r="C165" s="6">
        <v>200</v>
      </c>
      <c r="D165" s="10">
        <v>42.9</v>
      </c>
      <c r="E165" s="10">
        <v>43.1</v>
      </c>
      <c r="F165" s="9">
        <f>IF(Tablo14567891011121314151617181920212223242526272829303132333435363738394041[[#This Row],[SATIŞ]]=0,"Açık",(E165-D165)*C165)</f>
        <v>40.000000000000568</v>
      </c>
      <c r="G165" s="11">
        <f>Tablo14567891011121314151617181920212223242526272829303132333435363738394041[[#This Row],[ADET]]*Tablo14567891011121314151617181920212223242526272829303132333435363738394041[[#This Row],[ALIŞ]]</f>
        <v>8580</v>
      </c>
      <c r="H165" s="11">
        <f>Tablo14567891011121314151617181920212223242526272829303132333435363738394041[[#This Row],[ADET]]*Tablo14567891011121314151617181920212223242526272829303132333435363738394041[[#This Row],[SATIŞ]]</f>
        <v>8620</v>
      </c>
    </row>
    <row r="166" spans="2:8" ht="21" hidden="1" customHeight="1" x14ac:dyDescent="0.3">
      <c r="B166" s="2">
        <v>45335</v>
      </c>
      <c r="C166" s="6">
        <v>200</v>
      </c>
      <c r="D166" s="10">
        <v>42.9</v>
      </c>
      <c r="E166" s="10">
        <v>43</v>
      </c>
      <c r="F166" s="9">
        <f>IF(Tablo14567891011121314151617181920212223242526272829303132333435363738394041[[#This Row],[SATIŞ]]=0,"Açık",(E166-D166)*C166)</f>
        <v>20.000000000000284</v>
      </c>
      <c r="G166" s="11">
        <f>Tablo14567891011121314151617181920212223242526272829303132333435363738394041[[#This Row],[ADET]]*Tablo14567891011121314151617181920212223242526272829303132333435363738394041[[#This Row],[ALIŞ]]</f>
        <v>8580</v>
      </c>
      <c r="H166" s="11">
        <f>Tablo14567891011121314151617181920212223242526272829303132333435363738394041[[#This Row],[ADET]]*Tablo14567891011121314151617181920212223242526272829303132333435363738394041[[#This Row],[SATIŞ]]</f>
        <v>8600</v>
      </c>
    </row>
    <row r="167" spans="2:8" ht="21" hidden="1" customHeight="1" x14ac:dyDescent="0.3">
      <c r="B167" s="2">
        <v>45335</v>
      </c>
      <c r="C167" s="6">
        <v>100</v>
      </c>
      <c r="D167" s="10">
        <v>42.8</v>
      </c>
      <c r="E167" s="10">
        <v>42.9</v>
      </c>
      <c r="F167" s="9">
        <f>IF(Tablo14567891011121314151617181920212223242526272829303132333435363738394041[[#This Row],[SATIŞ]]=0,"Açık",(E167-D167)*C167)</f>
        <v>10.000000000000142</v>
      </c>
      <c r="G167" s="11">
        <f>Tablo14567891011121314151617181920212223242526272829303132333435363738394041[[#This Row],[ADET]]*Tablo14567891011121314151617181920212223242526272829303132333435363738394041[[#This Row],[ALIŞ]]</f>
        <v>4280</v>
      </c>
      <c r="H167" s="11">
        <f>Tablo14567891011121314151617181920212223242526272829303132333435363738394041[[#This Row],[ADET]]*Tablo14567891011121314151617181920212223242526272829303132333435363738394041[[#This Row],[SATIŞ]]</f>
        <v>4290</v>
      </c>
    </row>
    <row r="168" spans="2:8" ht="21" hidden="1" customHeight="1" x14ac:dyDescent="0.3">
      <c r="B168" s="2">
        <v>45335</v>
      </c>
      <c r="C168" s="6">
        <v>100</v>
      </c>
      <c r="D168" s="10">
        <v>42.8</v>
      </c>
      <c r="E168" s="10">
        <v>43.1</v>
      </c>
      <c r="F168" s="9">
        <f>IF(Tablo14567891011121314151617181920212223242526272829303132333435363738394041[[#This Row],[SATIŞ]]=0,"Açık",(E168-D168)*C168)</f>
        <v>30.000000000000426</v>
      </c>
      <c r="G168" s="11">
        <f>Tablo14567891011121314151617181920212223242526272829303132333435363738394041[[#This Row],[ADET]]*Tablo14567891011121314151617181920212223242526272829303132333435363738394041[[#This Row],[ALIŞ]]</f>
        <v>4280</v>
      </c>
      <c r="H168" s="11">
        <f>Tablo14567891011121314151617181920212223242526272829303132333435363738394041[[#This Row],[ADET]]*Tablo14567891011121314151617181920212223242526272829303132333435363738394041[[#This Row],[SATIŞ]]</f>
        <v>4310</v>
      </c>
    </row>
    <row r="169" spans="2:8" ht="21" hidden="1" customHeight="1" x14ac:dyDescent="0.3">
      <c r="B169" s="2">
        <v>45335</v>
      </c>
      <c r="C169" s="6">
        <v>100</v>
      </c>
      <c r="D169" s="10">
        <v>43</v>
      </c>
      <c r="E169" s="10">
        <v>44.4</v>
      </c>
      <c r="F169" s="9">
        <f>IF(Tablo14567891011121314151617181920212223242526272829303132333435363738394041[[#This Row],[SATIŞ]]=0,"Açık",(E169-D169)*C169)</f>
        <v>139.99999999999986</v>
      </c>
      <c r="G169" s="11">
        <f>Tablo14567891011121314151617181920212223242526272829303132333435363738394041[[#This Row],[ADET]]*Tablo14567891011121314151617181920212223242526272829303132333435363738394041[[#This Row],[ALIŞ]]</f>
        <v>4300</v>
      </c>
      <c r="H169" s="11">
        <f>Tablo14567891011121314151617181920212223242526272829303132333435363738394041[[#This Row],[ADET]]*Tablo14567891011121314151617181920212223242526272829303132333435363738394041[[#This Row],[SATIŞ]]</f>
        <v>4440</v>
      </c>
    </row>
    <row r="170" spans="2:8" ht="21" hidden="1" customHeight="1" x14ac:dyDescent="0.3">
      <c r="B170" s="2">
        <v>45335</v>
      </c>
      <c r="C170" s="6">
        <v>100</v>
      </c>
      <c r="D170" s="10">
        <v>43</v>
      </c>
      <c r="E170" s="10">
        <v>44.3</v>
      </c>
      <c r="F170" s="9">
        <f>IF(Tablo14567891011121314151617181920212223242526272829303132333435363738394041[[#This Row],[SATIŞ]]=0,"Açık",(E170-D170)*C170)</f>
        <v>129.99999999999972</v>
      </c>
      <c r="G170" s="11">
        <f>Tablo14567891011121314151617181920212223242526272829303132333435363738394041[[#This Row],[ADET]]*Tablo14567891011121314151617181920212223242526272829303132333435363738394041[[#This Row],[ALIŞ]]</f>
        <v>4300</v>
      </c>
      <c r="H170" s="11">
        <f>Tablo14567891011121314151617181920212223242526272829303132333435363738394041[[#This Row],[ADET]]*Tablo14567891011121314151617181920212223242526272829303132333435363738394041[[#This Row],[SATIŞ]]</f>
        <v>4430</v>
      </c>
    </row>
    <row r="171" spans="2:8" ht="21" hidden="1" customHeight="1" x14ac:dyDescent="0.3">
      <c r="B171" s="2">
        <v>45335</v>
      </c>
      <c r="C171" s="6">
        <v>50</v>
      </c>
      <c r="D171" s="10">
        <v>43.4</v>
      </c>
      <c r="E171" s="10">
        <v>43.5</v>
      </c>
      <c r="F171" s="9">
        <f>IF(Tablo14567891011121314151617181920212223242526272829303132333435363738394041[[#This Row],[SATIŞ]]=0,"Açık",(E171-D171)*C171)</f>
        <v>5.0000000000000711</v>
      </c>
      <c r="G171" s="11">
        <f>Tablo14567891011121314151617181920212223242526272829303132333435363738394041[[#This Row],[ADET]]*Tablo14567891011121314151617181920212223242526272829303132333435363738394041[[#This Row],[ALIŞ]]</f>
        <v>2170</v>
      </c>
      <c r="H171" s="11">
        <f>Tablo14567891011121314151617181920212223242526272829303132333435363738394041[[#This Row],[ADET]]*Tablo14567891011121314151617181920212223242526272829303132333435363738394041[[#This Row],[SATIŞ]]</f>
        <v>2175</v>
      </c>
    </row>
    <row r="172" spans="2:8" ht="21" hidden="1" customHeight="1" x14ac:dyDescent="0.3">
      <c r="B172" s="2">
        <v>45335</v>
      </c>
      <c r="C172" s="6">
        <v>50</v>
      </c>
      <c r="D172" s="10">
        <v>43.4</v>
      </c>
      <c r="E172" s="10">
        <v>44</v>
      </c>
      <c r="F172" s="9">
        <f>IF(Tablo14567891011121314151617181920212223242526272829303132333435363738394041[[#This Row],[SATIŞ]]=0,"Açık",(E172-D172)*C172)</f>
        <v>30.000000000000071</v>
      </c>
      <c r="G172" s="11">
        <f>Tablo14567891011121314151617181920212223242526272829303132333435363738394041[[#This Row],[ADET]]*Tablo14567891011121314151617181920212223242526272829303132333435363738394041[[#This Row],[ALIŞ]]</f>
        <v>2170</v>
      </c>
      <c r="H172" s="11">
        <f>Tablo14567891011121314151617181920212223242526272829303132333435363738394041[[#This Row],[ADET]]*Tablo14567891011121314151617181920212223242526272829303132333435363738394041[[#This Row],[SATIŞ]]</f>
        <v>2200</v>
      </c>
    </row>
    <row r="173" spans="2:8" ht="21" hidden="1" customHeight="1" x14ac:dyDescent="0.3">
      <c r="B173" s="2">
        <v>45335</v>
      </c>
      <c r="C173" s="6">
        <v>50</v>
      </c>
      <c r="D173" s="10">
        <v>43.4</v>
      </c>
      <c r="E173" s="10">
        <v>43.9</v>
      </c>
      <c r="F173" s="9">
        <f>IF(Tablo14567891011121314151617181920212223242526272829303132333435363738394041[[#This Row],[SATIŞ]]=0,"Açık",(E173-D173)*C173)</f>
        <v>25</v>
      </c>
      <c r="G173" s="11">
        <f>Tablo14567891011121314151617181920212223242526272829303132333435363738394041[[#This Row],[ADET]]*Tablo14567891011121314151617181920212223242526272829303132333435363738394041[[#This Row],[ALIŞ]]</f>
        <v>2170</v>
      </c>
      <c r="H173" s="11">
        <f>Tablo14567891011121314151617181920212223242526272829303132333435363738394041[[#This Row],[ADET]]*Tablo14567891011121314151617181920212223242526272829303132333435363738394041[[#This Row],[SATIŞ]]</f>
        <v>2195</v>
      </c>
    </row>
    <row r="174" spans="2:8" ht="21" hidden="1" customHeight="1" x14ac:dyDescent="0.3">
      <c r="B174" s="2">
        <v>45335</v>
      </c>
      <c r="C174" s="6">
        <v>50</v>
      </c>
      <c r="D174" s="10">
        <v>43.4</v>
      </c>
      <c r="E174" s="10">
        <v>43.8</v>
      </c>
      <c r="F174" s="9">
        <f>IF(Tablo14567891011121314151617181920212223242526272829303132333435363738394041[[#This Row],[SATIŞ]]=0,"Açık",(E174-D174)*C174)</f>
        <v>19.999999999999929</v>
      </c>
      <c r="G174" s="11">
        <f>Tablo14567891011121314151617181920212223242526272829303132333435363738394041[[#This Row],[ADET]]*Tablo14567891011121314151617181920212223242526272829303132333435363738394041[[#This Row],[ALIŞ]]</f>
        <v>2170</v>
      </c>
      <c r="H174" s="11">
        <f>Tablo14567891011121314151617181920212223242526272829303132333435363738394041[[#This Row],[ADET]]*Tablo14567891011121314151617181920212223242526272829303132333435363738394041[[#This Row],[SATIŞ]]</f>
        <v>2190</v>
      </c>
    </row>
    <row r="175" spans="2:8" ht="21" hidden="1" customHeight="1" x14ac:dyDescent="0.3">
      <c r="B175" s="2">
        <v>45335</v>
      </c>
      <c r="C175" s="6">
        <v>100</v>
      </c>
      <c r="D175" s="10">
        <v>43.3</v>
      </c>
      <c r="E175" s="10">
        <v>45.1</v>
      </c>
      <c r="F175" s="9">
        <f>IF(Tablo14567891011121314151617181920212223242526272829303132333435363738394041[[#This Row],[SATIŞ]]=0,"Açık",(E175-D175)*C175)</f>
        <v>180.00000000000043</v>
      </c>
      <c r="G175" s="11">
        <f>Tablo14567891011121314151617181920212223242526272829303132333435363738394041[[#This Row],[ADET]]*Tablo14567891011121314151617181920212223242526272829303132333435363738394041[[#This Row],[ALIŞ]]</f>
        <v>4330</v>
      </c>
      <c r="H175" s="11">
        <f>Tablo14567891011121314151617181920212223242526272829303132333435363738394041[[#This Row],[ADET]]*Tablo14567891011121314151617181920212223242526272829303132333435363738394041[[#This Row],[SATIŞ]]</f>
        <v>4510</v>
      </c>
    </row>
    <row r="176" spans="2:8" ht="21" hidden="1" customHeight="1" x14ac:dyDescent="0.3">
      <c r="B176" s="2">
        <v>45335</v>
      </c>
      <c r="C176" s="6">
        <v>100</v>
      </c>
      <c r="D176" s="10">
        <v>43.3</v>
      </c>
      <c r="E176" s="10">
        <v>44.5</v>
      </c>
      <c r="F176" s="9">
        <f>IF(Tablo14567891011121314151617181920212223242526272829303132333435363738394041[[#This Row],[SATIŞ]]=0,"Açık",(E176-D176)*C176)</f>
        <v>120.00000000000028</v>
      </c>
      <c r="G176" s="11">
        <f>Tablo14567891011121314151617181920212223242526272829303132333435363738394041[[#This Row],[ADET]]*Tablo14567891011121314151617181920212223242526272829303132333435363738394041[[#This Row],[ALIŞ]]</f>
        <v>4330</v>
      </c>
      <c r="H176" s="11">
        <f>Tablo14567891011121314151617181920212223242526272829303132333435363738394041[[#This Row],[ADET]]*Tablo14567891011121314151617181920212223242526272829303132333435363738394041[[#This Row],[SATIŞ]]</f>
        <v>4450</v>
      </c>
    </row>
    <row r="177" spans="2:8" ht="21" hidden="1" customHeight="1" x14ac:dyDescent="0.3">
      <c r="B177" s="2">
        <v>45335</v>
      </c>
      <c r="C177" s="6">
        <v>100</v>
      </c>
      <c r="D177" s="10">
        <v>43.2</v>
      </c>
      <c r="E177" s="10">
        <v>44.6</v>
      </c>
      <c r="F177" s="9">
        <f>IF(Tablo14567891011121314151617181920212223242526272829303132333435363738394041[[#This Row],[SATIŞ]]=0,"Açık",(E177-D177)*C177)</f>
        <v>139.99999999999986</v>
      </c>
      <c r="G177" s="11">
        <f>Tablo14567891011121314151617181920212223242526272829303132333435363738394041[[#This Row],[ADET]]*Tablo14567891011121314151617181920212223242526272829303132333435363738394041[[#This Row],[ALIŞ]]</f>
        <v>4320</v>
      </c>
      <c r="H177" s="11">
        <f>Tablo14567891011121314151617181920212223242526272829303132333435363738394041[[#This Row],[ADET]]*Tablo14567891011121314151617181920212223242526272829303132333435363738394041[[#This Row],[SATIŞ]]</f>
        <v>4460</v>
      </c>
    </row>
    <row r="178" spans="2:8" ht="21" hidden="1" customHeight="1" x14ac:dyDescent="0.3">
      <c r="B178" s="2">
        <v>45335</v>
      </c>
      <c r="C178" s="6">
        <v>50</v>
      </c>
      <c r="D178" s="10">
        <v>43.2</v>
      </c>
      <c r="E178" s="10">
        <v>43.3</v>
      </c>
      <c r="F178" s="9">
        <f>IF(Tablo14567891011121314151617181920212223242526272829303132333435363738394041[[#This Row],[SATIŞ]]=0,"Açık",(E178-D178)*C178)</f>
        <v>4.9999999999997158</v>
      </c>
      <c r="G178" s="11">
        <f>Tablo14567891011121314151617181920212223242526272829303132333435363738394041[[#This Row],[ADET]]*Tablo14567891011121314151617181920212223242526272829303132333435363738394041[[#This Row],[ALIŞ]]</f>
        <v>2160</v>
      </c>
      <c r="H178" s="11">
        <f>Tablo14567891011121314151617181920212223242526272829303132333435363738394041[[#This Row],[ADET]]*Tablo14567891011121314151617181920212223242526272829303132333435363738394041[[#This Row],[SATIŞ]]</f>
        <v>2165</v>
      </c>
    </row>
    <row r="179" spans="2:8" ht="21" hidden="1" customHeight="1" x14ac:dyDescent="0.3">
      <c r="B179" s="2">
        <v>45335</v>
      </c>
      <c r="C179" s="6">
        <v>50</v>
      </c>
      <c r="D179" s="10">
        <v>43.1</v>
      </c>
      <c r="E179" s="10">
        <v>43.2</v>
      </c>
      <c r="F179" s="9">
        <f>IF(Tablo14567891011121314151617181920212223242526272829303132333435363738394041[[#This Row],[SATIŞ]]=0,"Açık",(E179-D179)*C179)</f>
        <v>5.0000000000000711</v>
      </c>
      <c r="G179" s="11">
        <f>Tablo14567891011121314151617181920212223242526272829303132333435363738394041[[#This Row],[ADET]]*Tablo14567891011121314151617181920212223242526272829303132333435363738394041[[#This Row],[ALIŞ]]</f>
        <v>2155</v>
      </c>
      <c r="H179" s="11">
        <f>Tablo14567891011121314151617181920212223242526272829303132333435363738394041[[#This Row],[ADET]]*Tablo14567891011121314151617181920212223242526272829303132333435363738394041[[#This Row],[SATIŞ]]</f>
        <v>2160</v>
      </c>
    </row>
    <row r="180" spans="2:8" ht="21" hidden="1" customHeight="1" x14ac:dyDescent="0.3">
      <c r="B180" s="2">
        <v>45335</v>
      </c>
      <c r="C180" s="6">
        <v>50</v>
      </c>
      <c r="D180" s="10">
        <v>43.1</v>
      </c>
      <c r="E180" s="10">
        <v>43.4</v>
      </c>
      <c r="F180" s="9">
        <f>IF(Tablo14567891011121314151617181920212223242526272829303132333435363738394041[[#This Row],[SATIŞ]]=0,"Açık",(E180-D180)*C180)</f>
        <v>14.999999999999858</v>
      </c>
      <c r="G180" s="11">
        <f>Tablo14567891011121314151617181920212223242526272829303132333435363738394041[[#This Row],[ADET]]*Tablo14567891011121314151617181920212223242526272829303132333435363738394041[[#This Row],[ALIŞ]]</f>
        <v>2155</v>
      </c>
      <c r="H180" s="11">
        <f>Tablo14567891011121314151617181920212223242526272829303132333435363738394041[[#This Row],[ADET]]*Tablo14567891011121314151617181920212223242526272829303132333435363738394041[[#This Row],[SATIŞ]]</f>
        <v>2170</v>
      </c>
    </row>
    <row r="181" spans="2:8" ht="21" hidden="1" customHeight="1" x14ac:dyDescent="0.3">
      <c r="B181" s="2">
        <v>45335</v>
      </c>
      <c r="C181" s="6">
        <v>50</v>
      </c>
      <c r="D181" s="10">
        <v>43.1</v>
      </c>
      <c r="E181" s="10">
        <v>43.3</v>
      </c>
      <c r="F181" s="9">
        <f>IF(Tablo14567891011121314151617181920212223242526272829303132333435363738394041[[#This Row],[SATIŞ]]=0,"Açık",(E181-D181)*C181)</f>
        <v>9.9999999999997868</v>
      </c>
      <c r="G181" s="11">
        <f>Tablo14567891011121314151617181920212223242526272829303132333435363738394041[[#This Row],[ADET]]*Tablo14567891011121314151617181920212223242526272829303132333435363738394041[[#This Row],[ALIŞ]]</f>
        <v>2155</v>
      </c>
      <c r="H181" s="11">
        <f>Tablo14567891011121314151617181920212223242526272829303132333435363738394041[[#This Row],[ADET]]*Tablo14567891011121314151617181920212223242526272829303132333435363738394041[[#This Row],[SATIŞ]]</f>
        <v>2165</v>
      </c>
    </row>
    <row r="182" spans="2:8" ht="21" hidden="1" customHeight="1" x14ac:dyDescent="0.3">
      <c r="B182" s="2">
        <v>45335</v>
      </c>
      <c r="C182" s="6">
        <v>50</v>
      </c>
      <c r="D182" s="10">
        <v>43.1</v>
      </c>
      <c r="E182" s="10">
        <v>43.2</v>
      </c>
      <c r="F182" s="9">
        <f>IF(Tablo14567891011121314151617181920212223242526272829303132333435363738394041[[#This Row],[SATIŞ]]=0,"Açık",(E182-D182)*C182)</f>
        <v>5.0000000000000711</v>
      </c>
      <c r="G182" s="11">
        <f>Tablo14567891011121314151617181920212223242526272829303132333435363738394041[[#This Row],[ADET]]*Tablo14567891011121314151617181920212223242526272829303132333435363738394041[[#This Row],[ALIŞ]]</f>
        <v>2155</v>
      </c>
      <c r="H182" s="11">
        <f>Tablo14567891011121314151617181920212223242526272829303132333435363738394041[[#This Row],[ADET]]*Tablo14567891011121314151617181920212223242526272829303132333435363738394041[[#This Row],[SATIŞ]]</f>
        <v>2160</v>
      </c>
    </row>
    <row r="183" spans="2:8" ht="21" hidden="1" customHeight="1" x14ac:dyDescent="0.3">
      <c r="B183" s="2">
        <v>45335</v>
      </c>
      <c r="C183" s="6">
        <v>100</v>
      </c>
      <c r="D183" s="10">
        <v>43</v>
      </c>
      <c r="E183" s="10">
        <v>43.1</v>
      </c>
      <c r="F183" s="9">
        <f>IF(Tablo14567891011121314151617181920212223242526272829303132333435363738394041[[#This Row],[SATIŞ]]=0,"Açık",(E183-D183)*C183)</f>
        <v>10.000000000000142</v>
      </c>
      <c r="G183" s="11">
        <f>Tablo14567891011121314151617181920212223242526272829303132333435363738394041[[#This Row],[ADET]]*Tablo14567891011121314151617181920212223242526272829303132333435363738394041[[#This Row],[ALIŞ]]</f>
        <v>4300</v>
      </c>
      <c r="H183" s="11">
        <f>Tablo14567891011121314151617181920212223242526272829303132333435363738394041[[#This Row],[ADET]]*Tablo14567891011121314151617181920212223242526272829303132333435363738394041[[#This Row],[SATIŞ]]</f>
        <v>4310</v>
      </c>
    </row>
    <row r="184" spans="2:8" ht="21" hidden="1" customHeight="1" x14ac:dyDescent="0.3">
      <c r="B184" s="2">
        <v>45335</v>
      </c>
      <c r="C184" s="6">
        <v>100</v>
      </c>
      <c r="D184" s="10">
        <v>43</v>
      </c>
      <c r="E184" s="10">
        <v>43.2</v>
      </c>
      <c r="F184" s="9">
        <f>IF(Tablo14567891011121314151617181920212223242526272829303132333435363738394041[[#This Row],[SATIŞ]]=0,"Açık",(E184-D184)*C184)</f>
        <v>20.000000000000284</v>
      </c>
      <c r="G184" s="11">
        <f>Tablo14567891011121314151617181920212223242526272829303132333435363738394041[[#This Row],[ADET]]*Tablo14567891011121314151617181920212223242526272829303132333435363738394041[[#This Row],[ALIŞ]]</f>
        <v>4300</v>
      </c>
      <c r="H184" s="11">
        <f>Tablo14567891011121314151617181920212223242526272829303132333435363738394041[[#This Row],[ADET]]*Tablo14567891011121314151617181920212223242526272829303132333435363738394041[[#This Row],[SATIŞ]]</f>
        <v>4320</v>
      </c>
    </row>
    <row r="185" spans="2:8" ht="21" hidden="1" customHeight="1" x14ac:dyDescent="0.3">
      <c r="B185" s="2">
        <v>45336</v>
      </c>
      <c r="C185" s="6">
        <v>50</v>
      </c>
      <c r="D185" s="10">
        <v>42.5</v>
      </c>
      <c r="E185" s="10">
        <v>43.5</v>
      </c>
      <c r="F185" s="9">
        <f>IF(Tablo14567891011121314151617181920212223242526272829303132333435363738394041[[#This Row],[SATIŞ]]=0,"Açık",(E185-D185)*C185)</f>
        <v>50</v>
      </c>
      <c r="G185" s="11">
        <f>Tablo14567891011121314151617181920212223242526272829303132333435363738394041[[#This Row],[ADET]]*Tablo14567891011121314151617181920212223242526272829303132333435363738394041[[#This Row],[ALIŞ]]</f>
        <v>2125</v>
      </c>
      <c r="H185" s="11">
        <f>Tablo14567891011121314151617181920212223242526272829303132333435363738394041[[#This Row],[ADET]]*Tablo14567891011121314151617181920212223242526272829303132333435363738394041[[#This Row],[SATIŞ]]</f>
        <v>2175</v>
      </c>
    </row>
    <row r="186" spans="2:8" ht="21" hidden="1" customHeight="1" x14ac:dyDescent="0.3">
      <c r="B186" s="2">
        <v>45336</v>
      </c>
      <c r="C186" s="6">
        <v>50</v>
      </c>
      <c r="D186" s="10">
        <v>42.5</v>
      </c>
      <c r="E186" s="10">
        <v>43.4</v>
      </c>
      <c r="F186" s="9">
        <f>IF(Tablo14567891011121314151617181920212223242526272829303132333435363738394041[[#This Row],[SATIŞ]]=0,"Açık",(E186-D186)*C186)</f>
        <v>44.999999999999929</v>
      </c>
      <c r="G186" s="11">
        <f>Tablo14567891011121314151617181920212223242526272829303132333435363738394041[[#This Row],[ADET]]*Tablo14567891011121314151617181920212223242526272829303132333435363738394041[[#This Row],[ALIŞ]]</f>
        <v>2125</v>
      </c>
      <c r="H186" s="11">
        <f>Tablo14567891011121314151617181920212223242526272829303132333435363738394041[[#This Row],[ADET]]*Tablo14567891011121314151617181920212223242526272829303132333435363738394041[[#This Row],[SATIŞ]]</f>
        <v>2170</v>
      </c>
    </row>
    <row r="187" spans="2:8" ht="21" hidden="1" customHeight="1" x14ac:dyDescent="0.3">
      <c r="B187" s="2">
        <v>45336</v>
      </c>
      <c r="C187" s="6">
        <v>50</v>
      </c>
      <c r="D187" s="10">
        <v>42.5</v>
      </c>
      <c r="E187" s="10">
        <v>42.9</v>
      </c>
      <c r="F187" s="9">
        <f>IF(Tablo14567891011121314151617181920212223242526272829303132333435363738394041[[#This Row],[SATIŞ]]=0,"Açık",(E187-D187)*C187)</f>
        <v>19.999999999999929</v>
      </c>
      <c r="G187" s="11">
        <f>Tablo14567891011121314151617181920212223242526272829303132333435363738394041[[#This Row],[ADET]]*Tablo14567891011121314151617181920212223242526272829303132333435363738394041[[#This Row],[ALIŞ]]</f>
        <v>2125</v>
      </c>
      <c r="H187" s="11">
        <f>Tablo14567891011121314151617181920212223242526272829303132333435363738394041[[#This Row],[ADET]]*Tablo14567891011121314151617181920212223242526272829303132333435363738394041[[#This Row],[SATIŞ]]</f>
        <v>2145</v>
      </c>
    </row>
    <row r="188" spans="2:8" ht="21" hidden="1" customHeight="1" x14ac:dyDescent="0.3">
      <c r="B188" s="2">
        <v>45336</v>
      </c>
      <c r="C188" s="6">
        <v>50</v>
      </c>
      <c r="D188" s="10">
        <v>42.5</v>
      </c>
      <c r="E188" s="10">
        <v>43.1</v>
      </c>
      <c r="F188" s="9">
        <f>IF(Tablo14567891011121314151617181920212223242526272829303132333435363738394041[[#This Row],[SATIŞ]]=0,"Açık",(E188-D188)*C188)</f>
        <v>30.000000000000071</v>
      </c>
      <c r="G188" s="11">
        <f>Tablo14567891011121314151617181920212223242526272829303132333435363738394041[[#This Row],[ADET]]*Tablo14567891011121314151617181920212223242526272829303132333435363738394041[[#This Row],[ALIŞ]]</f>
        <v>2125</v>
      </c>
      <c r="H188" s="11">
        <f>Tablo14567891011121314151617181920212223242526272829303132333435363738394041[[#This Row],[ADET]]*Tablo14567891011121314151617181920212223242526272829303132333435363738394041[[#This Row],[SATIŞ]]</f>
        <v>2155</v>
      </c>
    </row>
    <row r="189" spans="2:8" ht="21" hidden="1" customHeight="1" x14ac:dyDescent="0.3">
      <c r="B189" s="2">
        <v>45336</v>
      </c>
      <c r="C189" s="6">
        <v>60</v>
      </c>
      <c r="D189" s="10">
        <v>42.5</v>
      </c>
      <c r="E189" s="10">
        <v>43</v>
      </c>
      <c r="F189" s="9">
        <f>IF(Tablo14567891011121314151617181920212223242526272829303132333435363738394041[[#This Row],[SATIŞ]]=0,"Açık",(E189-D189)*C189)</f>
        <v>30</v>
      </c>
      <c r="G189" s="11">
        <f>Tablo14567891011121314151617181920212223242526272829303132333435363738394041[[#This Row],[ADET]]*Tablo14567891011121314151617181920212223242526272829303132333435363738394041[[#This Row],[ALIŞ]]</f>
        <v>2550</v>
      </c>
      <c r="H189" s="11">
        <f>Tablo14567891011121314151617181920212223242526272829303132333435363738394041[[#This Row],[ADET]]*Tablo14567891011121314151617181920212223242526272829303132333435363738394041[[#This Row],[SATIŞ]]</f>
        <v>2580</v>
      </c>
    </row>
    <row r="190" spans="2:8" ht="21" hidden="1" customHeight="1" x14ac:dyDescent="0.3">
      <c r="B190" s="2">
        <v>45336</v>
      </c>
      <c r="C190" s="6">
        <v>40</v>
      </c>
      <c r="D190" s="10">
        <v>42.5</v>
      </c>
      <c r="E190" s="10">
        <v>43.6</v>
      </c>
      <c r="F190" s="9">
        <f>IF(Tablo14567891011121314151617181920212223242526272829303132333435363738394041[[#This Row],[SATIŞ]]=0,"Açık",(E190-D190)*C190)</f>
        <v>44.000000000000057</v>
      </c>
      <c r="G190" s="11">
        <f>Tablo14567891011121314151617181920212223242526272829303132333435363738394041[[#This Row],[ADET]]*Tablo14567891011121314151617181920212223242526272829303132333435363738394041[[#This Row],[ALIŞ]]</f>
        <v>1700</v>
      </c>
      <c r="H190" s="11">
        <f>Tablo14567891011121314151617181920212223242526272829303132333435363738394041[[#This Row],[ADET]]*Tablo14567891011121314151617181920212223242526272829303132333435363738394041[[#This Row],[SATIŞ]]</f>
        <v>1744</v>
      </c>
    </row>
    <row r="191" spans="2:8" ht="21" hidden="1" customHeight="1" x14ac:dyDescent="0.3">
      <c r="B191" s="2">
        <v>45336</v>
      </c>
      <c r="C191" s="6">
        <v>50</v>
      </c>
      <c r="D191" s="10">
        <v>42.5</v>
      </c>
      <c r="E191" s="10">
        <v>43.3</v>
      </c>
      <c r="F191" s="9">
        <f>IF(Tablo14567891011121314151617181920212223242526272829303132333435363738394041[[#This Row],[SATIŞ]]=0,"Açık",(E191-D191)*C191)</f>
        <v>39.999999999999858</v>
      </c>
      <c r="G191" s="11">
        <f>Tablo14567891011121314151617181920212223242526272829303132333435363738394041[[#This Row],[ADET]]*Tablo14567891011121314151617181920212223242526272829303132333435363738394041[[#This Row],[ALIŞ]]</f>
        <v>2125</v>
      </c>
      <c r="H191" s="11">
        <f>Tablo14567891011121314151617181920212223242526272829303132333435363738394041[[#This Row],[ADET]]*Tablo14567891011121314151617181920212223242526272829303132333435363738394041[[#This Row],[SATIŞ]]</f>
        <v>2165</v>
      </c>
    </row>
    <row r="192" spans="2:8" ht="21" hidden="1" customHeight="1" x14ac:dyDescent="0.3">
      <c r="B192" s="2">
        <v>45336</v>
      </c>
      <c r="C192" s="6">
        <v>100</v>
      </c>
      <c r="D192" s="10">
        <v>42</v>
      </c>
      <c r="E192" s="10">
        <v>42.2</v>
      </c>
      <c r="F192" s="9">
        <f>IF(Tablo14567891011121314151617181920212223242526272829303132333435363738394041[[#This Row],[SATIŞ]]=0,"Açık",(E192-D192)*C192)</f>
        <v>20.000000000000284</v>
      </c>
      <c r="G192" s="11">
        <f>Tablo14567891011121314151617181920212223242526272829303132333435363738394041[[#This Row],[ADET]]*Tablo14567891011121314151617181920212223242526272829303132333435363738394041[[#This Row],[ALIŞ]]</f>
        <v>4200</v>
      </c>
      <c r="H192" s="11">
        <f>Tablo14567891011121314151617181920212223242526272829303132333435363738394041[[#This Row],[ADET]]*Tablo14567891011121314151617181920212223242526272829303132333435363738394041[[#This Row],[SATIŞ]]</f>
        <v>4220</v>
      </c>
    </row>
    <row r="193" spans="2:8" ht="21" hidden="1" customHeight="1" x14ac:dyDescent="0.3">
      <c r="B193" s="2">
        <v>45336</v>
      </c>
      <c r="C193" s="6">
        <v>100</v>
      </c>
      <c r="D193" s="10">
        <v>42</v>
      </c>
      <c r="E193" s="10">
        <v>42.3</v>
      </c>
      <c r="F193" s="9">
        <f>IF(Tablo14567891011121314151617181920212223242526272829303132333435363738394041[[#This Row],[SATIŞ]]=0,"Açık",(E193-D193)*C193)</f>
        <v>29.999999999999716</v>
      </c>
      <c r="G193" s="11">
        <f>Tablo14567891011121314151617181920212223242526272829303132333435363738394041[[#This Row],[ADET]]*Tablo14567891011121314151617181920212223242526272829303132333435363738394041[[#This Row],[ALIŞ]]</f>
        <v>4200</v>
      </c>
      <c r="H193" s="11">
        <f>Tablo14567891011121314151617181920212223242526272829303132333435363738394041[[#This Row],[ADET]]*Tablo14567891011121314151617181920212223242526272829303132333435363738394041[[#This Row],[SATIŞ]]</f>
        <v>4230</v>
      </c>
    </row>
    <row r="194" spans="2:8" ht="21" hidden="1" customHeight="1" x14ac:dyDescent="0.3">
      <c r="B194" s="2">
        <v>45336</v>
      </c>
      <c r="C194" s="6">
        <v>100</v>
      </c>
      <c r="D194" s="10">
        <v>42</v>
      </c>
      <c r="E194" s="10">
        <v>42.4</v>
      </c>
      <c r="F194" s="9">
        <f>IF(Tablo14567891011121314151617181920212223242526272829303132333435363738394041[[#This Row],[SATIŞ]]=0,"Açık",(E194-D194)*C194)</f>
        <v>39.999999999999858</v>
      </c>
      <c r="G194" s="11">
        <f>Tablo14567891011121314151617181920212223242526272829303132333435363738394041[[#This Row],[ADET]]*Tablo14567891011121314151617181920212223242526272829303132333435363738394041[[#This Row],[ALIŞ]]</f>
        <v>4200</v>
      </c>
      <c r="H194" s="11">
        <f>Tablo14567891011121314151617181920212223242526272829303132333435363738394041[[#This Row],[ADET]]*Tablo14567891011121314151617181920212223242526272829303132333435363738394041[[#This Row],[SATIŞ]]</f>
        <v>4240</v>
      </c>
    </row>
    <row r="195" spans="2:8" ht="21" hidden="1" customHeight="1" x14ac:dyDescent="0.3">
      <c r="B195" s="2">
        <v>45336</v>
      </c>
      <c r="C195" s="6">
        <v>100</v>
      </c>
      <c r="D195" s="10">
        <v>42</v>
      </c>
      <c r="E195" s="10">
        <v>42.6</v>
      </c>
      <c r="F195" s="9">
        <f>IF(Tablo14567891011121314151617181920212223242526272829303132333435363738394041[[#This Row],[SATIŞ]]=0,"Açık",(E195-D195)*C195)</f>
        <v>60.000000000000142</v>
      </c>
      <c r="G195" s="11">
        <f>Tablo14567891011121314151617181920212223242526272829303132333435363738394041[[#This Row],[ADET]]*Tablo14567891011121314151617181920212223242526272829303132333435363738394041[[#This Row],[ALIŞ]]</f>
        <v>4200</v>
      </c>
      <c r="H195" s="11">
        <f>Tablo14567891011121314151617181920212223242526272829303132333435363738394041[[#This Row],[ADET]]*Tablo14567891011121314151617181920212223242526272829303132333435363738394041[[#This Row],[SATIŞ]]</f>
        <v>4260</v>
      </c>
    </row>
    <row r="196" spans="2:8" ht="21" hidden="1" customHeight="1" x14ac:dyDescent="0.3">
      <c r="B196" s="2">
        <v>45336</v>
      </c>
      <c r="C196" s="6">
        <v>100</v>
      </c>
      <c r="D196" s="10">
        <v>42</v>
      </c>
      <c r="E196" s="10">
        <v>42.5</v>
      </c>
      <c r="F196" s="9">
        <f>IF(Tablo14567891011121314151617181920212223242526272829303132333435363738394041[[#This Row],[SATIŞ]]=0,"Açık",(E196-D196)*C196)</f>
        <v>50</v>
      </c>
      <c r="G196" s="11">
        <f>Tablo14567891011121314151617181920212223242526272829303132333435363738394041[[#This Row],[ADET]]*Tablo14567891011121314151617181920212223242526272829303132333435363738394041[[#This Row],[ALIŞ]]</f>
        <v>4200</v>
      </c>
      <c r="H196" s="11">
        <f>Tablo14567891011121314151617181920212223242526272829303132333435363738394041[[#This Row],[ADET]]*Tablo14567891011121314151617181920212223242526272829303132333435363738394041[[#This Row],[SATIŞ]]</f>
        <v>4250</v>
      </c>
    </row>
    <row r="197" spans="2:8" ht="21" hidden="1" customHeight="1" x14ac:dyDescent="0.3">
      <c r="B197" s="2">
        <v>45336</v>
      </c>
      <c r="C197" s="6">
        <v>50</v>
      </c>
      <c r="D197" s="10">
        <v>42.2</v>
      </c>
      <c r="E197" s="10">
        <v>42.5</v>
      </c>
      <c r="F197" s="9">
        <f>IF(Tablo14567891011121314151617181920212223242526272829303132333435363738394041[[#This Row],[SATIŞ]]=0,"Açık",(E197-D197)*C197)</f>
        <v>14.999999999999858</v>
      </c>
      <c r="G197" s="11">
        <f>Tablo14567891011121314151617181920212223242526272829303132333435363738394041[[#This Row],[ADET]]*Tablo14567891011121314151617181920212223242526272829303132333435363738394041[[#This Row],[ALIŞ]]</f>
        <v>2110</v>
      </c>
      <c r="H197" s="11">
        <f>Tablo14567891011121314151617181920212223242526272829303132333435363738394041[[#This Row],[ADET]]*Tablo14567891011121314151617181920212223242526272829303132333435363738394041[[#This Row],[SATIŞ]]</f>
        <v>2125</v>
      </c>
    </row>
    <row r="198" spans="2:8" ht="21" hidden="1" customHeight="1" x14ac:dyDescent="0.3">
      <c r="B198" s="2">
        <v>45336</v>
      </c>
      <c r="C198" s="6">
        <v>50</v>
      </c>
      <c r="D198" s="10">
        <v>42.9</v>
      </c>
      <c r="E198" s="10">
        <v>43</v>
      </c>
      <c r="F198" s="9">
        <f>IF(Tablo14567891011121314151617181920212223242526272829303132333435363738394041[[#This Row],[SATIŞ]]=0,"Açık",(E198-D198)*C198)</f>
        <v>5.0000000000000711</v>
      </c>
      <c r="G198" s="11">
        <f>Tablo14567891011121314151617181920212223242526272829303132333435363738394041[[#This Row],[ADET]]*Tablo14567891011121314151617181920212223242526272829303132333435363738394041[[#This Row],[ALIŞ]]</f>
        <v>2145</v>
      </c>
      <c r="H198" s="11">
        <f>Tablo14567891011121314151617181920212223242526272829303132333435363738394041[[#This Row],[ADET]]*Tablo14567891011121314151617181920212223242526272829303132333435363738394041[[#This Row],[SATIŞ]]</f>
        <v>2150</v>
      </c>
    </row>
    <row r="199" spans="2:8" ht="21" hidden="1" customHeight="1" x14ac:dyDescent="0.3">
      <c r="B199" s="2">
        <v>45336</v>
      </c>
      <c r="C199" s="6">
        <v>50</v>
      </c>
      <c r="D199" s="10">
        <v>42.9</v>
      </c>
      <c r="E199" s="10">
        <v>43.1</v>
      </c>
      <c r="F199" s="9">
        <f>IF(Tablo14567891011121314151617181920212223242526272829303132333435363738394041[[#This Row],[SATIŞ]]=0,"Açık",(E199-D199)*C199)</f>
        <v>10.000000000000142</v>
      </c>
      <c r="G199" s="11">
        <f>Tablo14567891011121314151617181920212223242526272829303132333435363738394041[[#This Row],[ADET]]*Tablo14567891011121314151617181920212223242526272829303132333435363738394041[[#This Row],[ALIŞ]]</f>
        <v>2145</v>
      </c>
      <c r="H199" s="11">
        <f>Tablo14567891011121314151617181920212223242526272829303132333435363738394041[[#This Row],[ADET]]*Tablo14567891011121314151617181920212223242526272829303132333435363738394041[[#This Row],[SATIŞ]]</f>
        <v>2155</v>
      </c>
    </row>
    <row r="200" spans="2:8" ht="21" hidden="1" customHeight="1" x14ac:dyDescent="0.3">
      <c r="B200" s="2">
        <v>45336</v>
      </c>
      <c r="C200" s="6">
        <v>20</v>
      </c>
      <c r="D200" s="10">
        <v>43</v>
      </c>
      <c r="E200" s="10">
        <v>43.6</v>
      </c>
      <c r="F200" s="9">
        <f>IF(Tablo14567891011121314151617181920212223242526272829303132333435363738394041[[#This Row],[SATIŞ]]=0,"Açık",(E200-D200)*C200)</f>
        <v>12.000000000000028</v>
      </c>
      <c r="G200" s="11">
        <f>Tablo14567891011121314151617181920212223242526272829303132333435363738394041[[#This Row],[ADET]]*Tablo14567891011121314151617181920212223242526272829303132333435363738394041[[#This Row],[ALIŞ]]</f>
        <v>860</v>
      </c>
      <c r="H200" s="11">
        <f>Tablo14567891011121314151617181920212223242526272829303132333435363738394041[[#This Row],[ADET]]*Tablo14567891011121314151617181920212223242526272829303132333435363738394041[[#This Row],[SATIŞ]]</f>
        <v>872</v>
      </c>
    </row>
    <row r="201" spans="2:8" ht="21" hidden="1" customHeight="1" x14ac:dyDescent="0.3">
      <c r="B201" s="2">
        <v>45336</v>
      </c>
      <c r="C201" s="6">
        <v>30</v>
      </c>
      <c r="D201" s="10">
        <v>43</v>
      </c>
      <c r="E201" s="10">
        <v>43.7</v>
      </c>
      <c r="F201" s="9">
        <f>IF(Tablo14567891011121314151617181920212223242526272829303132333435363738394041[[#This Row],[SATIŞ]]=0,"Açık",(E201-D201)*C201)</f>
        <v>21.000000000000085</v>
      </c>
      <c r="G201" s="11">
        <f>Tablo14567891011121314151617181920212223242526272829303132333435363738394041[[#This Row],[ADET]]*Tablo14567891011121314151617181920212223242526272829303132333435363738394041[[#This Row],[ALIŞ]]</f>
        <v>1290</v>
      </c>
      <c r="H201" s="11">
        <f>Tablo14567891011121314151617181920212223242526272829303132333435363738394041[[#This Row],[ADET]]*Tablo14567891011121314151617181920212223242526272829303132333435363738394041[[#This Row],[SATIŞ]]</f>
        <v>1311</v>
      </c>
    </row>
    <row r="202" spans="2:8" ht="21" hidden="1" customHeight="1" x14ac:dyDescent="0.3">
      <c r="B202" s="2">
        <v>45336</v>
      </c>
      <c r="C202" s="6">
        <v>50</v>
      </c>
      <c r="D202" s="10">
        <v>42.8</v>
      </c>
      <c r="E202" s="10">
        <v>43</v>
      </c>
      <c r="F202" s="9">
        <f>IF(Tablo14567891011121314151617181920212223242526272829303132333435363738394041[[#This Row],[SATIŞ]]=0,"Açık",(E202-D202)*C202)</f>
        <v>10.000000000000142</v>
      </c>
      <c r="G202" s="11">
        <f>Tablo14567891011121314151617181920212223242526272829303132333435363738394041[[#This Row],[ADET]]*Tablo14567891011121314151617181920212223242526272829303132333435363738394041[[#This Row],[ALIŞ]]</f>
        <v>2140</v>
      </c>
      <c r="H202" s="11">
        <f>Tablo14567891011121314151617181920212223242526272829303132333435363738394041[[#This Row],[ADET]]*Tablo14567891011121314151617181920212223242526272829303132333435363738394041[[#This Row],[SATIŞ]]</f>
        <v>2150</v>
      </c>
    </row>
    <row r="203" spans="2:8" ht="21" hidden="1" customHeight="1" x14ac:dyDescent="0.3">
      <c r="B203" s="2">
        <v>45336</v>
      </c>
      <c r="C203" s="6">
        <v>50</v>
      </c>
      <c r="D203" s="10">
        <v>42.7</v>
      </c>
      <c r="E203" s="10">
        <v>42.9</v>
      </c>
      <c r="F203" s="9">
        <f>IF(Tablo14567891011121314151617181920212223242526272829303132333435363738394041[[#This Row],[SATIŞ]]=0,"Açık",(E203-D203)*C203)</f>
        <v>9.9999999999997868</v>
      </c>
      <c r="G203" s="11">
        <f>Tablo14567891011121314151617181920212223242526272829303132333435363738394041[[#This Row],[ADET]]*Tablo14567891011121314151617181920212223242526272829303132333435363738394041[[#This Row],[ALIŞ]]</f>
        <v>2135</v>
      </c>
      <c r="H203" s="11">
        <f>Tablo14567891011121314151617181920212223242526272829303132333435363738394041[[#This Row],[ADET]]*Tablo14567891011121314151617181920212223242526272829303132333435363738394041[[#This Row],[SATIŞ]]</f>
        <v>2145</v>
      </c>
    </row>
    <row r="204" spans="2:8" ht="21" hidden="1" customHeight="1" x14ac:dyDescent="0.3">
      <c r="B204" s="2">
        <v>45336</v>
      </c>
      <c r="C204" s="6">
        <v>50</v>
      </c>
      <c r="D204" s="10">
        <v>42.7</v>
      </c>
      <c r="E204" s="10">
        <v>42.8</v>
      </c>
      <c r="F204" s="9">
        <f>IF(Tablo14567891011121314151617181920212223242526272829303132333435363738394041[[#This Row],[SATIŞ]]=0,"Açık",(E204-D204)*C204)</f>
        <v>4.9999999999997158</v>
      </c>
      <c r="G204" s="11">
        <f>Tablo14567891011121314151617181920212223242526272829303132333435363738394041[[#This Row],[ADET]]*Tablo14567891011121314151617181920212223242526272829303132333435363738394041[[#This Row],[ALIŞ]]</f>
        <v>2135</v>
      </c>
      <c r="H204" s="11">
        <f>Tablo14567891011121314151617181920212223242526272829303132333435363738394041[[#This Row],[ADET]]*Tablo14567891011121314151617181920212223242526272829303132333435363738394041[[#This Row],[SATIŞ]]</f>
        <v>2140</v>
      </c>
    </row>
    <row r="205" spans="2:8" ht="21" hidden="1" customHeight="1" x14ac:dyDescent="0.3">
      <c r="B205" s="2">
        <v>45336</v>
      </c>
      <c r="C205" s="6">
        <v>50</v>
      </c>
      <c r="D205" s="10">
        <v>42.5</v>
      </c>
      <c r="E205" s="10">
        <v>42.7</v>
      </c>
      <c r="F205" s="9">
        <f>IF(Tablo14567891011121314151617181920212223242526272829303132333435363738394041[[#This Row],[SATIŞ]]=0,"Açık",(E205-D205)*C205)</f>
        <v>10.000000000000142</v>
      </c>
      <c r="G205" s="11">
        <f>Tablo14567891011121314151617181920212223242526272829303132333435363738394041[[#This Row],[ADET]]*Tablo14567891011121314151617181920212223242526272829303132333435363738394041[[#This Row],[ALIŞ]]</f>
        <v>2125</v>
      </c>
      <c r="H205" s="11">
        <f>Tablo14567891011121314151617181920212223242526272829303132333435363738394041[[#This Row],[ADET]]*Tablo14567891011121314151617181920212223242526272829303132333435363738394041[[#This Row],[SATIŞ]]</f>
        <v>2135</v>
      </c>
    </row>
    <row r="206" spans="2:8" ht="21" hidden="1" customHeight="1" x14ac:dyDescent="0.3">
      <c r="B206" s="2">
        <v>45336</v>
      </c>
      <c r="C206" s="6">
        <v>20</v>
      </c>
      <c r="D206" s="10">
        <v>42.2</v>
      </c>
      <c r="E206" s="10">
        <v>43.5</v>
      </c>
      <c r="F206" s="9">
        <f>IF(Tablo14567891011121314151617181920212223242526272829303132333435363738394041[[#This Row],[SATIŞ]]=0,"Açık",(E206-D206)*C206)</f>
        <v>25.999999999999943</v>
      </c>
      <c r="G206" s="11">
        <f>Tablo14567891011121314151617181920212223242526272829303132333435363738394041[[#This Row],[ADET]]*Tablo14567891011121314151617181920212223242526272829303132333435363738394041[[#This Row],[ALIŞ]]</f>
        <v>844</v>
      </c>
      <c r="H206" s="11">
        <f>Tablo14567891011121314151617181920212223242526272829303132333435363738394041[[#This Row],[ADET]]*Tablo14567891011121314151617181920212223242526272829303132333435363738394041[[#This Row],[SATIŞ]]</f>
        <v>870</v>
      </c>
    </row>
    <row r="207" spans="2:8" ht="21" hidden="1" customHeight="1" x14ac:dyDescent="0.3">
      <c r="B207" s="2">
        <v>45336</v>
      </c>
      <c r="C207" s="6">
        <v>20</v>
      </c>
      <c r="D207" s="10">
        <v>42.2</v>
      </c>
      <c r="E207" s="10">
        <v>43.5</v>
      </c>
      <c r="F207" s="9">
        <f>IF(Tablo14567891011121314151617181920212223242526272829303132333435363738394041[[#This Row],[SATIŞ]]=0,"Açık",(E207-D207)*C207)</f>
        <v>25.999999999999943</v>
      </c>
      <c r="G207" s="11">
        <f>Tablo14567891011121314151617181920212223242526272829303132333435363738394041[[#This Row],[ADET]]*Tablo14567891011121314151617181920212223242526272829303132333435363738394041[[#This Row],[ALIŞ]]</f>
        <v>844</v>
      </c>
      <c r="H207" s="11">
        <f>Tablo14567891011121314151617181920212223242526272829303132333435363738394041[[#This Row],[ADET]]*Tablo14567891011121314151617181920212223242526272829303132333435363738394041[[#This Row],[SATIŞ]]</f>
        <v>870</v>
      </c>
    </row>
    <row r="208" spans="2:8" ht="21" hidden="1" customHeight="1" x14ac:dyDescent="0.3">
      <c r="B208" s="2">
        <v>45336</v>
      </c>
      <c r="C208" s="6">
        <v>50</v>
      </c>
      <c r="D208" s="10">
        <v>42.3</v>
      </c>
      <c r="E208" s="10">
        <v>42.6</v>
      </c>
      <c r="F208" s="9">
        <f>IF(Tablo14567891011121314151617181920212223242526272829303132333435363738394041[[#This Row],[SATIŞ]]=0,"Açık",(E208-D208)*C208)</f>
        <v>15.000000000000213</v>
      </c>
      <c r="G208" s="11">
        <f>Tablo14567891011121314151617181920212223242526272829303132333435363738394041[[#This Row],[ADET]]*Tablo14567891011121314151617181920212223242526272829303132333435363738394041[[#This Row],[ALIŞ]]</f>
        <v>2115</v>
      </c>
      <c r="H208" s="11">
        <f>Tablo14567891011121314151617181920212223242526272829303132333435363738394041[[#This Row],[ADET]]*Tablo14567891011121314151617181920212223242526272829303132333435363738394041[[#This Row],[SATIŞ]]</f>
        <v>2130</v>
      </c>
    </row>
    <row r="209" spans="2:8" ht="21" hidden="1" customHeight="1" x14ac:dyDescent="0.3">
      <c r="B209" s="2">
        <v>45336</v>
      </c>
      <c r="C209" s="6">
        <v>50</v>
      </c>
      <c r="D209" s="10">
        <v>42</v>
      </c>
      <c r="E209" s="10">
        <v>42.5</v>
      </c>
      <c r="F209" s="9">
        <f>IF(Tablo14567891011121314151617181920212223242526272829303132333435363738394041[[#This Row],[SATIŞ]]=0,"Açık",(E209-D209)*C209)</f>
        <v>25</v>
      </c>
      <c r="G209" s="11">
        <f>Tablo14567891011121314151617181920212223242526272829303132333435363738394041[[#This Row],[ADET]]*Tablo14567891011121314151617181920212223242526272829303132333435363738394041[[#This Row],[ALIŞ]]</f>
        <v>2100</v>
      </c>
      <c r="H209" s="11">
        <f>Tablo14567891011121314151617181920212223242526272829303132333435363738394041[[#This Row],[ADET]]*Tablo14567891011121314151617181920212223242526272829303132333435363738394041[[#This Row],[SATIŞ]]</f>
        <v>2125</v>
      </c>
    </row>
    <row r="210" spans="2:8" ht="21" hidden="1" customHeight="1" x14ac:dyDescent="0.3">
      <c r="B210" s="2">
        <v>45336</v>
      </c>
      <c r="C210" s="6">
        <v>50</v>
      </c>
      <c r="D210" s="10">
        <v>42</v>
      </c>
      <c r="E210" s="10">
        <v>42.2</v>
      </c>
      <c r="F210" s="9">
        <f>IF(Tablo14567891011121314151617181920212223242526272829303132333435363738394041[[#This Row],[SATIŞ]]=0,"Açık",(E210-D210)*C210)</f>
        <v>10.000000000000142</v>
      </c>
      <c r="G210" s="11">
        <f>Tablo14567891011121314151617181920212223242526272829303132333435363738394041[[#This Row],[ADET]]*Tablo14567891011121314151617181920212223242526272829303132333435363738394041[[#This Row],[ALIŞ]]</f>
        <v>2100</v>
      </c>
      <c r="H210" s="11">
        <f>Tablo14567891011121314151617181920212223242526272829303132333435363738394041[[#This Row],[ADET]]*Tablo14567891011121314151617181920212223242526272829303132333435363738394041[[#This Row],[SATIŞ]]</f>
        <v>2110</v>
      </c>
    </row>
    <row r="211" spans="2:8" ht="21" hidden="1" customHeight="1" x14ac:dyDescent="0.3">
      <c r="B211" s="2">
        <v>45335</v>
      </c>
      <c r="C211" s="6">
        <v>50</v>
      </c>
      <c r="D211" s="10">
        <v>43.2</v>
      </c>
      <c r="E211" s="10">
        <v>45.1</v>
      </c>
      <c r="F211" s="9">
        <f>IF(Tablo14567891011121314151617181920212223242526272829303132333435363738394041[[#This Row],[SATIŞ]]=0,"Açık",(E211-D211)*C211)</f>
        <v>94.999999999999929</v>
      </c>
      <c r="G211" s="11">
        <f>Tablo14567891011121314151617181920212223242526272829303132333435363738394041[[#This Row],[ADET]]*Tablo14567891011121314151617181920212223242526272829303132333435363738394041[[#This Row],[ALIŞ]]</f>
        <v>2160</v>
      </c>
      <c r="H211" s="11">
        <f>Tablo14567891011121314151617181920212223242526272829303132333435363738394041[[#This Row],[ADET]]*Tablo14567891011121314151617181920212223242526272829303132333435363738394041[[#This Row],[SATIŞ]]</f>
        <v>2255</v>
      </c>
    </row>
    <row r="212" spans="2:8" ht="21" hidden="1" customHeight="1" x14ac:dyDescent="0.3">
      <c r="B212" s="2">
        <v>45337</v>
      </c>
      <c r="C212" s="6">
        <v>50</v>
      </c>
      <c r="D212" s="10">
        <v>44.5</v>
      </c>
      <c r="E212" s="10">
        <v>44.6</v>
      </c>
      <c r="F212" s="9">
        <f>IF(Tablo14567891011121314151617181920212223242526272829303132333435363738394041[[#This Row],[SATIŞ]]=0,"Açık",(E212-D212)*C212)</f>
        <v>5.0000000000000711</v>
      </c>
      <c r="G212" s="11">
        <f>Tablo14567891011121314151617181920212223242526272829303132333435363738394041[[#This Row],[ADET]]*Tablo14567891011121314151617181920212223242526272829303132333435363738394041[[#This Row],[ALIŞ]]</f>
        <v>2225</v>
      </c>
      <c r="H212" s="11">
        <f>Tablo14567891011121314151617181920212223242526272829303132333435363738394041[[#This Row],[ADET]]*Tablo14567891011121314151617181920212223242526272829303132333435363738394041[[#This Row],[SATIŞ]]</f>
        <v>2230</v>
      </c>
    </row>
    <row r="213" spans="2:8" ht="21" hidden="1" customHeight="1" x14ac:dyDescent="0.3">
      <c r="B213" s="2">
        <v>45337</v>
      </c>
      <c r="C213" s="6">
        <v>50</v>
      </c>
      <c r="D213" s="10">
        <v>44.4</v>
      </c>
      <c r="E213" s="10">
        <v>44.5</v>
      </c>
      <c r="F213" s="9">
        <f>IF(Tablo14567891011121314151617181920212223242526272829303132333435363738394041[[#This Row],[SATIŞ]]=0,"Açık",(E213-D213)*C213)</f>
        <v>5.0000000000000711</v>
      </c>
      <c r="G213" s="11">
        <f>Tablo14567891011121314151617181920212223242526272829303132333435363738394041[[#This Row],[ADET]]*Tablo14567891011121314151617181920212223242526272829303132333435363738394041[[#This Row],[ALIŞ]]</f>
        <v>2220</v>
      </c>
      <c r="H213" s="11">
        <f>Tablo14567891011121314151617181920212223242526272829303132333435363738394041[[#This Row],[ADET]]*Tablo14567891011121314151617181920212223242526272829303132333435363738394041[[#This Row],[SATIŞ]]</f>
        <v>2225</v>
      </c>
    </row>
    <row r="214" spans="2:8" ht="21" hidden="1" customHeight="1" x14ac:dyDescent="0.3">
      <c r="B214" s="2">
        <v>45337</v>
      </c>
      <c r="C214" s="6">
        <v>50</v>
      </c>
      <c r="D214" s="10">
        <v>44.4</v>
      </c>
      <c r="E214" s="10">
        <v>57.2</v>
      </c>
      <c r="F214" s="9">
        <f>IF(Tablo14567891011121314151617181920212223242526272829303132333435363738394041[[#This Row],[SATIŞ]]=0,"Açık",(E214-D214)*C214)</f>
        <v>640.00000000000023</v>
      </c>
      <c r="G214" s="11">
        <f>Tablo14567891011121314151617181920212223242526272829303132333435363738394041[[#This Row],[ADET]]*Tablo14567891011121314151617181920212223242526272829303132333435363738394041[[#This Row],[ALIŞ]]</f>
        <v>2220</v>
      </c>
      <c r="H214" s="11">
        <f>Tablo14567891011121314151617181920212223242526272829303132333435363738394041[[#This Row],[ADET]]*Tablo14567891011121314151617181920212223242526272829303132333435363738394041[[#This Row],[SATIŞ]]</f>
        <v>2860</v>
      </c>
    </row>
    <row r="215" spans="2:8" ht="21" hidden="1" customHeight="1" x14ac:dyDescent="0.3">
      <c r="B215" s="2">
        <v>45337</v>
      </c>
      <c r="C215" s="6">
        <v>50</v>
      </c>
      <c r="D215" s="10">
        <v>44.4</v>
      </c>
      <c r="E215" s="10">
        <v>44.6</v>
      </c>
      <c r="F215" s="9">
        <f>IF(Tablo14567891011121314151617181920212223242526272829303132333435363738394041[[#This Row],[SATIŞ]]=0,"Açık",(E215-D215)*C215)</f>
        <v>10.000000000000142</v>
      </c>
      <c r="G215" s="11">
        <f>Tablo14567891011121314151617181920212223242526272829303132333435363738394041[[#This Row],[ADET]]*Tablo14567891011121314151617181920212223242526272829303132333435363738394041[[#This Row],[ALIŞ]]</f>
        <v>2220</v>
      </c>
      <c r="H215" s="11">
        <f>Tablo14567891011121314151617181920212223242526272829303132333435363738394041[[#This Row],[ADET]]*Tablo14567891011121314151617181920212223242526272829303132333435363738394041[[#This Row],[SATIŞ]]</f>
        <v>2230</v>
      </c>
    </row>
    <row r="216" spans="2:8" ht="21" hidden="1" customHeight="1" x14ac:dyDescent="0.3">
      <c r="B216" s="2">
        <v>45337</v>
      </c>
      <c r="C216" s="6">
        <v>100</v>
      </c>
      <c r="D216" s="10">
        <v>44.3</v>
      </c>
      <c r="E216" s="10">
        <v>45</v>
      </c>
      <c r="F216" s="9">
        <f>IF(Tablo14567891011121314151617181920212223242526272829303132333435363738394041[[#This Row],[SATIŞ]]=0,"Açık",(E216-D216)*C216)</f>
        <v>70.000000000000284</v>
      </c>
      <c r="G216" s="11">
        <f>Tablo14567891011121314151617181920212223242526272829303132333435363738394041[[#This Row],[ADET]]*Tablo14567891011121314151617181920212223242526272829303132333435363738394041[[#This Row],[ALIŞ]]</f>
        <v>4430</v>
      </c>
      <c r="H216" s="11">
        <f>Tablo14567891011121314151617181920212223242526272829303132333435363738394041[[#This Row],[ADET]]*Tablo14567891011121314151617181920212223242526272829303132333435363738394041[[#This Row],[SATIŞ]]</f>
        <v>4500</v>
      </c>
    </row>
    <row r="217" spans="2:8" ht="21" hidden="1" customHeight="1" x14ac:dyDescent="0.3">
      <c r="B217" s="2">
        <v>45337</v>
      </c>
      <c r="C217" s="6">
        <v>50</v>
      </c>
      <c r="D217" s="10">
        <v>44.3</v>
      </c>
      <c r="E217" s="10">
        <v>44.4</v>
      </c>
      <c r="F217" s="9">
        <f>IF(Tablo14567891011121314151617181920212223242526272829303132333435363738394041[[#This Row],[SATIŞ]]=0,"Açık",(E217-D217)*C217)</f>
        <v>5.0000000000000711</v>
      </c>
      <c r="G217" s="11">
        <f>Tablo14567891011121314151617181920212223242526272829303132333435363738394041[[#This Row],[ADET]]*Tablo14567891011121314151617181920212223242526272829303132333435363738394041[[#This Row],[ALIŞ]]</f>
        <v>2215</v>
      </c>
      <c r="H217" s="11">
        <f>Tablo14567891011121314151617181920212223242526272829303132333435363738394041[[#This Row],[ADET]]*Tablo14567891011121314151617181920212223242526272829303132333435363738394041[[#This Row],[SATIŞ]]</f>
        <v>2220</v>
      </c>
    </row>
    <row r="218" spans="2:8" ht="21" hidden="1" customHeight="1" x14ac:dyDescent="0.3">
      <c r="B218" s="2">
        <v>45337</v>
      </c>
      <c r="C218" s="6">
        <v>50</v>
      </c>
      <c r="D218" s="10">
        <v>44.2</v>
      </c>
      <c r="E218" s="10">
        <v>44.3</v>
      </c>
      <c r="F218" s="9">
        <f>IF(Tablo14567891011121314151617181920212223242526272829303132333435363738394041[[#This Row],[SATIŞ]]=0,"Açık",(E218-D218)*C218)</f>
        <v>4.9999999999997158</v>
      </c>
      <c r="G218" s="11">
        <f>Tablo14567891011121314151617181920212223242526272829303132333435363738394041[[#This Row],[ADET]]*Tablo14567891011121314151617181920212223242526272829303132333435363738394041[[#This Row],[ALIŞ]]</f>
        <v>2210</v>
      </c>
      <c r="H218" s="11">
        <f>Tablo14567891011121314151617181920212223242526272829303132333435363738394041[[#This Row],[ADET]]*Tablo14567891011121314151617181920212223242526272829303132333435363738394041[[#This Row],[SATIŞ]]</f>
        <v>2215</v>
      </c>
    </row>
    <row r="219" spans="2:8" ht="21" hidden="1" customHeight="1" x14ac:dyDescent="0.3">
      <c r="B219" s="2">
        <v>45337</v>
      </c>
      <c r="C219" s="6">
        <v>100</v>
      </c>
      <c r="D219" s="10">
        <v>44.2</v>
      </c>
      <c r="E219" s="10">
        <v>44.5</v>
      </c>
      <c r="F219" s="9">
        <f>IF(Tablo14567891011121314151617181920212223242526272829303132333435363738394041[[#This Row],[SATIŞ]]=0,"Açık",(E219-D219)*C219)</f>
        <v>29.999999999999716</v>
      </c>
      <c r="G219" s="11">
        <f>Tablo14567891011121314151617181920212223242526272829303132333435363738394041[[#This Row],[ADET]]*Tablo14567891011121314151617181920212223242526272829303132333435363738394041[[#This Row],[ALIŞ]]</f>
        <v>4420</v>
      </c>
      <c r="H219" s="11">
        <f>Tablo14567891011121314151617181920212223242526272829303132333435363738394041[[#This Row],[ADET]]*Tablo14567891011121314151617181920212223242526272829303132333435363738394041[[#This Row],[SATIŞ]]</f>
        <v>4450</v>
      </c>
    </row>
    <row r="220" spans="2:8" ht="21" hidden="1" customHeight="1" x14ac:dyDescent="0.3">
      <c r="B220" s="2">
        <v>45337</v>
      </c>
      <c r="C220" s="6">
        <v>50</v>
      </c>
      <c r="D220" s="10">
        <v>44.2</v>
      </c>
      <c r="E220" s="10">
        <v>44.5</v>
      </c>
      <c r="F220" s="9">
        <f>IF(Tablo14567891011121314151617181920212223242526272829303132333435363738394041[[#This Row],[SATIŞ]]=0,"Açık",(E220-D220)*C220)</f>
        <v>14.999999999999858</v>
      </c>
      <c r="G220" s="11">
        <f>Tablo14567891011121314151617181920212223242526272829303132333435363738394041[[#This Row],[ADET]]*Tablo14567891011121314151617181920212223242526272829303132333435363738394041[[#This Row],[ALIŞ]]</f>
        <v>2210</v>
      </c>
      <c r="H220" s="11">
        <f>Tablo14567891011121314151617181920212223242526272829303132333435363738394041[[#This Row],[ADET]]*Tablo14567891011121314151617181920212223242526272829303132333435363738394041[[#This Row],[SATIŞ]]</f>
        <v>2225</v>
      </c>
    </row>
    <row r="221" spans="2:8" ht="21" hidden="1" customHeight="1" x14ac:dyDescent="0.3">
      <c r="B221" s="2">
        <v>45337</v>
      </c>
      <c r="C221" s="6">
        <v>50</v>
      </c>
      <c r="D221" s="10">
        <v>44.1</v>
      </c>
      <c r="E221" s="10">
        <v>44.3</v>
      </c>
      <c r="F221" s="9">
        <f>IF(Tablo14567891011121314151617181920212223242526272829303132333435363738394041[[#This Row],[SATIŞ]]=0,"Açık",(E221-D221)*C221)</f>
        <v>9.9999999999997868</v>
      </c>
      <c r="G221" s="11">
        <f>Tablo14567891011121314151617181920212223242526272829303132333435363738394041[[#This Row],[ADET]]*Tablo14567891011121314151617181920212223242526272829303132333435363738394041[[#This Row],[ALIŞ]]</f>
        <v>2205</v>
      </c>
      <c r="H221" s="11">
        <f>Tablo14567891011121314151617181920212223242526272829303132333435363738394041[[#This Row],[ADET]]*Tablo14567891011121314151617181920212223242526272829303132333435363738394041[[#This Row],[SATIŞ]]</f>
        <v>2215</v>
      </c>
    </row>
    <row r="222" spans="2:8" ht="21" hidden="1" customHeight="1" x14ac:dyDescent="0.3">
      <c r="B222" s="2">
        <v>45337</v>
      </c>
      <c r="C222" s="6">
        <v>60</v>
      </c>
      <c r="D222" s="10">
        <v>44</v>
      </c>
      <c r="E222" s="10">
        <v>44.3</v>
      </c>
      <c r="F222" s="9">
        <f>IF(Tablo14567891011121314151617181920212223242526272829303132333435363738394041[[#This Row],[SATIŞ]]=0,"Açık",(E222-D222)*C222)</f>
        <v>17.999999999999829</v>
      </c>
      <c r="G222" s="11">
        <f>Tablo14567891011121314151617181920212223242526272829303132333435363738394041[[#This Row],[ADET]]*Tablo14567891011121314151617181920212223242526272829303132333435363738394041[[#This Row],[ALIŞ]]</f>
        <v>2640</v>
      </c>
      <c r="H222" s="11">
        <f>Tablo14567891011121314151617181920212223242526272829303132333435363738394041[[#This Row],[ADET]]*Tablo14567891011121314151617181920212223242526272829303132333435363738394041[[#This Row],[SATIŞ]]</f>
        <v>2658</v>
      </c>
    </row>
    <row r="223" spans="2:8" ht="21" hidden="1" customHeight="1" x14ac:dyDescent="0.3">
      <c r="B223" s="2">
        <v>45337</v>
      </c>
      <c r="C223" s="6">
        <v>50</v>
      </c>
      <c r="D223" s="10">
        <v>44</v>
      </c>
      <c r="E223" s="10">
        <v>44.4</v>
      </c>
      <c r="F223" s="9">
        <f>IF(Tablo14567891011121314151617181920212223242526272829303132333435363738394041[[#This Row],[SATIŞ]]=0,"Açık",(E223-D223)*C223)</f>
        <v>19.999999999999929</v>
      </c>
      <c r="G223" s="11">
        <f>Tablo14567891011121314151617181920212223242526272829303132333435363738394041[[#This Row],[ADET]]*Tablo14567891011121314151617181920212223242526272829303132333435363738394041[[#This Row],[ALIŞ]]</f>
        <v>2200</v>
      </c>
      <c r="H223" s="11">
        <f>Tablo14567891011121314151617181920212223242526272829303132333435363738394041[[#This Row],[ADET]]*Tablo14567891011121314151617181920212223242526272829303132333435363738394041[[#This Row],[SATIŞ]]</f>
        <v>2220</v>
      </c>
    </row>
    <row r="224" spans="2:8" ht="21" hidden="1" customHeight="1" x14ac:dyDescent="0.3">
      <c r="B224" s="2">
        <v>45337</v>
      </c>
      <c r="C224" s="6">
        <v>50</v>
      </c>
      <c r="D224" s="10">
        <v>43.9</v>
      </c>
      <c r="E224" s="10">
        <v>44</v>
      </c>
      <c r="F224" s="9">
        <f>IF(Tablo14567891011121314151617181920212223242526272829303132333435363738394041[[#This Row],[SATIŞ]]=0,"Açık",(E224-D224)*C224)</f>
        <v>5.0000000000000711</v>
      </c>
      <c r="G224" s="11">
        <f>Tablo14567891011121314151617181920212223242526272829303132333435363738394041[[#This Row],[ADET]]*Tablo14567891011121314151617181920212223242526272829303132333435363738394041[[#This Row],[ALIŞ]]</f>
        <v>2195</v>
      </c>
      <c r="H224" s="11">
        <f>Tablo14567891011121314151617181920212223242526272829303132333435363738394041[[#This Row],[ADET]]*Tablo14567891011121314151617181920212223242526272829303132333435363738394041[[#This Row],[SATIŞ]]</f>
        <v>2200</v>
      </c>
    </row>
    <row r="225" spans="2:8" ht="21" hidden="1" customHeight="1" x14ac:dyDescent="0.3">
      <c r="B225" s="2">
        <v>45338</v>
      </c>
      <c r="C225" s="6">
        <v>50</v>
      </c>
      <c r="D225" s="10">
        <v>43.3</v>
      </c>
      <c r="E225" s="10">
        <v>43.4</v>
      </c>
      <c r="F225" s="9">
        <f>IF(Tablo14567891011121314151617181920212223242526272829303132333435363738394041[[#This Row],[SATIŞ]]=0,"Açık",(E225-D225)*C225)</f>
        <v>5.0000000000000711</v>
      </c>
      <c r="G225" s="11">
        <f>Tablo14567891011121314151617181920212223242526272829303132333435363738394041[[#This Row],[ADET]]*Tablo14567891011121314151617181920212223242526272829303132333435363738394041[[#This Row],[ALIŞ]]</f>
        <v>2165</v>
      </c>
      <c r="H225" s="11">
        <f>Tablo14567891011121314151617181920212223242526272829303132333435363738394041[[#This Row],[ADET]]*Tablo14567891011121314151617181920212223242526272829303132333435363738394041[[#This Row],[SATIŞ]]</f>
        <v>2170</v>
      </c>
    </row>
    <row r="226" spans="2:8" ht="21" hidden="1" customHeight="1" x14ac:dyDescent="0.3">
      <c r="B226" s="2">
        <v>45338</v>
      </c>
      <c r="C226" s="6">
        <v>50</v>
      </c>
      <c r="D226" s="10">
        <v>42.8</v>
      </c>
      <c r="E226" s="10">
        <v>43</v>
      </c>
      <c r="F226" s="9">
        <f>IF(Tablo14567891011121314151617181920212223242526272829303132333435363738394041[[#This Row],[SATIŞ]]=0,"Açık",(E226-D226)*C226)</f>
        <v>10.000000000000142</v>
      </c>
      <c r="G226" s="11">
        <f>Tablo14567891011121314151617181920212223242526272829303132333435363738394041[[#This Row],[ADET]]*Tablo14567891011121314151617181920212223242526272829303132333435363738394041[[#This Row],[ALIŞ]]</f>
        <v>2140</v>
      </c>
      <c r="H226" s="11">
        <f>Tablo14567891011121314151617181920212223242526272829303132333435363738394041[[#This Row],[ADET]]*Tablo14567891011121314151617181920212223242526272829303132333435363738394041[[#This Row],[SATIŞ]]</f>
        <v>2150</v>
      </c>
    </row>
    <row r="227" spans="2:8" ht="21" hidden="1" customHeight="1" x14ac:dyDescent="0.3">
      <c r="B227" s="2">
        <v>45338</v>
      </c>
      <c r="C227" s="6">
        <v>50</v>
      </c>
      <c r="D227" s="10">
        <v>42.8</v>
      </c>
      <c r="E227" s="10">
        <v>43.3</v>
      </c>
      <c r="F227" s="9">
        <f>IF(Tablo14567891011121314151617181920212223242526272829303132333435363738394041[[#This Row],[SATIŞ]]=0,"Açık",(E227-D227)*C227)</f>
        <v>25</v>
      </c>
      <c r="G227" s="11">
        <f>Tablo14567891011121314151617181920212223242526272829303132333435363738394041[[#This Row],[ADET]]*Tablo14567891011121314151617181920212223242526272829303132333435363738394041[[#This Row],[ALIŞ]]</f>
        <v>2140</v>
      </c>
      <c r="H227" s="11">
        <f>Tablo14567891011121314151617181920212223242526272829303132333435363738394041[[#This Row],[ADET]]*Tablo14567891011121314151617181920212223242526272829303132333435363738394041[[#This Row],[SATIŞ]]</f>
        <v>2165</v>
      </c>
    </row>
    <row r="228" spans="2:8" ht="21" hidden="1" customHeight="1" x14ac:dyDescent="0.3">
      <c r="B228" s="2">
        <v>45338</v>
      </c>
      <c r="C228" s="6">
        <v>50</v>
      </c>
      <c r="D228" s="10">
        <v>43</v>
      </c>
      <c r="E228" s="10">
        <v>43.2</v>
      </c>
      <c r="F228" s="9">
        <f>IF(Tablo14567891011121314151617181920212223242526272829303132333435363738394041[[#This Row],[SATIŞ]]=0,"Açık",(E228-D228)*C228)</f>
        <v>10.000000000000142</v>
      </c>
      <c r="G228" s="11">
        <f>Tablo14567891011121314151617181920212223242526272829303132333435363738394041[[#This Row],[ADET]]*Tablo14567891011121314151617181920212223242526272829303132333435363738394041[[#This Row],[ALIŞ]]</f>
        <v>2150</v>
      </c>
      <c r="H228" s="11">
        <f>Tablo14567891011121314151617181920212223242526272829303132333435363738394041[[#This Row],[ADET]]*Tablo14567891011121314151617181920212223242526272829303132333435363738394041[[#This Row],[SATIŞ]]</f>
        <v>2160</v>
      </c>
    </row>
    <row r="229" spans="2:8" ht="21" hidden="1" customHeight="1" x14ac:dyDescent="0.3">
      <c r="B229" s="2">
        <v>45338</v>
      </c>
      <c r="C229" s="6">
        <v>50</v>
      </c>
      <c r="D229" s="10">
        <v>42.5</v>
      </c>
      <c r="E229" s="10">
        <v>43.1</v>
      </c>
      <c r="F229" s="9">
        <f>IF(Tablo14567891011121314151617181920212223242526272829303132333435363738394041[[#This Row],[SATIŞ]]=0,"Açık",(E229-D229)*C229)</f>
        <v>30.000000000000071</v>
      </c>
      <c r="G229" s="11">
        <f>Tablo14567891011121314151617181920212223242526272829303132333435363738394041[[#This Row],[ADET]]*Tablo14567891011121314151617181920212223242526272829303132333435363738394041[[#This Row],[ALIŞ]]</f>
        <v>2125</v>
      </c>
      <c r="H229" s="11">
        <f>Tablo14567891011121314151617181920212223242526272829303132333435363738394041[[#This Row],[ADET]]*Tablo14567891011121314151617181920212223242526272829303132333435363738394041[[#This Row],[SATIŞ]]</f>
        <v>2155</v>
      </c>
    </row>
    <row r="230" spans="2:8" ht="21" hidden="1" customHeight="1" x14ac:dyDescent="0.3">
      <c r="B230" s="2">
        <v>45338</v>
      </c>
      <c r="C230" s="6">
        <v>50</v>
      </c>
      <c r="D230" s="10">
        <v>42.6</v>
      </c>
      <c r="E230" s="10">
        <v>43.2</v>
      </c>
      <c r="F230" s="9">
        <f>IF(Tablo14567891011121314151617181920212223242526272829303132333435363738394041[[#This Row],[SATIŞ]]=0,"Açık",(E230-D230)*C230)</f>
        <v>30.000000000000071</v>
      </c>
      <c r="G230" s="11">
        <f>Tablo14567891011121314151617181920212223242526272829303132333435363738394041[[#This Row],[ADET]]*Tablo14567891011121314151617181920212223242526272829303132333435363738394041[[#This Row],[ALIŞ]]</f>
        <v>2130</v>
      </c>
      <c r="H230" s="11">
        <f>Tablo14567891011121314151617181920212223242526272829303132333435363738394041[[#This Row],[ADET]]*Tablo14567891011121314151617181920212223242526272829303132333435363738394041[[#This Row],[SATIŞ]]</f>
        <v>2160</v>
      </c>
    </row>
    <row r="231" spans="2:8" ht="21" hidden="1" customHeight="1" x14ac:dyDescent="0.3">
      <c r="B231" s="2">
        <v>45338</v>
      </c>
      <c r="C231" s="6">
        <v>50</v>
      </c>
      <c r="D231" s="10">
        <v>42.6</v>
      </c>
      <c r="E231" s="10">
        <v>43.6</v>
      </c>
      <c r="F231" s="9">
        <f>IF(Tablo14567891011121314151617181920212223242526272829303132333435363738394041[[#This Row],[SATIŞ]]=0,"Açık",(E231-D231)*C231)</f>
        <v>50</v>
      </c>
      <c r="G231" s="11">
        <f>Tablo14567891011121314151617181920212223242526272829303132333435363738394041[[#This Row],[ADET]]*Tablo14567891011121314151617181920212223242526272829303132333435363738394041[[#This Row],[ALIŞ]]</f>
        <v>2130</v>
      </c>
      <c r="H231" s="11">
        <f>Tablo14567891011121314151617181920212223242526272829303132333435363738394041[[#This Row],[ADET]]*Tablo14567891011121314151617181920212223242526272829303132333435363738394041[[#This Row],[SATIŞ]]</f>
        <v>2180</v>
      </c>
    </row>
    <row r="232" spans="2:8" ht="21" hidden="1" customHeight="1" x14ac:dyDescent="0.3">
      <c r="B232" s="2">
        <v>45338</v>
      </c>
      <c r="C232" s="6">
        <v>50</v>
      </c>
      <c r="D232" s="10">
        <v>42.5</v>
      </c>
      <c r="E232" s="10">
        <v>43.7</v>
      </c>
      <c r="F232" s="9">
        <f>IF(Tablo14567891011121314151617181920212223242526272829303132333435363738394041[[#This Row],[SATIŞ]]=0,"Açık",(E232-D232)*C232)</f>
        <v>60.000000000000142</v>
      </c>
      <c r="G232" s="11">
        <f>Tablo14567891011121314151617181920212223242526272829303132333435363738394041[[#This Row],[ADET]]*Tablo14567891011121314151617181920212223242526272829303132333435363738394041[[#This Row],[ALIŞ]]</f>
        <v>2125</v>
      </c>
      <c r="H232" s="11">
        <f>Tablo14567891011121314151617181920212223242526272829303132333435363738394041[[#This Row],[ADET]]*Tablo14567891011121314151617181920212223242526272829303132333435363738394041[[#This Row],[SATIŞ]]</f>
        <v>2185</v>
      </c>
    </row>
    <row r="233" spans="2:8" ht="21" hidden="1" customHeight="1" x14ac:dyDescent="0.3">
      <c r="B233" s="2">
        <v>45338</v>
      </c>
      <c r="C233" s="6">
        <v>50</v>
      </c>
      <c r="D233" s="10">
        <v>42.7</v>
      </c>
      <c r="E233" s="10">
        <v>43.8</v>
      </c>
      <c r="F233" s="9">
        <f>IF(Tablo14567891011121314151617181920212223242526272829303132333435363738394041[[#This Row],[SATIŞ]]=0,"Açık",(E233-D233)*C233)</f>
        <v>54.999999999999716</v>
      </c>
      <c r="G233" s="11">
        <f>Tablo14567891011121314151617181920212223242526272829303132333435363738394041[[#This Row],[ADET]]*Tablo14567891011121314151617181920212223242526272829303132333435363738394041[[#This Row],[ALIŞ]]</f>
        <v>2135</v>
      </c>
      <c r="H233" s="11">
        <f>Tablo14567891011121314151617181920212223242526272829303132333435363738394041[[#This Row],[ADET]]*Tablo14567891011121314151617181920212223242526272829303132333435363738394041[[#This Row],[SATIŞ]]</f>
        <v>2190</v>
      </c>
    </row>
    <row r="234" spans="2:8" ht="21" hidden="1" customHeight="1" x14ac:dyDescent="0.3">
      <c r="B234" s="2">
        <v>45338</v>
      </c>
      <c r="C234" s="6">
        <v>50</v>
      </c>
      <c r="D234" s="10">
        <v>42.4</v>
      </c>
      <c r="E234" s="10">
        <v>43.9</v>
      </c>
      <c r="F234" s="9">
        <f>IF(Tablo14567891011121314151617181920212223242526272829303132333435363738394041[[#This Row],[SATIŞ]]=0,"Açık",(E234-D234)*C234)</f>
        <v>75</v>
      </c>
      <c r="G234" s="11">
        <f>Tablo14567891011121314151617181920212223242526272829303132333435363738394041[[#This Row],[ADET]]*Tablo14567891011121314151617181920212223242526272829303132333435363738394041[[#This Row],[ALIŞ]]</f>
        <v>2120</v>
      </c>
      <c r="H234" s="11">
        <f>Tablo14567891011121314151617181920212223242526272829303132333435363738394041[[#This Row],[ADET]]*Tablo14567891011121314151617181920212223242526272829303132333435363738394041[[#This Row],[SATIŞ]]</f>
        <v>2195</v>
      </c>
    </row>
    <row r="235" spans="2:8" ht="21" hidden="1" customHeight="1" x14ac:dyDescent="0.3">
      <c r="B235" s="2">
        <v>45338</v>
      </c>
      <c r="C235" s="6">
        <v>50</v>
      </c>
      <c r="D235" s="10">
        <v>42.3</v>
      </c>
      <c r="E235" s="10">
        <v>44</v>
      </c>
      <c r="F235" s="9">
        <f>IF(Tablo14567891011121314151617181920212223242526272829303132333435363738394041[[#This Row],[SATIŞ]]=0,"Açık",(E235-D235)*C235)</f>
        <v>85.000000000000142</v>
      </c>
      <c r="G235" s="11">
        <f>Tablo14567891011121314151617181920212223242526272829303132333435363738394041[[#This Row],[ADET]]*Tablo14567891011121314151617181920212223242526272829303132333435363738394041[[#This Row],[ALIŞ]]</f>
        <v>2115</v>
      </c>
      <c r="H235" s="11">
        <f>Tablo14567891011121314151617181920212223242526272829303132333435363738394041[[#This Row],[ADET]]*Tablo14567891011121314151617181920212223242526272829303132333435363738394041[[#This Row],[SATIŞ]]</f>
        <v>2200</v>
      </c>
    </row>
    <row r="236" spans="2:8" ht="21" hidden="1" customHeight="1" x14ac:dyDescent="0.3">
      <c r="B236" s="2">
        <v>45341</v>
      </c>
      <c r="C236" s="6">
        <v>50</v>
      </c>
      <c r="D236" s="10">
        <v>43.3</v>
      </c>
      <c r="E236" s="10">
        <v>42.8</v>
      </c>
      <c r="F236" s="9">
        <f>IF(Tablo14567891011121314151617181920212223242526272829303132333435363738394041[[#This Row],[SATIŞ]]=0,"Açık",(E236-D236)*C236)</f>
        <v>-25</v>
      </c>
      <c r="G236" s="11">
        <f>Tablo14567891011121314151617181920212223242526272829303132333435363738394041[[#This Row],[ADET]]*Tablo14567891011121314151617181920212223242526272829303132333435363738394041[[#This Row],[ALIŞ]]</f>
        <v>2165</v>
      </c>
      <c r="H236" s="11">
        <f>Tablo14567891011121314151617181920212223242526272829303132333435363738394041[[#This Row],[ADET]]*Tablo14567891011121314151617181920212223242526272829303132333435363738394041[[#This Row],[SATIŞ]]</f>
        <v>2140</v>
      </c>
    </row>
    <row r="237" spans="2:8" ht="21" hidden="1" customHeight="1" x14ac:dyDescent="0.3">
      <c r="B237" s="2">
        <v>45341</v>
      </c>
      <c r="C237" s="6">
        <v>100</v>
      </c>
      <c r="D237" s="10">
        <v>43.45</v>
      </c>
      <c r="E237" s="10">
        <v>43.5</v>
      </c>
      <c r="F237" s="9">
        <f>IF(Tablo14567891011121314151617181920212223242526272829303132333435363738394041[[#This Row],[SATIŞ]]=0,"Açık",(E237-D237)*C237)</f>
        <v>4.9999999999997158</v>
      </c>
      <c r="G237" s="11">
        <f>Tablo14567891011121314151617181920212223242526272829303132333435363738394041[[#This Row],[ADET]]*Tablo14567891011121314151617181920212223242526272829303132333435363738394041[[#This Row],[ALIŞ]]</f>
        <v>4345</v>
      </c>
      <c r="H237" s="11">
        <f>Tablo14567891011121314151617181920212223242526272829303132333435363738394041[[#This Row],[ADET]]*Tablo14567891011121314151617181920212223242526272829303132333435363738394041[[#This Row],[SATIŞ]]</f>
        <v>4350</v>
      </c>
    </row>
    <row r="238" spans="2:8" ht="21" hidden="1" customHeight="1" x14ac:dyDescent="0.3">
      <c r="B238" s="2">
        <v>45341</v>
      </c>
      <c r="C238" s="6">
        <v>100</v>
      </c>
      <c r="D238" s="10">
        <v>43.56</v>
      </c>
      <c r="E238" s="10">
        <v>44</v>
      </c>
      <c r="F238" s="9">
        <f>IF(Tablo14567891011121314151617181920212223242526272829303132333435363738394041[[#This Row],[SATIŞ]]=0,"Açık",(E238-D238)*C238)</f>
        <v>43.999999999999773</v>
      </c>
      <c r="G238" s="11">
        <f>Tablo14567891011121314151617181920212223242526272829303132333435363738394041[[#This Row],[ADET]]*Tablo14567891011121314151617181920212223242526272829303132333435363738394041[[#This Row],[ALIŞ]]</f>
        <v>4356</v>
      </c>
      <c r="H238" s="11">
        <f>Tablo14567891011121314151617181920212223242526272829303132333435363738394041[[#This Row],[ADET]]*Tablo14567891011121314151617181920212223242526272829303132333435363738394041[[#This Row],[SATIŞ]]</f>
        <v>4400</v>
      </c>
    </row>
    <row r="239" spans="2:8" ht="21" hidden="1" customHeight="1" x14ac:dyDescent="0.3">
      <c r="B239" s="2">
        <v>45341</v>
      </c>
      <c r="C239" s="6">
        <v>100</v>
      </c>
      <c r="D239" s="10">
        <v>43.05</v>
      </c>
      <c r="E239" s="10">
        <v>43.7</v>
      </c>
      <c r="F239" s="9">
        <f>IF(Tablo14567891011121314151617181920212223242526272829303132333435363738394041[[#This Row],[SATIŞ]]=0,"Açık",(E239-D239)*C239)</f>
        <v>65.000000000000568</v>
      </c>
      <c r="G239" s="11">
        <f>Tablo14567891011121314151617181920212223242526272829303132333435363738394041[[#This Row],[ADET]]*Tablo14567891011121314151617181920212223242526272829303132333435363738394041[[#This Row],[ALIŞ]]</f>
        <v>4305</v>
      </c>
      <c r="H239" s="11">
        <f>Tablo14567891011121314151617181920212223242526272829303132333435363738394041[[#This Row],[ADET]]*Tablo14567891011121314151617181920212223242526272829303132333435363738394041[[#This Row],[SATIŞ]]</f>
        <v>4370</v>
      </c>
    </row>
    <row r="240" spans="2:8" ht="21" hidden="1" customHeight="1" x14ac:dyDescent="0.3">
      <c r="B240" s="2">
        <v>45341</v>
      </c>
      <c r="C240" s="6">
        <v>50</v>
      </c>
      <c r="D240" s="10">
        <v>43.2</v>
      </c>
      <c r="E240" s="10">
        <v>43.3</v>
      </c>
      <c r="F240" s="9">
        <f>IF(Tablo14567891011121314151617181920212223242526272829303132333435363738394041[[#This Row],[SATIŞ]]=0,"Açık",(E240-D240)*C240)</f>
        <v>4.9999999999997158</v>
      </c>
      <c r="G240" s="11">
        <f>Tablo14567891011121314151617181920212223242526272829303132333435363738394041[[#This Row],[ADET]]*Tablo14567891011121314151617181920212223242526272829303132333435363738394041[[#This Row],[ALIŞ]]</f>
        <v>2160</v>
      </c>
      <c r="H240" s="11">
        <f>Tablo14567891011121314151617181920212223242526272829303132333435363738394041[[#This Row],[ADET]]*Tablo14567891011121314151617181920212223242526272829303132333435363738394041[[#This Row],[SATIŞ]]</f>
        <v>2165</v>
      </c>
    </row>
    <row r="241" spans="2:10" ht="21" hidden="1" customHeight="1" x14ac:dyDescent="0.3">
      <c r="B241" s="2">
        <v>45341</v>
      </c>
      <c r="C241" s="6">
        <v>50</v>
      </c>
      <c r="D241" s="10">
        <v>42.2</v>
      </c>
      <c r="E241" s="10">
        <v>43.4</v>
      </c>
      <c r="F241" s="9">
        <f>IF(Tablo14567891011121314151617181920212223242526272829303132333435363738394041[[#This Row],[SATIŞ]]=0,"Açık",(E241-D241)*C241)</f>
        <v>59.999999999999787</v>
      </c>
      <c r="G241" s="11">
        <f>Tablo14567891011121314151617181920212223242526272829303132333435363738394041[[#This Row],[ADET]]*Tablo14567891011121314151617181920212223242526272829303132333435363738394041[[#This Row],[ALIŞ]]</f>
        <v>2110</v>
      </c>
      <c r="H241" s="11">
        <f>Tablo14567891011121314151617181920212223242526272829303132333435363738394041[[#This Row],[ADET]]*Tablo14567891011121314151617181920212223242526272829303132333435363738394041[[#This Row],[SATIŞ]]</f>
        <v>2170</v>
      </c>
    </row>
    <row r="242" spans="2:10" ht="21" hidden="1" customHeight="1" x14ac:dyDescent="0.3">
      <c r="B242" s="2">
        <v>45341</v>
      </c>
      <c r="C242" s="6">
        <v>10</v>
      </c>
      <c r="D242" s="10">
        <v>42.3</v>
      </c>
      <c r="E242" s="10">
        <v>43.4</v>
      </c>
      <c r="F242" s="9">
        <f>IF(Tablo14567891011121314151617181920212223242526272829303132333435363738394041[[#This Row],[SATIŞ]]=0,"Açık",(E242-D242)*C242)</f>
        <v>11.000000000000014</v>
      </c>
      <c r="G242" s="11">
        <f>Tablo14567891011121314151617181920212223242526272829303132333435363738394041[[#This Row],[ADET]]*Tablo14567891011121314151617181920212223242526272829303132333435363738394041[[#This Row],[ALIŞ]]</f>
        <v>423</v>
      </c>
      <c r="H242" s="11">
        <f>Tablo14567891011121314151617181920212223242526272829303132333435363738394041[[#This Row],[ADET]]*Tablo14567891011121314151617181920212223242526272829303132333435363738394041[[#This Row],[SATIŞ]]</f>
        <v>434</v>
      </c>
    </row>
    <row r="243" spans="2:10" ht="21" hidden="1" customHeight="1" x14ac:dyDescent="0.3">
      <c r="B243" s="2">
        <v>45341</v>
      </c>
      <c r="C243" s="6">
        <v>100</v>
      </c>
      <c r="D243" s="10">
        <v>42.3</v>
      </c>
      <c r="E243" s="10">
        <v>43.5</v>
      </c>
      <c r="F243" s="9">
        <f>IF(Tablo14567891011121314151617181920212223242526272829303132333435363738394041[[#This Row],[SATIŞ]]=0,"Açık",(E243-D243)*C243)</f>
        <v>120.00000000000028</v>
      </c>
      <c r="G243" s="11">
        <f>Tablo14567891011121314151617181920212223242526272829303132333435363738394041[[#This Row],[ADET]]*Tablo14567891011121314151617181920212223242526272829303132333435363738394041[[#This Row],[ALIŞ]]</f>
        <v>4230</v>
      </c>
      <c r="H243" s="11">
        <f>Tablo14567891011121314151617181920212223242526272829303132333435363738394041[[#This Row],[ADET]]*Tablo14567891011121314151617181920212223242526272829303132333435363738394041[[#This Row],[SATIŞ]]</f>
        <v>4350</v>
      </c>
    </row>
    <row r="244" spans="2:10" ht="21" hidden="1" customHeight="1" x14ac:dyDescent="0.3">
      <c r="B244" s="2">
        <v>45341</v>
      </c>
      <c r="C244" s="6">
        <v>100</v>
      </c>
      <c r="D244" s="10">
        <v>42.3</v>
      </c>
      <c r="E244" s="10">
        <v>42.6</v>
      </c>
      <c r="F244" s="9">
        <f>IF(Tablo14567891011121314151617181920212223242526272829303132333435363738394041[[#This Row],[SATIŞ]]=0,"Açık",(E244-D244)*C244)</f>
        <v>30.000000000000426</v>
      </c>
      <c r="G244" s="11">
        <f>Tablo14567891011121314151617181920212223242526272829303132333435363738394041[[#This Row],[ADET]]*Tablo14567891011121314151617181920212223242526272829303132333435363738394041[[#This Row],[ALIŞ]]</f>
        <v>4230</v>
      </c>
      <c r="H244" s="11">
        <f>Tablo14567891011121314151617181920212223242526272829303132333435363738394041[[#This Row],[ADET]]*Tablo14567891011121314151617181920212223242526272829303132333435363738394041[[#This Row],[SATIŞ]]</f>
        <v>4260</v>
      </c>
    </row>
    <row r="245" spans="2:10" ht="21" hidden="1" customHeight="1" x14ac:dyDescent="0.3">
      <c r="B245" s="2">
        <v>45341</v>
      </c>
      <c r="C245" s="6">
        <v>100</v>
      </c>
      <c r="D245" s="10">
        <v>42.3</v>
      </c>
      <c r="E245" s="10">
        <v>42.5</v>
      </c>
      <c r="F245" s="9">
        <f>IF(Tablo14567891011121314151617181920212223242526272829303132333435363738394041[[#This Row],[SATIŞ]]=0,"Açık",(E245-D245)*C245)</f>
        <v>20.000000000000284</v>
      </c>
      <c r="G245" s="11">
        <f>Tablo14567891011121314151617181920212223242526272829303132333435363738394041[[#This Row],[ADET]]*Tablo14567891011121314151617181920212223242526272829303132333435363738394041[[#This Row],[ALIŞ]]</f>
        <v>4230</v>
      </c>
      <c r="H245" s="11">
        <f>Tablo14567891011121314151617181920212223242526272829303132333435363738394041[[#This Row],[ADET]]*Tablo14567891011121314151617181920212223242526272829303132333435363738394041[[#This Row],[SATIŞ]]</f>
        <v>4250</v>
      </c>
    </row>
    <row r="246" spans="2:10" ht="21" hidden="1" customHeight="1" x14ac:dyDescent="0.3">
      <c r="B246" s="2">
        <v>45342</v>
      </c>
      <c r="C246" s="6">
        <v>100</v>
      </c>
      <c r="D246" s="10">
        <v>42</v>
      </c>
      <c r="E246" s="10">
        <v>42.4</v>
      </c>
      <c r="F246" s="9">
        <f>IF(Tablo14567891011121314151617181920212223242526272829303132333435363738394041[[#This Row],[SATIŞ]]=0,"Açık",(E246-D246)*C246)</f>
        <v>39.999999999999858</v>
      </c>
      <c r="G246" s="11">
        <f>Tablo14567891011121314151617181920212223242526272829303132333435363738394041[[#This Row],[ADET]]*Tablo14567891011121314151617181920212223242526272829303132333435363738394041[[#This Row],[ALIŞ]]</f>
        <v>4200</v>
      </c>
      <c r="H246" s="11">
        <f>Tablo14567891011121314151617181920212223242526272829303132333435363738394041[[#This Row],[ADET]]*Tablo14567891011121314151617181920212223242526272829303132333435363738394041[[#This Row],[SATIŞ]]</f>
        <v>4240</v>
      </c>
    </row>
    <row r="247" spans="2:10" ht="21" hidden="1" customHeight="1" x14ac:dyDescent="0.3">
      <c r="B247" s="2">
        <v>45342</v>
      </c>
      <c r="C247" s="6">
        <v>100</v>
      </c>
      <c r="D247" s="10">
        <v>41.9</v>
      </c>
      <c r="E247" s="10">
        <v>42.3</v>
      </c>
      <c r="F247" s="9">
        <f>IF(Tablo14567891011121314151617181920212223242526272829303132333435363738394041[[#This Row],[SATIŞ]]=0,"Açık",(E247-D247)*C247)</f>
        <v>39.999999999999858</v>
      </c>
      <c r="G247" s="11">
        <f>Tablo14567891011121314151617181920212223242526272829303132333435363738394041[[#This Row],[ADET]]*Tablo14567891011121314151617181920212223242526272829303132333435363738394041[[#This Row],[ALIŞ]]</f>
        <v>4190</v>
      </c>
      <c r="H247" s="11">
        <f>Tablo14567891011121314151617181920212223242526272829303132333435363738394041[[#This Row],[ADET]]*Tablo14567891011121314151617181920212223242526272829303132333435363738394041[[#This Row],[SATIŞ]]</f>
        <v>4230</v>
      </c>
    </row>
    <row r="248" spans="2:10" ht="21" hidden="1" customHeight="1" x14ac:dyDescent="0.3">
      <c r="B248" s="2">
        <v>45342</v>
      </c>
      <c r="C248" s="6">
        <v>100</v>
      </c>
      <c r="D248" s="10">
        <v>41.8</v>
      </c>
      <c r="E248" s="10">
        <v>42.2</v>
      </c>
      <c r="F248" s="9">
        <f>IF(Tablo14567891011121314151617181920212223242526272829303132333435363738394041[[#This Row],[SATIŞ]]=0,"Açık",(E248-D248)*C248)</f>
        <v>40.000000000000568</v>
      </c>
      <c r="G248" s="11">
        <f>Tablo14567891011121314151617181920212223242526272829303132333435363738394041[[#This Row],[ADET]]*Tablo14567891011121314151617181920212223242526272829303132333435363738394041[[#This Row],[ALIŞ]]</f>
        <v>4180</v>
      </c>
      <c r="H248" s="11">
        <f>Tablo14567891011121314151617181920212223242526272829303132333435363738394041[[#This Row],[ADET]]*Tablo14567891011121314151617181920212223242526272829303132333435363738394041[[#This Row],[SATIŞ]]</f>
        <v>4220</v>
      </c>
    </row>
    <row r="249" spans="2:10" ht="21" hidden="1" customHeight="1" x14ac:dyDescent="0.3">
      <c r="B249" s="2">
        <v>45342</v>
      </c>
      <c r="C249" s="6">
        <v>100</v>
      </c>
      <c r="D249" s="10">
        <v>41.7</v>
      </c>
      <c r="E249" s="10">
        <v>43.15</v>
      </c>
      <c r="F249" s="9">
        <f>IF(Tablo14567891011121314151617181920212223242526272829303132333435363738394041[[#This Row],[SATIŞ]]=0,"Açık",(E249-D249)*C249)</f>
        <v>144.99999999999957</v>
      </c>
      <c r="G249" s="11">
        <f>Tablo14567891011121314151617181920212223242526272829303132333435363738394041[[#This Row],[ADET]]*Tablo14567891011121314151617181920212223242526272829303132333435363738394041[[#This Row],[ALIŞ]]</f>
        <v>4170</v>
      </c>
      <c r="H249" s="11">
        <f>Tablo14567891011121314151617181920212223242526272829303132333435363738394041[[#This Row],[ADET]]*Tablo14567891011121314151617181920212223242526272829303132333435363738394041[[#This Row],[SATIŞ]]</f>
        <v>4315</v>
      </c>
    </row>
    <row r="250" spans="2:10" ht="21" hidden="1" customHeight="1" x14ac:dyDescent="0.3">
      <c r="B250" s="2">
        <v>45342</v>
      </c>
      <c r="C250" s="6">
        <v>100</v>
      </c>
      <c r="D250" s="10">
        <v>41.6</v>
      </c>
      <c r="E250" s="10">
        <v>42.95</v>
      </c>
      <c r="F250" s="9">
        <f>IF(Tablo14567891011121314151617181920212223242526272829303132333435363738394041[[#This Row],[SATIŞ]]=0,"Açık",(E250-D250)*C250)</f>
        <v>135.00000000000014</v>
      </c>
      <c r="G250" s="11">
        <f>Tablo14567891011121314151617181920212223242526272829303132333435363738394041[[#This Row],[ADET]]*Tablo14567891011121314151617181920212223242526272829303132333435363738394041[[#This Row],[ALIŞ]]</f>
        <v>4160</v>
      </c>
      <c r="H250" s="11">
        <f>Tablo14567891011121314151617181920212223242526272829303132333435363738394041[[#This Row],[ADET]]*Tablo14567891011121314151617181920212223242526272829303132333435363738394041[[#This Row],[SATIŞ]]</f>
        <v>4295</v>
      </c>
    </row>
    <row r="251" spans="2:10" ht="21" hidden="1" customHeight="1" x14ac:dyDescent="0.3">
      <c r="B251" s="2">
        <v>45343</v>
      </c>
      <c r="C251" s="6">
        <v>50</v>
      </c>
      <c r="D251" s="10">
        <v>42.5</v>
      </c>
      <c r="E251" s="10">
        <v>66.8</v>
      </c>
      <c r="F251" s="9">
        <f>IF(Tablo14567891011121314151617181920212223242526272829303132333435363738394041[[#This Row],[SATIŞ]]=0,"Açık",(E251-D251)*C251)</f>
        <v>1214.9999999999998</v>
      </c>
      <c r="G251" s="11">
        <f>Tablo14567891011121314151617181920212223242526272829303132333435363738394041[[#This Row],[ADET]]*Tablo14567891011121314151617181920212223242526272829303132333435363738394041[[#This Row],[ALIŞ]]</f>
        <v>2125</v>
      </c>
      <c r="H251" s="11">
        <f>Tablo14567891011121314151617181920212223242526272829303132333435363738394041[[#This Row],[ADET]]*Tablo14567891011121314151617181920212223242526272829303132333435363738394041[[#This Row],[SATIŞ]]</f>
        <v>3340</v>
      </c>
    </row>
    <row r="252" spans="2:10" ht="21" hidden="1" customHeight="1" x14ac:dyDescent="0.3">
      <c r="B252" s="2">
        <v>45343</v>
      </c>
      <c r="C252" s="6">
        <v>50</v>
      </c>
      <c r="D252" s="10">
        <v>42.5</v>
      </c>
      <c r="E252" s="10">
        <v>59.4</v>
      </c>
      <c r="F252" s="9">
        <f>IF(Tablo14567891011121314151617181920212223242526272829303132333435363738394041[[#This Row],[SATIŞ]]=0,"Açık",(E252-D252)*C252)</f>
        <v>844.99999999999989</v>
      </c>
      <c r="G252" s="11">
        <f>Tablo14567891011121314151617181920212223242526272829303132333435363738394041[[#This Row],[ADET]]*Tablo14567891011121314151617181920212223242526272829303132333435363738394041[[#This Row],[ALIŞ]]</f>
        <v>2125</v>
      </c>
      <c r="H252" s="11">
        <f>Tablo14567891011121314151617181920212223242526272829303132333435363738394041[[#This Row],[ADET]]*Tablo14567891011121314151617181920212223242526272829303132333435363738394041[[#This Row],[SATIŞ]]</f>
        <v>2970</v>
      </c>
    </row>
    <row r="253" spans="2:10" ht="21" hidden="1" customHeight="1" x14ac:dyDescent="0.3">
      <c r="B253" s="2">
        <v>45344</v>
      </c>
      <c r="C253" s="6">
        <v>100</v>
      </c>
      <c r="D253" s="10">
        <v>51.5</v>
      </c>
      <c r="E253" s="10">
        <v>52.5</v>
      </c>
      <c r="F253" s="9">
        <f>IF(Tablo14567891011121314151617181920212223242526272829303132333435363738394041[[#This Row],[SATIŞ]]=0,"Açık",(E253-D253)*C253)</f>
        <v>100</v>
      </c>
      <c r="G253" s="11">
        <f>Tablo14567891011121314151617181920212223242526272829303132333435363738394041[[#This Row],[ADET]]*Tablo14567891011121314151617181920212223242526272829303132333435363738394041[[#This Row],[ALIŞ]]</f>
        <v>5150</v>
      </c>
      <c r="H253" s="11">
        <f>Tablo14567891011121314151617181920212223242526272829303132333435363738394041[[#This Row],[ADET]]*Tablo14567891011121314151617181920212223242526272829303132333435363738394041[[#This Row],[SATIŞ]]</f>
        <v>5250</v>
      </c>
    </row>
    <row r="254" spans="2:10" ht="21" customHeight="1" x14ac:dyDescent="0.3">
      <c r="B254" s="2">
        <v>45344</v>
      </c>
      <c r="C254" s="6">
        <v>100</v>
      </c>
      <c r="D254" s="10">
        <v>51</v>
      </c>
      <c r="E254" s="10">
        <v>49.5</v>
      </c>
      <c r="F254" s="9">
        <f>IF(Tablo14567891011121314151617181920212223242526272829303132333435363738394041[[#This Row],[SATIŞ]]=0,"Açık",(E254-D254)*C254)</f>
        <v>-150</v>
      </c>
      <c r="G254" s="11">
        <f>Tablo14567891011121314151617181920212223242526272829303132333435363738394041[[#This Row],[ADET]]*Tablo14567891011121314151617181920212223242526272829303132333435363738394041[[#This Row],[ALIŞ]]</f>
        <v>5100</v>
      </c>
      <c r="H254" s="11">
        <f>Tablo14567891011121314151617181920212223242526272829303132333435363738394041[[#This Row],[ADET]]*Tablo14567891011121314151617181920212223242526272829303132333435363738394041[[#This Row],[SATIŞ]]</f>
        <v>4950</v>
      </c>
      <c r="J254" s="40" t="str">
        <f t="shared" ref="J254:J270" si="0">IF(E254=0,D254*1.05,"")</f>
        <v/>
      </c>
    </row>
    <row r="255" spans="2:10" ht="21" hidden="1" customHeight="1" x14ac:dyDescent="0.3">
      <c r="B255" s="2">
        <v>45348</v>
      </c>
      <c r="C255" s="6">
        <v>50</v>
      </c>
      <c r="D255" s="10">
        <v>56</v>
      </c>
      <c r="E255" s="10">
        <v>64</v>
      </c>
      <c r="F255" s="9">
        <f>IF(Tablo14567891011121314151617181920212223242526272829303132333435363738394041[[#This Row],[SATIŞ]]=0,"Açık",(E255-D255)*C255)</f>
        <v>400</v>
      </c>
      <c r="G255" s="11">
        <f>Tablo14567891011121314151617181920212223242526272829303132333435363738394041[[#This Row],[ADET]]*Tablo14567891011121314151617181920212223242526272829303132333435363738394041[[#This Row],[ALIŞ]]</f>
        <v>2800</v>
      </c>
      <c r="H255" s="11">
        <f>Tablo14567891011121314151617181920212223242526272829303132333435363738394041[[#This Row],[ADET]]*Tablo14567891011121314151617181920212223242526272829303132333435363738394041[[#This Row],[SATIŞ]]</f>
        <v>3200</v>
      </c>
      <c r="J255" s="40" t="str">
        <f t="shared" si="0"/>
        <v/>
      </c>
    </row>
    <row r="256" spans="2:10" ht="21" customHeight="1" x14ac:dyDescent="0.3">
      <c r="B256" s="2">
        <v>45351</v>
      </c>
      <c r="C256" s="6">
        <v>50</v>
      </c>
      <c r="D256" s="10">
        <v>58</v>
      </c>
      <c r="E256" s="10">
        <v>49.5</v>
      </c>
      <c r="F256" s="9">
        <f>IF(Tablo14567891011121314151617181920212223242526272829303132333435363738394041[[#This Row],[SATIŞ]]=0,"Açık",(E256-D256)*C256)</f>
        <v>-425</v>
      </c>
      <c r="G256" s="11">
        <f>Tablo14567891011121314151617181920212223242526272829303132333435363738394041[[#This Row],[ADET]]*Tablo14567891011121314151617181920212223242526272829303132333435363738394041[[#This Row],[ALIŞ]]</f>
        <v>2900</v>
      </c>
      <c r="H256" s="11">
        <f>Tablo14567891011121314151617181920212223242526272829303132333435363738394041[[#This Row],[ADET]]*Tablo14567891011121314151617181920212223242526272829303132333435363738394041[[#This Row],[SATIŞ]]</f>
        <v>2475</v>
      </c>
      <c r="J256" s="40" t="str">
        <f t="shared" si="0"/>
        <v/>
      </c>
    </row>
    <row r="257" spans="2:10" ht="21" hidden="1" customHeight="1" x14ac:dyDescent="0.3">
      <c r="B257" s="2">
        <v>45351</v>
      </c>
      <c r="C257" s="6">
        <v>50</v>
      </c>
      <c r="D257" s="10">
        <v>58</v>
      </c>
      <c r="E257" s="10">
        <v>60.8</v>
      </c>
      <c r="F257" s="9">
        <f>IF(Tablo14567891011121314151617181920212223242526272829303132333435363738394041[[#This Row],[SATIŞ]]=0,"Açık",(E257-D257)*C257)</f>
        <v>139.99999999999986</v>
      </c>
      <c r="G257" s="11">
        <f>Tablo14567891011121314151617181920212223242526272829303132333435363738394041[[#This Row],[ADET]]*Tablo14567891011121314151617181920212223242526272829303132333435363738394041[[#This Row],[ALIŞ]]</f>
        <v>2900</v>
      </c>
      <c r="H257" s="11">
        <f>Tablo14567891011121314151617181920212223242526272829303132333435363738394041[[#This Row],[ADET]]*Tablo14567891011121314151617181920212223242526272829303132333435363738394041[[#This Row],[SATIŞ]]</f>
        <v>3040</v>
      </c>
      <c r="J257" s="40" t="str">
        <f t="shared" si="0"/>
        <v/>
      </c>
    </row>
    <row r="258" spans="2:10" ht="21" hidden="1" customHeight="1" x14ac:dyDescent="0.3">
      <c r="B258" s="2">
        <v>45355</v>
      </c>
      <c r="C258" s="6">
        <v>50</v>
      </c>
      <c r="D258" s="10">
        <v>54</v>
      </c>
      <c r="E258" s="10">
        <v>57</v>
      </c>
      <c r="F258" s="9">
        <f>IF(Tablo14567891011121314151617181920212223242526272829303132333435363738394041[[#This Row],[SATIŞ]]=0,"Açık",(E258-D258)*C258)</f>
        <v>150</v>
      </c>
      <c r="G258" s="11">
        <f>Tablo14567891011121314151617181920212223242526272829303132333435363738394041[[#This Row],[ADET]]*Tablo14567891011121314151617181920212223242526272829303132333435363738394041[[#This Row],[ALIŞ]]</f>
        <v>2700</v>
      </c>
      <c r="H258" s="11">
        <f>Tablo14567891011121314151617181920212223242526272829303132333435363738394041[[#This Row],[ADET]]*Tablo14567891011121314151617181920212223242526272829303132333435363738394041[[#This Row],[SATIŞ]]</f>
        <v>2850</v>
      </c>
      <c r="J258" s="40" t="str">
        <f t="shared" si="0"/>
        <v/>
      </c>
    </row>
    <row r="259" spans="2:10" ht="21" customHeight="1" x14ac:dyDescent="0.3">
      <c r="B259" s="2">
        <v>45363</v>
      </c>
      <c r="C259" s="6">
        <v>100</v>
      </c>
      <c r="D259" s="10">
        <v>55.5</v>
      </c>
      <c r="E259" s="10">
        <v>49.5</v>
      </c>
      <c r="F259" s="9">
        <f>IF(Tablo14567891011121314151617181920212223242526272829303132333435363738394041[[#This Row],[SATIŞ]]=0,"Açık",(E259-D259)*C259)</f>
        <v>-600</v>
      </c>
      <c r="G259" s="11">
        <f>Tablo14567891011121314151617181920212223242526272829303132333435363738394041[[#This Row],[ADET]]*Tablo14567891011121314151617181920212223242526272829303132333435363738394041[[#This Row],[ALIŞ]]</f>
        <v>5550</v>
      </c>
      <c r="H259" s="11">
        <f>Tablo14567891011121314151617181920212223242526272829303132333435363738394041[[#This Row],[ADET]]*Tablo14567891011121314151617181920212223242526272829303132333435363738394041[[#This Row],[SATIŞ]]</f>
        <v>4950</v>
      </c>
      <c r="J259" s="40" t="str">
        <f t="shared" si="0"/>
        <v/>
      </c>
    </row>
    <row r="260" spans="2:10" ht="21" customHeight="1" x14ac:dyDescent="0.3">
      <c r="B260" s="2">
        <v>45365</v>
      </c>
      <c r="C260" s="6">
        <v>50</v>
      </c>
      <c r="D260" s="10">
        <v>52.5</v>
      </c>
      <c r="E260" s="10">
        <v>49.5</v>
      </c>
      <c r="F260" s="9">
        <f>IF(Tablo14567891011121314151617181920212223242526272829303132333435363738394041[[#This Row],[SATIŞ]]=0,"Açık",(E260-D260)*C260)</f>
        <v>-150</v>
      </c>
      <c r="G260" s="11">
        <f>Tablo14567891011121314151617181920212223242526272829303132333435363738394041[[#This Row],[ADET]]*Tablo14567891011121314151617181920212223242526272829303132333435363738394041[[#This Row],[ALIŞ]]</f>
        <v>2625</v>
      </c>
      <c r="H260" s="11">
        <f>Tablo14567891011121314151617181920212223242526272829303132333435363738394041[[#This Row],[ADET]]*Tablo14567891011121314151617181920212223242526272829303132333435363738394041[[#This Row],[SATIŞ]]</f>
        <v>2475</v>
      </c>
      <c r="J260" s="40" t="str">
        <f t="shared" si="0"/>
        <v/>
      </c>
    </row>
    <row r="261" spans="2:10" ht="21" customHeight="1" x14ac:dyDescent="0.3">
      <c r="B261" s="2">
        <v>45365</v>
      </c>
      <c r="C261" s="6">
        <v>50</v>
      </c>
      <c r="D261" s="10">
        <v>51</v>
      </c>
      <c r="E261" s="10">
        <v>49.5</v>
      </c>
      <c r="F261" s="9">
        <f>IF(Tablo14567891011121314151617181920212223242526272829303132333435363738394041[[#This Row],[SATIŞ]]=0,"Açık",(E261-D261)*C261)</f>
        <v>-75</v>
      </c>
      <c r="G261" s="11">
        <f>Tablo14567891011121314151617181920212223242526272829303132333435363738394041[[#This Row],[ADET]]*Tablo14567891011121314151617181920212223242526272829303132333435363738394041[[#This Row],[ALIŞ]]</f>
        <v>2550</v>
      </c>
      <c r="H261" s="11">
        <f>Tablo14567891011121314151617181920212223242526272829303132333435363738394041[[#This Row],[ADET]]*Tablo14567891011121314151617181920212223242526272829303132333435363738394041[[#This Row],[SATIŞ]]</f>
        <v>2475</v>
      </c>
      <c r="J261" s="40" t="str">
        <f t="shared" si="0"/>
        <v/>
      </c>
    </row>
    <row r="262" spans="2:10" ht="21" customHeight="1" x14ac:dyDescent="0.3">
      <c r="B262" s="2">
        <v>45369</v>
      </c>
      <c r="C262" s="6">
        <v>50</v>
      </c>
      <c r="D262" s="10">
        <v>48.5</v>
      </c>
      <c r="E262" s="10">
        <v>49.5</v>
      </c>
      <c r="F262" s="9">
        <f>IF(Tablo14567891011121314151617181920212223242526272829303132333435363738394041[[#This Row],[SATIŞ]]=0,"Açık",(E262-D262)*C262)</f>
        <v>50</v>
      </c>
      <c r="G262" s="11">
        <f>Tablo14567891011121314151617181920212223242526272829303132333435363738394041[[#This Row],[ADET]]*Tablo14567891011121314151617181920212223242526272829303132333435363738394041[[#This Row],[ALIŞ]]</f>
        <v>2425</v>
      </c>
      <c r="H262" s="11">
        <f>Tablo14567891011121314151617181920212223242526272829303132333435363738394041[[#This Row],[ADET]]*Tablo14567891011121314151617181920212223242526272829303132333435363738394041[[#This Row],[SATIŞ]]</f>
        <v>2475</v>
      </c>
      <c r="J262" s="40" t="str">
        <f t="shared" si="0"/>
        <v/>
      </c>
    </row>
    <row r="263" spans="2:10" ht="21" customHeight="1" x14ac:dyDescent="0.3">
      <c r="B263" s="2">
        <v>45369</v>
      </c>
      <c r="C263" s="6">
        <v>50</v>
      </c>
      <c r="D263" s="10">
        <v>48.5</v>
      </c>
      <c r="E263" s="10">
        <v>49.5</v>
      </c>
      <c r="F263" s="9">
        <f>IF(Tablo14567891011121314151617181920212223242526272829303132333435363738394041[[#This Row],[SATIŞ]]=0,"Açık",(E263-D263)*C263)</f>
        <v>50</v>
      </c>
      <c r="G263" s="11">
        <f>Tablo14567891011121314151617181920212223242526272829303132333435363738394041[[#This Row],[ADET]]*Tablo14567891011121314151617181920212223242526272829303132333435363738394041[[#This Row],[ALIŞ]]</f>
        <v>2425</v>
      </c>
      <c r="H263" s="11">
        <f>Tablo14567891011121314151617181920212223242526272829303132333435363738394041[[#This Row],[ADET]]*Tablo14567891011121314151617181920212223242526272829303132333435363738394041[[#This Row],[SATIŞ]]</f>
        <v>2475</v>
      </c>
      <c r="J263" s="40" t="str">
        <f t="shared" si="0"/>
        <v/>
      </c>
    </row>
    <row r="264" spans="2:10" ht="21" hidden="1" customHeight="1" x14ac:dyDescent="0.3">
      <c r="B264" s="2">
        <v>45369</v>
      </c>
      <c r="C264" s="6">
        <v>100</v>
      </c>
      <c r="D264" s="10">
        <v>48</v>
      </c>
      <c r="E264" s="10">
        <v>49</v>
      </c>
      <c r="F264" s="9">
        <f>IF(Tablo14567891011121314151617181920212223242526272829303132333435363738394041[[#This Row],[SATIŞ]]=0,"Açık",(E264-D264)*C264)</f>
        <v>100</v>
      </c>
      <c r="G264" s="11">
        <f>Tablo14567891011121314151617181920212223242526272829303132333435363738394041[[#This Row],[ADET]]*Tablo14567891011121314151617181920212223242526272829303132333435363738394041[[#This Row],[ALIŞ]]</f>
        <v>4800</v>
      </c>
      <c r="H264" s="11">
        <f>Tablo14567891011121314151617181920212223242526272829303132333435363738394041[[#This Row],[ADET]]*Tablo14567891011121314151617181920212223242526272829303132333435363738394041[[#This Row],[SATIŞ]]</f>
        <v>4900</v>
      </c>
      <c r="J264" s="40" t="str">
        <f t="shared" si="0"/>
        <v/>
      </c>
    </row>
    <row r="265" spans="2:10" ht="21" customHeight="1" x14ac:dyDescent="0.3">
      <c r="B265" s="2">
        <v>45372</v>
      </c>
      <c r="C265" s="6">
        <v>100</v>
      </c>
      <c r="D265" s="10">
        <v>48.5</v>
      </c>
      <c r="E265" s="10">
        <v>49.5</v>
      </c>
      <c r="F265" s="9">
        <f>IF(Tablo14567891011121314151617181920212223242526272829303132333435363738394041[[#This Row],[SATIŞ]]=0,"Açık",(E265-D265)*C265)</f>
        <v>100</v>
      </c>
      <c r="G265" s="11">
        <f>Tablo14567891011121314151617181920212223242526272829303132333435363738394041[[#This Row],[ADET]]*Tablo14567891011121314151617181920212223242526272829303132333435363738394041[[#This Row],[ALIŞ]]</f>
        <v>4850</v>
      </c>
      <c r="H265" s="11">
        <f>Tablo14567891011121314151617181920212223242526272829303132333435363738394041[[#This Row],[ADET]]*Tablo14567891011121314151617181920212223242526272829303132333435363738394041[[#This Row],[SATIŞ]]</f>
        <v>4950</v>
      </c>
      <c r="J265" s="40" t="str">
        <f t="shared" si="0"/>
        <v/>
      </c>
    </row>
    <row r="266" spans="2:10" ht="21" customHeight="1" x14ac:dyDescent="0.3">
      <c r="B266" s="2">
        <v>45376</v>
      </c>
      <c r="C266" s="6">
        <v>50</v>
      </c>
      <c r="D266" s="10">
        <v>46</v>
      </c>
      <c r="E266" s="10">
        <v>49.5</v>
      </c>
      <c r="F266" s="9">
        <f>IF(Tablo14567891011121314151617181920212223242526272829303132333435363738394041[[#This Row],[SATIŞ]]=0,"Açık",(E266-D266)*C266)</f>
        <v>175</v>
      </c>
      <c r="G266" s="11">
        <f>Tablo14567891011121314151617181920212223242526272829303132333435363738394041[[#This Row],[ADET]]*Tablo14567891011121314151617181920212223242526272829303132333435363738394041[[#This Row],[ALIŞ]]</f>
        <v>2300</v>
      </c>
      <c r="H266" s="11">
        <f>Tablo14567891011121314151617181920212223242526272829303132333435363738394041[[#This Row],[ADET]]*Tablo14567891011121314151617181920212223242526272829303132333435363738394041[[#This Row],[SATIŞ]]</f>
        <v>2475</v>
      </c>
      <c r="J266" s="40" t="str">
        <f t="shared" si="0"/>
        <v/>
      </c>
    </row>
    <row r="267" spans="2:10" ht="21" hidden="1" customHeight="1" x14ac:dyDescent="0.3">
      <c r="B267" s="2">
        <v>45377</v>
      </c>
      <c r="C267" s="6">
        <v>50</v>
      </c>
      <c r="D267" s="10">
        <v>44.5</v>
      </c>
      <c r="E267" s="10">
        <v>45.5</v>
      </c>
      <c r="F267" s="9">
        <f>IF(Tablo14567891011121314151617181920212223242526272829303132333435363738394041[[#This Row],[SATIŞ]]=0,"Açık",(E267-D267)*C267)</f>
        <v>50</v>
      </c>
      <c r="G267" s="11">
        <f>Tablo14567891011121314151617181920212223242526272829303132333435363738394041[[#This Row],[ADET]]*Tablo14567891011121314151617181920212223242526272829303132333435363738394041[[#This Row],[ALIŞ]]</f>
        <v>2225</v>
      </c>
      <c r="H267" s="11">
        <f>Tablo14567891011121314151617181920212223242526272829303132333435363738394041[[#This Row],[ADET]]*Tablo14567891011121314151617181920212223242526272829303132333435363738394041[[#This Row],[SATIŞ]]</f>
        <v>2275</v>
      </c>
      <c r="J267" s="40" t="str">
        <f t="shared" si="0"/>
        <v/>
      </c>
    </row>
    <row r="268" spans="2:10" ht="21" hidden="1" customHeight="1" x14ac:dyDescent="0.3">
      <c r="B268" s="2">
        <v>45377</v>
      </c>
      <c r="C268" s="6">
        <v>50</v>
      </c>
      <c r="D268" s="10">
        <v>44</v>
      </c>
      <c r="E268" s="10">
        <v>45</v>
      </c>
      <c r="F268" s="9">
        <f>IF(Tablo14567891011121314151617181920212223242526272829303132333435363738394041[[#This Row],[SATIŞ]]=0,"Açık",(E268-D268)*C268)</f>
        <v>50</v>
      </c>
      <c r="G268" s="11">
        <f>Tablo14567891011121314151617181920212223242526272829303132333435363738394041[[#This Row],[ADET]]*Tablo14567891011121314151617181920212223242526272829303132333435363738394041[[#This Row],[ALIŞ]]</f>
        <v>2200</v>
      </c>
      <c r="H268" s="11">
        <f>Tablo14567891011121314151617181920212223242526272829303132333435363738394041[[#This Row],[ADET]]*Tablo14567891011121314151617181920212223242526272829303132333435363738394041[[#This Row],[SATIŞ]]</f>
        <v>2250</v>
      </c>
      <c r="J268" s="40" t="str">
        <f t="shared" si="0"/>
        <v/>
      </c>
    </row>
    <row r="269" spans="2:10" ht="21" hidden="1" customHeight="1" x14ac:dyDescent="0.3">
      <c r="B269" s="2">
        <v>45379</v>
      </c>
      <c r="C269" s="6">
        <v>50</v>
      </c>
      <c r="D269" s="10">
        <v>43</v>
      </c>
      <c r="E269" s="10">
        <v>45</v>
      </c>
      <c r="F269" s="9">
        <f>IF(Tablo14567891011121314151617181920212223242526272829303132333435363738394041[[#This Row],[SATIŞ]]=0,"Açık",(E269-D269)*C269)</f>
        <v>100</v>
      </c>
      <c r="G269" s="11">
        <f>Tablo14567891011121314151617181920212223242526272829303132333435363738394041[[#This Row],[ADET]]*Tablo14567891011121314151617181920212223242526272829303132333435363738394041[[#This Row],[ALIŞ]]</f>
        <v>2150</v>
      </c>
      <c r="H269" s="11">
        <f>Tablo14567891011121314151617181920212223242526272829303132333435363738394041[[#This Row],[ADET]]*Tablo14567891011121314151617181920212223242526272829303132333435363738394041[[#This Row],[SATIŞ]]</f>
        <v>2250</v>
      </c>
      <c r="J269" s="40" t="str">
        <f t="shared" si="0"/>
        <v/>
      </c>
    </row>
    <row r="270" spans="2:10" ht="21" hidden="1" customHeight="1" x14ac:dyDescent="0.3">
      <c r="B270" s="2">
        <v>45379</v>
      </c>
      <c r="C270" s="6">
        <v>50</v>
      </c>
      <c r="D270" s="10">
        <v>43</v>
      </c>
      <c r="E270" s="10">
        <v>46</v>
      </c>
      <c r="F270" s="9">
        <f>IF(Tablo14567891011121314151617181920212223242526272829303132333435363738394041[[#This Row],[SATIŞ]]=0,"Açık",(E270-D270)*C270)</f>
        <v>150</v>
      </c>
      <c r="G270" s="11">
        <f>Tablo14567891011121314151617181920212223242526272829303132333435363738394041[[#This Row],[ADET]]*Tablo14567891011121314151617181920212223242526272829303132333435363738394041[[#This Row],[ALIŞ]]</f>
        <v>2150</v>
      </c>
      <c r="H270" s="11">
        <f>Tablo14567891011121314151617181920212223242526272829303132333435363738394041[[#This Row],[ADET]]*Tablo14567891011121314151617181920212223242526272829303132333435363738394041[[#This Row],[SATIŞ]]</f>
        <v>2300</v>
      </c>
      <c r="J270" s="40" t="str">
        <f t="shared" si="0"/>
        <v/>
      </c>
    </row>
    <row r="271" spans="2:10" ht="21" hidden="1" customHeight="1" x14ac:dyDescent="0.3">
      <c r="B271" s="2">
        <v>45380</v>
      </c>
      <c r="C271" s="6">
        <v>100</v>
      </c>
      <c r="D271" s="10">
        <v>44.5</v>
      </c>
      <c r="E271" s="10">
        <v>46.25</v>
      </c>
      <c r="F271" s="9">
        <f>IF(Tablo14567891011121314151617181920212223242526272829303132333435363738394041[[#This Row],[SATIŞ]]=0,"Açık",(E271-D271)*C271)</f>
        <v>175</v>
      </c>
      <c r="G271" s="11">
        <f>Tablo14567891011121314151617181920212223242526272829303132333435363738394041[[#This Row],[ADET]]*Tablo14567891011121314151617181920212223242526272829303132333435363738394041[[#This Row],[ALIŞ]]</f>
        <v>4450</v>
      </c>
      <c r="H271" s="11">
        <f>Tablo14567891011121314151617181920212223242526272829303132333435363738394041[[#This Row],[ADET]]*Tablo14567891011121314151617181920212223242526272829303132333435363738394041[[#This Row],[SATIŞ]]</f>
        <v>4625</v>
      </c>
    </row>
    <row r="272" spans="2:10" ht="21" hidden="1" customHeight="1" x14ac:dyDescent="0.3">
      <c r="B272" s="2">
        <v>45383</v>
      </c>
      <c r="C272" s="6">
        <v>50</v>
      </c>
      <c r="D272" s="10">
        <v>44.5</v>
      </c>
      <c r="E272" s="10">
        <v>46</v>
      </c>
      <c r="F272" s="9">
        <f>IF(Tablo14567891011121314151617181920212223242526272829303132333435363738394041[[#This Row],[SATIŞ]]=0,"Açık",(E272-D272)*C272)</f>
        <v>75</v>
      </c>
      <c r="G272" s="11">
        <f>Tablo14567891011121314151617181920212223242526272829303132333435363738394041[[#This Row],[ADET]]*Tablo14567891011121314151617181920212223242526272829303132333435363738394041[[#This Row],[ALIŞ]]</f>
        <v>2225</v>
      </c>
      <c r="H272" s="11">
        <f>Tablo14567891011121314151617181920212223242526272829303132333435363738394041[[#This Row],[ADET]]*Tablo14567891011121314151617181920212223242526272829303132333435363738394041[[#This Row],[SATIŞ]]</f>
        <v>2300</v>
      </c>
    </row>
    <row r="273" spans="2:8" ht="21" customHeight="1" x14ac:dyDescent="0.3">
      <c r="B273" s="2">
        <v>45384</v>
      </c>
      <c r="C273" s="6">
        <v>50</v>
      </c>
      <c r="D273" s="10">
        <v>45.42</v>
      </c>
      <c r="E273" s="10">
        <v>49.5</v>
      </c>
      <c r="F273" s="9">
        <f>IF(Tablo14567891011121314151617181920212223242526272829303132333435363738394041[[#This Row],[SATIŞ]]=0,"Açık",(E273-D273)*C273)</f>
        <v>203.99999999999991</v>
      </c>
      <c r="G273" s="11">
        <f>Tablo14567891011121314151617181920212223242526272829303132333435363738394041[[#This Row],[ADET]]*Tablo14567891011121314151617181920212223242526272829303132333435363738394041[[#This Row],[ALIŞ]]</f>
        <v>2271</v>
      </c>
      <c r="H273" s="11">
        <f>Tablo14567891011121314151617181920212223242526272829303132333435363738394041[[#This Row],[ADET]]*Tablo14567891011121314151617181920212223242526272829303132333435363738394041[[#This Row],[SATIŞ]]</f>
        <v>2475</v>
      </c>
    </row>
    <row r="274" spans="2:8" ht="21" customHeight="1" x14ac:dyDescent="0.3">
      <c r="B274" s="2">
        <v>45384</v>
      </c>
      <c r="C274" s="6">
        <v>50</v>
      </c>
      <c r="D274" s="10">
        <v>45.42</v>
      </c>
      <c r="E274" s="10">
        <v>49.5</v>
      </c>
      <c r="F274" s="9">
        <f>IF(Tablo14567891011121314151617181920212223242526272829303132333435363738394041[[#This Row],[SATIŞ]]=0,"Açık",(E274-D274)*C274)</f>
        <v>203.99999999999991</v>
      </c>
      <c r="G274" s="11">
        <f>Tablo14567891011121314151617181920212223242526272829303132333435363738394041[[#This Row],[ADET]]*Tablo14567891011121314151617181920212223242526272829303132333435363738394041[[#This Row],[ALIŞ]]</f>
        <v>2271</v>
      </c>
      <c r="H274" s="11">
        <f>Tablo14567891011121314151617181920212223242526272829303132333435363738394041[[#This Row],[ADET]]*Tablo14567891011121314151617181920212223242526272829303132333435363738394041[[#This Row],[SATIŞ]]</f>
        <v>2475</v>
      </c>
    </row>
    <row r="275" spans="2:8" ht="21" customHeight="1" x14ac:dyDescent="0.3">
      <c r="B275" s="2">
        <v>45384</v>
      </c>
      <c r="C275" s="6">
        <v>50</v>
      </c>
      <c r="D275" s="10">
        <v>45.42</v>
      </c>
      <c r="E275" s="10">
        <v>47</v>
      </c>
      <c r="F275" s="9">
        <f>IF(Tablo14567891011121314151617181920212223242526272829303132333435363738394041[[#This Row],[SATIŞ]]=0,"Açık",(E275-D275)*C275)</f>
        <v>78.999999999999915</v>
      </c>
      <c r="G275" s="11">
        <f>Tablo14567891011121314151617181920212223242526272829303132333435363738394041[[#This Row],[ADET]]*Tablo14567891011121314151617181920212223242526272829303132333435363738394041[[#This Row],[ALIŞ]]</f>
        <v>2271</v>
      </c>
      <c r="H275" s="11">
        <f>Tablo14567891011121314151617181920212223242526272829303132333435363738394041[[#This Row],[ADET]]*Tablo14567891011121314151617181920212223242526272829303132333435363738394041[[#This Row],[SATIŞ]]</f>
        <v>2350</v>
      </c>
    </row>
    <row r="276" spans="2:8" ht="21" hidden="1" customHeight="1" x14ac:dyDescent="0.3">
      <c r="B276" s="2">
        <v>45384</v>
      </c>
      <c r="C276" s="6">
        <v>50</v>
      </c>
      <c r="D276" s="10">
        <v>44</v>
      </c>
      <c r="E276" s="10">
        <v>46.5</v>
      </c>
      <c r="F276" s="9">
        <f>IF(Tablo14567891011121314151617181920212223242526272829303132333435363738394041[[#This Row],[SATIŞ]]=0,"Açık",(E276-D276)*C276)</f>
        <v>125</v>
      </c>
      <c r="G276" s="11">
        <f>Tablo14567891011121314151617181920212223242526272829303132333435363738394041[[#This Row],[ADET]]*Tablo14567891011121314151617181920212223242526272829303132333435363738394041[[#This Row],[ALIŞ]]</f>
        <v>2200</v>
      </c>
      <c r="H276" s="11">
        <f>Tablo14567891011121314151617181920212223242526272829303132333435363738394041[[#This Row],[ADET]]*Tablo14567891011121314151617181920212223242526272829303132333435363738394041[[#This Row],[SATIŞ]]</f>
        <v>2325</v>
      </c>
    </row>
    <row r="277" spans="2:8" ht="21" hidden="1" customHeight="1" x14ac:dyDescent="0.3">
      <c r="B277" s="2">
        <v>45384</v>
      </c>
      <c r="C277" s="6">
        <v>50</v>
      </c>
      <c r="D277" s="10">
        <v>44</v>
      </c>
      <c r="E277" s="10">
        <v>44</v>
      </c>
      <c r="F277" s="9">
        <f>IF(Tablo14567891011121314151617181920212223242526272829303132333435363738394041[[#This Row],[SATIŞ]]=0,"Açık",(E277-D277)*C277)</f>
        <v>0</v>
      </c>
      <c r="G277" s="11">
        <f>Tablo14567891011121314151617181920212223242526272829303132333435363738394041[[#This Row],[ADET]]*Tablo14567891011121314151617181920212223242526272829303132333435363738394041[[#This Row],[ALIŞ]]</f>
        <v>2200</v>
      </c>
      <c r="H277" s="11">
        <f>Tablo14567891011121314151617181920212223242526272829303132333435363738394041[[#This Row],[ADET]]*Tablo14567891011121314151617181920212223242526272829303132333435363738394041[[#This Row],[SATIŞ]]</f>
        <v>2200</v>
      </c>
    </row>
    <row r="278" spans="2:8" ht="21" hidden="1" customHeight="1" x14ac:dyDescent="0.3">
      <c r="B278" s="2">
        <v>45385</v>
      </c>
      <c r="C278" s="6">
        <v>50</v>
      </c>
      <c r="D278" s="10">
        <v>42.5</v>
      </c>
      <c r="E278" s="10">
        <v>43.3</v>
      </c>
      <c r="F278" s="9">
        <f>IF(Tablo14567891011121314151617181920212223242526272829303132333435363738394041[[#This Row],[SATIŞ]]=0,"Açık",(E278-D278)*C278)</f>
        <v>39.999999999999858</v>
      </c>
      <c r="G278" s="11">
        <f>Tablo14567891011121314151617181920212223242526272829303132333435363738394041[[#This Row],[ADET]]*Tablo14567891011121314151617181920212223242526272829303132333435363738394041[[#This Row],[ALIŞ]]</f>
        <v>2125</v>
      </c>
      <c r="H278" s="11">
        <f>Tablo14567891011121314151617181920212223242526272829303132333435363738394041[[#This Row],[ADET]]*Tablo14567891011121314151617181920212223242526272829303132333435363738394041[[#This Row],[SATIŞ]]</f>
        <v>2165</v>
      </c>
    </row>
    <row r="279" spans="2:8" ht="21" hidden="1" customHeight="1" x14ac:dyDescent="0.3">
      <c r="B279" s="2">
        <v>45386</v>
      </c>
      <c r="C279" s="6">
        <v>50</v>
      </c>
      <c r="D279" s="10">
        <v>40</v>
      </c>
      <c r="E279" s="10">
        <v>43.3</v>
      </c>
      <c r="F279" s="9">
        <f>IF(Tablo14567891011121314151617181920212223242526272829303132333435363738394041[[#This Row],[SATIŞ]]=0,"Açık",(E279-D279)*C279)</f>
        <v>164.99999999999986</v>
      </c>
      <c r="G279" s="11">
        <f>Tablo14567891011121314151617181920212223242526272829303132333435363738394041[[#This Row],[ADET]]*Tablo14567891011121314151617181920212223242526272829303132333435363738394041[[#This Row],[ALIŞ]]</f>
        <v>2000</v>
      </c>
      <c r="H279" s="11">
        <f>Tablo14567891011121314151617181920212223242526272829303132333435363738394041[[#This Row],[ADET]]*Tablo14567891011121314151617181920212223242526272829303132333435363738394041[[#This Row],[SATIŞ]]</f>
        <v>2165</v>
      </c>
    </row>
    <row r="280" spans="2:8" ht="21" customHeight="1" x14ac:dyDescent="0.3">
      <c r="B280" s="2">
        <v>45397</v>
      </c>
      <c r="C280" s="6">
        <v>50</v>
      </c>
      <c r="D280" s="10">
        <v>44.5</v>
      </c>
      <c r="E280" s="10">
        <v>46.86</v>
      </c>
      <c r="F280" s="9">
        <f>IF(Tablo14567891011121314151617181920212223242526272829303132333435363738394041[[#This Row],[SATIŞ]]=0,"Açık",(E280-D280)*C280)</f>
        <v>117.99999999999997</v>
      </c>
      <c r="G280" s="11">
        <f>Tablo14567891011121314151617181920212223242526272829303132333435363738394041[[#This Row],[ADET]]*Tablo14567891011121314151617181920212223242526272829303132333435363738394041[[#This Row],[ALIŞ]]</f>
        <v>2225</v>
      </c>
      <c r="H280" s="11">
        <f>Tablo14567891011121314151617181920212223242526272829303132333435363738394041[[#This Row],[ADET]]*Tablo14567891011121314151617181920212223242526272829303132333435363738394041[[#This Row],[SATIŞ]]</f>
        <v>2343</v>
      </c>
    </row>
    <row r="281" spans="2:8" ht="21" hidden="1" customHeight="1" x14ac:dyDescent="0.3">
      <c r="B281" s="2">
        <v>45398</v>
      </c>
      <c r="C281" s="6">
        <v>100</v>
      </c>
      <c r="D281" s="10">
        <v>43</v>
      </c>
      <c r="E281" s="10">
        <f>+(43.4+43.72)/2</f>
        <v>43.56</v>
      </c>
      <c r="F281" s="9">
        <f>IF(Tablo14567891011121314151617181920212223242526272829303132333435363738394041[[#This Row],[SATIŞ]]=0,"Açık",(E281-D281)*C281)</f>
        <v>56.000000000000227</v>
      </c>
      <c r="G281" s="11">
        <f>Tablo14567891011121314151617181920212223242526272829303132333435363738394041[[#This Row],[ADET]]*Tablo14567891011121314151617181920212223242526272829303132333435363738394041[[#This Row],[ALIŞ]]</f>
        <v>4300</v>
      </c>
      <c r="H281" s="11">
        <f>Tablo14567891011121314151617181920212223242526272829303132333435363738394041[[#This Row],[ADET]]*Tablo14567891011121314151617181920212223242526272829303132333435363738394041[[#This Row],[SATIŞ]]</f>
        <v>4356</v>
      </c>
    </row>
    <row r="282" spans="2:8" ht="21" hidden="1" customHeight="1" x14ac:dyDescent="0.3">
      <c r="B282" s="2">
        <v>45398</v>
      </c>
      <c r="C282" s="6">
        <v>50</v>
      </c>
      <c r="D282" s="10">
        <v>42</v>
      </c>
      <c r="E282" s="10">
        <v>42.94</v>
      </c>
      <c r="F282" s="9">
        <f>IF(Tablo14567891011121314151617181920212223242526272829303132333435363738394041[[#This Row],[SATIŞ]]=0,"Açık",(E282-D282)*C282)</f>
        <v>46.999999999999886</v>
      </c>
      <c r="G282" s="11">
        <f>Tablo14567891011121314151617181920212223242526272829303132333435363738394041[[#This Row],[ADET]]*Tablo14567891011121314151617181920212223242526272829303132333435363738394041[[#This Row],[ALIŞ]]</f>
        <v>2100</v>
      </c>
      <c r="H282" s="11">
        <f>Tablo14567891011121314151617181920212223242526272829303132333435363738394041[[#This Row],[ADET]]*Tablo14567891011121314151617181920212223242526272829303132333435363738394041[[#This Row],[SATIŞ]]</f>
        <v>2147</v>
      </c>
    </row>
    <row r="283" spans="2:8" ht="21" hidden="1" customHeight="1" x14ac:dyDescent="0.3">
      <c r="B283" s="2">
        <v>45397</v>
      </c>
      <c r="C283" s="6">
        <v>50</v>
      </c>
      <c r="D283" s="10">
        <v>44.5</v>
      </c>
      <c r="E283" s="10">
        <v>45</v>
      </c>
      <c r="F283" s="9">
        <f>IF(Tablo14567891011121314151617181920212223242526272829303132333435363738394041[[#This Row],[SATIŞ]]=0,"Açık",(E283-D283)*C283)</f>
        <v>25</v>
      </c>
      <c r="G283" s="11">
        <f>Tablo14567891011121314151617181920212223242526272829303132333435363738394041[[#This Row],[ADET]]*Tablo14567891011121314151617181920212223242526272829303132333435363738394041[[#This Row],[ALIŞ]]</f>
        <v>2225</v>
      </c>
      <c r="H283" s="11">
        <f>Tablo14567891011121314151617181920212223242526272829303132333435363738394041[[#This Row],[ADET]]*Tablo14567891011121314151617181920212223242526272829303132333435363738394041[[#This Row],[SATIŞ]]</f>
        <v>2250</v>
      </c>
    </row>
    <row r="284" spans="2:8" ht="21" hidden="1" customHeight="1" x14ac:dyDescent="0.3">
      <c r="B284" s="2">
        <v>45398</v>
      </c>
      <c r="C284" s="6">
        <v>50</v>
      </c>
      <c r="D284" s="10">
        <v>42</v>
      </c>
      <c r="E284" s="10">
        <v>46.6</v>
      </c>
      <c r="F284" s="9">
        <f>IF(Tablo14567891011121314151617181920212223242526272829303132333435363738394041[[#This Row],[SATIŞ]]=0,"Açık",(E284-D284)*C284)</f>
        <v>230.00000000000006</v>
      </c>
      <c r="G284" s="11">
        <f>Tablo14567891011121314151617181920212223242526272829303132333435363738394041[[#This Row],[ADET]]*Tablo14567891011121314151617181920212223242526272829303132333435363738394041[[#This Row],[ALIŞ]]</f>
        <v>2100</v>
      </c>
      <c r="H284" s="11">
        <f>Tablo14567891011121314151617181920212223242526272829303132333435363738394041[[#This Row],[ADET]]*Tablo14567891011121314151617181920212223242526272829303132333435363738394041[[#This Row],[SATIŞ]]</f>
        <v>2330</v>
      </c>
    </row>
    <row r="285" spans="2:8" ht="21" hidden="1" customHeight="1" x14ac:dyDescent="0.3">
      <c r="B285" s="2">
        <v>45399</v>
      </c>
      <c r="C285" s="6">
        <v>100</v>
      </c>
      <c r="D285" s="10">
        <v>42</v>
      </c>
      <c r="E285" s="10">
        <v>43.5</v>
      </c>
      <c r="F285" s="9">
        <f>IF(Tablo14567891011121314151617181920212223242526272829303132333435363738394041[[#This Row],[SATIŞ]]=0,"Açık",(E285-D285)*C285)</f>
        <v>150</v>
      </c>
      <c r="G285" s="11">
        <f>Tablo14567891011121314151617181920212223242526272829303132333435363738394041[[#This Row],[ADET]]*Tablo14567891011121314151617181920212223242526272829303132333435363738394041[[#This Row],[ALIŞ]]</f>
        <v>4200</v>
      </c>
      <c r="H285" s="11">
        <f>Tablo14567891011121314151617181920212223242526272829303132333435363738394041[[#This Row],[ADET]]*Tablo14567891011121314151617181920212223242526272829303132333435363738394041[[#This Row],[SATIŞ]]</f>
        <v>4350</v>
      </c>
    </row>
  </sheetData>
  <conditionalFormatting sqref="B4:F285">
    <cfRule type="expression" dxfId="47" priority="1">
      <formula>$F4&lt;0</formula>
    </cfRule>
    <cfRule type="expression" dxfId="46" priority="2">
      <formula>$F4="Açık"</formula>
    </cfRule>
    <cfRule type="expression" dxfId="45" priority="3">
      <formula>$F4&gt;0</formula>
    </cfRule>
  </conditionalFormatting>
  <hyperlinks>
    <hyperlink ref="B1" location="İcmal!A1" display="ANA SAYFA" xr:uid="{6EAF5C5A-4D57-4D3D-99DA-8614914B2B5C}"/>
  </hyperlinks>
  <pageMargins left="0.7" right="0.7" top="0.75" bottom="0.75" header="0.3" footer="0.3"/>
  <tableParts count="1">
    <tablePart r:id="rId1"/>
  </tablePart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34EBA-5022-4BE5-BC79-617965A2938F}">
  <dimension ref="B1:R115"/>
  <sheetViews>
    <sheetView showGridLines="0" showZeros="0" zoomScale="110" zoomScaleNormal="110" workbookViewId="0">
      <pane ySplit="3" topLeftCell="A98" activePane="bottomLeft" state="frozen"/>
      <selection pane="bottomLeft" activeCell="C102" sqref="C96:C102"/>
    </sheetView>
  </sheetViews>
  <sheetFormatPr defaultRowHeight="21" customHeight="1" x14ac:dyDescent="0.3"/>
  <cols>
    <col min="2" max="2" width="20.6640625" style="1" customWidth="1"/>
    <col min="3" max="3" width="11.33203125" style="6" customWidth="1"/>
    <col min="4" max="5" width="12.88671875" style="3" customWidth="1"/>
    <col min="6" max="6" width="12.88671875" style="5" customWidth="1"/>
    <col min="7" max="8" width="11.33203125" bestFit="1" customWidth="1"/>
    <col min="10" max="12" width="12.44140625" customWidth="1"/>
    <col min="13" max="13" width="11.33203125" bestFit="1" customWidth="1"/>
    <col min="14" max="14" width="10.33203125" bestFit="1" customWidth="1"/>
  </cols>
  <sheetData>
    <row r="1" spans="2:18" ht="21" customHeight="1" x14ac:dyDescent="0.3">
      <c r="B1" s="12" t="s">
        <v>64</v>
      </c>
      <c r="C1" s="4">
        <f>SUMIF(Tablo1456789101112131415161718192021222324252627282930313233343536373839404142[KAR],"Açık",Tablo1456789101112131415161718192021222324252627282930313233343536373839404142[ADET])</f>
        <v>1500</v>
      </c>
      <c r="D1" s="10">
        <f>+İcmal!E56</f>
        <v>56.1</v>
      </c>
      <c r="E1" s="10">
        <f>C1*D1</f>
        <v>84150</v>
      </c>
      <c r="F1" s="10">
        <f>IFERROR(((SUM(Tablo1456789101112131415161718192021222324252627282930313233343536373839404142[ALIŞ TUTAR])-SUM(Tablo1456789101112131415161718192021222324252627282930313233343536373839404142[SATIŞ TUTAR]))/C1),"")</f>
        <v>58.421442986666669</v>
      </c>
      <c r="G1" s="10">
        <f>IF(M3=0,L3,C1*(D1-F1))</f>
        <v>-3482.1644800000017</v>
      </c>
      <c r="J1" s="45" t="s">
        <v>94</v>
      </c>
      <c r="K1" s="45" t="s">
        <v>95</v>
      </c>
      <c r="L1" s="45" t="s">
        <v>96</v>
      </c>
      <c r="M1" s="33">
        <f>F1</f>
        <v>58.421442986666669</v>
      </c>
      <c r="N1" s="8" t="e">
        <f>M1*(1+$J$1)</f>
        <v>#VALUE!</v>
      </c>
      <c r="P1" s="8" t="e">
        <f>Q1*(1-$J$1)</f>
        <v>#VALUE!</v>
      </c>
      <c r="Q1" s="33">
        <f>+D1</f>
        <v>56.1</v>
      </c>
      <c r="R1" s="8" t="e">
        <f>Q1*(1+$J$1)</f>
        <v>#VALUE!</v>
      </c>
    </row>
    <row r="2" spans="2:18" ht="21" customHeight="1" x14ac:dyDescent="0.3">
      <c r="B2" s="7" t="s">
        <v>51</v>
      </c>
      <c r="J2" s="45">
        <f>SUMIFS(Tablo2[HEDEF2],Tablo2[HİSSE],B2)</f>
        <v>1000</v>
      </c>
      <c r="K2" s="45">
        <f>+E1/İcmal!$P$2</f>
        <v>2586.8429142330156</v>
      </c>
      <c r="L2" s="45">
        <f>+J2-K2</f>
        <v>-1586.8429142330156</v>
      </c>
    </row>
    <row r="3" spans="2:18" ht="21" customHeight="1" x14ac:dyDescent="0.3">
      <c r="B3" s="1" t="s">
        <v>0</v>
      </c>
      <c r="C3" s="6" t="s">
        <v>4</v>
      </c>
      <c r="D3" s="3" t="s">
        <v>1</v>
      </c>
      <c r="E3" s="3" t="s">
        <v>3</v>
      </c>
      <c r="F3" s="5" t="s">
        <v>2</v>
      </c>
      <c r="G3" s="3" t="s">
        <v>8</v>
      </c>
      <c r="H3" s="3" t="s">
        <v>9</v>
      </c>
      <c r="L3">
        <f>+SUM(Tablo1456789101112131415161718192021222324252627282930313233343536373839404142[KAR])</f>
        <v>5437.8355199999951</v>
      </c>
      <c r="M3" s="37">
        <f>+C1</f>
        <v>1500</v>
      </c>
    </row>
    <row r="4" spans="2:18" ht="21" hidden="1" customHeight="1" x14ac:dyDescent="0.3">
      <c r="B4" s="2">
        <v>45291</v>
      </c>
      <c r="C4" s="6">
        <v>502</v>
      </c>
      <c r="D4" s="10">
        <v>71.820340000000002</v>
      </c>
      <c r="E4" s="10">
        <v>71.813149999999993</v>
      </c>
      <c r="F4" s="9">
        <f>IF(Tablo1456789101112131415161718192021222324252627282930313233343536373839404142[[#This Row],[SATIŞ]]=0,"Açık",(E4-D4)*C4)</f>
        <v>-3.6093800000042506</v>
      </c>
      <c r="G4" s="11">
        <f>Tablo1456789101112131415161718192021222324252627282930313233343536373839404142[[#This Row],[ADET]]*Tablo1456789101112131415161718192021222324252627282930313233343536373839404142[[#This Row],[ALIŞ]]</f>
        <v>36053.810680000002</v>
      </c>
      <c r="H4" s="11">
        <f>Tablo1456789101112131415161718192021222324252627282930313233343536373839404142[[#This Row],[ADET]]*Tablo1456789101112131415161718192021222324252627282930313233343536373839404142[[#This Row],[SATIŞ]]</f>
        <v>36050.201299999993</v>
      </c>
      <c r="L4" s="8">
        <f>SUM(Tablo1456789101112131415161718192021222324252627282930313233343536373839404142[ALIŞ TUTAR])</f>
        <v>305262.11577999999</v>
      </c>
      <c r="M4" s="8">
        <f>SUM(Tablo1456789101112131415161718192021222324252627282930313233343536373839404142[SATIŞ TUTAR])</f>
        <v>217629.95129999999</v>
      </c>
      <c r="N4" s="8">
        <f>L4-M4</f>
        <v>87632.164480000007</v>
      </c>
    </row>
    <row r="5" spans="2:18" ht="21" hidden="1" customHeight="1" x14ac:dyDescent="0.3">
      <c r="B5" s="2">
        <v>45291</v>
      </c>
      <c r="C5" s="6">
        <v>15</v>
      </c>
      <c r="D5" s="10">
        <v>71.820340000000002</v>
      </c>
      <c r="E5" s="10">
        <v>72.55</v>
      </c>
      <c r="F5" s="9">
        <f>IF(Tablo1456789101112131415161718192021222324252627282930313233343536373839404142[[#This Row],[SATIŞ]]=0,"Açık",(E5-D5)*C5)</f>
        <v>10.944899999999933</v>
      </c>
      <c r="G5" s="11">
        <f>Tablo1456789101112131415161718192021222324252627282930313233343536373839404142[[#This Row],[ADET]]*Tablo1456789101112131415161718192021222324252627282930313233343536373839404142[[#This Row],[ALIŞ]]</f>
        <v>1077.3051</v>
      </c>
      <c r="H5" s="11">
        <f>Tablo1456789101112131415161718192021222324252627282930313233343536373839404142[[#This Row],[ADET]]*Tablo1456789101112131415161718192021222324252627282930313233343536373839404142[[#This Row],[SATIŞ]]</f>
        <v>1088.25</v>
      </c>
      <c r="N5">
        <f>+N4/80</f>
        <v>1095.4020560000001</v>
      </c>
    </row>
    <row r="6" spans="2:18" ht="21" hidden="1" customHeight="1" x14ac:dyDescent="0.3">
      <c r="B6" s="2">
        <v>45306</v>
      </c>
      <c r="C6" s="6">
        <v>10</v>
      </c>
      <c r="D6" s="10">
        <v>60</v>
      </c>
      <c r="E6" s="10">
        <v>62</v>
      </c>
      <c r="F6" s="9">
        <f>IF(Tablo1456789101112131415161718192021222324252627282930313233343536373839404142[[#This Row],[SATIŞ]]=0,"Açık",(E6-D6)*C6)</f>
        <v>20</v>
      </c>
      <c r="G6" s="11">
        <f>Tablo1456789101112131415161718192021222324252627282930313233343536373839404142[[#This Row],[ADET]]*Tablo1456789101112131415161718192021222324252627282930313233343536373839404142[[#This Row],[ALIŞ]]</f>
        <v>600</v>
      </c>
      <c r="H6" s="11">
        <f>Tablo1456789101112131415161718192021222324252627282930313233343536373839404142[[#This Row],[ADET]]*Tablo1456789101112131415161718192021222324252627282930313233343536373839404142[[#This Row],[SATIŞ]]</f>
        <v>620</v>
      </c>
    </row>
    <row r="7" spans="2:18" ht="21" hidden="1" customHeight="1" x14ac:dyDescent="0.3">
      <c r="B7" s="2">
        <v>45307</v>
      </c>
      <c r="C7" s="6">
        <v>5</v>
      </c>
      <c r="D7" s="10">
        <v>59.6</v>
      </c>
      <c r="E7" s="10">
        <v>61.2</v>
      </c>
      <c r="F7" s="9">
        <f>IF(Tablo1456789101112131415161718192021222324252627282930313233343536373839404142[[#This Row],[SATIŞ]]=0,"Açık",(E7-D7)*C7)</f>
        <v>8.0000000000000071</v>
      </c>
      <c r="G7" s="11">
        <f>Tablo1456789101112131415161718192021222324252627282930313233343536373839404142[[#This Row],[ADET]]*Tablo1456789101112131415161718192021222324252627282930313233343536373839404142[[#This Row],[ALIŞ]]</f>
        <v>298</v>
      </c>
      <c r="H7" s="11">
        <f>Tablo1456789101112131415161718192021222324252627282930313233343536373839404142[[#This Row],[ADET]]*Tablo1456789101112131415161718192021222324252627282930313233343536373839404142[[#This Row],[SATIŞ]]</f>
        <v>306</v>
      </c>
    </row>
    <row r="8" spans="2:18" ht="21" hidden="1" customHeight="1" x14ac:dyDescent="0.3">
      <c r="B8" s="2">
        <v>45307</v>
      </c>
      <c r="C8" s="6">
        <v>5</v>
      </c>
      <c r="D8" s="10">
        <v>59.5</v>
      </c>
      <c r="E8" s="10">
        <v>61.7</v>
      </c>
      <c r="F8" s="9">
        <f>IF(Tablo1456789101112131415161718192021222324252627282930313233343536373839404142[[#This Row],[SATIŞ]]=0,"Açık",(E8-D8)*C8)</f>
        <v>11.000000000000014</v>
      </c>
      <c r="G8" s="11">
        <f>Tablo1456789101112131415161718192021222324252627282930313233343536373839404142[[#This Row],[ADET]]*Tablo1456789101112131415161718192021222324252627282930313233343536373839404142[[#This Row],[ALIŞ]]</f>
        <v>297.5</v>
      </c>
      <c r="H8" s="11">
        <f>Tablo1456789101112131415161718192021222324252627282930313233343536373839404142[[#This Row],[ADET]]*Tablo1456789101112131415161718192021222324252627282930313233343536373839404142[[#This Row],[SATIŞ]]</f>
        <v>308.5</v>
      </c>
    </row>
    <row r="9" spans="2:18" ht="21" hidden="1" customHeight="1" x14ac:dyDescent="0.3">
      <c r="B9" s="2">
        <v>45307</v>
      </c>
      <c r="C9" s="6">
        <v>10</v>
      </c>
      <c r="D9" s="10">
        <v>59.4</v>
      </c>
      <c r="E9" s="10">
        <v>60</v>
      </c>
      <c r="F9" s="9">
        <f>IF(Tablo1456789101112131415161718192021222324252627282930313233343536373839404142[[#This Row],[SATIŞ]]=0,"Açık",(E9-D9)*C9)</f>
        <v>6.0000000000000142</v>
      </c>
      <c r="G9" s="11">
        <f>Tablo1456789101112131415161718192021222324252627282930313233343536373839404142[[#This Row],[ADET]]*Tablo1456789101112131415161718192021222324252627282930313233343536373839404142[[#This Row],[ALIŞ]]</f>
        <v>594</v>
      </c>
      <c r="H9" s="11">
        <f>Tablo1456789101112131415161718192021222324252627282930313233343536373839404142[[#This Row],[ADET]]*Tablo1456789101112131415161718192021222324252627282930313233343536373839404142[[#This Row],[SATIŞ]]</f>
        <v>600</v>
      </c>
    </row>
    <row r="10" spans="2:18" ht="21" hidden="1" customHeight="1" x14ac:dyDescent="0.3">
      <c r="B10" s="2">
        <v>45307</v>
      </c>
      <c r="C10" s="6">
        <v>10</v>
      </c>
      <c r="D10" s="10">
        <v>59</v>
      </c>
      <c r="E10" s="10">
        <v>64</v>
      </c>
      <c r="F10" s="9">
        <f>IF(Tablo1456789101112131415161718192021222324252627282930313233343536373839404142[[#This Row],[SATIŞ]]=0,"Açık",(E10-D10)*C10)</f>
        <v>50</v>
      </c>
      <c r="G10" s="11">
        <f>Tablo1456789101112131415161718192021222324252627282930313233343536373839404142[[#This Row],[ADET]]*Tablo1456789101112131415161718192021222324252627282930313233343536373839404142[[#This Row],[ALIŞ]]</f>
        <v>590</v>
      </c>
      <c r="H10" s="11">
        <f>Tablo1456789101112131415161718192021222324252627282930313233343536373839404142[[#This Row],[ADET]]*Tablo1456789101112131415161718192021222324252627282930313233343536373839404142[[#This Row],[SATIŞ]]</f>
        <v>640</v>
      </c>
    </row>
    <row r="11" spans="2:18" ht="21" hidden="1" customHeight="1" x14ac:dyDescent="0.3">
      <c r="B11" s="2">
        <v>45309</v>
      </c>
      <c r="C11" s="6">
        <v>5</v>
      </c>
      <c r="D11" s="10">
        <v>61.5</v>
      </c>
      <c r="E11" s="10">
        <v>62.75</v>
      </c>
      <c r="F11" s="9">
        <f>IF(Tablo1456789101112131415161718192021222324252627282930313233343536373839404142[[#This Row],[SATIŞ]]=0,"Açık",(E11-D11)*C11)</f>
        <v>6.25</v>
      </c>
      <c r="G11" s="11">
        <f>Tablo1456789101112131415161718192021222324252627282930313233343536373839404142[[#This Row],[ADET]]*Tablo1456789101112131415161718192021222324252627282930313233343536373839404142[[#This Row],[ALIŞ]]</f>
        <v>307.5</v>
      </c>
      <c r="H11" s="11">
        <f>Tablo1456789101112131415161718192021222324252627282930313233343536373839404142[[#This Row],[ADET]]*Tablo1456789101112131415161718192021222324252627282930313233343536373839404142[[#This Row],[SATIŞ]]</f>
        <v>313.75</v>
      </c>
    </row>
    <row r="12" spans="2:18" ht="21" hidden="1" customHeight="1" x14ac:dyDescent="0.3">
      <c r="B12" s="2">
        <v>45309</v>
      </c>
      <c r="C12" s="6">
        <v>10</v>
      </c>
      <c r="D12" s="10">
        <v>61</v>
      </c>
      <c r="E12" s="10">
        <v>64</v>
      </c>
      <c r="F12" s="9">
        <f>IF(Tablo1456789101112131415161718192021222324252627282930313233343536373839404142[[#This Row],[SATIŞ]]=0,"Açık",(E12-D12)*C12)</f>
        <v>30</v>
      </c>
      <c r="G12" s="11">
        <f>Tablo1456789101112131415161718192021222324252627282930313233343536373839404142[[#This Row],[ADET]]*Tablo1456789101112131415161718192021222324252627282930313233343536373839404142[[#This Row],[ALIŞ]]</f>
        <v>610</v>
      </c>
      <c r="H12" s="11">
        <f>Tablo1456789101112131415161718192021222324252627282930313233343536373839404142[[#This Row],[ADET]]*Tablo1456789101112131415161718192021222324252627282930313233343536373839404142[[#This Row],[SATIŞ]]</f>
        <v>640</v>
      </c>
    </row>
    <row r="13" spans="2:18" ht="21" hidden="1" customHeight="1" x14ac:dyDescent="0.3">
      <c r="B13" s="2">
        <v>45314</v>
      </c>
      <c r="C13" s="6">
        <v>5</v>
      </c>
      <c r="D13" s="10">
        <v>60.5</v>
      </c>
      <c r="E13" s="10">
        <v>61.5</v>
      </c>
      <c r="F13" s="9">
        <f>IF(Tablo1456789101112131415161718192021222324252627282930313233343536373839404142[[#This Row],[SATIŞ]]=0,"Açık",(E13-D13)*C13)</f>
        <v>5</v>
      </c>
      <c r="G13" s="11">
        <f>Tablo1456789101112131415161718192021222324252627282930313233343536373839404142[[#This Row],[ADET]]*Tablo1456789101112131415161718192021222324252627282930313233343536373839404142[[#This Row],[ALIŞ]]</f>
        <v>302.5</v>
      </c>
      <c r="H13" s="11">
        <f>Tablo1456789101112131415161718192021222324252627282930313233343536373839404142[[#This Row],[ADET]]*Tablo1456789101112131415161718192021222324252627282930313233343536373839404142[[#This Row],[SATIŞ]]</f>
        <v>307.5</v>
      </c>
    </row>
    <row r="14" spans="2:18" ht="21" hidden="1" customHeight="1" x14ac:dyDescent="0.3">
      <c r="B14" s="2">
        <v>45316</v>
      </c>
      <c r="C14" s="6">
        <v>10</v>
      </c>
      <c r="D14" s="10">
        <v>62.8</v>
      </c>
      <c r="E14" s="10">
        <v>65</v>
      </c>
      <c r="F14" s="9">
        <f>IF(Tablo1456789101112131415161718192021222324252627282930313233343536373839404142[[#This Row],[SATIŞ]]=0,"Açık",(E14-D14)*C14)</f>
        <v>22.000000000000028</v>
      </c>
      <c r="G14" s="11">
        <f>Tablo1456789101112131415161718192021222324252627282930313233343536373839404142[[#This Row],[ADET]]*Tablo1456789101112131415161718192021222324252627282930313233343536373839404142[[#This Row],[ALIŞ]]</f>
        <v>628</v>
      </c>
      <c r="H14" s="11">
        <f>Tablo1456789101112131415161718192021222324252627282930313233343536373839404142[[#This Row],[ADET]]*Tablo1456789101112131415161718192021222324252627282930313233343536373839404142[[#This Row],[SATIŞ]]</f>
        <v>650</v>
      </c>
    </row>
    <row r="15" spans="2:18" ht="21" hidden="1" customHeight="1" x14ac:dyDescent="0.3">
      <c r="B15" s="2">
        <v>45316</v>
      </c>
      <c r="C15" s="6">
        <v>10</v>
      </c>
      <c r="D15" s="10">
        <v>62</v>
      </c>
      <c r="E15" s="10">
        <v>73</v>
      </c>
      <c r="F15" s="9">
        <f>IF(Tablo1456789101112131415161718192021222324252627282930313233343536373839404142[[#This Row],[SATIŞ]]=0,"Açık",(E15-D15)*C15)</f>
        <v>110</v>
      </c>
      <c r="G15" s="11">
        <f>Tablo1456789101112131415161718192021222324252627282930313233343536373839404142[[#This Row],[ADET]]*Tablo1456789101112131415161718192021222324252627282930313233343536373839404142[[#This Row],[ALIŞ]]</f>
        <v>620</v>
      </c>
      <c r="H15" s="11">
        <f>Tablo1456789101112131415161718192021222324252627282930313233343536373839404142[[#This Row],[ADET]]*Tablo1456789101112131415161718192021222324252627282930313233343536373839404142[[#This Row],[SATIŞ]]</f>
        <v>730</v>
      </c>
    </row>
    <row r="16" spans="2:18" ht="21" hidden="1" customHeight="1" x14ac:dyDescent="0.3">
      <c r="B16" s="2">
        <v>45322</v>
      </c>
      <c r="C16" s="6">
        <v>4</v>
      </c>
      <c r="D16" s="10">
        <v>61.5</v>
      </c>
      <c r="E16" s="10">
        <v>65</v>
      </c>
      <c r="F16" s="9">
        <f>IF(Tablo1456789101112131415161718192021222324252627282930313233343536373839404142[[#This Row],[SATIŞ]]=0,"Açık",(E16-D16)*C16)</f>
        <v>14</v>
      </c>
      <c r="G16" s="11">
        <f>Tablo1456789101112131415161718192021222324252627282930313233343536373839404142[[#This Row],[ADET]]*Tablo1456789101112131415161718192021222324252627282930313233343536373839404142[[#This Row],[ALIŞ]]</f>
        <v>246</v>
      </c>
      <c r="H16" s="11">
        <f>Tablo1456789101112131415161718192021222324252627282930313233343536373839404142[[#This Row],[ADET]]*Tablo1456789101112131415161718192021222324252627282930313233343536373839404142[[#This Row],[SATIŞ]]</f>
        <v>260</v>
      </c>
    </row>
    <row r="17" spans="2:8" ht="21" hidden="1" customHeight="1" x14ac:dyDescent="0.3">
      <c r="B17" s="2">
        <v>45322</v>
      </c>
      <c r="C17" s="6">
        <v>1</v>
      </c>
      <c r="D17" s="10">
        <v>61.5</v>
      </c>
      <c r="E17" s="10">
        <v>65</v>
      </c>
      <c r="F17" s="9">
        <f>IF(Tablo1456789101112131415161718192021222324252627282930313233343536373839404142[[#This Row],[SATIŞ]]=0,"Açık",(E17-D17)*C17)</f>
        <v>3.5</v>
      </c>
      <c r="G17" s="11">
        <f>Tablo1456789101112131415161718192021222324252627282930313233343536373839404142[[#This Row],[ADET]]*Tablo1456789101112131415161718192021222324252627282930313233343536373839404142[[#This Row],[ALIŞ]]</f>
        <v>61.5</v>
      </c>
      <c r="H17" s="11">
        <f>Tablo1456789101112131415161718192021222324252627282930313233343536373839404142[[#This Row],[ADET]]*Tablo1456789101112131415161718192021222324252627282930313233343536373839404142[[#This Row],[SATIŞ]]</f>
        <v>65</v>
      </c>
    </row>
    <row r="18" spans="2:8" ht="21" hidden="1" customHeight="1" x14ac:dyDescent="0.3">
      <c r="B18" s="2">
        <v>45327</v>
      </c>
      <c r="C18" s="6">
        <v>1</v>
      </c>
      <c r="D18" s="10">
        <v>64</v>
      </c>
      <c r="E18" s="10">
        <v>66</v>
      </c>
      <c r="F18" s="9">
        <f>IF(Tablo1456789101112131415161718192021222324252627282930313233343536373839404142[[#This Row],[SATIŞ]]=0,"Açık",(E18-D18)*C18)</f>
        <v>2</v>
      </c>
      <c r="G18" s="11">
        <f>Tablo1456789101112131415161718192021222324252627282930313233343536373839404142[[#This Row],[ADET]]*Tablo1456789101112131415161718192021222324252627282930313233343536373839404142[[#This Row],[ALIŞ]]</f>
        <v>64</v>
      </c>
      <c r="H18" s="11">
        <f>Tablo1456789101112131415161718192021222324252627282930313233343536373839404142[[#This Row],[ADET]]*Tablo1456789101112131415161718192021222324252627282930313233343536373839404142[[#This Row],[SATIŞ]]</f>
        <v>66</v>
      </c>
    </row>
    <row r="19" spans="2:8" ht="21" hidden="1" customHeight="1" x14ac:dyDescent="0.3">
      <c r="B19" s="2">
        <v>45327</v>
      </c>
      <c r="C19" s="6">
        <v>1</v>
      </c>
      <c r="D19" s="10">
        <v>64.5</v>
      </c>
      <c r="E19" s="10">
        <v>66</v>
      </c>
      <c r="F19" s="9">
        <f>IF(Tablo1456789101112131415161718192021222324252627282930313233343536373839404142[[#This Row],[SATIŞ]]=0,"Açık",(E19-D19)*C19)</f>
        <v>1.5</v>
      </c>
      <c r="G19" s="11">
        <f>Tablo1456789101112131415161718192021222324252627282930313233343536373839404142[[#This Row],[ADET]]*Tablo1456789101112131415161718192021222324252627282930313233343536373839404142[[#This Row],[ALIŞ]]</f>
        <v>64.5</v>
      </c>
      <c r="H19" s="11">
        <f>Tablo1456789101112131415161718192021222324252627282930313233343536373839404142[[#This Row],[ADET]]*Tablo1456789101112131415161718192021222324252627282930313233343536373839404142[[#This Row],[SATIŞ]]</f>
        <v>66</v>
      </c>
    </row>
    <row r="20" spans="2:8" ht="21" hidden="1" customHeight="1" x14ac:dyDescent="0.3">
      <c r="B20" s="2">
        <v>45328</v>
      </c>
      <c r="C20" s="6">
        <v>10</v>
      </c>
      <c r="D20" s="10">
        <v>65</v>
      </c>
      <c r="E20" s="10">
        <v>70</v>
      </c>
      <c r="F20" s="9">
        <f>IF(Tablo1456789101112131415161718192021222324252627282930313233343536373839404142[[#This Row],[SATIŞ]]=0,"Açık",(E20-D20)*C20)</f>
        <v>50</v>
      </c>
      <c r="G20" s="11">
        <f>Tablo1456789101112131415161718192021222324252627282930313233343536373839404142[[#This Row],[ADET]]*Tablo1456789101112131415161718192021222324252627282930313233343536373839404142[[#This Row],[ALIŞ]]</f>
        <v>650</v>
      </c>
      <c r="H20" s="11">
        <f>Tablo1456789101112131415161718192021222324252627282930313233343536373839404142[[#This Row],[ADET]]*Tablo1456789101112131415161718192021222324252627282930313233343536373839404142[[#This Row],[SATIŞ]]</f>
        <v>700</v>
      </c>
    </row>
    <row r="21" spans="2:8" ht="21" hidden="1" customHeight="1" x14ac:dyDescent="0.3">
      <c r="B21" s="2">
        <v>45328</v>
      </c>
      <c r="C21" s="6">
        <v>50</v>
      </c>
      <c r="D21" s="10">
        <v>65</v>
      </c>
      <c r="E21" s="10">
        <v>71.5</v>
      </c>
      <c r="F21" s="9">
        <f>IF(Tablo1456789101112131415161718192021222324252627282930313233343536373839404142[[#This Row],[SATIŞ]]=0,"Açık",(E21-D21)*C21)</f>
        <v>325</v>
      </c>
      <c r="G21" s="11">
        <f>Tablo1456789101112131415161718192021222324252627282930313233343536373839404142[[#This Row],[ADET]]*Tablo1456789101112131415161718192021222324252627282930313233343536373839404142[[#This Row],[ALIŞ]]</f>
        <v>3250</v>
      </c>
      <c r="H21" s="11">
        <f>Tablo1456789101112131415161718192021222324252627282930313233343536373839404142[[#This Row],[ADET]]*Tablo1456789101112131415161718192021222324252627282930313233343536373839404142[[#This Row],[SATIŞ]]</f>
        <v>3575</v>
      </c>
    </row>
    <row r="22" spans="2:8" ht="21" hidden="1" customHeight="1" x14ac:dyDescent="0.3">
      <c r="B22" s="2">
        <v>45328</v>
      </c>
      <c r="C22" s="6">
        <v>10</v>
      </c>
      <c r="D22" s="10">
        <v>65</v>
      </c>
      <c r="E22" s="10">
        <v>75</v>
      </c>
      <c r="F22" s="9">
        <f>IF(Tablo1456789101112131415161718192021222324252627282930313233343536373839404142[[#This Row],[SATIŞ]]=0,"Açık",(E22-D22)*C22)</f>
        <v>100</v>
      </c>
      <c r="G22" s="11">
        <f>Tablo1456789101112131415161718192021222324252627282930313233343536373839404142[[#This Row],[ADET]]*Tablo1456789101112131415161718192021222324252627282930313233343536373839404142[[#This Row],[ALIŞ]]</f>
        <v>650</v>
      </c>
      <c r="H22" s="11">
        <f>Tablo1456789101112131415161718192021222324252627282930313233343536373839404142[[#This Row],[ADET]]*Tablo1456789101112131415161718192021222324252627282930313233343536373839404142[[#This Row],[SATIŞ]]</f>
        <v>750</v>
      </c>
    </row>
    <row r="23" spans="2:8" ht="21" hidden="1" customHeight="1" x14ac:dyDescent="0.3">
      <c r="B23" s="2">
        <v>45328</v>
      </c>
      <c r="C23" s="6">
        <v>20</v>
      </c>
      <c r="D23" s="10">
        <v>65</v>
      </c>
      <c r="E23" s="10">
        <v>71.55</v>
      </c>
      <c r="F23" s="9">
        <f>IF(Tablo1456789101112131415161718192021222324252627282930313233343536373839404142[[#This Row],[SATIŞ]]=0,"Açık",(E23-D23)*C23)</f>
        <v>130.99999999999994</v>
      </c>
      <c r="G23" s="11">
        <f>Tablo1456789101112131415161718192021222324252627282930313233343536373839404142[[#This Row],[ADET]]*Tablo1456789101112131415161718192021222324252627282930313233343536373839404142[[#This Row],[ALIŞ]]</f>
        <v>1300</v>
      </c>
      <c r="H23" s="11">
        <f>Tablo1456789101112131415161718192021222324252627282930313233343536373839404142[[#This Row],[ADET]]*Tablo1456789101112131415161718192021222324252627282930313233343536373839404142[[#This Row],[SATIŞ]]</f>
        <v>1431</v>
      </c>
    </row>
    <row r="24" spans="2:8" ht="21" hidden="1" customHeight="1" x14ac:dyDescent="0.3">
      <c r="B24" s="2">
        <v>45329</v>
      </c>
      <c r="C24" s="6">
        <v>5</v>
      </c>
      <c r="D24" s="10">
        <v>65</v>
      </c>
      <c r="E24" s="10">
        <v>70</v>
      </c>
      <c r="F24" s="9">
        <f>IF(Tablo1456789101112131415161718192021222324252627282930313233343536373839404142[[#This Row],[SATIŞ]]=0,"Açık",(E24-D24)*C24)</f>
        <v>25</v>
      </c>
      <c r="G24" s="11">
        <f>Tablo1456789101112131415161718192021222324252627282930313233343536373839404142[[#This Row],[ADET]]*Tablo1456789101112131415161718192021222324252627282930313233343536373839404142[[#This Row],[ALIŞ]]</f>
        <v>325</v>
      </c>
      <c r="H24" s="11">
        <f>Tablo1456789101112131415161718192021222324252627282930313233343536373839404142[[#This Row],[ADET]]*Tablo1456789101112131415161718192021222324252627282930313233343536373839404142[[#This Row],[SATIŞ]]</f>
        <v>350</v>
      </c>
    </row>
    <row r="25" spans="2:8" ht="21" hidden="1" customHeight="1" x14ac:dyDescent="0.3">
      <c r="B25" s="2">
        <v>45329</v>
      </c>
      <c r="C25" s="6">
        <v>5</v>
      </c>
      <c r="D25" s="10">
        <v>65</v>
      </c>
      <c r="E25" s="10">
        <v>71.55</v>
      </c>
      <c r="F25" s="9">
        <f>IF(Tablo1456789101112131415161718192021222324252627282930313233343536373839404142[[#This Row],[SATIŞ]]=0,"Açık",(E25-D25)*C25)</f>
        <v>32.749999999999986</v>
      </c>
      <c r="G25" s="11">
        <f>Tablo1456789101112131415161718192021222324252627282930313233343536373839404142[[#This Row],[ADET]]*Tablo1456789101112131415161718192021222324252627282930313233343536373839404142[[#This Row],[ALIŞ]]</f>
        <v>325</v>
      </c>
      <c r="H25" s="11">
        <f>Tablo1456789101112131415161718192021222324252627282930313233343536373839404142[[#This Row],[ADET]]*Tablo1456789101112131415161718192021222324252627282930313233343536373839404142[[#This Row],[SATIŞ]]</f>
        <v>357.75</v>
      </c>
    </row>
    <row r="26" spans="2:8" ht="21" hidden="1" customHeight="1" x14ac:dyDescent="0.3">
      <c r="B26" s="2">
        <v>45330</v>
      </c>
      <c r="C26" s="6">
        <v>20</v>
      </c>
      <c r="D26" s="10">
        <v>70</v>
      </c>
      <c r="E26" s="10">
        <v>70</v>
      </c>
      <c r="F26" s="9">
        <f>IF(Tablo1456789101112131415161718192021222324252627282930313233343536373839404142[[#This Row],[SATIŞ]]=0,"Açık",(E26-D26)*C26)</f>
        <v>0</v>
      </c>
      <c r="G26" s="11">
        <f>Tablo1456789101112131415161718192021222324252627282930313233343536373839404142[[#This Row],[ADET]]*Tablo1456789101112131415161718192021222324252627282930313233343536373839404142[[#This Row],[ALIŞ]]</f>
        <v>1400</v>
      </c>
      <c r="H26" s="11">
        <f>Tablo1456789101112131415161718192021222324252627282930313233343536373839404142[[#This Row],[ADET]]*Tablo1456789101112131415161718192021222324252627282930313233343536373839404142[[#This Row],[SATIŞ]]</f>
        <v>1400</v>
      </c>
    </row>
    <row r="27" spans="2:8" ht="21" hidden="1" customHeight="1" x14ac:dyDescent="0.3">
      <c r="B27" s="2">
        <v>45330</v>
      </c>
      <c r="C27" s="6">
        <v>5</v>
      </c>
      <c r="D27" s="10">
        <v>73</v>
      </c>
      <c r="E27" s="10">
        <v>70</v>
      </c>
      <c r="F27" s="9">
        <f>IF(Tablo1456789101112131415161718192021222324252627282930313233343536373839404142[[#This Row],[SATIŞ]]=0,"Açık",(E27-D27)*C27)</f>
        <v>-15</v>
      </c>
      <c r="G27" s="11">
        <f>Tablo1456789101112131415161718192021222324252627282930313233343536373839404142[[#This Row],[ADET]]*Tablo1456789101112131415161718192021222324252627282930313233343536373839404142[[#This Row],[ALIŞ]]</f>
        <v>365</v>
      </c>
      <c r="H27" s="11">
        <f>Tablo1456789101112131415161718192021222324252627282930313233343536373839404142[[#This Row],[ADET]]*Tablo1456789101112131415161718192021222324252627282930313233343536373839404142[[#This Row],[SATIŞ]]</f>
        <v>350</v>
      </c>
    </row>
    <row r="28" spans="2:8" ht="21" hidden="1" customHeight="1" x14ac:dyDescent="0.3">
      <c r="B28" s="2">
        <v>45330</v>
      </c>
      <c r="C28" s="6">
        <v>10</v>
      </c>
      <c r="D28" s="10">
        <v>71</v>
      </c>
      <c r="E28" s="10">
        <v>71.5</v>
      </c>
      <c r="F28" s="9">
        <f>IF(Tablo1456789101112131415161718192021222324252627282930313233343536373839404142[[#This Row],[SATIŞ]]=0,"Açık",(E28-D28)*C28)</f>
        <v>5</v>
      </c>
      <c r="G28" s="11">
        <f>Tablo1456789101112131415161718192021222324252627282930313233343536373839404142[[#This Row],[ADET]]*Tablo1456789101112131415161718192021222324252627282930313233343536373839404142[[#This Row],[ALIŞ]]</f>
        <v>710</v>
      </c>
      <c r="H28" s="11">
        <f>Tablo1456789101112131415161718192021222324252627282930313233343536373839404142[[#This Row],[ADET]]*Tablo1456789101112131415161718192021222324252627282930313233343536373839404142[[#This Row],[SATIŞ]]</f>
        <v>715</v>
      </c>
    </row>
    <row r="29" spans="2:8" ht="21" hidden="1" customHeight="1" x14ac:dyDescent="0.3">
      <c r="B29" s="2">
        <v>45331</v>
      </c>
      <c r="C29" s="6">
        <v>40</v>
      </c>
      <c r="D29" s="10">
        <v>70</v>
      </c>
      <c r="E29" s="10">
        <v>71.5</v>
      </c>
      <c r="F29" s="9">
        <f>IF(Tablo1456789101112131415161718192021222324252627282930313233343536373839404142[[#This Row],[SATIŞ]]=0,"Açık",(E29-D29)*C29)</f>
        <v>60</v>
      </c>
      <c r="G29" s="11">
        <f>Tablo1456789101112131415161718192021222324252627282930313233343536373839404142[[#This Row],[ADET]]*Tablo1456789101112131415161718192021222324252627282930313233343536373839404142[[#This Row],[ALIŞ]]</f>
        <v>2800</v>
      </c>
      <c r="H29" s="11">
        <f>Tablo1456789101112131415161718192021222324252627282930313233343536373839404142[[#This Row],[ADET]]*Tablo1456789101112131415161718192021222324252627282930313233343536373839404142[[#This Row],[SATIŞ]]</f>
        <v>2860</v>
      </c>
    </row>
    <row r="30" spans="2:8" ht="21" hidden="1" customHeight="1" x14ac:dyDescent="0.3">
      <c r="B30" s="2">
        <v>45336</v>
      </c>
      <c r="C30" s="6">
        <v>35</v>
      </c>
      <c r="D30" s="10">
        <v>69</v>
      </c>
      <c r="E30" s="10">
        <v>70</v>
      </c>
      <c r="F30" s="9">
        <f>IF(Tablo1456789101112131415161718192021222324252627282930313233343536373839404142[[#This Row],[SATIŞ]]=0,"Açık",(E30-D30)*C30)</f>
        <v>35</v>
      </c>
      <c r="G30" s="11">
        <f>Tablo1456789101112131415161718192021222324252627282930313233343536373839404142[[#This Row],[ADET]]*Tablo1456789101112131415161718192021222324252627282930313233343536373839404142[[#This Row],[ALIŞ]]</f>
        <v>2415</v>
      </c>
      <c r="H30" s="11">
        <f>Tablo1456789101112131415161718192021222324252627282930313233343536373839404142[[#This Row],[ADET]]*Tablo1456789101112131415161718192021222324252627282930313233343536373839404142[[#This Row],[SATIŞ]]</f>
        <v>2450</v>
      </c>
    </row>
    <row r="31" spans="2:8" ht="21" hidden="1" customHeight="1" x14ac:dyDescent="0.3">
      <c r="B31" s="2">
        <v>45336</v>
      </c>
      <c r="C31" s="6">
        <v>10</v>
      </c>
      <c r="D31" s="10">
        <v>68</v>
      </c>
      <c r="E31" s="10">
        <v>69</v>
      </c>
      <c r="F31" s="9">
        <f>IF(Tablo1456789101112131415161718192021222324252627282930313233343536373839404142[[#This Row],[SATIŞ]]=0,"Açık",(E31-D31)*C31)</f>
        <v>10</v>
      </c>
      <c r="G31" s="11">
        <f>Tablo1456789101112131415161718192021222324252627282930313233343536373839404142[[#This Row],[ADET]]*Tablo1456789101112131415161718192021222324252627282930313233343536373839404142[[#This Row],[ALIŞ]]</f>
        <v>680</v>
      </c>
      <c r="H31" s="11">
        <f>Tablo1456789101112131415161718192021222324252627282930313233343536373839404142[[#This Row],[ADET]]*Tablo1456789101112131415161718192021222324252627282930313233343536373839404142[[#This Row],[SATIŞ]]</f>
        <v>690</v>
      </c>
    </row>
    <row r="32" spans="2:8" ht="21" hidden="1" customHeight="1" x14ac:dyDescent="0.3">
      <c r="B32" s="2">
        <v>45336</v>
      </c>
      <c r="C32" s="6">
        <v>20</v>
      </c>
      <c r="D32" s="10">
        <v>68</v>
      </c>
      <c r="E32" s="10">
        <v>71</v>
      </c>
      <c r="F32" s="9">
        <f>IF(Tablo1456789101112131415161718192021222324252627282930313233343536373839404142[[#This Row],[SATIŞ]]=0,"Açık",(E32-D32)*C32)</f>
        <v>60</v>
      </c>
      <c r="G32" s="11">
        <f>Tablo1456789101112131415161718192021222324252627282930313233343536373839404142[[#This Row],[ADET]]*Tablo1456789101112131415161718192021222324252627282930313233343536373839404142[[#This Row],[ALIŞ]]</f>
        <v>1360</v>
      </c>
      <c r="H32" s="11">
        <f>Tablo1456789101112131415161718192021222324252627282930313233343536373839404142[[#This Row],[ADET]]*Tablo1456789101112131415161718192021222324252627282930313233343536373839404142[[#This Row],[SATIŞ]]</f>
        <v>1420</v>
      </c>
    </row>
    <row r="33" spans="2:10" ht="21" customHeight="1" x14ac:dyDescent="0.3">
      <c r="B33" s="2">
        <v>45337</v>
      </c>
      <c r="C33" s="6">
        <v>100</v>
      </c>
      <c r="D33" s="10">
        <v>71</v>
      </c>
      <c r="E33" s="10"/>
      <c r="F33" s="9" t="str">
        <f>IF(Tablo1456789101112131415161718192021222324252627282930313233343536373839404142[[#This Row],[SATIŞ]]=0,"Açık",(E33-D33)*C33)</f>
        <v>Açık</v>
      </c>
      <c r="G33" s="11">
        <f>Tablo1456789101112131415161718192021222324252627282930313233343536373839404142[[#This Row],[ADET]]*Tablo1456789101112131415161718192021222324252627282930313233343536373839404142[[#This Row],[ALIŞ]]</f>
        <v>7100</v>
      </c>
      <c r="H33" s="11">
        <f>Tablo1456789101112131415161718192021222324252627282930313233343536373839404142[[#This Row],[ADET]]*Tablo1456789101112131415161718192021222324252627282930313233343536373839404142[[#This Row],[SATIŞ]]</f>
        <v>0</v>
      </c>
      <c r="J33" s="40">
        <f t="shared" ref="J33:J64" si="0">IF(E33=0,D33*1.05,"")</f>
        <v>74.55</v>
      </c>
    </row>
    <row r="34" spans="2:10" ht="21" hidden="1" customHeight="1" x14ac:dyDescent="0.3">
      <c r="B34" s="2">
        <v>45341</v>
      </c>
      <c r="C34" s="6">
        <v>50</v>
      </c>
      <c r="D34" s="10">
        <v>68</v>
      </c>
      <c r="E34" s="10">
        <v>72.599999999999994</v>
      </c>
      <c r="F34" s="9">
        <f>IF(Tablo1456789101112131415161718192021222324252627282930313233343536373839404142[[#This Row],[SATIŞ]]=0,"Açık",(E34-D34)*C34)</f>
        <v>229.99999999999972</v>
      </c>
      <c r="G34" s="11">
        <f>Tablo1456789101112131415161718192021222324252627282930313233343536373839404142[[#This Row],[ADET]]*Tablo1456789101112131415161718192021222324252627282930313233343536373839404142[[#This Row],[ALIŞ]]</f>
        <v>3400</v>
      </c>
      <c r="H34" s="11">
        <f>Tablo1456789101112131415161718192021222324252627282930313233343536373839404142[[#This Row],[ADET]]*Tablo1456789101112131415161718192021222324252627282930313233343536373839404142[[#This Row],[SATIŞ]]</f>
        <v>3629.9999999999995</v>
      </c>
      <c r="J34" s="40" t="str">
        <f t="shared" si="0"/>
        <v/>
      </c>
    </row>
    <row r="35" spans="2:10" ht="21" hidden="1" customHeight="1" x14ac:dyDescent="0.3">
      <c r="B35" s="2">
        <v>45343</v>
      </c>
      <c r="C35" s="6">
        <v>30</v>
      </c>
      <c r="D35" s="10">
        <v>68</v>
      </c>
      <c r="E35" s="10">
        <v>71</v>
      </c>
      <c r="F35" s="9">
        <f>IF(Tablo1456789101112131415161718192021222324252627282930313233343536373839404142[[#This Row],[SATIŞ]]=0,"Açık",(E35-D35)*C35)</f>
        <v>90</v>
      </c>
      <c r="G35" s="11">
        <f>Tablo1456789101112131415161718192021222324252627282930313233343536373839404142[[#This Row],[ADET]]*Tablo1456789101112131415161718192021222324252627282930313233343536373839404142[[#This Row],[ALIŞ]]</f>
        <v>2040</v>
      </c>
      <c r="H35" s="11">
        <f>Tablo1456789101112131415161718192021222324252627282930313233343536373839404142[[#This Row],[ADET]]*Tablo1456789101112131415161718192021222324252627282930313233343536373839404142[[#This Row],[SATIŞ]]</f>
        <v>2130</v>
      </c>
      <c r="J35" s="40" t="str">
        <f t="shared" si="0"/>
        <v/>
      </c>
    </row>
    <row r="36" spans="2:10" ht="21" customHeight="1" x14ac:dyDescent="0.3">
      <c r="B36" s="2">
        <v>45348</v>
      </c>
      <c r="C36" s="6">
        <v>50</v>
      </c>
      <c r="D36" s="10">
        <v>70</v>
      </c>
      <c r="E36" s="10"/>
      <c r="F36" s="9" t="str">
        <f>IF(Tablo1456789101112131415161718192021222324252627282930313233343536373839404142[[#This Row],[SATIŞ]]=0,"Açık",(E36-D36)*C36)</f>
        <v>Açık</v>
      </c>
      <c r="G36" s="11">
        <f>Tablo1456789101112131415161718192021222324252627282930313233343536373839404142[[#This Row],[ADET]]*Tablo1456789101112131415161718192021222324252627282930313233343536373839404142[[#This Row],[ALIŞ]]</f>
        <v>3500</v>
      </c>
      <c r="H36" s="11">
        <f>Tablo1456789101112131415161718192021222324252627282930313233343536373839404142[[#This Row],[ADET]]*Tablo1456789101112131415161718192021222324252627282930313233343536373839404142[[#This Row],[SATIŞ]]</f>
        <v>0</v>
      </c>
      <c r="J36" s="40">
        <f t="shared" si="0"/>
        <v>73.5</v>
      </c>
    </row>
    <row r="37" spans="2:10" ht="21" customHeight="1" x14ac:dyDescent="0.3">
      <c r="B37" s="2">
        <v>45349</v>
      </c>
      <c r="C37" s="6">
        <v>50</v>
      </c>
      <c r="D37" s="10">
        <v>69</v>
      </c>
      <c r="E37" s="10"/>
      <c r="F37" s="9" t="str">
        <f>IF(Tablo1456789101112131415161718192021222324252627282930313233343536373839404142[[#This Row],[SATIŞ]]=0,"Açık",(E37-D37)*C37)</f>
        <v>Açık</v>
      </c>
      <c r="G37" s="11">
        <f>Tablo1456789101112131415161718192021222324252627282930313233343536373839404142[[#This Row],[ADET]]*Tablo1456789101112131415161718192021222324252627282930313233343536373839404142[[#This Row],[ALIŞ]]</f>
        <v>3450</v>
      </c>
      <c r="H37" s="11">
        <f>Tablo1456789101112131415161718192021222324252627282930313233343536373839404142[[#This Row],[ADET]]*Tablo1456789101112131415161718192021222324252627282930313233343536373839404142[[#This Row],[SATIŞ]]</f>
        <v>0</v>
      </c>
      <c r="J37" s="40">
        <f t="shared" si="0"/>
        <v>72.45</v>
      </c>
    </row>
    <row r="38" spans="2:10" ht="21" customHeight="1" x14ac:dyDescent="0.3">
      <c r="B38" s="2">
        <v>45350</v>
      </c>
      <c r="C38" s="6">
        <v>50</v>
      </c>
      <c r="D38" s="10">
        <v>66.5</v>
      </c>
      <c r="E38" s="10"/>
      <c r="F38" s="9" t="str">
        <f>IF(Tablo1456789101112131415161718192021222324252627282930313233343536373839404142[[#This Row],[SATIŞ]]=0,"Açık",(E38-D38)*C38)</f>
        <v>Açık</v>
      </c>
      <c r="G38" s="11">
        <f>Tablo1456789101112131415161718192021222324252627282930313233343536373839404142[[#This Row],[ADET]]*Tablo1456789101112131415161718192021222324252627282930313233343536373839404142[[#This Row],[ALIŞ]]</f>
        <v>3325</v>
      </c>
      <c r="H38" s="11">
        <f>Tablo1456789101112131415161718192021222324252627282930313233343536373839404142[[#This Row],[ADET]]*Tablo1456789101112131415161718192021222324252627282930313233343536373839404142[[#This Row],[SATIŞ]]</f>
        <v>0</v>
      </c>
      <c r="J38" s="40">
        <f t="shared" si="0"/>
        <v>69.825000000000003</v>
      </c>
    </row>
    <row r="39" spans="2:10" ht="21" customHeight="1" x14ac:dyDescent="0.3">
      <c r="B39" s="2">
        <v>45350</v>
      </c>
      <c r="C39" s="6">
        <v>50</v>
      </c>
      <c r="D39" s="10">
        <v>65</v>
      </c>
      <c r="E39" s="10"/>
      <c r="F39" s="9" t="str">
        <f>IF(Tablo1456789101112131415161718192021222324252627282930313233343536373839404142[[#This Row],[SATIŞ]]=0,"Açık",(E39-D39)*C39)</f>
        <v>Açık</v>
      </c>
      <c r="G39" s="11">
        <f>Tablo1456789101112131415161718192021222324252627282930313233343536373839404142[[#This Row],[ADET]]*Tablo1456789101112131415161718192021222324252627282930313233343536373839404142[[#This Row],[ALIŞ]]</f>
        <v>3250</v>
      </c>
      <c r="H39" s="11">
        <f>Tablo1456789101112131415161718192021222324252627282930313233343536373839404142[[#This Row],[ADET]]*Tablo1456789101112131415161718192021222324252627282930313233343536373839404142[[#This Row],[SATIŞ]]</f>
        <v>0</v>
      </c>
      <c r="J39" s="40">
        <f t="shared" si="0"/>
        <v>68.25</v>
      </c>
    </row>
    <row r="40" spans="2:10" ht="21" hidden="1" customHeight="1" x14ac:dyDescent="0.3">
      <c r="B40" s="2">
        <v>45355</v>
      </c>
      <c r="C40" s="6">
        <v>50</v>
      </c>
      <c r="D40" s="10">
        <v>63.5</v>
      </c>
      <c r="E40" s="10">
        <v>65</v>
      </c>
      <c r="F40" s="9">
        <f>IF(Tablo1456789101112131415161718192021222324252627282930313233343536373839404142[[#This Row],[SATIŞ]]=0,"Açık",(E40-D40)*C40)</f>
        <v>75</v>
      </c>
      <c r="G40" s="11">
        <f>Tablo1456789101112131415161718192021222324252627282930313233343536373839404142[[#This Row],[ADET]]*Tablo1456789101112131415161718192021222324252627282930313233343536373839404142[[#This Row],[ALIŞ]]</f>
        <v>3175</v>
      </c>
      <c r="H40" s="11">
        <f>Tablo1456789101112131415161718192021222324252627282930313233343536373839404142[[#This Row],[ADET]]*Tablo1456789101112131415161718192021222324252627282930313233343536373839404142[[#This Row],[SATIŞ]]</f>
        <v>3250</v>
      </c>
      <c r="J40" s="40" t="str">
        <f t="shared" si="0"/>
        <v/>
      </c>
    </row>
    <row r="41" spans="2:10" ht="21" hidden="1" customHeight="1" x14ac:dyDescent="0.3">
      <c r="B41" s="2">
        <v>45356</v>
      </c>
      <c r="C41" s="6">
        <v>50</v>
      </c>
      <c r="D41" s="10">
        <v>63</v>
      </c>
      <c r="E41" s="10">
        <v>64</v>
      </c>
      <c r="F41" s="9">
        <f>IF(Tablo1456789101112131415161718192021222324252627282930313233343536373839404142[[#This Row],[SATIŞ]]=0,"Açık",(E41-D41)*C41)</f>
        <v>50</v>
      </c>
      <c r="G41" s="11">
        <f>Tablo1456789101112131415161718192021222324252627282930313233343536373839404142[[#This Row],[ADET]]*Tablo1456789101112131415161718192021222324252627282930313233343536373839404142[[#This Row],[ALIŞ]]</f>
        <v>3150</v>
      </c>
      <c r="H41" s="11">
        <f>Tablo1456789101112131415161718192021222324252627282930313233343536373839404142[[#This Row],[ADET]]*Tablo1456789101112131415161718192021222324252627282930313233343536373839404142[[#This Row],[SATIŞ]]</f>
        <v>3200</v>
      </c>
      <c r="J41" s="40" t="str">
        <f t="shared" si="0"/>
        <v/>
      </c>
    </row>
    <row r="42" spans="2:10" ht="21" hidden="1" customHeight="1" x14ac:dyDescent="0.3">
      <c r="B42" s="2">
        <v>45357</v>
      </c>
      <c r="C42" s="6">
        <v>50</v>
      </c>
      <c r="D42" s="10">
        <v>62</v>
      </c>
      <c r="E42" s="10">
        <v>65</v>
      </c>
      <c r="F42" s="9">
        <f>IF(Tablo1456789101112131415161718192021222324252627282930313233343536373839404142[[#This Row],[SATIŞ]]=0,"Açık",(E42-D42)*C42)</f>
        <v>150</v>
      </c>
      <c r="G42" s="11">
        <f>Tablo1456789101112131415161718192021222324252627282930313233343536373839404142[[#This Row],[ADET]]*Tablo1456789101112131415161718192021222324252627282930313233343536373839404142[[#This Row],[ALIŞ]]</f>
        <v>3100</v>
      </c>
      <c r="H42" s="11">
        <f>Tablo1456789101112131415161718192021222324252627282930313233343536373839404142[[#This Row],[ADET]]*Tablo1456789101112131415161718192021222324252627282930313233343536373839404142[[#This Row],[SATIŞ]]</f>
        <v>3250</v>
      </c>
      <c r="J42" s="40" t="str">
        <f t="shared" si="0"/>
        <v/>
      </c>
    </row>
    <row r="43" spans="2:10" ht="21" hidden="1" customHeight="1" x14ac:dyDescent="0.3">
      <c r="B43" s="2">
        <v>45357</v>
      </c>
      <c r="C43" s="6">
        <v>50</v>
      </c>
      <c r="D43" s="10">
        <v>63</v>
      </c>
      <c r="E43" s="10">
        <v>63.5</v>
      </c>
      <c r="F43" s="9">
        <f>IF(Tablo1456789101112131415161718192021222324252627282930313233343536373839404142[[#This Row],[SATIŞ]]=0,"Açık",(E43-D43)*C43)</f>
        <v>25</v>
      </c>
      <c r="G43" s="11">
        <f>Tablo1456789101112131415161718192021222324252627282930313233343536373839404142[[#This Row],[ADET]]*Tablo1456789101112131415161718192021222324252627282930313233343536373839404142[[#This Row],[ALIŞ]]</f>
        <v>3150</v>
      </c>
      <c r="H43" s="11">
        <f>Tablo1456789101112131415161718192021222324252627282930313233343536373839404142[[#This Row],[ADET]]*Tablo1456789101112131415161718192021222324252627282930313233343536373839404142[[#This Row],[SATIŞ]]</f>
        <v>3175</v>
      </c>
      <c r="J43" s="40" t="str">
        <f t="shared" si="0"/>
        <v/>
      </c>
    </row>
    <row r="44" spans="2:10" ht="21" customHeight="1" x14ac:dyDescent="0.3">
      <c r="B44" s="2">
        <v>45357</v>
      </c>
      <c r="C44" s="6">
        <v>50</v>
      </c>
      <c r="D44" s="10">
        <v>63</v>
      </c>
      <c r="E44" s="10"/>
      <c r="F44" s="9" t="str">
        <f>IF(Tablo1456789101112131415161718192021222324252627282930313233343536373839404142[[#This Row],[SATIŞ]]=0,"Açık",(E44-D44)*C44)</f>
        <v>Açık</v>
      </c>
      <c r="G44" s="11">
        <f>Tablo1456789101112131415161718192021222324252627282930313233343536373839404142[[#This Row],[ADET]]*Tablo1456789101112131415161718192021222324252627282930313233343536373839404142[[#This Row],[ALIŞ]]</f>
        <v>3150</v>
      </c>
      <c r="H44" s="11">
        <f>Tablo1456789101112131415161718192021222324252627282930313233343536373839404142[[#This Row],[ADET]]*Tablo1456789101112131415161718192021222324252627282930313233343536373839404142[[#This Row],[SATIŞ]]</f>
        <v>0</v>
      </c>
      <c r="J44" s="40">
        <f t="shared" si="0"/>
        <v>66.150000000000006</v>
      </c>
    </row>
    <row r="45" spans="2:10" ht="21" customHeight="1" x14ac:dyDescent="0.3">
      <c r="B45" s="2">
        <v>45359</v>
      </c>
      <c r="C45" s="6">
        <v>50</v>
      </c>
      <c r="D45" s="10">
        <v>63</v>
      </c>
      <c r="E45" s="10"/>
      <c r="F45" s="9" t="str">
        <f>IF(Tablo1456789101112131415161718192021222324252627282930313233343536373839404142[[#This Row],[SATIŞ]]=0,"Açık",(E45-D45)*C45)</f>
        <v>Açık</v>
      </c>
      <c r="G45" s="11">
        <f>Tablo1456789101112131415161718192021222324252627282930313233343536373839404142[[#This Row],[ADET]]*Tablo1456789101112131415161718192021222324252627282930313233343536373839404142[[#This Row],[ALIŞ]]</f>
        <v>3150</v>
      </c>
      <c r="H45" s="11">
        <f>Tablo1456789101112131415161718192021222324252627282930313233343536373839404142[[#This Row],[ADET]]*Tablo1456789101112131415161718192021222324252627282930313233343536373839404142[[#This Row],[SATIŞ]]</f>
        <v>0</v>
      </c>
      <c r="J45" s="40">
        <f t="shared" si="0"/>
        <v>66.150000000000006</v>
      </c>
    </row>
    <row r="46" spans="2:10" ht="21" customHeight="1" x14ac:dyDescent="0.3">
      <c r="B46" s="2">
        <v>45362</v>
      </c>
      <c r="C46" s="6">
        <v>50</v>
      </c>
      <c r="D46" s="10">
        <v>62</v>
      </c>
      <c r="E46" s="10"/>
      <c r="F46" s="9" t="str">
        <f>IF(Tablo1456789101112131415161718192021222324252627282930313233343536373839404142[[#This Row],[SATIŞ]]=0,"Açık",(E46-D46)*C46)</f>
        <v>Açık</v>
      </c>
      <c r="G46" s="11">
        <f>Tablo1456789101112131415161718192021222324252627282930313233343536373839404142[[#This Row],[ADET]]*Tablo1456789101112131415161718192021222324252627282930313233343536373839404142[[#This Row],[ALIŞ]]</f>
        <v>3100</v>
      </c>
      <c r="H46" s="11">
        <f>Tablo1456789101112131415161718192021222324252627282930313233343536373839404142[[#This Row],[ADET]]*Tablo1456789101112131415161718192021222324252627282930313233343536373839404142[[#This Row],[SATIŞ]]</f>
        <v>0</v>
      </c>
      <c r="J46" s="40">
        <f t="shared" si="0"/>
        <v>65.100000000000009</v>
      </c>
    </row>
    <row r="47" spans="2:10" ht="21" customHeight="1" x14ac:dyDescent="0.3">
      <c r="B47" s="2">
        <v>45363</v>
      </c>
      <c r="C47" s="6">
        <v>50</v>
      </c>
      <c r="D47" s="10">
        <v>60.5</v>
      </c>
      <c r="E47" s="10"/>
      <c r="F47" s="9" t="str">
        <f>IF(Tablo1456789101112131415161718192021222324252627282930313233343536373839404142[[#This Row],[SATIŞ]]=0,"Açık",(E47-D47)*C47)</f>
        <v>Açık</v>
      </c>
      <c r="G47" s="11">
        <f>Tablo1456789101112131415161718192021222324252627282930313233343536373839404142[[#This Row],[ADET]]*Tablo1456789101112131415161718192021222324252627282930313233343536373839404142[[#This Row],[ALIŞ]]</f>
        <v>3025</v>
      </c>
      <c r="H47" s="11">
        <f>Tablo1456789101112131415161718192021222324252627282930313233343536373839404142[[#This Row],[ADET]]*Tablo1456789101112131415161718192021222324252627282930313233343536373839404142[[#This Row],[SATIŞ]]</f>
        <v>0</v>
      </c>
      <c r="J47" s="40">
        <f t="shared" si="0"/>
        <v>63.525000000000006</v>
      </c>
    </row>
    <row r="48" spans="2:10" ht="21" customHeight="1" x14ac:dyDescent="0.3">
      <c r="B48" s="2">
        <v>45363</v>
      </c>
      <c r="C48" s="6">
        <v>50</v>
      </c>
      <c r="D48" s="10">
        <v>60.5</v>
      </c>
      <c r="E48" s="10"/>
      <c r="F48" s="9" t="str">
        <f>IF(Tablo1456789101112131415161718192021222324252627282930313233343536373839404142[[#This Row],[SATIŞ]]=0,"Açık",(E48-D48)*C48)</f>
        <v>Açık</v>
      </c>
      <c r="G48" s="11">
        <f>Tablo1456789101112131415161718192021222324252627282930313233343536373839404142[[#This Row],[ADET]]*Tablo1456789101112131415161718192021222324252627282930313233343536373839404142[[#This Row],[ALIŞ]]</f>
        <v>3025</v>
      </c>
      <c r="H48" s="11">
        <f>Tablo1456789101112131415161718192021222324252627282930313233343536373839404142[[#This Row],[ADET]]*Tablo1456789101112131415161718192021222324252627282930313233343536373839404142[[#This Row],[SATIŞ]]</f>
        <v>0</v>
      </c>
      <c r="J48" s="40">
        <f t="shared" si="0"/>
        <v>63.525000000000006</v>
      </c>
    </row>
    <row r="49" spans="2:10" ht="21" customHeight="1" x14ac:dyDescent="0.3">
      <c r="B49" s="2">
        <v>45363</v>
      </c>
      <c r="C49" s="6">
        <v>50</v>
      </c>
      <c r="D49" s="10">
        <v>60.4</v>
      </c>
      <c r="E49" s="10"/>
      <c r="F49" s="9" t="str">
        <f>IF(Tablo1456789101112131415161718192021222324252627282930313233343536373839404142[[#This Row],[SATIŞ]]=0,"Açık",(E49-D49)*C49)</f>
        <v>Açık</v>
      </c>
      <c r="G49" s="11">
        <f>Tablo1456789101112131415161718192021222324252627282930313233343536373839404142[[#This Row],[ADET]]*Tablo1456789101112131415161718192021222324252627282930313233343536373839404142[[#This Row],[ALIŞ]]</f>
        <v>3020</v>
      </c>
      <c r="H49" s="11">
        <f>Tablo1456789101112131415161718192021222324252627282930313233343536373839404142[[#This Row],[ADET]]*Tablo1456789101112131415161718192021222324252627282930313233343536373839404142[[#This Row],[SATIŞ]]</f>
        <v>0</v>
      </c>
      <c r="J49" s="40">
        <f t="shared" si="0"/>
        <v>63.42</v>
      </c>
    </row>
    <row r="50" spans="2:10" ht="21" customHeight="1" x14ac:dyDescent="0.3">
      <c r="B50" s="2">
        <v>45363</v>
      </c>
      <c r="C50" s="6">
        <v>50</v>
      </c>
      <c r="D50" s="10">
        <v>60.4</v>
      </c>
      <c r="E50" s="10"/>
      <c r="F50" s="9" t="str">
        <f>IF(Tablo1456789101112131415161718192021222324252627282930313233343536373839404142[[#This Row],[SATIŞ]]=0,"Açık",(E50-D50)*C50)</f>
        <v>Açık</v>
      </c>
      <c r="G50" s="11">
        <f>Tablo1456789101112131415161718192021222324252627282930313233343536373839404142[[#This Row],[ADET]]*Tablo1456789101112131415161718192021222324252627282930313233343536373839404142[[#This Row],[ALIŞ]]</f>
        <v>3020</v>
      </c>
      <c r="H50" s="11">
        <f>Tablo1456789101112131415161718192021222324252627282930313233343536373839404142[[#This Row],[ADET]]*Tablo1456789101112131415161718192021222324252627282930313233343536373839404142[[#This Row],[SATIŞ]]</f>
        <v>0</v>
      </c>
      <c r="J50" s="40">
        <f t="shared" si="0"/>
        <v>63.42</v>
      </c>
    </row>
    <row r="51" spans="2:10" ht="21" customHeight="1" x14ac:dyDescent="0.3">
      <c r="B51" s="2">
        <v>45363</v>
      </c>
      <c r="C51" s="6">
        <v>50</v>
      </c>
      <c r="D51" s="10">
        <v>60.3</v>
      </c>
      <c r="E51" s="10"/>
      <c r="F51" s="9" t="str">
        <f>IF(Tablo1456789101112131415161718192021222324252627282930313233343536373839404142[[#This Row],[SATIŞ]]=0,"Açık",(E51-D51)*C51)</f>
        <v>Açık</v>
      </c>
      <c r="G51" s="11">
        <f>Tablo1456789101112131415161718192021222324252627282930313233343536373839404142[[#This Row],[ADET]]*Tablo1456789101112131415161718192021222324252627282930313233343536373839404142[[#This Row],[ALIŞ]]</f>
        <v>3015</v>
      </c>
      <c r="H51" s="11">
        <f>Tablo1456789101112131415161718192021222324252627282930313233343536373839404142[[#This Row],[ADET]]*Tablo1456789101112131415161718192021222324252627282930313233343536373839404142[[#This Row],[SATIŞ]]</f>
        <v>0</v>
      </c>
      <c r="J51" s="40">
        <f t="shared" si="0"/>
        <v>63.314999999999998</v>
      </c>
    </row>
    <row r="52" spans="2:10" ht="21" customHeight="1" x14ac:dyDescent="0.3">
      <c r="B52" s="2">
        <v>45363</v>
      </c>
      <c r="C52" s="6">
        <v>50</v>
      </c>
      <c r="D52" s="10">
        <v>60.3</v>
      </c>
      <c r="E52" s="10"/>
      <c r="F52" s="9" t="str">
        <f>IF(Tablo1456789101112131415161718192021222324252627282930313233343536373839404142[[#This Row],[SATIŞ]]=0,"Açık",(E52-D52)*C52)</f>
        <v>Açık</v>
      </c>
      <c r="G52" s="11">
        <f>Tablo1456789101112131415161718192021222324252627282930313233343536373839404142[[#This Row],[ADET]]*Tablo1456789101112131415161718192021222324252627282930313233343536373839404142[[#This Row],[ALIŞ]]</f>
        <v>3015</v>
      </c>
      <c r="H52" s="11">
        <f>Tablo1456789101112131415161718192021222324252627282930313233343536373839404142[[#This Row],[ADET]]*Tablo1456789101112131415161718192021222324252627282930313233343536373839404142[[#This Row],[SATIŞ]]</f>
        <v>0</v>
      </c>
      <c r="J52" s="40">
        <f t="shared" si="0"/>
        <v>63.314999999999998</v>
      </c>
    </row>
    <row r="53" spans="2:10" ht="21" customHeight="1" x14ac:dyDescent="0.3">
      <c r="B53" s="2">
        <v>45363</v>
      </c>
      <c r="C53" s="6">
        <v>50</v>
      </c>
      <c r="D53" s="10">
        <v>60.2</v>
      </c>
      <c r="E53" s="10"/>
      <c r="F53" s="9" t="str">
        <f>IF(Tablo1456789101112131415161718192021222324252627282930313233343536373839404142[[#This Row],[SATIŞ]]=0,"Açık",(E53-D53)*C53)</f>
        <v>Açık</v>
      </c>
      <c r="G53" s="11">
        <f>Tablo1456789101112131415161718192021222324252627282930313233343536373839404142[[#This Row],[ADET]]*Tablo1456789101112131415161718192021222324252627282930313233343536373839404142[[#This Row],[ALIŞ]]</f>
        <v>3010</v>
      </c>
      <c r="H53" s="11">
        <f>Tablo1456789101112131415161718192021222324252627282930313233343536373839404142[[#This Row],[ADET]]*Tablo1456789101112131415161718192021222324252627282930313233343536373839404142[[#This Row],[SATIŞ]]</f>
        <v>0</v>
      </c>
      <c r="J53" s="40">
        <f t="shared" si="0"/>
        <v>63.210000000000008</v>
      </c>
    </row>
    <row r="54" spans="2:10" ht="21" customHeight="1" x14ac:dyDescent="0.3">
      <c r="B54" s="2">
        <v>45363</v>
      </c>
      <c r="C54" s="6">
        <v>50</v>
      </c>
      <c r="D54" s="10">
        <v>60.2</v>
      </c>
      <c r="E54" s="10"/>
      <c r="F54" s="9" t="str">
        <f>IF(Tablo1456789101112131415161718192021222324252627282930313233343536373839404142[[#This Row],[SATIŞ]]=0,"Açık",(E54-D54)*C54)</f>
        <v>Açık</v>
      </c>
      <c r="G54" s="11">
        <f>Tablo1456789101112131415161718192021222324252627282930313233343536373839404142[[#This Row],[ADET]]*Tablo1456789101112131415161718192021222324252627282930313233343536373839404142[[#This Row],[ALIŞ]]</f>
        <v>3010</v>
      </c>
      <c r="H54" s="11">
        <f>Tablo1456789101112131415161718192021222324252627282930313233343536373839404142[[#This Row],[ADET]]*Tablo1456789101112131415161718192021222324252627282930313233343536373839404142[[#This Row],[SATIŞ]]</f>
        <v>0</v>
      </c>
      <c r="J54" s="40">
        <f t="shared" si="0"/>
        <v>63.210000000000008</v>
      </c>
    </row>
    <row r="55" spans="2:10" ht="21" customHeight="1" x14ac:dyDescent="0.3">
      <c r="B55" s="2">
        <v>45363</v>
      </c>
      <c r="C55" s="6">
        <v>50</v>
      </c>
      <c r="D55" s="10">
        <v>60.1</v>
      </c>
      <c r="E55" s="10"/>
      <c r="F55" s="9" t="str">
        <f>IF(Tablo1456789101112131415161718192021222324252627282930313233343536373839404142[[#This Row],[SATIŞ]]=0,"Açık",(E55-D55)*C55)</f>
        <v>Açık</v>
      </c>
      <c r="G55" s="11">
        <f>Tablo1456789101112131415161718192021222324252627282930313233343536373839404142[[#This Row],[ADET]]*Tablo1456789101112131415161718192021222324252627282930313233343536373839404142[[#This Row],[ALIŞ]]</f>
        <v>3005</v>
      </c>
      <c r="H55" s="11">
        <f>Tablo1456789101112131415161718192021222324252627282930313233343536373839404142[[#This Row],[ADET]]*Tablo1456789101112131415161718192021222324252627282930313233343536373839404142[[#This Row],[SATIŞ]]</f>
        <v>0</v>
      </c>
      <c r="J55" s="40">
        <f t="shared" si="0"/>
        <v>63.105000000000004</v>
      </c>
    </row>
    <row r="56" spans="2:10" ht="21" customHeight="1" x14ac:dyDescent="0.3">
      <c r="B56" s="2">
        <v>45363</v>
      </c>
      <c r="C56" s="6">
        <v>50</v>
      </c>
      <c r="D56" s="10">
        <v>60.1</v>
      </c>
      <c r="E56" s="10"/>
      <c r="F56" s="9" t="str">
        <f>IF(Tablo1456789101112131415161718192021222324252627282930313233343536373839404142[[#This Row],[SATIŞ]]=0,"Açık",(E56-D56)*C56)</f>
        <v>Açık</v>
      </c>
      <c r="G56" s="11">
        <f>Tablo1456789101112131415161718192021222324252627282930313233343536373839404142[[#This Row],[ADET]]*Tablo1456789101112131415161718192021222324252627282930313233343536373839404142[[#This Row],[ALIŞ]]</f>
        <v>3005</v>
      </c>
      <c r="H56" s="11">
        <f>Tablo1456789101112131415161718192021222324252627282930313233343536373839404142[[#This Row],[ADET]]*Tablo1456789101112131415161718192021222324252627282930313233343536373839404142[[#This Row],[SATIŞ]]</f>
        <v>0</v>
      </c>
      <c r="J56" s="40">
        <f t="shared" si="0"/>
        <v>63.105000000000004</v>
      </c>
    </row>
    <row r="57" spans="2:10" ht="21" customHeight="1" x14ac:dyDescent="0.3">
      <c r="B57" s="2">
        <v>45363</v>
      </c>
      <c r="C57" s="6">
        <v>50</v>
      </c>
      <c r="D57" s="10">
        <v>60</v>
      </c>
      <c r="E57" s="10"/>
      <c r="F57" s="9" t="str">
        <f>IF(Tablo1456789101112131415161718192021222324252627282930313233343536373839404142[[#This Row],[SATIŞ]]=0,"Açık",(E57-D57)*C57)</f>
        <v>Açık</v>
      </c>
      <c r="G57" s="11">
        <f>Tablo1456789101112131415161718192021222324252627282930313233343536373839404142[[#This Row],[ADET]]*Tablo1456789101112131415161718192021222324252627282930313233343536373839404142[[#This Row],[ALIŞ]]</f>
        <v>3000</v>
      </c>
      <c r="H57" s="11">
        <f>Tablo1456789101112131415161718192021222324252627282930313233343536373839404142[[#This Row],[ADET]]*Tablo1456789101112131415161718192021222324252627282930313233343536373839404142[[#This Row],[SATIŞ]]</f>
        <v>0</v>
      </c>
      <c r="J57" s="40">
        <f t="shared" si="0"/>
        <v>63</v>
      </c>
    </row>
    <row r="58" spans="2:10" ht="21" hidden="1" customHeight="1" x14ac:dyDescent="0.3">
      <c r="B58" s="2">
        <v>45363</v>
      </c>
      <c r="C58" s="6">
        <v>50</v>
      </c>
      <c r="D58" s="10">
        <v>60</v>
      </c>
      <c r="E58" s="10">
        <v>60.5</v>
      </c>
      <c r="F58" s="9">
        <f>IF(Tablo1456789101112131415161718192021222324252627282930313233343536373839404142[[#This Row],[SATIŞ]]=0,"Açık",(E58-D58)*C58)</f>
        <v>25</v>
      </c>
      <c r="G58" s="11">
        <f>Tablo1456789101112131415161718192021222324252627282930313233343536373839404142[[#This Row],[ADET]]*Tablo1456789101112131415161718192021222324252627282930313233343536373839404142[[#This Row],[ALIŞ]]</f>
        <v>3000</v>
      </c>
      <c r="H58" s="11">
        <f>Tablo1456789101112131415161718192021222324252627282930313233343536373839404142[[#This Row],[ADET]]*Tablo1456789101112131415161718192021222324252627282930313233343536373839404142[[#This Row],[SATIŞ]]</f>
        <v>3025</v>
      </c>
      <c r="J58" s="40" t="str">
        <f t="shared" si="0"/>
        <v/>
      </c>
    </row>
    <row r="59" spans="2:10" ht="21" hidden="1" customHeight="1" x14ac:dyDescent="0.3">
      <c r="B59" s="2">
        <v>45365</v>
      </c>
      <c r="C59" s="6">
        <v>50</v>
      </c>
      <c r="D59" s="10">
        <v>59</v>
      </c>
      <c r="E59" s="10">
        <v>59.5</v>
      </c>
      <c r="F59" s="9">
        <f>IF(Tablo1456789101112131415161718192021222324252627282930313233343536373839404142[[#This Row],[SATIŞ]]=0,"Açık",(E59-D59)*C59)</f>
        <v>25</v>
      </c>
      <c r="G59" s="11">
        <f>Tablo1456789101112131415161718192021222324252627282930313233343536373839404142[[#This Row],[ADET]]*Tablo1456789101112131415161718192021222324252627282930313233343536373839404142[[#This Row],[ALIŞ]]</f>
        <v>2950</v>
      </c>
      <c r="H59" s="11">
        <f>Tablo1456789101112131415161718192021222324252627282930313233343536373839404142[[#This Row],[ADET]]*Tablo1456789101112131415161718192021222324252627282930313233343536373839404142[[#This Row],[SATIŞ]]</f>
        <v>2975</v>
      </c>
      <c r="J59" s="40" t="str">
        <f t="shared" si="0"/>
        <v/>
      </c>
    </row>
    <row r="60" spans="2:10" ht="21" hidden="1" customHeight="1" x14ac:dyDescent="0.3">
      <c r="B60" s="2">
        <v>45365</v>
      </c>
      <c r="C60" s="6">
        <v>50</v>
      </c>
      <c r="D60" s="10">
        <v>59</v>
      </c>
      <c r="E60" s="10">
        <v>60</v>
      </c>
      <c r="F60" s="9">
        <f>IF(Tablo1456789101112131415161718192021222324252627282930313233343536373839404142[[#This Row],[SATIŞ]]=0,"Açık",(E60-D60)*C60)</f>
        <v>50</v>
      </c>
      <c r="G60" s="11">
        <f>Tablo1456789101112131415161718192021222324252627282930313233343536373839404142[[#This Row],[ADET]]*Tablo1456789101112131415161718192021222324252627282930313233343536373839404142[[#This Row],[ALIŞ]]</f>
        <v>2950</v>
      </c>
      <c r="H60" s="11">
        <f>Tablo1456789101112131415161718192021222324252627282930313233343536373839404142[[#This Row],[ADET]]*Tablo1456789101112131415161718192021222324252627282930313233343536373839404142[[#This Row],[SATIŞ]]</f>
        <v>3000</v>
      </c>
      <c r="J60" s="40" t="str">
        <f t="shared" si="0"/>
        <v/>
      </c>
    </row>
    <row r="61" spans="2:10" ht="21" hidden="1" customHeight="1" x14ac:dyDescent="0.3">
      <c r="B61" s="2">
        <v>45365</v>
      </c>
      <c r="C61" s="6">
        <v>50</v>
      </c>
      <c r="D61" s="10">
        <v>59.5</v>
      </c>
      <c r="E61" s="10">
        <v>61</v>
      </c>
      <c r="F61" s="9">
        <f>IF(Tablo1456789101112131415161718192021222324252627282930313233343536373839404142[[#This Row],[SATIŞ]]=0,"Açık",(E61-D61)*C61)</f>
        <v>75</v>
      </c>
      <c r="G61" s="11">
        <f>Tablo1456789101112131415161718192021222324252627282930313233343536373839404142[[#This Row],[ADET]]*Tablo1456789101112131415161718192021222324252627282930313233343536373839404142[[#This Row],[ALIŞ]]</f>
        <v>2975</v>
      </c>
      <c r="H61" s="11">
        <f>Tablo1456789101112131415161718192021222324252627282930313233343536373839404142[[#This Row],[ADET]]*Tablo1456789101112131415161718192021222324252627282930313233343536373839404142[[#This Row],[SATIŞ]]</f>
        <v>3050</v>
      </c>
      <c r="J61" s="40" t="str">
        <f t="shared" si="0"/>
        <v/>
      </c>
    </row>
    <row r="62" spans="2:10" ht="21" hidden="1" customHeight="1" x14ac:dyDescent="0.3">
      <c r="B62" s="2">
        <v>45365</v>
      </c>
      <c r="C62" s="6">
        <v>50</v>
      </c>
      <c r="D62" s="10">
        <v>59</v>
      </c>
      <c r="E62" s="10">
        <v>60.5</v>
      </c>
      <c r="F62" s="9">
        <f>IF(Tablo1456789101112131415161718192021222324252627282930313233343536373839404142[[#This Row],[SATIŞ]]=0,"Açık",(E62-D62)*C62)</f>
        <v>75</v>
      </c>
      <c r="G62" s="11">
        <f>Tablo1456789101112131415161718192021222324252627282930313233343536373839404142[[#This Row],[ADET]]*Tablo1456789101112131415161718192021222324252627282930313233343536373839404142[[#This Row],[ALIŞ]]</f>
        <v>2950</v>
      </c>
      <c r="H62" s="11">
        <f>Tablo1456789101112131415161718192021222324252627282930313233343536373839404142[[#This Row],[ADET]]*Tablo1456789101112131415161718192021222324252627282930313233343536373839404142[[#This Row],[SATIŞ]]</f>
        <v>3025</v>
      </c>
      <c r="J62" s="40" t="str">
        <f t="shared" si="0"/>
        <v/>
      </c>
    </row>
    <row r="63" spans="2:10" ht="21" hidden="1" customHeight="1" x14ac:dyDescent="0.3">
      <c r="B63" s="2">
        <v>45369</v>
      </c>
      <c r="C63" s="6">
        <v>50</v>
      </c>
      <c r="D63" s="10">
        <v>57</v>
      </c>
      <c r="E63" s="10">
        <v>57</v>
      </c>
      <c r="F63" s="9">
        <f>IF(Tablo1456789101112131415161718192021222324252627282930313233343536373839404142[[#This Row],[SATIŞ]]=0,"Açık",(E63-D63)*C63)</f>
        <v>0</v>
      </c>
      <c r="G63" s="11">
        <f>Tablo1456789101112131415161718192021222324252627282930313233343536373839404142[[#This Row],[ADET]]*Tablo1456789101112131415161718192021222324252627282930313233343536373839404142[[#This Row],[ALIŞ]]</f>
        <v>2850</v>
      </c>
      <c r="H63" s="11">
        <f>Tablo1456789101112131415161718192021222324252627282930313233343536373839404142[[#This Row],[ADET]]*Tablo1456789101112131415161718192021222324252627282930313233343536373839404142[[#This Row],[SATIŞ]]</f>
        <v>2850</v>
      </c>
      <c r="J63" s="40" t="str">
        <f t="shared" si="0"/>
        <v/>
      </c>
    </row>
    <row r="64" spans="2:10" ht="21" hidden="1" customHeight="1" x14ac:dyDescent="0.3">
      <c r="B64" s="2">
        <v>45369</v>
      </c>
      <c r="C64" s="6">
        <v>50</v>
      </c>
      <c r="D64" s="10">
        <v>57</v>
      </c>
      <c r="E64" s="10">
        <v>58</v>
      </c>
      <c r="F64" s="9">
        <f>IF(Tablo1456789101112131415161718192021222324252627282930313233343536373839404142[[#This Row],[SATIŞ]]=0,"Açık",(E64-D64)*C64)</f>
        <v>50</v>
      </c>
      <c r="G64" s="11">
        <f>Tablo1456789101112131415161718192021222324252627282930313233343536373839404142[[#This Row],[ADET]]*Tablo1456789101112131415161718192021222324252627282930313233343536373839404142[[#This Row],[ALIŞ]]</f>
        <v>2850</v>
      </c>
      <c r="H64" s="11">
        <f>Tablo1456789101112131415161718192021222324252627282930313233343536373839404142[[#This Row],[ADET]]*Tablo1456789101112131415161718192021222324252627282930313233343536373839404142[[#This Row],[SATIŞ]]</f>
        <v>2900</v>
      </c>
      <c r="J64" s="40" t="str">
        <f t="shared" si="0"/>
        <v/>
      </c>
    </row>
    <row r="65" spans="2:10" ht="21" hidden="1" customHeight="1" x14ac:dyDescent="0.3">
      <c r="B65" s="2">
        <v>45369</v>
      </c>
      <c r="C65" s="6">
        <v>50</v>
      </c>
      <c r="D65" s="10">
        <v>56.5</v>
      </c>
      <c r="E65" s="10">
        <v>58</v>
      </c>
      <c r="F65" s="9">
        <f>IF(Tablo1456789101112131415161718192021222324252627282930313233343536373839404142[[#This Row],[SATIŞ]]=0,"Açık",(E65-D65)*C65)</f>
        <v>75</v>
      </c>
      <c r="G65" s="11">
        <f>Tablo1456789101112131415161718192021222324252627282930313233343536373839404142[[#This Row],[ADET]]*Tablo1456789101112131415161718192021222324252627282930313233343536373839404142[[#This Row],[ALIŞ]]</f>
        <v>2825</v>
      </c>
      <c r="H65" s="11">
        <f>Tablo1456789101112131415161718192021222324252627282930313233343536373839404142[[#This Row],[ADET]]*Tablo1456789101112131415161718192021222324252627282930313233343536373839404142[[#This Row],[SATIŞ]]</f>
        <v>2900</v>
      </c>
      <c r="J65" s="40" t="str">
        <f t="shared" ref="J65:J88" si="1">IF(E65=0,D65*1.05,"")</f>
        <v/>
      </c>
    </row>
    <row r="66" spans="2:10" ht="21" hidden="1" customHeight="1" x14ac:dyDescent="0.3">
      <c r="B66" s="2">
        <v>45369</v>
      </c>
      <c r="C66" s="6">
        <v>50</v>
      </c>
      <c r="D66" s="10">
        <v>56</v>
      </c>
      <c r="E66" s="10">
        <v>57</v>
      </c>
      <c r="F66" s="9">
        <f>IF(Tablo1456789101112131415161718192021222324252627282930313233343536373839404142[[#This Row],[SATIŞ]]=0,"Açık",(E66-D66)*C66)</f>
        <v>50</v>
      </c>
      <c r="G66" s="11">
        <f>Tablo1456789101112131415161718192021222324252627282930313233343536373839404142[[#This Row],[ADET]]*Tablo1456789101112131415161718192021222324252627282930313233343536373839404142[[#This Row],[ALIŞ]]</f>
        <v>2800</v>
      </c>
      <c r="H66" s="11">
        <f>Tablo1456789101112131415161718192021222324252627282930313233343536373839404142[[#This Row],[ADET]]*Tablo1456789101112131415161718192021222324252627282930313233343536373839404142[[#This Row],[SATIŞ]]</f>
        <v>2850</v>
      </c>
      <c r="J66" s="40" t="str">
        <f t="shared" si="1"/>
        <v/>
      </c>
    </row>
    <row r="67" spans="2:10" ht="21" hidden="1" customHeight="1" x14ac:dyDescent="0.3">
      <c r="B67" s="2">
        <v>45369</v>
      </c>
      <c r="C67" s="6">
        <v>50</v>
      </c>
      <c r="D67" s="10">
        <v>55.5</v>
      </c>
      <c r="E67" s="10">
        <v>56.5</v>
      </c>
      <c r="F67" s="9">
        <f>IF(Tablo1456789101112131415161718192021222324252627282930313233343536373839404142[[#This Row],[SATIŞ]]=0,"Açık",(E67-D67)*C67)</f>
        <v>50</v>
      </c>
      <c r="G67" s="11">
        <f>Tablo1456789101112131415161718192021222324252627282930313233343536373839404142[[#This Row],[ADET]]*Tablo1456789101112131415161718192021222324252627282930313233343536373839404142[[#This Row],[ALIŞ]]</f>
        <v>2775</v>
      </c>
      <c r="H67" s="11">
        <f>Tablo1456789101112131415161718192021222324252627282930313233343536373839404142[[#This Row],[ADET]]*Tablo1456789101112131415161718192021222324252627282930313233343536373839404142[[#This Row],[SATIŞ]]</f>
        <v>2825</v>
      </c>
      <c r="J67" s="40" t="str">
        <f t="shared" si="1"/>
        <v/>
      </c>
    </row>
    <row r="68" spans="2:10" ht="21" hidden="1" customHeight="1" x14ac:dyDescent="0.3">
      <c r="B68" s="2">
        <v>45370</v>
      </c>
      <c r="C68" s="6">
        <v>50</v>
      </c>
      <c r="D68" s="10">
        <v>55.5</v>
      </c>
      <c r="E68" s="10">
        <v>56</v>
      </c>
      <c r="F68" s="9">
        <f>IF(Tablo1456789101112131415161718192021222324252627282930313233343536373839404142[[#This Row],[SATIŞ]]=0,"Açık",(E68-D68)*C68)</f>
        <v>25</v>
      </c>
      <c r="G68" s="11">
        <f>Tablo1456789101112131415161718192021222324252627282930313233343536373839404142[[#This Row],[ADET]]*Tablo1456789101112131415161718192021222324252627282930313233343536373839404142[[#This Row],[ALIŞ]]</f>
        <v>2775</v>
      </c>
      <c r="H68" s="11">
        <f>Tablo1456789101112131415161718192021222324252627282930313233343536373839404142[[#This Row],[ADET]]*Tablo1456789101112131415161718192021222324252627282930313233343536373839404142[[#This Row],[SATIŞ]]</f>
        <v>2800</v>
      </c>
      <c r="J68" s="40" t="str">
        <f t="shared" si="1"/>
        <v/>
      </c>
    </row>
    <row r="69" spans="2:10" ht="21" hidden="1" customHeight="1" x14ac:dyDescent="0.3">
      <c r="B69" s="2">
        <v>45372</v>
      </c>
      <c r="C69" s="6">
        <v>50</v>
      </c>
      <c r="D69" s="10">
        <v>56</v>
      </c>
      <c r="E69" s="10">
        <v>59.5</v>
      </c>
      <c r="F69" s="9">
        <f>IF(Tablo1456789101112131415161718192021222324252627282930313233343536373839404142[[#This Row],[SATIŞ]]=0,"Açık",(E69-D69)*C69)</f>
        <v>175</v>
      </c>
      <c r="G69" s="11">
        <f>Tablo1456789101112131415161718192021222324252627282930313233343536373839404142[[#This Row],[ADET]]*Tablo1456789101112131415161718192021222324252627282930313233343536373839404142[[#This Row],[ALIŞ]]</f>
        <v>2800</v>
      </c>
      <c r="H69" s="11">
        <f>Tablo1456789101112131415161718192021222324252627282930313233343536373839404142[[#This Row],[ADET]]*Tablo1456789101112131415161718192021222324252627282930313233343536373839404142[[#This Row],[SATIŞ]]</f>
        <v>2975</v>
      </c>
      <c r="J69" s="40" t="str">
        <f t="shared" si="1"/>
        <v/>
      </c>
    </row>
    <row r="70" spans="2:10" ht="21" hidden="1" customHeight="1" x14ac:dyDescent="0.3">
      <c r="B70" s="2">
        <v>45373</v>
      </c>
      <c r="C70" s="6">
        <v>50</v>
      </c>
      <c r="D70" s="10">
        <v>55.1</v>
      </c>
      <c r="E70" s="10">
        <v>59</v>
      </c>
      <c r="F70" s="9">
        <f>IF(Tablo1456789101112131415161718192021222324252627282930313233343536373839404142[[#This Row],[SATIŞ]]=0,"Açık",(E70-D70)*C70)</f>
        <v>194.99999999999994</v>
      </c>
      <c r="G70" s="11">
        <f>Tablo1456789101112131415161718192021222324252627282930313233343536373839404142[[#This Row],[ADET]]*Tablo1456789101112131415161718192021222324252627282930313233343536373839404142[[#This Row],[ALIŞ]]</f>
        <v>2755</v>
      </c>
      <c r="H70" s="11">
        <f>Tablo1456789101112131415161718192021222324252627282930313233343536373839404142[[#This Row],[ADET]]*Tablo1456789101112131415161718192021222324252627282930313233343536373839404142[[#This Row],[SATIŞ]]</f>
        <v>2950</v>
      </c>
      <c r="J70" s="40" t="str">
        <f t="shared" si="1"/>
        <v/>
      </c>
    </row>
    <row r="71" spans="2:10" ht="21" hidden="1" customHeight="1" x14ac:dyDescent="0.3">
      <c r="B71" s="2">
        <v>45373</v>
      </c>
      <c r="C71" s="6">
        <v>50</v>
      </c>
      <c r="D71" s="10">
        <v>55.1</v>
      </c>
      <c r="E71" s="10">
        <v>58</v>
      </c>
      <c r="F71" s="9">
        <f>IF(Tablo1456789101112131415161718192021222324252627282930313233343536373839404142[[#This Row],[SATIŞ]]=0,"Açık",(E71-D71)*C71)</f>
        <v>144.99999999999994</v>
      </c>
      <c r="G71" s="11">
        <f>Tablo1456789101112131415161718192021222324252627282930313233343536373839404142[[#This Row],[ADET]]*Tablo1456789101112131415161718192021222324252627282930313233343536373839404142[[#This Row],[ALIŞ]]</f>
        <v>2755</v>
      </c>
      <c r="H71" s="11">
        <f>Tablo1456789101112131415161718192021222324252627282930313233343536373839404142[[#This Row],[ADET]]*Tablo1456789101112131415161718192021222324252627282930313233343536373839404142[[#This Row],[SATIŞ]]</f>
        <v>2900</v>
      </c>
      <c r="J71" s="40" t="str">
        <f t="shared" si="1"/>
        <v/>
      </c>
    </row>
    <row r="72" spans="2:10" ht="21" hidden="1" customHeight="1" x14ac:dyDescent="0.3">
      <c r="B72" s="2">
        <v>45373</v>
      </c>
      <c r="C72" s="6">
        <v>50</v>
      </c>
      <c r="D72" s="10">
        <v>55.1</v>
      </c>
      <c r="E72" s="10">
        <v>56.5</v>
      </c>
      <c r="F72" s="9">
        <f>IF(Tablo1456789101112131415161718192021222324252627282930313233343536373839404142[[#This Row],[SATIŞ]]=0,"Açık",(E72-D72)*C72)</f>
        <v>69.999999999999929</v>
      </c>
      <c r="G72" s="11">
        <f>Tablo1456789101112131415161718192021222324252627282930313233343536373839404142[[#This Row],[ADET]]*Tablo1456789101112131415161718192021222324252627282930313233343536373839404142[[#This Row],[ALIŞ]]</f>
        <v>2755</v>
      </c>
      <c r="H72" s="11">
        <f>Tablo1456789101112131415161718192021222324252627282930313233343536373839404142[[#This Row],[ADET]]*Tablo1456789101112131415161718192021222324252627282930313233343536373839404142[[#This Row],[SATIŞ]]</f>
        <v>2825</v>
      </c>
      <c r="J72" s="40" t="str">
        <f t="shared" si="1"/>
        <v/>
      </c>
    </row>
    <row r="73" spans="2:10" ht="21" hidden="1" customHeight="1" x14ac:dyDescent="0.3">
      <c r="B73" s="2">
        <v>45373</v>
      </c>
      <c r="C73" s="6">
        <v>50</v>
      </c>
      <c r="D73" s="10">
        <v>55.05</v>
      </c>
      <c r="E73" s="10">
        <v>56.25</v>
      </c>
      <c r="F73" s="9">
        <f>IF(Tablo1456789101112131415161718192021222324252627282930313233343536373839404142[[#This Row],[SATIŞ]]=0,"Açık",(E73-D73)*C73)</f>
        <v>60.000000000000142</v>
      </c>
      <c r="G73" s="11">
        <f>Tablo1456789101112131415161718192021222324252627282930313233343536373839404142[[#This Row],[ADET]]*Tablo1456789101112131415161718192021222324252627282930313233343536373839404142[[#This Row],[ALIŞ]]</f>
        <v>2752.5</v>
      </c>
      <c r="H73" s="11">
        <f>Tablo1456789101112131415161718192021222324252627282930313233343536373839404142[[#This Row],[ADET]]*Tablo1456789101112131415161718192021222324252627282930313233343536373839404142[[#This Row],[SATIŞ]]</f>
        <v>2812.5</v>
      </c>
      <c r="J73" s="40" t="str">
        <f t="shared" si="1"/>
        <v/>
      </c>
    </row>
    <row r="74" spans="2:10" ht="21" hidden="1" customHeight="1" x14ac:dyDescent="0.3">
      <c r="B74" s="2">
        <v>45373</v>
      </c>
      <c r="C74" s="6">
        <v>50</v>
      </c>
      <c r="D74" s="10">
        <v>55</v>
      </c>
      <c r="E74" s="10">
        <v>56</v>
      </c>
      <c r="F74" s="9">
        <f>IF(Tablo1456789101112131415161718192021222324252627282930313233343536373839404142[[#This Row],[SATIŞ]]=0,"Açık",(E74-D74)*C74)</f>
        <v>50</v>
      </c>
      <c r="G74" s="11">
        <f>Tablo1456789101112131415161718192021222324252627282930313233343536373839404142[[#This Row],[ADET]]*Tablo1456789101112131415161718192021222324252627282930313233343536373839404142[[#This Row],[ALIŞ]]</f>
        <v>2750</v>
      </c>
      <c r="H74" s="11">
        <f>Tablo1456789101112131415161718192021222324252627282930313233343536373839404142[[#This Row],[ADET]]*Tablo1456789101112131415161718192021222324252627282930313233343536373839404142[[#This Row],[SATIŞ]]</f>
        <v>2800</v>
      </c>
      <c r="J74" s="40" t="str">
        <f t="shared" si="1"/>
        <v/>
      </c>
    </row>
    <row r="75" spans="2:10" ht="21" hidden="1" customHeight="1" x14ac:dyDescent="0.3">
      <c r="B75" s="2">
        <v>45373</v>
      </c>
      <c r="C75" s="6">
        <v>50</v>
      </c>
      <c r="D75" s="10">
        <v>55</v>
      </c>
      <c r="E75" s="10">
        <v>55.75</v>
      </c>
      <c r="F75" s="9">
        <f>IF(Tablo1456789101112131415161718192021222324252627282930313233343536373839404142[[#This Row],[SATIŞ]]=0,"Açık",(E75-D75)*C75)</f>
        <v>37.5</v>
      </c>
      <c r="G75" s="11">
        <f>Tablo1456789101112131415161718192021222324252627282930313233343536373839404142[[#This Row],[ADET]]*Tablo1456789101112131415161718192021222324252627282930313233343536373839404142[[#This Row],[ALIŞ]]</f>
        <v>2750</v>
      </c>
      <c r="H75" s="11">
        <f>Tablo1456789101112131415161718192021222324252627282930313233343536373839404142[[#This Row],[ADET]]*Tablo1456789101112131415161718192021222324252627282930313233343536373839404142[[#This Row],[SATIŞ]]</f>
        <v>2787.5</v>
      </c>
      <c r="J75" s="40" t="str">
        <f t="shared" si="1"/>
        <v/>
      </c>
    </row>
    <row r="76" spans="2:10" ht="21" hidden="1" customHeight="1" x14ac:dyDescent="0.3">
      <c r="B76" s="2">
        <v>45373</v>
      </c>
      <c r="C76" s="6">
        <v>50</v>
      </c>
      <c r="D76" s="10">
        <v>54.8</v>
      </c>
      <c r="E76" s="10">
        <v>55.25</v>
      </c>
      <c r="F76" s="9">
        <f>IF(Tablo1456789101112131415161718192021222324252627282930313233343536373839404142[[#This Row],[SATIŞ]]=0,"Açık",(E76-D76)*C76)</f>
        <v>22.500000000000142</v>
      </c>
      <c r="G76" s="11">
        <f>Tablo1456789101112131415161718192021222324252627282930313233343536373839404142[[#This Row],[ADET]]*Tablo1456789101112131415161718192021222324252627282930313233343536373839404142[[#This Row],[ALIŞ]]</f>
        <v>2740</v>
      </c>
      <c r="H76" s="11">
        <f>Tablo1456789101112131415161718192021222324252627282930313233343536373839404142[[#This Row],[ADET]]*Tablo1456789101112131415161718192021222324252627282930313233343536373839404142[[#This Row],[SATIŞ]]</f>
        <v>2762.5</v>
      </c>
      <c r="J76" s="40" t="str">
        <f t="shared" si="1"/>
        <v/>
      </c>
    </row>
    <row r="77" spans="2:10" ht="21" hidden="1" customHeight="1" x14ac:dyDescent="0.3">
      <c r="B77" s="2">
        <v>45373</v>
      </c>
      <c r="C77" s="6">
        <v>50</v>
      </c>
      <c r="D77" s="10">
        <v>54.8</v>
      </c>
      <c r="E77" s="10">
        <v>55.5</v>
      </c>
      <c r="F77" s="9">
        <f>IF(Tablo1456789101112131415161718192021222324252627282930313233343536373839404142[[#This Row],[SATIŞ]]=0,"Açık",(E77-D77)*C77)</f>
        <v>35.000000000000142</v>
      </c>
      <c r="G77" s="11">
        <f>Tablo1456789101112131415161718192021222324252627282930313233343536373839404142[[#This Row],[ADET]]*Tablo1456789101112131415161718192021222324252627282930313233343536373839404142[[#This Row],[ALIŞ]]</f>
        <v>2740</v>
      </c>
      <c r="H77" s="11">
        <f>Tablo1456789101112131415161718192021222324252627282930313233343536373839404142[[#This Row],[ADET]]*Tablo1456789101112131415161718192021222324252627282930313233343536373839404142[[#This Row],[SATIŞ]]</f>
        <v>2775</v>
      </c>
      <c r="J77" s="40" t="str">
        <f t="shared" si="1"/>
        <v/>
      </c>
    </row>
    <row r="78" spans="2:10" ht="21" hidden="1" customHeight="1" x14ac:dyDescent="0.3">
      <c r="B78" s="2">
        <v>45373</v>
      </c>
      <c r="C78" s="6">
        <v>50</v>
      </c>
      <c r="D78" s="10">
        <v>54.5</v>
      </c>
      <c r="E78" s="10">
        <v>54.75</v>
      </c>
      <c r="F78" s="9">
        <f>IF(Tablo1456789101112131415161718192021222324252627282930313233343536373839404142[[#This Row],[SATIŞ]]=0,"Açık",(E78-D78)*C78)</f>
        <v>12.5</v>
      </c>
      <c r="G78" s="11">
        <f>Tablo1456789101112131415161718192021222324252627282930313233343536373839404142[[#This Row],[ADET]]*Tablo1456789101112131415161718192021222324252627282930313233343536373839404142[[#This Row],[ALIŞ]]</f>
        <v>2725</v>
      </c>
      <c r="H78" s="11">
        <f>Tablo1456789101112131415161718192021222324252627282930313233343536373839404142[[#This Row],[ADET]]*Tablo1456789101112131415161718192021222324252627282930313233343536373839404142[[#This Row],[SATIŞ]]</f>
        <v>2737.5</v>
      </c>
      <c r="J78" s="40" t="str">
        <f t="shared" si="1"/>
        <v/>
      </c>
    </row>
    <row r="79" spans="2:10" ht="21" hidden="1" customHeight="1" x14ac:dyDescent="0.3">
      <c r="B79" s="2">
        <v>45373</v>
      </c>
      <c r="C79" s="6">
        <v>50</v>
      </c>
      <c r="D79" s="10">
        <v>54.5</v>
      </c>
      <c r="E79" s="10">
        <v>55</v>
      </c>
      <c r="F79" s="9">
        <f>IF(Tablo1456789101112131415161718192021222324252627282930313233343536373839404142[[#This Row],[SATIŞ]]=0,"Açık",(E79-D79)*C79)</f>
        <v>25</v>
      </c>
      <c r="G79" s="11">
        <f>Tablo1456789101112131415161718192021222324252627282930313233343536373839404142[[#This Row],[ADET]]*Tablo1456789101112131415161718192021222324252627282930313233343536373839404142[[#This Row],[ALIŞ]]</f>
        <v>2725</v>
      </c>
      <c r="H79" s="11">
        <f>Tablo1456789101112131415161718192021222324252627282930313233343536373839404142[[#This Row],[ADET]]*Tablo1456789101112131415161718192021222324252627282930313233343536373839404142[[#This Row],[SATIŞ]]</f>
        <v>2750</v>
      </c>
      <c r="J79" s="40" t="str">
        <f t="shared" si="1"/>
        <v/>
      </c>
    </row>
    <row r="80" spans="2:10" ht="21" hidden="1" customHeight="1" x14ac:dyDescent="0.3">
      <c r="B80" s="2">
        <v>45376</v>
      </c>
      <c r="C80" s="6">
        <v>50</v>
      </c>
      <c r="D80" s="10">
        <v>57</v>
      </c>
      <c r="E80" s="10">
        <v>62</v>
      </c>
      <c r="F80" s="9">
        <f>IF(Tablo1456789101112131415161718192021222324252627282930313233343536373839404142[[#This Row],[SATIŞ]]=0,"Açık",(E80-D80)*C80)</f>
        <v>250</v>
      </c>
      <c r="G80" s="11">
        <f>Tablo1456789101112131415161718192021222324252627282930313233343536373839404142[[#This Row],[ADET]]*Tablo1456789101112131415161718192021222324252627282930313233343536373839404142[[#This Row],[ALIŞ]]</f>
        <v>2850</v>
      </c>
      <c r="H80" s="11">
        <f>Tablo1456789101112131415161718192021222324252627282930313233343536373839404142[[#This Row],[ADET]]*Tablo1456789101112131415161718192021222324252627282930313233343536373839404142[[#This Row],[SATIŞ]]</f>
        <v>3100</v>
      </c>
      <c r="J80" s="40" t="str">
        <f t="shared" si="1"/>
        <v/>
      </c>
    </row>
    <row r="81" spans="2:10" ht="21" hidden="1" customHeight="1" x14ac:dyDescent="0.3">
      <c r="B81" s="2">
        <v>45376</v>
      </c>
      <c r="C81" s="6">
        <v>20</v>
      </c>
      <c r="D81" s="10">
        <v>56.5</v>
      </c>
      <c r="E81" s="10">
        <v>57.5</v>
      </c>
      <c r="F81" s="9">
        <f>IF(Tablo1456789101112131415161718192021222324252627282930313233343536373839404142[[#This Row],[SATIŞ]]=0,"Açık",(E81-D81)*C81)</f>
        <v>20</v>
      </c>
      <c r="G81" s="11">
        <f>Tablo1456789101112131415161718192021222324252627282930313233343536373839404142[[#This Row],[ADET]]*Tablo1456789101112131415161718192021222324252627282930313233343536373839404142[[#This Row],[ALIŞ]]</f>
        <v>1130</v>
      </c>
      <c r="H81" s="11">
        <f>Tablo1456789101112131415161718192021222324252627282930313233343536373839404142[[#This Row],[ADET]]*Tablo1456789101112131415161718192021222324252627282930313233343536373839404142[[#This Row],[SATIŞ]]</f>
        <v>1150</v>
      </c>
      <c r="J81" s="40" t="str">
        <f t="shared" si="1"/>
        <v/>
      </c>
    </row>
    <row r="82" spans="2:10" ht="21" hidden="1" customHeight="1" x14ac:dyDescent="0.3">
      <c r="B82" s="2">
        <v>45377</v>
      </c>
      <c r="C82" s="6">
        <v>50</v>
      </c>
      <c r="D82" s="10">
        <v>55</v>
      </c>
      <c r="E82" s="10">
        <v>57</v>
      </c>
      <c r="F82" s="9">
        <f>IF(Tablo1456789101112131415161718192021222324252627282930313233343536373839404142[[#This Row],[SATIŞ]]=0,"Açık",(E82-D82)*C82)</f>
        <v>100</v>
      </c>
      <c r="G82" s="11">
        <f>Tablo1456789101112131415161718192021222324252627282930313233343536373839404142[[#This Row],[ADET]]*Tablo1456789101112131415161718192021222324252627282930313233343536373839404142[[#This Row],[ALIŞ]]</f>
        <v>2750</v>
      </c>
      <c r="H82" s="11">
        <f>Tablo1456789101112131415161718192021222324252627282930313233343536373839404142[[#This Row],[ADET]]*Tablo1456789101112131415161718192021222324252627282930313233343536373839404142[[#This Row],[SATIŞ]]</f>
        <v>2850</v>
      </c>
      <c r="J82" s="40" t="str">
        <f t="shared" si="1"/>
        <v/>
      </c>
    </row>
    <row r="83" spans="2:10" ht="21" hidden="1" customHeight="1" x14ac:dyDescent="0.3">
      <c r="B83" s="2">
        <v>45377</v>
      </c>
      <c r="C83" s="6">
        <v>50</v>
      </c>
      <c r="D83" s="10">
        <v>54.5</v>
      </c>
      <c r="E83" s="10">
        <v>57</v>
      </c>
      <c r="F83" s="9">
        <f>IF(Tablo1456789101112131415161718192021222324252627282930313233343536373839404142[[#This Row],[SATIŞ]]=0,"Açık",(E83-D83)*C83)</f>
        <v>125</v>
      </c>
      <c r="G83" s="11">
        <f>Tablo1456789101112131415161718192021222324252627282930313233343536373839404142[[#This Row],[ADET]]*Tablo1456789101112131415161718192021222324252627282930313233343536373839404142[[#This Row],[ALIŞ]]</f>
        <v>2725</v>
      </c>
      <c r="H83" s="11">
        <f>Tablo1456789101112131415161718192021222324252627282930313233343536373839404142[[#This Row],[ADET]]*Tablo1456789101112131415161718192021222324252627282930313233343536373839404142[[#This Row],[SATIŞ]]</f>
        <v>2850</v>
      </c>
      <c r="J83" s="40" t="str">
        <f t="shared" si="1"/>
        <v/>
      </c>
    </row>
    <row r="84" spans="2:10" ht="21" hidden="1" customHeight="1" x14ac:dyDescent="0.3">
      <c r="B84" s="2">
        <v>45378</v>
      </c>
      <c r="C84" s="6">
        <v>50</v>
      </c>
      <c r="D84" s="10">
        <v>54</v>
      </c>
      <c r="E84" s="10">
        <v>56.55</v>
      </c>
      <c r="F84" s="9">
        <f>IF(Tablo1456789101112131415161718192021222324252627282930313233343536373839404142[[#This Row],[SATIŞ]]=0,"Açık",(E84-D84)*C84)</f>
        <v>127.49999999999986</v>
      </c>
      <c r="G84" s="11">
        <f>Tablo1456789101112131415161718192021222324252627282930313233343536373839404142[[#This Row],[ADET]]*Tablo1456789101112131415161718192021222324252627282930313233343536373839404142[[#This Row],[ALIŞ]]</f>
        <v>2700</v>
      </c>
      <c r="H84" s="11">
        <f>Tablo1456789101112131415161718192021222324252627282930313233343536373839404142[[#This Row],[ADET]]*Tablo1456789101112131415161718192021222324252627282930313233343536373839404142[[#This Row],[SATIŞ]]</f>
        <v>2827.5</v>
      </c>
      <c r="J84" s="40" t="str">
        <f t="shared" si="1"/>
        <v/>
      </c>
    </row>
    <row r="85" spans="2:10" ht="21" hidden="1" customHeight="1" x14ac:dyDescent="0.3">
      <c r="B85" s="2">
        <v>45378</v>
      </c>
      <c r="C85" s="6">
        <v>50</v>
      </c>
      <c r="D85" s="10">
        <v>54</v>
      </c>
      <c r="E85" s="10">
        <v>56</v>
      </c>
      <c r="F85" s="9">
        <f>IF(Tablo1456789101112131415161718192021222324252627282930313233343536373839404142[[#This Row],[SATIŞ]]=0,"Açık",(E85-D85)*C85)</f>
        <v>100</v>
      </c>
      <c r="G85" s="11">
        <f>Tablo1456789101112131415161718192021222324252627282930313233343536373839404142[[#This Row],[ADET]]*Tablo1456789101112131415161718192021222324252627282930313233343536373839404142[[#This Row],[ALIŞ]]</f>
        <v>2700</v>
      </c>
      <c r="H85" s="11">
        <f>Tablo1456789101112131415161718192021222324252627282930313233343536373839404142[[#This Row],[ADET]]*Tablo1456789101112131415161718192021222324252627282930313233343536373839404142[[#This Row],[SATIŞ]]</f>
        <v>2800</v>
      </c>
      <c r="J85" s="40" t="str">
        <f t="shared" si="1"/>
        <v/>
      </c>
    </row>
    <row r="86" spans="2:10" ht="21" hidden="1" customHeight="1" x14ac:dyDescent="0.3">
      <c r="B86" s="2">
        <v>45376</v>
      </c>
      <c r="C86" s="6">
        <v>30</v>
      </c>
      <c r="D86" s="10">
        <v>56.5</v>
      </c>
      <c r="E86" s="10">
        <v>59.5</v>
      </c>
      <c r="F86" s="9">
        <f>IF(Tablo1456789101112131415161718192021222324252627282930313233343536373839404142[[#This Row],[SATIŞ]]=0,"Açık",(E86-D86)*C86)</f>
        <v>90</v>
      </c>
      <c r="G86" s="11">
        <f>Tablo1456789101112131415161718192021222324252627282930313233343536373839404142[[#This Row],[ADET]]*Tablo1456789101112131415161718192021222324252627282930313233343536373839404142[[#This Row],[ALIŞ]]</f>
        <v>1695</v>
      </c>
      <c r="H86" s="11">
        <f>Tablo1456789101112131415161718192021222324252627282930313233343536373839404142[[#This Row],[ADET]]*Tablo1456789101112131415161718192021222324252627282930313233343536373839404142[[#This Row],[SATIŞ]]</f>
        <v>1785</v>
      </c>
      <c r="J86" s="40"/>
    </row>
    <row r="87" spans="2:10" ht="21" hidden="1" customHeight="1" x14ac:dyDescent="0.3">
      <c r="B87" s="2">
        <v>45379</v>
      </c>
      <c r="C87" s="6">
        <v>50</v>
      </c>
      <c r="D87" s="10">
        <v>55.5</v>
      </c>
      <c r="E87" s="10">
        <v>59.5</v>
      </c>
      <c r="F87" s="9">
        <f>IF(Tablo1456789101112131415161718192021222324252627282930313233343536373839404142[[#This Row],[SATIŞ]]=0,"Açık",(E87-D87)*C87)</f>
        <v>200</v>
      </c>
      <c r="G87" s="11">
        <f>Tablo1456789101112131415161718192021222324252627282930313233343536373839404142[[#This Row],[ADET]]*Tablo1456789101112131415161718192021222324252627282930313233343536373839404142[[#This Row],[ALIŞ]]</f>
        <v>2775</v>
      </c>
      <c r="H87" s="11">
        <f>Tablo1456789101112131415161718192021222324252627282930313233343536373839404142[[#This Row],[ADET]]*Tablo1456789101112131415161718192021222324252627282930313233343536373839404142[[#This Row],[SATIŞ]]</f>
        <v>2975</v>
      </c>
      <c r="J87" s="40" t="str">
        <f t="shared" si="1"/>
        <v/>
      </c>
    </row>
    <row r="88" spans="2:10" ht="21" hidden="1" customHeight="1" x14ac:dyDescent="0.3">
      <c r="B88" s="2">
        <v>45380</v>
      </c>
      <c r="C88" s="6">
        <v>50</v>
      </c>
      <c r="D88" s="10">
        <v>55</v>
      </c>
      <c r="E88" s="10">
        <v>57.5</v>
      </c>
      <c r="F88" s="9">
        <f>IF(Tablo1456789101112131415161718192021222324252627282930313233343536373839404142[[#This Row],[SATIŞ]]=0,"Açık",(E88-D88)*C88)</f>
        <v>125</v>
      </c>
      <c r="G88" s="11">
        <f>Tablo1456789101112131415161718192021222324252627282930313233343536373839404142[[#This Row],[ADET]]*Tablo1456789101112131415161718192021222324252627282930313233343536373839404142[[#This Row],[ALIŞ]]</f>
        <v>2750</v>
      </c>
      <c r="H88" s="11">
        <f>Tablo1456789101112131415161718192021222324252627282930313233343536373839404142[[#This Row],[ADET]]*Tablo1456789101112131415161718192021222324252627282930313233343536373839404142[[#This Row],[SATIŞ]]</f>
        <v>2875</v>
      </c>
      <c r="J88" s="40" t="str">
        <f t="shared" si="1"/>
        <v/>
      </c>
    </row>
    <row r="89" spans="2:10" ht="21" hidden="1" customHeight="1" x14ac:dyDescent="0.3">
      <c r="B89" s="2">
        <v>45380</v>
      </c>
      <c r="C89" s="6">
        <v>50</v>
      </c>
      <c r="D89" s="10">
        <v>55</v>
      </c>
      <c r="E89" s="10">
        <v>59.5</v>
      </c>
      <c r="F89" s="9">
        <f>IF(Tablo1456789101112131415161718192021222324252627282930313233343536373839404142[[#This Row],[SATIŞ]]=0,"Açık",(E89-D89)*C89)</f>
        <v>225</v>
      </c>
      <c r="G89" s="11">
        <f>Tablo1456789101112131415161718192021222324252627282930313233343536373839404142[[#This Row],[ADET]]*Tablo1456789101112131415161718192021222324252627282930313233343536373839404142[[#This Row],[ALIŞ]]</f>
        <v>2750</v>
      </c>
      <c r="H89" s="11">
        <f>Tablo1456789101112131415161718192021222324252627282930313233343536373839404142[[#This Row],[ADET]]*Tablo1456789101112131415161718192021222324252627282930313233343536373839404142[[#This Row],[SATIŞ]]</f>
        <v>2975</v>
      </c>
    </row>
    <row r="90" spans="2:10" ht="21" customHeight="1" x14ac:dyDescent="0.3">
      <c r="B90" s="2">
        <v>45383</v>
      </c>
      <c r="C90" s="6">
        <v>50</v>
      </c>
      <c r="D90" s="10">
        <v>61</v>
      </c>
      <c r="E90" s="10"/>
      <c r="F90" s="9" t="str">
        <f>IF(Tablo1456789101112131415161718192021222324252627282930313233343536373839404142[[#This Row],[SATIŞ]]=0,"Açık",(E90-D90)*C90)</f>
        <v>Açık</v>
      </c>
      <c r="G90" s="11">
        <f>Tablo1456789101112131415161718192021222324252627282930313233343536373839404142[[#This Row],[ADET]]*Tablo1456789101112131415161718192021222324252627282930313233343536373839404142[[#This Row],[ALIŞ]]</f>
        <v>3050</v>
      </c>
      <c r="H90" s="11">
        <f>Tablo1456789101112131415161718192021222324252627282930313233343536373839404142[[#This Row],[ADET]]*Tablo1456789101112131415161718192021222324252627282930313233343536373839404142[[#This Row],[SATIŞ]]</f>
        <v>0</v>
      </c>
    </row>
    <row r="91" spans="2:10" ht="21" customHeight="1" x14ac:dyDescent="0.3">
      <c r="B91" s="2">
        <v>45383</v>
      </c>
      <c r="C91" s="6">
        <v>50</v>
      </c>
      <c r="D91" s="10">
        <v>60.5</v>
      </c>
      <c r="E91" s="10"/>
      <c r="F91" s="9" t="str">
        <f>IF(Tablo1456789101112131415161718192021222324252627282930313233343536373839404142[[#This Row],[SATIŞ]]=0,"Açık",(E91-D91)*C91)</f>
        <v>Açık</v>
      </c>
      <c r="G91" s="11">
        <f>Tablo1456789101112131415161718192021222324252627282930313233343536373839404142[[#This Row],[ADET]]*Tablo1456789101112131415161718192021222324252627282930313233343536373839404142[[#This Row],[ALIŞ]]</f>
        <v>3025</v>
      </c>
      <c r="H91" s="11">
        <f>Tablo1456789101112131415161718192021222324252627282930313233343536373839404142[[#This Row],[ADET]]*Tablo1456789101112131415161718192021222324252627282930313233343536373839404142[[#This Row],[SATIŞ]]</f>
        <v>0</v>
      </c>
    </row>
    <row r="92" spans="2:10" ht="21" customHeight="1" x14ac:dyDescent="0.3">
      <c r="B92" s="2">
        <v>45383</v>
      </c>
      <c r="C92" s="6">
        <v>50</v>
      </c>
      <c r="D92" s="10">
        <v>60</v>
      </c>
      <c r="E92" s="10"/>
      <c r="F92" s="9" t="str">
        <f>IF(Tablo1456789101112131415161718192021222324252627282930313233343536373839404142[[#This Row],[SATIŞ]]=0,"Açık",(E92-D92)*C92)</f>
        <v>Açık</v>
      </c>
      <c r="G92" s="11">
        <f>Tablo1456789101112131415161718192021222324252627282930313233343536373839404142[[#This Row],[ADET]]*Tablo1456789101112131415161718192021222324252627282930313233343536373839404142[[#This Row],[ALIŞ]]</f>
        <v>3000</v>
      </c>
      <c r="H92" s="11">
        <f>Tablo1456789101112131415161718192021222324252627282930313233343536373839404142[[#This Row],[ADET]]*Tablo1456789101112131415161718192021222324252627282930313233343536373839404142[[#This Row],[SATIŞ]]</f>
        <v>0</v>
      </c>
    </row>
    <row r="93" spans="2:10" ht="21" hidden="1" customHeight="1" x14ac:dyDescent="0.3">
      <c r="B93" s="2">
        <v>45383</v>
      </c>
      <c r="C93" s="6">
        <v>50</v>
      </c>
      <c r="D93" s="10">
        <v>59</v>
      </c>
      <c r="E93" s="10">
        <v>60</v>
      </c>
      <c r="F93" s="9">
        <f>IF(Tablo1456789101112131415161718192021222324252627282930313233343536373839404142[[#This Row],[SATIŞ]]=0,"Açık",(E93-D93)*C93)</f>
        <v>50</v>
      </c>
      <c r="G93" s="11">
        <f>Tablo1456789101112131415161718192021222324252627282930313233343536373839404142[[#This Row],[ADET]]*Tablo1456789101112131415161718192021222324252627282930313233343536373839404142[[#This Row],[ALIŞ]]</f>
        <v>2950</v>
      </c>
      <c r="H93" s="11">
        <f>Tablo1456789101112131415161718192021222324252627282930313233343536373839404142[[#This Row],[ADET]]*Tablo1456789101112131415161718192021222324252627282930313233343536373839404142[[#This Row],[SATIŞ]]</f>
        <v>3000</v>
      </c>
    </row>
    <row r="94" spans="2:10" ht="21" hidden="1" customHeight="1" x14ac:dyDescent="0.3">
      <c r="B94" s="2">
        <v>45383</v>
      </c>
      <c r="C94" s="6">
        <v>50</v>
      </c>
      <c r="D94" s="10">
        <v>59</v>
      </c>
      <c r="E94" s="10">
        <v>60</v>
      </c>
      <c r="F94" s="9">
        <f>IF(Tablo1456789101112131415161718192021222324252627282930313233343536373839404142[[#This Row],[SATIŞ]]=0,"Açık",(E94-D94)*C94)</f>
        <v>50</v>
      </c>
      <c r="G94" s="11">
        <f>Tablo1456789101112131415161718192021222324252627282930313233343536373839404142[[#This Row],[ADET]]*Tablo1456789101112131415161718192021222324252627282930313233343536373839404142[[#This Row],[ALIŞ]]</f>
        <v>2950</v>
      </c>
      <c r="H94" s="11">
        <f>Tablo1456789101112131415161718192021222324252627282930313233343536373839404142[[#This Row],[ADET]]*Tablo1456789101112131415161718192021222324252627282930313233343536373839404142[[#This Row],[SATIŞ]]</f>
        <v>3000</v>
      </c>
    </row>
    <row r="95" spans="2:10" ht="21" hidden="1" customHeight="1" x14ac:dyDescent="0.3">
      <c r="B95" s="2">
        <v>45383</v>
      </c>
      <c r="C95" s="6">
        <v>50</v>
      </c>
      <c r="D95" s="10">
        <v>58.5</v>
      </c>
      <c r="E95" s="10">
        <v>59.5</v>
      </c>
      <c r="F95" s="9">
        <f>IF(Tablo1456789101112131415161718192021222324252627282930313233343536373839404142[[#This Row],[SATIŞ]]=0,"Açık",(E95-D95)*C95)</f>
        <v>50</v>
      </c>
      <c r="G95" s="11">
        <f>Tablo1456789101112131415161718192021222324252627282930313233343536373839404142[[#This Row],[ADET]]*Tablo1456789101112131415161718192021222324252627282930313233343536373839404142[[#This Row],[ALIŞ]]</f>
        <v>2925</v>
      </c>
      <c r="H95" s="11">
        <f>Tablo1456789101112131415161718192021222324252627282930313233343536373839404142[[#This Row],[ADET]]*Tablo1456789101112131415161718192021222324252627282930313233343536373839404142[[#This Row],[SATIŞ]]</f>
        <v>2975</v>
      </c>
    </row>
    <row r="96" spans="2:10" ht="21" customHeight="1" x14ac:dyDescent="0.3">
      <c r="B96" s="2">
        <v>45383</v>
      </c>
      <c r="C96" s="6">
        <v>50</v>
      </c>
      <c r="D96" s="10">
        <v>60</v>
      </c>
      <c r="E96" s="10"/>
      <c r="F96" s="9" t="str">
        <f>IF(Tablo1456789101112131415161718192021222324252627282930313233343536373839404142[[#This Row],[SATIŞ]]=0,"Açık",(E96-D96)*C96)</f>
        <v>Açık</v>
      </c>
      <c r="G96" s="11">
        <f>Tablo1456789101112131415161718192021222324252627282930313233343536373839404142[[#This Row],[ADET]]*Tablo1456789101112131415161718192021222324252627282930313233343536373839404142[[#This Row],[ALIŞ]]</f>
        <v>3000</v>
      </c>
      <c r="H96" s="11">
        <f>Tablo1456789101112131415161718192021222324252627282930313233343536373839404142[[#This Row],[ADET]]*Tablo1456789101112131415161718192021222324252627282930313233343536373839404142[[#This Row],[SATIŞ]]</f>
        <v>0</v>
      </c>
    </row>
    <row r="97" spans="2:8" ht="21" customHeight="1" x14ac:dyDescent="0.3">
      <c r="B97" s="2">
        <v>45384</v>
      </c>
      <c r="C97" s="6">
        <v>50</v>
      </c>
      <c r="D97" s="10">
        <v>59.85</v>
      </c>
      <c r="E97" s="10"/>
      <c r="F97" s="9" t="str">
        <f>IF(Tablo1456789101112131415161718192021222324252627282930313233343536373839404142[[#This Row],[SATIŞ]]=0,"Açık",(E97-D97)*C97)</f>
        <v>Açık</v>
      </c>
      <c r="G97" s="11">
        <f>Tablo1456789101112131415161718192021222324252627282930313233343536373839404142[[#This Row],[ADET]]*Tablo1456789101112131415161718192021222324252627282930313233343536373839404142[[#This Row],[ALIŞ]]</f>
        <v>2992.5</v>
      </c>
      <c r="H97" s="11">
        <f>Tablo1456789101112131415161718192021222324252627282930313233343536373839404142[[#This Row],[ADET]]*Tablo1456789101112131415161718192021222324252627282930313233343536373839404142[[#This Row],[SATIŞ]]</f>
        <v>0</v>
      </c>
    </row>
    <row r="98" spans="2:8" ht="21" customHeight="1" x14ac:dyDescent="0.3">
      <c r="B98" s="2">
        <v>45384</v>
      </c>
      <c r="C98" s="6">
        <v>50</v>
      </c>
      <c r="D98" s="10">
        <v>59.85</v>
      </c>
      <c r="E98" s="10"/>
      <c r="F98" s="9" t="str">
        <f>IF(Tablo1456789101112131415161718192021222324252627282930313233343536373839404142[[#This Row],[SATIŞ]]=0,"Açık",(E98-D98)*C98)</f>
        <v>Açık</v>
      </c>
      <c r="G98" s="11">
        <f>Tablo1456789101112131415161718192021222324252627282930313233343536373839404142[[#This Row],[ADET]]*Tablo1456789101112131415161718192021222324252627282930313233343536373839404142[[#This Row],[ALIŞ]]</f>
        <v>2992.5</v>
      </c>
      <c r="H98" s="11">
        <f>Tablo1456789101112131415161718192021222324252627282930313233343536373839404142[[#This Row],[ADET]]*Tablo1456789101112131415161718192021222324252627282930313233343536373839404142[[#This Row],[SATIŞ]]</f>
        <v>0</v>
      </c>
    </row>
    <row r="99" spans="2:8" ht="21" customHeight="1" x14ac:dyDescent="0.3">
      <c r="B99" s="2">
        <v>45384</v>
      </c>
      <c r="C99" s="6">
        <v>50</v>
      </c>
      <c r="D99" s="10">
        <v>59.85</v>
      </c>
      <c r="E99" s="10"/>
      <c r="F99" s="9" t="str">
        <f>IF(Tablo1456789101112131415161718192021222324252627282930313233343536373839404142[[#This Row],[SATIŞ]]=0,"Açık",(E99-D99)*C99)</f>
        <v>Açık</v>
      </c>
      <c r="G99" s="11">
        <f>Tablo1456789101112131415161718192021222324252627282930313233343536373839404142[[#This Row],[ADET]]*Tablo1456789101112131415161718192021222324252627282930313233343536373839404142[[#This Row],[ALIŞ]]</f>
        <v>2992.5</v>
      </c>
      <c r="H99" s="11">
        <f>Tablo1456789101112131415161718192021222324252627282930313233343536373839404142[[#This Row],[ADET]]*Tablo1456789101112131415161718192021222324252627282930313233343536373839404142[[#This Row],[SATIŞ]]</f>
        <v>0</v>
      </c>
    </row>
    <row r="100" spans="2:8" ht="21" customHeight="1" x14ac:dyDescent="0.3">
      <c r="B100" s="2">
        <v>45384</v>
      </c>
      <c r="C100" s="6">
        <v>50</v>
      </c>
      <c r="D100" s="10">
        <v>59.85</v>
      </c>
      <c r="E100" s="10"/>
      <c r="F100" s="9" t="str">
        <f>IF(Tablo1456789101112131415161718192021222324252627282930313233343536373839404142[[#This Row],[SATIŞ]]=0,"Açık",(E100-D100)*C100)</f>
        <v>Açık</v>
      </c>
      <c r="G100" s="11">
        <f>Tablo1456789101112131415161718192021222324252627282930313233343536373839404142[[#This Row],[ADET]]*Tablo1456789101112131415161718192021222324252627282930313233343536373839404142[[#This Row],[ALIŞ]]</f>
        <v>2992.5</v>
      </c>
      <c r="H100" s="11">
        <f>Tablo1456789101112131415161718192021222324252627282930313233343536373839404142[[#This Row],[ADET]]*Tablo1456789101112131415161718192021222324252627282930313233343536373839404142[[#This Row],[SATIŞ]]</f>
        <v>0</v>
      </c>
    </row>
    <row r="101" spans="2:8" ht="21" customHeight="1" x14ac:dyDescent="0.3">
      <c r="B101" s="2">
        <v>45384</v>
      </c>
      <c r="C101" s="6">
        <v>50</v>
      </c>
      <c r="D101" s="10">
        <v>59</v>
      </c>
      <c r="E101" s="10"/>
      <c r="F101" s="9" t="str">
        <f>IF(Tablo1456789101112131415161718192021222324252627282930313233343536373839404142[[#This Row],[SATIŞ]]=0,"Açık",(E101-D101)*C101)</f>
        <v>Açık</v>
      </c>
      <c r="G101" s="11">
        <f>Tablo1456789101112131415161718192021222324252627282930313233343536373839404142[[#This Row],[ADET]]*Tablo1456789101112131415161718192021222324252627282930313233343536373839404142[[#This Row],[ALIŞ]]</f>
        <v>2950</v>
      </c>
      <c r="H101" s="11">
        <f>Tablo1456789101112131415161718192021222324252627282930313233343536373839404142[[#This Row],[ADET]]*Tablo1456789101112131415161718192021222324252627282930313233343536373839404142[[#This Row],[SATIŞ]]</f>
        <v>0</v>
      </c>
    </row>
    <row r="102" spans="2:8" ht="21" customHeight="1" x14ac:dyDescent="0.3">
      <c r="B102" s="2">
        <v>45384</v>
      </c>
      <c r="C102" s="6">
        <v>50</v>
      </c>
      <c r="D102" s="10">
        <v>58</v>
      </c>
      <c r="E102" s="10"/>
      <c r="F102" s="9" t="str">
        <f>IF(Tablo1456789101112131415161718192021222324252627282930313233343536373839404142[[#This Row],[SATIŞ]]=0,"Açık",(E102-D102)*C102)</f>
        <v>Açık</v>
      </c>
      <c r="G102" s="11">
        <f>Tablo1456789101112131415161718192021222324252627282930313233343536373839404142[[#This Row],[ADET]]*Tablo1456789101112131415161718192021222324252627282930313233343536373839404142[[#This Row],[ALIŞ]]</f>
        <v>2900</v>
      </c>
      <c r="H102" s="11">
        <f>Tablo1456789101112131415161718192021222324252627282930313233343536373839404142[[#This Row],[ADET]]*Tablo1456789101112131415161718192021222324252627282930313233343536373839404142[[#This Row],[SATIŞ]]</f>
        <v>0</v>
      </c>
    </row>
    <row r="103" spans="2:8" ht="21" hidden="1" customHeight="1" x14ac:dyDescent="0.3">
      <c r="B103" s="2">
        <v>45384</v>
      </c>
      <c r="C103" s="6">
        <v>50</v>
      </c>
      <c r="D103" s="10">
        <v>57.45</v>
      </c>
      <c r="E103" s="10">
        <v>57.5</v>
      </c>
      <c r="F103" s="9">
        <f>IF(Tablo1456789101112131415161718192021222324252627282930313233343536373839404142[[#This Row],[SATIŞ]]=0,"Açık",(E103-D103)*C103)</f>
        <v>2.4999999999998579</v>
      </c>
      <c r="G103" s="11">
        <f>Tablo1456789101112131415161718192021222324252627282930313233343536373839404142[[#This Row],[ADET]]*Tablo1456789101112131415161718192021222324252627282930313233343536373839404142[[#This Row],[ALIŞ]]</f>
        <v>2872.5</v>
      </c>
      <c r="H103" s="11">
        <f>Tablo1456789101112131415161718192021222324252627282930313233343536373839404142[[#This Row],[ADET]]*Tablo1456789101112131415161718192021222324252627282930313233343536373839404142[[#This Row],[SATIŞ]]</f>
        <v>2875</v>
      </c>
    </row>
    <row r="104" spans="2:8" ht="21" hidden="1" customHeight="1" x14ac:dyDescent="0.3">
      <c r="B104" s="2">
        <v>45384</v>
      </c>
      <c r="C104" s="6">
        <v>50</v>
      </c>
      <c r="D104" s="10">
        <v>57.45</v>
      </c>
      <c r="E104" s="10">
        <v>60.5</v>
      </c>
      <c r="F104" s="9">
        <f>IF(Tablo1456789101112131415161718192021222324252627282930313233343536373839404142[[#This Row],[SATIŞ]]=0,"Açık",(E104-D104)*C104)</f>
        <v>152.49999999999986</v>
      </c>
      <c r="G104" s="11">
        <f>Tablo1456789101112131415161718192021222324252627282930313233343536373839404142[[#This Row],[ADET]]*Tablo1456789101112131415161718192021222324252627282930313233343536373839404142[[#This Row],[ALIŞ]]</f>
        <v>2872.5</v>
      </c>
      <c r="H104" s="11">
        <f>Tablo1456789101112131415161718192021222324252627282930313233343536373839404142[[#This Row],[ADET]]*Tablo1456789101112131415161718192021222324252627282930313233343536373839404142[[#This Row],[SATIŞ]]</f>
        <v>3025</v>
      </c>
    </row>
    <row r="105" spans="2:8" ht="21" hidden="1" customHeight="1" x14ac:dyDescent="0.3">
      <c r="B105" s="2">
        <v>45384</v>
      </c>
      <c r="C105" s="6">
        <v>50</v>
      </c>
      <c r="D105" s="10">
        <v>57.4</v>
      </c>
      <c r="E105" s="10">
        <v>60</v>
      </c>
      <c r="F105" s="9">
        <f>IF(Tablo1456789101112131415161718192021222324252627282930313233343536373839404142[[#This Row],[SATIŞ]]=0,"Açık",(E105-D105)*C105)</f>
        <v>130.00000000000006</v>
      </c>
      <c r="G105" s="11">
        <f>Tablo1456789101112131415161718192021222324252627282930313233343536373839404142[[#This Row],[ADET]]*Tablo1456789101112131415161718192021222324252627282930313233343536373839404142[[#This Row],[ALIŞ]]</f>
        <v>2870</v>
      </c>
      <c r="H105" s="11">
        <f>Tablo1456789101112131415161718192021222324252627282930313233343536373839404142[[#This Row],[ADET]]*Tablo1456789101112131415161718192021222324252627282930313233343536373839404142[[#This Row],[SATIŞ]]</f>
        <v>3000</v>
      </c>
    </row>
    <row r="106" spans="2:8" ht="21" hidden="1" customHeight="1" x14ac:dyDescent="0.3">
      <c r="B106" s="2">
        <v>45384</v>
      </c>
      <c r="C106" s="6">
        <v>50</v>
      </c>
      <c r="D106" s="10">
        <v>57.4</v>
      </c>
      <c r="E106" s="10">
        <v>59.5</v>
      </c>
      <c r="F106" s="9">
        <f>IF(Tablo1456789101112131415161718192021222324252627282930313233343536373839404142[[#This Row],[SATIŞ]]=0,"Açık",(E106-D106)*C106)</f>
        <v>105.00000000000007</v>
      </c>
      <c r="G106" s="11">
        <f>Tablo1456789101112131415161718192021222324252627282930313233343536373839404142[[#This Row],[ADET]]*Tablo1456789101112131415161718192021222324252627282930313233343536373839404142[[#This Row],[ALIŞ]]</f>
        <v>2870</v>
      </c>
      <c r="H106" s="11">
        <f>Tablo1456789101112131415161718192021222324252627282930313233343536373839404142[[#This Row],[ADET]]*Tablo1456789101112131415161718192021222324252627282930313233343536373839404142[[#This Row],[SATIŞ]]</f>
        <v>2975</v>
      </c>
    </row>
    <row r="107" spans="2:8" ht="21" hidden="1" customHeight="1" x14ac:dyDescent="0.3">
      <c r="B107" s="2">
        <v>45384</v>
      </c>
      <c r="C107" s="6">
        <v>50</v>
      </c>
      <c r="D107" s="10">
        <v>57</v>
      </c>
      <c r="E107" s="10">
        <v>59</v>
      </c>
      <c r="F107" s="9">
        <f>IF(Tablo1456789101112131415161718192021222324252627282930313233343536373839404142[[#This Row],[SATIŞ]]=0,"Açık",(E107-D107)*C107)</f>
        <v>100</v>
      </c>
      <c r="G107" s="11">
        <f>Tablo1456789101112131415161718192021222324252627282930313233343536373839404142[[#This Row],[ADET]]*Tablo1456789101112131415161718192021222324252627282930313233343536373839404142[[#This Row],[ALIŞ]]</f>
        <v>2850</v>
      </c>
      <c r="H107" s="11">
        <f>Tablo1456789101112131415161718192021222324252627282930313233343536373839404142[[#This Row],[ADET]]*Tablo1456789101112131415161718192021222324252627282930313233343536373839404142[[#This Row],[SATIŞ]]</f>
        <v>2950</v>
      </c>
    </row>
    <row r="108" spans="2:8" ht="21" hidden="1" customHeight="1" x14ac:dyDescent="0.3">
      <c r="B108" s="2">
        <v>45384</v>
      </c>
      <c r="C108" s="6">
        <v>50</v>
      </c>
      <c r="D108" s="10">
        <v>56.5</v>
      </c>
      <c r="E108" s="10">
        <v>58.5</v>
      </c>
      <c r="F108" s="9">
        <f>IF(Tablo1456789101112131415161718192021222324252627282930313233343536373839404142[[#This Row],[SATIŞ]]=0,"Açık",(E108-D108)*C108)</f>
        <v>100</v>
      </c>
      <c r="G108" s="11">
        <f>Tablo1456789101112131415161718192021222324252627282930313233343536373839404142[[#This Row],[ADET]]*Tablo1456789101112131415161718192021222324252627282930313233343536373839404142[[#This Row],[ALIŞ]]</f>
        <v>2825</v>
      </c>
      <c r="H108" s="11">
        <f>Tablo1456789101112131415161718192021222324252627282930313233343536373839404142[[#This Row],[ADET]]*Tablo1456789101112131415161718192021222324252627282930313233343536373839404142[[#This Row],[SATIŞ]]</f>
        <v>2925</v>
      </c>
    </row>
    <row r="109" spans="2:8" ht="21" hidden="1" customHeight="1" x14ac:dyDescent="0.3">
      <c r="B109" s="2">
        <v>45385</v>
      </c>
      <c r="C109" s="6">
        <v>50</v>
      </c>
      <c r="D109" s="10">
        <v>56</v>
      </c>
      <c r="E109" s="10">
        <v>57.5</v>
      </c>
      <c r="F109" s="9">
        <f>IF(Tablo1456789101112131415161718192021222324252627282930313233343536373839404142[[#This Row],[SATIŞ]]=0,"Açık",(E109-D109)*C109)</f>
        <v>75</v>
      </c>
      <c r="G109" s="11">
        <f>Tablo1456789101112131415161718192021222324252627282930313233343536373839404142[[#This Row],[ADET]]*Tablo1456789101112131415161718192021222324252627282930313233343536373839404142[[#This Row],[ALIŞ]]</f>
        <v>2800</v>
      </c>
      <c r="H109" s="11">
        <f>Tablo1456789101112131415161718192021222324252627282930313233343536373839404142[[#This Row],[ADET]]*Tablo1456789101112131415161718192021222324252627282930313233343536373839404142[[#This Row],[SATIŞ]]</f>
        <v>2875</v>
      </c>
    </row>
    <row r="110" spans="2:8" ht="21" hidden="1" customHeight="1" x14ac:dyDescent="0.3">
      <c r="B110" s="2">
        <v>45385</v>
      </c>
      <c r="C110" s="6">
        <v>50</v>
      </c>
      <c r="D110" s="10">
        <v>56</v>
      </c>
      <c r="E110" s="10">
        <v>57.5</v>
      </c>
      <c r="F110" s="9">
        <f>IF(Tablo1456789101112131415161718192021222324252627282930313233343536373839404142[[#This Row],[SATIŞ]]=0,"Açık",(E110-D110)*C110)</f>
        <v>75</v>
      </c>
      <c r="G110" s="11">
        <f>Tablo1456789101112131415161718192021222324252627282930313233343536373839404142[[#This Row],[ADET]]*Tablo1456789101112131415161718192021222324252627282930313233343536373839404142[[#This Row],[ALIŞ]]</f>
        <v>2800</v>
      </c>
      <c r="H110" s="11">
        <f>Tablo1456789101112131415161718192021222324252627282930313233343536373839404142[[#This Row],[ADET]]*Tablo1456789101112131415161718192021222324252627282930313233343536373839404142[[#This Row],[SATIŞ]]</f>
        <v>2875</v>
      </c>
    </row>
    <row r="111" spans="2:8" ht="21" hidden="1" customHeight="1" x14ac:dyDescent="0.3">
      <c r="B111" s="2">
        <v>45386</v>
      </c>
      <c r="C111" s="6">
        <v>50</v>
      </c>
      <c r="D111" s="10">
        <v>56</v>
      </c>
      <c r="E111" s="10">
        <v>58</v>
      </c>
      <c r="F111" s="9">
        <f>IF(Tablo1456789101112131415161718192021222324252627282930313233343536373839404142[[#This Row],[SATIŞ]]=0,"Açık",(E111-D111)*C111)</f>
        <v>100</v>
      </c>
      <c r="G111" s="11">
        <f>Tablo1456789101112131415161718192021222324252627282930313233343536373839404142[[#This Row],[ADET]]*Tablo1456789101112131415161718192021222324252627282930313233343536373839404142[[#This Row],[ALIŞ]]</f>
        <v>2800</v>
      </c>
      <c r="H111" s="11">
        <f>Tablo1456789101112131415161718192021222324252627282930313233343536373839404142[[#This Row],[ADET]]*Tablo1456789101112131415161718192021222324252627282930313233343536373839404142[[#This Row],[SATIŞ]]</f>
        <v>2900</v>
      </c>
    </row>
    <row r="112" spans="2:8" ht="21" hidden="1" customHeight="1" x14ac:dyDescent="0.3">
      <c r="B112" s="2">
        <v>45386</v>
      </c>
      <c r="C112" s="6">
        <v>50</v>
      </c>
      <c r="D112" s="10">
        <v>56</v>
      </c>
      <c r="E112" s="10">
        <v>58.2</v>
      </c>
      <c r="F112" s="9">
        <f>IF(Tablo1456789101112131415161718192021222324252627282930313233343536373839404142[[#This Row],[SATIŞ]]=0,"Açık",(E112-D112)*C112)</f>
        <v>110.00000000000014</v>
      </c>
      <c r="G112" s="11">
        <f>Tablo1456789101112131415161718192021222324252627282930313233343536373839404142[[#This Row],[ADET]]*Tablo1456789101112131415161718192021222324252627282930313233343536373839404142[[#This Row],[ALIŞ]]</f>
        <v>2800</v>
      </c>
      <c r="H112" s="11">
        <f>Tablo1456789101112131415161718192021222324252627282930313233343536373839404142[[#This Row],[ADET]]*Tablo1456789101112131415161718192021222324252627282930313233343536373839404142[[#This Row],[SATIŞ]]</f>
        <v>2910</v>
      </c>
    </row>
    <row r="113" spans="2:8" ht="21" hidden="1" customHeight="1" x14ac:dyDescent="0.3">
      <c r="B113" s="2">
        <v>45397</v>
      </c>
      <c r="C113" s="6">
        <v>100</v>
      </c>
      <c r="D113" s="10">
        <v>59</v>
      </c>
      <c r="E113" s="10">
        <v>57.5</v>
      </c>
      <c r="F113" s="9">
        <f>IF(Tablo1456789101112131415161718192021222324252627282930313233343536373839404142[[#This Row],[SATIŞ]]=0,"Açık",(E113-D113)*C113)</f>
        <v>-150</v>
      </c>
      <c r="G113" s="11">
        <f>Tablo1456789101112131415161718192021222324252627282930313233343536373839404142[[#This Row],[ADET]]*Tablo1456789101112131415161718192021222324252627282930313233343536373839404142[[#This Row],[ALIŞ]]</f>
        <v>5900</v>
      </c>
      <c r="H113" s="11">
        <f>Tablo1456789101112131415161718192021222324252627282930313233343536373839404142[[#This Row],[ADET]]*Tablo1456789101112131415161718192021222324252627282930313233343536373839404142[[#This Row],[SATIŞ]]</f>
        <v>5750</v>
      </c>
    </row>
    <row r="114" spans="2:8" ht="21" hidden="1" customHeight="1" x14ac:dyDescent="0.3">
      <c r="B114" s="2">
        <v>45398</v>
      </c>
      <c r="C114" s="6">
        <v>50</v>
      </c>
      <c r="D114" s="10">
        <v>56.75</v>
      </c>
      <c r="E114" s="10">
        <v>57.25</v>
      </c>
      <c r="F114" s="9">
        <f>IF(Tablo1456789101112131415161718192021222324252627282930313233343536373839404142[[#This Row],[SATIŞ]]=0,"Açık",(E114-D114)*C114)</f>
        <v>25</v>
      </c>
      <c r="G114" s="11">
        <f>Tablo1456789101112131415161718192021222324252627282930313233343536373839404142[[#This Row],[ADET]]*Tablo1456789101112131415161718192021222324252627282930313233343536373839404142[[#This Row],[ALIŞ]]</f>
        <v>2837.5</v>
      </c>
      <c r="H114" s="11">
        <f>Tablo1456789101112131415161718192021222324252627282930313233343536373839404142[[#This Row],[ADET]]*Tablo1456789101112131415161718192021222324252627282930313233343536373839404142[[#This Row],[SATIŞ]]</f>
        <v>2862.5</v>
      </c>
    </row>
    <row r="115" spans="2:8" ht="21" hidden="1" customHeight="1" x14ac:dyDescent="0.3">
      <c r="B115" s="2">
        <v>45398</v>
      </c>
      <c r="C115" s="6">
        <v>50</v>
      </c>
      <c r="D115" s="10">
        <v>56.75</v>
      </c>
      <c r="E115" s="10">
        <v>57.5</v>
      </c>
      <c r="F115" s="9">
        <f>IF(Tablo1456789101112131415161718192021222324252627282930313233343536373839404142[[#This Row],[SATIŞ]]=0,"Açık",(E115-D115)*C115)</f>
        <v>37.5</v>
      </c>
      <c r="G115" s="11">
        <f>Tablo1456789101112131415161718192021222324252627282930313233343536373839404142[[#This Row],[ADET]]*Tablo1456789101112131415161718192021222324252627282930313233343536373839404142[[#This Row],[ALIŞ]]</f>
        <v>2837.5</v>
      </c>
      <c r="H115" s="11">
        <f>Tablo1456789101112131415161718192021222324252627282930313233343536373839404142[[#This Row],[ADET]]*Tablo1456789101112131415161718192021222324252627282930313233343536373839404142[[#This Row],[SATIŞ]]</f>
        <v>2875</v>
      </c>
    </row>
  </sheetData>
  <conditionalFormatting sqref="B4:F115">
    <cfRule type="expression" dxfId="44" priority="1">
      <formula>$F4&lt;0</formula>
    </cfRule>
    <cfRule type="expression" dxfId="43" priority="2">
      <formula>$F4="Açık"</formula>
    </cfRule>
    <cfRule type="expression" dxfId="42" priority="3">
      <formula>$F4&gt;0</formula>
    </cfRule>
  </conditionalFormatting>
  <hyperlinks>
    <hyperlink ref="B1" location="İcmal!A1" display="ANA SAYFA" xr:uid="{AFDF1D82-7E73-4C5F-AA60-88A87A05D0BF}"/>
  </hyperlinks>
  <pageMargins left="0.7" right="0.7" top="0.75" bottom="0.75" header="0.3" footer="0.3"/>
  <tableParts count="1">
    <tablePart r:id="rId1"/>
  </tablePart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2923F-2EC8-4BAB-B16D-E269795C1FFC}">
  <dimension ref="B1:R51"/>
  <sheetViews>
    <sheetView showGridLines="0" showZeros="0" zoomScale="110" zoomScaleNormal="110" workbookViewId="0">
      <pane ySplit="3" topLeftCell="A33" activePane="bottomLeft" state="frozen"/>
      <selection pane="bottomLeft" activeCell="E51" sqref="E51"/>
    </sheetView>
  </sheetViews>
  <sheetFormatPr defaultRowHeight="21" customHeight="1" x14ac:dyDescent="0.3"/>
  <cols>
    <col min="2" max="2" width="20.6640625" style="1" customWidth="1"/>
    <col min="3" max="3" width="11.33203125" style="6" customWidth="1"/>
    <col min="4" max="5" width="12.88671875" style="3" customWidth="1"/>
    <col min="6" max="6" width="12.88671875" style="5" customWidth="1"/>
    <col min="7" max="8" width="11.6640625" bestFit="1" customWidth="1"/>
    <col min="10" max="12" width="12.44140625" customWidth="1"/>
    <col min="13" max="13" width="11.6640625" bestFit="1" customWidth="1"/>
    <col min="14" max="14" width="12" bestFit="1" customWidth="1"/>
  </cols>
  <sheetData>
    <row r="1" spans="2:18" ht="21" customHeight="1" x14ac:dyDescent="0.3">
      <c r="B1" s="12" t="s">
        <v>64</v>
      </c>
      <c r="C1" s="4">
        <f>SUMIF(Tablo145678910111213141516171819202122232425262728293031323334353637383940414243[KAR],"Açık",Tablo145678910111213141516171819202122232425262728293031323334353637383940414243[ADET])</f>
        <v>85</v>
      </c>
      <c r="D1" s="10">
        <f>+İcmal!E57</f>
        <v>569</v>
      </c>
      <c r="E1" s="10">
        <f>C1*D1</f>
        <v>48365</v>
      </c>
      <c r="F1" s="10">
        <f>IFERROR(((SUM(Tablo145678910111213141516171819202122232425262728293031323334353637383940414243[ALIŞ TUTAR])-SUM(Tablo145678910111213141516171819202122232425262728293031323334353637383940414243[SATIŞ TUTAR]))/C1),"")</f>
        <v>660.45586235294127</v>
      </c>
      <c r="G1" s="10">
        <f>IF(M3=0,L3,C1*(D1-F1))</f>
        <v>-7773.7483000000075</v>
      </c>
      <c r="J1" s="45" t="s">
        <v>94</v>
      </c>
      <c r="K1" s="45" t="s">
        <v>95</v>
      </c>
      <c r="L1" s="45" t="s">
        <v>96</v>
      </c>
      <c r="M1" s="33">
        <f>F1</f>
        <v>660.45586235294127</v>
      </c>
      <c r="N1" s="8" t="e">
        <f>M1*(1+$J$1)</f>
        <v>#VALUE!</v>
      </c>
      <c r="P1" s="8" t="e">
        <f>Q1*(1-$J$1)</f>
        <v>#VALUE!</v>
      </c>
      <c r="Q1" s="33">
        <f>+D1</f>
        <v>569</v>
      </c>
      <c r="R1" s="8" t="e">
        <f>Q1*(1+$J$1)</f>
        <v>#VALUE!</v>
      </c>
    </row>
    <row r="2" spans="2:18" ht="21" customHeight="1" x14ac:dyDescent="0.3">
      <c r="B2" s="7" t="s">
        <v>52</v>
      </c>
      <c r="J2" s="45">
        <f>SUMIFS(Tablo2[HEDEF2],Tablo2[HİSSE],B2)</f>
        <v>1000</v>
      </c>
      <c r="K2" s="45">
        <f>+E1/İcmal!$P$2</f>
        <v>1486.7814325238242</v>
      </c>
      <c r="L2" s="45">
        <f>+J2-K2</f>
        <v>-486.78143252382415</v>
      </c>
    </row>
    <row r="3" spans="2:18" ht="21" customHeight="1" x14ac:dyDescent="0.3">
      <c r="B3" s="1" t="s">
        <v>0</v>
      </c>
      <c r="C3" s="6" t="s">
        <v>4</v>
      </c>
      <c r="D3" s="3" t="s">
        <v>1</v>
      </c>
      <c r="E3" s="3" t="s">
        <v>3</v>
      </c>
      <c r="F3" s="5" t="s">
        <v>2</v>
      </c>
      <c r="G3" s="3" t="s">
        <v>8</v>
      </c>
      <c r="H3" s="3" t="s">
        <v>9</v>
      </c>
      <c r="L3">
        <f>+SUM(Tablo145678910111213141516171819202122232425262728293031323334353637383940414243[KAR])</f>
        <v>4731.2516999999989</v>
      </c>
      <c r="M3" s="37">
        <f>+C1</f>
        <v>85</v>
      </c>
    </row>
    <row r="4" spans="2:18" ht="21" hidden="1" customHeight="1" x14ac:dyDescent="0.3">
      <c r="B4" s="2">
        <v>45291</v>
      </c>
      <c r="C4" s="6">
        <v>47</v>
      </c>
      <c r="D4" s="10">
        <v>608.5163</v>
      </c>
      <c r="E4" s="10">
        <v>633.93719999999996</v>
      </c>
      <c r="F4" s="9">
        <f>IF(Tablo145678910111213141516171819202122232425262728293031323334353637383940414243[[#This Row],[SATIŞ]]=0,"Açık",(E4-D4)*C4)</f>
        <v>1194.782299999998</v>
      </c>
      <c r="G4" s="11">
        <f>Tablo145678910111213141516171819202122232425262728293031323334353637383940414243[[#This Row],[ADET]]*Tablo145678910111213141516171819202122232425262728293031323334353637383940414243[[#This Row],[ALIŞ]]</f>
        <v>28600.266100000001</v>
      </c>
      <c r="H4" s="11">
        <f>Tablo145678910111213141516171819202122232425262728293031323334353637383940414243[[#This Row],[ADET]]*Tablo145678910111213141516171819202122232425262728293031323334353637383940414243[[#This Row],[SATIŞ]]</f>
        <v>29795.0484</v>
      </c>
      <c r="L4" s="8">
        <f>SUM(Tablo145678910111213141516171819202122232425262728293031323334353637383940414243[ALIŞ TUTAR])</f>
        <v>170668.79670000001</v>
      </c>
      <c r="M4" s="8">
        <f>SUM(Tablo145678910111213141516171819202122232425262728293031323334353637383940414243[SATIŞ TUTAR])</f>
        <v>114530.0484</v>
      </c>
      <c r="N4" s="8">
        <f>L4-M4</f>
        <v>56138.748300000007</v>
      </c>
    </row>
    <row r="5" spans="2:18" ht="21" hidden="1" customHeight="1" x14ac:dyDescent="0.3">
      <c r="B5" s="2">
        <v>45291</v>
      </c>
      <c r="C5" s="6">
        <v>2</v>
      </c>
      <c r="D5" s="10">
        <v>608.5163</v>
      </c>
      <c r="E5" s="10">
        <v>815</v>
      </c>
      <c r="F5" s="9">
        <f>IF(Tablo145678910111213141516171819202122232425262728293031323334353637383940414243[[#This Row],[SATIŞ]]=0,"Açık",(E5-D5)*C5)</f>
        <v>412.9674</v>
      </c>
      <c r="G5" s="11">
        <f>Tablo145678910111213141516171819202122232425262728293031323334353637383940414243[[#This Row],[ADET]]*Tablo145678910111213141516171819202122232425262728293031323334353637383940414243[[#This Row],[ALIŞ]]</f>
        <v>1217.0326</v>
      </c>
      <c r="H5" s="11">
        <f>Tablo145678910111213141516171819202122232425262728293031323334353637383940414243[[#This Row],[ADET]]*Tablo145678910111213141516171819202122232425262728293031323334353637383940414243[[#This Row],[SATIŞ]]</f>
        <v>1630</v>
      </c>
      <c r="N5">
        <f>+N4/80</f>
        <v>701.73435375000008</v>
      </c>
    </row>
    <row r="6" spans="2:18" ht="21" hidden="1" customHeight="1" x14ac:dyDescent="0.3">
      <c r="B6" s="2">
        <v>45323</v>
      </c>
      <c r="C6" s="6">
        <v>1</v>
      </c>
      <c r="D6" s="10">
        <v>775</v>
      </c>
      <c r="E6" s="10">
        <v>810</v>
      </c>
      <c r="F6" s="9">
        <f>IF(Tablo145678910111213141516171819202122232425262728293031323334353637383940414243[[#This Row],[SATIŞ]]=0,"Açık",(E6-D6)*C6)</f>
        <v>35</v>
      </c>
      <c r="G6" s="11">
        <f>Tablo145678910111213141516171819202122232425262728293031323334353637383940414243[[#This Row],[ADET]]*Tablo145678910111213141516171819202122232425262728293031323334353637383940414243[[#This Row],[ALIŞ]]</f>
        <v>775</v>
      </c>
      <c r="H6" s="11">
        <f>Tablo145678910111213141516171819202122232425262728293031323334353637383940414243[[#This Row],[ADET]]*Tablo145678910111213141516171819202122232425262728293031323334353637383940414243[[#This Row],[SATIŞ]]</f>
        <v>810</v>
      </c>
    </row>
    <row r="7" spans="2:18" ht="21" hidden="1" customHeight="1" x14ac:dyDescent="0.3">
      <c r="B7" s="2">
        <v>45328</v>
      </c>
      <c r="C7" s="6">
        <v>6</v>
      </c>
      <c r="D7" s="10">
        <v>800</v>
      </c>
      <c r="E7" s="10">
        <v>855</v>
      </c>
      <c r="F7" s="9">
        <f>IF(Tablo145678910111213141516171819202122232425262728293031323334353637383940414243[[#This Row],[SATIŞ]]=0,"Açık",(E7-D7)*C7)</f>
        <v>330</v>
      </c>
      <c r="G7" s="11">
        <f>Tablo145678910111213141516171819202122232425262728293031323334353637383940414243[[#This Row],[ADET]]*Tablo145678910111213141516171819202122232425262728293031323334353637383940414243[[#This Row],[ALIŞ]]</f>
        <v>4800</v>
      </c>
      <c r="H7" s="11">
        <f>Tablo145678910111213141516171819202122232425262728293031323334353637383940414243[[#This Row],[ADET]]*Tablo145678910111213141516171819202122232425262728293031323334353637383940414243[[#This Row],[SATIŞ]]</f>
        <v>5130</v>
      </c>
    </row>
    <row r="8" spans="2:18" ht="21" hidden="1" customHeight="1" x14ac:dyDescent="0.3">
      <c r="B8" s="2">
        <v>45329</v>
      </c>
      <c r="C8" s="6">
        <v>1</v>
      </c>
      <c r="D8" s="10">
        <v>800</v>
      </c>
      <c r="E8" s="10">
        <v>825</v>
      </c>
      <c r="F8" s="9">
        <f>IF(Tablo145678910111213141516171819202122232425262728293031323334353637383940414243[[#This Row],[SATIŞ]]=0,"Açık",(E8-D8)*C8)</f>
        <v>25</v>
      </c>
      <c r="G8" s="11">
        <f>Tablo145678910111213141516171819202122232425262728293031323334353637383940414243[[#This Row],[ADET]]*Tablo145678910111213141516171819202122232425262728293031323334353637383940414243[[#This Row],[ALIŞ]]</f>
        <v>800</v>
      </c>
      <c r="H8" s="11">
        <f>Tablo145678910111213141516171819202122232425262728293031323334353637383940414243[[#This Row],[ADET]]*Tablo145678910111213141516171819202122232425262728293031323334353637383940414243[[#This Row],[SATIŞ]]</f>
        <v>825</v>
      </c>
    </row>
    <row r="9" spans="2:18" ht="21" hidden="1" customHeight="1" x14ac:dyDescent="0.3">
      <c r="B9" s="2">
        <v>45329</v>
      </c>
      <c r="C9" s="6">
        <v>2</v>
      </c>
      <c r="D9" s="10">
        <v>790</v>
      </c>
      <c r="E9" s="10">
        <v>815</v>
      </c>
      <c r="F9" s="9">
        <f>IF(Tablo145678910111213141516171819202122232425262728293031323334353637383940414243[[#This Row],[SATIŞ]]=0,"Açık",(E9-D9)*C9)</f>
        <v>50</v>
      </c>
      <c r="G9" s="11">
        <f>Tablo145678910111213141516171819202122232425262728293031323334353637383940414243[[#This Row],[ADET]]*Tablo145678910111213141516171819202122232425262728293031323334353637383940414243[[#This Row],[ALIŞ]]</f>
        <v>1580</v>
      </c>
      <c r="H9" s="11">
        <f>Tablo145678910111213141516171819202122232425262728293031323334353637383940414243[[#This Row],[ADET]]*Tablo145678910111213141516171819202122232425262728293031323334353637383940414243[[#This Row],[SATIŞ]]</f>
        <v>1630</v>
      </c>
    </row>
    <row r="10" spans="2:18" ht="21" hidden="1" customHeight="1" x14ac:dyDescent="0.3">
      <c r="B10" s="2">
        <v>45328</v>
      </c>
      <c r="C10" s="6">
        <v>1</v>
      </c>
      <c r="D10" s="10">
        <v>800</v>
      </c>
      <c r="E10" s="10">
        <v>815</v>
      </c>
      <c r="F10" s="9">
        <f>IF(Tablo145678910111213141516171819202122232425262728293031323334353637383940414243[[#This Row],[SATIŞ]]=0,"Açık",(E10-D10)*C10)</f>
        <v>15</v>
      </c>
      <c r="G10" s="11">
        <f>Tablo145678910111213141516171819202122232425262728293031323334353637383940414243[[#This Row],[ADET]]*Tablo145678910111213141516171819202122232425262728293031323334353637383940414243[[#This Row],[ALIŞ]]</f>
        <v>800</v>
      </c>
      <c r="H10" s="11">
        <f>Tablo145678910111213141516171819202122232425262728293031323334353637383940414243[[#This Row],[ADET]]*Tablo145678910111213141516171819202122232425262728293031323334353637383940414243[[#This Row],[SATIŞ]]</f>
        <v>815</v>
      </c>
    </row>
    <row r="11" spans="2:18" ht="21" hidden="1" customHeight="1" x14ac:dyDescent="0.3">
      <c r="B11" s="2">
        <v>45331</v>
      </c>
      <c r="C11" s="6">
        <v>1</v>
      </c>
      <c r="D11" s="10">
        <v>830</v>
      </c>
      <c r="E11" s="10">
        <v>820</v>
      </c>
      <c r="F11" s="9">
        <f>IF(Tablo145678910111213141516171819202122232425262728293031323334353637383940414243[[#This Row],[SATIŞ]]=0,"Açık",(E11-D11)*C11)</f>
        <v>-10</v>
      </c>
      <c r="G11" s="11">
        <f>Tablo145678910111213141516171819202122232425262728293031323334353637383940414243[[#This Row],[ADET]]*Tablo145678910111213141516171819202122232425262728293031323334353637383940414243[[#This Row],[ALIŞ]]</f>
        <v>830</v>
      </c>
      <c r="H11" s="11">
        <f>Tablo145678910111213141516171819202122232425262728293031323334353637383940414243[[#This Row],[ADET]]*Tablo145678910111213141516171819202122232425262728293031323334353637383940414243[[#This Row],[SATIŞ]]</f>
        <v>820</v>
      </c>
    </row>
    <row r="12" spans="2:18" ht="21" hidden="1" customHeight="1" x14ac:dyDescent="0.3">
      <c r="B12" s="2">
        <v>45331</v>
      </c>
      <c r="C12" s="6">
        <v>2</v>
      </c>
      <c r="D12" s="10">
        <v>825</v>
      </c>
      <c r="E12" s="10">
        <v>850</v>
      </c>
      <c r="F12" s="9">
        <f>IF(Tablo145678910111213141516171819202122232425262728293031323334353637383940414243[[#This Row],[SATIŞ]]=0,"Açık",(E12-D12)*C12)</f>
        <v>50</v>
      </c>
      <c r="G12" s="11">
        <f>Tablo145678910111213141516171819202122232425262728293031323334353637383940414243[[#This Row],[ADET]]*Tablo145678910111213141516171819202122232425262728293031323334353637383940414243[[#This Row],[ALIŞ]]</f>
        <v>1650</v>
      </c>
      <c r="H12" s="11">
        <f>Tablo145678910111213141516171819202122232425262728293031323334353637383940414243[[#This Row],[ADET]]*Tablo145678910111213141516171819202122232425262728293031323334353637383940414243[[#This Row],[SATIŞ]]</f>
        <v>1700</v>
      </c>
    </row>
    <row r="13" spans="2:18" ht="21" hidden="1" customHeight="1" x14ac:dyDescent="0.3">
      <c r="B13" s="2">
        <v>45331</v>
      </c>
      <c r="C13" s="6">
        <v>3</v>
      </c>
      <c r="D13" s="10">
        <v>820</v>
      </c>
      <c r="E13" s="10">
        <v>820</v>
      </c>
      <c r="F13" s="9">
        <f>IF(Tablo145678910111213141516171819202122232425262728293031323334353637383940414243[[#This Row],[SATIŞ]]=0,"Açık",(E13-D13)*C13)</f>
        <v>0</v>
      </c>
      <c r="G13" s="11">
        <f>Tablo145678910111213141516171819202122232425262728293031323334353637383940414243[[#This Row],[ADET]]*Tablo145678910111213141516171819202122232425262728293031323334353637383940414243[[#This Row],[ALIŞ]]</f>
        <v>2460</v>
      </c>
      <c r="H13" s="11">
        <f>Tablo145678910111213141516171819202122232425262728293031323334353637383940414243[[#This Row],[ADET]]*Tablo145678910111213141516171819202122232425262728293031323334353637383940414243[[#This Row],[SATIŞ]]</f>
        <v>2460</v>
      </c>
    </row>
    <row r="14" spans="2:18" ht="21" hidden="1" customHeight="1" x14ac:dyDescent="0.3">
      <c r="B14" s="2">
        <v>45331</v>
      </c>
      <c r="C14" s="6">
        <v>3</v>
      </c>
      <c r="D14" s="10">
        <v>826.08299999999997</v>
      </c>
      <c r="E14" s="10">
        <v>850</v>
      </c>
      <c r="F14" s="9">
        <f>IF(Tablo145678910111213141516171819202122232425262728293031323334353637383940414243[[#This Row],[SATIŞ]]=0,"Açık",(E14-D14)*C14)</f>
        <v>71.75100000000009</v>
      </c>
      <c r="G14" s="11">
        <f>Tablo145678910111213141516171819202122232425262728293031323334353637383940414243[[#This Row],[ADET]]*Tablo145678910111213141516171819202122232425262728293031323334353637383940414243[[#This Row],[ALIŞ]]</f>
        <v>2478.2489999999998</v>
      </c>
      <c r="H14" s="11">
        <f>Tablo145678910111213141516171819202122232425262728293031323334353637383940414243[[#This Row],[ADET]]*Tablo145678910111213141516171819202122232425262728293031323334353637383940414243[[#This Row],[SATIŞ]]</f>
        <v>2550</v>
      </c>
    </row>
    <row r="15" spans="2:18" ht="21" hidden="1" customHeight="1" x14ac:dyDescent="0.3">
      <c r="B15" s="2">
        <v>45331</v>
      </c>
      <c r="C15" s="6">
        <v>3</v>
      </c>
      <c r="D15" s="10">
        <v>826.08299999999997</v>
      </c>
      <c r="E15" s="10">
        <v>850</v>
      </c>
      <c r="F15" s="9">
        <f>IF(Tablo145678910111213141516171819202122232425262728293031323334353637383940414243[[#This Row],[SATIŞ]]=0,"Açık",(E15-D15)*C15)</f>
        <v>71.75100000000009</v>
      </c>
      <c r="G15" s="11">
        <f>Tablo145678910111213141516171819202122232425262728293031323334353637383940414243[[#This Row],[ADET]]*Tablo145678910111213141516171819202122232425262728293031323334353637383940414243[[#This Row],[ALIŞ]]</f>
        <v>2478.2489999999998</v>
      </c>
      <c r="H15" s="11">
        <f>Tablo145678910111213141516171819202122232425262728293031323334353637383940414243[[#This Row],[ADET]]*Tablo145678910111213141516171819202122232425262728293031323334353637383940414243[[#This Row],[SATIŞ]]</f>
        <v>2550</v>
      </c>
    </row>
    <row r="16" spans="2:18" ht="21" hidden="1" customHeight="1" x14ac:dyDescent="0.3">
      <c r="B16" s="2">
        <v>45336</v>
      </c>
      <c r="C16" s="6">
        <v>1</v>
      </c>
      <c r="D16" s="10">
        <v>770</v>
      </c>
      <c r="E16" s="10">
        <v>800</v>
      </c>
      <c r="F16" s="9">
        <f>IF(Tablo145678910111213141516171819202122232425262728293031323334353637383940414243[[#This Row],[SATIŞ]]=0,"Açık",(E16-D16)*C16)</f>
        <v>30</v>
      </c>
      <c r="G16" s="11">
        <f>Tablo145678910111213141516171819202122232425262728293031323334353637383940414243[[#This Row],[ADET]]*Tablo145678910111213141516171819202122232425262728293031323334353637383940414243[[#This Row],[ALIŞ]]</f>
        <v>770</v>
      </c>
      <c r="H16" s="11">
        <f>Tablo145678910111213141516171819202122232425262728293031323334353637383940414243[[#This Row],[ADET]]*Tablo145678910111213141516171819202122232425262728293031323334353637383940414243[[#This Row],[SATIŞ]]</f>
        <v>800</v>
      </c>
    </row>
    <row r="17" spans="2:10" ht="21" hidden="1" customHeight="1" x14ac:dyDescent="0.3">
      <c r="B17" s="2">
        <v>45336</v>
      </c>
      <c r="C17" s="6">
        <v>2</v>
      </c>
      <c r="D17" s="10">
        <v>770</v>
      </c>
      <c r="E17" s="10">
        <v>850</v>
      </c>
      <c r="F17" s="9">
        <f>IF(Tablo145678910111213141516171819202122232425262728293031323334353637383940414243[[#This Row],[SATIŞ]]=0,"Açık",(E17-D17)*C17)</f>
        <v>160</v>
      </c>
      <c r="G17" s="11">
        <f>Tablo145678910111213141516171819202122232425262728293031323334353637383940414243[[#This Row],[ADET]]*Tablo145678910111213141516171819202122232425262728293031323334353637383940414243[[#This Row],[ALIŞ]]</f>
        <v>1540</v>
      </c>
      <c r="H17" s="11">
        <f>Tablo145678910111213141516171819202122232425262728293031323334353637383940414243[[#This Row],[ADET]]*Tablo145678910111213141516171819202122232425262728293031323334353637383940414243[[#This Row],[SATIŞ]]</f>
        <v>1700</v>
      </c>
    </row>
    <row r="18" spans="2:10" ht="21" hidden="1" customHeight="1" x14ac:dyDescent="0.3">
      <c r="B18" s="2">
        <v>45337</v>
      </c>
      <c r="C18" s="6">
        <v>5</v>
      </c>
      <c r="D18" s="10">
        <v>800</v>
      </c>
      <c r="E18" s="10">
        <v>825</v>
      </c>
      <c r="F18" s="9">
        <f>IF(Tablo145678910111213141516171819202122232425262728293031323334353637383940414243[[#This Row],[SATIŞ]]=0,"Açık",(E18-D18)*C18)</f>
        <v>125</v>
      </c>
      <c r="G18" s="11">
        <f>Tablo145678910111213141516171819202122232425262728293031323334353637383940414243[[#This Row],[ADET]]*Tablo145678910111213141516171819202122232425262728293031323334353637383940414243[[#This Row],[ALIŞ]]</f>
        <v>4000</v>
      </c>
      <c r="H18" s="11">
        <f>Tablo145678910111213141516171819202122232425262728293031323334353637383940414243[[#This Row],[ADET]]*Tablo145678910111213141516171819202122232425262728293031323334353637383940414243[[#This Row],[SATIŞ]]</f>
        <v>4125</v>
      </c>
    </row>
    <row r="19" spans="2:10" ht="21" hidden="1" customHeight="1" x14ac:dyDescent="0.3">
      <c r="B19" s="2">
        <v>45343</v>
      </c>
      <c r="C19" s="6">
        <v>5</v>
      </c>
      <c r="D19" s="10">
        <v>825</v>
      </c>
      <c r="E19" s="10">
        <v>885.5</v>
      </c>
      <c r="F19" s="9">
        <f>IF(Tablo145678910111213141516171819202122232425262728293031323334353637383940414243[[#This Row],[SATIŞ]]=0,"Açık",(E19-D19)*C19)</f>
        <v>302.5</v>
      </c>
      <c r="G19" s="11">
        <f>Tablo145678910111213141516171819202122232425262728293031323334353637383940414243[[#This Row],[ADET]]*Tablo145678910111213141516171819202122232425262728293031323334353637383940414243[[#This Row],[ALIŞ]]</f>
        <v>4125</v>
      </c>
      <c r="H19" s="11">
        <f>Tablo145678910111213141516171819202122232425262728293031323334353637383940414243[[#This Row],[ADET]]*Tablo145678910111213141516171819202122232425262728293031323334353637383940414243[[#This Row],[SATIŞ]]</f>
        <v>4427.5</v>
      </c>
    </row>
    <row r="20" spans="2:10" ht="21" hidden="1" customHeight="1" x14ac:dyDescent="0.3">
      <c r="B20" s="2">
        <v>45343</v>
      </c>
      <c r="C20" s="6">
        <v>5</v>
      </c>
      <c r="D20" s="10">
        <v>800</v>
      </c>
      <c r="E20" s="10">
        <v>870</v>
      </c>
      <c r="F20" s="9">
        <f>IF(Tablo145678910111213141516171819202122232425262728293031323334353637383940414243[[#This Row],[SATIŞ]]=0,"Açık",(E20-D20)*C20)</f>
        <v>350</v>
      </c>
      <c r="G20" s="11">
        <f>Tablo145678910111213141516171819202122232425262728293031323334353637383940414243[[#This Row],[ADET]]*Tablo145678910111213141516171819202122232425262728293031323334353637383940414243[[#This Row],[ALIŞ]]</f>
        <v>4000</v>
      </c>
      <c r="H20" s="11">
        <f>Tablo145678910111213141516171819202122232425262728293031323334353637383940414243[[#This Row],[ADET]]*Tablo145678910111213141516171819202122232425262728293031323334353637383940414243[[#This Row],[SATIŞ]]</f>
        <v>4350</v>
      </c>
    </row>
    <row r="21" spans="2:10" ht="21" customHeight="1" x14ac:dyDescent="0.3">
      <c r="B21" s="2">
        <v>45345</v>
      </c>
      <c r="C21" s="6">
        <v>5</v>
      </c>
      <c r="D21" s="10">
        <v>870</v>
      </c>
      <c r="E21" s="10"/>
      <c r="F21" s="9" t="str">
        <f>IF(Tablo145678910111213141516171819202122232425262728293031323334353637383940414243[[#This Row],[SATIŞ]]=0,"Açık",(E21-D21)*C21)</f>
        <v>Açık</v>
      </c>
      <c r="G21" s="11">
        <f>Tablo145678910111213141516171819202122232425262728293031323334353637383940414243[[#This Row],[ADET]]*Tablo145678910111213141516171819202122232425262728293031323334353637383940414243[[#This Row],[ALIŞ]]</f>
        <v>4350</v>
      </c>
      <c r="H21" s="11">
        <f>Tablo145678910111213141516171819202122232425262728293031323334353637383940414243[[#This Row],[ADET]]*Tablo145678910111213141516171819202122232425262728293031323334353637383940414243[[#This Row],[SATIŞ]]</f>
        <v>0</v>
      </c>
      <c r="J21" s="40">
        <f t="shared" ref="J21:J43" si="0">IF(E21=0,D21*1.05,"")</f>
        <v>913.5</v>
      </c>
    </row>
    <row r="22" spans="2:10" ht="21" customHeight="1" x14ac:dyDescent="0.3">
      <c r="B22" s="2">
        <v>45345</v>
      </c>
      <c r="C22" s="6">
        <v>5</v>
      </c>
      <c r="D22" s="10">
        <v>840</v>
      </c>
      <c r="E22" s="10"/>
      <c r="F22" s="9" t="str">
        <f>IF(Tablo145678910111213141516171819202122232425262728293031323334353637383940414243[[#This Row],[SATIŞ]]=0,"Açık",(E22-D22)*C22)</f>
        <v>Açık</v>
      </c>
      <c r="G22" s="11">
        <f>Tablo145678910111213141516171819202122232425262728293031323334353637383940414243[[#This Row],[ADET]]*Tablo145678910111213141516171819202122232425262728293031323334353637383940414243[[#This Row],[ALIŞ]]</f>
        <v>4200</v>
      </c>
      <c r="H22" s="11">
        <f>Tablo145678910111213141516171819202122232425262728293031323334353637383940414243[[#This Row],[ADET]]*Tablo145678910111213141516171819202122232425262728293031323334353637383940414243[[#This Row],[SATIŞ]]</f>
        <v>0</v>
      </c>
      <c r="J22" s="40">
        <f t="shared" si="0"/>
        <v>882</v>
      </c>
    </row>
    <row r="23" spans="2:10" ht="21" customHeight="1" x14ac:dyDescent="0.3">
      <c r="B23" s="2">
        <v>45345</v>
      </c>
      <c r="C23" s="6">
        <v>5</v>
      </c>
      <c r="D23" s="10">
        <v>850</v>
      </c>
      <c r="E23" s="10"/>
      <c r="F23" s="9" t="str">
        <f>IF(Tablo145678910111213141516171819202122232425262728293031323334353637383940414243[[#This Row],[SATIŞ]]=0,"Açık",(E23-D23)*C23)</f>
        <v>Açık</v>
      </c>
      <c r="G23" s="11">
        <f>Tablo145678910111213141516171819202122232425262728293031323334353637383940414243[[#This Row],[ADET]]*Tablo145678910111213141516171819202122232425262728293031323334353637383940414243[[#This Row],[ALIŞ]]</f>
        <v>4250</v>
      </c>
      <c r="H23" s="11">
        <f>Tablo145678910111213141516171819202122232425262728293031323334353637383940414243[[#This Row],[ADET]]*Tablo145678910111213141516171819202122232425262728293031323334353637383940414243[[#This Row],[SATIŞ]]</f>
        <v>0</v>
      </c>
      <c r="J23" s="40">
        <f t="shared" si="0"/>
        <v>892.5</v>
      </c>
    </row>
    <row r="24" spans="2:10" ht="21" customHeight="1" x14ac:dyDescent="0.3">
      <c r="B24" s="2">
        <v>45349</v>
      </c>
      <c r="C24" s="6">
        <v>5</v>
      </c>
      <c r="D24" s="10">
        <v>825</v>
      </c>
      <c r="E24" s="10"/>
      <c r="F24" s="9" t="str">
        <f>IF(Tablo145678910111213141516171819202122232425262728293031323334353637383940414243[[#This Row],[SATIŞ]]=0,"Açık",(E24-D24)*C24)</f>
        <v>Açık</v>
      </c>
      <c r="G24" s="11">
        <f>Tablo145678910111213141516171819202122232425262728293031323334353637383940414243[[#This Row],[ADET]]*Tablo145678910111213141516171819202122232425262728293031323334353637383940414243[[#This Row],[ALIŞ]]</f>
        <v>4125</v>
      </c>
      <c r="H24" s="11">
        <f>Tablo145678910111213141516171819202122232425262728293031323334353637383940414243[[#This Row],[ADET]]*Tablo145678910111213141516171819202122232425262728293031323334353637383940414243[[#This Row],[SATIŞ]]</f>
        <v>0</v>
      </c>
      <c r="J24" s="40">
        <f t="shared" si="0"/>
        <v>866.25</v>
      </c>
    </row>
    <row r="25" spans="2:10" ht="21" customHeight="1" x14ac:dyDescent="0.3">
      <c r="B25" s="2">
        <v>45355</v>
      </c>
      <c r="C25" s="6">
        <v>5</v>
      </c>
      <c r="D25" s="10">
        <v>775</v>
      </c>
      <c r="E25" s="10"/>
      <c r="F25" s="9" t="str">
        <f>IF(Tablo145678910111213141516171819202122232425262728293031323334353637383940414243[[#This Row],[SATIŞ]]=0,"Açık",(E25-D25)*C25)</f>
        <v>Açık</v>
      </c>
      <c r="G25" s="11">
        <f>Tablo145678910111213141516171819202122232425262728293031323334353637383940414243[[#This Row],[ADET]]*Tablo145678910111213141516171819202122232425262728293031323334353637383940414243[[#This Row],[ALIŞ]]</f>
        <v>3875</v>
      </c>
      <c r="H25" s="11">
        <f>Tablo145678910111213141516171819202122232425262728293031323334353637383940414243[[#This Row],[ADET]]*Tablo145678910111213141516171819202122232425262728293031323334353637383940414243[[#This Row],[SATIŞ]]</f>
        <v>0</v>
      </c>
      <c r="J25" s="40">
        <f t="shared" si="0"/>
        <v>813.75</v>
      </c>
    </row>
    <row r="26" spans="2:10" ht="21" customHeight="1" x14ac:dyDescent="0.3">
      <c r="B26" s="2">
        <v>45356</v>
      </c>
      <c r="C26" s="6">
        <v>5</v>
      </c>
      <c r="D26" s="10">
        <v>750</v>
      </c>
      <c r="E26" s="10"/>
      <c r="F26" s="9" t="str">
        <f>IF(Tablo145678910111213141516171819202122232425262728293031323334353637383940414243[[#This Row],[SATIŞ]]=0,"Açık",(E26-D26)*C26)</f>
        <v>Açık</v>
      </c>
      <c r="G26" s="11">
        <f>Tablo145678910111213141516171819202122232425262728293031323334353637383940414243[[#This Row],[ADET]]*Tablo145678910111213141516171819202122232425262728293031323334353637383940414243[[#This Row],[ALIŞ]]</f>
        <v>3750</v>
      </c>
      <c r="H26" s="11">
        <f>Tablo145678910111213141516171819202122232425262728293031323334353637383940414243[[#This Row],[ADET]]*Tablo145678910111213141516171819202122232425262728293031323334353637383940414243[[#This Row],[SATIŞ]]</f>
        <v>0</v>
      </c>
      <c r="J26" s="40">
        <f t="shared" si="0"/>
        <v>787.5</v>
      </c>
    </row>
    <row r="27" spans="2:10" ht="21" hidden="1" customHeight="1" x14ac:dyDescent="0.3">
      <c r="B27" s="2">
        <v>45356</v>
      </c>
      <c r="C27" s="6">
        <v>5</v>
      </c>
      <c r="D27" s="10">
        <v>700</v>
      </c>
      <c r="E27" s="10">
        <v>725</v>
      </c>
      <c r="F27" s="9">
        <f>IF(Tablo145678910111213141516171819202122232425262728293031323334353637383940414243[[#This Row],[SATIŞ]]=0,"Açık",(E27-D27)*C27)</f>
        <v>125</v>
      </c>
      <c r="G27" s="11">
        <f>Tablo145678910111213141516171819202122232425262728293031323334353637383940414243[[#This Row],[ADET]]*Tablo145678910111213141516171819202122232425262728293031323334353637383940414243[[#This Row],[ALIŞ]]</f>
        <v>3500</v>
      </c>
      <c r="H27" s="11">
        <f>Tablo145678910111213141516171819202122232425262728293031323334353637383940414243[[#This Row],[ADET]]*Tablo145678910111213141516171819202122232425262728293031323334353637383940414243[[#This Row],[SATIŞ]]</f>
        <v>3625</v>
      </c>
      <c r="J27" s="40" t="str">
        <f t="shared" si="0"/>
        <v/>
      </c>
    </row>
    <row r="28" spans="2:10" ht="21" customHeight="1" x14ac:dyDescent="0.3">
      <c r="B28" s="2">
        <v>45356</v>
      </c>
      <c r="C28" s="6">
        <v>5</v>
      </c>
      <c r="D28" s="10">
        <v>725</v>
      </c>
      <c r="E28" s="10"/>
      <c r="F28" s="9" t="str">
        <f>IF(Tablo145678910111213141516171819202122232425262728293031323334353637383940414243[[#This Row],[SATIŞ]]=0,"Açık",(E28-D28)*C28)</f>
        <v>Açık</v>
      </c>
      <c r="G28" s="11">
        <f>Tablo145678910111213141516171819202122232425262728293031323334353637383940414243[[#This Row],[ADET]]*Tablo145678910111213141516171819202122232425262728293031323334353637383940414243[[#This Row],[ALIŞ]]</f>
        <v>3625</v>
      </c>
      <c r="H28" s="11">
        <f>Tablo145678910111213141516171819202122232425262728293031323334353637383940414243[[#This Row],[ADET]]*Tablo145678910111213141516171819202122232425262728293031323334353637383940414243[[#This Row],[SATIŞ]]</f>
        <v>0</v>
      </c>
      <c r="J28" s="40">
        <f t="shared" si="0"/>
        <v>761.25</v>
      </c>
    </row>
    <row r="29" spans="2:10" ht="21" customHeight="1" x14ac:dyDescent="0.3">
      <c r="B29" s="2">
        <v>45362</v>
      </c>
      <c r="C29" s="6">
        <v>5</v>
      </c>
      <c r="D29" s="10">
        <v>700</v>
      </c>
      <c r="E29" s="10"/>
      <c r="F29" s="9" t="str">
        <f>IF(Tablo145678910111213141516171819202122232425262728293031323334353637383940414243[[#This Row],[SATIŞ]]=0,"Açık",(E29-D29)*C29)</f>
        <v>Açık</v>
      </c>
      <c r="G29" s="11">
        <f>Tablo145678910111213141516171819202122232425262728293031323334353637383940414243[[#This Row],[ADET]]*Tablo145678910111213141516171819202122232425262728293031323334353637383940414243[[#This Row],[ALIŞ]]</f>
        <v>3500</v>
      </c>
      <c r="H29" s="11">
        <f>Tablo145678910111213141516171819202122232425262728293031323334353637383940414243[[#This Row],[ADET]]*Tablo145678910111213141516171819202122232425262728293031323334353637383940414243[[#This Row],[SATIŞ]]</f>
        <v>0</v>
      </c>
      <c r="J29" s="40">
        <f t="shared" si="0"/>
        <v>735</v>
      </c>
    </row>
    <row r="30" spans="2:10" ht="21" hidden="1" customHeight="1" x14ac:dyDescent="0.3">
      <c r="B30" s="2">
        <v>45363</v>
      </c>
      <c r="C30" s="6">
        <v>5</v>
      </c>
      <c r="D30" s="10">
        <v>689.5</v>
      </c>
      <c r="E30" s="10">
        <v>700</v>
      </c>
      <c r="F30" s="9">
        <f>IF(Tablo145678910111213141516171819202122232425262728293031323334353637383940414243[[#This Row],[SATIŞ]]=0,"Açık",(E30-D30)*C30)</f>
        <v>52.5</v>
      </c>
      <c r="G30" s="11">
        <f>Tablo145678910111213141516171819202122232425262728293031323334353637383940414243[[#This Row],[ADET]]*Tablo145678910111213141516171819202122232425262728293031323334353637383940414243[[#This Row],[ALIŞ]]</f>
        <v>3447.5</v>
      </c>
      <c r="H30" s="11">
        <f>Tablo145678910111213141516171819202122232425262728293031323334353637383940414243[[#This Row],[ADET]]*Tablo145678910111213141516171819202122232425262728293031323334353637383940414243[[#This Row],[SATIŞ]]</f>
        <v>3500</v>
      </c>
      <c r="J30" s="40" t="str">
        <f t="shared" si="0"/>
        <v/>
      </c>
    </row>
    <row r="31" spans="2:10" ht="21" hidden="1" customHeight="1" x14ac:dyDescent="0.3">
      <c r="B31" s="2">
        <v>45363</v>
      </c>
      <c r="C31" s="6">
        <v>5</v>
      </c>
      <c r="D31" s="10">
        <v>689.5</v>
      </c>
      <c r="E31" s="10">
        <v>725.5</v>
      </c>
      <c r="F31" s="9">
        <f>IF(Tablo145678910111213141516171819202122232425262728293031323334353637383940414243[[#This Row],[SATIŞ]]=0,"Açık",(E31-D31)*C31)</f>
        <v>180</v>
      </c>
      <c r="G31" s="11">
        <f>Tablo145678910111213141516171819202122232425262728293031323334353637383940414243[[#This Row],[ADET]]*Tablo145678910111213141516171819202122232425262728293031323334353637383940414243[[#This Row],[ALIŞ]]</f>
        <v>3447.5</v>
      </c>
      <c r="H31" s="11">
        <f>Tablo145678910111213141516171819202122232425262728293031323334353637383940414243[[#This Row],[ADET]]*Tablo145678910111213141516171819202122232425262728293031323334353637383940414243[[#This Row],[SATIŞ]]</f>
        <v>3627.5</v>
      </c>
      <c r="J31" s="40" t="str">
        <f t="shared" si="0"/>
        <v/>
      </c>
    </row>
    <row r="32" spans="2:10" ht="21" customHeight="1" x14ac:dyDescent="0.3">
      <c r="B32" s="2">
        <v>45364</v>
      </c>
      <c r="C32" s="6">
        <v>5</v>
      </c>
      <c r="D32" s="10">
        <v>700</v>
      </c>
      <c r="E32" s="10"/>
      <c r="F32" s="9" t="str">
        <f>IF(Tablo145678910111213141516171819202122232425262728293031323334353637383940414243[[#This Row],[SATIŞ]]=0,"Açık",(E32-D32)*C32)</f>
        <v>Açık</v>
      </c>
      <c r="G32" s="11">
        <f>Tablo145678910111213141516171819202122232425262728293031323334353637383940414243[[#This Row],[ADET]]*Tablo145678910111213141516171819202122232425262728293031323334353637383940414243[[#This Row],[ALIŞ]]</f>
        <v>3500</v>
      </c>
      <c r="H32" s="11">
        <f>Tablo145678910111213141516171819202122232425262728293031323334353637383940414243[[#This Row],[ADET]]*Tablo145678910111213141516171819202122232425262728293031323334353637383940414243[[#This Row],[SATIŞ]]</f>
        <v>0</v>
      </c>
      <c r="J32" s="40">
        <f t="shared" si="0"/>
        <v>735</v>
      </c>
    </row>
    <row r="33" spans="2:10" ht="21" customHeight="1" x14ac:dyDescent="0.3">
      <c r="B33" s="2">
        <v>45364</v>
      </c>
      <c r="C33" s="6">
        <v>5</v>
      </c>
      <c r="D33" s="10">
        <v>695</v>
      </c>
      <c r="E33" s="10"/>
      <c r="F33" s="9" t="str">
        <f>IF(Tablo145678910111213141516171819202122232425262728293031323334353637383940414243[[#This Row],[SATIŞ]]=0,"Açık",(E33-D33)*C33)</f>
        <v>Açık</v>
      </c>
      <c r="G33" s="11">
        <f>Tablo145678910111213141516171819202122232425262728293031323334353637383940414243[[#This Row],[ADET]]*Tablo145678910111213141516171819202122232425262728293031323334353637383940414243[[#This Row],[ALIŞ]]</f>
        <v>3475</v>
      </c>
      <c r="H33" s="11">
        <f>Tablo145678910111213141516171819202122232425262728293031323334353637383940414243[[#This Row],[ADET]]*Tablo145678910111213141516171819202122232425262728293031323334353637383940414243[[#This Row],[SATIŞ]]</f>
        <v>0</v>
      </c>
      <c r="J33" s="40">
        <f t="shared" si="0"/>
        <v>729.75</v>
      </c>
    </row>
    <row r="34" spans="2:10" ht="21" hidden="1" customHeight="1" x14ac:dyDescent="0.3">
      <c r="B34" s="2">
        <v>45364</v>
      </c>
      <c r="C34" s="6">
        <v>5</v>
      </c>
      <c r="D34" s="10">
        <v>695</v>
      </c>
      <c r="E34" s="10">
        <v>700</v>
      </c>
      <c r="F34" s="9">
        <f>IF(Tablo145678910111213141516171819202122232425262728293031323334353637383940414243[[#This Row],[SATIŞ]]=0,"Açık",(E34-D34)*C34)</f>
        <v>25</v>
      </c>
      <c r="G34" s="11">
        <f>Tablo145678910111213141516171819202122232425262728293031323334353637383940414243[[#This Row],[ADET]]*Tablo145678910111213141516171819202122232425262728293031323334353637383940414243[[#This Row],[ALIŞ]]</f>
        <v>3475</v>
      </c>
      <c r="H34" s="11">
        <f>Tablo145678910111213141516171819202122232425262728293031323334353637383940414243[[#This Row],[ADET]]*Tablo145678910111213141516171819202122232425262728293031323334353637383940414243[[#This Row],[SATIŞ]]</f>
        <v>3500</v>
      </c>
      <c r="J34" s="40" t="str">
        <f t="shared" si="0"/>
        <v/>
      </c>
    </row>
    <row r="35" spans="2:10" ht="21" hidden="1" customHeight="1" x14ac:dyDescent="0.3">
      <c r="B35" s="2">
        <v>45369</v>
      </c>
      <c r="C35" s="6">
        <v>5</v>
      </c>
      <c r="D35" s="10">
        <v>667</v>
      </c>
      <c r="E35" s="10">
        <v>680</v>
      </c>
      <c r="F35" s="9">
        <f>IF(Tablo145678910111213141516171819202122232425262728293031323334353637383940414243[[#This Row],[SATIŞ]]=0,"Açık",(E35-D35)*C35)</f>
        <v>65</v>
      </c>
      <c r="G35" s="11">
        <f>Tablo145678910111213141516171819202122232425262728293031323334353637383940414243[[#This Row],[ADET]]*Tablo145678910111213141516171819202122232425262728293031323334353637383940414243[[#This Row],[ALIŞ]]</f>
        <v>3335</v>
      </c>
      <c r="H35" s="11">
        <f>Tablo145678910111213141516171819202122232425262728293031323334353637383940414243[[#This Row],[ADET]]*Tablo145678910111213141516171819202122232425262728293031323334353637383940414243[[#This Row],[SATIŞ]]</f>
        <v>3400</v>
      </c>
      <c r="J35" s="40" t="str">
        <f t="shared" si="0"/>
        <v/>
      </c>
    </row>
    <row r="36" spans="2:10" ht="21" customHeight="1" x14ac:dyDescent="0.3">
      <c r="B36" s="2">
        <v>45371</v>
      </c>
      <c r="C36" s="6">
        <v>5</v>
      </c>
      <c r="D36" s="10">
        <v>675</v>
      </c>
      <c r="E36" s="10"/>
      <c r="F36" s="9" t="str">
        <f>IF(Tablo145678910111213141516171819202122232425262728293031323334353637383940414243[[#This Row],[SATIŞ]]=0,"Açık",(E36-D36)*C36)</f>
        <v>Açık</v>
      </c>
      <c r="G36" s="11">
        <f>Tablo145678910111213141516171819202122232425262728293031323334353637383940414243[[#This Row],[ADET]]*Tablo145678910111213141516171819202122232425262728293031323334353637383940414243[[#This Row],[ALIŞ]]</f>
        <v>3375</v>
      </c>
      <c r="H36" s="11">
        <f>Tablo145678910111213141516171819202122232425262728293031323334353637383940414243[[#This Row],[ADET]]*Tablo145678910111213141516171819202122232425262728293031323334353637383940414243[[#This Row],[SATIŞ]]</f>
        <v>0</v>
      </c>
      <c r="J36" s="40">
        <f t="shared" si="0"/>
        <v>708.75</v>
      </c>
    </row>
    <row r="37" spans="2:10" ht="21" customHeight="1" x14ac:dyDescent="0.3">
      <c r="B37" s="2">
        <v>45371</v>
      </c>
      <c r="C37" s="6">
        <v>5</v>
      </c>
      <c r="D37" s="10">
        <v>675</v>
      </c>
      <c r="E37" s="10"/>
      <c r="F37" s="9" t="str">
        <f>IF(Tablo145678910111213141516171819202122232425262728293031323334353637383940414243[[#This Row],[SATIŞ]]=0,"Açık",(E37-D37)*C37)</f>
        <v>Açık</v>
      </c>
      <c r="G37" s="11">
        <f>Tablo145678910111213141516171819202122232425262728293031323334353637383940414243[[#This Row],[ADET]]*Tablo145678910111213141516171819202122232425262728293031323334353637383940414243[[#This Row],[ALIŞ]]</f>
        <v>3375</v>
      </c>
      <c r="H37" s="11">
        <f>Tablo145678910111213141516171819202122232425262728293031323334353637383940414243[[#This Row],[ADET]]*Tablo145678910111213141516171819202122232425262728293031323334353637383940414243[[#This Row],[SATIŞ]]</f>
        <v>0</v>
      </c>
      <c r="J37" s="40">
        <f t="shared" si="0"/>
        <v>708.75</v>
      </c>
    </row>
    <row r="38" spans="2:10" ht="21" customHeight="1" x14ac:dyDescent="0.3">
      <c r="B38" s="2">
        <v>45371</v>
      </c>
      <c r="C38" s="6">
        <v>5</v>
      </c>
      <c r="D38" s="10">
        <v>650</v>
      </c>
      <c r="E38" s="10"/>
      <c r="F38" s="9" t="str">
        <f>IF(Tablo145678910111213141516171819202122232425262728293031323334353637383940414243[[#This Row],[SATIŞ]]=0,"Açık",(E38-D38)*C38)</f>
        <v>Açık</v>
      </c>
      <c r="G38" s="11">
        <f>Tablo145678910111213141516171819202122232425262728293031323334353637383940414243[[#This Row],[ADET]]*Tablo145678910111213141516171819202122232425262728293031323334353637383940414243[[#This Row],[ALIŞ]]</f>
        <v>3250</v>
      </c>
      <c r="H38" s="11">
        <f>Tablo145678910111213141516171819202122232425262728293031323334353637383940414243[[#This Row],[ADET]]*Tablo145678910111213141516171819202122232425262728293031323334353637383940414243[[#This Row],[SATIŞ]]</f>
        <v>0</v>
      </c>
      <c r="J38" s="40">
        <f t="shared" si="0"/>
        <v>682.5</v>
      </c>
    </row>
    <row r="39" spans="2:10" ht="21" customHeight="1" x14ac:dyDescent="0.3">
      <c r="B39" s="2">
        <v>45377</v>
      </c>
      <c r="C39" s="6">
        <v>5</v>
      </c>
      <c r="D39" s="10">
        <v>634</v>
      </c>
      <c r="E39" s="10"/>
      <c r="F39" s="9" t="str">
        <f>IF(Tablo145678910111213141516171819202122232425262728293031323334353637383940414243[[#This Row],[SATIŞ]]=0,"Açık",(E39-D39)*C39)</f>
        <v>Açık</v>
      </c>
      <c r="G39" s="11">
        <f>Tablo145678910111213141516171819202122232425262728293031323334353637383940414243[[#This Row],[ADET]]*Tablo145678910111213141516171819202122232425262728293031323334353637383940414243[[#This Row],[ALIŞ]]</f>
        <v>3170</v>
      </c>
      <c r="H39" s="11">
        <f>Tablo145678910111213141516171819202122232425262728293031323334353637383940414243[[#This Row],[ADET]]*Tablo145678910111213141516171819202122232425262728293031323334353637383940414243[[#This Row],[SATIŞ]]</f>
        <v>0</v>
      </c>
      <c r="J39" s="40">
        <f t="shared" si="0"/>
        <v>665.7</v>
      </c>
    </row>
    <row r="40" spans="2:10" ht="21" customHeight="1" x14ac:dyDescent="0.3">
      <c r="B40" s="2">
        <v>45377</v>
      </c>
      <c r="C40" s="6">
        <v>5</v>
      </c>
      <c r="D40" s="10">
        <v>630</v>
      </c>
      <c r="E40" s="10"/>
      <c r="F40" s="9" t="str">
        <f>IF(Tablo145678910111213141516171819202122232425262728293031323334353637383940414243[[#This Row],[SATIŞ]]=0,"Açık",(E40-D40)*C40)</f>
        <v>Açık</v>
      </c>
      <c r="G40" s="11">
        <f>Tablo145678910111213141516171819202122232425262728293031323334353637383940414243[[#This Row],[ADET]]*Tablo145678910111213141516171819202122232425262728293031323334353637383940414243[[#This Row],[ALIŞ]]</f>
        <v>3150</v>
      </c>
      <c r="H40" s="11">
        <f>Tablo145678910111213141516171819202122232425262728293031323334353637383940414243[[#This Row],[ADET]]*Tablo145678910111213141516171819202122232425262728293031323334353637383940414243[[#This Row],[SATIŞ]]</f>
        <v>0</v>
      </c>
      <c r="J40" s="40">
        <f t="shared" si="0"/>
        <v>661.5</v>
      </c>
    </row>
    <row r="41" spans="2:10" ht="21" hidden="1" customHeight="1" x14ac:dyDescent="0.3">
      <c r="B41" s="2">
        <v>45377</v>
      </c>
      <c r="C41" s="6">
        <v>5</v>
      </c>
      <c r="D41" s="10">
        <v>620</v>
      </c>
      <c r="E41" s="10">
        <v>650</v>
      </c>
      <c r="F41" s="9">
        <f>IF(Tablo145678910111213141516171819202122232425262728293031323334353637383940414243[[#This Row],[SATIŞ]]=0,"Açık",(E41-D41)*C41)</f>
        <v>150</v>
      </c>
      <c r="G41" s="11">
        <f>Tablo145678910111213141516171819202122232425262728293031323334353637383940414243[[#This Row],[ADET]]*Tablo145678910111213141516171819202122232425262728293031323334353637383940414243[[#This Row],[ALIŞ]]</f>
        <v>3100</v>
      </c>
      <c r="H41" s="11">
        <f>Tablo145678910111213141516171819202122232425262728293031323334353637383940414243[[#This Row],[ADET]]*Tablo145678910111213141516171819202122232425262728293031323334353637383940414243[[#This Row],[SATIŞ]]</f>
        <v>3250</v>
      </c>
      <c r="J41" s="40" t="str">
        <f t="shared" si="0"/>
        <v/>
      </c>
    </row>
    <row r="42" spans="2:10" ht="21" hidden="1" customHeight="1" x14ac:dyDescent="0.3">
      <c r="B42" s="2">
        <v>45379</v>
      </c>
      <c r="C42" s="6">
        <v>5</v>
      </c>
      <c r="D42" s="10">
        <v>623</v>
      </c>
      <c r="E42" s="10">
        <v>635</v>
      </c>
      <c r="F42" s="9">
        <f>IF(Tablo145678910111213141516171819202122232425262728293031323334353637383940414243[[#This Row],[SATIŞ]]=0,"Açık",(E42-D42)*C42)</f>
        <v>60</v>
      </c>
      <c r="G42" s="11">
        <f>Tablo145678910111213141516171819202122232425262728293031323334353637383940414243[[#This Row],[ADET]]*Tablo145678910111213141516171819202122232425262728293031323334353637383940414243[[#This Row],[ALIŞ]]</f>
        <v>3115</v>
      </c>
      <c r="H42" s="11">
        <f>Tablo145678910111213141516171819202122232425262728293031323334353637383940414243[[#This Row],[ADET]]*Tablo145678910111213141516171819202122232425262728293031323334353637383940414243[[#This Row],[SATIŞ]]</f>
        <v>3175</v>
      </c>
      <c r="J42" s="40" t="str">
        <f t="shared" si="0"/>
        <v/>
      </c>
    </row>
    <row r="43" spans="2:10" ht="21" hidden="1" customHeight="1" x14ac:dyDescent="0.3">
      <c r="B43" s="2">
        <v>45379</v>
      </c>
      <c r="C43" s="6">
        <v>5</v>
      </c>
      <c r="D43" s="10">
        <v>623</v>
      </c>
      <c r="E43" s="10">
        <v>640</v>
      </c>
      <c r="F43" s="9">
        <f>IF(Tablo145678910111213141516171819202122232425262728293031323334353637383940414243[[#This Row],[SATIŞ]]=0,"Açık",(E43-D43)*C43)</f>
        <v>85</v>
      </c>
      <c r="G43" s="11">
        <f>Tablo145678910111213141516171819202122232425262728293031323334353637383940414243[[#This Row],[ADET]]*Tablo145678910111213141516171819202122232425262728293031323334353637383940414243[[#This Row],[ALIŞ]]</f>
        <v>3115</v>
      </c>
      <c r="H43" s="11">
        <f>Tablo145678910111213141516171819202122232425262728293031323334353637383940414243[[#This Row],[ADET]]*Tablo145678910111213141516171819202122232425262728293031323334353637383940414243[[#This Row],[SATIŞ]]</f>
        <v>3200</v>
      </c>
      <c r="J43" s="40" t="str">
        <f t="shared" si="0"/>
        <v/>
      </c>
    </row>
    <row r="44" spans="2:10" ht="21" hidden="1" customHeight="1" x14ac:dyDescent="0.3">
      <c r="B44" s="2">
        <v>45383</v>
      </c>
      <c r="C44" s="6">
        <v>5</v>
      </c>
      <c r="D44" s="10">
        <v>620</v>
      </c>
      <c r="E44" s="10">
        <v>650</v>
      </c>
      <c r="F44" s="9">
        <f>IF(Tablo145678910111213141516171819202122232425262728293031323334353637383940414243[[#This Row],[SATIŞ]]=0,"Açık",(E44-D44)*C44)</f>
        <v>150</v>
      </c>
      <c r="G44" s="11">
        <f>Tablo145678910111213141516171819202122232425262728293031323334353637383940414243[[#This Row],[ADET]]*Tablo145678910111213141516171819202122232425262728293031323334353637383940414243[[#This Row],[ALIŞ]]</f>
        <v>3100</v>
      </c>
      <c r="H44" s="11">
        <f>Tablo145678910111213141516171819202122232425262728293031323334353637383940414243[[#This Row],[ADET]]*Tablo145678910111213141516171819202122232425262728293031323334353637383940414243[[#This Row],[SATIŞ]]</f>
        <v>3250</v>
      </c>
    </row>
    <row r="45" spans="2:10" ht="21" hidden="1" customHeight="1" x14ac:dyDescent="0.3">
      <c r="B45" s="2">
        <v>45384</v>
      </c>
      <c r="C45" s="6">
        <v>5</v>
      </c>
      <c r="D45" s="10">
        <v>611</v>
      </c>
      <c r="E45" s="10">
        <v>620</v>
      </c>
      <c r="F45" s="9">
        <f>IF(Tablo145678910111213141516171819202122232425262728293031323334353637383940414243[[#This Row],[SATIŞ]]=0,"Açık",(E45-D45)*C45)</f>
        <v>45</v>
      </c>
      <c r="G45" s="11">
        <f>Tablo145678910111213141516171819202122232425262728293031323334353637383940414243[[#This Row],[ADET]]*Tablo145678910111213141516171819202122232425262728293031323334353637383940414243[[#This Row],[ALIŞ]]</f>
        <v>3055</v>
      </c>
      <c r="H45" s="11">
        <f>Tablo145678910111213141516171819202122232425262728293031323334353637383940414243[[#This Row],[ADET]]*Tablo145678910111213141516171819202122232425262728293031323334353637383940414243[[#This Row],[SATIŞ]]</f>
        <v>3100</v>
      </c>
    </row>
    <row r="46" spans="2:10" ht="21" hidden="1" customHeight="1" x14ac:dyDescent="0.3">
      <c r="B46" s="2">
        <v>45384</v>
      </c>
      <c r="C46" s="6">
        <v>5</v>
      </c>
      <c r="D46" s="10">
        <v>611</v>
      </c>
      <c r="E46" s="10">
        <v>635</v>
      </c>
      <c r="F46" s="9">
        <f>IF(Tablo145678910111213141516171819202122232425262728293031323334353637383940414243[[#This Row],[SATIŞ]]=0,"Açık",(E46-D46)*C46)</f>
        <v>120</v>
      </c>
      <c r="G46" s="11">
        <f>Tablo145678910111213141516171819202122232425262728293031323334353637383940414243[[#This Row],[ADET]]*Tablo145678910111213141516171819202122232425262728293031323334353637383940414243[[#This Row],[ALIŞ]]</f>
        <v>3055</v>
      </c>
      <c r="H46" s="11">
        <f>Tablo145678910111213141516171819202122232425262728293031323334353637383940414243[[#This Row],[ADET]]*Tablo145678910111213141516171819202122232425262728293031323334353637383940414243[[#This Row],[SATIŞ]]</f>
        <v>3175</v>
      </c>
    </row>
    <row r="47" spans="2:10" ht="21" hidden="1" customHeight="1" x14ac:dyDescent="0.3">
      <c r="B47" s="2">
        <v>45384</v>
      </c>
      <c r="C47" s="6">
        <v>5</v>
      </c>
      <c r="D47" s="10">
        <v>585</v>
      </c>
      <c r="E47" s="10">
        <v>600</v>
      </c>
      <c r="F47" s="9">
        <f>IF(Tablo145678910111213141516171819202122232425262728293031323334353637383940414243[[#This Row],[SATIŞ]]=0,"Açık",(E47-D47)*C47)</f>
        <v>75</v>
      </c>
      <c r="G47" s="11">
        <f>Tablo145678910111213141516171819202122232425262728293031323334353637383940414243[[#This Row],[ADET]]*Tablo145678910111213141516171819202122232425262728293031323334353637383940414243[[#This Row],[ALIŞ]]</f>
        <v>2925</v>
      </c>
      <c r="H47" s="11">
        <f>Tablo145678910111213141516171819202122232425262728293031323334353637383940414243[[#This Row],[ADET]]*Tablo145678910111213141516171819202122232425262728293031323334353637383940414243[[#This Row],[SATIŞ]]</f>
        <v>3000</v>
      </c>
    </row>
    <row r="48" spans="2:10" ht="21" hidden="1" customHeight="1" x14ac:dyDescent="0.3">
      <c r="B48" s="2">
        <v>45387</v>
      </c>
      <c r="C48" s="6">
        <v>5</v>
      </c>
      <c r="D48" s="10">
        <v>530</v>
      </c>
      <c r="E48" s="10">
        <v>550</v>
      </c>
      <c r="F48" s="9">
        <f>IF(Tablo145678910111213141516171819202122232425262728293031323334353637383940414243[[#This Row],[SATIŞ]]=0,"Açık",(E48-D48)*C48)</f>
        <v>100</v>
      </c>
      <c r="G48" s="11">
        <f>Tablo145678910111213141516171819202122232425262728293031323334353637383940414243[[#This Row],[ADET]]*Tablo145678910111213141516171819202122232425262728293031323334353637383940414243[[#This Row],[ALIŞ]]</f>
        <v>2650</v>
      </c>
      <c r="H48" s="11">
        <f>Tablo145678910111213141516171819202122232425262728293031323334353637383940414243[[#This Row],[ADET]]*Tablo145678910111213141516171819202122232425262728293031323334353637383940414243[[#This Row],[SATIŞ]]</f>
        <v>2750</v>
      </c>
    </row>
    <row r="49" spans="2:8" ht="21" hidden="1" customHeight="1" x14ac:dyDescent="0.3">
      <c r="B49" s="2">
        <v>45387</v>
      </c>
      <c r="C49" s="6">
        <v>5</v>
      </c>
      <c r="D49" s="10">
        <v>530</v>
      </c>
      <c r="E49" s="10">
        <v>560</v>
      </c>
      <c r="F49" s="9">
        <f>IF(Tablo145678910111213141516171819202122232425262728293031323334353637383940414243[[#This Row],[SATIŞ]]=0,"Açık",(E49-D49)*C49)</f>
        <v>150</v>
      </c>
      <c r="G49" s="11">
        <f>Tablo145678910111213141516171819202122232425262728293031323334353637383940414243[[#This Row],[ADET]]*Tablo145678910111213141516171819202122232425262728293031323334353637383940414243[[#This Row],[ALIŞ]]</f>
        <v>2650</v>
      </c>
      <c r="H49" s="11">
        <f>Tablo145678910111213141516171819202122232425262728293031323334353637383940414243[[#This Row],[ADET]]*Tablo145678910111213141516171819202122232425262728293031323334353637383940414243[[#This Row],[SATIŞ]]</f>
        <v>2800</v>
      </c>
    </row>
    <row r="50" spans="2:8" ht="21" hidden="1" customHeight="1" x14ac:dyDescent="0.3">
      <c r="B50" s="2">
        <v>45384</v>
      </c>
      <c r="C50" s="6">
        <v>5</v>
      </c>
      <c r="D50" s="10">
        <v>585</v>
      </c>
      <c r="E50" s="10">
        <v>612</v>
      </c>
      <c r="F50" s="9">
        <f>IF(Tablo145678910111213141516171819202122232425262728293031323334353637383940414243[[#This Row],[SATIŞ]]=0,"Açık",(E50-D50)*C50)</f>
        <v>135</v>
      </c>
      <c r="G50" s="11">
        <f>Tablo145678910111213141516171819202122232425262728293031323334353637383940414243[[#This Row],[ADET]]*Tablo145678910111213141516171819202122232425262728293031323334353637383940414243[[#This Row],[ALIŞ]]</f>
        <v>2925</v>
      </c>
      <c r="H50" s="11">
        <f>Tablo145678910111213141516171819202122232425262728293031323334353637383940414243[[#This Row],[ADET]]*Tablo145678910111213141516171819202122232425262728293031323334353637383940414243[[#This Row],[SATIŞ]]</f>
        <v>3060</v>
      </c>
    </row>
    <row r="51" spans="2:8" ht="21" customHeight="1" x14ac:dyDescent="0.3">
      <c r="B51" s="2">
        <v>45398</v>
      </c>
      <c r="C51" s="6">
        <v>10</v>
      </c>
      <c r="D51" s="10">
        <v>590</v>
      </c>
      <c r="E51" s="10"/>
      <c r="F51" s="9" t="str">
        <f>IF(Tablo145678910111213141516171819202122232425262728293031323334353637383940414243[[#This Row],[SATIŞ]]=0,"Açık",(E51-D51)*C51)</f>
        <v>Açık</v>
      </c>
      <c r="G51" s="11">
        <f>Tablo145678910111213141516171819202122232425262728293031323334353637383940414243[[#This Row],[ADET]]*Tablo145678910111213141516171819202122232425262728293031323334353637383940414243[[#This Row],[ALIŞ]]</f>
        <v>5900</v>
      </c>
      <c r="H51" s="11">
        <f>Tablo145678910111213141516171819202122232425262728293031323334353637383940414243[[#This Row],[ADET]]*Tablo145678910111213141516171819202122232425262728293031323334353637383940414243[[#This Row],[SATIŞ]]</f>
        <v>0</v>
      </c>
    </row>
  </sheetData>
  <conditionalFormatting sqref="B4:F51">
    <cfRule type="expression" dxfId="41" priority="1">
      <formula>$F4&lt;0</formula>
    </cfRule>
    <cfRule type="expression" dxfId="40" priority="2">
      <formula>$F4="Açık"</formula>
    </cfRule>
    <cfRule type="expression" dxfId="39" priority="3">
      <formula>$F4&gt;0</formula>
    </cfRule>
  </conditionalFormatting>
  <hyperlinks>
    <hyperlink ref="B1" location="İcmal!A1" display="ANA SAYFA" xr:uid="{A51D7A12-6F8D-4886-8EF0-163CD619CFEA}"/>
  </hyperlinks>
  <pageMargins left="0.7" right="0.7" top="0.75" bottom="0.75" header="0.3" footer="0.3"/>
  <tableParts count="1">
    <tablePart r:id="rId1"/>
  </tablePart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26ADE-F25F-4945-B61E-A293EC62E308}">
  <sheetPr>
    <tabColor rgb="FF00B050"/>
  </sheetPr>
  <dimension ref="B1:R38"/>
  <sheetViews>
    <sheetView showGridLines="0" showZeros="0" zoomScale="110" zoomScaleNormal="110" workbookViewId="0">
      <pane ySplit="3" topLeftCell="A34" activePane="bottomLeft" state="frozen"/>
      <selection pane="bottomLeft" activeCell="E37" sqref="E37"/>
    </sheetView>
  </sheetViews>
  <sheetFormatPr defaultRowHeight="21" customHeight="1" x14ac:dyDescent="0.3"/>
  <cols>
    <col min="2" max="2" width="20.6640625" style="1" customWidth="1"/>
    <col min="3" max="3" width="11.33203125" style="6" customWidth="1"/>
    <col min="4" max="5" width="12.88671875" style="3" customWidth="1"/>
    <col min="6" max="6" width="12.88671875" style="5" customWidth="1"/>
    <col min="7" max="7" width="12.5546875" bestFit="1" customWidth="1"/>
    <col min="8" max="8" width="11.6640625" bestFit="1" customWidth="1"/>
    <col min="10" max="12" width="12.44140625" customWidth="1"/>
    <col min="13" max="13" width="11.6640625" bestFit="1" customWidth="1"/>
    <col min="14" max="14" width="12" bestFit="1" customWidth="1"/>
  </cols>
  <sheetData>
    <row r="1" spans="2:18" ht="21" customHeight="1" x14ac:dyDescent="0.3">
      <c r="B1" s="12" t="s">
        <v>64</v>
      </c>
      <c r="C1" s="4">
        <f>SUMIF(Tablo14567891011121314151617181920212223242526272829303132333435363738394041424344[KAR],"Açık",Tablo14567891011121314151617181920212223242526272829303132333435363738394041424344[ADET])</f>
        <v>240</v>
      </c>
      <c r="D1" s="10">
        <f>+İcmal!E58</f>
        <v>194.3</v>
      </c>
      <c r="E1" s="10">
        <f>C1*D1</f>
        <v>46632</v>
      </c>
      <c r="F1" s="10">
        <f>IFERROR(((SUM(Tablo14567891011121314151617181920212223242526272829303132333435363738394041424344[ALIŞ TUTAR])-SUM(Tablo14567891011121314151617181920212223242526272829303132333435363738394041424344[SATIŞ TUTAR]))/C1),"")</f>
        <v>173.72668916666669</v>
      </c>
      <c r="G1" s="10">
        <f>IF(M3=0,L3,C1*(D1-F1))</f>
        <v>4937.5945999999976</v>
      </c>
      <c r="J1" s="45" t="s">
        <v>94</v>
      </c>
      <c r="K1" s="45" t="s">
        <v>95</v>
      </c>
      <c r="L1" s="45" t="s">
        <v>96</v>
      </c>
      <c r="M1" s="33">
        <f>F1</f>
        <v>173.72668916666669</v>
      </c>
      <c r="N1" s="8" t="e">
        <f>M1*(1+$J$1)</f>
        <v>#VALUE!</v>
      </c>
      <c r="P1" s="8" t="e">
        <f>Q1*(1-$J$1)</f>
        <v>#VALUE!</v>
      </c>
      <c r="Q1" s="33">
        <f>+D1</f>
        <v>194.3</v>
      </c>
      <c r="R1" s="8" t="e">
        <f>Q1*(1+$J$1)</f>
        <v>#VALUE!</v>
      </c>
    </row>
    <row r="2" spans="2:18" ht="21" customHeight="1" x14ac:dyDescent="0.3">
      <c r="B2" s="7" t="s">
        <v>53</v>
      </c>
      <c r="J2" s="45">
        <f>SUMIFS(Tablo2[HEDEF2],Tablo2[HİSSE],B2)</f>
        <v>1000</v>
      </c>
      <c r="K2" s="45">
        <f>+E1/İcmal!$P$2</f>
        <v>1433.5075315093759</v>
      </c>
      <c r="L2" s="45">
        <f>+J2-K2</f>
        <v>-433.50753150937589</v>
      </c>
    </row>
    <row r="3" spans="2:18" ht="21" customHeight="1" x14ac:dyDescent="0.3">
      <c r="B3" s="1" t="s">
        <v>0</v>
      </c>
      <c r="C3" s="6" t="s">
        <v>4</v>
      </c>
      <c r="D3" s="3" t="s">
        <v>1</v>
      </c>
      <c r="E3" s="3" t="s">
        <v>3</v>
      </c>
      <c r="F3" s="5" t="s">
        <v>2</v>
      </c>
      <c r="G3" s="3" t="s">
        <v>8</v>
      </c>
      <c r="H3" s="3" t="s">
        <v>9</v>
      </c>
      <c r="L3" s="33">
        <f>SUM(Tablo14567891011121314151617181920212223242526272829303132333435363738394041424344[KAR])</f>
        <v>5205.5945999999985</v>
      </c>
      <c r="M3" s="37">
        <f>+C1</f>
        <v>240</v>
      </c>
    </row>
    <row r="4" spans="2:18" ht="21" hidden="1" customHeight="1" x14ac:dyDescent="0.3">
      <c r="B4" s="2">
        <v>45291</v>
      </c>
      <c r="C4" s="6">
        <v>265</v>
      </c>
      <c r="D4" s="10">
        <v>80.822389999999999</v>
      </c>
      <c r="E4" s="10">
        <v>85.568029999999993</v>
      </c>
      <c r="F4" s="9">
        <f>IF(Tablo14567891011121314151617181920212223242526272829303132333435363738394041424344[[#This Row],[SATIŞ]]=0,"Açık",(E4-D4)*C4)</f>
        <v>1257.5945999999985</v>
      </c>
      <c r="G4" s="11">
        <f>Tablo14567891011121314151617181920212223242526272829303132333435363738394041424344[[#This Row],[ADET]]*Tablo14567891011121314151617181920212223242526272829303132333435363738394041424344[[#This Row],[ALIŞ]]</f>
        <v>21417.933349999999</v>
      </c>
      <c r="H4" s="11">
        <f>Tablo14567891011121314151617181920212223242526272829303132333435363738394041424344[[#This Row],[ADET]]*Tablo14567891011121314151617181920212223242526272829303132333435363738394041424344[[#This Row],[SATIŞ]]</f>
        <v>22675.52795</v>
      </c>
      <c r="J4" s="40" t="str">
        <f t="shared" ref="J4:J38" si="0">IF(E4=0,D4*1.05,"")</f>
        <v/>
      </c>
      <c r="L4" s="8">
        <f>SUM(Tablo14567891011121314151617181920212223242526272829303132333435363738394041424344[ALIŞ TUTAR])</f>
        <v>136572.93335000001</v>
      </c>
      <c r="M4" s="8">
        <f>SUM(Tablo14567891011121314151617181920212223242526272829303132333435363738394041424344[SATIŞ TUTAR])</f>
        <v>94878.527950000003</v>
      </c>
      <c r="N4" s="8">
        <f>L4-M4</f>
        <v>41694.405400000003</v>
      </c>
    </row>
    <row r="5" spans="2:18" ht="21" hidden="1" customHeight="1" x14ac:dyDescent="0.3">
      <c r="B5" s="2">
        <v>45329</v>
      </c>
      <c r="C5" s="6">
        <v>10</v>
      </c>
      <c r="D5" s="10">
        <v>148.69999999999999</v>
      </c>
      <c r="E5" s="10">
        <v>157</v>
      </c>
      <c r="F5" s="9">
        <f>IF(Tablo14567891011121314151617181920212223242526272829303132333435363738394041424344[[#This Row],[SATIŞ]]=0,"Açık",(E5-D5)*C5)</f>
        <v>83.000000000000114</v>
      </c>
      <c r="G5" s="11">
        <f>Tablo14567891011121314151617181920212223242526272829303132333435363738394041424344[[#This Row],[ADET]]*Tablo14567891011121314151617181920212223242526272829303132333435363738394041424344[[#This Row],[ALIŞ]]</f>
        <v>1487</v>
      </c>
      <c r="H5" s="11">
        <f>Tablo14567891011121314151617181920212223242526272829303132333435363738394041424344[[#This Row],[ADET]]*Tablo14567891011121314151617181920212223242526272829303132333435363738394041424344[[#This Row],[SATIŞ]]</f>
        <v>1570</v>
      </c>
      <c r="J5" s="40" t="str">
        <f t="shared" si="0"/>
        <v/>
      </c>
      <c r="N5">
        <f>+N4/80</f>
        <v>521.18006750000006</v>
      </c>
    </row>
    <row r="6" spans="2:18" ht="21" hidden="1" customHeight="1" x14ac:dyDescent="0.3">
      <c r="B6" s="2">
        <v>45329</v>
      </c>
      <c r="C6" s="6">
        <v>5</v>
      </c>
      <c r="D6" s="10">
        <v>148.80000000000001</v>
      </c>
      <c r="E6" s="10">
        <v>156</v>
      </c>
      <c r="F6" s="9">
        <f>IF(Tablo14567891011121314151617181920212223242526272829303132333435363738394041424344[[#This Row],[SATIŞ]]=0,"Açık",(E6-D6)*C6)</f>
        <v>35.999999999999943</v>
      </c>
      <c r="G6" s="11">
        <f>Tablo14567891011121314151617181920212223242526272829303132333435363738394041424344[[#This Row],[ADET]]*Tablo14567891011121314151617181920212223242526272829303132333435363738394041424344[[#This Row],[ALIŞ]]</f>
        <v>744</v>
      </c>
      <c r="H6" s="11">
        <f>Tablo14567891011121314151617181920212223242526272829303132333435363738394041424344[[#This Row],[ADET]]*Tablo14567891011121314151617181920212223242526272829303132333435363738394041424344[[#This Row],[SATIŞ]]</f>
        <v>780</v>
      </c>
      <c r="J6" s="40" t="str">
        <f t="shared" si="0"/>
        <v/>
      </c>
    </row>
    <row r="7" spans="2:18" ht="21" hidden="1" customHeight="1" x14ac:dyDescent="0.3">
      <c r="B7" s="2">
        <v>45329</v>
      </c>
      <c r="C7" s="6">
        <v>5</v>
      </c>
      <c r="D7" s="10">
        <v>148.80000000000001</v>
      </c>
      <c r="E7" s="10">
        <v>160</v>
      </c>
      <c r="F7" s="9">
        <f>IF(Tablo14567891011121314151617181920212223242526272829303132333435363738394041424344[[#This Row],[SATIŞ]]=0,"Açık",(E7-D7)*C7)</f>
        <v>55.999999999999943</v>
      </c>
      <c r="G7" s="11">
        <f>Tablo14567891011121314151617181920212223242526272829303132333435363738394041424344[[#This Row],[ADET]]*Tablo14567891011121314151617181920212223242526272829303132333435363738394041424344[[#This Row],[ALIŞ]]</f>
        <v>744</v>
      </c>
      <c r="H7" s="11">
        <f>Tablo14567891011121314151617181920212223242526272829303132333435363738394041424344[[#This Row],[ADET]]*Tablo14567891011121314151617181920212223242526272829303132333435363738394041424344[[#This Row],[SATIŞ]]</f>
        <v>800</v>
      </c>
      <c r="J7" s="40" t="str">
        <f t="shared" si="0"/>
        <v/>
      </c>
    </row>
    <row r="8" spans="2:18" ht="21" hidden="1" customHeight="1" x14ac:dyDescent="0.3">
      <c r="B8" s="2">
        <v>45331</v>
      </c>
      <c r="C8" s="6">
        <v>10</v>
      </c>
      <c r="D8" s="10">
        <v>154</v>
      </c>
      <c r="E8" s="10">
        <v>160</v>
      </c>
      <c r="F8" s="9">
        <f>IF(Tablo14567891011121314151617181920212223242526272829303132333435363738394041424344[[#This Row],[SATIŞ]]=0,"Açık",(E8-D8)*C8)</f>
        <v>60</v>
      </c>
      <c r="G8" s="11">
        <f>Tablo14567891011121314151617181920212223242526272829303132333435363738394041424344[[#This Row],[ADET]]*Tablo14567891011121314151617181920212223242526272829303132333435363738394041424344[[#This Row],[ALIŞ]]</f>
        <v>1540</v>
      </c>
      <c r="H8" s="11">
        <f>Tablo14567891011121314151617181920212223242526272829303132333435363738394041424344[[#This Row],[ADET]]*Tablo14567891011121314151617181920212223242526272829303132333435363738394041424344[[#This Row],[SATIŞ]]</f>
        <v>1600</v>
      </c>
      <c r="J8" s="40" t="str">
        <f t="shared" si="0"/>
        <v/>
      </c>
    </row>
    <row r="9" spans="2:18" ht="21" hidden="1" customHeight="1" x14ac:dyDescent="0.3">
      <c r="B9" s="2">
        <v>45334</v>
      </c>
      <c r="C9" s="6">
        <v>5</v>
      </c>
      <c r="D9" s="10">
        <v>155</v>
      </c>
      <c r="E9" s="10">
        <v>160</v>
      </c>
      <c r="F9" s="9">
        <f>IF(Tablo14567891011121314151617181920212223242526272829303132333435363738394041424344[[#This Row],[SATIŞ]]=0,"Açık",(E9-D9)*C9)</f>
        <v>25</v>
      </c>
      <c r="G9" s="11">
        <f>Tablo14567891011121314151617181920212223242526272829303132333435363738394041424344[[#This Row],[ADET]]*Tablo14567891011121314151617181920212223242526272829303132333435363738394041424344[[#This Row],[ALIŞ]]</f>
        <v>775</v>
      </c>
      <c r="H9" s="11">
        <f>Tablo14567891011121314151617181920212223242526272829303132333435363738394041424344[[#This Row],[ADET]]*Tablo14567891011121314151617181920212223242526272829303132333435363738394041424344[[#This Row],[SATIŞ]]</f>
        <v>800</v>
      </c>
      <c r="J9" s="40" t="str">
        <f t="shared" si="0"/>
        <v/>
      </c>
    </row>
    <row r="10" spans="2:18" ht="21" hidden="1" customHeight="1" x14ac:dyDescent="0.3">
      <c r="B10" s="2">
        <v>45334</v>
      </c>
      <c r="C10" s="6">
        <v>5</v>
      </c>
      <c r="D10" s="10">
        <v>154</v>
      </c>
      <c r="E10" s="10">
        <v>165</v>
      </c>
      <c r="F10" s="9">
        <f>IF(Tablo14567891011121314151617181920212223242526272829303132333435363738394041424344[[#This Row],[SATIŞ]]=0,"Açık",(E10-D10)*C10)</f>
        <v>55</v>
      </c>
      <c r="G10" s="11">
        <f>Tablo14567891011121314151617181920212223242526272829303132333435363738394041424344[[#This Row],[ADET]]*Tablo14567891011121314151617181920212223242526272829303132333435363738394041424344[[#This Row],[ALIŞ]]</f>
        <v>770</v>
      </c>
      <c r="H10" s="11">
        <f>Tablo14567891011121314151617181920212223242526272829303132333435363738394041424344[[#This Row],[ADET]]*Tablo14567891011121314151617181920212223242526272829303132333435363738394041424344[[#This Row],[SATIŞ]]</f>
        <v>825</v>
      </c>
      <c r="J10" s="40" t="str">
        <f t="shared" si="0"/>
        <v/>
      </c>
    </row>
    <row r="11" spans="2:18" ht="21" hidden="1" customHeight="1" x14ac:dyDescent="0.3">
      <c r="B11" s="2">
        <v>45335</v>
      </c>
      <c r="C11" s="6">
        <v>15</v>
      </c>
      <c r="D11" s="10">
        <v>150</v>
      </c>
      <c r="E11" s="10">
        <v>165</v>
      </c>
      <c r="F11" s="9">
        <f>IF(Tablo14567891011121314151617181920212223242526272829303132333435363738394041424344[[#This Row],[SATIŞ]]=0,"Açık",(E11-D11)*C11)</f>
        <v>225</v>
      </c>
      <c r="G11" s="11">
        <f>Tablo14567891011121314151617181920212223242526272829303132333435363738394041424344[[#This Row],[ADET]]*Tablo14567891011121314151617181920212223242526272829303132333435363738394041424344[[#This Row],[ALIŞ]]</f>
        <v>2250</v>
      </c>
      <c r="H11" s="11">
        <f>Tablo14567891011121314151617181920212223242526272829303132333435363738394041424344[[#This Row],[ADET]]*Tablo14567891011121314151617181920212223242526272829303132333435363738394041424344[[#This Row],[SATIŞ]]</f>
        <v>2475</v>
      </c>
      <c r="J11" s="40" t="str">
        <f t="shared" si="0"/>
        <v/>
      </c>
    </row>
    <row r="12" spans="2:18" ht="21" hidden="1" customHeight="1" x14ac:dyDescent="0.3">
      <c r="B12" s="2">
        <v>45342</v>
      </c>
      <c r="C12" s="6">
        <v>20</v>
      </c>
      <c r="D12" s="10">
        <v>163</v>
      </c>
      <c r="E12" s="10">
        <v>170</v>
      </c>
      <c r="F12" s="9">
        <f>IF(Tablo14567891011121314151617181920212223242526272829303132333435363738394041424344[[#This Row],[SATIŞ]]=0,"Açık",(E12-D12)*C12)</f>
        <v>140</v>
      </c>
      <c r="G12" s="11">
        <f>Tablo14567891011121314151617181920212223242526272829303132333435363738394041424344[[#This Row],[ADET]]*Tablo14567891011121314151617181920212223242526272829303132333435363738394041424344[[#This Row],[ALIŞ]]</f>
        <v>3260</v>
      </c>
      <c r="H12" s="11">
        <f>Tablo14567891011121314151617181920212223242526272829303132333435363738394041424344[[#This Row],[ADET]]*Tablo14567891011121314151617181920212223242526272829303132333435363738394041424344[[#This Row],[SATIŞ]]</f>
        <v>3400</v>
      </c>
      <c r="J12" s="40" t="str">
        <f t="shared" si="0"/>
        <v/>
      </c>
    </row>
    <row r="13" spans="2:18" ht="21" hidden="1" customHeight="1" x14ac:dyDescent="0.3">
      <c r="B13" s="2">
        <v>45344</v>
      </c>
      <c r="C13" s="6">
        <v>10</v>
      </c>
      <c r="D13" s="10">
        <v>172</v>
      </c>
      <c r="E13" s="10">
        <v>175</v>
      </c>
      <c r="F13" s="9">
        <f>IF(Tablo14567891011121314151617181920212223242526272829303132333435363738394041424344[[#This Row],[SATIŞ]]=0,"Açık",(E13-D13)*C13)</f>
        <v>30</v>
      </c>
      <c r="G13" s="11">
        <f>Tablo14567891011121314151617181920212223242526272829303132333435363738394041424344[[#This Row],[ADET]]*Tablo14567891011121314151617181920212223242526272829303132333435363738394041424344[[#This Row],[ALIŞ]]</f>
        <v>1720</v>
      </c>
      <c r="H13" s="11">
        <f>Tablo14567891011121314151617181920212223242526272829303132333435363738394041424344[[#This Row],[ADET]]*Tablo14567891011121314151617181920212223242526272829303132333435363738394041424344[[#This Row],[SATIŞ]]</f>
        <v>1750</v>
      </c>
      <c r="J13" s="40" t="str">
        <f t="shared" si="0"/>
        <v/>
      </c>
    </row>
    <row r="14" spans="2:18" ht="21" hidden="1" customHeight="1" x14ac:dyDescent="0.3">
      <c r="B14" s="2">
        <v>45344</v>
      </c>
      <c r="C14" s="6">
        <v>20</v>
      </c>
      <c r="D14" s="10">
        <v>170</v>
      </c>
      <c r="E14" s="10">
        <v>175</v>
      </c>
      <c r="F14" s="9">
        <f>IF(Tablo14567891011121314151617181920212223242526272829303132333435363738394041424344[[#This Row],[SATIŞ]]=0,"Açık",(E14-D14)*C14)</f>
        <v>100</v>
      </c>
      <c r="G14" s="11">
        <f>Tablo14567891011121314151617181920212223242526272829303132333435363738394041424344[[#This Row],[ADET]]*Tablo14567891011121314151617181920212223242526272829303132333435363738394041424344[[#This Row],[ALIŞ]]</f>
        <v>3400</v>
      </c>
      <c r="H14" s="11">
        <f>Tablo14567891011121314151617181920212223242526272829303132333435363738394041424344[[#This Row],[ADET]]*Tablo14567891011121314151617181920212223242526272829303132333435363738394041424344[[#This Row],[SATIŞ]]</f>
        <v>3500</v>
      </c>
      <c r="J14" s="40" t="str">
        <f t="shared" si="0"/>
        <v/>
      </c>
    </row>
    <row r="15" spans="2:18" ht="21" hidden="1" customHeight="1" x14ac:dyDescent="0.3">
      <c r="B15" s="2">
        <v>45345</v>
      </c>
      <c r="C15" s="6">
        <v>30</v>
      </c>
      <c r="D15" s="10">
        <v>166</v>
      </c>
      <c r="E15" s="10">
        <v>170</v>
      </c>
      <c r="F15" s="9">
        <f>IF(Tablo14567891011121314151617181920212223242526272829303132333435363738394041424344[[#This Row],[SATIŞ]]=0,"Açık",(E15-D15)*C15)</f>
        <v>120</v>
      </c>
      <c r="G15" s="11">
        <f>Tablo14567891011121314151617181920212223242526272829303132333435363738394041424344[[#This Row],[ADET]]*Tablo14567891011121314151617181920212223242526272829303132333435363738394041424344[[#This Row],[ALIŞ]]</f>
        <v>4980</v>
      </c>
      <c r="H15" s="11">
        <f>Tablo14567891011121314151617181920212223242526272829303132333435363738394041424344[[#This Row],[ADET]]*Tablo14567891011121314151617181920212223242526272829303132333435363738394041424344[[#This Row],[SATIŞ]]</f>
        <v>5100</v>
      </c>
      <c r="J15" s="40" t="str">
        <f t="shared" si="0"/>
        <v/>
      </c>
    </row>
    <row r="16" spans="2:18" ht="21" hidden="1" customHeight="1" x14ac:dyDescent="0.3">
      <c r="B16" s="2">
        <v>45348</v>
      </c>
      <c r="C16" s="6">
        <v>20</v>
      </c>
      <c r="D16" s="10">
        <v>164</v>
      </c>
      <c r="E16" s="10">
        <v>168</v>
      </c>
      <c r="F16" s="9">
        <f>IF(Tablo14567891011121314151617181920212223242526272829303132333435363738394041424344[[#This Row],[SATIŞ]]=0,"Açık",(E16-D16)*C16)</f>
        <v>80</v>
      </c>
      <c r="G16" s="11">
        <f>Tablo14567891011121314151617181920212223242526272829303132333435363738394041424344[[#This Row],[ADET]]*Tablo14567891011121314151617181920212223242526272829303132333435363738394041424344[[#This Row],[ALIŞ]]</f>
        <v>3280</v>
      </c>
      <c r="H16" s="11">
        <f>Tablo14567891011121314151617181920212223242526272829303132333435363738394041424344[[#This Row],[ADET]]*Tablo14567891011121314151617181920212223242526272829303132333435363738394041424344[[#This Row],[SATIŞ]]</f>
        <v>3360</v>
      </c>
      <c r="J16" s="40" t="str">
        <f t="shared" si="0"/>
        <v/>
      </c>
    </row>
    <row r="17" spans="2:10" ht="21" hidden="1" customHeight="1" x14ac:dyDescent="0.3">
      <c r="B17" s="2">
        <v>45292</v>
      </c>
      <c r="C17" s="6">
        <v>20</v>
      </c>
      <c r="D17" s="10">
        <v>164</v>
      </c>
      <c r="E17" s="10">
        <v>172</v>
      </c>
      <c r="F17" s="9">
        <f>IF(Tablo14567891011121314151617181920212223242526272829303132333435363738394041424344[[#This Row],[SATIŞ]]=0,"Açık",(E17-D17)*C17)</f>
        <v>160</v>
      </c>
      <c r="G17" s="11">
        <f>Tablo14567891011121314151617181920212223242526272829303132333435363738394041424344[[#This Row],[ADET]]*Tablo14567891011121314151617181920212223242526272829303132333435363738394041424344[[#This Row],[ALIŞ]]</f>
        <v>3280</v>
      </c>
      <c r="H17" s="11">
        <f>Tablo14567891011121314151617181920212223242526272829303132333435363738394041424344[[#This Row],[ADET]]*Tablo14567891011121314151617181920212223242526272829303132333435363738394041424344[[#This Row],[SATIŞ]]</f>
        <v>3440</v>
      </c>
      <c r="J17" s="40" t="str">
        <f t="shared" si="0"/>
        <v/>
      </c>
    </row>
    <row r="18" spans="2:10" ht="21" hidden="1" customHeight="1" x14ac:dyDescent="0.3">
      <c r="B18" s="2">
        <v>45355</v>
      </c>
      <c r="C18" s="6">
        <v>10</v>
      </c>
      <c r="D18" s="10">
        <v>168</v>
      </c>
      <c r="E18" s="10">
        <v>175</v>
      </c>
      <c r="F18" s="9">
        <f>IF(Tablo14567891011121314151617181920212223242526272829303132333435363738394041424344[[#This Row],[SATIŞ]]=0,"Açık",(E18-D18)*C18)</f>
        <v>70</v>
      </c>
      <c r="G18" s="11">
        <f>Tablo14567891011121314151617181920212223242526272829303132333435363738394041424344[[#This Row],[ADET]]*Tablo14567891011121314151617181920212223242526272829303132333435363738394041424344[[#This Row],[ALIŞ]]</f>
        <v>1680</v>
      </c>
      <c r="H18" s="11">
        <f>Tablo14567891011121314151617181920212223242526272829303132333435363738394041424344[[#This Row],[ADET]]*Tablo14567891011121314151617181920212223242526272829303132333435363738394041424344[[#This Row],[SATIŞ]]</f>
        <v>1750</v>
      </c>
      <c r="J18" s="40" t="str">
        <f t="shared" si="0"/>
        <v/>
      </c>
    </row>
    <row r="19" spans="2:10" ht="21" hidden="1" customHeight="1" x14ac:dyDescent="0.3">
      <c r="B19" s="2">
        <v>45363</v>
      </c>
      <c r="C19" s="6">
        <v>50</v>
      </c>
      <c r="D19" s="10">
        <v>165</v>
      </c>
      <c r="E19" s="10">
        <v>172.4</v>
      </c>
      <c r="F19" s="9">
        <f>IF(Tablo14567891011121314151617181920212223242526272829303132333435363738394041424344[[#This Row],[SATIŞ]]=0,"Açık",(E19-D19)*C19)</f>
        <v>370.00000000000028</v>
      </c>
      <c r="G19" s="11">
        <f>Tablo14567891011121314151617181920212223242526272829303132333435363738394041424344[[#This Row],[ADET]]*Tablo14567891011121314151617181920212223242526272829303132333435363738394041424344[[#This Row],[ALIŞ]]</f>
        <v>8250</v>
      </c>
      <c r="H19" s="11">
        <f>Tablo14567891011121314151617181920212223242526272829303132333435363738394041424344[[#This Row],[ADET]]*Tablo14567891011121314151617181920212223242526272829303132333435363738394041424344[[#This Row],[SATIŞ]]</f>
        <v>8620</v>
      </c>
      <c r="J19" s="40" t="str">
        <f t="shared" si="0"/>
        <v/>
      </c>
    </row>
    <row r="20" spans="2:10" ht="21" hidden="1" customHeight="1" x14ac:dyDescent="0.3">
      <c r="B20" s="2">
        <v>45370</v>
      </c>
      <c r="C20" s="6">
        <v>10</v>
      </c>
      <c r="D20" s="10">
        <v>161</v>
      </c>
      <c r="E20" s="10">
        <v>161.5</v>
      </c>
      <c r="F20" s="9">
        <f>IF(Tablo14567891011121314151617181920212223242526272829303132333435363738394041424344[[#This Row],[SATIŞ]]=0,"Açık",(E20-D20)*C20)</f>
        <v>5</v>
      </c>
      <c r="G20" s="11">
        <f>Tablo14567891011121314151617181920212223242526272829303132333435363738394041424344[[#This Row],[ADET]]*Tablo14567891011121314151617181920212223242526272829303132333435363738394041424344[[#This Row],[ALIŞ]]</f>
        <v>1610</v>
      </c>
      <c r="H20" s="11">
        <f>Tablo14567891011121314151617181920212223242526272829303132333435363738394041424344[[#This Row],[ADET]]*Tablo14567891011121314151617181920212223242526272829303132333435363738394041424344[[#This Row],[SATIŞ]]</f>
        <v>1615</v>
      </c>
      <c r="J20" s="40" t="str">
        <f t="shared" si="0"/>
        <v/>
      </c>
    </row>
    <row r="21" spans="2:10" ht="21" hidden="1" customHeight="1" x14ac:dyDescent="0.3">
      <c r="B21" s="2">
        <v>45370</v>
      </c>
      <c r="C21" s="6">
        <v>10</v>
      </c>
      <c r="D21" s="10">
        <v>160.5</v>
      </c>
      <c r="E21" s="10">
        <v>162</v>
      </c>
      <c r="F21" s="9">
        <f>IF(Tablo14567891011121314151617181920212223242526272829303132333435363738394041424344[[#This Row],[SATIŞ]]=0,"Açık",(E21-D21)*C21)</f>
        <v>15</v>
      </c>
      <c r="G21" s="11">
        <f>Tablo14567891011121314151617181920212223242526272829303132333435363738394041424344[[#This Row],[ADET]]*Tablo14567891011121314151617181920212223242526272829303132333435363738394041424344[[#This Row],[ALIŞ]]</f>
        <v>1605</v>
      </c>
      <c r="H21" s="11">
        <f>Tablo14567891011121314151617181920212223242526272829303132333435363738394041424344[[#This Row],[ADET]]*Tablo14567891011121314151617181920212223242526272829303132333435363738394041424344[[#This Row],[SATIŞ]]</f>
        <v>1620</v>
      </c>
      <c r="J21" s="40" t="str">
        <f t="shared" si="0"/>
        <v/>
      </c>
    </row>
    <row r="22" spans="2:10" ht="21" hidden="1" customHeight="1" x14ac:dyDescent="0.3">
      <c r="B22" s="2">
        <v>45370</v>
      </c>
      <c r="C22" s="6">
        <v>10</v>
      </c>
      <c r="D22" s="10">
        <v>160.5</v>
      </c>
      <c r="E22" s="10">
        <v>163</v>
      </c>
      <c r="F22" s="9">
        <f>IF(Tablo14567891011121314151617181920212223242526272829303132333435363738394041424344[[#This Row],[SATIŞ]]=0,"Açık",(E22-D22)*C22)</f>
        <v>25</v>
      </c>
      <c r="G22" s="11">
        <f>Tablo14567891011121314151617181920212223242526272829303132333435363738394041424344[[#This Row],[ADET]]*Tablo14567891011121314151617181920212223242526272829303132333435363738394041424344[[#This Row],[ALIŞ]]</f>
        <v>1605</v>
      </c>
      <c r="H22" s="11">
        <f>Tablo14567891011121314151617181920212223242526272829303132333435363738394041424344[[#This Row],[ADET]]*Tablo14567891011121314151617181920212223242526272829303132333435363738394041424344[[#This Row],[SATIŞ]]</f>
        <v>1630</v>
      </c>
      <c r="J22" s="40" t="str">
        <f t="shared" si="0"/>
        <v/>
      </c>
    </row>
    <row r="23" spans="2:10" ht="21" hidden="1" customHeight="1" x14ac:dyDescent="0.3">
      <c r="B23" s="2">
        <v>45371</v>
      </c>
      <c r="C23" s="6">
        <v>10</v>
      </c>
      <c r="D23" s="10">
        <v>164.5</v>
      </c>
      <c r="E23" s="10">
        <v>170</v>
      </c>
      <c r="F23" s="9">
        <f>IF(Tablo14567891011121314151617181920212223242526272829303132333435363738394041424344[[#This Row],[SATIŞ]]=0,"Açık",(E23-D23)*C23)</f>
        <v>55</v>
      </c>
      <c r="G23" s="11">
        <f>Tablo14567891011121314151617181920212223242526272829303132333435363738394041424344[[#This Row],[ADET]]*Tablo14567891011121314151617181920212223242526272829303132333435363738394041424344[[#This Row],[ALIŞ]]</f>
        <v>1645</v>
      </c>
      <c r="H23" s="11">
        <f>Tablo14567891011121314151617181920212223242526272829303132333435363738394041424344[[#This Row],[ADET]]*Tablo14567891011121314151617181920212223242526272829303132333435363738394041424344[[#This Row],[SATIŞ]]</f>
        <v>1700</v>
      </c>
      <c r="J23" s="40" t="str">
        <f t="shared" si="0"/>
        <v/>
      </c>
    </row>
    <row r="24" spans="2:10" ht="21" hidden="1" customHeight="1" x14ac:dyDescent="0.3">
      <c r="B24" s="2">
        <v>45363</v>
      </c>
      <c r="C24" s="6">
        <v>10</v>
      </c>
      <c r="D24" s="10">
        <v>165</v>
      </c>
      <c r="E24" s="10">
        <v>182</v>
      </c>
      <c r="F24" s="9">
        <f>IF(Tablo14567891011121314151617181920212223242526272829303132333435363738394041424344[[#This Row],[SATIŞ]]=0,"Açık",(E24-D24)*C24)</f>
        <v>170</v>
      </c>
      <c r="G24" s="11">
        <f>Tablo14567891011121314151617181920212223242526272829303132333435363738394041424344[[#This Row],[ADET]]*Tablo14567891011121314151617181920212223242526272829303132333435363738394041424344[[#This Row],[ALIŞ]]</f>
        <v>1650</v>
      </c>
      <c r="H24" s="11">
        <f>Tablo14567891011121314151617181920212223242526272829303132333435363738394041424344[[#This Row],[ADET]]*Tablo14567891011121314151617181920212223242526272829303132333435363738394041424344[[#This Row],[SATIŞ]]</f>
        <v>1820</v>
      </c>
      <c r="J24" s="40"/>
    </row>
    <row r="25" spans="2:10" ht="21" hidden="1" customHeight="1" x14ac:dyDescent="0.3">
      <c r="B25" s="2">
        <v>45363</v>
      </c>
      <c r="C25" s="6">
        <v>20</v>
      </c>
      <c r="D25" s="10">
        <v>165</v>
      </c>
      <c r="E25" s="10">
        <v>184</v>
      </c>
      <c r="F25" s="9">
        <f>IF(Tablo14567891011121314151617181920212223242526272829303132333435363738394041424344[[#This Row],[SATIŞ]]=0,"Açık",(E25-D25)*C25)</f>
        <v>380</v>
      </c>
      <c r="G25" s="11">
        <f>Tablo14567891011121314151617181920212223242526272829303132333435363738394041424344[[#This Row],[ADET]]*Tablo14567891011121314151617181920212223242526272829303132333435363738394041424344[[#This Row],[ALIŞ]]</f>
        <v>3300</v>
      </c>
      <c r="H25" s="11">
        <f>Tablo14567891011121314151617181920212223242526272829303132333435363738394041424344[[#This Row],[ADET]]*Tablo14567891011121314151617181920212223242526272829303132333435363738394041424344[[#This Row],[SATIŞ]]</f>
        <v>3680</v>
      </c>
      <c r="J25" s="40"/>
    </row>
    <row r="26" spans="2:10" ht="21" hidden="1" customHeight="1" x14ac:dyDescent="0.3">
      <c r="B26" s="2">
        <v>45363</v>
      </c>
      <c r="C26" s="6">
        <v>10</v>
      </c>
      <c r="D26" s="10">
        <v>165</v>
      </c>
      <c r="E26" s="10">
        <v>185</v>
      </c>
      <c r="F26" s="9">
        <f>IF(Tablo14567891011121314151617181920212223242526272829303132333435363738394041424344[[#This Row],[SATIŞ]]=0,"Açık",(E26-D26)*C26)</f>
        <v>200</v>
      </c>
      <c r="G26" s="11">
        <f>Tablo14567891011121314151617181920212223242526272829303132333435363738394041424344[[#This Row],[ADET]]*Tablo14567891011121314151617181920212223242526272829303132333435363738394041424344[[#This Row],[ALIŞ]]</f>
        <v>1650</v>
      </c>
      <c r="H26" s="11">
        <f>Tablo14567891011121314151617181920212223242526272829303132333435363738394041424344[[#This Row],[ADET]]*Tablo14567891011121314151617181920212223242526272829303132333435363738394041424344[[#This Row],[SATIŞ]]</f>
        <v>1850</v>
      </c>
      <c r="J26" s="40"/>
    </row>
    <row r="27" spans="2:10" ht="21" hidden="1" customHeight="1" x14ac:dyDescent="0.3">
      <c r="B27" s="2">
        <v>45373</v>
      </c>
      <c r="C27" s="6">
        <v>10</v>
      </c>
      <c r="D27" s="10">
        <v>168</v>
      </c>
      <c r="E27" s="10">
        <v>182</v>
      </c>
      <c r="F27" s="9">
        <f>IF(Tablo14567891011121314151617181920212223242526272829303132333435363738394041424344[[#This Row],[SATIŞ]]=0,"Açık",(E27-D27)*C27)</f>
        <v>140</v>
      </c>
      <c r="G27" s="11">
        <f>Tablo14567891011121314151617181920212223242526272829303132333435363738394041424344[[#This Row],[ADET]]*Tablo14567891011121314151617181920212223242526272829303132333435363738394041424344[[#This Row],[ALIŞ]]</f>
        <v>1680</v>
      </c>
      <c r="H27" s="11">
        <f>Tablo14567891011121314151617181920212223242526272829303132333435363738394041424344[[#This Row],[ADET]]*Tablo14567891011121314151617181920212223242526272829303132333435363738394041424344[[#This Row],[SATIŞ]]</f>
        <v>1820</v>
      </c>
      <c r="J27" s="40" t="str">
        <f t="shared" si="0"/>
        <v/>
      </c>
    </row>
    <row r="28" spans="2:10" ht="21" hidden="1" customHeight="1" x14ac:dyDescent="0.3">
      <c r="B28" s="2">
        <v>45376</v>
      </c>
      <c r="C28" s="6">
        <v>20</v>
      </c>
      <c r="D28" s="10">
        <v>170</v>
      </c>
      <c r="E28" s="10">
        <v>180</v>
      </c>
      <c r="F28" s="9">
        <f>IF(Tablo14567891011121314151617181920212223242526272829303132333435363738394041424344[[#This Row],[SATIŞ]]=0,"Açık",(E28-D28)*C28)</f>
        <v>200</v>
      </c>
      <c r="G28" s="11">
        <f>Tablo14567891011121314151617181920212223242526272829303132333435363738394041424344[[#This Row],[ADET]]*Tablo14567891011121314151617181920212223242526272829303132333435363738394041424344[[#This Row],[ALIŞ]]</f>
        <v>3400</v>
      </c>
      <c r="H28" s="11">
        <f>Tablo14567891011121314151617181920212223242526272829303132333435363738394041424344[[#This Row],[ADET]]*Tablo14567891011121314151617181920212223242526272829303132333435363738394041424344[[#This Row],[SATIŞ]]</f>
        <v>3600</v>
      </c>
      <c r="J28" s="40" t="str">
        <f t="shared" si="0"/>
        <v/>
      </c>
    </row>
    <row r="29" spans="2:10" ht="21" hidden="1" customHeight="1" x14ac:dyDescent="0.3">
      <c r="B29" s="2">
        <v>45378</v>
      </c>
      <c r="C29" s="6">
        <v>20</v>
      </c>
      <c r="D29" s="10">
        <v>167</v>
      </c>
      <c r="E29" s="10">
        <v>173</v>
      </c>
      <c r="F29" s="9">
        <f>IF(Tablo14567891011121314151617181920212223242526272829303132333435363738394041424344[[#This Row],[SATIŞ]]=0,"Açık",(E29-D29)*C29)</f>
        <v>120</v>
      </c>
      <c r="G29" s="11">
        <f>Tablo14567891011121314151617181920212223242526272829303132333435363738394041424344[[#This Row],[ADET]]*Tablo14567891011121314151617181920212223242526272829303132333435363738394041424344[[#This Row],[ALIŞ]]</f>
        <v>3340</v>
      </c>
      <c r="H29" s="11">
        <f>Tablo14567891011121314151617181920212223242526272829303132333435363738394041424344[[#This Row],[ADET]]*Tablo14567891011121314151617181920212223242526272829303132333435363738394041424344[[#This Row],[SATIŞ]]</f>
        <v>3460</v>
      </c>
      <c r="J29" s="40" t="str">
        <f t="shared" si="0"/>
        <v/>
      </c>
    </row>
    <row r="30" spans="2:10" ht="21" hidden="1" customHeight="1" x14ac:dyDescent="0.3">
      <c r="B30" s="2">
        <v>45363</v>
      </c>
      <c r="C30" s="6">
        <v>10</v>
      </c>
      <c r="D30" s="10">
        <v>165</v>
      </c>
      <c r="E30" s="10">
        <v>185</v>
      </c>
      <c r="F30" s="9">
        <f>IF(Tablo14567891011121314151617181920212223242526272829303132333435363738394041424344[[#This Row],[SATIŞ]]=0,"Açık",(E30-D30)*C30)</f>
        <v>200</v>
      </c>
      <c r="G30" s="11">
        <f>Tablo14567891011121314151617181920212223242526272829303132333435363738394041424344[[#This Row],[ADET]]*Tablo14567891011121314151617181920212223242526272829303132333435363738394041424344[[#This Row],[ALIŞ]]</f>
        <v>1650</v>
      </c>
      <c r="H30" s="11">
        <f>Tablo14567891011121314151617181920212223242526272829303132333435363738394041424344[[#This Row],[ADET]]*Tablo14567891011121314151617181920212223242526272829303132333435363738394041424344[[#This Row],[SATIŞ]]</f>
        <v>1850</v>
      </c>
      <c r="J30" s="40"/>
    </row>
    <row r="31" spans="2:10" ht="21" hidden="1" customHeight="1" x14ac:dyDescent="0.3">
      <c r="B31" s="2">
        <v>45378</v>
      </c>
      <c r="C31" s="6">
        <v>10</v>
      </c>
      <c r="D31" s="10">
        <v>172</v>
      </c>
      <c r="E31" s="10">
        <v>185</v>
      </c>
      <c r="F31" s="9">
        <f>IF(Tablo14567891011121314151617181920212223242526272829303132333435363738394041424344[[#This Row],[SATIŞ]]=0,"Açık",(E31-D31)*C31)</f>
        <v>130</v>
      </c>
      <c r="G31" s="11">
        <f>Tablo14567891011121314151617181920212223242526272829303132333435363738394041424344[[#This Row],[ADET]]*Tablo14567891011121314151617181920212223242526272829303132333435363738394041424344[[#This Row],[ALIŞ]]</f>
        <v>1720</v>
      </c>
      <c r="H31" s="11">
        <f>Tablo14567891011121314151617181920212223242526272829303132333435363738394041424344[[#This Row],[ADET]]*Tablo14567891011121314151617181920212223242526272829303132333435363738394041424344[[#This Row],[SATIŞ]]</f>
        <v>1850</v>
      </c>
      <c r="J31" s="40" t="str">
        <f t="shared" si="0"/>
        <v/>
      </c>
    </row>
    <row r="32" spans="2:10" ht="21" hidden="1" customHeight="1" x14ac:dyDescent="0.3">
      <c r="B32" s="2">
        <v>45378</v>
      </c>
      <c r="C32" s="6">
        <v>10</v>
      </c>
      <c r="D32" s="10">
        <v>172</v>
      </c>
      <c r="E32" s="10">
        <v>195.8</v>
      </c>
      <c r="F32" s="9">
        <f>IF(Tablo14567891011121314151617181920212223242526272829303132333435363738394041424344[[#This Row],[SATIŞ]]=0,"Açık",(E32-D32)*C32)</f>
        <v>238.00000000000011</v>
      </c>
      <c r="G32" s="11">
        <f>Tablo14567891011121314151617181920212223242526272829303132333435363738394041424344[[#This Row],[ADET]]*Tablo14567891011121314151617181920212223242526272829303132333435363738394041424344[[#This Row],[ALIŞ]]</f>
        <v>1720</v>
      </c>
      <c r="H32" s="11">
        <f>Tablo14567891011121314151617181920212223242526272829303132333435363738394041424344[[#This Row],[ADET]]*Tablo14567891011121314151617181920212223242526272829303132333435363738394041424344[[#This Row],[SATIŞ]]</f>
        <v>1958</v>
      </c>
      <c r="J32" s="40"/>
    </row>
    <row r="33" spans="2:10" ht="21" hidden="1" customHeight="1" x14ac:dyDescent="0.3">
      <c r="B33" s="2">
        <v>45378</v>
      </c>
      <c r="C33" s="6">
        <v>10</v>
      </c>
      <c r="D33" s="10">
        <v>172</v>
      </c>
      <c r="E33" s="10">
        <v>198</v>
      </c>
      <c r="F33" s="9">
        <f>IF(Tablo14567891011121314151617181920212223242526272829303132333435363738394041424344[[#This Row],[SATIŞ]]=0,"Açık",(E33-D33)*C33)</f>
        <v>260</v>
      </c>
      <c r="G33" s="11">
        <f>Tablo14567891011121314151617181920212223242526272829303132333435363738394041424344[[#This Row],[ADET]]*Tablo14567891011121314151617181920212223242526272829303132333435363738394041424344[[#This Row],[ALIŞ]]</f>
        <v>1720</v>
      </c>
      <c r="H33" s="11">
        <f>Tablo14567891011121314151617181920212223242526272829303132333435363738394041424344[[#This Row],[ADET]]*Tablo14567891011121314151617181920212223242526272829303132333435363738394041424344[[#This Row],[SATIŞ]]</f>
        <v>1980</v>
      </c>
      <c r="J33" s="40"/>
    </row>
    <row r="34" spans="2:10" ht="21" customHeight="1" x14ac:dyDescent="0.3">
      <c r="B34" s="2">
        <v>45380</v>
      </c>
      <c r="C34" s="6">
        <v>30</v>
      </c>
      <c r="D34" s="10">
        <v>179</v>
      </c>
      <c r="E34" s="10"/>
      <c r="F34" s="9" t="str">
        <f>IF(Tablo14567891011121314151617181920212223242526272829303132333435363738394041424344[[#This Row],[SATIŞ]]=0,"Açık",(E34-D34)*C34)</f>
        <v>Açık</v>
      </c>
      <c r="G34" s="11">
        <f>Tablo14567891011121314151617181920212223242526272829303132333435363738394041424344[[#This Row],[ADET]]*Tablo14567891011121314151617181920212223242526272829303132333435363738394041424344[[#This Row],[ALIŞ]]</f>
        <v>5370</v>
      </c>
      <c r="H34" s="11">
        <f>Tablo14567891011121314151617181920212223242526272829303132333435363738394041424344[[#This Row],[ADET]]*Tablo14567891011121314151617181920212223242526272829303132333435363738394041424344[[#This Row],[SATIŞ]]</f>
        <v>0</v>
      </c>
      <c r="J34" s="40">
        <f t="shared" si="0"/>
        <v>187.95000000000002</v>
      </c>
    </row>
    <row r="35" spans="2:10" ht="21" customHeight="1" x14ac:dyDescent="0.3">
      <c r="B35" s="2">
        <v>45383</v>
      </c>
      <c r="C35" s="6">
        <v>10</v>
      </c>
      <c r="D35" s="10">
        <v>183</v>
      </c>
      <c r="E35" s="10"/>
      <c r="F35" s="9" t="str">
        <f>IF(Tablo14567891011121314151617181920212223242526272829303132333435363738394041424344[[#This Row],[SATIŞ]]=0,"Açık",(E35-D35)*C35)</f>
        <v>Açık</v>
      </c>
      <c r="G35" s="11">
        <f>Tablo14567891011121314151617181920212223242526272829303132333435363738394041424344[[#This Row],[ADET]]*Tablo14567891011121314151617181920212223242526272829303132333435363738394041424344[[#This Row],[ALIŞ]]</f>
        <v>1830</v>
      </c>
      <c r="H35" s="11">
        <f>Tablo14567891011121314151617181920212223242526272829303132333435363738394041424344[[#This Row],[ADET]]*Tablo14567891011121314151617181920212223242526272829303132333435363738394041424344[[#This Row],[SATIŞ]]</f>
        <v>0</v>
      </c>
      <c r="J35" s="40">
        <f t="shared" si="0"/>
        <v>192.15</v>
      </c>
    </row>
    <row r="36" spans="2:10" ht="21" hidden="1" customHeight="1" x14ac:dyDescent="0.3">
      <c r="B36" s="2">
        <v>45383</v>
      </c>
      <c r="C36" s="6">
        <v>10</v>
      </c>
      <c r="D36" s="10">
        <v>180</v>
      </c>
      <c r="E36" s="10">
        <v>200</v>
      </c>
      <c r="F36" s="9">
        <f>IF(Tablo14567891011121314151617181920212223242526272829303132333435363738394041424344[[#This Row],[SATIŞ]]=0,"Açık",(E36-D36)*C36)</f>
        <v>200</v>
      </c>
      <c r="G36" s="11">
        <f>Tablo14567891011121314151617181920212223242526272829303132333435363738394041424344[[#This Row],[ADET]]*Tablo14567891011121314151617181920212223242526272829303132333435363738394041424344[[#This Row],[ALIŞ]]</f>
        <v>1800</v>
      </c>
      <c r="H36" s="11">
        <f>Tablo14567891011121314151617181920212223242526272829303132333435363738394041424344[[#This Row],[ADET]]*Tablo14567891011121314151617181920212223242526272829303132333435363738394041424344[[#This Row],[SATIŞ]]</f>
        <v>2000</v>
      </c>
      <c r="J36" s="40" t="str">
        <f t="shared" si="0"/>
        <v/>
      </c>
    </row>
    <row r="37" spans="2:10" ht="21" customHeight="1" x14ac:dyDescent="0.3">
      <c r="B37" s="2">
        <v>45397</v>
      </c>
      <c r="C37" s="6">
        <v>100</v>
      </c>
      <c r="D37" s="10">
        <v>197</v>
      </c>
      <c r="E37" s="10"/>
      <c r="F37" s="9" t="str">
        <f>IF(Tablo14567891011121314151617181920212223242526272829303132333435363738394041424344[[#This Row],[SATIŞ]]=0,"Açık",(E37-D37)*C37)</f>
        <v>Açık</v>
      </c>
      <c r="G37" s="11">
        <f>Tablo14567891011121314151617181920212223242526272829303132333435363738394041424344[[#This Row],[ADET]]*Tablo14567891011121314151617181920212223242526272829303132333435363738394041424344[[#This Row],[ALIŞ]]</f>
        <v>19700</v>
      </c>
      <c r="H37" s="11">
        <f>Tablo14567891011121314151617181920212223242526272829303132333435363738394041424344[[#This Row],[ADET]]*Tablo14567891011121314151617181920212223242526272829303132333435363738394041424344[[#This Row],[SATIŞ]]</f>
        <v>0</v>
      </c>
      <c r="J37" s="40">
        <f t="shared" si="0"/>
        <v>206.85000000000002</v>
      </c>
    </row>
    <row r="38" spans="2:10" ht="21" customHeight="1" x14ac:dyDescent="0.3">
      <c r="B38" s="2">
        <v>45397</v>
      </c>
      <c r="C38" s="6">
        <v>100</v>
      </c>
      <c r="D38" s="10">
        <v>200</v>
      </c>
      <c r="E38" s="10"/>
      <c r="F38" s="9" t="str">
        <f>IF(Tablo14567891011121314151617181920212223242526272829303132333435363738394041424344[[#This Row],[SATIŞ]]=0,"Açık",(E38-D38)*C38)</f>
        <v>Açık</v>
      </c>
      <c r="G38" s="11">
        <f>Tablo14567891011121314151617181920212223242526272829303132333435363738394041424344[[#This Row],[ADET]]*Tablo14567891011121314151617181920212223242526272829303132333435363738394041424344[[#This Row],[ALIŞ]]</f>
        <v>20000</v>
      </c>
      <c r="H38" s="11">
        <f>Tablo14567891011121314151617181920212223242526272829303132333435363738394041424344[[#This Row],[ADET]]*Tablo14567891011121314151617181920212223242526272829303132333435363738394041424344[[#This Row],[SATIŞ]]</f>
        <v>0</v>
      </c>
      <c r="J38" s="40">
        <f t="shared" si="0"/>
        <v>210</v>
      </c>
    </row>
  </sheetData>
  <conditionalFormatting sqref="B4:F38">
    <cfRule type="expression" dxfId="38" priority="1">
      <formula>$F4&lt;0</formula>
    </cfRule>
    <cfRule type="expression" dxfId="37" priority="2">
      <formula>$F4="Açık"</formula>
    </cfRule>
    <cfRule type="expression" dxfId="36" priority="3">
      <formula>$F4&gt;0</formula>
    </cfRule>
  </conditionalFormatting>
  <hyperlinks>
    <hyperlink ref="B1" location="İcmal!A1" display="ANA SAYFA" xr:uid="{CEC0D9F7-8CE3-4BD6-8EC8-9BB256C62114}"/>
  </hyperlinks>
  <pageMargins left="0.7" right="0.7" top="0.75" bottom="0.75" header="0.3" footer="0.3"/>
  <tableParts count="1">
    <tablePart r:id="rId1"/>
  </tablePart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D2DCC-BFF5-498F-AD14-CCB75EAAD6FD}">
  <sheetPr>
    <tabColor rgb="FF00B050"/>
  </sheetPr>
  <dimension ref="B1:R30"/>
  <sheetViews>
    <sheetView showGridLines="0" showZeros="0" zoomScale="110" zoomScaleNormal="110" workbookViewId="0">
      <pane ySplit="3" topLeftCell="A8" activePane="bottomLeft" state="frozen"/>
      <selection pane="bottomLeft" activeCell="E31" sqref="E31"/>
    </sheetView>
  </sheetViews>
  <sheetFormatPr defaultRowHeight="21" customHeight="1" x14ac:dyDescent="0.3"/>
  <cols>
    <col min="2" max="2" width="20.6640625" style="1" customWidth="1"/>
    <col min="3" max="3" width="11.33203125" style="6" customWidth="1"/>
    <col min="4" max="5" width="12.88671875" style="3" customWidth="1"/>
    <col min="6" max="6" width="12.88671875" style="5" customWidth="1"/>
    <col min="7" max="8" width="11.6640625" bestFit="1" customWidth="1"/>
    <col min="10" max="12" width="12.44140625" customWidth="1"/>
    <col min="13" max="13" width="11.6640625" bestFit="1" customWidth="1"/>
    <col min="14" max="14" width="12" bestFit="1" customWidth="1"/>
  </cols>
  <sheetData>
    <row r="1" spans="2:18" ht="21" customHeight="1" x14ac:dyDescent="0.3">
      <c r="B1" s="12" t="s">
        <v>64</v>
      </c>
      <c r="C1" s="4">
        <f>SUMIF(Tablo1456789101112131415161718192021222324252627282930313233343536373839404142434445[KAR],"Açık",Tablo1456789101112131415161718192021222324252627282930313233343536373839404142434445[ADET])</f>
        <v>0</v>
      </c>
      <c r="D1" s="10">
        <f>+İcmal!E59</f>
        <v>76.55</v>
      </c>
      <c r="E1" s="10">
        <f>C1*D1</f>
        <v>0</v>
      </c>
      <c r="F1" s="10" t="str">
        <f>IFERROR(((SUM(Tablo1456789101112131415161718192021222324252627282930313233343536373839404142434445[ALIŞ TUTAR])-SUM(Tablo1456789101112131415161718192021222324252627282930313233343536373839404142434445[SATIŞ TUTAR]))/C1),"")</f>
        <v/>
      </c>
      <c r="G1" s="10">
        <f>IF(M3=0,L3,C1*(D1-F1))</f>
        <v>2211.8489399999999</v>
      </c>
      <c r="J1" s="45" t="s">
        <v>94</v>
      </c>
      <c r="K1" s="45" t="s">
        <v>95</v>
      </c>
      <c r="L1" s="45" t="s">
        <v>96</v>
      </c>
      <c r="M1" s="33" t="str">
        <f>F1</f>
        <v/>
      </c>
      <c r="N1" s="8" t="e">
        <f>M1*(1+$J$1)</f>
        <v>#VALUE!</v>
      </c>
      <c r="P1" s="8" t="e">
        <f>Q1*(1-$J$1)</f>
        <v>#VALUE!</v>
      </c>
      <c r="Q1" s="33">
        <f>+D1</f>
        <v>76.55</v>
      </c>
      <c r="R1" s="8" t="e">
        <f>Q1*(1+$J$1)</f>
        <v>#VALUE!</v>
      </c>
    </row>
    <row r="2" spans="2:18" ht="21" customHeight="1" x14ac:dyDescent="0.3">
      <c r="B2" s="7" t="s">
        <v>54</v>
      </c>
      <c r="J2" s="45">
        <f>SUMIFS(Tablo2[HEDEF2],Tablo2[HİSSE],B2)</f>
        <v>1000</v>
      </c>
      <c r="K2" s="45">
        <f>+E1/İcmal!$P$2</f>
        <v>0</v>
      </c>
      <c r="L2" s="45">
        <f>+J2-K2</f>
        <v>1000</v>
      </c>
    </row>
    <row r="3" spans="2:18" ht="21" customHeight="1" x14ac:dyDescent="0.3">
      <c r="B3" s="1" t="s">
        <v>0</v>
      </c>
      <c r="C3" s="6" t="s">
        <v>4</v>
      </c>
      <c r="D3" s="3" t="s">
        <v>1</v>
      </c>
      <c r="E3" s="3" t="s">
        <v>3</v>
      </c>
      <c r="F3" s="5" t="s">
        <v>2</v>
      </c>
      <c r="G3" s="3" t="s">
        <v>8</v>
      </c>
      <c r="H3" s="3" t="s">
        <v>9</v>
      </c>
      <c r="L3">
        <f>+SUM(Tablo1456789101112131415161718192021222324252627282930313233343536373839404142434445[KAR])</f>
        <v>2211.8489399999999</v>
      </c>
      <c r="M3" s="37">
        <f>+C1</f>
        <v>0</v>
      </c>
    </row>
    <row r="4" spans="2:18" ht="21" hidden="1" customHeight="1" x14ac:dyDescent="0.3">
      <c r="B4" s="2">
        <v>45291</v>
      </c>
      <c r="C4" s="6">
        <v>322</v>
      </c>
      <c r="D4" s="10">
        <v>55.45731</v>
      </c>
      <c r="E4" s="10">
        <v>55.365679999999998</v>
      </c>
      <c r="F4" s="9">
        <f>IF(Tablo1456789101112131415161718192021222324252627282930313233343536373839404142434445[[#This Row],[SATIŞ]]=0,"Açık",(E4-D4)*C4)</f>
        <v>-29.504860000000676</v>
      </c>
      <c r="G4" s="11">
        <f>Tablo1456789101112131415161718192021222324252627282930313233343536373839404142434445[[#This Row],[ADET]]*Tablo1456789101112131415161718192021222324252627282930313233343536373839404142434445[[#This Row],[ALIŞ]]</f>
        <v>17857.253819999998</v>
      </c>
      <c r="H4" s="11">
        <f>Tablo1456789101112131415161718192021222324252627282930313233343536373839404142434445[[#This Row],[ADET]]*Tablo1456789101112131415161718192021222324252627282930313233343536373839404142434445[[#This Row],[SATIŞ]]</f>
        <v>17827.748960000001</v>
      </c>
      <c r="L4" s="8">
        <f>SUM(Tablo1456789101112131415161718192021222324252627282930313233343536373839404142434445[ALIŞ TUTAR])</f>
        <v>87043.400020000001</v>
      </c>
      <c r="M4" s="8">
        <f>SUM(Tablo1456789101112131415161718192021222324252627282930313233343536373839404142434445[SATIŞ TUTAR])</f>
        <v>89255.248959999997</v>
      </c>
      <c r="N4" s="8">
        <f>L4-M4</f>
        <v>-2211.8489399999962</v>
      </c>
    </row>
    <row r="5" spans="2:18" ht="21" hidden="1" customHeight="1" x14ac:dyDescent="0.3">
      <c r="B5" s="2">
        <v>45291</v>
      </c>
      <c r="C5" s="6">
        <v>1</v>
      </c>
      <c r="D5" s="10">
        <v>55.45731</v>
      </c>
      <c r="E5" s="10">
        <v>70</v>
      </c>
      <c r="F5" s="9">
        <f>IF(Tablo1456789101112131415161718192021222324252627282930313233343536373839404142434445[[#This Row],[SATIŞ]]=0,"Açık",(E5-D5)*C5)</f>
        <v>14.54269</v>
      </c>
      <c r="G5" s="11">
        <f>Tablo1456789101112131415161718192021222324252627282930313233343536373839404142434445[[#This Row],[ADET]]*Tablo1456789101112131415161718192021222324252627282930313233343536373839404142434445[[#This Row],[ALIŞ]]</f>
        <v>55.45731</v>
      </c>
      <c r="H5" s="11">
        <f>Tablo1456789101112131415161718192021222324252627282930313233343536373839404142434445[[#This Row],[ADET]]*Tablo1456789101112131415161718192021222324252627282930313233343536373839404142434445[[#This Row],[SATIŞ]]</f>
        <v>70</v>
      </c>
      <c r="N5">
        <f>+N4/80</f>
        <v>-27.648111749999952</v>
      </c>
    </row>
    <row r="6" spans="2:18" ht="21" hidden="1" customHeight="1" x14ac:dyDescent="0.3">
      <c r="B6" s="2">
        <v>45291</v>
      </c>
      <c r="C6" s="6">
        <v>15</v>
      </c>
      <c r="D6" s="10">
        <v>55.45731</v>
      </c>
      <c r="E6" s="10">
        <v>69.5</v>
      </c>
      <c r="F6" s="9">
        <f>IF(Tablo1456789101112131415161718192021222324252627282930313233343536373839404142434445[[#This Row],[SATIŞ]]=0,"Açık",(E6-D6)*C6)</f>
        <v>210.64035000000001</v>
      </c>
      <c r="G6" s="11">
        <f>Tablo1456789101112131415161718192021222324252627282930313233343536373839404142434445[[#This Row],[ADET]]*Tablo1456789101112131415161718192021222324252627282930313233343536373839404142434445[[#This Row],[ALIŞ]]</f>
        <v>831.85964999999999</v>
      </c>
      <c r="H6" s="11">
        <f>Tablo1456789101112131415161718192021222324252627282930313233343536373839404142434445[[#This Row],[ADET]]*Tablo1456789101112131415161718192021222324252627282930313233343536373839404142434445[[#This Row],[SATIŞ]]</f>
        <v>1042.5</v>
      </c>
    </row>
    <row r="7" spans="2:18" ht="21" hidden="1" customHeight="1" x14ac:dyDescent="0.3">
      <c r="B7" s="2">
        <v>45291</v>
      </c>
      <c r="C7" s="6">
        <v>4</v>
      </c>
      <c r="D7" s="10">
        <v>55.45731</v>
      </c>
      <c r="E7" s="10">
        <v>70</v>
      </c>
      <c r="F7" s="9">
        <f>IF(Tablo1456789101112131415161718192021222324252627282930313233343536373839404142434445[[#This Row],[SATIŞ]]=0,"Açık",(E7-D7)*C7)</f>
        <v>58.170760000000001</v>
      </c>
      <c r="G7" s="11">
        <f>Tablo1456789101112131415161718192021222324252627282930313233343536373839404142434445[[#This Row],[ADET]]*Tablo1456789101112131415161718192021222324252627282930313233343536373839404142434445[[#This Row],[ALIŞ]]</f>
        <v>221.82924</v>
      </c>
      <c r="H7" s="11">
        <f>Tablo1456789101112131415161718192021222324252627282930313233343536373839404142434445[[#This Row],[ADET]]*Tablo1456789101112131415161718192021222324252627282930313233343536373839404142434445[[#This Row],[SATIŞ]]</f>
        <v>280</v>
      </c>
    </row>
    <row r="8" spans="2:18" ht="21" hidden="1" customHeight="1" x14ac:dyDescent="0.3">
      <c r="B8" s="2">
        <v>45328</v>
      </c>
      <c r="C8" s="6">
        <v>50</v>
      </c>
      <c r="D8" s="10">
        <v>69.5</v>
      </c>
      <c r="E8" s="10">
        <v>67.7</v>
      </c>
      <c r="F8" s="9">
        <f>IF(Tablo1456789101112131415161718192021222324252627282930313233343536373839404142434445[[#This Row],[SATIŞ]]=0,"Açık",(E8-D8)*C8)</f>
        <v>-89.999999999999858</v>
      </c>
      <c r="G8" s="11">
        <f>Tablo1456789101112131415161718192021222324252627282930313233343536373839404142434445[[#This Row],[ADET]]*Tablo1456789101112131415161718192021222324252627282930313233343536373839404142434445[[#This Row],[ALIŞ]]</f>
        <v>3475</v>
      </c>
      <c r="H8" s="11">
        <f>Tablo1456789101112131415161718192021222324252627282930313233343536373839404142434445[[#This Row],[ADET]]*Tablo1456789101112131415161718192021222324252627282930313233343536373839404142434445[[#This Row],[SATIŞ]]</f>
        <v>3385</v>
      </c>
      <c r="J8" s="40" t="str">
        <f t="shared" ref="J8:J27" si="0">IF(E8=0,D8*1.05,"")</f>
        <v/>
      </c>
    </row>
    <row r="9" spans="2:18" ht="21" hidden="1" customHeight="1" x14ac:dyDescent="0.3">
      <c r="B9" s="2">
        <v>45329</v>
      </c>
      <c r="C9" s="6">
        <v>11</v>
      </c>
      <c r="D9" s="10">
        <v>69.5</v>
      </c>
      <c r="E9" s="10">
        <v>70</v>
      </c>
      <c r="F9" s="9">
        <f>IF(Tablo1456789101112131415161718192021222324252627282930313233343536373839404142434445[[#This Row],[SATIŞ]]=0,"Açık",(E9-D9)*C9)</f>
        <v>5.5</v>
      </c>
      <c r="G9" s="11">
        <f>Tablo1456789101112131415161718192021222324252627282930313233343536373839404142434445[[#This Row],[ADET]]*Tablo1456789101112131415161718192021222324252627282930313233343536373839404142434445[[#This Row],[ALIŞ]]</f>
        <v>764.5</v>
      </c>
      <c r="H9" s="11">
        <f>Tablo1456789101112131415161718192021222324252627282930313233343536373839404142434445[[#This Row],[ADET]]*Tablo1456789101112131415161718192021222324252627282930313233343536373839404142434445[[#This Row],[SATIŞ]]</f>
        <v>770</v>
      </c>
      <c r="J9" s="40" t="str">
        <f t="shared" si="0"/>
        <v/>
      </c>
    </row>
    <row r="10" spans="2:18" ht="21" hidden="1" customHeight="1" x14ac:dyDescent="0.3">
      <c r="B10" s="2">
        <v>45329</v>
      </c>
      <c r="C10" s="6">
        <v>20</v>
      </c>
      <c r="D10" s="10">
        <v>69</v>
      </c>
      <c r="E10" s="10">
        <v>67.7</v>
      </c>
      <c r="F10" s="9">
        <f>IF(Tablo1456789101112131415161718192021222324252627282930313233343536373839404142434445[[#This Row],[SATIŞ]]=0,"Açık",(E10-D10)*C10)</f>
        <v>-25.999999999999943</v>
      </c>
      <c r="G10" s="11">
        <f>Tablo1456789101112131415161718192021222324252627282930313233343536373839404142434445[[#This Row],[ADET]]*Tablo1456789101112131415161718192021222324252627282930313233343536373839404142434445[[#This Row],[ALIŞ]]</f>
        <v>1380</v>
      </c>
      <c r="H10" s="11">
        <f>Tablo1456789101112131415161718192021222324252627282930313233343536373839404142434445[[#This Row],[ADET]]*Tablo1456789101112131415161718192021222324252627282930313233343536373839404142434445[[#This Row],[SATIŞ]]</f>
        <v>1354</v>
      </c>
      <c r="J10" s="40" t="str">
        <f t="shared" si="0"/>
        <v/>
      </c>
    </row>
    <row r="11" spans="2:18" ht="21" hidden="1" customHeight="1" x14ac:dyDescent="0.3">
      <c r="B11" s="2">
        <v>45329</v>
      </c>
      <c r="C11" s="6">
        <v>50</v>
      </c>
      <c r="D11" s="10">
        <v>68.5</v>
      </c>
      <c r="E11" s="10">
        <v>75</v>
      </c>
      <c r="F11" s="9">
        <f>IF(Tablo1456789101112131415161718192021222324252627282930313233343536373839404142434445[[#This Row],[SATIŞ]]=0,"Açık",(E11-D11)*C11)</f>
        <v>325</v>
      </c>
      <c r="G11" s="11">
        <f>Tablo1456789101112131415161718192021222324252627282930313233343536373839404142434445[[#This Row],[ADET]]*Tablo1456789101112131415161718192021222324252627282930313233343536373839404142434445[[#This Row],[ALIŞ]]</f>
        <v>3425</v>
      </c>
      <c r="H11" s="11">
        <f>Tablo1456789101112131415161718192021222324252627282930313233343536373839404142434445[[#This Row],[ADET]]*Tablo1456789101112131415161718192021222324252627282930313233343536373839404142434445[[#This Row],[SATIŞ]]</f>
        <v>3750</v>
      </c>
      <c r="J11" s="40" t="str">
        <f t="shared" si="0"/>
        <v/>
      </c>
    </row>
    <row r="12" spans="2:18" ht="21" hidden="1" customHeight="1" x14ac:dyDescent="0.3">
      <c r="B12" s="2">
        <v>45334</v>
      </c>
      <c r="C12" s="6">
        <v>20</v>
      </c>
      <c r="D12" s="10">
        <v>69</v>
      </c>
      <c r="E12" s="10">
        <v>67.7</v>
      </c>
      <c r="F12" s="9">
        <f>IF(Tablo1456789101112131415161718192021222324252627282930313233343536373839404142434445[[#This Row],[SATIŞ]]=0,"Açık",(E12-D12)*C12)</f>
        <v>-25.999999999999943</v>
      </c>
      <c r="G12" s="11">
        <f>Tablo1456789101112131415161718192021222324252627282930313233343536373839404142434445[[#This Row],[ADET]]*Tablo1456789101112131415161718192021222324252627282930313233343536373839404142434445[[#This Row],[ALIŞ]]</f>
        <v>1380</v>
      </c>
      <c r="H12" s="11">
        <f>Tablo1456789101112131415161718192021222324252627282930313233343536373839404142434445[[#This Row],[ADET]]*Tablo1456789101112131415161718192021222324252627282930313233343536373839404142434445[[#This Row],[SATIŞ]]</f>
        <v>1354</v>
      </c>
      <c r="J12" s="40" t="str">
        <f t="shared" si="0"/>
        <v/>
      </c>
    </row>
    <row r="13" spans="2:18" ht="21" hidden="1" customHeight="1" x14ac:dyDescent="0.3">
      <c r="B13" s="2">
        <v>45335</v>
      </c>
      <c r="C13" s="6">
        <v>10</v>
      </c>
      <c r="D13" s="10">
        <v>70</v>
      </c>
      <c r="E13" s="10">
        <v>67.7</v>
      </c>
      <c r="F13" s="9">
        <f>IF(Tablo1456789101112131415161718192021222324252627282930313233343536373839404142434445[[#This Row],[SATIŞ]]=0,"Açık",(E13-D13)*C13)</f>
        <v>-22.999999999999972</v>
      </c>
      <c r="G13" s="11">
        <f>Tablo1456789101112131415161718192021222324252627282930313233343536373839404142434445[[#This Row],[ADET]]*Tablo1456789101112131415161718192021222324252627282930313233343536373839404142434445[[#This Row],[ALIŞ]]</f>
        <v>700</v>
      </c>
      <c r="H13" s="11">
        <f>Tablo1456789101112131415161718192021222324252627282930313233343536373839404142434445[[#This Row],[ADET]]*Tablo1456789101112131415161718192021222324252627282930313233343536373839404142434445[[#This Row],[SATIŞ]]</f>
        <v>677</v>
      </c>
      <c r="J13" s="40" t="str">
        <f t="shared" si="0"/>
        <v/>
      </c>
    </row>
    <row r="14" spans="2:18" ht="21" hidden="1" customHeight="1" x14ac:dyDescent="0.3">
      <c r="B14" s="2">
        <v>45335</v>
      </c>
      <c r="C14" s="6">
        <v>20</v>
      </c>
      <c r="D14" s="10">
        <v>69</v>
      </c>
      <c r="E14" s="10">
        <v>72</v>
      </c>
      <c r="F14" s="9">
        <f>IF(Tablo1456789101112131415161718192021222324252627282930313233343536373839404142434445[[#This Row],[SATIŞ]]=0,"Açık",(E14-D14)*C14)</f>
        <v>60</v>
      </c>
      <c r="G14" s="11">
        <f>Tablo1456789101112131415161718192021222324252627282930313233343536373839404142434445[[#This Row],[ADET]]*Tablo1456789101112131415161718192021222324252627282930313233343536373839404142434445[[#This Row],[ALIŞ]]</f>
        <v>1380</v>
      </c>
      <c r="H14" s="11">
        <f>Tablo1456789101112131415161718192021222324252627282930313233343536373839404142434445[[#This Row],[ADET]]*Tablo1456789101112131415161718192021222324252627282930313233343536373839404142434445[[#This Row],[SATIŞ]]</f>
        <v>1440</v>
      </c>
      <c r="J14" s="40" t="str">
        <f t="shared" si="0"/>
        <v/>
      </c>
    </row>
    <row r="15" spans="2:18" ht="21" hidden="1" customHeight="1" x14ac:dyDescent="0.3">
      <c r="B15" s="2">
        <v>45335</v>
      </c>
      <c r="C15" s="6">
        <v>30</v>
      </c>
      <c r="D15" s="10">
        <v>68</v>
      </c>
      <c r="E15" s="10">
        <v>72</v>
      </c>
      <c r="F15" s="9">
        <f>IF(Tablo1456789101112131415161718192021222324252627282930313233343536373839404142434445[[#This Row],[SATIŞ]]=0,"Açık",(E15-D15)*C15)</f>
        <v>120</v>
      </c>
      <c r="G15" s="11">
        <f>Tablo1456789101112131415161718192021222324252627282930313233343536373839404142434445[[#This Row],[ADET]]*Tablo1456789101112131415161718192021222324252627282930313233343536373839404142434445[[#This Row],[ALIŞ]]</f>
        <v>2040</v>
      </c>
      <c r="H15" s="11">
        <f>Tablo1456789101112131415161718192021222324252627282930313233343536373839404142434445[[#This Row],[ADET]]*Tablo1456789101112131415161718192021222324252627282930313233343536373839404142434445[[#This Row],[SATIŞ]]</f>
        <v>2160</v>
      </c>
      <c r="J15" s="40" t="str">
        <f t="shared" si="0"/>
        <v/>
      </c>
    </row>
    <row r="16" spans="2:18" ht="21" hidden="1" customHeight="1" x14ac:dyDescent="0.3">
      <c r="B16" s="2">
        <v>45336</v>
      </c>
      <c r="C16" s="6">
        <v>50</v>
      </c>
      <c r="D16" s="10">
        <v>67</v>
      </c>
      <c r="E16" s="10">
        <v>68.8</v>
      </c>
      <c r="F16" s="9">
        <f>IF(Tablo1456789101112131415161718192021222324252627282930313233343536373839404142434445[[#This Row],[SATIŞ]]=0,"Açık",(E16-D16)*C16)</f>
        <v>89.999999999999858</v>
      </c>
      <c r="G16" s="11">
        <f>Tablo1456789101112131415161718192021222324252627282930313233343536373839404142434445[[#This Row],[ADET]]*Tablo1456789101112131415161718192021222324252627282930313233343536373839404142434445[[#This Row],[ALIŞ]]</f>
        <v>3350</v>
      </c>
      <c r="H16" s="11">
        <f>Tablo1456789101112131415161718192021222324252627282930313233343536373839404142434445[[#This Row],[ADET]]*Tablo1456789101112131415161718192021222324252627282930313233343536373839404142434445[[#This Row],[SATIŞ]]</f>
        <v>3440</v>
      </c>
      <c r="J16" s="40" t="str">
        <f t="shared" si="0"/>
        <v/>
      </c>
    </row>
    <row r="17" spans="2:10" ht="21" hidden="1" customHeight="1" x14ac:dyDescent="0.3">
      <c r="B17" s="2">
        <v>45341</v>
      </c>
      <c r="C17" s="6">
        <v>50</v>
      </c>
      <c r="D17" s="10">
        <v>67</v>
      </c>
      <c r="E17" s="10">
        <v>68</v>
      </c>
      <c r="F17" s="9">
        <f>IF(Tablo1456789101112131415161718192021222324252627282930313233343536373839404142434445[[#This Row],[SATIŞ]]=0,"Açık",(E17-D17)*C17)</f>
        <v>50</v>
      </c>
      <c r="G17" s="11">
        <f>Tablo1456789101112131415161718192021222324252627282930313233343536373839404142434445[[#This Row],[ADET]]*Tablo1456789101112131415161718192021222324252627282930313233343536373839404142434445[[#This Row],[ALIŞ]]</f>
        <v>3350</v>
      </c>
      <c r="H17" s="11">
        <f>Tablo1456789101112131415161718192021222324252627282930313233343536373839404142434445[[#This Row],[ADET]]*Tablo1456789101112131415161718192021222324252627282930313233343536373839404142434445[[#This Row],[SATIŞ]]</f>
        <v>3400</v>
      </c>
      <c r="J17" s="40" t="str">
        <f t="shared" si="0"/>
        <v/>
      </c>
    </row>
    <row r="18" spans="2:10" ht="21" hidden="1" customHeight="1" x14ac:dyDescent="0.3">
      <c r="B18" s="2">
        <v>45343</v>
      </c>
      <c r="C18" s="6">
        <v>50</v>
      </c>
      <c r="D18" s="10">
        <v>66</v>
      </c>
      <c r="E18" s="10">
        <v>68</v>
      </c>
      <c r="F18" s="9">
        <f>IF(Tablo1456789101112131415161718192021222324252627282930313233343536373839404142434445[[#This Row],[SATIŞ]]=0,"Açık",(E18-D18)*C18)</f>
        <v>100</v>
      </c>
      <c r="G18" s="11">
        <f>Tablo1456789101112131415161718192021222324252627282930313233343536373839404142434445[[#This Row],[ADET]]*Tablo1456789101112131415161718192021222324252627282930313233343536373839404142434445[[#This Row],[ALIŞ]]</f>
        <v>3300</v>
      </c>
      <c r="H18" s="11">
        <f>Tablo1456789101112131415161718192021222324252627282930313233343536373839404142434445[[#This Row],[ADET]]*Tablo1456789101112131415161718192021222324252627282930313233343536373839404142434445[[#This Row],[SATIŞ]]</f>
        <v>3400</v>
      </c>
      <c r="J18" s="40" t="str">
        <f t="shared" si="0"/>
        <v/>
      </c>
    </row>
    <row r="19" spans="2:10" ht="21" hidden="1" customHeight="1" x14ac:dyDescent="0.3">
      <c r="B19" s="2">
        <v>45349</v>
      </c>
      <c r="C19" s="6">
        <v>50</v>
      </c>
      <c r="D19" s="10">
        <v>66</v>
      </c>
      <c r="E19" s="10">
        <v>70</v>
      </c>
      <c r="F19" s="9">
        <f>IF(Tablo1456789101112131415161718192021222324252627282930313233343536373839404142434445[[#This Row],[SATIŞ]]=0,"Açık",(E19-D19)*C19)</f>
        <v>200</v>
      </c>
      <c r="G19" s="11">
        <f>Tablo1456789101112131415161718192021222324252627282930313233343536373839404142434445[[#This Row],[ADET]]*Tablo1456789101112131415161718192021222324252627282930313233343536373839404142434445[[#This Row],[ALIŞ]]</f>
        <v>3300</v>
      </c>
      <c r="H19" s="11">
        <f>Tablo1456789101112131415161718192021222324252627282930313233343536373839404142434445[[#This Row],[ADET]]*Tablo1456789101112131415161718192021222324252627282930313233343536373839404142434445[[#This Row],[SATIŞ]]</f>
        <v>3500</v>
      </c>
      <c r="J19" s="40" t="str">
        <f t="shared" si="0"/>
        <v/>
      </c>
    </row>
    <row r="20" spans="2:10" ht="21" hidden="1" customHeight="1" x14ac:dyDescent="0.3">
      <c r="B20" s="2">
        <v>45356</v>
      </c>
      <c r="C20" s="6">
        <v>50</v>
      </c>
      <c r="D20" s="10">
        <v>64</v>
      </c>
      <c r="E20" s="10">
        <v>65</v>
      </c>
      <c r="F20" s="9">
        <f>IF(Tablo1456789101112131415161718192021222324252627282930313233343536373839404142434445[[#This Row],[SATIŞ]]=0,"Açık",(E20-D20)*C20)</f>
        <v>50</v>
      </c>
      <c r="G20" s="11">
        <f>Tablo1456789101112131415161718192021222324252627282930313233343536373839404142434445[[#This Row],[ADET]]*Tablo1456789101112131415161718192021222324252627282930313233343536373839404142434445[[#This Row],[ALIŞ]]</f>
        <v>3200</v>
      </c>
      <c r="H20" s="11">
        <f>Tablo1456789101112131415161718192021222324252627282930313233343536373839404142434445[[#This Row],[ADET]]*Tablo1456789101112131415161718192021222324252627282930313233343536373839404142434445[[#This Row],[SATIŞ]]</f>
        <v>3250</v>
      </c>
      <c r="J20" s="40" t="str">
        <f t="shared" si="0"/>
        <v/>
      </c>
    </row>
    <row r="21" spans="2:10" ht="21" hidden="1" customHeight="1" x14ac:dyDescent="0.3">
      <c r="B21" s="2">
        <v>45357</v>
      </c>
      <c r="C21" s="6">
        <v>50</v>
      </c>
      <c r="D21" s="10">
        <v>63</v>
      </c>
      <c r="E21" s="10">
        <v>64</v>
      </c>
      <c r="F21" s="9">
        <f>IF(Tablo1456789101112131415161718192021222324252627282930313233343536373839404142434445[[#This Row],[SATIŞ]]=0,"Açık",(E21-D21)*C21)</f>
        <v>50</v>
      </c>
      <c r="G21" s="11">
        <f>Tablo1456789101112131415161718192021222324252627282930313233343536373839404142434445[[#This Row],[ADET]]*Tablo1456789101112131415161718192021222324252627282930313233343536373839404142434445[[#This Row],[ALIŞ]]</f>
        <v>3150</v>
      </c>
      <c r="H21" s="11">
        <f>Tablo1456789101112131415161718192021222324252627282930313233343536373839404142434445[[#This Row],[ADET]]*Tablo1456789101112131415161718192021222324252627282930313233343536373839404142434445[[#This Row],[SATIŞ]]</f>
        <v>3200</v>
      </c>
      <c r="J21" s="40" t="str">
        <f t="shared" si="0"/>
        <v/>
      </c>
    </row>
    <row r="22" spans="2:10" ht="21" hidden="1" customHeight="1" x14ac:dyDescent="0.3">
      <c r="B22" s="2">
        <v>45357</v>
      </c>
      <c r="C22" s="6">
        <v>50</v>
      </c>
      <c r="D22" s="10">
        <v>63</v>
      </c>
      <c r="E22" s="10">
        <v>64</v>
      </c>
      <c r="F22" s="9">
        <f>IF(Tablo1456789101112131415161718192021222324252627282930313233343536373839404142434445[[#This Row],[SATIŞ]]=0,"Açık",(E22-D22)*C22)</f>
        <v>50</v>
      </c>
      <c r="G22" s="11">
        <f>Tablo1456789101112131415161718192021222324252627282930313233343536373839404142434445[[#This Row],[ADET]]*Tablo1456789101112131415161718192021222324252627282930313233343536373839404142434445[[#This Row],[ALIŞ]]</f>
        <v>3150</v>
      </c>
      <c r="H22" s="11">
        <f>Tablo1456789101112131415161718192021222324252627282930313233343536373839404142434445[[#This Row],[ADET]]*Tablo1456789101112131415161718192021222324252627282930313233343536373839404142434445[[#This Row],[SATIŞ]]</f>
        <v>3200</v>
      </c>
      <c r="J22" s="40" t="str">
        <f t="shared" si="0"/>
        <v/>
      </c>
    </row>
    <row r="23" spans="2:10" ht="21" hidden="1" customHeight="1" x14ac:dyDescent="0.3">
      <c r="B23" s="2">
        <v>45365</v>
      </c>
      <c r="C23" s="6">
        <v>50</v>
      </c>
      <c r="D23" s="10">
        <v>62</v>
      </c>
      <c r="E23" s="10">
        <v>64</v>
      </c>
      <c r="F23" s="9">
        <f>IF(Tablo1456789101112131415161718192021222324252627282930313233343536373839404142434445[[#This Row],[SATIŞ]]=0,"Açık",(E23-D23)*C23)</f>
        <v>100</v>
      </c>
      <c r="G23" s="11">
        <f>Tablo1456789101112131415161718192021222324252627282930313233343536373839404142434445[[#This Row],[ADET]]*Tablo1456789101112131415161718192021222324252627282930313233343536373839404142434445[[#This Row],[ALIŞ]]</f>
        <v>3100</v>
      </c>
      <c r="H23" s="11">
        <f>Tablo1456789101112131415161718192021222324252627282930313233343536373839404142434445[[#This Row],[ADET]]*Tablo1456789101112131415161718192021222324252627282930313233343536373839404142434445[[#This Row],[SATIŞ]]</f>
        <v>3200</v>
      </c>
      <c r="J23" s="40" t="str">
        <f t="shared" si="0"/>
        <v/>
      </c>
    </row>
    <row r="24" spans="2:10" ht="21" hidden="1" customHeight="1" x14ac:dyDescent="0.3">
      <c r="B24" s="2">
        <v>45371</v>
      </c>
      <c r="C24" s="6">
        <v>50</v>
      </c>
      <c r="D24" s="10">
        <v>64</v>
      </c>
      <c r="E24" s="10">
        <v>67</v>
      </c>
      <c r="F24" s="9">
        <f>IF(Tablo1456789101112131415161718192021222324252627282930313233343536373839404142434445[[#This Row],[SATIŞ]]=0,"Açık",(E24-D24)*C24)</f>
        <v>150</v>
      </c>
      <c r="G24" s="11">
        <f>Tablo1456789101112131415161718192021222324252627282930313233343536373839404142434445[[#This Row],[ADET]]*Tablo1456789101112131415161718192021222324252627282930313233343536373839404142434445[[#This Row],[ALIŞ]]</f>
        <v>3200</v>
      </c>
      <c r="H24" s="11">
        <f>Tablo1456789101112131415161718192021222324252627282930313233343536373839404142434445[[#This Row],[ADET]]*Tablo1456789101112131415161718192021222324252627282930313233343536373839404142434445[[#This Row],[SATIŞ]]</f>
        <v>3350</v>
      </c>
      <c r="J24" s="40" t="str">
        <f t="shared" si="0"/>
        <v/>
      </c>
    </row>
    <row r="25" spans="2:10" ht="21" hidden="1" customHeight="1" x14ac:dyDescent="0.3">
      <c r="B25" s="2">
        <v>45376</v>
      </c>
      <c r="C25" s="6">
        <v>50</v>
      </c>
      <c r="D25" s="10">
        <v>70</v>
      </c>
      <c r="E25" s="10">
        <v>71.5</v>
      </c>
      <c r="F25" s="9">
        <f>IF(Tablo1456789101112131415161718192021222324252627282930313233343536373839404142434445[[#This Row],[SATIŞ]]=0,"Açık",(E25-D25)*C25)</f>
        <v>75</v>
      </c>
      <c r="G25" s="11">
        <f>Tablo1456789101112131415161718192021222324252627282930313233343536373839404142434445[[#This Row],[ADET]]*Tablo1456789101112131415161718192021222324252627282930313233343536373839404142434445[[#This Row],[ALIŞ]]</f>
        <v>3500</v>
      </c>
      <c r="H25" s="11">
        <f>Tablo1456789101112131415161718192021222324252627282930313233343536373839404142434445[[#This Row],[ADET]]*Tablo1456789101112131415161718192021222324252627282930313233343536373839404142434445[[#This Row],[SATIŞ]]</f>
        <v>3575</v>
      </c>
      <c r="J25" s="40" t="str">
        <f t="shared" si="0"/>
        <v/>
      </c>
    </row>
    <row r="26" spans="2:10" ht="21" hidden="1" customHeight="1" x14ac:dyDescent="0.3">
      <c r="B26" s="2">
        <v>45380</v>
      </c>
      <c r="C26" s="6">
        <v>50</v>
      </c>
      <c r="D26" s="10">
        <v>68</v>
      </c>
      <c r="E26" s="10">
        <v>69.2</v>
      </c>
      <c r="F26" s="9">
        <f>IF(Tablo1456789101112131415161718192021222324252627282930313233343536373839404142434445[[#This Row],[SATIŞ]]=0,"Açık",(E26-D26)*C26)</f>
        <v>60.000000000000142</v>
      </c>
      <c r="G26" s="11">
        <f>Tablo1456789101112131415161718192021222324252627282930313233343536373839404142434445[[#This Row],[ADET]]*Tablo1456789101112131415161718192021222324252627282930313233343536373839404142434445[[#This Row],[ALIŞ]]</f>
        <v>3400</v>
      </c>
      <c r="H26" s="11">
        <f>Tablo1456789101112131415161718192021222324252627282930313233343536373839404142434445[[#This Row],[ADET]]*Tablo1456789101112131415161718192021222324252627282930313233343536373839404142434445[[#This Row],[SATIŞ]]</f>
        <v>3460</v>
      </c>
      <c r="J26" s="40" t="str">
        <f t="shared" si="0"/>
        <v/>
      </c>
    </row>
    <row r="27" spans="2:10" ht="21" hidden="1" customHeight="1" x14ac:dyDescent="0.3">
      <c r="B27" s="2">
        <v>45384</v>
      </c>
      <c r="C27" s="6">
        <v>50</v>
      </c>
      <c r="D27" s="10">
        <v>67</v>
      </c>
      <c r="E27" s="10">
        <v>67.7</v>
      </c>
      <c r="F27" s="9">
        <f>IF(Tablo1456789101112131415161718192021222324252627282930313233343536373839404142434445[[#This Row],[SATIŞ]]=0,"Açık",(E27-D27)*C27)</f>
        <v>35.000000000000142</v>
      </c>
      <c r="G27" s="11">
        <f>Tablo1456789101112131415161718192021222324252627282930313233343536373839404142434445[[#This Row],[ADET]]*Tablo1456789101112131415161718192021222324252627282930313233343536373839404142434445[[#This Row],[ALIŞ]]</f>
        <v>3350</v>
      </c>
      <c r="H27" s="11">
        <f>Tablo1456789101112131415161718192021222324252627282930313233343536373839404142434445[[#This Row],[ADET]]*Tablo1456789101112131415161718192021222324252627282930313233343536373839404142434445[[#This Row],[SATIŞ]]</f>
        <v>3385</v>
      </c>
      <c r="J27" s="40" t="str">
        <f t="shared" si="0"/>
        <v/>
      </c>
    </row>
    <row r="28" spans="2:10" ht="21" hidden="1" customHeight="1" x14ac:dyDescent="0.3">
      <c r="B28" s="2">
        <v>45384</v>
      </c>
      <c r="C28" s="6">
        <v>50</v>
      </c>
      <c r="D28" s="10">
        <v>67</v>
      </c>
      <c r="E28" s="10">
        <v>67.7</v>
      </c>
      <c r="F28" s="9">
        <f>IF(Tablo1456789101112131415161718192021222324252627282930313233343536373839404142434445[[#This Row],[SATIŞ]]=0,"Açık",(E28-D28)*C28)</f>
        <v>35.000000000000142</v>
      </c>
      <c r="G28" s="11">
        <f>Tablo1456789101112131415161718192021222324252627282930313233343536373839404142434445[[#This Row],[ADET]]*Tablo1456789101112131415161718192021222324252627282930313233343536373839404142434445[[#This Row],[ALIŞ]]</f>
        <v>3350</v>
      </c>
      <c r="H28" s="11">
        <f>Tablo1456789101112131415161718192021222324252627282930313233343536373839404142434445[[#This Row],[ADET]]*Tablo1456789101112131415161718192021222324252627282930313233343536373839404142434445[[#This Row],[SATIŞ]]</f>
        <v>3385</v>
      </c>
    </row>
    <row r="29" spans="2:10" ht="21" hidden="1" customHeight="1" x14ac:dyDescent="0.3">
      <c r="B29" s="2">
        <v>45385</v>
      </c>
      <c r="C29" s="6">
        <v>50</v>
      </c>
      <c r="D29" s="10">
        <v>68.650000000000006</v>
      </c>
      <c r="E29" s="10">
        <v>70</v>
      </c>
      <c r="F29" s="9">
        <f>IF(Tablo1456789101112131415161718192021222324252627282930313233343536373839404142434445[[#This Row],[SATIŞ]]=0,"Açık",(E29-D29)*C29)</f>
        <v>67.499999999999716</v>
      </c>
      <c r="G29" s="11">
        <f>Tablo1456789101112131415161718192021222324252627282930313233343536373839404142434445[[#This Row],[ADET]]*Tablo1456789101112131415161718192021222324252627282930313233343536373839404142434445[[#This Row],[ALIŞ]]</f>
        <v>3432.5000000000005</v>
      </c>
      <c r="H29" s="11">
        <f>Tablo1456789101112131415161718192021222324252627282930313233343536373839404142434445[[#This Row],[ADET]]*Tablo1456789101112131415161718192021222324252627282930313233343536373839404142434445[[#This Row],[SATIŞ]]</f>
        <v>3500</v>
      </c>
    </row>
    <row r="30" spans="2:10" ht="21" customHeight="1" x14ac:dyDescent="0.3">
      <c r="B30" s="2">
        <v>45397</v>
      </c>
      <c r="C30" s="6">
        <v>100</v>
      </c>
      <c r="D30" s="10">
        <v>74</v>
      </c>
      <c r="E30" s="10">
        <v>79</v>
      </c>
      <c r="F30" s="9">
        <f>IF(Tablo1456789101112131415161718192021222324252627282930313233343536373839404142434445[[#This Row],[SATIŞ]]=0,"Açık",(E30-D30)*C30)</f>
        <v>500</v>
      </c>
      <c r="G30" s="11">
        <f>Tablo1456789101112131415161718192021222324252627282930313233343536373839404142434445[[#This Row],[ADET]]*Tablo1456789101112131415161718192021222324252627282930313233343536373839404142434445[[#This Row],[ALIŞ]]</f>
        <v>7400</v>
      </c>
      <c r="H30" s="11">
        <f>Tablo1456789101112131415161718192021222324252627282930313233343536373839404142434445[[#This Row],[ADET]]*Tablo1456789101112131415161718192021222324252627282930313233343536373839404142434445[[#This Row],[SATIŞ]]</f>
        <v>7900</v>
      </c>
    </row>
  </sheetData>
  <conditionalFormatting sqref="B4:F30">
    <cfRule type="expression" dxfId="35" priority="1">
      <formula>$F4&lt;0</formula>
    </cfRule>
    <cfRule type="expression" dxfId="34" priority="2">
      <formula>$F4="Açık"</formula>
    </cfRule>
    <cfRule type="expression" dxfId="33" priority="3">
      <formula>$F4&gt;0</formula>
    </cfRule>
  </conditionalFormatting>
  <hyperlinks>
    <hyperlink ref="B1" location="İcmal!A1" display="ANA SAYFA" xr:uid="{E65B153A-A379-48AF-8BD2-0C634BDE5308}"/>
  </hyperlinks>
  <pageMargins left="0.7" right="0.7" top="0.75" bottom="0.75" header="0.3" footer="0.3"/>
  <tableParts count="1">
    <tablePart r:id="rId1"/>
  </tablePart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94B51-775E-4E34-B1B2-C0DE30981BB8}">
  <dimension ref="B1:R70"/>
  <sheetViews>
    <sheetView showGridLines="0" showZeros="0" zoomScale="110" zoomScaleNormal="110" workbookViewId="0">
      <pane ySplit="3" topLeftCell="A61" activePane="bottomLeft" state="frozen"/>
      <selection pane="bottomLeft" activeCell="E71" sqref="E71"/>
    </sheetView>
  </sheetViews>
  <sheetFormatPr defaultRowHeight="21" customHeight="1" x14ac:dyDescent="0.3"/>
  <cols>
    <col min="2" max="2" width="20.6640625" style="1" customWidth="1"/>
    <col min="3" max="3" width="11.33203125" style="6" customWidth="1"/>
    <col min="4" max="5" width="12.88671875" style="3" customWidth="1"/>
    <col min="6" max="6" width="12.88671875" style="5" customWidth="1"/>
    <col min="7" max="7" width="12.6640625" bestFit="1" customWidth="1"/>
    <col min="8" max="8" width="13.44140625" bestFit="1" customWidth="1"/>
    <col min="10" max="12" width="12.44140625" customWidth="1"/>
    <col min="13" max="13" width="12.6640625" bestFit="1" customWidth="1"/>
    <col min="14" max="14" width="11.6640625" bestFit="1" customWidth="1"/>
  </cols>
  <sheetData>
    <row r="1" spans="2:18" ht="21" customHeight="1" x14ac:dyDescent="0.3">
      <c r="B1" s="12" t="s">
        <v>64</v>
      </c>
      <c r="C1" s="4">
        <f>SUMIF(Tablo145678910111213141516171819202122232425262728293031323334353637383940414243444546[KAR],"Açık",Tablo145678910111213141516171819202122232425262728293031323334353637383940414243444546[ADET])</f>
        <v>300</v>
      </c>
      <c r="D1" s="10">
        <f>+İcmal!E60</f>
        <v>302.75</v>
      </c>
      <c r="E1" s="10">
        <f>C1*D1</f>
        <v>90825</v>
      </c>
      <c r="F1" s="10">
        <f>IFERROR(((SUM(Tablo145678910111213141516171819202122232425262728293031323334353637383940414243444546[ALIŞ TUTAR])-SUM(Tablo145678910111213141516171819202122232425262728293031323334353637383940414243444546[SATIŞ TUTAR]))/C1),"")</f>
        <v>270.08475466666658</v>
      </c>
      <c r="G1" s="10">
        <f>IF(M3=0,L3,C1*(D1-F1))</f>
        <v>9799.5736000000252</v>
      </c>
      <c r="J1" s="45" t="s">
        <v>94</v>
      </c>
      <c r="K1" s="45" t="s">
        <v>95</v>
      </c>
      <c r="L1" s="45" t="s">
        <v>96</v>
      </c>
      <c r="M1" s="33">
        <f>F1</f>
        <v>270.08475466666658</v>
      </c>
      <c r="N1" s="8" t="e">
        <f>M1*(1+$J$1)</f>
        <v>#VALUE!</v>
      </c>
      <c r="P1" s="8" t="e">
        <f>Q1*(1-$J$1)</f>
        <v>#VALUE!</v>
      </c>
      <c r="Q1" s="33">
        <f>+D1</f>
        <v>302.75</v>
      </c>
      <c r="R1" s="8" t="e">
        <f>Q1*(1+$J$1)</f>
        <v>#VALUE!</v>
      </c>
    </row>
    <row r="2" spans="2:18" ht="21" customHeight="1" x14ac:dyDescent="0.3">
      <c r="B2" s="7" t="s">
        <v>55</v>
      </c>
      <c r="J2" s="45">
        <f>SUMIFS(Tablo2[HEDEF2],Tablo2[HİSSE],B2)</f>
        <v>2000</v>
      </c>
      <c r="K2" s="45">
        <f>+E1/İcmal!$P$2</f>
        <v>2792.0381186596987</v>
      </c>
      <c r="L2" s="45">
        <f>+J2-K2</f>
        <v>-792.03811865969874</v>
      </c>
    </row>
    <row r="3" spans="2:18" ht="21" customHeight="1" x14ac:dyDescent="0.3">
      <c r="B3" s="1" t="s">
        <v>0</v>
      </c>
      <c r="C3" s="6" t="s">
        <v>4</v>
      </c>
      <c r="D3" s="3" t="s">
        <v>1</v>
      </c>
      <c r="E3" s="3" t="s">
        <v>3</v>
      </c>
      <c r="F3" s="5" t="s">
        <v>2</v>
      </c>
      <c r="G3" s="3" t="s">
        <v>8</v>
      </c>
      <c r="H3" s="3" t="s">
        <v>9</v>
      </c>
      <c r="L3">
        <f>+SUM(Tablo145678910111213141516171819202122232425262728293031323334353637383940414243444546[KAR])</f>
        <v>7042.0736000000124</v>
      </c>
      <c r="M3" s="37">
        <f>+C1</f>
        <v>300</v>
      </c>
    </row>
    <row r="4" spans="2:18" ht="21" hidden="1" customHeight="1" x14ac:dyDescent="0.3">
      <c r="B4" s="2">
        <v>45291</v>
      </c>
      <c r="C4" s="6">
        <v>638</v>
      </c>
      <c r="D4" s="10">
        <v>170.48609999999999</v>
      </c>
      <c r="E4" s="10">
        <v>178.32830000000001</v>
      </c>
      <c r="F4" s="9">
        <f>IF(Tablo145678910111213141516171819202122232425262728293031323334353637383940414243444546[[#This Row],[SATIŞ]]=0,"Açık",(E4-D4)*C4)</f>
        <v>5003.3236000000124</v>
      </c>
      <c r="G4" s="11">
        <f>Tablo145678910111213141516171819202122232425262728293031323334353637383940414243444546[[#This Row],[ADET]]*Tablo145678910111213141516171819202122232425262728293031323334353637383940414243444546[[#This Row],[ALIŞ]]</f>
        <v>108770.1318</v>
      </c>
      <c r="H4" s="11">
        <f>Tablo145678910111213141516171819202122232425262728293031323334353637383940414243444546[[#This Row],[ADET]]*Tablo145678910111213141516171819202122232425262728293031323334353637383940414243444546[[#This Row],[SATIŞ]]</f>
        <v>113773.45540000001</v>
      </c>
      <c r="L4" s="8">
        <f>SUM(Tablo145678910111213141516171819202122232425262728293031323334353637383940414243444546[ALIŞ TUTAR])</f>
        <v>337590.13179999997</v>
      </c>
      <c r="M4" s="8">
        <f>SUM(Tablo145678910111213141516171819202122232425262728293031323334353637383940414243444546[SATIŞ TUTAR])</f>
        <v>256564.70540000001</v>
      </c>
      <c r="N4" s="8">
        <f>L4-M4</f>
        <v>81025.426399999968</v>
      </c>
    </row>
    <row r="5" spans="2:18" ht="21" hidden="1" customHeight="1" x14ac:dyDescent="0.3">
      <c r="B5" s="2">
        <v>45328</v>
      </c>
      <c r="C5" s="6">
        <v>10</v>
      </c>
      <c r="D5" s="10">
        <v>287</v>
      </c>
      <c r="E5" s="10">
        <v>292</v>
      </c>
      <c r="F5" s="9">
        <f>IF(Tablo145678910111213141516171819202122232425262728293031323334353637383940414243444546[[#This Row],[SATIŞ]]=0,"Açık",(E5-D5)*C5)</f>
        <v>50</v>
      </c>
      <c r="G5" s="11">
        <f>Tablo145678910111213141516171819202122232425262728293031323334353637383940414243444546[[#This Row],[ADET]]*Tablo145678910111213141516171819202122232425262728293031323334353637383940414243444546[[#This Row],[ALIŞ]]</f>
        <v>2870</v>
      </c>
      <c r="H5" s="11">
        <f>Tablo145678910111213141516171819202122232425262728293031323334353637383940414243444546[[#This Row],[ADET]]*Tablo145678910111213141516171819202122232425262728293031323334353637383940414243444546[[#This Row],[SATIŞ]]</f>
        <v>2920</v>
      </c>
      <c r="N5">
        <f>+N4/80</f>
        <v>1012.8178299999996</v>
      </c>
    </row>
    <row r="6" spans="2:18" ht="21" hidden="1" customHeight="1" x14ac:dyDescent="0.3">
      <c r="B6" s="2">
        <v>45328</v>
      </c>
      <c r="C6" s="6">
        <v>10</v>
      </c>
      <c r="D6" s="10">
        <v>290</v>
      </c>
      <c r="E6" s="10">
        <v>295</v>
      </c>
      <c r="F6" s="9">
        <f>IF(Tablo145678910111213141516171819202122232425262728293031323334353637383940414243444546[[#This Row],[SATIŞ]]=0,"Açık",(E6-D6)*C6)</f>
        <v>50</v>
      </c>
      <c r="G6" s="11">
        <f>Tablo145678910111213141516171819202122232425262728293031323334353637383940414243444546[[#This Row],[ADET]]*Tablo145678910111213141516171819202122232425262728293031323334353637383940414243444546[[#This Row],[ALIŞ]]</f>
        <v>2900</v>
      </c>
      <c r="H6" s="11">
        <f>Tablo145678910111213141516171819202122232425262728293031323334353637383940414243444546[[#This Row],[ADET]]*Tablo145678910111213141516171819202122232425262728293031323334353637383940414243444546[[#This Row],[SATIŞ]]</f>
        <v>2950</v>
      </c>
      <c r="J6" s="40" t="str">
        <f t="shared" ref="J6:J37" si="0">IF(E6=0,D6*1.05,"")</f>
        <v/>
      </c>
    </row>
    <row r="7" spans="2:18" ht="21" customHeight="1" x14ac:dyDescent="0.3">
      <c r="B7" s="2">
        <v>45328</v>
      </c>
      <c r="C7" s="6">
        <v>10</v>
      </c>
      <c r="D7" s="10">
        <v>291.75</v>
      </c>
      <c r="E7" s="10"/>
      <c r="F7" s="9" t="str">
        <f>IF(Tablo145678910111213141516171819202122232425262728293031323334353637383940414243444546[[#This Row],[SATIŞ]]=0,"Açık",(E7-D7)*C7)</f>
        <v>Açık</v>
      </c>
      <c r="G7" s="11">
        <f>Tablo145678910111213141516171819202122232425262728293031323334353637383940414243444546[[#This Row],[ADET]]*Tablo145678910111213141516171819202122232425262728293031323334353637383940414243444546[[#This Row],[ALIŞ]]</f>
        <v>2917.5</v>
      </c>
      <c r="H7" s="11">
        <f>Tablo145678910111213141516171819202122232425262728293031323334353637383940414243444546[[#This Row],[ADET]]*Tablo145678910111213141516171819202122232425262728293031323334353637383940414243444546[[#This Row],[SATIŞ]]</f>
        <v>0</v>
      </c>
      <c r="J7" s="40">
        <f t="shared" si="0"/>
        <v>306.33750000000003</v>
      </c>
    </row>
    <row r="8" spans="2:18" ht="21" customHeight="1" x14ac:dyDescent="0.3">
      <c r="B8" s="2">
        <v>45328</v>
      </c>
      <c r="C8" s="6">
        <v>80</v>
      </c>
      <c r="D8" s="10">
        <v>290.75</v>
      </c>
      <c r="E8" s="10"/>
      <c r="F8" s="9" t="str">
        <f>IF(Tablo145678910111213141516171819202122232425262728293031323334353637383940414243444546[[#This Row],[SATIŞ]]=0,"Açık",(E8-D8)*C8)</f>
        <v>Açık</v>
      </c>
      <c r="G8" s="11">
        <f>Tablo145678910111213141516171819202122232425262728293031323334353637383940414243444546[[#This Row],[ADET]]*Tablo145678910111213141516171819202122232425262728293031323334353637383940414243444546[[#This Row],[ALIŞ]]</f>
        <v>23260</v>
      </c>
      <c r="H8" s="11">
        <f>Tablo145678910111213141516171819202122232425262728293031323334353637383940414243444546[[#This Row],[ADET]]*Tablo145678910111213141516171819202122232425262728293031323334353637383940414243444546[[#This Row],[SATIŞ]]</f>
        <v>0</v>
      </c>
      <c r="J8" s="40">
        <f t="shared" si="0"/>
        <v>305.28750000000002</v>
      </c>
    </row>
    <row r="9" spans="2:18" ht="21" hidden="1" customHeight="1" x14ac:dyDescent="0.3">
      <c r="B9" s="2">
        <v>45329</v>
      </c>
      <c r="C9" s="6">
        <v>5</v>
      </c>
      <c r="D9" s="10">
        <v>290</v>
      </c>
      <c r="E9" s="10">
        <v>292</v>
      </c>
      <c r="F9" s="9">
        <f>IF(Tablo145678910111213141516171819202122232425262728293031323334353637383940414243444546[[#This Row],[SATIŞ]]=0,"Açık",(E9-D9)*C9)</f>
        <v>10</v>
      </c>
      <c r="G9" s="11">
        <f>Tablo145678910111213141516171819202122232425262728293031323334353637383940414243444546[[#This Row],[ADET]]*Tablo145678910111213141516171819202122232425262728293031323334353637383940414243444546[[#This Row],[ALIŞ]]</f>
        <v>1450</v>
      </c>
      <c r="H9" s="11">
        <f>Tablo145678910111213141516171819202122232425262728293031323334353637383940414243444546[[#This Row],[ADET]]*Tablo145678910111213141516171819202122232425262728293031323334353637383940414243444546[[#This Row],[SATIŞ]]</f>
        <v>1460</v>
      </c>
      <c r="J9" s="40" t="str">
        <f t="shared" si="0"/>
        <v/>
      </c>
    </row>
    <row r="10" spans="2:18" ht="21" hidden="1" customHeight="1" x14ac:dyDescent="0.3">
      <c r="B10" s="2">
        <v>45329</v>
      </c>
      <c r="C10" s="6">
        <v>10</v>
      </c>
      <c r="D10" s="10">
        <v>289</v>
      </c>
      <c r="E10" s="10">
        <v>290</v>
      </c>
      <c r="F10" s="9">
        <f>IF(Tablo145678910111213141516171819202122232425262728293031323334353637383940414243444546[[#This Row],[SATIŞ]]=0,"Açık",(E10-D10)*C10)</f>
        <v>10</v>
      </c>
      <c r="G10" s="11">
        <f>Tablo145678910111213141516171819202122232425262728293031323334353637383940414243444546[[#This Row],[ADET]]*Tablo145678910111213141516171819202122232425262728293031323334353637383940414243444546[[#This Row],[ALIŞ]]</f>
        <v>2890</v>
      </c>
      <c r="H10" s="11">
        <f>Tablo145678910111213141516171819202122232425262728293031323334353637383940414243444546[[#This Row],[ADET]]*Tablo145678910111213141516171819202122232425262728293031323334353637383940414243444546[[#This Row],[SATIŞ]]</f>
        <v>2900</v>
      </c>
      <c r="J10" s="40" t="str">
        <f t="shared" si="0"/>
        <v/>
      </c>
    </row>
    <row r="11" spans="2:18" ht="21" customHeight="1" x14ac:dyDescent="0.3">
      <c r="B11" s="2">
        <v>45329</v>
      </c>
      <c r="C11" s="6">
        <v>10</v>
      </c>
      <c r="D11" s="10">
        <v>289</v>
      </c>
      <c r="E11" s="10"/>
      <c r="F11" s="9" t="str">
        <f>IF(Tablo145678910111213141516171819202122232425262728293031323334353637383940414243444546[[#This Row],[SATIŞ]]=0,"Açık",(E11-D11)*C11)</f>
        <v>Açık</v>
      </c>
      <c r="G11" s="11">
        <f>Tablo145678910111213141516171819202122232425262728293031323334353637383940414243444546[[#This Row],[ADET]]*Tablo145678910111213141516171819202122232425262728293031323334353637383940414243444546[[#This Row],[ALIŞ]]</f>
        <v>2890</v>
      </c>
      <c r="H11" s="11">
        <f>Tablo145678910111213141516171819202122232425262728293031323334353637383940414243444546[[#This Row],[ADET]]*Tablo145678910111213141516171819202122232425262728293031323334353637383940414243444546[[#This Row],[SATIŞ]]</f>
        <v>0</v>
      </c>
      <c r="J11" s="40">
        <f t="shared" si="0"/>
        <v>303.45</v>
      </c>
    </row>
    <row r="12" spans="2:18" ht="21" customHeight="1" x14ac:dyDescent="0.3">
      <c r="B12" s="2">
        <v>45334</v>
      </c>
      <c r="C12" s="6">
        <v>30</v>
      </c>
      <c r="D12" s="10">
        <v>290</v>
      </c>
      <c r="E12" s="10"/>
      <c r="F12" s="9" t="str">
        <f>IF(Tablo145678910111213141516171819202122232425262728293031323334353637383940414243444546[[#This Row],[SATIŞ]]=0,"Açık",(E12-D12)*C12)</f>
        <v>Açık</v>
      </c>
      <c r="G12" s="11">
        <f>Tablo145678910111213141516171819202122232425262728293031323334353637383940414243444546[[#This Row],[ADET]]*Tablo145678910111213141516171819202122232425262728293031323334353637383940414243444546[[#This Row],[ALIŞ]]</f>
        <v>8700</v>
      </c>
      <c r="H12" s="11">
        <f>Tablo145678910111213141516171819202122232425262728293031323334353637383940414243444546[[#This Row],[ADET]]*Tablo145678910111213141516171819202122232425262728293031323334353637383940414243444546[[#This Row],[SATIŞ]]</f>
        <v>0</v>
      </c>
      <c r="J12" s="40">
        <f t="shared" si="0"/>
        <v>304.5</v>
      </c>
    </row>
    <row r="13" spans="2:18" ht="21" customHeight="1" x14ac:dyDescent="0.3">
      <c r="B13" s="2">
        <v>45334</v>
      </c>
      <c r="C13" s="6">
        <v>10</v>
      </c>
      <c r="D13" s="10">
        <v>290</v>
      </c>
      <c r="E13" s="10"/>
      <c r="F13" s="9" t="str">
        <f>IF(Tablo145678910111213141516171819202122232425262728293031323334353637383940414243444546[[#This Row],[SATIŞ]]=0,"Açık",(E13-D13)*C13)</f>
        <v>Açık</v>
      </c>
      <c r="G13" s="11">
        <f>Tablo145678910111213141516171819202122232425262728293031323334353637383940414243444546[[#This Row],[ADET]]*Tablo145678910111213141516171819202122232425262728293031323334353637383940414243444546[[#This Row],[ALIŞ]]</f>
        <v>2900</v>
      </c>
      <c r="H13" s="11">
        <f>Tablo145678910111213141516171819202122232425262728293031323334353637383940414243444546[[#This Row],[ADET]]*Tablo145678910111213141516171819202122232425262728293031323334353637383940414243444546[[#This Row],[SATIŞ]]</f>
        <v>0</v>
      </c>
      <c r="J13" s="40">
        <f t="shared" si="0"/>
        <v>304.5</v>
      </c>
    </row>
    <row r="14" spans="2:18" ht="21" customHeight="1" x14ac:dyDescent="0.3">
      <c r="B14" s="2">
        <v>45335</v>
      </c>
      <c r="C14" s="6">
        <v>25</v>
      </c>
      <c r="D14" s="10">
        <v>288</v>
      </c>
      <c r="E14" s="10"/>
      <c r="F14" s="9" t="str">
        <f>IF(Tablo145678910111213141516171819202122232425262728293031323334353637383940414243444546[[#This Row],[SATIŞ]]=0,"Açık",(E14-D14)*C14)</f>
        <v>Açık</v>
      </c>
      <c r="G14" s="11">
        <f>Tablo145678910111213141516171819202122232425262728293031323334353637383940414243444546[[#This Row],[ADET]]*Tablo145678910111213141516171819202122232425262728293031323334353637383940414243444546[[#This Row],[ALIŞ]]</f>
        <v>7200</v>
      </c>
      <c r="H14" s="11">
        <f>Tablo145678910111213141516171819202122232425262728293031323334353637383940414243444546[[#This Row],[ADET]]*Tablo145678910111213141516171819202122232425262728293031323334353637383940414243444546[[#This Row],[SATIŞ]]</f>
        <v>0</v>
      </c>
      <c r="J14" s="40">
        <f t="shared" si="0"/>
        <v>302.40000000000003</v>
      </c>
    </row>
    <row r="15" spans="2:18" ht="21" hidden="1" customHeight="1" x14ac:dyDescent="0.3">
      <c r="B15" s="2">
        <v>45335</v>
      </c>
      <c r="C15" s="6">
        <v>15</v>
      </c>
      <c r="D15" s="10">
        <v>288</v>
      </c>
      <c r="E15" s="10">
        <v>288</v>
      </c>
      <c r="F15" s="9">
        <f>IF(Tablo145678910111213141516171819202122232425262728293031323334353637383940414243444546[[#This Row],[SATIŞ]]=0,"Açık",(E15-D15)*C15)</f>
        <v>0</v>
      </c>
      <c r="G15" s="11">
        <f>Tablo145678910111213141516171819202122232425262728293031323334353637383940414243444546[[#This Row],[ADET]]*Tablo145678910111213141516171819202122232425262728293031323334353637383940414243444546[[#This Row],[ALIŞ]]</f>
        <v>4320</v>
      </c>
      <c r="H15" s="11">
        <f>Tablo145678910111213141516171819202122232425262728293031323334353637383940414243444546[[#This Row],[ADET]]*Tablo145678910111213141516171819202122232425262728293031323334353637383940414243444546[[#This Row],[SATIŞ]]</f>
        <v>4320</v>
      </c>
      <c r="J15" s="40" t="str">
        <f t="shared" si="0"/>
        <v/>
      </c>
    </row>
    <row r="16" spans="2:18" ht="21" hidden="1" customHeight="1" x14ac:dyDescent="0.3">
      <c r="B16" s="2">
        <v>45336</v>
      </c>
      <c r="C16" s="6">
        <v>10</v>
      </c>
      <c r="D16" s="10">
        <v>282.5</v>
      </c>
      <c r="E16" s="10">
        <v>284</v>
      </c>
      <c r="F16" s="9">
        <f>IF(Tablo145678910111213141516171819202122232425262728293031323334353637383940414243444546[[#This Row],[SATIŞ]]=0,"Açık",(E16-D16)*C16)</f>
        <v>15</v>
      </c>
      <c r="G16" s="11">
        <f>Tablo145678910111213141516171819202122232425262728293031323334353637383940414243444546[[#This Row],[ADET]]*Tablo145678910111213141516171819202122232425262728293031323334353637383940414243444546[[#This Row],[ALIŞ]]</f>
        <v>2825</v>
      </c>
      <c r="H16" s="11">
        <f>Tablo145678910111213141516171819202122232425262728293031323334353637383940414243444546[[#This Row],[ADET]]*Tablo145678910111213141516171819202122232425262728293031323334353637383940414243444546[[#This Row],[SATIŞ]]</f>
        <v>2840</v>
      </c>
      <c r="J16" s="40" t="str">
        <f t="shared" si="0"/>
        <v/>
      </c>
    </row>
    <row r="17" spans="2:10" ht="21" hidden="1" customHeight="1" x14ac:dyDescent="0.3">
      <c r="B17" s="2">
        <v>45336</v>
      </c>
      <c r="C17" s="6">
        <v>20</v>
      </c>
      <c r="D17" s="10">
        <v>282.5</v>
      </c>
      <c r="E17" s="10">
        <v>287</v>
      </c>
      <c r="F17" s="9">
        <f>IF(Tablo145678910111213141516171819202122232425262728293031323334353637383940414243444546[[#This Row],[SATIŞ]]=0,"Açık",(E17-D17)*C17)</f>
        <v>90</v>
      </c>
      <c r="G17" s="11">
        <f>Tablo145678910111213141516171819202122232425262728293031323334353637383940414243444546[[#This Row],[ADET]]*Tablo145678910111213141516171819202122232425262728293031323334353637383940414243444546[[#This Row],[ALIŞ]]</f>
        <v>5650</v>
      </c>
      <c r="H17" s="11">
        <f>Tablo145678910111213141516171819202122232425262728293031323334353637383940414243444546[[#This Row],[ADET]]*Tablo145678910111213141516171819202122232425262728293031323334353637383940414243444546[[#This Row],[SATIŞ]]</f>
        <v>5740</v>
      </c>
      <c r="J17" s="40" t="str">
        <f t="shared" si="0"/>
        <v/>
      </c>
    </row>
    <row r="18" spans="2:10" ht="21" hidden="1" customHeight="1" x14ac:dyDescent="0.3">
      <c r="B18" s="2">
        <v>45336</v>
      </c>
      <c r="C18" s="6">
        <v>20</v>
      </c>
      <c r="D18" s="10">
        <v>282.5</v>
      </c>
      <c r="E18" s="10">
        <v>286</v>
      </c>
      <c r="F18" s="9">
        <f>IF(Tablo145678910111213141516171819202122232425262728293031323334353637383940414243444546[[#This Row],[SATIŞ]]=0,"Açık",(E18-D18)*C18)</f>
        <v>70</v>
      </c>
      <c r="G18" s="11">
        <f>Tablo145678910111213141516171819202122232425262728293031323334353637383940414243444546[[#This Row],[ADET]]*Tablo145678910111213141516171819202122232425262728293031323334353637383940414243444546[[#This Row],[ALIŞ]]</f>
        <v>5650</v>
      </c>
      <c r="H18" s="11">
        <f>Tablo145678910111213141516171819202122232425262728293031323334353637383940414243444546[[#This Row],[ADET]]*Tablo145678910111213141516171819202122232425262728293031323334353637383940414243444546[[#This Row],[SATIŞ]]</f>
        <v>5720</v>
      </c>
      <c r="J18" s="40" t="str">
        <f t="shared" si="0"/>
        <v/>
      </c>
    </row>
    <row r="19" spans="2:10" ht="21" hidden="1" customHeight="1" x14ac:dyDescent="0.3">
      <c r="B19" s="2">
        <v>45336</v>
      </c>
      <c r="C19" s="6">
        <v>10</v>
      </c>
      <c r="D19" s="10">
        <v>280</v>
      </c>
      <c r="E19" s="10">
        <v>285</v>
      </c>
      <c r="F19" s="9">
        <f>IF(Tablo145678910111213141516171819202122232425262728293031323334353637383940414243444546[[#This Row],[SATIŞ]]=0,"Açık",(E19-D19)*C19)</f>
        <v>50</v>
      </c>
      <c r="G19" s="11">
        <f>Tablo145678910111213141516171819202122232425262728293031323334353637383940414243444546[[#This Row],[ADET]]*Tablo145678910111213141516171819202122232425262728293031323334353637383940414243444546[[#This Row],[ALIŞ]]</f>
        <v>2800</v>
      </c>
      <c r="H19" s="11">
        <f>Tablo145678910111213141516171819202122232425262728293031323334353637383940414243444546[[#This Row],[ADET]]*Tablo145678910111213141516171819202122232425262728293031323334353637383940414243444546[[#This Row],[SATIŞ]]</f>
        <v>2850</v>
      </c>
      <c r="J19" s="40" t="str">
        <f t="shared" si="0"/>
        <v/>
      </c>
    </row>
    <row r="20" spans="2:10" ht="21" hidden="1" customHeight="1" x14ac:dyDescent="0.3">
      <c r="B20" s="2">
        <v>45336</v>
      </c>
      <c r="C20" s="6">
        <v>10</v>
      </c>
      <c r="D20" s="10">
        <v>280</v>
      </c>
      <c r="E20" s="10">
        <v>284</v>
      </c>
      <c r="F20" s="9">
        <f>IF(Tablo145678910111213141516171819202122232425262728293031323334353637383940414243444546[[#This Row],[SATIŞ]]=0,"Açık",(E20-D20)*C20)</f>
        <v>40</v>
      </c>
      <c r="G20" s="11">
        <f>Tablo145678910111213141516171819202122232425262728293031323334353637383940414243444546[[#This Row],[ADET]]*Tablo145678910111213141516171819202122232425262728293031323334353637383940414243444546[[#This Row],[ALIŞ]]</f>
        <v>2800</v>
      </c>
      <c r="H20" s="11">
        <f>Tablo145678910111213141516171819202122232425262728293031323334353637383940414243444546[[#This Row],[ADET]]*Tablo145678910111213141516171819202122232425262728293031323334353637383940414243444546[[#This Row],[SATIŞ]]</f>
        <v>2840</v>
      </c>
      <c r="J20" s="40" t="str">
        <f t="shared" si="0"/>
        <v/>
      </c>
    </row>
    <row r="21" spans="2:10" ht="21" hidden="1" customHeight="1" x14ac:dyDescent="0.3">
      <c r="B21" s="2">
        <v>45336</v>
      </c>
      <c r="C21" s="6">
        <v>10</v>
      </c>
      <c r="D21" s="10">
        <v>280</v>
      </c>
      <c r="E21" s="10">
        <v>284</v>
      </c>
      <c r="F21" s="9">
        <f>IF(Tablo145678910111213141516171819202122232425262728293031323334353637383940414243444546[[#This Row],[SATIŞ]]=0,"Açık",(E21-D21)*C21)</f>
        <v>40</v>
      </c>
      <c r="G21" s="11">
        <f>Tablo145678910111213141516171819202122232425262728293031323334353637383940414243444546[[#This Row],[ADET]]*Tablo145678910111213141516171819202122232425262728293031323334353637383940414243444546[[#This Row],[ALIŞ]]</f>
        <v>2800</v>
      </c>
      <c r="H21" s="11">
        <f>Tablo145678910111213141516171819202122232425262728293031323334353637383940414243444546[[#This Row],[ADET]]*Tablo145678910111213141516171819202122232425262728293031323334353637383940414243444546[[#This Row],[SATIŞ]]</f>
        <v>2840</v>
      </c>
      <c r="J21" s="40" t="str">
        <f t="shared" si="0"/>
        <v/>
      </c>
    </row>
    <row r="22" spans="2:10" ht="21" hidden="1" customHeight="1" x14ac:dyDescent="0.3">
      <c r="B22" s="2">
        <v>45336</v>
      </c>
      <c r="C22" s="6">
        <v>10</v>
      </c>
      <c r="D22" s="10">
        <v>280</v>
      </c>
      <c r="E22" s="10">
        <v>283</v>
      </c>
      <c r="F22" s="9">
        <f>IF(Tablo145678910111213141516171819202122232425262728293031323334353637383940414243444546[[#This Row],[SATIŞ]]=0,"Açık",(E22-D22)*C22)</f>
        <v>30</v>
      </c>
      <c r="G22" s="11">
        <f>Tablo145678910111213141516171819202122232425262728293031323334353637383940414243444546[[#This Row],[ADET]]*Tablo145678910111213141516171819202122232425262728293031323334353637383940414243444546[[#This Row],[ALIŞ]]</f>
        <v>2800</v>
      </c>
      <c r="H22" s="11">
        <f>Tablo145678910111213141516171819202122232425262728293031323334353637383940414243444546[[#This Row],[ADET]]*Tablo145678910111213141516171819202122232425262728293031323334353637383940414243444546[[#This Row],[SATIŞ]]</f>
        <v>2830</v>
      </c>
      <c r="J22" s="40" t="str">
        <f t="shared" si="0"/>
        <v/>
      </c>
    </row>
    <row r="23" spans="2:10" ht="21" hidden="1" customHeight="1" x14ac:dyDescent="0.3">
      <c r="B23" s="2">
        <v>45336</v>
      </c>
      <c r="C23" s="6">
        <v>10</v>
      </c>
      <c r="D23" s="10">
        <v>280</v>
      </c>
      <c r="E23" s="10">
        <v>282</v>
      </c>
      <c r="F23" s="9">
        <f>IF(Tablo145678910111213141516171819202122232425262728293031323334353637383940414243444546[[#This Row],[SATIŞ]]=0,"Açık",(E23-D23)*C23)</f>
        <v>20</v>
      </c>
      <c r="G23" s="11">
        <f>Tablo145678910111213141516171819202122232425262728293031323334353637383940414243444546[[#This Row],[ADET]]*Tablo145678910111213141516171819202122232425262728293031323334353637383940414243444546[[#This Row],[ALIŞ]]</f>
        <v>2800</v>
      </c>
      <c r="H23" s="11">
        <f>Tablo145678910111213141516171819202122232425262728293031323334353637383940414243444546[[#This Row],[ADET]]*Tablo145678910111213141516171819202122232425262728293031323334353637383940414243444546[[#This Row],[SATIŞ]]</f>
        <v>2820</v>
      </c>
      <c r="J23" s="40" t="str">
        <f t="shared" si="0"/>
        <v/>
      </c>
    </row>
    <row r="24" spans="2:10" ht="21" hidden="1" customHeight="1" x14ac:dyDescent="0.3">
      <c r="B24" s="2">
        <v>45336</v>
      </c>
      <c r="C24" s="6">
        <v>10</v>
      </c>
      <c r="D24" s="10">
        <v>278</v>
      </c>
      <c r="E24" s="10">
        <v>281</v>
      </c>
      <c r="F24" s="9">
        <f>IF(Tablo145678910111213141516171819202122232425262728293031323334353637383940414243444546[[#This Row],[SATIŞ]]=0,"Açık",(E24-D24)*C24)</f>
        <v>30</v>
      </c>
      <c r="G24" s="11">
        <f>Tablo145678910111213141516171819202122232425262728293031323334353637383940414243444546[[#This Row],[ADET]]*Tablo145678910111213141516171819202122232425262728293031323334353637383940414243444546[[#This Row],[ALIŞ]]</f>
        <v>2780</v>
      </c>
      <c r="H24" s="11">
        <f>Tablo145678910111213141516171819202122232425262728293031323334353637383940414243444546[[#This Row],[ADET]]*Tablo145678910111213141516171819202122232425262728293031323334353637383940414243444546[[#This Row],[SATIŞ]]</f>
        <v>2810</v>
      </c>
      <c r="J24" s="40" t="str">
        <f t="shared" si="0"/>
        <v/>
      </c>
    </row>
    <row r="25" spans="2:10" ht="21" hidden="1" customHeight="1" x14ac:dyDescent="0.3">
      <c r="B25" s="2">
        <v>45336</v>
      </c>
      <c r="C25" s="6">
        <v>10</v>
      </c>
      <c r="D25" s="10">
        <v>278</v>
      </c>
      <c r="E25" s="10">
        <v>281</v>
      </c>
      <c r="F25" s="9">
        <f>IF(Tablo145678910111213141516171819202122232425262728293031323334353637383940414243444546[[#This Row],[SATIŞ]]=0,"Açık",(E25-D25)*C25)</f>
        <v>30</v>
      </c>
      <c r="G25" s="11">
        <f>Tablo145678910111213141516171819202122232425262728293031323334353637383940414243444546[[#This Row],[ADET]]*Tablo145678910111213141516171819202122232425262728293031323334353637383940414243444546[[#This Row],[ALIŞ]]</f>
        <v>2780</v>
      </c>
      <c r="H25" s="11">
        <f>Tablo145678910111213141516171819202122232425262728293031323334353637383940414243444546[[#This Row],[ADET]]*Tablo145678910111213141516171819202122232425262728293031323334353637383940414243444546[[#This Row],[SATIŞ]]</f>
        <v>2810</v>
      </c>
      <c r="J25" s="40" t="str">
        <f t="shared" si="0"/>
        <v/>
      </c>
    </row>
    <row r="26" spans="2:10" ht="21" hidden="1" customHeight="1" x14ac:dyDescent="0.3">
      <c r="B26" s="2">
        <v>45336</v>
      </c>
      <c r="C26" s="6">
        <v>5</v>
      </c>
      <c r="D26" s="10">
        <v>278</v>
      </c>
      <c r="E26" s="10">
        <v>280</v>
      </c>
      <c r="F26" s="9">
        <f>IF(Tablo145678910111213141516171819202122232425262728293031323334353637383940414243444546[[#This Row],[SATIŞ]]=0,"Açık",(E26-D26)*C26)</f>
        <v>10</v>
      </c>
      <c r="G26" s="11">
        <f>Tablo145678910111213141516171819202122232425262728293031323334353637383940414243444546[[#This Row],[ADET]]*Tablo145678910111213141516171819202122232425262728293031323334353637383940414243444546[[#This Row],[ALIŞ]]</f>
        <v>1390</v>
      </c>
      <c r="H26" s="11">
        <f>Tablo145678910111213141516171819202122232425262728293031323334353637383940414243444546[[#This Row],[ADET]]*Tablo145678910111213141516171819202122232425262728293031323334353637383940414243444546[[#This Row],[SATIŞ]]</f>
        <v>1400</v>
      </c>
      <c r="J26" s="40" t="str">
        <f t="shared" si="0"/>
        <v/>
      </c>
    </row>
    <row r="27" spans="2:10" ht="21" hidden="1" customHeight="1" x14ac:dyDescent="0.3">
      <c r="B27" s="2">
        <v>45336</v>
      </c>
      <c r="C27" s="6">
        <v>5</v>
      </c>
      <c r="D27" s="10">
        <v>278</v>
      </c>
      <c r="E27" s="10">
        <v>279</v>
      </c>
      <c r="F27" s="9">
        <f>IF(Tablo145678910111213141516171819202122232425262728293031323334353637383940414243444546[[#This Row],[SATIŞ]]=0,"Açık",(E27-D27)*C27)</f>
        <v>5</v>
      </c>
      <c r="G27" s="11">
        <f>Tablo145678910111213141516171819202122232425262728293031323334353637383940414243444546[[#This Row],[ADET]]*Tablo145678910111213141516171819202122232425262728293031323334353637383940414243444546[[#This Row],[ALIŞ]]</f>
        <v>1390</v>
      </c>
      <c r="H27" s="11">
        <f>Tablo145678910111213141516171819202122232425262728293031323334353637383940414243444546[[#This Row],[ADET]]*Tablo145678910111213141516171819202122232425262728293031323334353637383940414243444546[[#This Row],[SATIŞ]]</f>
        <v>1395</v>
      </c>
      <c r="J27" s="40" t="str">
        <f t="shared" si="0"/>
        <v/>
      </c>
    </row>
    <row r="28" spans="2:10" ht="21" hidden="1" customHeight="1" x14ac:dyDescent="0.3">
      <c r="B28" s="2">
        <v>45336</v>
      </c>
      <c r="C28" s="6">
        <v>5</v>
      </c>
      <c r="D28" s="10">
        <v>277.5</v>
      </c>
      <c r="E28" s="10">
        <v>278</v>
      </c>
      <c r="F28" s="9">
        <f>IF(Tablo145678910111213141516171819202122232425262728293031323334353637383940414243444546[[#This Row],[SATIŞ]]=0,"Açık",(E28-D28)*C28)</f>
        <v>2.5</v>
      </c>
      <c r="G28" s="11">
        <f>Tablo145678910111213141516171819202122232425262728293031323334353637383940414243444546[[#This Row],[ADET]]*Tablo145678910111213141516171819202122232425262728293031323334353637383940414243444546[[#This Row],[ALIŞ]]</f>
        <v>1387.5</v>
      </c>
      <c r="H28" s="11">
        <f>Tablo145678910111213141516171819202122232425262728293031323334353637383940414243444546[[#This Row],[ADET]]*Tablo145678910111213141516171819202122232425262728293031323334353637383940414243444546[[#This Row],[SATIŞ]]</f>
        <v>1390</v>
      </c>
      <c r="J28" s="40" t="str">
        <f t="shared" si="0"/>
        <v/>
      </c>
    </row>
    <row r="29" spans="2:10" ht="21" hidden="1" customHeight="1" x14ac:dyDescent="0.3">
      <c r="B29" s="2">
        <v>45336</v>
      </c>
      <c r="C29" s="6">
        <v>5</v>
      </c>
      <c r="D29" s="10">
        <v>277.5</v>
      </c>
      <c r="E29" s="10">
        <v>278.5</v>
      </c>
      <c r="F29" s="9">
        <f>IF(Tablo145678910111213141516171819202122232425262728293031323334353637383940414243444546[[#This Row],[SATIŞ]]=0,"Açık",(E29-D29)*C29)</f>
        <v>5</v>
      </c>
      <c r="G29" s="11">
        <f>Tablo145678910111213141516171819202122232425262728293031323334353637383940414243444546[[#This Row],[ADET]]*Tablo145678910111213141516171819202122232425262728293031323334353637383940414243444546[[#This Row],[ALIŞ]]</f>
        <v>1387.5</v>
      </c>
      <c r="H29" s="11">
        <f>Tablo145678910111213141516171819202122232425262728293031323334353637383940414243444546[[#This Row],[ADET]]*Tablo145678910111213141516171819202122232425262728293031323334353637383940414243444546[[#This Row],[SATIŞ]]</f>
        <v>1392.5</v>
      </c>
      <c r="J29" s="40" t="str">
        <f t="shared" si="0"/>
        <v/>
      </c>
    </row>
    <row r="30" spans="2:10" ht="21" hidden="1" customHeight="1" x14ac:dyDescent="0.3">
      <c r="B30" s="2">
        <v>45336</v>
      </c>
      <c r="C30" s="6">
        <v>5</v>
      </c>
      <c r="D30" s="10">
        <v>282</v>
      </c>
      <c r="E30" s="10">
        <v>283.75</v>
      </c>
      <c r="F30" s="9">
        <f>IF(Tablo145678910111213141516171819202122232425262728293031323334353637383940414243444546[[#This Row],[SATIŞ]]=0,"Açık",(E30-D30)*C30)</f>
        <v>8.75</v>
      </c>
      <c r="G30" s="11">
        <f>Tablo145678910111213141516171819202122232425262728293031323334353637383940414243444546[[#This Row],[ADET]]*Tablo145678910111213141516171819202122232425262728293031323334353637383940414243444546[[#This Row],[ALIŞ]]</f>
        <v>1410</v>
      </c>
      <c r="H30" s="11">
        <f>Tablo145678910111213141516171819202122232425262728293031323334353637383940414243444546[[#This Row],[ADET]]*Tablo145678910111213141516171819202122232425262728293031323334353637383940414243444546[[#This Row],[SATIŞ]]</f>
        <v>1418.75</v>
      </c>
      <c r="J30" s="40" t="str">
        <f t="shared" si="0"/>
        <v/>
      </c>
    </row>
    <row r="31" spans="2:10" ht="21" hidden="1" customHeight="1" x14ac:dyDescent="0.3">
      <c r="B31" s="2">
        <v>45336</v>
      </c>
      <c r="C31" s="6">
        <v>5</v>
      </c>
      <c r="D31" s="10">
        <v>282</v>
      </c>
      <c r="E31" s="10">
        <v>288</v>
      </c>
      <c r="F31" s="9">
        <f>IF(Tablo145678910111213141516171819202122232425262728293031323334353637383940414243444546[[#This Row],[SATIŞ]]=0,"Açık",(E31-D31)*C31)</f>
        <v>30</v>
      </c>
      <c r="G31" s="11">
        <f>Tablo145678910111213141516171819202122232425262728293031323334353637383940414243444546[[#This Row],[ADET]]*Tablo145678910111213141516171819202122232425262728293031323334353637383940414243444546[[#This Row],[ALIŞ]]</f>
        <v>1410</v>
      </c>
      <c r="H31" s="11">
        <f>Tablo145678910111213141516171819202122232425262728293031323334353637383940414243444546[[#This Row],[ADET]]*Tablo145678910111213141516171819202122232425262728293031323334353637383940414243444546[[#This Row],[SATIŞ]]</f>
        <v>1440</v>
      </c>
      <c r="J31" s="40" t="str">
        <f t="shared" si="0"/>
        <v/>
      </c>
    </row>
    <row r="32" spans="2:10" ht="21" hidden="1" customHeight="1" x14ac:dyDescent="0.3">
      <c r="B32" s="2">
        <v>45337</v>
      </c>
      <c r="C32" s="6">
        <v>20</v>
      </c>
      <c r="D32" s="10">
        <v>285</v>
      </c>
      <c r="E32" s="10">
        <v>287</v>
      </c>
      <c r="F32" s="9">
        <f>IF(Tablo145678910111213141516171819202122232425262728293031323334353637383940414243444546[[#This Row],[SATIŞ]]=0,"Açık",(E32-D32)*C32)</f>
        <v>40</v>
      </c>
      <c r="G32" s="11">
        <f>Tablo145678910111213141516171819202122232425262728293031323334353637383940414243444546[[#This Row],[ADET]]*Tablo145678910111213141516171819202122232425262728293031323334353637383940414243444546[[#This Row],[ALIŞ]]</f>
        <v>5700</v>
      </c>
      <c r="H32" s="11">
        <f>Tablo145678910111213141516171819202122232425262728293031323334353637383940414243444546[[#This Row],[ADET]]*Tablo145678910111213141516171819202122232425262728293031323334353637383940414243444546[[#This Row],[SATIŞ]]</f>
        <v>5740</v>
      </c>
      <c r="J32" s="40" t="str">
        <f t="shared" si="0"/>
        <v/>
      </c>
    </row>
    <row r="33" spans="2:10" ht="21" hidden="1" customHeight="1" x14ac:dyDescent="0.3">
      <c r="B33" s="2">
        <v>45337</v>
      </c>
      <c r="C33" s="6">
        <v>10</v>
      </c>
      <c r="D33" s="10">
        <v>286</v>
      </c>
      <c r="E33" s="10">
        <v>287</v>
      </c>
      <c r="F33" s="9">
        <f>IF(Tablo145678910111213141516171819202122232425262728293031323334353637383940414243444546[[#This Row],[SATIŞ]]=0,"Açık",(E33-D33)*C33)</f>
        <v>10</v>
      </c>
      <c r="G33" s="11">
        <f>Tablo145678910111213141516171819202122232425262728293031323334353637383940414243444546[[#This Row],[ADET]]*Tablo145678910111213141516171819202122232425262728293031323334353637383940414243444546[[#This Row],[ALIŞ]]</f>
        <v>2860</v>
      </c>
      <c r="H33" s="11">
        <f>Tablo145678910111213141516171819202122232425262728293031323334353637383940414243444546[[#This Row],[ADET]]*Tablo145678910111213141516171819202122232425262728293031323334353637383940414243444546[[#This Row],[SATIŞ]]</f>
        <v>2870</v>
      </c>
      <c r="J33" s="40" t="str">
        <f t="shared" si="0"/>
        <v/>
      </c>
    </row>
    <row r="34" spans="2:10" ht="21" customHeight="1" x14ac:dyDescent="0.3">
      <c r="B34" s="2">
        <v>45337</v>
      </c>
      <c r="C34" s="6">
        <v>5</v>
      </c>
      <c r="D34" s="10">
        <v>286</v>
      </c>
      <c r="E34" s="10"/>
      <c r="F34" s="9" t="str">
        <f>IF(Tablo145678910111213141516171819202122232425262728293031323334353637383940414243444546[[#This Row],[SATIŞ]]=0,"Açık",(E34-D34)*C34)</f>
        <v>Açık</v>
      </c>
      <c r="G34" s="11">
        <f>Tablo145678910111213141516171819202122232425262728293031323334353637383940414243444546[[#This Row],[ADET]]*Tablo145678910111213141516171819202122232425262728293031323334353637383940414243444546[[#This Row],[ALIŞ]]</f>
        <v>1430</v>
      </c>
      <c r="H34" s="11">
        <f>Tablo145678910111213141516171819202122232425262728293031323334353637383940414243444546[[#This Row],[ADET]]*Tablo145678910111213141516171819202122232425262728293031323334353637383940414243444546[[#This Row],[SATIŞ]]</f>
        <v>0</v>
      </c>
      <c r="J34" s="40">
        <f t="shared" si="0"/>
        <v>300.3</v>
      </c>
    </row>
    <row r="35" spans="2:10" ht="21" hidden="1" customHeight="1" x14ac:dyDescent="0.3">
      <c r="B35" s="2">
        <v>45337</v>
      </c>
      <c r="C35" s="6">
        <v>10</v>
      </c>
      <c r="D35" s="10">
        <v>285</v>
      </c>
      <c r="E35" s="10">
        <v>286</v>
      </c>
      <c r="F35" s="9">
        <f>IF(Tablo145678910111213141516171819202122232425262728293031323334353637383940414243444546[[#This Row],[SATIŞ]]=0,"Açık",(E35-D35)*C35)</f>
        <v>10</v>
      </c>
      <c r="G35" s="11">
        <f>Tablo145678910111213141516171819202122232425262728293031323334353637383940414243444546[[#This Row],[ADET]]*Tablo145678910111213141516171819202122232425262728293031323334353637383940414243444546[[#This Row],[ALIŞ]]</f>
        <v>2850</v>
      </c>
      <c r="H35" s="11">
        <f>Tablo145678910111213141516171819202122232425262728293031323334353637383940414243444546[[#This Row],[ADET]]*Tablo145678910111213141516171819202122232425262728293031323334353637383940414243444546[[#This Row],[SATIŞ]]</f>
        <v>2860</v>
      </c>
      <c r="J35" s="40" t="str">
        <f t="shared" si="0"/>
        <v/>
      </c>
    </row>
    <row r="36" spans="2:10" ht="21" hidden="1" customHeight="1" x14ac:dyDescent="0.3">
      <c r="B36" s="2">
        <v>45337</v>
      </c>
      <c r="C36" s="6">
        <v>10</v>
      </c>
      <c r="D36" s="10">
        <v>285</v>
      </c>
      <c r="E36" s="10">
        <v>286</v>
      </c>
      <c r="F36" s="9">
        <f>IF(Tablo145678910111213141516171819202122232425262728293031323334353637383940414243444546[[#This Row],[SATIŞ]]=0,"Açık",(E36-D36)*C36)</f>
        <v>10</v>
      </c>
      <c r="G36" s="11">
        <f>Tablo145678910111213141516171819202122232425262728293031323334353637383940414243444546[[#This Row],[ADET]]*Tablo145678910111213141516171819202122232425262728293031323334353637383940414243444546[[#This Row],[ALIŞ]]</f>
        <v>2850</v>
      </c>
      <c r="H36" s="11">
        <f>Tablo145678910111213141516171819202122232425262728293031323334353637383940414243444546[[#This Row],[ADET]]*Tablo145678910111213141516171819202122232425262728293031323334353637383940414243444546[[#This Row],[SATIŞ]]</f>
        <v>2860</v>
      </c>
      <c r="J36" s="40" t="str">
        <f t="shared" si="0"/>
        <v/>
      </c>
    </row>
    <row r="37" spans="2:10" ht="21" hidden="1" customHeight="1" x14ac:dyDescent="0.3">
      <c r="B37" s="2">
        <v>45341</v>
      </c>
      <c r="C37" s="6">
        <v>10</v>
      </c>
      <c r="D37" s="10">
        <v>283</v>
      </c>
      <c r="E37" s="10">
        <v>284</v>
      </c>
      <c r="F37" s="9">
        <f>IF(Tablo145678910111213141516171819202122232425262728293031323334353637383940414243444546[[#This Row],[SATIŞ]]=0,"Açık",(E37-D37)*C37)</f>
        <v>10</v>
      </c>
      <c r="G37" s="11">
        <f>Tablo145678910111213141516171819202122232425262728293031323334353637383940414243444546[[#This Row],[ADET]]*Tablo145678910111213141516171819202122232425262728293031323334353637383940414243444546[[#This Row],[ALIŞ]]</f>
        <v>2830</v>
      </c>
      <c r="H37" s="11">
        <f>Tablo145678910111213141516171819202122232425262728293031323334353637383940414243444546[[#This Row],[ADET]]*Tablo145678910111213141516171819202122232425262728293031323334353637383940414243444546[[#This Row],[SATIŞ]]</f>
        <v>2840</v>
      </c>
      <c r="J37" s="40" t="str">
        <f t="shared" si="0"/>
        <v/>
      </c>
    </row>
    <row r="38" spans="2:10" ht="21" hidden="1" customHeight="1" x14ac:dyDescent="0.3">
      <c r="B38" s="2">
        <v>45341</v>
      </c>
      <c r="C38" s="6">
        <v>10</v>
      </c>
      <c r="D38" s="10">
        <v>282</v>
      </c>
      <c r="E38" s="10">
        <v>283</v>
      </c>
      <c r="F38" s="9">
        <f>IF(Tablo145678910111213141516171819202122232425262728293031323334353637383940414243444546[[#This Row],[SATIŞ]]=0,"Açık",(E38-D38)*C38)</f>
        <v>10</v>
      </c>
      <c r="G38" s="11">
        <f>Tablo145678910111213141516171819202122232425262728293031323334353637383940414243444546[[#This Row],[ADET]]*Tablo145678910111213141516171819202122232425262728293031323334353637383940414243444546[[#This Row],[ALIŞ]]</f>
        <v>2820</v>
      </c>
      <c r="H38" s="11">
        <f>Tablo145678910111213141516171819202122232425262728293031323334353637383940414243444546[[#This Row],[ADET]]*Tablo145678910111213141516171819202122232425262728293031323334353637383940414243444546[[#This Row],[SATIŞ]]</f>
        <v>2830</v>
      </c>
      <c r="J38" s="40" t="str">
        <f t="shared" ref="J38:J69" si="1">IF(E38=0,D38*1.05,"")</f>
        <v/>
      </c>
    </row>
    <row r="39" spans="2:10" ht="21" hidden="1" customHeight="1" x14ac:dyDescent="0.3">
      <c r="B39" s="2">
        <v>45341</v>
      </c>
      <c r="C39" s="6">
        <v>10</v>
      </c>
      <c r="D39" s="10">
        <v>281</v>
      </c>
      <c r="E39" s="10">
        <v>284</v>
      </c>
      <c r="F39" s="9">
        <f>IF(Tablo145678910111213141516171819202122232425262728293031323334353637383940414243444546[[#This Row],[SATIŞ]]=0,"Açık",(E39-D39)*C39)</f>
        <v>30</v>
      </c>
      <c r="G39" s="11">
        <f>Tablo145678910111213141516171819202122232425262728293031323334353637383940414243444546[[#This Row],[ADET]]*Tablo145678910111213141516171819202122232425262728293031323334353637383940414243444546[[#This Row],[ALIŞ]]</f>
        <v>2810</v>
      </c>
      <c r="H39" s="11">
        <f>Tablo145678910111213141516171819202122232425262728293031323334353637383940414243444546[[#This Row],[ADET]]*Tablo145678910111213141516171819202122232425262728293031323334353637383940414243444546[[#This Row],[SATIŞ]]</f>
        <v>2840</v>
      </c>
      <c r="J39" s="40" t="str">
        <f t="shared" si="1"/>
        <v/>
      </c>
    </row>
    <row r="40" spans="2:10" ht="21" hidden="1" customHeight="1" x14ac:dyDescent="0.3">
      <c r="B40" s="2">
        <v>45341</v>
      </c>
      <c r="C40" s="6">
        <v>10</v>
      </c>
      <c r="D40" s="10">
        <v>280</v>
      </c>
      <c r="E40" s="10">
        <v>281</v>
      </c>
      <c r="F40" s="9">
        <f>IF(Tablo145678910111213141516171819202122232425262728293031323334353637383940414243444546[[#This Row],[SATIŞ]]=0,"Açık",(E40-D40)*C40)</f>
        <v>10</v>
      </c>
      <c r="G40" s="11">
        <f>Tablo145678910111213141516171819202122232425262728293031323334353637383940414243444546[[#This Row],[ADET]]*Tablo145678910111213141516171819202122232425262728293031323334353637383940414243444546[[#This Row],[ALIŞ]]</f>
        <v>2800</v>
      </c>
      <c r="H40" s="11">
        <f>Tablo145678910111213141516171819202122232425262728293031323334353637383940414243444546[[#This Row],[ADET]]*Tablo145678910111213141516171819202122232425262728293031323334353637383940414243444546[[#This Row],[SATIŞ]]</f>
        <v>2810</v>
      </c>
      <c r="J40" s="40" t="str">
        <f t="shared" si="1"/>
        <v/>
      </c>
    </row>
    <row r="41" spans="2:10" ht="21" hidden="1" customHeight="1" x14ac:dyDescent="0.3">
      <c r="B41" s="2">
        <v>45341</v>
      </c>
      <c r="C41" s="6">
        <v>10</v>
      </c>
      <c r="D41" s="10">
        <v>279</v>
      </c>
      <c r="E41" s="10">
        <v>282</v>
      </c>
      <c r="F41" s="9">
        <f>IF(Tablo145678910111213141516171819202122232425262728293031323334353637383940414243444546[[#This Row],[SATIŞ]]=0,"Açık",(E41-D41)*C41)</f>
        <v>30</v>
      </c>
      <c r="G41" s="11">
        <f>Tablo145678910111213141516171819202122232425262728293031323334353637383940414243444546[[#This Row],[ADET]]*Tablo145678910111213141516171819202122232425262728293031323334353637383940414243444546[[#This Row],[ALIŞ]]</f>
        <v>2790</v>
      </c>
      <c r="H41" s="11">
        <f>Tablo145678910111213141516171819202122232425262728293031323334353637383940414243444546[[#This Row],[ADET]]*Tablo145678910111213141516171819202122232425262728293031323334353637383940414243444546[[#This Row],[SATIŞ]]</f>
        <v>2820</v>
      </c>
      <c r="J41" s="40" t="str">
        <f t="shared" si="1"/>
        <v/>
      </c>
    </row>
    <row r="42" spans="2:10" ht="21" hidden="1" customHeight="1" x14ac:dyDescent="0.3">
      <c r="B42" s="2">
        <v>45341</v>
      </c>
      <c r="C42" s="6">
        <v>10</v>
      </c>
      <c r="D42" s="10">
        <v>278</v>
      </c>
      <c r="E42" s="10">
        <v>280</v>
      </c>
      <c r="F42" s="9">
        <f>IF(Tablo145678910111213141516171819202122232425262728293031323334353637383940414243444546[[#This Row],[SATIŞ]]=0,"Açık",(E42-D42)*C42)</f>
        <v>20</v>
      </c>
      <c r="G42" s="11">
        <f>Tablo145678910111213141516171819202122232425262728293031323334353637383940414243444546[[#This Row],[ADET]]*Tablo145678910111213141516171819202122232425262728293031323334353637383940414243444546[[#This Row],[ALIŞ]]</f>
        <v>2780</v>
      </c>
      <c r="H42" s="11">
        <f>Tablo145678910111213141516171819202122232425262728293031323334353637383940414243444546[[#This Row],[ADET]]*Tablo145678910111213141516171819202122232425262728293031323334353637383940414243444546[[#This Row],[SATIŞ]]</f>
        <v>2800</v>
      </c>
      <c r="J42" s="40" t="str">
        <f t="shared" si="1"/>
        <v/>
      </c>
    </row>
    <row r="43" spans="2:10" ht="21" hidden="1" customHeight="1" x14ac:dyDescent="0.3">
      <c r="B43" s="2">
        <v>45343</v>
      </c>
      <c r="C43" s="6">
        <v>10</v>
      </c>
      <c r="D43" s="10">
        <v>278</v>
      </c>
      <c r="E43" s="10">
        <v>282</v>
      </c>
      <c r="F43" s="9">
        <f>IF(Tablo145678910111213141516171819202122232425262728293031323334353637383940414243444546[[#This Row],[SATIŞ]]=0,"Açık",(E43-D43)*C43)</f>
        <v>40</v>
      </c>
      <c r="G43" s="11">
        <f>Tablo145678910111213141516171819202122232425262728293031323334353637383940414243444546[[#This Row],[ADET]]*Tablo145678910111213141516171819202122232425262728293031323334353637383940414243444546[[#This Row],[ALIŞ]]</f>
        <v>2780</v>
      </c>
      <c r="H43" s="11">
        <f>Tablo145678910111213141516171819202122232425262728293031323334353637383940414243444546[[#This Row],[ADET]]*Tablo145678910111213141516171819202122232425262728293031323334353637383940414243444546[[#This Row],[SATIŞ]]</f>
        <v>2820</v>
      </c>
      <c r="J43" s="40" t="str">
        <f t="shared" si="1"/>
        <v/>
      </c>
    </row>
    <row r="44" spans="2:10" ht="21" hidden="1" customHeight="1" x14ac:dyDescent="0.3">
      <c r="B44" s="2">
        <v>45348</v>
      </c>
      <c r="C44" s="6">
        <v>10</v>
      </c>
      <c r="D44" s="10">
        <v>285</v>
      </c>
      <c r="E44" s="10">
        <v>290</v>
      </c>
      <c r="F44" s="9">
        <f>IF(Tablo145678910111213141516171819202122232425262728293031323334353637383940414243444546[[#This Row],[SATIŞ]]=0,"Açık",(E44-D44)*C44)</f>
        <v>50</v>
      </c>
      <c r="G44" s="11">
        <f>Tablo145678910111213141516171819202122232425262728293031323334353637383940414243444546[[#This Row],[ADET]]*Tablo145678910111213141516171819202122232425262728293031323334353637383940414243444546[[#This Row],[ALIŞ]]</f>
        <v>2850</v>
      </c>
      <c r="H44" s="11">
        <f>Tablo145678910111213141516171819202122232425262728293031323334353637383940414243444546[[#This Row],[ADET]]*Tablo145678910111213141516171819202122232425262728293031323334353637383940414243444546[[#This Row],[SATIŞ]]</f>
        <v>2900</v>
      </c>
      <c r="J44" s="40" t="str">
        <f t="shared" si="1"/>
        <v/>
      </c>
    </row>
    <row r="45" spans="2:10" ht="21" hidden="1" customHeight="1" x14ac:dyDescent="0.3">
      <c r="B45" s="2">
        <v>45349</v>
      </c>
      <c r="C45" s="6">
        <v>10</v>
      </c>
      <c r="D45" s="10">
        <v>282</v>
      </c>
      <c r="E45" s="10">
        <v>287</v>
      </c>
      <c r="F45" s="9">
        <f>IF(Tablo145678910111213141516171819202122232425262728293031323334353637383940414243444546[[#This Row],[SATIŞ]]=0,"Açık",(E45-D45)*C45)</f>
        <v>50</v>
      </c>
      <c r="G45" s="11">
        <f>Tablo145678910111213141516171819202122232425262728293031323334353637383940414243444546[[#This Row],[ADET]]*Tablo145678910111213141516171819202122232425262728293031323334353637383940414243444546[[#This Row],[ALIŞ]]</f>
        <v>2820</v>
      </c>
      <c r="H45" s="11">
        <f>Tablo145678910111213141516171819202122232425262728293031323334353637383940414243444546[[#This Row],[ADET]]*Tablo145678910111213141516171819202122232425262728293031323334353637383940414243444546[[#This Row],[SATIŞ]]</f>
        <v>2870</v>
      </c>
      <c r="J45" s="40" t="str">
        <f t="shared" si="1"/>
        <v/>
      </c>
    </row>
    <row r="46" spans="2:10" ht="21" hidden="1" customHeight="1" x14ac:dyDescent="0.3">
      <c r="B46" s="2">
        <v>45349</v>
      </c>
      <c r="C46" s="6">
        <v>10</v>
      </c>
      <c r="D46" s="10">
        <v>280</v>
      </c>
      <c r="E46" s="10">
        <v>285</v>
      </c>
      <c r="F46" s="9">
        <f>IF(Tablo145678910111213141516171819202122232425262728293031323334353637383940414243444546[[#This Row],[SATIŞ]]=0,"Açık",(E46-D46)*C46)</f>
        <v>50</v>
      </c>
      <c r="G46" s="11">
        <f>Tablo145678910111213141516171819202122232425262728293031323334353637383940414243444546[[#This Row],[ADET]]*Tablo145678910111213141516171819202122232425262728293031323334353637383940414243444546[[#This Row],[ALIŞ]]</f>
        <v>2800</v>
      </c>
      <c r="H46" s="11">
        <f>Tablo145678910111213141516171819202122232425262728293031323334353637383940414243444546[[#This Row],[ADET]]*Tablo145678910111213141516171819202122232425262728293031323334353637383940414243444546[[#This Row],[SATIŞ]]</f>
        <v>2850</v>
      </c>
      <c r="J46" s="40" t="str">
        <f t="shared" si="1"/>
        <v/>
      </c>
    </row>
    <row r="47" spans="2:10" ht="21" hidden="1" customHeight="1" x14ac:dyDescent="0.3">
      <c r="B47" s="2">
        <v>45355</v>
      </c>
      <c r="C47" s="6">
        <v>10</v>
      </c>
      <c r="D47" s="10">
        <v>275</v>
      </c>
      <c r="E47" s="10">
        <v>280</v>
      </c>
      <c r="F47" s="9">
        <f>IF(Tablo145678910111213141516171819202122232425262728293031323334353637383940414243444546[[#This Row],[SATIŞ]]=0,"Açık",(E47-D47)*C47)</f>
        <v>50</v>
      </c>
      <c r="G47" s="11">
        <f>Tablo145678910111213141516171819202122232425262728293031323334353637383940414243444546[[#This Row],[ADET]]*Tablo145678910111213141516171819202122232425262728293031323334353637383940414243444546[[#This Row],[ALIŞ]]</f>
        <v>2750</v>
      </c>
      <c r="H47" s="11">
        <f>Tablo145678910111213141516171819202122232425262728293031323334353637383940414243444546[[#This Row],[ADET]]*Tablo145678910111213141516171819202122232425262728293031323334353637383940414243444546[[#This Row],[SATIŞ]]</f>
        <v>2800</v>
      </c>
      <c r="J47" s="40" t="str">
        <f t="shared" si="1"/>
        <v/>
      </c>
    </row>
    <row r="48" spans="2:10" ht="21" hidden="1" customHeight="1" x14ac:dyDescent="0.3">
      <c r="B48" s="2">
        <v>45355</v>
      </c>
      <c r="C48" s="6">
        <v>10</v>
      </c>
      <c r="D48" s="10">
        <v>275</v>
      </c>
      <c r="E48" s="10">
        <v>278</v>
      </c>
      <c r="F48" s="9">
        <f>IF(Tablo145678910111213141516171819202122232425262728293031323334353637383940414243444546[[#This Row],[SATIŞ]]=0,"Açık",(E48-D48)*C48)</f>
        <v>30</v>
      </c>
      <c r="G48" s="11">
        <f>Tablo145678910111213141516171819202122232425262728293031323334353637383940414243444546[[#This Row],[ADET]]*Tablo145678910111213141516171819202122232425262728293031323334353637383940414243444546[[#This Row],[ALIŞ]]</f>
        <v>2750</v>
      </c>
      <c r="H48" s="11">
        <f>Tablo145678910111213141516171819202122232425262728293031323334353637383940414243444546[[#This Row],[ADET]]*Tablo145678910111213141516171819202122232425262728293031323334353637383940414243444546[[#This Row],[SATIŞ]]</f>
        <v>2780</v>
      </c>
      <c r="J48" s="40" t="str">
        <f t="shared" si="1"/>
        <v/>
      </c>
    </row>
    <row r="49" spans="2:10" ht="21" hidden="1" customHeight="1" x14ac:dyDescent="0.3">
      <c r="B49" s="2">
        <v>45355</v>
      </c>
      <c r="C49" s="6">
        <v>10</v>
      </c>
      <c r="D49" s="10">
        <v>275</v>
      </c>
      <c r="E49" s="10">
        <v>276</v>
      </c>
      <c r="F49" s="9">
        <f>IF(Tablo145678910111213141516171819202122232425262728293031323334353637383940414243444546[[#This Row],[SATIŞ]]=0,"Açık",(E49-D49)*C49)</f>
        <v>10</v>
      </c>
      <c r="G49" s="11">
        <f>Tablo145678910111213141516171819202122232425262728293031323334353637383940414243444546[[#This Row],[ADET]]*Tablo145678910111213141516171819202122232425262728293031323334353637383940414243444546[[#This Row],[ALIŞ]]</f>
        <v>2750</v>
      </c>
      <c r="H49" s="11">
        <f>Tablo145678910111213141516171819202122232425262728293031323334353637383940414243444546[[#This Row],[ADET]]*Tablo145678910111213141516171819202122232425262728293031323334353637383940414243444546[[#This Row],[SATIŞ]]</f>
        <v>2760</v>
      </c>
      <c r="J49" s="40" t="str">
        <f t="shared" si="1"/>
        <v/>
      </c>
    </row>
    <row r="50" spans="2:10" ht="21" hidden="1" customHeight="1" x14ac:dyDescent="0.3">
      <c r="B50" s="2">
        <v>45357</v>
      </c>
      <c r="C50" s="6">
        <v>10</v>
      </c>
      <c r="D50" s="10">
        <v>264.25</v>
      </c>
      <c r="E50" s="10">
        <v>267</v>
      </c>
      <c r="F50" s="9">
        <f>IF(Tablo145678910111213141516171819202122232425262728293031323334353637383940414243444546[[#This Row],[SATIŞ]]=0,"Açık",(E50-D50)*C50)</f>
        <v>27.5</v>
      </c>
      <c r="G50" s="11">
        <f>Tablo145678910111213141516171819202122232425262728293031323334353637383940414243444546[[#This Row],[ADET]]*Tablo145678910111213141516171819202122232425262728293031323334353637383940414243444546[[#This Row],[ALIŞ]]</f>
        <v>2642.5</v>
      </c>
      <c r="H50" s="11">
        <f>Tablo145678910111213141516171819202122232425262728293031323334353637383940414243444546[[#This Row],[ADET]]*Tablo145678910111213141516171819202122232425262728293031323334353637383940414243444546[[#This Row],[SATIŞ]]</f>
        <v>2670</v>
      </c>
      <c r="J50" s="40" t="str">
        <f t="shared" si="1"/>
        <v/>
      </c>
    </row>
    <row r="51" spans="2:10" ht="21" hidden="1" customHeight="1" x14ac:dyDescent="0.3">
      <c r="B51" s="2">
        <v>45357</v>
      </c>
      <c r="C51" s="6">
        <v>10</v>
      </c>
      <c r="D51" s="10">
        <v>263</v>
      </c>
      <c r="E51" s="10">
        <v>274</v>
      </c>
      <c r="F51" s="9">
        <f>IF(Tablo145678910111213141516171819202122232425262728293031323334353637383940414243444546[[#This Row],[SATIŞ]]=0,"Açık",(E51-D51)*C51)</f>
        <v>110</v>
      </c>
      <c r="G51" s="11">
        <f>Tablo145678910111213141516171819202122232425262728293031323334353637383940414243444546[[#This Row],[ADET]]*Tablo145678910111213141516171819202122232425262728293031323334353637383940414243444546[[#This Row],[ALIŞ]]</f>
        <v>2630</v>
      </c>
      <c r="H51" s="11">
        <f>Tablo145678910111213141516171819202122232425262728293031323334353637383940414243444546[[#This Row],[ADET]]*Tablo145678910111213141516171819202122232425262728293031323334353637383940414243444546[[#This Row],[SATIŞ]]</f>
        <v>2740</v>
      </c>
      <c r="J51" s="40" t="str">
        <f t="shared" si="1"/>
        <v/>
      </c>
    </row>
    <row r="52" spans="2:10" ht="21" hidden="1" customHeight="1" x14ac:dyDescent="0.3">
      <c r="B52" s="2">
        <v>45359</v>
      </c>
      <c r="C52" s="6">
        <v>10</v>
      </c>
      <c r="D52" s="10">
        <v>272</v>
      </c>
      <c r="E52" s="10">
        <v>274</v>
      </c>
      <c r="F52" s="9">
        <f>IF(Tablo145678910111213141516171819202122232425262728293031323334353637383940414243444546[[#This Row],[SATIŞ]]=0,"Açık",(E52-D52)*C52)</f>
        <v>20</v>
      </c>
      <c r="G52" s="11">
        <f>Tablo145678910111213141516171819202122232425262728293031323334353637383940414243444546[[#This Row],[ADET]]*Tablo145678910111213141516171819202122232425262728293031323334353637383940414243444546[[#This Row],[ALIŞ]]</f>
        <v>2720</v>
      </c>
      <c r="H52" s="11">
        <f>Tablo145678910111213141516171819202122232425262728293031323334353637383940414243444546[[#This Row],[ADET]]*Tablo145678910111213141516171819202122232425262728293031323334353637383940414243444546[[#This Row],[SATIŞ]]</f>
        <v>2740</v>
      </c>
      <c r="J52" s="40" t="str">
        <f t="shared" si="1"/>
        <v/>
      </c>
    </row>
    <row r="53" spans="2:10" ht="21" hidden="1" customHeight="1" x14ac:dyDescent="0.3">
      <c r="B53" s="2">
        <v>45359</v>
      </c>
      <c r="C53" s="6">
        <v>10</v>
      </c>
      <c r="D53" s="10">
        <v>278</v>
      </c>
      <c r="E53" s="10">
        <v>285</v>
      </c>
      <c r="F53" s="9">
        <f>IF(Tablo145678910111213141516171819202122232425262728293031323334353637383940414243444546[[#This Row],[SATIŞ]]=0,"Açık",(E53-D53)*C53)</f>
        <v>70</v>
      </c>
      <c r="G53" s="11">
        <f>Tablo145678910111213141516171819202122232425262728293031323334353637383940414243444546[[#This Row],[ADET]]*Tablo145678910111213141516171819202122232425262728293031323334353637383940414243444546[[#This Row],[ALIŞ]]</f>
        <v>2780</v>
      </c>
      <c r="H53" s="11">
        <f>Tablo145678910111213141516171819202122232425262728293031323334353637383940414243444546[[#This Row],[ADET]]*Tablo145678910111213141516171819202122232425262728293031323334353637383940414243444546[[#This Row],[SATIŞ]]</f>
        <v>2850</v>
      </c>
      <c r="J53" s="40" t="str">
        <f t="shared" si="1"/>
        <v/>
      </c>
    </row>
    <row r="54" spans="2:10" ht="21" hidden="1" customHeight="1" x14ac:dyDescent="0.3">
      <c r="B54" s="2">
        <v>45359</v>
      </c>
      <c r="C54" s="6">
        <v>10</v>
      </c>
      <c r="D54" s="10">
        <v>276</v>
      </c>
      <c r="E54" s="10">
        <v>277</v>
      </c>
      <c r="F54" s="9">
        <f>IF(Tablo145678910111213141516171819202122232425262728293031323334353637383940414243444546[[#This Row],[SATIŞ]]=0,"Açık",(E54-D54)*C54)</f>
        <v>10</v>
      </c>
      <c r="G54" s="11">
        <f>Tablo145678910111213141516171819202122232425262728293031323334353637383940414243444546[[#This Row],[ADET]]*Tablo145678910111213141516171819202122232425262728293031323334353637383940414243444546[[#This Row],[ALIŞ]]</f>
        <v>2760</v>
      </c>
      <c r="H54" s="11">
        <f>Tablo145678910111213141516171819202122232425262728293031323334353637383940414243444546[[#This Row],[ADET]]*Tablo145678910111213141516171819202122232425262728293031323334353637383940414243444546[[#This Row],[SATIŞ]]</f>
        <v>2770</v>
      </c>
      <c r="J54" s="40" t="str">
        <f t="shared" si="1"/>
        <v/>
      </c>
    </row>
    <row r="55" spans="2:10" ht="21" hidden="1" customHeight="1" x14ac:dyDescent="0.3">
      <c r="B55" s="2">
        <v>45362</v>
      </c>
      <c r="C55" s="6">
        <v>10</v>
      </c>
      <c r="D55" s="10">
        <v>283</v>
      </c>
      <c r="E55" s="10">
        <v>286</v>
      </c>
      <c r="F55" s="9">
        <f>IF(Tablo145678910111213141516171819202122232425262728293031323334353637383940414243444546[[#This Row],[SATIŞ]]=0,"Açık",(E55-D55)*C55)</f>
        <v>30</v>
      </c>
      <c r="G55" s="11">
        <f>Tablo145678910111213141516171819202122232425262728293031323334353637383940414243444546[[#This Row],[ADET]]*Tablo145678910111213141516171819202122232425262728293031323334353637383940414243444546[[#This Row],[ALIŞ]]</f>
        <v>2830</v>
      </c>
      <c r="H55" s="11">
        <f>Tablo145678910111213141516171819202122232425262728293031323334353637383940414243444546[[#This Row],[ADET]]*Tablo145678910111213141516171819202122232425262728293031323334353637383940414243444546[[#This Row],[SATIŞ]]</f>
        <v>2860</v>
      </c>
      <c r="J55" s="40" t="str">
        <f t="shared" si="1"/>
        <v/>
      </c>
    </row>
    <row r="56" spans="2:10" ht="21" hidden="1" customHeight="1" x14ac:dyDescent="0.3">
      <c r="B56" s="2">
        <v>45365</v>
      </c>
      <c r="C56" s="6">
        <v>10</v>
      </c>
      <c r="D56" s="10">
        <v>272</v>
      </c>
      <c r="E56" s="10">
        <v>282.5</v>
      </c>
      <c r="F56" s="9">
        <f>IF(Tablo145678910111213141516171819202122232425262728293031323334353637383940414243444546[[#This Row],[SATIŞ]]=0,"Açık",(E56-D56)*C56)</f>
        <v>105</v>
      </c>
      <c r="G56" s="11">
        <f>Tablo145678910111213141516171819202122232425262728293031323334353637383940414243444546[[#This Row],[ADET]]*Tablo145678910111213141516171819202122232425262728293031323334353637383940414243444546[[#This Row],[ALIŞ]]</f>
        <v>2720</v>
      </c>
      <c r="H56" s="11">
        <f>Tablo145678910111213141516171819202122232425262728293031323334353637383940414243444546[[#This Row],[ADET]]*Tablo145678910111213141516171819202122232425262728293031323334353637383940414243444546[[#This Row],[SATIŞ]]</f>
        <v>2825</v>
      </c>
      <c r="J56" s="40" t="str">
        <f t="shared" si="1"/>
        <v/>
      </c>
    </row>
    <row r="57" spans="2:10" ht="21" hidden="1" customHeight="1" x14ac:dyDescent="0.3">
      <c r="B57" s="2">
        <v>45337</v>
      </c>
      <c r="C57" s="6">
        <v>10</v>
      </c>
      <c r="D57" s="10">
        <v>286</v>
      </c>
      <c r="E57" s="10">
        <v>300</v>
      </c>
      <c r="F57" s="9">
        <f>IF(Tablo145678910111213141516171819202122232425262728293031323334353637383940414243444546[[#This Row],[SATIŞ]]=0,"Açık",(E57-D57)*C57)</f>
        <v>140</v>
      </c>
      <c r="G57" s="11">
        <f>Tablo145678910111213141516171819202122232425262728293031323334353637383940414243444546[[#This Row],[ADET]]*Tablo145678910111213141516171819202122232425262728293031323334353637383940414243444546[[#This Row],[ALIŞ]]</f>
        <v>2860</v>
      </c>
      <c r="H57" s="11">
        <f>Tablo145678910111213141516171819202122232425262728293031323334353637383940414243444546[[#This Row],[ADET]]*Tablo145678910111213141516171819202122232425262728293031323334353637383940414243444546[[#This Row],[SATIŞ]]</f>
        <v>3000</v>
      </c>
      <c r="J57" s="40" t="str">
        <f t="shared" si="1"/>
        <v/>
      </c>
    </row>
    <row r="58" spans="2:10" ht="21" hidden="1" customHeight="1" x14ac:dyDescent="0.3">
      <c r="B58" s="2">
        <v>45383</v>
      </c>
      <c r="C58" s="6">
        <v>10</v>
      </c>
      <c r="D58" s="10">
        <v>295</v>
      </c>
      <c r="E58" s="10">
        <v>300</v>
      </c>
      <c r="F58" s="9">
        <f>IF(Tablo145678910111213141516171819202122232425262728293031323334353637383940414243444546[[#This Row],[SATIŞ]]=0,"Açık",(E58-D58)*C58)</f>
        <v>50</v>
      </c>
      <c r="G58" s="11">
        <f>Tablo145678910111213141516171819202122232425262728293031323334353637383940414243444546[[#This Row],[ADET]]*Tablo145678910111213141516171819202122232425262728293031323334353637383940414243444546[[#This Row],[ALIŞ]]</f>
        <v>2950</v>
      </c>
      <c r="H58" s="11">
        <f>Tablo145678910111213141516171819202122232425262728293031323334353637383940414243444546[[#This Row],[ADET]]*Tablo145678910111213141516171819202122232425262728293031323334353637383940414243444546[[#This Row],[SATIŞ]]</f>
        <v>3000</v>
      </c>
      <c r="J58" s="40" t="str">
        <f t="shared" si="1"/>
        <v/>
      </c>
    </row>
    <row r="59" spans="2:10" ht="21" customHeight="1" x14ac:dyDescent="0.3">
      <c r="B59" s="2">
        <v>45386</v>
      </c>
      <c r="C59" s="6">
        <v>30</v>
      </c>
      <c r="D59" s="10">
        <v>293</v>
      </c>
      <c r="E59" s="10"/>
      <c r="F59" s="9" t="str">
        <f>IF(Tablo145678910111213141516171819202122232425262728293031323334353637383940414243444546[[#This Row],[SATIŞ]]=0,"Açık",(E59-D59)*C59)</f>
        <v>Açık</v>
      </c>
      <c r="G59" s="11">
        <f>Tablo145678910111213141516171819202122232425262728293031323334353637383940414243444546[[#This Row],[ADET]]*Tablo145678910111213141516171819202122232425262728293031323334353637383940414243444546[[#This Row],[ALIŞ]]</f>
        <v>8790</v>
      </c>
      <c r="H59" s="11">
        <f>Tablo145678910111213141516171819202122232425262728293031323334353637383940414243444546[[#This Row],[ADET]]*Tablo145678910111213141516171819202122232425262728293031323334353637383940414243444546[[#This Row],[SATIŞ]]</f>
        <v>0</v>
      </c>
      <c r="J59" s="40">
        <f t="shared" si="1"/>
        <v>307.65000000000003</v>
      </c>
    </row>
    <row r="60" spans="2:10" ht="21" customHeight="1" x14ac:dyDescent="0.3">
      <c r="B60" s="2">
        <v>45386</v>
      </c>
      <c r="C60" s="6">
        <v>10</v>
      </c>
      <c r="D60" s="10">
        <v>293.25</v>
      </c>
      <c r="E60" s="10"/>
      <c r="F60" s="9" t="str">
        <f>IF(Tablo145678910111213141516171819202122232425262728293031323334353637383940414243444546[[#This Row],[SATIŞ]]=0,"Açık",(E60-D60)*C60)</f>
        <v>Açık</v>
      </c>
      <c r="G60" s="11">
        <f>Tablo145678910111213141516171819202122232425262728293031323334353637383940414243444546[[#This Row],[ADET]]*Tablo145678910111213141516171819202122232425262728293031323334353637383940414243444546[[#This Row],[ALIŞ]]</f>
        <v>2932.5</v>
      </c>
      <c r="H60" s="11">
        <f>Tablo145678910111213141516171819202122232425262728293031323334353637383940414243444546[[#This Row],[ADET]]*Tablo145678910111213141516171819202122232425262728293031323334353637383940414243444546[[#This Row],[SATIŞ]]</f>
        <v>0</v>
      </c>
      <c r="J60" s="40">
        <f t="shared" si="1"/>
        <v>307.91250000000002</v>
      </c>
    </row>
    <row r="61" spans="2:10" ht="21" customHeight="1" x14ac:dyDescent="0.3">
      <c r="B61" s="2">
        <v>45386</v>
      </c>
      <c r="C61" s="6">
        <v>10</v>
      </c>
      <c r="D61" s="10">
        <v>291</v>
      </c>
      <c r="E61" s="10"/>
      <c r="F61" s="9" t="str">
        <f>IF(Tablo145678910111213141516171819202122232425262728293031323334353637383940414243444546[[#This Row],[SATIŞ]]=0,"Açık",(E61-D61)*C61)</f>
        <v>Açık</v>
      </c>
      <c r="G61" s="11">
        <f>Tablo145678910111213141516171819202122232425262728293031323334353637383940414243444546[[#This Row],[ADET]]*Tablo145678910111213141516171819202122232425262728293031323334353637383940414243444546[[#This Row],[ALIŞ]]</f>
        <v>2910</v>
      </c>
      <c r="H61" s="11">
        <f>Tablo145678910111213141516171819202122232425262728293031323334353637383940414243444546[[#This Row],[ADET]]*Tablo145678910111213141516171819202122232425262728293031323334353637383940414243444546[[#This Row],[SATIŞ]]</f>
        <v>0</v>
      </c>
      <c r="J61" s="40">
        <f t="shared" si="1"/>
        <v>305.55</v>
      </c>
    </row>
    <row r="62" spans="2:10" ht="21" hidden="1" customHeight="1" x14ac:dyDescent="0.3">
      <c r="B62" s="2">
        <v>45386</v>
      </c>
      <c r="C62" s="6">
        <v>10</v>
      </c>
      <c r="D62" s="10">
        <v>290</v>
      </c>
      <c r="E62" s="10">
        <v>310</v>
      </c>
      <c r="F62" s="9">
        <f>IF(Tablo145678910111213141516171819202122232425262728293031323334353637383940414243444546[[#This Row],[SATIŞ]]=0,"Açık",(E62-D62)*C62)</f>
        <v>200</v>
      </c>
      <c r="G62" s="11">
        <f>Tablo145678910111213141516171819202122232425262728293031323334353637383940414243444546[[#This Row],[ADET]]*Tablo145678910111213141516171819202122232425262728293031323334353637383940414243444546[[#This Row],[ALIŞ]]</f>
        <v>2900</v>
      </c>
      <c r="H62" s="11">
        <f>Tablo145678910111213141516171819202122232425262728293031323334353637383940414243444546[[#This Row],[ADET]]*Tablo145678910111213141516171819202122232425262728293031323334353637383940414243444546[[#This Row],[SATIŞ]]</f>
        <v>3100</v>
      </c>
      <c r="J62" s="40" t="str">
        <f t="shared" si="1"/>
        <v/>
      </c>
    </row>
    <row r="63" spans="2:10" ht="21" hidden="1" customHeight="1" x14ac:dyDescent="0.3">
      <c r="B63" s="2">
        <v>45386</v>
      </c>
      <c r="C63" s="6">
        <v>10</v>
      </c>
      <c r="D63" s="10">
        <v>288</v>
      </c>
      <c r="E63" s="10">
        <v>300</v>
      </c>
      <c r="F63" s="9">
        <f>IF(Tablo145678910111213141516171819202122232425262728293031323334353637383940414243444546[[#This Row],[SATIŞ]]=0,"Açık",(E63-D63)*C63)</f>
        <v>120</v>
      </c>
      <c r="G63" s="11">
        <f>Tablo145678910111213141516171819202122232425262728293031323334353637383940414243444546[[#This Row],[ADET]]*Tablo145678910111213141516171819202122232425262728293031323334353637383940414243444546[[#This Row],[ALIŞ]]</f>
        <v>2880</v>
      </c>
      <c r="H63" s="11">
        <f>Tablo145678910111213141516171819202122232425262728293031323334353637383940414243444546[[#This Row],[ADET]]*Tablo145678910111213141516171819202122232425262728293031323334353637383940414243444546[[#This Row],[SATIŞ]]</f>
        <v>3000</v>
      </c>
      <c r="J63" s="40" t="str">
        <f t="shared" si="1"/>
        <v/>
      </c>
    </row>
    <row r="64" spans="2:10" ht="21" customHeight="1" x14ac:dyDescent="0.3">
      <c r="B64" s="2">
        <v>45386</v>
      </c>
      <c r="C64" s="6">
        <v>10</v>
      </c>
      <c r="D64" s="10">
        <v>291</v>
      </c>
      <c r="E64" s="10"/>
      <c r="F64" s="9" t="str">
        <f>IF(Tablo145678910111213141516171819202122232425262728293031323334353637383940414243444546[[#This Row],[SATIŞ]]=0,"Açık",(E64-D64)*C64)</f>
        <v>Açık</v>
      </c>
      <c r="G64" s="11">
        <f>Tablo145678910111213141516171819202122232425262728293031323334353637383940414243444546[[#This Row],[ADET]]*Tablo145678910111213141516171819202122232425262728293031323334353637383940414243444546[[#This Row],[ALIŞ]]</f>
        <v>2910</v>
      </c>
      <c r="H64" s="11">
        <f>Tablo145678910111213141516171819202122232425262728293031323334353637383940414243444546[[#This Row],[ADET]]*Tablo145678910111213141516171819202122232425262728293031323334353637383940414243444546[[#This Row],[SATIŞ]]</f>
        <v>0</v>
      </c>
      <c r="J64" s="40">
        <f t="shared" si="1"/>
        <v>305.55</v>
      </c>
    </row>
    <row r="65" spans="2:10" ht="21" customHeight="1" x14ac:dyDescent="0.3">
      <c r="B65" s="2">
        <v>45386</v>
      </c>
      <c r="C65" s="6">
        <v>20</v>
      </c>
      <c r="D65" s="10">
        <v>290</v>
      </c>
      <c r="E65" s="10"/>
      <c r="F65" s="9" t="str">
        <f>IF(Tablo145678910111213141516171819202122232425262728293031323334353637383940414243444546[[#This Row],[SATIŞ]]=0,"Açık",(E65-D65)*C65)</f>
        <v>Açık</v>
      </c>
      <c r="G65" s="11">
        <f>Tablo145678910111213141516171819202122232425262728293031323334353637383940414243444546[[#This Row],[ADET]]*Tablo145678910111213141516171819202122232425262728293031323334353637383940414243444546[[#This Row],[ALIŞ]]</f>
        <v>5800</v>
      </c>
      <c r="H65" s="11">
        <f>Tablo145678910111213141516171819202122232425262728293031323334353637383940414243444546[[#This Row],[ADET]]*Tablo145678910111213141516171819202122232425262728293031323334353637383940414243444546[[#This Row],[SATIŞ]]</f>
        <v>0</v>
      </c>
      <c r="J65" s="40">
        <f t="shared" si="1"/>
        <v>304.5</v>
      </c>
    </row>
    <row r="66" spans="2:10" ht="21" customHeight="1" x14ac:dyDescent="0.3">
      <c r="B66" s="2">
        <v>45390</v>
      </c>
      <c r="C66" s="6">
        <v>10</v>
      </c>
      <c r="D66" s="10">
        <v>308.5</v>
      </c>
      <c r="E66" s="10"/>
      <c r="F66" s="9" t="str">
        <f>IF(Tablo145678910111213141516171819202122232425262728293031323334353637383940414243444546[[#This Row],[SATIŞ]]=0,"Açık",(E66-D66)*C66)</f>
        <v>Açık</v>
      </c>
      <c r="G66" s="11">
        <f>Tablo145678910111213141516171819202122232425262728293031323334353637383940414243444546[[#This Row],[ADET]]*Tablo145678910111213141516171819202122232425262728293031323334353637383940414243444546[[#This Row],[ALIŞ]]</f>
        <v>3085</v>
      </c>
      <c r="H66" s="11">
        <f>Tablo145678910111213141516171819202122232425262728293031323334353637383940414243444546[[#This Row],[ADET]]*Tablo145678910111213141516171819202122232425262728293031323334353637383940414243444546[[#This Row],[SATIŞ]]</f>
        <v>0</v>
      </c>
      <c r="J66" s="40">
        <f t="shared" si="1"/>
        <v>323.92500000000001</v>
      </c>
    </row>
    <row r="67" spans="2:10" ht="21" customHeight="1" x14ac:dyDescent="0.3">
      <c r="B67" s="2">
        <v>45390</v>
      </c>
      <c r="C67" s="6">
        <v>10</v>
      </c>
      <c r="D67" s="10">
        <v>308.25</v>
      </c>
      <c r="E67" s="10"/>
      <c r="F67" s="9" t="str">
        <f>IF(Tablo145678910111213141516171819202122232425262728293031323334353637383940414243444546[[#This Row],[SATIŞ]]=0,"Açık",(E67-D67)*C67)</f>
        <v>Açık</v>
      </c>
      <c r="G67" s="11">
        <f>Tablo145678910111213141516171819202122232425262728293031323334353637383940414243444546[[#This Row],[ADET]]*Tablo145678910111213141516171819202122232425262728293031323334353637383940414243444546[[#This Row],[ALIŞ]]</f>
        <v>3082.5</v>
      </c>
      <c r="H67" s="11">
        <f>Tablo145678910111213141516171819202122232425262728293031323334353637383940414243444546[[#This Row],[ADET]]*Tablo145678910111213141516171819202122232425262728293031323334353637383940414243444546[[#This Row],[SATIŞ]]</f>
        <v>0</v>
      </c>
      <c r="J67" s="40">
        <f t="shared" si="1"/>
        <v>323.66250000000002</v>
      </c>
    </row>
    <row r="68" spans="2:10" ht="21" customHeight="1" x14ac:dyDescent="0.3">
      <c r="B68" s="2">
        <v>45390</v>
      </c>
      <c r="C68" s="6">
        <v>20</v>
      </c>
      <c r="D68" s="10">
        <v>308</v>
      </c>
      <c r="E68" s="10"/>
      <c r="F68" s="9" t="str">
        <f>IF(Tablo145678910111213141516171819202122232425262728293031323334353637383940414243444546[[#This Row],[SATIŞ]]=0,"Açık",(E68-D68)*C68)</f>
        <v>Açık</v>
      </c>
      <c r="G68" s="11">
        <f>Tablo145678910111213141516171819202122232425262728293031323334353637383940414243444546[[#This Row],[ADET]]*Tablo145678910111213141516171819202122232425262728293031323334353637383940414243444546[[#This Row],[ALIŞ]]</f>
        <v>6160</v>
      </c>
      <c r="H68" s="11">
        <f>Tablo145678910111213141516171819202122232425262728293031323334353637383940414243444546[[#This Row],[ADET]]*Tablo145678910111213141516171819202122232425262728293031323334353637383940414243444546[[#This Row],[SATIŞ]]</f>
        <v>0</v>
      </c>
      <c r="J68" s="40">
        <f t="shared" si="1"/>
        <v>323.40000000000003</v>
      </c>
    </row>
    <row r="69" spans="2:10" ht="21" customHeight="1" x14ac:dyDescent="0.3">
      <c r="B69" s="2">
        <v>45391</v>
      </c>
      <c r="C69" s="6">
        <v>10</v>
      </c>
      <c r="D69" s="10">
        <v>310</v>
      </c>
      <c r="E69" s="10"/>
      <c r="F69" s="9" t="str">
        <f>IF(Tablo145678910111213141516171819202122232425262728293031323334353637383940414243444546[[#This Row],[SATIŞ]]=0,"Açık",(E69-D69)*C69)</f>
        <v>Açık</v>
      </c>
      <c r="G69" s="11">
        <f>Tablo145678910111213141516171819202122232425262728293031323334353637383940414243444546[[#This Row],[ADET]]*Tablo145678910111213141516171819202122232425262728293031323334353637383940414243444546[[#This Row],[ALIŞ]]</f>
        <v>3100</v>
      </c>
      <c r="H69" s="11">
        <f>Tablo145678910111213141516171819202122232425262728293031323334353637383940414243444546[[#This Row],[ADET]]*Tablo145678910111213141516171819202122232425262728293031323334353637383940414243444546[[#This Row],[SATIŞ]]</f>
        <v>0</v>
      </c>
      <c r="J69" s="40">
        <f t="shared" si="1"/>
        <v>325.5</v>
      </c>
    </row>
    <row r="70" spans="2:10" ht="21" hidden="1" customHeight="1" x14ac:dyDescent="0.3">
      <c r="B70" s="2">
        <v>45397</v>
      </c>
      <c r="C70" s="6">
        <v>10</v>
      </c>
      <c r="D70" s="10">
        <v>300</v>
      </c>
      <c r="E70" s="10">
        <v>310</v>
      </c>
      <c r="F70" s="9">
        <f>IF(Tablo145678910111213141516171819202122232425262728293031323334353637383940414243444546[[#This Row],[SATIŞ]]=0,"Açık",(E70-D70)*C70)</f>
        <v>100</v>
      </c>
      <c r="G70" s="11">
        <f>Tablo145678910111213141516171819202122232425262728293031323334353637383940414243444546[[#This Row],[ADET]]*Tablo145678910111213141516171819202122232425262728293031323334353637383940414243444546[[#This Row],[ALIŞ]]</f>
        <v>3000</v>
      </c>
      <c r="H70" s="11">
        <f>Tablo145678910111213141516171819202122232425262728293031323334353637383940414243444546[[#This Row],[ADET]]*Tablo145678910111213141516171819202122232425262728293031323334353637383940414243444546[[#This Row],[SATIŞ]]</f>
        <v>3100</v>
      </c>
    </row>
  </sheetData>
  <conditionalFormatting sqref="B4:F70">
    <cfRule type="expression" dxfId="32" priority="1">
      <formula>$F4&lt;0</formula>
    </cfRule>
    <cfRule type="expression" dxfId="31" priority="2">
      <formula>$F4="Açık"</formula>
    </cfRule>
    <cfRule type="expression" dxfId="30" priority="3">
      <formula>$F4&gt;0</formula>
    </cfRule>
  </conditionalFormatting>
  <hyperlinks>
    <hyperlink ref="B1" location="İcmal!A1" display="ANA SAYFA" xr:uid="{F8C75F23-2C3C-42D7-AD54-D2C51732A79A}"/>
  </hyperlinks>
  <pageMargins left="0.7" right="0.7" top="0.75" bottom="0.75" header="0.3" footer="0.3"/>
  <tableParts count="1">
    <tablePart r:id="rId1"/>
  </tablePart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37179-A2C6-4E00-9A02-49BE8BF9F62C}">
  <dimension ref="B1:R21"/>
  <sheetViews>
    <sheetView showGridLines="0" showZeros="0" workbookViewId="0">
      <pane ySplit="1" topLeftCell="A2" activePane="bottomLeft" state="frozen"/>
      <selection activeCell="C23" sqref="C23"/>
      <selection pane="bottomLeft" activeCell="G1" sqref="G1"/>
    </sheetView>
  </sheetViews>
  <sheetFormatPr defaultRowHeight="21" customHeight="1" x14ac:dyDescent="0.3"/>
  <cols>
    <col min="2" max="2" width="20.6640625" style="1" customWidth="1"/>
    <col min="3" max="3" width="11.33203125" style="6" customWidth="1"/>
    <col min="4" max="5" width="12.88671875" style="3" customWidth="1"/>
    <col min="6" max="6" width="12.88671875" style="5" customWidth="1"/>
    <col min="7" max="8" width="11.33203125" bestFit="1" customWidth="1"/>
    <col min="12" max="13" width="11.33203125" bestFit="1" customWidth="1"/>
    <col min="14" max="14" width="10.33203125" bestFit="1" customWidth="1"/>
  </cols>
  <sheetData>
    <row r="1" spans="2:18" ht="21" customHeight="1" x14ac:dyDescent="0.3">
      <c r="B1" s="12" t="s">
        <v>64</v>
      </c>
      <c r="C1" s="4">
        <f>SUMIF(Tablo14567891011121314151617181920212223242526272829303132333435363738394041424344454647[KAR],"Açık",Tablo14567891011121314151617181920212223242526272829303132333435363738394041424344454647[ADET])</f>
        <v>0</v>
      </c>
      <c r="D1" s="10">
        <f>+İcmal!E61</f>
        <v>46.34</v>
      </c>
      <c r="E1" s="10">
        <f>C1*D1</f>
        <v>0</v>
      </c>
      <c r="F1" s="10" t="str">
        <f>IFERROR(((SUM(Tablo14567891011121314151617181920212223242526272829303132333435363738394041424344454647[ALIŞ TUTAR])-SUM(Tablo14567891011121314151617181920212223242526272829303132333435363738394041424344454647[SATIŞ TUTAR]))/C1),"")</f>
        <v/>
      </c>
      <c r="G1" s="10">
        <f>IF(M3=0,L3,C1*(D1-F1))</f>
        <v>7243.7643999999955</v>
      </c>
      <c r="J1" s="34">
        <v>0.02</v>
      </c>
      <c r="L1" s="8" t="e">
        <f>M1*(1-$J$1)</f>
        <v>#VALUE!</v>
      </c>
      <c r="M1" s="33" t="str">
        <f>F1</f>
        <v/>
      </c>
      <c r="N1" s="8" t="e">
        <f>M1*(1+$J$1)</f>
        <v>#VALUE!</v>
      </c>
      <c r="P1" s="8">
        <f>Q1*(1-$J$1)</f>
        <v>45.413200000000003</v>
      </c>
      <c r="Q1" s="33">
        <f>+D1</f>
        <v>46.34</v>
      </c>
      <c r="R1" s="8">
        <f>Q1*(1+$J$1)</f>
        <v>47.266800000000003</v>
      </c>
    </row>
    <row r="3" spans="2:18" ht="21" customHeight="1" x14ac:dyDescent="0.3">
      <c r="B3" s="1" t="s">
        <v>0</v>
      </c>
      <c r="C3" s="6" t="s">
        <v>4</v>
      </c>
      <c r="D3" s="3" t="s">
        <v>1</v>
      </c>
      <c r="E3" s="3" t="s">
        <v>3</v>
      </c>
      <c r="F3" s="5" t="s">
        <v>2</v>
      </c>
      <c r="G3" s="3" t="s">
        <v>8</v>
      </c>
      <c r="H3" s="3" t="s">
        <v>9</v>
      </c>
      <c r="L3" s="33">
        <f>SUM(Tablo14567891011121314151617181920212223242526272829303132333435363738394041424344454647[KAR])</f>
        <v>7243.7643999999955</v>
      </c>
      <c r="M3" s="37">
        <f>C1</f>
        <v>0</v>
      </c>
    </row>
    <row r="4" spans="2:18" ht="21" customHeight="1" x14ac:dyDescent="0.3">
      <c r="B4" s="2">
        <v>45291</v>
      </c>
      <c r="C4" s="6">
        <v>2680</v>
      </c>
      <c r="D4" s="10">
        <v>31.698070000000001</v>
      </c>
      <c r="E4" s="10">
        <v>34.27478</v>
      </c>
      <c r="F4" s="9">
        <f>IF(Tablo14567891011121314151617181920212223242526272829303132333435363738394041424344454647[[#This Row],[SATIŞ]]=0,"Açık",(E4-D4)*C4)</f>
        <v>6905.5827999999956</v>
      </c>
      <c r="G4" s="11">
        <f>Tablo14567891011121314151617181920212223242526272829303132333435363738394041424344454647[[#This Row],[ADET]]*Tablo14567891011121314151617181920212223242526272829303132333435363738394041424344454647[[#This Row],[ALIŞ]]</f>
        <v>84950.827600000004</v>
      </c>
      <c r="H4" s="11">
        <f>Tablo14567891011121314151617181920212223242526272829303132333435363738394041424344454647[[#This Row],[ADET]]*Tablo14567891011121314151617181920212223242526272829303132333435363738394041424344454647[[#This Row],[SATIŞ]]</f>
        <v>91856.410399999993</v>
      </c>
      <c r="L4" s="8">
        <f>SUM(Tablo14567891011121314151617181920212223242526272829303132333435363738394041424344454647[ALIŞ TUTAR])</f>
        <v>99641.895999999993</v>
      </c>
      <c r="M4" s="8">
        <f>SUM(Tablo14567891011121314151617181920212223242526272829303132333435363738394041424344454647[SATIŞ TUTAR])</f>
        <v>106885.66039999999</v>
      </c>
      <c r="N4" s="8">
        <f>L4-M4</f>
        <v>-7243.7644</v>
      </c>
    </row>
    <row r="5" spans="2:18" ht="21" customHeight="1" x14ac:dyDescent="0.3">
      <c r="B5" s="2">
        <v>45291</v>
      </c>
      <c r="C5" s="6">
        <v>5</v>
      </c>
      <c r="D5" s="10">
        <v>31.698070000000001</v>
      </c>
      <c r="E5" s="10">
        <v>43.5</v>
      </c>
      <c r="F5" s="9">
        <f>IF(Tablo14567891011121314151617181920212223242526272829303132333435363738394041424344454647[[#This Row],[SATIŞ]]=0,"Açık",(E5-D5)*C5)</f>
        <v>59.009649999999993</v>
      </c>
      <c r="G5" s="11">
        <f>Tablo14567891011121314151617181920212223242526272829303132333435363738394041424344454647[[#This Row],[ADET]]*Tablo14567891011121314151617181920212223242526272829303132333435363738394041424344454647[[#This Row],[ALIŞ]]</f>
        <v>158.49035000000001</v>
      </c>
      <c r="H5" s="11">
        <f>Tablo14567891011121314151617181920212223242526272829303132333435363738394041424344454647[[#This Row],[ADET]]*Tablo14567891011121314151617181920212223242526272829303132333435363738394041424344454647[[#This Row],[SATIŞ]]</f>
        <v>217.5</v>
      </c>
      <c r="N5">
        <f>+N4/80</f>
        <v>-90.547055</v>
      </c>
    </row>
    <row r="6" spans="2:18" ht="21" customHeight="1" x14ac:dyDescent="0.3">
      <c r="B6" s="2">
        <v>45291</v>
      </c>
      <c r="C6" s="6">
        <v>15</v>
      </c>
      <c r="D6" s="10">
        <v>31.698070000000001</v>
      </c>
      <c r="E6" s="10">
        <v>43.75</v>
      </c>
      <c r="F6" s="9">
        <f>IF(Tablo14567891011121314151617181920212223242526272829303132333435363738394041424344454647[[#This Row],[SATIŞ]]=0,"Açık",(E6-D6)*C6)</f>
        <v>180.77894999999998</v>
      </c>
      <c r="G6" s="11">
        <f>Tablo14567891011121314151617181920212223242526272829303132333435363738394041424344454647[[#This Row],[ADET]]*Tablo14567891011121314151617181920212223242526272829303132333435363738394041424344454647[[#This Row],[ALIŞ]]</f>
        <v>475.47104999999999</v>
      </c>
      <c r="H6" s="11">
        <f>Tablo14567891011121314151617181920212223242526272829303132333435363738394041424344454647[[#This Row],[ADET]]*Tablo14567891011121314151617181920212223242526272829303132333435363738394041424344454647[[#This Row],[SATIŞ]]</f>
        <v>656.25</v>
      </c>
    </row>
    <row r="7" spans="2:18" ht="21" customHeight="1" x14ac:dyDescent="0.3">
      <c r="B7" s="2">
        <v>45291</v>
      </c>
      <c r="C7" s="6">
        <v>100</v>
      </c>
      <c r="D7" s="10">
        <v>31.698070000000001</v>
      </c>
      <c r="E7" s="10">
        <v>31.7</v>
      </c>
      <c r="F7" s="9">
        <f>IF(Tablo14567891011121314151617181920212223242526272829303132333435363738394041424344454647[[#This Row],[SATIŞ]]=0,"Açık",(E7-D7)*C7)</f>
        <v>0.19299999999979889</v>
      </c>
      <c r="G7" s="11">
        <f>Tablo14567891011121314151617181920212223242526272829303132333435363738394041424344454647[[#This Row],[ADET]]*Tablo14567891011121314151617181920212223242526272829303132333435363738394041424344454647[[#This Row],[ALIŞ]]</f>
        <v>3169.8070000000002</v>
      </c>
      <c r="H7" s="11">
        <f>Tablo14567891011121314151617181920212223242526272829303132333435363738394041424344454647[[#This Row],[ADET]]*Tablo14567891011121314151617181920212223242526272829303132333435363738394041424344454647[[#This Row],[SATIŞ]]</f>
        <v>3170</v>
      </c>
    </row>
    <row r="8" spans="2:18" ht="21" customHeight="1" x14ac:dyDescent="0.3">
      <c r="B8" s="2">
        <v>45323</v>
      </c>
      <c r="C8" s="6">
        <v>5</v>
      </c>
      <c r="D8" s="10">
        <v>43.3</v>
      </c>
      <c r="E8" s="10">
        <v>44</v>
      </c>
      <c r="F8" s="9">
        <f>IF(Tablo14567891011121314151617181920212223242526272829303132333435363738394041424344454647[[#This Row],[SATIŞ]]=0,"Açık",(E8-D8)*C8)</f>
        <v>3.5000000000000142</v>
      </c>
      <c r="G8" s="11">
        <f>Tablo14567891011121314151617181920212223242526272829303132333435363738394041424344454647[[#This Row],[ADET]]*Tablo14567891011121314151617181920212223242526272829303132333435363738394041424344454647[[#This Row],[ALIŞ]]</f>
        <v>216.5</v>
      </c>
      <c r="H8" s="11">
        <f>Tablo14567891011121314151617181920212223242526272829303132333435363738394041424344454647[[#This Row],[ADET]]*Tablo14567891011121314151617181920212223242526272829303132333435363738394041424344454647[[#This Row],[SATIŞ]]</f>
        <v>220</v>
      </c>
    </row>
    <row r="9" spans="2:18" ht="21" customHeight="1" x14ac:dyDescent="0.3">
      <c r="B9" s="2">
        <v>45323</v>
      </c>
      <c r="C9" s="6">
        <v>5</v>
      </c>
      <c r="D9" s="10">
        <v>43.2</v>
      </c>
      <c r="E9" s="10">
        <v>43.5</v>
      </c>
      <c r="F9" s="9">
        <f>IF(Tablo14567891011121314151617181920212223242526272829303132333435363738394041424344454647[[#This Row],[SATIŞ]]=0,"Açık",(E9-D9)*C9)</f>
        <v>1.4999999999999858</v>
      </c>
      <c r="G9" s="11">
        <f>Tablo14567891011121314151617181920212223242526272829303132333435363738394041424344454647[[#This Row],[ADET]]*Tablo14567891011121314151617181920212223242526272829303132333435363738394041424344454647[[#This Row],[ALIŞ]]</f>
        <v>216</v>
      </c>
      <c r="H9" s="11">
        <f>Tablo14567891011121314151617181920212223242526272829303132333435363738394041424344454647[[#This Row],[ADET]]*Tablo14567891011121314151617181920212223242526272829303132333435363738394041424344454647[[#This Row],[SATIŞ]]</f>
        <v>217.5</v>
      </c>
    </row>
    <row r="10" spans="2:18" ht="21" customHeight="1" x14ac:dyDescent="0.3">
      <c r="B10" s="2">
        <v>45323</v>
      </c>
      <c r="C10" s="6">
        <v>10</v>
      </c>
      <c r="D10" s="10">
        <v>43.3</v>
      </c>
      <c r="E10" s="10">
        <v>43.5</v>
      </c>
      <c r="F10" s="9">
        <f>IF(Tablo14567891011121314151617181920212223242526272829303132333435363738394041424344454647[[#This Row],[SATIŞ]]=0,"Açık",(E10-D10)*C10)</f>
        <v>2.0000000000000284</v>
      </c>
      <c r="G10" s="11">
        <f>Tablo14567891011121314151617181920212223242526272829303132333435363738394041424344454647[[#This Row],[ADET]]*Tablo14567891011121314151617181920212223242526272829303132333435363738394041424344454647[[#This Row],[ALIŞ]]</f>
        <v>433</v>
      </c>
      <c r="H10" s="11">
        <f>Tablo14567891011121314151617181920212223242526272829303132333435363738394041424344454647[[#This Row],[ADET]]*Tablo14567891011121314151617181920212223242526272829303132333435363738394041424344454647[[#This Row],[SATIŞ]]</f>
        <v>435</v>
      </c>
    </row>
    <row r="11" spans="2:18" ht="21" customHeight="1" x14ac:dyDescent="0.3">
      <c r="B11" s="2">
        <v>45330</v>
      </c>
      <c r="C11" s="6">
        <v>5</v>
      </c>
      <c r="D11" s="10">
        <v>45</v>
      </c>
      <c r="E11" s="10">
        <v>45.8</v>
      </c>
      <c r="F11" s="9">
        <f>IF(Tablo14567891011121314151617181920212223242526272829303132333435363738394041424344454647[[#This Row],[SATIŞ]]=0,"Açık",(E11-D11)*C11)</f>
        <v>3.9999999999999858</v>
      </c>
      <c r="G11" s="11">
        <f>Tablo14567891011121314151617181920212223242526272829303132333435363738394041424344454647[[#This Row],[ADET]]*Tablo14567891011121314151617181920212223242526272829303132333435363738394041424344454647[[#This Row],[ALIŞ]]</f>
        <v>225</v>
      </c>
      <c r="H11" s="11">
        <f>Tablo14567891011121314151617181920212223242526272829303132333435363738394041424344454647[[#This Row],[ADET]]*Tablo14567891011121314151617181920212223242526272829303132333435363738394041424344454647[[#This Row],[SATIŞ]]</f>
        <v>229</v>
      </c>
    </row>
    <row r="12" spans="2:18" ht="21" customHeight="1" x14ac:dyDescent="0.3">
      <c r="B12" s="2">
        <v>45330</v>
      </c>
      <c r="C12" s="6">
        <v>5</v>
      </c>
      <c r="D12" s="10">
        <v>45</v>
      </c>
      <c r="E12" s="10">
        <v>45</v>
      </c>
      <c r="F12" s="9">
        <f>IF(Tablo14567891011121314151617181920212223242526272829303132333435363738394041424344454647[[#This Row],[SATIŞ]]=0,"Açık",(E12-D12)*C12)</f>
        <v>0</v>
      </c>
      <c r="G12" s="11">
        <f>Tablo14567891011121314151617181920212223242526272829303132333435363738394041424344454647[[#This Row],[ADET]]*Tablo14567891011121314151617181920212223242526272829303132333435363738394041424344454647[[#This Row],[ALIŞ]]</f>
        <v>225</v>
      </c>
      <c r="H12" s="11">
        <f>Tablo14567891011121314151617181920212223242526272829303132333435363738394041424344454647[[#This Row],[ADET]]*Tablo14567891011121314151617181920212223242526272829303132333435363738394041424344454647[[#This Row],[SATIŞ]]</f>
        <v>225</v>
      </c>
    </row>
    <row r="13" spans="2:18" ht="21" customHeight="1" x14ac:dyDescent="0.3">
      <c r="B13" s="2">
        <v>45331</v>
      </c>
      <c r="C13" s="6">
        <v>20</v>
      </c>
      <c r="D13" s="10">
        <v>45.5</v>
      </c>
      <c r="E13" s="10">
        <v>45</v>
      </c>
      <c r="F13" s="9">
        <f>IF(Tablo14567891011121314151617181920212223242526272829303132333435363738394041424344454647[[#This Row],[SATIŞ]]=0,"Açık",(E13-D13)*C13)</f>
        <v>-10</v>
      </c>
      <c r="G13" s="11">
        <f>Tablo14567891011121314151617181920212223242526272829303132333435363738394041424344454647[[#This Row],[ADET]]*Tablo14567891011121314151617181920212223242526272829303132333435363738394041424344454647[[#This Row],[ALIŞ]]</f>
        <v>910</v>
      </c>
      <c r="H13" s="11">
        <f>Tablo14567891011121314151617181920212223242526272829303132333435363738394041424344454647[[#This Row],[ADET]]*Tablo14567891011121314151617181920212223242526272829303132333435363738394041424344454647[[#This Row],[SATIŞ]]</f>
        <v>900</v>
      </c>
    </row>
    <row r="14" spans="2:18" ht="21" customHeight="1" x14ac:dyDescent="0.3">
      <c r="B14" s="2">
        <v>45331</v>
      </c>
      <c r="C14" s="6">
        <v>20</v>
      </c>
      <c r="D14" s="10">
        <v>45.3</v>
      </c>
      <c r="E14" s="10">
        <v>45</v>
      </c>
      <c r="F14" s="9">
        <f>IF(Tablo14567891011121314151617181920212223242526272829303132333435363738394041424344454647[[#This Row],[SATIŞ]]=0,"Açık",(E14-D14)*C14)</f>
        <v>-5.9999999999999432</v>
      </c>
      <c r="G14" s="11">
        <f>Tablo14567891011121314151617181920212223242526272829303132333435363738394041424344454647[[#This Row],[ADET]]*Tablo14567891011121314151617181920212223242526272829303132333435363738394041424344454647[[#This Row],[ALIŞ]]</f>
        <v>906</v>
      </c>
      <c r="H14" s="11">
        <f>Tablo14567891011121314151617181920212223242526272829303132333435363738394041424344454647[[#This Row],[ADET]]*Tablo14567891011121314151617181920212223242526272829303132333435363738394041424344454647[[#This Row],[SATIŞ]]</f>
        <v>900</v>
      </c>
    </row>
    <row r="15" spans="2:18" ht="21" customHeight="1" x14ac:dyDescent="0.3">
      <c r="B15" s="2">
        <v>45334</v>
      </c>
      <c r="C15" s="6">
        <v>10</v>
      </c>
      <c r="D15" s="10">
        <v>45.5</v>
      </c>
      <c r="E15" s="10">
        <v>45.7</v>
      </c>
      <c r="F15" s="9">
        <f>IF(Tablo14567891011121314151617181920212223242526272829303132333435363738394041424344454647[[#This Row],[SATIŞ]]=0,"Açık",(E15-D15)*C15)</f>
        <v>2.0000000000000284</v>
      </c>
      <c r="G15" s="11">
        <f>Tablo14567891011121314151617181920212223242526272829303132333435363738394041424344454647[[#This Row],[ADET]]*Tablo14567891011121314151617181920212223242526272829303132333435363738394041424344454647[[#This Row],[ALIŞ]]</f>
        <v>455</v>
      </c>
      <c r="H15" s="11">
        <f>Tablo14567891011121314151617181920212223242526272829303132333435363738394041424344454647[[#This Row],[ADET]]*Tablo14567891011121314151617181920212223242526272829303132333435363738394041424344454647[[#This Row],[SATIŞ]]</f>
        <v>457</v>
      </c>
    </row>
    <row r="16" spans="2:18" ht="21" customHeight="1" x14ac:dyDescent="0.3">
      <c r="B16" s="2">
        <v>45334</v>
      </c>
      <c r="C16" s="6">
        <v>10</v>
      </c>
      <c r="D16" s="10">
        <v>45.3</v>
      </c>
      <c r="E16" s="10">
        <v>45.7</v>
      </c>
      <c r="F16" s="9">
        <f>IF(Tablo14567891011121314151617181920212223242526272829303132333435363738394041424344454647[[#This Row],[SATIŞ]]=0,"Açık",(E16-D16)*C16)</f>
        <v>4.0000000000000568</v>
      </c>
      <c r="G16" s="11">
        <f>Tablo14567891011121314151617181920212223242526272829303132333435363738394041424344454647[[#This Row],[ADET]]*Tablo14567891011121314151617181920212223242526272829303132333435363738394041424344454647[[#This Row],[ALIŞ]]</f>
        <v>453</v>
      </c>
      <c r="H16" s="11">
        <f>Tablo14567891011121314151617181920212223242526272829303132333435363738394041424344454647[[#This Row],[ADET]]*Tablo14567891011121314151617181920212223242526272829303132333435363738394041424344454647[[#This Row],[SATIŞ]]</f>
        <v>457</v>
      </c>
    </row>
    <row r="17" spans="2:8" ht="21" customHeight="1" x14ac:dyDescent="0.3">
      <c r="B17" s="2">
        <v>45335</v>
      </c>
      <c r="C17" s="6">
        <v>35</v>
      </c>
      <c r="D17" s="10">
        <v>45</v>
      </c>
      <c r="E17" s="10">
        <v>45</v>
      </c>
      <c r="F17" s="9">
        <f>IF(Tablo14567891011121314151617181920212223242526272829303132333435363738394041424344454647[[#This Row],[SATIŞ]]=0,"Açık",(E17-D17)*C17)</f>
        <v>0</v>
      </c>
      <c r="G17" s="11">
        <f>Tablo14567891011121314151617181920212223242526272829303132333435363738394041424344454647[[#This Row],[ADET]]*Tablo14567891011121314151617181920212223242526272829303132333435363738394041424344454647[[#This Row],[ALIŞ]]</f>
        <v>1575</v>
      </c>
      <c r="H17" s="11">
        <f>Tablo14567891011121314151617181920212223242526272829303132333435363738394041424344454647[[#This Row],[ADET]]*Tablo14567891011121314151617181920212223242526272829303132333435363738394041424344454647[[#This Row],[SATIŞ]]</f>
        <v>1575</v>
      </c>
    </row>
    <row r="18" spans="2:8" ht="21" customHeight="1" x14ac:dyDescent="0.3">
      <c r="B18" s="2">
        <v>45335</v>
      </c>
      <c r="C18" s="6">
        <v>20</v>
      </c>
      <c r="D18" s="10">
        <v>44</v>
      </c>
      <c r="E18" s="10">
        <v>44.2</v>
      </c>
      <c r="F18" s="9">
        <f>IF(Tablo14567891011121314151617181920212223242526272829303132333435363738394041424344454647[[#This Row],[SATIŞ]]=0,"Açık",(E18-D18)*C18)</f>
        <v>4.0000000000000568</v>
      </c>
      <c r="G18" s="11">
        <f>Tablo14567891011121314151617181920212223242526272829303132333435363738394041424344454647[[#This Row],[ADET]]*Tablo14567891011121314151617181920212223242526272829303132333435363738394041424344454647[[#This Row],[ALIŞ]]</f>
        <v>880</v>
      </c>
      <c r="H18" s="11">
        <f>Tablo14567891011121314151617181920212223242526272829303132333435363738394041424344454647[[#This Row],[ADET]]*Tablo14567891011121314151617181920212223242526272829303132333435363738394041424344454647[[#This Row],[SATIŞ]]</f>
        <v>884</v>
      </c>
    </row>
    <row r="19" spans="2:8" ht="21" customHeight="1" x14ac:dyDescent="0.3">
      <c r="B19" s="2">
        <v>45335</v>
      </c>
      <c r="C19" s="6">
        <v>30</v>
      </c>
      <c r="D19" s="10">
        <v>44</v>
      </c>
      <c r="E19" s="10">
        <v>45.7</v>
      </c>
      <c r="F19" s="9">
        <f>IF(Tablo14567891011121314151617181920212223242526272829303132333435363738394041424344454647[[#This Row],[SATIŞ]]=0,"Açık",(E19-D19)*C19)</f>
        <v>51.000000000000085</v>
      </c>
      <c r="G19" s="11">
        <f>Tablo14567891011121314151617181920212223242526272829303132333435363738394041424344454647[[#This Row],[ADET]]*Tablo14567891011121314151617181920212223242526272829303132333435363738394041424344454647[[#This Row],[ALIŞ]]</f>
        <v>1320</v>
      </c>
      <c r="H19" s="11">
        <f>Tablo14567891011121314151617181920212223242526272829303132333435363738394041424344454647[[#This Row],[ADET]]*Tablo14567891011121314151617181920212223242526272829303132333435363738394041424344454647[[#This Row],[SATIŞ]]</f>
        <v>1371</v>
      </c>
    </row>
    <row r="20" spans="2:8" ht="21" customHeight="1" x14ac:dyDescent="0.3">
      <c r="B20" s="2">
        <v>45336</v>
      </c>
      <c r="C20" s="6">
        <v>30</v>
      </c>
      <c r="D20" s="10">
        <v>44</v>
      </c>
      <c r="E20" s="10">
        <v>44.5</v>
      </c>
      <c r="F20" s="9">
        <f>IF(Tablo14567891011121314151617181920212223242526272829303132333435363738394041424344454647[[#This Row],[SATIŞ]]=0,"Açık",(E20-D20)*C20)</f>
        <v>15</v>
      </c>
      <c r="G20" s="11">
        <f>Tablo14567891011121314151617181920212223242526272829303132333435363738394041424344454647[[#This Row],[ADET]]*Tablo14567891011121314151617181920212223242526272829303132333435363738394041424344454647[[#This Row],[ALIŞ]]</f>
        <v>1320</v>
      </c>
      <c r="H20" s="11">
        <f>Tablo14567891011121314151617181920212223242526272829303132333435363738394041424344454647[[#This Row],[ADET]]*Tablo14567891011121314151617181920212223242526272829303132333435363738394041424344454647[[#This Row],[SATIŞ]]</f>
        <v>1335</v>
      </c>
    </row>
    <row r="21" spans="2:8" ht="21" customHeight="1" x14ac:dyDescent="0.3">
      <c r="B21" s="2">
        <v>45336</v>
      </c>
      <c r="C21" s="6">
        <v>40</v>
      </c>
      <c r="D21" s="10">
        <v>43.82</v>
      </c>
      <c r="E21" s="10">
        <v>44.5</v>
      </c>
      <c r="F21" s="9">
        <f>IF(Tablo14567891011121314151617181920212223242526272829303132333435363738394041424344454647[[#This Row],[SATIŞ]]=0,"Açık",(E21-D21)*C21)</f>
        <v>27.199999999999989</v>
      </c>
      <c r="G21" s="11">
        <f>Tablo14567891011121314151617181920212223242526272829303132333435363738394041424344454647[[#This Row],[ADET]]*Tablo14567891011121314151617181920212223242526272829303132333435363738394041424344454647[[#This Row],[ALIŞ]]</f>
        <v>1752.8</v>
      </c>
      <c r="H21" s="11">
        <f>Tablo14567891011121314151617181920212223242526272829303132333435363738394041424344454647[[#This Row],[ADET]]*Tablo14567891011121314151617181920212223242526272829303132333435363738394041424344454647[[#This Row],[SATIŞ]]</f>
        <v>1780</v>
      </c>
    </row>
  </sheetData>
  <conditionalFormatting sqref="B4:F21">
    <cfRule type="expression" dxfId="29" priority="1">
      <formula>$F4&lt;0</formula>
    </cfRule>
    <cfRule type="expression" dxfId="28" priority="2">
      <formula>$F4="Açık"</formula>
    </cfRule>
    <cfRule type="expression" dxfId="27" priority="3">
      <formula>$F4&gt;0</formula>
    </cfRule>
  </conditionalFormatting>
  <hyperlinks>
    <hyperlink ref="B1" location="İcmal!A1" display="ANA SAYFA" xr:uid="{55D0A449-AC15-4204-A6C6-E47D4F1B0FB8}"/>
  </hyperlinks>
  <pageMargins left="0.7" right="0.7" top="0.75" bottom="0.75" header="0.3" footer="0.3"/>
  <tableParts count="1">
    <tablePart r:id="rId1"/>
  </tablePart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61B51-34E1-4E71-AAE5-DF720C706115}">
  <sheetPr>
    <tabColor rgb="FF2FFF8D"/>
  </sheetPr>
  <dimension ref="B1:R49"/>
  <sheetViews>
    <sheetView showGridLines="0" showZeros="0" zoomScale="110" zoomScaleNormal="110" workbookViewId="0">
      <pane ySplit="3" topLeftCell="A4" activePane="bottomLeft" state="frozen"/>
      <selection pane="bottomLeft" activeCell="B8" sqref="B8"/>
    </sheetView>
  </sheetViews>
  <sheetFormatPr defaultRowHeight="21" customHeight="1" x14ac:dyDescent="0.3"/>
  <cols>
    <col min="2" max="2" width="20.6640625" style="1" customWidth="1"/>
    <col min="3" max="3" width="11.33203125" style="6" customWidth="1"/>
    <col min="4" max="5" width="12.88671875" style="3" customWidth="1"/>
    <col min="6" max="6" width="12.88671875" style="5" customWidth="1"/>
    <col min="7" max="8" width="11.6640625" bestFit="1" customWidth="1"/>
    <col min="10" max="12" width="12.44140625" customWidth="1"/>
    <col min="13" max="13" width="12.6640625" bestFit="1" customWidth="1"/>
    <col min="14" max="14" width="11.6640625" bestFit="1" customWidth="1"/>
  </cols>
  <sheetData>
    <row r="1" spans="2:18" ht="21" customHeight="1" x14ac:dyDescent="0.3">
      <c r="B1" s="12" t="s">
        <v>64</v>
      </c>
      <c r="C1" s="4">
        <f>SUMIF(Tablo14567891011121314151617181920212223242526272829303132333435363738394041424344454647596870[KAR],"Açık",Tablo14567891011121314151617181920212223242526272829303132333435363738394041424344454647596870[ADET])</f>
        <v>400</v>
      </c>
      <c r="D1" s="10">
        <f>+İcmal!E62</f>
        <v>62.25</v>
      </c>
      <c r="E1" s="10">
        <f>C1*D1</f>
        <v>24900</v>
      </c>
      <c r="F1" s="10">
        <f>IFERROR(((SUM(Tablo14567891011121314151617181920212223242526272829303132333435363738394041424344454647596870[ALIŞ TUTAR])-SUM(Tablo14567891011121314151617181920212223242526272829303132333435363738394041424344454647596870[SATIŞ TUTAR]))/C1),"")</f>
        <v>69</v>
      </c>
      <c r="G1" s="10">
        <f>IF(M3=0,L3,C1*(D1-F1))</f>
        <v>-2700</v>
      </c>
      <c r="J1" s="45" t="s">
        <v>94</v>
      </c>
      <c r="K1" s="45" t="s">
        <v>95</v>
      </c>
      <c r="L1" s="45" t="s">
        <v>96</v>
      </c>
      <c r="M1" s="33">
        <f>F1</f>
        <v>69</v>
      </c>
      <c r="N1" s="8" t="e">
        <f>M1*(1+$J$1)</f>
        <v>#VALUE!</v>
      </c>
      <c r="P1" s="8" t="e">
        <f>Q1*(1-$J$1)</f>
        <v>#VALUE!</v>
      </c>
      <c r="Q1" s="33">
        <f>+D1</f>
        <v>62.25</v>
      </c>
      <c r="R1" s="8" t="e">
        <f>Q1*(1+$J$1)</f>
        <v>#VALUE!</v>
      </c>
    </row>
    <row r="2" spans="2:18" ht="21" customHeight="1" x14ac:dyDescent="0.3">
      <c r="B2" s="7" t="s">
        <v>131</v>
      </c>
      <c r="J2" s="45">
        <f>SUMIFS(Tablo2[HEDEF2],Tablo2[HİSSE],B2)</f>
        <v>1000</v>
      </c>
      <c r="K2" s="45">
        <f>+E1/İcmal!$P$2</f>
        <v>765.44727943436828</v>
      </c>
      <c r="L2" s="45">
        <f>+J2-K2</f>
        <v>234.55272056563172</v>
      </c>
    </row>
    <row r="3" spans="2:18" ht="21" customHeight="1" x14ac:dyDescent="0.3">
      <c r="B3" s="1" t="s">
        <v>0</v>
      </c>
      <c r="C3" s="6" t="s">
        <v>4</v>
      </c>
      <c r="D3" s="3" t="s">
        <v>1</v>
      </c>
      <c r="E3" s="3" t="s">
        <v>3</v>
      </c>
      <c r="F3" s="5" t="s">
        <v>2</v>
      </c>
      <c r="G3" s="3" t="s">
        <v>8</v>
      </c>
      <c r="H3" s="3" t="s">
        <v>9</v>
      </c>
      <c r="L3" s="33">
        <f>SUM(Tablo14567891011121314151617181920212223242526272829303132333435363738394041424344454647596870[KAR])</f>
        <v>0</v>
      </c>
      <c r="M3" s="37">
        <f>C1</f>
        <v>400</v>
      </c>
    </row>
    <row r="4" spans="2:18" ht="21" customHeight="1" x14ac:dyDescent="0.3">
      <c r="B4" s="2">
        <v>45391</v>
      </c>
      <c r="C4" s="6">
        <v>100</v>
      </c>
      <c r="D4" s="10">
        <v>71.5</v>
      </c>
      <c r="E4" s="10"/>
      <c r="F4" s="9" t="str">
        <f>IF(Tablo14567891011121314151617181920212223242526272829303132333435363738394041424344454647596870[[#This Row],[SATIŞ]]=0,"Açık",(E4-D4)*C4)</f>
        <v>Açık</v>
      </c>
      <c r="G4" s="11">
        <f>Tablo14567891011121314151617181920212223242526272829303132333435363738394041424344454647596870[[#This Row],[ADET]]*Tablo14567891011121314151617181920212223242526272829303132333435363738394041424344454647596870[[#This Row],[ALIŞ]]</f>
        <v>7150</v>
      </c>
      <c r="H4" s="11">
        <f>Tablo14567891011121314151617181920212223242526272829303132333435363738394041424344454647596870[[#This Row],[ADET]]*Tablo14567891011121314151617181920212223242526272829303132333435363738394041424344454647596870[[#This Row],[SATIŞ]]</f>
        <v>0</v>
      </c>
      <c r="L4" s="8">
        <f>SUM(Tablo14567891011121314151617181920212223242526272829303132333435363738394041424344454647596870[ALIŞ TUTAR])</f>
        <v>27600</v>
      </c>
      <c r="M4" s="8">
        <f>SUM(Tablo14567891011121314151617181920212223242526272829303132333435363738394041424344454647596870[SATIŞ TUTAR])</f>
        <v>0</v>
      </c>
      <c r="N4" s="8">
        <f>L4-M4</f>
        <v>27600</v>
      </c>
    </row>
    <row r="5" spans="2:18" ht="21" customHeight="1" x14ac:dyDescent="0.3">
      <c r="B5" s="2">
        <v>45397</v>
      </c>
      <c r="C5" s="6">
        <v>100</v>
      </c>
      <c r="D5" s="10">
        <v>68</v>
      </c>
      <c r="E5" s="10"/>
      <c r="F5" s="9" t="str">
        <f>IF(Tablo14567891011121314151617181920212223242526272829303132333435363738394041424344454647596870[[#This Row],[SATIŞ]]=0,"Açık",(E5-D5)*C5)</f>
        <v>Açık</v>
      </c>
      <c r="G5" s="11">
        <f>Tablo14567891011121314151617181920212223242526272829303132333435363738394041424344454647596870[[#This Row],[ADET]]*Tablo14567891011121314151617181920212223242526272829303132333435363738394041424344454647596870[[#This Row],[ALIŞ]]</f>
        <v>6800</v>
      </c>
      <c r="H5" s="11">
        <f>Tablo14567891011121314151617181920212223242526272829303132333435363738394041424344454647596870[[#This Row],[ADET]]*Tablo14567891011121314151617181920212223242526272829303132333435363738394041424344454647596870[[#This Row],[SATIŞ]]</f>
        <v>0</v>
      </c>
      <c r="N5">
        <f>+N4/80</f>
        <v>345</v>
      </c>
    </row>
    <row r="6" spans="2:18" ht="21" customHeight="1" x14ac:dyDescent="0.3">
      <c r="B6" s="2">
        <v>45397</v>
      </c>
      <c r="C6" s="6">
        <v>100</v>
      </c>
      <c r="D6" s="10">
        <v>70</v>
      </c>
      <c r="E6" s="10"/>
      <c r="F6" s="9" t="str">
        <f>IF(Tablo14567891011121314151617181920212223242526272829303132333435363738394041424344454647596870[[#This Row],[SATIŞ]]=0,"Açık",(E6-D6)*C6)</f>
        <v>Açık</v>
      </c>
      <c r="G6" s="11">
        <f>Tablo14567891011121314151617181920212223242526272829303132333435363738394041424344454647596870[[#This Row],[ADET]]*Tablo14567891011121314151617181920212223242526272829303132333435363738394041424344454647596870[[#This Row],[ALIŞ]]</f>
        <v>7000</v>
      </c>
      <c r="H6" s="11">
        <f>Tablo14567891011121314151617181920212223242526272829303132333435363738394041424344454647596870[[#This Row],[ADET]]*Tablo14567891011121314151617181920212223242526272829303132333435363738394041424344454647596870[[#This Row],[SATIŞ]]</f>
        <v>0</v>
      </c>
    </row>
    <row r="7" spans="2:18" ht="21" customHeight="1" x14ac:dyDescent="0.3">
      <c r="B7" s="2">
        <v>45399</v>
      </c>
      <c r="C7" s="6">
        <v>100</v>
      </c>
      <c r="D7" s="10">
        <v>66.5</v>
      </c>
      <c r="E7" s="10"/>
      <c r="F7" s="9" t="str">
        <f>IF(Tablo14567891011121314151617181920212223242526272829303132333435363738394041424344454647596870[[#This Row],[SATIŞ]]=0,"Açık",(E7-D7)*C7)</f>
        <v>Açık</v>
      </c>
      <c r="G7" s="11">
        <f>Tablo14567891011121314151617181920212223242526272829303132333435363738394041424344454647596870[[#This Row],[ADET]]*Tablo14567891011121314151617181920212223242526272829303132333435363738394041424344454647596870[[#This Row],[ALIŞ]]</f>
        <v>6650</v>
      </c>
      <c r="H7" s="11">
        <f>Tablo14567891011121314151617181920212223242526272829303132333435363738394041424344454647596870[[#This Row],[ADET]]*Tablo14567891011121314151617181920212223242526272829303132333435363738394041424344454647596870[[#This Row],[SATIŞ]]</f>
        <v>0</v>
      </c>
      <c r="J7" s="40">
        <f t="shared" ref="J7:J45" si="0">IF(E7=0,D7*1.05,"")</f>
        <v>69.825000000000003</v>
      </c>
    </row>
    <row r="8" spans="2:18" ht="21" customHeight="1" x14ac:dyDescent="0.3">
      <c r="B8" s="2"/>
      <c r="D8" s="10"/>
      <c r="E8" s="10"/>
      <c r="F8" s="9" t="str">
        <f>IF(Tablo14567891011121314151617181920212223242526272829303132333435363738394041424344454647596870[[#This Row],[SATIŞ]]=0,"Açık",(E8-D8)*C8)</f>
        <v>Açık</v>
      </c>
      <c r="G8" s="11">
        <f>Tablo14567891011121314151617181920212223242526272829303132333435363738394041424344454647596870[[#This Row],[ADET]]*Tablo14567891011121314151617181920212223242526272829303132333435363738394041424344454647596870[[#This Row],[ALIŞ]]</f>
        <v>0</v>
      </c>
      <c r="H8" s="11">
        <f>Tablo14567891011121314151617181920212223242526272829303132333435363738394041424344454647596870[[#This Row],[ADET]]*Tablo14567891011121314151617181920212223242526272829303132333435363738394041424344454647596870[[#This Row],[SATIŞ]]</f>
        <v>0</v>
      </c>
      <c r="J8" s="40">
        <f t="shared" si="0"/>
        <v>0</v>
      </c>
    </row>
    <row r="9" spans="2:18" ht="21" customHeight="1" x14ac:dyDescent="0.3">
      <c r="B9" s="2"/>
      <c r="D9" s="10"/>
      <c r="E9" s="10"/>
      <c r="F9" s="9" t="str">
        <f>IF(Tablo14567891011121314151617181920212223242526272829303132333435363738394041424344454647596870[[#This Row],[SATIŞ]]=0,"Açık",(E9-D9)*C9)</f>
        <v>Açık</v>
      </c>
      <c r="G9" s="11">
        <f>Tablo14567891011121314151617181920212223242526272829303132333435363738394041424344454647596870[[#This Row],[ADET]]*Tablo14567891011121314151617181920212223242526272829303132333435363738394041424344454647596870[[#This Row],[ALIŞ]]</f>
        <v>0</v>
      </c>
      <c r="H9" s="11">
        <f>Tablo14567891011121314151617181920212223242526272829303132333435363738394041424344454647596870[[#This Row],[ADET]]*Tablo14567891011121314151617181920212223242526272829303132333435363738394041424344454647596870[[#This Row],[SATIŞ]]</f>
        <v>0</v>
      </c>
      <c r="J9" s="40"/>
    </row>
    <row r="10" spans="2:18" ht="21" customHeight="1" x14ac:dyDescent="0.3">
      <c r="B10" s="2"/>
      <c r="D10" s="10"/>
      <c r="E10" s="10"/>
      <c r="F10" s="9" t="str">
        <f>IF(Tablo14567891011121314151617181920212223242526272829303132333435363738394041424344454647596870[[#This Row],[SATIŞ]]=0,"Açık",(E10-D10)*C10)</f>
        <v>Açık</v>
      </c>
      <c r="G10" s="11">
        <f>Tablo14567891011121314151617181920212223242526272829303132333435363738394041424344454647596870[[#This Row],[ADET]]*Tablo14567891011121314151617181920212223242526272829303132333435363738394041424344454647596870[[#This Row],[ALIŞ]]</f>
        <v>0</v>
      </c>
      <c r="H10" s="11">
        <f>Tablo14567891011121314151617181920212223242526272829303132333435363738394041424344454647596870[[#This Row],[ADET]]*Tablo14567891011121314151617181920212223242526272829303132333435363738394041424344454647596870[[#This Row],[SATIŞ]]</f>
        <v>0</v>
      </c>
      <c r="J10" s="40">
        <f t="shared" si="0"/>
        <v>0</v>
      </c>
    </row>
    <row r="11" spans="2:18" ht="21" customHeight="1" x14ac:dyDescent="0.3">
      <c r="B11" s="2"/>
      <c r="D11" s="10"/>
      <c r="E11" s="10"/>
      <c r="F11" s="9" t="str">
        <f>IF(Tablo14567891011121314151617181920212223242526272829303132333435363738394041424344454647596870[[#This Row],[SATIŞ]]=0,"Açık",(E11-D11)*C11)</f>
        <v>Açık</v>
      </c>
      <c r="G11" s="11">
        <f>Tablo14567891011121314151617181920212223242526272829303132333435363738394041424344454647596870[[#This Row],[ADET]]*Tablo14567891011121314151617181920212223242526272829303132333435363738394041424344454647596870[[#This Row],[ALIŞ]]</f>
        <v>0</v>
      </c>
      <c r="H11" s="11">
        <f>Tablo14567891011121314151617181920212223242526272829303132333435363738394041424344454647596870[[#This Row],[ADET]]*Tablo14567891011121314151617181920212223242526272829303132333435363738394041424344454647596870[[#This Row],[SATIŞ]]</f>
        <v>0</v>
      </c>
      <c r="J11" s="40">
        <f t="shared" si="0"/>
        <v>0</v>
      </c>
    </row>
    <row r="12" spans="2:18" ht="21" customHeight="1" x14ac:dyDescent="0.3">
      <c r="B12" s="2"/>
      <c r="D12" s="10"/>
      <c r="E12" s="10"/>
      <c r="F12" s="9" t="str">
        <f>IF(Tablo14567891011121314151617181920212223242526272829303132333435363738394041424344454647596870[[#This Row],[SATIŞ]]=0,"Açık",(E12-D12)*C12)</f>
        <v>Açık</v>
      </c>
      <c r="G12" s="11">
        <f>Tablo14567891011121314151617181920212223242526272829303132333435363738394041424344454647596870[[#This Row],[ADET]]*Tablo14567891011121314151617181920212223242526272829303132333435363738394041424344454647596870[[#This Row],[ALIŞ]]</f>
        <v>0</v>
      </c>
      <c r="H12" s="11">
        <f>Tablo14567891011121314151617181920212223242526272829303132333435363738394041424344454647596870[[#This Row],[ADET]]*Tablo14567891011121314151617181920212223242526272829303132333435363738394041424344454647596870[[#This Row],[SATIŞ]]</f>
        <v>0</v>
      </c>
      <c r="J12" s="40">
        <f t="shared" si="0"/>
        <v>0</v>
      </c>
    </row>
    <row r="13" spans="2:18" ht="21" customHeight="1" x14ac:dyDescent="0.3">
      <c r="B13" s="2"/>
      <c r="D13" s="10"/>
      <c r="E13" s="10"/>
      <c r="F13" s="9" t="str">
        <f>IF(Tablo14567891011121314151617181920212223242526272829303132333435363738394041424344454647596870[[#This Row],[SATIŞ]]=0,"Açık",(E13-D13)*C13)</f>
        <v>Açık</v>
      </c>
      <c r="G13" s="11">
        <f>Tablo14567891011121314151617181920212223242526272829303132333435363738394041424344454647596870[[#This Row],[ADET]]*Tablo14567891011121314151617181920212223242526272829303132333435363738394041424344454647596870[[#This Row],[ALIŞ]]</f>
        <v>0</v>
      </c>
      <c r="H13" s="11">
        <f>Tablo14567891011121314151617181920212223242526272829303132333435363738394041424344454647596870[[#This Row],[ADET]]*Tablo14567891011121314151617181920212223242526272829303132333435363738394041424344454647596870[[#This Row],[SATIŞ]]</f>
        <v>0</v>
      </c>
      <c r="J13" s="40">
        <f t="shared" si="0"/>
        <v>0</v>
      </c>
    </row>
    <row r="14" spans="2:18" ht="21" customHeight="1" x14ac:dyDescent="0.3">
      <c r="B14" s="2"/>
      <c r="D14" s="10"/>
      <c r="E14" s="10"/>
      <c r="F14" s="9" t="str">
        <f>IF(Tablo14567891011121314151617181920212223242526272829303132333435363738394041424344454647596870[[#This Row],[SATIŞ]]=0,"Açık",(E14-D14)*C14)</f>
        <v>Açık</v>
      </c>
      <c r="G14" s="11">
        <f>Tablo14567891011121314151617181920212223242526272829303132333435363738394041424344454647596870[[#This Row],[ADET]]*Tablo14567891011121314151617181920212223242526272829303132333435363738394041424344454647596870[[#This Row],[ALIŞ]]</f>
        <v>0</v>
      </c>
      <c r="H14" s="11">
        <f>Tablo14567891011121314151617181920212223242526272829303132333435363738394041424344454647596870[[#This Row],[ADET]]*Tablo14567891011121314151617181920212223242526272829303132333435363738394041424344454647596870[[#This Row],[SATIŞ]]</f>
        <v>0</v>
      </c>
      <c r="J14" s="40">
        <f t="shared" si="0"/>
        <v>0</v>
      </c>
    </row>
    <row r="15" spans="2:18" ht="21" customHeight="1" x14ac:dyDescent="0.3">
      <c r="B15" s="2"/>
      <c r="D15" s="10"/>
      <c r="E15" s="10"/>
      <c r="F15" s="9" t="str">
        <f>IF(Tablo14567891011121314151617181920212223242526272829303132333435363738394041424344454647596870[[#This Row],[SATIŞ]]=0,"Açık",(E15-D15)*C15)</f>
        <v>Açık</v>
      </c>
      <c r="G15" s="11">
        <f>Tablo14567891011121314151617181920212223242526272829303132333435363738394041424344454647596870[[#This Row],[ADET]]*Tablo14567891011121314151617181920212223242526272829303132333435363738394041424344454647596870[[#This Row],[ALIŞ]]</f>
        <v>0</v>
      </c>
      <c r="H15" s="11">
        <f>Tablo14567891011121314151617181920212223242526272829303132333435363738394041424344454647596870[[#This Row],[ADET]]*Tablo14567891011121314151617181920212223242526272829303132333435363738394041424344454647596870[[#This Row],[SATIŞ]]</f>
        <v>0</v>
      </c>
      <c r="J15" s="40">
        <f t="shared" si="0"/>
        <v>0</v>
      </c>
    </row>
    <row r="16" spans="2:18" ht="21" customHeight="1" x14ac:dyDescent="0.3">
      <c r="B16" s="2"/>
      <c r="D16" s="10"/>
      <c r="E16" s="10"/>
      <c r="F16" s="9" t="str">
        <f>IF(Tablo14567891011121314151617181920212223242526272829303132333435363738394041424344454647596870[[#This Row],[SATIŞ]]=0,"Açık",(E16-D16)*C16)</f>
        <v>Açık</v>
      </c>
      <c r="G16" s="11">
        <f>Tablo14567891011121314151617181920212223242526272829303132333435363738394041424344454647596870[[#This Row],[ADET]]*Tablo14567891011121314151617181920212223242526272829303132333435363738394041424344454647596870[[#This Row],[ALIŞ]]</f>
        <v>0</v>
      </c>
      <c r="H16" s="11">
        <f>Tablo14567891011121314151617181920212223242526272829303132333435363738394041424344454647596870[[#This Row],[ADET]]*Tablo14567891011121314151617181920212223242526272829303132333435363738394041424344454647596870[[#This Row],[SATIŞ]]</f>
        <v>0</v>
      </c>
      <c r="J16" s="40">
        <f t="shared" si="0"/>
        <v>0</v>
      </c>
    </row>
    <row r="17" spans="2:10" ht="21" customHeight="1" x14ac:dyDescent="0.3">
      <c r="B17" s="2"/>
      <c r="D17" s="10"/>
      <c r="E17" s="10"/>
      <c r="F17" s="9" t="str">
        <f>IF(Tablo14567891011121314151617181920212223242526272829303132333435363738394041424344454647596870[[#This Row],[SATIŞ]]=0,"Açık",(E17-D17)*C17)</f>
        <v>Açık</v>
      </c>
      <c r="G17" s="11">
        <f>Tablo14567891011121314151617181920212223242526272829303132333435363738394041424344454647596870[[#This Row],[ADET]]*Tablo14567891011121314151617181920212223242526272829303132333435363738394041424344454647596870[[#This Row],[ALIŞ]]</f>
        <v>0</v>
      </c>
      <c r="H17" s="11">
        <f>Tablo14567891011121314151617181920212223242526272829303132333435363738394041424344454647596870[[#This Row],[ADET]]*Tablo14567891011121314151617181920212223242526272829303132333435363738394041424344454647596870[[#This Row],[SATIŞ]]</f>
        <v>0</v>
      </c>
      <c r="J17" s="40">
        <f t="shared" si="0"/>
        <v>0</v>
      </c>
    </row>
    <row r="18" spans="2:10" ht="21" customHeight="1" x14ac:dyDescent="0.3">
      <c r="B18" s="2"/>
      <c r="D18" s="10"/>
      <c r="E18" s="10"/>
      <c r="F18" s="9" t="str">
        <f>IF(Tablo14567891011121314151617181920212223242526272829303132333435363738394041424344454647596870[[#This Row],[SATIŞ]]=0,"Açık",(E18-D18)*C18)</f>
        <v>Açık</v>
      </c>
      <c r="G18" s="11">
        <f>Tablo14567891011121314151617181920212223242526272829303132333435363738394041424344454647596870[[#This Row],[ADET]]*Tablo14567891011121314151617181920212223242526272829303132333435363738394041424344454647596870[[#This Row],[ALIŞ]]</f>
        <v>0</v>
      </c>
      <c r="H18" s="11">
        <f>Tablo14567891011121314151617181920212223242526272829303132333435363738394041424344454647596870[[#This Row],[ADET]]*Tablo14567891011121314151617181920212223242526272829303132333435363738394041424344454647596870[[#This Row],[SATIŞ]]</f>
        <v>0</v>
      </c>
      <c r="J18" s="40">
        <f t="shared" si="0"/>
        <v>0</v>
      </c>
    </row>
    <row r="19" spans="2:10" ht="21" customHeight="1" x14ac:dyDescent="0.3">
      <c r="B19" s="2"/>
      <c r="D19" s="10"/>
      <c r="E19" s="10"/>
      <c r="F19" s="9" t="str">
        <f>IF(Tablo14567891011121314151617181920212223242526272829303132333435363738394041424344454647596870[[#This Row],[SATIŞ]]=0,"Açık",(E19-D19)*C19)</f>
        <v>Açık</v>
      </c>
      <c r="G19" s="11">
        <f>Tablo14567891011121314151617181920212223242526272829303132333435363738394041424344454647596870[[#This Row],[ADET]]*Tablo14567891011121314151617181920212223242526272829303132333435363738394041424344454647596870[[#This Row],[ALIŞ]]</f>
        <v>0</v>
      </c>
      <c r="H19" s="11">
        <f>Tablo14567891011121314151617181920212223242526272829303132333435363738394041424344454647596870[[#This Row],[ADET]]*Tablo14567891011121314151617181920212223242526272829303132333435363738394041424344454647596870[[#This Row],[SATIŞ]]</f>
        <v>0</v>
      </c>
      <c r="J19" s="40">
        <f t="shared" si="0"/>
        <v>0</v>
      </c>
    </row>
    <row r="20" spans="2:10" ht="21" customHeight="1" x14ac:dyDescent="0.3">
      <c r="B20" s="2"/>
      <c r="D20" s="10"/>
      <c r="E20" s="10"/>
      <c r="F20" s="9" t="str">
        <f>IF(Tablo14567891011121314151617181920212223242526272829303132333435363738394041424344454647596870[[#This Row],[SATIŞ]]=0,"Açık",(E20-D20)*C20)</f>
        <v>Açık</v>
      </c>
      <c r="G20" s="11">
        <f>Tablo14567891011121314151617181920212223242526272829303132333435363738394041424344454647596870[[#This Row],[ADET]]*Tablo14567891011121314151617181920212223242526272829303132333435363738394041424344454647596870[[#This Row],[ALIŞ]]</f>
        <v>0</v>
      </c>
      <c r="H20" s="11">
        <f>Tablo14567891011121314151617181920212223242526272829303132333435363738394041424344454647596870[[#This Row],[ADET]]*Tablo14567891011121314151617181920212223242526272829303132333435363738394041424344454647596870[[#This Row],[SATIŞ]]</f>
        <v>0</v>
      </c>
      <c r="J20" s="40">
        <f t="shared" si="0"/>
        <v>0</v>
      </c>
    </row>
    <row r="21" spans="2:10" ht="21" customHeight="1" x14ac:dyDescent="0.3">
      <c r="B21" s="2"/>
      <c r="D21" s="10"/>
      <c r="E21" s="10"/>
      <c r="F21" s="9" t="str">
        <f>IF(Tablo14567891011121314151617181920212223242526272829303132333435363738394041424344454647596870[[#This Row],[SATIŞ]]=0,"Açık",(E21-D21)*C21)</f>
        <v>Açık</v>
      </c>
      <c r="G21" s="11">
        <f>Tablo14567891011121314151617181920212223242526272829303132333435363738394041424344454647596870[[#This Row],[ADET]]*Tablo14567891011121314151617181920212223242526272829303132333435363738394041424344454647596870[[#This Row],[ALIŞ]]</f>
        <v>0</v>
      </c>
      <c r="H21" s="11">
        <f>Tablo14567891011121314151617181920212223242526272829303132333435363738394041424344454647596870[[#This Row],[ADET]]*Tablo14567891011121314151617181920212223242526272829303132333435363738394041424344454647596870[[#This Row],[SATIŞ]]</f>
        <v>0</v>
      </c>
      <c r="J21" s="40">
        <f t="shared" si="0"/>
        <v>0</v>
      </c>
    </row>
    <row r="22" spans="2:10" ht="21" customHeight="1" x14ac:dyDescent="0.3">
      <c r="B22" s="2"/>
      <c r="D22" s="10"/>
      <c r="E22" s="10"/>
      <c r="F22" s="9" t="str">
        <f>IF(Tablo14567891011121314151617181920212223242526272829303132333435363738394041424344454647596870[[#This Row],[SATIŞ]]=0,"Açık",(E22-D22)*C22)</f>
        <v>Açık</v>
      </c>
      <c r="G22" s="11">
        <f>Tablo14567891011121314151617181920212223242526272829303132333435363738394041424344454647596870[[#This Row],[ADET]]*Tablo14567891011121314151617181920212223242526272829303132333435363738394041424344454647596870[[#This Row],[ALIŞ]]</f>
        <v>0</v>
      </c>
      <c r="H22" s="11">
        <f>Tablo14567891011121314151617181920212223242526272829303132333435363738394041424344454647596870[[#This Row],[ADET]]*Tablo14567891011121314151617181920212223242526272829303132333435363738394041424344454647596870[[#This Row],[SATIŞ]]</f>
        <v>0</v>
      </c>
      <c r="J22" s="40">
        <f t="shared" si="0"/>
        <v>0</v>
      </c>
    </row>
    <row r="23" spans="2:10" ht="21" customHeight="1" x14ac:dyDescent="0.3">
      <c r="B23" s="2"/>
      <c r="D23" s="10"/>
      <c r="E23" s="10"/>
      <c r="F23" s="9" t="str">
        <f>IF(Tablo14567891011121314151617181920212223242526272829303132333435363738394041424344454647596870[[#This Row],[SATIŞ]]=0,"Açık",(E23-D23)*C23)</f>
        <v>Açık</v>
      </c>
      <c r="G23" s="11">
        <f>Tablo14567891011121314151617181920212223242526272829303132333435363738394041424344454647596870[[#This Row],[ADET]]*Tablo14567891011121314151617181920212223242526272829303132333435363738394041424344454647596870[[#This Row],[ALIŞ]]</f>
        <v>0</v>
      </c>
      <c r="H23" s="11">
        <f>Tablo14567891011121314151617181920212223242526272829303132333435363738394041424344454647596870[[#This Row],[ADET]]*Tablo14567891011121314151617181920212223242526272829303132333435363738394041424344454647596870[[#This Row],[SATIŞ]]</f>
        <v>0</v>
      </c>
      <c r="J23" s="40">
        <f t="shared" si="0"/>
        <v>0</v>
      </c>
    </row>
    <row r="24" spans="2:10" ht="21" customHeight="1" x14ac:dyDescent="0.3">
      <c r="B24" s="2"/>
      <c r="D24" s="10"/>
      <c r="E24" s="10"/>
      <c r="F24" s="9" t="str">
        <f>IF(Tablo14567891011121314151617181920212223242526272829303132333435363738394041424344454647596870[[#This Row],[SATIŞ]]=0,"Açık",(E24-D24)*C24)</f>
        <v>Açık</v>
      </c>
      <c r="G24" s="11">
        <f>Tablo14567891011121314151617181920212223242526272829303132333435363738394041424344454647596870[[#This Row],[ADET]]*Tablo14567891011121314151617181920212223242526272829303132333435363738394041424344454647596870[[#This Row],[ALIŞ]]</f>
        <v>0</v>
      </c>
      <c r="H24" s="11">
        <f>Tablo14567891011121314151617181920212223242526272829303132333435363738394041424344454647596870[[#This Row],[ADET]]*Tablo14567891011121314151617181920212223242526272829303132333435363738394041424344454647596870[[#This Row],[SATIŞ]]</f>
        <v>0</v>
      </c>
      <c r="J24" s="40">
        <f t="shared" si="0"/>
        <v>0</v>
      </c>
    </row>
    <row r="25" spans="2:10" ht="21" customHeight="1" x14ac:dyDescent="0.3">
      <c r="B25" s="2"/>
      <c r="D25" s="10"/>
      <c r="E25" s="10"/>
      <c r="F25" s="9" t="str">
        <f>IF(Tablo14567891011121314151617181920212223242526272829303132333435363738394041424344454647596870[[#This Row],[SATIŞ]]=0,"Açık",(E25-D25)*C25)</f>
        <v>Açık</v>
      </c>
      <c r="G25" s="11">
        <f>Tablo14567891011121314151617181920212223242526272829303132333435363738394041424344454647596870[[#This Row],[ADET]]*Tablo14567891011121314151617181920212223242526272829303132333435363738394041424344454647596870[[#This Row],[ALIŞ]]</f>
        <v>0</v>
      </c>
      <c r="H25" s="11">
        <f>Tablo14567891011121314151617181920212223242526272829303132333435363738394041424344454647596870[[#This Row],[ADET]]*Tablo14567891011121314151617181920212223242526272829303132333435363738394041424344454647596870[[#This Row],[SATIŞ]]</f>
        <v>0</v>
      </c>
      <c r="J25" s="40">
        <f t="shared" si="0"/>
        <v>0</v>
      </c>
    </row>
    <row r="26" spans="2:10" ht="21" customHeight="1" x14ac:dyDescent="0.3">
      <c r="B26" s="2"/>
      <c r="D26" s="10"/>
      <c r="E26" s="10"/>
      <c r="F26" s="9" t="str">
        <f>IF(Tablo14567891011121314151617181920212223242526272829303132333435363738394041424344454647596870[[#This Row],[SATIŞ]]=0,"Açık",(E26-D26)*C26)</f>
        <v>Açık</v>
      </c>
      <c r="G26" s="11">
        <f>Tablo14567891011121314151617181920212223242526272829303132333435363738394041424344454647596870[[#This Row],[ADET]]*Tablo14567891011121314151617181920212223242526272829303132333435363738394041424344454647596870[[#This Row],[ALIŞ]]</f>
        <v>0</v>
      </c>
      <c r="H26" s="11">
        <f>Tablo14567891011121314151617181920212223242526272829303132333435363738394041424344454647596870[[#This Row],[ADET]]*Tablo14567891011121314151617181920212223242526272829303132333435363738394041424344454647596870[[#This Row],[SATIŞ]]</f>
        <v>0</v>
      </c>
      <c r="J26" s="40">
        <f t="shared" si="0"/>
        <v>0</v>
      </c>
    </row>
    <row r="27" spans="2:10" ht="21" customHeight="1" x14ac:dyDescent="0.3">
      <c r="B27" s="2"/>
      <c r="D27" s="10"/>
      <c r="E27" s="10"/>
      <c r="F27" s="9" t="str">
        <f>IF(Tablo14567891011121314151617181920212223242526272829303132333435363738394041424344454647596870[[#This Row],[SATIŞ]]=0,"Açık",(E27-D27)*C27)</f>
        <v>Açık</v>
      </c>
      <c r="G27" s="11">
        <f>Tablo14567891011121314151617181920212223242526272829303132333435363738394041424344454647596870[[#This Row],[ADET]]*Tablo14567891011121314151617181920212223242526272829303132333435363738394041424344454647596870[[#This Row],[ALIŞ]]</f>
        <v>0</v>
      </c>
      <c r="H27" s="11">
        <f>Tablo14567891011121314151617181920212223242526272829303132333435363738394041424344454647596870[[#This Row],[ADET]]*Tablo14567891011121314151617181920212223242526272829303132333435363738394041424344454647596870[[#This Row],[SATIŞ]]</f>
        <v>0</v>
      </c>
      <c r="J27" s="40">
        <f t="shared" si="0"/>
        <v>0</v>
      </c>
    </row>
    <row r="28" spans="2:10" ht="21" customHeight="1" x14ac:dyDescent="0.3">
      <c r="B28" s="2"/>
      <c r="D28" s="10"/>
      <c r="E28" s="10"/>
      <c r="F28" s="9" t="str">
        <f>IF(Tablo14567891011121314151617181920212223242526272829303132333435363738394041424344454647596870[[#This Row],[SATIŞ]]=0,"Açık",(E28-D28)*C28)</f>
        <v>Açık</v>
      </c>
      <c r="G28" s="11">
        <f>Tablo14567891011121314151617181920212223242526272829303132333435363738394041424344454647596870[[#This Row],[ADET]]*Tablo14567891011121314151617181920212223242526272829303132333435363738394041424344454647596870[[#This Row],[ALIŞ]]</f>
        <v>0</v>
      </c>
      <c r="H28" s="11">
        <f>Tablo14567891011121314151617181920212223242526272829303132333435363738394041424344454647596870[[#This Row],[ADET]]*Tablo14567891011121314151617181920212223242526272829303132333435363738394041424344454647596870[[#This Row],[SATIŞ]]</f>
        <v>0</v>
      </c>
      <c r="J28" s="40">
        <f t="shared" si="0"/>
        <v>0</v>
      </c>
    </row>
    <row r="29" spans="2:10" ht="21" customHeight="1" x14ac:dyDescent="0.3">
      <c r="B29" s="2"/>
      <c r="D29" s="10"/>
      <c r="E29" s="10"/>
      <c r="F29" s="9" t="str">
        <f>IF(Tablo14567891011121314151617181920212223242526272829303132333435363738394041424344454647596870[[#This Row],[SATIŞ]]=0,"Açık",(E29-D29)*C29)</f>
        <v>Açık</v>
      </c>
      <c r="G29" s="11">
        <f>Tablo14567891011121314151617181920212223242526272829303132333435363738394041424344454647596870[[#This Row],[ADET]]*Tablo14567891011121314151617181920212223242526272829303132333435363738394041424344454647596870[[#This Row],[ALIŞ]]</f>
        <v>0</v>
      </c>
      <c r="H29" s="11">
        <f>Tablo14567891011121314151617181920212223242526272829303132333435363738394041424344454647596870[[#This Row],[ADET]]*Tablo14567891011121314151617181920212223242526272829303132333435363738394041424344454647596870[[#This Row],[SATIŞ]]</f>
        <v>0</v>
      </c>
      <c r="J29" s="40">
        <f t="shared" si="0"/>
        <v>0</v>
      </c>
    </row>
    <row r="30" spans="2:10" ht="21" customHeight="1" x14ac:dyDescent="0.3">
      <c r="B30" s="2"/>
      <c r="D30" s="10"/>
      <c r="E30" s="10"/>
      <c r="F30" s="9" t="str">
        <f>IF(Tablo14567891011121314151617181920212223242526272829303132333435363738394041424344454647596870[[#This Row],[SATIŞ]]=0,"Açık",(E30-D30)*C30)</f>
        <v>Açık</v>
      </c>
      <c r="G30" s="11">
        <f>Tablo14567891011121314151617181920212223242526272829303132333435363738394041424344454647596870[[#This Row],[ADET]]*Tablo14567891011121314151617181920212223242526272829303132333435363738394041424344454647596870[[#This Row],[ALIŞ]]</f>
        <v>0</v>
      </c>
      <c r="H30" s="11">
        <f>Tablo14567891011121314151617181920212223242526272829303132333435363738394041424344454647596870[[#This Row],[ADET]]*Tablo14567891011121314151617181920212223242526272829303132333435363738394041424344454647596870[[#This Row],[SATIŞ]]</f>
        <v>0</v>
      </c>
      <c r="J30" s="40">
        <f t="shared" si="0"/>
        <v>0</v>
      </c>
    </row>
    <row r="31" spans="2:10" ht="21" customHeight="1" x14ac:dyDescent="0.3">
      <c r="B31" s="2"/>
      <c r="D31" s="10"/>
      <c r="E31" s="10"/>
      <c r="F31" s="9" t="str">
        <f>IF(Tablo14567891011121314151617181920212223242526272829303132333435363738394041424344454647596870[[#This Row],[SATIŞ]]=0,"Açık",(E31-D31)*C31)</f>
        <v>Açık</v>
      </c>
      <c r="G31" s="11">
        <f>Tablo14567891011121314151617181920212223242526272829303132333435363738394041424344454647596870[[#This Row],[ADET]]*Tablo14567891011121314151617181920212223242526272829303132333435363738394041424344454647596870[[#This Row],[ALIŞ]]</f>
        <v>0</v>
      </c>
      <c r="H31" s="11">
        <f>Tablo14567891011121314151617181920212223242526272829303132333435363738394041424344454647596870[[#This Row],[ADET]]*Tablo14567891011121314151617181920212223242526272829303132333435363738394041424344454647596870[[#This Row],[SATIŞ]]</f>
        <v>0</v>
      </c>
      <c r="J31" s="40">
        <f t="shared" si="0"/>
        <v>0</v>
      </c>
    </row>
    <row r="32" spans="2:10" ht="21" customHeight="1" x14ac:dyDescent="0.3">
      <c r="B32" s="2"/>
      <c r="D32" s="10"/>
      <c r="E32" s="10"/>
      <c r="F32" s="9" t="str">
        <f>IF(Tablo14567891011121314151617181920212223242526272829303132333435363738394041424344454647596870[[#This Row],[SATIŞ]]=0,"Açık",(E32-D32)*C32)</f>
        <v>Açık</v>
      </c>
      <c r="G32" s="11">
        <f>Tablo14567891011121314151617181920212223242526272829303132333435363738394041424344454647596870[[#This Row],[ADET]]*Tablo14567891011121314151617181920212223242526272829303132333435363738394041424344454647596870[[#This Row],[ALIŞ]]</f>
        <v>0</v>
      </c>
      <c r="H32" s="11">
        <f>Tablo14567891011121314151617181920212223242526272829303132333435363738394041424344454647596870[[#This Row],[ADET]]*Tablo14567891011121314151617181920212223242526272829303132333435363738394041424344454647596870[[#This Row],[SATIŞ]]</f>
        <v>0</v>
      </c>
      <c r="J32" s="40">
        <f t="shared" si="0"/>
        <v>0</v>
      </c>
    </row>
    <row r="33" spans="2:10" ht="21" customHeight="1" x14ac:dyDescent="0.3">
      <c r="B33" s="2"/>
      <c r="D33" s="10"/>
      <c r="E33" s="10"/>
      <c r="F33" s="9" t="str">
        <f>IF(Tablo14567891011121314151617181920212223242526272829303132333435363738394041424344454647596870[[#This Row],[SATIŞ]]=0,"Açık",(E33-D33)*C33)</f>
        <v>Açık</v>
      </c>
      <c r="G33" s="11">
        <f>Tablo14567891011121314151617181920212223242526272829303132333435363738394041424344454647596870[[#This Row],[ADET]]*Tablo14567891011121314151617181920212223242526272829303132333435363738394041424344454647596870[[#This Row],[ALIŞ]]</f>
        <v>0</v>
      </c>
      <c r="H33" s="11">
        <f>Tablo14567891011121314151617181920212223242526272829303132333435363738394041424344454647596870[[#This Row],[ADET]]*Tablo14567891011121314151617181920212223242526272829303132333435363738394041424344454647596870[[#This Row],[SATIŞ]]</f>
        <v>0</v>
      </c>
      <c r="J33" s="40">
        <f t="shared" si="0"/>
        <v>0</v>
      </c>
    </row>
    <row r="34" spans="2:10" ht="21" customHeight="1" x14ac:dyDescent="0.3">
      <c r="B34" s="2"/>
      <c r="D34" s="10"/>
      <c r="E34" s="10"/>
      <c r="F34" s="9" t="str">
        <f>IF(Tablo14567891011121314151617181920212223242526272829303132333435363738394041424344454647596870[[#This Row],[SATIŞ]]=0,"Açık",(E34-D34)*C34)</f>
        <v>Açık</v>
      </c>
      <c r="G34" s="11">
        <f>Tablo14567891011121314151617181920212223242526272829303132333435363738394041424344454647596870[[#This Row],[ADET]]*Tablo14567891011121314151617181920212223242526272829303132333435363738394041424344454647596870[[#This Row],[ALIŞ]]</f>
        <v>0</v>
      </c>
      <c r="H34" s="11">
        <f>Tablo14567891011121314151617181920212223242526272829303132333435363738394041424344454647596870[[#This Row],[ADET]]*Tablo14567891011121314151617181920212223242526272829303132333435363738394041424344454647596870[[#This Row],[SATIŞ]]</f>
        <v>0</v>
      </c>
      <c r="J34" s="40">
        <f t="shared" si="0"/>
        <v>0</v>
      </c>
    </row>
    <row r="35" spans="2:10" ht="21" customHeight="1" x14ac:dyDescent="0.3">
      <c r="B35" s="2"/>
      <c r="D35" s="10"/>
      <c r="E35" s="10"/>
      <c r="F35" s="9" t="str">
        <f>IF(Tablo14567891011121314151617181920212223242526272829303132333435363738394041424344454647596870[[#This Row],[SATIŞ]]=0,"Açık",(E35-D35)*C35)</f>
        <v>Açık</v>
      </c>
      <c r="G35" s="11">
        <f>Tablo14567891011121314151617181920212223242526272829303132333435363738394041424344454647596870[[#This Row],[ADET]]*Tablo14567891011121314151617181920212223242526272829303132333435363738394041424344454647596870[[#This Row],[ALIŞ]]</f>
        <v>0</v>
      </c>
      <c r="H35" s="11">
        <f>Tablo14567891011121314151617181920212223242526272829303132333435363738394041424344454647596870[[#This Row],[ADET]]*Tablo14567891011121314151617181920212223242526272829303132333435363738394041424344454647596870[[#This Row],[SATIŞ]]</f>
        <v>0</v>
      </c>
      <c r="J35" s="40">
        <f t="shared" si="0"/>
        <v>0</v>
      </c>
    </row>
    <row r="36" spans="2:10" ht="21" customHeight="1" x14ac:dyDescent="0.3">
      <c r="B36" s="2"/>
      <c r="D36" s="10"/>
      <c r="E36" s="10"/>
      <c r="F36" s="9" t="str">
        <f>IF(Tablo14567891011121314151617181920212223242526272829303132333435363738394041424344454647596870[[#This Row],[SATIŞ]]=0,"Açık",(E36-D36)*C36)</f>
        <v>Açık</v>
      </c>
      <c r="G36" s="11">
        <f>Tablo14567891011121314151617181920212223242526272829303132333435363738394041424344454647596870[[#This Row],[ADET]]*Tablo14567891011121314151617181920212223242526272829303132333435363738394041424344454647596870[[#This Row],[ALIŞ]]</f>
        <v>0</v>
      </c>
      <c r="H36" s="11">
        <f>Tablo14567891011121314151617181920212223242526272829303132333435363738394041424344454647596870[[#This Row],[ADET]]*Tablo14567891011121314151617181920212223242526272829303132333435363738394041424344454647596870[[#This Row],[SATIŞ]]</f>
        <v>0</v>
      </c>
      <c r="J36" s="40">
        <f t="shared" si="0"/>
        <v>0</v>
      </c>
    </row>
    <row r="37" spans="2:10" ht="21" customHeight="1" x14ac:dyDescent="0.3">
      <c r="B37" s="2"/>
      <c r="D37" s="10"/>
      <c r="E37" s="10"/>
      <c r="F37" s="9" t="str">
        <f>IF(Tablo14567891011121314151617181920212223242526272829303132333435363738394041424344454647596870[[#This Row],[SATIŞ]]=0,"Açık",(E37-D37)*C37)</f>
        <v>Açık</v>
      </c>
      <c r="G37" s="11">
        <f>Tablo14567891011121314151617181920212223242526272829303132333435363738394041424344454647596870[[#This Row],[ADET]]*Tablo14567891011121314151617181920212223242526272829303132333435363738394041424344454647596870[[#This Row],[ALIŞ]]</f>
        <v>0</v>
      </c>
      <c r="H37" s="11">
        <f>Tablo14567891011121314151617181920212223242526272829303132333435363738394041424344454647596870[[#This Row],[ADET]]*Tablo14567891011121314151617181920212223242526272829303132333435363738394041424344454647596870[[#This Row],[SATIŞ]]</f>
        <v>0</v>
      </c>
      <c r="J37" s="40">
        <f t="shared" si="0"/>
        <v>0</v>
      </c>
    </row>
    <row r="38" spans="2:10" ht="21" customHeight="1" x14ac:dyDescent="0.3">
      <c r="B38" s="2"/>
      <c r="D38" s="10"/>
      <c r="E38" s="10"/>
      <c r="F38" s="9" t="str">
        <f>IF(Tablo14567891011121314151617181920212223242526272829303132333435363738394041424344454647596870[[#This Row],[SATIŞ]]=0,"Açık",(E38-D38)*C38)</f>
        <v>Açık</v>
      </c>
      <c r="G38" s="11">
        <f>Tablo14567891011121314151617181920212223242526272829303132333435363738394041424344454647596870[[#This Row],[ADET]]*Tablo14567891011121314151617181920212223242526272829303132333435363738394041424344454647596870[[#This Row],[ALIŞ]]</f>
        <v>0</v>
      </c>
      <c r="H38" s="11">
        <f>Tablo14567891011121314151617181920212223242526272829303132333435363738394041424344454647596870[[#This Row],[ADET]]*Tablo14567891011121314151617181920212223242526272829303132333435363738394041424344454647596870[[#This Row],[SATIŞ]]</f>
        <v>0</v>
      </c>
      <c r="J38" s="40">
        <f t="shared" si="0"/>
        <v>0</v>
      </c>
    </row>
    <row r="39" spans="2:10" ht="21" customHeight="1" x14ac:dyDescent="0.3">
      <c r="B39" s="2"/>
      <c r="D39" s="10"/>
      <c r="E39" s="10"/>
      <c r="F39" s="9" t="str">
        <f>IF(Tablo14567891011121314151617181920212223242526272829303132333435363738394041424344454647596870[[#This Row],[SATIŞ]]=0,"Açık",(E39-D39)*C39)</f>
        <v>Açık</v>
      </c>
      <c r="G39" s="11">
        <f>Tablo14567891011121314151617181920212223242526272829303132333435363738394041424344454647596870[[#This Row],[ADET]]*Tablo14567891011121314151617181920212223242526272829303132333435363738394041424344454647596870[[#This Row],[ALIŞ]]</f>
        <v>0</v>
      </c>
      <c r="H39" s="11">
        <f>Tablo14567891011121314151617181920212223242526272829303132333435363738394041424344454647596870[[#This Row],[ADET]]*Tablo14567891011121314151617181920212223242526272829303132333435363738394041424344454647596870[[#This Row],[SATIŞ]]</f>
        <v>0</v>
      </c>
      <c r="J39" s="40">
        <f t="shared" si="0"/>
        <v>0</v>
      </c>
    </row>
    <row r="40" spans="2:10" ht="21" customHeight="1" x14ac:dyDescent="0.3">
      <c r="B40" s="2"/>
      <c r="D40" s="10"/>
      <c r="E40" s="10"/>
      <c r="F40" s="9" t="str">
        <f>IF(Tablo14567891011121314151617181920212223242526272829303132333435363738394041424344454647596870[[#This Row],[SATIŞ]]=0,"Açık",(E40-D40)*C40)</f>
        <v>Açık</v>
      </c>
      <c r="G40" s="11">
        <f>Tablo14567891011121314151617181920212223242526272829303132333435363738394041424344454647596870[[#This Row],[ADET]]*Tablo14567891011121314151617181920212223242526272829303132333435363738394041424344454647596870[[#This Row],[ALIŞ]]</f>
        <v>0</v>
      </c>
      <c r="H40" s="11">
        <f>Tablo14567891011121314151617181920212223242526272829303132333435363738394041424344454647596870[[#This Row],[ADET]]*Tablo14567891011121314151617181920212223242526272829303132333435363738394041424344454647596870[[#This Row],[SATIŞ]]</f>
        <v>0</v>
      </c>
      <c r="J40" s="40">
        <f t="shared" si="0"/>
        <v>0</v>
      </c>
    </row>
    <row r="41" spans="2:10" ht="21" customHeight="1" x14ac:dyDescent="0.3">
      <c r="B41" s="2"/>
      <c r="D41" s="10"/>
      <c r="E41" s="10"/>
      <c r="F41" s="9" t="str">
        <f>IF(Tablo14567891011121314151617181920212223242526272829303132333435363738394041424344454647596870[[#This Row],[SATIŞ]]=0,"Açık",(E41-D41)*C41)</f>
        <v>Açık</v>
      </c>
      <c r="G41" s="11">
        <f>Tablo14567891011121314151617181920212223242526272829303132333435363738394041424344454647596870[[#This Row],[ADET]]*Tablo14567891011121314151617181920212223242526272829303132333435363738394041424344454647596870[[#This Row],[ALIŞ]]</f>
        <v>0</v>
      </c>
      <c r="H41" s="11">
        <f>Tablo14567891011121314151617181920212223242526272829303132333435363738394041424344454647596870[[#This Row],[ADET]]*Tablo14567891011121314151617181920212223242526272829303132333435363738394041424344454647596870[[#This Row],[SATIŞ]]</f>
        <v>0</v>
      </c>
      <c r="J41" s="40">
        <f t="shared" si="0"/>
        <v>0</v>
      </c>
    </row>
    <row r="42" spans="2:10" ht="21" customHeight="1" x14ac:dyDescent="0.3">
      <c r="B42" s="2"/>
      <c r="D42" s="10"/>
      <c r="E42" s="10"/>
      <c r="F42" s="9" t="str">
        <f>IF(Tablo14567891011121314151617181920212223242526272829303132333435363738394041424344454647596870[[#This Row],[SATIŞ]]=0,"Açık",(E42-D42)*C42)</f>
        <v>Açık</v>
      </c>
      <c r="G42" s="11">
        <f>Tablo14567891011121314151617181920212223242526272829303132333435363738394041424344454647596870[[#This Row],[ADET]]*Tablo14567891011121314151617181920212223242526272829303132333435363738394041424344454647596870[[#This Row],[ALIŞ]]</f>
        <v>0</v>
      </c>
      <c r="H42" s="11">
        <f>Tablo14567891011121314151617181920212223242526272829303132333435363738394041424344454647596870[[#This Row],[ADET]]*Tablo14567891011121314151617181920212223242526272829303132333435363738394041424344454647596870[[#This Row],[SATIŞ]]</f>
        <v>0</v>
      </c>
      <c r="J42" s="40">
        <f t="shared" si="0"/>
        <v>0</v>
      </c>
    </row>
    <row r="43" spans="2:10" ht="21" customHeight="1" x14ac:dyDescent="0.3">
      <c r="B43" s="2"/>
      <c r="D43" s="10"/>
      <c r="E43" s="10"/>
      <c r="F43" s="9" t="str">
        <f>IF(Tablo14567891011121314151617181920212223242526272829303132333435363738394041424344454647596870[[#This Row],[SATIŞ]]=0,"Açık",(E43-D43)*C43)</f>
        <v>Açık</v>
      </c>
      <c r="G43" s="11">
        <f>Tablo14567891011121314151617181920212223242526272829303132333435363738394041424344454647596870[[#This Row],[ADET]]*Tablo14567891011121314151617181920212223242526272829303132333435363738394041424344454647596870[[#This Row],[ALIŞ]]</f>
        <v>0</v>
      </c>
      <c r="H43" s="11">
        <f>Tablo14567891011121314151617181920212223242526272829303132333435363738394041424344454647596870[[#This Row],[ADET]]*Tablo14567891011121314151617181920212223242526272829303132333435363738394041424344454647596870[[#This Row],[SATIŞ]]</f>
        <v>0</v>
      </c>
      <c r="J43" s="40">
        <f t="shared" si="0"/>
        <v>0</v>
      </c>
    </row>
    <row r="44" spans="2:10" ht="21" customHeight="1" x14ac:dyDescent="0.3">
      <c r="B44" s="2"/>
      <c r="D44" s="10"/>
      <c r="E44" s="10"/>
      <c r="F44" s="9" t="str">
        <f>IF(Tablo14567891011121314151617181920212223242526272829303132333435363738394041424344454647596870[[#This Row],[SATIŞ]]=0,"Açık",(E44-D44)*C44)</f>
        <v>Açık</v>
      </c>
      <c r="G44" s="11">
        <f>Tablo14567891011121314151617181920212223242526272829303132333435363738394041424344454647596870[[#This Row],[ADET]]*Tablo14567891011121314151617181920212223242526272829303132333435363738394041424344454647596870[[#This Row],[ALIŞ]]</f>
        <v>0</v>
      </c>
      <c r="H44" s="11">
        <f>Tablo14567891011121314151617181920212223242526272829303132333435363738394041424344454647596870[[#This Row],[ADET]]*Tablo14567891011121314151617181920212223242526272829303132333435363738394041424344454647596870[[#This Row],[SATIŞ]]</f>
        <v>0</v>
      </c>
      <c r="J44" s="40">
        <f t="shared" si="0"/>
        <v>0</v>
      </c>
    </row>
    <row r="45" spans="2:10" ht="21" customHeight="1" x14ac:dyDescent="0.3">
      <c r="B45" s="2"/>
      <c r="D45" s="10"/>
      <c r="E45" s="10"/>
      <c r="F45" s="9" t="str">
        <f>IF(Tablo14567891011121314151617181920212223242526272829303132333435363738394041424344454647596870[[#This Row],[SATIŞ]]=0,"Açık",(E45-D45)*C45)</f>
        <v>Açık</v>
      </c>
      <c r="G45" s="11">
        <f>Tablo14567891011121314151617181920212223242526272829303132333435363738394041424344454647596870[[#This Row],[ADET]]*Tablo14567891011121314151617181920212223242526272829303132333435363738394041424344454647596870[[#This Row],[ALIŞ]]</f>
        <v>0</v>
      </c>
      <c r="H45" s="11">
        <f>Tablo14567891011121314151617181920212223242526272829303132333435363738394041424344454647596870[[#This Row],[ADET]]*Tablo14567891011121314151617181920212223242526272829303132333435363738394041424344454647596870[[#This Row],[SATIŞ]]</f>
        <v>0</v>
      </c>
      <c r="J45" s="40">
        <f t="shared" si="0"/>
        <v>0</v>
      </c>
    </row>
    <row r="46" spans="2:10" ht="21" customHeight="1" x14ac:dyDescent="0.3">
      <c r="B46" s="2"/>
      <c r="D46" s="10"/>
      <c r="E46" s="10"/>
      <c r="F46" s="9" t="str">
        <f>IF(Tablo14567891011121314151617181920212223242526272829303132333435363738394041424344454647596870[[#This Row],[SATIŞ]]=0,"Açık",(E46-D46)*C46)</f>
        <v>Açık</v>
      </c>
      <c r="G46" s="11">
        <f>Tablo14567891011121314151617181920212223242526272829303132333435363738394041424344454647596870[[#This Row],[ADET]]*Tablo14567891011121314151617181920212223242526272829303132333435363738394041424344454647596870[[#This Row],[ALIŞ]]</f>
        <v>0</v>
      </c>
      <c r="H46" s="11">
        <f>Tablo14567891011121314151617181920212223242526272829303132333435363738394041424344454647596870[[#This Row],[ADET]]*Tablo14567891011121314151617181920212223242526272829303132333435363738394041424344454647596870[[#This Row],[SATIŞ]]</f>
        <v>0</v>
      </c>
    </row>
    <row r="47" spans="2:10" ht="21" customHeight="1" x14ac:dyDescent="0.3">
      <c r="B47" s="2"/>
      <c r="D47" s="10"/>
      <c r="E47" s="10"/>
      <c r="F47" s="9" t="str">
        <f>IF(Tablo14567891011121314151617181920212223242526272829303132333435363738394041424344454647596870[[#This Row],[SATIŞ]]=0,"Açık",(E47-D47)*C47)</f>
        <v>Açık</v>
      </c>
      <c r="G47" s="11">
        <f>Tablo14567891011121314151617181920212223242526272829303132333435363738394041424344454647596870[[#This Row],[ADET]]*Tablo14567891011121314151617181920212223242526272829303132333435363738394041424344454647596870[[#This Row],[ALIŞ]]</f>
        <v>0</v>
      </c>
      <c r="H47" s="11">
        <f>Tablo14567891011121314151617181920212223242526272829303132333435363738394041424344454647596870[[#This Row],[ADET]]*Tablo14567891011121314151617181920212223242526272829303132333435363738394041424344454647596870[[#This Row],[SATIŞ]]</f>
        <v>0</v>
      </c>
    </row>
    <row r="48" spans="2:10" ht="21" customHeight="1" x14ac:dyDescent="0.3">
      <c r="B48" s="2"/>
      <c r="D48" s="10"/>
      <c r="E48" s="10"/>
      <c r="F48" s="9" t="str">
        <f>IF(Tablo14567891011121314151617181920212223242526272829303132333435363738394041424344454647596870[[#This Row],[SATIŞ]]=0,"Açık",(E48-D48)*C48)</f>
        <v>Açık</v>
      </c>
      <c r="G48" s="11">
        <f>Tablo14567891011121314151617181920212223242526272829303132333435363738394041424344454647596870[[#This Row],[ADET]]*Tablo14567891011121314151617181920212223242526272829303132333435363738394041424344454647596870[[#This Row],[ALIŞ]]</f>
        <v>0</v>
      </c>
      <c r="H48" s="11">
        <f>Tablo14567891011121314151617181920212223242526272829303132333435363738394041424344454647596870[[#This Row],[ADET]]*Tablo14567891011121314151617181920212223242526272829303132333435363738394041424344454647596870[[#This Row],[SATIŞ]]</f>
        <v>0</v>
      </c>
    </row>
    <row r="49" spans="2:8" ht="21" customHeight="1" x14ac:dyDescent="0.3">
      <c r="B49" s="2"/>
      <c r="D49" s="10"/>
      <c r="E49" s="10"/>
      <c r="F49" s="9" t="str">
        <f>IF(Tablo14567891011121314151617181920212223242526272829303132333435363738394041424344454647596870[[#This Row],[SATIŞ]]=0,"Açık",(E49-D49)*C49)</f>
        <v>Açık</v>
      </c>
      <c r="G49" s="11">
        <f>Tablo14567891011121314151617181920212223242526272829303132333435363738394041424344454647596870[[#This Row],[ADET]]*Tablo14567891011121314151617181920212223242526272829303132333435363738394041424344454647596870[[#This Row],[ALIŞ]]</f>
        <v>0</v>
      </c>
      <c r="H49" s="11">
        <f>Tablo14567891011121314151617181920212223242526272829303132333435363738394041424344454647596870[[#This Row],[ADET]]*Tablo14567891011121314151617181920212223242526272829303132333435363738394041424344454647596870[[#This Row],[SATIŞ]]</f>
        <v>0</v>
      </c>
    </row>
  </sheetData>
  <conditionalFormatting sqref="B4:F49">
    <cfRule type="expression" dxfId="26" priority="1">
      <formula>$F4&lt;0</formula>
    </cfRule>
    <cfRule type="expression" dxfId="25" priority="2">
      <formula>$F4="Açık"</formula>
    </cfRule>
    <cfRule type="expression" dxfId="24" priority="3">
      <formula>$F4&gt;0</formula>
    </cfRule>
  </conditionalFormatting>
  <hyperlinks>
    <hyperlink ref="B1" location="İcmal!A1" display="ANA SAYFA" xr:uid="{24783B50-A73F-4695-BC2D-744FC0315706}"/>
  </hyperlinks>
  <pageMargins left="0.7" right="0.7" top="0.75" bottom="0.75" header="0.3" footer="0.3"/>
  <tableParts count="1">
    <tablePart r:id="rId1"/>
  </tablePart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0302F-6FE3-4C91-9B00-690A1DDA7BA1}">
  <dimension ref="B1:R18"/>
  <sheetViews>
    <sheetView showGridLines="0" showZeros="0" zoomScale="110" zoomScaleNormal="110" workbookViewId="0">
      <pane ySplit="3" topLeftCell="A10" activePane="bottomLeft" state="frozen"/>
      <selection pane="bottomLeft" activeCell="E19" sqref="E19"/>
    </sheetView>
  </sheetViews>
  <sheetFormatPr defaultRowHeight="21" customHeight="1" x14ac:dyDescent="0.3"/>
  <cols>
    <col min="2" max="2" width="20.6640625" style="1" customWidth="1"/>
    <col min="3" max="3" width="11.33203125" style="6" customWidth="1"/>
    <col min="4" max="5" width="12.88671875" style="3" customWidth="1"/>
    <col min="6" max="6" width="12.88671875" style="5" customWidth="1"/>
    <col min="7" max="7" width="12.6640625" bestFit="1" customWidth="1"/>
    <col min="8" max="8" width="13.44140625" bestFit="1" customWidth="1"/>
    <col min="10" max="12" width="12.44140625" customWidth="1"/>
    <col min="13" max="13" width="12.6640625" bestFit="1" customWidth="1"/>
    <col min="14" max="14" width="11" bestFit="1" customWidth="1"/>
  </cols>
  <sheetData>
    <row r="1" spans="2:18" ht="21" customHeight="1" x14ac:dyDescent="0.3">
      <c r="B1" s="12" t="s">
        <v>64</v>
      </c>
      <c r="C1" s="4">
        <f>SUMIF(Tablo1456789101112131415161718192021222324252627282930313233343536373839404142434445464748[KAR],"Açık",Tablo1456789101112131415161718192021222324252627282930313233343536373839404142434445464748[ADET])</f>
        <v>65</v>
      </c>
      <c r="D1" s="10">
        <f>+İcmal!E63</f>
        <v>264</v>
      </c>
      <c r="E1" s="10">
        <f>C1*D1</f>
        <v>17160</v>
      </c>
      <c r="F1" s="10">
        <f>IFERROR(((SUM(Tablo1456789101112131415161718192021222324252627282930313233343536373839404142434445464748[ALIŞ TUTAR])-SUM(Tablo1456789101112131415161718192021222324252627282930313233343536373839404142434445464748[SATIŞ TUTAR]))/C1),"")</f>
        <v>193.11082769230796</v>
      </c>
      <c r="G1" s="10">
        <f>IF(M3=0,L3,C1*(D1-F1))</f>
        <v>4607.7961999999825</v>
      </c>
      <c r="J1" s="45" t="s">
        <v>94</v>
      </c>
      <c r="K1" s="45" t="s">
        <v>95</v>
      </c>
      <c r="L1" s="45" t="s">
        <v>96</v>
      </c>
      <c r="M1" s="33">
        <f>F1</f>
        <v>193.11082769230796</v>
      </c>
      <c r="N1" s="8" t="e">
        <f>M1*(1+$J$1)</f>
        <v>#VALUE!</v>
      </c>
      <c r="P1" s="8" t="e">
        <f>Q1*(1-$J$1)</f>
        <v>#VALUE!</v>
      </c>
      <c r="Q1" s="33">
        <f>+D1</f>
        <v>264</v>
      </c>
      <c r="R1" s="8" t="e">
        <f>Q1*(1+$J$1)</f>
        <v>#VALUE!</v>
      </c>
    </row>
    <row r="2" spans="2:18" ht="21" customHeight="1" x14ac:dyDescent="0.3">
      <c r="B2" s="7" t="s">
        <v>57</v>
      </c>
      <c r="J2" s="45">
        <f>SUMIFS(Tablo2[HEDEF2],Tablo2[HİSSE],B2)</f>
        <v>2000</v>
      </c>
      <c r="K2" s="45">
        <f>+E1/İcmal!$P$2</f>
        <v>527.51306486320323</v>
      </c>
      <c r="L2" s="45">
        <f>+J2-K2</f>
        <v>1472.4869351367968</v>
      </c>
    </row>
    <row r="3" spans="2:18" ht="21" customHeight="1" x14ac:dyDescent="0.3">
      <c r="B3" s="1" t="s">
        <v>0</v>
      </c>
      <c r="C3" s="6" t="s">
        <v>4</v>
      </c>
      <c r="D3" s="3" t="s">
        <v>1</v>
      </c>
      <c r="E3" s="3" t="s">
        <v>3</v>
      </c>
      <c r="F3" s="5" t="s">
        <v>2</v>
      </c>
      <c r="G3" s="3" t="s">
        <v>8</v>
      </c>
      <c r="H3" s="3" t="s">
        <v>9</v>
      </c>
      <c r="L3">
        <f>+SUM(Tablo1456789101112131415161718192021222324252627282930313233343536373839404142434445464748[KAR])</f>
        <v>4727.5336999999563</v>
      </c>
      <c r="M3" s="37">
        <f>+C1</f>
        <v>65</v>
      </c>
    </row>
    <row r="4" spans="2:18" ht="21" hidden="1" customHeight="1" x14ac:dyDescent="0.3">
      <c r="B4" s="2">
        <v>45291</v>
      </c>
      <c r="C4" s="6">
        <v>1311</v>
      </c>
      <c r="D4" s="10">
        <v>265.48250000000002</v>
      </c>
      <c r="E4" s="10">
        <v>267.98919999999998</v>
      </c>
      <c r="F4" s="9">
        <f>IF(Tablo1456789101112131415161718192021222324252627282930313233343536373839404142434445464748[[#This Row],[SATIŞ]]=0,"Açık",(E4-D4)*C4)</f>
        <v>3286.2836999999563</v>
      </c>
      <c r="G4" s="11">
        <f>Tablo1456789101112131415161718192021222324252627282930313233343536373839404142434445464748[[#This Row],[ADET]]*Tablo1456789101112131415161718192021222324252627282930313233343536373839404142434445464748[[#This Row],[ALIŞ]]</f>
        <v>348047.5575</v>
      </c>
      <c r="H4" s="11">
        <f>Tablo1456789101112131415161718192021222324252627282930313233343536373839404142434445464748[[#This Row],[ADET]]*Tablo1456789101112131415161718192021222324252627282930313233343536373839404142434445464748[[#This Row],[SATIŞ]]</f>
        <v>351333.84119999997</v>
      </c>
      <c r="J4" s="40" t="str">
        <f t="shared" ref="J4:J16" si="0">IF(E4=0,D4*1.05,"")</f>
        <v/>
      </c>
      <c r="L4" s="8">
        <f>SUM(Tablo1456789101112131415161718192021222324252627282930313233343536373839404142434445464748[ALIŞ TUTAR])</f>
        <v>375977.04499999998</v>
      </c>
      <c r="M4" s="8">
        <f>SUM(Tablo1456789101112131415161718192021222324252627282930313233343536373839404142434445464748[SATIŞ TUTAR])</f>
        <v>363424.84119999997</v>
      </c>
      <c r="N4" s="8">
        <f>L4-M4</f>
        <v>12552.203800000018</v>
      </c>
    </row>
    <row r="5" spans="2:18" ht="21" customHeight="1" x14ac:dyDescent="0.3">
      <c r="B5" s="2">
        <v>45291</v>
      </c>
      <c r="C5" s="6">
        <v>15</v>
      </c>
      <c r="D5" s="10">
        <v>265.48250000000002</v>
      </c>
      <c r="E5" s="10"/>
      <c r="F5" s="9" t="str">
        <f>IF(Tablo1456789101112131415161718192021222324252627282930313233343536373839404142434445464748[[#This Row],[SATIŞ]]=0,"Açık",(E5-D5)*C5)</f>
        <v>Açık</v>
      </c>
      <c r="G5" s="11">
        <f>Tablo1456789101112131415161718192021222324252627282930313233343536373839404142434445464748[[#This Row],[ADET]]*Tablo1456789101112131415161718192021222324252627282930313233343536373839404142434445464748[[#This Row],[ALIŞ]]</f>
        <v>3982.2375000000002</v>
      </c>
      <c r="H5" s="11">
        <f>Tablo1456789101112131415161718192021222324252627282930313233343536373839404142434445464748[[#This Row],[ADET]]*Tablo1456789101112131415161718192021222324252627282930313233343536373839404142434445464748[[#This Row],[SATIŞ]]</f>
        <v>0</v>
      </c>
      <c r="J5" s="40">
        <f t="shared" si="0"/>
        <v>278.75662500000004</v>
      </c>
      <c r="N5">
        <f>+N4/80</f>
        <v>156.90254750000022</v>
      </c>
    </row>
    <row r="6" spans="2:18" ht="21" hidden="1" customHeight="1" x14ac:dyDescent="0.3">
      <c r="B6" s="2">
        <v>45328</v>
      </c>
      <c r="C6" s="6">
        <v>5</v>
      </c>
      <c r="D6" s="10">
        <v>257.25</v>
      </c>
      <c r="E6" s="10">
        <v>259</v>
      </c>
      <c r="F6" s="9">
        <f>IF(Tablo1456789101112131415161718192021222324252627282930313233343536373839404142434445464748[[#This Row],[SATIŞ]]=0,"Açık",(E6-D6)*C6)</f>
        <v>8.75</v>
      </c>
      <c r="G6" s="11">
        <f>Tablo1456789101112131415161718192021222324252627282930313233343536373839404142434445464748[[#This Row],[ADET]]*Tablo1456789101112131415161718192021222324252627282930313233343536373839404142434445464748[[#This Row],[ALIŞ]]</f>
        <v>1286.25</v>
      </c>
      <c r="H6" s="11">
        <f>Tablo1456789101112131415161718192021222324252627282930313233343536373839404142434445464748[[#This Row],[ADET]]*Tablo1456789101112131415161718192021222324252627282930313233343536373839404142434445464748[[#This Row],[SATIŞ]]</f>
        <v>1295</v>
      </c>
      <c r="J6" s="40" t="str">
        <f t="shared" si="0"/>
        <v/>
      </c>
    </row>
    <row r="7" spans="2:18" ht="21" hidden="1" customHeight="1" x14ac:dyDescent="0.3">
      <c r="B7" s="2">
        <v>45328</v>
      </c>
      <c r="C7" s="6">
        <v>2</v>
      </c>
      <c r="D7" s="10">
        <v>257.25</v>
      </c>
      <c r="E7" s="10">
        <v>265</v>
      </c>
      <c r="F7" s="9">
        <f>IF(Tablo1456789101112131415161718192021222324252627282930313233343536373839404142434445464748[[#This Row],[SATIŞ]]=0,"Açık",(E7-D7)*C7)</f>
        <v>15.5</v>
      </c>
      <c r="G7" s="11">
        <f>Tablo1456789101112131415161718192021222324252627282930313233343536373839404142434445464748[[#This Row],[ADET]]*Tablo1456789101112131415161718192021222324252627282930313233343536373839404142434445464748[[#This Row],[ALIŞ]]</f>
        <v>514.5</v>
      </c>
      <c r="H7" s="11">
        <f>Tablo1456789101112131415161718192021222324252627282930313233343536373839404142434445464748[[#This Row],[ADET]]*Tablo1456789101112131415161718192021222324252627282930313233343536373839404142434445464748[[#This Row],[SATIŞ]]</f>
        <v>530</v>
      </c>
      <c r="J7" s="40" t="str">
        <f t="shared" si="0"/>
        <v/>
      </c>
    </row>
    <row r="8" spans="2:18" ht="21" hidden="1" customHeight="1" x14ac:dyDescent="0.3">
      <c r="B8" s="2">
        <v>45328</v>
      </c>
      <c r="C8" s="6">
        <v>8</v>
      </c>
      <c r="D8" s="10">
        <v>257.25</v>
      </c>
      <c r="E8" s="10">
        <v>260</v>
      </c>
      <c r="F8" s="9">
        <f>IF(Tablo1456789101112131415161718192021222324252627282930313233343536373839404142434445464748[[#This Row],[SATIŞ]]=0,"Açık",(E8-D8)*C8)</f>
        <v>22</v>
      </c>
      <c r="G8" s="11">
        <f>Tablo1456789101112131415161718192021222324252627282930313233343536373839404142434445464748[[#This Row],[ADET]]*Tablo1456789101112131415161718192021222324252627282930313233343536373839404142434445464748[[#This Row],[ALIŞ]]</f>
        <v>2058</v>
      </c>
      <c r="H8" s="11">
        <f>Tablo1456789101112131415161718192021222324252627282930313233343536373839404142434445464748[[#This Row],[ADET]]*Tablo1456789101112131415161718192021222324252627282930313233343536373839404142434445464748[[#This Row],[SATIŞ]]</f>
        <v>2080</v>
      </c>
      <c r="J8" s="40" t="str">
        <f t="shared" si="0"/>
        <v/>
      </c>
    </row>
    <row r="9" spans="2:18" ht="21" hidden="1" customHeight="1" x14ac:dyDescent="0.3">
      <c r="B9" s="2">
        <v>45328</v>
      </c>
      <c r="C9" s="6">
        <v>2</v>
      </c>
      <c r="D9" s="10">
        <v>260</v>
      </c>
      <c r="E9" s="10">
        <v>260</v>
      </c>
      <c r="F9" s="9">
        <f>IF(Tablo1456789101112131415161718192021222324252627282930313233343536373839404142434445464748[[#This Row],[SATIŞ]]=0,"Açık",(E9-D9)*C9)</f>
        <v>0</v>
      </c>
      <c r="G9" s="11">
        <f>Tablo1456789101112131415161718192021222324252627282930313233343536373839404142434445464748[[#This Row],[ADET]]*Tablo1456789101112131415161718192021222324252627282930313233343536373839404142434445464748[[#This Row],[ALIŞ]]</f>
        <v>520</v>
      </c>
      <c r="H9" s="11">
        <f>Tablo1456789101112131415161718192021222324252627282930313233343536373839404142434445464748[[#This Row],[ADET]]*Tablo1456789101112131415161718192021222324252627282930313233343536373839404142434445464748[[#This Row],[SATIŞ]]</f>
        <v>520</v>
      </c>
      <c r="J9" s="40" t="str">
        <f t="shared" si="0"/>
        <v/>
      </c>
    </row>
    <row r="10" spans="2:18" ht="21" hidden="1" customHeight="1" x14ac:dyDescent="0.3">
      <c r="B10" s="2">
        <v>45335</v>
      </c>
      <c r="C10" s="6">
        <v>5</v>
      </c>
      <c r="D10" s="10">
        <v>260</v>
      </c>
      <c r="E10" s="10">
        <v>285</v>
      </c>
      <c r="F10" s="9">
        <f>IF(Tablo1456789101112131415161718192021222324252627282930313233343536373839404142434445464748[[#This Row],[SATIŞ]]=0,"Açık",(E10-D10)*C10)</f>
        <v>125</v>
      </c>
      <c r="G10" s="11">
        <f>Tablo1456789101112131415161718192021222324252627282930313233343536373839404142434445464748[[#This Row],[ADET]]*Tablo1456789101112131415161718192021222324252627282930313233343536373839404142434445464748[[#This Row],[ALIŞ]]</f>
        <v>1300</v>
      </c>
      <c r="H10" s="11">
        <f>Tablo1456789101112131415161718192021222324252627282930313233343536373839404142434445464748[[#This Row],[ADET]]*Tablo1456789101112131415161718192021222324252627282930313233343536373839404142434445464748[[#This Row],[SATIŞ]]</f>
        <v>1425</v>
      </c>
      <c r="J10" s="40" t="str">
        <f t="shared" si="0"/>
        <v/>
      </c>
    </row>
    <row r="11" spans="2:18" ht="21" hidden="1" customHeight="1" x14ac:dyDescent="0.3">
      <c r="B11" s="2">
        <v>45336</v>
      </c>
      <c r="C11" s="6">
        <v>10</v>
      </c>
      <c r="D11" s="10">
        <v>249</v>
      </c>
      <c r="E11" s="10">
        <v>255</v>
      </c>
      <c r="F11" s="9">
        <f>IF(Tablo1456789101112131415161718192021222324252627282930313233343536373839404142434445464748[[#This Row],[SATIŞ]]=0,"Açık",(E11-D11)*C11)</f>
        <v>60</v>
      </c>
      <c r="G11" s="11">
        <f>Tablo1456789101112131415161718192021222324252627282930313233343536373839404142434445464748[[#This Row],[ADET]]*Tablo1456789101112131415161718192021222324252627282930313233343536373839404142434445464748[[#This Row],[ALIŞ]]</f>
        <v>2490</v>
      </c>
      <c r="H11" s="11">
        <f>Tablo1456789101112131415161718192021222324252627282930313233343536373839404142434445464748[[#This Row],[ADET]]*Tablo1456789101112131415161718192021222324252627282930313233343536373839404142434445464748[[#This Row],[SATIŞ]]</f>
        <v>2550</v>
      </c>
      <c r="J11" s="40" t="str">
        <f t="shared" si="0"/>
        <v/>
      </c>
    </row>
    <row r="12" spans="2:18" ht="21" customHeight="1" x14ac:dyDescent="0.3">
      <c r="B12" s="2">
        <v>45348</v>
      </c>
      <c r="C12" s="6">
        <v>10</v>
      </c>
      <c r="D12" s="10">
        <v>270</v>
      </c>
      <c r="E12" s="10"/>
      <c r="F12" s="9" t="str">
        <f>IF(Tablo1456789101112131415161718192021222324252627282930313233343536373839404142434445464748[[#This Row],[SATIŞ]]=0,"Açık",(E12-D12)*C12)</f>
        <v>Açık</v>
      </c>
      <c r="G12" s="11">
        <f>Tablo1456789101112131415161718192021222324252627282930313233343536373839404142434445464748[[#This Row],[ADET]]*Tablo1456789101112131415161718192021222324252627282930313233343536373839404142434445464748[[#This Row],[ALIŞ]]</f>
        <v>2700</v>
      </c>
      <c r="H12" s="11">
        <f>Tablo1456789101112131415161718192021222324252627282930313233343536373839404142434445464748[[#This Row],[ADET]]*Tablo1456789101112131415161718192021222324252627282930313233343536373839404142434445464748[[#This Row],[SATIŞ]]</f>
        <v>0</v>
      </c>
      <c r="J12" s="40">
        <f t="shared" si="0"/>
        <v>283.5</v>
      </c>
    </row>
    <row r="13" spans="2:18" ht="21" customHeight="1" x14ac:dyDescent="0.3">
      <c r="B13" s="2">
        <v>45355</v>
      </c>
      <c r="C13" s="6">
        <v>10</v>
      </c>
      <c r="D13" s="10">
        <v>260</v>
      </c>
      <c r="E13" s="10"/>
      <c r="F13" s="9" t="str">
        <f>IF(Tablo1456789101112131415161718192021222324252627282930313233343536373839404142434445464748[[#This Row],[SATIŞ]]=0,"Açık",(E13-D13)*C13)</f>
        <v>Açık</v>
      </c>
      <c r="G13" s="11">
        <f>Tablo1456789101112131415161718192021222324252627282930313233343536373839404142434445464748[[#This Row],[ADET]]*Tablo1456789101112131415161718192021222324252627282930313233343536373839404142434445464748[[#This Row],[ALIŞ]]</f>
        <v>2600</v>
      </c>
      <c r="H13" s="11">
        <f>Tablo1456789101112131415161718192021222324252627282930313233343536373839404142434445464748[[#This Row],[ADET]]*Tablo1456789101112131415161718192021222324252627282930313233343536373839404142434445464748[[#This Row],[SATIŞ]]</f>
        <v>0</v>
      </c>
      <c r="J13" s="40">
        <f t="shared" si="0"/>
        <v>273</v>
      </c>
    </row>
    <row r="14" spans="2:18" ht="21" customHeight="1" x14ac:dyDescent="0.3">
      <c r="B14" s="2">
        <v>45371</v>
      </c>
      <c r="C14" s="6">
        <v>10</v>
      </c>
      <c r="D14" s="10">
        <v>276</v>
      </c>
      <c r="E14" s="10"/>
      <c r="F14" s="9" t="str">
        <f>IF(Tablo1456789101112131415161718192021222324252627282930313233343536373839404142434445464748[[#This Row],[SATIŞ]]=0,"Açık",(E14-D14)*C14)</f>
        <v>Açık</v>
      </c>
      <c r="G14" s="11">
        <f>Tablo1456789101112131415161718192021222324252627282930313233343536373839404142434445464748[[#This Row],[ADET]]*Tablo1456789101112131415161718192021222324252627282930313233343536373839404142434445464748[[#This Row],[ALIŞ]]</f>
        <v>2760</v>
      </c>
      <c r="H14" s="11">
        <f>Tablo1456789101112131415161718192021222324252627282930313233343536373839404142434445464748[[#This Row],[ADET]]*Tablo1456789101112131415161718192021222324252627282930313233343536373839404142434445464748[[#This Row],[SATIŞ]]</f>
        <v>0</v>
      </c>
      <c r="J14" s="40">
        <f t="shared" si="0"/>
        <v>289.8</v>
      </c>
    </row>
    <row r="15" spans="2:18" ht="21" customHeight="1" x14ac:dyDescent="0.3">
      <c r="B15" s="2">
        <v>45380</v>
      </c>
      <c r="C15" s="6">
        <v>10</v>
      </c>
      <c r="D15" s="10">
        <v>273.75</v>
      </c>
      <c r="E15" s="10"/>
      <c r="F15" s="9" t="str">
        <f>IF(Tablo1456789101112131415161718192021222324252627282930313233343536373839404142434445464748[[#This Row],[SATIŞ]]=0,"Açık",(E15-D15)*C15)</f>
        <v>Açık</v>
      </c>
      <c r="G15" s="11">
        <f>Tablo1456789101112131415161718192021222324252627282930313233343536373839404142434445464748[[#This Row],[ADET]]*Tablo1456789101112131415161718192021222324252627282930313233343536373839404142434445464748[[#This Row],[ALIŞ]]</f>
        <v>2737.5</v>
      </c>
      <c r="H15" s="11">
        <f>Tablo1456789101112131415161718192021222324252627282930313233343536373839404142434445464748[[#This Row],[ADET]]*Tablo1456789101112131415161718192021222324252627282930313233343536373839404142434445464748[[#This Row],[SATIŞ]]</f>
        <v>0</v>
      </c>
      <c r="J15" s="40">
        <f t="shared" si="0"/>
        <v>287.4375</v>
      </c>
    </row>
    <row r="16" spans="2:18" ht="21" customHeight="1" x14ac:dyDescent="0.3">
      <c r="B16" s="2">
        <v>45386</v>
      </c>
      <c r="C16" s="6">
        <v>10</v>
      </c>
      <c r="D16" s="10">
        <v>250</v>
      </c>
      <c r="E16" s="10"/>
      <c r="F16" s="9" t="str">
        <f>IF(Tablo1456789101112131415161718192021222324252627282930313233343536373839404142434445464748[[#This Row],[SATIŞ]]=0,"Açık",(E16-D16)*C16)</f>
        <v>Açık</v>
      </c>
      <c r="G16" s="11">
        <f>Tablo1456789101112131415161718192021222324252627282930313233343536373839404142434445464748[[#This Row],[ADET]]*Tablo1456789101112131415161718192021222324252627282930313233343536373839404142434445464748[[#This Row],[ALIŞ]]</f>
        <v>2500</v>
      </c>
      <c r="H16" s="11">
        <f>Tablo1456789101112131415161718192021222324252627282930313233343536373839404142434445464748[[#This Row],[ADET]]*Tablo1456789101112131415161718192021222324252627282930313233343536373839404142434445464748[[#This Row],[SATIŞ]]</f>
        <v>0</v>
      </c>
      <c r="J16" s="40">
        <f t="shared" si="0"/>
        <v>262.5</v>
      </c>
    </row>
    <row r="17" spans="2:8" ht="21" hidden="1" customHeight="1" x14ac:dyDescent="0.3">
      <c r="B17" s="2">
        <v>45386</v>
      </c>
      <c r="C17" s="6">
        <v>10</v>
      </c>
      <c r="D17" s="10">
        <v>248</v>
      </c>
      <c r="E17" s="10">
        <v>270</v>
      </c>
      <c r="F17" s="9">
        <f>IF(Tablo1456789101112131415161718192021222324252627282930313233343536373839404142434445464748[[#This Row],[SATIŞ]]=0,"Açık",(E17-D17)*C17)</f>
        <v>220</v>
      </c>
      <c r="G17" s="11">
        <f>Tablo1456789101112131415161718192021222324252627282930313233343536373839404142434445464748[[#This Row],[ADET]]*Tablo1456789101112131415161718192021222324252627282930313233343536373839404142434445464748[[#This Row],[ALIŞ]]</f>
        <v>2480</v>
      </c>
      <c r="H17" s="11">
        <f>Tablo1456789101112131415161718192021222324252627282930313233343536373839404142434445464748[[#This Row],[ADET]]*Tablo1456789101112131415161718192021222324252627282930313233343536373839404142434445464748[[#This Row],[SATIŞ]]</f>
        <v>2700</v>
      </c>
    </row>
    <row r="18" spans="2:8" ht="21" hidden="1" customHeight="1" x14ac:dyDescent="0.3">
      <c r="B18" s="2">
        <v>45299</v>
      </c>
      <c r="C18" s="6">
        <v>1</v>
      </c>
      <c r="D18" s="10">
        <v>1</v>
      </c>
      <c r="E18" s="10">
        <v>991</v>
      </c>
      <c r="F18" s="9">
        <f>IF(Tablo1456789101112131415161718192021222324252627282930313233343536373839404142434445464748[[#This Row],[SATIŞ]]=0,"Açık",(E18-D18)*C18)</f>
        <v>990</v>
      </c>
      <c r="G18" s="11">
        <f>Tablo1456789101112131415161718192021222324252627282930313233343536373839404142434445464748[[#This Row],[ADET]]*Tablo1456789101112131415161718192021222324252627282930313233343536373839404142434445464748[[#This Row],[ALIŞ]]</f>
        <v>1</v>
      </c>
      <c r="H18" s="11">
        <f>Tablo1456789101112131415161718192021222324252627282930313233343536373839404142434445464748[[#This Row],[ADET]]*Tablo1456789101112131415161718192021222324252627282930313233343536373839404142434445464748[[#This Row],[SATIŞ]]</f>
        <v>991</v>
      </c>
    </row>
  </sheetData>
  <conditionalFormatting sqref="B4:F18">
    <cfRule type="expression" dxfId="23" priority="1">
      <formula>$F4&lt;0</formula>
    </cfRule>
    <cfRule type="expression" dxfId="22" priority="2">
      <formula>$F4="Açık"</formula>
    </cfRule>
    <cfRule type="expression" dxfId="21" priority="3">
      <formula>$F4&gt;0</formula>
    </cfRule>
  </conditionalFormatting>
  <hyperlinks>
    <hyperlink ref="B1" location="İcmal!A1" display="ANA SAYFA" xr:uid="{1B4BEFC0-A925-490C-81C8-039FED16097E}"/>
  </hyperlinks>
  <pageMargins left="0.7" right="0.7" top="0.75" bottom="0.75" header="0.3" footer="0.3"/>
  <tableParts count="1">
    <tablePart r:id="rId1"/>
  </tablePart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6CFEF-D3FC-4117-8686-443670D2AF50}">
  <sheetPr>
    <tabColor rgb="FF00B050"/>
  </sheetPr>
  <dimension ref="B1:R41"/>
  <sheetViews>
    <sheetView showGridLines="0" showZeros="0" zoomScale="110" zoomScaleNormal="110" workbookViewId="0">
      <pane ySplit="3" topLeftCell="A29" activePane="bottomLeft" state="frozen"/>
      <selection pane="bottomLeft" activeCell="D42" sqref="D42"/>
    </sheetView>
  </sheetViews>
  <sheetFormatPr defaultRowHeight="21" customHeight="1" x14ac:dyDescent="0.3"/>
  <cols>
    <col min="2" max="2" width="20.6640625" style="1" customWidth="1"/>
    <col min="3" max="3" width="11.33203125" style="6" customWidth="1"/>
    <col min="4" max="5" width="12.88671875" style="3" customWidth="1"/>
    <col min="6" max="6" width="12.88671875" style="5" customWidth="1"/>
    <col min="7" max="7" width="12.6640625" bestFit="1" customWidth="1"/>
    <col min="8" max="8" width="13.44140625" bestFit="1" customWidth="1"/>
    <col min="10" max="12" width="12.44140625" customWidth="1"/>
    <col min="13" max="13" width="12.6640625" bestFit="1" customWidth="1"/>
    <col min="14" max="14" width="11.6640625" bestFit="1" customWidth="1"/>
  </cols>
  <sheetData>
    <row r="1" spans="2:18" ht="21" customHeight="1" x14ac:dyDescent="0.3">
      <c r="B1" s="12" t="s">
        <v>64</v>
      </c>
      <c r="C1" s="4">
        <f>SUMIF(Tablo145678910111213141516171819202122232425262728293031323334353637383940414243444546474849[KAR],"Açık",Tablo145678910111213141516171819202122232425262728293031323334353637383940414243444546474849[ADET])</f>
        <v>60</v>
      </c>
      <c r="D1" s="10">
        <f>+İcmal!E64</f>
        <v>902</v>
      </c>
      <c r="E1" s="10">
        <f>C1*D1</f>
        <v>54120</v>
      </c>
      <c r="F1" s="10">
        <f>IFERROR(((SUM(Tablo145678910111213141516171819202122232425262728293031323334353637383940414243444546474849[ALIŞ TUTAR])-SUM(Tablo145678910111213141516171819202122232425262728293031323334353637383940414243444546474849[SATIŞ TUTAR]))/C1),"")</f>
        <v>793.99473999999952</v>
      </c>
      <c r="G1" s="10">
        <f>IF(M3=0,L3,C1*(D1-F1))</f>
        <v>6480.315600000029</v>
      </c>
      <c r="J1" s="45" t="s">
        <v>94</v>
      </c>
      <c r="K1" s="45" t="s">
        <v>95</v>
      </c>
      <c r="L1" s="45" t="s">
        <v>96</v>
      </c>
      <c r="M1" s="33">
        <f>F1</f>
        <v>793.99473999999952</v>
      </c>
      <c r="N1" s="8" t="e">
        <f>M1*(1+$J$1)</f>
        <v>#VALUE!</v>
      </c>
      <c r="P1" s="8" t="e">
        <f>Q1*(1-$J$1)</f>
        <v>#VALUE!</v>
      </c>
      <c r="Q1" s="33">
        <f>+D1</f>
        <v>902</v>
      </c>
      <c r="R1" s="8" t="e">
        <f>Q1*(1+$J$1)</f>
        <v>#VALUE!</v>
      </c>
    </row>
    <row r="2" spans="2:18" ht="21" customHeight="1" x14ac:dyDescent="0.3">
      <c r="B2" s="7" t="s">
        <v>92</v>
      </c>
      <c r="J2" s="45">
        <f>SUMIFS(Tablo2[HEDEF2],Tablo2[HİSSE],B2)</f>
        <v>500</v>
      </c>
      <c r="K2" s="45">
        <f>+E1/İcmal!$P$2</f>
        <v>1663.6950507224101</v>
      </c>
      <c r="L2" s="45">
        <f>+J2-K2</f>
        <v>-1163.6950507224101</v>
      </c>
    </row>
    <row r="3" spans="2:18" ht="21" customHeight="1" x14ac:dyDescent="0.3">
      <c r="B3" s="1" t="s">
        <v>0</v>
      </c>
      <c r="C3" s="6" t="s">
        <v>4</v>
      </c>
      <c r="D3" s="3" t="s">
        <v>1</v>
      </c>
      <c r="E3" s="3" t="s">
        <v>3</v>
      </c>
      <c r="F3" s="5" t="s">
        <v>2</v>
      </c>
      <c r="G3" s="3" t="s">
        <v>8</v>
      </c>
      <c r="H3" s="3" t="s">
        <v>9</v>
      </c>
      <c r="L3">
        <f>+SUM(Tablo145678910111213141516171819202122232425262728293031323334353637383940414243444546474849[KAR])</f>
        <v>7990.3156000000345</v>
      </c>
      <c r="M3" s="37">
        <f>+C1</f>
        <v>60</v>
      </c>
    </row>
    <row r="4" spans="2:18" ht="21" hidden="1" customHeight="1" x14ac:dyDescent="0.3">
      <c r="B4" s="2">
        <v>45291</v>
      </c>
      <c r="C4" s="6">
        <v>422</v>
      </c>
      <c r="D4" s="10">
        <v>670.90819999999997</v>
      </c>
      <c r="E4" s="10">
        <v>672.49800000000005</v>
      </c>
      <c r="F4" s="9">
        <f>IF(Tablo145678910111213141516171819202122232425262728293031323334353637383940414243444546474849[[#This Row],[SATIŞ]]=0,"Açık",(E4-D4)*C4)</f>
        <v>670.89560000003462</v>
      </c>
      <c r="G4" s="11">
        <f>Tablo145678910111213141516171819202122232425262728293031323334353637383940414243444546474849[[#This Row],[ADET]]*Tablo145678910111213141516171819202122232425262728293031323334353637383940414243444546474849[[#This Row],[ALIŞ]]</f>
        <v>283123.26039999997</v>
      </c>
      <c r="H4" s="11">
        <f>Tablo145678910111213141516171819202122232425262728293031323334353637383940414243444546474849[[#This Row],[ADET]]*Tablo145678910111213141516171819202122232425262728293031323334353637383940414243444546474849[[#This Row],[SATIŞ]]</f>
        <v>283794.15600000002</v>
      </c>
      <c r="L4" s="8">
        <f>SUM(Tablo145678910111213141516171819202122232425262728293031323334353637383940414243444546474849[ALIŞ TUTAR])</f>
        <v>442061.26039999997</v>
      </c>
      <c r="M4" s="8">
        <f>SUM(Tablo145678910111213141516171819202122232425262728293031323334353637383940414243444546474849[SATIŞ TUTAR])</f>
        <v>394421.576</v>
      </c>
      <c r="N4" s="8">
        <f>L4-M4</f>
        <v>47639.684399999969</v>
      </c>
    </row>
    <row r="5" spans="2:18" ht="21" hidden="1" customHeight="1" x14ac:dyDescent="0.3">
      <c r="B5" s="2">
        <v>45328</v>
      </c>
      <c r="C5" s="6">
        <v>2</v>
      </c>
      <c r="D5" s="10">
        <v>832</v>
      </c>
      <c r="E5" s="10">
        <v>840</v>
      </c>
      <c r="F5" s="9">
        <f>IF(Tablo145678910111213141516171819202122232425262728293031323334353637383940414243444546474849[[#This Row],[SATIŞ]]=0,"Açık",(E5-D5)*C5)</f>
        <v>16</v>
      </c>
      <c r="G5" s="11">
        <f>Tablo145678910111213141516171819202122232425262728293031323334353637383940414243444546474849[[#This Row],[ADET]]*Tablo145678910111213141516171819202122232425262728293031323334353637383940414243444546474849[[#This Row],[ALIŞ]]</f>
        <v>1664</v>
      </c>
      <c r="H5" s="11">
        <f>Tablo145678910111213141516171819202122232425262728293031323334353637383940414243444546474849[[#This Row],[ADET]]*Tablo145678910111213141516171819202122232425262728293031323334353637383940414243444546474849[[#This Row],[SATIŞ]]</f>
        <v>1680</v>
      </c>
      <c r="N5">
        <f>+N4/80</f>
        <v>595.49605499999961</v>
      </c>
    </row>
    <row r="6" spans="2:18" ht="21" hidden="1" customHeight="1" x14ac:dyDescent="0.3">
      <c r="B6" s="2">
        <v>45328</v>
      </c>
      <c r="C6" s="6">
        <v>4</v>
      </c>
      <c r="D6" s="10">
        <v>838</v>
      </c>
      <c r="E6" s="10">
        <v>860</v>
      </c>
      <c r="F6" s="9">
        <f>IF(Tablo145678910111213141516171819202122232425262728293031323334353637383940414243444546474849[[#This Row],[SATIŞ]]=0,"Açık",(E6-D6)*C6)</f>
        <v>88</v>
      </c>
      <c r="G6" s="11">
        <f>Tablo145678910111213141516171819202122232425262728293031323334353637383940414243444546474849[[#This Row],[ADET]]*Tablo145678910111213141516171819202122232425262728293031323334353637383940414243444546474849[[#This Row],[ALIŞ]]</f>
        <v>3352</v>
      </c>
      <c r="H6" s="11">
        <f>Tablo145678910111213141516171819202122232425262728293031323334353637383940414243444546474849[[#This Row],[ADET]]*Tablo145678910111213141516171819202122232425262728293031323334353637383940414243444546474849[[#This Row],[SATIŞ]]</f>
        <v>3440</v>
      </c>
    </row>
    <row r="7" spans="2:18" ht="21" hidden="1" customHeight="1" x14ac:dyDescent="0.3">
      <c r="B7" s="2">
        <v>45328</v>
      </c>
      <c r="C7" s="6">
        <v>5</v>
      </c>
      <c r="D7" s="10">
        <v>838</v>
      </c>
      <c r="E7" s="10">
        <v>860</v>
      </c>
      <c r="F7" s="9">
        <f>IF(Tablo145678910111213141516171819202122232425262728293031323334353637383940414243444546474849[[#This Row],[SATIŞ]]=0,"Açık",(E7-D7)*C7)</f>
        <v>110</v>
      </c>
      <c r="G7" s="11">
        <f>Tablo145678910111213141516171819202122232425262728293031323334353637383940414243444546474849[[#This Row],[ADET]]*Tablo145678910111213141516171819202122232425262728293031323334353637383940414243444546474849[[#This Row],[ALIŞ]]</f>
        <v>4190</v>
      </c>
      <c r="H7" s="11">
        <f>Tablo145678910111213141516171819202122232425262728293031323334353637383940414243444546474849[[#This Row],[ADET]]*Tablo145678910111213141516171819202122232425262728293031323334353637383940414243444546474849[[#This Row],[SATIŞ]]</f>
        <v>4300</v>
      </c>
    </row>
    <row r="8" spans="2:18" ht="21" hidden="1" customHeight="1" x14ac:dyDescent="0.3">
      <c r="B8" s="2">
        <v>45328</v>
      </c>
      <c r="C8" s="6">
        <v>3</v>
      </c>
      <c r="D8" s="10">
        <v>832</v>
      </c>
      <c r="E8" s="10">
        <v>845</v>
      </c>
      <c r="F8" s="9">
        <f>IF(Tablo145678910111213141516171819202122232425262728293031323334353637383940414243444546474849[[#This Row],[SATIŞ]]=0,"Açık",(E8-D8)*C8)</f>
        <v>39</v>
      </c>
      <c r="G8" s="11">
        <f>Tablo145678910111213141516171819202122232425262728293031323334353637383940414243444546474849[[#This Row],[ADET]]*Tablo145678910111213141516171819202122232425262728293031323334353637383940414243444546474849[[#This Row],[ALIŞ]]</f>
        <v>2496</v>
      </c>
      <c r="H8" s="11">
        <f>Tablo145678910111213141516171819202122232425262728293031323334353637383940414243444546474849[[#This Row],[ADET]]*Tablo145678910111213141516171819202122232425262728293031323334353637383940414243444546474849[[#This Row],[SATIŞ]]</f>
        <v>2535</v>
      </c>
    </row>
    <row r="9" spans="2:18" ht="21" hidden="1" customHeight="1" x14ac:dyDescent="0.3">
      <c r="B9" s="2">
        <v>45328</v>
      </c>
      <c r="C9" s="6">
        <v>5</v>
      </c>
      <c r="D9" s="10">
        <v>832</v>
      </c>
      <c r="E9" s="10">
        <v>860</v>
      </c>
      <c r="F9" s="9">
        <f>IF(Tablo145678910111213141516171819202122232425262728293031323334353637383940414243444546474849[[#This Row],[SATIŞ]]=0,"Açık",(E9-D9)*C9)</f>
        <v>140</v>
      </c>
      <c r="G9" s="11">
        <f>Tablo145678910111213141516171819202122232425262728293031323334353637383940414243444546474849[[#This Row],[ADET]]*Tablo145678910111213141516171819202122232425262728293031323334353637383940414243444546474849[[#This Row],[ALIŞ]]</f>
        <v>4160</v>
      </c>
      <c r="H9" s="11">
        <f>Tablo145678910111213141516171819202122232425262728293031323334353637383940414243444546474849[[#This Row],[ADET]]*Tablo145678910111213141516171819202122232425262728293031323334353637383940414243444546474849[[#This Row],[SATIŞ]]</f>
        <v>4300</v>
      </c>
    </row>
    <row r="10" spans="2:18" ht="21" hidden="1" customHeight="1" x14ac:dyDescent="0.3">
      <c r="B10" s="2">
        <v>45329</v>
      </c>
      <c r="C10" s="6">
        <v>1</v>
      </c>
      <c r="D10" s="10">
        <v>839</v>
      </c>
      <c r="E10" s="10">
        <v>840</v>
      </c>
      <c r="F10" s="9">
        <f>IF(Tablo145678910111213141516171819202122232425262728293031323334353637383940414243444546474849[[#This Row],[SATIŞ]]=0,"Açık",(E10-D10)*C10)</f>
        <v>1</v>
      </c>
      <c r="G10" s="11">
        <f>Tablo145678910111213141516171819202122232425262728293031323334353637383940414243444546474849[[#This Row],[ADET]]*Tablo145678910111213141516171819202122232425262728293031323334353637383940414243444546474849[[#This Row],[ALIŞ]]</f>
        <v>839</v>
      </c>
      <c r="H10" s="11">
        <f>Tablo145678910111213141516171819202122232425262728293031323334353637383940414243444546474849[[#This Row],[ADET]]*Tablo145678910111213141516171819202122232425262728293031323334353637383940414243444546474849[[#This Row],[SATIŞ]]</f>
        <v>840</v>
      </c>
    </row>
    <row r="11" spans="2:18" ht="21" hidden="1" customHeight="1" x14ac:dyDescent="0.3">
      <c r="B11" s="2">
        <v>45329</v>
      </c>
      <c r="C11" s="6">
        <v>2</v>
      </c>
      <c r="D11" s="10">
        <v>828</v>
      </c>
      <c r="E11" s="10">
        <v>845</v>
      </c>
      <c r="F11" s="9">
        <f>IF(Tablo145678910111213141516171819202122232425262728293031323334353637383940414243444546474849[[#This Row],[SATIŞ]]=0,"Açık",(E11-D11)*C11)</f>
        <v>34</v>
      </c>
      <c r="G11" s="11">
        <f>Tablo145678910111213141516171819202122232425262728293031323334353637383940414243444546474849[[#This Row],[ADET]]*Tablo145678910111213141516171819202122232425262728293031323334353637383940414243444546474849[[#This Row],[ALIŞ]]</f>
        <v>1656</v>
      </c>
      <c r="H11" s="11">
        <f>Tablo145678910111213141516171819202122232425262728293031323334353637383940414243444546474849[[#This Row],[ADET]]*Tablo145678910111213141516171819202122232425262728293031323334353637383940414243444546474849[[#This Row],[SATIŞ]]</f>
        <v>1690</v>
      </c>
    </row>
    <row r="12" spans="2:18" ht="21" hidden="1" customHeight="1" x14ac:dyDescent="0.3">
      <c r="B12" s="2">
        <v>45329</v>
      </c>
      <c r="C12" s="6">
        <v>3</v>
      </c>
      <c r="D12" s="10">
        <v>820</v>
      </c>
      <c r="E12" s="10">
        <v>830</v>
      </c>
      <c r="F12" s="9">
        <f>IF(Tablo145678910111213141516171819202122232425262728293031323334353637383940414243444546474849[[#This Row],[SATIŞ]]=0,"Açık",(E12-D12)*C12)</f>
        <v>30</v>
      </c>
      <c r="G12" s="11">
        <f>Tablo145678910111213141516171819202122232425262728293031323334353637383940414243444546474849[[#This Row],[ADET]]*Tablo145678910111213141516171819202122232425262728293031323334353637383940414243444546474849[[#This Row],[ALIŞ]]</f>
        <v>2460</v>
      </c>
      <c r="H12" s="11">
        <f>Tablo145678910111213141516171819202122232425262728293031323334353637383940414243444546474849[[#This Row],[ADET]]*Tablo145678910111213141516171819202122232425262728293031323334353637383940414243444546474849[[#This Row],[SATIŞ]]</f>
        <v>2490</v>
      </c>
    </row>
    <row r="13" spans="2:18" ht="21" hidden="1" customHeight="1" x14ac:dyDescent="0.3">
      <c r="B13" s="2">
        <v>45329</v>
      </c>
      <c r="C13" s="6">
        <v>4</v>
      </c>
      <c r="D13" s="10">
        <v>815</v>
      </c>
      <c r="E13" s="10">
        <v>830</v>
      </c>
      <c r="F13" s="9">
        <f>IF(Tablo145678910111213141516171819202122232425262728293031323334353637383940414243444546474849[[#This Row],[SATIŞ]]=0,"Açık",(E13-D13)*C13)</f>
        <v>60</v>
      </c>
      <c r="G13" s="11">
        <f>Tablo145678910111213141516171819202122232425262728293031323334353637383940414243444546474849[[#This Row],[ADET]]*Tablo145678910111213141516171819202122232425262728293031323334353637383940414243444546474849[[#This Row],[ALIŞ]]</f>
        <v>3260</v>
      </c>
      <c r="H13" s="11">
        <f>Tablo145678910111213141516171819202122232425262728293031323334353637383940414243444546474849[[#This Row],[ADET]]*Tablo145678910111213141516171819202122232425262728293031323334353637383940414243444546474849[[#This Row],[SATIŞ]]</f>
        <v>3320</v>
      </c>
    </row>
    <row r="14" spans="2:18" ht="21" hidden="1" customHeight="1" x14ac:dyDescent="0.3">
      <c r="B14" s="2">
        <v>45331</v>
      </c>
      <c r="C14" s="6">
        <v>3</v>
      </c>
      <c r="D14" s="10">
        <v>825</v>
      </c>
      <c r="E14" s="10">
        <v>845</v>
      </c>
      <c r="F14" s="9">
        <f>IF(Tablo145678910111213141516171819202122232425262728293031323334353637383940414243444546474849[[#This Row],[SATIŞ]]=0,"Açık",(E14-D14)*C14)</f>
        <v>60</v>
      </c>
      <c r="G14" s="11">
        <f>Tablo145678910111213141516171819202122232425262728293031323334353637383940414243444546474849[[#This Row],[ADET]]*Tablo145678910111213141516171819202122232425262728293031323334353637383940414243444546474849[[#This Row],[ALIŞ]]</f>
        <v>2475</v>
      </c>
      <c r="H14" s="11">
        <f>Tablo145678910111213141516171819202122232425262728293031323334353637383940414243444546474849[[#This Row],[ADET]]*Tablo145678910111213141516171819202122232425262728293031323334353637383940414243444546474849[[#This Row],[SATIŞ]]</f>
        <v>2535</v>
      </c>
    </row>
    <row r="15" spans="2:18" ht="21" hidden="1" customHeight="1" x14ac:dyDescent="0.3">
      <c r="B15" s="2">
        <v>45335</v>
      </c>
      <c r="C15" s="6">
        <v>4</v>
      </c>
      <c r="D15" s="10">
        <v>835</v>
      </c>
      <c r="E15" s="10">
        <v>840</v>
      </c>
      <c r="F15" s="9">
        <f>IF(Tablo145678910111213141516171819202122232425262728293031323334353637383940414243444546474849[[#This Row],[SATIŞ]]=0,"Açık",(E15-D15)*C15)</f>
        <v>20</v>
      </c>
      <c r="G15" s="11">
        <f>Tablo145678910111213141516171819202122232425262728293031323334353637383940414243444546474849[[#This Row],[ADET]]*Tablo145678910111213141516171819202122232425262728293031323334353637383940414243444546474849[[#This Row],[ALIŞ]]</f>
        <v>3340</v>
      </c>
      <c r="H15" s="11">
        <f>Tablo145678910111213141516171819202122232425262728293031323334353637383940414243444546474849[[#This Row],[ADET]]*Tablo145678910111213141516171819202122232425262728293031323334353637383940414243444546474849[[#This Row],[SATIŞ]]</f>
        <v>3360</v>
      </c>
    </row>
    <row r="16" spans="2:18" ht="21" hidden="1" customHeight="1" x14ac:dyDescent="0.3">
      <c r="B16" s="2">
        <v>45337</v>
      </c>
      <c r="C16" s="6">
        <v>5</v>
      </c>
      <c r="D16" s="10">
        <v>830</v>
      </c>
      <c r="E16" s="10">
        <v>840</v>
      </c>
      <c r="F16" s="9">
        <f>IF(Tablo145678910111213141516171819202122232425262728293031323334353637383940414243444546474849[[#This Row],[SATIŞ]]=0,"Açık",(E16-D16)*C16)</f>
        <v>50</v>
      </c>
      <c r="G16" s="11">
        <f>Tablo145678910111213141516171819202122232425262728293031323334353637383940414243444546474849[[#This Row],[ADET]]*Tablo145678910111213141516171819202122232425262728293031323334353637383940414243444546474849[[#This Row],[ALIŞ]]</f>
        <v>4150</v>
      </c>
      <c r="H16" s="11">
        <f>Tablo145678910111213141516171819202122232425262728293031323334353637383940414243444546474849[[#This Row],[ADET]]*Tablo145678910111213141516171819202122232425262728293031323334353637383940414243444546474849[[#This Row],[SATIŞ]]</f>
        <v>4200</v>
      </c>
    </row>
    <row r="17" spans="2:10" ht="21" hidden="1" customHeight="1" x14ac:dyDescent="0.3">
      <c r="B17" s="2">
        <v>45337</v>
      </c>
      <c r="C17" s="6">
        <v>5</v>
      </c>
      <c r="D17" s="10">
        <v>830</v>
      </c>
      <c r="E17" s="10">
        <v>840</v>
      </c>
      <c r="F17" s="9">
        <f>IF(Tablo145678910111213141516171819202122232425262728293031323334353637383940414243444546474849[[#This Row],[SATIŞ]]=0,"Açık",(E17-D17)*C17)</f>
        <v>50</v>
      </c>
      <c r="G17" s="11">
        <f>Tablo145678910111213141516171819202122232425262728293031323334353637383940414243444546474849[[#This Row],[ADET]]*Tablo145678910111213141516171819202122232425262728293031323334353637383940414243444546474849[[#This Row],[ALIŞ]]</f>
        <v>4150</v>
      </c>
      <c r="H17" s="11">
        <f>Tablo145678910111213141516171819202122232425262728293031323334353637383940414243444546474849[[#This Row],[ADET]]*Tablo145678910111213141516171819202122232425262728293031323334353637383940414243444546474849[[#This Row],[SATIŞ]]</f>
        <v>4200</v>
      </c>
    </row>
    <row r="18" spans="2:10" ht="21" hidden="1" customHeight="1" x14ac:dyDescent="0.3">
      <c r="B18" s="2">
        <v>45337</v>
      </c>
      <c r="C18" s="6">
        <v>5</v>
      </c>
      <c r="D18" s="10">
        <v>835</v>
      </c>
      <c r="E18" s="10">
        <v>845</v>
      </c>
      <c r="F18" s="9">
        <f>IF(Tablo145678910111213141516171819202122232425262728293031323334353637383940414243444546474849[[#This Row],[SATIŞ]]=0,"Açık",(E18-D18)*C18)</f>
        <v>50</v>
      </c>
      <c r="G18" s="11">
        <f>Tablo145678910111213141516171819202122232425262728293031323334353637383940414243444546474849[[#This Row],[ADET]]*Tablo145678910111213141516171819202122232425262728293031323334353637383940414243444546474849[[#This Row],[ALIŞ]]</f>
        <v>4175</v>
      </c>
      <c r="H18" s="11">
        <f>Tablo145678910111213141516171819202122232425262728293031323334353637383940414243444546474849[[#This Row],[ADET]]*Tablo145678910111213141516171819202122232425262728293031323334353637383940414243444546474849[[#This Row],[SATIŞ]]</f>
        <v>4225</v>
      </c>
    </row>
    <row r="19" spans="2:10" ht="21" hidden="1" customHeight="1" x14ac:dyDescent="0.3">
      <c r="B19" s="2">
        <v>45337</v>
      </c>
      <c r="C19" s="6">
        <v>5</v>
      </c>
      <c r="D19" s="10">
        <v>840</v>
      </c>
      <c r="E19" s="10">
        <v>870</v>
      </c>
      <c r="F19" s="9">
        <f>IF(Tablo145678910111213141516171819202122232425262728293031323334353637383940414243444546474849[[#This Row],[SATIŞ]]=0,"Açık",(E19-D19)*C19)</f>
        <v>150</v>
      </c>
      <c r="G19" s="11">
        <f>Tablo145678910111213141516171819202122232425262728293031323334353637383940414243444546474849[[#This Row],[ADET]]*Tablo145678910111213141516171819202122232425262728293031323334353637383940414243444546474849[[#This Row],[ALIŞ]]</f>
        <v>4200</v>
      </c>
      <c r="H19" s="11">
        <f>Tablo145678910111213141516171819202122232425262728293031323334353637383940414243444546474849[[#This Row],[ADET]]*Tablo145678910111213141516171819202122232425262728293031323334353637383940414243444546474849[[#This Row],[SATIŞ]]</f>
        <v>4350</v>
      </c>
    </row>
    <row r="20" spans="2:10" ht="21" hidden="1" customHeight="1" x14ac:dyDescent="0.3">
      <c r="B20" s="2">
        <v>45337</v>
      </c>
      <c r="C20" s="6">
        <v>5</v>
      </c>
      <c r="D20" s="10">
        <v>835</v>
      </c>
      <c r="E20" s="10">
        <v>880</v>
      </c>
      <c r="F20" s="9">
        <f>IF(Tablo145678910111213141516171819202122232425262728293031323334353637383940414243444546474849[[#This Row],[SATIŞ]]=0,"Açık",(E20-D20)*C20)</f>
        <v>225</v>
      </c>
      <c r="G20" s="11">
        <f>Tablo145678910111213141516171819202122232425262728293031323334353637383940414243444546474849[[#This Row],[ADET]]*Tablo145678910111213141516171819202122232425262728293031323334353637383940414243444546474849[[#This Row],[ALIŞ]]</f>
        <v>4175</v>
      </c>
      <c r="H20" s="11">
        <f>Tablo145678910111213141516171819202122232425262728293031323334353637383940414243444546474849[[#This Row],[ADET]]*Tablo145678910111213141516171819202122232425262728293031323334353637383940414243444546474849[[#This Row],[SATIŞ]]</f>
        <v>4400</v>
      </c>
    </row>
    <row r="21" spans="2:10" ht="21" hidden="1" customHeight="1" x14ac:dyDescent="0.3">
      <c r="B21" s="2">
        <v>45337</v>
      </c>
      <c r="C21" s="6">
        <v>5</v>
      </c>
      <c r="D21" s="10">
        <v>838</v>
      </c>
      <c r="E21" s="10">
        <v>950</v>
      </c>
      <c r="F21" s="9">
        <f>IF(Tablo145678910111213141516171819202122232425262728293031323334353637383940414243444546474849[[#This Row],[SATIŞ]]=0,"Açık",(E21-D21)*C21)</f>
        <v>560</v>
      </c>
      <c r="G21" s="11">
        <f>Tablo145678910111213141516171819202122232425262728293031323334353637383940414243444546474849[[#This Row],[ADET]]*Tablo145678910111213141516171819202122232425262728293031323334353637383940414243444546474849[[#This Row],[ALIŞ]]</f>
        <v>4190</v>
      </c>
      <c r="H21" s="11">
        <f>Tablo145678910111213141516171819202122232425262728293031323334353637383940414243444546474849[[#This Row],[ADET]]*Tablo145678910111213141516171819202122232425262728293031323334353637383940414243444546474849[[#This Row],[SATIŞ]]</f>
        <v>4750</v>
      </c>
      <c r="J21" s="40" t="str">
        <f t="shared" ref="J21:J38" si="0">IF(E21=0,D21*1.05,"")</f>
        <v/>
      </c>
    </row>
    <row r="22" spans="2:10" ht="21" hidden="1" customHeight="1" x14ac:dyDescent="0.3">
      <c r="B22" s="2">
        <v>45337</v>
      </c>
      <c r="C22" s="6">
        <v>5</v>
      </c>
      <c r="D22" s="10">
        <v>850</v>
      </c>
      <c r="E22" s="10">
        <v>900</v>
      </c>
      <c r="F22" s="9">
        <f>IF(Tablo145678910111213141516171819202122232425262728293031323334353637383940414243444546474849[[#This Row],[SATIŞ]]=0,"Açık",(E22-D22)*C22)</f>
        <v>250</v>
      </c>
      <c r="G22" s="11">
        <f>Tablo145678910111213141516171819202122232425262728293031323334353637383940414243444546474849[[#This Row],[ADET]]*Tablo145678910111213141516171819202122232425262728293031323334353637383940414243444546474849[[#This Row],[ALIŞ]]</f>
        <v>4250</v>
      </c>
      <c r="H22" s="11">
        <f>Tablo145678910111213141516171819202122232425262728293031323334353637383940414243444546474849[[#This Row],[ADET]]*Tablo145678910111213141516171819202122232425262728293031323334353637383940414243444546474849[[#This Row],[SATIŞ]]</f>
        <v>4500</v>
      </c>
      <c r="J22" s="40" t="str">
        <f t="shared" si="0"/>
        <v/>
      </c>
    </row>
    <row r="23" spans="2:10" ht="21" hidden="1" customHeight="1" x14ac:dyDescent="0.3">
      <c r="B23" s="2">
        <v>45342</v>
      </c>
      <c r="C23" s="6">
        <v>5</v>
      </c>
      <c r="D23" s="10">
        <v>840</v>
      </c>
      <c r="E23" s="10">
        <v>920</v>
      </c>
      <c r="F23" s="9">
        <f>IF(Tablo145678910111213141516171819202122232425262728293031323334353637383940414243444546474849[[#This Row],[SATIŞ]]=0,"Açık",(E23-D23)*C23)</f>
        <v>400</v>
      </c>
      <c r="G23" s="11">
        <f>Tablo145678910111213141516171819202122232425262728293031323334353637383940414243444546474849[[#This Row],[ADET]]*Tablo145678910111213141516171819202122232425262728293031323334353637383940414243444546474849[[#This Row],[ALIŞ]]</f>
        <v>4200</v>
      </c>
      <c r="H23" s="11">
        <f>Tablo145678910111213141516171819202122232425262728293031323334353637383940414243444546474849[[#This Row],[ADET]]*Tablo145678910111213141516171819202122232425262728293031323334353637383940414243444546474849[[#This Row],[SATIŞ]]</f>
        <v>4600</v>
      </c>
      <c r="J23" s="40" t="str">
        <f t="shared" si="0"/>
        <v/>
      </c>
    </row>
    <row r="24" spans="2:10" ht="21" hidden="1" customHeight="1" x14ac:dyDescent="0.3">
      <c r="B24" s="2">
        <v>45348</v>
      </c>
      <c r="C24" s="6">
        <v>5</v>
      </c>
      <c r="D24" s="10">
        <v>860</v>
      </c>
      <c r="E24" s="10">
        <v>950</v>
      </c>
      <c r="F24" s="9">
        <f>IF(Tablo145678910111213141516171819202122232425262728293031323334353637383940414243444546474849[[#This Row],[SATIŞ]]=0,"Açık",(E24-D24)*C24)</f>
        <v>450</v>
      </c>
      <c r="G24" s="11">
        <f>Tablo145678910111213141516171819202122232425262728293031323334353637383940414243444546474849[[#This Row],[ADET]]*Tablo145678910111213141516171819202122232425262728293031323334353637383940414243444546474849[[#This Row],[ALIŞ]]</f>
        <v>4300</v>
      </c>
      <c r="H24" s="11">
        <f>Tablo145678910111213141516171819202122232425262728293031323334353637383940414243444546474849[[#This Row],[ADET]]*Tablo145678910111213141516171819202122232425262728293031323334353637383940414243444546474849[[#This Row],[SATIŞ]]</f>
        <v>4750</v>
      </c>
      <c r="J24" s="40" t="str">
        <f t="shared" si="0"/>
        <v/>
      </c>
    </row>
    <row r="25" spans="2:10" ht="21" hidden="1" customHeight="1" x14ac:dyDescent="0.3">
      <c r="B25" s="2">
        <v>45356</v>
      </c>
      <c r="C25" s="6">
        <v>5</v>
      </c>
      <c r="D25" s="10">
        <v>850</v>
      </c>
      <c r="E25" s="10">
        <v>933</v>
      </c>
      <c r="F25" s="9">
        <f>IF(Tablo145678910111213141516171819202122232425262728293031323334353637383940414243444546474849[[#This Row],[SATIŞ]]=0,"Açık",(E25-D25)*C25)</f>
        <v>415</v>
      </c>
      <c r="G25" s="11">
        <f>Tablo145678910111213141516171819202122232425262728293031323334353637383940414243444546474849[[#This Row],[ADET]]*Tablo145678910111213141516171819202122232425262728293031323334353637383940414243444546474849[[#This Row],[ALIŞ]]</f>
        <v>4250</v>
      </c>
      <c r="H25" s="11">
        <f>Tablo145678910111213141516171819202122232425262728293031323334353637383940414243444546474849[[#This Row],[ADET]]*Tablo145678910111213141516171819202122232425262728293031323334353637383940414243444546474849[[#This Row],[SATIŞ]]</f>
        <v>4665</v>
      </c>
      <c r="J25" s="40" t="str">
        <f t="shared" si="0"/>
        <v/>
      </c>
    </row>
    <row r="26" spans="2:10" ht="21" hidden="1" customHeight="1" x14ac:dyDescent="0.3">
      <c r="B26" s="2">
        <v>45348</v>
      </c>
      <c r="C26" s="6">
        <v>5</v>
      </c>
      <c r="D26" s="10">
        <v>860</v>
      </c>
      <c r="E26" s="10">
        <v>925</v>
      </c>
      <c r="F26" s="9">
        <f>IF(Tablo145678910111213141516171819202122232425262728293031323334353637383940414243444546474849[[#This Row],[SATIŞ]]=0,"Açık",(E26-D26)*C26)</f>
        <v>325</v>
      </c>
      <c r="G26" s="11">
        <f>Tablo145678910111213141516171819202122232425262728293031323334353637383940414243444546474849[[#This Row],[ADET]]*Tablo145678910111213141516171819202122232425262728293031323334353637383940414243444546474849[[#This Row],[ALIŞ]]</f>
        <v>4300</v>
      </c>
      <c r="H26" s="11">
        <f>Tablo145678910111213141516171819202122232425262728293031323334353637383940414243444546474849[[#This Row],[ADET]]*Tablo145678910111213141516171819202122232425262728293031323334353637383940414243444546474849[[#This Row],[SATIŞ]]</f>
        <v>4625</v>
      </c>
      <c r="J26" s="40"/>
    </row>
    <row r="27" spans="2:10" ht="21" hidden="1" customHeight="1" x14ac:dyDescent="0.3">
      <c r="B27" s="2">
        <v>45358</v>
      </c>
      <c r="C27" s="6">
        <v>5</v>
      </c>
      <c r="D27" s="10">
        <v>900</v>
      </c>
      <c r="E27" s="10">
        <v>925</v>
      </c>
      <c r="F27" s="9">
        <f>IF(Tablo145678910111213141516171819202122232425262728293031323334353637383940414243444546474849[[#This Row],[SATIŞ]]=0,"Açık",(E27-D27)*C27)</f>
        <v>125</v>
      </c>
      <c r="G27" s="11">
        <f>Tablo145678910111213141516171819202122232425262728293031323334353637383940414243444546474849[[#This Row],[ADET]]*Tablo145678910111213141516171819202122232425262728293031323334353637383940414243444546474849[[#This Row],[ALIŞ]]</f>
        <v>4500</v>
      </c>
      <c r="H27" s="11">
        <f>Tablo145678910111213141516171819202122232425262728293031323334353637383940414243444546474849[[#This Row],[ADET]]*Tablo145678910111213141516171819202122232425262728293031323334353637383940414243444546474849[[#This Row],[SATIŞ]]</f>
        <v>4625</v>
      </c>
      <c r="J27" s="40" t="str">
        <f t="shared" si="0"/>
        <v/>
      </c>
    </row>
    <row r="28" spans="2:10" ht="21" hidden="1" customHeight="1" x14ac:dyDescent="0.3">
      <c r="B28" s="2">
        <v>45362</v>
      </c>
      <c r="C28" s="6">
        <v>5</v>
      </c>
      <c r="D28" s="10">
        <v>910</v>
      </c>
      <c r="E28" s="10">
        <v>935</v>
      </c>
      <c r="F28" s="9">
        <f>IF(Tablo145678910111213141516171819202122232425262728293031323334353637383940414243444546474849[[#This Row],[SATIŞ]]=0,"Açık",(E28-D28)*C28)</f>
        <v>125</v>
      </c>
      <c r="G28" s="11">
        <f>Tablo145678910111213141516171819202122232425262728293031323334353637383940414243444546474849[[#This Row],[ADET]]*Tablo145678910111213141516171819202122232425262728293031323334353637383940414243444546474849[[#This Row],[ALIŞ]]</f>
        <v>4550</v>
      </c>
      <c r="H28" s="11">
        <f>Tablo145678910111213141516171819202122232425262728293031323334353637383940414243444546474849[[#This Row],[ADET]]*Tablo145678910111213141516171819202122232425262728293031323334353637383940414243444546474849[[#This Row],[SATIŞ]]</f>
        <v>4675</v>
      </c>
      <c r="J28" s="40" t="str">
        <f t="shared" si="0"/>
        <v/>
      </c>
    </row>
    <row r="29" spans="2:10" ht="21" customHeight="1" x14ac:dyDescent="0.3">
      <c r="B29" s="2">
        <v>45369</v>
      </c>
      <c r="C29" s="6">
        <v>10</v>
      </c>
      <c r="D29" s="10">
        <v>920</v>
      </c>
      <c r="E29" s="10"/>
      <c r="F29" s="9" t="str">
        <f>IF(Tablo145678910111213141516171819202122232425262728293031323334353637383940414243444546474849[[#This Row],[SATIŞ]]=0,"Açık",(E29-D29)*C29)</f>
        <v>Açık</v>
      </c>
      <c r="G29" s="11">
        <f>Tablo145678910111213141516171819202122232425262728293031323334353637383940414243444546474849[[#This Row],[ADET]]*Tablo145678910111213141516171819202122232425262728293031323334353637383940414243444546474849[[#This Row],[ALIŞ]]</f>
        <v>9200</v>
      </c>
      <c r="H29" s="11">
        <f>Tablo145678910111213141516171819202122232425262728293031323334353637383940414243444546474849[[#This Row],[ADET]]*Tablo145678910111213141516171819202122232425262728293031323334353637383940414243444546474849[[#This Row],[SATIŞ]]</f>
        <v>0</v>
      </c>
      <c r="J29" s="40">
        <f t="shared" si="0"/>
        <v>966</v>
      </c>
    </row>
    <row r="30" spans="2:10" ht="21" hidden="1" customHeight="1" x14ac:dyDescent="0.3">
      <c r="B30" s="2">
        <v>45371</v>
      </c>
      <c r="C30" s="6">
        <v>5</v>
      </c>
      <c r="D30" s="10">
        <v>915</v>
      </c>
      <c r="E30" s="10">
        <v>925</v>
      </c>
      <c r="F30" s="9">
        <f>IF(Tablo145678910111213141516171819202122232425262728293031323334353637383940414243444546474849[[#This Row],[SATIŞ]]=0,"Açık",(E30-D30)*C30)</f>
        <v>50</v>
      </c>
      <c r="G30" s="11">
        <f>Tablo145678910111213141516171819202122232425262728293031323334353637383940414243444546474849[[#This Row],[ADET]]*Tablo145678910111213141516171819202122232425262728293031323334353637383940414243444546474849[[#This Row],[ALIŞ]]</f>
        <v>4575</v>
      </c>
      <c r="H30" s="11">
        <f>Tablo145678910111213141516171819202122232425262728293031323334353637383940414243444546474849[[#This Row],[ADET]]*Tablo145678910111213141516171819202122232425262728293031323334353637383940414243444546474849[[#This Row],[SATIŞ]]</f>
        <v>4625</v>
      </c>
      <c r="J30" s="40" t="str">
        <f t="shared" si="0"/>
        <v/>
      </c>
    </row>
    <row r="31" spans="2:10" ht="21" customHeight="1" x14ac:dyDescent="0.3">
      <c r="B31" s="2">
        <v>45373</v>
      </c>
      <c r="C31" s="6">
        <v>5</v>
      </c>
      <c r="D31" s="10">
        <v>935</v>
      </c>
      <c r="E31" s="10"/>
      <c r="F31" s="9" t="str">
        <f>IF(Tablo145678910111213141516171819202122232425262728293031323334353637383940414243444546474849[[#This Row],[SATIŞ]]=0,"Açık",(E31-D31)*C31)</f>
        <v>Açık</v>
      </c>
      <c r="G31" s="11">
        <f>Tablo145678910111213141516171819202122232425262728293031323334353637383940414243444546474849[[#This Row],[ADET]]*Tablo145678910111213141516171819202122232425262728293031323334353637383940414243444546474849[[#This Row],[ALIŞ]]</f>
        <v>4675</v>
      </c>
      <c r="H31" s="11">
        <f>Tablo145678910111213141516171819202122232425262728293031323334353637383940414243444546474849[[#This Row],[ADET]]*Tablo145678910111213141516171819202122232425262728293031323334353637383940414243444546474849[[#This Row],[SATIŞ]]</f>
        <v>0</v>
      </c>
      <c r="J31" s="40">
        <f t="shared" si="0"/>
        <v>981.75</v>
      </c>
    </row>
    <row r="32" spans="2:10" ht="21" customHeight="1" x14ac:dyDescent="0.3">
      <c r="B32" s="2">
        <v>45376</v>
      </c>
      <c r="C32" s="6">
        <v>5</v>
      </c>
      <c r="D32" s="10">
        <v>920</v>
      </c>
      <c r="E32" s="10"/>
      <c r="F32" s="9" t="str">
        <f>IF(Tablo145678910111213141516171819202122232425262728293031323334353637383940414243444546474849[[#This Row],[SATIŞ]]=0,"Açık",(E32-D32)*C32)</f>
        <v>Açık</v>
      </c>
      <c r="G32" s="11">
        <f>Tablo145678910111213141516171819202122232425262728293031323334353637383940414243444546474849[[#This Row],[ADET]]*Tablo145678910111213141516171819202122232425262728293031323334353637383940414243444546474849[[#This Row],[ALIŞ]]</f>
        <v>4600</v>
      </c>
      <c r="H32" s="11">
        <f>Tablo145678910111213141516171819202122232425262728293031323334353637383940414243444546474849[[#This Row],[ADET]]*Tablo145678910111213141516171819202122232425262728293031323334353637383940414243444546474849[[#This Row],[SATIŞ]]</f>
        <v>0</v>
      </c>
      <c r="J32" s="40">
        <f t="shared" si="0"/>
        <v>966</v>
      </c>
    </row>
    <row r="33" spans="2:10" ht="21" customHeight="1" x14ac:dyDescent="0.3">
      <c r="B33" s="2">
        <v>45378</v>
      </c>
      <c r="C33" s="6">
        <v>10</v>
      </c>
      <c r="D33" s="10">
        <v>916</v>
      </c>
      <c r="E33" s="10"/>
      <c r="F33" s="9" t="str">
        <f>IF(Tablo145678910111213141516171819202122232425262728293031323334353637383940414243444546474849[[#This Row],[SATIŞ]]=0,"Açık",(E33-D33)*C33)</f>
        <v>Açık</v>
      </c>
      <c r="G33" s="11">
        <f>Tablo145678910111213141516171819202122232425262728293031323334353637383940414243444546474849[[#This Row],[ADET]]*Tablo145678910111213141516171819202122232425262728293031323334353637383940414243444546474849[[#This Row],[ALIŞ]]</f>
        <v>9160</v>
      </c>
      <c r="H33" s="11">
        <f>Tablo145678910111213141516171819202122232425262728293031323334353637383940414243444546474849[[#This Row],[ADET]]*Tablo145678910111213141516171819202122232425262728293031323334353637383940414243444546474849[[#This Row],[SATIŞ]]</f>
        <v>0</v>
      </c>
      <c r="J33" s="40">
        <f t="shared" si="0"/>
        <v>961.80000000000007</v>
      </c>
    </row>
    <row r="34" spans="2:10" ht="21" customHeight="1" x14ac:dyDescent="0.3">
      <c r="B34" s="2">
        <v>45380</v>
      </c>
      <c r="C34" s="6">
        <v>10</v>
      </c>
      <c r="D34" s="10">
        <v>987</v>
      </c>
      <c r="E34" s="10"/>
      <c r="F34" s="9" t="str">
        <f>IF(Tablo145678910111213141516171819202122232425262728293031323334353637383940414243444546474849[[#This Row],[SATIŞ]]=0,"Açık",(E34-D34)*C34)</f>
        <v>Açık</v>
      </c>
      <c r="G34" s="11">
        <f>Tablo145678910111213141516171819202122232425262728293031323334353637383940414243444546474849[[#This Row],[ADET]]*Tablo145678910111213141516171819202122232425262728293031323334353637383940414243444546474849[[#This Row],[ALIŞ]]</f>
        <v>9870</v>
      </c>
      <c r="H34" s="11">
        <f>Tablo145678910111213141516171819202122232425262728293031323334353637383940414243444546474849[[#This Row],[ADET]]*Tablo145678910111213141516171819202122232425262728293031323334353637383940414243444546474849[[#This Row],[SATIŞ]]</f>
        <v>0</v>
      </c>
      <c r="J34" s="40">
        <f t="shared" si="0"/>
        <v>1036.3500000000001</v>
      </c>
    </row>
    <row r="35" spans="2:10" ht="21" customHeight="1" x14ac:dyDescent="0.3">
      <c r="B35" s="2">
        <v>45384</v>
      </c>
      <c r="C35" s="6">
        <v>5</v>
      </c>
      <c r="D35" s="10">
        <v>910</v>
      </c>
      <c r="E35" s="10"/>
      <c r="F35" s="9" t="str">
        <f>IF(Tablo145678910111213141516171819202122232425262728293031323334353637383940414243444546474849[[#This Row],[SATIŞ]]=0,"Açık",(E35-D35)*C35)</f>
        <v>Açık</v>
      </c>
      <c r="G35" s="11">
        <f>Tablo145678910111213141516171819202122232425262728293031323334353637383940414243444546474849[[#This Row],[ADET]]*Tablo145678910111213141516171819202122232425262728293031323334353637383940414243444546474849[[#This Row],[ALIŞ]]</f>
        <v>4550</v>
      </c>
      <c r="H35" s="11">
        <f>Tablo145678910111213141516171819202122232425262728293031323334353637383940414243444546474849[[#This Row],[ADET]]*Tablo145678910111213141516171819202122232425262728293031323334353637383940414243444546474849[[#This Row],[SATIŞ]]</f>
        <v>0</v>
      </c>
      <c r="J35" s="40">
        <f t="shared" si="0"/>
        <v>955.5</v>
      </c>
    </row>
    <row r="36" spans="2:10" ht="21" customHeight="1" x14ac:dyDescent="0.3">
      <c r="B36" s="2">
        <v>45384</v>
      </c>
      <c r="C36" s="6">
        <v>10</v>
      </c>
      <c r="D36" s="10">
        <v>900</v>
      </c>
      <c r="E36" s="10"/>
      <c r="F36" s="9" t="str">
        <f>IF(Tablo145678910111213141516171819202122232425262728293031323334353637383940414243444546474849[[#This Row],[SATIŞ]]=0,"Açık",(E36-D36)*C36)</f>
        <v>Açık</v>
      </c>
      <c r="G36" s="11">
        <f>Tablo145678910111213141516171819202122232425262728293031323334353637383940414243444546474849[[#This Row],[ADET]]*Tablo145678910111213141516171819202122232425262728293031323334353637383940414243444546474849[[#This Row],[ALIŞ]]</f>
        <v>9000</v>
      </c>
      <c r="H36" s="11">
        <f>Tablo145678910111213141516171819202122232425262728293031323334353637383940414243444546474849[[#This Row],[ADET]]*Tablo145678910111213141516171819202122232425262728293031323334353637383940414243444546474849[[#This Row],[SATIŞ]]</f>
        <v>0</v>
      </c>
      <c r="J36" s="40">
        <f t="shared" si="0"/>
        <v>945</v>
      </c>
    </row>
    <row r="37" spans="2:10" ht="21" hidden="1" customHeight="1" x14ac:dyDescent="0.3">
      <c r="B37" s="2">
        <v>45384</v>
      </c>
      <c r="C37" s="6">
        <v>5</v>
      </c>
      <c r="D37" s="10">
        <v>890</v>
      </c>
      <c r="E37" s="10">
        <v>915</v>
      </c>
      <c r="F37" s="9">
        <f>IF(Tablo145678910111213141516171819202122232425262728293031323334353637383940414243444546474849[[#This Row],[SATIŞ]]=0,"Açık",(E37-D37)*C37)</f>
        <v>125</v>
      </c>
      <c r="G37" s="11">
        <f>Tablo145678910111213141516171819202122232425262728293031323334353637383940414243444546474849[[#This Row],[ADET]]*Tablo145678910111213141516171819202122232425262728293031323334353637383940414243444546474849[[#This Row],[ALIŞ]]</f>
        <v>4450</v>
      </c>
      <c r="H37" s="11">
        <f>Tablo145678910111213141516171819202122232425262728293031323334353637383940414243444546474849[[#This Row],[ADET]]*Tablo145678910111213141516171819202122232425262728293031323334353637383940414243444546474849[[#This Row],[SATIŞ]]</f>
        <v>4575</v>
      </c>
      <c r="J37" s="40" t="str">
        <f t="shared" si="0"/>
        <v/>
      </c>
    </row>
    <row r="38" spans="2:10" ht="21" hidden="1" customHeight="1" x14ac:dyDescent="0.3">
      <c r="B38" s="2">
        <v>45405</v>
      </c>
      <c r="C38" s="6">
        <v>1</v>
      </c>
      <c r="D38" s="10">
        <v>1</v>
      </c>
      <c r="E38" s="10">
        <v>3117.42</v>
      </c>
      <c r="F38" s="9">
        <f>IF(Tablo145678910111213141516171819202122232425262728293031323334353637383940414243444546474849[[#This Row],[SATIŞ]]=0,"Açık",(E38-D38)*C38)</f>
        <v>3116.42</v>
      </c>
      <c r="G38" s="11">
        <f>Tablo145678910111213141516171819202122232425262728293031323334353637383940414243444546474849[[#This Row],[ADET]]*Tablo145678910111213141516171819202122232425262728293031323334353637383940414243444546474849[[#This Row],[ALIŞ]]</f>
        <v>1</v>
      </c>
      <c r="H38" s="11">
        <f>Tablo145678910111213141516171819202122232425262728293031323334353637383940414243444546474849[[#This Row],[ADET]]*Tablo145678910111213141516171819202122232425262728293031323334353637383940414243444546474849[[#This Row],[SATIŞ]]</f>
        <v>3117.42</v>
      </c>
      <c r="J38" s="40" t="str">
        <f t="shared" si="0"/>
        <v/>
      </c>
    </row>
    <row r="39" spans="2:10" ht="21" hidden="1" customHeight="1" x14ac:dyDescent="0.3">
      <c r="B39" s="2">
        <v>45384</v>
      </c>
      <c r="C39" s="6">
        <v>5</v>
      </c>
      <c r="D39" s="10">
        <v>890</v>
      </c>
      <c r="E39" s="10">
        <v>931</v>
      </c>
      <c r="F39" s="9">
        <f>IF(Tablo145678910111213141516171819202122232425262728293031323334353637383940414243444546474849[[#This Row],[SATIŞ]]=0,"Açık",(E39-D39)*C39)</f>
        <v>205</v>
      </c>
      <c r="G39" s="11">
        <f>Tablo145678910111213141516171819202122232425262728293031323334353637383940414243444546474849[[#This Row],[ADET]]*Tablo145678910111213141516171819202122232425262728293031323334353637383940414243444546474849[[#This Row],[ALIŞ]]</f>
        <v>4450</v>
      </c>
      <c r="H39" s="11">
        <f>Tablo145678910111213141516171819202122232425262728293031323334353637383940414243444546474849[[#This Row],[ADET]]*Tablo145678910111213141516171819202122232425262728293031323334353637383940414243444546474849[[#This Row],[SATIŞ]]</f>
        <v>4655</v>
      </c>
    </row>
    <row r="40" spans="2:10" ht="21" hidden="1" customHeight="1" x14ac:dyDescent="0.3">
      <c r="B40" s="2">
        <v>45384</v>
      </c>
      <c r="C40" s="6">
        <v>5</v>
      </c>
      <c r="D40" s="10">
        <v>910</v>
      </c>
      <c r="E40" s="10">
        <v>920</v>
      </c>
      <c r="F40" s="9">
        <f>IF(Tablo145678910111213141516171819202122232425262728293031323334353637383940414243444546474849[[#This Row],[SATIŞ]]=0,"Açık",(E40-D40)*C40)</f>
        <v>50</v>
      </c>
      <c r="G40" s="11">
        <f>Tablo145678910111213141516171819202122232425262728293031323334353637383940414243444546474849[[#This Row],[ADET]]*Tablo145678910111213141516171819202122232425262728293031323334353637383940414243444546474849[[#This Row],[ALIŞ]]</f>
        <v>4550</v>
      </c>
      <c r="H40" s="11">
        <f>Tablo145678910111213141516171819202122232425262728293031323334353637383940414243444546474849[[#This Row],[ADET]]*Tablo145678910111213141516171819202122232425262728293031323334353637383940414243444546474849[[#This Row],[SATIŞ]]</f>
        <v>4600</v>
      </c>
    </row>
    <row r="41" spans="2:10" ht="21" customHeight="1" x14ac:dyDescent="0.3">
      <c r="B41" s="2">
        <v>45401</v>
      </c>
      <c r="C41" s="6">
        <v>5</v>
      </c>
      <c r="D41" s="10">
        <v>915</v>
      </c>
      <c r="E41" s="10"/>
      <c r="F41" s="9" t="str">
        <f>IF(Tablo145678910111213141516171819202122232425262728293031323334353637383940414243444546474849[[#This Row],[SATIŞ]]=0,"Açık",(E41-D41)*C41)</f>
        <v>Açık</v>
      </c>
      <c r="G41" s="11">
        <f>Tablo145678910111213141516171819202122232425262728293031323334353637383940414243444546474849[[#This Row],[ADET]]*Tablo145678910111213141516171819202122232425262728293031323334353637383940414243444546474849[[#This Row],[ALIŞ]]</f>
        <v>4575</v>
      </c>
      <c r="H41" s="11">
        <f>Tablo145678910111213141516171819202122232425262728293031323334353637383940414243444546474849[[#This Row],[ADET]]*Tablo145678910111213141516171819202122232425262728293031323334353637383940414243444546474849[[#This Row],[SATIŞ]]</f>
        <v>0</v>
      </c>
    </row>
  </sheetData>
  <conditionalFormatting sqref="B4:F41">
    <cfRule type="expression" dxfId="20" priority="1">
      <formula>$F4&lt;0</formula>
    </cfRule>
    <cfRule type="expression" dxfId="19" priority="2">
      <formula>$F4="Açık"</formula>
    </cfRule>
    <cfRule type="expression" dxfId="18" priority="3">
      <formula>$F4&gt;0</formula>
    </cfRule>
  </conditionalFormatting>
  <hyperlinks>
    <hyperlink ref="B1" location="İcmal!A1" display="ANA SAYFA" xr:uid="{BD10B121-F2A7-4625-B7D1-B2858F8EE4C3}"/>
  </hyperlinks>
  <pageMargins left="0.7" right="0.7" top="0.75" bottom="0.75" header="0.3" footer="0.3"/>
  <tableParts count="1">
    <tablePart r:id="rId1"/>
  </tablePart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C38F4-8947-4BA1-AFA6-1B15B9DB45A4}">
  <sheetPr>
    <tabColor rgb="FFFFABAB"/>
  </sheetPr>
  <dimension ref="B1:R51"/>
  <sheetViews>
    <sheetView showGridLines="0" showZeros="0" zoomScale="110" zoomScaleNormal="110" workbookViewId="0">
      <pane ySplit="3" topLeftCell="A4" activePane="bottomLeft" state="frozen"/>
      <selection pane="bottomLeft" activeCell="E51" sqref="E51"/>
    </sheetView>
  </sheetViews>
  <sheetFormatPr defaultRowHeight="21" customHeight="1" x14ac:dyDescent="0.3"/>
  <cols>
    <col min="2" max="2" width="20.6640625" style="1" customWidth="1"/>
    <col min="3" max="3" width="11.33203125" style="6" customWidth="1"/>
    <col min="4" max="5" width="12.88671875" style="3" customWidth="1"/>
    <col min="6" max="6" width="12.88671875" style="5" customWidth="1"/>
    <col min="7" max="8" width="11.6640625" bestFit="1" customWidth="1"/>
    <col min="10" max="12" width="12.44140625" customWidth="1"/>
    <col min="13" max="13" width="12.6640625" bestFit="1" customWidth="1"/>
    <col min="14" max="14" width="11.6640625" bestFit="1" customWidth="1"/>
  </cols>
  <sheetData>
    <row r="1" spans="2:18" ht="21" customHeight="1" x14ac:dyDescent="0.3">
      <c r="B1" s="12" t="s">
        <v>64</v>
      </c>
      <c r="C1" s="4">
        <f>SUMIF(Tablo1456789101112131415161718192021222324252627282930313233343536373839404142434445464759[KAR],"Açık",Tablo1456789101112131415161718192021222324252627282930313233343536373839404142434445464759[ADET])</f>
        <v>3100</v>
      </c>
      <c r="D1" s="10">
        <f>+İcmal!E67</f>
        <v>11.39</v>
      </c>
      <c r="E1" s="10">
        <f>C1*D1</f>
        <v>35309</v>
      </c>
      <c r="F1" s="10">
        <f>IFERROR(((SUM(Tablo1456789101112131415161718192021222324252627282930313233343536373839404142434445464759[ALIŞ TUTAR])-SUM(Tablo1456789101112131415161718192021222324252627282930313233343536373839404142434445464759[SATIŞ TUTAR]))/C1),"")</f>
        <v>12.433096774193551</v>
      </c>
      <c r="G1" s="10">
        <f>IF(M3=0,L3,C1*(D1-F1))</f>
        <v>-3233.6000000000063</v>
      </c>
      <c r="J1" s="45" t="s">
        <v>94</v>
      </c>
      <c r="K1" s="45" t="s">
        <v>95</v>
      </c>
      <c r="L1" s="45" t="s">
        <v>96</v>
      </c>
      <c r="M1" s="33">
        <f>F1</f>
        <v>12.433096774193551</v>
      </c>
      <c r="N1" s="8" t="e">
        <f>M1*(1+$J$1)</f>
        <v>#VALUE!</v>
      </c>
      <c r="P1" s="8" t="e">
        <f>Q1*(1-$J$1)</f>
        <v>#VALUE!</v>
      </c>
      <c r="Q1" s="33">
        <f>+D1</f>
        <v>11.39</v>
      </c>
      <c r="R1" s="8" t="e">
        <f>Q1*(1+$J$1)</f>
        <v>#VALUE!</v>
      </c>
    </row>
    <row r="2" spans="2:18" ht="21" customHeight="1" x14ac:dyDescent="0.3">
      <c r="B2" s="7" t="s">
        <v>82</v>
      </c>
      <c r="J2" s="45">
        <f>SUMIFS(Tablo2[HEDEF2],Tablo2[HİSSE],B2)</f>
        <v>1</v>
      </c>
      <c r="K2" s="45">
        <f>+E1/İcmal!$P$2</f>
        <v>1085.4288349216108</v>
      </c>
      <c r="L2" s="45">
        <f>+J2-K2</f>
        <v>-1084.4288349216108</v>
      </c>
    </row>
    <row r="3" spans="2:18" ht="21" customHeight="1" x14ac:dyDescent="0.3">
      <c r="B3" s="1" t="s">
        <v>0</v>
      </c>
      <c r="C3" s="6" t="s">
        <v>4</v>
      </c>
      <c r="D3" s="3" t="s">
        <v>1</v>
      </c>
      <c r="E3" s="3" t="s">
        <v>3</v>
      </c>
      <c r="F3" s="5" t="s">
        <v>2</v>
      </c>
      <c r="G3" s="3" t="s">
        <v>8</v>
      </c>
      <c r="H3" s="3" t="s">
        <v>9</v>
      </c>
      <c r="L3" s="33">
        <f>SUM(Tablo1456789101112131415161718192021222324252627282930313233343536373839404142434445464759[KAR])</f>
        <v>2417.400000000001</v>
      </c>
      <c r="M3" s="37">
        <f>C1</f>
        <v>3100</v>
      </c>
    </row>
    <row r="4" spans="2:18" ht="21" hidden="1" customHeight="1" x14ac:dyDescent="0.3">
      <c r="B4" s="2">
        <v>45343</v>
      </c>
      <c r="C4" s="6">
        <v>2000</v>
      </c>
      <c r="D4" s="10">
        <v>14.6</v>
      </c>
      <c r="E4" s="10">
        <v>14.9</v>
      </c>
      <c r="F4" s="9">
        <f>IF(Tablo1456789101112131415161718192021222324252627282930313233343536373839404142434445464759[[#This Row],[SATIŞ]]=0,"Açık",(E4-D4)*C4)</f>
        <v>600.00000000000136</v>
      </c>
      <c r="G4" s="11">
        <f>Tablo1456789101112131415161718192021222324252627282930313233343536373839404142434445464759[[#This Row],[ADET]]*Tablo1456789101112131415161718192021222324252627282930313233343536373839404142434445464759[[#This Row],[ALIŞ]]</f>
        <v>29200</v>
      </c>
      <c r="H4" s="11">
        <f>Tablo1456789101112131415161718192021222324252627282930313233343536373839404142434445464759[[#This Row],[ADET]]*Tablo1456789101112131415161718192021222324252627282930313233343536373839404142434445464759[[#This Row],[SATIŞ]]</f>
        <v>29800</v>
      </c>
      <c r="L4" s="8">
        <f>SUM(Tablo1456789101112131415161718192021222324252627282930313233343536373839404142434445464759[ALIŞ TUTAR])</f>
        <v>161942</v>
      </c>
      <c r="M4" s="8">
        <f>SUM(Tablo1456789101112131415161718192021222324252627282930313233343536373839404142434445464759[SATIŞ TUTAR])</f>
        <v>123399.4</v>
      </c>
      <c r="N4" s="8">
        <f>L4-M4</f>
        <v>38542.600000000006</v>
      </c>
    </row>
    <row r="5" spans="2:18" ht="21" hidden="1" customHeight="1" x14ac:dyDescent="0.3">
      <c r="B5" s="2">
        <v>45343</v>
      </c>
      <c r="C5" s="6">
        <v>100</v>
      </c>
      <c r="D5" s="10">
        <v>14.5</v>
      </c>
      <c r="E5" s="10">
        <v>14.7</v>
      </c>
      <c r="F5" s="9">
        <f>IF(Tablo1456789101112131415161718192021222324252627282930313233343536373839404142434445464759[[#This Row],[SATIŞ]]=0,"Açık",(E5-D5)*C5)</f>
        <v>19.999999999999929</v>
      </c>
      <c r="G5" s="11">
        <f>Tablo1456789101112131415161718192021222324252627282930313233343536373839404142434445464759[[#This Row],[ADET]]*Tablo1456789101112131415161718192021222324252627282930313233343536373839404142434445464759[[#This Row],[ALIŞ]]</f>
        <v>1450</v>
      </c>
      <c r="H5" s="11">
        <f>Tablo1456789101112131415161718192021222324252627282930313233343536373839404142434445464759[[#This Row],[ADET]]*Tablo1456789101112131415161718192021222324252627282930313233343536373839404142434445464759[[#This Row],[SATIŞ]]</f>
        <v>1470</v>
      </c>
      <c r="N5">
        <f>+N4/80</f>
        <v>481.78250000000008</v>
      </c>
    </row>
    <row r="6" spans="2:18" ht="21" hidden="1" customHeight="1" x14ac:dyDescent="0.3">
      <c r="B6" s="2">
        <v>45343</v>
      </c>
      <c r="C6" s="6">
        <v>500</v>
      </c>
      <c r="D6" s="10">
        <v>14.34</v>
      </c>
      <c r="E6" s="10">
        <v>14.65</v>
      </c>
      <c r="F6" s="9">
        <f>IF(Tablo1456789101112131415161718192021222324252627282930313233343536373839404142434445464759[[#This Row],[SATIŞ]]=0,"Açık",(E6-D6)*C6)</f>
        <v>155.00000000000026</v>
      </c>
      <c r="G6" s="11">
        <f>Tablo1456789101112131415161718192021222324252627282930313233343536373839404142434445464759[[#This Row],[ADET]]*Tablo1456789101112131415161718192021222324252627282930313233343536373839404142434445464759[[#This Row],[ALIŞ]]</f>
        <v>7170</v>
      </c>
      <c r="H6" s="11">
        <f>Tablo1456789101112131415161718192021222324252627282930313233343536373839404142434445464759[[#This Row],[ADET]]*Tablo1456789101112131415161718192021222324252627282930313233343536373839404142434445464759[[#This Row],[SATIŞ]]</f>
        <v>7325</v>
      </c>
    </row>
    <row r="7" spans="2:18" ht="21" customHeight="1" x14ac:dyDescent="0.3">
      <c r="B7" s="2">
        <v>45343</v>
      </c>
      <c r="C7" s="6">
        <v>500</v>
      </c>
      <c r="D7" s="10">
        <v>14.34</v>
      </c>
      <c r="E7" s="10"/>
      <c r="F7" s="9" t="str">
        <f>IF(Tablo1456789101112131415161718192021222324252627282930313233343536373839404142434445464759[[#This Row],[SATIŞ]]=0,"Açık",(E7-D7)*C7)</f>
        <v>Açık</v>
      </c>
      <c r="G7" s="11">
        <f>Tablo1456789101112131415161718192021222324252627282930313233343536373839404142434445464759[[#This Row],[ADET]]*Tablo1456789101112131415161718192021222324252627282930313233343536373839404142434445464759[[#This Row],[ALIŞ]]</f>
        <v>7170</v>
      </c>
      <c r="H7" s="11">
        <f>Tablo1456789101112131415161718192021222324252627282930313233343536373839404142434445464759[[#This Row],[ADET]]*Tablo1456789101112131415161718192021222324252627282930313233343536373839404142434445464759[[#This Row],[SATIŞ]]</f>
        <v>0</v>
      </c>
      <c r="J7" s="40">
        <f t="shared" ref="J7:J45" si="0">IF(E7=0,D7*1.05,"")</f>
        <v>15.057</v>
      </c>
    </row>
    <row r="8" spans="2:18" ht="21" customHeight="1" x14ac:dyDescent="0.3">
      <c r="B8" s="2">
        <v>45344</v>
      </c>
      <c r="C8" s="6">
        <v>500</v>
      </c>
      <c r="D8" s="10">
        <v>14.2</v>
      </c>
      <c r="E8" s="10"/>
      <c r="F8" s="9" t="str">
        <f>IF(Tablo1456789101112131415161718192021222324252627282930313233343536373839404142434445464759[[#This Row],[SATIŞ]]=0,"Açık",(E8-D8)*C8)</f>
        <v>Açık</v>
      </c>
      <c r="G8" s="11">
        <f>Tablo1456789101112131415161718192021222324252627282930313233343536373839404142434445464759[[#This Row],[ADET]]*Tablo1456789101112131415161718192021222324252627282930313233343536373839404142434445464759[[#This Row],[ALIŞ]]</f>
        <v>7100</v>
      </c>
      <c r="H8" s="11">
        <f>Tablo1456789101112131415161718192021222324252627282930313233343536373839404142434445464759[[#This Row],[ADET]]*Tablo1456789101112131415161718192021222324252627282930313233343536373839404142434445464759[[#This Row],[SATIŞ]]</f>
        <v>0</v>
      </c>
      <c r="J8" s="40">
        <f t="shared" si="0"/>
        <v>14.91</v>
      </c>
    </row>
    <row r="9" spans="2:18" ht="21" hidden="1" customHeight="1" x14ac:dyDescent="0.3">
      <c r="B9" s="2">
        <v>45345</v>
      </c>
      <c r="C9" s="6">
        <v>500</v>
      </c>
      <c r="D9" s="10">
        <v>14</v>
      </c>
      <c r="E9" s="10">
        <v>14.1</v>
      </c>
      <c r="F9" s="9">
        <f>IF(Tablo1456789101112131415161718192021222324252627282930313233343536373839404142434445464759[[#This Row],[SATIŞ]]=0,"Açık",(E9-D9)*C9)</f>
        <v>49.999999999999822</v>
      </c>
      <c r="G9" s="11">
        <f>Tablo1456789101112131415161718192021222324252627282930313233343536373839404142434445464759[[#This Row],[ADET]]*Tablo1456789101112131415161718192021222324252627282930313233343536373839404142434445464759[[#This Row],[ALIŞ]]</f>
        <v>7000</v>
      </c>
      <c r="H9" s="11">
        <f>Tablo1456789101112131415161718192021222324252627282930313233343536373839404142434445464759[[#This Row],[ADET]]*Tablo1456789101112131415161718192021222324252627282930313233343536373839404142434445464759[[#This Row],[SATIŞ]]</f>
        <v>7050</v>
      </c>
      <c r="J9" s="40" t="str">
        <f t="shared" si="0"/>
        <v/>
      </c>
    </row>
    <row r="10" spans="2:18" ht="21" hidden="1" customHeight="1" x14ac:dyDescent="0.3">
      <c r="B10" s="2">
        <v>45345</v>
      </c>
      <c r="C10" s="6">
        <v>500</v>
      </c>
      <c r="D10" s="10">
        <v>13.8</v>
      </c>
      <c r="E10" s="10">
        <v>13.9</v>
      </c>
      <c r="F10" s="9">
        <f>IF(Tablo1456789101112131415161718192021222324252627282930313233343536373839404142434445464759[[#This Row],[SATIŞ]]=0,"Açık",(E10-D10)*C10)</f>
        <v>49.999999999999822</v>
      </c>
      <c r="G10" s="11">
        <f>Tablo1456789101112131415161718192021222324252627282930313233343536373839404142434445464759[[#This Row],[ADET]]*Tablo1456789101112131415161718192021222324252627282930313233343536373839404142434445464759[[#This Row],[ALIŞ]]</f>
        <v>6900</v>
      </c>
      <c r="H10" s="11">
        <f>Tablo1456789101112131415161718192021222324252627282930313233343536373839404142434445464759[[#This Row],[ADET]]*Tablo1456789101112131415161718192021222324252627282930313233343536373839404142434445464759[[#This Row],[SATIŞ]]</f>
        <v>6950</v>
      </c>
      <c r="J10" s="40" t="str">
        <f t="shared" si="0"/>
        <v/>
      </c>
    </row>
    <row r="11" spans="2:18" ht="21" hidden="1" customHeight="1" x14ac:dyDescent="0.3">
      <c r="B11" s="2">
        <v>45348</v>
      </c>
      <c r="C11" s="6">
        <v>500</v>
      </c>
      <c r="D11" s="10">
        <v>13.5</v>
      </c>
      <c r="E11" s="10">
        <v>14</v>
      </c>
      <c r="F11" s="9">
        <f>IF(Tablo1456789101112131415161718192021222324252627282930313233343536373839404142434445464759[[#This Row],[SATIŞ]]=0,"Açık",(E11-D11)*C11)</f>
        <v>250</v>
      </c>
      <c r="G11" s="11">
        <f>Tablo1456789101112131415161718192021222324252627282930313233343536373839404142434445464759[[#This Row],[ADET]]*Tablo1456789101112131415161718192021222324252627282930313233343536373839404142434445464759[[#This Row],[ALIŞ]]</f>
        <v>6750</v>
      </c>
      <c r="H11" s="11">
        <f>Tablo1456789101112131415161718192021222324252627282930313233343536373839404142434445464759[[#This Row],[ADET]]*Tablo1456789101112131415161718192021222324252627282930313233343536373839404142434445464759[[#This Row],[SATIŞ]]</f>
        <v>7000</v>
      </c>
      <c r="J11" s="40" t="str">
        <f t="shared" si="0"/>
        <v/>
      </c>
    </row>
    <row r="12" spans="2:18" ht="21" hidden="1" customHeight="1" x14ac:dyDescent="0.3">
      <c r="B12" s="2">
        <v>45348</v>
      </c>
      <c r="C12" s="6">
        <v>300</v>
      </c>
      <c r="D12" s="10">
        <v>13.75</v>
      </c>
      <c r="E12" s="10">
        <v>13.8</v>
      </c>
      <c r="F12" s="9">
        <f>IF(Tablo1456789101112131415161718192021222324252627282930313233343536373839404142434445464759[[#This Row],[SATIŞ]]=0,"Açık",(E12-D12)*C12)</f>
        <v>15.000000000000213</v>
      </c>
      <c r="G12" s="11">
        <f>Tablo1456789101112131415161718192021222324252627282930313233343536373839404142434445464759[[#This Row],[ADET]]*Tablo1456789101112131415161718192021222324252627282930313233343536373839404142434445464759[[#This Row],[ALIŞ]]</f>
        <v>4125</v>
      </c>
      <c r="H12" s="11">
        <f>Tablo1456789101112131415161718192021222324252627282930313233343536373839404142434445464759[[#This Row],[ADET]]*Tablo1456789101112131415161718192021222324252627282930313233343536373839404142434445464759[[#This Row],[SATIŞ]]</f>
        <v>4140</v>
      </c>
      <c r="J12" s="40" t="str">
        <f t="shared" si="0"/>
        <v/>
      </c>
    </row>
    <row r="13" spans="2:18" ht="21" customHeight="1" x14ac:dyDescent="0.3">
      <c r="B13" s="2">
        <v>45348</v>
      </c>
      <c r="C13" s="6">
        <v>500</v>
      </c>
      <c r="D13" s="10">
        <v>13.5</v>
      </c>
      <c r="E13" s="10"/>
      <c r="F13" s="9" t="str">
        <f>IF(Tablo1456789101112131415161718192021222324252627282930313233343536373839404142434445464759[[#This Row],[SATIŞ]]=0,"Açık",(E13-D13)*C13)</f>
        <v>Açık</v>
      </c>
      <c r="G13" s="11">
        <f>Tablo1456789101112131415161718192021222324252627282930313233343536373839404142434445464759[[#This Row],[ADET]]*Tablo1456789101112131415161718192021222324252627282930313233343536373839404142434445464759[[#This Row],[ALIŞ]]</f>
        <v>6750</v>
      </c>
      <c r="H13" s="11">
        <f>Tablo1456789101112131415161718192021222324252627282930313233343536373839404142434445464759[[#This Row],[ADET]]*Tablo1456789101112131415161718192021222324252627282930313233343536373839404142434445464759[[#This Row],[SATIŞ]]</f>
        <v>0</v>
      </c>
      <c r="J13" s="40">
        <f t="shared" si="0"/>
        <v>14.175000000000001</v>
      </c>
    </row>
    <row r="14" spans="2:18" ht="21" hidden="1" customHeight="1" x14ac:dyDescent="0.3">
      <c r="B14" s="2">
        <v>45349</v>
      </c>
      <c r="C14" s="6">
        <v>500</v>
      </c>
      <c r="D14" s="10">
        <v>13</v>
      </c>
      <c r="E14" s="10">
        <v>13.5</v>
      </c>
      <c r="F14" s="9">
        <f>IF(Tablo1456789101112131415161718192021222324252627282930313233343536373839404142434445464759[[#This Row],[SATIŞ]]=0,"Açık",(E14-D14)*C14)</f>
        <v>250</v>
      </c>
      <c r="G14" s="11">
        <f>Tablo1456789101112131415161718192021222324252627282930313233343536373839404142434445464759[[#This Row],[ADET]]*Tablo1456789101112131415161718192021222324252627282930313233343536373839404142434445464759[[#This Row],[ALIŞ]]</f>
        <v>6500</v>
      </c>
      <c r="H14" s="11">
        <f>Tablo1456789101112131415161718192021222324252627282930313233343536373839404142434445464759[[#This Row],[ADET]]*Tablo1456789101112131415161718192021222324252627282930313233343536373839404142434445464759[[#This Row],[SATIŞ]]</f>
        <v>6750</v>
      </c>
      <c r="J14" s="40" t="str">
        <f t="shared" si="0"/>
        <v/>
      </c>
    </row>
    <row r="15" spans="2:18" ht="21" hidden="1" customHeight="1" x14ac:dyDescent="0.3">
      <c r="B15" s="2">
        <v>45349</v>
      </c>
      <c r="C15" s="6">
        <v>300</v>
      </c>
      <c r="D15" s="10">
        <v>13</v>
      </c>
      <c r="E15" s="10">
        <v>13.75</v>
      </c>
      <c r="F15" s="9">
        <f>IF(Tablo1456789101112131415161718192021222324252627282930313233343536373839404142434445464759[[#This Row],[SATIŞ]]=0,"Açık",(E15-D15)*C15)</f>
        <v>225</v>
      </c>
      <c r="G15" s="11">
        <f>Tablo1456789101112131415161718192021222324252627282930313233343536373839404142434445464759[[#This Row],[ADET]]*Tablo1456789101112131415161718192021222324252627282930313233343536373839404142434445464759[[#This Row],[ALIŞ]]</f>
        <v>3900</v>
      </c>
      <c r="H15" s="11">
        <f>Tablo1456789101112131415161718192021222324252627282930313233343536373839404142434445464759[[#This Row],[ADET]]*Tablo1456789101112131415161718192021222324252627282930313233343536373839404142434445464759[[#This Row],[SATIŞ]]</f>
        <v>4125</v>
      </c>
      <c r="J15" s="40" t="str">
        <f t="shared" si="0"/>
        <v/>
      </c>
    </row>
    <row r="16" spans="2:18" ht="21" hidden="1" customHeight="1" x14ac:dyDescent="0.3">
      <c r="B16" s="2">
        <v>45349</v>
      </c>
      <c r="C16" s="6">
        <v>200</v>
      </c>
      <c r="D16" s="10">
        <v>13</v>
      </c>
      <c r="E16" s="10">
        <v>13.73</v>
      </c>
      <c r="F16" s="9">
        <f>IF(Tablo1456789101112131415161718192021222324252627282930313233343536373839404142434445464759[[#This Row],[SATIŞ]]=0,"Açık",(E16-D16)*C16)</f>
        <v>146.00000000000009</v>
      </c>
      <c r="G16" s="11">
        <f>Tablo1456789101112131415161718192021222324252627282930313233343536373839404142434445464759[[#This Row],[ADET]]*Tablo1456789101112131415161718192021222324252627282930313233343536373839404142434445464759[[#This Row],[ALIŞ]]</f>
        <v>2600</v>
      </c>
      <c r="H16" s="11">
        <f>Tablo1456789101112131415161718192021222324252627282930313233343536373839404142434445464759[[#This Row],[ADET]]*Tablo1456789101112131415161718192021222324252627282930313233343536373839404142434445464759[[#This Row],[SATIŞ]]</f>
        <v>2746</v>
      </c>
      <c r="J16" s="40" t="str">
        <f t="shared" si="0"/>
        <v/>
      </c>
    </row>
    <row r="17" spans="2:10" ht="21" customHeight="1" x14ac:dyDescent="0.3">
      <c r="B17" s="2">
        <v>45351</v>
      </c>
      <c r="C17" s="6">
        <v>500</v>
      </c>
      <c r="D17" s="10">
        <v>13.7</v>
      </c>
      <c r="E17" s="10"/>
      <c r="F17" s="9" t="str">
        <f>IF(Tablo1456789101112131415161718192021222324252627282930313233343536373839404142434445464759[[#This Row],[SATIŞ]]=0,"Açık",(E17-D17)*C17)</f>
        <v>Açık</v>
      </c>
      <c r="G17" s="11">
        <f>Tablo1456789101112131415161718192021222324252627282930313233343536373839404142434445464759[[#This Row],[ADET]]*Tablo1456789101112131415161718192021222324252627282930313233343536373839404142434445464759[[#This Row],[ALIŞ]]</f>
        <v>6850</v>
      </c>
      <c r="H17" s="11">
        <f>Tablo1456789101112131415161718192021222324252627282930313233343536373839404142434445464759[[#This Row],[ADET]]*Tablo1456789101112131415161718192021222324252627282930313233343536373839404142434445464759[[#This Row],[SATIŞ]]</f>
        <v>0</v>
      </c>
      <c r="J17" s="40">
        <f t="shared" si="0"/>
        <v>14.385</v>
      </c>
    </row>
    <row r="18" spans="2:10" ht="21" hidden="1" customHeight="1" x14ac:dyDescent="0.3">
      <c r="B18" s="2">
        <v>45356</v>
      </c>
      <c r="C18" s="6">
        <v>500</v>
      </c>
      <c r="D18" s="10">
        <v>12.9</v>
      </c>
      <c r="E18" s="10">
        <v>13.1</v>
      </c>
      <c r="F18" s="9">
        <f>IF(Tablo1456789101112131415161718192021222324252627282930313233343536373839404142434445464759[[#This Row],[SATIŞ]]=0,"Açık",(E18-D18)*C18)</f>
        <v>99.999999999999645</v>
      </c>
      <c r="G18" s="11">
        <f>Tablo1456789101112131415161718192021222324252627282930313233343536373839404142434445464759[[#This Row],[ADET]]*Tablo1456789101112131415161718192021222324252627282930313233343536373839404142434445464759[[#This Row],[ALIŞ]]</f>
        <v>6450</v>
      </c>
      <c r="H18" s="11">
        <f>Tablo1456789101112131415161718192021222324252627282930313233343536373839404142434445464759[[#This Row],[ADET]]*Tablo1456789101112131415161718192021222324252627282930313233343536373839404142434445464759[[#This Row],[SATIŞ]]</f>
        <v>6550</v>
      </c>
      <c r="J18" s="40" t="str">
        <f t="shared" si="0"/>
        <v/>
      </c>
    </row>
    <row r="19" spans="2:10" ht="21" customHeight="1" x14ac:dyDescent="0.3">
      <c r="B19" s="2">
        <v>45356</v>
      </c>
      <c r="C19" s="6">
        <v>100</v>
      </c>
      <c r="D19" s="10">
        <v>12.9</v>
      </c>
      <c r="E19" s="10"/>
      <c r="F19" s="9" t="str">
        <f>IF(Tablo1456789101112131415161718192021222324252627282930313233343536373839404142434445464759[[#This Row],[SATIŞ]]=0,"Açık",(E19-D19)*C19)</f>
        <v>Açık</v>
      </c>
      <c r="G19" s="11">
        <f>Tablo1456789101112131415161718192021222324252627282930313233343536373839404142434445464759[[#This Row],[ADET]]*Tablo1456789101112131415161718192021222324252627282930313233343536373839404142434445464759[[#This Row],[ALIŞ]]</f>
        <v>1290</v>
      </c>
      <c r="H19" s="11">
        <f>Tablo1456789101112131415161718192021222324252627282930313233343536373839404142434445464759[[#This Row],[ADET]]*Tablo1456789101112131415161718192021222324252627282930313233343536373839404142434445464759[[#This Row],[SATIŞ]]</f>
        <v>0</v>
      </c>
      <c r="J19" s="40">
        <f t="shared" si="0"/>
        <v>13.545000000000002</v>
      </c>
    </row>
    <row r="20" spans="2:10" ht="21" hidden="1" customHeight="1" x14ac:dyDescent="0.3">
      <c r="B20" s="2">
        <v>45359</v>
      </c>
      <c r="C20" s="6">
        <v>100</v>
      </c>
      <c r="D20" s="10">
        <v>12.2</v>
      </c>
      <c r="E20" s="10">
        <v>12.2</v>
      </c>
      <c r="F20" s="9">
        <f>IF(Tablo1456789101112131415161718192021222324252627282930313233343536373839404142434445464759[[#This Row],[SATIŞ]]=0,"Açık",(E20-D20)*C20)</f>
        <v>0</v>
      </c>
      <c r="G20" s="11">
        <f>Tablo1456789101112131415161718192021222324252627282930313233343536373839404142434445464759[[#This Row],[ADET]]*Tablo1456789101112131415161718192021222324252627282930313233343536373839404142434445464759[[#This Row],[ALIŞ]]</f>
        <v>1220</v>
      </c>
      <c r="H20" s="11">
        <f>Tablo1456789101112131415161718192021222324252627282930313233343536373839404142434445464759[[#This Row],[ADET]]*Tablo1456789101112131415161718192021222324252627282930313233343536373839404142434445464759[[#This Row],[SATIŞ]]</f>
        <v>1220</v>
      </c>
      <c r="J20" s="40" t="str">
        <f t="shared" si="0"/>
        <v/>
      </c>
    </row>
    <row r="21" spans="2:10" ht="21" hidden="1" customHeight="1" x14ac:dyDescent="0.3">
      <c r="B21" s="2">
        <v>45359</v>
      </c>
      <c r="C21" s="6">
        <v>100</v>
      </c>
      <c r="D21" s="10">
        <v>12.2</v>
      </c>
      <c r="E21" s="10">
        <v>12.25</v>
      </c>
      <c r="F21" s="9">
        <f>IF(Tablo1456789101112131415161718192021222324252627282930313233343536373839404142434445464759[[#This Row],[SATIŞ]]=0,"Açık",(E21-D21)*C21)</f>
        <v>5.0000000000000711</v>
      </c>
      <c r="G21" s="11">
        <f>Tablo1456789101112131415161718192021222324252627282930313233343536373839404142434445464759[[#This Row],[ADET]]*Tablo1456789101112131415161718192021222324252627282930313233343536373839404142434445464759[[#This Row],[ALIŞ]]</f>
        <v>1220</v>
      </c>
      <c r="H21" s="11">
        <f>Tablo1456789101112131415161718192021222324252627282930313233343536373839404142434445464759[[#This Row],[ADET]]*Tablo1456789101112131415161718192021222324252627282930313233343536373839404142434445464759[[#This Row],[SATIŞ]]</f>
        <v>1225</v>
      </c>
      <c r="J21" s="40" t="str">
        <f t="shared" si="0"/>
        <v/>
      </c>
    </row>
    <row r="22" spans="2:10" ht="21" hidden="1" customHeight="1" x14ac:dyDescent="0.3">
      <c r="B22" s="2">
        <v>45359</v>
      </c>
      <c r="C22" s="6">
        <v>100</v>
      </c>
      <c r="D22" s="10">
        <v>12.2</v>
      </c>
      <c r="E22" s="10">
        <v>12.3</v>
      </c>
      <c r="F22" s="9">
        <f>IF(Tablo1456789101112131415161718192021222324252627282930313233343536373839404142434445464759[[#This Row],[SATIŞ]]=0,"Açık",(E22-D22)*C22)</f>
        <v>10.000000000000142</v>
      </c>
      <c r="G22" s="11">
        <f>Tablo1456789101112131415161718192021222324252627282930313233343536373839404142434445464759[[#This Row],[ADET]]*Tablo1456789101112131415161718192021222324252627282930313233343536373839404142434445464759[[#This Row],[ALIŞ]]</f>
        <v>1220</v>
      </c>
      <c r="H22" s="11">
        <f>Tablo1456789101112131415161718192021222324252627282930313233343536373839404142434445464759[[#This Row],[ADET]]*Tablo1456789101112131415161718192021222324252627282930313233343536373839404142434445464759[[#This Row],[SATIŞ]]</f>
        <v>1230</v>
      </c>
      <c r="J22" s="40" t="str">
        <f t="shared" si="0"/>
        <v/>
      </c>
    </row>
    <row r="23" spans="2:10" ht="21" hidden="1" customHeight="1" x14ac:dyDescent="0.3">
      <c r="B23" s="2">
        <v>45359</v>
      </c>
      <c r="C23" s="6">
        <v>100</v>
      </c>
      <c r="D23" s="10">
        <v>12.2</v>
      </c>
      <c r="E23" s="10">
        <v>12.35</v>
      </c>
      <c r="F23" s="9">
        <f>IF(Tablo1456789101112131415161718192021222324252627282930313233343536373839404142434445464759[[#This Row],[SATIŞ]]=0,"Açık",(E23-D23)*C23)</f>
        <v>15.000000000000036</v>
      </c>
      <c r="G23" s="11">
        <f>Tablo1456789101112131415161718192021222324252627282930313233343536373839404142434445464759[[#This Row],[ADET]]*Tablo1456789101112131415161718192021222324252627282930313233343536373839404142434445464759[[#This Row],[ALIŞ]]</f>
        <v>1220</v>
      </c>
      <c r="H23" s="11">
        <f>Tablo1456789101112131415161718192021222324252627282930313233343536373839404142434445464759[[#This Row],[ADET]]*Tablo1456789101112131415161718192021222324252627282930313233343536373839404142434445464759[[#This Row],[SATIŞ]]</f>
        <v>1235</v>
      </c>
      <c r="J23" s="40" t="str">
        <f t="shared" si="0"/>
        <v/>
      </c>
    </row>
    <row r="24" spans="2:10" ht="21" hidden="1" customHeight="1" x14ac:dyDescent="0.3">
      <c r="B24" s="2">
        <v>45359</v>
      </c>
      <c r="C24" s="6">
        <v>100</v>
      </c>
      <c r="D24" s="10">
        <v>12.2</v>
      </c>
      <c r="E24" s="10">
        <v>12.4</v>
      </c>
      <c r="F24" s="9">
        <f>IF(Tablo1456789101112131415161718192021222324252627282930313233343536373839404142434445464759[[#This Row],[SATIŞ]]=0,"Açık",(E24-D24)*C24)</f>
        <v>20.000000000000107</v>
      </c>
      <c r="G24" s="11">
        <f>Tablo1456789101112131415161718192021222324252627282930313233343536373839404142434445464759[[#This Row],[ADET]]*Tablo1456789101112131415161718192021222324252627282930313233343536373839404142434445464759[[#This Row],[ALIŞ]]</f>
        <v>1220</v>
      </c>
      <c r="H24" s="11">
        <f>Tablo1456789101112131415161718192021222324252627282930313233343536373839404142434445464759[[#This Row],[ADET]]*Tablo1456789101112131415161718192021222324252627282930313233343536373839404142434445464759[[#This Row],[SATIŞ]]</f>
        <v>1240</v>
      </c>
      <c r="J24" s="40" t="str">
        <f t="shared" si="0"/>
        <v/>
      </c>
    </row>
    <row r="25" spans="2:10" ht="21" hidden="1" customHeight="1" x14ac:dyDescent="0.3">
      <c r="B25" s="2">
        <v>45359</v>
      </c>
      <c r="C25" s="6">
        <v>100</v>
      </c>
      <c r="D25" s="10">
        <v>12.2</v>
      </c>
      <c r="E25" s="10">
        <v>12.45</v>
      </c>
      <c r="F25" s="9">
        <f>IF(Tablo1456789101112131415161718192021222324252627282930313233343536373839404142434445464759[[#This Row],[SATIŞ]]=0,"Açık",(E25-D25)*C25)</f>
        <v>25</v>
      </c>
      <c r="G25" s="11">
        <f>Tablo1456789101112131415161718192021222324252627282930313233343536373839404142434445464759[[#This Row],[ADET]]*Tablo1456789101112131415161718192021222324252627282930313233343536373839404142434445464759[[#This Row],[ALIŞ]]</f>
        <v>1220</v>
      </c>
      <c r="H25" s="11">
        <f>Tablo1456789101112131415161718192021222324252627282930313233343536373839404142434445464759[[#This Row],[ADET]]*Tablo1456789101112131415161718192021222324252627282930313233343536373839404142434445464759[[#This Row],[SATIŞ]]</f>
        <v>1245</v>
      </c>
      <c r="J25" s="40" t="str">
        <f t="shared" si="0"/>
        <v/>
      </c>
    </row>
    <row r="26" spans="2:10" ht="21" hidden="1" customHeight="1" x14ac:dyDescent="0.3">
      <c r="B26" s="2">
        <v>45359</v>
      </c>
      <c r="C26" s="6">
        <v>200</v>
      </c>
      <c r="D26" s="10">
        <v>12.2</v>
      </c>
      <c r="E26" s="10">
        <v>12.525</v>
      </c>
      <c r="F26" s="9">
        <f>IF(Tablo1456789101112131415161718192021222324252627282930313233343536373839404142434445464759[[#This Row],[SATIŞ]]=0,"Açık",(E26-D26)*C26)</f>
        <v>65.000000000000213</v>
      </c>
      <c r="G26" s="11">
        <f>Tablo1456789101112131415161718192021222324252627282930313233343536373839404142434445464759[[#This Row],[ADET]]*Tablo1456789101112131415161718192021222324252627282930313233343536373839404142434445464759[[#This Row],[ALIŞ]]</f>
        <v>2440</v>
      </c>
      <c r="H26" s="11">
        <f>Tablo1456789101112131415161718192021222324252627282930313233343536373839404142434445464759[[#This Row],[ADET]]*Tablo1456789101112131415161718192021222324252627282930313233343536373839404142434445464759[[#This Row],[SATIŞ]]</f>
        <v>2505</v>
      </c>
      <c r="J26" s="40" t="str">
        <f t="shared" si="0"/>
        <v/>
      </c>
    </row>
    <row r="27" spans="2:10" ht="21" hidden="1" customHeight="1" x14ac:dyDescent="0.3">
      <c r="B27" s="2">
        <v>45359</v>
      </c>
      <c r="C27" s="6">
        <v>200</v>
      </c>
      <c r="D27" s="10">
        <v>12.9</v>
      </c>
      <c r="E27" s="10">
        <v>12.95</v>
      </c>
      <c r="F27" s="9">
        <f>IF(Tablo1456789101112131415161718192021222324252627282930313233343536373839404142434445464759[[#This Row],[SATIŞ]]=0,"Açık",(E27-D27)*C27)</f>
        <v>9.9999999999997868</v>
      </c>
      <c r="G27" s="11">
        <f>Tablo1456789101112131415161718192021222324252627282930313233343536373839404142434445464759[[#This Row],[ADET]]*Tablo1456789101112131415161718192021222324252627282930313233343536373839404142434445464759[[#This Row],[ALIŞ]]</f>
        <v>2580</v>
      </c>
      <c r="H27" s="11">
        <f>Tablo1456789101112131415161718192021222324252627282930313233343536373839404142434445464759[[#This Row],[ADET]]*Tablo1456789101112131415161718192021222324252627282930313233343536373839404142434445464759[[#This Row],[SATIŞ]]</f>
        <v>2590</v>
      </c>
      <c r="J27" s="40" t="str">
        <f t="shared" si="0"/>
        <v/>
      </c>
    </row>
    <row r="28" spans="2:10" ht="21" hidden="1" customHeight="1" x14ac:dyDescent="0.3">
      <c r="B28" s="2">
        <v>45356</v>
      </c>
      <c r="C28" s="6">
        <v>100</v>
      </c>
      <c r="D28" s="10">
        <v>12.9</v>
      </c>
      <c r="E28" s="10">
        <v>12.8</v>
      </c>
      <c r="F28" s="9">
        <f>IF(Tablo1456789101112131415161718192021222324252627282930313233343536373839404142434445464759[[#This Row],[SATIŞ]]=0,"Açık",(E28-D28)*C28)</f>
        <v>-9.9999999999999645</v>
      </c>
      <c r="G28" s="11">
        <f>Tablo1456789101112131415161718192021222324252627282930313233343536373839404142434445464759[[#This Row],[ADET]]*Tablo1456789101112131415161718192021222324252627282930313233343536373839404142434445464759[[#This Row],[ALIŞ]]</f>
        <v>1290</v>
      </c>
      <c r="H28" s="11">
        <f>Tablo1456789101112131415161718192021222324252627282930313233343536373839404142434445464759[[#This Row],[ADET]]*Tablo1456789101112131415161718192021222324252627282930313233343536373839404142434445464759[[#This Row],[SATIŞ]]</f>
        <v>1280</v>
      </c>
      <c r="J28" s="40" t="str">
        <f t="shared" si="0"/>
        <v/>
      </c>
    </row>
    <row r="29" spans="2:10" ht="21" hidden="1" customHeight="1" x14ac:dyDescent="0.3">
      <c r="B29" s="2">
        <v>45359</v>
      </c>
      <c r="C29" s="6">
        <v>200</v>
      </c>
      <c r="D29" s="10">
        <v>12.2</v>
      </c>
      <c r="E29" s="10">
        <v>12.73</v>
      </c>
      <c r="F29" s="9">
        <f>IF(Tablo1456789101112131415161718192021222324252627282930313233343536373839404142434445464759[[#This Row],[SATIŞ]]=0,"Açık",(E29-D29)*C29)</f>
        <v>106.00000000000023</v>
      </c>
      <c r="G29" s="11">
        <f>Tablo1456789101112131415161718192021222324252627282930313233343536373839404142434445464759[[#This Row],[ADET]]*Tablo1456789101112131415161718192021222324252627282930313233343536373839404142434445464759[[#This Row],[ALIŞ]]</f>
        <v>2440</v>
      </c>
      <c r="H29" s="11">
        <f>Tablo1456789101112131415161718192021222324252627282930313233343536373839404142434445464759[[#This Row],[ADET]]*Tablo1456789101112131415161718192021222324252627282930313233343536373839404142434445464759[[#This Row],[SATIŞ]]</f>
        <v>2546</v>
      </c>
      <c r="J29" s="40" t="str">
        <f t="shared" si="0"/>
        <v/>
      </c>
    </row>
    <row r="30" spans="2:10" ht="21" hidden="1" customHeight="1" x14ac:dyDescent="0.3">
      <c r="B30" s="2">
        <v>45359</v>
      </c>
      <c r="C30" s="6">
        <v>100</v>
      </c>
      <c r="D30" s="10">
        <v>12.3</v>
      </c>
      <c r="E30" s="10">
        <v>12.35</v>
      </c>
      <c r="F30" s="9">
        <f>IF(Tablo1456789101112131415161718192021222324252627282930313233343536373839404142434445464759[[#This Row],[SATIŞ]]=0,"Açık",(E30-D30)*C30)</f>
        <v>4.9999999999998934</v>
      </c>
      <c r="G30" s="11">
        <f>Tablo1456789101112131415161718192021222324252627282930313233343536373839404142434445464759[[#This Row],[ADET]]*Tablo1456789101112131415161718192021222324252627282930313233343536373839404142434445464759[[#This Row],[ALIŞ]]</f>
        <v>1230</v>
      </c>
      <c r="H30" s="11">
        <f>Tablo1456789101112131415161718192021222324252627282930313233343536373839404142434445464759[[#This Row],[ADET]]*Tablo1456789101112131415161718192021222324252627282930313233343536373839404142434445464759[[#This Row],[SATIŞ]]</f>
        <v>1235</v>
      </c>
      <c r="J30" s="40" t="str">
        <f t="shared" si="0"/>
        <v/>
      </c>
    </row>
    <row r="31" spans="2:10" ht="21" hidden="1" customHeight="1" x14ac:dyDescent="0.3">
      <c r="B31" s="2">
        <v>45359</v>
      </c>
      <c r="C31" s="6">
        <v>100</v>
      </c>
      <c r="D31" s="10">
        <v>12.3</v>
      </c>
      <c r="E31" s="10">
        <v>12.4</v>
      </c>
      <c r="F31" s="9">
        <f>IF(Tablo1456789101112131415161718192021222324252627282930313233343536373839404142434445464759[[#This Row],[SATIŞ]]=0,"Açık",(E31-D31)*C31)</f>
        <v>9.9999999999999645</v>
      </c>
      <c r="G31" s="11">
        <f>Tablo1456789101112131415161718192021222324252627282930313233343536373839404142434445464759[[#This Row],[ADET]]*Tablo1456789101112131415161718192021222324252627282930313233343536373839404142434445464759[[#This Row],[ALIŞ]]</f>
        <v>1230</v>
      </c>
      <c r="H31" s="11">
        <f>Tablo1456789101112131415161718192021222324252627282930313233343536373839404142434445464759[[#This Row],[ADET]]*Tablo1456789101112131415161718192021222324252627282930313233343536373839404142434445464759[[#This Row],[SATIŞ]]</f>
        <v>1240</v>
      </c>
      <c r="J31" s="40" t="str">
        <f t="shared" si="0"/>
        <v/>
      </c>
    </row>
    <row r="32" spans="2:10" ht="21" hidden="1" customHeight="1" x14ac:dyDescent="0.3">
      <c r="B32" s="2">
        <v>45359</v>
      </c>
      <c r="C32" s="6">
        <v>100</v>
      </c>
      <c r="D32" s="10">
        <v>12.45</v>
      </c>
      <c r="E32" s="10">
        <v>12.73</v>
      </c>
      <c r="F32" s="9">
        <f>IF(Tablo1456789101112131415161718192021222324252627282930313233343536373839404142434445464759[[#This Row],[SATIŞ]]=0,"Açık",(E32-D32)*C32)</f>
        <v>28.000000000000114</v>
      </c>
      <c r="G32" s="11">
        <f>Tablo1456789101112131415161718192021222324252627282930313233343536373839404142434445464759[[#This Row],[ADET]]*Tablo1456789101112131415161718192021222324252627282930313233343536373839404142434445464759[[#This Row],[ALIŞ]]</f>
        <v>1245</v>
      </c>
      <c r="H32" s="11">
        <f>Tablo1456789101112131415161718192021222324252627282930313233343536373839404142434445464759[[#This Row],[ADET]]*Tablo1456789101112131415161718192021222324252627282930313233343536373839404142434445464759[[#This Row],[SATIŞ]]</f>
        <v>1273</v>
      </c>
      <c r="J32" s="40" t="str">
        <f t="shared" si="0"/>
        <v/>
      </c>
    </row>
    <row r="33" spans="2:10" ht="21" hidden="1" customHeight="1" x14ac:dyDescent="0.3">
      <c r="B33" s="2">
        <v>45365</v>
      </c>
      <c r="C33" s="6">
        <v>100</v>
      </c>
      <c r="D33" s="10">
        <v>12.35</v>
      </c>
      <c r="E33" s="10">
        <v>12.6</v>
      </c>
      <c r="F33" s="9">
        <f>IF(Tablo1456789101112131415161718192021222324252627282930313233343536373839404142434445464759[[#This Row],[SATIŞ]]=0,"Açık",(E33-D33)*C33)</f>
        <v>25</v>
      </c>
      <c r="G33" s="11">
        <f>Tablo1456789101112131415161718192021222324252627282930313233343536373839404142434445464759[[#This Row],[ADET]]*Tablo1456789101112131415161718192021222324252627282930313233343536373839404142434445464759[[#This Row],[ALIŞ]]</f>
        <v>1235</v>
      </c>
      <c r="H33" s="11">
        <f>Tablo1456789101112131415161718192021222324252627282930313233343536373839404142434445464759[[#This Row],[ADET]]*Tablo1456789101112131415161718192021222324252627282930313233343536373839404142434445464759[[#This Row],[SATIŞ]]</f>
        <v>1260</v>
      </c>
      <c r="J33" s="40" t="str">
        <f t="shared" si="0"/>
        <v/>
      </c>
    </row>
    <row r="34" spans="2:10" ht="21" hidden="1" customHeight="1" x14ac:dyDescent="0.3">
      <c r="B34" s="2">
        <v>45370</v>
      </c>
      <c r="C34" s="6">
        <v>100</v>
      </c>
      <c r="D34" s="10">
        <v>12.39</v>
      </c>
      <c r="E34" s="10">
        <v>12.4</v>
      </c>
      <c r="F34" s="9">
        <f>IF(Tablo1456789101112131415161718192021222324252627282930313233343536373839404142434445464759[[#This Row],[SATIŞ]]=0,"Açık",(E34-D34)*C34)</f>
        <v>0.99999999999997868</v>
      </c>
      <c r="G34" s="11">
        <f>Tablo1456789101112131415161718192021222324252627282930313233343536373839404142434445464759[[#This Row],[ADET]]*Tablo1456789101112131415161718192021222324252627282930313233343536373839404142434445464759[[#This Row],[ALIŞ]]</f>
        <v>1239</v>
      </c>
      <c r="H34" s="11">
        <f>Tablo1456789101112131415161718192021222324252627282930313233343536373839404142434445464759[[#This Row],[ADET]]*Tablo1456789101112131415161718192021222324252627282930313233343536373839404142434445464759[[#This Row],[SATIŞ]]</f>
        <v>1240</v>
      </c>
      <c r="J34" s="40" t="str">
        <f t="shared" si="0"/>
        <v/>
      </c>
    </row>
    <row r="35" spans="2:10" ht="21" hidden="1" customHeight="1" x14ac:dyDescent="0.3">
      <c r="B35" s="2">
        <v>45370</v>
      </c>
      <c r="C35" s="6">
        <v>100</v>
      </c>
      <c r="D35" s="10">
        <v>12.35</v>
      </c>
      <c r="E35" s="10">
        <v>12.45</v>
      </c>
      <c r="F35" s="9">
        <f>IF(Tablo1456789101112131415161718192021222324252627282930313233343536373839404142434445464759[[#This Row],[SATIŞ]]=0,"Açık",(E35-D35)*C35)</f>
        <v>9.9999999999999645</v>
      </c>
      <c r="G35" s="11">
        <f>Tablo1456789101112131415161718192021222324252627282930313233343536373839404142434445464759[[#This Row],[ADET]]*Tablo1456789101112131415161718192021222324252627282930313233343536373839404142434445464759[[#This Row],[ALIŞ]]</f>
        <v>1235</v>
      </c>
      <c r="H35" s="11">
        <f>Tablo1456789101112131415161718192021222324252627282930313233343536373839404142434445464759[[#This Row],[ADET]]*Tablo1456789101112131415161718192021222324252627282930313233343536373839404142434445464759[[#This Row],[SATIŞ]]</f>
        <v>1245</v>
      </c>
      <c r="J35" s="40" t="str">
        <f t="shared" si="0"/>
        <v/>
      </c>
    </row>
    <row r="36" spans="2:10" ht="21" hidden="1" customHeight="1" x14ac:dyDescent="0.3">
      <c r="B36" s="2">
        <v>45370</v>
      </c>
      <c r="C36" s="6">
        <v>100</v>
      </c>
      <c r="D36" s="10">
        <v>12.35</v>
      </c>
      <c r="E36" s="10">
        <v>12.5</v>
      </c>
      <c r="F36" s="9">
        <f>IF(Tablo1456789101112131415161718192021222324252627282930313233343536373839404142434445464759[[#This Row],[SATIŞ]]=0,"Açık",(E36-D36)*C36)</f>
        <v>15.000000000000036</v>
      </c>
      <c r="G36" s="11">
        <f>Tablo1456789101112131415161718192021222324252627282930313233343536373839404142434445464759[[#This Row],[ADET]]*Tablo1456789101112131415161718192021222324252627282930313233343536373839404142434445464759[[#This Row],[ALIŞ]]</f>
        <v>1235</v>
      </c>
      <c r="H36" s="11">
        <f>Tablo1456789101112131415161718192021222324252627282930313233343536373839404142434445464759[[#This Row],[ADET]]*Tablo1456789101112131415161718192021222324252627282930313233343536373839404142434445464759[[#This Row],[SATIŞ]]</f>
        <v>1250</v>
      </c>
      <c r="J36" s="40" t="str">
        <f t="shared" si="0"/>
        <v/>
      </c>
    </row>
    <row r="37" spans="2:10" ht="21" hidden="1" customHeight="1" x14ac:dyDescent="0.3">
      <c r="B37" s="2">
        <v>45370</v>
      </c>
      <c r="C37" s="6">
        <v>100</v>
      </c>
      <c r="D37" s="10">
        <v>12.3</v>
      </c>
      <c r="E37" s="10">
        <v>12.4</v>
      </c>
      <c r="F37" s="9">
        <f>IF(Tablo1456789101112131415161718192021222324252627282930313233343536373839404142434445464759[[#This Row],[SATIŞ]]=0,"Açık",(E37-D37)*C37)</f>
        <v>9.9999999999999645</v>
      </c>
      <c r="G37" s="11">
        <f>Tablo1456789101112131415161718192021222324252627282930313233343536373839404142434445464759[[#This Row],[ADET]]*Tablo1456789101112131415161718192021222324252627282930313233343536373839404142434445464759[[#This Row],[ALIŞ]]</f>
        <v>1230</v>
      </c>
      <c r="H37" s="11">
        <f>Tablo1456789101112131415161718192021222324252627282930313233343536373839404142434445464759[[#This Row],[ADET]]*Tablo1456789101112131415161718192021222324252627282930313233343536373839404142434445464759[[#This Row],[SATIŞ]]</f>
        <v>1240</v>
      </c>
      <c r="J37" s="40" t="str">
        <f t="shared" si="0"/>
        <v/>
      </c>
    </row>
    <row r="38" spans="2:10" ht="21" hidden="1" customHeight="1" x14ac:dyDescent="0.3">
      <c r="B38" s="2">
        <v>45370</v>
      </c>
      <c r="C38" s="6">
        <v>100</v>
      </c>
      <c r="D38" s="10">
        <v>12.3</v>
      </c>
      <c r="E38" s="10">
        <v>12.5</v>
      </c>
      <c r="F38" s="9">
        <f>IF(Tablo1456789101112131415161718192021222324252627282930313233343536373839404142434445464759[[#This Row],[SATIŞ]]=0,"Açık",(E38-D38)*C38)</f>
        <v>19.999999999999929</v>
      </c>
      <c r="G38" s="11">
        <f>Tablo1456789101112131415161718192021222324252627282930313233343536373839404142434445464759[[#This Row],[ADET]]*Tablo1456789101112131415161718192021222324252627282930313233343536373839404142434445464759[[#This Row],[ALIŞ]]</f>
        <v>1230</v>
      </c>
      <c r="H38" s="11">
        <f>Tablo1456789101112131415161718192021222324252627282930313233343536373839404142434445464759[[#This Row],[ADET]]*Tablo1456789101112131415161718192021222324252627282930313233343536373839404142434445464759[[#This Row],[SATIŞ]]</f>
        <v>1250</v>
      </c>
      <c r="J38" s="40" t="str">
        <f t="shared" si="0"/>
        <v/>
      </c>
    </row>
    <row r="39" spans="2:10" ht="21" hidden="1" customHeight="1" x14ac:dyDescent="0.3">
      <c r="B39" s="2">
        <v>45370</v>
      </c>
      <c r="C39" s="6">
        <v>100</v>
      </c>
      <c r="D39" s="10">
        <v>12.3</v>
      </c>
      <c r="E39" s="10">
        <v>12.6</v>
      </c>
      <c r="F39" s="9">
        <f>IF(Tablo1456789101112131415161718192021222324252627282930313233343536373839404142434445464759[[#This Row],[SATIŞ]]=0,"Açık",(E39-D39)*C39)</f>
        <v>29.999999999999893</v>
      </c>
      <c r="G39" s="11">
        <f>Tablo1456789101112131415161718192021222324252627282930313233343536373839404142434445464759[[#This Row],[ADET]]*Tablo1456789101112131415161718192021222324252627282930313233343536373839404142434445464759[[#This Row],[ALIŞ]]</f>
        <v>1230</v>
      </c>
      <c r="H39" s="11">
        <f>Tablo1456789101112131415161718192021222324252627282930313233343536373839404142434445464759[[#This Row],[ADET]]*Tablo1456789101112131415161718192021222324252627282930313233343536373839404142434445464759[[#This Row],[SATIŞ]]</f>
        <v>1260</v>
      </c>
      <c r="J39" s="40" t="str">
        <f t="shared" si="0"/>
        <v/>
      </c>
    </row>
    <row r="40" spans="2:10" ht="21" hidden="1" customHeight="1" x14ac:dyDescent="0.3">
      <c r="B40" s="2">
        <v>45356</v>
      </c>
      <c r="C40" s="6">
        <v>100</v>
      </c>
      <c r="D40" s="10">
        <v>12.9</v>
      </c>
      <c r="E40" s="10">
        <v>12.5</v>
      </c>
      <c r="F40" s="9">
        <f>IF(Tablo1456789101112131415161718192021222324252627282930313233343536373839404142434445464759[[#This Row],[SATIŞ]]=0,"Açık",(E40-D40)*C40)</f>
        <v>-40.000000000000036</v>
      </c>
      <c r="G40" s="11">
        <f>Tablo1456789101112131415161718192021222324252627282930313233343536373839404142434445464759[[#This Row],[ADET]]*Tablo1456789101112131415161718192021222324252627282930313233343536373839404142434445464759[[#This Row],[ALIŞ]]</f>
        <v>1290</v>
      </c>
      <c r="H40" s="11">
        <f>Tablo1456789101112131415161718192021222324252627282930313233343536373839404142434445464759[[#This Row],[ADET]]*Tablo1456789101112131415161718192021222324252627282930313233343536373839404142434445464759[[#This Row],[SATIŞ]]</f>
        <v>1250</v>
      </c>
      <c r="J40" s="40"/>
    </row>
    <row r="41" spans="2:10" ht="21" hidden="1" customHeight="1" x14ac:dyDescent="0.3">
      <c r="B41" s="2">
        <v>45372</v>
      </c>
      <c r="C41" s="6">
        <v>100</v>
      </c>
      <c r="D41" s="10">
        <v>11.94</v>
      </c>
      <c r="E41" s="10">
        <v>12.35</v>
      </c>
      <c r="F41" s="9">
        <f>IF(Tablo1456789101112131415161718192021222324252627282930313233343536373839404142434445464759[[#This Row],[SATIŞ]]=0,"Açık",(E41-D41)*C41)</f>
        <v>41.000000000000014</v>
      </c>
      <c r="G41" s="11">
        <f>Tablo1456789101112131415161718192021222324252627282930313233343536373839404142434445464759[[#This Row],[ADET]]*Tablo1456789101112131415161718192021222324252627282930313233343536373839404142434445464759[[#This Row],[ALIŞ]]</f>
        <v>1194</v>
      </c>
      <c r="H41" s="11">
        <f>Tablo1456789101112131415161718192021222324252627282930313233343536373839404142434445464759[[#This Row],[ADET]]*Tablo1456789101112131415161718192021222324252627282930313233343536373839404142434445464759[[#This Row],[SATIŞ]]</f>
        <v>1235</v>
      </c>
      <c r="J41" s="40" t="str">
        <f t="shared" si="0"/>
        <v/>
      </c>
    </row>
    <row r="42" spans="2:10" ht="21" hidden="1" customHeight="1" x14ac:dyDescent="0.3">
      <c r="B42" s="2">
        <v>45372</v>
      </c>
      <c r="C42" s="6">
        <v>100</v>
      </c>
      <c r="D42" s="10">
        <v>11.94</v>
      </c>
      <c r="E42" s="10">
        <v>12.2</v>
      </c>
      <c r="F42" s="9">
        <f>IF(Tablo1456789101112131415161718192021222324252627282930313233343536373839404142434445464759[[#This Row],[SATIŞ]]=0,"Açık",(E42-D42)*C42)</f>
        <v>25.999999999999979</v>
      </c>
      <c r="G42" s="11">
        <f>Tablo1456789101112131415161718192021222324252627282930313233343536373839404142434445464759[[#This Row],[ADET]]*Tablo1456789101112131415161718192021222324252627282930313233343536373839404142434445464759[[#This Row],[ALIŞ]]</f>
        <v>1194</v>
      </c>
      <c r="H42" s="11">
        <f>Tablo1456789101112131415161718192021222324252627282930313233343536373839404142434445464759[[#This Row],[ADET]]*Tablo1456789101112131415161718192021222324252627282930313233343536373839404142434445464759[[#This Row],[SATIŞ]]</f>
        <v>1220</v>
      </c>
      <c r="J42" s="40" t="str">
        <f t="shared" si="0"/>
        <v/>
      </c>
    </row>
    <row r="43" spans="2:10" ht="21" hidden="1" customHeight="1" x14ac:dyDescent="0.3">
      <c r="B43" s="2">
        <v>45377</v>
      </c>
      <c r="C43" s="6">
        <v>100</v>
      </c>
      <c r="D43" s="10">
        <v>11.8</v>
      </c>
      <c r="E43" s="10">
        <v>12</v>
      </c>
      <c r="F43" s="9">
        <f>IF(Tablo1456789101112131415161718192021222324252627282930313233343536373839404142434445464759[[#This Row],[SATIŞ]]=0,"Açık",(E43-D43)*C43)</f>
        <v>19.999999999999929</v>
      </c>
      <c r="G43" s="11">
        <f>Tablo1456789101112131415161718192021222324252627282930313233343536373839404142434445464759[[#This Row],[ADET]]*Tablo1456789101112131415161718192021222324252627282930313233343536373839404142434445464759[[#This Row],[ALIŞ]]</f>
        <v>1180</v>
      </c>
      <c r="H43" s="11">
        <f>Tablo1456789101112131415161718192021222324252627282930313233343536373839404142434445464759[[#This Row],[ADET]]*Tablo1456789101112131415161718192021222324252627282930313233343536373839404142434445464759[[#This Row],[SATIŞ]]</f>
        <v>1200</v>
      </c>
      <c r="J43" s="40" t="str">
        <f t="shared" si="0"/>
        <v/>
      </c>
    </row>
    <row r="44" spans="2:10" ht="21" hidden="1" customHeight="1" x14ac:dyDescent="0.3">
      <c r="B44" s="2">
        <v>45379</v>
      </c>
      <c r="C44" s="6">
        <v>10</v>
      </c>
      <c r="D44" s="10">
        <v>11.5</v>
      </c>
      <c r="E44" s="10">
        <v>11.9</v>
      </c>
      <c r="F44" s="9">
        <f>IF(Tablo1456789101112131415161718192021222324252627282930313233343536373839404142434445464759[[#This Row],[SATIŞ]]=0,"Açık",(E44-D44)*C44)</f>
        <v>4.0000000000000036</v>
      </c>
      <c r="G44" s="11">
        <f>Tablo1456789101112131415161718192021222324252627282930313233343536373839404142434445464759[[#This Row],[ADET]]*Tablo1456789101112131415161718192021222324252627282930313233343536373839404142434445464759[[#This Row],[ALIŞ]]</f>
        <v>115</v>
      </c>
      <c r="H44" s="11">
        <f>Tablo1456789101112131415161718192021222324252627282930313233343536373839404142434445464759[[#This Row],[ADET]]*Tablo1456789101112131415161718192021222324252627282930313233343536373839404142434445464759[[#This Row],[SATIŞ]]</f>
        <v>119</v>
      </c>
      <c r="J44" s="40" t="str">
        <f t="shared" si="0"/>
        <v/>
      </c>
    </row>
    <row r="45" spans="2:10" ht="21" hidden="1" customHeight="1" x14ac:dyDescent="0.3">
      <c r="B45" s="2">
        <v>45380</v>
      </c>
      <c r="C45" s="6">
        <v>100</v>
      </c>
      <c r="D45" s="10">
        <v>11.4</v>
      </c>
      <c r="E45" s="10">
        <v>11.7</v>
      </c>
      <c r="F45" s="9">
        <f>IF(Tablo1456789101112131415161718192021222324252627282930313233343536373839404142434445464759[[#This Row],[SATIŞ]]=0,"Açık",(E45-D45)*C45)</f>
        <v>29.999999999999893</v>
      </c>
      <c r="G45" s="11">
        <f>Tablo1456789101112131415161718192021222324252627282930313233343536373839404142434445464759[[#This Row],[ADET]]*Tablo1456789101112131415161718192021222324252627282930313233343536373839404142434445464759[[#This Row],[ALIŞ]]</f>
        <v>1140</v>
      </c>
      <c r="H45" s="11">
        <f>Tablo1456789101112131415161718192021222324252627282930313233343536373839404142434445464759[[#This Row],[ADET]]*Tablo1456789101112131415161718192021222324252627282930313233343536373839404142434445464759[[#This Row],[SATIŞ]]</f>
        <v>1170</v>
      </c>
      <c r="J45" s="40" t="str">
        <f t="shared" si="0"/>
        <v/>
      </c>
    </row>
    <row r="46" spans="2:10" ht="21" hidden="1" customHeight="1" x14ac:dyDescent="0.3">
      <c r="B46" s="2">
        <v>45380</v>
      </c>
      <c r="C46" s="6">
        <v>90</v>
      </c>
      <c r="D46" s="10">
        <v>11.5</v>
      </c>
      <c r="E46" s="10">
        <v>11.56</v>
      </c>
      <c r="F46" s="9">
        <f>IF(Tablo1456789101112131415161718192021222324252627282930313233343536373839404142434445464759[[#This Row],[SATIŞ]]=0,"Açık",(E46-D46)*C46)</f>
        <v>5.4000000000000448</v>
      </c>
      <c r="G46" s="11">
        <f>Tablo1456789101112131415161718192021222324252627282930313233343536373839404142434445464759[[#This Row],[ADET]]*Tablo1456789101112131415161718192021222324252627282930313233343536373839404142434445464759[[#This Row],[ALIŞ]]</f>
        <v>1035</v>
      </c>
      <c r="H46" s="11">
        <f>Tablo1456789101112131415161718192021222324252627282930313233343536373839404142434445464759[[#This Row],[ADET]]*Tablo1456789101112131415161718192021222324252627282930313233343536373839404142434445464759[[#This Row],[SATIŞ]]</f>
        <v>1040.4000000000001</v>
      </c>
    </row>
    <row r="47" spans="2:10" ht="21" hidden="1" customHeight="1" x14ac:dyDescent="0.3">
      <c r="B47" s="2">
        <v>45383</v>
      </c>
      <c r="C47" s="6">
        <v>100</v>
      </c>
      <c r="D47" s="10">
        <v>11.3</v>
      </c>
      <c r="E47" s="10">
        <v>11.6</v>
      </c>
      <c r="F47" s="9">
        <f>IF(Tablo1456789101112131415161718192021222324252627282930313233343536373839404142434445464759[[#This Row],[SATIŞ]]=0,"Açık",(E47-D47)*C47)</f>
        <v>29.999999999999893</v>
      </c>
      <c r="G47" s="11">
        <f>Tablo1456789101112131415161718192021222324252627282930313233343536373839404142434445464759[[#This Row],[ADET]]*Tablo1456789101112131415161718192021222324252627282930313233343536373839404142434445464759[[#This Row],[ALIŞ]]</f>
        <v>1130</v>
      </c>
      <c r="H47" s="11">
        <f>Tablo1456789101112131415161718192021222324252627282930313233343536373839404142434445464759[[#This Row],[ADET]]*Tablo1456789101112131415161718192021222324252627282930313233343536373839404142434445464759[[#This Row],[SATIŞ]]</f>
        <v>1160</v>
      </c>
    </row>
    <row r="48" spans="2:10" ht="21" hidden="1" customHeight="1" x14ac:dyDescent="0.3">
      <c r="B48" s="2">
        <v>45384</v>
      </c>
      <c r="C48" s="6">
        <v>100</v>
      </c>
      <c r="D48" s="10">
        <v>11.5</v>
      </c>
      <c r="E48" s="10">
        <v>11.6</v>
      </c>
      <c r="F48" s="9">
        <f>IF(Tablo1456789101112131415161718192021222324252627282930313233343536373839404142434445464759[[#This Row],[SATIŞ]]=0,"Açık",(E48-D48)*C48)</f>
        <v>9.9999999999999645</v>
      </c>
      <c r="G48" s="11">
        <f>Tablo1456789101112131415161718192021222324252627282930313233343536373839404142434445464759[[#This Row],[ADET]]*Tablo1456789101112131415161718192021222324252627282930313233343536373839404142434445464759[[#This Row],[ALIŞ]]</f>
        <v>1150</v>
      </c>
      <c r="H48" s="11">
        <f>Tablo1456789101112131415161718192021222324252627282930313233343536373839404142434445464759[[#This Row],[ADET]]*Tablo1456789101112131415161718192021222324252627282930313233343536373839404142434445464759[[#This Row],[SATIŞ]]</f>
        <v>1160</v>
      </c>
    </row>
    <row r="49" spans="2:8" ht="21" hidden="1" customHeight="1" x14ac:dyDescent="0.3">
      <c r="B49" s="2">
        <v>45387</v>
      </c>
      <c r="C49" s="6">
        <v>100</v>
      </c>
      <c r="D49" s="10">
        <v>11</v>
      </c>
      <c r="E49" s="10">
        <v>11.3</v>
      </c>
      <c r="F49" s="9">
        <f>IF(Tablo1456789101112131415161718192021222324252627282930313233343536373839404142434445464759[[#This Row],[SATIŞ]]=0,"Açık",(E49-D49)*C49)</f>
        <v>30.000000000000071</v>
      </c>
      <c r="G49" s="11">
        <f>Tablo1456789101112131415161718192021222324252627282930313233343536373839404142434445464759[[#This Row],[ADET]]*Tablo1456789101112131415161718192021222324252627282930313233343536373839404142434445464759[[#This Row],[ALIŞ]]</f>
        <v>1100</v>
      </c>
      <c r="H49" s="11">
        <f>Tablo1456789101112131415161718192021222324252627282930313233343536373839404142434445464759[[#This Row],[ADET]]*Tablo1456789101112131415161718192021222324252627282930313233343536373839404142434445464759[[#This Row],[SATIŞ]]</f>
        <v>1130</v>
      </c>
    </row>
    <row r="50" spans="2:8" ht="21" customHeight="1" x14ac:dyDescent="0.3">
      <c r="B50" s="2">
        <v>45397</v>
      </c>
      <c r="C50" s="6">
        <v>500</v>
      </c>
      <c r="D50" s="10">
        <v>12</v>
      </c>
      <c r="E50" s="10"/>
      <c r="F50" s="9" t="str">
        <f>IF(Tablo1456789101112131415161718192021222324252627282930313233343536373839404142434445464759[[#This Row],[SATIŞ]]=0,"Açık",(E50-D50)*C50)</f>
        <v>Açık</v>
      </c>
      <c r="G50" s="11">
        <f>Tablo1456789101112131415161718192021222324252627282930313233343536373839404142434445464759[[#This Row],[ADET]]*Tablo1456789101112131415161718192021222324252627282930313233343536373839404142434445464759[[#This Row],[ALIŞ]]</f>
        <v>6000</v>
      </c>
      <c r="H50" s="11">
        <f>Tablo1456789101112131415161718192021222324252627282930313233343536373839404142434445464759[[#This Row],[ADET]]*Tablo1456789101112131415161718192021222324252627282930313233343536373839404142434445464759[[#This Row],[SATIŞ]]</f>
        <v>0</v>
      </c>
    </row>
    <row r="51" spans="2:8" ht="21" customHeight="1" x14ac:dyDescent="0.3">
      <c r="B51" s="2">
        <v>45398</v>
      </c>
      <c r="C51" s="6">
        <v>500</v>
      </c>
      <c r="D51" s="10">
        <v>11.6</v>
      </c>
      <c r="E51" s="10"/>
      <c r="F51" s="9" t="str">
        <f>IF(Tablo1456789101112131415161718192021222324252627282930313233343536373839404142434445464759[[#This Row],[SATIŞ]]=0,"Açık",(E51-D51)*C51)</f>
        <v>Açık</v>
      </c>
      <c r="G51" s="11">
        <f>Tablo1456789101112131415161718192021222324252627282930313233343536373839404142434445464759[[#This Row],[ADET]]*Tablo1456789101112131415161718192021222324252627282930313233343536373839404142434445464759[[#This Row],[ALIŞ]]</f>
        <v>5800</v>
      </c>
      <c r="H51" s="11">
        <f>Tablo1456789101112131415161718192021222324252627282930313233343536373839404142434445464759[[#This Row],[ADET]]*Tablo1456789101112131415161718192021222324252627282930313233343536373839404142434445464759[[#This Row],[SATIŞ]]</f>
        <v>0</v>
      </c>
    </row>
  </sheetData>
  <conditionalFormatting sqref="B4:F51">
    <cfRule type="expression" dxfId="17" priority="1">
      <formula>$F4&lt;0</formula>
    </cfRule>
    <cfRule type="expression" dxfId="16" priority="2">
      <formula>$F4="Açık"</formula>
    </cfRule>
    <cfRule type="expression" dxfId="15" priority="3">
      <formula>$F4&gt;0</formula>
    </cfRule>
  </conditionalFormatting>
  <hyperlinks>
    <hyperlink ref="B1" location="İcmal!A1" display="ANA SAYFA" xr:uid="{1179C2ED-83E0-4F3A-A7C8-4199FE5796FB}"/>
  </hyperlinks>
  <pageMargins left="0.7" right="0.7" top="0.75" bottom="0.75" header="0.3" footer="0.3"/>
  <tableParts count="1">
    <tablePart r:id="rId1"/>
  </tableParts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AF702-C27C-425B-8CF0-AB1D4567FAB8}">
  <sheetPr>
    <tabColor rgb="FF2FFF8D"/>
  </sheetPr>
  <dimension ref="B1:R49"/>
  <sheetViews>
    <sheetView showGridLines="0" showZeros="0" zoomScale="110" zoomScaleNormal="110" workbookViewId="0">
      <pane ySplit="3" topLeftCell="A4" activePane="bottomLeft" state="frozen"/>
      <selection pane="bottomLeft" activeCell="C13" sqref="C13"/>
    </sheetView>
  </sheetViews>
  <sheetFormatPr defaultRowHeight="21" customHeight="1" x14ac:dyDescent="0.3"/>
  <cols>
    <col min="2" max="2" width="20.6640625" style="1" customWidth="1"/>
    <col min="3" max="3" width="11.33203125" style="6" customWidth="1"/>
    <col min="4" max="5" width="12.88671875" style="3" customWidth="1"/>
    <col min="6" max="6" width="12.88671875" style="5" customWidth="1"/>
    <col min="7" max="8" width="11.6640625" bestFit="1" customWidth="1"/>
    <col min="10" max="12" width="12.44140625" customWidth="1"/>
    <col min="13" max="13" width="12.6640625" bestFit="1" customWidth="1"/>
    <col min="14" max="14" width="11.6640625" bestFit="1" customWidth="1"/>
  </cols>
  <sheetData>
    <row r="1" spans="2:18" ht="21" customHeight="1" x14ac:dyDescent="0.3">
      <c r="B1" s="12" t="s">
        <v>64</v>
      </c>
      <c r="C1" s="4">
        <f>SUMIF(Tablo145678910111213141516171819202122232425262728293031323334353637383940414243444546475968[KAR],"Açık",Tablo145678910111213141516171819202122232425262728293031323334353637383940414243444546475968[ADET])</f>
        <v>300</v>
      </c>
      <c r="D1" s="10">
        <f>+İcmal!E65</f>
        <v>62.9</v>
      </c>
      <c r="E1" s="10">
        <f>C1*D1</f>
        <v>18870</v>
      </c>
      <c r="F1" s="10">
        <f>IFERROR(((SUM(Tablo145678910111213141516171819202122232425262728293031323334353637383940414243444546475968[ALIŞ TUTAR])-SUM(Tablo145678910111213141516171819202122232425262728293031323334353637383940414243444546475968[SATIŞ TUTAR]))/C1),"")</f>
        <v>54.833333333333336</v>
      </c>
      <c r="G1" s="10">
        <f>IF(M3=0,L3,C1*(D1-F1))</f>
        <v>2419.9999999999991</v>
      </c>
      <c r="J1" s="45" t="s">
        <v>94</v>
      </c>
      <c r="K1" s="45" t="s">
        <v>95</v>
      </c>
      <c r="L1" s="45" t="s">
        <v>96</v>
      </c>
      <c r="M1" s="33">
        <f>F1</f>
        <v>54.833333333333336</v>
      </c>
      <c r="N1" s="8" t="e">
        <f>M1*(1+$J$1)</f>
        <v>#VALUE!</v>
      </c>
      <c r="P1" s="8" t="e">
        <f>Q1*(1-$J$1)</f>
        <v>#VALUE!</v>
      </c>
      <c r="Q1" s="33">
        <f>+D1</f>
        <v>62.9</v>
      </c>
      <c r="R1" s="8" t="e">
        <f>Q1*(1+$J$1)</f>
        <v>#VALUE!</v>
      </c>
    </row>
    <row r="2" spans="2:18" ht="21" customHeight="1" x14ac:dyDescent="0.3">
      <c r="B2" s="7" t="s">
        <v>128</v>
      </c>
      <c r="J2" s="45">
        <f>SUMIFS(Tablo2[HEDEF2],Tablo2[HİSSE],B2)</f>
        <v>2000</v>
      </c>
      <c r="K2" s="45">
        <f>+E1/İcmal!$P$2</f>
        <v>580.07992622194899</v>
      </c>
      <c r="L2" s="45">
        <f>+J2-K2</f>
        <v>1419.9200737780511</v>
      </c>
    </row>
    <row r="3" spans="2:18" ht="21" customHeight="1" x14ac:dyDescent="0.3">
      <c r="B3" s="1" t="s">
        <v>0</v>
      </c>
      <c r="C3" s="6" t="s">
        <v>4</v>
      </c>
      <c r="D3" s="3" t="s">
        <v>1</v>
      </c>
      <c r="E3" s="3" t="s">
        <v>3</v>
      </c>
      <c r="F3" s="5" t="s">
        <v>2</v>
      </c>
      <c r="G3" s="3" t="s">
        <v>8</v>
      </c>
      <c r="H3" s="3" t="s">
        <v>9</v>
      </c>
      <c r="L3" s="33">
        <f>SUM(Tablo145678910111213141516171819202122232425262728293031323334353637383940414243444546475968[KAR])</f>
        <v>1810.0000000000005</v>
      </c>
      <c r="M3" s="37">
        <f>C1</f>
        <v>300</v>
      </c>
    </row>
    <row r="4" spans="2:18" ht="21" customHeight="1" x14ac:dyDescent="0.3">
      <c r="B4" s="2">
        <v>45390</v>
      </c>
      <c r="C4" s="6">
        <v>100</v>
      </c>
      <c r="D4" s="10">
        <v>58.6</v>
      </c>
      <c r="E4" s="10"/>
      <c r="F4" s="9" t="str">
        <f>IF(Tablo145678910111213141516171819202122232425262728293031323334353637383940414243444546475968[[#This Row],[SATIŞ]]=0,"Açık",(E4-D4)*C4)</f>
        <v>Açık</v>
      </c>
      <c r="G4" s="11">
        <f>Tablo145678910111213141516171819202122232425262728293031323334353637383940414243444546475968[[#This Row],[ADET]]*Tablo145678910111213141516171819202122232425262728293031323334353637383940414243444546475968[[#This Row],[ALIŞ]]</f>
        <v>5860</v>
      </c>
      <c r="H4" s="11">
        <f>Tablo145678910111213141516171819202122232425262728293031323334353637383940414243444546475968[[#This Row],[ADET]]*Tablo145678910111213141516171819202122232425262728293031323334353637383940414243444546475968[[#This Row],[SATIŞ]]</f>
        <v>0</v>
      </c>
      <c r="L4" s="8">
        <f>SUM(Tablo145678910111213141516171819202122232425262728293031323334353637383940414243444546475968[ALIŞ TUTAR])</f>
        <v>47330</v>
      </c>
      <c r="M4" s="8">
        <f>SUM(Tablo145678910111213141516171819202122232425262728293031323334353637383940414243444546475968[SATIŞ TUTAR])</f>
        <v>30880</v>
      </c>
      <c r="N4" s="8">
        <f>L4-M4</f>
        <v>16450</v>
      </c>
    </row>
    <row r="5" spans="2:18" ht="21" hidden="1" customHeight="1" x14ac:dyDescent="0.3">
      <c r="B5" s="2">
        <v>45390</v>
      </c>
      <c r="C5" s="6">
        <v>100</v>
      </c>
      <c r="D5" s="10">
        <v>58.5</v>
      </c>
      <c r="E5" s="10">
        <v>64.3</v>
      </c>
      <c r="F5" s="9">
        <f>IF(Tablo145678910111213141516171819202122232425262728293031323334353637383940414243444546475968[[#This Row],[SATIŞ]]=0,"Açık",(E5-D5)*C5)</f>
        <v>579.99999999999977</v>
      </c>
      <c r="G5" s="11">
        <f>Tablo145678910111213141516171819202122232425262728293031323334353637383940414243444546475968[[#This Row],[ADET]]*Tablo145678910111213141516171819202122232425262728293031323334353637383940414243444546475968[[#This Row],[ALIŞ]]</f>
        <v>5850</v>
      </c>
      <c r="H5" s="11">
        <f>Tablo145678910111213141516171819202122232425262728293031323334353637383940414243444546475968[[#This Row],[ADET]]*Tablo145678910111213141516171819202122232425262728293031323334353637383940414243444546475968[[#This Row],[SATIŞ]]</f>
        <v>6430</v>
      </c>
      <c r="N5">
        <f>+N4/80</f>
        <v>205.625</v>
      </c>
    </row>
    <row r="6" spans="2:18" ht="21" hidden="1" customHeight="1" x14ac:dyDescent="0.3">
      <c r="B6" s="2">
        <v>45390</v>
      </c>
      <c r="C6" s="6">
        <v>100</v>
      </c>
      <c r="D6" s="10">
        <v>58.3</v>
      </c>
      <c r="E6" s="10">
        <v>63</v>
      </c>
      <c r="F6" s="9">
        <f>IF(Tablo145678910111213141516171819202122232425262728293031323334353637383940414243444546475968[[#This Row],[SATIŞ]]=0,"Açık",(E6-D6)*C6)</f>
        <v>470.00000000000028</v>
      </c>
      <c r="G6" s="11">
        <f>Tablo145678910111213141516171819202122232425262728293031323334353637383940414243444546475968[[#This Row],[ADET]]*Tablo145678910111213141516171819202122232425262728293031323334353637383940414243444546475968[[#This Row],[ALIŞ]]</f>
        <v>5830</v>
      </c>
      <c r="H6" s="11">
        <f>Tablo145678910111213141516171819202122232425262728293031323334353637383940414243444546475968[[#This Row],[ADET]]*Tablo145678910111213141516171819202122232425262728293031323334353637383940414243444546475968[[#This Row],[SATIŞ]]</f>
        <v>6300</v>
      </c>
    </row>
    <row r="7" spans="2:18" ht="21" hidden="1" customHeight="1" x14ac:dyDescent="0.3">
      <c r="B7" s="2">
        <v>45390</v>
      </c>
      <c r="C7" s="6">
        <v>100</v>
      </c>
      <c r="D7" s="10">
        <v>58.1</v>
      </c>
      <c r="E7" s="10">
        <v>62</v>
      </c>
      <c r="F7" s="9">
        <f>IF(Tablo145678910111213141516171819202122232425262728293031323334353637383940414243444546475968[[#This Row],[SATIŞ]]=0,"Açık",(E7-D7)*C7)</f>
        <v>389.99999999999989</v>
      </c>
      <c r="G7" s="11">
        <f>Tablo145678910111213141516171819202122232425262728293031323334353637383940414243444546475968[[#This Row],[ADET]]*Tablo145678910111213141516171819202122232425262728293031323334353637383940414243444546475968[[#This Row],[ALIŞ]]</f>
        <v>5810</v>
      </c>
      <c r="H7" s="11">
        <f>Tablo145678910111213141516171819202122232425262728293031323334353637383940414243444546475968[[#This Row],[ADET]]*Tablo145678910111213141516171819202122232425262728293031323334353637383940414243444546475968[[#This Row],[SATIŞ]]</f>
        <v>6200</v>
      </c>
      <c r="J7" s="40" t="str">
        <f t="shared" ref="J7:J45" si="0">IF(E7=0,D7*1.05,"")</f>
        <v/>
      </c>
    </row>
    <row r="8" spans="2:18" ht="21" hidden="1" customHeight="1" x14ac:dyDescent="0.3">
      <c r="B8" s="2">
        <v>45390</v>
      </c>
      <c r="C8" s="6">
        <v>50</v>
      </c>
      <c r="D8" s="10">
        <v>58</v>
      </c>
      <c r="E8" s="10">
        <v>60.5</v>
      </c>
      <c r="F8" s="9">
        <f>IF(Tablo145678910111213141516171819202122232425262728293031323334353637383940414243444546475968[[#This Row],[SATIŞ]]=0,"Açık",(E8-D8)*C8)</f>
        <v>125</v>
      </c>
      <c r="G8" s="11">
        <f>Tablo145678910111213141516171819202122232425262728293031323334353637383940414243444546475968[[#This Row],[ADET]]*Tablo145678910111213141516171819202122232425262728293031323334353637383940414243444546475968[[#This Row],[ALIŞ]]</f>
        <v>2900</v>
      </c>
      <c r="H8" s="11">
        <f>Tablo145678910111213141516171819202122232425262728293031323334353637383940414243444546475968[[#This Row],[ADET]]*Tablo145678910111213141516171819202122232425262728293031323334353637383940414243444546475968[[#This Row],[SATIŞ]]</f>
        <v>3025</v>
      </c>
      <c r="J8" s="40" t="str">
        <f t="shared" si="0"/>
        <v/>
      </c>
    </row>
    <row r="9" spans="2:18" ht="21" hidden="1" customHeight="1" x14ac:dyDescent="0.3">
      <c r="B9" s="2">
        <v>45390</v>
      </c>
      <c r="C9" s="6">
        <v>50</v>
      </c>
      <c r="D9" s="10">
        <v>58</v>
      </c>
      <c r="E9" s="10">
        <v>60</v>
      </c>
      <c r="F9" s="9">
        <f>IF(Tablo145678910111213141516171819202122232425262728293031323334353637383940414243444546475968[[#This Row],[SATIŞ]]=0,"Açık",(E9-D9)*C9)</f>
        <v>100</v>
      </c>
      <c r="G9" s="11">
        <f>Tablo145678910111213141516171819202122232425262728293031323334353637383940414243444546475968[[#This Row],[ADET]]*Tablo145678910111213141516171819202122232425262728293031323334353637383940414243444546475968[[#This Row],[ALIŞ]]</f>
        <v>2900</v>
      </c>
      <c r="H9" s="11">
        <f>Tablo145678910111213141516171819202122232425262728293031323334353637383940414243444546475968[[#This Row],[ADET]]*Tablo145678910111213141516171819202122232425262728293031323334353637383940414243444546475968[[#This Row],[SATIŞ]]</f>
        <v>3000</v>
      </c>
      <c r="J9" s="40"/>
    </row>
    <row r="10" spans="2:18" ht="21" hidden="1" customHeight="1" x14ac:dyDescent="0.3">
      <c r="B10" s="2">
        <v>45390</v>
      </c>
      <c r="C10" s="6">
        <v>50</v>
      </c>
      <c r="D10" s="10">
        <v>57.8</v>
      </c>
      <c r="E10" s="10">
        <v>59</v>
      </c>
      <c r="F10" s="9">
        <f>IF(Tablo145678910111213141516171819202122232425262728293031323334353637383940414243444546475968[[#This Row],[SATIŞ]]=0,"Açık",(E10-D10)*C10)</f>
        <v>60.000000000000142</v>
      </c>
      <c r="G10" s="11">
        <f>Tablo145678910111213141516171819202122232425262728293031323334353637383940414243444546475968[[#This Row],[ADET]]*Tablo145678910111213141516171819202122232425262728293031323334353637383940414243444546475968[[#This Row],[ALIŞ]]</f>
        <v>2890</v>
      </c>
      <c r="H10" s="11">
        <f>Tablo145678910111213141516171819202122232425262728293031323334353637383940414243444546475968[[#This Row],[ADET]]*Tablo145678910111213141516171819202122232425262728293031323334353637383940414243444546475968[[#This Row],[SATIŞ]]</f>
        <v>2950</v>
      </c>
      <c r="J10" s="40" t="str">
        <f t="shared" si="0"/>
        <v/>
      </c>
    </row>
    <row r="11" spans="2:18" ht="21" hidden="1" customHeight="1" x14ac:dyDescent="0.3">
      <c r="B11" s="2">
        <v>45390</v>
      </c>
      <c r="C11" s="6">
        <v>50</v>
      </c>
      <c r="D11" s="10">
        <v>57.8</v>
      </c>
      <c r="E11" s="10">
        <v>59.5</v>
      </c>
      <c r="F11" s="9">
        <f>IF(Tablo145678910111213141516171819202122232425262728293031323334353637383940414243444546475968[[#This Row],[SATIŞ]]=0,"Açık",(E11-D11)*C11)</f>
        <v>85.000000000000142</v>
      </c>
      <c r="G11" s="11">
        <f>Tablo145678910111213141516171819202122232425262728293031323334353637383940414243444546475968[[#This Row],[ADET]]*Tablo145678910111213141516171819202122232425262728293031323334353637383940414243444546475968[[#This Row],[ALIŞ]]</f>
        <v>2890</v>
      </c>
      <c r="H11" s="11">
        <f>Tablo145678910111213141516171819202122232425262728293031323334353637383940414243444546475968[[#This Row],[ADET]]*Tablo145678910111213141516171819202122232425262728293031323334353637383940414243444546475968[[#This Row],[SATIŞ]]</f>
        <v>2975</v>
      </c>
      <c r="J11" s="40" t="str">
        <f t="shared" si="0"/>
        <v/>
      </c>
    </row>
    <row r="12" spans="2:18" ht="21" customHeight="1" x14ac:dyDescent="0.3">
      <c r="B12" s="2">
        <v>45399</v>
      </c>
      <c r="C12" s="6">
        <v>200</v>
      </c>
      <c r="D12" s="10">
        <v>62</v>
      </c>
      <c r="E12" s="10"/>
      <c r="F12" s="9" t="str">
        <f>IF(Tablo145678910111213141516171819202122232425262728293031323334353637383940414243444546475968[[#This Row],[SATIŞ]]=0,"Açık",(E12-D12)*C12)</f>
        <v>Açık</v>
      </c>
      <c r="G12" s="11">
        <f>Tablo145678910111213141516171819202122232425262728293031323334353637383940414243444546475968[[#This Row],[ADET]]*Tablo145678910111213141516171819202122232425262728293031323334353637383940414243444546475968[[#This Row],[ALIŞ]]</f>
        <v>12400</v>
      </c>
      <c r="H12" s="11">
        <f>Tablo145678910111213141516171819202122232425262728293031323334353637383940414243444546475968[[#This Row],[ADET]]*Tablo145678910111213141516171819202122232425262728293031323334353637383940414243444546475968[[#This Row],[SATIŞ]]</f>
        <v>0</v>
      </c>
      <c r="J12" s="40">
        <f t="shared" si="0"/>
        <v>65.100000000000009</v>
      </c>
    </row>
    <row r="13" spans="2:18" ht="21" customHeight="1" x14ac:dyDescent="0.3">
      <c r="B13" s="2"/>
      <c r="D13" s="10"/>
      <c r="E13" s="10"/>
      <c r="F13" s="9" t="str">
        <f>IF(Tablo145678910111213141516171819202122232425262728293031323334353637383940414243444546475968[[#This Row],[SATIŞ]]=0,"Açık",(E13-D13)*C13)</f>
        <v>Açık</v>
      </c>
      <c r="G13" s="11">
        <f>Tablo145678910111213141516171819202122232425262728293031323334353637383940414243444546475968[[#This Row],[ADET]]*Tablo145678910111213141516171819202122232425262728293031323334353637383940414243444546475968[[#This Row],[ALIŞ]]</f>
        <v>0</v>
      </c>
      <c r="H13" s="11">
        <f>Tablo145678910111213141516171819202122232425262728293031323334353637383940414243444546475968[[#This Row],[ADET]]*Tablo145678910111213141516171819202122232425262728293031323334353637383940414243444546475968[[#This Row],[SATIŞ]]</f>
        <v>0</v>
      </c>
      <c r="J13" s="40">
        <f t="shared" si="0"/>
        <v>0</v>
      </c>
    </row>
    <row r="14" spans="2:18" ht="21" customHeight="1" x14ac:dyDescent="0.3">
      <c r="B14" s="2"/>
      <c r="D14" s="10"/>
      <c r="E14" s="10"/>
      <c r="F14" s="9" t="str">
        <f>IF(Tablo145678910111213141516171819202122232425262728293031323334353637383940414243444546475968[[#This Row],[SATIŞ]]=0,"Açık",(E14-D14)*C14)</f>
        <v>Açık</v>
      </c>
      <c r="G14" s="11">
        <f>Tablo145678910111213141516171819202122232425262728293031323334353637383940414243444546475968[[#This Row],[ADET]]*Tablo145678910111213141516171819202122232425262728293031323334353637383940414243444546475968[[#This Row],[ALIŞ]]</f>
        <v>0</v>
      </c>
      <c r="H14" s="11">
        <f>Tablo145678910111213141516171819202122232425262728293031323334353637383940414243444546475968[[#This Row],[ADET]]*Tablo145678910111213141516171819202122232425262728293031323334353637383940414243444546475968[[#This Row],[SATIŞ]]</f>
        <v>0</v>
      </c>
      <c r="J14" s="40">
        <f t="shared" si="0"/>
        <v>0</v>
      </c>
    </row>
    <row r="15" spans="2:18" ht="21" customHeight="1" x14ac:dyDescent="0.3">
      <c r="B15" s="2"/>
      <c r="D15" s="10"/>
      <c r="E15" s="10"/>
      <c r="F15" s="9" t="str">
        <f>IF(Tablo145678910111213141516171819202122232425262728293031323334353637383940414243444546475968[[#This Row],[SATIŞ]]=0,"Açık",(E15-D15)*C15)</f>
        <v>Açık</v>
      </c>
      <c r="G15" s="11">
        <f>Tablo145678910111213141516171819202122232425262728293031323334353637383940414243444546475968[[#This Row],[ADET]]*Tablo145678910111213141516171819202122232425262728293031323334353637383940414243444546475968[[#This Row],[ALIŞ]]</f>
        <v>0</v>
      </c>
      <c r="H15" s="11">
        <f>Tablo145678910111213141516171819202122232425262728293031323334353637383940414243444546475968[[#This Row],[ADET]]*Tablo145678910111213141516171819202122232425262728293031323334353637383940414243444546475968[[#This Row],[SATIŞ]]</f>
        <v>0</v>
      </c>
      <c r="J15" s="40">
        <f t="shared" si="0"/>
        <v>0</v>
      </c>
    </row>
    <row r="16" spans="2:18" ht="21" customHeight="1" x14ac:dyDescent="0.3">
      <c r="B16" s="2"/>
      <c r="D16" s="10"/>
      <c r="E16" s="10"/>
      <c r="F16" s="9" t="str">
        <f>IF(Tablo145678910111213141516171819202122232425262728293031323334353637383940414243444546475968[[#This Row],[SATIŞ]]=0,"Açık",(E16-D16)*C16)</f>
        <v>Açık</v>
      </c>
      <c r="G16" s="11">
        <f>Tablo145678910111213141516171819202122232425262728293031323334353637383940414243444546475968[[#This Row],[ADET]]*Tablo145678910111213141516171819202122232425262728293031323334353637383940414243444546475968[[#This Row],[ALIŞ]]</f>
        <v>0</v>
      </c>
      <c r="H16" s="11">
        <f>Tablo145678910111213141516171819202122232425262728293031323334353637383940414243444546475968[[#This Row],[ADET]]*Tablo145678910111213141516171819202122232425262728293031323334353637383940414243444546475968[[#This Row],[SATIŞ]]</f>
        <v>0</v>
      </c>
      <c r="J16" s="40">
        <f t="shared" si="0"/>
        <v>0</v>
      </c>
    </row>
    <row r="17" spans="2:10" ht="21" customHeight="1" x14ac:dyDescent="0.3">
      <c r="B17" s="2"/>
      <c r="D17" s="10"/>
      <c r="E17" s="10"/>
      <c r="F17" s="9" t="str">
        <f>IF(Tablo145678910111213141516171819202122232425262728293031323334353637383940414243444546475968[[#This Row],[SATIŞ]]=0,"Açık",(E17-D17)*C17)</f>
        <v>Açık</v>
      </c>
      <c r="G17" s="11">
        <f>Tablo145678910111213141516171819202122232425262728293031323334353637383940414243444546475968[[#This Row],[ADET]]*Tablo145678910111213141516171819202122232425262728293031323334353637383940414243444546475968[[#This Row],[ALIŞ]]</f>
        <v>0</v>
      </c>
      <c r="H17" s="11">
        <f>Tablo145678910111213141516171819202122232425262728293031323334353637383940414243444546475968[[#This Row],[ADET]]*Tablo145678910111213141516171819202122232425262728293031323334353637383940414243444546475968[[#This Row],[SATIŞ]]</f>
        <v>0</v>
      </c>
      <c r="J17" s="40">
        <f t="shared" si="0"/>
        <v>0</v>
      </c>
    </row>
    <row r="18" spans="2:10" ht="21" customHeight="1" x14ac:dyDescent="0.3">
      <c r="B18" s="2"/>
      <c r="D18" s="10"/>
      <c r="E18" s="10"/>
      <c r="F18" s="9" t="str">
        <f>IF(Tablo145678910111213141516171819202122232425262728293031323334353637383940414243444546475968[[#This Row],[SATIŞ]]=0,"Açık",(E18-D18)*C18)</f>
        <v>Açık</v>
      </c>
      <c r="G18" s="11">
        <f>Tablo145678910111213141516171819202122232425262728293031323334353637383940414243444546475968[[#This Row],[ADET]]*Tablo145678910111213141516171819202122232425262728293031323334353637383940414243444546475968[[#This Row],[ALIŞ]]</f>
        <v>0</v>
      </c>
      <c r="H18" s="11">
        <f>Tablo145678910111213141516171819202122232425262728293031323334353637383940414243444546475968[[#This Row],[ADET]]*Tablo145678910111213141516171819202122232425262728293031323334353637383940414243444546475968[[#This Row],[SATIŞ]]</f>
        <v>0</v>
      </c>
      <c r="J18" s="40">
        <f t="shared" si="0"/>
        <v>0</v>
      </c>
    </row>
    <row r="19" spans="2:10" ht="21" customHeight="1" x14ac:dyDescent="0.3">
      <c r="B19" s="2"/>
      <c r="D19" s="10"/>
      <c r="E19" s="10"/>
      <c r="F19" s="9" t="str">
        <f>IF(Tablo145678910111213141516171819202122232425262728293031323334353637383940414243444546475968[[#This Row],[SATIŞ]]=0,"Açık",(E19-D19)*C19)</f>
        <v>Açık</v>
      </c>
      <c r="G19" s="11">
        <f>Tablo145678910111213141516171819202122232425262728293031323334353637383940414243444546475968[[#This Row],[ADET]]*Tablo145678910111213141516171819202122232425262728293031323334353637383940414243444546475968[[#This Row],[ALIŞ]]</f>
        <v>0</v>
      </c>
      <c r="H19" s="11">
        <f>Tablo145678910111213141516171819202122232425262728293031323334353637383940414243444546475968[[#This Row],[ADET]]*Tablo145678910111213141516171819202122232425262728293031323334353637383940414243444546475968[[#This Row],[SATIŞ]]</f>
        <v>0</v>
      </c>
      <c r="J19" s="40">
        <f t="shared" si="0"/>
        <v>0</v>
      </c>
    </row>
    <row r="20" spans="2:10" ht="21" customHeight="1" x14ac:dyDescent="0.3">
      <c r="B20" s="2"/>
      <c r="D20" s="10"/>
      <c r="E20" s="10"/>
      <c r="F20" s="9" t="str">
        <f>IF(Tablo145678910111213141516171819202122232425262728293031323334353637383940414243444546475968[[#This Row],[SATIŞ]]=0,"Açık",(E20-D20)*C20)</f>
        <v>Açık</v>
      </c>
      <c r="G20" s="11">
        <f>Tablo145678910111213141516171819202122232425262728293031323334353637383940414243444546475968[[#This Row],[ADET]]*Tablo145678910111213141516171819202122232425262728293031323334353637383940414243444546475968[[#This Row],[ALIŞ]]</f>
        <v>0</v>
      </c>
      <c r="H20" s="11">
        <f>Tablo145678910111213141516171819202122232425262728293031323334353637383940414243444546475968[[#This Row],[ADET]]*Tablo145678910111213141516171819202122232425262728293031323334353637383940414243444546475968[[#This Row],[SATIŞ]]</f>
        <v>0</v>
      </c>
      <c r="J20" s="40">
        <f t="shared" si="0"/>
        <v>0</v>
      </c>
    </row>
    <row r="21" spans="2:10" ht="21" customHeight="1" x14ac:dyDescent="0.3">
      <c r="B21" s="2"/>
      <c r="D21" s="10"/>
      <c r="E21" s="10"/>
      <c r="F21" s="9" t="str">
        <f>IF(Tablo145678910111213141516171819202122232425262728293031323334353637383940414243444546475968[[#This Row],[SATIŞ]]=0,"Açık",(E21-D21)*C21)</f>
        <v>Açık</v>
      </c>
      <c r="G21" s="11">
        <f>Tablo145678910111213141516171819202122232425262728293031323334353637383940414243444546475968[[#This Row],[ADET]]*Tablo145678910111213141516171819202122232425262728293031323334353637383940414243444546475968[[#This Row],[ALIŞ]]</f>
        <v>0</v>
      </c>
      <c r="H21" s="11">
        <f>Tablo145678910111213141516171819202122232425262728293031323334353637383940414243444546475968[[#This Row],[ADET]]*Tablo145678910111213141516171819202122232425262728293031323334353637383940414243444546475968[[#This Row],[SATIŞ]]</f>
        <v>0</v>
      </c>
      <c r="J21" s="40">
        <f t="shared" si="0"/>
        <v>0</v>
      </c>
    </row>
    <row r="22" spans="2:10" ht="21" customHeight="1" x14ac:dyDescent="0.3">
      <c r="B22" s="2"/>
      <c r="D22" s="10"/>
      <c r="E22" s="10"/>
      <c r="F22" s="9" t="str">
        <f>IF(Tablo145678910111213141516171819202122232425262728293031323334353637383940414243444546475968[[#This Row],[SATIŞ]]=0,"Açık",(E22-D22)*C22)</f>
        <v>Açık</v>
      </c>
      <c r="G22" s="11">
        <f>Tablo145678910111213141516171819202122232425262728293031323334353637383940414243444546475968[[#This Row],[ADET]]*Tablo145678910111213141516171819202122232425262728293031323334353637383940414243444546475968[[#This Row],[ALIŞ]]</f>
        <v>0</v>
      </c>
      <c r="H22" s="11">
        <f>Tablo145678910111213141516171819202122232425262728293031323334353637383940414243444546475968[[#This Row],[ADET]]*Tablo145678910111213141516171819202122232425262728293031323334353637383940414243444546475968[[#This Row],[SATIŞ]]</f>
        <v>0</v>
      </c>
      <c r="J22" s="40">
        <f t="shared" si="0"/>
        <v>0</v>
      </c>
    </row>
    <row r="23" spans="2:10" ht="21" customHeight="1" x14ac:dyDescent="0.3">
      <c r="B23" s="2"/>
      <c r="D23" s="10"/>
      <c r="E23" s="10"/>
      <c r="F23" s="9" t="str">
        <f>IF(Tablo145678910111213141516171819202122232425262728293031323334353637383940414243444546475968[[#This Row],[SATIŞ]]=0,"Açık",(E23-D23)*C23)</f>
        <v>Açık</v>
      </c>
      <c r="G23" s="11">
        <f>Tablo145678910111213141516171819202122232425262728293031323334353637383940414243444546475968[[#This Row],[ADET]]*Tablo145678910111213141516171819202122232425262728293031323334353637383940414243444546475968[[#This Row],[ALIŞ]]</f>
        <v>0</v>
      </c>
      <c r="H23" s="11">
        <f>Tablo145678910111213141516171819202122232425262728293031323334353637383940414243444546475968[[#This Row],[ADET]]*Tablo145678910111213141516171819202122232425262728293031323334353637383940414243444546475968[[#This Row],[SATIŞ]]</f>
        <v>0</v>
      </c>
      <c r="J23" s="40">
        <f t="shared" si="0"/>
        <v>0</v>
      </c>
    </row>
    <row r="24" spans="2:10" ht="21" customHeight="1" x14ac:dyDescent="0.3">
      <c r="B24" s="2"/>
      <c r="D24" s="10"/>
      <c r="E24" s="10"/>
      <c r="F24" s="9" t="str">
        <f>IF(Tablo145678910111213141516171819202122232425262728293031323334353637383940414243444546475968[[#This Row],[SATIŞ]]=0,"Açık",(E24-D24)*C24)</f>
        <v>Açık</v>
      </c>
      <c r="G24" s="11">
        <f>Tablo145678910111213141516171819202122232425262728293031323334353637383940414243444546475968[[#This Row],[ADET]]*Tablo145678910111213141516171819202122232425262728293031323334353637383940414243444546475968[[#This Row],[ALIŞ]]</f>
        <v>0</v>
      </c>
      <c r="H24" s="11">
        <f>Tablo145678910111213141516171819202122232425262728293031323334353637383940414243444546475968[[#This Row],[ADET]]*Tablo145678910111213141516171819202122232425262728293031323334353637383940414243444546475968[[#This Row],[SATIŞ]]</f>
        <v>0</v>
      </c>
      <c r="J24" s="40">
        <f t="shared" si="0"/>
        <v>0</v>
      </c>
    </row>
    <row r="25" spans="2:10" ht="21" customHeight="1" x14ac:dyDescent="0.3">
      <c r="B25" s="2"/>
      <c r="D25" s="10"/>
      <c r="E25" s="10"/>
      <c r="F25" s="9" t="str">
        <f>IF(Tablo145678910111213141516171819202122232425262728293031323334353637383940414243444546475968[[#This Row],[SATIŞ]]=0,"Açık",(E25-D25)*C25)</f>
        <v>Açık</v>
      </c>
      <c r="G25" s="11">
        <f>Tablo145678910111213141516171819202122232425262728293031323334353637383940414243444546475968[[#This Row],[ADET]]*Tablo145678910111213141516171819202122232425262728293031323334353637383940414243444546475968[[#This Row],[ALIŞ]]</f>
        <v>0</v>
      </c>
      <c r="H25" s="11">
        <f>Tablo145678910111213141516171819202122232425262728293031323334353637383940414243444546475968[[#This Row],[ADET]]*Tablo145678910111213141516171819202122232425262728293031323334353637383940414243444546475968[[#This Row],[SATIŞ]]</f>
        <v>0</v>
      </c>
      <c r="J25" s="40">
        <f t="shared" si="0"/>
        <v>0</v>
      </c>
    </row>
    <row r="26" spans="2:10" ht="21" customHeight="1" x14ac:dyDescent="0.3">
      <c r="B26" s="2"/>
      <c r="D26" s="10"/>
      <c r="E26" s="10"/>
      <c r="F26" s="9" t="str">
        <f>IF(Tablo145678910111213141516171819202122232425262728293031323334353637383940414243444546475968[[#This Row],[SATIŞ]]=0,"Açık",(E26-D26)*C26)</f>
        <v>Açık</v>
      </c>
      <c r="G26" s="11">
        <f>Tablo145678910111213141516171819202122232425262728293031323334353637383940414243444546475968[[#This Row],[ADET]]*Tablo145678910111213141516171819202122232425262728293031323334353637383940414243444546475968[[#This Row],[ALIŞ]]</f>
        <v>0</v>
      </c>
      <c r="H26" s="11">
        <f>Tablo145678910111213141516171819202122232425262728293031323334353637383940414243444546475968[[#This Row],[ADET]]*Tablo145678910111213141516171819202122232425262728293031323334353637383940414243444546475968[[#This Row],[SATIŞ]]</f>
        <v>0</v>
      </c>
      <c r="J26" s="40">
        <f t="shared" si="0"/>
        <v>0</v>
      </c>
    </row>
    <row r="27" spans="2:10" ht="21" customHeight="1" x14ac:dyDescent="0.3">
      <c r="B27" s="2"/>
      <c r="D27" s="10"/>
      <c r="E27" s="10"/>
      <c r="F27" s="9" t="str">
        <f>IF(Tablo145678910111213141516171819202122232425262728293031323334353637383940414243444546475968[[#This Row],[SATIŞ]]=0,"Açık",(E27-D27)*C27)</f>
        <v>Açık</v>
      </c>
      <c r="G27" s="11">
        <f>Tablo145678910111213141516171819202122232425262728293031323334353637383940414243444546475968[[#This Row],[ADET]]*Tablo145678910111213141516171819202122232425262728293031323334353637383940414243444546475968[[#This Row],[ALIŞ]]</f>
        <v>0</v>
      </c>
      <c r="H27" s="11">
        <f>Tablo145678910111213141516171819202122232425262728293031323334353637383940414243444546475968[[#This Row],[ADET]]*Tablo145678910111213141516171819202122232425262728293031323334353637383940414243444546475968[[#This Row],[SATIŞ]]</f>
        <v>0</v>
      </c>
      <c r="J27" s="40">
        <f t="shared" si="0"/>
        <v>0</v>
      </c>
    </row>
    <row r="28" spans="2:10" ht="21" customHeight="1" x14ac:dyDescent="0.3">
      <c r="B28" s="2"/>
      <c r="D28" s="10"/>
      <c r="E28" s="10"/>
      <c r="F28" s="9" t="str">
        <f>IF(Tablo145678910111213141516171819202122232425262728293031323334353637383940414243444546475968[[#This Row],[SATIŞ]]=0,"Açık",(E28-D28)*C28)</f>
        <v>Açık</v>
      </c>
      <c r="G28" s="11">
        <f>Tablo145678910111213141516171819202122232425262728293031323334353637383940414243444546475968[[#This Row],[ADET]]*Tablo145678910111213141516171819202122232425262728293031323334353637383940414243444546475968[[#This Row],[ALIŞ]]</f>
        <v>0</v>
      </c>
      <c r="H28" s="11">
        <f>Tablo145678910111213141516171819202122232425262728293031323334353637383940414243444546475968[[#This Row],[ADET]]*Tablo145678910111213141516171819202122232425262728293031323334353637383940414243444546475968[[#This Row],[SATIŞ]]</f>
        <v>0</v>
      </c>
      <c r="J28" s="40">
        <f t="shared" si="0"/>
        <v>0</v>
      </c>
    </row>
    <row r="29" spans="2:10" ht="21" customHeight="1" x14ac:dyDescent="0.3">
      <c r="B29" s="2"/>
      <c r="D29" s="10"/>
      <c r="E29" s="10"/>
      <c r="F29" s="9" t="str">
        <f>IF(Tablo145678910111213141516171819202122232425262728293031323334353637383940414243444546475968[[#This Row],[SATIŞ]]=0,"Açık",(E29-D29)*C29)</f>
        <v>Açık</v>
      </c>
      <c r="G29" s="11">
        <f>Tablo145678910111213141516171819202122232425262728293031323334353637383940414243444546475968[[#This Row],[ADET]]*Tablo145678910111213141516171819202122232425262728293031323334353637383940414243444546475968[[#This Row],[ALIŞ]]</f>
        <v>0</v>
      </c>
      <c r="H29" s="11">
        <f>Tablo145678910111213141516171819202122232425262728293031323334353637383940414243444546475968[[#This Row],[ADET]]*Tablo145678910111213141516171819202122232425262728293031323334353637383940414243444546475968[[#This Row],[SATIŞ]]</f>
        <v>0</v>
      </c>
      <c r="J29" s="40">
        <f t="shared" si="0"/>
        <v>0</v>
      </c>
    </row>
    <row r="30" spans="2:10" ht="21" customHeight="1" x14ac:dyDescent="0.3">
      <c r="B30" s="2"/>
      <c r="D30" s="10"/>
      <c r="E30" s="10"/>
      <c r="F30" s="9" t="str">
        <f>IF(Tablo145678910111213141516171819202122232425262728293031323334353637383940414243444546475968[[#This Row],[SATIŞ]]=0,"Açık",(E30-D30)*C30)</f>
        <v>Açık</v>
      </c>
      <c r="G30" s="11">
        <f>Tablo145678910111213141516171819202122232425262728293031323334353637383940414243444546475968[[#This Row],[ADET]]*Tablo145678910111213141516171819202122232425262728293031323334353637383940414243444546475968[[#This Row],[ALIŞ]]</f>
        <v>0</v>
      </c>
      <c r="H30" s="11">
        <f>Tablo145678910111213141516171819202122232425262728293031323334353637383940414243444546475968[[#This Row],[ADET]]*Tablo145678910111213141516171819202122232425262728293031323334353637383940414243444546475968[[#This Row],[SATIŞ]]</f>
        <v>0</v>
      </c>
      <c r="J30" s="40">
        <f t="shared" si="0"/>
        <v>0</v>
      </c>
    </row>
    <row r="31" spans="2:10" ht="21" customHeight="1" x14ac:dyDescent="0.3">
      <c r="B31" s="2"/>
      <c r="D31" s="10"/>
      <c r="E31" s="10"/>
      <c r="F31" s="9" t="str">
        <f>IF(Tablo145678910111213141516171819202122232425262728293031323334353637383940414243444546475968[[#This Row],[SATIŞ]]=0,"Açık",(E31-D31)*C31)</f>
        <v>Açık</v>
      </c>
      <c r="G31" s="11">
        <f>Tablo145678910111213141516171819202122232425262728293031323334353637383940414243444546475968[[#This Row],[ADET]]*Tablo145678910111213141516171819202122232425262728293031323334353637383940414243444546475968[[#This Row],[ALIŞ]]</f>
        <v>0</v>
      </c>
      <c r="H31" s="11">
        <f>Tablo145678910111213141516171819202122232425262728293031323334353637383940414243444546475968[[#This Row],[ADET]]*Tablo145678910111213141516171819202122232425262728293031323334353637383940414243444546475968[[#This Row],[SATIŞ]]</f>
        <v>0</v>
      </c>
      <c r="J31" s="40">
        <f t="shared" si="0"/>
        <v>0</v>
      </c>
    </row>
    <row r="32" spans="2:10" ht="21" customHeight="1" x14ac:dyDescent="0.3">
      <c r="B32" s="2"/>
      <c r="D32" s="10"/>
      <c r="E32" s="10"/>
      <c r="F32" s="9" t="str">
        <f>IF(Tablo145678910111213141516171819202122232425262728293031323334353637383940414243444546475968[[#This Row],[SATIŞ]]=0,"Açık",(E32-D32)*C32)</f>
        <v>Açık</v>
      </c>
      <c r="G32" s="11">
        <f>Tablo145678910111213141516171819202122232425262728293031323334353637383940414243444546475968[[#This Row],[ADET]]*Tablo145678910111213141516171819202122232425262728293031323334353637383940414243444546475968[[#This Row],[ALIŞ]]</f>
        <v>0</v>
      </c>
      <c r="H32" s="11">
        <f>Tablo145678910111213141516171819202122232425262728293031323334353637383940414243444546475968[[#This Row],[ADET]]*Tablo145678910111213141516171819202122232425262728293031323334353637383940414243444546475968[[#This Row],[SATIŞ]]</f>
        <v>0</v>
      </c>
      <c r="J32" s="40">
        <f t="shared" si="0"/>
        <v>0</v>
      </c>
    </row>
    <row r="33" spans="2:10" ht="21" customHeight="1" x14ac:dyDescent="0.3">
      <c r="B33" s="2"/>
      <c r="D33" s="10"/>
      <c r="E33" s="10"/>
      <c r="F33" s="9" t="str">
        <f>IF(Tablo145678910111213141516171819202122232425262728293031323334353637383940414243444546475968[[#This Row],[SATIŞ]]=0,"Açık",(E33-D33)*C33)</f>
        <v>Açık</v>
      </c>
      <c r="G33" s="11">
        <f>Tablo145678910111213141516171819202122232425262728293031323334353637383940414243444546475968[[#This Row],[ADET]]*Tablo145678910111213141516171819202122232425262728293031323334353637383940414243444546475968[[#This Row],[ALIŞ]]</f>
        <v>0</v>
      </c>
      <c r="H33" s="11">
        <f>Tablo145678910111213141516171819202122232425262728293031323334353637383940414243444546475968[[#This Row],[ADET]]*Tablo145678910111213141516171819202122232425262728293031323334353637383940414243444546475968[[#This Row],[SATIŞ]]</f>
        <v>0</v>
      </c>
      <c r="J33" s="40">
        <f t="shared" si="0"/>
        <v>0</v>
      </c>
    </row>
    <row r="34" spans="2:10" ht="21" customHeight="1" x14ac:dyDescent="0.3">
      <c r="B34" s="2"/>
      <c r="D34" s="10"/>
      <c r="E34" s="10"/>
      <c r="F34" s="9" t="str">
        <f>IF(Tablo145678910111213141516171819202122232425262728293031323334353637383940414243444546475968[[#This Row],[SATIŞ]]=0,"Açık",(E34-D34)*C34)</f>
        <v>Açık</v>
      </c>
      <c r="G34" s="11">
        <f>Tablo145678910111213141516171819202122232425262728293031323334353637383940414243444546475968[[#This Row],[ADET]]*Tablo145678910111213141516171819202122232425262728293031323334353637383940414243444546475968[[#This Row],[ALIŞ]]</f>
        <v>0</v>
      </c>
      <c r="H34" s="11">
        <f>Tablo145678910111213141516171819202122232425262728293031323334353637383940414243444546475968[[#This Row],[ADET]]*Tablo145678910111213141516171819202122232425262728293031323334353637383940414243444546475968[[#This Row],[SATIŞ]]</f>
        <v>0</v>
      </c>
      <c r="J34" s="40">
        <f t="shared" si="0"/>
        <v>0</v>
      </c>
    </row>
    <row r="35" spans="2:10" ht="21" customHeight="1" x14ac:dyDescent="0.3">
      <c r="B35" s="2"/>
      <c r="D35" s="10"/>
      <c r="E35" s="10"/>
      <c r="F35" s="9" t="str">
        <f>IF(Tablo145678910111213141516171819202122232425262728293031323334353637383940414243444546475968[[#This Row],[SATIŞ]]=0,"Açık",(E35-D35)*C35)</f>
        <v>Açık</v>
      </c>
      <c r="G35" s="11">
        <f>Tablo145678910111213141516171819202122232425262728293031323334353637383940414243444546475968[[#This Row],[ADET]]*Tablo145678910111213141516171819202122232425262728293031323334353637383940414243444546475968[[#This Row],[ALIŞ]]</f>
        <v>0</v>
      </c>
      <c r="H35" s="11">
        <f>Tablo145678910111213141516171819202122232425262728293031323334353637383940414243444546475968[[#This Row],[ADET]]*Tablo145678910111213141516171819202122232425262728293031323334353637383940414243444546475968[[#This Row],[SATIŞ]]</f>
        <v>0</v>
      </c>
      <c r="J35" s="40">
        <f t="shared" si="0"/>
        <v>0</v>
      </c>
    </row>
    <row r="36" spans="2:10" ht="21" customHeight="1" x14ac:dyDescent="0.3">
      <c r="B36" s="2"/>
      <c r="D36" s="10"/>
      <c r="E36" s="10"/>
      <c r="F36" s="9" t="str">
        <f>IF(Tablo145678910111213141516171819202122232425262728293031323334353637383940414243444546475968[[#This Row],[SATIŞ]]=0,"Açık",(E36-D36)*C36)</f>
        <v>Açık</v>
      </c>
      <c r="G36" s="11">
        <f>Tablo145678910111213141516171819202122232425262728293031323334353637383940414243444546475968[[#This Row],[ADET]]*Tablo145678910111213141516171819202122232425262728293031323334353637383940414243444546475968[[#This Row],[ALIŞ]]</f>
        <v>0</v>
      </c>
      <c r="H36" s="11">
        <f>Tablo145678910111213141516171819202122232425262728293031323334353637383940414243444546475968[[#This Row],[ADET]]*Tablo145678910111213141516171819202122232425262728293031323334353637383940414243444546475968[[#This Row],[SATIŞ]]</f>
        <v>0</v>
      </c>
      <c r="J36" s="40">
        <f t="shared" si="0"/>
        <v>0</v>
      </c>
    </row>
    <row r="37" spans="2:10" ht="21" customHeight="1" x14ac:dyDescent="0.3">
      <c r="B37" s="2"/>
      <c r="D37" s="10"/>
      <c r="E37" s="10"/>
      <c r="F37" s="9" t="str">
        <f>IF(Tablo145678910111213141516171819202122232425262728293031323334353637383940414243444546475968[[#This Row],[SATIŞ]]=0,"Açık",(E37-D37)*C37)</f>
        <v>Açık</v>
      </c>
      <c r="G37" s="11">
        <f>Tablo145678910111213141516171819202122232425262728293031323334353637383940414243444546475968[[#This Row],[ADET]]*Tablo145678910111213141516171819202122232425262728293031323334353637383940414243444546475968[[#This Row],[ALIŞ]]</f>
        <v>0</v>
      </c>
      <c r="H37" s="11">
        <f>Tablo145678910111213141516171819202122232425262728293031323334353637383940414243444546475968[[#This Row],[ADET]]*Tablo145678910111213141516171819202122232425262728293031323334353637383940414243444546475968[[#This Row],[SATIŞ]]</f>
        <v>0</v>
      </c>
      <c r="J37" s="40">
        <f t="shared" si="0"/>
        <v>0</v>
      </c>
    </row>
    <row r="38" spans="2:10" ht="21" customHeight="1" x14ac:dyDescent="0.3">
      <c r="B38" s="2"/>
      <c r="D38" s="10"/>
      <c r="E38" s="10"/>
      <c r="F38" s="9" t="str">
        <f>IF(Tablo145678910111213141516171819202122232425262728293031323334353637383940414243444546475968[[#This Row],[SATIŞ]]=0,"Açık",(E38-D38)*C38)</f>
        <v>Açık</v>
      </c>
      <c r="G38" s="11">
        <f>Tablo145678910111213141516171819202122232425262728293031323334353637383940414243444546475968[[#This Row],[ADET]]*Tablo145678910111213141516171819202122232425262728293031323334353637383940414243444546475968[[#This Row],[ALIŞ]]</f>
        <v>0</v>
      </c>
      <c r="H38" s="11">
        <f>Tablo145678910111213141516171819202122232425262728293031323334353637383940414243444546475968[[#This Row],[ADET]]*Tablo145678910111213141516171819202122232425262728293031323334353637383940414243444546475968[[#This Row],[SATIŞ]]</f>
        <v>0</v>
      </c>
      <c r="J38" s="40">
        <f t="shared" si="0"/>
        <v>0</v>
      </c>
    </row>
    <row r="39" spans="2:10" ht="21" customHeight="1" x14ac:dyDescent="0.3">
      <c r="B39" s="2"/>
      <c r="D39" s="10"/>
      <c r="E39" s="10"/>
      <c r="F39" s="9" t="str">
        <f>IF(Tablo145678910111213141516171819202122232425262728293031323334353637383940414243444546475968[[#This Row],[SATIŞ]]=0,"Açık",(E39-D39)*C39)</f>
        <v>Açık</v>
      </c>
      <c r="G39" s="11">
        <f>Tablo145678910111213141516171819202122232425262728293031323334353637383940414243444546475968[[#This Row],[ADET]]*Tablo145678910111213141516171819202122232425262728293031323334353637383940414243444546475968[[#This Row],[ALIŞ]]</f>
        <v>0</v>
      </c>
      <c r="H39" s="11">
        <f>Tablo145678910111213141516171819202122232425262728293031323334353637383940414243444546475968[[#This Row],[ADET]]*Tablo145678910111213141516171819202122232425262728293031323334353637383940414243444546475968[[#This Row],[SATIŞ]]</f>
        <v>0</v>
      </c>
      <c r="J39" s="40">
        <f t="shared" si="0"/>
        <v>0</v>
      </c>
    </row>
    <row r="40" spans="2:10" ht="21" customHeight="1" x14ac:dyDescent="0.3">
      <c r="B40" s="2"/>
      <c r="D40" s="10"/>
      <c r="E40" s="10"/>
      <c r="F40" s="9" t="str">
        <f>IF(Tablo145678910111213141516171819202122232425262728293031323334353637383940414243444546475968[[#This Row],[SATIŞ]]=0,"Açık",(E40-D40)*C40)</f>
        <v>Açık</v>
      </c>
      <c r="G40" s="11">
        <f>Tablo145678910111213141516171819202122232425262728293031323334353637383940414243444546475968[[#This Row],[ADET]]*Tablo145678910111213141516171819202122232425262728293031323334353637383940414243444546475968[[#This Row],[ALIŞ]]</f>
        <v>0</v>
      </c>
      <c r="H40" s="11">
        <f>Tablo145678910111213141516171819202122232425262728293031323334353637383940414243444546475968[[#This Row],[ADET]]*Tablo145678910111213141516171819202122232425262728293031323334353637383940414243444546475968[[#This Row],[SATIŞ]]</f>
        <v>0</v>
      </c>
      <c r="J40" s="40">
        <f t="shared" si="0"/>
        <v>0</v>
      </c>
    </row>
    <row r="41" spans="2:10" ht="21" customHeight="1" x14ac:dyDescent="0.3">
      <c r="B41" s="2"/>
      <c r="D41" s="10"/>
      <c r="E41" s="10"/>
      <c r="F41" s="9" t="str">
        <f>IF(Tablo145678910111213141516171819202122232425262728293031323334353637383940414243444546475968[[#This Row],[SATIŞ]]=0,"Açık",(E41-D41)*C41)</f>
        <v>Açık</v>
      </c>
      <c r="G41" s="11">
        <f>Tablo145678910111213141516171819202122232425262728293031323334353637383940414243444546475968[[#This Row],[ADET]]*Tablo145678910111213141516171819202122232425262728293031323334353637383940414243444546475968[[#This Row],[ALIŞ]]</f>
        <v>0</v>
      </c>
      <c r="H41" s="11">
        <f>Tablo145678910111213141516171819202122232425262728293031323334353637383940414243444546475968[[#This Row],[ADET]]*Tablo145678910111213141516171819202122232425262728293031323334353637383940414243444546475968[[#This Row],[SATIŞ]]</f>
        <v>0</v>
      </c>
      <c r="J41" s="40">
        <f t="shared" si="0"/>
        <v>0</v>
      </c>
    </row>
    <row r="42" spans="2:10" ht="21" customHeight="1" x14ac:dyDescent="0.3">
      <c r="B42" s="2"/>
      <c r="D42" s="10"/>
      <c r="E42" s="10"/>
      <c r="F42" s="9" t="str">
        <f>IF(Tablo145678910111213141516171819202122232425262728293031323334353637383940414243444546475968[[#This Row],[SATIŞ]]=0,"Açık",(E42-D42)*C42)</f>
        <v>Açık</v>
      </c>
      <c r="G42" s="11">
        <f>Tablo145678910111213141516171819202122232425262728293031323334353637383940414243444546475968[[#This Row],[ADET]]*Tablo145678910111213141516171819202122232425262728293031323334353637383940414243444546475968[[#This Row],[ALIŞ]]</f>
        <v>0</v>
      </c>
      <c r="H42" s="11">
        <f>Tablo145678910111213141516171819202122232425262728293031323334353637383940414243444546475968[[#This Row],[ADET]]*Tablo145678910111213141516171819202122232425262728293031323334353637383940414243444546475968[[#This Row],[SATIŞ]]</f>
        <v>0</v>
      </c>
      <c r="J42" s="40">
        <f t="shared" si="0"/>
        <v>0</v>
      </c>
    </row>
    <row r="43" spans="2:10" ht="21" customHeight="1" x14ac:dyDescent="0.3">
      <c r="B43" s="2"/>
      <c r="D43" s="10"/>
      <c r="E43" s="10"/>
      <c r="F43" s="9" t="str">
        <f>IF(Tablo145678910111213141516171819202122232425262728293031323334353637383940414243444546475968[[#This Row],[SATIŞ]]=0,"Açık",(E43-D43)*C43)</f>
        <v>Açık</v>
      </c>
      <c r="G43" s="11">
        <f>Tablo145678910111213141516171819202122232425262728293031323334353637383940414243444546475968[[#This Row],[ADET]]*Tablo145678910111213141516171819202122232425262728293031323334353637383940414243444546475968[[#This Row],[ALIŞ]]</f>
        <v>0</v>
      </c>
      <c r="H43" s="11">
        <f>Tablo145678910111213141516171819202122232425262728293031323334353637383940414243444546475968[[#This Row],[ADET]]*Tablo145678910111213141516171819202122232425262728293031323334353637383940414243444546475968[[#This Row],[SATIŞ]]</f>
        <v>0</v>
      </c>
      <c r="J43" s="40">
        <f t="shared" si="0"/>
        <v>0</v>
      </c>
    </row>
    <row r="44" spans="2:10" ht="21" customHeight="1" x14ac:dyDescent="0.3">
      <c r="B44" s="2"/>
      <c r="D44" s="10"/>
      <c r="E44" s="10"/>
      <c r="F44" s="9" t="str">
        <f>IF(Tablo145678910111213141516171819202122232425262728293031323334353637383940414243444546475968[[#This Row],[SATIŞ]]=0,"Açık",(E44-D44)*C44)</f>
        <v>Açık</v>
      </c>
      <c r="G44" s="11">
        <f>Tablo145678910111213141516171819202122232425262728293031323334353637383940414243444546475968[[#This Row],[ADET]]*Tablo145678910111213141516171819202122232425262728293031323334353637383940414243444546475968[[#This Row],[ALIŞ]]</f>
        <v>0</v>
      </c>
      <c r="H44" s="11">
        <f>Tablo145678910111213141516171819202122232425262728293031323334353637383940414243444546475968[[#This Row],[ADET]]*Tablo145678910111213141516171819202122232425262728293031323334353637383940414243444546475968[[#This Row],[SATIŞ]]</f>
        <v>0</v>
      </c>
      <c r="J44" s="40">
        <f t="shared" si="0"/>
        <v>0</v>
      </c>
    </row>
    <row r="45" spans="2:10" ht="21" customHeight="1" x14ac:dyDescent="0.3">
      <c r="B45" s="2"/>
      <c r="D45" s="10"/>
      <c r="E45" s="10"/>
      <c r="F45" s="9" t="str">
        <f>IF(Tablo145678910111213141516171819202122232425262728293031323334353637383940414243444546475968[[#This Row],[SATIŞ]]=0,"Açık",(E45-D45)*C45)</f>
        <v>Açık</v>
      </c>
      <c r="G45" s="11">
        <f>Tablo145678910111213141516171819202122232425262728293031323334353637383940414243444546475968[[#This Row],[ADET]]*Tablo145678910111213141516171819202122232425262728293031323334353637383940414243444546475968[[#This Row],[ALIŞ]]</f>
        <v>0</v>
      </c>
      <c r="H45" s="11">
        <f>Tablo145678910111213141516171819202122232425262728293031323334353637383940414243444546475968[[#This Row],[ADET]]*Tablo145678910111213141516171819202122232425262728293031323334353637383940414243444546475968[[#This Row],[SATIŞ]]</f>
        <v>0</v>
      </c>
      <c r="J45" s="40">
        <f t="shared" si="0"/>
        <v>0</v>
      </c>
    </row>
    <row r="46" spans="2:10" ht="21" customHeight="1" x14ac:dyDescent="0.3">
      <c r="B46" s="2"/>
      <c r="D46" s="10"/>
      <c r="E46" s="10"/>
      <c r="F46" s="9" t="str">
        <f>IF(Tablo145678910111213141516171819202122232425262728293031323334353637383940414243444546475968[[#This Row],[SATIŞ]]=0,"Açık",(E46-D46)*C46)</f>
        <v>Açık</v>
      </c>
      <c r="G46" s="11">
        <f>Tablo145678910111213141516171819202122232425262728293031323334353637383940414243444546475968[[#This Row],[ADET]]*Tablo145678910111213141516171819202122232425262728293031323334353637383940414243444546475968[[#This Row],[ALIŞ]]</f>
        <v>0</v>
      </c>
      <c r="H46" s="11">
        <f>Tablo145678910111213141516171819202122232425262728293031323334353637383940414243444546475968[[#This Row],[ADET]]*Tablo145678910111213141516171819202122232425262728293031323334353637383940414243444546475968[[#This Row],[SATIŞ]]</f>
        <v>0</v>
      </c>
    </row>
    <row r="47" spans="2:10" ht="21" customHeight="1" x14ac:dyDescent="0.3">
      <c r="B47" s="2"/>
      <c r="D47" s="10"/>
      <c r="E47" s="10"/>
      <c r="F47" s="9" t="str">
        <f>IF(Tablo145678910111213141516171819202122232425262728293031323334353637383940414243444546475968[[#This Row],[SATIŞ]]=0,"Açık",(E47-D47)*C47)</f>
        <v>Açık</v>
      </c>
      <c r="G47" s="11">
        <f>Tablo145678910111213141516171819202122232425262728293031323334353637383940414243444546475968[[#This Row],[ADET]]*Tablo145678910111213141516171819202122232425262728293031323334353637383940414243444546475968[[#This Row],[ALIŞ]]</f>
        <v>0</v>
      </c>
      <c r="H47" s="11">
        <f>Tablo145678910111213141516171819202122232425262728293031323334353637383940414243444546475968[[#This Row],[ADET]]*Tablo145678910111213141516171819202122232425262728293031323334353637383940414243444546475968[[#This Row],[SATIŞ]]</f>
        <v>0</v>
      </c>
    </row>
    <row r="48" spans="2:10" ht="21" customHeight="1" x14ac:dyDescent="0.3">
      <c r="B48" s="2"/>
      <c r="D48" s="10"/>
      <c r="E48" s="10"/>
      <c r="F48" s="9" t="str">
        <f>IF(Tablo145678910111213141516171819202122232425262728293031323334353637383940414243444546475968[[#This Row],[SATIŞ]]=0,"Açık",(E48-D48)*C48)</f>
        <v>Açık</v>
      </c>
      <c r="G48" s="11">
        <f>Tablo145678910111213141516171819202122232425262728293031323334353637383940414243444546475968[[#This Row],[ADET]]*Tablo145678910111213141516171819202122232425262728293031323334353637383940414243444546475968[[#This Row],[ALIŞ]]</f>
        <v>0</v>
      </c>
      <c r="H48" s="11">
        <f>Tablo145678910111213141516171819202122232425262728293031323334353637383940414243444546475968[[#This Row],[ADET]]*Tablo145678910111213141516171819202122232425262728293031323334353637383940414243444546475968[[#This Row],[SATIŞ]]</f>
        <v>0</v>
      </c>
    </row>
    <row r="49" spans="2:8" ht="21" customHeight="1" x14ac:dyDescent="0.3">
      <c r="B49" s="2"/>
      <c r="D49" s="10"/>
      <c r="E49" s="10"/>
      <c r="F49" s="9" t="str">
        <f>IF(Tablo145678910111213141516171819202122232425262728293031323334353637383940414243444546475968[[#This Row],[SATIŞ]]=0,"Açık",(E49-D49)*C49)</f>
        <v>Açık</v>
      </c>
      <c r="G49" s="11">
        <f>Tablo145678910111213141516171819202122232425262728293031323334353637383940414243444546475968[[#This Row],[ADET]]*Tablo145678910111213141516171819202122232425262728293031323334353637383940414243444546475968[[#This Row],[ALIŞ]]</f>
        <v>0</v>
      </c>
      <c r="H49" s="11">
        <f>Tablo145678910111213141516171819202122232425262728293031323334353637383940414243444546475968[[#This Row],[ADET]]*Tablo145678910111213141516171819202122232425262728293031323334353637383940414243444546475968[[#This Row],[SATIŞ]]</f>
        <v>0</v>
      </c>
    </row>
  </sheetData>
  <conditionalFormatting sqref="B4:F49">
    <cfRule type="expression" dxfId="14" priority="1">
      <formula>$F4&lt;0</formula>
    </cfRule>
    <cfRule type="expression" dxfId="13" priority="2">
      <formula>$F4="Açık"</formula>
    </cfRule>
    <cfRule type="expression" dxfId="12" priority="3">
      <formula>$F4&gt;0</formula>
    </cfRule>
  </conditionalFormatting>
  <hyperlinks>
    <hyperlink ref="B1" location="İcmal!A1" display="ANA SAYFA" xr:uid="{71915041-514F-4A76-9A58-4C57AD52D97F}"/>
  </hyperlinks>
  <pageMargins left="0.7" right="0.7" top="0.75" bottom="0.75" header="0.3" footer="0.3"/>
  <tableParts count="1">
    <tablePart r:id="rId1"/>
  </tablePart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9B89D-5B50-43CC-AA12-4BBEC6294F80}">
  <dimension ref="B1:R104"/>
  <sheetViews>
    <sheetView showGridLines="0" showZeros="0" zoomScale="110" zoomScaleNormal="110" workbookViewId="0">
      <pane ySplit="3" topLeftCell="A55" activePane="bottomLeft" state="frozen"/>
      <selection pane="bottomLeft" activeCell="C78" sqref="C78:C84"/>
    </sheetView>
  </sheetViews>
  <sheetFormatPr defaultRowHeight="21" customHeight="1" x14ac:dyDescent="0.3"/>
  <cols>
    <col min="2" max="2" width="20.6640625" style="1" customWidth="1"/>
    <col min="3" max="3" width="11.33203125" style="6" customWidth="1"/>
    <col min="4" max="5" width="12.88671875" style="3" customWidth="1"/>
    <col min="6" max="6" width="12.88671875" style="5" customWidth="1"/>
    <col min="7" max="8" width="12.6640625" bestFit="1" customWidth="1"/>
    <col min="10" max="12" width="12.44140625" customWidth="1"/>
    <col min="13" max="13" width="12.6640625" bestFit="1" customWidth="1"/>
    <col min="14" max="14" width="11.6640625" bestFit="1" customWidth="1"/>
  </cols>
  <sheetData>
    <row r="1" spans="2:18" ht="21" customHeight="1" x14ac:dyDescent="0.3">
      <c r="B1" s="12" t="s">
        <v>64</v>
      </c>
      <c r="C1" s="4">
        <f>SUMIF(Tablo14567891011121314151617181920212223242526272829303132333435363738394041424344454647484950[KAR],"Açık",Tablo14567891011121314151617181920212223242526272829303132333435363738394041424344454647484950[ADET])</f>
        <v>1100</v>
      </c>
      <c r="D1" s="10">
        <f>+İcmal!E66</f>
        <v>188.5</v>
      </c>
      <c r="E1" s="10">
        <f>C1*D1</f>
        <v>207350</v>
      </c>
      <c r="F1" s="10">
        <f>IFERROR(((SUM(Tablo14567891011121314151617181920212223242526272829303132333435363738394041424344454647484950[ALIŞ TUTAR])-SUM(Tablo14567891011121314151617181920212223242526272829303132333435363738394041424344454647484950[SATIŞ TUTAR]))/C1),"")</f>
        <v>155.87406000000013</v>
      </c>
      <c r="G1" s="10">
        <f>IF(M3=0,L3,C1*(D1-F1))</f>
        <v>35888.533999999861</v>
      </c>
      <c r="J1" s="45" t="s">
        <v>94</v>
      </c>
      <c r="K1" s="45" t="s">
        <v>95</v>
      </c>
      <c r="L1" s="45" t="s">
        <v>96</v>
      </c>
      <c r="M1" s="33">
        <f>F1</f>
        <v>155.87406000000013</v>
      </c>
      <c r="N1" s="8" t="e">
        <f>M1*(1+$J$1)</f>
        <v>#VALUE!</v>
      </c>
      <c r="P1" s="8" t="e">
        <f>Q1*(1-$J$1)</f>
        <v>#VALUE!</v>
      </c>
      <c r="Q1" s="33">
        <f>+D1</f>
        <v>188.5</v>
      </c>
      <c r="R1" s="8" t="e">
        <f>Q1*(1+$J$1)</f>
        <v>#VALUE!</v>
      </c>
    </row>
    <row r="2" spans="2:18" ht="21" customHeight="1" x14ac:dyDescent="0.3">
      <c r="B2" s="7" t="s">
        <v>59</v>
      </c>
      <c r="J2" s="45">
        <f>SUMIFS(Tablo2[HEDEF2],Tablo2[HİSSE],B2)</f>
        <v>3000</v>
      </c>
      <c r="K2" s="45">
        <f>+E1/İcmal!$P$2</f>
        <v>6374.1162004303715</v>
      </c>
      <c r="L2" s="45">
        <f>+J2-K2</f>
        <v>-3374.1162004303715</v>
      </c>
    </row>
    <row r="3" spans="2:18" ht="21" customHeight="1" x14ac:dyDescent="0.3">
      <c r="B3" s="1" t="s">
        <v>0</v>
      </c>
      <c r="C3" s="6" t="s">
        <v>4</v>
      </c>
      <c r="D3" s="3" t="s">
        <v>1</v>
      </c>
      <c r="E3" s="3" t="s">
        <v>3</v>
      </c>
      <c r="F3" s="5" t="s">
        <v>2</v>
      </c>
      <c r="G3" s="3" t="s">
        <v>8</v>
      </c>
      <c r="H3" s="3" t="s">
        <v>9</v>
      </c>
      <c r="L3">
        <f>+SUM(Tablo14567891011121314151617181920212223242526272829303132333435363738394041424344454647484950[KAR])</f>
        <v>27157.534000000011</v>
      </c>
      <c r="M3" s="37">
        <f>+C1</f>
        <v>1100</v>
      </c>
    </row>
    <row r="4" spans="2:18" ht="21" hidden="1" customHeight="1" x14ac:dyDescent="0.3">
      <c r="B4" s="2">
        <v>45291</v>
      </c>
      <c r="C4" s="6">
        <v>2140</v>
      </c>
      <c r="D4" s="10">
        <v>110.389</v>
      </c>
      <c r="E4" s="10">
        <v>106</v>
      </c>
      <c r="F4" s="9">
        <f>IF(Tablo14567891011121314151617181920212223242526272829303132333435363738394041424344454647484950[[#This Row],[SATIŞ]]=0,"Açık",(E4-D4)*C4)</f>
        <v>-9392.4599999999919</v>
      </c>
      <c r="G4" s="11">
        <f>Tablo14567891011121314151617181920212223242526272829303132333435363738394041424344454647484950[[#This Row],[ADET]]*Tablo14567891011121314151617181920212223242526272829303132333435363738394041424344454647484950[[#This Row],[ALIŞ]]</f>
        <v>236232.46</v>
      </c>
      <c r="H4" s="11">
        <f>Tablo14567891011121314151617181920212223242526272829303132333435363738394041424344454647484950[[#This Row],[ADET]]*Tablo14567891011121314151617181920212223242526272829303132333435363738394041424344454647484950[[#This Row],[SATIŞ]]</f>
        <v>226840</v>
      </c>
      <c r="L4" s="8">
        <f>SUM(Tablo14567891011121314151617181920212223242526272829303132333435363738394041424344454647484950[ALIŞ TUTAR])</f>
        <v>674195.06600000011</v>
      </c>
      <c r="M4" s="8">
        <f>SUM(Tablo14567891011121314151617181920212223242526272829303132333435363738394041424344454647484950[SATIŞ TUTAR])</f>
        <v>502733.6</v>
      </c>
      <c r="N4" s="8">
        <f>L4-M4</f>
        <v>171461.46600000013</v>
      </c>
    </row>
    <row r="5" spans="2:18" ht="21" hidden="1" customHeight="1" x14ac:dyDescent="0.3">
      <c r="B5" s="2">
        <v>45291</v>
      </c>
      <c r="C5" s="6">
        <v>20</v>
      </c>
      <c r="D5" s="10">
        <v>110.389</v>
      </c>
      <c r="E5" s="10">
        <v>110.39</v>
      </c>
      <c r="F5" s="9">
        <f>IF(Tablo14567891011121314151617181920212223242526272829303132333435363738394041424344454647484950[[#This Row],[SATIŞ]]=0,"Açık",(E5-D5)*C5)</f>
        <v>2.0000000000095497E-2</v>
      </c>
      <c r="G5" s="11">
        <f>Tablo14567891011121314151617181920212223242526272829303132333435363738394041424344454647484950[[#This Row],[ADET]]*Tablo14567891011121314151617181920212223242526272829303132333435363738394041424344454647484950[[#This Row],[ALIŞ]]</f>
        <v>2207.7799999999997</v>
      </c>
      <c r="H5" s="11">
        <f>Tablo14567891011121314151617181920212223242526272829303132333435363738394041424344454647484950[[#This Row],[ADET]]*Tablo14567891011121314151617181920212223242526272829303132333435363738394041424344454647484950[[#This Row],[SATIŞ]]</f>
        <v>2207.8000000000002</v>
      </c>
      <c r="N5">
        <f>+N4/80</f>
        <v>2143.2683250000018</v>
      </c>
    </row>
    <row r="6" spans="2:18" ht="21" hidden="1" customHeight="1" x14ac:dyDescent="0.3">
      <c r="B6" s="2">
        <v>45291</v>
      </c>
      <c r="C6" s="6">
        <v>40</v>
      </c>
      <c r="D6" s="10">
        <v>110.389</v>
      </c>
      <c r="E6" s="10">
        <v>160</v>
      </c>
      <c r="F6" s="9">
        <f>IF(Tablo14567891011121314151617181920212223242526272829303132333435363738394041424344454647484950[[#This Row],[SATIŞ]]=0,"Açık",(E6-D6)*C6)</f>
        <v>1984.44</v>
      </c>
      <c r="G6" s="11">
        <f>Tablo14567891011121314151617181920212223242526272829303132333435363738394041424344454647484950[[#This Row],[ADET]]*Tablo14567891011121314151617181920212223242526272829303132333435363738394041424344454647484950[[#This Row],[ALIŞ]]</f>
        <v>4415.5599999999995</v>
      </c>
      <c r="H6" s="11">
        <f>Tablo14567891011121314151617181920212223242526272829303132333435363738394041424344454647484950[[#This Row],[ADET]]*Tablo14567891011121314151617181920212223242526272829303132333435363738394041424344454647484950[[#This Row],[SATIŞ]]</f>
        <v>6400</v>
      </c>
    </row>
    <row r="7" spans="2:18" ht="21" hidden="1" customHeight="1" x14ac:dyDescent="0.3">
      <c r="B7" s="2">
        <v>45291</v>
      </c>
      <c r="C7" s="6">
        <v>24</v>
      </c>
      <c r="D7" s="10">
        <v>110.389</v>
      </c>
      <c r="E7" s="10">
        <v>160</v>
      </c>
      <c r="F7" s="9">
        <f>IF(Tablo14567891011121314151617181920212223242526272829303132333435363738394041424344454647484950[[#This Row],[SATIŞ]]=0,"Açık",(E7-D7)*C7)</f>
        <v>1190.6640000000002</v>
      </c>
      <c r="G7" s="11">
        <f>Tablo14567891011121314151617181920212223242526272829303132333435363738394041424344454647484950[[#This Row],[ADET]]*Tablo14567891011121314151617181920212223242526272829303132333435363738394041424344454647484950[[#This Row],[ALIŞ]]</f>
        <v>2649.3359999999998</v>
      </c>
      <c r="H7" s="11">
        <f>Tablo14567891011121314151617181920212223242526272829303132333435363738394041424344454647484950[[#This Row],[ADET]]*Tablo14567891011121314151617181920212223242526272829303132333435363738394041424344454647484950[[#This Row],[SATIŞ]]</f>
        <v>3840</v>
      </c>
    </row>
    <row r="8" spans="2:18" ht="21" hidden="1" customHeight="1" x14ac:dyDescent="0.3">
      <c r="B8" s="2">
        <v>45291</v>
      </c>
      <c r="C8" s="6">
        <v>75</v>
      </c>
      <c r="D8" s="10">
        <v>110.389</v>
      </c>
      <c r="E8" s="10">
        <v>162</v>
      </c>
      <c r="F8" s="9">
        <f>IF(Tablo14567891011121314151617181920212223242526272829303132333435363738394041424344454647484950[[#This Row],[SATIŞ]]=0,"Açık",(E8-D8)*C8)</f>
        <v>3870.8250000000003</v>
      </c>
      <c r="G8" s="11">
        <f>Tablo14567891011121314151617181920212223242526272829303132333435363738394041424344454647484950[[#This Row],[ADET]]*Tablo14567891011121314151617181920212223242526272829303132333435363738394041424344454647484950[[#This Row],[ALIŞ]]</f>
        <v>8279.1749999999993</v>
      </c>
      <c r="H8" s="11">
        <f>Tablo14567891011121314151617181920212223242526272829303132333435363738394041424344454647484950[[#This Row],[ADET]]*Tablo14567891011121314151617181920212223242526272829303132333435363738394041424344454647484950[[#This Row],[SATIŞ]]</f>
        <v>12150</v>
      </c>
    </row>
    <row r="9" spans="2:18" ht="21" hidden="1" customHeight="1" x14ac:dyDescent="0.3">
      <c r="B9" s="2">
        <v>45291</v>
      </c>
      <c r="C9" s="6">
        <v>35</v>
      </c>
      <c r="D9" s="10">
        <v>110.389</v>
      </c>
      <c r="E9" s="10">
        <v>164</v>
      </c>
      <c r="F9" s="9">
        <f>IF(Tablo14567891011121314151617181920212223242526272829303132333435363738394041424344454647484950[[#This Row],[SATIŞ]]=0,"Açık",(E9-D9)*C9)</f>
        <v>1876.3850000000002</v>
      </c>
      <c r="G9" s="11">
        <f>Tablo14567891011121314151617181920212223242526272829303132333435363738394041424344454647484950[[#This Row],[ADET]]*Tablo14567891011121314151617181920212223242526272829303132333435363738394041424344454647484950[[#This Row],[ALIŞ]]</f>
        <v>3863.6149999999998</v>
      </c>
      <c r="H9" s="11">
        <f>Tablo14567891011121314151617181920212223242526272829303132333435363738394041424344454647484950[[#This Row],[ADET]]*Tablo14567891011121314151617181920212223242526272829303132333435363738394041424344454647484950[[#This Row],[SATIŞ]]</f>
        <v>5740</v>
      </c>
    </row>
    <row r="10" spans="2:18" ht="21" hidden="1" customHeight="1" x14ac:dyDescent="0.3">
      <c r="B10" s="2">
        <v>45291</v>
      </c>
      <c r="C10" s="6">
        <v>50</v>
      </c>
      <c r="D10" s="10">
        <v>110.389</v>
      </c>
      <c r="E10" s="10">
        <v>167</v>
      </c>
      <c r="F10" s="9">
        <f>IF(Tablo14567891011121314151617181920212223242526272829303132333435363738394041424344454647484950[[#This Row],[SATIŞ]]=0,"Açık",(E10-D10)*C10)</f>
        <v>2830.55</v>
      </c>
      <c r="G10" s="11">
        <f>Tablo14567891011121314151617181920212223242526272829303132333435363738394041424344454647484950[[#This Row],[ADET]]*Tablo14567891011121314151617181920212223242526272829303132333435363738394041424344454647484950[[#This Row],[ALIŞ]]</f>
        <v>5519.45</v>
      </c>
      <c r="H10" s="11">
        <f>Tablo14567891011121314151617181920212223242526272829303132333435363738394041424344454647484950[[#This Row],[ADET]]*Tablo14567891011121314151617181920212223242526272829303132333435363738394041424344454647484950[[#This Row],[SATIŞ]]</f>
        <v>8350</v>
      </c>
    </row>
    <row r="11" spans="2:18" ht="21" hidden="1" customHeight="1" x14ac:dyDescent="0.3">
      <c r="B11" s="2">
        <v>45291</v>
      </c>
      <c r="C11" s="6">
        <v>50</v>
      </c>
      <c r="D11" s="10">
        <v>110.389</v>
      </c>
      <c r="E11" s="10">
        <v>167</v>
      </c>
      <c r="F11" s="9">
        <f>IF(Tablo14567891011121314151617181920212223242526272829303132333435363738394041424344454647484950[[#This Row],[SATIŞ]]=0,"Açık",(E11-D11)*C11)</f>
        <v>2830.55</v>
      </c>
      <c r="G11" s="11">
        <f>Tablo14567891011121314151617181920212223242526272829303132333435363738394041424344454647484950[[#This Row],[ADET]]*Tablo14567891011121314151617181920212223242526272829303132333435363738394041424344454647484950[[#This Row],[ALIŞ]]</f>
        <v>5519.45</v>
      </c>
      <c r="H11" s="11">
        <f>Tablo14567891011121314151617181920212223242526272829303132333435363738394041424344454647484950[[#This Row],[ADET]]*Tablo14567891011121314151617181920212223242526272829303132333435363738394041424344454647484950[[#This Row],[SATIŞ]]</f>
        <v>8350</v>
      </c>
    </row>
    <row r="12" spans="2:18" ht="21" hidden="1" customHeight="1" x14ac:dyDescent="0.3">
      <c r="B12" s="2">
        <v>45291</v>
      </c>
      <c r="C12" s="6">
        <v>50</v>
      </c>
      <c r="D12" s="10">
        <v>110.389</v>
      </c>
      <c r="E12" s="10">
        <v>167.5</v>
      </c>
      <c r="F12" s="9">
        <f>IF(Tablo14567891011121314151617181920212223242526272829303132333435363738394041424344454647484950[[#This Row],[SATIŞ]]=0,"Açık",(E12-D12)*C12)</f>
        <v>2855.55</v>
      </c>
      <c r="G12" s="11">
        <f>Tablo14567891011121314151617181920212223242526272829303132333435363738394041424344454647484950[[#This Row],[ADET]]*Tablo14567891011121314151617181920212223242526272829303132333435363738394041424344454647484950[[#This Row],[ALIŞ]]</f>
        <v>5519.45</v>
      </c>
      <c r="H12" s="11">
        <f>Tablo14567891011121314151617181920212223242526272829303132333435363738394041424344454647484950[[#This Row],[ADET]]*Tablo14567891011121314151617181920212223242526272829303132333435363738394041424344454647484950[[#This Row],[SATIŞ]]</f>
        <v>8375</v>
      </c>
    </row>
    <row r="13" spans="2:18" ht="21" hidden="1" customHeight="1" x14ac:dyDescent="0.3">
      <c r="B13" s="2">
        <v>45291</v>
      </c>
      <c r="C13" s="6">
        <v>50</v>
      </c>
      <c r="D13" s="10">
        <v>110.389</v>
      </c>
      <c r="E13" s="10">
        <v>172</v>
      </c>
      <c r="F13" s="9">
        <f>IF(Tablo14567891011121314151617181920212223242526272829303132333435363738394041424344454647484950[[#This Row],[SATIŞ]]=0,"Açık",(E13-D13)*C13)</f>
        <v>3080.55</v>
      </c>
      <c r="G13" s="11">
        <f>Tablo14567891011121314151617181920212223242526272829303132333435363738394041424344454647484950[[#This Row],[ADET]]*Tablo14567891011121314151617181920212223242526272829303132333435363738394041424344454647484950[[#This Row],[ALIŞ]]</f>
        <v>5519.45</v>
      </c>
      <c r="H13" s="11">
        <f>Tablo14567891011121314151617181920212223242526272829303132333435363738394041424344454647484950[[#This Row],[ADET]]*Tablo14567891011121314151617181920212223242526272829303132333435363738394041424344454647484950[[#This Row],[SATIŞ]]</f>
        <v>8600</v>
      </c>
    </row>
    <row r="14" spans="2:18" ht="21" hidden="1" customHeight="1" x14ac:dyDescent="0.3">
      <c r="B14" s="2">
        <v>45296</v>
      </c>
      <c r="C14" s="6">
        <v>5</v>
      </c>
      <c r="D14" s="10">
        <v>142</v>
      </c>
      <c r="E14" s="10">
        <v>141</v>
      </c>
      <c r="F14" s="9">
        <f>IF(Tablo14567891011121314151617181920212223242526272829303132333435363738394041424344454647484950[[#This Row],[SATIŞ]]=0,"Açık",(E14-D14)*C14)</f>
        <v>-5</v>
      </c>
      <c r="G14" s="11">
        <f>Tablo14567891011121314151617181920212223242526272829303132333435363738394041424344454647484950[[#This Row],[ADET]]*Tablo14567891011121314151617181920212223242526272829303132333435363738394041424344454647484950[[#This Row],[ALIŞ]]</f>
        <v>710</v>
      </c>
      <c r="H14" s="11">
        <f>Tablo14567891011121314151617181920212223242526272829303132333435363738394041424344454647484950[[#This Row],[ADET]]*Tablo14567891011121314151617181920212223242526272829303132333435363738394041424344454647484950[[#This Row],[SATIŞ]]</f>
        <v>705</v>
      </c>
    </row>
    <row r="15" spans="2:18" ht="21" hidden="1" customHeight="1" x14ac:dyDescent="0.3">
      <c r="B15" s="2">
        <v>45299</v>
      </c>
      <c r="C15" s="6">
        <v>10</v>
      </c>
      <c r="D15" s="10">
        <v>137.69999999999999</v>
      </c>
      <c r="E15" s="10">
        <v>142</v>
      </c>
      <c r="F15" s="9">
        <f>IF(Tablo14567891011121314151617181920212223242526272829303132333435363738394041424344454647484950[[#This Row],[SATIŞ]]=0,"Açık",(E15-D15)*C15)</f>
        <v>43.000000000000114</v>
      </c>
      <c r="G15" s="11">
        <f>Tablo14567891011121314151617181920212223242526272829303132333435363738394041424344454647484950[[#This Row],[ADET]]*Tablo14567891011121314151617181920212223242526272829303132333435363738394041424344454647484950[[#This Row],[ALIŞ]]</f>
        <v>1377</v>
      </c>
      <c r="H15" s="11">
        <f>Tablo14567891011121314151617181920212223242526272829303132333435363738394041424344454647484950[[#This Row],[ADET]]*Tablo14567891011121314151617181920212223242526272829303132333435363738394041424344454647484950[[#This Row],[SATIŞ]]</f>
        <v>1420</v>
      </c>
    </row>
    <row r="16" spans="2:18" ht="21" hidden="1" customHeight="1" x14ac:dyDescent="0.3">
      <c r="B16" s="2">
        <v>45299</v>
      </c>
      <c r="C16" s="6">
        <v>10</v>
      </c>
      <c r="D16" s="10">
        <v>139</v>
      </c>
      <c r="E16" s="10">
        <v>142.5</v>
      </c>
      <c r="F16" s="9">
        <f>IF(Tablo14567891011121314151617181920212223242526272829303132333435363738394041424344454647484950[[#This Row],[SATIŞ]]=0,"Açık",(E16-D16)*C16)</f>
        <v>35</v>
      </c>
      <c r="G16" s="11">
        <f>Tablo14567891011121314151617181920212223242526272829303132333435363738394041424344454647484950[[#This Row],[ADET]]*Tablo14567891011121314151617181920212223242526272829303132333435363738394041424344454647484950[[#This Row],[ALIŞ]]</f>
        <v>1390</v>
      </c>
      <c r="H16" s="11">
        <f>Tablo14567891011121314151617181920212223242526272829303132333435363738394041424344454647484950[[#This Row],[ADET]]*Tablo14567891011121314151617181920212223242526272829303132333435363738394041424344454647484950[[#This Row],[SATIŞ]]</f>
        <v>1425</v>
      </c>
    </row>
    <row r="17" spans="2:8" ht="21" hidden="1" customHeight="1" x14ac:dyDescent="0.3">
      <c r="B17" s="2">
        <v>45299</v>
      </c>
      <c r="C17" s="6">
        <v>5</v>
      </c>
      <c r="D17" s="10">
        <v>139</v>
      </c>
      <c r="E17" s="10">
        <v>140</v>
      </c>
      <c r="F17" s="9">
        <f>IF(Tablo14567891011121314151617181920212223242526272829303132333435363738394041424344454647484950[[#This Row],[SATIŞ]]=0,"Açık",(E17-D17)*C17)</f>
        <v>5</v>
      </c>
      <c r="G17" s="11">
        <f>Tablo14567891011121314151617181920212223242526272829303132333435363738394041424344454647484950[[#This Row],[ADET]]*Tablo14567891011121314151617181920212223242526272829303132333435363738394041424344454647484950[[#This Row],[ALIŞ]]</f>
        <v>695</v>
      </c>
      <c r="H17" s="11">
        <f>Tablo14567891011121314151617181920212223242526272829303132333435363738394041424344454647484950[[#This Row],[ADET]]*Tablo14567891011121314151617181920212223242526272829303132333435363738394041424344454647484950[[#This Row],[SATIŞ]]</f>
        <v>700</v>
      </c>
    </row>
    <row r="18" spans="2:8" ht="21" hidden="1" customHeight="1" x14ac:dyDescent="0.3">
      <c r="B18" s="2">
        <v>45300</v>
      </c>
      <c r="C18" s="6">
        <v>10</v>
      </c>
      <c r="D18" s="10">
        <v>139</v>
      </c>
      <c r="E18" s="10">
        <v>143.5</v>
      </c>
      <c r="F18" s="9">
        <f>IF(Tablo14567891011121314151617181920212223242526272829303132333435363738394041424344454647484950[[#This Row],[SATIŞ]]=0,"Açık",(E18-D18)*C18)</f>
        <v>45</v>
      </c>
      <c r="G18" s="11">
        <f>Tablo14567891011121314151617181920212223242526272829303132333435363738394041424344454647484950[[#This Row],[ADET]]*Tablo14567891011121314151617181920212223242526272829303132333435363738394041424344454647484950[[#This Row],[ALIŞ]]</f>
        <v>1390</v>
      </c>
      <c r="H18" s="11">
        <f>Tablo14567891011121314151617181920212223242526272829303132333435363738394041424344454647484950[[#This Row],[ADET]]*Tablo14567891011121314151617181920212223242526272829303132333435363738394041424344454647484950[[#This Row],[SATIŞ]]</f>
        <v>1435</v>
      </c>
    </row>
    <row r="19" spans="2:8" ht="21" hidden="1" customHeight="1" x14ac:dyDescent="0.3">
      <c r="B19" s="2">
        <v>45300</v>
      </c>
      <c r="C19" s="6">
        <v>15</v>
      </c>
      <c r="D19" s="10">
        <v>138</v>
      </c>
      <c r="E19" s="10">
        <v>142</v>
      </c>
      <c r="F19" s="9">
        <f>IF(Tablo14567891011121314151617181920212223242526272829303132333435363738394041424344454647484950[[#This Row],[SATIŞ]]=0,"Açık",(E19-D19)*C19)</f>
        <v>60</v>
      </c>
      <c r="G19" s="11">
        <f>Tablo14567891011121314151617181920212223242526272829303132333435363738394041424344454647484950[[#This Row],[ADET]]*Tablo14567891011121314151617181920212223242526272829303132333435363738394041424344454647484950[[#This Row],[ALIŞ]]</f>
        <v>2070</v>
      </c>
      <c r="H19" s="11">
        <f>Tablo14567891011121314151617181920212223242526272829303132333435363738394041424344454647484950[[#This Row],[ADET]]*Tablo14567891011121314151617181920212223242526272829303132333435363738394041424344454647484950[[#This Row],[SATIŞ]]</f>
        <v>2130</v>
      </c>
    </row>
    <row r="20" spans="2:8" ht="21" hidden="1" customHeight="1" x14ac:dyDescent="0.3">
      <c r="B20" s="2">
        <v>45302</v>
      </c>
      <c r="C20" s="6">
        <v>5</v>
      </c>
      <c r="D20" s="10">
        <v>141.1</v>
      </c>
      <c r="E20" s="10">
        <v>142</v>
      </c>
      <c r="F20" s="9">
        <f>IF(Tablo14567891011121314151617181920212223242526272829303132333435363738394041424344454647484950[[#This Row],[SATIŞ]]=0,"Açık",(E20-D20)*C20)</f>
        <v>4.5000000000000284</v>
      </c>
      <c r="G20" s="11">
        <f>Tablo14567891011121314151617181920212223242526272829303132333435363738394041424344454647484950[[#This Row],[ADET]]*Tablo14567891011121314151617181920212223242526272829303132333435363738394041424344454647484950[[#This Row],[ALIŞ]]</f>
        <v>705.5</v>
      </c>
      <c r="H20" s="11">
        <f>Tablo14567891011121314151617181920212223242526272829303132333435363738394041424344454647484950[[#This Row],[ADET]]*Tablo14567891011121314151617181920212223242526272829303132333435363738394041424344454647484950[[#This Row],[SATIŞ]]</f>
        <v>710</v>
      </c>
    </row>
    <row r="21" spans="2:8" ht="21" hidden="1" customHeight="1" x14ac:dyDescent="0.3">
      <c r="B21" s="2">
        <v>45302</v>
      </c>
      <c r="C21" s="6">
        <v>5</v>
      </c>
      <c r="D21" s="10">
        <v>140</v>
      </c>
      <c r="E21" s="10">
        <v>145</v>
      </c>
      <c r="F21" s="9">
        <f>IF(Tablo14567891011121314151617181920212223242526272829303132333435363738394041424344454647484950[[#This Row],[SATIŞ]]=0,"Açık",(E21-D21)*C21)</f>
        <v>25</v>
      </c>
      <c r="G21" s="11">
        <f>Tablo14567891011121314151617181920212223242526272829303132333435363738394041424344454647484950[[#This Row],[ADET]]*Tablo14567891011121314151617181920212223242526272829303132333435363738394041424344454647484950[[#This Row],[ALIŞ]]</f>
        <v>700</v>
      </c>
      <c r="H21" s="11">
        <f>Tablo14567891011121314151617181920212223242526272829303132333435363738394041424344454647484950[[#This Row],[ADET]]*Tablo14567891011121314151617181920212223242526272829303132333435363738394041424344454647484950[[#This Row],[SATIŞ]]</f>
        <v>725</v>
      </c>
    </row>
    <row r="22" spans="2:8" ht="21" hidden="1" customHeight="1" x14ac:dyDescent="0.3">
      <c r="B22" s="2">
        <v>45302</v>
      </c>
      <c r="C22" s="6">
        <v>2</v>
      </c>
      <c r="D22" s="10">
        <v>140</v>
      </c>
      <c r="E22" s="10">
        <v>146</v>
      </c>
      <c r="F22" s="9">
        <f>IF(Tablo14567891011121314151617181920212223242526272829303132333435363738394041424344454647484950[[#This Row],[SATIŞ]]=0,"Açık",(E22-D22)*C22)</f>
        <v>12</v>
      </c>
      <c r="G22" s="11">
        <f>Tablo14567891011121314151617181920212223242526272829303132333435363738394041424344454647484950[[#This Row],[ADET]]*Tablo14567891011121314151617181920212223242526272829303132333435363738394041424344454647484950[[#This Row],[ALIŞ]]</f>
        <v>280</v>
      </c>
      <c r="H22" s="11">
        <f>Tablo14567891011121314151617181920212223242526272829303132333435363738394041424344454647484950[[#This Row],[ADET]]*Tablo14567891011121314151617181920212223242526272829303132333435363738394041424344454647484950[[#This Row],[SATIŞ]]</f>
        <v>292</v>
      </c>
    </row>
    <row r="23" spans="2:8" ht="21" hidden="1" customHeight="1" x14ac:dyDescent="0.3">
      <c r="B23" s="2">
        <v>45302</v>
      </c>
      <c r="C23" s="6">
        <v>3</v>
      </c>
      <c r="D23" s="10">
        <v>140</v>
      </c>
      <c r="E23" s="10">
        <v>151</v>
      </c>
      <c r="F23" s="9">
        <f>IF(Tablo14567891011121314151617181920212223242526272829303132333435363738394041424344454647484950[[#This Row],[SATIŞ]]=0,"Açık",(E23-D23)*C23)</f>
        <v>33</v>
      </c>
      <c r="G23" s="11">
        <f>Tablo14567891011121314151617181920212223242526272829303132333435363738394041424344454647484950[[#This Row],[ADET]]*Tablo14567891011121314151617181920212223242526272829303132333435363738394041424344454647484950[[#This Row],[ALIŞ]]</f>
        <v>420</v>
      </c>
      <c r="H23" s="11">
        <f>Tablo14567891011121314151617181920212223242526272829303132333435363738394041424344454647484950[[#This Row],[ADET]]*Tablo14567891011121314151617181920212223242526272829303132333435363738394041424344454647484950[[#This Row],[SATIŞ]]</f>
        <v>453</v>
      </c>
    </row>
    <row r="24" spans="2:8" ht="21" hidden="1" customHeight="1" x14ac:dyDescent="0.3">
      <c r="B24" s="2">
        <v>45303</v>
      </c>
      <c r="C24" s="6">
        <v>5</v>
      </c>
      <c r="D24" s="10">
        <v>141</v>
      </c>
      <c r="E24" s="10">
        <v>153</v>
      </c>
      <c r="F24" s="9">
        <f>IF(Tablo14567891011121314151617181920212223242526272829303132333435363738394041424344454647484950[[#This Row],[SATIŞ]]=0,"Açık",(E24-D24)*C24)</f>
        <v>60</v>
      </c>
      <c r="G24" s="11">
        <f>Tablo14567891011121314151617181920212223242526272829303132333435363738394041424344454647484950[[#This Row],[ADET]]*Tablo14567891011121314151617181920212223242526272829303132333435363738394041424344454647484950[[#This Row],[ALIŞ]]</f>
        <v>705</v>
      </c>
      <c r="H24" s="11">
        <f>Tablo14567891011121314151617181920212223242526272829303132333435363738394041424344454647484950[[#This Row],[ADET]]*Tablo14567891011121314151617181920212223242526272829303132333435363738394041424344454647484950[[#This Row],[SATIŞ]]</f>
        <v>765</v>
      </c>
    </row>
    <row r="25" spans="2:8" ht="21" hidden="1" customHeight="1" x14ac:dyDescent="0.3">
      <c r="B25" s="2">
        <v>45303</v>
      </c>
      <c r="C25" s="6">
        <v>4</v>
      </c>
      <c r="D25" s="10">
        <v>140</v>
      </c>
      <c r="E25" s="10">
        <v>152</v>
      </c>
      <c r="F25" s="9">
        <f>IF(Tablo14567891011121314151617181920212223242526272829303132333435363738394041424344454647484950[[#This Row],[SATIŞ]]=0,"Açık",(E25-D25)*C25)</f>
        <v>48</v>
      </c>
      <c r="G25" s="11">
        <f>Tablo14567891011121314151617181920212223242526272829303132333435363738394041424344454647484950[[#This Row],[ADET]]*Tablo14567891011121314151617181920212223242526272829303132333435363738394041424344454647484950[[#This Row],[ALIŞ]]</f>
        <v>560</v>
      </c>
      <c r="H25" s="11">
        <f>Tablo14567891011121314151617181920212223242526272829303132333435363738394041424344454647484950[[#This Row],[ADET]]*Tablo14567891011121314151617181920212223242526272829303132333435363738394041424344454647484950[[#This Row],[SATIŞ]]</f>
        <v>608</v>
      </c>
    </row>
    <row r="26" spans="2:8" ht="21" hidden="1" customHeight="1" x14ac:dyDescent="0.3">
      <c r="B26" s="2">
        <v>45303</v>
      </c>
      <c r="C26" s="6">
        <v>6</v>
      </c>
      <c r="D26" s="10">
        <v>140</v>
      </c>
      <c r="E26" s="10">
        <v>154</v>
      </c>
      <c r="F26" s="9">
        <f>IF(Tablo14567891011121314151617181920212223242526272829303132333435363738394041424344454647484950[[#This Row],[SATIŞ]]=0,"Açık",(E26-D26)*C26)</f>
        <v>84</v>
      </c>
      <c r="G26" s="11">
        <f>Tablo14567891011121314151617181920212223242526272829303132333435363738394041424344454647484950[[#This Row],[ADET]]*Tablo14567891011121314151617181920212223242526272829303132333435363738394041424344454647484950[[#This Row],[ALIŞ]]</f>
        <v>840</v>
      </c>
      <c r="H26" s="11">
        <f>Tablo14567891011121314151617181920212223242526272829303132333435363738394041424344454647484950[[#This Row],[ADET]]*Tablo14567891011121314151617181920212223242526272829303132333435363738394041424344454647484950[[#This Row],[SATIŞ]]</f>
        <v>924</v>
      </c>
    </row>
    <row r="27" spans="2:8" ht="21" hidden="1" customHeight="1" x14ac:dyDescent="0.3">
      <c r="B27" s="2">
        <v>45320</v>
      </c>
      <c r="C27" s="6">
        <v>2</v>
      </c>
      <c r="D27" s="10">
        <v>152</v>
      </c>
      <c r="E27" s="10">
        <v>154</v>
      </c>
      <c r="F27" s="9">
        <f>IF(Tablo14567891011121314151617181920212223242526272829303132333435363738394041424344454647484950[[#This Row],[SATIŞ]]=0,"Açık",(E27-D27)*C27)</f>
        <v>4</v>
      </c>
      <c r="G27" s="11">
        <f>Tablo14567891011121314151617181920212223242526272829303132333435363738394041424344454647484950[[#This Row],[ADET]]*Tablo14567891011121314151617181920212223242526272829303132333435363738394041424344454647484950[[#This Row],[ALIŞ]]</f>
        <v>304</v>
      </c>
      <c r="H27" s="11">
        <f>Tablo14567891011121314151617181920212223242526272829303132333435363738394041424344454647484950[[#This Row],[ADET]]*Tablo14567891011121314151617181920212223242526272829303132333435363738394041424344454647484950[[#This Row],[SATIŞ]]</f>
        <v>308</v>
      </c>
    </row>
    <row r="28" spans="2:8" ht="21" hidden="1" customHeight="1" x14ac:dyDescent="0.3">
      <c r="B28" s="2">
        <v>45320</v>
      </c>
      <c r="C28" s="6">
        <v>3</v>
      </c>
      <c r="D28" s="10">
        <v>152</v>
      </c>
      <c r="E28" s="10">
        <v>155</v>
      </c>
      <c r="F28" s="9">
        <f>IF(Tablo14567891011121314151617181920212223242526272829303132333435363738394041424344454647484950[[#This Row],[SATIŞ]]=0,"Açık",(E28-D28)*C28)</f>
        <v>9</v>
      </c>
      <c r="G28" s="11">
        <f>Tablo14567891011121314151617181920212223242526272829303132333435363738394041424344454647484950[[#This Row],[ADET]]*Tablo14567891011121314151617181920212223242526272829303132333435363738394041424344454647484950[[#This Row],[ALIŞ]]</f>
        <v>456</v>
      </c>
      <c r="H28" s="11">
        <f>Tablo14567891011121314151617181920212223242526272829303132333435363738394041424344454647484950[[#This Row],[ADET]]*Tablo14567891011121314151617181920212223242526272829303132333435363738394041424344454647484950[[#This Row],[SATIŞ]]</f>
        <v>465</v>
      </c>
    </row>
    <row r="29" spans="2:8" ht="21" hidden="1" customHeight="1" x14ac:dyDescent="0.3">
      <c r="B29" s="2">
        <v>45291</v>
      </c>
      <c r="C29" s="6">
        <v>6</v>
      </c>
      <c r="D29" s="10">
        <v>110.39</v>
      </c>
      <c r="E29" s="10">
        <v>174</v>
      </c>
      <c r="F29" s="9">
        <f>IF(Tablo14567891011121314151617181920212223242526272829303132333435363738394041424344454647484950[[#This Row],[SATIŞ]]=0,"Açık",(E29-D29)*C29)</f>
        <v>381.65999999999997</v>
      </c>
      <c r="G29" s="11">
        <f>Tablo14567891011121314151617181920212223242526272829303132333435363738394041424344454647484950[[#This Row],[ADET]]*Tablo14567891011121314151617181920212223242526272829303132333435363738394041424344454647484950[[#This Row],[ALIŞ]]</f>
        <v>662.34</v>
      </c>
      <c r="H29" s="11">
        <f>Tablo14567891011121314151617181920212223242526272829303132333435363738394041424344454647484950[[#This Row],[ADET]]*Tablo14567891011121314151617181920212223242526272829303132333435363738394041424344454647484950[[#This Row],[SATIŞ]]</f>
        <v>1044</v>
      </c>
    </row>
    <row r="30" spans="2:8" ht="21" hidden="1" customHeight="1" x14ac:dyDescent="0.3">
      <c r="B30" s="2">
        <v>45321</v>
      </c>
      <c r="C30" s="6">
        <v>10</v>
      </c>
      <c r="D30" s="10">
        <v>151</v>
      </c>
      <c r="E30" s="10">
        <v>174</v>
      </c>
      <c r="F30" s="9">
        <f>IF(Tablo14567891011121314151617181920212223242526272829303132333435363738394041424344454647484950[[#This Row],[SATIŞ]]=0,"Açık",(E30-D30)*C30)</f>
        <v>230</v>
      </c>
      <c r="G30" s="11">
        <f>Tablo14567891011121314151617181920212223242526272829303132333435363738394041424344454647484950[[#This Row],[ADET]]*Tablo14567891011121314151617181920212223242526272829303132333435363738394041424344454647484950[[#This Row],[ALIŞ]]</f>
        <v>1510</v>
      </c>
      <c r="H30" s="11">
        <f>Tablo14567891011121314151617181920212223242526272829303132333435363738394041424344454647484950[[#This Row],[ADET]]*Tablo14567891011121314151617181920212223242526272829303132333435363738394041424344454647484950[[#This Row],[SATIŞ]]</f>
        <v>1740</v>
      </c>
    </row>
    <row r="31" spans="2:8" ht="21" hidden="1" customHeight="1" x14ac:dyDescent="0.3">
      <c r="B31" s="2">
        <v>45322</v>
      </c>
      <c r="C31" s="6">
        <v>8</v>
      </c>
      <c r="D31" s="10">
        <v>150</v>
      </c>
      <c r="E31" s="10">
        <v>174</v>
      </c>
      <c r="F31" s="9">
        <f>IF(Tablo14567891011121314151617181920212223242526272829303132333435363738394041424344454647484950[[#This Row],[SATIŞ]]=0,"Açık",(E31-D31)*C31)</f>
        <v>192</v>
      </c>
      <c r="G31" s="11">
        <f>Tablo14567891011121314151617181920212223242526272829303132333435363738394041424344454647484950[[#This Row],[ADET]]*Tablo14567891011121314151617181920212223242526272829303132333435363738394041424344454647484950[[#This Row],[ALIŞ]]</f>
        <v>1200</v>
      </c>
      <c r="H31" s="11">
        <f>Tablo14567891011121314151617181920212223242526272829303132333435363738394041424344454647484950[[#This Row],[ADET]]*Tablo14567891011121314151617181920212223242526272829303132333435363738394041424344454647484950[[#This Row],[SATIŞ]]</f>
        <v>1392</v>
      </c>
    </row>
    <row r="32" spans="2:8" ht="21" hidden="1" customHeight="1" x14ac:dyDescent="0.3">
      <c r="B32" s="2">
        <v>45322</v>
      </c>
      <c r="C32" s="6">
        <v>1</v>
      </c>
      <c r="D32" s="10">
        <v>150</v>
      </c>
      <c r="E32" s="10">
        <v>153</v>
      </c>
      <c r="F32" s="9">
        <f>IF(Tablo14567891011121314151617181920212223242526272829303132333435363738394041424344454647484950[[#This Row],[SATIŞ]]=0,"Açık",(E32-D32)*C32)</f>
        <v>3</v>
      </c>
      <c r="G32" s="11">
        <f>Tablo14567891011121314151617181920212223242526272829303132333435363738394041424344454647484950[[#This Row],[ADET]]*Tablo14567891011121314151617181920212223242526272829303132333435363738394041424344454647484950[[#This Row],[ALIŞ]]</f>
        <v>150</v>
      </c>
      <c r="H32" s="11">
        <f>Tablo14567891011121314151617181920212223242526272829303132333435363738394041424344454647484950[[#This Row],[ADET]]*Tablo14567891011121314151617181920212223242526272829303132333435363738394041424344454647484950[[#This Row],[SATIŞ]]</f>
        <v>153</v>
      </c>
    </row>
    <row r="33" spans="2:8" ht="21" hidden="1" customHeight="1" x14ac:dyDescent="0.3">
      <c r="B33" s="2">
        <v>45322</v>
      </c>
      <c r="C33" s="6">
        <v>1</v>
      </c>
      <c r="D33" s="10">
        <v>150</v>
      </c>
      <c r="E33" s="10">
        <v>156</v>
      </c>
      <c r="F33" s="9">
        <f>IF(Tablo14567891011121314151617181920212223242526272829303132333435363738394041424344454647484950[[#This Row],[SATIŞ]]=0,"Açık",(E33-D33)*C33)</f>
        <v>6</v>
      </c>
      <c r="G33" s="11">
        <f>Tablo14567891011121314151617181920212223242526272829303132333435363738394041424344454647484950[[#This Row],[ADET]]*Tablo14567891011121314151617181920212223242526272829303132333435363738394041424344454647484950[[#This Row],[ALIŞ]]</f>
        <v>150</v>
      </c>
      <c r="H33" s="11">
        <f>Tablo14567891011121314151617181920212223242526272829303132333435363738394041424344454647484950[[#This Row],[ADET]]*Tablo14567891011121314151617181920212223242526272829303132333435363738394041424344454647484950[[#This Row],[SATIŞ]]</f>
        <v>156</v>
      </c>
    </row>
    <row r="34" spans="2:8" ht="21" hidden="1" customHeight="1" x14ac:dyDescent="0.3">
      <c r="B34" s="2">
        <v>45328</v>
      </c>
      <c r="C34" s="6">
        <v>1</v>
      </c>
      <c r="D34" s="10">
        <v>154</v>
      </c>
      <c r="E34" s="10">
        <v>174</v>
      </c>
      <c r="F34" s="9">
        <f>IF(Tablo14567891011121314151617181920212223242526272829303132333435363738394041424344454647484950[[#This Row],[SATIŞ]]=0,"Açık",(E34-D34)*C34)</f>
        <v>20</v>
      </c>
      <c r="G34" s="11">
        <f>Tablo14567891011121314151617181920212223242526272829303132333435363738394041424344454647484950[[#This Row],[ADET]]*Tablo14567891011121314151617181920212223242526272829303132333435363738394041424344454647484950[[#This Row],[ALIŞ]]</f>
        <v>154</v>
      </c>
      <c r="H34" s="11">
        <f>Tablo14567891011121314151617181920212223242526272829303132333435363738394041424344454647484950[[#This Row],[ADET]]*Tablo14567891011121314151617181920212223242526272829303132333435363738394041424344454647484950[[#This Row],[SATIŞ]]</f>
        <v>174</v>
      </c>
    </row>
    <row r="35" spans="2:8" ht="21" hidden="1" customHeight="1" x14ac:dyDescent="0.3">
      <c r="B35" s="2">
        <v>45328</v>
      </c>
      <c r="C35" s="6">
        <v>5</v>
      </c>
      <c r="D35" s="10">
        <v>154.5</v>
      </c>
      <c r="E35" s="10">
        <v>165</v>
      </c>
      <c r="F35" s="9">
        <f>IF(Tablo14567891011121314151617181920212223242526272829303132333435363738394041424344454647484950[[#This Row],[SATIŞ]]=0,"Açık",(E35-D35)*C35)</f>
        <v>52.5</v>
      </c>
      <c r="G35" s="11">
        <f>Tablo14567891011121314151617181920212223242526272829303132333435363738394041424344454647484950[[#This Row],[ADET]]*Tablo14567891011121314151617181920212223242526272829303132333435363738394041424344454647484950[[#This Row],[ALIŞ]]</f>
        <v>772.5</v>
      </c>
      <c r="H35" s="11">
        <f>Tablo14567891011121314151617181920212223242526272829303132333435363738394041424344454647484950[[#This Row],[ADET]]*Tablo14567891011121314151617181920212223242526272829303132333435363738394041424344454647484950[[#This Row],[SATIŞ]]</f>
        <v>825</v>
      </c>
    </row>
    <row r="36" spans="2:8" ht="21" hidden="1" customHeight="1" x14ac:dyDescent="0.3">
      <c r="B36" s="2">
        <v>45328</v>
      </c>
      <c r="C36" s="6">
        <v>50</v>
      </c>
      <c r="D36" s="10">
        <v>154.5</v>
      </c>
      <c r="E36" s="10">
        <v>157.4</v>
      </c>
      <c r="F36" s="9">
        <f>IF(Tablo14567891011121314151617181920212223242526272829303132333435363738394041424344454647484950[[#This Row],[SATIŞ]]=0,"Açık",(E36-D36)*C36)</f>
        <v>145.00000000000028</v>
      </c>
      <c r="G36" s="11">
        <f>Tablo14567891011121314151617181920212223242526272829303132333435363738394041424344454647484950[[#This Row],[ADET]]*Tablo14567891011121314151617181920212223242526272829303132333435363738394041424344454647484950[[#This Row],[ALIŞ]]</f>
        <v>7725</v>
      </c>
      <c r="H36" s="11">
        <f>Tablo14567891011121314151617181920212223242526272829303132333435363738394041424344454647484950[[#This Row],[ADET]]*Tablo14567891011121314151617181920212223242526272829303132333435363738394041424344454647484950[[#This Row],[SATIŞ]]</f>
        <v>7870</v>
      </c>
    </row>
    <row r="37" spans="2:8" ht="21" hidden="1" customHeight="1" x14ac:dyDescent="0.3">
      <c r="B37" s="2">
        <v>45334</v>
      </c>
      <c r="C37" s="6">
        <v>50</v>
      </c>
      <c r="D37" s="10">
        <v>158.5</v>
      </c>
      <c r="E37" s="10">
        <v>175</v>
      </c>
      <c r="F37" s="9">
        <f>IF(Tablo14567891011121314151617181920212223242526272829303132333435363738394041424344454647484950[[#This Row],[SATIŞ]]=0,"Açık",(E37-D37)*C37)</f>
        <v>825</v>
      </c>
      <c r="G37" s="11">
        <f>Tablo14567891011121314151617181920212223242526272829303132333435363738394041424344454647484950[[#This Row],[ADET]]*Tablo14567891011121314151617181920212223242526272829303132333435363738394041424344454647484950[[#This Row],[ALIŞ]]</f>
        <v>7925</v>
      </c>
      <c r="H37" s="11">
        <f>Tablo14567891011121314151617181920212223242526272829303132333435363738394041424344454647484950[[#This Row],[ADET]]*Tablo14567891011121314151617181920212223242526272829303132333435363738394041424344454647484950[[#This Row],[SATIŞ]]</f>
        <v>8750</v>
      </c>
    </row>
    <row r="38" spans="2:8" ht="21" hidden="1" customHeight="1" x14ac:dyDescent="0.3">
      <c r="B38" s="2">
        <v>45334</v>
      </c>
      <c r="C38" s="6">
        <v>25</v>
      </c>
      <c r="D38" s="10">
        <v>163</v>
      </c>
      <c r="E38" s="10">
        <v>174</v>
      </c>
      <c r="F38" s="9">
        <f>IF(Tablo14567891011121314151617181920212223242526272829303132333435363738394041424344454647484950[[#This Row],[SATIŞ]]=0,"Açık",(E38-D38)*C38)</f>
        <v>275</v>
      </c>
      <c r="G38" s="11">
        <f>Tablo14567891011121314151617181920212223242526272829303132333435363738394041424344454647484950[[#This Row],[ADET]]*Tablo14567891011121314151617181920212223242526272829303132333435363738394041424344454647484950[[#This Row],[ALIŞ]]</f>
        <v>4075</v>
      </c>
      <c r="H38" s="11">
        <f>Tablo14567891011121314151617181920212223242526272829303132333435363738394041424344454647484950[[#This Row],[ADET]]*Tablo14567891011121314151617181920212223242526272829303132333435363738394041424344454647484950[[#This Row],[SATIŞ]]</f>
        <v>4350</v>
      </c>
    </row>
    <row r="39" spans="2:8" ht="21" hidden="1" customHeight="1" x14ac:dyDescent="0.3">
      <c r="B39" s="2">
        <v>45334</v>
      </c>
      <c r="C39" s="6">
        <v>30</v>
      </c>
      <c r="D39" s="10">
        <v>162</v>
      </c>
      <c r="E39" s="10">
        <v>165</v>
      </c>
      <c r="F39" s="9">
        <f>IF(Tablo14567891011121314151617181920212223242526272829303132333435363738394041424344454647484950[[#This Row],[SATIŞ]]=0,"Açık",(E39-D39)*C39)</f>
        <v>90</v>
      </c>
      <c r="G39" s="11">
        <f>Tablo14567891011121314151617181920212223242526272829303132333435363738394041424344454647484950[[#This Row],[ADET]]*Tablo14567891011121314151617181920212223242526272829303132333435363738394041424344454647484950[[#This Row],[ALIŞ]]</f>
        <v>4860</v>
      </c>
      <c r="H39" s="11">
        <f>Tablo14567891011121314151617181920212223242526272829303132333435363738394041424344454647484950[[#This Row],[ADET]]*Tablo14567891011121314151617181920212223242526272829303132333435363738394041424344454647484950[[#This Row],[SATIŞ]]</f>
        <v>4950</v>
      </c>
    </row>
    <row r="40" spans="2:8" ht="21" hidden="1" customHeight="1" x14ac:dyDescent="0.3">
      <c r="B40" s="2">
        <v>45334</v>
      </c>
      <c r="C40" s="6">
        <v>50</v>
      </c>
      <c r="D40" s="10">
        <v>161</v>
      </c>
      <c r="E40" s="10">
        <v>175</v>
      </c>
      <c r="F40" s="9">
        <f>IF(Tablo14567891011121314151617181920212223242526272829303132333435363738394041424344454647484950[[#This Row],[SATIŞ]]=0,"Açık",(E40-D40)*C40)</f>
        <v>700</v>
      </c>
      <c r="G40" s="11">
        <f>Tablo14567891011121314151617181920212223242526272829303132333435363738394041424344454647484950[[#This Row],[ADET]]*Tablo14567891011121314151617181920212223242526272829303132333435363738394041424344454647484950[[#This Row],[ALIŞ]]</f>
        <v>8050</v>
      </c>
      <c r="H40" s="11">
        <f>Tablo14567891011121314151617181920212223242526272829303132333435363738394041424344454647484950[[#This Row],[ADET]]*Tablo14567891011121314151617181920212223242526272829303132333435363738394041424344454647484950[[#This Row],[SATIŞ]]</f>
        <v>8750</v>
      </c>
    </row>
    <row r="41" spans="2:8" ht="21" hidden="1" customHeight="1" x14ac:dyDescent="0.3">
      <c r="B41" s="2">
        <v>45335</v>
      </c>
      <c r="C41" s="6">
        <v>20</v>
      </c>
      <c r="D41" s="10">
        <v>163.5</v>
      </c>
      <c r="E41" s="10">
        <v>164</v>
      </c>
      <c r="F41" s="9">
        <f>IF(Tablo14567891011121314151617181920212223242526272829303132333435363738394041424344454647484950[[#This Row],[SATIŞ]]=0,"Açık",(E41-D41)*C41)</f>
        <v>10</v>
      </c>
      <c r="G41" s="11">
        <f>Tablo14567891011121314151617181920212223242526272829303132333435363738394041424344454647484950[[#This Row],[ADET]]*Tablo14567891011121314151617181920212223242526272829303132333435363738394041424344454647484950[[#This Row],[ALIŞ]]</f>
        <v>3270</v>
      </c>
      <c r="H41" s="11">
        <f>Tablo14567891011121314151617181920212223242526272829303132333435363738394041424344454647484950[[#This Row],[ADET]]*Tablo14567891011121314151617181920212223242526272829303132333435363738394041424344454647484950[[#This Row],[SATIŞ]]</f>
        <v>3280</v>
      </c>
    </row>
    <row r="42" spans="2:8" ht="21" hidden="1" customHeight="1" x14ac:dyDescent="0.3">
      <c r="B42" s="2">
        <v>45335</v>
      </c>
      <c r="C42" s="6">
        <v>20</v>
      </c>
      <c r="D42" s="10">
        <v>163.5</v>
      </c>
      <c r="E42" s="10">
        <v>165</v>
      </c>
      <c r="F42" s="9">
        <f>IF(Tablo14567891011121314151617181920212223242526272829303132333435363738394041424344454647484950[[#This Row],[SATIŞ]]=0,"Açık",(E42-D42)*C42)</f>
        <v>30</v>
      </c>
      <c r="G42" s="11">
        <f>Tablo14567891011121314151617181920212223242526272829303132333435363738394041424344454647484950[[#This Row],[ADET]]*Tablo14567891011121314151617181920212223242526272829303132333435363738394041424344454647484950[[#This Row],[ALIŞ]]</f>
        <v>3270</v>
      </c>
      <c r="H42" s="11">
        <f>Tablo14567891011121314151617181920212223242526272829303132333435363738394041424344454647484950[[#This Row],[ADET]]*Tablo14567891011121314151617181920212223242526272829303132333435363738394041424344454647484950[[#This Row],[SATIŞ]]</f>
        <v>3300</v>
      </c>
    </row>
    <row r="43" spans="2:8" ht="21" hidden="1" customHeight="1" x14ac:dyDescent="0.3">
      <c r="B43" s="2">
        <v>45335</v>
      </c>
      <c r="C43" s="6">
        <v>10</v>
      </c>
      <c r="D43" s="10">
        <v>163.5</v>
      </c>
      <c r="E43" s="10">
        <v>165</v>
      </c>
      <c r="F43" s="9">
        <f>IF(Tablo14567891011121314151617181920212223242526272829303132333435363738394041424344454647484950[[#This Row],[SATIŞ]]=0,"Açık",(E43-D43)*C43)</f>
        <v>15</v>
      </c>
      <c r="G43" s="11">
        <f>Tablo14567891011121314151617181920212223242526272829303132333435363738394041424344454647484950[[#This Row],[ADET]]*Tablo14567891011121314151617181920212223242526272829303132333435363738394041424344454647484950[[#This Row],[ALIŞ]]</f>
        <v>1635</v>
      </c>
      <c r="H43" s="11">
        <f>Tablo14567891011121314151617181920212223242526272829303132333435363738394041424344454647484950[[#This Row],[ADET]]*Tablo14567891011121314151617181920212223242526272829303132333435363738394041424344454647484950[[#This Row],[SATIŞ]]</f>
        <v>1650</v>
      </c>
    </row>
    <row r="44" spans="2:8" ht="21" hidden="1" customHeight="1" x14ac:dyDescent="0.3">
      <c r="B44" s="2">
        <v>45335</v>
      </c>
      <c r="C44" s="6">
        <v>10</v>
      </c>
      <c r="D44" s="10">
        <v>162</v>
      </c>
      <c r="E44" s="10">
        <v>165</v>
      </c>
      <c r="F44" s="9">
        <f>IF(Tablo14567891011121314151617181920212223242526272829303132333435363738394041424344454647484950[[#This Row],[SATIŞ]]=0,"Açık",(E44-D44)*C44)</f>
        <v>30</v>
      </c>
      <c r="G44" s="11">
        <f>Tablo14567891011121314151617181920212223242526272829303132333435363738394041424344454647484950[[#This Row],[ADET]]*Tablo14567891011121314151617181920212223242526272829303132333435363738394041424344454647484950[[#This Row],[ALIŞ]]</f>
        <v>1620</v>
      </c>
      <c r="H44" s="11">
        <f>Tablo14567891011121314151617181920212223242526272829303132333435363738394041424344454647484950[[#This Row],[ADET]]*Tablo14567891011121314151617181920212223242526272829303132333435363738394041424344454647484950[[#This Row],[SATIŞ]]</f>
        <v>1650</v>
      </c>
    </row>
    <row r="45" spans="2:8" ht="21" hidden="1" customHeight="1" x14ac:dyDescent="0.3">
      <c r="B45" s="2">
        <v>45335</v>
      </c>
      <c r="C45" s="6">
        <v>10</v>
      </c>
      <c r="D45" s="10">
        <v>162</v>
      </c>
      <c r="E45" s="10">
        <v>165</v>
      </c>
      <c r="F45" s="9">
        <f>IF(Tablo14567891011121314151617181920212223242526272829303132333435363738394041424344454647484950[[#This Row],[SATIŞ]]=0,"Açık",(E45-D45)*C45)</f>
        <v>30</v>
      </c>
      <c r="G45" s="11">
        <f>Tablo14567891011121314151617181920212223242526272829303132333435363738394041424344454647484950[[#This Row],[ADET]]*Tablo14567891011121314151617181920212223242526272829303132333435363738394041424344454647484950[[#This Row],[ALIŞ]]</f>
        <v>1620</v>
      </c>
      <c r="H45" s="11">
        <f>Tablo14567891011121314151617181920212223242526272829303132333435363738394041424344454647484950[[#This Row],[ADET]]*Tablo14567891011121314151617181920212223242526272829303132333435363738394041424344454647484950[[#This Row],[SATIŞ]]</f>
        <v>1650</v>
      </c>
    </row>
    <row r="46" spans="2:8" ht="21" hidden="1" customHeight="1" x14ac:dyDescent="0.3">
      <c r="B46" s="2">
        <v>45335</v>
      </c>
      <c r="C46" s="6">
        <v>10</v>
      </c>
      <c r="D46" s="10">
        <v>162</v>
      </c>
      <c r="E46" s="10">
        <v>165</v>
      </c>
      <c r="F46" s="9">
        <f>IF(Tablo14567891011121314151617181920212223242526272829303132333435363738394041424344454647484950[[#This Row],[SATIŞ]]=0,"Açık",(E46-D46)*C46)</f>
        <v>30</v>
      </c>
      <c r="G46" s="11">
        <f>Tablo14567891011121314151617181920212223242526272829303132333435363738394041424344454647484950[[#This Row],[ADET]]*Tablo14567891011121314151617181920212223242526272829303132333435363738394041424344454647484950[[#This Row],[ALIŞ]]</f>
        <v>1620</v>
      </c>
      <c r="H46" s="11">
        <f>Tablo14567891011121314151617181920212223242526272829303132333435363738394041424344454647484950[[#This Row],[ADET]]*Tablo14567891011121314151617181920212223242526272829303132333435363738394041424344454647484950[[#This Row],[SATIŞ]]</f>
        <v>1650</v>
      </c>
    </row>
    <row r="47" spans="2:8" ht="21" hidden="1" customHeight="1" x14ac:dyDescent="0.3">
      <c r="B47" s="2">
        <v>45335</v>
      </c>
      <c r="C47" s="6">
        <v>10</v>
      </c>
      <c r="D47" s="10">
        <v>162</v>
      </c>
      <c r="E47" s="10">
        <v>165.5</v>
      </c>
      <c r="F47" s="9">
        <f>IF(Tablo14567891011121314151617181920212223242526272829303132333435363738394041424344454647484950[[#This Row],[SATIŞ]]=0,"Açık",(E47-D47)*C47)</f>
        <v>35</v>
      </c>
      <c r="G47" s="11">
        <f>Tablo14567891011121314151617181920212223242526272829303132333435363738394041424344454647484950[[#This Row],[ADET]]*Tablo14567891011121314151617181920212223242526272829303132333435363738394041424344454647484950[[#This Row],[ALIŞ]]</f>
        <v>1620</v>
      </c>
      <c r="H47" s="11">
        <f>Tablo14567891011121314151617181920212223242526272829303132333435363738394041424344454647484950[[#This Row],[ADET]]*Tablo14567891011121314151617181920212223242526272829303132333435363738394041424344454647484950[[#This Row],[SATIŞ]]</f>
        <v>1655</v>
      </c>
    </row>
    <row r="48" spans="2:8" ht="21" hidden="1" customHeight="1" x14ac:dyDescent="0.3">
      <c r="B48" s="2">
        <v>45335</v>
      </c>
      <c r="C48" s="6">
        <v>10</v>
      </c>
      <c r="D48" s="10">
        <v>162</v>
      </c>
      <c r="E48" s="10">
        <v>166</v>
      </c>
      <c r="F48" s="9">
        <f>IF(Tablo14567891011121314151617181920212223242526272829303132333435363738394041424344454647484950[[#This Row],[SATIŞ]]=0,"Açık",(E48-D48)*C48)</f>
        <v>40</v>
      </c>
      <c r="G48" s="11">
        <f>Tablo14567891011121314151617181920212223242526272829303132333435363738394041424344454647484950[[#This Row],[ADET]]*Tablo14567891011121314151617181920212223242526272829303132333435363738394041424344454647484950[[#This Row],[ALIŞ]]</f>
        <v>1620</v>
      </c>
      <c r="H48" s="11">
        <f>Tablo14567891011121314151617181920212223242526272829303132333435363738394041424344454647484950[[#This Row],[ADET]]*Tablo14567891011121314151617181920212223242526272829303132333435363738394041424344454647484950[[#This Row],[SATIŞ]]</f>
        <v>1660</v>
      </c>
    </row>
    <row r="49" spans="2:10" ht="21" hidden="1" customHeight="1" x14ac:dyDescent="0.3">
      <c r="B49" s="2">
        <v>45337</v>
      </c>
      <c r="C49" s="6">
        <v>20</v>
      </c>
      <c r="D49" s="10">
        <v>165</v>
      </c>
      <c r="E49" s="10">
        <v>171.1</v>
      </c>
      <c r="F49" s="9">
        <f>IF(Tablo14567891011121314151617181920212223242526272829303132333435363738394041424344454647484950[[#This Row],[SATIŞ]]=0,"Açık",(E49-D49)*C49)</f>
        <v>121.99999999999989</v>
      </c>
      <c r="G49" s="11">
        <f>Tablo14567891011121314151617181920212223242526272829303132333435363738394041424344454647484950[[#This Row],[ADET]]*Tablo14567891011121314151617181920212223242526272829303132333435363738394041424344454647484950[[#This Row],[ALIŞ]]</f>
        <v>3300</v>
      </c>
      <c r="H49" s="11">
        <f>Tablo14567891011121314151617181920212223242526272829303132333435363738394041424344454647484950[[#This Row],[ADET]]*Tablo14567891011121314151617181920212223242526272829303132333435363738394041424344454647484950[[#This Row],[SATIŞ]]</f>
        <v>3422</v>
      </c>
    </row>
    <row r="50" spans="2:10" ht="21" hidden="1" customHeight="1" x14ac:dyDescent="0.3">
      <c r="B50" s="2">
        <v>45337</v>
      </c>
      <c r="C50" s="6">
        <v>10</v>
      </c>
      <c r="D50" s="10">
        <v>165</v>
      </c>
      <c r="E50" s="10">
        <v>173.4</v>
      </c>
      <c r="F50" s="9">
        <f>IF(Tablo14567891011121314151617181920212223242526272829303132333435363738394041424344454647484950[[#This Row],[SATIŞ]]=0,"Açık",(E50-D50)*C50)</f>
        <v>84.000000000000057</v>
      </c>
      <c r="G50" s="11">
        <f>Tablo14567891011121314151617181920212223242526272829303132333435363738394041424344454647484950[[#This Row],[ADET]]*Tablo14567891011121314151617181920212223242526272829303132333435363738394041424344454647484950[[#This Row],[ALIŞ]]</f>
        <v>1650</v>
      </c>
      <c r="H50" s="11">
        <f>Tablo14567891011121314151617181920212223242526272829303132333435363738394041424344454647484950[[#This Row],[ADET]]*Tablo14567891011121314151617181920212223242526272829303132333435363738394041424344454647484950[[#This Row],[SATIŞ]]</f>
        <v>1734</v>
      </c>
    </row>
    <row r="51" spans="2:10" ht="21" hidden="1" customHeight="1" x14ac:dyDescent="0.3">
      <c r="B51" s="2">
        <v>45337</v>
      </c>
      <c r="C51" s="6">
        <v>20</v>
      </c>
      <c r="D51" s="10">
        <v>165</v>
      </c>
      <c r="E51" s="10">
        <v>173</v>
      </c>
      <c r="F51" s="9">
        <f>IF(Tablo14567891011121314151617181920212223242526272829303132333435363738394041424344454647484950[[#This Row],[SATIŞ]]=0,"Açık",(E51-D51)*C51)</f>
        <v>160</v>
      </c>
      <c r="G51" s="11">
        <f>Tablo14567891011121314151617181920212223242526272829303132333435363738394041424344454647484950[[#This Row],[ADET]]*Tablo14567891011121314151617181920212223242526272829303132333435363738394041424344454647484950[[#This Row],[ALIŞ]]</f>
        <v>3300</v>
      </c>
      <c r="H51" s="11">
        <f>Tablo14567891011121314151617181920212223242526272829303132333435363738394041424344454647484950[[#This Row],[ADET]]*Tablo14567891011121314151617181920212223242526272829303132333435363738394041424344454647484950[[#This Row],[SATIŞ]]</f>
        <v>3460</v>
      </c>
    </row>
    <row r="52" spans="2:10" ht="21" customHeight="1" x14ac:dyDescent="0.3">
      <c r="B52" s="2">
        <v>45341</v>
      </c>
      <c r="C52" s="6">
        <v>50</v>
      </c>
      <c r="D52" s="10">
        <v>173</v>
      </c>
      <c r="E52" s="10"/>
      <c r="F52" s="9" t="str">
        <f>IF(Tablo14567891011121314151617181920212223242526272829303132333435363738394041424344454647484950[[#This Row],[SATIŞ]]=0,"Açık",(E52-D52)*C52)</f>
        <v>Açık</v>
      </c>
      <c r="G52" s="11">
        <f>Tablo14567891011121314151617181920212223242526272829303132333435363738394041424344454647484950[[#This Row],[ADET]]*Tablo14567891011121314151617181920212223242526272829303132333435363738394041424344454647484950[[#This Row],[ALIŞ]]</f>
        <v>8650</v>
      </c>
      <c r="H52" s="11">
        <f>Tablo14567891011121314151617181920212223242526272829303132333435363738394041424344454647484950[[#This Row],[ADET]]*Tablo14567891011121314151617181920212223242526272829303132333435363738394041424344454647484950[[#This Row],[SATIŞ]]</f>
        <v>0</v>
      </c>
      <c r="J52" s="40">
        <f t="shared" ref="J52:J82" si="0">IF(E52=0,D52*1.05,"")</f>
        <v>181.65</v>
      </c>
    </row>
    <row r="53" spans="2:10" ht="21" customHeight="1" x14ac:dyDescent="0.3">
      <c r="B53" s="2">
        <v>45342</v>
      </c>
      <c r="C53" s="6">
        <v>50</v>
      </c>
      <c r="D53" s="10">
        <v>173</v>
      </c>
      <c r="E53" s="10"/>
      <c r="F53" s="9" t="str">
        <f>IF(Tablo14567891011121314151617181920212223242526272829303132333435363738394041424344454647484950[[#This Row],[SATIŞ]]=0,"Açık",(E53-D53)*C53)</f>
        <v>Açık</v>
      </c>
      <c r="G53" s="11">
        <f>Tablo14567891011121314151617181920212223242526272829303132333435363738394041424344454647484950[[#This Row],[ADET]]*Tablo14567891011121314151617181920212223242526272829303132333435363738394041424344454647484950[[#This Row],[ALIŞ]]</f>
        <v>8650</v>
      </c>
      <c r="H53" s="11">
        <f>Tablo14567891011121314151617181920212223242526272829303132333435363738394041424344454647484950[[#This Row],[ADET]]*Tablo14567891011121314151617181920212223242526272829303132333435363738394041424344454647484950[[#This Row],[SATIŞ]]</f>
        <v>0</v>
      </c>
      <c r="J53" s="40">
        <f t="shared" si="0"/>
        <v>181.65</v>
      </c>
    </row>
    <row r="54" spans="2:10" ht="21" customHeight="1" x14ac:dyDescent="0.3">
      <c r="B54" s="2">
        <v>45342</v>
      </c>
      <c r="C54" s="6">
        <v>50</v>
      </c>
      <c r="D54" s="10">
        <v>173</v>
      </c>
      <c r="E54" s="10"/>
      <c r="F54" s="9" t="str">
        <f>IF(Tablo14567891011121314151617181920212223242526272829303132333435363738394041424344454647484950[[#This Row],[SATIŞ]]=0,"Açık",(E54-D54)*C54)</f>
        <v>Açık</v>
      </c>
      <c r="G54" s="11">
        <f>Tablo14567891011121314151617181920212223242526272829303132333435363738394041424344454647484950[[#This Row],[ADET]]*Tablo14567891011121314151617181920212223242526272829303132333435363738394041424344454647484950[[#This Row],[ALIŞ]]</f>
        <v>8650</v>
      </c>
      <c r="H54" s="11">
        <f>Tablo14567891011121314151617181920212223242526272829303132333435363738394041424344454647484950[[#This Row],[ADET]]*Tablo14567891011121314151617181920212223242526272829303132333435363738394041424344454647484950[[#This Row],[SATIŞ]]</f>
        <v>0</v>
      </c>
      <c r="J54" s="40">
        <f t="shared" si="0"/>
        <v>181.65</v>
      </c>
    </row>
    <row r="55" spans="2:10" ht="21" customHeight="1" x14ac:dyDescent="0.3">
      <c r="B55" s="2">
        <v>45342</v>
      </c>
      <c r="C55" s="6">
        <v>50</v>
      </c>
      <c r="D55" s="10">
        <v>173</v>
      </c>
      <c r="E55" s="10"/>
      <c r="F55" s="9" t="str">
        <f>IF(Tablo14567891011121314151617181920212223242526272829303132333435363738394041424344454647484950[[#This Row],[SATIŞ]]=0,"Açık",(E55-D55)*C55)</f>
        <v>Açık</v>
      </c>
      <c r="G55" s="11">
        <f>Tablo14567891011121314151617181920212223242526272829303132333435363738394041424344454647484950[[#This Row],[ADET]]*Tablo14567891011121314151617181920212223242526272829303132333435363738394041424344454647484950[[#This Row],[ALIŞ]]</f>
        <v>8650</v>
      </c>
      <c r="H55" s="11">
        <f>Tablo14567891011121314151617181920212223242526272829303132333435363738394041424344454647484950[[#This Row],[ADET]]*Tablo14567891011121314151617181920212223242526272829303132333435363738394041424344454647484950[[#This Row],[SATIŞ]]</f>
        <v>0</v>
      </c>
      <c r="J55" s="40">
        <f t="shared" si="0"/>
        <v>181.65</v>
      </c>
    </row>
    <row r="56" spans="2:10" ht="21" hidden="1" customHeight="1" x14ac:dyDescent="0.3">
      <c r="B56" s="2">
        <v>45342</v>
      </c>
      <c r="C56" s="6">
        <v>10</v>
      </c>
      <c r="D56" s="10">
        <v>171</v>
      </c>
      <c r="E56" s="10">
        <v>188.4</v>
      </c>
      <c r="F56" s="9">
        <f>IF(Tablo14567891011121314151617181920212223242526272829303132333435363738394041424344454647484950[[#This Row],[SATIŞ]]=0,"Açık",(E56-D56)*C56)</f>
        <v>174.00000000000006</v>
      </c>
      <c r="G56" s="11">
        <f>Tablo14567891011121314151617181920212223242526272829303132333435363738394041424344454647484950[[#This Row],[ADET]]*Tablo14567891011121314151617181920212223242526272829303132333435363738394041424344454647484950[[#This Row],[ALIŞ]]</f>
        <v>1710</v>
      </c>
      <c r="H56" s="11">
        <f>Tablo14567891011121314151617181920212223242526272829303132333435363738394041424344454647484950[[#This Row],[ADET]]*Tablo14567891011121314151617181920212223242526272829303132333435363738394041424344454647484950[[#This Row],[SATIŞ]]</f>
        <v>1884</v>
      </c>
      <c r="J56" s="40" t="str">
        <f t="shared" si="0"/>
        <v/>
      </c>
    </row>
    <row r="57" spans="2:10" ht="21" hidden="1" customHeight="1" x14ac:dyDescent="0.3">
      <c r="B57" s="2">
        <v>45343</v>
      </c>
      <c r="C57" s="6">
        <v>10</v>
      </c>
      <c r="D57" s="10">
        <v>170</v>
      </c>
      <c r="E57" s="10">
        <v>187</v>
      </c>
      <c r="F57" s="9">
        <f>IF(Tablo14567891011121314151617181920212223242526272829303132333435363738394041424344454647484950[[#This Row],[SATIŞ]]=0,"Açık",(E57-D57)*C57)</f>
        <v>170</v>
      </c>
      <c r="G57" s="11">
        <f>Tablo14567891011121314151617181920212223242526272829303132333435363738394041424344454647484950[[#This Row],[ADET]]*Tablo14567891011121314151617181920212223242526272829303132333435363738394041424344454647484950[[#This Row],[ALIŞ]]</f>
        <v>1700</v>
      </c>
      <c r="H57" s="11">
        <f>Tablo14567891011121314151617181920212223242526272829303132333435363738394041424344454647484950[[#This Row],[ADET]]*Tablo14567891011121314151617181920212223242526272829303132333435363738394041424344454647484950[[#This Row],[SATIŞ]]</f>
        <v>1870</v>
      </c>
      <c r="J57" s="40" t="str">
        <f t="shared" si="0"/>
        <v/>
      </c>
    </row>
    <row r="58" spans="2:10" ht="21" hidden="1" customHeight="1" x14ac:dyDescent="0.3">
      <c r="B58" s="2">
        <v>45343</v>
      </c>
      <c r="C58" s="6">
        <v>10</v>
      </c>
      <c r="D58" s="10">
        <v>165.2</v>
      </c>
      <c r="E58" s="10">
        <v>175</v>
      </c>
      <c r="F58" s="9">
        <f>IF(Tablo14567891011121314151617181920212223242526272829303132333435363738394041424344454647484950[[#This Row],[SATIŞ]]=0,"Açık",(E58-D58)*C58)</f>
        <v>98.000000000000114</v>
      </c>
      <c r="G58" s="11">
        <f>Tablo14567891011121314151617181920212223242526272829303132333435363738394041424344454647484950[[#This Row],[ADET]]*Tablo14567891011121314151617181920212223242526272829303132333435363738394041424344454647484950[[#This Row],[ALIŞ]]</f>
        <v>1652</v>
      </c>
      <c r="H58" s="11">
        <f>Tablo14567891011121314151617181920212223242526272829303132333435363738394041424344454647484950[[#This Row],[ADET]]*Tablo14567891011121314151617181920212223242526272829303132333435363738394041424344454647484950[[#This Row],[SATIŞ]]</f>
        <v>1750</v>
      </c>
      <c r="J58" s="40" t="str">
        <f t="shared" si="0"/>
        <v/>
      </c>
    </row>
    <row r="59" spans="2:10" ht="21" hidden="1" customHeight="1" x14ac:dyDescent="0.3">
      <c r="B59" s="2">
        <v>45343</v>
      </c>
      <c r="C59" s="6">
        <v>30</v>
      </c>
      <c r="D59" s="10">
        <v>165.2</v>
      </c>
      <c r="E59" s="10">
        <v>169</v>
      </c>
      <c r="F59" s="9">
        <f>IF(Tablo14567891011121314151617181920212223242526272829303132333435363738394041424344454647484950[[#This Row],[SATIŞ]]=0,"Açık",(E59-D59)*C59)</f>
        <v>114.00000000000034</v>
      </c>
      <c r="G59" s="11">
        <f>Tablo14567891011121314151617181920212223242526272829303132333435363738394041424344454647484950[[#This Row],[ADET]]*Tablo14567891011121314151617181920212223242526272829303132333435363738394041424344454647484950[[#This Row],[ALIŞ]]</f>
        <v>4956</v>
      </c>
      <c r="H59" s="11">
        <f>Tablo14567891011121314151617181920212223242526272829303132333435363738394041424344454647484950[[#This Row],[ADET]]*Tablo14567891011121314151617181920212223242526272829303132333435363738394041424344454647484950[[#This Row],[SATIŞ]]</f>
        <v>5070</v>
      </c>
      <c r="J59" s="40" t="str">
        <f t="shared" si="0"/>
        <v/>
      </c>
    </row>
    <row r="60" spans="2:10" ht="21" hidden="1" customHeight="1" x14ac:dyDescent="0.3">
      <c r="B60" s="2">
        <v>45348</v>
      </c>
      <c r="C60" s="6">
        <v>20</v>
      </c>
      <c r="D60" s="10">
        <v>161</v>
      </c>
      <c r="E60" s="10">
        <v>164</v>
      </c>
      <c r="F60" s="9">
        <f>IF(Tablo14567891011121314151617181920212223242526272829303132333435363738394041424344454647484950[[#This Row],[SATIŞ]]=0,"Açık",(E60-D60)*C60)</f>
        <v>60</v>
      </c>
      <c r="G60" s="11">
        <f>Tablo14567891011121314151617181920212223242526272829303132333435363738394041424344454647484950[[#This Row],[ADET]]*Tablo14567891011121314151617181920212223242526272829303132333435363738394041424344454647484950[[#This Row],[ALIŞ]]</f>
        <v>3220</v>
      </c>
      <c r="H60" s="11">
        <f>Tablo14567891011121314151617181920212223242526272829303132333435363738394041424344454647484950[[#This Row],[ADET]]*Tablo14567891011121314151617181920212223242526272829303132333435363738394041424344454647484950[[#This Row],[SATIŞ]]</f>
        <v>3280</v>
      </c>
      <c r="J60" s="40" t="str">
        <f t="shared" si="0"/>
        <v/>
      </c>
    </row>
    <row r="61" spans="2:10" ht="21" hidden="1" customHeight="1" x14ac:dyDescent="0.3">
      <c r="B61" s="2">
        <v>45350</v>
      </c>
      <c r="C61" s="6">
        <v>30</v>
      </c>
      <c r="D61" s="10">
        <v>159</v>
      </c>
      <c r="E61" s="10">
        <v>167</v>
      </c>
      <c r="F61" s="9">
        <f>IF(Tablo14567891011121314151617181920212223242526272829303132333435363738394041424344454647484950[[#This Row],[SATIŞ]]=0,"Açık",(E61-D61)*C61)</f>
        <v>240</v>
      </c>
      <c r="G61" s="11">
        <f>Tablo14567891011121314151617181920212223242526272829303132333435363738394041424344454647484950[[#This Row],[ADET]]*Tablo14567891011121314151617181920212223242526272829303132333435363738394041424344454647484950[[#This Row],[ALIŞ]]</f>
        <v>4770</v>
      </c>
      <c r="H61" s="11">
        <f>Tablo14567891011121314151617181920212223242526272829303132333435363738394041424344454647484950[[#This Row],[ADET]]*Tablo14567891011121314151617181920212223242526272829303132333435363738394041424344454647484950[[#This Row],[SATIŞ]]</f>
        <v>5010</v>
      </c>
      <c r="J61" s="40" t="str">
        <f t="shared" si="0"/>
        <v/>
      </c>
    </row>
    <row r="62" spans="2:10" ht="21" hidden="1" customHeight="1" x14ac:dyDescent="0.3">
      <c r="B62" s="2">
        <v>45356</v>
      </c>
      <c r="C62" s="6">
        <v>10</v>
      </c>
      <c r="D62" s="10">
        <v>163.5</v>
      </c>
      <c r="E62" s="10">
        <v>164</v>
      </c>
      <c r="F62" s="9">
        <f>IF(Tablo14567891011121314151617181920212223242526272829303132333435363738394041424344454647484950[[#This Row],[SATIŞ]]=0,"Açık",(E62-D62)*C62)</f>
        <v>5</v>
      </c>
      <c r="G62" s="11">
        <f>Tablo14567891011121314151617181920212223242526272829303132333435363738394041424344454647484950[[#This Row],[ADET]]*Tablo14567891011121314151617181920212223242526272829303132333435363738394041424344454647484950[[#This Row],[ALIŞ]]</f>
        <v>1635</v>
      </c>
      <c r="H62" s="11">
        <f>Tablo14567891011121314151617181920212223242526272829303132333435363738394041424344454647484950[[#This Row],[ADET]]*Tablo14567891011121314151617181920212223242526272829303132333435363738394041424344454647484950[[#This Row],[SATIŞ]]</f>
        <v>1640</v>
      </c>
      <c r="J62" s="40" t="str">
        <f t="shared" si="0"/>
        <v/>
      </c>
    </row>
    <row r="63" spans="2:10" ht="21" hidden="1" customHeight="1" x14ac:dyDescent="0.3">
      <c r="B63" s="2">
        <v>45356</v>
      </c>
      <c r="C63" s="6">
        <v>10</v>
      </c>
      <c r="D63" s="10">
        <v>164.5</v>
      </c>
      <c r="E63" s="10">
        <v>165</v>
      </c>
      <c r="F63" s="9">
        <f>IF(Tablo14567891011121314151617181920212223242526272829303132333435363738394041424344454647484950[[#This Row],[SATIŞ]]=0,"Açık",(E63-D63)*C63)</f>
        <v>5</v>
      </c>
      <c r="G63" s="11">
        <f>Tablo14567891011121314151617181920212223242526272829303132333435363738394041424344454647484950[[#This Row],[ADET]]*Tablo14567891011121314151617181920212223242526272829303132333435363738394041424344454647484950[[#This Row],[ALIŞ]]</f>
        <v>1645</v>
      </c>
      <c r="H63" s="11">
        <f>Tablo14567891011121314151617181920212223242526272829303132333435363738394041424344454647484950[[#This Row],[ADET]]*Tablo14567891011121314151617181920212223242526272829303132333435363738394041424344454647484950[[#This Row],[SATIŞ]]</f>
        <v>1650</v>
      </c>
      <c r="J63" s="40" t="str">
        <f t="shared" si="0"/>
        <v/>
      </c>
    </row>
    <row r="64" spans="2:10" ht="21" hidden="1" customHeight="1" x14ac:dyDescent="0.3">
      <c r="B64" s="2">
        <v>45356</v>
      </c>
      <c r="C64" s="6">
        <v>10</v>
      </c>
      <c r="D64" s="10">
        <v>164</v>
      </c>
      <c r="E64" s="10">
        <v>164.5</v>
      </c>
      <c r="F64" s="9">
        <f>IF(Tablo14567891011121314151617181920212223242526272829303132333435363738394041424344454647484950[[#This Row],[SATIŞ]]=0,"Açık",(E64-D64)*C64)</f>
        <v>5</v>
      </c>
      <c r="G64" s="11">
        <f>Tablo14567891011121314151617181920212223242526272829303132333435363738394041424344454647484950[[#This Row],[ADET]]*Tablo14567891011121314151617181920212223242526272829303132333435363738394041424344454647484950[[#This Row],[ALIŞ]]</f>
        <v>1640</v>
      </c>
      <c r="H64" s="11">
        <f>Tablo14567891011121314151617181920212223242526272829303132333435363738394041424344454647484950[[#This Row],[ADET]]*Tablo14567891011121314151617181920212223242526272829303132333435363738394041424344454647484950[[#This Row],[SATIŞ]]</f>
        <v>1645</v>
      </c>
      <c r="J64" s="40" t="str">
        <f t="shared" si="0"/>
        <v/>
      </c>
    </row>
    <row r="65" spans="2:10" ht="21" hidden="1" customHeight="1" x14ac:dyDescent="0.3">
      <c r="B65" s="2">
        <v>45356</v>
      </c>
      <c r="C65" s="6">
        <v>10</v>
      </c>
      <c r="D65" s="10">
        <v>165</v>
      </c>
      <c r="E65" s="10">
        <v>167</v>
      </c>
      <c r="F65" s="9">
        <f>IF(Tablo14567891011121314151617181920212223242526272829303132333435363738394041424344454647484950[[#This Row],[SATIŞ]]=0,"Açık",(E65-D65)*C65)</f>
        <v>20</v>
      </c>
      <c r="G65" s="11">
        <f>Tablo14567891011121314151617181920212223242526272829303132333435363738394041424344454647484950[[#This Row],[ADET]]*Tablo14567891011121314151617181920212223242526272829303132333435363738394041424344454647484950[[#This Row],[ALIŞ]]</f>
        <v>1650</v>
      </c>
      <c r="H65" s="11">
        <f>Tablo14567891011121314151617181920212223242526272829303132333435363738394041424344454647484950[[#This Row],[ADET]]*Tablo14567891011121314151617181920212223242526272829303132333435363738394041424344454647484950[[#This Row],[SATIŞ]]</f>
        <v>1670</v>
      </c>
      <c r="J65" s="40" t="str">
        <f t="shared" si="0"/>
        <v/>
      </c>
    </row>
    <row r="66" spans="2:10" ht="21" hidden="1" customHeight="1" x14ac:dyDescent="0.3">
      <c r="B66" s="2">
        <v>45356</v>
      </c>
      <c r="C66" s="6">
        <v>10</v>
      </c>
      <c r="D66" s="10">
        <v>166</v>
      </c>
      <c r="E66" s="10">
        <v>167</v>
      </c>
      <c r="F66" s="9">
        <f>IF(Tablo14567891011121314151617181920212223242526272829303132333435363738394041424344454647484950[[#This Row],[SATIŞ]]=0,"Açık",(E66-D66)*C66)</f>
        <v>10</v>
      </c>
      <c r="G66" s="11">
        <f>Tablo14567891011121314151617181920212223242526272829303132333435363738394041424344454647484950[[#This Row],[ADET]]*Tablo14567891011121314151617181920212223242526272829303132333435363738394041424344454647484950[[#This Row],[ALIŞ]]</f>
        <v>1660</v>
      </c>
      <c r="H66" s="11">
        <f>Tablo14567891011121314151617181920212223242526272829303132333435363738394041424344454647484950[[#This Row],[ADET]]*Tablo14567891011121314151617181920212223242526272829303132333435363738394041424344454647484950[[#This Row],[SATIŞ]]</f>
        <v>1670</v>
      </c>
      <c r="J66" s="40" t="str">
        <f t="shared" si="0"/>
        <v/>
      </c>
    </row>
    <row r="67" spans="2:10" ht="21" hidden="1" customHeight="1" x14ac:dyDescent="0.3">
      <c r="B67" s="2">
        <v>45356</v>
      </c>
      <c r="C67" s="6">
        <v>10</v>
      </c>
      <c r="D67" s="10">
        <v>166</v>
      </c>
      <c r="E67" s="10">
        <v>167</v>
      </c>
      <c r="F67" s="9">
        <f>IF(Tablo14567891011121314151617181920212223242526272829303132333435363738394041424344454647484950[[#This Row],[SATIŞ]]=0,"Açık",(E67-D67)*C67)</f>
        <v>10</v>
      </c>
      <c r="G67" s="11">
        <f>Tablo14567891011121314151617181920212223242526272829303132333435363738394041424344454647484950[[#This Row],[ADET]]*Tablo14567891011121314151617181920212223242526272829303132333435363738394041424344454647484950[[#This Row],[ALIŞ]]</f>
        <v>1660</v>
      </c>
      <c r="H67" s="11">
        <f>Tablo14567891011121314151617181920212223242526272829303132333435363738394041424344454647484950[[#This Row],[ADET]]*Tablo14567891011121314151617181920212223242526272829303132333435363738394041424344454647484950[[#This Row],[SATIŞ]]</f>
        <v>1670</v>
      </c>
      <c r="J67" s="40" t="str">
        <f t="shared" si="0"/>
        <v/>
      </c>
    </row>
    <row r="68" spans="2:10" ht="21" hidden="1" customHeight="1" x14ac:dyDescent="0.3">
      <c r="B68" s="2">
        <v>45356</v>
      </c>
      <c r="C68" s="6">
        <v>30</v>
      </c>
      <c r="D68" s="10">
        <v>164</v>
      </c>
      <c r="E68" s="10">
        <v>168</v>
      </c>
      <c r="F68" s="9">
        <f>IF(Tablo14567891011121314151617181920212223242526272829303132333435363738394041424344454647484950[[#This Row],[SATIŞ]]=0,"Açık",(E68-D68)*C68)</f>
        <v>120</v>
      </c>
      <c r="G68" s="11">
        <f>Tablo14567891011121314151617181920212223242526272829303132333435363738394041424344454647484950[[#This Row],[ADET]]*Tablo14567891011121314151617181920212223242526272829303132333435363738394041424344454647484950[[#This Row],[ALIŞ]]</f>
        <v>4920</v>
      </c>
      <c r="H68" s="11">
        <f>Tablo14567891011121314151617181920212223242526272829303132333435363738394041424344454647484950[[#This Row],[ADET]]*Tablo14567891011121314151617181920212223242526272829303132333435363738394041424344454647484950[[#This Row],[SATIŞ]]</f>
        <v>5040</v>
      </c>
      <c r="J68" s="40" t="str">
        <f t="shared" si="0"/>
        <v/>
      </c>
    </row>
    <row r="69" spans="2:10" ht="21" hidden="1" customHeight="1" x14ac:dyDescent="0.3">
      <c r="B69" s="2">
        <v>45359</v>
      </c>
      <c r="C69" s="6">
        <v>10</v>
      </c>
      <c r="D69" s="10">
        <v>171</v>
      </c>
      <c r="E69" s="10">
        <v>172</v>
      </c>
      <c r="F69" s="9">
        <f>IF(Tablo14567891011121314151617181920212223242526272829303132333435363738394041424344454647484950[[#This Row],[SATIŞ]]=0,"Açık",(E69-D69)*C69)</f>
        <v>10</v>
      </c>
      <c r="G69" s="11">
        <f>Tablo14567891011121314151617181920212223242526272829303132333435363738394041424344454647484950[[#This Row],[ADET]]*Tablo14567891011121314151617181920212223242526272829303132333435363738394041424344454647484950[[#This Row],[ALIŞ]]</f>
        <v>1710</v>
      </c>
      <c r="H69" s="11">
        <f>Tablo14567891011121314151617181920212223242526272829303132333435363738394041424344454647484950[[#This Row],[ADET]]*Tablo14567891011121314151617181920212223242526272829303132333435363738394041424344454647484950[[#This Row],[SATIŞ]]</f>
        <v>1720</v>
      </c>
      <c r="J69" s="40" t="str">
        <f t="shared" si="0"/>
        <v/>
      </c>
    </row>
    <row r="70" spans="2:10" ht="21" hidden="1" customHeight="1" x14ac:dyDescent="0.3">
      <c r="B70" s="2">
        <v>45343</v>
      </c>
      <c r="C70" s="6">
        <v>20</v>
      </c>
      <c r="D70" s="10">
        <v>165.2</v>
      </c>
      <c r="E70" s="10">
        <v>174</v>
      </c>
      <c r="F70" s="9">
        <f>IF(Tablo14567891011121314151617181920212223242526272829303132333435363738394041424344454647484950[[#This Row],[SATIŞ]]=0,"Açık",(E70-D70)*C70)</f>
        <v>176.00000000000023</v>
      </c>
      <c r="G70" s="11">
        <f>Tablo14567891011121314151617181920212223242526272829303132333435363738394041424344454647484950[[#This Row],[ADET]]*Tablo14567891011121314151617181920212223242526272829303132333435363738394041424344454647484950[[#This Row],[ALIŞ]]</f>
        <v>3304</v>
      </c>
      <c r="H70" s="11">
        <f>Tablo14567891011121314151617181920212223242526272829303132333435363738394041424344454647484950[[#This Row],[ADET]]*Tablo14567891011121314151617181920212223242526272829303132333435363738394041424344454647484950[[#This Row],[SATIŞ]]</f>
        <v>3480</v>
      </c>
      <c r="J70" s="40"/>
    </row>
    <row r="71" spans="2:10" ht="21" hidden="1" customHeight="1" x14ac:dyDescent="0.3">
      <c r="B71" s="2">
        <v>45362</v>
      </c>
      <c r="C71" s="6">
        <v>10</v>
      </c>
      <c r="D71" s="10">
        <v>169</v>
      </c>
      <c r="E71" s="10">
        <v>180.3</v>
      </c>
      <c r="F71" s="9">
        <f>IF(Tablo14567891011121314151617181920212223242526272829303132333435363738394041424344454647484950[[#This Row],[SATIŞ]]=0,"Açık",(E71-D71)*C71)</f>
        <v>113.00000000000011</v>
      </c>
      <c r="G71" s="11">
        <f>Tablo14567891011121314151617181920212223242526272829303132333435363738394041424344454647484950[[#This Row],[ADET]]*Tablo14567891011121314151617181920212223242526272829303132333435363738394041424344454647484950[[#This Row],[ALIŞ]]</f>
        <v>1690</v>
      </c>
      <c r="H71" s="11">
        <f>Tablo14567891011121314151617181920212223242526272829303132333435363738394041424344454647484950[[#This Row],[ADET]]*Tablo14567891011121314151617181920212223242526272829303132333435363738394041424344454647484950[[#This Row],[SATIŞ]]</f>
        <v>1803</v>
      </c>
      <c r="J71" s="40" t="str">
        <f t="shared" si="0"/>
        <v/>
      </c>
    </row>
    <row r="72" spans="2:10" ht="21" hidden="1" customHeight="1" x14ac:dyDescent="0.3">
      <c r="B72" s="2">
        <v>45371</v>
      </c>
      <c r="C72" s="6">
        <v>20</v>
      </c>
      <c r="D72" s="10">
        <v>171</v>
      </c>
      <c r="E72" s="10">
        <v>180.3</v>
      </c>
      <c r="F72" s="9">
        <f>IF(Tablo14567891011121314151617181920212223242526272829303132333435363738394041424344454647484950[[#This Row],[SATIŞ]]=0,"Açık",(E72-D72)*C72)</f>
        <v>186.00000000000023</v>
      </c>
      <c r="G72" s="11">
        <f>Tablo14567891011121314151617181920212223242526272829303132333435363738394041424344454647484950[[#This Row],[ADET]]*Tablo14567891011121314151617181920212223242526272829303132333435363738394041424344454647484950[[#This Row],[ALIŞ]]</f>
        <v>3420</v>
      </c>
      <c r="H72" s="11">
        <f>Tablo14567891011121314151617181920212223242526272829303132333435363738394041424344454647484950[[#This Row],[ADET]]*Tablo14567891011121314151617181920212223242526272829303132333435363738394041424344454647484950[[#This Row],[SATIŞ]]</f>
        <v>3606</v>
      </c>
      <c r="J72" s="40" t="str">
        <f t="shared" si="0"/>
        <v/>
      </c>
    </row>
    <row r="73" spans="2:10" ht="21" hidden="1" customHeight="1" x14ac:dyDescent="0.3">
      <c r="B73" s="2">
        <v>45376</v>
      </c>
      <c r="C73" s="6">
        <v>10</v>
      </c>
      <c r="D73" s="10">
        <v>172</v>
      </c>
      <c r="E73" s="10">
        <v>178</v>
      </c>
      <c r="F73" s="9">
        <f>IF(Tablo14567891011121314151617181920212223242526272829303132333435363738394041424344454647484950[[#This Row],[SATIŞ]]=0,"Açık",(E73-D73)*C73)</f>
        <v>60</v>
      </c>
      <c r="G73" s="11">
        <f>Tablo14567891011121314151617181920212223242526272829303132333435363738394041424344454647484950[[#This Row],[ADET]]*Tablo14567891011121314151617181920212223242526272829303132333435363738394041424344454647484950[[#This Row],[ALIŞ]]</f>
        <v>1720</v>
      </c>
      <c r="H73" s="11">
        <f>Tablo14567891011121314151617181920212223242526272829303132333435363738394041424344454647484950[[#This Row],[ADET]]*Tablo14567891011121314151617181920212223242526272829303132333435363738394041424344454647484950[[#This Row],[SATIŞ]]</f>
        <v>1780</v>
      </c>
      <c r="J73" s="40" t="str">
        <f t="shared" si="0"/>
        <v/>
      </c>
    </row>
    <row r="74" spans="2:10" ht="21" hidden="1" customHeight="1" x14ac:dyDescent="0.3">
      <c r="B74" s="2">
        <v>45376</v>
      </c>
      <c r="C74" s="6">
        <v>10</v>
      </c>
      <c r="D74" s="10">
        <v>172</v>
      </c>
      <c r="E74" s="10">
        <v>181</v>
      </c>
      <c r="F74" s="9">
        <f>IF(Tablo14567891011121314151617181920212223242526272829303132333435363738394041424344454647484950[[#This Row],[SATIŞ]]=0,"Açık",(E74-D74)*C74)</f>
        <v>90</v>
      </c>
      <c r="G74" s="11">
        <f>Tablo14567891011121314151617181920212223242526272829303132333435363738394041424344454647484950[[#This Row],[ADET]]*Tablo14567891011121314151617181920212223242526272829303132333435363738394041424344454647484950[[#This Row],[ALIŞ]]</f>
        <v>1720</v>
      </c>
      <c r="H74" s="11">
        <f>Tablo14567891011121314151617181920212223242526272829303132333435363738394041424344454647484950[[#This Row],[ADET]]*Tablo14567891011121314151617181920212223242526272829303132333435363738394041424344454647484950[[#This Row],[SATIŞ]]</f>
        <v>1810</v>
      </c>
      <c r="J74" s="40"/>
    </row>
    <row r="75" spans="2:10" ht="21" hidden="1" customHeight="1" x14ac:dyDescent="0.3">
      <c r="B75" s="2">
        <v>45376</v>
      </c>
      <c r="C75" s="6">
        <v>20</v>
      </c>
      <c r="D75" s="10">
        <v>170</v>
      </c>
      <c r="E75" s="10">
        <v>176.5</v>
      </c>
      <c r="F75" s="9">
        <f>IF(Tablo14567891011121314151617181920212223242526272829303132333435363738394041424344454647484950[[#This Row],[SATIŞ]]=0,"Açık",(E75-D75)*C75)</f>
        <v>130</v>
      </c>
      <c r="G75" s="11">
        <f>Tablo14567891011121314151617181920212223242526272829303132333435363738394041424344454647484950[[#This Row],[ADET]]*Tablo14567891011121314151617181920212223242526272829303132333435363738394041424344454647484950[[#This Row],[ALIŞ]]</f>
        <v>3400</v>
      </c>
      <c r="H75" s="11">
        <f>Tablo14567891011121314151617181920212223242526272829303132333435363738394041424344454647484950[[#This Row],[ADET]]*Tablo14567891011121314151617181920212223242526272829303132333435363738394041424344454647484950[[#This Row],[SATIŞ]]</f>
        <v>3530</v>
      </c>
      <c r="J75" s="40" t="str">
        <f t="shared" si="0"/>
        <v/>
      </c>
    </row>
    <row r="76" spans="2:10" ht="21" hidden="1" customHeight="1" x14ac:dyDescent="0.3">
      <c r="B76" s="2">
        <v>45343</v>
      </c>
      <c r="C76" s="6">
        <v>20</v>
      </c>
      <c r="D76" s="10">
        <v>165.2</v>
      </c>
      <c r="E76" s="10">
        <v>178.5</v>
      </c>
      <c r="F76" s="9">
        <f>IF(Tablo14567891011121314151617181920212223242526272829303132333435363738394041424344454647484950[[#This Row],[SATIŞ]]=0,"Açık",(E76-D76)*C76)</f>
        <v>266.00000000000023</v>
      </c>
      <c r="G76" s="11">
        <f>Tablo14567891011121314151617181920212223242526272829303132333435363738394041424344454647484950[[#This Row],[ADET]]*Tablo14567891011121314151617181920212223242526272829303132333435363738394041424344454647484950[[#This Row],[ALIŞ]]</f>
        <v>3304</v>
      </c>
      <c r="H76" s="11">
        <f>Tablo14567891011121314151617181920212223242526272829303132333435363738394041424344454647484950[[#This Row],[ADET]]*Tablo14567891011121314151617181920212223242526272829303132333435363738394041424344454647484950[[#This Row],[SATIŞ]]</f>
        <v>3570</v>
      </c>
      <c r="J76" s="40"/>
    </row>
    <row r="77" spans="2:10" ht="21" hidden="1" customHeight="1" x14ac:dyDescent="0.3">
      <c r="B77" s="2">
        <v>45343</v>
      </c>
      <c r="C77" s="6">
        <v>20</v>
      </c>
      <c r="D77" s="10">
        <v>170</v>
      </c>
      <c r="E77" s="10">
        <v>188.5</v>
      </c>
      <c r="F77" s="9">
        <f>IF(Tablo14567891011121314151617181920212223242526272829303132333435363738394041424344454647484950[[#This Row],[SATIŞ]]=0,"Açık",(E77-D77)*C77)</f>
        <v>370</v>
      </c>
      <c r="G77" s="11">
        <f>Tablo14567891011121314151617181920212223242526272829303132333435363738394041424344454647484950[[#This Row],[ADET]]*Tablo14567891011121314151617181920212223242526272829303132333435363738394041424344454647484950[[#This Row],[ALIŞ]]</f>
        <v>3400</v>
      </c>
      <c r="H77" s="11">
        <f>Tablo14567891011121314151617181920212223242526272829303132333435363738394041424344454647484950[[#This Row],[ADET]]*Tablo14567891011121314151617181920212223242526272829303132333435363738394041424344454647484950[[#This Row],[SATIŞ]]</f>
        <v>3770</v>
      </c>
      <c r="J77" s="40"/>
    </row>
    <row r="78" spans="2:10" ht="21" hidden="1" customHeight="1" x14ac:dyDescent="0.3">
      <c r="B78" s="2">
        <v>45342</v>
      </c>
      <c r="C78" s="6">
        <v>40</v>
      </c>
      <c r="D78" s="10">
        <v>171</v>
      </c>
      <c r="E78" s="10">
        <v>190</v>
      </c>
      <c r="F78" s="9">
        <f>IF(Tablo14567891011121314151617181920212223242526272829303132333435363738394041424344454647484950[[#This Row],[SATIŞ]]=0,"Açık",(E78-D78)*C78)</f>
        <v>760</v>
      </c>
      <c r="G78" s="11">
        <f>Tablo14567891011121314151617181920212223242526272829303132333435363738394041424344454647484950[[#This Row],[ADET]]*Tablo14567891011121314151617181920212223242526272829303132333435363738394041424344454647484950[[#This Row],[ALIŞ]]</f>
        <v>6840</v>
      </c>
      <c r="H78" s="11">
        <f>Tablo14567891011121314151617181920212223242526272829303132333435363738394041424344454647484950[[#This Row],[ADET]]*Tablo14567891011121314151617181920212223242526272829303132333435363738394041424344454647484950[[#This Row],[SATIŞ]]</f>
        <v>7600</v>
      </c>
      <c r="J78" s="40"/>
    </row>
    <row r="79" spans="2:10" ht="21" hidden="1" customHeight="1" x14ac:dyDescent="0.3">
      <c r="B79" s="2">
        <v>45343</v>
      </c>
      <c r="C79" s="6">
        <v>90</v>
      </c>
      <c r="D79" s="10">
        <v>165.2</v>
      </c>
      <c r="E79" s="10">
        <v>190</v>
      </c>
      <c r="F79" s="9">
        <f>IF(Tablo14567891011121314151617181920212223242526272829303132333435363738394041424344454647484950[[#This Row],[SATIŞ]]=0,"Açık",(E79-D79)*C79)</f>
        <v>2232.0000000000009</v>
      </c>
      <c r="G79" s="11">
        <f>Tablo14567891011121314151617181920212223242526272829303132333435363738394041424344454647484950[[#This Row],[ADET]]*Tablo14567891011121314151617181920212223242526272829303132333435363738394041424344454647484950[[#This Row],[ALIŞ]]</f>
        <v>14867.999999999998</v>
      </c>
      <c r="H79" s="11">
        <f>Tablo14567891011121314151617181920212223242526272829303132333435363738394041424344454647484950[[#This Row],[ADET]]*Tablo14567891011121314151617181920212223242526272829303132333435363738394041424344454647484950[[#This Row],[SATIŞ]]</f>
        <v>17100</v>
      </c>
      <c r="J79" s="40"/>
    </row>
    <row r="80" spans="2:10" ht="21" hidden="1" customHeight="1" x14ac:dyDescent="0.3">
      <c r="B80" s="2">
        <v>45343</v>
      </c>
      <c r="C80" s="6">
        <v>10</v>
      </c>
      <c r="D80" s="10">
        <v>165.2</v>
      </c>
      <c r="E80" s="10">
        <v>183</v>
      </c>
      <c r="F80" s="9">
        <f>IF(Tablo14567891011121314151617181920212223242526272829303132333435363738394041424344454647484950[[#This Row],[SATIŞ]]=0,"Açık",(E80-D80)*C80)</f>
        <v>178.00000000000011</v>
      </c>
      <c r="G80" s="11">
        <f>Tablo14567891011121314151617181920212223242526272829303132333435363738394041424344454647484950[[#This Row],[ADET]]*Tablo14567891011121314151617181920212223242526272829303132333435363738394041424344454647484950[[#This Row],[ALIŞ]]</f>
        <v>1652</v>
      </c>
      <c r="H80" s="11">
        <f>Tablo14567891011121314151617181920212223242526272829303132333435363738394041424344454647484950[[#This Row],[ADET]]*Tablo14567891011121314151617181920212223242526272829303132333435363738394041424344454647484950[[#This Row],[SATIŞ]]</f>
        <v>1830</v>
      </c>
      <c r="J80" s="40"/>
    </row>
    <row r="81" spans="2:11" ht="21" hidden="1" customHeight="1" x14ac:dyDescent="0.3">
      <c r="B81" s="2">
        <v>45383</v>
      </c>
      <c r="C81" s="6">
        <v>10</v>
      </c>
      <c r="D81" s="10">
        <v>179.5</v>
      </c>
      <c r="E81" s="10">
        <v>190</v>
      </c>
      <c r="F81" s="9">
        <f>IF(Tablo14567891011121314151617181920212223242526272829303132333435363738394041424344454647484950[[#This Row],[SATIŞ]]=0,"Açık",(E81-D81)*C81)</f>
        <v>105</v>
      </c>
      <c r="G81" s="11">
        <f>Tablo14567891011121314151617181920212223242526272829303132333435363738394041424344454647484950[[#This Row],[ADET]]*Tablo14567891011121314151617181920212223242526272829303132333435363738394041424344454647484950[[#This Row],[ALIŞ]]</f>
        <v>1795</v>
      </c>
      <c r="H81" s="11">
        <f>Tablo14567891011121314151617181920212223242526272829303132333435363738394041424344454647484950[[#This Row],[ADET]]*Tablo14567891011121314151617181920212223242526272829303132333435363738394041424344454647484950[[#This Row],[SATIŞ]]</f>
        <v>1900</v>
      </c>
      <c r="J81" s="40" t="str">
        <f t="shared" si="0"/>
        <v/>
      </c>
    </row>
    <row r="82" spans="2:11" ht="21" hidden="1" customHeight="1" x14ac:dyDescent="0.3">
      <c r="B82" s="2">
        <v>45383</v>
      </c>
      <c r="C82" s="6">
        <v>10</v>
      </c>
      <c r="D82" s="10">
        <v>179</v>
      </c>
      <c r="E82" s="10">
        <v>190</v>
      </c>
      <c r="F82" s="9">
        <f>IF(Tablo14567891011121314151617181920212223242526272829303132333435363738394041424344454647484950[[#This Row],[SATIŞ]]=0,"Açık",(E82-D82)*C82)</f>
        <v>110</v>
      </c>
      <c r="G82" s="11">
        <f>Tablo14567891011121314151617181920212223242526272829303132333435363738394041424344454647484950[[#This Row],[ADET]]*Tablo14567891011121314151617181920212223242526272829303132333435363738394041424344454647484950[[#This Row],[ALIŞ]]</f>
        <v>1790</v>
      </c>
      <c r="H82" s="11">
        <f>Tablo14567891011121314151617181920212223242526272829303132333435363738394041424344454647484950[[#This Row],[ADET]]*Tablo14567891011121314151617181920212223242526272829303132333435363738394041424344454647484950[[#This Row],[SATIŞ]]</f>
        <v>1900</v>
      </c>
      <c r="J82" s="40" t="str">
        <f t="shared" si="0"/>
        <v/>
      </c>
    </row>
    <row r="83" spans="2:11" ht="21" hidden="1" customHeight="1" x14ac:dyDescent="0.3">
      <c r="B83" s="2">
        <v>45383</v>
      </c>
      <c r="C83" s="6">
        <v>10</v>
      </c>
      <c r="D83" s="10">
        <v>178.5</v>
      </c>
      <c r="E83" s="10">
        <v>190</v>
      </c>
      <c r="F83" s="9">
        <f>IF(Tablo14567891011121314151617181920212223242526272829303132333435363738394041424344454647484950[[#This Row],[SATIŞ]]=0,"Açık",(E83-D83)*C83)</f>
        <v>115</v>
      </c>
      <c r="G83" s="11">
        <f>Tablo14567891011121314151617181920212223242526272829303132333435363738394041424344454647484950[[#This Row],[ADET]]*Tablo14567891011121314151617181920212223242526272829303132333435363738394041424344454647484950[[#This Row],[ALIŞ]]</f>
        <v>1785</v>
      </c>
      <c r="H83" s="11">
        <f>Tablo14567891011121314151617181920212223242526272829303132333435363738394041424344454647484950[[#This Row],[ADET]]*Tablo14567891011121314151617181920212223242526272829303132333435363738394041424344454647484950[[#This Row],[SATIŞ]]</f>
        <v>1900</v>
      </c>
    </row>
    <row r="84" spans="2:11" ht="21" hidden="1" customHeight="1" x14ac:dyDescent="0.3">
      <c r="B84" s="2">
        <v>45383</v>
      </c>
      <c r="C84" s="6">
        <v>10</v>
      </c>
      <c r="D84" s="10">
        <v>178</v>
      </c>
      <c r="E84" s="10">
        <v>190</v>
      </c>
      <c r="F84" s="9">
        <f>IF(Tablo14567891011121314151617181920212223242526272829303132333435363738394041424344454647484950[[#This Row],[SATIŞ]]=0,"Açık",(E84-D84)*C84)</f>
        <v>120</v>
      </c>
      <c r="G84" s="11">
        <f>Tablo14567891011121314151617181920212223242526272829303132333435363738394041424344454647484950[[#This Row],[ADET]]*Tablo14567891011121314151617181920212223242526272829303132333435363738394041424344454647484950[[#This Row],[ALIŞ]]</f>
        <v>1780</v>
      </c>
      <c r="H84" s="11">
        <f>Tablo14567891011121314151617181920212223242526272829303132333435363738394041424344454647484950[[#This Row],[ADET]]*Tablo14567891011121314151617181920212223242526272829303132333435363738394041424344454647484950[[#This Row],[SATIŞ]]</f>
        <v>1900</v>
      </c>
    </row>
    <row r="85" spans="2:11" ht="21" customHeight="1" x14ac:dyDescent="0.3">
      <c r="B85" s="2">
        <v>45383</v>
      </c>
      <c r="C85" s="6">
        <v>20</v>
      </c>
      <c r="D85" s="10">
        <v>177</v>
      </c>
      <c r="E85" s="10"/>
      <c r="F85" s="9" t="str">
        <f>IF(Tablo14567891011121314151617181920212223242526272829303132333435363738394041424344454647484950[[#This Row],[SATIŞ]]=0,"Açık",(E85-D85)*C85)</f>
        <v>Açık</v>
      </c>
      <c r="G85" s="11">
        <f>Tablo14567891011121314151617181920212223242526272829303132333435363738394041424344454647484950[[#This Row],[ADET]]*Tablo14567891011121314151617181920212223242526272829303132333435363738394041424344454647484950[[#This Row],[ALIŞ]]</f>
        <v>3540</v>
      </c>
      <c r="H85" s="11">
        <f>Tablo14567891011121314151617181920212223242526272829303132333435363738394041424344454647484950[[#This Row],[ADET]]*Tablo14567891011121314151617181920212223242526272829303132333435363738394041424344454647484950[[#This Row],[SATIŞ]]</f>
        <v>0</v>
      </c>
    </row>
    <row r="86" spans="2:11" ht="21" customHeight="1" x14ac:dyDescent="0.3">
      <c r="B86" s="2">
        <v>45383</v>
      </c>
      <c r="C86" s="6">
        <v>20</v>
      </c>
      <c r="D86" s="10">
        <v>175.5</v>
      </c>
      <c r="E86" s="10"/>
      <c r="F86" s="9" t="str">
        <f>IF(Tablo14567891011121314151617181920212223242526272829303132333435363738394041424344454647484950[[#This Row],[SATIŞ]]=0,"Açık",(E86-D86)*C86)</f>
        <v>Açık</v>
      </c>
      <c r="G86" s="11">
        <f>Tablo14567891011121314151617181920212223242526272829303132333435363738394041424344454647484950[[#This Row],[ADET]]*Tablo14567891011121314151617181920212223242526272829303132333435363738394041424344454647484950[[#This Row],[ALIŞ]]</f>
        <v>3510</v>
      </c>
      <c r="H86" s="11">
        <f>Tablo14567891011121314151617181920212223242526272829303132333435363738394041424344454647484950[[#This Row],[ADET]]*Tablo14567891011121314151617181920212223242526272829303132333435363738394041424344454647484950[[#This Row],[SATIŞ]]</f>
        <v>0</v>
      </c>
    </row>
    <row r="87" spans="2:11" ht="21" customHeight="1" x14ac:dyDescent="0.3">
      <c r="B87" s="2">
        <v>45383</v>
      </c>
      <c r="C87" s="6">
        <v>20</v>
      </c>
      <c r="D87" s="10">
        <v>174</v>
      </c>
      <c r="E87" s="10"/>
      <c r="F87" s="9" t="str">
        <f>IF(Tablo14567891011121314151617181920212223242526272829303132333435363738394041424344454647484950[[#This Row],[SATIŞ]]=0,"Açık",(E87-D87)*C87)</f>
        <v>Açık</v>
      </c>
      <c r="G87" s="11">
        <f>Tablo14567891011121314151617181920212223242526272829303132333435363738394041424344454647484950[[#This Row],[ADET]]*Tablo14567891011121314151617181920212223242526272829303132333435363738394041424344454647484950[[#This Row],[ALIŞ]]</f>
        <v>3480</v>
      </c>
      <c r="H87" s="11">
        <f>Tablo14567891011121314151617181920212223242526272829303132333435363738394041424344454647484950[[#This Row],[ADET]]*Tablo14567891011121314151617181920212223242526272829303132333435363738394041424344454647484950[[#This Row],[SATIŞ]]</f>
        <v>0</v>
      </c>
    </row>
    <row r="88" spans="2:11" ht="21" hidden="1" customHeight="1" x14ac:dyDescent="0.3">
      <c r="B88" s="2">
        <v>45384</v>
      </c>
      <c r="C88" s="6">
        <v>10</v>
      </c>
      <c r="D88" s="10">
        <v>178</v>
      </c>
      <c r="E88" s="10">
        <v>182.5</v>
      </c>
      <c r="F88" s="9">
        <f>IF(Tablo14567891011121314151617181920212223242526272829303132333435363738394041424344454647484950[[#This Row],[SATIŞ]]=0,"Açık",(E88-D88)*C88)</f>
        <v>45</v>
      </c>
      <c r="G88" s="11">
        <f>Tablo14567891011121314151617181920212223242526272829303132333435363738394041424344454647484950[[#This Row],[ADET]]*Tablo14567891011121314151617181920212223242526272829303132333435363738394041424344454647484950[[#This Row],[ALIŞ]]</f>
        <v>1780</v>
      </c>
      <c r="H88" s="11">
        <f>Tablo14567891011121314151617181920212223242526272829303132333435363738394041424344454647484950[[#This Row],[ADET]]*Tablo14567891011121314151617181920212223242526272829303132333435363738394041424344454647484950[[#This Row],[SATIŞ]]</f>
        <v>1825</v>
      </c>
    </row>
    <row r="89" spans="2:11" ht="21" hidden="1" customHeight="1" x14ac:dyDescent="0.3">
      <c r="B89" s="2">
        <v>45385</v>
      </c>
      <c r="C89" s="6">
        <v>10</v>
      </c>
      <c r="D89" s="10">
        <v>165.1</v>
      </c>
      <c r="E89" s="10">
        <v>170</v>
      </c>
      <c r="F89" s="9">
        <f>IF(Tablo14567891011121314151617181920212223242526272829303132333435363738394041424344454647484950[[#This Row],[SATIŞ]]=0,"Açık",(E89-D89)*C89)</f>
        <v>49.000000000000057</v>
      </c>
      <c r="G89" s="11">
        <f>Tablo14567891011121314151617181920212223242526272829303132333435363738394041424344454647484950[[#This Row],[ADET]]*Tablo14567891011121314151617181920212223242526272829303132333435363738394041424344454647484950[[#This Row],[ALIŞ]]</f>
        <v>1651</v>
      </c>
      <c r="H89" s="11">
        <f>Tablo14567891011121314151617181920212223242526272829303132333435363738394041424344454647484950[[#This Row],[ADET]]*Tablo14567891011121314151617181920212223242526272829303132333435363738394041424344454647484950[[#This Row],[SATIŞ]]</f>
        <v>1700</v>
      </c>
    </row>
    <row r="90" spans="2:11" ht="21" hidden="1" customHeight="1" x14ac:dyDescent="0.3">
      <c r="B90" s="2">
        <v>45385</v>
      </c>
      <c r="C90" s="6">
        <v>1</v>
      </c>
      <c r="D90" s="10">
        <v>1</v>
      </c>
      <c r="E90" s="10">
        <v>4857.8</v>
      </c>
      <c r="F90" s="9">
        <f>IF(Tablo14567891011121314151617181920212223242526272829303132333435363738394041424344454647484950[[#This Row],[SATIŞ]]=0,"Açık",(E90-D90)*C90)</f>
        <v>4856.8</v>
      </c>
      <c r="G90" s="11">
        <f>Tablo14567891011121314151617181920212223242526272829303132333435363738394041424344454647484950[[#This Row],[ADET]]*Tablo14567891011121314151617181920212223242526272829303132333435363738394041424344454647484950[[#This Row],[ALIŞ]]</f>
        <v>1</v>
      </c>
      <c r="H90" s="11">
        <f>Tablo14567891011121314151617181920212223242526272829303132333435363738394041424344454647484950[[#This Row],[ADET]]*Tablo14567891011121314151617181920212223242526272829303132333435363738394041424344454647484950[[#This Row],[SATIŞ]]</f>
        <v>4857.8</v>
      </c>
    </row>
    <row r="91" spans="2:11" ht="21" customHeight="1" x14ac:dyDescent="0.3">
      <c r="B91" s="2">
        <v>45390</v>
      </c>
      <c r="C91" s="6">
        <v>100</v>
      </c>
      <c r="D91" s="10">
        <v>182.1</v>
      </c>
      <c r="E91" s="10"/>
      <c r="F91" s="9" t="str">
        <f>IF(Tablo14567891011121314151617181920212223242526272829303132333435363738394041424344454647484950[[#This Row],[SATIŞ]]=0,"Açık",(E91-D91)*C91)</f>
        <v>Açık</v>
      </c>
      <c r="G91" s="11">
        <f>Tablo14567891011121314151617181920212223242526272829303132333435363738394041424344454647484950[[#This Row],[ADET]]*Tablo14567891011121314151617181920212223242526272829303132333435363738394041424344454647484950[[#This Row],[ALIŞ]]</f>
        <v>18210</v>
      </c>
      <c r="H91" s="11">
        <f>Tablo14567891011121314151617181920212223242526272829303132333435363738394041424344454647484950[[#This Row],[ADET]]*Tablo14567891011121314151617181920212223242526272829303132333435363738394041424344454647484950[[#This Row],[SATIŞ]]</f>
        <v>0</v>
      </c>
      <c r="K91">
        <f>520*9.34</f>
        <v>4856.8</v>
      </c>
    </row>
    <row r="92" spans="2:11" ht="21" customHeight="1" x14ac:dyDescent="0.3">
      <c r="B92" s="2">
        <v>45390</v>
      </c>
      <c r="C92" s="6">
        <v>100</v>
      </c>
      <c r="D92" s="10">
        <v>182.1</v>
      </c>
      <c r="E92" s="10"/>
      <c r="F92" s="9" t="str">
        <f>IF(Tablo14567891011121314151617181920212223242526272829303132333435363738394041424344454647484950[[#This Row],[SATIŞ]]=0,"Açık",(E92-D92)*C92)</f>
        <v>Açık</v>
      </c>
      <c r="G92" s="11">
        <f>Tablo14567891011121314151617181920212223242526272829303132333435363738394041424344454647484950[[#This Row],[ADET]]*Tablo14567891011121314151617181920212223242526272829303132333435363738394041424344454647484950[[#This Row],[ALIŞ]]</f>
        <v>18210</v>
      </c>
      <c r="H92" s="11">
        <f>Tablo14567891011121314151617181920212223242526272829303132333435363738394041424344454647484950[[#This Row],[ADET]]*Tablo14567891011121314151617181920212223242526272829303132333435363738394041424344454647484950[[#This Row],[SATIŞ]]</f>
        <v>0</v>
      </c>
    </row>
    <row r="93" spans="2:11" ht="21" customHeight="1" x14ac:dyDescent="0.3">
      <c r="B93" s="2">
        <v>45390</v>
      </c>
      <c r="C93" s="6">
        <v>100</v>
      </c>
      <c r="D93" s="10">
        <v>182</v>
      </c>
      <c r="E93" s="10"/>
      <c r="F93" s="9" t="str">
        <f>IF(Tablo14567891011121314151617181920212223242526272829303132333435363738394041424344454647484950[[#This Row],[SATIŞ]]=0,"Açık",(E93-D93)*C93)</f>
        <v>Açık</v>
      </c>
      <c r="G93" s="11">
        <f>Tablo14567891011121314151617181920212223242526272829303132333435363738394041424344454647484950[[#This Row],[ADET]]*Tablo14567891011121314151617181920212223242526272829303132333435363738394041424344454647484950[[#This Row],[ALIŞ]]</f>
        <v>18200</v>
      </c>
      <c r="H93" s="11">
        <f>Tablo14567891011121314151617181920212223242526272829303132333435363738394041424344454647484950[[#This Row],[ADET]]*Tablo14567891011121314151617181920212223242526272829303132333435363738394041424344454647484950[[#This Row],[SATIŞ]]</f>
        <v>0</v>
      </c>
    </row>
    <row r="94" spans="2:11" ht="21" customHeight="1" x14ac:dyDescent="0.3">
      <c r="B94" s="2">
        <v>45390</v>
      </c>
      <c r="C94" s="6">
        <v>100</v>
      </c>
      <c r="D94" s="10">
        <v>181.9</v>
      </c>
      <c r="E94" s="10"/>
      <c r="F94" s="9" t="str">
        <f>IF(Tablo14567891011121314151617181920212223242526272829303132333435363738394041424344454647484950[[#This Row],[SATIŞ]]=0,"Açık",(E94-D94)*C94)</f>
        <v>Açık</v>
      </c>
      <c r="G94" s="11">
        <f>Tablo14567891011121314151617181920212223242526272829303132333435363738394041424344454647484950[[#This Row],[ADET]]*Tablo14567891011121314151617181920212223242526272829303132333435363738394041424344454647484950[[#This Row],[ALIŞ]]</f>
        <v>18190</v>
      </c>
      <c r="H94" s="11">
        <f>Tablo14567891011121314151617181920212223242526272829303132333435363738394041424344454647484950[[#This Row],[ADET]]*Tablo14567891011121314151617181920212223242526272829303132333435363738394041424344454647484950[[#This Row],[SATIŞ]]</f>
        <v>0</v>
      </c>
    </row>
    <row r="95" spans="2:11" ht="21" customHeight="1" x14ac:dyDescent="0.3">
      <c r="B95" s="2">
        <v>45390</v>
      </c>
      <c r="C95" s="6">
        <v>100</v>
      </c>
      <c r="D95" s="10">
        <v>181.8</v>
      </c>
      <c r="E95" s="10"/>
      <c r="F95" s="9" t="str">
        <f>IF(Tablo14567891011121314151617181920212223242526272829303132333435363738394041424344454647484950[[#This Row],[SATIŞ]]=0,"Açık",(E95-D95)*C95)</f>
        <v>Açık</v>
      </c>
      <c r="G95" s="11">
        <f>Tablo14567891011121314151617181920212223242526272829303132333435363738394041424344454647484950[[#This Row],[ADET]]*Tablo14567891011121314151617181920212223242526272829303132333435363738394041424344454647484950[[#This Row],[ALIŞ]]</f>
        <v>18180</v>
      </c>
      <c r="H95" s="11">
        <f>Tablo14567891011121314151617181920212223242526272829303132333435363738394041424344454647484950[[#This Row],[ADET]]*Tablo14567891011121314151617181920212223242526272829303132333435363738394041424344454647484950[[#This Row],[SATIŞ]]</f>
        <v>0</v>
      </c>
    </row>
    <row r="96" spans="2:11" ht="21" customHeight="1" x14ac:dyDescent="0.3">
      <c r="B96" s="2">
        <v>45390</v>
      </c>
      <c r="C96" s="6">
        <v>100</v>
      </c>
      <c r="D96" s="10">
        <v>181.7</v>
      </c>
      <c r="E96" s="10"/>
      <c r="F96" s="9" t="str">
        <f>IF(Tablo14567891011121314151617181920212223242526272829303132333435363738394041424344454647484950[[#This Row],[SATIŞ]]=0,"Açık",(E96-D96)*C96)</f>
        <v>Açık</v>
      </c>
      <c r="G96" s="11">
        <f>Tablo14567891011121314151617181920212223242526272829303132333435363738394041424344454647484950[[#This Row],[ADET]]*Tablo14567891011121314151617181920212223242526272829303132333435363738394041424344454647484950[[#This Row],[ALIŞ]]</f>
        <v>18170</v>
      </c>
      <c r="H96" s="11">
        <f>Tablo14567891011121314151617181920212223242526272829303132333435363738394041424344454647484950[[#This Row],[ADET]]*Tablo14567891011121314151617181920212223242526272829303132333435363738394041424344454647484950[[#This Row],[SATIŞ]]</f>
        <v>0</v>
      </c>
    </row>
    <row r="97" spans="2:8" ht="21" hidden="1" customHeight="1" x14ac:dyDescent="0.3">
      <c r="B97" s="2">
        <v>45390</v>
      </c>
      <c r="C97" s="6">
        <v>100</v>
      </c>
      <c r="D97" s="10">
        <v>181.6</v>
      </c>
      <c r="E97" s="10">
        <v>190.5</v>
      </c>
      <c r="F97" s="9">
        <f>IF(Tablo14567891011121314151617181920212223242526272829303132333435363738394041424344454647484950[[#This Row],[SATIŞ]]=0,"Açık",(E97-D97)*C97)</f>
        <v>890.00000000000057</v>
      </c>
      <c r="G97" s="11">
        <f>Tablo14567891011121314151617181920212223242526272829303132333435363738394041424344454647484950[[#This Row],[ADET]]*Tablo14567891011121314151617181920212223242526272829303132333435363738394041424344454647484950[[#This Row],[ALIŞ]]</f>
        <v>18160</v>
      </c>
      <c r="H97" s="11">
        <f>Tablo14567891011121314151617181920212223242526272829303132333435363738394041424344454647484950[[#This Row],[ADET]]*Tablo14567891011121314151617181920212223242526272829303132333435363738394041424344454647484950[[#This Row],[SATIŞ]]</f>
        <v>19050</v>
      </c>
    </row>
    <row r="98" spans="2:8" ht="21" hidden="1" customHeight="1" x14ac:dyDescent="0.3">
      <c r="B98" s="2">
        <v>45391</v>
      </c>
      <c r="C98" s="6">
        <v>10</v>
      </c>
      <c r="D98" s="10">
        <v>184.3</v>
      </c>
      <c r="E98" s="10">
        <v>188</v>
      </c>
      <c r="F98" s="9">
        <f>IF(Tablo14567891011121314151617181920212223242526272829303132333435363738394041424344454647484950[[#This Row],[SATIŞ]]=0,"Açık",(E98-D98)*C98)</f>
        <v>36.999999999999886</v>
      </c>
      <c r="G98" s="11">
        <f>Tablo14567891011121314151617181920212223242526272829303132333435363738394041424344454647484950[[#This Row],[ADET]]*Tablo14567891011121314151617181920212223242526272829303132333435363738394041424344454647484950[[#This Row],[ALIŞ]]</f>
        <v>1843</v>
      </c>
      <c r="H98" s="11">
        <f>Tablo14567891011121314151617181920212223242526272829303132333435363738394041424344454647484950[[#This Row],[ADET]]*Tablo14567891011121314151617181920212223242526272829303132333435363738394041424344454647484950[[#This Row],[SATIŞ]]</f>
        <v>1880</v>
      </c>
    </row>
    <row r="99" spans="2:8" ht="21" customHeight="1" x14ac:dyDescent="0.3">
      <c r="B99" s="2">
        <v>45391</v>
      </c>
      <c r="C99" s="6">
        <v>30</v>
      </c>
      <c r="D99" s="10">
        <v>184.3</v>
      </c>
      <c r="E99" s="10"/>
      <c r="F99" s="9" t="str">
        <f>IF(Tablo14567891011121314151617181920212223242526272829303132333435363738394041424344454647484950[[#This Row],[SATIŞ]]=0,"Açık",(E99-D99)*C99)</f>
        <v>Açık</v>
      </c>
      <c r="G99" s="11">
        <f>Tablo14567891011121314151617181920212223242526272829303132333435363738394041424344454647484950[[#This Row],[ADET]]*Tablo14567891011121314151617181920212223242526272829303132333435363738394041424344454647484950[[#This Row],[ALIŞ]]</f>
        <v>5529</v>
      </c>
      <c r="H99" s="11">
        <f>Tablo14567891011121314151617181920212223242526272829303132333435363738394041424344454647484950[[#This Row],[ADET]]*Tablo14567891011121314151617181920212223242526272829303132333435363738394041424344454647484950[[#This Row],[SATIŞ]]</f>
        <v>0</v>
      </c>
    </row>
    <row r="100" spans="2:8" ht="21" hidden="1" customHeight="1" x14ac:dyDescent="0.3">
      <c r="B100" s="2">
        <v>45391</v>
      </c>
      <c r="C100" s="6">
        <v>10</v>
      </c>
      <c r="D100" s="10">
        <v>184.3</v>
      </c>
      <c r="E100" s="10">
        <v>187.5</v>
      </c>
      <c r="F100" s="9">
        <f>IF(Tablo14567891011121314151617181920212223242526272829303132333435363738394041424344454647484950[[#This Row],[SATIŞ]]=0,"Açık",(E100-D100)*C100)</f>
        <v>31.999999999999886</v>
      </c>
      <c r="G100" s="11">
        <f>Tablo14567891011121314151617181920212223242526272829303132333435363738394041424344454647484950[[#This Row],[ADET]]*Tablo14567891011121314151617181920212223242526272829303132333435363738394041424344454647484950[[#This Row],[ALIŞ]]</f>
        <v>1843</v>
      </c>
      <c r="H100" s="11">
        <f>Tablo14567891011121314151617181920212223242526272829303132333435363738394041424344454647484950[[#This Row],[ADET]]*Tablo14567891011121314151617181920212223242526272829303132333435363738394041424344454647484950[[#This Row],[SATIŞ]]</f>
        <v>1875</v>
      </c>
    </row>
    <row r="101" spans="2:8" ht="21" hidden="1" customHeight="1" x14ac:dyDescent="0.3">
      <c r="B101" s="2">
        <v>45391</v>
      </c>
      <c r="C101" s="6">
        <v>20</v>
      </c>
      <c r="D101" s="10">
        <v>184.3</v>
      </c>
      <c r="E101" s="10">
        <v>186.75</v>
      </c>
      <c r="F101" s="9">
        <f>IF(Tablo14567891011121314151617181920212223242526272829303132333435363738394041424344454647484950[[#This Row],[SATIŞ]]=0,"Açık",(E101-D101)*C101)</f>
        <v>48.999999999999773</v>
      </c>
      <c r="G101" s="11">
        <f>Tablo14567891011121314151617181920212223242526272829303132333435363738394041424344454647484950[[#This Row],[ADET]]*Tablo14567891011121314151617181920212223242526272829303132333435363738394041424344454647484950[[#This Row],[ALIŞ]]</f>
        <v>3686</v>
      </c>
      <c r="H101" s="11">
        <f>Tablo14567891011121314151617181920212223242526272829303132333435363738394041424344454647484950[[#This Row],[ADET]]*Tablo14567891011121314151617181920212223242526272829303132333435363738394041424344454647484950[[#This Row],[SATIŞ]]</f>
        <v>3735</v>
      </c>
    </row>
    <row r="102" spans="2:8" ht="21" hidden="1" customHeight="1" x14ac:dyDescent="0.3">
      <c r="B102" s="2">
        <v>45391</v>
      </c>
      <c r="C102" s="6">
        <v>30</v>
      </c>
      <c r="D102" s="10">
        <v>184.3</v>
      </c>
      <c r="E102" s="10">
        <v>186</v>
      </c>
      <c r="F102" s="9">
        <f>IF(Tablo14567891011121314151617181920212223242526272829303132333435363738394041424344454647484950[[#This Row],[SATIŞ]]=0,"Açık",(E102-D102)*C102)</f>
        <v>50.999999999999659</v>
      </c>
      <c r="G102" s="11">
        <f>Tablo14567891011121314151617181920212223242526272829303132333435363738394041424344454647484950[[#This Row],[ADET]]*Tablo14567891011121314151617181920212223242526272829303132333435363738394041424344454647484950[[#This Row],[ALIŞ]]</f>
        <v>5529</v>
      </c>
      <c r="H102" s="11">
        <f>Tablo14567891011121314151617181920212223242526272829303132333435363738394041424344454647484950[[#This Row],[ADET]]*Tablo14567891011121314151617181920212223242526272829303132333435363738394041424344454647484950[[#This Row],[SATIŞ]]</f>
        <v>5580</v>
      </c>
    </row>
    <row r="103" spans="2:8" ht="21" customHeight="1" x14ac:dyDescent="0.3">
      <c r="B103" s="2">
        <v>45391</v>
      </c>
      <c r="C103" s="6">
        <v>100</v>
      </c>
      <c r="D103" s="10">
        <v>184.5</v>
      </c>
      <c r="E103" s="10"/>
      <c r="F103" s="9" t="str">
        <f>IF(Tablo14567891011121314151617181920212223242526272829303132333435363738394041424344454647484950[[#This Row],[SATIŞ]]=0,"Açık",(E103-D103)*C103)</f>
        <v>Açık</v>
      </c>
      <c r="G103" s="11">
        <f>Tablo14567891011121314151617181920212223242526272829303132333435363738394041424344454647484950[[#This Row],[ADET]]*Tablo14567891011121314151617181920212223242526272829303132333435363738394041424344454647484950[[#This Row],[ALIŞ]]</f>
        <v>18450</v>
      </c>
      <c r="H103" s="11">
        <f>Tablo14567891011121314151617181920212223242526272829303132333435363738394041424344454647484950[[#This Row],[ADET]]*Tablo14567891011121314151617181920212223242526272829303132333435363738394041424344454647484950[[#This Row],[SATIŞ]]</f>
        <v>0</v>
      </c>
    </row>
    <row r="104" spans="2:8" ht="21" customHeight="1" x14ac:dyDescent="0.3">
      <c r="B104" s="2">
        <v>45397</v>
      </c>
      <c r="C104" s="6">
        <v>110</v>
      </c>
      <c r="D104" s="10">
        <v>185</v>
      </c>
      <c r="E104" s="10"/>
      <c r="F104" s="9" t="str">
        <f>IF(Tablo14567891011121314151617181920212223242526272829303132333435363738394041424344454647484950[[#This Row],[SATIŞ]]=0,"Açık",(E104-D104)*C104)</f>
        <v>Açık</v>
      </c>
      <c r="G104" s="11">
        <f>Tablo14567891011121314151617181920212223242526272829303132333435363738394041424344454647484950[[#This Row],[ADET]]*Tablo14567891011121314151617181920212223242526272829303132333435363738394041424344454647484950[[#This Row],[ALIŞ]]</f>
        <v>20350</v>
      </c>
      <c r="H104" s="11">
        <f>Tablo14567891011121314151617181920212223242526272829303132333435363738394041424344454647484950[[#This Row],[ADET]]*Tablo14567891011121314151617181920212223242526272829303132333435363738394041424344454647484950[[#This Row],[SATIŞ]]</f>
        <v>0</v>
      </c>
    </row>
  </sheetData>
  <conditionalFormatting sqref="B4:F104">
    <cfRule type="expression" dxfId="11" priority="1">
      <formula>$F4&lt;0</formula>
    </cfRule>
    <cfRule type="expression" dxfId="10" priority="2">
      <formula>$F4="Açık"</formula>
    </cfRule>
    <cfRule type="expression" dxfId="9" priority="3">
      <formula>$F4&gt;0</formula>
    </cfRule>
  </conditionalFormatting>
  <hyperlinks>
    <hyperlink ref="B1" location="İcmal!A1" display="ANA SAYFA" xr:uid="{E5BBCE55-9C4C-44B7-8F01-AAF0509E0E67}"/>
  </hyperlinks>
  <pageMargins left="0.7" right="0.7" top="0.75" bottom="0.75" header="0.3" footer="0.3"/>
  <tableParts count="1">
    <tablePart r:id="rId1"/>
  </tablePart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40489-157B-47A2-A360-F3CE04937812}">
  <dimension ref="B1:R96"/>
  <sheetViews>
    <sheetView showGridLines="0" showZeros="0" zoomScale="110" zoomScaleNormal="110" workbookViewId="0">
      <pane ySplit="3" topLeftCell="A35" activePane="bottomLeft" state="frozen"/>
      <selection pane="bottomLeft" activeCell="E87" sqref="E87"/>
    </sheetView>
  </sheetViews>
  <sheetFormatPr defaultRowHeight="21" customHeight="1" x14ac:dyDescent="0.3"/>
  <cols>
    <col min="2" max="2" width="20.6640625" style="1" customWidth="1"/>
    <col min="3" max="3" width="11.33203125" style="6" customWidth="1"/>
    <col min="4" max="5" width="12.88671875" style="3" customWidth="1"/>
    <col min="6" max="6" width="12.88671875" style="5" customWidth="1"/>
    <col min="7" max="8" width="11.6640625" bestFit="1" customWidth="1"/>
    <col min="10" max="12" width="12.44140625" customWidth="1"/>
    <col min="13" max="13" width="12.6640625" bestFit="1" customWidth="1"/>
    <col min="14" max="14" width="11.6640625" bestFit="1" customWidth="1"/>
  </cols>
  <sheetData>
    <row r="1" spans="2:18" ht="21" customHeight="1" x14ac:dyDescent="0.3">
      <c r="B1" s="12" t="s">
        <v>64</v>
      </c>
      <c r="C1" s="4">
        <f>SUMIF(Tablo1456789101112131415161718192021222324252627282930313233343536373839404142434445464748495051[KAR],"Açık",Tablo1456789101112131415161718192021222324252627282930313233343536373839404142434445464748495051[ADET])</f>
        <v>1900</v>
      </c>
      <c r="D1" s="10">
        <f>+İcmal!E68</f>
        <v>15.32</v>
      </c>
      <c r="E1" s="10">
        <f>C1*D1</f>
        <v>29108</v>
      </c>
      <c r="F1" s="10">
        <f>IFERROR(((SUM(Tablo1456789101112131415161718192021222324252627282930313233343536373839404142434445464748495051[ALIŞ TUTAR])-SUM(Tablo1456789101112131415161718192021222324252627282930313233343536373839404142434445464748495051[SATIŞ TUTAR]))/C1),"")</f>
        <v>14.402526315789467</v>
      </c>
      <c r="G1" s="10">
        <f>IF(M3=0,L3,C1*(D1-F1))</f>
        <v>1743.2000000000126</v>
      </c>
      <c r="J1" s="45" t="s">
        <v>94</v>
      </c>
      <c r="K1" s="45" t="s">
        <v>95</v>
      </c>
      <c r="L1" s="45" t="s">
        <v>96</v>
      </c>
      <c r="M1" s="33">
        <f>F1</f>
        <v>14.402526315789467</v>
      </c>
      <c r="N1" s="8" t="e">
        <f>M1*(1+$J$1)</f>
        <v>#VALUE!</v>
      </c>
      <c r="P1" s="8" t="e">
        <f>Q1*(1-$J$1)</f>
        <v>#VALUE!</v>
      </c>
      <c r="Q1" s="33">
        <f>+D1</f>
        <v>15.32</v>
      </c>
      <c r="R1" s="8" t="e">
        <f>Q1*(1+$J$1)</f>
        <v>#VALUE!</v>
      </c>
    </row>
    <row r="2" spans="2:18" ht="21" customHeight="1" x14ac:dyDescent="0.3">
      <c r="B2" s="7" t="s">
        <v>60</v>
      </c>
      <c r="J2" s="45">
        <f>SUMIFS(Tablo2[HEDEF2],Tablo2[HİSSE],B2)</f>
        <v>1</v>
      </c>
      <c r="K2" s="45">
        <f>+E1/İcmal!$P$2</f>
        <v>894.80479557331694</v>
      </c>
      <c r="L2" s="45">
        <f>+J2-K2</f>
        <v>-893.80479557331694</v>
      </c>
    </row>
    <row r="3" spans="2:18" ht="21" customHeight="1" x14ac:dyDescent="0.3">
      <c r="B3" s="1" t="s">
        <v>0</v>
      </c>
      <c r="C3" s="6" t="s">
        <v>4</v>
      </c>
      <c r="D3" s="3" t="s">
        <v>1</v>
      </c>
      <c r="E3" s="3" t="s">
        <v>3</v>
      </c>
      <c r="F3" s="5" t="s">
        <v>2</v>
      </c>
      <c r="G3" s="3" t="s">
        <v>8</v>
      </c>
      <c r="H3" s="3" t="s">
        <v>9</v>
      </c>
      <c r="L3" s="33">
        <f>SUM(Tablo1456789101112131415161718192021222324252627282930313233343536373839404142434445464748495051[KAR])</f>
        <v>6665.1999999999925</v>
      </c>
      <c r="M3" s="37">
        <f>+C1</f>
        <v>1900</v>
      </c>
    </row>
    <row r="4" spans="2:18" ht="21" hidden="1" customHeight="1" x14ac:dyDescent="0.3">
      <c r="B4" s="2">
        <v>45327</v>
      </c>
      <c r="C4" s="6">
        <v>50</v>
      </c>
      <c r="D4" s="10">
        <v>21</v>
      </c>
      <c r="E4" s="10">
        <v>19</v>
      </c>
      <c r="F4" s="9">
        <f>IF(Tablo1456789101112131415161718192021222324252627282930313233343536373839404142434445464748495051[[#This Row],[SATIŞ]]=0,"Açık",(E4-D4)*C4)</f>
        <v>-100</v>
      </c>
      <c r="G4" s="11">
        <f>Tablo1456789101112131415161718192021222324252627282930313233343536373839404142434445464748495051[[#This Row],[ADET]]*Tablo1456789101112131415161718192021222324252627282930313233343536373839404142434445464748495051[[#This Row],[ALIŞ]]</f>
        <v>1050</v>
      </c>
      <c r="H4" s="11">
        <f>Tablo1456789101112131415161718192021222324252627282930313233343536373839404142434445464748495051[[#This Row],[ADET]]*Tablo1456789101112131415161718192021222324252627282930313233343536373839404142434445464748495051[[#This Row],[SATIŞ]]</f>
        <v>950</v>
      </c>
      <c r="L4" s="8">
        <f>SUM(Tablo1456789101112131415161718192021222324252627282930313233343536373839404142434445464748495051[ALIŞ TUTAR])</f>
        <v>305292.59999999998</v>
      </c>
      <c r="M4" s="8">
        <f>SUM(Tablo1456789101112131415161718192021222324252627282930313233343536373839404142434445464748495051[SATIŞ TUTAR])</f>
        <v>277927.8</v>
      </c>
      <c r="N4" s="8">
        <f>L4-M4</f>
        <v>27364.799999999988</v>
      </c>
    </row>
    <row r="5" spans="2:18" ht="21" hidden="1" customHeight="1" x14ac:dyDescent="0.3">
      <c r="B5" s="2">
        <v>45329</v>
      </c>
      <c r="C5" s="6">
        <v>20</v>
      </c>
      <c r="D5" s="10">
        <v>19.95</v>
      </c>
      <c r="E5" s="10">
        <v>19</v>
      </c>
      <c r="F5" s="9">
        <f>IF(Tablo1456789101112131415161718192021222324252627282930313233343536373839404142434445464748495051[[#This Row],[SATIŞ]]=0,"Açık",(E5-D5)*C5)</f>
        <v>-18.999999999999986</v>
      </c>
      <c r="G5" s="11">
        <f>Tablo1456789101112131415161718192021222324252627282930313233343536373839404142434445464748495051[[#This Row],[ADET]]*Tablo1456789101112131415161718192021222324252627282930313233343536373839404142434445464748495051[[#This Row],[ALIŞ]]</f>
        <v>399</v>
      </c>
      <c r="H5" s="11">
        <f>Tablo1456789101112131415161718192021222324252627282930313233343536373839404142434445464748495051[[#This Row],[ADET]]*Tablo1456789101112131415161718192021222324252627282930313233343536373839404142434445464748495051[[#This Row],[SATIŞ]]</f>
        <v>380</v>
      </c>
      <c r="N5">
        <f>+N4/80</f>
        <v>342.05999999999983</v>
      </c>
    </row>
    <row r="6" spans="2:18" ht="21" hidden="1" customHeight="1" x14ac:dyDescent="0.3">
      <c r="B6" s="2">
        <v>45329</v>
      </c>
      <c r="C6" s="6">
        <v>20</v>
      </c>
      <c r="D6" s="10">
        <v>19.7</v>
      </c>
      <c r="E6" s="10">
        <v>19</v>
      </c>
      <c r="F6" s="9">
        <f>IF(Tablo1456789101112131415161718192021222324252627282930313233343536373839404142434445464748495051[[#This Row],[SATIŞ]]=0,"Açık",(E6-D6)*C6)</f>
        <v>-13.999999999999986</v>
      </c>
      <c r="G6" s="11">
        <f>Tablo1456789101112131415161718192021222324252627282930313233343536373839404142434445464748495051[[#This Row],[ADET]]*Tablo1456789101112131415161718192021222324252627282930313233343536373839404142434445464748495051[[#This Row],[ALIŞ]]</f>
        <v>394</v>
      </c>
      <c r="H6" s="11">
        <f>Tablo1456789101112131415161718192021222324252627282930313233343536373839404142434445464748495051[[#This Row],[ADET]]*Tablo1456789101112131415161718192021222324252627282930313233343536373839404142434445464748495051[[#This Row],[SATIŞ]]</f>
        <v>380</v>
      </c>
    </row>
    <row r="7" spans="2:18" ht="21" hidden="1" customHeight="1" x14ac:dyDescent="0.3">
      <c r="B7" s="2">
        <v>45329</v>
      </c>
      <c r="C7" s="6">
        <v>10</v>
      </c>
      <c r="D7" s="10">
        <v>19.7</v>
      </c>
      <c r="E7" s="10">
        <v>19.899999999999999</v>
      </c>
      <c r="F7" s="9">
        <f>IF(Tablo1456789101112131415161718192021222324252627282930313233343536373839404142434445464748495051[[#This Row],[SATIŞ]]=0,"Açık",(E7-D7)*C7)</f>
        <v>1.9999999999999929</v>
      </c>
      <c r="G7" s="11">
        <f>Tablo1456789101112131415161718192021222324252627282930313233343536373839404142434445464748495051[[#This Row],[ADET]]*Tablo1456789101112131415161718192021222324252627282930313233343536373839404142434445464748495051[[#This Row],[ALIŞ]]</f>
        <v>197</v>
      </c>
      <c r="H7" s="11">
        <f>Tablo1456789101112131415161718192021222324252627282930313233343536373839404142434445464748495051[[#This Row],[ADET]]*Tablo1456789101112131415161718192021222324252627282930313233343536373839404142434445464748495051[[#This Row],[SATIŞ]]</f>
        <v>199</v>
      </c>
    </row>
    <row r="8" spans="2:18" ht="21" hidden="1" customHeight="1" x14ac:dyDescent="0.3">
      <c r="B8" s="2">
        <v>45330</v>
      </c>
      <c r="C8" s="6">
        <v>20</v>
      </c>
      <c r="D8" s="10">
        <v>19.8</v>
      </c>
      <c r="E8" s="10">
        <v>19</v>
      </c>
      <c r="F8" s="9">
        <f>IF(Tablo1456789101112131415161718192021222324252627282930313233343536373839404142434445464748495051[[#This Row],[SATIŞ]]=0,"Açık",(E8-D8)*C8)</f>
        <v>-16.000000000000014</v>
      </c>
      <c r="G8" s="11">
        <f>Tablo1456789101112131415161718192021222324252627282930313233343536373839404142434445464748495051[[#This Row],[ADET]]*Tablo1456789101112131415161718192021222324252627282930313233343536373839404142434445464748495051[[#This Row],[ALIŞ]]</f>
        <v>396</v>
      </c>
      <c r="H8" s="11">
        <f>Tablo1456789101112131415161718192021222324252627282930313233343536373839404142434445464748495051[[#This Row],[ADET]]*Tablo1456789101112131415161718192021222324252627282930313233343536373839404142434445464748495051[[#This Row],[SATIŞ]]</f>
        <v>380</v>
      </c>
    </row>
    <row r="9" spans="2:18" ht="21" hidden="1" customHeight="1" x14ac:dyDescent="0.3">
      <c r="B9" s="2">
        <v>45331</v>
      </c>
      <c r="C9" s="6">
        <v>40</v>
      </c>
      <c r="D9" s="10">
        <v>19.3</v>
      </c>
      <c r="E9" s="10">
        <v>19</v>
      </c>
      <c r="F9" s="9">
        <f>IF(Tablo1456789101112131415161718192021222324252627282930313233343536373839404142434445464748495051[[#This Row],[SATIŞ]]=0,"Açık",(E9-D9)*C9)</f>
        <v>-12.000000000000028</v>
      </c>
      <c r="G9" s="11">
        <f>Tablo1456789101112131415161718192021222324252627282930313233343536373839404142434445464748495051[[#This Row],[ADET]]*Tablo1456789101112131415161718192021222324252627282930313233343536373839404142434445464748495051[[#This Row],[ALIŞ]]</f>
        <v>772</v>
      </c>
      <c r="H9" s="11">
        <f>Tablo1456789101112131415161718192021222324252627282930313233343536373839404142434445464748495051[[#This Row],[ADET]]*Tablo1456789101112131415161718192021222324252627282930313233343536373839404142434445464748495051[[#This Row],[SATIŞ]]</f>
        <v>760</v>
      </c>
    </row>
    <row r="10" spans="2:18" ht="21" hidden="1" customHeight="1" x14ac:dyDescent="0.3">
      <c r="B10" s="2">
        <v>45334</v>
      </c>
      <c r="C10" s="6">
        <v>50</v>
      </c>
      <c r="D10" s="10">
        <v>19</v>
      </c>
      <c r="E10" s="10">
        <v>19</v>
      </c>
      <c r="F10" s="9">
        <f>IF(Tablo1456789101112131415161718192021222324252627282930313233343536373839404142434445464748495051[[#This Row],[SATIŞ]]=0,"Açık",(E10-D10)*C10)</f>
        <v>0</v>
      </c>
      <c r="G10" s="11">
        <f>Tablo1456789101112131415161718192021222324252627282930313233343536373839404142434445464748495051[[#This Row],[ADET]]*Tablo1456789101112131415161718192021222324252627282930313233343536373839404142434445464748495051[[#This Row],[ALIŞ]]</f>
        <v>950</v>
      </c>
      <c r="H10" s="11">
        <f>Tablo1456789101112131415161718192021222324252627282930313233343536373839404142434445464748495051[[#This Row],[ADET]]*Tablo1456789101112131415161718192021222324252627282930313233343536373839404142434445464748495051[[#This Row],[SATIŞ]]</f>
        <v>950</v>
      </c>
    </row>
    <row r="11" spans="2:18" ht="21" hidden="1" customHeight="1" x14ac:dyDescent="0.3">
      <c r="B11" s="2">
        <v>45335</v>
      </c>
      <c r="C11" s="6">
        <v>100</v>
      </c>
      <c r="D11" s="10">
        <v>18.5</v>
      </c>
      <c r="E11" s="10">
        <v>18.53</v>
      </c>
      <c r="F11" s="9">
        <f>IF(Tablo1456789101112131415161718192021222324252627282930313233343536373839404142434445464748495051[[#This Row],[SATIŞ]]=0,"Açık",(E11-D11)*C11)</f>
        <v>3.0000000000001137</v>
      </c>
      <c r="G11" s="11">
        <f>Tablo1456789101112131415161718192021222324252627282930313233343536373839404142434445464748495051[[#This Row],[ADET]]*Tablo1456789101112131415161718192021222324252627282930313233343536373839404142434445464748495051[[#This Row],[ALIŞ]]</f>
        <v>1850</v>
      </c>
      <c r="H11" s="11">
        <f>Tablo1456789101112131415161718192021222324252627282930313233343536373839404142434445464748495051[[#This Row],[ADET]]*Tablo1456789101112131415161718192021222324252627282930313233343536373839404142434445464748495051[[#This Row],[SATIŞ]]</f>
        <v>1853</v>
      </c>
    </row>
    <row r="12" spans="2:18" ht="21" hidden="1" customHeight="1" x14ac:dyDescent="0.3">
      <c r="B12" s="2">
        <v>45335</v>
      </c>
      <c r="C12" s="6">
        <v>200</v>
      </c>
      <c r="D12" s="10">
        <v>18</v>
      </c>
      <c r="E12" s="10">
        <v>18.5</v>
      </c>
      <c r="F12" s="9">
        <f>IF(Tablo1456789101112131415161718192021222324252627282930313233343536373839404142434445464748495051[[#This Row],[SATIŞ]]=0,"Açık",(E12-D12)*C12)</f>
        <v>100</v>
      </c>
      <c r="G12" s="11">
        <f>Tablo1456789101112131415161718192021222324252627282930313233343536373839404142434445464748495051[[#This Row],[ADET]]*Tablo1456789101112131415161718192021222324252627282930313233343536373839404142434445464748495051[[#This Row],[ALIŞ]]</f>
        <v>3600</v>
      </c>
      <c r="H12" s="11">
        <f>Tablo1456789101112131415161718192021222324252627282930313233343536373839404142434445464748495051[[#This Row],[ADET]]*Tablo1456789101112131415161718192021222324252627282930313233343536373839404142434445464748495051[[#This Row],[SATIŞ]]</f>
        <v>3700</v>
      </c>
    </row>
    <row r="13" spans="2:18" ht="21" hidden="1" customHeight="1" x14ac:dyDescent="0.3">
      <c r="B13" s="2">
        <v>45336</v>
      </c>
      <c r="C13" s="6">
        <v>100</v>
      </c>
      <c r="D13" s="10">
        <v>17.7</v>
      </c>
      <c r="E13" s="10">
        <v>18.2</v>
      </c>
      <c r="F13" s="9">
        <f>IF(Tablo1456789101112131415161718192021222324252627282930313233343536373839404142434445464748495051[[#This Row],[SATIŞ]]=0,"Açık",(E13-D13)*C13)</f>
        <v>50</v>
      </c>
      <c r="G13" s="11">
        <f>Tablo1456789101112131415161718192021222324252627282930313233343536373839404142434445464748495051[[#This Row],[ADET]]*Tablo1456789101112131415161718192021222324252627282930313233343536373839404142434445464748495051[[#This Row],[ALIŞ]]</f>
        <v>1770</v>
      </c>
      <c r="H13" s="11">
        <f>Tablo1456789101112131415161718192021222324252627282930313233343536373839404142434445464748495051[[#This Row],[ADET]]*Tablo1456789101112131415161718192021222324252627282930313233343536373839404142434445464748495051[[#This Row],[SATIŞ]]</f>
        <v>1820</v>
      </c>
    </row>
    <row r="14" spans="2:18" ht="21" hidden="1" customHeight="1" x14ac:dyDescent="0.3">
      <c r="B14" s="2">
        <v>45338</v>
      </c>
      <c r="C14" s="6">
        <v>200</v>
      </c>
      <c r="D14" s="10">
        <v>18.8</v>
      </c>
      <c r="E14" s="10">
        <v>19.100000000000001</v>
      </c>
      <c r="F14" s="9">
        <f>IF(Tablo1456789101112131415161718192021222324252627282930313233343536373839404142434445464748495051[[#This Row],[SATIŞ]]=0,"Açık",(E14-D14)*C14)</f>
        <v>60.000000000000142</v>
      </c>
      <c r="G14" s="11">
        <f>Tablo1456789101112131415161718192021222324252627282930313233343536373839404142434445464748495051[[#This Row],[ADET]]*Tablo1456789101112131415161718192021222324252627282930313233343536373839404142434445464748495051[[#This Row],[ALIŞ]]</f>
        <v>3760</v>
      </c>
      <c r="H14" s="11">
        <f>Tablo1456789101112131415161718192021222324252627282930313233343536373839404142434445464748495051[[#This Row],[ADET]]*Tablo1456789101112131415161718192021222324252627282930313233343536373839404142434445464748495051[[#This Row],[SATIŞ]]</f>
        <v>3820.0000000000005</v>
      </c>
    </row>
    <row r="15" spans="2:18" ht="21" hidden="1" customHeight="1" x14ac:dyDescent="0.3">
      <c r="B15" s="2">
        <v>45341</v>
      </c>
      <c r="C15" s="6">
        <v>200</v>
      </c>
      <c r="D15" s="10">
        <v>18.649999999999999</v>
      </c>
      <c r="E15" s="10">
        <v>19</v>
      </c>
      <c r="F15" s="9">
        <f>IF(Tablo1456789101112131415161718192021222324252627282930313233343536373839404142434445464748495051[[#This Row],[SATIŞ]]=0,"Açık",(E15-D15)*C15)</f>
        <v>70.000000000000284</v>
      </c>
      <c r="G15" s="11">
        <f>Tablo1456789101112131415161718192021222324252627282930313233343536373839404142434445464748495051[[#This Row],[ADET]]*Tablo1456789101112131415161718192021222324252627282930313233343536373839404142434445464748495051[[#This Row],[ALIŞ]]</f>
        <v>3729.9999999999995</v>
      </c>
      <c r="H15" s="11">
        <f>Tablo1456789101112131415161718192021222324252627282930313233343536373839404142434445464748495051[[#This Row],[ADET]]*Tablo1456789101112131415161718192021222324252627282930313233343536373839404142434445464748495051[[#This Row],[SATIŞ]]</f>
        <v>3800</v>
      </c>
    </row>
    <row r="16" spans="2:18" ht="21" hidden="1" customHeight="1" x14ac:dyDescent="0.3">
      <c r="B16" s="2">
        <v>45341</v>
      </c>
      <c r="C16" s="6">
        <v>200</v>
      </c>
      <c r="D16" s="10">
        <v>18.649999999999999</v>
      </c>
      <c r="E16" s="10">
        <v>18.7</v>
      </c>
      <c r="F16" s="9">
        <f>IF(Tablo1456789101112131415161718192021222324252627282930313233343536373839404142434445464748495051[[#This Row],[SATIŞ]]=0,"Açık",(E16-D16)*C16)</f>
        <v>10.000000000000142</v>
      </c>
      <c r="G16" s="11">
        <f>Tablo1456789101112131415161718192021222324252627282930313233343536373839404142434445464748495051[[#This Row],[ADET]]*Tablo1456789101112131415161718192021222324252627282930313233343536373839404142434445464748495051[[#This Row],[ALIŞ]]</f>
        <v>3729.9999999999995</v>
      </c>
      <c r="H16" s="11">
        <f>Tablo1456789101112131415161718192021222324252627282930313233343536373839404142434445464748495051[[#This Row],[ADET]]*Tablo1456789101112131415161718192021222324252627282930313233343536373839404142434445464748495051[[#This Row],[SATIŞ]]</f>
        <v>3740</v>
      </c>
    </row>
    <row r="17" spans="2:8" ht="21" hidden="1" customHeight="1" x14ac:dyDescent="0.3">
      <c r="B17" s="2">
        <v>45342</v>
      </c>
      <c r="C17" s="6">
        <v>200</v>
      </c>
      <c r="D17" s="10">
        <v>18.5</v>
      </c>
      <c r="E17" s="10">
        <v>18.8</v>
      </c>
      <c r="F17" s="9">
        <f>IF(Tablo1456789101112131415161718192021222324252627282930313233343536373839404142434445464748495051[[#This Row],[SATIŞ]]=0,"Açık",(E17-D17)*C17)</f>
        <v>60.000000000000142</v>
      </c>
      <c r="G17" s="11">
        <f>Tablo1456789101112131415161718192021222324252627282930313233343536373839404142434445464748495051[[#This Row],[ADET]]*Tablo1456789101112131415161718192021222324252627282930313233343536373839404142434445464748495051[[#This Row],[ALIŞ]]</f>
        <v>3700</v>
      </c>
      <c r="H17" s="11">
        <f>Tablo1456789101112131415161718192021222324252627282930313233343536373839404142434445464748495051[[#This Row],[ADET]]*Tablo1456789101112131415161718192021222324252627282930313233343536373839404142434445464748495051[[#This Row],[SATIŞ]]</f>
        <v>3760</v>
      </c>
    </row>
    <row r="18" spans="2:8" ht="21" hidden="1" customHeight="1" x14ac:dyDescent="0.3">
      <c r="B18" s="2">
        <v>45343</v>
      </c>
      <c r="C18" s="6">
        <v>700</v>
      </c>
      <c r="D18" s="10">
        <v>18.3</v>
      </c>
      <c r="E18" s="10">
        <v>18.399999999999999</v>
      </c>
      <c r="F18" s="9">
        <f>IF(Tablo1456789101112131415161718192021222324252627282930313233343536373839404142434445464748495051[[#This Row],[SATIŞ]]=0,"Açık",(E18-D18)*C18)</f>
        <v>69.999999999998508</v>
      </c>
      <c r="G18" s="11">
        <f>Tablo1456789101112131415161718192021222324252627282930313233343536373839404142434445464748495051[[#This Row],[ADET]]*Tablo1456789101112131415161718192021222324252627282930313233343536373839404142434445464748495051[[#This Row],[ALIŞ]]</f>
        <v>12810</v>
      </c>
      <c r="H18" s="11">
        <f>Tablo1456789101112131415161718192021222324252627282930313233343536373839404142434445464748495051[[#This Row],[ADET]]*Tablo1456789101112131415161718192021222324252627282930313233343536373839404142434445464748495051[[#This Row],[SATIŞ]]</f>
        <v>12879.999999999998</v>
      </c>
    </row>
    <row r="19" spans="2:8" ht="21" hidden="1" customHeight="1" x14ac:dyDescent="0.3">
      <c r="B19" s="2">
        <v>45343</v>
      </c>
      <c r="C19" s="6">
        <v>912</v>
      </c>
      <c r="D19" s="10">
        <v>18.3</v>
      </c>
      <c r="E19" s="10">
        <v>18.399999999999999</v>
      </c>
      <c r="F19" s="9">
        <f>IF(Tablo1456789101112131415161718192021222324252627282930313233343536373839404142434445464748495051[[#This Row],[SATIŞ]]=0,"Açık",(E19-D19)*C19)</f>
        <v>91.199999999998056</v>
      </c>
      <c r="G19" s="11">
        <f>Tablo1456789101112131415161718192021222324252627282930313233343536373839404142434445464748495051[[#This Row],[ADET]]*Tablo1456789101112131415161718192021222324252627282930313233343536373839404142434445464748495051[[#This Row],[ALIŞ]]</f>
        <v>16689.600000000002</v>
      </c>
      <c r="H19" s="11">
        <f>Tablo1456789101112131415161718192021222324252627282930313233343536373839404142434445464748495051[[#This Row],[ADET]]*Tablo1456789101112131415161718192021222324252627282930313233343536373839404142434445464748495051[[#This Row],[SATIŞ]]</f>
        <v>16780.8</v>
      </c>
    </row>
    <row r="20" spans="2:8" ht="21" hidden="1" customHeight="1" x14ac:dyDescent="0.3">
      <c r="B20" s="2">
        <v>45343</v>
      </c>
      <c r="C20" s="6">
        <v>200</v>
      </c>
      <c r="D20" s="10">
        <v>18.3</v>
      </c>
      <c r="E20" s="10">
        <v>18.5</v>
      </c>
      <c r="F20" s="9">
        <f>IF(Tablo1456789101112131415161718192021222324252627282930313233343536373839404142434445464748495051[[#This Row],[SATIŞ]]=0,"Açık",(E20-D20)*C20)</f>
        <v>39.999999999999858</v>
      </c>
      <c r="G20" s="11">
        <f>Tablo1456789101112131415161718192021222324252627282930313233343536373839404142434445464748495051[[#This Row],[ADET]]*Tablo1456789101112131415161718192021222324252627282930313233343536373839404142434445464748495051[[#This Row],[ALIŞ]]</f>
        <v>3660</v>
      </c>
      <c r="H20" s="11">
        <f>Tablo1456789101112131415161718192021222324252627282930313233343536373839404142434445464748495051[[#This Row],[ADET]]*Tablo1456789101112131415161718192021222324252627282930313233343536373839404142434445464748495051[[#This Row],[SATIŞ]]</f>
        <v>3700</v>
      </c>
    </row>
    <row r="21" spans="2:8" ht="21" hidden="1" customHeight="1" x14ac:dyDescent="0.3">
      <c r="B21" s="2">
        <v>45343</v>
      </c>
      <c r="C21" s="6">
        <v>1000</v>
      </c>
      <c r="D21" s="10">
        <v>18.3</v>
      </c>
      <c r="E21" s="10">
        <v>18.600000000000001</v>
      </c>
      <c r="F21" s="9">
        <f>IF(Tablo1456789101112131415161718192021222324252627282930313233343536373839404142434445464748495051[[#This Row],[SATIŞ]]=0,"Açık",(E21-D21)*C21)</f>
        <v>300.00000000000068</v>
      </c>
      <c r="G21" s="11">
        <f>Tablo1456789101112131415161718192021222324252627282930313233343536373839404142434445464748495051[[#This Row],[ADET]]*Tablo1456789101112131415161718192021222324252627282930313233343536373839404142434445464748495051[[#This Row],[ALIŞ]]</f>
        <v>18300</v>
      </c>
      <c r="H21" s="11">
        <f>Tablo1456789101112131415161718192021222324252627282930313233343536373839404142434445464748495051[[#This Row],[ADET]]*Tablo1456789101112131415161718192021222324252627282930313233343536373839404142434445464748495051[[#This Row],[SATIŞ]]</f>
        <v>18600</v>
      </c>
    </row>
    <row r="22" spans="2:8" ht="21" hidden="1" customHeight="1" x14ac:dyDescent="0.3">
      <c r="B22" s="2">
        <v>45343</v>
      </c>
      <c r="C22" s="6">
        <v>600</v>
      </c>
      <c r="D22" s="10">
        <v>18.3</v>
      </c>
      <c r="E22" s="10">
        <v>18.55</v>
      </c>
      <c r="F22" s="9">
        <f>IF(Tablo1456789101112131415161718192021222324252627282930313233343536373839404142434445464748495051[[#This Row],[SATIŞ]]=0,"Açık",(E22-D22)*C22)</f>
        <v>150</v>
      </c>
      <c r="G22" s="11">
        <f>Tablo1456789101112131415161718192021222324252627282930313233343536373839404142434445464748495051[[#This Row],[ADET]]*Tablo1456789101112131415161718192021222324252627282930313233343536373839404142434445464748495051[[#This Row],[ALIŞ]]</f>
        <v>10980</v>
      </c>
      <c r="H22" s="11">
        <f>Tablo1456789101112131415161718192021222324252627282930313233343536373839404142434445464748495051[[#This Row],[ADET]]*Tablo1456789101112131415161718192021222324252627282930313233343536373839404142434445464748495051[[#This Row],[SATIŞ]]</f>
        <v>11130</v>
      </c>
    </row>
    <row r="23" spans="2:8" ht="21" hidden="1" customHeight="1" x14ac:dyDescent="0.3">
      <c r="B23" s="2">
        <v>45343</v>
      </c>
      <c r="C23" s="6">
        <v>100</v>
      </c>
      <c r="D23" s="10">
        <v>18.3</v>
      </c>
      <c r="E23" s="10">
        <v>19.149999999999999</v>
      </c>
      <c r="F23" s="9">
        <f>IF(Tablo1456789101112131415161718192021222324252627282930313233343536373839404142434445464748495051[[#This Row],[SATIŞ]]=0,"Açık",(E23-D23)*C23)</f>
        <v>84.999999999999787</v>
      </c>
      <c r="G23" s="11">
        <f>Tablo1456789101112131415161718192021222324252627282930313233343536373839404142434445464748495051[[#This Row],[ADET]]*Tablo1456789101112131415161718192021222324252627282930313233343536373839404142434445464748495051[[#This Row],[ALIŞ]]</f>
        <v>1830</v>
      </c>
      <c r="H23" s="11">
        <f>Tablo1456789101112131415161718192021222324252627282930313233343536373839404142434445464748495051[[#This Row],[ADET]]*Tablo1456789101112131415161718192021222324252627282930313233343536373839404142434445464748495051[[#This Row],[SATIŞ]]</f>
        <v>1914.9999999999998</v>
      </c>
    </row>
    <row r="24" spans="2:8" ht="21" hidden="1" customHeight="1" x14ac:dyDescent="0.3">
      <c r="B24" s="2">
        <v>45343</v>
      </c>
      <c r="C24" s="6">
        <v>700</v>
      </c>
      <c r="D24" s="10">
        <v>18.3</v>
      </c>
      <c r="E24" s="10">
        <v>19.45</v>
      </c>
      <c r="F24" s="9">
        <f>IF(Tablo1456789101112131415161718192021222324252627282930313233343536373839404142434445464748495051[[#This Row],[SATIŞ]]=0,"Açık",(E24-D24)*C24)</f>
        <v>804.99999999999898</v>
      </c>
      <c r="G24" s="11">
        <f>Tablo1456789101112131415161718192021222324252627282930313233343536373839404142434445464748495051[[#This Row],[ADET]]*Tablo1456789101112131415161718192021222324252627282930313233343536373839404142434445464748495051[[#This Row],[ALIŞ]]</f>
        <v>12810</v>
      </c>
      <c r="H24" s="11">
        <f>Tablo1456789101112131415161718192021222324252627282930313233343536373839404142434445464748495051[[#This Row],[ADET]]*Tablo1456789101112131415161718192021222324252627282930313233343536373839404142434445464748495051[[#This Row],[SATIŞ]]</f>
        <v>13615</v>
      </c>
    </row>
    <row r="25" spans="2:8" ht="21" hidden="1" customHeight="1" x14ac:dyDescent="0.3">
      <c r="B25" s="2">
        <v>45343</v>
      </c>
      <c r="C25" s="6">
        <v>300</v>
      </c>
      <c r="D25" s="10">
        <v>18.3</v>
      </c>
      <c r="E25" s="10">
        <v>20</v>
      </c>
      <c r="F25" s="9">
        <f>IF(Tablo1456789101112131415161718192021222324252627282930313233343536373839404142434445464748495051[[#This Row],[SATIŞ]]=0,"Açık",(E25-D25)*C25)</f>
        <v>509.99999999999977</v>
      </c>
      <c r="G25" s="11">
        <f>Tablo1456789101112131415161718192021222324252627282930313233343536373839404142434445464748495051[[#This Row],[ADET]]*Tablo1456789101112131415161718192021222324252627282930313233343536373839404142434445464748495051[[#This Row],[ALIŞ]]</f>
        <v>5490</v>
      </c>
      <c r="H25" s="11">
        <f>Tablo1456789101112131415161718192021222324252627282930313233343536373839404142434445464748495051[[#This Row],[ADET]]*Tablo1456789101112131415161718192021222324252627282930313233343536373839404142434445464748495051[[#This Row],[SATIŞ]]</f>
        <v>6000</v>
      </c>
    </row>
    <row r="26" spans="2:8" ht="21" hidden="1" customHeight="1" x14ac:dyDescent="0.3">
      <c r="B26" s="2">
        <v>45343</v>
      </c>
      <c r="C26" s="6">
        <v>500</v>
      </c>
      <c r="D26" s="10">
        <v>18.3</v>
      </c>
      <c r="E26" s="10">
        <v>18.899999999999999</v>
      </c>
      <c r="F26" s="9">
        <f>IF(Tablo1456789101112131415161718192021222324252627282930313233343536373839404142434445464748495051[[#This Row],[SATIŞ]]=0,"Açık",(E26-D26)*C26)</f>
        <v>299.99999999999892</v>
      </c>
      <c r="G26" s="11">
        <f>Tablo1456789101112131415161718192021222324252627282930313233343536373839404142434445464748495051[[#This Row],[ADET]]*Tablo1456789101112131415161718192021222324252627282930313233343536373839404142434445464748495051[[#This Row],[ALIŞ]]</f>
        <v>9150</v>
      </c>
      <c r="H26" s="11">
        <f>Tablo1456789101112131415161718192021222324252627282930313233343536373839404142434445464748495051[[#This Row],[ADET]]*Tablo1456789101112131415161718192021222324252627282930313233343536373839404142434445464748495051[[#This Row],[SATIŞ]]</f>
        <v>9450</v>
      </c>
    </row>
    <row r="27" spans="2:8" ht="21" hidden="1" customHeight="1" x14ac:dyDescent="0.3">
      <c r="B27" s="2">
        <v>45343</v>
      </c>
      <c r="C27" s="6">
        <v>700</v>
      </c>
      <c r="D27" s="10">
        <v>18.3</v>
      </c>
      <c r="E27" s="10">
        <v>18.5</v>
      </c>
      <c r="F27" s="9">
        <f>IF(Tablo1456789101112131415161718192021222324252627282930313233343536373839404142434445464748495051[[#This Row],[SATIŞ]]=0,"Açık",(E27-D27)*C27)</f>
        <v>139.99999999999949</v>
      </c>
      <c r="G27" s="11">
        <f>Tablo1456789101112131415161718192021222324252627282930313233343536373839404142434445464748495051[[#This Row],[ADET]]*Tablo1456789101112131415161718192021222324252627282930313233343536373839404142434445464748495051[[#This Row],[ALIŞ]]</f>
        <v>12810</v>
      </c>
      <c r="H27" s="11">
        <f>Tablo1456789101112131415161718192021222324252627282930313233343536373839404142434445464748495051[[#This Row],[ADET]]*Tablo1456789101112131415161718192021222324252627282930313233343536373839404142434445464748495051[[#This Row],[SATIŞ]]</f>
        <v>12950</v>
      </c>
    </row>
    <row r="28" spans="2:8" ht="21" hidden="1" customHeight="1" x14ac:dyDescent="0.3">
      <c r="B28" s="2">
        <v>45343</v>
      </c>
      <c r="C28" s="6">
        <v>1000</v>
      </c>
      <c r="D28" s="10">
        <v>18.3</v>
      </c>
      <c r="E28" s="10">
        <v>18.399999999999999</v>
      </c>
      <c r="F28" s="9">
        <f>IF(Tablo1456789101112131415161718192021222324252627282930313233343536373839404142434445464748495051[[#This Row],[SATIŞ]]=0,"Açık",(E28-D28)*C28)</f>
        <v>99.999999999997868</v>
      </c>
      <c r="G28" s="11">
        <f>Tablo1456789101112131415161718192021222324252627282930313233343536373839404142434445464748495051[[#This Row],[ADET]]*Tablo1456789101112131415161718192021222324252627282930313233343536373839404142434445464748495051[[#This Row],[ALIŞ]]</f>
        <v>18300</v>
      </c>
      <c r="H28" s="11">
        <f>Tablo1456789101112131415161718192021222324252627282930313233343536373839404142434445464748495051[[#This Row],[ADET]]*Tablo1456789101112131415161718192021222324252627282930313233343536373839404142434445464748495051[[#This Row],[SATIŞ]]</f>
        <v>18400</v>
      </c>
    </row>
    <row r="29" spans="2:8" ht="21" hidden="1" customHeight="1" x14ac:dyDescent="0.3">
      <c r="B29" s="2">
        <v>45343</v>
      </c>
      <c r="C29" s="6">
        <v>600</v>
      </c>
      <c r="D29" s="10">
        <v>18.3</v>
      </c>
      <c r="E29" s="10">
        <v>18.399999999999999</v>
      </c>
      <c r="F29" s="9">
        <f>IF(Tablo1456789101112131415161718192021222324252627282930313233343536373839404142434445464748495051[[#This Row],[SATIŞ]]=0,"Açık",(E29-D29)*C29)</f>
        <v>59.999999999998721</v>
      </c>
      <c r="G29" s="11">
        <f>Tablo1456789101112131415161718192021222324252627282930313233343536373839404142434445464748495051[[#This Row],[ADET]]*Tablo1456789101112131415161718192021222324252627282930313233343536373839404142434445464748495051[[#This Row],[ALIŞ]]</f>
        <v>10980</v>
      </c>
      <c r="H29" s="11">
        <f>Tablo1456789101112131415161718192021222324252627282930313233343536373839404142434445464748495051[[#This Row],[ADET]]*Tablo1456789101112131415161718192021222324252627282930313233343536373839404142434445464748495051[[#This Row],[SATIŞ]]</f>
        <v>11040</v>
      </c>
    </row>
    <row r="30" spans="2:8" ht="21" hidden="1" customHeight="1" x14ac:dyDescent="0.3">
      <c r="B30" s="2">
        <v>45343</v>
      </c>
      <c r="C30" s="6">
        <v>200</v>
      </c>
      <c r="D30" s="10">
        <v>18.100000000000001</v>
      </c>
      <c r="E30" s="10">
        <v>18.2</v>
      </c>
      <c r="F30" s="9">
        <f>IF(Tablo1456789101112131415161718192021222324252627282930313233343536373839404142434445464748495051[[#This Row],[SATIŞ]]=0,"Açık",(E30-D30)*C30)</f>
        <v>19.999999999999574</v>
      </c>
      <c r="G30" s="11">
        <f>Tablo1456789101112131415161718192021222324252627282930313233343536373839404142434445464748495051[[#This Row],[ADET]]*Tablo1456789101112131415161718192021222324252627282930313233343536373839404142434445464748495051[[#This Row],[ALIŞ]]</f>
        <v>3620.0000000000005</v>
      </c>
      <c r="H30" s="11">
        <f>Tablo1456789101112131415161718192021222324252627282930313233343536373839404142434445464748495051[[#This Row],[ADET]]*Tablo1456789101112131415161718192021222324252627282930313233343536373839404142434445464748495051[[#This Row],[SATIŞ]]</f>
        <v>3640</v>
      </c>
    </row>
    <row r="31" spans="2:8" ht="21" hidden="1" customHeight="1" x14ac:dyDescent="0.3">
      <c r="B31" s="2">
        <v>45343</v>
      </c>
      <c r="C31" s="6">
        <v>200</v>
      </c>
      <c r="D31" s="10">
        <v>18.350000000000001</v>
      </c>
      <c r="E31" s="10">
        <v>19.5</v>
      </c>
      <c r="F31" s="9">
        <f>IF(Tablo1456789101112131415161718192021222324252627282930313233343536373839404142434445464748495051[[#This Row],[SATIŞ]]=0,"Açık",(E31-D31)*C31)</f>
        <v>229.99999999999972</v>
      </c>
      <c r="G31" s="11">
        <f>Tablo1456789101112131415161718192021222324252627282930313233343536373839404142434445464748495051[[#This Row],[ADET]]*Tablo1456789101112131415161718192021222324252627282930313233343536373839404142434445464748495051[[#This Row],[ALIŞ]]</f>
        <v>3670.0000000000005</v>
      </c>
      <c r="H31" s="11">
        <f>Tablo1456789101112131415161718192021222324252627282930313233343536373839404142434445464748495051[[#This Row],[ADET]]*Tablo1456789101112131415161718192021222324252627282930313233343536373839404142434445464748495051[[#This Row],[SATIŞ]]</f>
        <v>3900</v>
      </c>
    </row>
    <row r="32" spans="2:8" ht="21" hidden="1" customHeight="1" x14ac:dyDescent="0.3">
      <c r="B32" s="2">
        <v>45345</v>
      </c>
      <c r="C32" s="6">
        <v>300</v>
      </c>
      <c r="D32" s="10">
        <v>19.5</v>
      </c>
      <c r="E32" s="10">
        <v>19.600000000000001</v>
      </c>
      <c r="F32" s="9">
        <f>IF(Tablo1456789101112131415161718192021222324252627282930313233343536373839404142434445464748495051[[#This Row],[SATIŞ]]=0,"Açık",(E32-D32)*C32)</f>
        <v>30.000000000000426</v>
      </c>
      <c r="G32" s="11">
        <f>Tablo1456789101112131415161718192021222324252627282930313233343536373839404142434445464748495051[[#This Row],[ADET]]*Tablo1456789101112131415161718192021222324252627282930313233343536373839404142434445464748495051[[#This Row],[ALIŞ]]</f>
        <v>5850</v>
      </c>
      <c r="H32" s="11">
        <f>Tablo1456789101112131415161718192021222324252627282930313233343536373839404142434445464748495051[[#This Row],[ADET]]*Tablo1456789101112131415161718192021222324252627282930313233343536373839404142434445464748495051[[#This Row],[SATIŞ]]</f>
        <v>5880</v>
      </c>
    </row>
    <row r="33" spans="2:10" ht="21" hidden="1" customHeight="1" x14ac:dyDescent="0.3">
      <c r="B33" s="2">
        <v>45348</v>
      </c>
      <c r="C33" s="6">
        <v>200</v>
      </c>
      <c r="D33" s="10">
        <v>19</v>
      </c>
      <c r="E33" s="10">
        <v>19.5</v>
      </c>
      <c r="F33" s="9">
        <f>IF(Tablo1456789101112131415161718192021222324252627282930313233343536373839404142434445464748495051[[#This Row],[SATIŞ]]=0,"Açık",(E33-D33)*C33)</f>
        <v>100</v>
      </c>
      <c r="G33" s="11">
        <f>Tablo1456789101112131415161718192021222324252627282930313233343536373839404142434445464748495051[[#This Row],[ADET]]*Tablo1456789101112131415161718192021222324252627282930313233343536373839404142434445464748495051[[#This Row],[ALIŞ]]</f>
        <v>3800</v>
      </c>
      <c r="H33" s="11">
        <f>Tablo1456789101112131415161718192021222324252627282930313233343536373839404142434445464748495051[[#This Row],[ADET]]*Tablo1456789101112131415161718192021222324252627282930313233343536373839404142434445464748495051[[#This Row],[SATIŞ]]</f>
        <v>3900</v>
      </c>
    </row>
    <row r="34" spans="2:10" ht="21" hidden="1" customHeight="1" x14ac:dyDescent="0.3">
      <c r="B34" s="2">
        <v>45343</v>
      </c>
      <c r="C34" s="6">
        <v>100</v>
      </c>
      <c r="D34" s="10">
        <v>18.3</v>
      </c>
      <c r="E34" s="10">
        <v>19.2</v>
      </c>
      <c r="F34" s="9">
        <f>IF(Tablo1456789101112131415161718192021222324252627282930313233343536373839404142434445464748495051[[#This Row],[SATIŞ]]=0,"Açık",(E34-D34)*C34)</f>
        <v>89.999999999999858</v>
      </c>
      <c r="G34" s="11">
        <f>Tablo1456789101112131415161718192021222324252627282930313233343536373839404142434445464748495051[[#This Row],[ADET]]*Tablo1456789101112131415161718192021222324252627282930313233343536373839404142434445464748495051[[#This Row],[ALIŞ]]</f>
        <v>1830</v>
      </c>
      <c r="H34" s="11">
        <f>Tablo1456789101112131415161718192021222324252627282930313233343536373839404142434445464748495051[[#This Row],[ADET]]*Tablo1456789101112131415161718192021222324252627282930313233343536373839404142434445464748495051[[#This Row],[SATIŞ]]</f>
        <v>1920</v>
      </c>
    </row>
    <row r="35" spans="2:10" ht="21" customHeight="1" x14ac:dyDescent="0.3">
      <c r="B35" s="2">
        <v>45343</v>
      </c>
      <c r="C35" s="6">
        <v>500</v>
      </c>
      <c r="D35" s="10">
        <v>18.3</v>
      </c>
      <c r="E35" s="10"/>
      <c r="F35" s="9" t="str">
        <f>IF(Tablo1456789101112131415161718192021222324252627282930313233343536373839404142434445464748495051[[#This Row],[SATIŞ]]=0,"Açık",(E35-D35)*C35)</f>
        <v>Açık</v>
      </c>
      <c r="G35" s="11">
        <f>Tablo1456789101112131415161718192021222324252627282930313233343536373839404142434445464748495051[[#This Row],[ADET]]*Tablo1456789101112131415161718192021222324252627282930313233343536373839404142434445464748495051[[#This Row],[ALIŞ]]</f>
        <v>9150</v>
      </c>
      <c r="H35" s="11">
        <f>Tablo1456789101112131415161718192021222324252627282930313233343536373839404142434445464748495051[[#This Row],[ADET]]*Tablo1456789101112131415161718192021222324252627282930313233343536373839404142434445464748495051[[#This Row],[SATIŞ]]</f>
        <v>0</v>
      </c>
      <c r="J35" s="40">
        <f t="shared" ref="J35:J96" si="0">IF(E35=0,D35*1.05,"")</f>
        <v>19.215</v>
      </c>
    </row>
    <row r="36" spans="2:10" ht="21" hidden="1" customHeight="1" x14ac:dyDescent="0.3">
      <c r="B36" s="2">
        <v>45343</v>
      </c>
      <c r="C36" s="6">
        <v>100</v>
      </c>
      <c r="D36" s="10">
        <v>18.3</v>
      </c>
      <c r="E36" s="10">
        <v>19.2</v>
      </c>
      <c r="F36" s="9">
        <f>IF(Tablo1456789101112131415161718192021222324252627282930313233343536373839404142434445464748495051[[#This Row],[SATIŞ]]=0,"Açık",(E36-D36)*C36)</f>
        <v>89.999999999999858</v>
      </c>
      <c r="G36" s="11">
        <f>Tablo1456789101112131415161718192021222324252627282930313233343536373839404142434445464748495051[[#This Row],[ADET]]*Tablo1456789101112131415161718192021222324252627282930313233343536373839404142434445464748495051[[#This Row],[ALIŞ]]</f>
        <v>1830</v>
      </c>
      <c r="H36" s="11">
        <f>Tablo1456789101112131415161718192021222324252627282930313233343536373839404142434445464748495051[[#This Row],[ADET]]*Tablo1456789101112131415161718192021222324252627282930313233343536373839404142434445464748495051[[#This Row],[SATIŞ]]</f>
        <v>1920</v>
      </c>
      <c r="J36" s="40" t="str">
        <f t="shared" si="0"/>
        <v/>
      </c>
    </row>
    <row r="37" spans="2:10" ht="21" hidden="1" customHeight="1" x14ac:dyDescent="0.3">
      <c r="B37" s="2">
        <v>45348</v>
      </c>
      <c r="C37" s="6">
        <v>200</v>
      </c>
      <c r="D37" s="10">
        <v>19</v>
      </c>
      <c r="E37" s="10">
        <v>19.5</v>
      </c>
      <c r="F37" s="9">
        <f>IF(Tablo1456789101112131415161718192021222324252627282930313233343536373839404142434445464748495051[[#This Row],[SATIŞ]]=0,"Açık",(E37-D37)*C37)</f>
        <v>100</v>
      </c>
      <c r="G37" s="11">
        <f>Tablo1456789101112131415161718192021222324252627282930313233343536373839404142434445464748495051[[#This Row],[ADET]]*Tablo1456789101112131415161718192021222324252627282930313233343536373839404142434445464748495051[[#This Row],[ALIŞ]]</f>
        <v>3800</v>
      </c>
      <c r="H37" s="11">
        <f>Tablo1456789101112131415161718192021222324252627282930313233343536373839404142434445464748495051[[#This Row],[ADET]]*Tablo1456789101112131415161718192021222324252627282930313233343536373839404142434445464748495051[[#This Row],[SATIŞ]]</f>
        <v>3900</v>
      </c>
      <c r="J37" s="40" t="str">
        <f t="shared" si="0"/>
        <v/>
      </c>
    </row>
    <row r="38" spans="2:10" ht="21" hidden="1" customHeight="1" x14ac:dyDescent="0.3">
      <c r="B38" s="2">
        <v>45349</v>
      </c>
      <c r="C38" s="6">
        <v>200</v>
      </c>
      <c r="D38" s="10">
        <v>19</v>
      </c>
      <c r="E38" s="10">
        <v>19.2</v>
      </c>
      <c r="F38" s="9">
        <f>IF(Tablo1456789101112131415161718192021222324252627282930313233343536373839404142434445464748495051[[#This Row],[SATIŞ]]=0,"Açık",(E38-D38)*C38)</f>
        <v>39.999999999999858</v>
      </c>
      <c r="G38" s="11">
        <f>Tablo1456789101112131415161718192021222324252627282930313233343536373839404142434445464748495051[[#This Row],[ADET]]*Tablo1456789101112131415161718192021222324252627282930313233343536373839404142434445464748495051[[#This Row],[ALIŞ]]</f>
        <v>3800</v>
      </c>
      <c r="H38" s="11">
        <f>Tablo1456789101112131415161718192021222324252627282930313233343536373839404142434445464748495051[[#This Row],[ADET]]*Tablo1456789101112131415161718192021222324252627282930313233343536373839404142434445464748495051[[#This Row],[SATIŞ]]</f>
        <v>3840</v>
      </c>
      <c r="J38" s="40" t="str">
        <f t="shared" si="0"/>
        <v/>
      </c>
    </row>
    <row r="39" spans="2:10" ht="21" hidden="1" customHeight="1" x14ac:dyDescent="0.3">
      <c r="B39" s="2">
        <v>45349</v>
      </c>
      <c r="C39" s="6">
        <v>200</v>
      </c>
      <c r="D39" s="10">
        <v>18.399999999999999</v>
      </c>
      <c r="E39" s="10">
        <v>19</v>
      </c>
      <c r="F39" s="9">
        <f>IF(Tablo1456789101112131415161718192021222324252627282930313233343536373839404142434445464748495051[[#This Row],[SATIŞ]]=0,"Açık",(E39-D39)*C39)</f>
        <v>120.00000000000028</v>
      </c>
      <c r="G39" s="11">
        <f>Tablo1456789101112131415161718192021222324252627282930313233343536373839404142434445464748495051[[#This Row],[ADET]]*Tablo1456789101112131415161718192021222324252627282930313233343536373839404142434445464748495051[[#This Row],[ALIŞ]]</f>
        <v>3679.9999999999995</v>
      </c>
      <c r="H39" s="11">
        <f>Tablo1456789101112131415161718192021222324252627282930313233343536373839404142434445464748495051[[#This Row],[ADET]]*Tablo1456789101112131415161718192021222324252627282930313233343536373839404142434445464748495051[[#This Row],[SATIŞ]]</f>
        <v>3800</v>
      </c>
      <c r="J39" s="40" t="str">
        <f t="shared" si="0"/>
        <v/>
      </c>
    </row>
    <row r="40" spans="2:10" ht="21" hidden="1" customHeight="1" x14ac:dyDescent="0.3">
      <c r="B40" s="2">
        <v>45350</v>
      </c>
      <c r="C40" s="6">
        <v>200</v>
      </c>
      <c r="D40" s="10">
        <v>18.2</v>
      </c>
      <c r="E40" s="10">
        <v>18.3</v>
      </c>
      <c r="F40" s="9">
        <f>IF(Tablo1456789101112131415161718192021222324252627282930313233343536373839404142434445464748495051[[#This Row],[SATIŞ]]=0,"Açık",(E40-D40)*C40)</f>
        <v>20.000000000000284</v>
      </c>
      <c r="G40" s="11">
        <f>Tablo1456789101112131415161718192021222324252627282930313233343536373839404142434445464748495051[[#This Row],[ADET]]*Tablo1456789101112131415161718192021222324252627282930313233343536373839404142434445464748495051[[#This Row],[ALIŞ]]</f>
        <v>3640</v>
      </c>
      <c r="H40" s="11">
        <f>Tablo1456789101112131415161718192021222324252627282930313233343536373839404142434445464748495051[[#This Row],[ADET]]*Tablo1456789101112131415161718192021222324252627282930313233343536373839404142434445464748495051[[#This Row],[SATIŞ]]</f>
        <v>3660</v>
      </c>
      <c r="J40" s="40" t="str">
        <f t="shared" si="0"/>
        <v/>
      </c>
    </row>
    <row r="41" spans="2:10" ht="21" hidden="1" customHeight="1" x14ac:dyDescent="0.3">
      <c r="B41" s="2">
        <v>45350</v>
      </c>
      <c r="C41" s="6">
        <v>200</v>
      </c>
      <c r="D41" s="10">
        <v>18</v>
      </c>
      <c r="E41" s="10">
        <v>18.5</v>
      </c>
      <c r="F41" s="9">
        <f>IF(Tablo1456789101112131415161718192021222324252627282930313233343536373839404142434445464748495051[[#This Row],[SATIŞ]]=0,"Açık",(E41-D41)*C41)</f>
        <v>100</v>
      </c>
      <c r="G41" s="11">
        <f>Tablo1456789101112131415161718192021222324252627282930313233343536373839404142434445464748495051[[#This Row],[ADET]]*Tablo1456789101112131415161718192021222324252627282930313233343536373839404142434445464748495051[[#This Row],[ALIŞ]]</f>
        <v>3600</v>
      </c>
      <c r="H41" s="11">
        <f>Tablo1456789101112131415161718192021222324252627282930313233343536373839404142434445464748495051[[#This Row],[ADET]]*Tablo1456789101112131415161718192021222324252627282930313233343536373839404142434445464748495051[[#This Row],[SATIŞ]]</f>
        <v>3700</v>
      </c>
      <c r="J41" s="40" t="str">
        <f t="shared" si="0"/>
        <v/>
      </c>
    </row>
    <row r="42" spans="2:10" ht="21" hidden="1" customHeight="1" x14ac:dyDescent="0.3">
      <c r="B42" s="2">
        <v>45350</v>
      </c>
      <c r="C42" s="6">
        <v>200</v>
      </c>
      <c r="D42" s="10">
        <v>18</v>
      </c>
      <c r="E42" s="10">
        <v>18.5</v>
      </c>
      <c r="F42" s="9">
        <f>IF(Tablo1456789101112131415161718192021222324252627282930313233343536373839404142434445464748495051[[#This Row],[SATIŞ]]=0,"Açık",(E42-D42)*C42)</f>
        <v>100</v>
      </c>
      <c r="G42" s="11">
        <f>Tablo1456789101112131415161718192021222324252627282930313233343536373839404142434445464748495051[[#This Row],[ADET]]*Tablo1456789101112131415161718192021222324252627282930313233343536373839404142434445464748495051[[#This Row],[ALIŞ]]</f>
        <v>3600</v>
      </c>
      <c r="H42" s="11">
        <f>Tablo1456789101112131415161718192021222324252627282930313233343536373839404142434445464748495051[[#This Row],[ADET]]*Tablo1456789101112131415161718192021222324252627282930313233343536373839404142434445464748495051[[#This Row],[SATIŞ]]</f>
        <v>3700</v>
      </c>
      <c r="J42" s="40" t="str">
        <f t="shared" si="0"/>
        <v/>
      </c>
    </row>
    <row r="43" spans="2:10" ht="21" customHeight="1" x14ac:dyDescent="0.3">
      <c r="B43" s="2">
        <v>45359</v>
      </c>
      <c r="C43" s="6">
        <v>200</v>
      </c>
      <c r="D43" s="10">
        <v>18.8</v>
      </c>
      <c r="E43" s="10"/>
      <c r="F43" s="9" t="str">
        <f>IF(Tablo1456789101112131415161718192021222324252627282930313233343536373839404142434445464748495051[[#This Row],[SATIŞ]]=0,"Açık",(E43-D43)*C43)</f>
        <v>Açık</v>
      </c>
      <c r="G43" s="11">
        <f>Tablo1456789101112131415161718192021222324252627282930313233343536373839404142434445464748495051[[#This Row],[ADET]]*Tablo1456789101112131415161718192021222324252627282930313233343536373839404142434445464748495051[[#This Row],[ALIŞ]]</f>
        <v>3760</v>
      </c>
      <c r="H43" s="11">
        <f>Tablo1456789101112131415161718192021222324252627282930313233343536373839404142434445464748495051[[#This Row],[ADET]]*Tablo1456789101112131415161718192021222324252627282930313233343536373839404142434445464748495051[[#This Row],[SATIŞ]]</f>
        <v>0</v>
      </c>
      <c r="J43" s="40">
        <f t="shared" si="0"/>
        <v>19.740000000000002</v>
      </c>
    </row>
    <row r="44" spans="2:10" ht="21" customHeight="1" x14ac:dyDescent="0.3">
      <c r="B44" s="2">
        <v>45362</v>
      </c>
      <c r="C44" s="6">
        <v>100</v>
      </c>
      <c r="D44" s="10">
        <v>19</v>
      </c>
      <c r="E44" s="10"/>
      <c r="F44" s="9" t="str">
        <f>IF(Tablo1456789101112131415161718192021222324252627282930313233343536373839404142434445464748495051[[#This Row],[SATIŞ]]=0,"Açık",(E44-D44)*C44)</f>
        <v>Açık</v>
      </c>
      <c r="G44" s="11">
        <f>Tablo1456789101112131415161718192021222324252627282930313233343536373839404142434445464748495051[[#This Row],[ADET]]*Tablo1456789101112131415161718192021222324252627282930313233343536373839404142434445464748495051[[#This Row],[ALIŞ]]</f>
        <v>1900</v>
      </c>
      <c r="H44" s="11">
        <f>Tablo1456789101112131415161718192021222324252627282930313233343536373839404142434445464748495051[[#This Row],[ADET]]*Tablo1456789101112131415161718192021222324252627282930313233343536373839404142434445464748495051[[#This Row],[SATIŞ]]</f>
        <v>0</v>
      </c>
      <c r="J44" s="40">
        <f t="shared" si="0"/>
        <v>19.95</v>
      </c>
    </row>
    <row r="45" spans="2:10" ht="21" hidden="1" customHeight="1" x14ac:dyDescent="0.3">
      <c r="B45" s="2">
        <v>45362</v>
      </c>
      <c r="C45" s="6">
        <v>100</v>
      </c>
      <c r="D45" s="10">
        <v>18.8</v>
      </c>
      <c r="E45" s="10">
        <v>19</v>
      </c>
      <c r="F45" s="9">
        <f>IF(Tablo1456789101112131415161718192021222324252627282930313233343536373839404142434445464748495051[[#This Row],[SATIŞ]]=0,"Açık",(E45-D45)*C45)</f>
        <v>19.999999999999929</v>
      </c>
      <c r="G45" s="11">
        <f>Tablo1456789101112131415161718192021222324252627282930313233343536373839404142434445464748495051[[#This Row],[ADET]]*Tablo1456789101112131415161718192021222324252627282930313233343536373839404142434445464748495051[[#This Row],[ALIŞ]]</f>
        <v>1880</v>
      </c>
      <c r="H45" s="11">
        <f>Tablo1456789101112131415161718192021222324252627282930313233343536373839404142434445464748495051[[#This Row],[ADET]]*Tablo1456789101112131415161718192021222324252627282930313233343536373839404142434445464748495051[[#This Row],[SATIŞ]]</f>
        <v>1900</v>
      </c>
      <c r="J45" s="40" t="str">
        <f t="shared" si="0"/>
        <v/>
      </c>
    </row>
    <row r="46" spans="2:10" ht="21" hidden="1" customHeight="1" x14ac:dyDescent="0.3">
      <c r="B46" s="2">
        <v>45364</v>
      </c>
      <c r="C46" s="6">
        <v>100</v>
      </c>
      <c r="D46" s="10">
        <v>17.7</v>
      </c>
      <c r="E46" s="10">
        <v>17.899999999999999</v>
      </c>
      <c r="F46" s="9">
        <f>IF(Tablo1456789101112131415161718192021222324252627282930313233343536373839404142434445464748495051[[#This Row],[SATIŞ]]=0,"Açık",(E46-D46)*C46)</f>
        <v>19.999999999999929</v>
      </c>
      <c r="G46" s="11">
        <f>Tablo1456789101112131415161718192021222324252627282930313233343536373839404142434445464748495051[[#This Row],[ADET]]*Tablo1456789101112131415161718192021222324252627282930313233343536373839404142434445464748495051[[#This Row],[ALIŞ]]</f>
        <v>1770</v>
      </c>
      <c r="H46" s="11">
        <f>Tablo1456789101112131415161718192021222324252627282930313233343536373839404142434445464748495051[[#This Row],[ADET]]*Tablo1456789101112131415161718192021222324252627282930313233343536373839404142434445464748495051[[#This Row],[SATIŞ]]</f>
        <v>1789.9999999999998</v>
      </c>
      <c r="J46" s="40" t="str">
        <f t="shared" si="0"/>
        <v/>
      </c>
    </row>
    <row r="47" spans="2:10" ht="21" hidden="1" customHeight="1" x14ac:dyDescent="0.3">
      <c r="B47" s="2">
        <v>45364</v>
      </c>
      <c r="C47" s="6">
        <v>100</v>
      </c>
      <c r="D47" s="10">
        <v>17.7</v>
      </c>
      <c r="E47" s="10">
        <v>18</v>
      </c>
      <c r="F47" s="9">
        <f>IF(Tablo1456789101112131415161718192021222324252627282930313233343536373839404142434445464748495051[[#This Row],[SATIŞ]]=0,"Açık",(E47-D47)*C47)</f>
        <v>30.000000000000071</v>
      </c>
      <c r="G47" s="11">
        <f>Tablo1456789101112131415161718192021222324252627282930313233343536373839404142434445464748495051[[#This Row],[ADET]]*Tablo1456789101112131415161718192021222324252627282930313233343536373839404142434445464748495051[[#This Row],[ALIŞ]]</f>
        <v>1770</v>
      </c>
      <c r="H47" s="11">
        <f>Tablo1456789101112131415161718192021222324252627282930313233343536373839404142434445464748495051[[#This Row],[ADET]]*Tablo1456789101112131415161718192021222324252627282930313233343536373839404142434445464748495051[[#This Row],[SATIŞ]]</f>
        <v>1800</v>
      </c>
      <c r="J47" s="40" t="str">
        <f t="shared" si="0"/>
        <v/>
      </c>
    </row>
    <row r="48" spans="2:10" ht="21" hidden="1" customHeight="1" x14ac:dyDescent="0.3">
      <c r="B48" s="2">
        <v>45364</v>
      </c>
      <c r="C48" s="6">
        <v>100</v>
      </c>
      <c r="D48" s="10">
        <v>17.7</v>
      </c>
      <c r="E48" s="10">
        <v>18.100000000000001</v>
      </c>
      <c r="F48" s="9">
        <f>IF(Tablo1456789101112131415161718192021222324252627282930313233343536373839404142434445464748495051[[#This Row],[SATIŞ]]=0,"Açık",(E48-D48)*C48)</f>
        <v>40.000000000000213</v>
      </c>
      <c r="G48" s="11">
        <f>Tablo1456789101112131415161718192021222324252627282930313233343536373839404142434445464748495051[[#This Row],[ADET]]*Tablo1456789101112131415161718192021222324252627282930313233343536373839404142434445464748495051[[#This Row],[ALIŞ]]</f>
        <v>1770</v>
      </c>
      <c r="H48" s="11">
        <f>Tablo1456789101112131415161718192021222324252627282930313233343536373839404142434445464748495051[[#This Row],[ADET]]*Tablo1456789101112131415161718192021222324252627282930313233343536373839404142434445464748495051[[#This Row],[SATIŞ]]</f>
        <v>1810.0000000000002</v>
      </c>
      <c r="J48" s="40" t="str">
        <f t="shared" si="0"/>
        <v/>
      </c>
    </row>
    <row r="49" spans="2:10" ht="21" customHeight="1" x14ac:dyDescent="0.3">
      <c r="B49" s="2">
        <v>45364</v>
      </c>
      <c r="C49" s="6">
        <v>700</v>
      </c>
      <c r="D49" s="10">
        <v>17.7</v>
      </c>
      <c r="E49" s="10"/>
      <c r="F49" s="9" t="str">
        <f>IF(Tablo1456789101112131415161718192021222324252627282930313233343536373839404142434445464748495051[[#This Row],[SATIŞ]]=0,"Açık",(E49-D49)*C49)</f>
        <v>Açık</v>
      </c>
      <c r="G49" s="11">
        <f>Tablo1456789101112131415161718192021222324252627282930313233343536373839404142434445464748495051[[#This Row],[ADET]]*Tablo1456789101112131415161718192021222324252627282930313233343536373839404142434445464748495051[[#This Row],[ALIŞ]]</f>
        <v>12390</v>
      </c>
      <c r="H49" s="11">
        <f>Tablo1456789101112131415161718192021222324252627282930313233343536373839404142434445464748495051[[#This Row],[ADET]]*Tablo1456789101112131415161718192021222324252627282930313233343536373839404142434445464748495051[[#This Row],[SATIŞ]]</f>
        <v>0</v>
      </c>
      <c r="J49" s="40">
        <f t="shared" si="0"/>
        <v>18.585000000000001</v>
      </c>
    </row>
    <row r="50" spans="2:10" ht="21" hidden="1" customHeight="1" x14ac:dyDescent="0.3">
      <c r="B50" s="2">
        <v>45364</v>
      </c>
      <c r="C50" s="6">
        <v>100</v>
      </c>
      <c r="D50" s="10">
        <v>17.8</v>
      </c>
      <c r="E50" s="10">
        <v>18</v>
      </c>
      <c r="F50" s="9">
        <f>IF(Tablo1456789101112131415161718192021222324252627282930313233343536373839404142434445464748495051[[#This Row],[SATIŞ]]=0,"Açık",(E50-D50)*C50)</f>
        <v>19.999999999999929</v>
      </c>
      <c r="G50" s="11">
        <f>Tablo1456789101112131415161718192021222324252627282930313233343536373839404142434445464748495051[[#This Row],[ADET]]*Tablo1456789101112131415161718192021222324252627282930313233343536373839404142434445464748495051[[#This Row],[ALIŞ]]</f>
        <v>1780</v>
      </c>
      <c r="H50" s="11">
        <f>Tablo1456789101112131415161718192021222324252627282930313233343536373839404142434445464748495051[[#This Row],[ADET]]*Tablo1456789101112131415161718192021222324252627282930313233343536373839404142434445464748495051[[#This Row],[SATIŞ]]</f>
        <v>1800</v>
      </c>
      <c r="J50" s="40" t="str">
        <f t="shared" si="0"/>
        <v/>
      </c>
    </row>
    <row r="51" spans="2:10" ht="21" customHeight="1" x14ac:dyDescent="0.3">
      <c r="B51" s="2">
        <v>45364</v>
      </c>
      <c r="C51" s="6">
        <v>100</v>
      </c>
      <c r="D51" s="10">
        <v>17.8</v>
      </c>
      <c r="E51" s="10"/>
      <c r="F51" s="9" t="str">
        <f>IF(Tablo1456789101112131415161718192021222324252627282930313233343536373839404142434445464748495051[[#This Row],[SATIŞ]]=0,"Açık",(E51-D51)*C51)</f>
        <v>Açık</v>
      </c>
      <c r="G51" s="11">
        <f>Tablo1456789101112131415161718192021222324252627282930313233343536373839404142434445464748495051[[#This Row],[ADET]]*Tablo1456789101112131415161718192021222324252627282930313233343536373839404142434445464748495051[[#This Row],[ALIŞ]]</f>
        <v>1780</v>
      </c>
      <c r="H51" s="11">
        <f>Tablo1456789101112131415161718192021222324252627282930313233343536373839404142434445464748495051[[#This Row],[ADET]]*Tablo1456789101112131415161718192021222324252627282930313233343536373839404142434445464748495051[[#This Row],[SATIŞ]]</f>
        <v>0</v>
      </c>
      <c r="J51" s="40">
        <f t="shared" si="0"/>
        <v>18.690000000000001</v>
      </c>
    </row>
    <row r="52" spans="2:10" ht="21" customHeight="1" x14ac:dyDescent="0.3">
      <c r="B52" s="2">
        <v>45369</v>
      </c>
      <c r="C52" s="6">
        <v>100</v>
      </c>
      <c r="D52" s="10">
        <v>17.100000000000001</v>
      </c>
      <c r="E52" s="10"/>
      <c r="F52" s="9" t="str">
        <f>IF(Tablo1456789101112131415161718192021222324252627282930313233343536373839404142434445464748495051[[#This Row],[SATIŞ]]=0,"Açık",(E52-D52)*C52)</f>
        <v>Açık</v>
      </c>
      <c r="G52" s="11">
        <f>Tablo1456789101112131415161718192021222324252627282930313233343536373839404142434445464748495051[[#This Row],[ADET]]*Tablo1456789101112131415161718192021222324252627282930313233343536373839404142434445464748495051[[#This Row],[ALIŞ]]</f>
        <v>1710.0000000000002</v>
      </c>
      <c r="H52" s="11">
        <f>Tablo1456789101112131415161718192021222324252627282930313233343536373839404142434445464748495051[[#This Row],[ADET]]*Tablo1456789101112131415161718192021222324252627282930313233343536373839404142434445464748495051[[#This Row],[SATIŞ]]</f>
        <v>0</v>
      </c>
      <c r="J52" s="40">
        <f t="shared" si="0"/>
        <v>17.955000000000002</v>
      </c>
    </row>
    <row r="53" spans="2:10" ht="21" customHeight="1" x14ac:dyDescent="0.3">
      <c r="B53" s="2">
        <v>45369</v>
      </c>
      <c r="C53" s="6">
        <v>100</v>
      </c>
      <c r="D53" s="10">
        <v>17</v>
      </c>
      <c r="E53" s="10"/>
      <c r="F53" s="9" t="str">
        <f>IF(Tablo1456789101112131415161718192021222324252627282930313233343536373839404142434445464748495051[[#This Row],[SATIŞ]]=0,"Açık",(E53-D53)*C53)</f>
        <v>Açık</v>
      </c>
      <c r="G53" s="11">
        <f>Tablo1456789101112131415161718192021222324252627282930313233343536373839404142434445464748495051[[#This Row],[ADET]]*Tablo1456789101112131415161718192021222324252627282930313233343536373839404142434445464748495051[[#This Row],[ALIŞ]]</f>
        <v>1700</v>
      </c>
      <c r="H53" s="11">
        <f>Tablo1456789101112131415161718192021222324252627282930313233343536373839404142434445464748495051[[#This Row],[ADET]]*Tablo1456789101112131415161718192021222324252627282930313233343536373839404142434445464748495051[[#This Row],[SATIŞ]]</f>
        <v>0</v>
      </c>
      <c r="J53" s="40">
        <f t="shared" si="0"/>
        <v>17.850000000000001</v>
      </c>
    </row>
    <row r="54" spans="2:10" ht="21" hidden="1" customHeight="1" x14ac:dyDescent="0.3">
      <c r="B54" s="2">
        <v>45369</v>
      </c>
      <c r="C54" s="6">
        <v>100</v>
      </c>
      <c r="D54" s="10">
        <v>16.899999999999999</v>
      </c>
      <c r="E54" s="10">
        <v>17.100000000000001</v>
      </c>
      <c r="F54" s="9">
        <f>IF(Tablo1456789101112131415161718192021222324252627282930313233343536373839404142434445464748495051[[#This Row],[SATIŞ]]=0,"Açık",(E54-D54)*C54)</f>
        <v>20.000000000000284</v>
      </c>
      <c r="G54" s="11">
        <f>Tablo1456789101112131415161718192021222324252627282930313233343536373839404142434445464748495051[[#This Row],[ADET]]*Tablo1456789101112131415161718192021222324252627282930313233343536373839404142434445464748495051[[#This Row],[ALIŞ]]</f>
        <v>1689.9999999999998</v>
      </c>
      <c r="H54" s="11">
        <f>Tablo1456789101112131415161718192021222324252627282930313233343536373839404142434445464748495051[[#This Row],[ADET]]*Tablo1456789101112131415161718192021222324252627282930313233343536373839404142434445464748495051[[#This Row],[SATIŞ]]</f>
        <v>1710.0000000000002</v>
      </c>
      <c r="J54" s="40" t="str">
        <f t="shared" si="0"/>
        <v/>
      </c>
    </row>
    <row r="55" spans="2:10" ht="21" hidden="1" customHeight="1" x14ac:dyDescent="0.3">
      <c r="B55" s="2">
        <v>45369</v>
      </c>
      <c r="C55" s="6">
        <v>100</v>
      </c>
      <c r="D55" s="10">
        <v>16.8</v>
      </c>
      <c r="E55" s="10">
        <v>17.25</v>
      </c>
      <c r="F55" s="9">
        <f>IF(Tablo1456789101112131415161718192021222324252627282930313233343536373839404142434445464748495051[[#This Row],[SATIŞ]]=0,"Açık",(E55-D55)*C55)</f>
        <v>44.999999999999929</v>
      </c>
      <c r="G55" s="11">
        <f>Tablo1456789101112131415161718192021222324252627282930313233343536373839404142434445464748495051[[#This Row],[ADET]]*Tablo1456789101112131415161718192021222324252627282930313233343536373839404142434445464748495051[[#This Row],[ALIŞ]]</f>
        <v>1680</v>
      </c>
      <c r="H55" s="11">
        <f>Tablo1456789101112131415161718192021222324252627282930313233343536373839404142434445464748495051[[#This Row],[ADET]]*Tablo1456789101112131415161718192021222324252627282930313233343536373839404142434445464748495051[[#This Row],[SATIŞ]]</f>
        <v>1725</v>
      </c>
      <c r="J55" s="40" t="str">
        <f t="shared" si="0"/>
        <v/>
      </c>
    </row>
    <row r="56" spans="2:10" ht="21" hidden="1" customHeight="1" x14ac:dyDescent="0.3">
      <c r="B56" s="2">
        <v>45369</v>
      </c>
      <c r="C56" s="6">
        <v>100</v>
      </c>
      <c r="D56" s="10">
        <v>16.7</v>
      </c>
      <c r="E56" s="10">
        <v>17</v>
      </c>
      <c r="F56" s="9">
        <f>IF(Tablo1456789101112131415161718192021222324252627282930313233343536373839404142434445464748495051[[#This Row],[SATIŞ]]=0,"Açık",(E56-D56)*C56)</f>
        <v>30.000000000000071</v>
      </c>
      <c r="G56" s="11">
        <f>Tablo1456789101112131415161718192021222324252627282930313233343536373839404142434445464748495051[[#This Row],[ADET]]*Tablo1456789101112131415161718192021222324252627282930313233343536373839404142434445464748495051[[#This Row],[ALIŞ]]</f>
        <v>1670</v>
      </c>
      <c r="H56" s="11">
        <f>Tablo1456789101112131415161718192021222324252627282930313233343536373839404142434445464748495051[[#This Row],[ADET]]*Tablo1456789101112131415161718192021222324252627282930313233343536373839404142434445464748495051[[#This Row],[SATIŞ]]</f>
        <v>1700</v>
      </c>
      <c r="J56" s="40" t="str">
        <f t="shared" si="0"/>
        <v/>
      </c>
    </row>
    <row r="57" spans="2:10" ht="21" hidden="1" customHeight="1" x14ac:dyDescent="0.3">
      <c r="B57" s="2">
        <v>45369</v>
      </c>
      <c r="C57" s="6">
        <v>100</v>
      </c>
      <c r="D57" s="10">
        <v>16.7</v>
      </c>
      <c r="E57" s="10">
        <v>16.899999999999999</v>
      </c>
      <c r="F57" s="9">
        <f>IF(Tablo1456789101112131415161718192021222324252627282930313233343536373839404142434445464748495051[[#This Row],[SATIŞ]]=0,"Açık",(E57-D57)*C57)</f>
        <v>19.999999999999929</v>
      </c>
      <c r="G57" s="11">
        <f>Tablo1456789101112131415161718192021222324252627282930313233343536373839404142434445464748495051[[#This Row],[ADET]]*Tablo1456789101112131415161718192021222324252627282930313233343536373839404142434445464748495051[[#This Row],[ALIŞ]]</f>
        <v>1670</v>
      </c>
      <c r="H57" s="11">
        <f>Tablo1456789101112131415161718192021222324252627282930313233343536373839404142434445464748495051[[#This Row],[ADET]]*Tablo1456789101112131415161718192021222324252627282930313233343536373839404142434445464748495051[[#This Row],[SATIŞ]]</f>
        <v>1689.9999999999998</v>
      </c>
      <c r="J57" s="40" t="str">
        <f t="shared" si="0"/>
        <v/>
      </c>
    </row>
    <row r="58" spans="2:10" ht="21" hidden="1" customHeight="1" x14ac:dyDescent="0.3">
      <c r="B58" s="2">
        <v>45370</v>
      </c>
      <c r="C58" s="6">
        <v>100</v>
      </c>
      <c r="D58" s="10">
        <v>16.7</v>
      </c>
      <c r="E58" s="10">
        <v>16.8</v>
      </c>
      <c r="F58" s="9">
        <f>IF(Tablo1456789101112131415161718192021222324252627282930313233343536373839404142434445464748495051[[#This Row],[SATIŞ]]=0,"Açık",(E58-D58)*C58)</f>
        <v>10.000000000000142</v>
      </c>
      <c r="G58" s="11">
        <f>Tablo1456789101112131415161718192021222324252627282930313233343536373839404142434445464748495051[[#This Row],[ADET]]*Tablo1456789101112131415161718192021222324252627282930313233343536373839404142434445464748495051[[#This Row],[ALIŞ]]</f>
        <v>1670</v>
      </c>
      <c r="H58" s="11">
        <f>Tablo1456789101112131415161718192021222324252627282930313233343536373839404142434445464748495051[[#This Row],[ADET]]*Tablo1456789101112131415161718192021222324252627282930313233343536373839404142434445464748495051[[#This Row],[SATIŞ]]</f>
        <v>1680</v>
      </c>
      <c r="J58" s="40" t="str">
        <f t="shared" si="0"/>
        <v/>
      </c>
    </row>
    <row r="59" spans="2:10" ht="21" hidden="1" customHeight="1" x14ac:dyDescent="0.3">
      <c r="B59" s="2">
        <v>45370</v>
      </c>
      <c r="C59" s="6">
        <v>100</v>
      </c>
      <c r="D59" s="10">
        <v>17</v>
      </c>
      <c r="E59" s="10">
        <v>17.45</v>
      </c>
      <c r="F59" s="9">
        <f>IF(Tablo1456789101112131415161718192021222324252627282930313233343536373839404142434445464748495051[[#This Row],[SATIŞ]]=0,"Açık",(E59-D59)*C59)</f>
        <v>44.999999999999929</v>
      </c>
      <c r="G59" s="11">
        <f>Tablo1456789101112131415161718192021222324252627282930313233343536373839404142434445464748495051[[#This Row],[ADET]]*Tablo1456789101112131415161718192021222324252627282930313233343536373839404142434445464748495051[[#This Row],[ALIŞ]]</f>
        <v>1700</v>
      </c>
      <c r="H59" s="11">
        <f>Tablo1456789101112131415161718192021222324252627282930313233343536373839404142434445464748495051[[#This Row],[ADET]]*Tablo1456789101112131415161718192021222324252627282930313233343536373839404142434445464748495051[[#This Row],[SATIŞ]]</f>
        <v>1745</v>
      </c>
      <c r="J59" s="40" t="str">
        <f t="shared" si="0"/>
        <v/>
      </c>
    </row>
    <row r="60" spans="2:10" ht="21" hidden="1" customHeight="1" x14ac:dyDescent="0.3">
      <c r="B60" s="2">
        <v>45377</v>
      </c>
      <c r="C60" s="6">
        <v>100</v>
      </c>
      <c r="D60" s="10">
        <v>16.100000000000001</v>
      </c>
      <c r="E60" s="10">
        <v>17.2</v>
      </c>
      <c r="F60" s="9">
        <f>IF(Tablo1456789101112131415161718192021222324252627282930313233343536373839404142434445464748495051[[#This Row],[SATIŞ]]=0,"Açık",(E60-D60)*C60)</f>
        <v>109.99999999999979</v>
      </c>
      <c r="G60" s="11">
        <f>Tablo1456789101112131415161718192021222324252627282930313233343536373839404142434445464748495051[[#This Row],[ADET]]*Tablo1456789101112131415161718192021222324252627282930313233343536373839404142434445464748495051[[#This Row],[ALIŞ]]</f>
        <v>1610.0000000000002</v>
      </c>
      <c r="H60" s="11">
        <f>Tablo1456789101112131415161718192021222324252627282930313233343536373839404142434445464748495051[[#This Row],[ADET]]*Tablo1456789101112131415161718192021222324252627282930313233343536373839404142434445464748495051[[#This Row],[SATIŞ]]</f>
        <v>1720</v>
      </c>
      <c r="J60" s="40" t="str">
        <f t="shared" si="0"/>
        <v/>
      </c>
    </row>
    <row r="61" spans="2:10" ht="21" hidden="1" customHeight="1" x14ac:dyDescent="0.3">
      <c r="B61" s="2">
        <v>45377</v>
      </c>
      <c r="C61" s="6">
        <v>100</v>
      </c>
      <c r="D61" s="10">
        <v>16.18</v>
      </c>
      <c r="E61" s="10">
        <v>17.100000000000001</v>
      </c>
      <c r="F61" s="9">
        <f>IF(Tablo1456789101112131415161718192021222324252627282930313233343536373839404142434445464748495051[[#This Row],[SATIŞ]]=0,"Açık",(E61-D61)*C61)</f>
        <v>92.000000000000171</v>
      </c>
      <c r="G61" s="11">
        <f>Tablo1456789101112131415161718192021222324252627282930313233343536373839404142434445464748495051[[#This Row],[ADET]]*Tablo1456789101112131415161718192021222324252627282930313233343536373839404142434445464748495051[[#This Row],[ALIŞ]]</f>
        <v>1618</v>
      </c>
      <c r="H61" s="11">
        <f>Tablo1456789101112131415161718192021222324252627282930313233343536373839404142434445464748495051[[#This Row],[ADET]]*Tablo1456789101112131415161718192021222324252627282930313233343536373839404142434445464748495051[[#This Row],[SATIŞ]]</f>
        <v>1710.0000000000002</v>
      </c>
      <c r="J61" s="40" t="str">
        <f t="shared" si="0"/>
        <v/>
      </c>
    </row>
    <row r="62" spans="2:10" ht="21" hidden="1" customHeight="1" x14ac:dyDescent="0.3">
      <c r="B62" s="2">
        <v>45438</v>
      </c>
      <c r="C62" s="6">
        <v>100</v>
      </c>
      <c r="D62" s="10">
        <v>16</v>
      </c>
      <c r="E62" s="10">
        <v>17.100000000000001</v>
      </c>
      <c r="F62" s="9">
        <f>IF(Tablo1456789101112131415161718192021222324252627282930313233343536373839404142434445464748495051[[#This Row],[SATIŞ]]=0,"Açık",(E62-D62)*C62)</f>
        <v>110.00000000000014</v>
      </c>
      <c r="G62" s="11">
        <f>Tablo1456789101112131415161718192021222324252627282930313233343536373839404142434445464748495051[[#This Row],[ADET]]*Tablo1456789101112131415161718192021222324252627282930313233343536373839404142434445464748495051[[#This Row],[ALIŞ]]</f>
        <v>1600</v>
      </c>
      <c r="H62" s="11">
        <f>Tablo1456789101112131415161718192021222324252627282930313233343536373839404142434445464748495051[[#This Row],[ADET]]*Tablo1456789101112131415161718192021222324252627282930313233343536373839404142434445464748495051[[#This Row],[SATIŞ]]</f>
        <v>1710.0000000000002</v>
      </c>
      <c r="J62" s="40" t="str">
        <f t="shared" si="0"/>
        <v/>
      </c>
    </row>
    <row r="63" spans="2:10" ht="21" hidden="1" customHeight="1" x14ac:dyDescent="0.3">
      <c r="B63" s="2">
        <v>45438</v>
      </c>
      <c r="C63" s="6">
        <v>100</v>
      </c>
      <c r="D63" s="10">
        <v>15.9</v>
      </c>
      <c r="E63" s="10">
        <v>17</v>
      </c>
      <c r="F63" s="9">
        <f>IF(Tablo1456789101112131415161718192021222324252627282930313233343536373839404142434445464748495051[[#This Row],[SATIŞ]]=0,"Açık",(E63-D63)*C63)</f>
        <v>109.99999999999997</v>
      </c>
      <c r="G63" s="11">
        <f>Tablo1456789101112131415161718192021222324252627282930313233343536373839404142434445464748495051[[#This Row],[ADET]]*Tablo1456789101112131415161718192021222324252627282930313233343536373839404142434445464748495051[[#This Row],[ALIŞ]]</f>
        <v>1590</v>
      </c>
      <c r="H63" s="11">
        <f>Tablo1456789101112131415161718192021222324252627282930313233343536373839404142434445464748495051[[#This Row],[ADET]]*Tablo1456789101112131415161718192021222324252627282930313233343536373839404142434445464748495051[[#This Row],[SATIŞ]]</f>
        <v>1700</v>
      </c>
      <c r="J63" s="40" t="str">
        <f t="shared" si="0"/>
        <v/>
      </c>
    </row>
    <row r="64" spans="2:10" ht="21" hidden="1" customHeight="1" x14ac:dyDescent="0.3">
      <c r="B64" s="2">
        <v>45438</v>
      </c>
      <c r="C64" s="6">
        <v>100</v>
      </c>
      <c r="D64" s="10">
        <v>15.8</v>
      </c>
      <c r="E64" s="10">
        <v>16.899999999999999</v>
      </c>
      <c r="F64" s="9">
        <f>IF(Tablo1456789101112131415161718192021222324252627282930313233343536373839404142434445464748495051[[#This Row],[SATIŞ]]=0,"Açık",(E64-D64)*C64)</f>
        <v>109.99999999999979</v>
      </c>
      <c r="G64" s="11">
        <f>Tablo1456789101112131415161718192021222324252627282930313233343536373839404142434445464748495051[[#This Row],[ADET]]*Tablo1456789101112131415161718192021222324252627282930313233343536373839404142434445464748495051[[#This Row],[ALIŞ]]</f>
        <v>1580</v>
      </c>
      <c r="H64" s="11">
        <f>Tablo1456789101112131415161718192021222324252627282930313233343536373839404142434445464748495051[[#This Row],[ADET]]*Tablo1456789101112131415161718192021222324252627282930313233343536373839404142434445464748495051[[#This Row],[SATIŞ]]</f>
        <v>1689.9999999999998</v>
      </c>
      <c r="J64" s="40" t="str">
        <f t="shared" si="0"/>
        <v/>
      </c>
    </row>
    <row r="65" spans="2:10" ht="21" hidden="1" customHeight="1" x14ac:dyDescent="0.3">
      <c r="B65" s="2">
        <v>45438</v>
      </c>
      <c r="C65" s="6">
        <v>100</v>
      </c>
      <c r="D65" s="10">
        <v>15.9</v>
      </c>
      <c r="E65" s="10">
        <v>16.8</v>
      </c>
      <c r="F65" s="9">
        <f>IF(Tablo1456789101112131415161718192021222324252627282930313233343536373839404142434445464748495051[[#This Row],[SATIŞ]]=0,"Açık",(E65-D65)*C65)</f>
        <v>90.000000000000028</v>
      </c>
      <c r="G65" s="11">
        <f>Tablo1456789101112131415161718192021222324252627282930313233343536373839404142434445464748495051[[#This Row],[ADET]]*Tablo1456789101112131415161718192021222324252627282930313233343536373839404142434445464748495051[[#This Row],[ALIŞ]]</f>
        <v>1590</v>
      </c>
      <c r="H65" s="11">
        <f>Tablo1456789101112131415161718192021222324252627282930313233343536373839404142434445464748495051[[#This Row],[ADET]]*Tablo1456789101112131415161718192021222324252627282930313233343536373839404142434445464748495051[[#This Row],[SATIŞ]]</f>
        <v>1680</v>
      </c>
      <c r="J65" s="40" t="str">
        <f t="shared" si="0"/>
        <v/>
      </c>
    </row>
    <row r="66" spans="2:10" ht="21" hidden="1" customHeight="1" x14ac:dyDescent="0.3">
      <c r="B66" s="2">
        <v>45438</v>
      </c>
      <c r="C66" s="6">
        <v>100</v>
      </c>
      <c r="D66" s="10">
        <v>15.85</v>
      </c>
      <c r="E66" s="10">
        <v>16.7</v>
      </c>
      <c r="F66" s="9">
        <f>IF(Tablo1456789101112131415161718192021222324252627282930313233343536373839404142434445464748495051[[#This Row],[SATIŞ]]=0,"Açık",(E66-D66)*C66)</f>
        <v>84.999999999999972</v>
      </c>
      <c r="G66" s="11">
        <f>Tablo1456789101112131415161718192021222324252627282930313233343536373839404142434445464748495051[[#This Row],[ADET]]*Tablo1456789101112131415161718192021222324252627282930313233343536373839404142434445464748495051[[#This Row],[ALIŞ]]</f>
        <v>1585</v>
      </c>
      <c r="H66" s="11">
        <f>Tablo1456789101112131415161718192021222324252627282930313233343536373839404142434445464748495051[[#This Row],[ADET]]*Tablo1456789101112131415161718192021222324252627282930313233343536373839404142434445464748495051[[#This Row],[SATIŞ]]</f>
        <v>1670</v>
      </c>
      <c r="J66" s="40" t="str">
        <f t="shared" si="0"/>
        <v/>
      </c>
    </row>
    <row r="67" spans="2:10" ht="21" hidden="1" customHeight="1" x14ac:dyDescent="0.3">
      <c r="B67" s="2">
        <v>45438</v>
      </c>
      <c r="C67" s="6">
        <v>100</v>
      </c>
      <c r="D67" s="10">
        <v>15.8</v>
      </c>
      <c r="E67" s="10">
        <v>16.600000000000001</v>
      </c>
      <c r="F67" s="9">
        <f>IF(Tablo1456789101112131415161718192021222324252627282930313233343536373839404142434445464748495051[[#This Row],[SATIŞ]]=0,"Açık",(E67-D67)*C67)</f>
        <v>80.000000000000071</v>
      </c>
      <c r="G67" s="11">
        <f>Tablo1456789101112131415161718192021222324252627282930313233343536373839404142434445464748495051[[#This Row],[ADET]]*Tablo1456789101112131415161718192021222324252627282930313233343536373839404142434445464748495051[[#This Row],[ALIŞ]]</f>
        <v>1580</v>
      </c>
      <c r="H67" s="11">
        <f>Tablo1456789101112131415161718192021222324252627282930313233343536373839404142434445464748495051[[#This Row],[ADET]]*Tablo1456789101112131415161718192021222324252627282930313233343536373839404142434445464748495051[[#This Row],[SATIŞ]]</f>
        <v>1660.0000000000002</v>
      </c>
      <c r="J67" s="40" t="str">
        <f t="shared" si="0"/>
        <v/>
      </c>
    </row>
    <row r="68" spans="2:10" ht="21" hidden="1" customHeight="1" x14ac:dyDescent="0.3">
      <c r="B68" s="2">
        <v>45438</v>
      </c>
      <c r="C68" s="6">
        <v>100</v>
      </c>
      <c r="D68" s="10">
        <v>15.5</v>
      </c>
      <c r="E68" s="10">
        <v>16.3</v>
      </c>
      <c r="F68" s="9">
        <f>IF(Tablo1456789101112131415161718192021222324252627282930313233343536373839404142434445464748495051[[#This Row],[SATIŞ]]=0,"Açık",(E68-D68)*C68)</f>
        <v>80.000000000000071</v>
      </c>
      <c r="G68" s="11">
        <f>Tablo1456789101112131415161718192021222324252627282930313233343536373839404142434445464748495051[[#This Row],[ADET]]*Tablo1456789101112131415161718192021222324252627282930313233343536373839404142434445464748495051[[#This Row],[ALIŞ]]</f>
        <v>1550</v>
      </c>
      <c r="H68" s="11">
        <f>Tablo1456789101112131415161718192021222324252627282930313233343536373839404142434445464748495051[[#This Row],[ADET]]*Tablo1456789101112131415161718192021222324252627282930313233343536373839404142434445464748495051[[#This Row],[SATIŞ]]</f>
        <v>1630</v>
      </c>
      <c r="J68" s="40" t="str">
        <f t="shared" si="0"/>
        <v/>
      </c>
    </row>
    <row r="69" spans="2:10" ht="21" hidden="1" customHeight="1" x14ac:dyDescent="0.3">
      <c r="B69" s="2">
        <v>45438</v>
      </c>
      <c r="C69" s="6">
        <v>100</v>
      </c>
      <c r="D69" s="10">
        <v>15.4</v>
      </c>
      <c r="E69" s="10">
        <v>16.2</v>
      </c>
      <c r="F69" s="9">
        <f>IF(Tablo1456789101112131415161718192021222324252627282930313233343536373839404142434445464748495051[[#This Row],[SATIŞ]]=0,"Açık",(E69-D69)*C69)</f>
        <v>79.999999999999886</v>
      </c>
      <c r="G69" s="11">
        <f>Tablo1456789101112131415161718192021222324252627282930313233343536373839404142434445464748495051[[#This Row],[ADET]]*Tablo1456789101112131415161718192021222324252627282930313233343536373839404142434445464748495051[[#This Row],[ALIŞ]]</f>
        <v>1540</v>
      </c>
      <c r="H69" s="11">
        <f>Tablo1456789101112131415161718192021222324252627282930313233343536373839404142434445464748495051[[#This Row],[ADET]]*Tablo1456789101112131415161718192021222324252627282930313233343536373839404142434445464748495051[[#This Row],[SATIŞ]]</f>
        <v>1620</v>
      </c>
      <c r="J69" s="40" t="str">
        <f t="shared" si="0"/>
        <v/>
      </c>
    </row>
    <row r="70" spans="2:10" ht="21" hidden="1" customHeight="1" x14ac:dyDescent="0.3">
      <c r="B70" s="2">
        <v>45438</v>
      </c>
      <c r="C70" s="6">
        <v>100</v>
      </c>
      <c r="D70" s="10">
        <v>15.3</v>
      </c>
      <c r="E70" s="10">
        <v>16.100000000000001</v>
      </c>
      <c r="F70" s="9">
        <f>IF(Tablo1456789101112131415161718192021222324252627282930313233343536373839404142434445464748495051[[#This Row],[SATIŞ]]=0,"Açık",(E70-D70)*C70)</f>
        <v>80.000000000000071</v>
      </c>
      <c r="G70" s="11">
        <f>Tablo1456789101112131415161718192021222324252627282930313233343536373839404142434445464748495051[[#This Row],[ADET]]*Tablo1456789101112131415161718192021222324252627282930313233343536373839404142434445464748495051[[#This Row],[ALIŞ]]</f>
        <v>1530</v>
      </c>
      <c r="H70" s="11">
        <f>Tablo1456789101112131415161718192021222324252627282930313233343536373839404142434445464748495051[[#This Row],[ADET]]*Tablo1456789101112131415161718192021222324252627282930313233343536373839404142434445464748495051[[#This Row],[SATIŞ]]</f>
        <v>1610.0000000000002</v>
      </c>
      <c r="J70" s="40" t="str">
        <f t="shared" si="0"/>
        <v/>
      </c>
    </row>
    <row r="71" spans="2:10" ht="21" hidden="1" customHeight="1" x14ac:dyDescent="0.3">
      <c r="B71" s="2">
        <v>45438</v>
      </c>
      <c r="C71" s="6">
        <v>100</v>
      </c>
      <c r="D71" s="10">
        <v>15.11</v>
      </c>
      <c r="E71" s="10">
        <v>15.3</v>
      </c>
      <c r="F71" s="9">
        <f>IF(Tablo1456789101112131415161718192021222324252627282930313233343536373839404142434445464748495051[[#This Row],[SATIŞ]]=0,"Açık",(E71-D71)*C71)</f>
        <v>19.000000000000128</v>
      </c>
      <c r="G71" s="11">
        <f>Tablo1456789101112131415161718192021222324252627282930313233343536373839404142434445464748495051[[#This Row],[ADET]]*Tablo1456789101112131415161718192021222324252627282930313233343536373839404142434445464748495051[[#This Row],[ALIŞ]]</f>
        <v>1511</v>
      </c>
      <c r="H71" s="11">
        <f>Tablo1456789101112131415161718192021222324252627282930313233343536373839404142434445464748495051[[#This Row],[ADET]]*Tablo1456789101112131415161718192021222324252627282930313233343536373839404142434445464748495051[[#This Row],[SATIŞ]]</f>
        <v>1530</v>
      </c>
      <c r="J71" s="40" t="str">
        <f t="shared" si="0"/>
        <v/>
      </c>
    </row>
    <row r="72" spans="2:10" ht="21" hidden="1" customHeight="1" x14ac:dyDescent="0.3">
      <c r="B72" s="2">
        <v>45438</v>
      </c>
      <c r="C72" s="6">
        <v>300</v>
      </c>
      <c r="D72" s="10">
        <v>15.11</v>
      </c>
      <c r="E72" s="10">
        <v>16.05</v>
      </c>
      <c r="F72" s="9">
        <f>IF(Tablo1456789101112131415161718192021222324252627282930313233343536373839404142434445464748495051[[#This Row],[SATIŞ]]=0,"Açık",(E72-D72)*C72)</f>
        <v>282.0000000000004</v>
      </c>
      <c r="G72" s="11">
        <f>Tablo1456789101112131415161718192021222324252627282930313233343536373839404142434445464748495051[[#This Row],[ADET]]*Tablo1456789101112131415161718192021222324252627282930313233343536373839404142434445464748495051[[#This Row],[ALIŞ]]</f>
        <v>4533</v>
      </c>
      <c r="H72" s="11">
        <f>Tablo1456789101112131415161718192021222324252627282930313233343536373839404142434445464748495051[[#This Row],[ADET]]*Tablo1456789101112131415161718192021222324252627282930313233343536373839404142434445464748495051[[#This Row],[SATIŞ]]</f>
        <v>4815</v>
      </c>
      <c r="J72" s="40" t="str">
        <f t="shared" si="0"/>
        <v/>
      </c>
    </row>
    <row r="73" spans="2:10" ht="21" hidden="1" customHeight="1" x14ac:dyDescent="0.3">
      <c r="B73" s="2">
        <v>45438</v>
      </c>
      <c r="C73" s="6">
        <v>100</v>
      </c>
      <c r="D73" s="10">
        <v>15.11</v>
      </c>
      <c r="E73" s="10">
        <v>15.95</v>
      </c>
      <c r="F73" s="9">
        <f>IF(Tablo1456789101112131415161718192021222324252627282930313233343536373839404142434445464748495051[[#This Row],[SATIŞ]]=0,"Açık",(E73-D73)*C73)</f>
        <v>83.999999999999986</v>
      </c>
      <c r="G73" s="11">
        <f>Tablo1456789101112131415161718192021222324252627282930313233343536373839404142434445464748495051[[#This Row],[ADET]]*Tablo1456789101112131415161718192021222324252627282930313233343536373839404142434445464748495051[[#This Row],[ALIŞ]]</f>
        <v>1511</v>
      </c>
      <c r="H73" s="11">
        <f>Tablo1456789101112131415161718192021222324252627282930313233343536373839404142434445464748495051[[#This Row],[ADET]]*Tablo1456789101112131415161718192021222324252627282930313233343536373839404142434445464748495051[[#This Row],[SATIŞ]]</f>
        <v>1595</v>
      </c>
      <c r="J73" s="40" t="str">
        <f t="shared" si="0"/>
        <v/>
      </c>
    </row>
    <row r="74" spans="2:10" ht="21" hidden="1" customHeight="1" x14ac:dyDescent="0.3">
      <c r="B74" s="2">
        <v>45438</v>
      </c>
      <c r="C74" s="6">
        <v>300</v>
      </c>
      <c r="D74" s="10">
        <v>15.11</v>
      </c>
      <c r="E74" s="10">
        <v>15.85</v>
      </c>
      <c r="F74" s="9">
        <f>IF(Tablo1456789101112131415161718192021222324252627282930313233343536373839404142434445464748495051[[#This Row],[SATIŞ]]=0,"Açık",(E74-D74)*C74)</f>
        <v>222.00000000000006</v>
      </c>
      <c r="G74" s="11">
        <f>Tablo1456789101112131415161718192021222324252627282930313233343536373839404142434445464748495051[[#This Row],[ADET]]*Tablo1456789101112131415161718192021222324252627282930313233343536373839404142434445464748495051[[#This Row],[ALIŞ]]</f>
        <v>4533</v>
      </c>
      <c r="H74" s="11">
        <f>Tablo1456789101112131415161718192021222324252627282930313233343536373839404142434445464748495051[[#This Row],[ADET]]*Tablo1456789101112131415161718192021222324252627282930313233343536373839404142434445464748495051[[#This Row],[SATIŞ]]</f>
        <v>4755</v>
      </c>
      <c r="J74" s="40" t="str">
        <f t="shared" si="0"/>
        <v/>
      </c>
    </row>
    <row r="75" spans="2:10" ht="21" hidden="1" customHeight="1" x14ac:dyDescent="0.3">
      <c r="B75" s="2">
        <v>45438</v>
      </c>
      <c r="C75" s="6">
        <v>300</v>
      </c>
      <c r="D75" s="10">
        <v>15.11</v>
      </c>
      <c r="E75" s="10">
        <v>15.6</v>
      </c>
      <c r="F75" s="9">
        <f>IF(Tablo1456789101112131415161718192021222324252627282930313233343536373839404142434445464748495051[[#This Row],[SATIŞ]]=0,"Açık",(E75-D75)*C75)</f>
        <v>147.00000000000006</v>
      </c>
      <c r="G75" s="11">
        <f>Tablo1456789101112131415161718192021222324252627282930313233343536373839404142434445464748495051[[#This Row],[ADET]]*Tablo1456789101112131415161718192021222324252627282930313233343536373839404142434445464748495051[[#This Row],[ALIŞ]]</f>
        <v>4533</v>
      </c>
      <c r="H75" s="11">
        <f>Tablo1456789101112131415161718192021222324252627282930313233343536373839404142434445464748495051[[#This Row],[ADET]]*Tablo1456789101112131415161718192021222324252627282930313233343536373839404142434445464748495051[[#This Row],[SATIŞ]]</f>
        <v>4680</v>
      </c>
      <c r="J75" s="40" t="str">
        <f t="shared" si="0"/>
        <v/>
      </c>
    </row>
    <row r="76" spans="2:10" ht="21" hidden="1" customHeight="1" x14ac:dyDescent="0.3">
      <c r="B76" s="2">
        <v>45439</v>
      </c>
      <c r="C76" s="6">
        <v>100</v>
      </c>
      <c r="D76" s="10">
        <v>13.97</v>
      </c>
      <c r="E76" s="10">
        <v>14.5</v>
      </c>
      <c r="F76" s="9">
        <f>IF(Tablo1456789101112131415161718192021222324252627282930313233343536373839404142434445464748495051[[#This Row],[SATIŞ]]=0,"Açık",(E76-D76)*C76)</f>
        <v>52.999999999999936</v>
      </c>
      <c r="G76" s="11">
        <f>Tablo1456789101112131415161718192021222324252627282930313233343536373839404142434445464748495051[[#This Row],[ADET]]*Tablo1456789101112131415161718192021222324252627282930313233343536373839404142434445464748495051[[#This Row],[ALIŞ]]</f>
        <v>1397</v>
      </c>
      <c r="H76" s="11">
        <f>Tablo1456789101112131415161718192021222324252627282930313233343536373839404142434445464748495051[[#This Row],[ADET]]*Tablo1456789101112131415161718192021222324252627282930313233343536373839404142434445464748495051[[#This Row],[SATIŞ]]</f>
        <v>1450</v>
      </c>
      <c r="J76" s="40" t="str">
        <f t="shared" si="0"/>
        <v/>
      </c>
    </row>
    <row r="77" spans="2:10" ht="21" hidden="1" customHeight="1" x14ac:dyDescent="0.3">
      <c r="B77" s="2">
        <v>45439</v>
      </c>
      <c r="C77" s="6">
        <v>100</v>
      </c>
      <c r="D77" s="10">
        <v>13.98</v>
      </c>
      <c r="E77" s="10">
        <v>15</v>
      </c>
      <c r="F77" s="9">
        <f>IF(Tablo1456789101112131415161718192021222324252627282930313233343536373839404142434445464748495051[[#This Row],[SATIŞ]]=0,"Açık",(E77-D77)*C77)</f>
        <v>101.99999999999996</v>
      </c>
      <c r="G77" s="11">
        <f>Tablo1456789101112131415161718192021222324252627282930313233343536373839404142434445464748495051[[#This Row],[ADET]]*Tablo1456789101112131415161718192021222324252627282930313233343536373839404142434445464748495051[[#This Row],[ALIŞ]]</f>
        <v>1398</v>
      </c>
      <c r="H77" s="11">
        <f>Tablo1456789101112131415161718192021222324252627282930313233343536373839404142434445464748495051[[#This Row],[ADET]]*Tablo1456789101112131415161718192021222324252627282930313233343536373839404142434445464748495051[[#This Row],[SATIŞ]]</f>
        <v>1500</v>
      </c>
      <c r="J77" s="40" t="str">
        <f t="shared" si="0"/>
        <v/>
      </c>
    </row>
    <row r="78" spans="2:10" ht="21" hidden="1" customHeight="1" x14ac:dyDescent="0.3">
      <c r="B78" s="2">
        <v>45439</v>
      </c>
      <c r="C78" s="6">
        <v>100</v>
      </c>
      <c r="D78" s="10">
        <v>14.01</v>
      </c>
      <c r="E78" s="10">
        <v>15.4</v>
      </c>
      <c r="F78" s="9">
        <f>IF(Tablo1456789101112131415161718192021222324252627282930313233343536373839404142434445464748495051[[#This Row],[SATIŞ]]=0,"Açık",(E78-D78)*C78)</f>
        <v>139.00000000000006</v>
      </c>
      <c r="G78" s="11">
        <f>Tablo1456789101112131415161718192021222324252627282930313233343536373839404142434445464748495051[[#This Row],[ADET]]*Tablo1456789101112131415161718192021222324252627282930313233343536373839404142434445464748495051[[#This Row],[ALIŞ]]</f>
        <v>1401</v>
      </c>
      <c r="H78" s="11">
        <f>Tablo1456789101112131415161718192021222324252627282930313233343536373839404142434445464748495051[[#This Row],[ADET]]*Tablo1456789101112131415161718192021222324252627282930313233343536373839404142434445464748495051[[#This Row],[SATIŞ]]</f>
        <v>1540</v>
      </c>
      <c r="J78" s="40" t="str">
        <f t="shared" si="0"/>
        <v/>
      </c>
    </row>
    <row r="79" spans="2:10" ht="21" hidden="1" customHeight="1" x14ac:dyDescent="0.3">
      <c r="B79" s="2">
        <v>45439</v>
      </c>
      <c r="C79" s="6">
        <v>100</v>
      </c>
      <c r="D79" s="10">
        <v>15.5</v>
      </c>
      <c r="E79" s="10">
        <v>16.399999999999999</v>
      </c>
      <c r="F79" s="9">
        <f>IF(Tablo1456789101112131415161718192021222324252627282930313233343536373839404142434445464748495051[[#This Row],[SATIŞ]]=0,"Açık",(E79-D79)*C79)</f>
        <v>89.999999999999858</v>
      </c>
      <c r="G79" s="11">
        <f>Tablo1456789101112131415161718192021222324252627282930313233343536373839404142434445464748495051[[#This Row],[ADET]]*Tablo1456789101112131415161718192021222324252627282930313233343536373839404142434445464748495051[[#This Row],[ALIŞ]]</f>
        <v>1550</v>
      </c>
      <c r="H79" s="11">
        <f>Tablo1456789101112131415161718192021222324252627282930313233343536373839404142434445464748495051[[#This Row],[ADET]]*Tablo1456789101112131415161718192021222324252627282930313233343536373839404142434445464748495051[[#This Row],[SATIŞ]]</f>
        <v>1639.9999999999998</v>
      </c>
      <c r="J79" s="40" t="str">
        <f t="shared" si="0"/>
        <v/>
      </c>
    </row>
    <row r="80" spans="2:10" ht="21" hidden="1" customHeight="1" x14ac:dyDescent="0.3">
      <c r="B80" s="2">
        <v>45439</v>
      </c>
      <c r="C80" s="6">
        <v>100</v>
      </c>
      <c r="D80" s="10">
        <v>15.5</v>
      </c>
      <c r="E80" s="10">
        <v>16.5</v>
      </c>
      <c r="F80" s="9">
        <f>IF(Tablo1456789101112131415161718192021222324252627282930313233343536373839404142434445464748495051[[#This Row],[SATIŞ]]=0,"Açık",(E80-D80)*C80)</f>
        <v>100</v>
      </c>
      <c r="G80" s="11">
        <f>Tablo1456789101112131415161718192021222324252627282930313233343536373839404142434445464748495051[[#This Row],[ADET]]*Tablo1456789101112131415161718192021222324252627282930313233343536373839404142434445464748495051[[#This Row],[ALIŞ]]</f>
        <v>1550</v>
      </c>
      <c r="H80" s="11">
        <f>Tablo1456789101112131415161718192021222324252627282930313233343536373839404142434445464748495051[[#This Row],[ADET]]*Tablo1456789101112131415161718192021222324252627282930313233343536373839404142434445464748495051[[#This Row],[SATIŞ]]</f>
        <v>1650</v>
      </c>
      <c r="J80" s="40" t="str">
        <f t="shared" si="0"/>
        <v/>
      </c>
    </row>
    <row r="81" spans="2:10" ht="21" hidden="1" customHeight="1" x14ac:dyDescent="0.3">
      <c r="B81" s="2">
        <v>45380</v>
      </c>
      <c r="C81" s="6">
        <v>100</v>
      </c>
      <c r="D81" s="10">
        <v>16.600000000000001</v>
      </c>
      <c r="E81" s="10">
        <v>17.3</v>
      </c>
      <c r="F81" s="9">
        <f>IF(Tablo1456789101112131415161718192021222324252627282930313233343536373839404142434445464748495051[[#This Row],[SATIŞ]]=0,"Açık",(E81-D81)*C81)</f>
        <v>69.999999999999929</v>
      </c>
      <c r="G81" s="11">
        <f>Tablo1456789101112131415161718192021222324252627282930313233343536373839404142434445464748495051[[#This Row],[ADET]]*Tablo1456789101112131415161718192021222324252627282930313233343536373839404142434445464748495051[[#This Row],[ALIŞ]]</f>
        <v>1660.0000000000002</v>
      </c>
      <c r="H81" s="11">
        <f>Tablo1456789101112131415161718192021222324252627282930313233343536373839404142434445464748495051[[#This Row],[ADET]]*Tablo1456789101112131415161718192021222324252627282930313233343536373839404142434445464748495051[[#This Row],[SATIŞ]]</f>
        <v>1730</v>
      </c>
      <c r="J81" s="40" t="str">
        <f t="shared" si="0"/>
        <v/>
      </c>
    </row>
    <row r="82" spans="2:10" ht="21" hidden="1" customHeight="1" x14ac:dyDescent="0.3">
      <c r="B82" s="2">
        <v>45383</v>
      </c>
      <c r="C82" s="6">
        <v>100</v>
      </c>
      <c r="D82" s="10">
        <v>16.600000000000001</v>
      </c>
      <c r="E82" s="10">
        <v>17.100000000000001</v>
      </c>
      <c r="F82" s="9">
        <f>IF(Tablo1456789101112131415161718192021222324252627282930313233343536373839404142434445464748495051[[#This Row],[SATIŞ]]=0,"Açık",(E82-D82)*C82)</f>
        <v>50</v>
      </c>
      <c r="G82" s="11">
        <f>Tablo1456789101112131415161718192021222324252627282930313233343536373839404142434445464748495051[[#This Row],[ADET]]*Tablo1456789101112131415161718192021222324252627282930313233343536373839404142434445464748495051[[#This Row],[ALIŞ]]</f>
        <v>1660.0000000000002</v>
      </c>
      <c r="H82" s="11">
        <f>Tablo1456789101112131415161718192021222324252627282930313233343536373839404142434445464748495051[[#This Row],[ADET]]*Tablo1456789101112131415161718192021222324252627282930313233343536373839404142434445464748495051[[#This Row],[SATIŞ]]</f>
        <v>1710.0000000000002</v>
      </c>
      <c r="J82" s="40" t="str">
        <f t="shared" si="0"/>
        <v/>
      </c>
    </row>
    <row r="83" spans="2:10" ht="21" hidden="1" customHeight="1" x14ac:dyDescent="0.3">
      <c r="B83" s="2">
        <v>45387</v>
      </c>
      <c r="C83" s="6">
        <v>100</v>
      </c>
      <c r="D83" s="10">
        <v>16</v>
      </c>
      <c r="E83" s="10">
        <v>16.3</v>
      </c>
      <c r="F83" s="9">
        <f>IF(Tablo1456789101112131415161718192021222324252627282930313233343536373839404142434445464748495051[[#This Row],[SATIŞ]]=0,"Açık",(E83-D83)*C83)</f>
        <v>30.000000000000071</v>
      </c>
      <c r="G83" s="11">
        <f>Tablo1456789101112131415161718192021222324252627282930313233343536373839404142434445464748495051[[#This Row],[ADET]]*Tablo1456789101112131415161718192021222324252627282930313233343536373839404142434445464748495051[[#This Row],[ALIŞ]]</f>
        <v>1600</v>
      </c>
      <c r="H83" s="11">
        <f>Tablo1456789101112131415161718192021222324252627282930313233343536373839404142434445464748495051[[#This Row],[ADET]]*Tablo1456789101112131415161718192021222324252627282930313233343536373839404142434445464748495051[[#This Row],[SATIŞ]]</f>
        <v>1630</v>
      </c>
      <c r="J83" s="40" t="str">
        <f t="shared" si="0"/>
        <v/>
      </c>
    </row>
    <row r="84" spans="2:10" ht="21" hidden="1" customHeight="1" x14ac:dyDescent="0.3">
      <c r="B84" s="2">
        <v>45387</v>
      </c>
      <c r="C84" s="6">
        <v>100</v>
      </c>
      <c r="D84" s="10">
        <v>16.149999999999999</v>
      </c>
      <c r="E84" s="10">
        <v>16.399999999999999</v>
      </c>
      <c r="F84" s="9">
        <f>IF(Tablo1456789101112131415161718192021222324252627282930313233343536373839404142434445464748495051[[#This Row],[SATIŞ]]=0,"Açık",(E84-D84)*C84)</f>
        <v>25</v>
      </c>
      <c r="G84" s="11">
        <f>Tablo1456789101112131415161718192021222324252627282930313233343536373839404142434445464748495051[[#This Row],[ADET]]*Tablo1456789101112131415161718192021222324252627282930313233343536373839404142434445464748495051[[#This Row],[ALIŞ]]</f>
        <v>1614.9999999999998</v>
      </c>
      <c r="H84" s="11">
        <f>Tablo1456789101112131415161718192021222324252627282930313233343536373839404142434445464748495051[[#This Row],[ADET]]*Tablo1456789101112131415161718192021222324252627282930313233343536373839404142434445464748495051[[#This Row],[SATIŞ]]</f>
        <v>1639.9999999999998</v>
      </c>
      <c r="J84" s="40" t="str">
        <f t="shared" si="0"/>
        <v/>
      </c>
    </row>
    <row r="85" spans="2:10" ht="21" customHeight="1" x14ac:dyDescent="0.3">
      <c r="B85" s="2">
        <v>45399</v>
      </c>
      <c r="C85" s="6">
        <v>100</v>
      </c>
      <c r="D85" s="10">
        <v>16.399999999999999</v>
      </c>
      <c r="E85" s="10"/>
      <c r="F85" s="9" t="str">
        <f>IF(Tablo1456789101112131415161718192021222324252627282930313233343536373839404142434445464748495051[[#This Row],[SATIŞ]]=0,"Açık",(E85-D85)*C85)</f>
        <v>Açık</v>
      </c>
      <c r="G85" s="11">
        <f>Tablo1456789101112131415161718192021222324252627282930313233343536373839404142434445464748495051[[#This Row],[ADET]]*Tablo1456789101112131415161718192021222324252627282930313233343536373839404142434445464748495051[[#This Row],[ALIŞ]]</f>
        <v>1639.9999999999998</v>
      </c>
      <c r="H85" s="11">
        <f>Tablo1456789101112131415161718192021222324252627282930313233343536373839404142434445464748495051[[#This Row],[ADET]]*Tablo1456789101112131415161718192021222324252627282930313233343536373839404142434445464748495051[[#This Row],[SATIŞ]]</f>
        <v>0</v>
      </c>
      <c r="J85" s="40">
        <f t="shared" si="0"/>
        <v>17.22</v>
      </c>
    </row>
    <row r="86" spans="2:10" ht="21" hidden="1" customHeight="1" x14ac:dyDescent="0.3">
      <c r="B86" s="2">
        <v>45401</v>
      </c>
      <c r="C86" s="6">
        <v>100</v>
      </c>
      <c r="D86" s="10">
        <v>15.6</v>
      </c>
      <c r="E86" s="10">
        <v>16</v>
      </c>
      <c r="F86" s="9">
        <f>IF(Tablo1456789101112131415161718192021222324252627282930313233343536373839404142434445464748495051[[#This Row],[SATIŞ]]=0,"Açık",(E86-D86)*C86)</f>
        <v>40.000000000000036</v>
      </c>
      <c r="G86" s="11">
        <f>Tablo1456789101112131415161718192021222324252627282930313233343536373839404142434445464748495051[[#This Row],[ADET]]*Tablo1456789101112131415161718192021222324252627282930313233343536373839404142434445464748495051[[#This Row],[ALIŞ]]</f>
        <v>1560</v>
      </c>
      <c r="H86" s="11">
        <f>Tablo1456789101112131415161718192021222324252627282930313233343536373839404142434445464748495051[[#This Row],[ADET]]*Tablo1456789101112131415161718192021222324252627282930313233343536373839404142434445464748495051[[#This Row],[SATIŞ]]</f>
        <v>1600</v>
      </c>
      <c r="J86" s="40" t="str">
        <f t="shared" si="0"/>
        <v/>
      </c>
    </row>
    <row r="87" spans="2:10" ht="21" customHeight="1" x14ac:dyDescent="0.3">
      <c r="J87" s="40">
        <f t="shared" si="0"/>
        <v>0</v>
      </c>
    </row>
    <row r="88" spans="2:10" ht="21" customHeight="1" x14ac:dyDescent="0.3">
      <c r="J88" s="40">
        <f t="shared" si="0"/>
        <v>0</v>
      </c>
    </row>
    <row r="89" spans="2:10" ht="21" customHeight="1" x14ac:dyDescent="0.3">
      <c r="J89" s="40">
        <f t="shared" si="0"/>
        <v>0</v>
      </c>
    </row>
    <row r="90" spans="2:10" ht="21" customHeight="1" x14ac:dyDescent="0.3">
      <c r="J90" s="40">
        <f t="shared" si="0"/>
        <v>0</v>
      </c>
    </row>
    <row r="91" spans="2:10" ht="21" customHeight="1" x14ac:dyDescent="0.3">
      <c r="J91" s="40">
        <f t="shared" si="0"/>
        <v>0</v>
      </c>
    </row>
    <row r="92" spans="2:10" ht="21" customHeight="1" x14ac:dyDescent="0.3">
      <c r="J92" s="40">
        <f t="shared" si="0"/>
        <v>0</v>
      </c>
    </row>
    <row r="93" spans="2:10" ht="21" customHeight="1" x14ac:dyDescent="0.3">
      <c r="J93" s="40">
        <f t="shared" si="0"/>
        <v>0</v>
      </c>
    </row>
    <row r="94" spans="2:10" ht="21" customHeight="1" x14ac:dyDescent="0.3">
      <c r="J94" s="40">
        <f t="shared" si="0"/>
        <v>0</v>
      </c>
    </row>
    <row r="95" spans="2:10" ht="21" customHeight="1" x14ac:dyDescent="0.3">
      <c r="J95" s="40">
        <f t="shared" si="0"/>
        <v>0</v>
      </c>
    </row>
    <row r="96" spans="2:10" ht="21" customHeight="1" x14ac:dyDescent="0.3">
      <c r="J96" s="40">
        <f t="shared" si="0"/>
        <v>0</v>
      </c>
    </row>
  </sheetData>
  <conditionalFormatting sqref="B4:F86">
    <cfRule type="expression" dxfId="8" priority="1">
      <formula>$F4&lt;0</formula>
    </cfRule>
    <cfRule type="expression" dxfId="7" priority="2">
      <formula>$F4="Açık"</formula>
    </cfRule>
    <cfRule type="expression" dxfId="6" priority="3">
      <formula>$F4&gt;0</formula>
    </cfRule>
  </conditionalFormatting>
  <hyperlinks>
    <hyperlink ref="B1" location="İcmal!A1" display="ANA SAYFA" xr:uid="{9348DC75-D177-4E54-AC2B-FC35374AA924}"/>
  </hyperlinks>
  <pageMargins left="0.7" right="0.7" top="0.75" bottom="0.75" header="0.3" footer="0.3"/>
  <tableParts count="1">
    <tablePart r:id="rId1"/>
  </tablePart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2DB57-650A-450C-B233-AC30ED42CE9F}">
  <dimension ref="B1:R54"/>
  <sheetViews>
    <sheetView showGridLines="0" showZeros="0" zoomScale="110" zoomScaleNormal="110" workbookViewId="0">
      <pane ySplit="3" topLeftCell="A28" activePane="bottomLeft" state="frozen"/>
      <selection pane="bottomLeft" activeCell="E35" sqref="E35"/>
    </sheetView>
  </sheetViews>
  <sheetFormatPr defaultRowHeight="21" customHeight="1" x14ac:dyDescent="0.3"/>
  <cols>
    <col min="2" max="2" width="20.6640625" style="1" customWidth="1"/>
    <col min="3" max="3" width="11.33203125" style="6" customWidth="1"/>
    <col min="4" max="5" width="12.88671875" style="3" customWidth="1"/>
    <col min="6" max="6" width="12.88671875" style="5" customWidth="1"/>
    <col min="7" max="8" width="11.6640625" bestFit="1" customWidth="1"/>
    <col min="10" max="12" width="12.44140625" customWidth="1"/>
    <col min="13" max="14" width="11.6640625" bestFit="1" customWidth="1"/>
  </cols>
  <sheetData>
    <row r="1" spans="2:18" ht="21" customHeight="1" x14ac:dyDescent="0.3">
      <c r="B1" s="12" t="s">
        <v>64</v>
      </c>
      <c r="C1" s="4">
        <f>SUMIF(Tablo145678910111213141516171819202122232425262728293031323334353637383940414243444546474849505152[KAR],"Açık",Tablo145678910111213141516171819202122232425262728293031323334353637383940414243444546474849505152[ADET])</f>
        <v>50</v>
      </c>
      <c r="D1" s="10">
        <f>+İcmal!E69</f>
        <v>213.8</v>
      </c>
      <c r="E1" s="10">
        <f>C1*D1</f>
        <v>10690</v>
      </c>
      <c r="F1" s="10">
        <f>IFERROR(((SUM(Tablo145678910111213141516171819202122232425262728293031323334353637383940414243444546474849505152[ALIŞ TUTAR])-SUM(Tablo145678910111213141516171819202122232425262728293031323334353637383940414243444546474849505152[SATIŞ TUTAR]))/C1),"")</f>
        <v>188.42063999999985</v>
      </c>
      <c r="G1" s="10">
        <f>IF(M3=0,L3,C1*(D1-F1))</f>
        <v>1268.968000000008</v>
      </c>
      <c r="J1" s="45" t="s">
        <v>94</v>
      </c>
      <c r="K1" s="45" t="s">
        <v>95</v>
      </c>
      <c r="L1" s="45" t="s">
        <v>96</v>
      </c>
      <c r="M1" s="33">
        <f>F1</f>
        <v>188.42063999999985</v>
      </c>
      <c r="N1" s="8" t="e">
        <f>M1*(1+$J$1)</f>
        <v>#VALUE!</v>
      </c>
      <c r="P1" s="8" t="e">
        <f>Q1*(1-$J$1)</f>
        <v>#VALUE!</v>
      </c>
      <c r="Q1" s="33">
        <f>+D1</f>
        <v>213.8</v>
      </c>
      <c r="R1" s="8" t="e">
        <f>Q1*(1+$J$1)</f>
        <v>#VALUE!</v>
      </c>
    </row>
    <row r="2" spans="2:18" ht="21" customHeight="1" x14ac:dyDescent="0.3">
      <c r="B2" s="7" t="s">
        <v>61</v>
      </c>
      <c r="J2" s="45">
        <f>SUMIFS(Tablo2[HEDEF2],Tablo2[HİSSE],B2)</f>
        <v>1000</v>
      </c>
      <c r="K2" s="45">
        <f>+E1/İcmal!$P$2</f>
        <v>328.61973562865046</v>
      </c>
      <c r="L2" s="45">
        <f>+J2-K2</f>
        <v>671.38026437134954</v>
      </c>
    </row>
    <row r="3" spans="2:18" ht="21" customHeight="1" x14ac:dyDescent="0.3">
      <c r="B3" s="1" t="s">
        <v>0</v>
      </c>
      <c r="C3" s="6" t="s">
        <v>4</v>
      </c>
      <c r="D3" s="3" t="s">
        <v>1</v>
      </c>
      <c r="E3" s="3" t="s">
        <v>3</v>
      </c>
      <c r="F3" s="5" t="s">
        <v>2</v>
      </c>
      <c r="G3" s="3" t="s">
        <v>8</v>
      </c>
      <c r="H3" s="3" t="s">
        <v>9</v>
      </c>
      <c r="L3">
        <f>+SUM(Tablo145678910111213141516171819202122232425262728293031323334353637383940414243444546474849505152[KAR])</f>
        <v>3578.9680000000035</v>
      </c>
      <c r="M3" s="37">
        <f>+C1</f>
        <v>50</v>
      </c>
    </row>
    <row r="4" spans="2:18" ht="21" hidden="1" customHeight="1" x14ac:dyDescent="0.3">
      <c r="B4" s="2">
        <v>45291</v>
      </c>
      <c r="C4" s="6">
        <v>220</v>
      </c>
      <c r="D4" s="10">
        <v>154.15639999999999</v>
      </c>
      <c r="E4" s="10">
        <v>158.58580000000001</v>
      </c>
      <c r="F4" s="9">
        <f>IF(Tablo145678910111213141516171819202122232425262728293031323334353637383940414243444546474849505152[[#This Row],[SATIŞ]]=0,"Açık",(E4-D4)*C4)</f>
        <v>974.46800000000337</v>
      </c>
      <c r="G4" s="11">
        <f>Tablo145678910111213141516171819202122232425262728293031323334353637383940414243444546474849505152[[#This Row],[ADET]]*Tablo145678910111213141516171819202122232425262728293031323334353637383940414243444546474849505152[[#This Row],[ALIŞ]]</f>
        <v>33914.407999999996</v>
      </c>
      <c r="H4" s="11">
        <f>Tablo145678910111213141516171819202122232425262728293031323334353637383940414243444546474849505152[[#This Row],[ADET]]*Tablo145678910111213141516171819202122232425262728293031323334353637383940414243444546474849505152[[#This Row],[SATIŞ]]</f>
        <v>34888.876000000004</v>
      </c>
      <c r="L4" s="8">
        <f>SUM(Tablo145678910111213141516171819202122232425262728293031323334353637383940414243444546474849505152[ALIŞ TUTAR])</f>
        <v>120260.908</v>
      </c>
      <c r="M4" s="8">
        <f>SUM(Tablo145678910111213141516171819202122232425262728293031323334353637383940414243444546474849505152[SATIŞ TUTAR])</f>
        <v>110839.876</v>
      </c>
      <c r="N4" s="8">
        <f>L4-M4</f>
        <v>9421.031999999992</v>
      </c>
    </row>
    <row r="5" spans="2:18" ht="21" hidden="1" customHeight="1" x14ac:dyDescent="0.3">
      <c r="B5" s="2">
        <v>45323</v>
      </c>
      <c r="C5" s="6">
        <v>10</v>
      </c>
      <c r="D5" s="10">
        <v>230</v>
      </c>
      <c r="E5" s="10">
        <v>251</v>
      </c>
      <c r="F5" s="9">
        <f>IF(Tablo145678910111213141516171819202122232425262728293031323334353637383940414243444546474849505152[[#This Row],[SATIŞ]]=0,"Açık",(E5-D5)*C5)</f>
        <v>210</v>
      </c>
      <c r="G5" s="11">
        <f>Tablo145678910111213141516171819202122232425262728293031323334353637383940414243444546474849505152[[#This Row],[ADET]]*Tablo145678910111213141516171819202122232425262728293031323334353637383940414243444546474849505152[[#This Row],[ALIŞ]]</f>
        <v>2300</v>
      </c>
      <c r="H5" s="11">
        <f>Tablo145678910111213141516171819202122232425262728293031323334353637383940414243444546474849505152[[#This Row],[ADET]]*Tablo145678910111213141516171819202122232425262728293031323334353637383940414243444546474849505152[[#This Row],[SATIŞ]]</f>
        <v>2510</v>
      </c>
      <c r="N5">
        <f>+N4/80</f>
        <v>117.7628999999999</v>
      </c>
    </row>
    <row r="6" spans="2:18" ht="21" hidden="1" customHeight="1" x14ac:dyDescent="0.3">
      <c r="B6" s="2">
        <v>45323</v>
      </c>
      <c r="C6" s="6">
        <v>1</v>
      </c>
      <c r="D6" s="10">
        <v>230.5</v>
      </c>
      <c r="E6" s="10">
        <v>225</v>
      </c>
      <c r="F6" s="9">
        <f>IF(Tablo145678910111213141516171819202122232425262728293031323334353637383940414243444546474849505152[[#This Row],[SATIŞ]]=0,"Açık",(E6-D6)*C6)</f>
        <v>-5.5</v>
      </c>
      <c r="G6" s="11">
        <f>Tablo145678910111213141516171819202122232425262728293031323334353637383940414243444546474849505152[[#This Row],[ADET]]*Tablo145678910111213141516171819202122232425262728293031323334353637383940414243444546474849505152[[#This Row],[ALIŞ]]</f>
        <v>230.5</v>
      </c>
      <c r="H6" s="11">
        <f>Tablo145678910111213141516171819202122232425262728293031323334353637383940414243444546474849505152[[#This Row],[ADET]]*Tablo145678910111213141516171819202122232425262728293031323334353637383940414243444546474849505152[[#This Row],[SATIŞ]]</f>
        <v>225</v>
      </c>
    </row>
    <row r="7" spans="2:18" ht="21" hidden="1" customHeight="1" x14ac:dyDescent="0.3">
      <c r="B7" s="2">
        <v>45323</v>
      </c>
      <c r="C7" s="6">
        <v>1</v>
      </c>
      <c r="D7" s="10">
        <v>229</v>
      </c>
      <c r="E7" s="10">
        <v>240</v>
      </c>
      <c r="F7" s="9">
        <f>IF(Tablo145678910111213141516171819202122232425262728293031323334353637383940414243444546474849505152[[#This Row],[SATIŞ]]=0,"Açık",(E7-D7)*C7)</f>
        <v>11</v>
      </c>
      <c r="G7" s="11">
        <f>Tablo145678910111213141516171819202122232425262728293031323334353637383940414243444546474849505152[[#This Row],[ADET]]*Tablo145678910111213141516171819202122232425262728293031323334353637383940414243444546474849505152[[#This Row],[ALIŞ]]</f>
        <v>229</v>
      </c>
      <c r="H7" s="11">
        <f>Tablo145678910111213141516171819202122232425262728293031323334353637383940414243444546474849505152[[#This Row],[ADET]]*Tablo145678910111213141516171819202122232425262728293031323334353637383940414243444546474849505152[[#This Row],[SATIŞ]]</f>
        <v>240</v>
      </c>
    </row>
    <row r="8" spans="2:18" ht="21" hidden="1" customHeight="1" x14ac:dyDescent="0.3">
      <c r="B8" s="2">
        <v>45323</v>
      </c>
      <c r="C8" s="6">
        <v>2</v>
      </c>
      <c r="D8" s="10">
        <v>228</v>
      </c>
      <c r="E8" s="10">
        <v>246</v>
      </c>
      <c r="F8" s="9">
        <f>IF(Tablo145678910111213141516171819202122232425262728293031323334353637383940414243444546474849505152[[#This Row],[SATIŞ]]=0,"Açık",(E8-D8)*C8)</f>
        <v>36</v>
      </c>
      <c r="G8" s="11">
        <f>Tablo145678910111213141516171819202122232425262728293031323334353637383940414243444546474849505152[[#This Row],[ADET]]*Tablo145678910111213141516171819202122232425262728293031323334353637383940414243444546474849505152[[#This Row],[ALIŞ]]</f>
        <v>456</v>
      </c>
      <c r="H8" s="11">
        <f>Tablo145678910111213141516171819202122232425262728293031323334353637383940414243444546474849505152[[#This Row],[ADET]]*Tablo145678910111213141516171819202122232425262728293031323334353637383940414243444546474849505152[[#This Row],[SATIŞ]]</f>
        <v>492</v>
      </c>
    </row>
    <row r="9" spans="2:18" ht="21" hidden="1" customHeight="1" x14ac:dyDescent="0.3">
      <c r="B9" s="2">
        <v>45323</v>
      </c>
      <c r="C9" s="6">
        <v>3</v>
      </c>
      <c r="D9" s="10">
        <v>227</v>
      </c>
      <c r="E9" s="10">
        <v>245</v>
      </c>
      <c r="F9" s="9">
        <f>IF(Tablo145678910111213141516171819202122232425262728293031323334353637383940414243444546474849505152[[#This Row],[SATIŞ]]=0,"Açık",(E9-D9)*C9)</f>
        <v>54</v>
      </c>
      <c r="G9" s="11">
        <f>Tablo145678910111213141516171819202122232425262728293031323334353637383940414243444546474849505152[[#This Row],[ADET]]*Tablo145678910111213141516171819202122232425262728293031323334353637383940414243444546474849505152[[#This Row],[ALIŞ]]</f>
        <v>681</v>
      </c>
      <c r="H9" s="11">
        <f>Tablo145678910111213141516171819202122232425262728293031323334353637383940414243444546474849505152[[#This Row],[ADET]]*Tablo145678910111213141516171819202122232425262728293031323334353637383940414243444546474849505152[[#This Row],[SATIŞ]]</f>
        <v>735</v>
      </c>
    </row>
    <row r="10" spans="2:18" ht="21" hidden="1" customHeight="1" x14ac:dyDescent="0.3">
      <c r="B10" s="2">
        <v>45323</v>
      </c>
      <c r="C10" s="6">
        <v>4</v>
      </c>
      <c r="D10" s="10">
        <v>226</v>
      </c>
      <c r="E10" s="10">
        <v>250</v>
      </c>
      <c r="F10" s="9">
        <f>IF(Tablo145678910111213141516171819202122232425262728293031323334353637383940414243444546474849505152[[#This Row],[SATIŞ]]=0,"Açık",(E10-D10)*C10)</f>
        <v>96</v>
      </c>
      <c r="G10" s="11">
        <f>Tablo145678910111213141516171819202122232425262728293031323334353637383940414243444546474849505152[[#This Row],[ADET]]*Tablo145678910111213141516171819202122232425262728293031323334353637383940414243444546474849505152[[#This Row],[ALIŞ]]</f>
        <v>904</v>
      </c>
      <c r="H10" s="11">
        <f>Tablo145678910111213141516171819202122232425262728293031323334353637383940414243444546474849505152[[#This Row],[ADET]]*Tablo145678910111213141516171819202122232425262728293031323334353637383940414243444546474849505152[[#This Row],[SATIŞ]]</f>
        <v>1000</v>
      </c>
    </row>
    <row r="11" spans="2:18" ht="21" hidden="1" customHeight="1" x14ac:dyDescent="0.3">
      <c r="B11" s="2">
        <v>45327</v>
      </c>
      <c r="C11" s="6">
        <v>1</v>
      </c>
      <c r="D11" s="10">
        <v>224</v>
      </c>
      <c r="E11" s="10">
        <v>225</v>
      </c>
      <c r="F11" s="9">
        <f>IF(Tablo145678910111213141516171819202122232425262728293031323334353637383940414243444546474849505152[[#This Row],[SATIŞ]]=0,"Açık",(E11-D11)*C11)</f>
        <v>1</v>
      </c>
      <c r="G11" s="11">
        <f>Tablo145678910111213141516171819202122232425262728293031323334353637383940414243444546474849505152[[#This Row],[ADET]]*Tablo145678910111213141516171819202122232425262728293031323334353637383940414243444546474849505152[[#This Row],[ALIŞ]]</f>
        <v>224</v>
      </c>
      <c r="H11" s="11">
        <f>Tablo145678910111213141516171819202122232425262728293031323334353637383940414243444546474849505152[[#This Row],[ADET]]*Tablo145678910111213141516171819202122232425262728293031323334353637383940414243444546474849505152[[#This Row],[SATIŞ]]</f>
        <v>225</v>
      </c>
    </row>
    <row r="12" spans="2:18" ht="21" hidden="1" customHeight="1" x14ac:dyDescent="0.3">
      <c r="B12" s="2">
        <v>45327</v>
      </c>
      <c r="C12" s="6">
        <v>2</v>
      </c>
      <c r="D12" s="10">
        <v>223</v>
      </c>
      <c r="E12" s="10">
        <v>257</v>
      </c>
      <c r="F12" s="9">
        <f>IF(Tablo145678910111213141516171819202122232425262728293031323334353637383940414243444546474849505152[[#This Row],[SATIŞ]]=0,"Açık",(E12-D12)*C12)</f>
        <v>68</v>
      </c>
      <c r="G12" s="11">
        <f>Tablo145678910111213141516171819202122232425262728293031323334353637383940414243444546474849505152[[#This Row],[ADET]]*Tablo145678910111213141516171819202122232425262728293031323334353637383940414243444546474849505152[[#This Row],[ALIŞ]]</f>
        <v>446</v>
      </c>
      <c r="H12" s="11">
        <f>Tablo145678910111213141516171819202122232425262728293031323334353637383940414243444546474849505152[[#This Row],[ADET]]*Tablo145678910111213141516171819202122232425262728293031323334353637383940414243444546474849505152[[#This Row],[SATIŞ]]</f>
        <v>514</v>
      </c>
    </row>
    <row r="13" spans="2:18" ht="21" hidden="1" customHeight="1" x14ac:dyDescent="0.3">
      <c r="B13" s="2">
        <v>45328</v>
      </c>
      <c r="C13" s="6">
        <v>2</v>
      </c>
      <c r="D13" s="10">
        <v>222</v>
      </c>
      <c r="E13" s="10">
        <v>226</v>
      </c>
      <c r="F13" s="9">
        <f>IF(Tablo145678910111213141516171819202122232425262728293031323334353637383940414243444546474849505152[[#This Row],[SATIŞ]]=0,"Açık",(E13-D13)*C13)</f>
        <v>8</v>
      </c>
      <c r="G13" s="11">
        <f>Tablo145678910111213141516171819202122232425262728293031323334353637383940414243444546474849505152[[#This Row],[ADET]]*Tablo145678910111213141516171819202122232425262728293031323334353637383940414243444546474849505152[[#This Row],[ALIŞ]]</f>
        <v>444</v>
      </c>
      <c r="H13" s="11">
        <f>Tablo145678910111213141516171819202122232425262728293031323334353637383940414243444546474849505152[[#This Row],[ADET]]*Tablo145678910111213141516171819202122232425262728293031323334353637383940414243444546474849505152[[#This Row],[SATIŞ]]</f>
        <v>452</v>
      </c>
    </row>
    <row r="14" spans="2:18" ht="21" hidden="1" customHeight="1" x14ac:dyDescent="0.3">
      <c r="B14" s="2">
        <v>45328</v>
      </c>
      <c r="C14" s="6">
        <v>1</v>
      </c>
      <c r="D14" s="10">
        <v>223</v>
      </c>
      <c r="E14" s="10">
        <v>245</v>
      </c>
      <c r="F14" s="9">
        <f>IF(Tablo145678910111213141516171819202122232425262728293031323334353637383940414243444546474849505152[[#This Row],[SATIŞ]]=0,"Açık",(E14-D14)*C14)</f>
        <v>22</v>
      </c>
      <c r="G14" s="11">
        <f>Tablo145678910111213141516171819202122232425262728293031323334353637383940414243444546474849505152[[#This Row],[ADET]]*Tablo145678910111213141516171819202122232425262728293031323334353637383940414243444546474849505152[[#This Row],[ALIŞ]]</f>
        <v>223</v>
      </c>
      <c r="H14" s="11">
        <f>Tablo145678910111213141516171819202122232425262728293031323334353637383940414243444546474849505152[[#This Row],[ADET]]*Tablo145678910111213141516171819202122232425262728293031323334353637383940414243444546474849505152[[#This Row],[SATIŞ]]</f>
        <v>245</v>
      </c>
    </row>
    <row r="15" spans="2:18" ht="21" hidden="1" customHeight="1" x14ac:dyDescent="0.3">
      <c r="B15" s="2">
        <v>45329</v>
      </c>
      <c r="C15" s="6">
        <v>2</v>
      </c>
      <c r="D15" s="10">
        <v>229</v>
      </c>
      <c r="E15" s="10">
        <v>252</v>
      </c>
      <c r="F15" s="9">
        <f>IF(Tablo145678910111213141516171819202122232425262728293031323334353637383940414243444546474849505152[[#This Row],[SATIŞ]]=0,"Açık",(E15-D15)*C15)</f>
        <v>46</v>
      </c>
      <c r="G15" s="11">
        <f>Tablo145678910111213141516171819202122232425262728293031323334353637383940414243444546474849505152[[#This Row],[ADET]]*Tablo145678910111213141516171819202122232425262728293031323334353637383940414243444546474849505152[[#This Row],[ALIŞ]]</f>
        <v>458</v>
      </c>
      <c r="H15" s="11">
        <f>Tablo145678910111213141516171819202122232425262728293031323334353637383940414243444546474849505152[[#This Row],[ADET]]*Tablo145678910111213141516171819202122232425262728293031323334353637383940414243444546474849505152[[#This Row],[SATIŞ]]</f>
        <v>504</v>
      </c>
    </row>
    <row r="16" spans="2:18" ht="21" hidden="1" customHeight="1" x14ac:dyDescent="0.3">
      <c r="B16" s="2">
        <v>45329</v>
      </c>
      <c r="C16" s="6">
        <v>2</v>
      </c>
      <c r="D16" s="10">
        <v>238</v>
      </c>
      <c r="E16" s="10">
        <v>250</v>
      </c>
      <c r="F16" s="9">
        <f>IF(Tablo145678910111213141516171819202122232425262728293031323334353637383940414243444546474849505152[[#This Row],[SATIŞ]]=0,"Açık",(E16-D16)*C16)</f>
        <v>24</v>
      </c>
      <c r="G16" s="11">
        <f>Tablo145678910111213141516171819202122232425262728293031323334353637383940414243444546474849505152[[#This Row],[ADET]]*Tablo145678910111213141516171819202122232425262728293031323334353637383940414243444546474849505152[[#This Row],[ALIŞ]]</f>
        <v>476</v>
      </c>
      <c r="H16" s="11">
        <f>Tablo145678910111213141516171819202122232425262728293031323334353637383940414243444546474849505152[[#This Row],[ADET]]*Tablo145678910111213141516171819202122232425262728293031323334353637383940414243444546474849505152[[#This Row],[SATIŞ]]</f>
        <v>500</v>
      </c>
    </row>
    <row r="17" spans="2:10" ht="21" hidden="1" customHeight="1" x14ac:dyDescent="0.3">
      <c r="B17" s="2">
        <v>45329</v>
      </c>
      <c r="C17" s="6">
        <v>2</v>
      </c>
      <c r="D17" s="10">
        <v>240</v>
      </c>
      <c r="E17" s="10">
        <v>250</v>
      </c>
      <c r="F17" s="9">
        <f>IF(Tablo145678910111213141516171819202122232425262728293031323334353637383940414243444546474849505152[[#This Row],[SATIŞ]]=0,"Açık",(E17-D17)*C17)</f>
        <v>20</v>
      </c>
      <c r="G17" s="11">
        <f>Tablo145678910111213141516171819202122232425262728293031323334353637383940414243444546474849505152[[#This Row],[ADET]]*Tablo145678910111213141516171819202122232425262728293031323334353637383940414243444546474849505152[[#This Row],[ALIŞ]]</f>
        <v>480</v>
      </c>
      <c r="H17" s="11">
        <f>Tablo145678910111213141516171819202122232425262728293031323334353637383940414243444546474849505152[[#This Row],[ADET]]*Tablo145678910111213141516171819202122232425262728293031323334353637383940414243444546474849505152[[#This Row],[SATIŞ]]</f>
        <v>500</v>
      </c>
    </row>
    <row r="18" spans="2:10" ht="21" hidden="1" customHeight="1" x14ac:dyDescent="0.3">
      <c r="B18" s="2">
        <v>45330</v>
      </c>
      <c r="C18" s="6">
        <v>5</v>
      </c>
      <c r="D18" s="10">
        <v>250</v>
      </c>
      <c r="E18" s="10">
        <v>255</v>
      </c>
      <c r="F18" s="9">
        <f>IF(Tablo145678910111213141516171819202122232425262728293031323334353637383940414243444546474849505152[[#This Row],[SATIŞ]]=0,"Açık",(E18-D18)*C18)</f>
        <v>25</v>
      </c>
      <c r="G18" s="11">
        <f>Tablo145678910111213141516171819202122232425262728293031323334353637383940414243444546474849505152[[#This Row],[ADET]]*Tablo145678910111213141516171819202122232425262728293031323334353637383940414243444546474849505152[[#This Row],[ALIŞ]]</f>
        <v>1250</v>
      </c>
      <c r="H18" s="11">
        <f>Tablo145678910111213141516171819202122232425262728293031323334353637383940414243444546474849505152[[#This Row],[ADET]]*Tablo145678910111213141516171819202122232425262728293031323334353637383940414243444546474849505152[[#This Row],[SATIŞ]]</f>
        <v>1275</v>
      </c>
    </row>
    <row r="19" spans="2:10" ht="21" hidden="1" customHeight="1" x14ac:dyDescent="0.3">
      <c r="B19" s="2">
        <v>45331</v>
      </c>
      <c r="C19" s="6">
        <v>5</v>
      </c>
      <c r="D19" s="10">
        <v>245</v>
      </c>
      <c r="E19" s="10">
        <v>255</v>
      </c>
      <c r="F19" s="9">
        <f>IF(Tablo145678910111213141516171819202122232425262728293031323334353637383940414243444546474849505152[[#This Row],[SATIŞ]]=0,"Açık",(E19-D19)*C19)</f>
        <v>50</v>
      </c>
      <c r="G19" s="11">
        <f>Tablo145678910111213141516171819202122232425262728293031323334353637383940414243444546474849505152[[#This Row],[ADET]]*Tablo145678910111213141516171819202122232425262728293031323334353637383940414243444546474849505152[[#This Row],[ALIŞ]]</f>
        <v>1225</v>
      </c>
      <c r="H19" s="11">
        <f>Tablo145678910111213141516171819202122232425262728293031323334353637383940414243444546474849505152[[#This Row],[ADET]]*Tablo145678910111213141516171819202122232425262728293031323334353637383940414243444546474849505152[[#This Row],[SATIŞ]]</f>
        <v>1275</v>
      </c>
    </row>
    <row r="20" spans="2:10" ht="21" hidden="1" customHeight="1" x14ac:dyDescent="0.3">
      <c r="B20" s="2">
        <v>45334</v>
      </c>
      <c r="C20" s="6">
        <v>5</v>
      </c>
      <c r="D20" s="10">
        <v>249</v>
      </c>
      <c r="E20" s="10">
        <v>250</v>
      </c>
      <c r="F20" s="9">
        <f>IF(Tablo145678910111213141516171819202122232425262728293031323334353637383940414243444546474849505152[[#This Row],[SATIŞ]]=0,"Açık",(E20-D20)*C20)</f>
        <v>5</v>
      </c>
      <c r="G20" s="11">
        <f>Tablo145678910111213141516171819202122232425262728293031323334353637383940414243444546474849505152[[#This Row],[ADET]]*Tablo145678910111213141516171819202122232425262728293031323334353637383940414243444546474849505152[[#This Row],[ALIŞ]]</f>
        <v>1245</v>
      </c>
      <c r="H20" s="11">
        <f>Tablo145678910111213141516171819202122232425262728293031323334353637383940414243444546474849505152[[#This Row],[ADET]]*Tablo145678910111213141516171819202122232425262728293031323334353637383940414243444546474849505152[[#This Row],[SATIŞ]]</f>
        <v>1250</v>
      </c>
    </row>
    <row r="21" spans="2:10" ht="21" hidden="1" customHeight="1" x14ac:dyDescent="0.3">
      <c r="B21" s="2">
        <v>45335</v>
      </c>
      <c r="C21" s="6">
        <v>7</v>
      </c>
      <c r="D21" s="10">
        <v>240</v>
      </c>
      <c r="E21" s="10">
        <v>245</v>
      </c>
      <c r="F21" s="9">
        <f>IF(Tablo145678910111213141516171819202122232425262728293031323334353637383940414243444546474849505152[[#This Row],[SATIŞ]]=0,"Açık",(E21-D21)*C21)</f>
        <v>35</v>
      </c>
      <c r="G21" s="11">
        <f>Tablo145678910111213141516171819202122232425262728293031323334353637383940414243444546474849505152[[#This Row],[ADET]]*Tablo145678910111213141516171819202122232425262728293031323334353637383940414243444546474849505152[[#This Row],[ALIŞ]]</f>
        <v>1680</v>
      </c>
      <c r="H21" s="11">
        <f>Tablo145678910111213141516171819202122232425262728293031323334353637383940414243444546474849505152[[#This Row],[ADET]]*Tablo145678910111213141516171819202122232425262728293031323334353637383940414243444546474849505152[[#This Row],[SATIŞ]]</f>
        <v>1715</v>
      </c>
    </row>
    <row r="22" spans="2:10" ht="21" hidden="1" customHeight="1" x14ac:dyDescent="0.3">
      <c r="B22" s="2">
        <v>45336</v>
      </c>
      <c r="C22" s="6">
        <v>10</v>
      </c>
      <c r="D22" s="10">
        <v>230</v>
      </c>
      <c r="E22" s="10">
        <v>240</v>
      </c>
      <c r="F22" s="9">
        <f>IF(Tablo145678910111213141516171819202122232425262728293031323334353637383940414243444546474849505152[[#This Row],[SATIŞ]]=0,"Açık",(E22-D22)*C22)</f>
        <v>100</v>
      </c>
      <c r="G22" s="11">
        <f>Tablo145678910111213141516171819202122232425262728293031323334353637383940414243444546474849505152[[#This Row],[ADET]]*Tablo145678910111213141516171819202122232425262728293031323334353637383940414243444546474849505152[[#This Row],[ALIŞ]]</f>
        <v>2300</v>
      </c>
      <c r="H22" s="11">
        <f>Tablo145678910111213141516171819202122232425262728293031323334353637383940414243444546474849505152[[#This Row],[ADET]]*Tablo145678910111213141516171819202122232425262728293031323334353637383940414243444546474849505152[[#This Row],[SATIŞ]]</f>
        <v>2400</v>
      </c>
    </row>
    <row r="23" spans="2:10" ht="21" hidden="1" customHeight="1" x14ac:dyDescent="0.3">
      <c r="B23" s="2">
        <v>45336</v>
      </c>
      <c r="C23" s="6">
        <v>5</v>
      </c>
      <c r="D23" s="10">
        <v>230</v>
      </c>
      <c r="E23" s="10">
        <v>250</v>
      </c>
      <c r="F23" s="9">
        <f>IF(Tablo145678910111213141516171819202122232425262728293031323334353637383940414243444546474849505152[[#This Row],[SATIŞ]]=0,"Açık",(E23-D23)*C23)</f>
        <v>100</v>
      </c>
      <c r="G23" s="11">
        <f>Tablo145678910111213141516171819202122232425262728293031323334353637383940414243444546474849505152[[#This Row],[ADET]]*Tablo145678910111213141516171819202122232425262728293031323334353637383940414243444546474849505152[[#This Row],[ALIŞ]]</f>
        <v>1150</v>
      </c>
      <c r="H23" s="11">
        <f>Tablo145678910111213141516171819202122232425262728293031323334353637383940414243444546474849505152[[#This Row],[ADET]]*Tablo145678910111213141516171819202122232425262728293031323334353637383940414243444546474849505152[[#This Row],[SATIŞ]]</f>
        <v>1250</v>
      </c>
    </row>
    <row r="24" spans="2:10" ht="21" hidden="1" customHeight="1" x14ac:dyDescent="0.3">
      <c r="B24" s="2">
        <v>45337</v>
      </c>
      <c r="C24" s="6">
        <v>10</v>
      </c>
      <c r="D24" s="10">
        <v>240</v>
      </c>
      <c r="E24" s="10">
        <v>245</v>
      </c>
      <c r="F24" s="9">
        <f>IF(Tablo145678910111213141516171819202122232425262728293031323334353637383940414243444546474849505152[[#This Row],[SATIŞ]]=0,"Açık",(E24-D24)*C24)</f>
        <v>50</v>
      </c>
      <c r="G24" s="11">
        <f>Tablo145678910111213141516171819202122232425262728293031323334353637383940414243444546474849505152[[#This Row],[ADET]]*Tablo145678910111213141516171819202122232425262728293031323334353637383940414243444546474849505152[[#This Row],[ALIŞ]]</f>
        <v>2400</v>
      </c>
      <c r="H24" s="11">
        <f>Tablo145678910111213141516171819202122232425262728293031323334353637383940414243444546474849505152[[#This Row],[ADET]]*Tablo145678910111213141516171819202122232425262728293031323334353637383940414243444546474849505152[[#This Row],[SATIŞ]]</f>
        <v>2450</v>
      </c>
    </row>
    <row r="25" spans="2:10" ht="21" hidden="1" customHeight="1" x14ac:dyDescent="0.3">
      <c r="B25" s="2">
        <v>45338</v>
      </c>
      <c r="C25" s="6">
        <v>10</v>
      </c>
      <c r="D25" s="10">
        <v>238</v>
      </c>
      <c r="E25" s="10">
        <v>260</v>
      </c>
      <c r="F25" s="9">
        <f>IF(Tablo145678910111213141516171819202122232425262728293031323334353637383940414243444546474849505152[[#This Row],[SATIŞ]]=0,"Açık",(E25-D25)*C25)</f>
        <v>220</v>
      </c>
      <c r="G25" s="11">
        <f>Tablo145678910111213141516171819202122232425262728293031323334353637383940414243444546474849505152[[#This Row],[ADET]]*Tablo145678910111213141516171819202122232425262728293031323334353637383940414243444546474849505152[[#This Row],[ALIŞ]]</f>
        <v>2380</v>
      </c>
      <c r="H25" s="11">
        <f>Tablo145678910111213141516171819202122232425262728293031323334353637383940414243444546474849505152[[#This Row],[ADET]]*Tablo145678910111213141516171819202122232425262728293031323334353637383940414243444546474849505152[[#This Row],[SATIŞ]]</f>
        <v>2600</v>
      </c>
    </row>
    <row r="26" spans="2:10" ht="21" hidden="1" customHeight="1" x14ac:dyDescent="0.3">
      <c r="B26" s="2">
        <v>45341</v>
      </c>
      <c r="C26" s="6">
        <v>10</v>
      </c>
      <c r="D26" s="10">
        <v>238</v>
      </c>
      <c r="E26" s="10">
        <v>270</v>
      </c>
      <c r="F26" s="9">
        <f>IF(Tablo145678910111213141516171819202122232425262728293031323334353637383940414243444546474849505152[[#This Row],[SATIŞ]]=0,"Açık",(E26-D26)*C26)</f>
        <v>320</v>
      </c>
      <c r="G26" s="11">
        <f>Tablo145678910111213141516171819202122232425262728293031323334353637383940414243444546474849505152[[#This Row],[ADET]]*Tablo145678910111213141516171819202122232425262728293031323334353637383940414243444546474849505152[[#This Row],[ALIŞ]]</f>
        <v>2380</v>
      </c>
      <c r="H26" s="11">
        <f>Tablo145678910111213141516171819202122232425262728293031323334353637383940414243444546474849505152[[#This Row],[ADET]]*Tablo145678910111213141516171819202122232425262728293031323334353637383940414243444546474849505152[[#This Row],[SATIŞ]]</f>
        <v>2700</v>
      </c>
    </row>
    <row r="27" spans="2:10" ht="21" hidden="1" customHeight="1" x14ac:dyDescent="0.3">
      <c r="B27" s="2">
        <v>45343</v>
      </c>
      <c r="C27" s="6">
        <v>10</v>
      </c>
      <c r="D27" s="10">
        <v>245</v>
      </c>
      <c r="E27" s="10">
        <v>280.5</v>
      </c>
      <c r="F27" s="9">
        <f>IF(Tablo145678910111213141516171819202122232425262728293031323334353637383940414243444546474849505152[[#This Row],[SATIŞ]]=0,"Açık",(E27-D27)*C27)</f>
        <v>355</v>
      </c>
      <c r="G27" s="11">
        <f>Tablo145678910111213141516171819202122232425262728293031323334353637383940414243444546474849505152[[#This Row],[ADET]]*Tablo145678910111213141516171819202122232425262728293031323334353637383940414243444546474849505152[[#This Row],[ALIŞ]]</f>
        <v>2450</v>
      </c>
      <c r="H27" s="11">
        <f>Tablo145678910111213141516171819202122232425262728293031323334353637383940414243444546474849505152[[#This Row],[ADET]]*Tablo145678910111213141516171819202122232425262728293031323334353637383940414243444546474849505152[[#This Row],[SATIŞ]]</f>
        <v>2805</v>
      </c>
    </row>
    <row r="28" spans="2:10" ht="21" customHeight="1" x14ac:dyDescent="0.3">
      <c r="B28" s="2">
        <v>45344</v>
      </c>
      <c r="C28" s="6">
        <v>10</v>
      </c>
      <c r="D28" s="10">
        <v>255</v>
      </c>
      <c r="E28" s="10"/>
      <c r="F28" s="9" t="str">
        <f>IF(Tablo145678910111213141516171819202122232425262728293031323334353637383940414243444546474849505152[[#This Row],[SATIŞ]]=0,"Açık",(E28-D28)*C28)</f>
        <v>Açık</v>
      </c>
      <c r="G28" s="11">
        <f>Tablo145678910111213141516171819202122232425262728293031323334353637383940414243444546474849505152[[#This Row],[ADET]]*Tablo145678910111213141516171819202122232425262728293031323334353637383940414243444546474849505152[[#This Row],[ALIŞ]]</f>
        <v>2550</v>
      </c>
      <c r="H28" s="11">
        <f>Tablo145678910111213141516171819202122232425262728293031323334353637383940414243444546474849505152[[#This Row],[ADET]]*Tablo145678910111213141516171819202122232425262728293031323334353637383940414243444546474849505152[[#This Row],[SATIŞ]]</f>
        <v>0</v>
      </c>
      <c r="J28" s="40">
        <f t="shared" ref="J28:J42" si="0">IF(E28=0,D28*1.05,"")</f>
        <v>267.75</v>
      </c>
    </row>
    <row r="29" spans="2:10" ht="21" hidden="1" customHeight="1" x14ac:dyDescent="0.3">
      <c r="B29" s="2">
        <v>45345</v>
      </c>
      <c r="C29" s="6">
        <v>10</v>
      </c>
      <c r="D29" s="10">
        <v>273</v>
      </c>
      <c r="E29" s="10">
        <v>280</v>
      </c>
      <c r="F29" s="9">
        <f>IF(Tablo145678910111213141516171819202122232425262728293031323334353637383940414243444546474849505152[[#This Row],[SATIŞ]]=0,"Açık",(E29-D29)*C29)</f>
        <v>70</v>
      </c>
      <c r="G29" s="11">
        <f>Tablo145678910111213141516171819202122232425262728293031323334353637383940414243444546474849505152[[#This Row],[ADET]]*Tablo145678910111213141516171819202122232425262728293031323334353637383940414243444546474849505152[[#This Row],[ALIŞ]]</f>
        <v>2730</v>
      </c>
      <c r="H29" s="11">
        <f>Tablo145678910111213141516171819202122232425262728293031323334353637383940414243444546474849505152[[#This Row],[ADET]]*Tablo145678910111213141516171819202122232425262728293031323334353637383940414243444546474849505152[[#This Row],[SATIŞ]]</f>
        <v>2800</v>
      </c>
      <c r="J29" s="40" t="str">
        <f t="shared" si="0"/>
        <v/>
      </c>
    </row>
    <row r="30" spans="2:10" ht="21" customHeight="1" x14ac:dyDescent="0.3">
      <c r="B30" s="2">
        <v>45348</v>
      </c>
      <c r="C30" s="6">
        <v>10</v>
      </c>
      <c r="D30" s="10">
        <v>270</v>
      </c>
      <c r="E30" s="10"/>
      <c r="F30" s="9" t="str">
        <f>IF(Tablo145678910111213141516171819202122232425262728293031323334353637383940414243444546474849505152[[#This Row],[SATIŞ]]=0,"Açık",(E30-D30)*C30)</f>
        <v>Açık</v>
      </c>
      <c r="G30" s="11">
        <f>Tablo145678910111213141516171819202122232425262728293031323334353637383940414243444546474849505152[[#This Row],[ADET]]*Tablo145678910111213141516171819202122232425262728293031323334353637383940414243444546474849505152[[#This Row],[ALIŞ]]</f>
        <v>2700</v>
      </c>
      <c r="H30" s="11">
        <f>Tablo145678910111213141516171819202122232425262728293031323334353637383940414243444546474849505152[[#This Row],[ADET]]*Tablo145678910111213141516171819202122232425262728293031323334353637383940414243444546474849505152[[#This Row],[SATIŞ]]</f>
        <v>0</v>
      </c>
      <c r="J30" s="40">
        <f t="shared" si="0"/>
        <v>283.5</v>
      </c>
    </row>
    <row r="31" spans="2:10" ht="21" customHeight="1" x14ac:dyDescent="0.3">
      <c r="B31" s="2">
        <v>45348</v>
      </c>
      <c r="C31" s="6">
        <v>10</v>
      </c>
      <c r="D31" s="10">
        <v>265</v>
      </c>
      <c r="E31" s="10"/>
      <c r="F31" s="9" t="str">
        <f>IF(Tablo145678910111213141516171819202122232425262728293031323334353637383940414243444546474849505152[[#This Row],[SATIŞ]]=0,"Açık",(E31-D31)*C31)</f>
        <v>Açık</v>
      </c>
      <c r="G31" s="11">
        <f>Tablo145678910111213141516171819202122232425262728293031323334353637383940414243444546474849505152[[#This Row],[ADET]]*Tablo145678910111213141516171819202122232425262728293031323334353637383940414243444546474849505152[[#This Row],[ALIŞ]]</f>
        <v>2650</v>
      </c>
      <c r="H31" s="11">
        <f>Tablo145678910111213141516171819202122232425262728293031323334353637383940414243444546474849505152[[#This Row],[ADET]]*Tablo145678910111213141516171819202122232425262728293031323334353637383940414243444546474849505152[[#This Row],[SATIŞ]]</f>
        <v>0</v>
      </c>
      <c r="J31" s="40">
        <f t="shared" si="0"/>
        <v>278.25</v>
      </c>
    </row>
    <row r="32" spans="2:10" ht="21" customHeight="1" x14ac:dyDescent="0.3">
      <c r="B32" s="2">
        <v>45349</v>
      </c>
      <c r="C32" s="6">
        <v>10</v>
      </c>
      <c r="D32" s="10">
        <v>260</v>
      </c>
      <c r="E32" s="10"/>
      <c r="F32" s="9" t="str">
        <f>IF(Tablo145678910111213141516171819202122232425262728293031323334353637383940414243444546474849505152[[#This Row],[SATIŞ]]=0,"Açık",(E32-D32)*C32)</f>
        <v>Açık</v>
      </c>
      <c r="G32" s="11">
        <f>Tablo145678910111213141516171819202122232425262728293031323334353637383940414243444546474849505152[[#This Row],[ADET]]*Tablo145678910111213141516171819202122232425262728293031323334353637383940414243444546474849505152[[#This Row],[ALIŞ]]</f>
        <v>2600</v>
      </c>
      <c r="H32" s="11">
        <f>Tablo145678910111213141516171819202122232425262728293031323334353637383940414243444546474849505152[[#This Row],[ADET]]*Tablo145678910111213141516171819202122232425262728293031323334353637383940414243444546474849505152[[#This Row],[SATIŞ]]</f>
        <v>0</v>
      </c>
      <c r="J32" s="40">
        <f t="shared" si="0"/>
        <v>273</v>
      </c>
    </row>
    <row r="33" spans="2:10" ht="21" customHeight="1" x14ac:dyDescent="0.3">
      <c r="B33" s="2">
        <v>45349</v>
      </c>
      <c r="C33" s="6">
        <v>10</v>
      </c>
      <c r="D33" s="10">
        <v>250</v>
      </c>
      <c r="E33" s="10"/>
      <c r="F33" s="9" t="str">
        <f>IF(Tablo145678910111213141516171819202122232425262728293031323334353637383940414243444546474849505152[[#This Row],[SATIŞ]]=0,"Açık",(E33-D33)*C33)</f>
        <v>Açık</v>
      </c>
      <c r="G33" s="11">
        <f>Tablo145678910111213141516171819202122232425262728293031323334353637383940414243444546474849505152[[#This Row],[ADET]]*Tablo145678910111213141516171819202122232425262728293031323334353637383940414243444546474849505152[[#This Row],[ALIŞ]]</f>
        <v>2500</v>
      </c>
      <c r="H33" s="11">
        <f>Tablo145678910111213141516171819202122232425262728293031323334353637383940414243444546474849505152[[#This Row],[ADET]]*Tablo145678910111213141516171819202122232425262728293031323334353637383940414243444546474849505152[[#This Row],[SATIŞ]]</f>
        <v>0</v>
      </c>
      <c r="J33" s="40">
        <f t="shared" si="0"/>
        <v>262.5</v>
      </c>
    </row>
    <row r="34" spans="2:10" ht="21" hidden="1" customHeight="1" x14ac:dyDescent="0.3">
      <c r="B34" s="2">
        <v>45350</v>
      </c>
      <c r="C34" s="6">
        <v>10</v>
      </c>
      <c r="D34" s="10">
        <v>245</v>
      </c>
      <c r="E34" s="10">
        <v>216</v>
      </c>
      <c r="F34" s="9">
        <f>IF(Tablo145678910111213141516171819202122232425262728293031323334353637383940414243444546474849505152[[#This Row],[SATIŞ]]=0,"Açık",(E34-D34)*C34)</f>
        <v>-290</v>
      </c>
      <c r="G34" s="11">
        <f>Tablo145678910111213141516171819202122232425262728293031323334353637383940414243444546474849505152[[#This Row],[ADET]]*Tablo145678910111213141516171819202122232425262728293031323334353637383940414243444546474849505152[[#This Row],[ALIŞ]]</f>
        <v>2450</v>
      </c>
      <c r="H34" s="11">
        <f>Tablo145678910111213141516171819202122232425262728293031323334353637383940414243444546474849505152[[#This Row],[ADET]]*Tablo145678910111213141516171819202122232425262728293031323334353637383940414243444546474849505152[[#This Row],[SATIŞ]]</f>
        <v>2160</v>
      </c>
      <c r="J34" s="40" t="str">
        <f t="shared" si="0"/>
        <v/>
      </c>
    </row>
    <row r="35" spans="2:10" ht="21" hidden="1" customHeight="1" x14ac:dyDescent="0.3">
      <c r="B35" s="2">
        <v>45356</v>
      </c>
      <c r="C35" s="6">
        <v>10</v>
      </c>
      <c r="D35" s="10">
        <v>225</v>
      </c>
      <c r="E35" s="10">
        <v>216</v>
      </c>
      <c r="F35" s="9">
        <f>IF(Tablo145678910111213141516171819202122232425262728293031323334353637383940414243444546474849505152[[#This Row],[SATIŞ]]=0,"Açık",(E35-D35)*C35)</f>
        <v>-90</v>
      </c>
      <c r="G35" s="11">
        <f>Tablo145678910111213141516171819202122232425262728293031323334353637383940414243444546474849505152[[#This Row],[ADET]]*Tablo145678910111213141516171819202122232425262728293031323334353637383940414243444546474849505152[[#This Row],[ALIŞ]]</f>
        <v>2250</v>
      </c>
      <c r="H35" s="11">
        <f>Tablo145678910111213141516171819202122232425262728293031323334353637383940414243444546474849505152[[#This Row],[ADET]]*Tablo145678910111213141516171819202122232425262728293031323334353637383940414243444546474849505152[[#This Row],[SATIŞ]]</f>
        <v>2160</v>
      </c>
      <c r="J35" s="40" t="str">
        <f t="shared" si="0"/>
        <v/>
      </c>
    </row>
    <row r="36" spans="2:10" ht="21" hidden="1" customHeight="1" x14ac:dyDescent="0.3">
      <c r="B36" s="2">
        <v>45359</v>
      </c>
      <c r="C36" s="6">
        <v>10</v>
      </c>
      <c r="D36" s="10">
        <v>220</v>
      </c>
      <c r="E36" s="10">
        <v>216</v>
      </c>
      <c r="F36" s="9">
        <f>IF(Tablo145678910111213141516171819202122232425262728293031323334353637383940414243444546474849505152[[#This Row],[SATIŞ]]=0,"Açık",(E36-D36)*C36)</f>
        <v>-40</v>
      </c>
      <c r="G36" s="11">
        <f>Tablo145678910111213141516171819202122232425262728293031323334353637383940414243444546474849505152[[#This Row],[ADET]]*Tablo145678910111213141516171819202122232425262728293031323334353637383940414243444546474849505152[[#This Row],[ALIŞ]]</f>
        <v>2200</v>
      </c>
      <c r="H36" s="11">
        <f>Tablo145678910111213141516171819202122232425262728293031323334353637383940414243444546474849505152[[#This Row],[ADET]]*Tablo145678910111213141516171819202122232425262728293031323334353637383940414243444546474849505152[[#This Row],[SATIŞ]]</f>
        <v>2160</v>
      </c>
      <c r="J36" s="40" t="str">
        <f t="shared" si="0"/>
        <v/>
      </c>
    </row>
    <row r="37" spans="2:10" ht="21" hidden="1" customHeight="1" x14ac:dyDescent="0.3">
      <c r="B37" s="2">
        <v>45369</v>
      </c>
      <c r="C37" s="6">
        <v>10</v>
      </c>
      <c r="D37" s="10">
        <v>218</v>
      </c>
      <c r="E37" s="10">
        <v>225</v>
      </c>
      <c r="F37" s="9">
        <f>IF(Tablo145678910111213141516171819202122232425262728293031323334353637383940414243444546474849505152[[#This Row],[SATIŞ]]=0,"Açık",(E37-D37)*C37)</f>
        <v>70</v>
      </c>
      <c r="G37" s="11">
        <f>Tablo145678910111213141516171819202122232425262728293031323334353637383940414243444546474849505152[[#This Row],[ADET]]*Tablo145678910111213141516171819202122232425262728293031323334353637383940414243444546474849505152[[#This Row],[ALIŞ]]</f>
        <v>2180</v>
      </c>
      <c r="H37" s="11">
        <f>Tablo145678910111213141516171819202122232425262728293031323334353637383940414243444546474849505152[[#This Row],[ADET]]*Tablo145678910111213141516171819202122232425262728293031323334353637383940414243444546474849505152[[#This Row],[SATIŞ]]</f>
        <v>2250</v>
      </c>
      <c r="J37" s="40" t="str">
        <f t="shared" si="0"/>
        <v/>
      </c>
    </row>
    <row r="38" spans="2:10" ht="21" hidden="1" customHeight="1" x14ac:dyDescent="0.3">
      <c r="B38" s="2">
        <v>45369</v>
      </c>
      <c r="C38" s="6">
        <v>10</v>
      </c>
      <c r="D38" s="10">
        <v>220</v>
      </c>
      <c r="E38" s="10">
        <v>230</v>
      </c>
      <c r="F38" s="9">
        <f>IF(Tablo145678910111213141516171819202122232425262728293031323334353637383940414243444546474849505152[[#This Row],[SATIŞ]]=0,"Açık",(E38-D38)*C38)</f>
        <v>100</v>
      </c>
      <c r="G38" s="11">
        <f>Tablo145678910111213141516171819202122232425262728293031323334353637383940414243444546474849505152[[#This Row],[ADET]]*Tablo145678910111213141516171819202122232425262728293031323334353637383940414243444546474849505152[[#This Row],[ALIŞ]]</f>
        <v>2200</v>
      </c>
      <c r="H38" s="11">
        <f>Tablo145678910111213141516171819202122232425262728293031323334353637383940414243444546474849505152[[#This Row],[ADET]]*Tablo145678910111213141516171819202122232425262728293031323334353637383940414243444546474849505152[[#This Row],[SATIŞ]]</f>
        <v>2300</v>
      </c>
      <c r="J38" s="40" t="str">
        <f t="shared" si="0"/>
        <v/>
      </c>
    </row>
    <row r="39" spans="2:10" ht="21" hidden="1" customHeight="1" x14ac:dyDescent="0.3">
      <c r="B39" s="2">
        <v>45371</v>
      </c>
      <c r="C39" s="6">
        <v>10</v>
      </c>
      <c r="D39" s="10">
        <v>213.5</v>
      </c>
      <c r="E39" s="10">
        <v>220</v>
      </c>
      <c r="F39" s="9">
        <f>IF(Tablo145678910111213141516171819202122232425262728293031323334353637383940414243444546474849505152[[#This Row],[SATIŞ]]=0,"Açık",(E39-D39)*C39)</f>
        <v>65</v>
      </c>
      <c r="G39" s="11">
        <f>Tablo145678910111213141516171819202122232425262728293031323334353637383940414243444546474849505152[[#This Row],[ADET]]*Tablo145678910111213141516171819202122232425262728293031323334353637383940414243444546474849505152[[#This Row],[ALIŞ]]</f>
        <v>2135</v>
      </c>
      <c r="H39" s="11">
        <f>Tablo145678910111213141516171819202122232425262728293031323334353637383940414243444546474849505152[[#This Row],[ADET]]*Tablo145678910111213141516171819202122232425262728293031323334353637383940414243444546474849505152[[#This Row],[SATIŞ]]</f>
        <v>2200</v>
      </c>
      <c r="J39" s="40" t="str">
        <f t="shared" si="0"/>
        <v/>
      </c>
    </row>
    <row r="40" spans="2:10" ht="21" hidden="1" customHeight="1" x14ac:dyDescent="0.3">
      <c r="B40" s="2">
        <v>45372</v>
      </c>
      <c r="C40" s="6">
        <v>10</v>
      </c>
      <c r="D40" s="10">
        <v>210</v>
      </c>
      <c r="E40" s="10">
        <v>215</v>
      </c>
      <c r="F40" s="9">
        <f>IF(Tablo145678910111213141516171819202122232425262728293031323334353637383940414243444546474849505152[[#This Row],[SATIŞ]]=0,"Açık",(E40-D40)*C40)</f>
        <v>50</v>
      </c>
      <c r="G40" s="11">
        <f>Tablo145678910111213141516171819202122232425262728293031323334353637383940414243444546474849505152[[#This Row],[ADET]]*Tablo145678910111213141516171819202122232425262728293031323334353637383940414243444546474849505152[[#This Row],[ALIŞ]]</f>
        <v>2100</v>
      </c>
      <c r="H40" s="11">
        <f>Tablo145678910111213141516171819202122232425262728293031323334353637383940414243444546474849505152[[#This Row],[ADET]]*Tablo145678910111213141516171819202122232425262728293031323334353637383940414243444546474849505152[[#This Row],[SATIŞ]]</f>
        <v>2150</v>
      </c>
      <c r="J40" s="40" t="str">
        <f t="shared" si="0"/>
        <v/>
      </c>
    </row>
    <row r="41" spans="2:10" ht="21" hidden="1" customHeight="1" x14ac:dyDescent="0.3">
      <c r="B41" s="2">
        <v>45377</v>
      </c>
      <c r="C41" s="6">
        <v>10</v>
      </c>
      <c r="D41" s="10">
        <v>205</v>
      </c>
      <c r="E41" s="10">
        <v>210</v>
      </c>
      <c r="F41" s="9">
        <f>IF(Tablo145678910111213141516171819202122232425262728293031323334353637383940414243444546474849505152[[#This Row],[SATIŞ]]=0,"Açık",(E41-D41)*C41)</f>
        <v>50</v>
      </c>
      <c r="G41" s="11">
        <f>Tablo145678910111213141516171819202122232425262728293031323334353637383940414243444546474849505152[[#This Row],[ADET]]*Tablo145678910111213141516171819202122232425262728293031323334353637383940414243444546474849505152[[#This Row],[ALIŞ]]</f>
        <v>2050</v>
      </c>
      <c r="H41" s="11">
        <f>Tablo145678910111213141516171819202122232425262728293031323334353637383940414243444546474849505152[[#This Row],[ADET]]*Tablo145678910111213141516171819202122232425262728293031323334353637383940414243444546474849505152[[#This Row],[SATIŞ]]</f>
        <v>2100</v>
      </c>
      <c r="J41" s="40" t="str">
        <f t="shared" si="0"/>
        <v/>
      </c>
    </row>
    <row r="42" spans="2:10" ht="21" hidden="1" customHeight="1" x14ac:dyDescent="0.3">
      <c r="B42" s="2">
        <v>45377</v>
      </c>
      <c r="C42" s="6">
        <v>10</v>
      </c>
      <c r="D42" s="10">
        <v>200</v>
      </c>
      <c r="E42" s="10">
        <v>205</v>
      </c>
      <c r="F42" s="9">
        <f>IF(Tablo145678910111213141516171819202122232425262728293031323334353637383940414243444546474849505152[[#This Row],[SATIŞ]]=0,"Açık",(E42-D42)*C42)</f>
        <v>50</v>
      </c>
      <c r="G42" s="11">
        <f>Tablo145678910111213141516171819202122232425262728293031323334353637383940414243444546474849505152[[#This Row],[ADET]]*Tablo145678910111213141516171819202122232425262728293031323334353637383940414243444546474849505152[[#This Row],[ALIŞ]]</f>
        <v>2000</v>
      </c>
      <c r="H42" s="11">
        <f>Tablo145678910111213141516171819202122232425262728293031323334353637383940414243444546474849505152[[#This Row],[ADET]]*Tablo145678910111213141516171819202122232425262728293031323334353637383940414243444546474849505152[[#This Row],[SATIŞ]]</f>
        <v>2050</v>
      </c>
      <c r="J42" s="40" t="str">
        <f t="shared" si="0"/>
        <v/>
      </c>
    </row>
    <row r="43" spans="2:10" ht="21" hidden="1" customHeight="1" x14ac:dyDescent="0.3">
      <c r="B43" s="2">
        <v>45383</v>
      </c>
      <c r="C43" s="6">
        <v>10</v>
      </c>
      <c r="D43" s="10">
        <v>220</v>
      </c>
      <c r="E43" s="10">
        <v>223.3</v>
      </c>
      <c r="F43" s="9">
        <f>IF(Tablo145678910111213141516171819202122232425262728293031323334353637383940414243444546474849505152[[#This Row],[SATIŞ]]=0,"Açık",(E43-D43)*C43)</f>
        <v>33.000000000000114</v>
      </c>
      <c r="G43" s="11">
        <f>Tablo145678910111213141516171819202122232425262728293031323334353637383940414243444546474849505152[[#This Row],[ADET]]*Tablo145678910111213141516171819202122232425262728293031323334353637383940414243444546474849505152[[#This Row],[ALIŞ]]</f>
        <v>2200</v>
      </c>
      <c r="H43" s="11">
        <f>Tablo145678910111213141516171819202122232425262728293031323334353637383940414243444546474849505152[[#This Row],[ADET]]*Tablo145678910111213141516171819202122232425262728293031323334353637383940414243444546474849505152[[#This Row],[SATIŞ]]</f>
        <v>2233</v>
      </c>
    </row>
    <row r="44" spans="2:10" ht="21" hidden="1" customHeight="1" x14ac:dyDescent="0.3">
      <c r="B44" s="2">
        <v>45383</v>
      </c>
      <c r="C44" s="6">
        <v>10</v>
      </c>
      <c r="D44" s="10">
        <v>215</v>
      </c>
      <c r="E44" s="10">
        <v>224</v>
      </c>
      <c r="F44" s="9">
        <f>IF(Tablo145678910111213141516171819202122232425262728293031323334353637383940414243444546474849505152[[#This Row],[SATIŞ]]=0,"Açık",(E44-D44)*C44)</f>
        <v>90</v>
      </c>
      <c r="G44" s="11">
        <f>Tablo145678910111213141516171819202122232425262728293031323334353637383940414243444546474849505152[[#This Row],[ADET]]*Tablo145678910111213141516171819202122232425262728293031323334353637383940414243444546474849505152[[#This Row],[ALIŞ]]</f>
        <v>2150</v>
      </c>
      <c r="H44" s="11">
        <f>Tablo145678910111213141516171819202122232425262728293031323334353637383940414243444546474849505152[[#This Row],[ADET]]*Tablo145678910111213141516171819202122232425262728293031323334353637383940414243444546474849505152[[#This Row],[SATIŞ]]</f>
        <v>2240</v>
      </c>
    </row>
    <row r="45" spans="2:10" ht="21" hidden="1" customHeight="1" x14ac:dyDescent="0.3">
      <c r="B45" s="2">
        <v>45384</v>
      </c>
      <c r="C45" s="6">
        <v>10</v>
      </c>
      <c r="D45" s="10">
        <v>206.9</v>
      </c>
      <c r="E45" s="10">
        <v>208</v>
      </c>
      <c r="F45" s="9">
        <f>IF(Tablo145678910111213141516171819202122232425262728293031323334353637383940414243444546474849505152[[#This Row],[SATIŞ]]=0,"Açık",(E45-D45)*C45)</f>
        <v>10.999999999999943</v>
      </c>
      <c r="G45" s="11">
        <f>Tablo145678910111213141516171819202122232425262728293031323334353637383940414243444546474849505152[[#This Row],[ADET]]*Tablo145678910111213141516171819202122232425262728293031323334353637383940414243444546474849505152[[#This Row],[ALIŞ]]</f>
        <v>2069</v>
      </c>
      <c r="H45" s="11">
        <f>Tablo145678910111213141516171819202122232425262728293031323334353637383940414243444546474849505152[[#This Row],[ADET]]*Tablo145678910111213141516171819202122232425262728293031323334353637383940414243444546474849505152[[#This Row],[SATIŞ]]</f>
        <v>2080</v>
      </c>
    </row>
    <row r="46" spans="2:10" ht="21" hidden="1" customHeight="1" x14ac:dyDescent="0.3">
      <c r="B46" s="2">
        <v>45384</v>
      </c>
      <c r="C46" s="6">
        <v>10</v>
      </c>
      <c r="D46" s="10">
        <v>206.9</v>
      </c>
      <c r="E46" s="10">
        <v>210</v>
      </c>
      <c r="F46" s="9">
        <f>IF(Tablo145678910111213141516171819202122232425262728293031323334353637383940414243444546474849505152[[#This Row],[SATIŞ]]=0,"Açık",(E46-D46)*C46)</f>
        <v>30.999999999999943</v>
      </c>
      <c r="G46" s="11">
        <f>Tablo145678910111213141516171819202122232425262728293031323334353637383940414243444546474849505152[[#This Row],[ADET]]*Tablo145678910111213141516171819202122232425262728293031323334353637383940414243444546474849505152[[#This Row],[ALIŞ]]</f>
        <v>2069</v>
      </c>
      <c r="H46" s="11">
        <f>Tablo145678910111213141516171819202122232425262728293031323334353637383940414243444546474849505152[[#This Row],[ADET]]*Tablo145678910111213141516171819202122232425262728293031323334353637383940414243444546474849505152[[#This Row],[SATIŞ]]</f>
        <v>2100</v>
      </c>
    </row>
    <row r="47" spans="2:10" ht="21" hidden="1" customHeight="1" x14ac:dyDescent="0.3">
      <c r="B47" s="2">
        <v>45384</v>
      </c>
      <c r="C47" s="6">
        <v>10</v>
      </c>
      <c r="D47" s="10">
        <v>206.9</v>
      </c>
      <c r="E47" s="10">
        <v>211.8</v>
      </c>
      <c r="F47" s="9">
        <f>IF(Tablo145678910111213141516171819202122232425262728293031323334353637383940414243444546474849505152[[#This Row],[SATIŞ]]=0,"Açık",(E47-D47)*C47)</f>
        <v>49.000000000000057</v>
      </c>
      <c r="G47" s="11">
        <f>Tablo145678910111213141516171819202122232425262728293031323334353637383940414243444546474849505152[[#This Row],[ADET]]*Tablo145678910111213141516171819202122232425262728293031323334353637383940414243444546474849505152[[#This Row],[ALIŞ]]</f>
        <v>2069</v>
      </c>
      <c r="H47" s="11">
        <f>Tablo145678910111213141516171819202122232425262728293031323334353637383940414243444546474849505152[[#This Row],[ADET]]*Tablo145678910111213141516171819202122232425262728293031323334353637383940414243444546474849505152[[#This Row],[SATIŞ]]</f>
        <v>2118</v>
      </c>
    </row>
    <row r="48" spans="2:10" ht="21" hidden="1" customHeight="1" x14ac:dyDescent="0.3">
      <c r="B48" s="2">
        <v>45384</v>
      </c>
      <c r="C48" s="6">
        <v>10</v>
      </c>
      <c r="D48" s="10">
        <v>206.9</v>
      </c>
      <c r="E48" s="10">
        <v>211.8</v>
      </c>
      <c r="F48" s="9">
        <f>IF(Tablo145678910111213141516171819202122232425262728293031323334353637383940414243444546474849505152[[#This Row],[SATIŞ]]=0,"Açık",(E48-D48)*C48)</f>
        <v>49.000000000000057</v>
      </c>
      <c r="G48" s="11">
        <f>Tablo145678910111213141516171819202122232425262728293031323334353637383940414243444546474849505152[[#This Row],[ADET]]*Tablo145678910111213141516171819202122232425262728293031323334353637383940414243444546474849505152[[#This Row],[ALIŞ]]</f>
        <v>2069</v>
      </c>
      <c r="H48" s="11">
        <f>Tablo145678910111213141516171819202122232425262728293031323334353637383940414243444546474849505152[[#This Row],[ADET]]*Tablo145678910111213141516171819202122232425262728293031323334353637383940414243444546474849505152[[#This Row],[SATIŞ]]</f>
        <v>2118</v>
      </c>
    </row>
    <row r="49" spans="2:8" ht="21" hidden="1" customHeight="1" x14ac:dyDescent="0.3">
      <c r="B49" s="2">
        <v>45384</v>
      </c>
      <c r="C49" s="6">
        <v>10</v>
      </c>
      <c r="D49" s="10">
        <v>206.9</v>
      </c>
      <c r="E49" s="10">
        <v>212</v>
      </c>
      <c r="F49" s="9">
        <f>IF(Tablo145678910111213141516171819202122232425262728293031323334353637383940414243444546474849505152[[#This Row],[SATIŞ]]=0,"Açık",(E49-D49)*C49)</f>
        <v>50.999999999999943</v>
      </c>
      <c r="G49" s="11">
        <f>Tablo145678910111213141516171819202122232425262728293031323334353637383940414243444546474849505152[[#This Row],[ADET]]*Tablo145678910111213141516171819202122232425262728293031323334353637383940414243444546474849505152[[#This Row],[ALIŞ]]</f>
        <v>2069</v>
      </c>
      <c r="H49" s="11">
        <f>Tablo145678910111213141516171819202122232425262728293031323334353637383940414243444546474849505152[[#This Row],[ADET]]*Tablo145678910111213141516171819202122232425262728293031323334353637383940414243444546474849505152[[#This Row],[SATIŞ]]</f>
        <v>2120</v>
      </c>
    </row>
    <row r="50" spans="2:8" ht="21" hidden="1" customHeight="1" x14ac:dyDescent="0.3">
      <c r="B50" s="2">
        <v>45384</v>
      </c>
      <c r="C50" s="6">
        <v>10</v>
      </c>
      <c r="D50" s="10">
        <v>206.9</v>
      </c>
      <c r="E50" s="10">
        <v>213</v>
      </c>
      <c r="F50" s="9">
        <f>IF(Tablo145678910111213141516171819202122232425262728293031323334353637383940414243444546474849505152[[#This Row],[SATIŞ]]=0,"Açık",(E50-D50)*C50)</f>
        <v>60.999999999999943</v>
      </c>
      <c r="G50" s="11">
        <f>Tablo145678910111213141516171819202122232425262728293031323334353637383940414243444546474849505152[[#This Row],[ADET]]*Tablo145678910111213141516171819202122232425262728293031323334353637383940414243444546474849505152[[#This Row],[ALIŞ]]</f>
        <v>2069</v>
      </c>
      <c r="H50" s="11">
        <f>Tablo145678910111213141516171819202122232425262728293031323334353637383940414243444546474849505152[[#This Row],[ADET]]*Tablo145678910111213141516171819202122232425262728293031323334353637383940414243444546474849505152[[#This Row],[SATIŞ]]</f>
        <v>2130</v>
      </c>
    </row>
    <row r="51" spans="2:8" ht="21" hidden="1" customHeight="1" x14ac:dyDescent="0.3">
      <c r="B51" s="2">
        <v>45384</v>
      </c>
      <c r="C51" s="6">
        <v>10</v>
      </c>
      <c r="D51" s="10">
        <v>206.9</v>
      </c>
      <c r="E51" s="10">
        <v>214</v>
      </c>
      <c r="F51" s="9">
        <f>IF(Tablo145678910111213141516171819202122232425262728293031323334353637383940414243444546474849505152[[#This Row],[SATIŞ]]=0,"Açık",(E51-D51)*C51)</f>
        <v>70.999999999999943</v>
      </c>
      <c r="G51" s="11">
        <f>Tablo145678910111213141516171819202122232425262728293031323334353637383940414243444546474849505152[[#This Row],[ADET]]*Tablo145678910111213141516171819202122232425262728293031323334353637383940414243444546474849505152[[#This Row],[ALIŞ]]</f>
        <v>2069</v>
      </c>
      <c r="H51" s="11">
        <f>Tablo145678910111213141516171819202122232425262728293031323334353637383940414243444546474849505152[[#This Row],[ADET]]*Tablo145678910111213141516171819202122232425262728293031323334353637383940414243444546474849505152[[#This Row],[SATIŞ]]</f>
        <v>2140</v>
      </c>
    </row>
    <row r="52" spans="2:8" ht="21" hidden="1" customHeight="1" x14ac:dyDescent="0.3">
      <c r="B52" s="2">
        <v>45384</v>
      </c>
      <c r="C52" s="6">
        <v>10</v>
      </c>
      <c r="D52" s="10">
        <v>206.9</v>
      </c>
      <c r="E52" s="10">
        <v>215</v>
      </c>
      <c r="F52" s="9">
        <f>IF(Tablo145678910111213141516171819202122232425262728293031323334353637383940414243444546474849505152[[#This Row],[SATIŞ]]=0,"Açık",(E52-D52)*C52)</f>
        <v>80.999999999999943</v>
      </c>
      <c r="G52" s="11">
        <f>Tablo145678910111213141516171819202122232425262728293031323334353637383940414243444546474849505152[[#This Row],[ADET]]*Tablo145678910111213141516171819202122232425262728293031323334353637383940414243444546474849505152[[#This Row],[ALIŞ]]</f>
        <v>2069</v>
      </c>
      <c r="H52" s="11">
        <f>Tablo145678910111213141516171819202122232425262728293031323334353637383940414243444546474849505152[[#This Row],[ADET]]*Tablo145678910111213141516171819202122232425262728293031323334353637383940414243444546474849505152[[#This Row],[SATIŞ]]</f>
        <v>2150</v>
      </c>
    </row>
    <row r="53" spans="2:8" ht="21" hidden="1" customHeight="1" x14ac:dyDescent="0.3">
      <c r="B53" s="2">
        <v>45384</v>
      </c>
      <c r="C53" s="6">
        <v>10</v>
      </c>
      <c r="D53" s="10">
        <v>206.9</v>
      </c>
      <c r="E53" s="10">
        <v>216</v>
      </c>
      <c r="F53" s="9">
        <f>IF(Tablo145678910111213141516171819202122232425262728293031323334353637383940414243444546474849505152[[#This Row],[SATIŞ]]=0,"Açık",(E53-D53)*C53)</f>
        <v>90.999999999999943</v>
      </c>
      <c r="G53" s="11">
        <f>Tablo145678910111213141516171819202122232425262728293031323334353637383940414243444546474849505152[[#This Row],[ADET]]*Tablo145678910111213141516171819202122232425262728293031323334353637383940414243444546474849505152[[#This Row],[ALIŞ]]</f>
        <v>2069</v>
      </c>
      <c r="H53" s="11">
        <f>Tablo145678910111213141516171819202122232425262728293031323334353637383940414243444546474849505152[[#This Row],[ADET]]*Tablo145678910111213141516171819202122232425262728293031323334353637383940414243444546474849505152[[#This Row],[SATIŞ]]</f>
        <v>2160</v>
      </c>
    </row>
    <row r="54" spans="2:8" ht="21" hidden="1" customHeight="1" x14ac:dyDescent="0.3">
      <c r="B54" s="2">
        <v>45384</v>
      </c>
      <c r="C54" s="6">
        <v>10</v>
      </c>
      <c r="D54" s="10">
        <v>206.9</v>
      </c>
      <c r="E54" s="10">
        <v>217</v>
      </c>
      <c r="F54" s="9">
        <f>IF(Tablo145678910111213141516171819202122232425262728293031323334353637383940414243444546474849505152[[#This Row],[SATIŞ]]=0,"Açık",(E54-D54)*C54)</f>
        <v>100.99999999999994</v>
      </c>
      <c r="G54" s="11">
        <f>Tablo145678910111213141516171819202122232425262728293031323334353637383940414243444546474849505152[[#This Row],[ADET]]*Tablo145678910111213141516171819202122232425262728293031323334353637383940414243444546474849505152[[#This Row],[ALIŞ]]</f>
        <v>2069</v>
      </c>
      <c r="H54" s="11">
        <f>Tablo145678910111213141516171819202122232425262728293031323334353637383940414243444546474849505152[[#This Row],[ADET]]*Tablo145678910111213141516171819202122232425262728293031323334353637383940414243444546474849505152[[#This Row],[SATIŞ]]</f>
        <v>2170</v>
      </c>
    </row>
  </sheetData>
  <conditionalFormatting sqref="B4:F54">
    <cfRule type="expression" dxfId="5" priority="1">
      <formula>$F4&lt;0</formula>
    </cfRule>
    <cfRule type="expression" dxfId="4" priority="2">
      <formula>$F4="Açık"</formula>
    </cfRule>
    <cfRule type="expression" dxfId="3" priority="3">
      <formula>$F4&gt;0</formula>
    </cfRule>
  </conditionalFormatting>
  <hyperlinks>
    <hyperlink ref="B1" location="İcmal!A1" display="ANA SAYFA" xr:uid="{16848306-B1CB-4BCA-87D2-C98FFF0D7C33}"/>
  </hyperlinks>
  <pageMargins left="0.7" right="0.7" top="0.75" bottom="0.75" header="0.3" footer="0.3"/>
  <tableParts count="1">
    <tablePart r:id="rId1"/>
  </tablePart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20B17-1562-4417-A17C-CB2CEA9C0928}">
  <dimension ref="B1:R27"/>
  <sheetViews>
    <sheetView showGridLines="0" showZeros="0" tabSelected="1" zoomScale="110" zoomScaleNormal="110" workbookViewId="0">
      <pane ySplit="3" topLeftCell="A23" activePane="bottomLeft" state="frozen"/>
      <selection pane="bottomLeft" activeCell="E27" sqref="E27"/>
    </sheetView>
  </sheetViews>
  <sheetFormatPr defaultRowHeight="21" customHeight="1" x14ac:dyDescent="0.3"/>
  <cols>
    <col min="2" max="2" width="20.6640625" style="1" customWidth="1"/>
    <col min="3" max="3" width="11.33203125" style="6" customWidth="1"/>
    <col min="4" max="5" width="12.88671875" style="3" customWidth="1"/>
    <col min="6" max="6" width="12.88671875" style="5" customWidth="1"/>
    <col min="7" max="8" width="11.33203125" bestFit="1" customWidth="1"/>
    <col min="10" max="12" width="12.44140625" customWidth="1"/>
    <col min="13" max="13" width="11.33203125" bestFit="1" customWidth="1"/>
    <col min="14" max="14" width="10.33203125" bestFit="1" customWidth="1"/>
  </cols>
  <sheetData>
    <row r="1" spans="2:18" ht="21" customHeight="1" x14ac:dyDescent="0.3">
      <c r="B1" s="12" t="s">
        <v>64</v>
      </c>
      <c r="C1" s="4">
        <f>SUMIF(Tablo14567891011121314151617181920212223242526272829303132333435363738394041424344454647484950515253[KAR],"Açık",Tablo14567891011121314151617181920212223242526272829303132333435363738394041424344454647484950515253[ADET])</f>
        <v>300</v>
      </c>
      <c r="D1" s="10">
        <f>+İcmal!E70</f>
        <v>30.58</v>
      </c>
      <c r="E1" s="10">
        <f>C1*D1</f>
        <v>9174</v>
      </c>
      <c r="F1" s="10">
        <f>IFERROR(((SUM(Tablo14567891011121314151617181920212223242526272829303132333435363738394041424344454647484950515253[ALIŞ TUTAR])-SUM(Tablo14567891011121314151617181920212223242526272829303132333435363738394041424344454647484950515253[SATIŞ TUTAR]))/C1),"")</f>
        <v>25.122236666666673</v>
      </c>
      <c r="G1" s="10">
        <f>IF(M3=0,L3,C1*(D1-F1))</f>
        <v>1637.3289999999977</v>
      </c>
      <c r="J1" s="45" t="s">
        <v>94</v>
      </c>
      <c r="K1" s="45" t="s">
        <v>95</v>
      </c>
      <c r="L1" s="45" t="s">
        <v>96</v>
      </c>
      <c r="M1" s="33">
        <f>F1</f>
        <v>25.122236666666673</v>
      </c>
      <c r="N1" s="8" t="e">
        <f>M1*(1+$J$1)</f>
        <v>#VALUE!</v>
      </c>
      <c r="P1" s="8" t="e">
        <f>Q1*(1-$J$1)</f>
        <v>#VALUE!</v>
      </c>
      <c r="Q1" s="33">
        <f>+D1</f>
        <v>30.58</v>
      </c>
      <c r="R1" s="8" t="e">
        <f>Q1*(1+$J$1)</f>
        <v>#VALUE!</v>
      </c>
    </row>
    <row r="2" spans="2:18" ht="21" customHeight="1" x14ac:dyDescent="0.3">
      <c r="B2" s="7" t="s">
        <v>62</v>
      </c>
      <c r="J2" s="45">
        <f>SUMIFS(Tablo2[HEDEF2],Tablo2[HİSSE],B2)</f>
        <v>1</v>
      </c>
      <c r="K2" s="45">
        <f>+E1/İcmal!$P$2</f>
        <v>282.01660006148171</v>
      </c>
      <c r="L2" s="45">
        <f>+J2-K2</f>
        <v>-281.01660006148171</v>
      </c>
    </row>
    <row r="3" spans="2:18" ht="21" customHeight="1" x14ac:dyDescent="0.3">
      <c r="B3" s="1" t="s">
        <v>0</v>
      </c>
      <c r="C3" s="6" t="s">
        <v>4</v>
      </c>
      <c r="D3" s="3" t="s">
        <v>1</v>
      </c>
      <c r="E3" s="3" t="s">
        <v>3</v>
      </c>
      <c r="F3" s="5" t="s">
        <v>2</v>
      </c>
      <c r="G3" s="3" t="s">
        <v>8</v>
      </c>
      <c r="H3" s="3" t="s">
        <v>9</v>
      </c>
      <c r="L3" s="33">
        <f>SUM(Tablo14567891011121314151617181920212223242526272829303132333435363738394041424344454647484950515253[KAR])</f>
        <v>1661.3289999999997</v>
      </c>
      <c r="M3" s="37">
        <f>+C1</f>
        <v>300</v>
      </c>
    </row>
    <row r="4" spans="2:18" ht="21" hidden="1" customHeight="1" x14ac:dyDescent="0.3">
      <c r="B4" s="2">
        <v>45291</v>
      </c>
      <c r="C4" s="6">
        <v>700</v>
      </c>
      <c r="D4" s="10">
        <v>11.94539</v>
      </c>
      <c r="E4" s="10">
        <v>12.110860000000001</v>
      </c>
      <c r="F4" s="9">
        <f>IF(Tablo14567891011121314151617181920212223242526272829303132333435363738394041424344454647484950515253[[#This Row],[SATIŞ]]=0,"Açık",(E4-D4)*C4)</f>
        <v>115.82900000000063</v>
      </c>
      <c r="G4" s="11">
        <f>Tablo14567891011121314151617181920212223242526272829303132333435363738394041424344454647484950515253[[#This Row],[ADET]]*Tablo14567891011121314151617181920212223242526272829303132333435363738394041424344454647484950515253[[#This Row],[ALIŞ]]</f>
        <v>8361.7729999999992</v>
      </c>
      <c r="H4" s="11">
        <f>Tablo14567891011121314151617181920212223242526272829303132333435363738394041424344454647484950515253[[#This Row],[ADET]]*Tablo14567891011121314151617181920212223242526272829303132333435363738394041424344454647484950515253[[#This Row],[SATIŞ]]</f>
        <v>8477.6020000000008</v>
      </c>
      <c r="L4" s="8">
        <f>SUM(Tablo14567891011121314151617181920212223242526272829303132333435363738394041424344454647484950515253[ALIŞ TUTAR])</f>
        <v>66891.773000000001</v>
      </c>
      <c r="M4" s="8">
        <f>SUM(Tablo14567891011121314151617181920212223242526272829303132333435363738394041424344454647484950515253[SATIŞ TUTAR])</f>
        <v>59355.101999999999</v>
      </c>
      <c r="N4" s="8">
        <f>L4-M4</f>
        <v>7536.6710000000021</v>
      </c>
    </row>
    <row r="5" spans="2:18" ht="21" hidden="1" customHeight="1" x14ac:dyDescent="0.3">
      <c r="B5" s="2">
        <v>45328</v>
      </c>
      <c r="C5" s="6">
        <v>25</v>
      </c>
      <c r="D5" s="10">
        <v>22.8</v>
      </c>
      <c r="E5" s="10">
        <v>23</v>
      </c>
      <c r="F5" s="9">
        <f>IF(Tablo14567891011121314151617181920212223242526272829303132333435363738394041424344454647484950515253[[#This Row],[SATIŞ]]=0,"Açık",(E5-D5)*C5)</f>
        <v>4.9999999999999822</v>
      </c>
      <c r="G5" s="11">
        <f>Tablo14567891011121314151617181920212223242526272829303132333435363738394041424344454647484950515253[[#This Row],[ADET]]*Tablo14567891011121314151617181920212223242526272829303132333435363738394041424344454647484950515253[[#This Row],[ALIŞ]]</f>
        <v>570</v>
      </c>
      <c r="H5" s="11">
        <f>Tablo14567891011121314151617181920212223242526272829303132333435363738394041424344454647484950515253[[#This Row],[ADET]]*Tablo14567891011121314151617181920212223242526272829303132333435363738394041424344454647484950515253[[#This Row],[SATIŞ]]</f>
        <v>575</v>
      </c>
      <c r="N5">
        <f>+N4/80</f>
        <v>94.208387500000029</v>
      </c>
    </row>
    <row r="6" spans="2:18" ht="21" hidden="1" customHeight="1" x14ac:dyDescent="0.3">
      <c r="B6" s="2">
        <v>45328</v>
      </c>
      <c r="C6" s="6">
        <v>25</v>
      </c>
      <c r="D6" s="10">
        <v>22.8</v>
      </c>
      <c r="E6" s="10">
        <v>23.4</v>
      </c>
      <c r="F6" s="9">
        <f>IF(Tablo14567891011121314151617181920212223242526272829303132333435363738394041424344454647484950515253[[#This Row],[SATIŞ]]=0,"Açık",(E6-D6)*C6)</f>
        <v>14.999999999999947</v>
      </c>
      <c r="G6" s="11">
        <f>Tablo14567891011121314151617181920212223242526272829303132333435363738394041424344454647484950515253[[#This Row],[ADET]]*Tablo14567891011121314151617181920212223242526272829303132333435363738394041424344454647484950515253[[#This Row],[ALIŞ]]</f>
        <v>570</v>
      </c>
      <c r="H6" s="11">
        <f>Tablo14567891011121314151617181920212223242526272829303132333435363738394041424344454647484950515253[[#This Row],[ADET]]*Tablo14567891011121314151617181920212223242526272829303132333435363738394041424344454647484950515253[[#This Row],[SATIŞ]]</f>
        <v>585</v>
      </c>
    </row>
    <row r="7" spans="2:18" ht="21" hidden="1" customHeight="1" x14ac:dyDescent="0.3">
      <c r="B7" s="2">
        <v>45328</v>
      </c>
      <c r="C7" s="6">
        <v>25</v>
      </c>
      <c r="D7" s="10">
        <v>22.8</v>
      </c>
      <c r="E7" s="10">
        <v>24</v>
      </c>
      <c r="F7" s="9">
        <f>IF(Tablo14567891011121314151617181920212223242526272829303132333435363738394041424344454647484950515253[[#This Row],[SATIŞ]]=0,"Açık",(E7-D7)*C7)</f>
        <v>29.999999999999982</v>
      </c>
      <c r="G7" s="11">
        <f>Tablo14567891011121314151617181920212223242526272829303132333435363738394041424344454647484950515253[[#This Row],[ADET]]*Tablo14567891011121314151617181920212223242526272829303132333435363738394041424344454647484950515253[[#This Row],[ALIŞ]]</f>
        <v>570</v>
      </c>
      <c r="H7" s="11">
        <f>Tablo14567891011121314151617181920212223242526272829303132333435363738394041424344454647484950515253[[#This Row],[ADET]]*Tablo14567891011121314151617181920212223242526272829303132333435363738394041424344454647484950515253[[#This Row],[SATIŞ]]</f>
        <v>600</v>
      </c>
    </row>
    <row r="8" spans="2:18" ht="21" hidden="1" customHeight="1" x14ac:dyDescent="0.3">
      <c r="B8" s="2">
        <v>45328</v>
      </c>
      <c r="C8" s="6">
        <v>25</v>
      </c>
      <c r="D8" s="10">
        <v>22.8</v>
      </c>
      <c r="E8" s="10">
        <v>23.34</v>
      </c>
      <c r="F8" s="9">
        <f>IF(Tablo14567891011121314151617181920212223242526272829303132333435363738394041424344454647484950515253[[#This Row],[SATIŞ]]=0,"Açık",(E8-D8)*C8)</f>
        <v>13.499999999999979</v>
      </c>
      <c r="G8" s="11">
        <f>Tablo14567891011121314151617181920212223242526272829303132333435363738394041424344454647484950515253[[#This Row],[ADET]]*Tablo14567891011121314151617181920212223242526272829303132333435363738394041424344454647484950515253[[#This Row],[ALIŞ]]</f>
        <v>570</v>
      </c>
      <c r="H8" s="11">
        <f>Tablo14567891011121314151617181920212223242526272829303132333435363738394041424344454647484950515253[[#This Row],[ADET]]*Tablo14567891011121314151617181920212223242526272829303132333435363738394041424344454647484950515253[[#This Row],[SATIŞ]]</f>
        <v>583.5</v>
      </c>
    </row>
    <row r="9" spans="2:18" ht="21" hidden="1" customHeight="1" x14ac:dyDescent="0.3">
      <c r="B9" s="2">
        <v>45329</v>
      </c>
      <c r="C9" s="6">
        <v>50</v>
      </c>
      <c r="D9" s="10">
        <v>22.8</v>
      </c>
      <c r="E9" s="10">
        <v>23.34</v>
      </c>
      <c r="F9" s="9">
        <f>IF(Tablo14567891011121314151617181920212223242526272829303132333435363738394041424344454647484950515253[[#This Row],[SATIŞ]]=0,"Açık",(E9-D9)*C9)</f>
        <v>26.999999999999957</v>
      </c>
      <c r="G9" s="11">
        <f>Tablo14567891011121314151617181920212223242526272829303132333435363738394041424344454647484950515253[[#This Row],[ADET]]*Tablo14567891011121314151617181920212223242526272829303132333435363738394041424344454647484950515253[[#This Row],[ALIŞ]]</f>
        <v>1140</v>
      </c>
      <c r="H9" s="11">
        <f>Tablo14567891011121314151617181920212223242526272829303132333435363738394041424344454647484950515253[[#This Row],[ADET]]*Tablo14567891011121314151617181920212223242526272829303132333435363738394041424344454647484950515253[[#This Row],[SATIŞ]]</f>
        <v>1167</v>
      </c>
    </row>
    <row r="10" spans="2:18" ht="21" hidden="1" customHeight="1" x14ac:dyDescent="0.3">
      <c r="B10" s="2">
        <v>45329</v>
      </c>
      <c r="C10" s="6">
        <v>100</v>
      </c>
      <c r="D10" s="10">
        <v>22.5</v>
      </c>
      <c r="E10" s="10">
        <v>23.34</v>
      </c>
      <c r="F10" s="9">
        <f>IF(Tablo14567891011121314151617181920212223242526272829303132333435363738394041424344454647484950515253[[#This Row],[SATIŞ]]=0,"Açık",(E10-D10)*C10)</f>
        <v>83.999999999999986</v>
      </c>
      <c r="G10" s="11">
        <f>Tablo14567891011121314151617181920212223242526272829303132333435363738394041424344454647484950515253[[#This Row],[ADET]]*Tablo14567891011121314151617181920212223242526272829303132333435363738394041424344454647484950515253[[#This Row],[ALIŞ]]</f>
        <v>2250</v>
      </c>
      <c r="H10" s="11">
        <f>Tablo14567891011121314151617181920212223242526272829303132333435363738394041424344454647484950515253[[#This Row],[ADET]]*Tablo14567891011121314151617181920212223242526272829303132333435363738394041424344454647484950515253[[#This Row],[SATIŞ]]</f>
        <v>2334</v>
      </c>
    </row>
    <row r="11" spans="2:18" ht="21" hidden="1" customHeight="1" x14ac:dyDescent="0.3">
      <c r="B11" s="2">
        <v>45331</v>
      </c>
      <c r="C11" s="6">
        <v>25</v>
      </c>
      <c r="D11" s="10">
        <v>22.4</v>
      </c>
      <c r="E11" s="10">
        <v>23</v>
      </c>
      <c r="F11" s="9">
        <f>IF(Tablo14567891011121314151617181920212223242526272829303132333435363738394041424344454647484950515253[[#This Row],[SATIŞ]]=0,"Açık",(E11-D11)*C11)</f>
        <v>15.000000000000036</v>
      </c>
      <c r="G11" s="11">
        <f>Tablo14567891011121314151617181920212223242526272829303132333435363738394041424344454647484950515253[[#This Row],[ADET]]*Tablo14567891011121314151617181920212223242526272829303132333435363738394041424344454647484950515253[[#This Row],[ALIŞ]]</f>
        <v>560</v>
      </c>
      <c r="H11" s="11">
        <f>Tablo14567891011121314151617181920212223242526272829303132333435363738394041424344454647484950515253[[#This Row],[ADET]]*Tablo14567891011121314151617181920212223242526272829303132333435363738394041424344454647484950515253[[#This Row],[SATIŞ]]</f>
        <v>575</v>
      </c>
    </row>
    <row r="12" spans="2:18" ht="21" hidden="1" customHeight="1" x14ac:dyDescent="0.3">
      <c r="B12" s="2">
        <v>45331</v>
      </c>
      <c r="C12" s="6">
        <v>25</v>
      </c>
      <c r="D12" s="10">
        <v>22.4</v>
      </c>
      <c r="E12" s="10">
        <v>22.8</v>
      </c>
      <c r="F12" s="9">
        <f>IF(Tablo14567891011121314151617181920212223242526272829303132333435363738394041424344454647484950515253[[#This Row],[SATIŞ]]=0,"Açık",(E12-D12)*C12)</f>
        <v>10.000000000000053</v>
      </c>
      <c r="G12" s="11">
        <f>Tablo14567891011121314151617181920212223242526272829303132333435363738394041424344454647484950515253[[#This Row],[ADET]]*Tablo14567891011121314151617181920212223242526272829303132333435363738394041424344454647484950515253[[#This Row],[ALIŞ]]</f>
        <v>560</v>
      </c>
      <c r="H12" s="11">
        <f>Tablo14567891011121314151617181920212223242526272829303132333435363738394041424344454647484950515253[[#This Row],[ADET]]*Tablo14567891011121314151617181920212223242526272829303132333435363738394041424344454647484950515253[[#This Row],[SATIŞ]]</f>
        <v>570</v>
      </c>
    </row>
    <row r="13" spans="2:18" ht="21" hidden="1" customHeight="1" x14ac:dyDescent="0.3">
      <c r="B13" s="2">
        <v>45344</v>
      </c>
      <c r="C13" s="6">
        <v>50</v>
      </c>
      <c r="D13" s="10">
        <v>24</v>
      </c>
      <c r="E13" s="10">
        <v>24.1</v>
      </c>
      <c r="F13" s="9">
        <f>IF(Tablo14567891011121314151617181920212223242526272829303132333435363738394041424344454647484950515253[[#This Row],[SATIŞ]]=0,"Açık",(E13-D13)*C13)</f>
        <v>5.0000000000000711</v>
      </c>
      <c r="G13" s="11">
        <f>Tablo14567891011121314151617181920212223242526272829303132333435363738394041424344454647484950515253[[#This Row],[ADET]]*Tablo14567891011121314151617181920212223242526272829303132333435363738394041424344454647484950515253[[#This Row],[ALIŞ]]</f>
        <v>1200</v>
      </c>
      <c r="H13" s="11">
        <f>Tablo14567891011121314151617181920212223242526272829303132333435363738394041424344454647484950515253[[#This Row],[ADET]]*Tablo14567891011121314151617181920212223242526272829303132333435363738394041424344454647484950515253[[#This Row],[SATIŞ]]</f>
        <v>1205</v>
      </c>
    </row>
    <row r="14" spans="2:18" ht="21" hidden="1" customHeight="1" x14ac:dyDescent="0.3">
      <c r="B14" s="2">
        <v>45348</v>
      </c>
      <c r="C14" s="6">
        <v>100</v>
      </c>
      <c r="D14" s="10">
        <v>23.7</v>
      </c>
      <c r="E14" s="10">
        <v>24</v>
      </c>
      <c r="F14" s="9">
        <f>IF(Tablo14567891011121314151617181920212223242526272829303132333435363738394041424344454647484950515253[[#This Row],[SATIŞ]]=0,"Açık",(E14-D14)*C14)</f>
        <v>30.000000000000071</v>
      </c>
      <c r="G14" s="11">
        <f>Tablo14567891011121314151617181920212223242526272829303132333435363738394041424344454647484950515253[[#This Row],[ADET]]*Tablo14567891011121314151617181920212223242526272829303132333435363738394041424344454647484950515253[[#This Row],[ALIŞ]]</f>
        <v>2370</v>
      </c>
      <c r="H14" s="11">
        <f>Tablo14567891011121314151617181920212223242526272829303132333435363738394041424344454647484950515253[[#This Row],[ADET]]*Tablo14567891011121314151617181920212223242526272829303132333435363738394041424344454647484950515253[[#This Row],[SATIŞ]]</f>
        <v>2400</v>
      </c>
    </row>
    <row r="15" spans="2:18" ht="21" hidden="1" customHeight="1" x14ac:dyDescent="0.3">
      <c r="B15" s="2">
        <v>45350</v>
      </c>
      <c r="C15" s="6">
        <v>150</v>
      </c>
      <c r="D15" s="10">
        <v>23</v>
      </c>
      <c r="E15" s="10">
        <v>24.1</v>
      </c>
      <c r="F15" s="9">
        <f>IF(Tablo14567891011121314151617181920212223242526272829303132333435363738394041424344454647484950515253[[#This Row],[SATIŞ]]=0,"Açık",(E15-D15)*C15)</f>
        <v>165.00000000000023</v>
      </c>
      <c r="G15" s="11">
        <f>Tablo14567891011121314151617181920212223242526272829303132333435363738394041424344454647484950515253[[#This Row],[ADET]]*Tablo14567891011121314151617181920212223242526272829303132333435363738394041424344454647484950515253[[#This Row],[ALIŞ]]</f>
        <v>3450</v>
      </c>
      <c r="H15" s="11">
        <f>Tablo14567891011121314151617181920212223242526272829303132333435363738394041424344454647484950515253[[#This Row],[ADET]]*Tablo14567891011121314151617181920212223242526272829303132333435363738394041424344454647484950515253[[#This Row],[SATIŞ]]</f>
        <v>3615</v>
      </c>
    </row>
    <row r="16" spans="2:18" ht="21" hidden="1" customHeight="1" x14ac:dyDescent="0.3">
      <c r="B16" s="2">
        <v>45356</v>
      </c>
      <c r="C16" s="6">
        <v>100</v>
      </c>
      <c r="D16" s="10">
        <v>21.6</v>
      </c>
      <c r="E16" s="10">
        <v>22</v>
      </c>
      <c r="F16" s="9">
        <f>IF(Tablo14567891011121314151617181920212223242526272829303132333435363738394041424344454647484950515253[[#This Row],[SATIŞ]]=0,"Açık",(E16-D16)*C16)</f>
        <v>39.999999999999858</v>
      </c>
      <c r="G16" s="11">
        <f>Tablo14567891011121314151617181920212223242526272829303132333435363738394041424344454647484950515253[[#This Row],[ADET]]*Tablo14567891011121314151617181920212223242526272829303132333435363738394041424344454647484950515253[[#This Row],[ALIŞ]]</f>
        <v>2160</v>
      </c>
      <c r="H16" s="11">
        <f>Tablo14567891011121314151617181920212223242526272829303132333435363738394041424344454647484950515253[[#This Row],[ADET]]*Tablo14567891011121314151617181920212223242526272829303132333435363738394041424344454647484950515253[[#This Row],[SATIŞ]]</f>
        <v>2200</v>
      </c>
    </row>
    <row r="17" spans="2:8" ht="21" hidden="1" customHeight="1" x14ac:dyDescent="0.3">
      <c r="B17" s="2">
        <v>45357</v>
      </c>
      <c r="C17" s="6">
        <v>100</v>
      </c>
      <c r="D17" s="10">
        <v>21</v>
      </c>
      <c r="E17" s="10">
        <v>22</v>
      </c>
      <c r="F17" s="9">
        <f>IF(Tablo14567891011121314151617181920212223242526272829303132333435363738394041424344454647484950515253[[#This Row],[SATIŞ]]=0,"Açık",(E17-D17)*C17)</f>
        <v>100</v>
      </c>
      <c r="G17" s="11">
        <f>Tablo14567891011121314151617181920212223242526272829303132333435363738394041424344454647484950515253[[#This Row],[ADET]]*Tablo14567891011121314151617181920212223242526272829303132333435363738394041424344454647484950515253[[#This Row],[ALIŞ]]</f>
        <v>2100</v>
      </c>
      <c r="H17" s="11">
        <f>Tablo14567891011121314151617181920212223242526272829303132333435363738394041424344454647484950515253[[#This Row],[ADET]]*Tablo14567891011121314151617181920212223242526272829303132333435363738394041424344454647484950515253[[#This Row],[SATIŞ]]</f>
        <v>2200</v>
      </c>
    </row>
    <row r="18" spans="2:8" ht="21" hidden="1" customHeight="1" x14ac:dyDescent="0.3">
      <c r="B18" s="2">
        <v>45362</v>
      </c>
      <c r="C18" s="6">
        <v>100</v>
      </c>
      <c r="D18" s="10">
        <v>23.5</v>
      </c>
      <c r="E18" s="10">
        <v>23.8</v>
      </c>
      <c r="F18" s="9">
        <f>IF(Tablo14567891011121314151617181920212223242526272829303132333435363738394041424344454647484950515253[[#This Row],[SATIŞ]]=0,"Açık",(E18-D18)*C18)</f>
        <v>30.000000000000071</v>
      </c>
      <c r="G18" s="11">
        <f>Tablo14567891011121314151617181920212223242526272829303132333435363738394041424344454647484950515253[[#This Row],[ADET]]*Tablo14567891011121314151617181920212223242526272829303132333435363738394041424344454647484950515253[[#This Row],[ALIŞ]]</f>
        <v>2350</v>
      </c>
      <c r="H18" s="11">
        <f>Tablo14567891011121314151617181920212223242526272829303132333435363738394041424344454647484950515253[[#This Row],[ADET]]*Tablo14567891011121314151617181920212223242526272829303132333435363738394041424344454647484950515253[[#This Row],[SATIŞ]]</f>
        <v>2380</v>
      </c>
    </row>
    <row r="19" spans="2:8" ht="21" hidden="1" customHeight="1" x14ac:dyDescent="0.3">
      <c r="B19" s="2">
        <v>45363</v>
      </c>
      <c r="C19" s="6">
        <v>100</v>
      </c>
      <c r="D19" s="10">
        <v>22.2</v>
      </c>
      <c r="E19" s="10">
        <v>23.7</v>
      </c>
      <c r="F19" s="9">
        <f>IF(Tablo14567891011121314151617181920212223242526272829303132333435363738394041424344454647484950515253[[#This Row],[SATIŞ]]=0,"Açık",(E19-D19)*C19)</f>
        <v>150</v>
      </c>
      <c r="G19" s="11">
        <f>Tablo14567891011121314151617181920212223242526272829303132333435363738394041424344454647484950515253[[#This Row],[ADET]]*Tablo14567891011121314151617181920212223242526272829303132333435363738394041424344454647484950515253[[#This Row],[ALIŞ]]</f>
        <v>2220</v>
      </c>
      <c r="H19" s="11">
        <f>Tablo14567891011121314151617181920212223242526272829303132333435363738394041424344454647484950515253[[#This Row],[ADET]]*Tablo14567891011121314151617181920212223242526272829303132333435363738394041424344454647484950515253[[#This Row],[SATIŞ]]</f>
        <v>2370</v>
      </c>
    </row>
    <row r="20" spans="2:8" ht="21" hidden="1" customHeight="1" x14ac:dyDescent="0.3">
      <c r="B20" s="2">
        <v>45365</v>
      </c>
      <c r="C20" s="6">
        <v>100</v>
      </c>
      <c r="D20" s="10">
        <v>22</v>
      </c>
      <c r="E20" s="10">
        <v>23.5</v>
      </c>
      <c r="F20" s="9">
        <f>IF(Tablo14567891011121314151617181920212223242526272829303132333435363738394041424344454647484950515253[[#This Row],[SATIŞ]]=0,"Açık",(E20-D20)*C20)</f>
        <v>150</v>
      </c>
      <c r="G20" s="11">
        <f>Tablo14567891011121314151617181920212223242526272829303132333435363738394041424344454647484950515253[[#This Row],[ADET]]*Tablo14567891011121314151617181920212223242526272829303132333435363738394041424344454647484950515253[[#This Row],[ALIŞ]]</f>
        <v>2200</v>
      </c>
      <c r="H20" s="11">
        <f>Tablo14567891011121314151617181920212223242526272829303132333435363738394041424344454647484950515253[[#This Row],[ADET]]*Tablo14567891011121314151617181920212223242526272829303132333435363738394041424344454647484950515253[[#This Row],[SATIŞ]]</f>
        <v>2350</v>
      </c>
    </row>
    <row r="21" spans="2:8" ht="21" hidden="1" customHeight="1" x14ac:dyDescent="0.3">
      <c r="B21" s="2">
        <v>45390</v>
      </c>
      <c r="C21" s="6">
        <v>200</v>
      </c>
      <c r="D21" s="10">
        <v>30.66</v>
      </c>
      <c r="E21" s="10">
        <v>32.25</v>
      </c>
      <c r="F21" s="9">
        <f>IF(Tablo14567891011121314151617181920212223242526272829303132333435363738394041424344454647484950515253[[#This Row],[SATIŞ]]=0,"Açık",(E21-D21)*C21)</f>
        <v>318</v>
      </c>
      <c r="G21" s="11">
        <f>Tablo14567891011121314151617181920212223242526272829303132333435363738394041424344454647484950515253[[#This Row],[ADET]]*Tablo14567891011121314151617181920212223242526272829303132333435363738394041424344454647484950515253[[#This Row],[ALIŞ]]</f>
        <v>6132</v>
      </c>
      <c r="H21" s="11">
        <f>Tablo14567891011121314151617181920212223242526272829303132333435363738394041424344454647484950515253[[#This Row],[ADET]]*Tablo14567891011121314151617181920212223242526272829303132333435363738394041424344454647484950515253[[#This Row],[SATIŞ]]</f>
        <v>6450</v>
      </c>
    </row>
    <row r="22" spans="2:8" ht="21" hidden="1" customHeight="1" x14ac:dyDescent="0.3">
      <c r="B22" s="2">
        <v>45390</v>
      </c>
      <c r="C22" s="6">
        <v>100</v>
      </c>
      <c r="D22" s="10">
        <v>30.66</v>
      </c>
      <c r="E22" s="10">
        <v>30.9</v>
      </c>
      <c r="F22" s="9">
        <f>IF(Tablo14567891011121314151617181920212223242526272829303132333435363738394041424344454647484950515253[[#This Row],[SATIŞ]]=0,"Açık",(E22-D22)*C22)</f>
        <v>23.999999999999844</v>
      </c>
      <c r="G22" s="11">
        <f>Tablo14567891011121314151617181920212223242526272829303132333435363738394041424344454647484950515253[[#This Row],[ADET]]*Tablo14567891011121314151617181920212223242526272829303132333435363738394041424344454647484950515253[[#This Row],[ALIŞ]]</f>
        <v>3066</v>
      </c>
      <c r="H22" s="11">
        <f>Tablo14567891011121314151617181920212223242526272829303132333435363738394041424344454647484950515253[[#This Row],[ADET]]*Tablo14567891011121314151617181920212223242526272829303132333435363738394041424344454647484950515253[[#This Row],[SATIŞ]]</f>
        <v>3090</v>
      </c>
    </row>
    <row r="23" spans="2:8" ht="21" hidden="1" customHeight="1" x14ac:dyDescent="0.3">
      <c r="B23" s="2">
        <v>45390</v>
      </c>
      <c r="C23" s="6">
        <v>200</v>
      </c>
      <c r="D23" s="10">
        <v>30.66</v>
      </c>
      <c r="E23" s="10">
        <v>30.99</v>
      </c>
      <c r="F23" s="9">
        <f>IF(Tablo14567891011121314151617181920212223242526272829303132333435363738394041424344454647484950515253[[#This Row],[SATIŞ]]=0,"Açık",(E23-D23)*C23)</f>
        <v>65.999999999999659</v>
      </c>
      <c r="G23" s="11">
        <f>Tablo14567891011121314151617181920212223242526272829303132333435363738394041424344454647484950515253[[#This Row],[ADET]]*Tablo14567891011121314151617181920212223242526272829303132333435363738394041424344454647484950515253[[#This Row],[ALIŞ]]</f>
        <v>6132</v>
      </c>
      <c r="H23" s="11">
        <f>Tablo14567891011121314151617181920212223242526272829303132333435363738394041424344454647484950515253[[#This Row],[ADET]]*Tablo14567891011121314151617181920212223242526272829303132333435363738394041424344454647484950515253[[#This Row],[SATIŞ]]</f>
        <v>6198</v>
      </c>
    </row>
    <row r="24" spans="2:8" ht="21" hidden="1" customHeight="1" x14ac:dyDescent="0.3">
      <c r="B24" s="2">
        <v>45398</v>
      </c>
      <c r="C24" s="6">
        <v>100</v>
      </c>
      <c r="D24" s="10">
        <v>30.3</v>
      </c>
      <c r="E24" s="10">
        <v>30.5</v>
      </c>
      <c r="F24" s="9">
        <f>IF(Tablo14567891011121314151617181920212223242526272829303132333435363738394041424344454647484950515253[[#This Row],[SATIŞ]]=0,"Açık",(E24-D24)*C24)</f>
        <v>19.999999999999929</v>
      </c>
      <c r="G24" s="11">
        <f>Tablo14567891011121314151617181920212223242526272829303132333435363738394041424344454647484950515253[[#This Row],[ADET]]*Tablo14567891011121314151617181920212223242526272829303132333435363738394041424344454647484950515253[[#This Row],[ALIŞ]]</f>
        <v>3030</v>
      </c>
      <c r="H24" s="11">
        <f>Tablo14567891011121314151617181920212223242526272829303132333435363738394041424344454647484950515253[[#This Row],[ADET]]*Tablo14567891011121314151617181920212223242526272829303132333435363738394041424344454647484950515253[[#This Row],[SATIŞ]]</f>
        <v>3050</v>
      </c>
    </row>
    <row r="25" spans="2:8" ht="21" hidden="1" customHeight="1" x14ac:dyDescent="0.3">
      <c r="B25" s="2">
        <v>45398</v>
      </c>
      <c r="C25" s="6">
        <v>100</v>
      </c>
      <c r="D25" s="10">
        <v>30.66</v>
      </c>
      <c r="E25" s="10">
        <v>31.4</v>
      </c>
      <c r="F25" s="9">
        <f>IF(Tablo14567891011121314151617181920212223242526272829303132333435363738394041424344454647484950515253[[#This Row],[SATIŞ]]=0,"Açık",(E25-D25)*C25)</f>
        <v>73.999999999999844</v>
      </c>
      <c r="G25" s="11">
        <f>Tablo14567891011121314151617181920212223242526272829303132333435363738394041424344454647484950515253[[#This Row],[ADET]]*Tablo14567891011121314151617181920212223242526272829303132333435363738394041424344454647484950515253[[#This Row],[ALIŞ]]</f>
        <v>3066</v>
      </c>
      <c r="H25" s="11">
        <f>Tablo14567891011121314151617181920212223242526272829303132333435363738394041424344454647484950515253[[#This Row],[ADET]]*Tablo14567891011121314151617181920212223242526272829303132333435363738394041424344454647484950515253[[#This Row],[SATIŞ]]</f>
        <v>3140</v>
      </c>
    </row>
    <row r="26" spans="2:8" ht="21" hidden="1" customHeight="1" x14ac:dyDescent="0.3">
      <c r="B26" s="2">
        <v>45398</v>
      </c>
      <c r="C26" s="6">
        <v>100</v>
      </c>
      <c r="D26" s="10">
        <v>30.66</v>
      </c>
      <c r="E26" s="10">
        <v>32.4</v>
      </c>
      <c r="F26" s="9">
        <f>IF(Tablo14567891011121314151617181920212223242526272829303132333435363738394041424344454647484950515253[[#This Row],[SATIŞ]]=0,"Açık",(E26-D26)*C26)</f>
        <v>173.99999999999983</v>
      </c>
      <c r="G26" s="11">
        <f>Tablo14567891011121314151617181920212223242526272829303132333435363738394041424344454647484950515253[[#This Row],[ADET]]*Tablo14567891011121314151617181920212223242526272829303132333435363738394041424344454647484950515253[[#This Row],[ALIŞ]]</f>
        <v>3066</v>
      </c>
      <c r="H26" s="11">
        <f>Tablo14567891011121314151617181920212223242526272829303132333435363738394041424344454647484950515253[[#This Row],[ADET]]*Tablo14567891011121314151617181920212223242526272829303132333435363738394041424344454647484950515253[[#This Row],[SATIŞ]]</f>
        <v>3240</v>
      </c>
    </row>
    <row r="27" spans="2:8" ht="21" customHeight="1" x14ac:dyDescent="0.3">
      <c r="B27" s="2">
        <v>45398</v>
      </c>
      <c r="C27" s="6">
        <v>300</v>
      </c>
      <c r="D27" s="10">
        <v>30.66</v>
      </c>
      <c r="E27" s="10"/>
      <c r="F27" s="9" t="str">
        <f>IF(Tablo14567891011121314151617181920212223242526272829303132333435363738394041424344454647484950515253[[#This Row],[SATIŞ]]=0,"Açık",(E27-D27)*C27)</f>
        <v>Açık</v>
      </c>
      <c r="G27" s="11">
        <f>Tablo14567891011121314151617181920212223242526272829303132333435363738394041424344454647484950515253[[#This Row],[ADET]]*Tablo14567891011121314151617181920212223242526272829303132333435363738394041424344454647484950515253[[#This Row],[ALIŞ]]</f>
        <v>9198</v>
      </c>
      <c r="H27" s="11">
        <f>Tablo14567891011121314151617181920212223242526272829303132333435363738394041424344454647484950515253[[#This Row],[ADET]]*Tablo14567891011121314151617181920212223242526272829303132333435363738394041424344454647484950515253[[#This Row],[SATIŞ]]</f>
        <v>0</v>
      </c>
    </row>
  </sheetData>
  <conditionalFormatting sqref="B4:F27">
    <cfRule type="expression" dxfId="2" priority="1">
      <formula>$F4&lt;0</formula>
    </cfRule>
    <cfRule type="expression" dxfId="1" priority="2">
      <formula>$F4="Açık"</formula>
    </cfRule>
    <cfRule type="expression" dxfId="0" priority="3">
      <formula>$F4&gt;0</formula>
    </cfRule>
  </conditionalFormatting>
  <hyperlinks>
    <hyperlink ref="B1" location="İcmal!A1" display="ANA SAYFA" xr:uid="{FD036E9B-7CE6-418E-99A1-2EB7AB0665EC}"/>
  </hyperlink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D4078E8-4CE3-48FC-991F-2D28E2976E1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70</vt:i4>
      </vt:variant>
    </vt:vector>
  </HeadingPairs>
  <TitlesOfParts>
    <vt:vector size="70" baseType="lpstr">
      <vt:lpstr>Sayfa1</vt:lpstr>
      <vt:lpstr>İcmal</vt:lpstr>
      <vt:lpstr>ADESE</vt:lpstr>
      <vt:lpstr>AKBNK</vt:lpstr>
      <vt:lpstr>ALARK</vt:lpstr>
      <vt:lpstr>ARASE</vt:lpstr>
      <vt:lpstr>ARCLK</vt:lpstr>
      <vt:lpstr>ARENA</vt:lpstr>
      <vt:lpstr>ARZUM</vt:lpstr>
      <vt:lpstr>ASELS</vt:lpstr>
      <vt:lpstr>ASTOR</vt:lpstr>
      <vt:lpstr>BIMAS</vt:lpstr>
      <vt:lpstr>BRLSM</vt:lpstr>
      <vt:lpstr>BURVA</vt:lpstr>
      <vt:lpstr>CATES</vt:lpstr>
      <vt:lpstr>CWENE</vt:lpstr>
      <vt:lpstr>DEVA</vt:lpstr>
      <vt:lpstr>DOAS</vt:lpstr>
      <vt:lpstr>DOKTA</vt:lpstr>
      <vt:lpstr>EDATA</vt:lpstr>
      <vt:lpstr>EDIP</vt:lpstr>
      <vt:lpstr>EKOS</vt:lpstr>
      <vt:lpstr>ENJSA</vt:lpstr>
      <vt:lpstr>FENER</vt:lpstr>
      <vt:lpstr>ENKAI</vt:lpstr>
      <vt:lpstr>ENSRI</vt:lpstr>
      <vt:lpstr>FROTO</vt:lpstr>
      <vt:lpstr>GENTS</vt:lpstr>
      <vt:lpstr>GEREL</vt:lpstr>
      <vt:lpstr>GRSEL</vt:lpstr>
      <vt:lpstr>GWIND</vt:lpstr>
      <vt:lpstr>HTTBT</vt:lpstr>
      <vt:lpstr>INDES</vt:lpstr>
      <vt:lpstr>KBORU</vt:lpstr>
      <vt:lpstr>KCHOL</vt:lpstr>
      <vt:lpstr>KIMMR</vt:lpstr>
      <vt:lpstr>KONTR</vt:lpstr>
      <vt:lpstr>KRVGD</vt:lpstr>
      <vt:lpstr>MAVI</vt:lpstr>
      <vt:lpstr>MEKAG</vt:lpstr>
      <vt:lpstr>MIATK</vt:lpstr>
      <vt:lpstr>ONCSM</vt:lpstr>
      <vt:lpstr>ORGE</vt:lpstr>
      <vt:lpstr>OTTO</vt:lpstr>
      <vt:lpstr>OYAKC</vt:lpstr>
      <vt:lpstr>OYLUM</vt:lpstr>
      <vt:lpstr>OZRDN</vt:lpstr>
      <vt:lpstr>PCILT</vt:lpstr>
      <vt:lpstr>PRDGS</vt:lpstr>
      <vt:lpstr>QUAGR</vt:lpstr>
      <vt:lpstr>SAFKR</vt:lpstr>
      <vt:lpstr>SAHOL</vt:lpstr>
      <vt:lpstr>SASA</vt:lpstr>
      <vt:lpstr>SEYKM</vt:lpstr>
      <vt:lpstr>SMART</vt:lpstr>
      <vt:lpstr>SMRTG</vt:lpstr>
      <vt:lpstr>TARKM</vt:lpstr>
      <vt:lpstr>TAVHL</vt:lpstr>
      <vt:lpstr>TCELL</vt:lpstr>
      <vt:lpstr>THYAO</vt:lpstr>
      <vt:lpstr>TKFEN</vt:lpstr>
      <vt:lpstr>TNZTP</vt:lpstr>
      <vt:lpstr>TOASO</vt:lpstr>
      <vt:lpstr>TTRAK</vt:lpstr>
      <vt:lpstr>TUCLK</vt:lpstr>
      <vt:lpstr>TURSG</vt:lpstr>
      <vt:lpstr>TUPRS</vt:lpstr>
      <vt:lpstr>UNLU</vt:lpstr>
      <vt:lpstr>YEOTK</vt:lpstr>
      <vt:lpstr>YKBNK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BeyzaKarakum</dc:creator>
  <cp:lastModifiedBy>samet can</cp:lastModifiedBy>
  <dcterms:created xsi:type="dcterms:W3CDTF">2015-06-05T18:19:34Z</dcterms:created>
  <dcterms:modified xsi:type="dcterms:W3CDTF">2024-04-23T20:54:18Z</dcterms:modified>
</cp:coreProperties>
</file>