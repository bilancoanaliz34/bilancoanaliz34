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a0b447f1ab16f52/DİĞER/Borsa Analiz/"/>
    </mc:Choice>
  </mc:AlternateContent>
  <xr:revisionPtr revIDLastSave="1675" documentId="13_ncr:1_{217E3E79-092D-428F-964A-9078E66CC678}" xr6:coauthVersionLast="47" xr6:coauthVersionMax="47" xr10:uidLastSave="{1623D64D-FA71-47D8-832D-58546BA7AF44}"/>
  <bookViews>
    <workbookView xWindow="-120" yWindow="-120" windowWidth="29040" windowHeight="15720" xr2:uid="{00000000-000D-0000-FFFF-FFFF00000000}"/>
  </bookViews>
  <sheets>
    <sheet name="İcmal" sheetId="9" r:id="rId1"/>
    <sheet name="Bilanço" sheetId="1" r:id="rId2"/>
    <sheet name="Gelir Tablosu (Dönemsel)" sheetId="2" r:id="rId3"/>
    <sheet name="Sayfa1" sheetId="8" r:id="rId4"/>
    <sheet name="Gelir Tablosu (Çeyreklik)" sheetId="3" r:id="rId5"/>
    <sheet name="Gelir Tablosu (Yıllıklan.)" sheetId="4" r:id="rId6"/>
    <sheet name="Nakit Akış (Dönemsel)" sheetId="5" r:id="rId7"/>
    <sheet name="Nakit Akış (Çeyreklik)" sheetId="6" r:id="rId8"/>
    <sheet name="Nakit Akış (Yıllıklan.)" sheetId="7" r:id="rId9"/>
  </sheets>
  <definedNames>
    <definedName name="_xlnm._FilterDatabase" localSheetId="1" hidden="1">Bilanço!$A$169:$B$169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9" l="1"/>
  <c r="O18" i="9" l="1"/>
  <c r="O17" i="9"/>
  <c r="O16" i="9"/>
  <c r="O15" i="9"/>
  <c r="Y15" i="9" s="1"/>
  <c r="O14" i="9"/>
  <c r="O13" i="9"/>
  <c r="O12" i="9"/>
  <c r="O11" i="9"/>
  <c r="Y11" i="9" s="1"/>
  <c r="O10" i="9"/>
  <c r="O9" i="9"/>
  <c r="O8" i="9"/>
  <c r="O7" i="9"/>
  <c r="Y7" i="9" s="1"/>
  <c r="O6" i="9"/>
  <c r="O5" i="9"/>
  <c r="O4" i="9"/>
  <c r="N18" i="9"/>
  <c r="N17" i="9"/>
  <c r="N16" i="9"/>
  <c r="N15" i="9"/>
  <c r="W15" i="9" s="1"/>
  <c r="N14" i="9"/>
  <c r="N13" i="9"/>
  <c r="N12" i="9"/>
  <c r="N11" i="9"/>
  <c r="W11" i="9" s="1"/>
  <c r="N10" i="9"/>
  <c r="N9" i="9"/>
  <c r="N8" i="9"/>
  <c r="N7" i="9"/>
  <c r="W7" i="9" s="1"/>
  <c r="N6" i="9"/>
  <c r="N5" i="9"/>
  <c r="N4" i="9"/>
  <c r="D53" i="9"/>
  <c r="E53" i="9" s="1"/>
  <c r="D52" i="9"/>
  <c r="D51" i="9"/>
  <c r="D50" i="9"/>
  <c r="E50" i="9" s="1"/>
  <c r="D49" i="9"/>
  <c r="D48" i="9"/>
  <c r="D47" i="9"/>
  <c r="E47" i="9" s="1"/>
  <c r="D46" i="9"/>
  <c r="E46" i="9" s="1"/>
  <c r="D45" i="9"/>
  <c r="E45" i="9" s="1"/>
  <c r="D44" i="9"/>
  <c r="D43" i="9"/>
  <c r="D42" i="9"/>
  <c r="E42" i="9" s="1"/>
  <c r="D41" i="9"/>
  <c r="E41" i="9" s="1"/>
  <c r="D40" i="9"/>
  <c r="E40" i="9" s="1"/>
  <c r="D39" i="9"/>
  <c r="E39" i="9" s="1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M18" i="9"/>
  <c r="M17" i="9"/>
  <c r="M16" i="9"/>
  <c r="M15" i="9"/>
  <c r="T15" i="9" s="1"/>
  <c r="M14" i="9"/>
  <c r="M13" i="9"/>
  <c r="M12" i="9"/>
  <c r="M11" i="9"/>
  <c r="T11" i="9" s="1"/>
  <c r="M10" i="9"/>
  <c r="M9" i="9"/>
  <c r="M8" i="9"/>
  <c r="M7" i="9"/>
  <c r="T7" i="9" s="1"/>
  <c r="M6" i="9"/>
  <c r="M5" i="9"/>
  <c r="M4" i="9"/>
  <c r="Y5" i="9" l="1"/>
  <c r="Y13" i="9"/>
  <c r="Y12" i="9"/>
  <c r="C26" i="9"/>
  <c r="W5" i="9"/>
  <c r="W13" i="9"/>
  <c r="Y14" i="9"/>
  <c r="Y9" i="9"/>
  <c r="Y17" i="9"/>
  <c r="Y10" i="9"/>
  <c r="Y18" i="9"/>
  <c r="W10" i="9"/>
  <c r="W18" i="9"/>
  <c r="Y6" i="9"/>
  <c r="W8" i="9"/>
  <c r="W16" i="9"/>
  <c r="Y8" i="9"/>
  <c r="Y16" i="9"/>
  <c r="W9" i="9"/>
  <c r="W17" i="9"/>
  <c r="T10" i="9"/>
  <c r="W12" i="9"/>
  <c r="W6" i="9"/>
  <c r="W14" i="9"/>
  <c r="T8" i="9"/>
  <c r="C33" i="9"/>
  <c r="T18" i="9"/>
  <c r="E48" i="9"/>
  <c r="C28" i="9" s="1"/>
  <c r="T5" i="9"/>
  <c r="T13" i="9"/>
  <c r="C30" i="9"/>
  <c r="T6" i="9"/>
  <c r="T12" i="9"/>
  <c r="E51" i="9"/>
  <c r="C31" i="9" s="1"/>
  <c r="E43" i="9"/>
  <c r="C23" i="9" s="1"/>
  <c r="C25" i="9"/>
  <c r="E49" i="9"/>
  <c r="C29" i="9" s="1"/>
  <c r="C27" i="9"/>
  <c r="T16" i="9"/>
  <c r="T9" i="9"/>
  <c r="T17" i="9"/>
  <c r="T14" i="9"/>
  <c r="E52" i="9"/>
  <c r="C32" i="9" s="1"/>
  <c r="E44" i="9"/>
  <c r="C24" i="9" s="1"/>
  <c r="C18" i="9"/>
  <c r="D18" i="9"/>
  <c r="E18" i="9"/>
  <c r="F18" i="9"/>
  <c r="H18" i="9"/>
  <c r="I18" i="9"/>
  <c r="J18" i="9"/>
  <c r="K18" i="9"/>
  <c r="L18" i="9"/>
  <c r="L4" i="9"/>
  <c r="K4" i="9"/>
  <c r="J4" i="9"/>
  <c r="I4" i="9"/>
  <c r="H4" i="9"/>
  <c r="F4" i="9"/>
  <c r="E4" i="9"/>
  <c r="D4" i="9"/>
  <c r="C4" i="9"/>
  <c r="C5" i="9"/>
  <c r="D5" i="9"/>
  <c r="E5" i="9"/>
  <c r="F5" i="9"/>
  <c r="H5" i="9"/>
  <c r="I5" i="9"/>
  <c r="J5" i="9"/>
  <c r="K5" i="9"/>
  <c r="L5" i="9"/>
  <c r="C6" i="9"/>
  <c r="D6" i="9"/>
  <c r="E6" i="9"/>
  <c r="F6" i="9"/>
  <c r="H6" i="9"/>
  <c r="I6" i="9"/>
  <c r="J6" i="9"/>
  <c r="K6" i="9"/>
  <c r="L6" i="9"/>
  <c r="C7" i="9"/>
  <c r="D7" i="9"/>
  <c r="E7" i="9"/>
  <c r="F7" i="9"/>
  <c r="H7" i="9"/>
  <c r="I7" i="9"/>
  <c r="P7" i="9" s="1"/>
  <c r="J7" i="9"/>
  <c r="Q7" i="9" s="1"/>
  <c r="K7" i="9"/>
  <c r="R7" i="9" s="1"/>
  <c r="L7" i="9"/>
  <c r="S7" i="9" s="1"/>
  <c r="C8" i="9"/>
  <c r="D8" i="9"/>
  <c r="E8" i="9"/>
  <c r="F8" i="9"/>
  <c r="H8" i="9"/>
  <c r="I8" i="9"/>
  <c r="J8" i="9"/>
  <c r="K8" i="9"/>
  <c r="L8" i="9"/>
  <c r="C9" i="9"/>
  <c r="D9" i="9"/>
  <c r="E9" i="9"/>
  <c r="F9" i="9"/>
  <c r="H9" i="9"/>
  <c r="I9" i="9"/>
  <c r="J9" i="9"/>
  <c r="K9" i="9"/>
  <c r="L9" i="9"/>
  <c r="C10" i="9"/>
  <c r="D10" i="9"/>
  <c r="E10" i="9"/>
  <c r="F10" i="9"/>
  <c r="H10" i="9"/>
  <c r="I10" i="9"/>
  <c r="J10" i="9"/>
  <c r="K10" i="9"/>
  <c r="L10" i="9"/>
  <c r="C11" i="9"/>
  <c r="D11" i="9"/>
  <c r="E11" i="9"/>
  <c r="F11" i="9"/>
  <c r="H11" i="9"/>
  <c r="I11" i="9"/>
  <c r="P11" i="9" s="1"/>
  <c r="J11" i="9"/>
  <c r="Q11" i="9" s="1"/>
  <c r="K11" i="9"/>
  <c r="R11" i="9" s="1"/>
  <c r="L11" i="9"/>
  <c r="S11" i="9" s="1"/>
  <c r="C12" i="9"/>
  <c r="D12" i="9"/>
  <c r="E12" i="9"/>
  <c r="F12" i="9"/>
  <c r="H12" i="9"/>
  <c r="I12" i="9"/>
  <c r="J12" i="9"/>
  <c r="K12" i="9"/>
  <c r="L12" i="9"/>
  <c r="C13" i="9"/>
  <c r="D13" i="9"/>
  <c r="E13" i="9"/>
  <c r="F13" i="9"/>
  <c r="H13" i="9"/>
  <c r="I13" i="9"/>
  <c r="J13" i="9"/>
  <c r="K13" i="9"/>
  <c r="L13" i="9"/>
  <c r="C14" i="9"/>
  <c r="D14" i="9"/>
  <c r="E14" i="9"/>
  <c r="F14" i="9"/>
  <c r="H14" i="9"/>
  <c r="I14" i="9"/>
  <c r="J14" i="9"/>
  <c r="K14" i="9"/>
  <c r="L14" i="9"/>
  <c r="C15" i="9"/>
  <c r="D15" i="9"/>
  <c r="E15" i="9"/>
  <c r="F15" i="9"/>
  <c r="H15" i="9"/>
  <c r="I15" i="9"/>
  <c r="P15" i="9" s="1"/>
  <c r="J15" i="9"/>
  <c r="Q15" i="9" s="1"/>
  <c r="K15" i="9"/>
  <c r="R15" i="9" s="1"/>
  <c r="L15" i="9"/>
  <c r="S15" i="9" s="1"/>
  <c r="C16" i="9"/>
  <c r="D16" i="9"/>
  <c r="E16" i="9"/>
  <c r="F16" i="9"/>
  <c r="H16" i="9"/>
  <c r="I16" i="9"/>
  <c r="J16" i="9"/>
  <c r="K16" i="9"/>
  <c r="L16" i="9"/>
  <c r="C17" i="9"/>
  <c r="D17" i="9"/>
  <c r="E17" i="9"/>
  <c r="F17" i="9"/>
  <c r="H17" i="9"/>
  <c r="I17" i="9"/>
  <c r="J17" i="9"/>
  <c r="K17" i="9"/>
  <c r="L17" i="9"/>
  <c r="P14" i="9" l="1"/>
  <c r="Z15" i="9"/>
  <c r="E30" i="9" s="1"/>
  <c r="Z16" i="9"/>
  <c r="E31" i="9" s="1"/>
  <c r="Z14" i="9"/>
  <c r="E29" i="9" s="1"/>
  <c r="P16" i="9"/>
  <c r="X8" i="9"/>
  <c r="D23" i="9" s="1"/>
  <c r="F23" i="9" s="1"/>
  <c r="Z13" i="9"/>
  <c r="E28" i="9" s="1"/>
  <c r="X17" i="9"/>
  <c r="D32" i="9" s="1"/>
  <c r="F32" i="9" s="1"/>
  <c r="Z12" i="9"/>
  <c r="E27" i="9" s="1"/>
  <c r="X18" i="9"/>
  <c r="D33" i="9" s="1"/>
  <c r="F33" i="9" s="1"/>
  <c r="R14" i="9"/>
  <c r="S13" i="9"/>
  <c r="P8" i="9"/>
  <c r="R6" i="9"/>
  <c r="S5" i="9"/>
  <c r="Q13" i="9"/>
  <c r="Z10" i="9"/>
  <c r="E25" i="9" s="1"/>
  <c r="X15" i="9"/>
  <c r="D30" i="9" s="1"/>
  <c r="F30" i="9" s="1"/>
  <c r="Z8" i="9"/>
  <c r="E23" i="9" s="1"/>
  <c r="X11" i="9"/>
  <c r="D26" i="9" s="1"/>
  <c r="F26" i="9" s="1"/>
  <c r="Z9" i="9"/>
  <c r="E24" i="9" s="1"/>
  <c r="Z11" i="9"/>
  <c r="E26" i="9" s="1"/>
  <c r="Z17" i="9"/>
  <c r="E32" i="9" s="1"/>
  <c r="X16" i="9"/>
  <c r="D31" i="9" s="1"/>
  <c r="F31" i="9" s="1"/>
  <c r="Z18" i="9"/>
  <c r="E33" i="9" s="1"/>
  <c r="X14" i="9"/>
  <c r="D29" i="9" s="1"/>
  <c r="F29" i="9" s="1"/>
  <c r="R12" i="9"/>
  <c r="X13" i="9"/>
  <c r="D28" i="9" s="1"/>
  <c r="F28" i="9" s="1"/>
  <c r="X10" i="9"/>
  <c r="D25" i="9" s="1"/>
  <c r="F25" i="9" s="1"/>
  <c r="P6" i="9"/>
  <c r="X12" i="9"/>
  <c r="D27" i="9" s="1"/>
  <c r="F27" i="9" s="1"/>
  <c r="X9" i="9"/>
  <c r="D24" i="9" s="1"/>
  <c r="F24" i="9" s="1"/>
  <c r="S17" i="9"/>
  <c r="Q5" i="9"/>
  <c r="P12" i="9"/>
  <c r="R10" i="9"/>
  <c r="S9" i="9"/>
  <c r="P17" i="9"/>
  <c r="Q16" i="9"/>
  <c r="S14" i="9"/>
  <c r="P9" i="9"/>
  <c r="Q8" i="9"/>
  <c r="S6" i="9"/>
  <c r="Q14" i="9"/>
  <c r="R13" i="9"/>
  <c r="S12" i="9"/>
  <c r="U7" i="9"/>
  <c r="Q6" i="9"/>
  <c r="R5" i="9"/>
  <c r="P5" i="9"/>
  <c r="Q17" i="9"/>
  <c r="R16" i="9"/>
  <c r="P10" i="9"/>
  <c r="Q9" i="9"/>
  <c r="R8" i="9"/>
  <c r="U15" i="9"/>
  <c r="S18" i="9"/>
  <c r="P13" i="9"/>
  <c r="Q12" i="9"/>
  <c r="S10" i="9"/>
  <c r="R18" i="9"/>
  <c r="Q18" i="9"/>
  <c r="R17" i="9"/>
  <c r="S16" i="9"/>
  <c r="U11" i="9"/>
  <c r="Q10" i="9"/>
  <c r="R9" i="9"/>
  <c r="S8" i="9"/>
  <c r="P18" i="9"/>
  <c r="U16" i="9" l="1"/>
  <c r="U14" i="9"/>
  <c r="U6" i="9"/>
  <c r="U12" i="9"/>
  <c r="U9" i="9"/>
  <c r="U13" i="9"/>
  <c r="U17" i="9"/>
  <c r="U5" i="9"/>
  <c r="U8" i="9"/>
  <c r="U18" i="9"/>
  <c r="U10" i="9"/>
  <c r="V18" i="9" l="1"/>
  <c r="B33" i="9" s="1"/>
  <c r="V8" i="9"/>
  <c r="B23" i="9" s="1"/>
  <c r="V16" i="9"/>
  <c r="B31" i="9" s="1"/>
  <c r="V13" i="9"/>
  <c r="B28" i="9" s="1"/>
  <c r="V17" i="9"/>
  <c r="B32" i="9" s="1"/>
  <c r="V9" i="9"/>
  <c r="B24" i="9" s="1"/>
  <c r="V15" i="9"/>
  <c r="B30" i="9" s="1"/>
  <c r="V14" i="9"/>
  <c r="B29" i="9" s="1"/>
  <c r="V12" i="9"/>
  <c r="B27" i="9" s="1"/>
  <c r="V10" i="9"/>
  <c r="B25" i="9" s="1"/>
  <c r="V11" i="9"/>
  <c r="B26" i="9" s="1"/>
</calcChain>
</file>

<file path=xl/sharedStrings.xml><?xml version="1.0" encoding="utf-8"?>
<sst xmlns="http://schemas.openxmlformats.org/spreadsheetml/2006/main" count="946" uniqueCount="306">
  <si>
    <t>Kalem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</si>
  <si>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</si>
  <si>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</si>
  <si>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</si>
  <si>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</si>
  <si>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</si>
  <si>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</si>
  <si>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</si>
  <si>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</si>
  <si>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</si>
  <si>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</si>
  <si>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</si>
  <si>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</si>
  <si>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</si>
  <si>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</si>
  <si>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</si>
  <si>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</si>
  <si>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</si>
  <si>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</si>
  <si>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</si>
  <si>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</si>
  <si>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</si>
  <si>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2019/12</t>
  </si>
  <si>
    <t>2019/9</t>
  </si>
  <si>
    <t>2019/6</t>
  </si>
  <si>
    <t>2019/3</t>
  </si>
  <si>
    <t>2018/12</t>
  </si>
  <si>
    <t>2018/9</t>
  </si>
  <si>
    <t>2018/6</t>
  </si>
  <si>
    <t>2018/3</t>
  </si>
  <si>
    <t>2017/12</t>
  </si>
  <si>
    <t>2017/9</t>
  </si>
  <si>
    <t>2017/6</t>
  </si>
  <si>
    <t>2017/3</t>
  </si>
  <si>
    <t>2016/12</t>
  </si>
  <si>
    <t>2016/9</t>
  </si>
  <si>
    <t>2016/6</t>
  </si>
  <si>
    <t>Dönen Varlıklar</t>
  </si>
  <si>
    <t xml:space="preserve">    Nakit ve Nakit Benzerleri</t>
  </si>
  <si>
    <t xml:space="preserve">    Gayrimenkul Projeleri Kapsamında Açılan Nakit Hesapları</t>
  </si>
  <si>
    <t xml:space="preserve">    Finansal Yatırımlar</t>
  </si>
  <si>
    <t xml:space="preserve">    Teminata Verilen Finansal Varlıklar</t>
  </si>
  <si>
    <t xml:space="preserve">    Ticari Alacaklar</t>
  </si>
  <si>
    <t xml:space="preserve">    Finans Sektörü Faaliyetlerinden Alacaklar</t>
  </si>
  <si>
    <t xml:space="preserve">    Türkiye Cumhuriyet Merkez Bankası Hesabı</t>
  </si>
  <si>
    <t xml:space="preserve">    Diğer Alacaklar</t>
  </si>
  <si>
    <t xml:space="preserve">    Müşteri Sözleşmelerinden Doğan Varlıklar</t>
  </si>
  <si>
    <t xml:space="preserve">    İmtiyaz Sözleşmelerine İlişkin Finansal Varlıklar</t>
  </si>
  <si>
    <t xml:space="preserve">    Türev Araçlar</t>
  </si>
  <si>
    <t xml:space="preserve">    Stoklar</t>
  </si>
  <si>
    <t xml:space="preserve">    Proje Halindeki Stoklar</t>
  </si>
  <si>
    <t xml:space="preserve">    Canlı Varlıklar</t>
  </si>
  <si>
    <t xml:space="preserve">    Peşin Ödenmiş Giderler</t>
  </si>
  <si>
    <t xml:space="preserve">    Ertelenmiş Sigortacılık Üretim Giderleri</t>
  </si>
  <si>
    <t xml:space="preserve">    Cari Dönem Vergisiyle İlgili Varlıklar</t>
  </si>
  <si>
    <t xml:space="preserve">    Nakit Dışı Serbest Kullanılabilir Teminatlar</t>
  </si>
  <si>
    <t xml:space="preserve">    Diğer Dönen Varlıklar</t>
  </si>
  <si>
    <t xml:space="preserve">    Satış Amacıyla Elde Tutulan Duran Varlıklar</t>
  </si>
  <si>
    <t xml:space="preserve">    Ortaklara Dağıtılmak Üzere Elde Tutulan Duran Varlıklar</t>
  </si>
  <si>
    <t xml:space="preserve">    Toplam Dönen Varlıklar</t>
  </si>
  <si>
    <t>Duran Varlıklar</t>
  </si>
  <si>
    <t xml:space="preserve">    İştirakler, İş Ortaklıkları ve Bağlı Ortaklıklardaki Yatırımlar</t>
  </si>
  <si>
    <t xml:space="preserve">    Özkaynak Yöntemiyle Değerlenen Yatırımlar</t>
  </si>
  <si>
    <t xml:space="preserve">    Yatırım Amaçlı Gayrimenkuller</t>
  </si>
  <si>
    <t xml:space="preserve">    Proje Halindeki Yatırım Amaçlı Gayrimenkuller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</si>
  <si>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</si>
  <si>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</si>
  <si>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</si>
  <si>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Ertelenmiş Vergi Varlığı</t>
  </si>
  <si>
    <t xml:space="preserve">    Cari Dönem Vergisiyle İlgili Duran Varlıklar</t>
  </si>
  <si>
    <t xml:space="preserve">    Diğer Duran Varlıklar</t>
  </si>
  <si>
    <t xml:space="preserve">    Toplam Duran Varlıklar</t>
  </si>
  <si>
    <t xml:space="preserve">    Toplam Varlıklar</t>
  </si>
  <si>
    <t>Kısa Vadeli Yükümlülükler</t>
  </si>
  <si>
    <t xml:space="preserve">    Finansal Borçlar</t>
  </si>
  <si>
    <t xml:space="preserve">    Diğer Finansal Yükümlülükler</t>
  </si>
  <si>
    <t xml:space="preserve">    Ticari Borçlar</t>
  </si>
  <si>
    <t xml:space="preserve">    Finans Sektörü Faaliyetlerinden Borçlar</t>
  </si>
  <si>
    <t xml:space="preserve">    Çalışanlara Sağlanan Faydalar Kapsamında Borçlar</t>
  </si>
  <si>
    <t xml:space="preserve">    Diğer Borçlar</t>
  </si>
  <si>
    <t xml:space="preserve">    Müşteri Sözleşmelerinden Doğan Yükümlülükler</t>
  </si>
  <si>
    <t xml:space="preserve">    Özkaynak Yöntemiyle Değerlenen Yatırımlardan Yükümlülükler</t>
  </si>
  <si>
    <t xml:space="preserve">    Devlet Teşvik ve Yardımları</t>
  </si>
  <si>
    <t xml:space="preserve">    Ertelenmiş Gelirler</t>
  </si>
  <si>
    <t xml:space="preserve">    Dönem Karı Vergi Yükümlülüğü</t>
  </si>
  <si>
    <t xml:space="preserve">    Kısa Vadeli Karşılıklar</t>
  </si>
  <si>
    <t xml:space="preserve">    Diğer Kısa Vadeli Yükümlülükler</t>
  </si>
  <si>
    <t xml:space="preserve">    Satış Amaçlı Sınıflandırılan Varlık Gruplarına İlişkin Yükümlülükler</t>
  </si>
  <si>
    <t xml:space="preserve">    Ortaklara Dağıtılmak Üzere Elde Tutulan Varlık Gruplarına İlişkin Yükümlülükler</t>
  </si>
  <si>
    <t xml:space="preserve">    Toplam Kısa Vadeli Yükümlülükler</t>
  </si>
  <si>
    <t>Uzun Vadeli Yükümlülükler</t>
  </si>
  <si>
    <t xml:space="preserve">    Uzun vadeli Karşılıklar</t>
  </si>
  <si>
    <t xml:space="preserve">    Cari Dönem Vergisiyle İlgili Borçlar</t>
  </si>
  <si>
    <t xml:space="preserve">    Ertelenmiş Vergi Yükümlülüğü</t>
  </si>
  <si>
    <t xml:space="preserve">    Diğer Uzun Vadeli Yükümlülükler</t>
  </si>
  <si>
    <t xml:space="preserve">    Toplam Uzun Vadeli Yükümlülükler</t>
  </si>
  <si>
    <t>Özkaynaklar</t>
  </si>
  <si>
    <t xml:space="preserve">    Ana Ortaklığa Ait Özkaynaklar</t>
  </si>
  <si>
    <t xml:space="preserve">    Ödenmiş Sermaye</t>
  </si>
  <si>
    <t xml:space="preserve">    Sermaye Düzeltme Farkları</t>
  </si>
  <si>
    <t xml:space="preserve">    Birleşme Denkleştirme Hesabı</t>
  </si>
  <si>
    <t xml:space="preserve">    Pay Sahiplerinin İlave Sermaye Katkıları</t>
  </si>
  <si>
    <t xml:space="preserve">    Sermaye Avansı</t>
  </si>
  <si>
    <t xml:space="preserve">    Geri Alınmış Paylar (-)</t>
  </si>
  <si>
    <t xml:space="preserve">    Karşılıklı İştirak Sermaye Düzeltmesi (-)</t>
  </si>
  <si>
    <t xml:space="preserve">    Paylara İlişkin Primler (İskontolar)</t>
  </si>
  <si>
    <t xml:space="preserve">    Ortak Kontrole Tabi Teşebbüs veya İşletmeleri İçeren Birleşmelerin Etkisi</t>
  </si>
  <si>
    <t xml:space="preserve">    Pay Bazlı Ödemeler (-)</t>
  </si>
  <si>
    <t xml:space="preserve">    Kar veya Zararda Yeniden Sınıflandırılmayacak Birikmiş Diğer Kapsamlı Gelirler (Giderler)</t>
  </si>
  <si>
    <t xml:space="preserve">    Kar veya Zararda Yeniden Sınıflandırılacak Birikmiş Diğer Kapsamlı Gelirler (Giderler)</t>
  </si>
  <si>
    <t xml:space="preserve">    Kardan Ayrılan Kısıtlanmış Yedekler</t>
  </si>
  <si>
    <t xml:space="preserve">    Diğer Özkaynak Payları</t>
  </si>
  <si>
    <t xml:space="preserve">    Diğer Yedekler</t>
  </si>
  <si>
    <t xml:space="preserve">    Ödenen Kar Payı Avansları (Net) (-)</t>
  </si>
  <si>
    <t xml:space="preserve">    Geçmiş Yıllar Kar/Zararları</t>
  </si>
  <si>
    <t xml:space="preserve">    Dönem Net Kar/Zararı</t>
  </si>
  <si>
    <t xml:space="preserve">    Azınlık Payları</t>
  </si>
  <si>
    <t xml:space="preserve">    Toplam Özkaynaklar</t>
  </si>
  <si>
    <t xml:space="preserve">    Toplam Kaynaklar</t>
  </si>
  <si>
    <t xml:space="preserve">    Hedge Dahil Net Yabancı Para Pozisyonu</t>
  </si>
  <si>
    <t>2016/3</t>
  </si>
  <si>
    <t/>
  </si>
  <si>
    <t xml:space="preserve">    Satış Gelirleri</t>
  </si>
  <si>
    <t xml:space="preserve">    Toplam Hasılat</t>
  </si>
  <si>
    <t xml:space="preserve">    Yurt İçi Satışlar</t>
  </si>
  <si>
    <t xml:space="preserve">    Yurt Dışı Satışlar</t>
  </si>
  <si>
    <t xml:space="preserve">    Satışların Maliyeti (-)</t>
  </si>
  <si>
    <t xml:space="preserve">    Ticari Faaliyetlerden Brüt Kar (Zarar)</t>
  </si>
  <si>
    <t xml:space="preserve">    Faiz, Ücret, Prim, Komisyon ve Diğer Gelirler</t>
  </si>
  <si>
    <t xml:space="preserve">    Faiz, Ücret, Prim, Komisyon ve Diğer Giderler (-)</t>
  </si>
  <si>
    <t xml:space="preserve">    Finans Sektörü Faaliyetlerinden Brüt Kar (Zarar)</t>
  </si>
  <si>
    <t xml:space="preserve">    Canlı Varlıklar Gerçeğe Uygun Değer Farkları</t>
  </si>
  <si>
    <t xml:space="preserve">    Brüt Kar (Zarar)</t>
  </si>
  <si>
    <t xml:space="preserve">    Genel Yönetim Giderleri (-)</t>
  </si>
  <si>
    <t xml:space="preserve">    Pazarlama, Satış ve Dağıtım Giderleri (-)</t>
  </si>
  <si>
    <t xml:space="preserve">    Araştırma ve Geliştirme Giderleri (-)</t>
  </si>
  <si>
    <t xml:space="preserve">    Diğer Faaliyet Gelirleri</t>
  </si>
  <si>
    <t xml:space="preserve">    Diğer Faaliyet Giderleri (-)</t>
  </si>
  <si>
    <t xml:space="preserve">    Diğer Kazançlar (Kayıplar)</t>
  </si>
  <si>
    <t xml:space="preserve">    Faaliyet Karı (Zararı)</t>
  </si>
  <si>
    <t xml:space="preserve">    Ödenecek Kar Paylarının Defter Değeri ile Dağıtılan Nakit Dışı Varlıkların Değeri Arasındaki Fark</t>
  </si>
  <si>
    <t xml:space="preserve">    İtfa Edilmiş Maliyetinden Ölçülen Finansal Varlıkların Finansal Tablo Dışı Bırakılmasından Kaynaklanan Kazançlar (Kayıplar)</t>
  </si>
  <si>
    <t xml:space="preserve">    Yatırım Faaliyetlerinden Gelirler</t>
  </si>
  <si>
    <t xml:space="preserve">    Yatırım Faaliyetlerinden Giderler (-)</t>
  </si>
  <si>
    <t xml:space="preserve">    TFRS 9 Uyarınca Belirlenen Değer Düşüklüğü Kazançları (Zararları) ve Değer Düşüklüğü Zararlarının İptalleri</t>
  </si>
  <si>
    <t xml:space="preserve">    Özkaynak Yöntemiyle Değerlenen Yatırımların Karlarından (Zararlarından) Paylar</t>
  </si>
  <si>
    <t xml:space="preserve">    İştirakler, Müşterek Kontrol Edilen İşletmeler ve Bağlı Ortaklıklardan Diğer Gelirler (Giderler)</t>
  </si>
  <si>
    <t xml:space="preserve">    İtfa Edilmiş Maliyetinden Ölçülen Finansal Varlıkların Gerçeğe Uygun Değer Farkı Kar veya Zarara Yansıtılan Olarak Sınıflandırılmasından Kazançlar (Kayıplar)</t>
  </si>
  <si>
    <t xml:space="preserve">    Gerçeğe Uygun Değer Farkı Diğer Kapsamlı Gelire Yansıtılan Finansal Varlıkların Gerçeğe Uygun Değer Farkı Kar veya Zarara Yansıtılan Olarak Sınıflandırılmasından Kazançlar (Kayıplar)</t>
  </si>
  <si>
    <t xml:space="preserve">    Risk Pozisyonlarını Netleştiren Kalemler Grubuna Yönelik Finansal Riskten Korunma Kazançları (Kayıpları)</t>
  </si>
  <si>
    <t xml:space="preserve">    Finansman Geliri (Gideri) Öncesi Faaliyet Karı (Zararı)</t>
  </si>
  <si>
    <t xml:space="preserve">    (Esas Faaliyet Dışı) Finansal Gelirler</t>
  </si>
  <si>
    <t xml:space="preserve">    (Esas Faaliyet Dışı) Finansal Giderler (-)</t>
  </si>
  <si>
    <t xml:space="preserve">    Net Parasal Pozisyon Kazançları (Kayıpları)</t>
  </si>
  <si>
    <t xml:space="preserve">    Sürdürülen Faaliyetler Vergi Öncesi Karı (Zararı)</t>
  </si>
  <si>
    <t xml:space="preserve">    Sürdürülen Faaliyetler Vergi Geliri (Gideri)</t>
  </si>
  <si>
    <t xml:space="preserve">    Dönem Vergi Geliri (Gideri)</t>
  </si>
  <si>
    <t xml:space="preserve">    Ertelenmiş Vergi Geliri (Gideri)</t>
  </si>
  <si>
    <t xml:space="preserve">    Sürdürülen Faaliyetler Dönem Karı/Zararı</t>
  </si>
  <si>
    <t xml:space="preserve">    Durdurulan Faaliyetler Dönem Karı/Zararı</t>
  </si>
  <si>
    <t xml:space="preserve">    Dönem Karı (Zararı)</t>
  </si>
  <si>
    <t xml:space="preserve">    Ana Ortaklık Payları</t>
  </si>
  <si>
    <t xml:space="preserve">    Amortisman</t>
  </si>
  <si>
    <t xml:space="preserve">    İşletme Faaliyetlerinden Nakit Akışları</t>
  </si>
  <si>
    <t xml:space="preserve">    Dönem Net Karı (Zararı) Mutabakatı İle İlgili Düzeltmeler</t>
  </si>
  <si>
    <t xml:space="preserve">    Amortisman ve İtfa Gideri İle İlgili Düzeltmeler</t>
  </si>
  <si>
    <t xml:space="preserve">    Değer Düşüklüğü (İptali) İle İlgili Düzeltmeler</t>
  </si>
  <si>
    <t xml:space="preserve">    Karşılıklar İle İlgili Düzeltmeler</t>
  </si>
  <si>
    <t xml:space="preserve">    Kar Payı (Geliri) Gideri ile İlgili Düzeltmeler</t>
  </si>
  <si>
    <t xml:space="preserve">    Katılım (Kar) Payı ve Diğer Finansal Araçlardan (Gelirler) Giderler ile İlgili Düzeltmeler</t>
  </si>
  <si>
    <t xml:space="preserve">    Pazarlıklı Satın Alım Sonucu Oluşan Kazanç ile İlgili Düzeltmeler</t>
  </si>
  <si>
    <t xml:space="preserve">    Faiz (Gelirleri) ve Giderleri İle İlgili Düzeltmeler</t>
  </si>
  <si>
    <t xml:space="preserve">    Devlet Teşviklerinden Elde Edilen Gelirler ile İlgili Düzeltmeler</t>
  </si>
  <si>
    <t xml:space="preserve">    Takas İşlemlerinden Kaynaklanan Kayıplar (Kazançlar) ile İlgili Düzeltmeler</t>
  </si>
  <si>
    <t xml:space="preserve">    Gerçekleşmemiş Yabancı Para Çevrim Farkları İle İlgili Düzeltmeler</t>
  </si>
  <si>
    <t xml:space="preserve">    Pay Bazlı Ödemeler İle İlgili Düzeltmeler</t>
  </si>
  <si>
    <t xml:space="preserve">    Hibe Krediler ile İlgili Düzeltmeler</t>
  </si>
  <si>
    <t xml:space="preserve">    Gerçeğe Uygun Değer Kayıpları (Kazançları) İle İlgili Düzeltmeler</t>
  </si>
  <si>
    <t xml:space="preserve">    Özkaynak Yöntemiyle Değerlenen Yatırımların Dağıtılmamış Karları ile İlgili Düzeltmeler</t>
  </si>
  <si>
    <t xml:space="preserve">    Vergi (Geliri) Gideri İle İlgili Düzeltmeler</t>
  </si>
  <si>
    <t xml:space="preserve">    Nakit Dışı Kalemlere İlişkin Diğer Düzeltmeler</t>
  </si>
  <si>
    <t xml:space="preserve">    Duran Varlıkların Elden Çıkarılmasından Kaynaklanan Kayıplar (Kazançlar) İle İlgili Düzeltmeler</t>
  </si>
  <si>
    <t xml:space="preserve">    Satış Amaçlı veya Ortaklara Dağıtılmak Üzere Elde Tutulan Duran Varlıkların Elden Çıkarılmasından Kaynaklanan Kayıplar (Kazançlar) ile İlgili Düzeltmeler</t>
  </si>
  <si>
    <t xml:space="preserve">    İştirak, İş ortaklığı ve Finansal Yatırımların Elden Çıkarılmasından veya Paylarındaki Değişim Sebebi ile Oluşan Kayıplar (Kazançlar) ile İlgili Düzeltmeler</t>
  </si>
  <si>
    <t xml:space="preserve">    Bağlı Ortaklıkların veya Müşterek Faaliyetlerin Elden Çıkarılmasından Kaynaklanan Kayıplar (Kazançlar) ile İlgili Düzeltmeler</t>
  </si>
  <si>
    <t xml:space="preserve">    Yatırım ya da Finansman Faaliyetlerinden Kaynaklanan Nakit Akışlarına Neden Olan Diğer Kalemlere İlişkin Düzeltmeler</t>
  </si>
  <si>
    <t xml:space="preserve">    Kar (Zarar) Mutabakatı İle İlgili Diğer Düzeltmeler</t>
  </si>
  <si>
    <t xml:space="preserve">    İşletme Sermayesinde Gerçekleşen Değişimler</t>
  </si>
  <si>
    <t xml:space="preserve">    Finansal Yatırımlardaki Azalış (Artış)</t>
  </si>
  <si>
    <t xml:space="preserve">    Türkiye Cumhuriyet Merkez Bankası Hesabındaki Azalış (Artış)</t>
  </si>
  <si>
    <t xml:space="preserve">    Ticari Alacaklardaki Azalış (Artış) ile İlgili Düzeltmeler</t>
  </si>
  <si>
    <t xml:space="preserve">    Finans Sektörü Faaliyetlerinden Alacaklarda Azalış (Artış)</t>
  </si>
  <si>
    <t xml:space="preserve">    Faaliyetlerle İlgili Diğer Alacaklardaki Azalış (Artış) ile İlgili Düzeltmeler</t>
  </si>
  <si>
    <t xml:space="preserve">    Müşteri Sözleşmelerinden Doğan Varlıklardaki Azalış (Artış) İle İlgili Düzeltmeler</t>
  </si>
  <si>
    <t xml:space="preserve">    İmtiyaz Sözleşmelerine İlişkin Finansal Varlıklardaki Azalış (Artış)</t>
  </si>
  <si>
    <t xml:space="preserve">    Türev Varlıklardaki Azalış (Artış)</t>
  </si>
  <si>
    <t xml:space="preserve">    Stoklardaki Azalışlar (Artışlar) İle İlgili Düzeltmeler</t>
  </si>
  <si>
    <t xml:space="preserve">    Canlı Varlıklardaki Azalış (Artış)</t>
  </si>
  <si>
    <t xml:space="preserve">    Peşin Ödenmiş Giderlerdeki Azalış (Artış)</t>
  </si>
  <si>
    <t xml:space="preserve">    Ticari Borçlardaki Artış (Azalış) ile İlgili Düzeltmeler</t>
  </si>
  <si>
    <t xml:space="preserve">    Finans Sektörü Faaliyetlerinden Borçlardaki Artış (Azalış)</t>
  </si>
  <si>
    <t xml:space="preserve">    Çalışanlara Sağlanan Faydalar Kapsamında Borçlardaki Artış (Azalış)</t>
  </si>
  <si>
    <t xml:space="preserve">    Müşteri Sözleşmelerinden Doğan Yükümlülüklerdeki Artış (Azalış) İle İlgili Düzeltmeler</t>
  </si>
  <si>
    <t xml:space="preserve">    Faaliyetler ile İlgili Diğer Borçlardaki Artış (Azalış) ile İlgili Düzeltmeler</t>
  </si>
  <si>
    <t xml:space="preserve">    Türev Yükümlülüklerdeki Artış (Azalış)</t>
  </si>
  <si>
    <t xml:space="preserve">    Devlet Teşvik ve Yardımlarındaki Artış (Azalış)</t>
  </si>
  <si>
    <t xml:space="preserve">    Ertelenmiş Gelirlerdeki Artış (Azalış)</t>
  </si>
  <si>
    <t xml:space="preserve">    İşletme Sermayesinde Gerçekleşen Diğer Artış (Azalış) ile İlgili Düzeltmeler</t>
  </si>
  <si>
    <t xml:space="preserve">    Faaliyetlerden Elde Edilen Nakit Akışları</t>
  </si>
  <si>
    <t xml:space="preserve">    Ödenen Temettüler</t>
  </si>
  <si>
    <t xml:space="preserve">    Alınan Temettüler</t>
  </si>
  <si>
    <t xml:space="preserve">    Ödenen Faiz</t>
  </si>
  <si>
    <t xml:space="preserve">    Alınan Faiz</t>
  </si>
  <si>
    <t xml:space="preserve">    Vergi İadeleri (Ödemeleri)</t>
  </si>
  <si>
    <t xml:space="preserve">    Katılım (Kar) Payı ve Diğer Finansal Araçlardan Nakit Çıkışları</t>
  </si>
  <si>
    <t xml:space="preserve">    Katılım (Kar) Payı ve Diğer Finansal Araçlardan Nakit Girişleri</t>
  </si>
  <si>
    <t xml:space="preserve">    Kira Ödemeleri</t>
  </si>
  <si>
    <t xml:space="preserve">    Alınan Kira</t>
  </si>
  <si>
    <t xml:space="preserve">    Başka İşletmelerin veya Fonların Paylarının veya Borçlanma Araçlarının Edinimi İçin Yapılan Nakit Çıkışları</t>
  </si>
  <si>
    <t xml:space="preserve">    Başka İşletmelerin veya Fonların Paylarının veya Borçlanma Araçlarının Satılması Sonucu Elde Edilen Nakit Girişleri</t>
  </si>
  <si>
    <t xml:space="preserve">    İştirakler, İş Ortaklıkları ve/veya Müşterek Faaliyetlerin Sermaye Artırımına Katılımdan Kaynaklanan Nakit Çıkışları</t>
  </si>
  <si>
    <t xml:space="preserve">    Çalışanlara Sağlanan Faydalara İlişkin Karşılıklar Kapsamında Yapılan Ödemeler</t>
  </si>
  <si>
    <t xml:space="preserve">    Diğer Karşılıklara İlişkin Ödemeler</t>
  </si>
  <si>
    <t xml:space="preserve">    Diğer Nakit Girişleri (Çıkışları)</t>
  </si>
  <si>
    <t xml:space="preserve">    Durdurulan Faaliyetlere İlişkin Net Nakit Akışları</t>
  </si>
  <si>
    <t xml:space="preserve">    Yatırım Faaliyetlerinden Kaynaklanan Nakit Akışları</t>
  </si>
  <si>
    <t xml:space="preserve">    Bağlı Ortaklıkların Kontrolünün Kaybı Sonucunu Doğuracak Satışlara İlişkin Nakit Girişleri</t>
  </si>
  <si>
    <t xml:space="preserve">    Bağlı Ortaklıkların Kontrolünün Kaybı Sonucunu Doğurmayan Satışlara İlişkin Nakit Girişleri</t>
  </si>
  <si>
    <t xml:space="preserve">    Bağlı Ortaklıkların Kontrolünün Elde Edilmesine Yönelik Alışlara İlişkin Nakit Çıkışları</t>
  </si>
  <si>
    <t xml:space="preserve">    Bağlı Ortaklıklarda İlave Pay Alımlarına ilişkin Nakit Çıkışları</t>
  </si>
  <si>
    <t xml:space="preserve">    İştiraklerin ve/veya İş Ortaklıklarının Pay Satışı veya Sermaye Azaltımı Sebebiyle Oluşan Nakit Girişleri</t>
  </si>
  <si>
    <t xml:space="preserve">    İştiraklar ve/veya İş Ortaklıkları Pay Alımı veya Sermaye Artırımı Sebebiyle Oluşan Nakit Çıkışları</t>
  </si>
  <si>
    <t xml:space="preserve">    İştirakler ve/veya İş Ortaklıkları Sermaye Avansı Ödemelerinden Nakit Çıkışları</t>
  </si>
  <si>
    <t xml:space="preserve">    Maddi ve Maddi Olmayan Duran Varlıkların Satışından Kaynaklanan Nakit Girişleri</t>
  </si>
  <si>
    <t xml:space="preserve">    Maddi ve Maddi Olmayan Duran Varlıkların Alımından Kaynaklanan Nakit Çıkışları</t>
  </si>
  <si>
    <t xml:space="preserve">    Yatırım Amaçlı Gayrimenkul Satımından Kaynaklanan Nakit Girişleri</t>
  </si>
  <si>
    <t xml:space="preserve">    Yatırım Amaçlı Gayrimenkul Alımından Kaynaklanan Nakit Çıkışları</t>
  </si>
  <si>
    <t xml:space="preserve">    Satış Amacıyla Elde Tutulan Duran Varlık Satışlarından Kaynaklanan Nakit Girişleri</t>
  </si>
  <si>
    <t xml:space="preserve">    Satış Amacıyla Elde Tutulan Duran Varlık Alımlarından Nakit Çıkışları</t>
  </si>
  <si>
    <t xml:space="preserve">    Canlı Varlık Satışından Kaynaklanan Nakit Girişleri</t>
  </si>
  <si>
    <t xml:space="preserve">    Canlı Varlık Alımından Kaynaklanan Nakit Çıkışları</t>
  </si>
  <si>
    <t xml:space="preserve">    Diğer Uzun Vadeli Varlıkların Satışından Kaynaklanan Nakit Girişleri</t>
  </si>
  <si>
    <t xml:space="preserve">    Diğer Uzun Vadeli Varlık Alımından Kaynaklanan Nakit Çıkışları</t>
  </si>
  <si>
    <t xml:space="preserve">    Verilen Nakit Avans ve Borçlar</t>
  </si>
  <si>
    <t xml:space="preserve">    Verilen Nakit Avans ve Borçlardan Geri Ödemeler</t>
  </si>
  <si>
    <t xml:space="preserve">    Türev Araçlardan Nakit Girişleri</t>
  </si>
  <si>
    <t xml:space="preserve">    Türev Araçlardan Nakit Çıkışları</t>
  </si>
  <si>
    <t xml:space="preserve">    Devlet Teşviklerinden Elde Edilen Nakit Girişleri</t>
  </si>
  <si>
    <t xml:space="preserve">    Finansman Faaliyetlerinden Nakit Akışları</t>
  </si>
  <si>
    <t xml:space="preserve">    Bağlı Ortaklıklardaki Kontrolün Kaybına Yol Açmayan Şekilde Ortaklık Payları Değişmelerinden Kaynaklanan Nakit Girişleri</t>
  </si>
  <si>
    <t xml:space="preserve">    Bağlı Ortaklıklardaki Kontrolün Kaybına Yol Açmayan Şekilde Ortaklık Payları Değişmelerinden Kaynaklanan Nakit Çıkışları</t>
  </si>
  <si>
    <t xml:space="preserve">    Pay ve Diğer Özkaynağa Dayalı Araçların İhracından Kaynaklanan Nakit Girişleri</t>
  </si>
  <si>
    <t xml:space="preserve">    Sermaye Avanslarından Nakit Girişleri</t>
  </si>
  <si>
    <t xml:space="preserve">    İşletmenin Kendi Paylarını ve Diğer Özkaynağa Dayalı Araçlarını Almasıyla İlgili Nakit Çıkışları</t>
  </si>
  <si>
    <t xml:space="preserve">    İşletmenin Kendi Paylarını ve Diğer Özkaynağa Dayalı Araçlarını Satmasından Kaynaklanan Nakit Girişleri</t>
  </si>
  <si>
    <t xml:space="preserve">    Ortak Kontrole Tabi İşletmelerin Birleşme Etkisinden Kaynaklanan Nakit Girişleri (Çıkışları)</t>
  </si>
  <si>
    <t xml:space="preserve">    Borçlanmadan Kaynaklanan Nakit Girişleri</t>
  </si>
  <si>
    <t xml:space="preserve">    Borç Ödemelerine İlişkin Nakit Çıkışları</t>
  </si>
  <si>
    <t xml:space="preserve">    İlişkili Taraflardan Alınan Diğer Borçlardaki Artış</t>
  </si>
  <si>
    <t xml:space="preserve">    İlişkili Taraflardan Alınan Diğer Borçlardaki Azalış</t>
  </si>
  <si>
    <t xml:space="preserve">    Kira Sözleşmelerinden Kaynaklanan Borç Ödemelerine İlişkin Nakit Çıkışları</t>
  </si>
  <si>
    <t xml:space="preserve">    Yabancı Para Çevrim Farklarının Etkisinden Önce Nakit ve Nakit Benzerlerindeki Net Artış (Azalış)</t>
  </si>
  <si>
    <t xml:space="preserve">    Yabancı Para Çevrim Farklarının Nakit ve Nakit Benzerleri Üzerindeki Etkisi</t>
  </si>
  <si>
    <t xml:space="preserve">    Nakit ve Nakit Benzerlerindeki Net Artış (Azalış)</t>
  </si>
  <si>
    <t xml:space="preserve">    Dönem Başı Nakit ve Nakit Benzerleri</t>
  </si>
  <si>
    <t xml:space="preserve">    Dönem Sonu Nakit ve Nakit Benzerleri</t>
  </si>
  <si>
    <t>FAVÖK (Yıllıklandırılmış) (Mln TL)</t>
  </si>
  <si>
    <t>2025/03</t>
  </si>
  <si>
    <t>2024/09</t>
  </si>
  <si>
    <t>2024/06</t>
  </si>
  <si>
    <t>2024/03</t>
  </si>
  <si>
    <t>2023/09</t>
  </si>
  <si>
    <t>2023/06</t>
  </si>
  <si>
    <t>NET BORÇ</t>
  </si>
  <si>
    <t>NET KAR YILLIK</t>
  </si>
  <si>
    <t>NET SATIŞLAR</t>
  </si>
  <si>
    <t>Özkaynak Karlılığı</t>
  </si>
  <si>
    <t>Ersin</t>
  </si>
  <si>
    <t>Mert</t>
  </si>
  <si>
    <t>Paulista</t>
  </si>
  <si>
    <t>Tayyip</t>
  </si>
  <si>
    <t>Emirhan</t>
  </si>
  <si>
    <t>Masuaku</t>
  </si>
  <si>
    <t>Emrecan</t>
  </si>
  <si>
    <t>Onur</t>
  </si>
  <si>
    <t>Necip</t>
  </si>
  <si>
    <t>Amir</t>
  </si>
  <si>
    <t>Salih</t>
  </si>
  <si>
    <t>Gedson</t>
  </si>
  <si>
    <t>Musrati</t>
  </si>
  <si>
    <t>Rafa</t>
  </si>
  <si>
    <t>Arroyo</t>
  </si>
  <si>
    <t>Semih</t>
  </si>
  <si>
    <t>Mustafa</t>
  </si>
  <si>
    <t>ımmobıle</t>
  </si>
  <si>
    <t>svenson</t>
  </si>
  <si>
    <t>felix</t>
  </si>
  <si>
    <t>chamberla</t>
  </si>
  <si>
    <t>mario</t>
  </si>
  <si>
    <t>rachia</t>
  </si>
  <si>
    <t>muci</t>
  </si>
  <si>
    <t>2025/06</t>
  </si>
  <si>
    <t>2025/6</t>
  </si>
  <si>
    <t>2025/12</t>
  </si>
  <si>
    <t>2025/9</t>
  </si>
  <si>
    <t>2025/09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</si>
</sst>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[Red]\-#,##0\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0" fontId="0" fillId="0" borderId="0" xfId="1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43" fontId="0" fillId="0" borderId="0" xfId="2" applyFont="1"/>
    <xf numFmtId="43" fontId="0" fillId="0" borderId="0" xfId="0" applyNumberFormat="1"/>
    <xf numFmtId="164" fontId="0" fillId="2" borderId="0" xfId="0" applyNumberFormat="1" applyFill="1"/>
  </cellXfs>
  <cellStyles count="3">
    <cellStyle name="Normal" xfId="0" builtinId="0"/>
    <cellStyle name="Virgül" xfId="2" builtinId="3"/>
    <cellStyle name="Yüzd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487969</xdr:colOff>
      <xdr:row>20</xdr:row>
      <xdr:rowOff>0</xdr:rowOff>
    </xdr:from>
    <xdr:to>
      <xdr:col>20</xdr:col>
      <xdr:colOff>488329</xdr:colOff>
      <xdr:row>20</xdr:row>
      <xdr:rowOff>6075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Mürekkep 6">
              <a:extLst>
                <a:ext uri="{FF2B5EF4-FFF2-40B4-BE49-F238E27FC236}">
                  <a16:creationId xmlns:a16="http://schemas.microsoft.com/office/drawing/2014/main" id="{F54C57F5-7111-ED83-A8B0-4D3A1D7D7F73}"/>
                </a:ext>
              </a:extLst>
            </xdr14:cNvPr>
            <xdr14:cNvContentPartPr/>
          </xdr14:nvContentPartPr>
          <xdr14:nvPr macro=""/>
          <xdr14:xfrm>
            <a:off x="20169000" y="5250454"/>
            <a:ext cx="360" cy="360"/>
          </xdr14:xfrm>
        </xdr:contentPart>
      </mc:Choice>
      <mc:Fallback xmlns="">
        <xdr:pic>
          <xdr:nvPicPr>
            <xdr:cNvPr id="7" name="Mürekkep 6">
              <a:extLst>
                <a:ext uri="{FF2B5EF4-FFF2-40B4-BE49-F238E27FC236}">
                  <a16:creationId xmlns:a16="http://schemas.microsoft.com/office/drawing/2014/main" id="{F54C57F5-7111-ED83-A8B0-4D3A1D7D7F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162880" y="524433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20:08:21.6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17C0-D926-4A5B-92B9-11FDC98E7976}">
  <dimension ref="A3:Z62"/>
  <sheetViews>
    <sheetView tabSelected="1" topLeftCell="A3" zoomScale="80" zoomScaleNormal="80" workbookViewId="0">
      <selection activeCell="H27" sqref="H27"/>
    </sheetView>
  </sheetViews>
  <sheetFormatPr defaultRowHeight="15.75" x14ac:dyDescent="0.25"/>
  <cols>
    <col min="2" max="2" width="18.25" customWidth="1"/>
    <col min="3" max="4" width="17.75" bestFit="1" customWidth="1"/>
    <col min="5" max="5" width="19" bestFit="1" customWidth="1"/>
    <col min="6" max="6" width="16.75" customWidth="1"/>
    <col min="7" max="7" width="14.75" bestFit="1" customWidth="1"/>
    <col min="8" max="8" width="17.75" bestFit="1" customWidth="1"/>
    <col min="9" max="10" width="16.25" bestFit="1" customWidth="1"/>
    <col min="11" max="11" width="19.625" bestFit="1" customWidth="1"/>
    <col min="12" max="12" width="15.625" customWidth="1"/>
    <col min="13" max="13" width="13.375" bestFit="1" customWidth="1"/>
    <col min="14" max="15" width="13.375" customWidth="1"/>
    <col min="16" max="16" width="12.375" bestFit="1" customWidth="1"/>
    <col min="17" max="17" width="11.25" bestFit="1" customWidth="1"/>
    <col min="18" max="18" width="10.125" bestFit="1" customWidth="1"/>
    <col min="19" max="19" width="10.75" bestFit="1" customWidth="1"/>
    <col min="20" max="20" width="13.875" bestFit="1" customWidth="1"/>
    <col min="21" max="22" width="12.375" bestFit="1" customWidth="1"/>
    <col min="23" max="23" width="16" customWidth="1"/>
    <col min="24" max="24" width="12.375" bestFit="1" customWidth="1"/>
    <col min="25" max="25" width="16" customWidth="1"/>
    <col min="26" max="26" width="12.375" bestFit="1" customWidth="1"/>
  </cols>
  <sheetData>
    <row r="3" spans="2:26" s="7" customFormat="1" ht="45.6" customHeight="1" x14ac:dyDescent="0.25">
      <c r="C3" s="7" t="s">
        <v>59</v>
      </c>
      <c r="D3" s="7" t="s">
        <v>71</v>
      </c>
      <c r="E3" s="7" t="s">
        <v>89</v>
      </c>
      <c r="F3" s="7" t="s">
        <v>95</v>
      </c>
      <c r="H3" s="7" t="s">
        <v>117</v>
      </c>
      <c r="I3" s="7" t="s">
        <v>132</v>
      </c>
      <c r="J3" s="7" t="s">
        <v>133</v>
      </c>
      <c r="K3" s="7" t="s">
        <v>134</v>
      </c>
      <c r="L3" s="7" t="s">
        <v>135</v>
      </c>
      <c r="M3" t="s">
        <v>162</v>
      </c>
      <c r="N3" t="s">
        <v>160</v>
      </c>
      <c r="O3" t="s">
        <v>122</v>
      </c>
      <c r="T3"/>
    </row>
    <row r="4" spans="2:26" x14ac:dyDescent="0.25">
      <c r="B4" t="s">
        <v>16</v>
      </c>
      <c r="C4" s="1">
        <f>+VLOOKUP(C$3,Bilanço!$A$1:$P$110,16,0)</f>
        <v>1264411168</v>
      </c>
      <c r="D4" s="1">
        <f>+VLOOKUP(D$3,Bilanço!$A$1:$P$110,16,0)</f>
        <v>4993565699</v>
      </c>
      <c r="E4" s="1">
        <f>+VLOOKUP(E$3,Bilanço!$A$1:$P$110,16,0)</f>
        <v>1185272503</v>
      </c>
      <c r="F4" s="1">
        <f>+VLOOKUP(F$3,Bilanço!$A$1:$P$110,16,0)</f>
        <v>1796442970</v>
      </c>
      <c r="H4" s="1">
        <f>+VLOOKUP(H$3,Bilanço!$A$1:$P$110,16,0)</f>
        <v>3276261394</v>
      </c>
      <c r="I4" s="1">
        <f>+VLOOKUP(I$3,'Gelir Tablosu (Dönemsel)'!$A:$R,16,0)</f>
        <v>898069650</v>
      </c>
      <c r="J4" s="1">
        <f>+VLOOKUP(J$3,'Gelir Tablosu (Dönemsel)'!$A:$R,16,0)*(-1)</f>
        <v>27251268</v>
      </c>
      <c r="K4" s="1">
        <f>+VLOOKUP(K$3,'Gelir Tablosu (Dönemsel)'!$A:$R,16,0)*(-1)</f>
        <v>0</v>
      </c>
      <c r="L4" s="1">
        <f>+VLOOKUP(L$3,'Gelir Tablosu (Dönemsel)'!$A:$R,16,0)*(-1)</f>
        <v>0</v>
      </c>
      <c r="M4" s="1">
        <f>+VLOOKUP(M$3,'Gelir Tablosu (Dönemsel)'!$A:$R,16,0)</f>
        <v>99009701</v>
      </c>
      <c r="N4" s="1">
        <f>+VLOOKUP(N$3,'Gelir Tablosu (Dönemsel)'!$A:$R,16,0)</f>
        <v>915768394</v>
      </c>
      <c r="O4" s="1">
        <f>+VLOOKUP(O$3,'Gelir Tablosu (Dönemsel)'!$A:$R,16,0)</f>
        <v>1988694905</v>
      </c>
      <c r="P4" s="1"/>
      <c r="Q4" s="1"/>
      <c r="R4" s="1"/>
      <c r="S4" s="1"/>
      <c r="T4" s="1"/>
      <c r="U4" s="1"/>
    </row>
    <row r="5" spans="2:26" x14ac:dyDescent="0.25">
      <c r="B5" t="s">
        <v>11</v>
      </c>
      <c r="C5" s="1">
        <f>+VLOOKUP(C$3,Bilanço!$A$1:$P$110,15,0)</f>
        <v>1536055433</v>
      </c>
      <c r="D5" s="1">
        <f>+VLOOKUP(D$3,Bilanço!$A$1:$P$110,15,0)</f>
        <v>5424734984</v>
      </c>
      <c r="E5" s="1">
        <f>+VLOOKUP(E$3,Bilanço!$A$1:$P$110,15,0)</f>
        <v>1111099276</v>
      </c>
      <c r="F5" s="1">
        <f>+VLOOKUP(F$3,Bilanço!$A$1:$P$110,15,0)</f>
        <v>1887522547</v>
      </c>
      <c r="H5" s="1">
        <f>+VLOOKUP(H$3,Bilanço!$A$1:$P$110,15,0)</f>
        <v>3962168594</v>
      </c>
      <c r="I5" s="1">
        <f>+VLOOKUP(I$3,'Gelir Tablosu (Dönemsel)'!$A:$R,15,0)</f>
        <v>1280819916</v>
      </c>
      <c r="J5" s="1">
        <f>+VLOOKUP(J$3,'Gelir Tablosu (Dönemsel)'!$A:$R,15,0)*(-1)</f>
        <v>35583045</v>
      </c>
      <c r="K5" s="1">
        <f>+VLOOKUP(K$3,'Gelir Tablosu (Dönemsel)'!$A:$R,15,0)*(-1)</f>
        <v>0</v>
      </c>
      <c r="L5" s="1">
        <f>+VLOOKUP(L$3,'Gelir Tablosu (Dönemsel)'!$A:$R,15,0)*(-1)</f>
        <v>0</v>
      </c>
      <c r="M5" s="1">
        <f>+VLOOKUP(M$3,'Gelir Tablosu (Dönemsel)'!$A:$R,15,0)</f>
        <v>148735912</v>
      </c>
      <c r="N5" s="1">
        <f>+VLOOKUP(N$3,'Gelir Tablosu (Dönemsel)'!$A:$R,15,0)</f>
        <v>1669264404</v>
      </c>
      <c r="O5" s="1">
        <f>+VLOOKUP(O$3,'Gelir Tablosu (Dönemsel)'!$A:$R,15,0)</f>
        <v>3217285731</v>
      </c>
      <c r="P5" s="1">
        <f t="shared" ref="P5:T6" si="0">+I5-I4</f>
        <v>382750266</v>
      </c>
      <c r="Q5" s="1">
        <f t="shared" si="0"/>
        <v>8331777</v>
      </c>
      <c r="R5" s="1">
        <f t="shared" si="0"/>
        <v>0</v>
      </c>
      <c r="S5" s="1">
        <f t="shared" si="0"/>
        <v>0</v>
      </c>
      <c r="T5" s="1">
        <f t="shared" si="0"/>
        <v>49726211</v>
      </c>
      <c r="U5" s="1">
        <f t="shared" ref="U5:U6" si="1">+P5-Q5-R5-S5+T5</f>
        <v>424144700</v>
      </c>
      <c r="W5" s="1">
        <f>+N5-N4</f>
        <v>753496010</v>
      </c>
      <c r="Y5" s="1">
        <f>+O5-O4</f>
        <v>1228590826</v>
      </c>
    </row>
    <row r="6" spans="2:26" x14ac:dyDescent="0.25">
      <c r="B6" t="s">
        <v>10</v>
      </c>
      <c r="C6" s="1">
        <f>+VLOOKUP(C$3,Bilanço!$A$1:$N$110,14,0)</f>
        <v>6741396739.1635666</v>
      </c>
      <c r="D6" s="1">
        <f>+VLOOKUP(D$3,Bilanço!$A$1:$N$110,14,0)</f>
        <v>25554079630.581333</v>
      </c>
      <c r="E6" s="1">
        <f>+VLOOKUP(E$3,Bilanço!$A$1:$N$110,14,0)</f>
        <v>3863897869.4482574</v>
      </c>
      <c r="F6" s="1">
        <f>+VLOOKUP(F$3,Bilanço!$A$1:$N$110,14,0)</f>
        <v>6088309338.7068663</v>
      </c>
      <c r="H6" s="1">
        <f>+VLOOKUP(H$3,Bilanço!$A$1:$N$110,14,0)</f>
        <v>22343269161.589771</v>
      </c>
      <c r="I6" s="1">
        <f>+VLOOKUP(I$3,'Gelir Tablosu (Dönemsel)'!$A:$R,14,0)</f>
        <v>7383402341.4164515</v>
      </c>
      <c r="J6" s="1">
        <f>+VLOOKUP(J$3,'Gelir Tablosu (Dönemsel)'!$A:$R,14,0)*(-1)</f>
        <v>232392643.60235667</v>
      </c>
      <c r="K6" s="1">
        <f>+VLOOKUP(K$3,'Gelir Tablosu (Dönemsel)'!$A:$R,14,0)*(-1)</f>
        <v>0</v>
      </c>
      <c r="L6" s="1">
        <f>+VLOOKUP(L$3,'Gelir Tablosu (Dönemsel)'!$A:$R,14,0)*(-1)</f>
        <v>0</v>
      </c>
      <c r="M6" s="1">
        <f>+VLOOKUP(M$3,'Gelir Tablosu (Dönemsel)'!$A:$R,14,0)</f>
        <v>909800296.17960274</v>
      </c>
      <c r="N6" s="1">
        <f>+VLOOKUP(N$3,'Gelir Tablosu (Dönemsel)'!$A:$R,14,0)</f>
        <v>4928598703.0293427</v>
      </c>
      <c r="O6" s="1">
        <f>+VLOOKUP(O$3,'Gelir Tablosu (Dönemsel)'!$A:$R,14,0)</f>
        <v>21543001925.851803</v>
      </c>
      <c r="P6" s="1">
        <f t="shared" si="0"/>
        <v>6102582425.4164515</v>
      </c>
      <c r="Q6" s="1">
        <f t="shared" si="0"/>
        <v>196809598.60235667</v>
      </c>
      <c r="R6" s="1">
        <f t="shared" si="0"/>
        <v>0</v>
      </c>
      <c r="S6" s="1">
        <f t="shared" si="0"/>
        <v>0</v>
      </c>
      <c r="T6" s="1">
        <f t="shared" si="0"/>
        <v>761064384.17960274</v>
      </c>
      <c r="U6" s="1">
        <f t="shared" si="1"/>
        <v>6666837210.9936972</v>
      </c>
      <c r="W6" s="1">
        <f>+N6-N5</f>
        <v>3259334299.0293427</v>
      </c>
      <c r="Y6" s="1">
        <f>+O6-O5</f>
        <v>18325716194.851803</v>
      </c>
    </row>
    <row r="7" spans="2:26" x14ac:dyDescent="0.25">
      <c r="B7" t="s">
        <v>9</v>
      </c>
      <c r="C7" s="1">
        <f>+VLOOKUP(C$3,Bilanço!$A$1:$N$110,13,0)</f>
        <v>3577129340</v>
      </c>
      <c r="D7" s="1">
        <f>+VLOOKUP(D$3,Bilanço!$A$1:$N$110,13,0)</f>
        <v>5635702198</v>
      </c>
      <c r="E7" s="1">
        <f>+VLOOKUP(E$3,Bilanço!$A$1:$N$110,13,0)</f>
        <v>2444994629</v>
      </c>
      <c r="F7" s="1">
        <f>+VLOOKUP(F$3,Bilanço!$A$1:$N$110,13,0)</f>
        <v>2055937598</v>
      </c>
      <c r="H7" s="1">
        <f>+VLOOKUP(H$3,Bilanço!$A$1:$N$110,13,0)</f>
        <v>4711899311</v>
      </c>
      <c r="I7" s="1">
        <f>+VLOOKUP(I$3,'Gelir Tablosu (Dönemsel)'!$A:$R,13,0)</f>
        <v>712690361.7634449</v>
      </c>
      <c r="J7" s="1">
        <f>+VLOOKUP(J$3,'Gelir Tablosu (Dönemsel)'!$A:$R,13,0)*(-1)</f>
        <v>194191150.18806618</v>
      </c>
      <c r="K7" s="1">
        <f>+VLOOKUP(K$3,'Gelir Tablosu (Dönemsel)'!$A:$R,13,0)*(-1)</f>
        <v>3660900.7844297183</v>
      </c>
      <c r="L7" s="1">
        <f>+VLOOKUP(L$3,'Gelir Tablosu (Dönemsel)'!$A:$R,13,0)*(-1)</f>
        <v>0</v>
      </c>
      <c r="M7" s="1">
        <f>+VLOOKUP(M$3,'Gelir Tablosu (Dönemsel)'!$A:$R,13,0)</f>
        <v>87411756.521596476</v>
      </c>
      <c r="N7" s="1">
        <f>+VLOOKUP(N$3,'Gelir Tablosu (Dönemsel)'!$A:$R,13,0)</f>
        <v>741652873.41528225</v>
      </c>
      <c r="O7" s="1">
        <f>+VLOOKUP(O$3,'Gelir Tablosu (Dönemsel)'!$A:$R,13,0)</f>
        <v>3438631376.8721766</v>
      </c>
      <c r="P7" s="10">
        <f>+I7</f>
        <v>712690361.7634449</v>
      </c>
      <c r="Q7" s="10">
        <f>+J7</f>
        <v>194191150.18806618</v>
      </c>
      <c r="R7" s="10">
        <f>+K7</f>
        <v>3660900.7844297183</v>
      </c>
      <c r="S7" s="10">
        <f>+L7</f>
        <v>0</v>
      </c>
      <c r="T7" s="10">
        <f>+M7</f>
        <v>87411756.521596476</v>
      </c>
      <c r="U7" s="1">
        <f t="shared" ref="U7:U17" si="2">+P7-Q7-R7-S7+T7</f>
        <v>602250067.31254542</v>
      </c>
      <c r="W7" s="10">
        <f>+N7</f>
        <v>741652873.41528225</v>
      </c>
      <c r="Y7" s="10">
        <f>+O7</f>
        <v>3438631376.8721766</v>
      </c>
    </row>
    <row r="8" spans="2:26" x14ac:dyDescent="0.25">
      <c r="B8" s="4" t="s">
        <v>8</v>
      </c>
      <c r="C8" s="5">
        <f>+VLOOKUP(C$3,Bilanço!$A$1:$N$110,12,0)</f>
        <v>3822427951</v>
      </c>
      <c r="D8" s="5">
        <f>+VLOOKUP(D$3,Bilanço!$A$1:$N$110,12,0)</f>
        <v>6020645881</v>
      </c>
      <c r="E8" s="5">
        <f>+VLOOKUP(E$3,Bilanço!$A$1:$N$110,12,0)</f>
        <v>2927392677</v>
      </c>
      <c r="F8" s="5">
        <f>+VLOOKUP(F$3,Bilanço!$A$1:$N$110,12,0)</f>
        <v>2602935680</v>
      </c>
      <c r="H8" s="5">
        <f>+VLOOKUP(H$3,Bilanço!$A$1:$N$110,12,0)</f>
        <v>4312745475</v>
      </c>
      <c r="I8" s="5">
        <f>+VLOOKUP(I$3,'Gelir Tablosu (Dönemsel)'!$A:$R,12,0)</f>
        <v>1229960607.4231555</v>
      </c>
      <c r="J8" s="5">
        <f>+VLOOKUP(J$3,'Gelir Tablosu (Dönemsel)'!$A:$R,12,0)*(-1)</f>
        <v>290476701.50159317</v>
      </c>
      <c r="K8" s="5">
        <f>+VLOOKUP(K$3,'Gelir Tablosu (Dönemsel)'!$A:$R,12,0)*(-1)</f>
        <v>16330442.242242238</v>
      </c>
      <c r="L8" s="5">
        <f>+VLOOKUP(L$3,'Gelir Tablosu (Dönemsel)'!$A:$R,12,0)*(-1)</f>
        <v>0</v>
      </c>
      <c r="M8" s="1">
        <f>+VLOOKUP(M$3,'Gelir Tablosu (Dönemsel)'!$A:$R,12,0)</f>
        <v>484606534.06804234</v>
      </c>
      <c r="N8" s="1">
        <f>+VLOOKUP(N$3,'Gelir Tablosu (Dönemsel)'!$A:$R,12,0)</f>
        <v>859589006.96098816</v>
      </c>
      <c r="O8" s="1">
        <f>+VLOOKUP(O$3,'Gelir Tablosu (Dönemsel)'!$A:$R,12,0)</f>
        <v>6008789507.9164391</v>
      </c>
      <c r="P8" s="1">
        <f t="shared" ref="P8:T10" si="3">+I8-I7</f>
        <v>517270245.65971065</v>
      </c>
      <c r="Q8" s="1">
        <f t="shared" si="3"/>
        <v>96285551.313526988</v>
      </c>
      <c r="R8" s="1">
        <f t="shared" si="3"/>
        <v>12669541.45781252</v>
      </c>
      <c r="S8" s="1">
        <f t="shared" si="3"/>
        <v>0</v>
      </c>
      <c r="T8" s="1">
        <f t="shared" si="3"/>
        <v>397194777.54644585</v>
      </c>
      <c r="U8" s="1">
        <f t="shared" si="2"/>
        <v>805509930.43481696</v>
      </c>
      <c r="V8" s="1">
        <f>+SUM(U5:U8)</f>
        <v>8498741908.7410603</v>
      </c>
      <c r="W8" s="1">
        <f>+N8-N7</f>
        <v>117936133.54570591</v>
      </c>
      <c r="X8" s="1">
        <f>+SUM(W5:W8)</f>
        <v>4872419315.9903307</v>
      </c>
      <c r="Y8" s="1">
        <f>+O8-O7</f>
        <v>2570158131.0442624</v>
      </c>
      <c r="Z8" s="1">
        <f>+SUM(Y5:Y8)</f>
        <v>25563096528.768242</v>
      </c>
    </row>
    <row r="9" spans="2:26" x14ac:dyDescent="0.25">
      <c r="B9" s="4" t="s">
        <v>7</v>
      </c>
      <c r="C9" s="5">
        <f>+VLOOKUP(C$3,Bilanço!$A$1:$N$110,11,0)</f>
        <v>4123927185</v>
      </c>
      <c r="D9" s="5">
        <f>+VLOOKUP(D$3,Bilanço!$A$1:$N$110,11,0)</f>
        <v>6144718013</v>
      </c>
      <c r="E9" s="5">
        <f>+VLOOKUP(E$3,Bilanço!$A$1:$N$110,11,0)</f>
        <v>2149524884</v>
      </c>
      <c r="F9" s="5">
        <f>+VLOOKUP(F$3,Bilanço!$A$1:$N$110,11,0)</f>
        <v>198176948</v>
      </c>
      <c r="H9" s="5">
        <f>+VLOOKUP(H$3,Bilanço!$A$1:$N$110,11,0)</f>
        <v>7920943366</v>
      </c>
      <c r="I9" s="5">
        <f>+VLOOKUP(I$3,'Gelir Tablosu (Dönemsel)'!$A:$R,11,0)</f>
        <v>1885925767.2793608</v>
      </c>
      <c r="J9" s="5">
        <f>+VLOOKUP(J$3,'Gelir Tablosu (Dönemsel)'!$A:$R,11,0)*(-1)</f>
        <v>577218219.52729452</v>
      </c>
      <c r="K9" s="5">
        <f>+VLOOKUP(K$3,'Gelir Tablosu (Dönemsel)'!$A:$R,11,0)*(-1)</f>
        <v>54144636.61005637</v>
      </c>
      <c r="L9" s="5">
        <f>+VLOOKUP(L$3,'Gelir Tablosu (Dönemsel)'!$A:$R,11,0)*(-1)</f>
        <v>0</v>
      </c>
      <c r="M9" s="1">
        <f>+VLOOKUP(M$3,'Gelir Tablosu (Dönemsel)'!$A:$R,11,0)</f>
        <v>981438261.34509683</v>
      </c>
      <c r="N9" s="1">
        <f>+VLOOKUP(N$3,'Gelir Tablosu (Dönemsel)'!$A:$R,11,0)</f>
        <v>1619689033.5099878</v>
      </c>
      <c r="O9" s="1">
        <f>+VLOOKUP(O$3,'Gelir Tablosu (Dönemsel)'!$A:$R,11,0)</f>
        <v>8617152699.946331</v>
      </c>
      <c r="P9" s="1">
        <f t="shared" si="3"/>
        <v>655965159.85620522</v>
      </c>
      <c r="Q9" s="1">
        <f t="shared" si="3"/>
        <v>286741518.02570134</v>
      </c>
      <c r="R9" s="1">
        <f t="shared" si="3"/>
        <v>37814194.367814131</v>
      </c>
      <c r="S9" s="1">
        <f t="shared" si="3"/>
        <v>0</v>
      </c>
      <c r="T9" s="1">
        <f t="shared" si="3"/>
        <v>496831727.27705449</v>
      </c>
      <c r="U9" s="1">
        <f t="shared" si="2"/>
        <v>828241174.73974419</v>
      </c>
      <c r="V9" s="1">
        <f t="shared" ref="V9:X17" si="4">+SUM(U6:U9)</f>
        <v>8902838383.4808044</v>
      </c>
      <c r="W9" s="1">
        <f>+N9-N8</f>
        <v>760100026.54899967</v>
      </c>
      <c r="X9" s="1">
        <f t="shared" si="4"/>
        <v>4879023332.5393305</v>
      </c>
      <c r="Y9" s="1">
        <f>+O9-O8</f>
        <v>2608363192.029892</v>
      </c>
      <c r="Z9" s="1">
        <f t="shared" ref="Z9" si="5">+SUM(Y6:Y9)</f>
        <v>26942868894.798134</v>
      </c>
    </row>
    <row r="10" spans="2:26" x14ac:dyDescent="0.25">
      <c r="B10" s="4" t="s">
        <v>6</v>
      </c>
      <c r="C10" s="5">
        <f>+VLOOKUP(C$3,Bilanço!$A$1:$N$110,10,0)</f>
        <v>8015721662.0951557</v>
      </c>
      <c r="D10" s="5">
        <f>+VLOOKUP(D$3,Bilanço!$A$1:$N$110,10,0)</f>
        <v>25553471026.23312</v>
      </c>
      <c r="E10" s="5">
        <f>+VLOOKUP(E$3,Bilanço!$A$1:$N$110,10,0)</f>
        <v>1543644053.0586131</v>
      </c>
      <c r="F10" s="5">
        <f>+VLOOKUP(F$3,Bilanço!$A$1:$N$110,10,0)</f>
        <v>223608817.44889086</v>
      </c>
      <c r="H10" s="5">
        <f>+VLOOKUP(H$3,Bilanço!$A$1:$N$110,10,0)</f>
        <v>31801939817.820778</v>
      </c>
      <c r="I10" s="5">
        <f>+VLOOKUP(I$3,'Gelir Tablosu (Dönemsel)'!$A:$R,10,0)</f>
        <v>1833910763.8539307</v>
      </c>
      <c r="J10" s="5">
        <f>+VLOOKUP(J$3,'Gelir Tablosu (Dönemsel)'!$A:$R,10,0)*(-1)</f>
        <v>211136361.047941</v>
      </c>
      <c r="K10" s="5">
        <f>+VLOOKUP(K$3,'Gelir Tablosu (Dönemsel)'!$A:$R,10,0)*(-1)</f>
        <v>138245063.50302285</v>
      </c>
      <c r="L10" s="5">
        <f>+VLOOKUP(L$3,'Gelir Tablosu (Dönemsel)'!$A:$R,10,0)*(-1)</f>
        <v>0</v>
      </c>
      <c r="M10" s="1">
        <f>+VLOOKUP(M$3,'Gelir Tablosu (Dönemsel)'!$A:$R,10,0)</f>
        <v>1507577827.7684195</v>
      </c>
      <c r="N10" s="1">
        <f>+VLOOKUP(N$3,'Gelir Tablosu (Dönemsel)'!$A:$R,10,0)</f>
        <v>844292129.57768345</v>
      </c>
      <c r="O10" s="1">
        <f>+VLOOKUP(O$3,'Gelir Tablosu (Dönemsel)'!$A:$R,10,0)</f>
        <v>11019318819.531408</v>
      </c>
      <c r="P10" s="1">
        <f t="shared" si="3"/>
        <v>-52015003.425430059</v>
      </c>
      <c r="Q10" s="1">
        <f t="shared" si="3"/>
        <v>-366081858.47935355</v>
      </c>
      <c r="R10" s="1">
        <f t="shared" si="3"/>
        <v>84100426.892966479</v>
      </c>
      <c r="S10" s="1">
        <f t="shared" si="3"/>
        <v>0</v>
      </c>
      <c r="T10" s="1">
        <f t="shared" si="3"/>
        <v>526139566.42332268</v>
      </c>
      <c r="U10" s="1">
        <f t="shared" si="2"/>
        <v>756105994.58427966</v>
      </c>
      <c r="V10" s="1">
        <f t="shared" si="4"/>
        <v>2992107167.0713859</v>
      </c>
      <c r="W10" s="1">
        <f>+N10-N9</f>
        <v>-775396903.93230438</v>
      </c>
      <c r="X10" s="1">
        <f t="shared" si="4"/>
        <v>844292129.57768345</v>
      </c>
      <c r="Y10" s="1">
        <f>+O10-O9</f>
        <v>2402166119.5850773</v>
      </c>
      <c r="Z10" s="1">
        <f t="shared" ref="Z10" si="6">+SUM(Y7:Y10)</f>
        <v>11019318819.531408</v>
      </c>
    </row>
    <row r="11" spans="2:26" x14ac:dyDescent="0.25">
      <c r="B11" s="4" t="s">
        <v>5</v>
      </c>
      <c r="C11" s="5">
        <f>+VLOOKUP(C$3,Bilanço!$A$1:$N$110,9,0)</f>
        <v>7990401181.4956484</v>
      </c>
      <c r="D11" s="5">
        <f>+VLOOKUP(D$3,Bilanço!$A$1:$N$110,9,0)</f>
        <v>24446086011.250427</v>
      </c>
      <c r="E11" s="5">
        <f>+VLOOKUP(E$3,Bilanço!$A$1:$N$110,9,0)</f>
        <v>1288859214.1271811</v>
      </c>
      <c r="F11" s="5">
        <f>+VLOOKUP(F$3,Bilanço!$A$1:$N$110,9,0)</f>
        <v>116900417.59415649</v>
      </c>
      <c r="H11" s="5">
        <f>+VLOOKUP(H$3,Bilanço!$A$1:$N$110,9,0)</f>
        <v>31030727561.024734</v>
      </c>
      <c r="I11" s="5">
        <f>+VLOOKUP(I$3,'Gelir Tablosu (Dönemsel)'!$A:$R,9,0)</f>
        <v>359042185.29337806</v>
      </c>
      <c r="J11" s="5">
        <f>+VLOOKUP(J$3,'Gelir Tablosu (Dönemsel)'!$A:$R,9,0)*(-1)</f>
        <v>170673954.48094133</v>
      </c>
      <c r="K11" s="5">
        <f>+VLOOKUP(K$3,'Gelir Tablosu (Dönemsel)'!$A:$R,9,0)*(-1)</f>
        <v>42470788.347809985</v>
      </c>
      <c r="L11" s="5">
        <f>+VLOOKUP(L$3,'Gelir Tablosu (Dönemsel)'!$A:$R,9,0)*(-1)</f>
        <v>0</v>
      </c>
      <c r="M11" s="1">
        <f>+VLOOKUP(M$3,'Gelir Tablosu (Dönemsel)'!$A:$R,9,0)</f>
        <v>654367426.88896978</v>
      </c>
      <c r="N11" s="1">
        <f>+VLOOKUP(N$3,'Gelir Tablosu (Dönemsel)'!$A:$R,9,0)</f>
        <v>-873041903.51646304</v>
      </c>
      <c r="O11" s="1">
        <f>+VLOOKUP(O$3,'Gelir Tablosu (Dönemsel)'!$A:$R,9,0)</f>
        <v>2058051972.239393</v>
      </c>
      <c r="P11" s="10">
        <f>+I11</f>
        <v>359042185.29337806</v>
      </c>
      <c r="Q11" s="10">
        <f>+J11</f>
        <v>170673954.48094133</v>
      </c>
      <c r="R11" s="10">
        <f>+K11</f>
        <v>42470788.347809985</v>
      </c>
      <c r="S11" s="10">
        <f>+L11</f>
        <v>0</v>
      </c>
      <c r="T11" s="10">
        <f>+M11</f>
        <v>654367426.88896978</v>
      </c>
      <c r="U11" s="1">
        <f t="shared" si="2"/>
        <v>800264869.35359645</v>
      </c>
      <c r="V11" s="1">
        <f t="shared" si="4"/>
        <v>3190121969.1124372</v>
      </c>
      <c r="W11" s="10">
        <f>+N11</f>
        <v>-873041903.51646304</v>
      </c>
      <c r="X11" s="1">
        <f t="shared" si="4"/>
        <v>-770402647.35406184</v>
      </c>
      <c r="Y11" s="10">
        <f>+O11</f>
        <v>2058051972.239393</v>
      </c>
      <c r="Z11" s="1">
        <f t="shared" ref="Z11" si="7">+SUM(Y8:Y11)</f>
        <v>9638739414.8986244</v>
      </c>
    </row>
    <row r="12" spans="2:26" x14ac:dyDescent="0.25">
      <c r="B12" s="4" t="s">
        <v>4</v>
      </c>
      <c r="C12" s="5">
        <f>+VLOOKUP(C$3,Bilanço!$A$1:$N$110,8,0)</f>
        <v>8332061419.8307028</v>
      </c>
      <c r="D12" s="5">
        <f>+VLOOKUP(D$3,Bilanço!$A$1:$N$110,8,0)</f>
        <v>26579592691.696503</v>
      </c>
      <c r="E12" s="5">
        <f>+VLOOKUP(E$3,Bilanço!$A$1:$N$110,8,0)</f>
        <v>4149555298.131619</v>
      </c>
      <c r="F12" s="5">
        <f>+VLOOKUP(F$3,Bilanço!$A$1:$N$110,8,0)</f>
        <v>102634050.78398994</v>
      </c>
      <c r="H12" s="5">
        <f>+VLOOKUP(H$3,Bilanço!$A$1:$N$110,8,0)</f>
        <v>30659464762.611603</v>
      </c>
      <c r="I12" s="5">
        <f>+VLOOKUP(I$3,'Gelir Tablosu (Dönemsel)'!$A:$R,8,0)</f>
        <v>524431418.04650766</v>
      </c>
      <c r="J12" s="5">
        <f>+VLOOKUP(J$3,'Gelir Tablosu (Dönemsel)'!$A:$R,8,0)*(-1)</f>
        <v>407767671.66484892</v>
      </c>
      <c r="K12" s="5">
        <f>+VLOOKUP(K$3,'Gelir Tablosu (Dönemsel)'!$A:$R,8,0)*(-1)</f>
        <v>50564034.762429878</v>
      </c>
      <c r="L12" s="5">
        <f>+VLOOKUP(L$3,'Gelir Tablosu (Dönemsel)'!$A:$R,8,0)*(-1)</f>
        <v>0</v>
      </c>
      <c r="M12" s="1">
        <f>+VLOOKUP(M$3,'Gelir Tablosu (Dönemsel)'!$A:$R,8,0)</f>
        <v>1107826602.7695463</v>
      </c>
      <c r="N12" s="1">
        <f>+VLOOKUP(N$3,'Gelir Tablosu (Dönemsel)'!$A:$R,8,0)</f>
        <v>-1133821533.5611575</v>
      </c>
      <c r="O12" s="1">
        <f>+VLOOKUP(O$3,'Gelir Tablosu (Dönemsel)'!$A:$R,8,0)</f>
        <v>3424255104.2091074</v>
      </c>
      <c r="P12" s="1">
        <f t="shared" ref="P12:T14" si="8">+I12-I11</f>
        <v>165389232.7531296</v>
      </c>
      <c r="Q12" s="1">
        <f t="shared" si="8"/>
        <v>237093717.1839076</v>
      </c>
      <c r="R12" s="1">
        <f t="shared" si="8"/>
        <v>8093246.4146198928</v>
      </c>
      <c r="S12" s="1">
        <f t="shared" si="8"/>
        <v>0</v>
      </c>
      <c r="T12" s="1">
        <f t="shared" si="8"/>
        <v>453459175.88057649</v>
      </c>
      <c r="U12" s="1">
        <f t="shared" si="2"/>
        <v>373661445.0351786</v>
      </c>
      <c r="V12" s="1">
        <f t="shared" si="4"/>
        <v>2758273483.7127986</v>
      </c>
      <c r="W12" s="1">
        <f>+N12-N11</f>
        <v>-260779630.04469442</v>
      </c>
      <c r="X12" s="1">
        <f t="shared" si="4"/>
        <v>-1149118410.9444623</v>
      </c>
      <c r="Y12" s="1">
        <f>+O12-O11</f>
        <v>1366203131.9697144</v>
      </c>
      <c r="Z12" s="1">
        <f t="shared" ref="Z12" si="9">+SUM(Y9:Y12)</f>
        <v>8434784415.8240767</v>
      </c>
    </row>
    <row r="13" spans="2:26" x14ac:dyDescent="0.25">
      <c r="B13" s="4" t="s">
        <v>3</v>
      </c>
      <c r="C13" s="5">
        <f>+VLOOKUP(C$3,Bilanço!$A$1:$N$110,7,0)</f>
        <v>7233132134.8410196</v>
      </c>
      <c r="D13" s="5">
        <f>+VLOOKUP(D$3,Bilanço!$A$1:$N$110,7,0)</f>
        <v>26532141133.481831</v>
      </c>
      <c r="E13" s="5">
        <f>+VLOOKUP(E$3,Bilanço!$A$1:$N$110,7,0)</f>
        <v>4039362501.0576925</v>
      </c>
      <c r="F13" s="5">
        <f>+VLOOKUP(F$3,Bilanço!$A$1:$N$110,7,0)</f>
        <v>157577313.2313512</v>
      </c>
      <c r="H13" s="5">
        <f>+VLOOKUP(H$3,Bilanço!$A$1:$N$110,7,0)</f>
        <v>29568333454.033806</v>
      </c>
      <c r="I13" s="5">
        <f>+VLOOKUP(I$3,'Gelir Tablosu (Dönemsel)'!$A:$R,7,0)</f>
        <v>1431883106.4412987</v>
      </c>
      <c r="J13" s="5">
        <f>+VLOOKUP(J$3,'Gelir Tablosu (Dönemsel)'!$A:$R,7,0)*(-1)</f>
        <v>646238988.23683929</v>
      </c>
      <c r="K13" s="5">
        <f>+VLOOKUP(K$3,'Gelir Tablosu (Dönemsel)'!$A:$R,7,0)*(-1)</f>
        <v>86850691.902055696</v>
      </c>
      <c r="L13" s="5">
        <f>+VLOOKUP(L$3,'Gelir Tablosu (Dönemsel)'!$A:$R,7,0)*(-1)</f>
        <v>0</v>
      </c>
      <c r="M13" s="1">
        <f>+VLOOKUP(M$3,'Gelir Tablosu (Dönemsel)'!$A:$R,7,0)</f>
        <v>1575407194.5265501</v>
      </c>
      <c r="N13" s="1">
        <f>+VLOOKUP(N$3,'Gelir Tablosu (Dönemsel)'!$A:$R,7,0)</f>
        <v>-1202968167.3467906</v>
      </c>
      <c r="O13" s="1">
        <f>+VLOOKUP(O$3,'Gelir Tablosu (Dönemsel)'!$A:$R,7,0)</f>
        <v>5792999936.9220247</v>
      </c>
      <c r="P13" s="1">
        <f t="shared" si="8"/>
        <v>907451688.39479113</v>
      </c>
      <c r="Q13" s="1">
        <f t="shared" si="8"/>
        <v>238471316.57199037</v>
      </c>
      <c r="R13" s="1">
        <f t="shared" si="8"/>
        <v>36286657.139625818</v>
      </c>
      <c r="S13" s="1">
        <f t="shared" si="8"/>
        <v>0</v>
      </c>
      <c r="T13" s="1">
        <f t="shared" si="8"/>
        <v>467580591.75700378</v>
      </c>
      <c r="U13" s="1">
        <f t="shared" si="2"/>
        <v>1100274306.4401789</v>
      </c>
      <c r="V13" s="1">
        <f t="shared" si="4"/>
        <v>3030306615.4132338</v>
      </c>
      <c r="W13" s="1">
        <f>+N13-N12</f>
        <v>-69146633.785633087</v>
      </c>
      <c r="X13" s="1">
        <f t="shared" si="4"/>
        <v>-1978365071.2790949</v>
      </c>
      <c r="Y13" s="1">
        <f>+O13-O12</f>
        <v>2368744832.7129173</v>
      </c>
      <c r="Z13" s="1">
        <f t="shared" ref="Z13" si="10">+SUM(Y10:Y13)</f>
        <v>8195166056.507102</v>
      </c>
    </row>
    <row r="14" spans="2:26" x14ac:dyDescent="0.25">
      <c r="B14" s="4" t="s">
        <v>2</v>
      </c>
      <c r="C14" s="5">
        <f>+VLOOKUP(C$3,Bilanço!$A$1:$N$110,6,0)</f>
        <v>6991364688</v>
      </c>
      <c r="D14" s="5">
        <f>+VLOOKUP(D$3,Bilanço!$A$1:$N$110,6,0)</f>
        <v>26819209735</v>
      </c>
      <c r="E14" s="5">
        <f>+VLOOKUP(E$3,Bilanço!$A$1:$N$110,6,0)</f>
        <v>4181599888</v>
      </c>
      <c r="F14" s="5">
        <f>+VLOOKUP(F$3,Bilanço!$A$1:$N$110,6,0)</f>
        <v>120316414</v>
      </c>
      <c r="H14" s="5">
        <f>+VLOOKUP(H$3,Bilanço!$A$1:$N$110,6,0)</f>
        <v>29508658121</v>
      </c>
      <c r="I14" s="5">
        <f>+VLOOKUP(I$3,'Gelir Tablosu (Dönemsel)'!$A:$R,6,0)</f>
        <v>1320023576</v>
      </c>
      <c r="J14" s="5">
        <f>+VLOOKUP(J$3,'Gelir Tablosu (Dönemsel)'!$A:$R,6,0)*(-1)</f>
        <v>208471637</v>
      </c>
      <c r="K14" s="5">
        <f>+VLOOKUP(K$3,'Gelir Tablosu (Dönemsel)'!$A:$R,6,0)*(-1)</f>
        <v>122916073</v>
      </c>
      <c r="L14" s="5">
        <f>+VLOOKUP(L$3,'Gelir Tablosu (Dönemsel)'!$A:$R,6,0)*(-1)</f>
        <v>707204</v>
      </c>
      <c r="M14" s="1">
        <f>+VLOOKUP(M$3,'Gelir Tablosu (Dönemsel)'!$A:$R,6,0)</f>
        <v>1967312850</v>
      </c>
      <c r="N14" s="1">
        <f>+VLOOKUP(N$3,'Gelir Tablosu (Dönemsel)'!$A:$R,6,0)</f>
        <v>-1613206473</v>
      </c>
      <c r="O14" s="1">
        <f>+VLOOKUP(O$3,'Gelir Tablosu (Dönemsel)'!$A:$R,6,0)</f>
        <v>7989409873</v>
      </c>
      <c r="P14" s="1">
        <f t="shared" si="8"/>
        <v>-111859530.44129872</v>
      </c>
      <c r="Q14" s="1">
        <f t="shared" si="8"/>
        <v>-437767351.23683929</v>
      </c>
      <c r="R14" s="1">
        <f t="shared" si="8"/>
        <v>36065381.097944304</v>
      </c>
      <c r="S14" s="1">
        <f t="shared" si="8"/>
        <v>707204</v>
      </c>
      <c r="T14" s="1">
        <f t="shared" si="8"/>
        <v>391905655.47344995</v>
      </c>
      <c r="U14" s="1">
        <f t="shared" si="2"/>
        <v>681040891.17104626</v>
      </c>
      <c r="V14" s="1">
        <f t="shared" si="4"/>
        <v>2955241512</v>
      </c>
      <c r="W14" s="1">
        <f>+N14-N13</f>
        <v>-410238305.65320945</v>
      </c>
      <c r="X14" s="1">
        <f t="shared" si="4"/>
        <v>-1613206473</v>
      </c>
      <c r="Y14" s="1">
        <f>+O14-O13</f>
        <v>2196409936.0779753</v>
      </c>
      <c r="Z14" s="1">
        <f t="shared" ref="Z14" si="11">+SUM(Y11:Y14)</f>
        <v>7989409873</v>
      </c>
    </row>
    <row r="15" spans="2:26" x14ac:dyDescent="0.25">
      <c r="B15" s="4" t="s">
        <v>1</v>
      </c>
      <c r="C15" s="5">
        <f>+VLOOKUP(C$3,Bilanço!$A$1:$N$110,5,0)</f>
        <v>8536632538.9581957</v>
      </c>
      <c r="D15" s="5">
        <f>+VLOOKUP(D$3,Bilanço!$A$1:$N$110,5,0)</f>
        <v>27567605468.641735</v>
      </c>
      <c r="E15" s="5">
        <f>+VLOOKUP(E$3,Bilanço!$A$1:$N$110,5,0)</f>
        <v>2296535230.3492889</v>
      </c>
      <c r="F15" s="5">
        <f>+VLOOKUP(F$3,Bilanço!$A$1:$N$110,5,0)</f>
        <v>2578907142.5003366</v>
      </c>
      <c r="H15" s="5">
        <f>+VLOOKUP(H$3,Bilanço!$A$1:$N$110,5,0)</f>
        <v>31228795634.750309</v>
      </c>
      <c r="I15" s="5">
        <f>+VLOOKUP(I$3,'Gelir Tablosu (Dönemsel)'!$A:$R,5,0)</f>
        <v>52858507.721381657</v>
      </c>
      <c r="J15" s="5">
        <f>+VLOOKUP(J$3,'Gelir Tablosu (Dönemsel)'!$A:$R,5,0)*(-1)</f>
        <v>61811489.305277169</v>
      </c>
      <c r="K15" s="5">
        <f>+VLOOKUP(K$3,'Gelir Tablosu (Dönemsel)'!$A:$R,5,0)*(-1)</f>
        <v>3338284.7599140531</v>
      </c>
      <c r="L15" s="5">
        <f>+VLOOKUP(L$3,'Gelir Tablosu (Dönemsel)'!$A:$R,5,0)*(-1)</f>
        <v>0</v>
      </c>
      <c r="M15" s="1">
        <f>+VLOOKUP(M$3,'Gelir Tablosu (Dönemsel)'!$A:$R,5,0)</f>
        <v>647125506.23198366</v>
      </c>
      <c r="N15" s="1">
        <f>+VLOOKUP(N$3,'Gelir Tablosu (Dönemsel)'!$A:$R,5,0)</f>
        <v>-351748593.72225964</v>
      </c>
      <c r="O15" s="1">
        <f>+VLOOKUP(O$3,'Gelir Tablosu (Dönemsel)'!$A:$R,5,0)</f>
        <v>1161210752.1998422</v>
      </c>
      <c r="P15" s="10">
        <f>+I15</f>
        <v>52858507.721381657</v>
      </c>
      <c r="Q15" s="10">
        <f>+J15</f>
        <v>61811489.305277169</v>
      </c>
      <c r="R15" s="10">
        <f>+K15</f>
        <v>3338284.7599140531</v>
      </c>
      <c r="S15" s="10">
        <f>+L15</f>
        <v>0</v>
      </c>
      <c r="T15" s="10">
        <f>+M15</f>
        <v>647125506.23198366</v>
      </c>
      <c r="U15" s="1">
        <f t="shared" si="2"/>
        <v>634834239.88817406</v>
      </c>
      <c r="V15" s="1">
        <f t="shared" si="4"/>
        <v>2789810882.5345778</v>
      </c>
      <c r="W15" s="10">
        <f>+N15</f>
        <v>-351748593.72225964</v>
      </c>
      <c r="X15" s="1">
        <f t="shared" si="4"/>
        <v>-1091913163.2057967</v>
      </c>
      <c r="Y15" s="10">
        <f>+O15</f>
        <v>1161210752.1998422</v>
      </c>
      <c r="Z15" s="1">
        <f t="shared" ref="Z15" si="12">+SUM(Y12:Y15)</f>
        <v>7092568652.9604492</v>
      </c>
    </row>
    <row r="16" spans="2:26" x14ac:dyDescent="0.25">
      <c r="B16" s="4" t="s">
        <v>302</v>
      </c>
      <c r="C16" s="5">
        <f>+VLOOKUP(C$3,Bilanço!$A$1:$N$110,4,0)</f>
        <v>7142128356.3360538</v>
      </c>
      <c r="D16" s="5">
        <f>+VLOOKUP(D$3,Bilanço!$A$1:$N$110,4,0)</f>
        <v>27434415085.206135</v>
      </c>
      <c r="E16" s="5">
        <f>+VLOOKUP(E$3,Bilanço!$A$1:$N$110,4,0)</f>
        <v>2553079985.2885442</v>
      </c>
      <c r="F16" s="5">
        <f>+VLOOKUP(F$3,Bilanço!$A$1:$N$110,4,0)</f>
        <v>2573665168.1749167</v>
      </c>
      <c r="H16" s="5">
        <f>+VLOOKUP(H$3,Bilanço!$A$1:$N$110,4,0)</f>
        <v>29449798288.078724</v>
      </c>
      <c r="I16" s="5">
        <f>+VLOOKUP(I$3,'Gelir Tablosu (Dönemsel)'!$A:$R,4,0)</f>
        <v>178077357.50457031</v>
      </c>
      <c r="J16" s="5">
        <f>+VLOOKUP(J$3,'Gelir Tablosu (Dönemsel)'!$A:$R,4,0)*(-1)</f>
        <v>124812037.0727866</v>
      </c>
      <c r="K16" s="5">
        <f>+VLOOKUP(K$3,'Gelir Tablosu (Dönemsel)'!$A:$R,4,0)*(-1)</f>
        <v>8822702.8373747263</v>
      </c>
      <c r="L16" s="5">
        <f>+VLOOKUP(L$3,'Gelir Tablosu (Dönemsel)'!$A:$R,4,0)*(-1)</f>
        <v>0</v>
      </c>
      <c r="M16" s="1">
        <f>+VLOOKUP(M$3,'Gelir Tablosu (Dönemsel)'!$A:$R,4,0)</f>
        <v>1090656952.8596883</v>
      </c>
      <c r="N16" s="1">
        <f>+VLOOKUP(N$3,'Gelir Tablosu (Dönemsel)'!$A:$R,4,0)</f>
        <v>-2104635194.6036134</v>
      </c>
      <c r="O16" s="1">
        <f>+VLOOKUP(O$3,'Gelir Tablosu (Dönemsel)'!$A:$R,4,0)</f>
        <v>2862495015.9938445</v>
      </c>
      <c r="P16" s="1">
        <f t="shared" ref="P16:T18" si="13">+I16-I15</f>
        <v>125218849.78318864</v>
      </c>
      <c r="Q16" s="1">
        <f t="shared" si="13"/>
        <v>63000547.767509431</v>
      </c>
      <c r="R16" s="1">
        <f t="shared" si="13"/>
        <v>5484418.0774606727</v>
      </c>
      <c r="S16" s="1">
        <f t="shared" si="13"/>
        <v>0</v>
      </c>
      <c r="T16" s="1">
        <f t="shared" si="13"/>
        <v>443531446.62770462</v>
      </c>
      <c r="U16" s="1">
        <f t="shared" si="2"/>
        <v>500265330.56592315</v>
      </c>
      <c r="V16" s="1">
        <f t="shared" si="4"/>
        <v>2916414768.0653224</v>
      </c>
      <c r="W16" s="1">
        <f>+N16-N15</f>
        <v>-1752886600.8813539</v>
      </c>
      <c r="X16" s="1">
        <f t="shared" si="4"/>
        <v>-2584020134.0424562</v>
      </c>
      <c r="Y16" s="1">
        <f>+O16-O15</f>
        <v>1701284263.7940023</v>
      </c>
      <c r="Z16" s="1">
        <f t="shared" ref="Z16" si="14">+SUM(Y13:Y16)</f>
        <v>7427649784.7847376</v>
      </c>
    </row>
    <row r="17" spans="1:26" x14ac:dyDescent="0.25">
      <c r="B17" s="4" t="s">
        <v>304</v>
      </c>
      <c r="C17" s="5">
        <f>+VLOOKUP(C$3,Bilanço!$A$1:$N$110,3,0)</f>
        <v>5084087610.2415524</v>
      </c>
      <c r="D17" s="5">
        <f>+VLOOKUP(D$3,Bilanço!$A$1:$N$110,3,0)</f>
        <v>26811133594.702797</v>
      </c>
      <c r="E17" s="5">
        <f>+VLOOKUP(E$3,Bilanço!$A$1:$N$110,3,0)</f>
        <v>1745871480.301388</v>
      </c>
      <c r="F17" s="5">
        <f>+VLOOKUP(F$3,Bilanço!$A$1:$N$110,3,0)</f>
        <v>2516876828.1075692</v>
      </c>
      <c r="H17" s="5">
        <f>+VLOOKUP(H$3,Bilanço!$A$1:$N$110,3,0)</f>
        <v>27632472896.535389</v>
      </c>
      <c r="I17" s="5">
        <f>+VLOOKUP(I$3,'Gelir Tablosu (Dönemsel)'!$A:$R,3,0)</f>
        <v>342582606.03672463</v>
      </c>
      <c r="J17" s="5">
        <f>+VLOOKUP(J$3,'Gelir Tablosu (Dönemsel)'!$A:$R,3,0)*(-1)</f>
        <v>167416730.22744578</v>
      </c>
      <c r="K17" s="5">
        <f>+VLOOKUP(K$3,'Gelir Tablosu (Dönemsel)'!$A:$R,3,0)*(-1)</f>
        <v>12685459.736277997</v>
      </c>
      <c r="L17" s="5">
        <f>+VLOOKUP(L$3,'Gelir Tablosu (Dönemsel)'!$A:$R,3,0)*(-1)</f>
        <v>0</v>
      </c>
      <c r="M17" s="1">
        <f>+VLOOKUP(M$3,'Gelir Tablosu (Dönemsel)'!$A:$R,3,0)</f>
        <v>1595101748.0712636</v>
      </c>
      <c r="N17" s="1">
        <f>+VLOOKUP(N$3,'Gelir Tablosu (Dönemsel)'!$A:$R,3,0)</f>
        <v>-3125122108.7093716</v>
      </c>
      <c r="O17" s="1">
        <f>+VLOOKUP(O$3,'Gelir Tablosu (Dönemsel)'!$A:$R,3,0)</f>
        <v>4763809208.5107212</v>
      </c>
      <c r="P17" s="1">
        <f t="shared" si="13"/>
        <v>164505248.53215432</v>
      </c>
      <c r="Q17" s="1">
        <f t="shared" si="13"/>
        <v>42604693.154659182</v>
      </c>
      <c r="R17" s="1">
        <f t="shared" si="13"/>
        <v>3862756.8989032712</v>
      </c>
      <c r="S17" s="1">
        <f t="shared" si="13"/>
        <v>0</v>
      </c>
      <c r="T17" s="1">
        <f t="shared" si="13"/>
        <v>504444795.21157527</v>
      </c>
      <c r="U17" s="1">
        <f t="shared" si="2"/>
        <v>622482593.69016719</v>
      </c>
      <c r="V17" s="1">
        <f t="shared" si="4"/>
        <v>2438623055.3153105</v>
      </c>
      <c r="W17" s="1">
        <f>+N17-N16</f>
        <v>-1020486914.1057582</v>
      </c>
      <c r="X17" s="1">
        <f t="shared" si="4"/>
        <v>-3535360414.3625813</v>
      </c>
      <c r="Y17" s="1">
        <f>+O17-O16</f>
        <v>1901314192.5168767</v>
      </c>
      <c r="Z17" s="1">
        <f t="shared" ref="Z17" si="15">+SUM(Y14:Y17)</f>
        <v>6960219144.5886974</v>
      </c>
    </row>
    <row r="18" spans="1:26" x14ac:dyDescent="0.25">
      <c r="B18" s="4" t="s">
        <v>303</v>
      </c>
      <c r="C18" s="5">
        <f>+VLOOKUP(C$3,Bilanço!$A$1:$N$110,2,0)</f>
        <v>4631084706</v>
      </c>
      <c r="D18" s="5">
        <f>+VLOOKUP(D$3,Bilanço!$A$1:$N$110,2,0)</f>
        <v>26297371946</v>
      </c>
      <c r="E18" s="5">
        <f>+VLOOKUP(E$3,Bilanço!$A$1:$N$110,2,0)</f>
        <v>2084481187</v>
      </c>
      <c r="F18" s="5">
        <f>+VLOOKUP(F$3,Bilanço!$A$1:$N$110,2,0)</f>
        <v>77456863</v>
      </c>
      <c r="H18" s="5">
        <f>+VLOOKUP(H$3,Bilanço!$A$1:$N$110,2,0)</f>
        <v>28766518602</v>
      </c>
      <c r="I18" s="5">
        <f>+VLOOKUP(I$3,'Gelir Tablosu (Dönemsel)'!$A:$R,2,0)</f>
        <v>386320551</v>
      </c>
      <c r="J18" s="5">
        <f>+VLOOKUP(J$3,'Gelir Tablosu (Dönemsel)'!$A:$R,2,0)*(-1)</f>
        <v>231245015</v>
      </c>
      <c r="K18" s="5">
        <f>+VLOOKUP(K$3,'Gelir Tablosu (Dönemsel)'!$A:$R,2,0)*(-1)</f>
        <v>14343462</v>
      </c>
      <c r="L18" s="5">
        <f>+VLOOKUP(L$3,'Gelir Tablosu (Dönemsel)'!$A:$R,2,0)*(-1)</f>
        <v>0</v>
      </c>
      <c r="M18" s="1">
        <f>+VLOOKUP(M$3,'Gelir Tablosu (Dönemsel)'!$A:$R,2,0)</f>
        <v>2026180373</v>
      </c>
      <c r="N18" s="1">
        <f>+VLOOKUP(N$3,'Gelir Tablosu (Dönemsel)'!$A:$R,2,0)</f>
        <v>-1000876001</v>
      </c>
      <c r="O18" s="1">
        <f>+VLOOKUP(O$3,'Gelir Tablosu (Dönemsel)'!$A:$R,2,0)</f>
        <v>6160091890</v>
      </c>
      <c r="P18" s="1">
        <f t="shared" si="13"/>
        <v>43737944.963275373</v>
      </c>
      <c r="Q18" s="1">
        <f t="shared" si="13"/>
        <v>63828284.772554219</v>
      </c>
      <c r="R18" s="1">
        <f t="shared" si="13"/>
        <v>1658002.2637220025</v>
      </c>
      <c r="S18" s="1">
        <f t="shared" si="13"/>
        <v>0</v>
      </c>
      <c r="T18" s="1">
        <f t="shared" si="13"/>
        <v>431078624.92873645</v>
      </c>
      <c r="U18" s="1">
        <f>+P18-Q18-R18-S18+T18</f>
        <v>409330282.8557356</v>
      </c>
      <c r="V18" s="1">
        <f>+SUM(U15:U18)</f>
        <v>2166912447</v>
      </c>
      <c r="W18" s="1">
        <f>+N18-N17</f>
        <v>2124246107.7093716</v>
      </c>
      <c r="X18" s="1">
        <f>+SUM(W15:W18)</f>
        <v>-1000876001</v>
      </c>
      <c r="Y18" s="1">
        <f>+O18-O17</f>
        <v>1396282681.4892788</v>
      </c>
      <c r="Z18" s="1">
        <f>+SUM(Y15:Y18)</f>
        <v>6160091890</v>
      </c>
    </row>
    <row r="22" spans="1:26" x14ac:dyDescent="0.25">
      <c r="B22" t="s">
        <v>266</v>
      </c>
      <c r="C22" t="s">
        <v>273</v>
      </c>
      <c r="D22" t="s">
        <v>274</v>
      </c>
      <c r="E22" t="s">
        <v>275</v>
      </c>
      <c r="F22" t="s">
        <v>276</v>
      </c>
    </row>
    <row r="23" spans="1:26" x14ac:dyDescent="0.25">
      <c r="A23" t="s">
        <v>272</v>
      </c>
      <c r="B23" s="1">
        <f>+V8</f>
        <v>8498741908.7410603</v>
      </c>
      <c r="C23" s="1">
        <f t="shared" ref="C23:C32" si="16">+D43+E43-B43-C43</f>
        <v>3019954272</v>
      </c>
      <c r="D23" s="1">
        <f>+X8</f>
        <v>4872419315.9903307</v>
      </c>
      <c r="E23" s="1">
        <f>+Z8</f>
        <v>25563096528.768242</v>
      </c>
      <c r="F23" s="6">
        <f>+D23/((İcmal!H8+İcmal!H4)/2)</f>
        <v>1.2840729755808924</v>
      </c>
      <c r="G23" s="1"/>
      <c r="H23" s="1"/>
      <c r="I23" s="1"/>
      <c r="J23" s="1"/>
      <c r="K23" s="1"/>
    </row>
    <row r="24" spans="1:26" x14ac:dyDescent="0.25">
      <c r="A24" t="s">
        <v>271</v>
      </c>
      <c r="B24" s="1">
        <f t="shared" ref="B24:B33" si="17">+V9</f>
        <v>8902838383.4808044</v>
      </c>
      <c r="C24" s="1">
        <f t="shared" si="16"/>
        <v>-171894816</v>
      </c>
      <c r="D24" s="1">
        <f t="shared" ref="D24:D33" si="18">+X9</f>
        <v>4879023332.5393305</v>
      </c>
      <c r="E24" s="1">
        <f t="shared" ref="E24:E33" si="19">+Z9</f>
        <v>26942868894.798134</v>
      </c>
      <c r="F24" s="6">
        <f>+D24/((İcmal!H9+İcmal!H5)/2)</f>
        <v>0.82116929453542409</v>
      </c>
      <c r="G24" s="1"/>
      <c r="H24" s="1"/>
      <c r="I24" s="1"/>
      <c r="J24" s="1"/>
      <c r="K24" s="1"/>
    </row>
    <row r="25" spans="1:26" x14ac:dyDescent="0.25">
      <c r="A25" t="s">
        <v>6</v>
      </c>
      <c r="B25" s="1">
        <f t="shared" si="17"/>
        <v>2992107167.0713859</v>
      </c>
      <c r="C25" s="1">
        <f t="shared" si="16"/>
        <v>-186393493.64404091</v>
      </c>
      <c r="D25" s="1">
        <f t="shared" si="18"/>
        <v>844292129.57768345</v>
      </c>
      <c r="E25" s="1">
        <f t="shared" si="19"/>
        <v>11019318819.531408</v>
      </c>
      <c r="F25" s="6">
        <f>+D25/((İcmal!H10+İcmal!H6)/2)</f>
        <v>3.1186217413944672E-2</v>
      </c>
      <c r="G25" s="1"/>
      <c r="H25" s="1"/>
      <c r="I25" s="1"/>
      <c r="J25" s="1"/>
      <c r="K25" s="1"/>
    </row>
    <row r="26" spans="1:26" x14ac:dyDescent="0.25">
      <c r="A26" t="s">
        <v>270</v>
      </c>
      <c r="B26" s="1">
        <f t="shared" si="17"/>
        <v>3190121969.1124372</v>
      </c>
      <c r="C26" s="1">
        <f t="shared" si="16"/>
        <v>-286035493.99144179</v>
      </c>
      <c r="D26" s="1">
        <f t="shared" si="18"/>
        <v>-770402647.35406184</v>
      </c>
      <c r="E26" s="1">
        <f t="shared" si="19"/>
        <v>9638739414.8986244</v>
      </c>
      <c r="F26" s="6">
        <f>+D26/((İcmal!H11+İcmal!H7)/2)</f>
        <v>-4.3108339524817942E-2</v>
      </c>
      <c r="G26" s="1"/>
      <c r="H26" s="1"/>
      <c r="I26" s="1"/>
      <c r="J26" s="1"/>
      <c r="K26" s="1"/>
    </row>
    <row r="27" spans="1:26" x14ac:dyDescent="0.25">
      <c r="A27" t="s">
        <v>269</v>
      </c>
      <c r="B27" s="1">
        <f t="shared" si="17"/>
        <v>2758273483.7127986</v>
      </c>
      <c r="C27" s="1">
        <f t="shared" si="16"/>
        <v>17885795.106657647</v>
      </c>
      <c r="D27" s="1">
        <f t="shared" si="18"/>
        <v>-1149118410.9444623</v>
      </c>
      <c r="E27" s="1">
        <f t="shared" si="19"/>
        <v>8434784415.8240767</v>
      </c>
      <c r="F27" s="6">
        <f>+D27/((İcmal!H12+İcmal!H8)/2)</f>
        <v>-6.5716087324021552E-2</v>
      </c>
      <c r="G27" s="1"/>
      <c r="H27" s="1"/>
      <c r="I27" s="1"/>
      <c r="J27" s="1"/>
      <c r="K27" s="1"/>
    </row>
    <row r="28" spans="1:26" x14ac:dyDescent="0.25">
      <c r="A28" t="s">
        <v>268</v>
      </c>
      <c r="B28" s="1">
        <f t="shared" si="17"/>
        <v>3030306615.4132338</v>
      </c>
      <c r="C28" s="1">
        <f t="shared" si="16"/>
        <v>9929848.6492779553</v>
      </c>
      <c r="D28" s="1">
        <f t="shared" si="18"/>
        <v>-1978365071.2790949</v>
      </c>
      <c r="E28" s="1">
        <f t="shared" si="19"/>
        <v>8195166056.507102</v>
      </c>
      <c r="F28" s="6">
        <f>+D28/((İcmal!H13+İcmal!H9)/2)</f>
        <v>-0.1055429839725199</v>
      </c>
      <c r="G28" s="1"/>
      <c r="H28" s="1"/>
      <c r="I28" s="1"/>
      <c r="J28" s="1"/>
      <c r="K28" s="1"/>
    </row>
    <row r="29" spans="1:26" x14ac:dyDescent="0.25">
      <c r="A29" t="s">
        <v>2</v>
      </c>
      <c r="B29" s="1">
        <f t="shared" si="17"/>
        <v>2955241512</v>
      </c>
      <c r="C29" s="1">
        <f t="shared" si="16"/>
        <v>-102295721</v>
      </c>
      <c r="D29" s="1">
        <f t="shared" si="18"/>
        <v>-1613206473</v>
      </c>
      <c r="E29" s="1">
        <f t="shared" si="19"/>
        <v>7989409873</v>
      </c>
      <c r="F29" s="2">
        <f>+D29/((İcmal!H14+İcmal!H10)/2)</f>
        <v>-5.2624065895092061E-2</v>
      </c>
      <c r="G29" s="1"/>
      <c r="H29" s="1"/>
      <c r="I29" s="1"/>
      <c r="J29" s="1"/>
      <c r="K29" s="1"/>
    </row>
    <row r="30" spans="1:26" x14ac:dyDescent="0.25">
      <c r="A30" t="s">
        <v>267</v>
      </c>
      <c r="B30" s="1">
        <f t="shared" si="17"/>
        <v>2789810882.5345778</v>
      </c>
      <c r="C30" s="1">
        <f t="shared" si="16"/>
        <v>515480648.67753977</v>
      </c>
      <c r="D30" s="1">
        <f t="shared" si="18"/>
        <v>-1091913163.2057967</v>
      </c>
      <c r="E30" s="1">
        <f t="shared" si="19"/>
        <v>7092568652.9604492</v>
      </c>
      <c r="F30" s="2">
        <f>+D30/((İcmal!H15+İcmal!H11)/2)</f>
        <v>-3.5076181350514886E-2</v>
      </c>
      <c r="G30" s="1"/>
      <c r="H30" s="1"/>
      <c r="I30" s="1"/>
      <c r="J30" s="1"/>
      <c r="K30" s="1"/>
    </row>
    <row r="31" spans="1:26" x14ac:dyDescent="0.25">
      <c r="A31" t="s">
        <v>301</v>
      </c>
      <c r="B31" s="1">
        <f t="shared" si="17"/>
        <v>2916414768.0653224</v>
      </c>
      <c r="C31" s="1">
        <f t="shared" si="16"/>
        <v>572480508.81548262</v>
      </c>
      <c r="D31" s="1">
        <f t="shared" si="18"/>
        <v>-2584020134.0424562</v>
      </c>
      <c r="E31" s="1">
        <f t="shared" si="19"/>
        <v>7427649784.7847376</v>
      </c>
      <c r="F31" s="2">
        <f>+D31/((İcmal!H16+İcmal!H12)/2)</f>
        <v>-8.5977435187097342E-2</v>
      </c>
      <c r="G31" s="1"/>
      <c r="H31" s="1"/>
      <c r="I31" s="1"/>
      <c r="J31" s="1"/>
      <c r="K31" s="1"/>
    </row>
    <row r="32" spans="1:26" x14ac:dyDescent="0.25">
      <c r="A32" t="s">
        <v>305</v>
      </c>
      <c r="B32" s="1">
        <f t="shared" si="17"/>
        <v>2438623055.3153105</v>
      </c>
      <c r="C32" s="1">
        <f t="shared" si="16"/>
        <v>-257153948.17308038</v>
      </c>
      <c r="D32" s="1">
        <f t="shared" si="18"/>
        <v>-3535360414.3625813</v>
      </c>
      <c r="E32" s="1">
        <f t="shared" si="19"/>
        <v>6960219144.5886974</v>
      </c>
      <c r="F32" s="2">
        <f>+D32/((İcmal!H17+İcmal!H13)/2)</f>
        <v>-0.12361225793550029</v>
      </c>
      <c r="G32" s="1"/>
      <c r="H32" s="1"/>
      <c r="I32" s="1"/>
      <c r="J32" s="1"/>
      <c r="K32" s="1"/>
    </row>
    <row r="33" spans="1:11" x14ac:dyDescent="0.25">
      <c r="A33" t="s">
        <v>303</v>
      </c>
      <c r="B33" s="1">
        <f t="shared" si="17"/>
        <v>2166912447</v>
      </c>
      <c r="C33" s="1">
        <f>+D53+E53-B53-C53</f>
        <v>167895716</v>
      </c>
      <c r="D33" s="1">
        <f t="shared" si="18"/>
        <v>-1000876001</v>
      </c>
      <c r="E33" s="1">
        <f t="shared" si="19"/>
        <v>6160091890</v>
      </c>
      <c r="F33" s="2">
        <f>+D33/((İcmal!H18+İcmal!H14)/2)</f>
        <v>-3.4349994535665646E-2</v>
      </c>
      <c r="G33" s="1"/>
      <c r="H33" s="1"/>
      <c r="I33" s="1"/>
      <c r="J33" s="1"/>
      <c r="K33" s="1"/>
    </row>
    <row r="35" spans="1:11" x14ac:dyDescent="0.25">
      <c r="K35">
        <v>147</v>
      </c>
    </row>
    <row r="36" spans="1:11" x14ac:dyDescent="0.25">
      <c r="K36">
        <v>134.6</v>
      </c>
    </row>
    <row r="37" spans="1:11" x14ac:dyDescent="0.25">
      <c r="K37">
        <f>+K35-K36</f>
        <v>12.400000000000006</v>
      </c>
    </row>
    <row r="38" spans="1:11" x14ac:dyDescent="0.25">
      <c r="B38" t="s">
        <v>38</v>
      </c>
      <c r="C38" t="s">
        <v>40</v>
      </c>
      <c r="D38" t="s">
        <v>74</v>
      </c>
      <c r="E38" t="s">
        <v>74</v>
      </c>
    </row>
    <row r="39" spans="1:11" x14ac:dyDescent="0.25">
      <c r="A39" t="s">
        <v>16</v>
      </c>
      <c r="B39" s="1">
        <f>+VLOOKUP(B$38,Bilanço!$A$1:$P$110,16,0)</f>
        <v>606911088</v>
      </c>
      <c r="C39" s="1">
        <f>+VLOOKUP(C$38,Bilanço!$A$1:$P$110,16,0)</f>
        <v>0</v>
      </c>
      <c r="D39" s="1">
        <f>+VLOOKUP(D$38,Bilanço!$A$1:$P$110,16,0)</f>
        <v>434886189</v>
      </c>
      <c r="E39" s="1">
        <f>+SUMIFS(Bilanço!P$2:P$144,Bilanço!A$2:A$144,İcmal!$E$38)-D39</f>
        <v>1772780053</v>
      </c>
    </row>
    <row r="40" spans="1:11" x14ac:dyDescent="0.25">
      <c r="A40" t="s">
        <v>11</v>
      </c>
      <c r="B40" s="1">
        <f>+VLOOKUP(B$38,Bilanço!$A$1:$P$110,15,0)</f>
        <v>641360719</v>
      </c>
      <c r="C40" s="1">
        <f>+VLOOKUP(C$38,Bilanço!$A$1:$P$110,15,0)</f>
        <v>0</v>
      </c>
      <c r="D40" s="1">
        <f>+VLOOKUP(D$38,Bilanço!$A$1:$P$110,15,0)</f>
        <v>465549230</v>
      </c>
      <c r="E40" s="1">
        <f>+SUMIFS(Bilanço!O$2:O$144,Bilanço!A$2:A$144,İcmal!$E$38)-D40</f>
        <v>1876779365</v>
      </c>
    </row>
    <row r="41" spans="1:11" x14ac:dyDescent="0.25">
      <c r="A41" t="s">
        <v>10</v>
      </c>
      <c r="B41" s="1">
        <f>+VLOOKUP(B$38,Bilanço!$A$1:$N$110,14,0)</f>
        <v>652211510.65393293</v>
      </c>
      <c r="C41" s="1">
        <f>+VLOOKUP(C$38,Bilanço!$A$1:$N$110,14,0)</f>
        <v>0</v>
      </c>
      <c r="D41" s="1">
        <f>+VLOOKUP(D$38,Bilanço!$A$1:$N$110,14,0)</f>
        <v>917592128.7588551</v>
      </c>
      <c r="E41" s="1">
        <f>+SUMIFS(Bilanço!N$2:N$144,Bilanço!A$2:A$144,İcmal!$E$38)-D41</f>
        <v>6015534832.3091135</v>
      </c>
    </row>
    <row r="42" spans="1:11" x14ac:dyDescent="0.25">
      <c r="A42" t="s">
        <v>9</v>
      </c>
      <c r="B42" s="1">
        <f>+VLOOKUP(B$38,Bilanço!$A$1:$N$110,13,0)</f>
        <v>112515995</v>
      </c>
      <c r="C42" s="1">
        <f>+VLOOKUP(C$38,Bilanço!$A$1:$N$110,13,0)</f>
        <v>0</v>
      </c>
      <c r="D42" s="1">
        <f>+VLOOKUP(D$38,Bilanço!$A$1:$N$110,13,0)</f>
        <v>310012661</v>
      </c>
      <c r="E42" s="1">
        <f>+SUMIFS(Bilanço!M$2:M$144,Bilanço!A$2:A$144,İcmal!$E$38)-D42</f>
        <v>2043582845</v>
      </c>
    </row>
    <row r="43" spans="1:11" x14ac:dyDescent="0.25">
      <c r="A43" s="4" t="s">
        <v>8</v>
      </c>
      <c r="B43" s="5">
        <f>+VLOOKUP(B$38,Bilanço!$A$1:$N$110,12,0)</f>
        <v>34721476</v>
      </c>
      <c r="C43" s="5">
        <f>+VLOOKUP(C$38,Bilanço!$A$1:$N$110,12,0)</f>
        <v>0</v>
      </c>
      <c r="D43" s="5">
        <f>+VLOOKUP(D$38,Bilanço!$A$1:$N$110,12,0)</f>
        <v>555689600</v>
      </c>
      <c r="E43" s="1">
        <f>+SUMIFS(Bilanço!L$2:L$144,Bilanço!A$2:A$144,İcmal!$E$38)-D43</f>
        <v>2498986148</v>
      </c>
    </row>
    <row r="44" spans="1:11" x14ac:dyDescent="0.25">
      <c r="A44" s="4" t="s">
        <v>7</v>
      </c>
      <c r="B44" s="5">
        <f>+VLOOKUP(B$38,Bilanço!$A$1:$N$110,11,0)</f>
        <v>312197369</v>
      </c>
      <c r="C44" s="5">
        <f>+VLOOKUP(C$38,Bilanço!$A$1:$N$110,11,0)</f>
        <v>0</v>
      </c>
      <c r="D44" s="5">
        <f>+VLOOKUP(D$38,Bilanço!$A$1:$N$110,11,0)</f>
        <v>53264928</v>
      </c>
      <c r="E44" s="1">
        <f>+SUMIFS(Bilanço!K$2:K$144,Bilanço!A$2:A$144,İcmal!$E$38)-D44</f>
        <v>87037625</v>
      </c>
    </row>
    <row r="45" spans="1:11" x14ac:dyDescent="0.25">
      <c r="A45" s="4" t="s">
        <v>6</v>
      </c>
      <c r="B45" s="5">
        <f>+VLOOKUP(B$38,Bilanço!$A$1:$N$110,10,0)</f>
        <v>212034391.06087056</v>
      </c>
      <c r="C45" s="5">
        <f>+VLOOKUP(C$38,Bilanço!$A$1:$N$110,10,0)</f>
        <v>0</v>
      </c>
      <c r="D45" s="5">
        <f>+VLOOKUP(D$38,Bilanço!$A$1:$N$110,10,0)</f>
        <v>21563395.888607029</v>
      </c>
      <c r="E45" s="1">
        <f>+SUMIFS(Bilanço!J$2:J$144,Bilanço!A$2:A$144,İcmal!$E$38)-D45</f>
        <v>4077501.5282226093</v>
      </c>
    </row>
    <row r="46" spans="1:11" x14ac:dyDescent="0.25">
      <c r="A46" s="4" t="s">
        <v>5</v>
      </c>
      <c r="B46" s="5">
        <f>+VLOOKUP(B$38,Bilanço!$A$1:$N$110,9,0)</f>
        <v>316252967.70674044</v>
      </c>
      <c r="C46" s="5">
        <f>+VLOOKUP(C$38,Bilanço!$A$1:$N$110,9,0)</f>
        <v>0</v>
      </c>
      <c r="D46" s="5">
        <f>+VLOOKUP(D$38,Bilanço!$A$1:$N$110,9,0)</f>
        <v>28718583.077304196</v>
      </c>
      <c r="E46" s="1">
        <f>+SUMIFS(Bilanço!I$2:I$144,Bilanço!A$2:A$144,İcmal!$E$38)-D46</f>
        <v>1498890.637994457</v>
      </c>
    </row>
    <row r="47" spans="1:11" x14ac:dyDescent="0.25">
      <c r="A47" s="4" t="s">
        <v>4</v>
      </c>
      <c r="B47" s="5">
        <f>+VLOOKUP(B$38,Bilanço!$A$1:$N$110,8,0)</f>
        <v>54576001.22662539</v>
      </c>
      <c r="C47" s="5">
        <f>+VLOOKUP(C$38,Bilanço!$A$1:$N$110,8,0)</f>
        <v>0</v>
      </c>
      <c r="D47" s="5">
        <f>+VLOOKUP(D$38,Bilanço!$A$1:$N$110,8,0)</f>
        <v>62982158.997076705</v>
      </c>
      <c r="E47" s="1">
        <f>+SUMIFS(Bilanço!H$2:H$144,Bilanço!A$2:A$144,İcmal!$E$38)-D47</f>
        <v>9479637.3362063318</v>
      </c>
    </row>
    <row r="48" spans="1:11" x14ac:dyDescent="0.25">
      <c r="A48" s="4" t="s">
        <v>3</v>
      </c>
      <c r="B48" s="5">
        <f>+VLOOKUP(B$38,Bilanço!$A$1:$N$110,7,0)</f>
        <v>69675128.001155913</v>
      </c>
      <c r="C48" s="5">
        <f>+VLOOKUP(C$38,Bilanço!$A$1:$N$110,7,0)</f>
        <v>0</v>
      </c>
      <c r="D48" s="5">
        <f>+VLOOKUP(D$38,Bilanço!$A$1:$N$110,7,0)</f>
        <v>75112194.179976732</v>
      </c>
      <c r="E48" s="1">
        <f>+SUMIFS(Bilanço!G$2:G$144,Bilanço!A$2:A$144,İcmal!$E$38)-D48</f>
        <v>4492782.4704571366</v>
      </c>
    </row>
    <row r="49" spans="1:8" x14ac:dyDescent="0.25">
      <c r="A49" s="4" t="s">
        <v>2</v>
      </c>
      <c r="B49" s="5">
        <f>+VLOOKUP(B$38,Bilanço!$A$1:$N$110,6,0)</f>
        <v>205988794</v>
      </c>
      <c r="C49" s="5">
        <f>+VLOOKUP(C$38,Bilanço!$A$1:$N$110,6,0)</f>
        <v>0</v>
      </c>
      <c r="D49" s="5">
        <f>+VLOOKUP(D$38,Bilanço!$A$1:$N$110,6,0)</f>
        <v>82132521</v>
      </c>
      <c r="E49" s="1">
        <f>+SUMIFS(Bilanço!F$2:F$144,Bilanço!A$2:A$144,İcmal!$E$38)-D49</f>
        <v>21560552</v>
      </c>
      <c r="F49" s="8"/>
      <c r="G49" s="8"/>
    </row>
    <row r="50" spans="1:8" x14ac:dyDescent="0.25">
      <c r="A50" s="4" t="s">
        <v>1</v>
      </c>
      <c r="B50" s="5">
        <f>+VLOOKUP(B$38,Bilanço!$A$1:$N$110,5,0)</f>
        <v>21684213.085562274</v>
      </c>
      <c r="C50" s="5">
        <f>+VLOOKUP(C$38,Bilanço!$A$1:$N$110,5,0)</f>
        <v>0</v>
      </c>
      <c r="D50" s="5">
        <f>+VLOOKUP(D$38,Bilanço!$A$1:$N$110,5,0)</f>
        <v>523396326.78316844</v>
      </c>
      <c r="E50" s="1">
        <f>+SUMIFS(Bilanço!E$2:E$144,Bilanço!A$2:A$144,İcmal!$E$38)-D50</f>
        <v>13768534.979933619</v>
      </c>
      <c r="F50" s="8"/>
      <c r="G50" s="8"/>
      <c r="H50" s="9"/>
    </row>
    <row r="51" spans="1:8" x14ac:dyDescent="0.25">
      <c r="A51" s="4" t="s">
        <v>302</v>
      </c>
      <c r="B51" s="5">
        <f>+VLOOKUP(B$38,Bilanço!$A$1:$N$110,4,0)</f>
        <v>175023012.13540453</v>
      </c>
      <c r="C51" s="5">
        <f>+VLOOKUP(C$38,Bilanço!$A$1:$N$110,4,0)</f>
        <v>0</v>
      </c>
      <c r="D51" s="5">
        <f>+VLOOKUP(D$38,Bilanço!$A$1:$N$110,4,0)</f>
        <v>740684151.55603302</v>
      </c>
      <c r="E51" s="1">
        <f>+SUMIFS(Bilanço!D$2:D$144,Bilanço!A$2:A$144,İcmal!$E$38)-D51</f>
        <v>6819369.3948540688</v>
      </c>
      <c r="F51" s="8"/>
      <c r="G51" s="8"/>
    </row>
    <row r="52" spans="1:8" x14ac:dyDescent="0.25">
      <c r="A52" s="4" t="s">
        <v>304</v>
      </c>
      <c r="B52" s="5">
        <f>+VLOOKUP(B$38,Bilanço!$A$1:$N$110,3,0)</f>
        <v>674860174.32448423</v>
      </c>
      <c r="C52" s="5">
        <f>+VLOOKUP(C$38,Bilanço!$A$1:$N$110,3,0)</f>
        <v>0</v>
      </c>
      <c r="D52" s="5">
        <f>+VLOOKUP(D$38,Bilanço!$A$1:$N$110,3,0)</f>
        <v>398298678.69431162</v>
      </c>
      <c r="E52" s="1">
        <f>+SUMIFS(Bilanço!C$2:C$144,Bilanço!A$2:A$144,İcmal!$E$38)-D52</f>
        <v>19407547.457092226</v>
      </c>
      <c r="F52" s="8"/>
      <c r="G52" s="8"/>
    </row>
    <row r="53" spans="1:8" x14ac:dyDescent="0.25">
      <c r="A53" s="4" t="s">
        <v>303</v>
      </c>
      <c r="B53" s="5">
        <f>+VLOOKUP(B$38,Bilanço!$A$1:$N$110,2,0)</f>
        <v>509357799</v>
      </c>
      <c r="C53" s="5">
        <f>+VLOOKUP(C$38,Bilanço!$A$1:$N$110,2,0)</f>
        <v>0</v>
      </c>
      <c r="D53" s="5">
        <f>+VLOOKUP(D$38,Bilanço!$A$1:$N$110,2,0)</f>
        <v>664971814</v>
      </c>
      <c r="E53" s="1">
        <f>+SUMIFS(Bilanço!B$2:B$144,Bilanço!A$2:A$144,İcmal!$E$38)-D53</f>
        <v>12281701</v>
      </c>
      <c r="F53" s="8"/>
      <c r="G53" s="8"/>
    </row>
    <row r="54" spans="1:8" x14ac:dyDescent="0.25">
      <c r="F54" s="8"/>
      <c r="G54" s="8"/>
    </row>
    <row r="55" spans="1:8" x14ac:dyDescent="0.25">
      <c r="F55" s="8"/>
      <c r="G55" s="8"/>
    </row>
    <row r="56" spans="1:8" x14ac:dyDescent="0.25">
      <c r="F56" s="8"/>
      <c r="G56" s="8"/>
    </row>
    <row r="57" spans="1:8" x14ac:dyDescent="0.25">
      <c r="F57" s="8"/>
      <c r="G57" s="8"/>
    </row>
    <row r="58" spans="1:8" x14ac:dyDescent="0.25">
      <c r="F58" s="8"/>
      <c r="G58" s="8"/>
    </row>
    <row r="59" spans="1:8" x14ac:dyDescent="0.25">
      <c r="F59" s="8"/>
      <c r="G59" s="8"/>
    </row>
    <row r="60" spans="1:8" x14ac:dyDescent="0.25">
      <c r="F60" s="8"/>
      <c r="G60" s="8"/>
    </row>
    <row r="61" spans="1:8" x14ac:dyDescent="0.25">
      <c r="F61" s="8"/>
    </row>
    <row r="62" spans="1:8" x14ac:dyDescent="0.25">
      <c r="F62" s="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"/>
  <sheetViews>
    <sheetView workbookViewId="0">
      <selection sqref="A1:XFD1048576"/>
    </sheetView>
  </sheetViews>
  <sheetFormatPr defaultRowHeight="15.75" outlineLevelCol="2" x14ac:dyDescent="0.25"/>
  <cols>
    <col min="1" max="1" width="40" customWidth="1" outlineLevel="2"/>
    <col min="2" max="40" width="20" customWidth="1"/>
  </cols>
  <sheetData>
    <row r="1" spans="1:25" x14ac:dyDescent="0.25">
      <c r="A1" t="s">
        <v>0</v>
      </c>
      <c r="B1" t="s">
        <v>303</v>
      </c>
      <c r="C1" t="s">
        <v>304</v>
      </c>
      <c r="D1" t="s">
        <v>302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22</v>
      </c>
      <c r="X1" t="s">
        <v>26</v>
      </c>
      <c r="Y1" t="s">
        <v>30</v>
      </c>
    </row>
    <row r="2" spans="1:25" x14ac:dyDescent="0.25">
      <c r="A2" t="s">
        <v>37</v>
      </c>
    </row>
    <row r="3" spans="1:25" x14ac:dyDescent="0.25">
      <c r="A3" t="s">
        <v>38</v>
      </c>
      <c r="B3">
        <v>509357799</v>
      </c>
      <c r="C3">
        <v>674860174.32448423</v>
      </c>
      <c r="D3">
        <v>175023012.13540453</v>
      </c>
      <c r="E3">
        <v>21684213.085562274</v>
      </c>
      <c r="F3">
        <v>205988794</v>
      </c>
      <c r="G3">
        <v>69675128.001155913</v>
      </c>
      <c r="H3">
        <v>54576001.22662539</v>
      </c>
      <c r="I3">
        <v>316252967.70674044</v>
      </c>
      <c r="J3">
        <v>212034391.06087056</v>
      </c>
      <c r="K3">
        <v>312197369</v>
      </c>
      <c r="L3">
        <v>34721476</v>
      </c>
      <c r="M3">
        <v>112515995</v>
      </c>
      <c r="N3">
        <v>652211510.65393293</v>
      </c>
      <c r="O3">
        <v>641360719</v>
      </c>
      <c r="P3">
        <v>606911088</v>
      </c>
      <c r="Q3">
        <v>251781236</v>
      </c>
      <c r="R3">
        <v>23552721</v>
      </c>
      <c r="S3">
        <v>38435497</v>
      </c>
      <c r="T3">
        <v>11137736</v>
      </c>
      <c r="U3">
        <v>1304897</v>
      </c>
      <c r="V3">
        <v>1203171</v>
      </c>
      <c r="W3">
        <v>2968335</v>
      </c>
      <c r="X3">
        <v>1107559</v>
      </c>
      <c r="Y3">
        <v>5945169</v>
      </c>
    </row>
    <row r="4" spans="1:25" x14ac:dyDescent="0.25">
      <c r="A4" t="s">
        <v>39</v>
      </c>
    </row>
    <row r="5" spans="1:25" x14ac:dyDescent="0.25">
      <c r="A5" t="s">
        <v>40</v>
      </c>
      <c r="B5">
        <v>0</v>
      </c>
      <c r="C5">
        <v>0</v>
      </c>
      <c r="D5">
        <v>0</v>
      </c>
      <c r="E5">
        <v>0</v>
      </c>
      <c r="H5">
        <v>0</v>
      </c>
      <c r="I5">
        <v>0</v>
      </c>
      <c r="N5">
        <v>0</v>
      </c>
    </row>
    <row r="6" spans="1:25" x14ac:dyDescent="0.25">
      <c r="A6" t="s">
        <v>41</v>
      </c>
    </row>
    <row r="7" spans="1:25" x14ac:dyDescent="0.25">
      <c r="A7" t="s">
        <v>42</v>
      </c>
      <c r="B7">
        <v>1247553023</v>
      </c>
      <c r="C7">
        <v>784592375.11501777</v>
      </c>
      <c r="D7">
        <v>2247345746.7864771</v>
      </c>
      <c r="E7">
        <v>2596934124.8655224</v>
      </c>
      <c r="F7">
        <v>2443157646</v>
      </c>
      <c r="G7">
        <v>3782742791.4269133</v>
      </c>
      <c r="H7">
        <v>4084150708.2547202</v>
      </c>
      <c r="I7">
        <v>3588419251.7038612</v>
      </c>
      <c r="J7">
        <v>4203027883.6606364</v>
      </c>
      <c r="K7">
        <v>2376946213</v>
      </c>
      <c r="L7">
        <v>2522628775</v>
      </c>
      <c r="M7">
        <v>2642149968</v>
      </c>
      <c r="N7">
        <v>2848954661.9301057</v>
      </c>
      <c r="O7">
        <v>307259938</v>
      </c>
      <c r="P7">
        <v>224408539</v>
      </c>
      <c r="Q7">
        <v>138913825</v>
      </c>
      <c r="R7">
        <v>155198509</v>
      </c>
      <c r="S7">
        <v>114160586</v>
      </c>
      <c r="T7">
        <v>122381495</v>
      </c>
      <c r="U7">
        <v>103064264</v>
      </c>
      <c r="V7">
        <v>118131072</v>
      </c>
      <c r="W7">
        <v>70816425</v>
      </c>
      <c r="X7">
        <v>23785433</v>
      </c>
      <c r="Y7">
        <v>4543342</v>
      </c>
    </row>
    <row r="8" spans="1:25" x14ac:dyDescent="0.25">
      <c r="A8" t="s">
        <v>43</v>
      </c>
      <c r="H8">
        <v>0</v>
      </c>
      <c r="I8">
        <v>0</v>
      </c>
      <c r="N8">
        <v>0</v>
      </c>
    </row>
    <row r="9" spans="1:25" x14ac:dyDescent="0.25">
      <c r="A9" t="s">
        <v>44</v>
      </c>
    </row>
    <row r="10" spans="1:25" x14ac:dyDescent="0.25">
      <c r="A10" t="s">
        <v>45</v>
      </c>
      <c r="B10">
        <v>299067995</v>
      </c>
      <c r="C10">
        <v>245241560.29042652</v>
      </c>
      <c r="D10">
        <v>1411081066.6050565</v>
      </c>
      <c r="E10">
        <v>1302673568.6569488</v>
      </c>
      <c r="F10">
        <v>1324715927</v>
      </c>
      <c r="G10">
        <v>311098959.26043487</v>
      </c>
      <c r="H10">
        <v>457938478.97148693</v>
      </c>
      <c r="I10">
        <v>45364269.135384016</v>
      </c>
      <c r="J10">
        <v>24627895.509470858</v>
      </c>
      <c r="K10">
        <v>12601443</v>
      </c>
      <c r="L10">
        <v>67540169</v>
      </c>
      <c r="M10">
        <v>63196138</v>
      </c>
      <c r="N10">
        <v>39205877.246474631</v>
      </c>
      <c r="O10">
        <v>12946543</v>
      </c>
      <c r="P10">
        <v>12924044</v>
      </c>
      <c r="Q10">
        <v>12228011</v>
      </c>
      <c r="R10">
        <v>3333243</v>
      </c>
      <c r="S10">
        <v>3487702</v>
      </c>
      <c r="T10">
        <v>3225311</v>
      </c>
      <c r="U10">
        <v>3941130</v>
      </c>
      <c r="V10">
        <v>24657091</v>
      </c>
      <c r="W10">
        <v>155509567</v>
      </c>
      <c r="X10">
        <v>55407807</v>
      </c>
      <c r="Y10">
        <v>7982111</v>
      </c>
    </row>
    <row r="11" spans="1:25" x14ac:dyDescent="0.25">
      <c r="A11" t="s">
        <v>46</v>
      </c>
      <c r="H11">
        <v>0</v>
      </c>
      <c r="I11">
        <v>0</v>
      </c>
      <c r="N11">
        <v>0</v>
      </c>
    </row>
    <row r="12" spans="1:25" x14ac:dyDescent="0.25">
      <c r="A12" t="s">
        <v>47</v>
      </c>
    </row>
    <row r="13" spans="1:25" x14ac:dyDescent="0.25">
      <c r="A13" t="s">
        <v>48</v>
      </c>
      <c r="H13">
        <v>0</v>
      </c>
      <c r="I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1274039</v>
      </c>
      <c r="R13">
        <v>0</v>
      </c>
    </row>
    <row r="14" spans="1:25" x14ac:dyDescent="0.25">
      <c r="A14" t="s">
        <v>49</v>
      </c>
      <c r="B14">
        <v>2307675971</v>
      </c>
      <c r="C14">
        <v>2504646154.7022171</v>
      </c>
      <c r="D14">
        <v>2589961370.3670077</v>
      </c>
      <c r="E14">
        <v>4070488940.179193</v>
      </c>
      <c r="F14">
        <v>2104598052</v>
      </c>
      <c r="G14">
        <v>2088552815.98436</v>
      </c>
      <c r="H14">
        <v>2772387357.5257945</v>
      </c>
      <c r="I14">
        <v>2972367081.0946078</v>
      </c>
      <c r="J14">
        <v>2387534704.4511704</v>
      </c>
      <c r="K14">
        <v>882953339</v>
      </c>
      <c r="L14">
        <v>747778442</v>
      </c>
      <c r="M14">
        <v>640732718</v>
      </c>
      <c r="N14">
        <v>1855468686.1856105</v>
      </c>
      <c r="O14">
        <v>417099461</v>
      </c>
      <c r="P14">
        <v>323412184</v>
      </c>
      <c r="Q14">
        <v>272173921</v>
      </c>
      <c r="R14">
        <v>222076764</v>
      </c>
      <c r="S14">
        <v>193013321</v>
      </c>
      <c r="T14">
        <v>175055784</v>
      </c>
      <c r="U14">
        <v>155053193</v>
      </c>
      <c r="V14">
        <v>127864319</v>
      </c>
      <c r="W14">
        <v>85036278</v>
      </c>
      <c r="X14">
        <v>46020949</v>
      </c>
    </row>
    <row r="15" spans="1:25" x14ac:dyDescent="0.25">
      <c r="A15" t="s">
        <v>50</v>
      </c>
    </row>
    <row r="16" spans="1:25" x14ac:dyDescent="0.25">
      <c r="A16" t="s">
        <v>51</v>
      </c>
    </row>
    <row r="17" spans="1:25" x14ac:dyDescent="0.25">
      <c r="A17" t="s">
        <v>52</v>
      </c>
      <c r="B17">
        <v>94751108</v>
      </c>
      <c r="C17">
        <v>179381749.66771996</v>
      </c>
      <c r="D17">
        <v>77103980.739180818</v>
      </c>
      <c r="E17">
        <v>70605210.085755184</v>
      </c>
      <c r="F17">
        <v>86943407</v>
      </c>
      <c r="G17">
        <v>196094883.22141117</v>
      </c>
      <c r="H17">
        <v>232431689.7693949</v>
      </c>
      <c r="I17">
        <v>267132286.84268069</v>
      </c>
      <c r="J17">
        <v>320969266.90533608</v>
      </c>
      <c r="K17">
        <v>104298828</v>
      </c>
      <c r="L17">
        <v>46205099</v>
      </c>
      <c r="M17">
        <v>46045964</v>
      </c>
      <c r="N17">
        <v>159874247.67698908</v>
      </c>
      <c r="O17">
        <v>4674286</v>
      </c>
      <c r="P17">
        <v>13034451</v>
      </c>
      <c r="Q17">
        <v>55262227</v>
      </c>
      <c r="R17">
        <v>15182551</v>
      </c>
      <c r="S17">
        <v>9792674</v>
      </c>
      <c r="T17">
        <v>17792484</v>
      </c>
      <c r="U17">
        <v>16917422</v>
      </c>
      <c r="V17">
        <v>13970747</v>
      </c>
      <c r="W17">
        <v>16044542</v>
      </c>
      <c r="X17">
        <v>3535148</v>
      </c>
      <c r="Y17">
        <v>457850</v>
      </c>
    </row>
    <row r="18" spans="1:25" x14ac:dyDescent="0.25">
      <c r="A18" t="s">
        <v>53</v>
      </c>
    </row>
    <row r="19" spans="1:25" x14ac:dyDescent="0.25">
      <c r="A19" t="s">
        <v>54</v>
      </c>
      <c r="B19">
        <v>5357724</v>
      </c>
      <c r="C19">
        <v>4750489.8492228007</v>
      </c>
      <c r="D19">
        <v>1421785.8652435851</v>
      </c>
      <c r="E19">
        <v>659424.58758448425</v>
      </c>
      <c r="F19">
        <v>1032974</v>
      </c>
      <c r="G19">
        <v>3390230.2270560861</v>
      </c>
      <c r="H19">
        <v>357351.8022412032</v>
      </c>
      <c r="I19">
        <v>279610.74385244952</v>
      </c>
      <c r="J19">
        <v>10873475.718153879</v>
      </c>
      <c r="K19">
        <v>5431268</v>
      </c>
      <c r="L19">
        <v>5155900</v>
      </c>
      <c r="M19">
        <v>88721</v>
      </c>
      <c r="N19">
        <v>10178857.698566185</v>
      </c>
      <c r="O19">
        <v>266195</v>
      </c>
      <c r="P19">
        <v>228443</v>
      </c>
      <c r="Q19">
        <v>47349</v>
      </c>
      <c r="R19">
        <v>0</v>
      </c>
      <c r="S19">
        <v>38426</v>
      </c>
      <c r="T19">
        <v>12333</v>
      </c>
      <c r="U19">
        <v>179</v>
      </c>
      <c r="V19">
        <v>0</v>
      </c>
    </row>
    <row r="20" spans="1:25" x14ac:dyDescent="0.25">
      <c r="A20" t="s">
        <v>55</v>
      </c>
    </row>
    <row r="21" spans="1:25" x14ac:dyDescent="0.25">
      <c r="A21" t="s">
        <v>56</v>
      </c>
      <c r="B21">
        <v>167321086</v>
      </c>
      <c r="C21">
        <v>690615106.29246378</v>
      </c>
      <c r="D21">
        <v>640191393.83768451</v>
      </c>
      <c r="E21">
        <v>473587057.49762923</v>
      </c>
      <c r="F21">
        <v>824927888</v>
      </c>
      <c r="G21">
        <v>781577326.71968925</v>
      </c>
      <c r="H21">
        <v>730219832.28043938</v>
      </c>
      <c r="I21">
        <v>800585714.26852012</v>
      </c>
      <c r="J21">
        <v>856654044.78951776</v>
      </c>
      <c r="K21">
        <v>429498725</v>
      </c>
      <c r="L21">
        <v>398398090</v>
      </c>
      <c r="M21">
        <v>72399836</v>
      </c>
      <c r="N21">
        <v>1175502897.7718859</v>
      </c>
      <c r="O21">
        <v>152448291</v>
      </c>
      <c r="P21">
        <v>83492419</v>
      </c>
      <c r="Q21">
        <v>368758154</v>
      </c>
      <c r="R21">
        <v>122166556</v>
      </c>
      <c r="S21">
        <v>100426112</v>
      </c>
      <c r="T21">
        <v>53794838</v>
      </c>
      <c r="U21">
        <v>52189887</v>
      </c>
      <c r="V21">
        <v>35165872</v>
      </c>
      <c r="W21">
        <v>119283806</v>
      </c>
      <c r="X21">
        <v>99121655</v>
      </c>
      <c r="Y21">
        <v>47842810</v>
      </c>
    </row>
    <row r="22" spans="1:25" x14ac:dyDescent="0.25">
      <c r="A22" t="s">
        <v>57</v>
      </c>
    </row>
    <row r="23" spans="1:25" x14ac:dyDescent="0.25">
      <c r="A23" t="s">
        <v>58</v>
      </c>
    </row>
    <row r="24" spans="1:25" x14ac:dyDescent="0.25">
      <c r="A24" t="s">
        <v>59</v>
      </c>
      <c r="B24">
        <v>4631084706</v>
      </c>
      <c r="C24">
        <v>5084087610.2415524</v>
      </c>
      <c r="D24">
        <v>7142128356.3360538</v>
      </c>
      <c r="E24">
        <v>8536632538.9581957</v>
      </c>
      <c r="F24">
        <v>6991364688</v>
      </c>
      <c r="G24">
        <v>7233132134.8410196</v>
      </c>
      <c r="H24">
        <v>8332061419.8307028</v>
      </c>
      <c r="I24">
        <v>7990401181.4956484</v>
      </c>
      <c r="J24">
        <v>8015721662.0951557</v>
      </c>
      <c r="K24">
        <v>4123927185</v>
      </c>
      <c r="L24">
        <v>3822427951</v>
      </c>
      <c r="M24">
        <v>3577129340</v>
      </c>
      <c r="N24">
        <v>6741396739.1635666</v>
      </c>
      <c r="O24">
        <v>1536055433</v>
      </c>
      <c r="P24">
        <v>1264411168</v>
      </c>
      <c r="Q24">
        <v>1100438762</v>
      </c>
      <c r="R24">
        <v>541510344</v>
      </c>
      <c r="S24">
        <v>459354318</v>
      </c>
      <c r="T24">
        <v>383399981</v>
      </c>
      <c r="U24">
        <v>332470972</v>
      </c>
      <c r="V24">
        <v>320992272</v>
      </c>
      <c r="W24">
        <v>449658953</v>
      </c>
      <c r="X24">
        <v>228978551</v>
      </c>
      <c r="Y24">
        <v>66771282</v>
      </c>
    </row>
    <row r="25" spans="1:25" x14ac:dyDescent="0.25">
      <c r="A25" t="s">
        <v>60</v>
      </c>
    </row>
    <row r="26" spans="1:25" x14ac:dyDescent="0.25">
      <c r="A26" t="s">
        <v>40</v>
      </c>
      <c r="H26">
        <v>0</v>
      </c>
      <c r="I26">
        <v>0</v>
      </c>
      <c r="N26">
        <v>0</v>
      </c>
    </row>
    <row r="27" spans="1:25" x14ac:dyDescent="0.25">
      <c r="A27" t="s">
        <v>61</v>
      </c>
    </row>
    <row r="28" spans="1:25" x14ac:dyDescent="0.25">
      <c r="A28" t="s">
        <v>42</v>
      </c>
      <c r="B28">
        <v>1808822744</v>
      </c>
      <c r="C28">
        <v>1829699212.1389811</v>
      </c>
      <c r="D28">
        <v>1892648341.4786265</v>
      </c>
      <c r="E28">
        <v>1910860281.7446265</v>
      </c>
      <c r="F28">
        <v>1656476847</v>
      </c>
      <c r="G28">
        <v>1702493624.3182974</v>
      </c>
      <c r="H28">
        <v>1788451849.9592249</v>
      </c>
      <c r="I28">
        <v>0</v>
      </c>
      <c r="J28">
        <v>0</v>
      </c>
      <c r="N28">
        <v>0</v>
      </c>
    </row>
    <row r="29" spans="1:25" x14ac:dyDescent="0.25">
      <c r="A29" t="s">
        <v>43</v>
      </c>
      <c r="H29">
        <v>0</v>
      </c>
      <c r="I29">
        <v>0</v>
      </c>
      <c r="N29">
        <v>0</v>
      </c>
    </row>
    <row r="30" spans="1:25" x14ac:dyDescent="0.25">
      <c r="A30" t="s">
        <v>45</v>
      </c>
      <c r="B30">
        <v>205412</v>
      </c>
      <c r="C30">
        <v>214358.15433503009</v>
      </c>
      <c r="D30">
        <v>230444.40896886186</v>
      </c>
      <c r="E30">
        <v>244286.56286784739</v>
      </c>
      <c r="F30">
        <v>268632</v>
      </c>
      <c r="G30">
        <v>285476.20413592178</v>
      </c>
      <c r="H30">
        <v>310937.8533818539</v>
      </c>
      <c r="I30">
        <v>337071.8233814917</v>
      </c>
      <c r="J30">
        <v>387847.05805442255</v>
      </c>
      <c r="K30">
        <v>209963</v>
      </c>
      <c r="L30">
        <v>209963</v>
      </c>
      <c r="M30">
        <v>209963</v>
      </c>
      <c r="N30">
        <v>653803.42200626014</v>
      </c>
      <c r="O30">
        <v>210605</v>
      </c>
      <c r="P30">
        <v>209744</v>
      </c>
      <c r="Q30">
        <v>209745</v>
      </c>
      <c r="R30">
        <v>209743</v>
      </c>
      <c r="S30">
        <v>209744</v>
      </c>
      <c r="T30">
        <v>209744</v>
      </c>
      <c r="U30">
        <v>209744</v>
      </c>
      <c r="V30">
        <v>209740</v>
      </c>
      <c r="W30">
        <v>33214</v>
      </c>
      <c r="X30">
        <v>32829</v>
      </c>
      <c r="Y30">
        <v>37180</v>
      </c>
    </row>
    <row r="31" spans="1:25" x14ac:dyDescent="0.25">
      <c r="A31" t="s">
        <v>46</v>
      </c>
      <c r="H31">
        <v>0</v>
      </c>
      <c r="I31">
        <v>0</v>
      </c>
      <c r="N31">
        <v>0</v>
      </c>
    </row>
    <row r="32" spans="1:25" x14ac:dyDescent="0.25">
      <c r="A32" t="s">
        <v>47</v>
      </c>
    </row>
    <row r="33" spans="1:25" x14ac:dyDescent="0.25">
      <c r="A33" t="s">
        <v>48</v>
      </c>
      <c r="H33">
        <v>0</v>
      </c>
      <c r="I33">
        <v>0</v>
      </c>
      <c r="N33">
        <v>0</v>
      </c>
    </row>
    <row r="34" spans="1:25" x14ac:dyDescent="0.25">
      <c r="A34" t="s">
        <v>49</v>
      </c>
    </row>
    <row r="35" spans="1:25" x14ac:dyDescent="0.25">
      <c r="A35" t="s">
        <v>62</v>
      </c>
    </row>
    <row r="36" spans="1:25" x14ac:dyDescent="0.25">
      <c r="A36" t="s">
        <v>51</v>
      </c>
    </row>
    <row r="37" spans="1:25" x14ac:dyDescent="0.25">
      <c r="A37" t="s">
        <v>63</v>
      </c>
    </row>
    <row r="38" spans="1:25" x14ac:dyDescent="0.25">
      <c r="A38" t="s">
        <v>64</v>
      </c>
    </row>
    <row r="39" spans="1:25" x14ac:dyDescent="0.25">
      <c r="A39" t="s">
        <v>65</v>
      </c>
      <c r="B39">
        <v>22464184164</v>
      </c>
      <c r="C39">
        <v>23686076117.358341</v>
      </c>
      <c r="D39">
        <v>24048366238.563164</v>
      </c>
      <c r="E39">
        <v>24226921919.100739</v>
      </c>
      <c r="F39">
        <v>22557785948</v>
      </c>
      <c r="G39">
        <v>22111331068.249805</v>
      </c>
      <c r="H39">
        <v>22157117264.02364</v>
      </c>
      <c r="I39">
        <v>22224779568.032818</v>
      </c>
      <c r="J39">
        <v>22419052184.372204</v>
      </c>
      <c r="K39">
        <v>4972443008</v>
      </c>
      <c r="L39">
        <v>4993264664</v>
      </c>
      <c r="M39">
        <v>4941354200</v>
      </c>
      <c r="N39">
        <v>22652933650.566151</v>
      </c>
      <c r="O39">
        <v>4902272152</v>
      </c>
      <c r="P39">
        <v>4899420780</v>
      </c>
      <c r="Q39">
        <v>4909848800</v>
      </c>
      <c r="R39">
        <v>4921667543</v>
      </c>
      <c r="S39">
        <v>2161934168</v>
      </c>
      <c r="T39">
        <v>2151162353</v>
      </c>
      <c r="U39">
        <v>2160353543</v>
      </c>
      <c r="V39">
        <v>2173562940</v>
      </c>
      <c r="W39">
        <v>2147845716</v>
      </c>
      <c r="X39">
        <v>2212911598</v>
      </c>
      <c r="Y39">
        <v>797302037</v>
      </c>
    </row>
    <row r="40" spans="1:25" x14ac:dyDescent="0.25">
      <c r="A40" t="s">
        <v>66</v>
      </c>
      <c r="B40">
        <v>7899902</v>
      </c>
      <c r="C40">
        <v>11286733.437322183</v>
      </c>
      <c r="D40">
        <v>12133733.023692839</v>
      </c>
      <c r="E40">
        <v>20972335.364072032</v>
      </c>
      <c r="F40">
        <v>13907448</v>
      </c>
      <c r="G40">
        <v>14840419.936005639</v>
      </c>
      <c r="H40">
        <v>16807185.538263865</v>
      </c>
      <c r="I40">
        <v>28498491.342799861</v>
      </c>
      <c r="J40">
        <v>22597818.325495895</v>
      </c>
      <c r="K40">
        <v>7994066</v>
      </c>
      <c r="L40">
        <v>8170750</v>
      </c>
      <c r="M40">
        <v>1497428</v>
      </c>
      <c r="N40">
        <v>5334516.0753638307</v>
      </c>
      <c r="O40">
        <v>2027247</v>
      </c>
      <c r="P40">
        <v>2443100</v>
      </c>
      <c r="Q40">
        <v>2866826</v>
      </c>
      <c r="R40">
        <v>3290763</v>
      </c>
      <c r="S40">
        <v>3465886</v>
      </c>
      <c r="T40">
        <v>3767694</v>
      </c>
      <c r="U40">
        <v>4110559</v>
      </c>
      <c r="V40">
        <v>4491134</v>
      </c>
      <c r="W40">
        <v>1881031</v>
      </c>
    </row>
    <row r="41" spans="1:25" x14ac:dyDescent="0.25">
      <c r="A41" t="s">
        <v>67</v>
      </c>
      <c r="B41">
        <v>817410382</v>
      </c>
      <c r="C41">
        <v>818429234.29385662</v>
      </c>
      <c r="D41">
        <v>853379537.11239493</v>
      </c>
      <c r="E41">
        <v>847357511.31649685</v>
      </c>
      <c r="F41">
        <v>810245448</v>
      </c>
      <c r="G41">
        <v>782067679.44968271</v>
      </c>
      <c r="H41">
        <v>274356203.02652538</v>
      </c>
      <c r="I41">
        <v>282973067.76918119</v>
      </c>
      <c r="J41">
        <v>290437732.09365815</v>
      </c>
      <c r="K41">
        <v>54530301</v>
      </c>
      <c r="L41">
        <v>52289270</v>
      </c>
      <c r="M41">
        <v>42054436</v>
      </c>
      <c r="N41">
        <v>231861265.6804311</v>
      </c>
      <c r="O41">
        <v>31024759</v>
      </c>
      <c r="P41">
        <v>32108990</v>
      </c>
      <c r="Q41">
        <v>30352014</v>
      </c>
      <c r="R41">
        <v>30706367</v>
      </c>
      <c r="S41">
        <v>29932419</v>
      </c>
      <c r="T41">
        <v>30756064</v>
      </c>
      <c r="U41">
        <v>32409065</v>
      </c>
      <c r="V41">
        <v>33575604</v>
      </c>
      <c r="W41">
        <v>15361853</v>
      </c>
      <c r="X41">
        <v>4885906</v>
      </c>
      <c r="Y41">
        <v>4305981</v>
      </c>
    </row>
    <row r="42" spans="1:25" x14ac:dyDescent="0.25">
      <c r="A42" t="s">
        <v>52</v>
      </c>
      <c r="B42">
        <v>9288251</v>
      </c>
      <c r="C42">
        <v>29434560.972633209</v>
      </c>
      <c r="D42">
        <v>26696202.615186915</v>
      </c>
      <c r="E42">
        <v>27592216.7487926</v>
      </c>
      <c r="F42">
        <v>27960471</v>
      </c>
      <c r="G42">
        <v>51799562.096565537</v>
      </c>
      <c r="H42">
        <v>53439963.202820696</v>
      </c>
      <c r="I42">
        <v>56266539.137585491</v>
      </c>
      <c r="J42">
        <v>64241889.294853881</v>
      </c>
      <c r="K42">
        <v>33335746</v>
      </c>
      <c r="L42">
        <v>32538682</v>
      </c>
      <c r="M42">
        <v>1017279</v>
      </c>
      <c r="N42">
        <v>2828778.9274220439</v>
      </c>
      <c r="O42">
        <v>2859328</v>
      </c>
      <c r="P42">
        <v>2028414</v>
      </c>
      <c r="Q42">
        <v>1933187</v>
      </c>
      <c r="R42">
        <v>1884776</v>
      </c>
      <c r="S42">
        <v>3790459</v>
      </c>
      <c r="T42">
        <v>1842216</v>
      </c>
      <c r="U42">
        <v>1423110</v>
      </c>
      <c r="V42">
        <v>2210821</v>
      </c>
      <c r="W42">
        <v>2371829</v>
      </c>
      <c r="X42">
        <v>284910</v>
      </c>
      <c r="Y42">
        <v>708347</v>
      </c>
    </row>
    <row r="43" spans="1:25" x14ac:dyDescent="0.25">
      <c r="A43" t="s">
        <v>68</v>
      </c>
      <c r="B43">
        <v>1155862239</v>
      </c>
      <c r="C43">
        <v>389253016.49488598</v>
      </c>
      <c r="D43">
        <v>546441715.36978197</v>
      </c>
      <c r="E43">
        <v>476625241.10292786</v>
      </c>
      <c r="F43">
        <v>1701154393</v>
      </c>
      <c r="G43">
        <v>1754785319.6154521</v>
      </c>
      <c r="H43">
        <v>2184183785.1229043</v>
      </c>
      <c r="I43">
        <v>1758992174.3141065</v>
      </c>
      <c r="J43">
        <v>2661003170.277566</v>
      </c>
      <c r="K43">
        <v>1029201179</v>
      </c>
      <c r="L43">
        <v>887704415</v>
      </c>
      <c r="M43">
        <v>604254156</v>
      </c>
      <c r="N43">
        <v>2511422765.6562405</v>
      </c>
      <c r="O43">
        <v>433900633</v>
      </c>
      <c r="P43">
        <v>0</v>
      </c>
      <c r="Q43">
        <v>0</v>
      </c>
      <c r="R43">
        <v>0</v>
      </c>
      <c r="S43">
        <v>171303887</v>
      </c>
      <c r="T43">
        <v>143993449</v>
      </c>
      <c r="U43">
        <v>154361857</v>
      </c>
      <c r="V43">
        <v>142739441</v>
      </c>
      <c r="Y43">
        <v>145882937</v>
      </c>
    </row>
    <row r="44" spans="1:25" x14ac:dyDescent="0.25">
      <c r="A44" t="s">
        <v>69</v>
      </c>
    </row>
    <row r="45" spans="1:25" x14ac:dyDescent="0.25">
      <c r="A45" t="s">
        <v>55</v>
      </c>
    </row>
    <row r="46" spans="1:25" x14ac:dyDescent="0.25">
      <c r="A46" t="s">
        <v>70</v>
      </c>
      <c r="B46">
        <v>33698852</v>
      </c>
      <c r="C46">
        <v>46740361.852439106</v>
      </c>
      <c r="D46">
        <v>54518872.63431742</v>
      </c>
      <c r="E46">
        <v>57031676.701217383</v>
      </c>
      <c r="F46">
        <v>51410548</v>
      </c>
      <c r="G46">
        <v>114537983.6118892</v>
      </c>
      <c r="H46">
        <v>104925502.96974073</v>
      </c>
      <c r="I46">
        <v>94239098.830556184</v>
      </c>
      <c r="J46">
        <v>95750384.811286822</v>
      </c>
      <c r="K46">
        <v>47003750</v>
      </c>
      <c r="L46">
        <v>46468137</v>
      </c>
      <c r="M46">
        <v>45314736</v>
      </c>
      <c r="N46">
        <v>149044850.25371897</v>
      </c>
      <c r="O46">
        <v>52440260</v>
      </c>
      <c r="P46">
        <v>57354671</v>
      </c>
      <c r="Q46">
        <v>64640698</v>
      </c>
      <c r="R46">
        <v>53860978</v>
      </c>
      <c r="S46">
        <v>69103811</v>
      </c>
      <c r="T46">
        <v>99479099</v>
      </c>
      <c r="U46">
        <v>92038352</v>
      </c>
      <c r="V46">
        <v>78238287</v>
      </c>
      <c r="W46">
        <v>79613086</v>
      </c>
      <c r="X46">
        <v>43589291</v>
      </c>
      <c r="Y46">
        <v>80044809</v>
      </c>
    </row>
    <row r="47" spans="1:25" x14ac:dyDescent="0.25">
      <c r="A47" t="s">
        <v>71</v>
      </c>
      <c r="B47">
        <v>26297371946</v>
      </c>
      <c r="C47">
        <v>26811133594.702797</v>
      </c>
      <c r="D47">
        <v>27434415085.206135</v>
      </c>
      <c r="E47">
        <v>27567605468.641735</v>
      </c>
      <c r="F47">
        <v>26819209735</v>
      </c>
      <c r="G47">
        <v>26532141133.481831</v>
      </c>
      <c r="H47">
        <v>26579592691.696503</v>
      </c>
      <c r="I47">
        <v>24446086011.250427</v>
      </c>
      <c r="J47">
        <v>25553471026.23312</v>
      </c>
      <c r="K47">
        <v>6144718013</v>
      </c>
      <c r="L47">
        <v>6020645881</v>
      </c>
      <c r="M47">
        <v>5635702198</v>
      </c>
      <c r="N47">
        <v>25554079630.581333</v>
      </c>
      <c r="O47">
        <v>5424734984</v>
      </c>
      <c r="P47">
        <v>4993565699</v>
      </c>
      <c r="Q47">
        <v>5009851270</v>
      </c>
      <c r="R47">
        <v>5011620170</v>
      </c>
      <c r="S47">
        <v>2439740374</v>
      </c>
      <c r="T47">
        <v>2431210619</v>
      </c>
      <c r="U47">
        <v>2444906230</v>
      </c>
      <c r="V47">
        <v>2435027967</v>
      </c>
      <c r="W47">
        <v>2247106728</v>
      </c>
      <c r="X47">
        <v>2261704534</v>
      </c>
      <c r="Y47">
        <v>1028281291</v>
      </c>
    </row>
    <row r="48" spans="1:25" x14ac:dyDescent="0.25">
      <c r="A48" t="s">
        <v>72</v>
      </c>
      <c r="B48">
        <v>30928456652</v>
      </c>
      <c r="C48">
        <v>31895221204.944347</v>
      </c>
      <c r="D48">
        <v>34576543441.542191</v>
      </c>
      <c r="E48">
        <v>36104238007.599937</v>
      </c>
      <c r="F48">
        <v>33810574423</v>
      </c>
      <c r="G48">
        <v>33765273268.322853</v>
      </c>
      <c r="H48">
        <v>34911654111.527206</v>
      </c>
      <c r="I48">
        <v>32436487192.746071</v>
      </c>
      <c r="J48">
        <v>33569192688.328278</v>
      </c>
      <c r="K48">
        <v>10268645198</v>
      </c>
      <c r="L48">
        <v>9843073832</v>
      </c>
      <c r="M48">
        <v>9212831538</v>
      </c>
      <c r="N48">
        <v>32295476369.744896</v>
      </c>
      <c r="O48">
        <v>6960790417</v>
      </c>
      <c r="P48">
        <v>6257976867</v>
      </c>
      <c r="Q48">
        <v>6110290032</v>
      </c>
      <c r="R48">
        <v>5553130514</v>
      </c>
      <c r="S48">
        <v>2899094692</v>
      </c>
      <c r="T48">
        <v>2814610600</v>
      </c>
      <c r="U48">
        <v>2777377202</v>
      </c>
      <c r="V48">
        <v>2756020239</v>
      </c>
      <c r="W48">
        <v>2696765681</v>
      </c>
      <c r="X48">
        <v>2490683085</v>
      </c>
      <c r="Y48">
        <v>1095052573</v>
      </c>
    </row>
    <row r="49" spans="1:25" x14ac:dyDescent="0.25">
      <c r="A49" t="s">
        <v>73</v>
      </c>
    </row>
    <row r="50" spans="1:25" x14ac:dyDescent="0.25">
      <c r="A50" t="s">
        <v>74</v>
      </c>
      <c r="B50">
        <v>664971814</v>
      </c>
      <c r="C50">
        <v>398298678.69431162</v>
      </c>
      <c r="D50">
        <v>740684151.55603302</v>
      </c>
      <c r="E50">
        <v>523396326.78316844</v>
      </c>
      <c r="F50">
        <v>82132521</v>
      </c>
      <c r="G50">
        <v>75112194.179976732</v>
      </c>
      <c r="H50">
        <v>62982158.997076705</v>
      </c>
      <c r="I50">
        <v>28718583.077304196</v>
      </c>
      <c r="J50">
        <v>21563395.888607029</v>
      </c>
      <c r="K50">
        <v>53264928</v>
      </c>
      <c r="L50">
        <v>555689600</v>
      </c>
      <c r="M50">
        <v>310012661</v>
      </c>
      <c r="N50">
        <v>917592128.7588551</v>
      </c>
      <c r="O50">
        <v>465549230</v>
      </c>
      <c r="P50">
        <v>434886189</v>
      </c>
      <c r="Q50">
        <v>428319734</v>
      </c>
      <c r="R50">
        <v>625446479</v>
      </c>
      <c r="S50">
        <v>314677729</v>
      </c>
      <c r="T50">
        <v>247085964</v>
      </c>
      <c r="U50">
        <v>363597478</v>
      </c>
      <c r="V50">
        <v>326263819</v>
      </c>
      <c r="W50">
        <v>396633695</v>
      </c>
      <c r="X50">
        <v>86700161</v>
      </c>
      <c r="Y50">
        <v>34591984</v>
      </c>
    </row>
    <row r="51" spans="1:25" x14ac:dyDescent="0.25">
      <c r="A51" t="s">
        <v>75</v>
      </c>
      <c r="B51">
        <v>13180557</v>
      </c>
      <c r="C51">
        <v>14513880.152360108</v>
      </c>
      <c r="D51">
        <v>15698683.753295638</v>
      </c>
      <c r="E51">
        <v>16659914.981287377</v>
      </c>
      <c r="F51">
        <v>3557245</v>
      </c>
      <c r="G51">
        <v>5405446.1338355457</v>
      </c>
      <c r="H51">
        <v>7916772.7904315554</v>
      </c>
      <c r="I51">
        <v>20231976.13584673</v>
      </c>
      <c r="J51">
        <v>14574489.024573952</v>
      </c>
      <c r="K51">
        <v>6922032</v>
      </c>
      <c r="L51">
        <v>7144994</v>
      </c>
      <c r="M51">
        <v>550645</v>
      </c>
      <c r="N51">
        <v>2699219.4045757176</v>
      </c>
      <c r="O51">
        <v>3805544</v>
      </c>
      <c r="P51">
        <v>25848089</v>
      </c>
      <c r="Q51">
        <v>2424702</v>
      </c>
      <c r="R51">
        <v>2972839</v>
      </c>
      <c r="S51">
        <v>3317082</v>
      </c>
      <c r="T51">
        <v>3642459</v>
      </c>
      <c r="U51">
        <v>4063823</v>
      </c>
      <c r="V51">
        <v>4520746</v>
      </c>
    </row>
    <row r="52" spans="1:25" x14ac:dyDescent="0.25">
      <c r="A52" t="s">
        <v>76</v>
      </c>
      <c r="B52">
        <v>990366575</v>
      </c>
      <c r="C52">
        <v>936390461.29805303</v>
      </c>
      <c r="D52">
        <v>1285451935.3067584</v>
      </c>
      <c r="E52">
        <v>1231549451.2032564</v>
      </c>
      <c r="F52">
        <v>1265451126</v>
      </c>
      <c r="G52">
        <v>979426260.02233827</v>
      </c>
      <c r="H52">
        <v>1009872532.7419167</v>
      </c>
      <c r="I52">
        <v>702530706.05116689</v>
      </c>
      <c r="J52">
        <v>906546513.10942626</v>
      </c>
      <c r="K52">
        <v>606523436</v>
      </c>
      <c r="L52">
        <v>553338795</v>
      </c>
      <c r="M52">
        <v>330503288</v>
      </c>
      <c r="N52">
        <v>724109050.05872393</v>
      </c>
      <c r="O52">
        <v>234129937</v>
      </c>
      <c r="P52">
        <v>288315071</v>
      </c>
      <c r="Q52">
        <v>267739986</v>
      </c>
      <c r="R52">
        <v>204267918</v>
      </c>
      <c r="S52">
        <v>185571218</v>
      </c>
      <c r="T52">
        <v>174355153</v>
      </c>
      <c r="U52">
        <v>179334234</v>
      </c>
      <c r="V52">
        <v>184623046</v>
      </c>
      <c r="W52">
        <v>219871545</v>
      </c>
      <c r="X52">
        <v>184867386</v>
      </c>
      <c r="Y52">
        <v>92233250</v>
      </c>
    </row>
    <row r="53" spans="1:25" x14ac:dyDescent="0.25">
      <c r="A53" t="s">
        <v>77</v>
      </c>
      <c r="H53">
        <v>0</v>
      </c>
      <c r="I53">
        <v>0</v>
      </c>
      <c r="N53">
        <v>0</v>
      </c>
    </row>
    <row r="54" spans="1:25" x14ac:dyDescent="0.25">
      <c r="A54" t="s">
        <v>78</v>
      </c>
      <c r="B54">
        <v>48586526</v>
      </c>
      <c r="C54">
        <v>58272640.003023267</v>
      </c>
      <c r="D54">
        <v>122544028.89489715</v>
      </c>
      <c r="E54">
        <v>74520010.120838404</v>
      </c>
      <c r="F54">
        <v>53691452</v>
      </c>
      <c r="G54">
        <v>62188139.257873617</v>
      </c>
      <c r="H54">
        <v>124240885.57783633</v>
      </c>
      <c r="I54">
        <v>76840517.587888598</v>
      </c>
      <c r="J54">
        <v>60665815.333664857</v>
      </c>
      <c r="K54">
        <v>31927685</v>
      </c>
      <c r="L54">
        <v>25594237</v>
      </c>
      <c r="M54">
        <v>20895945</v>
      </c>
      <c r="N54">
        <v>29042812.667975351</v>
      </c>
      <c r="O54">
        <v>8554350</v>
      </c>
      <c r="P54">
        <v>12463474</v>
      </c>
      <c r="Q54">
        <v>7553006</v>
      </c>
      <c r="R54">
        <v>6115662</v>
      </c>
      <c r="S54">
        <v>5378235</v>
      </c>
      <c r="T54">
        <v>4079033</v>
      </c>
      <c r="U54">
        <v>4404006</v>
      </c>
      <c r="V54">
        <v>4351445</v>
      </c>
      <c r="W54">
        <v>8943323</v>
      </c>
      <c r="X54">
        <v>2185723</v>
      </c>
      <c r="Y54">
        <v>345701</v>
      </c>
    </row>
    <row r="55" spans="1:25" x14ac:dyDescent="0.25">
      <c r="A55" t="s">
        <v>79</v>
      </c>
      <c r="B55">
        <v>274497942</v>
      </c>
      <c r="C55">
        <v>183101207.80896407</v>
      </c>
      <c r="D55">
        <v>266579791.24661815</v>
      </c>
      <c r="E55">
        <v>343257121.02010703</v>
      </c>
      <c r="F55">
        <v>456970260</v>
      </c>
      <c r="G55">
        <v>571628558.67246747</v>
      </c>
      <c r="H55">
        <v>553660634.48724401</v>
      </c>
      <c r="I55">
        <v>310586655.8593905</v>
      </c>
      <c r="J55">
        <v>401794430.15369052</v>
      </c>
      <c r="K55">
        <v>1361704570</v>
      </c>
      <c r="L55">
        <v>1683803227</v>
      </c>
      <c r="M55">
        <v>1738242082</v>
      </c>
      <c r="N55">
        <v>497723922.61685073</v>
      </c>
      <c r="O55">
        <v>152602177</v>
      </c>
      <c r="P55">
        <v>281807856</v>
      </c>
      <c r="Q55">
        <v>152450265</v>
      </c>
      <c r="R55">
        <v>132618962</v>
      </c>
      <c r="S55">
        <v>109272342</v>
      </c>
      <c r="T55">
        <v>104285742</v>
      </c>
      <c r="U55">
        <v>63398817</v>
      </c>
      <c r="V55">
        <v>100916227</v>
      </c>
      <c r="W55">
        <v>242023493</v>
      </c>
      <c r="X55">
        <v>253899205</v>
      </c>
      <c r="Y55">
        <v>173758230</v>
      </c>
    </row>
    <row r="56" spans="1:25" x14ac:dyDescent="0.25">
      <c r="A56" t="s">
        <v>80</v>
      </c>
      <c r="H56">
        <v>0</v>
      </c>
      <c r="I56">
        <v>0</v>
      </c>
      <c r="N56">
        <v>0</v>
      </c>
    </row>
    <row r="57" spans="1:25" x14ac:dyDescent="0.25">
      <c r="A57" t="s">
        <v>81</v>
      </c>
    </row>
    <row r="58" spans="1:25" x14ac:dyDescent="0.25">
      <c r="A58" t="s">
        <v>48</v>
      </c>
      <c r="H58">
        <v>0</v>
      </c>
      <c r="N58">
        <v>0</v>
      </c>
    </row>
    <row r="59" spans="1:25" x14ac:dyDescent="0.25">
      <c r="A59" t="s">
        <v>82</v>
      </c>
    </row>
    <row r="60" spans="1:25" x14ac:dyDescent="0.25">
      <c r="A60" t="s">
        <v>83</v>
      </c>
      <c r="B60">
        <v>0</v>
      </c>
      <c r="C60">
        <v>0</v>
      </c>
      <c r="D60">
        <v>0</v>
      </c>
      <c r="E60">
        <v>0</v>
      </c>
      <c r="F60">
        <v>2217585926</v>
      </c>
      <c r="G60">
        <v>2161685403.6694708</v>
      </c>
      <c r="H60">
        <v>2294865258.6227679</v>
      </c>
      <c r="I60">
        <v>16144.81254703268</v>
      </c>
      <c r="J60">
        <v>0</v>
      </c>
      <c r="K60">
        <v>0</v>
      </c>
      <c r="L60">
        <v>0</v>
      </c>
      <c r="M60">
        <v>0</v>
      </c>
      <c r="N60">
        <v>17544996.052614313</v>
      </c>
      <c r="O60">
        <v>34259463</v>
      </c>
      <c r="P60">
        <v>0</v>
      </c>
      <c r="Q60">
        <v>278089436</v>
      </c>
      <c r="R60">
        <v>61096265</v>
      </c>
      <c r="S60">
        <v>61305637</v>
      </c>
      <c r="T60">
        <v>18677054</v>
      </c>
      <c r="U60">
        <v>15095964</v>
      </c>
      <c r="V60">
        <v>7346258</v>
      </c>
      <c r="W60">
        <v>49250696</v>
      </c>
    </row>
    <row r="61" spans="1:25" x14ac:dyDescent="0.25">
      <c r="A6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3424996.3380930796</v>
      </c>
      <c r="J61">
        <v>220802.26864837683</v>
      </c>
      <c r="K61">
        <v>12918</v>
      </c>
      <c r="L61">
        <v>0</v>
      </c>
      <c r="M61">
        <v>4615524</v>
      </c>
      <c r="N61">
        <v>88622750.255396962</v>
      </c>
      <c r="O61">
        <v>2201003</v>
      </c>
    </row>
    <row r="62" spans="1:25" x14ac:dyDescent="0.25">
      <c r="A62" t="s">
        <v>85</v>
      </c>
      <c r="B62">
        <v>33798614</v>
      </c>
      <c r="C62">
        <v>32652205.100902226</v>
      </c>
      <c r="D62">
        <v>40606451.660018452</v>
      </c>
      <c r="E62">
        <v>34229765.656238049</v>
      </c>
      <c r="F62">
        <v>28621621</v>
      </c>
      <c r="G62">
        <v>28619714.171798307</v>
      </c>
      <c r="H62">
        <v>27338587.045121565</v>
      </c>
      <c r="I62">
        <v>28365941.282107264</v>
      </c>
      <c r="J62">
        <v>27721453.227222439</v>
      </c>
      <c r="K62">
        <v>16798939</v>
      </c>
      <c r="L62">
        <v>13220600</v>
      </c>
      <c r="M62">
        <v>11385581</v>
      </c>
      <c r="N62">
        <v>35421872.51370886</v>
      </c>
      <c r="O62">
        <v>9777695</v>
      </c>
      <c r="P62">
        <v>9947000</v>
      </c>
      <c r="Q62">
        <v>7381458</v>
      </c>
      <c r="R62">
        <v>5807581</v>
      </c>
      <c r="S62">
        <v>5248855</v>
      </c>
      <c r="T62">
        <v>5698059</v>
      </c>
      <c r="U62">
        <v>4638283</v>
      </c>
      <c r="V62">
        <v>4511162</v>
      </c>
      <c r="W62">
        <v>1722375</v>
      </c>
      <c r="X62">
        <v>51000</v>
      </c>
      <c r="Y62">
        <v>25000</v>
      </c>
    </row>
    <row r="63" spans="1:25" x14ac:dyDescent="0.25">
      <c r="A63" t="s">
        <v>86</v>
      </c>
      <c r="B63">
        <v>59079159</v>
      </c>
      <c r="C63">
        <v>122642407.24377379</v>
      </c>
      <c r="D63">
        <v>81514942.870923355</v>
      </c>
      <c r="E63">
        <v>72922640.58439295</v>
      </c>
      <c r="F63">
        <v>73589737</v>
      </c>
      <c r="G63">
        <v>155296784.94993192</v>
      </c>
      <c r="H63">
        <v>68678467.869222909</v>
      </c>
      <c r="I63">
        <v>118143692.9828369</v>
      </c>
      <c r="J63">
        <v>110557154.05277979</v>
      </c>
      <c r="K63">
        <v>72370376</v>
      </c>
      <c r="L63">
        <v>88601224</v>
      </c>
      <c r="M63">
        <v>28788903</v>
      </c>
      <c r="N63">
        <v>1551141117.1195562</v>
      </c>
      <c r="O63">
        <v>200219877</v>
      </c>
      <c r="P63">
        <v>132004824</v>
      </c>
      <c r="Q63">
        <v>51482032</v>
      </c>
      <c r="R63">
        <v>43650986</v>
      </c>
      <c r="S63">
        <v>42335551</v>
      </c>
      <c r="T63">
        <v>23954522</v>
      </c>
      <c r="U63">
        <v>34820906</v>
      </c>
      <c r="V63">
        <v>25363408</v>
      </c>
      <c r="W63">
        <v>24467187</v>
      </c>
      <c r="X63">
        <v>119592726</v>
      </c>
      <c r="Y63">
        <v>35636428</v>
      </c>
    </row>
    <row r="64" spans="1:25" x14ac:dyDescent="0.25">
      <c r="A64" t="s">
        <v>87</v>
      </c>
    </row>
    <row r="65" spans="1:25" x14ac:dyDescent="0.25">
      <c r="A65" t="s">
        <v>88</v>
      </c>
    </row>
    <row r="66" spans="1:25" x14ac:dyDescent="0.25">
      <c r="A66" t="s">
        <v>89</v>
      </c>
      <c r="B66">
        <v>2084481187</v>
      </c>
      <c r="C66">
        <v>1745871480.301388</v>
      </c>
      <c r="D66">
        <v>2553079985.2885442</v>
      </c>
      <c r="E66">
        <v>2296535230.3492889</v>
      </c>
      <c r="F66">
        <v>4181599888</v>
      </c>
      <c r="G66">
        <v>4039362501.0576925</v>
      </c>
      <c r="H66">
        <v>4149555298.131619</v>
      </c>
      <c r="I66">
        <v>1288859214.1271811</v>
      </c>
      <c r="J66">
        <v>1543644053.0586131</v>
      </c>
      <c r="K66">
        <v>2149524884</v>
      </c>
      <c r="L66">
        <v>2927392677</v>
      </c>
      <c r="M66">
        <v>2444994629</v>
      </c>
      <c r="N66">
        <v>3863897869.4482574</v>
      </c>
      <c r="O66">
        <v>1111099276</v>
      </c>
      <c r="P66">
        <v>1185272503</v>
      </c>
      <c r="Q66">
        <v>1195440619</v>
      </c>
      <c r="R66">
        <v>1081976692</v>
      </c>
      <c r="S66">
        <v>727106649</v>
      </c>
      <c r="T66">
        <v>581777986</v>
      </c>
      <c r="U66">
        <v>669353511</v>
      </c>
      <c r="V66">
        <v>657896111</v>
      </c>
      <c r="W66">
        <v>942912313</v>
      </c>
      <c r="X66">
        <v>647296201</v>
      </c>
      <c r="Y66">
        <v>336590593</v>
      </c>
    </row>
    <row r="67" spans="1:25" x14ac:dyDescent="0.25">
      <c r="A67" t="s">
        <v>90</v>
      </c>
    </row>
    <row r="68" spans="1:25" x14ac:dyDescent="0.25">
      <c r="A68" t="s">
        <v>74</v>
      </c>
      <c r="B68">
        <v>12281701</v>
      </c>
      <c r="C68">
        <v>19407547.457092199</v>
      </c>
      <c r="D68">
        <v>6819369.3948540473</v>
      </c>
      <c r="E68">
        <v>13768534.979933599</v>
      </c>
      <c r="F68">
        <v>21560552</v>
      </c>
      <c r="G68">
        <v>4492782.4704571366</v>
      </c>
      <c r="H68">
        <v>9479637.3362063393</v>
      </c>
      <c r="I68">
        <v>1498890.6379944566</v>
      </c>
      <c r="J68">
        <v>4077501.5282226074</v>
      </c>
      <c r="K68">
        <v>87037625</v>
      </c>
      <c r="L68">
        <v>2498986148</v>
      </c>
      <c r="M68">
        <v>2043582845</v>
      </c>
      <c r="N68">
        <v>6015534832.3091135</v>
      </c>
      <c r="O68">
        <v>1876779365</v>
      </c>
      <c r="P68">
        <v>1772780053</v>
      </c>
      <c r="Q68">
        <v>1828097267</v>
      </c>
      <c r="R68">
        <v>1671692344</v>
      </c>
      <c r="S68">
        <v>1237248635</v>
      </c>
      <c r="T68">
        <v>1353836970</v>
      </c>
      <c r="U68">
        <v>1467154362</v>
      </c>
      <c r="V68">
        <v>1296196292</v>
      </c>
      <c r="W68">
        <v>949166908</v>
      </c>
      <c r="X68">
        <v>978821734</v>
      </c>
      <c r="Y68">
        <v>619074980</v>
      </c>
    </row>
    <row r="69" spans="1:25" x14ac:dyDescent="0.25">
      <c r="A69" t="s">
        <v>75</v>
      </c>
      <c r="B69">
        <v>0</v>
      </c>
      <c r="C69">
        <v>0</v>
      </c>
      <c r="D69">
        <v>0</v>
      </c>
      <c r="E69">
        <v>0</v>
      </c>
      <c r="H69">
        <v>0</v>
      </c>
      <c r="N69">
        <v>0</v>
      </c>
    </row>
    <row r="70" spans="1:25" x14ac:dyDescent="0.25">
      <c r="A70" t="s">
        <v>76</v>
      </c>
      <c r="H70">
        <v>0</v>
      </c>
      <c r="I70">
        <v>0</v>
      </c>
      <c r="N70">
        <v>0</v>
      </c>
    </row>
    <row r="71" spans="1:25" x14ac:dyDescent="0.25">
      <c r="A71" t="s">
        <v>77</v>
      </c>
      <c r="H71">
        <v>0</v>
      </c>
      <c r="I71">
        <v>0</v>
      </c>
    </row>
    <row r="72" spans="1:25" x14ac:dyDescent="0.25">
      <c r="A72" t="s">
        <v>78</v>
      </c>
    </row>
    <row r="73" spans="1:25" x14ac:dyDescent="0.25">
      <c r="A73" t="s">
        <v>79</v>
      </c>
      <c r="B73">
        <v>16331689</v>
      </c>
      <c r="C73">
        <v>22779707.236043382</v>
      </c>
      <c r="D73">
        <v>29724153.880747214</v>
      </c>
      <c r="E73">
        <v>36951452.526864067</v>
      </c>
      <c r="F73">
        <v>37356451</v>
      </c>
      <c r="G73">
        <v>46758677.054145433</v>
      </c>
      <c r="H73">
        <v>58549845.807583354</v>
      </c>
      <c r="I73">
        <v>71648963.415948823</v>
      </c>
      <c r="J73">
        <v>91809926.241895288</v>
      </c>
      <c r="K73">
        <v>53538769</v>
      </c>
      <c r="L73">
        <v>59023541</v>
      </c>
      <c r="M73">
        <v>899773</v>
      </c>
      <c r="N73">
        <v>5234019.8998322012</v>
      </c>
      <c r="O73">
        <v>2347115</v>
      </c>
      <c r="P73">
        <v>3485224</v>
      </c>
      <c r="Q73">
        <v>4330901</v>
      </c>
      <c r="R73">
        <v>5796327</v>
      </c>
      <c r="S73">
        <v>6339852</v>
      </c>
      <c r="T73">
        <v>4673876</v>
      </c>
      <c r="U73">
        <v>4887256</v>
      </c>
      <c r="V73">
        <v>5550965</v>
      </c>
      <c r="W73">
        <v>4566918</v>
      </c>
    </row>
    <row r="74" spans="1:25" x14ac:dyDescent="0.25">
      <c r="A74" t="s">
        <v>80</v>
      </c>
      <c r="H74">
        <v>0</v>
      </c>
      <c r="I74">
        <v>0</v>
      </c>
    </row>
    <row r="75" spans="1:25" x14ac:dyDescent="0.25">
      <c r="A75" t="s">
        <v>82</v>
      </c>
    </row>
    <row r="76" spans="1:25" x14ac:dyDescent="0.25">
      <c r="A76" t="s">
        <v>81</v>
      </c>
    </row>
    <row r="77" spans="1:25" x14ac:dyDescent="0.25">
      <c r="A77" t="s">
        <v>48</v>
      </c>
      <c r="H77">
        <v>0</v>
      </c>
      <c r="I77">
        <v>0</v>
      </c>
    </row>
    <row r="78" spans="1:25" x14ac:dyDescent="0.25">
      <c r="A78" t="s">
        <v>82</v>
      </c>
    </row>
    <row r="79" spans="1:25" x14ac:dyDescent="0.25">
      <c r="A79" t="s">
        <v>83</v>
      </c>
      <c r="B79">
        <v>0</v>
      </c>
      <c r="C79">
        <v>2403684186.1485734</v>
      </c>
      <c r="D79">
        <v>2469979824.469275</v>
      </c>
      <c r="E79">
        <v>2472089540.3344989</v>
      </c>
      <c r="F79">
        <v>0</v>
      </c>
      <c r="H79">
        <v>0</v>
      </c>
      <c r="I79">
        <v>0</v>
      </c>
    </row>
    <row r="80" spans="1:25" x14ac:dyDescent="0.25">
      <c r="A80" t="s">
        <v>91</v>
      </c>
      <c r="B80">
        <v>26015155</v>
      </c>
      <c r="C80">
        <v>16805395.662365392</v>
      </c>
      <c r="D80">
        <v>15283844.103152128</v>
      </c>
      <c r="E80">
        <v>15828485.35773973</v>
      </c>
      <c r="F80">
        <v>12054805</v>
      </c>
      <c r="G80">
        <v>11817799.856260097</v>
      </c>
      <c r="H80">
        <v>9312638.0240806472</v>
      </c>
      <c r="I80">
        <v>12577566.121502057</v>
      </c>
      <c r="J80">
        <v>12796219.883980555</v>
      </c>
      <c r="K80">
        <v>6252787</v>
      </c>
      <c r="L80">
        <v>5139659</v>
      </c>
      <c r="M80">
        <v>3152279</v>
      </c>
      <c r="N80">
        <v>10313400.643408017</v>
      </c>
      <c r="O80">
        <v>2981566</v>
      </c>
      <c r="P80">
        <v>2220994</v>
      </c>
      <c r="Q80">
        <v>1771837</v>
      </c>
      <c r="R80">
        <v>1509318</v>
      </c>
      <c r="S80">
        <v>1227797</v>
      </c>
      <c r="T80">
        <v>1165540</v>
      </c>
      <c r="U80">
        <v>1139871</v>
      </c>
      <c r="V80">
        <v>1003472</v>
      </c>
      <c r="W80">
        <v>590022</v>
      </c>
      <c r="X80">
        <v>921955</v>
      </c>
      <c r="Y80">
        <v>539381</v>
      </c>
    </row>
    <row r="81" spans="1:25" x14ac:dyDescent="0.25">
      <c r="A81" t="s">
        <v>92</v>
      </c>
    </row>
    <row r="82" spans="1:25" x14ac:dyDescent="0.25">
      <c r="A82" t="s">
        <v>93</v>
      </c>
      <c r="B82">
        <v>19269486</v>
      </c>
      <c r="C82">
        <v>48205821.230540328</v>
      </c>
      <c r="D82">
        <v>42962512.730490364</v>
      </c>
      <c r="E82">
        <v>28240618.162700657</v>
      </c>
      <c r="F82">
        <v>33245469</v>
      </c>
      <c r="G82">
        <v>74331182.407222822</v>
      </c>
      <c r="H82">
        <v>0</v>
      </c>
      <c r="I82">
        <v>80349.595058589301</v>
      </c>
      <c r="J82">
        <v>74873743.010616302</v>
      </c>
      <c r="K82">
        <v>27893406</v>
      </c>
      <c r="L82">
        <v>13916860</v>
      </c>
      <c r="M82">
        <v>8041436</v>
      </c>
      <c r="N82">
        <v>55728795.55855716</v>
      </c>
      <c r="O82">
        <v>4779096</v>
      </c>
      <c r="P82">
        <v>17057066</v>
      </c>
      <c r="Q82">
        <v>183986368</v>
      </c>
      <c r="R82">
        <v>175075436</v>
      </c>
      <c r="S82">
        <v>2431070</v>
      </c>
      <c r="T82">
        <v>2479885</v>
      </c>
      <c r="U82">
        <v>2171016</v>
      </c>
      <c r="V82">
        <v>1996500</v>
      </c>
      <c r="W82">
        <v>46610189</v>
      </c>
      <c r="X82">
        <v>80329158</v>
      </c>
      <c r="Y82">
        <v>81037</v>
      </c>
    </row>
    <row r="83" spans="1:25" x14ac:dyDescent="0.25">
      <c r="A83" t="s">
        <v>94</v>
      </c>
      <c r="B83">
        <v>3558832</v>
      </c>
      <c r="C83">
        <v>5994170.3729545437</v>
      </c>
      <c r="D83">
        <v>8895463.5963980239</v>
      </c>
      <c r="E83">
        <v>12028511.138599988</v>
      </c>
      <c r="F83">
        <v>16099137</v>
      </c>
      <c r="G83">
        <v>20176871.443265673</v>
      </c>
      <c r="H83">
        <v>25291929.616119593</v>
      </c>
      <c r="I83">
        <v>31094647.823652588</v>
      </c>
      <c r="J83">
        <v>40051426.784176119</v>
      </c>
      <c r="K83">
        <v>23454361</v>
      </c>
      <c r="L83">
        <v>25869472</v>
      </c>
      <c r="M83">
        <v>261265</v>
      </c>
      <c r="N83">
        <v>1498290.2959534898</v>
      </c>
      <c r="O83">
        <v>635405</v>
      </c>
      <c r="P83">
        <v>899633</v>
      </c>
      <c r="Q83">
        <v>1100858</v>
      </c>
      <c r="R83">
        <v>1447164</v>
      </c>
      <c r="S83">
        <v>1625597</v>
      </c>
      <c r="T83">
        <v>1001849</v>
      </c>
      <c r="U83">
        <v>799531</v>
      </c>
      <c r="V83">
        <v>920647</v>
      </c>
      <c r="W83">
        <v>2154031</v>
      </c>
    </row>
    <row r="84" spans="1:25" x14ac:dyDescent="0.25">
      <c r="A84" t="s">
        <v>95</v>
      </c>
      <c r="B84">
        <v>77456863</v>
      </c>
      <c r="C84">
        <v>2516876828.1075692</v>
      </c>
      <c r="D84">
        <v>2573665168.1749167</v>
      </c>
      <c r="E84">
        <v>2578907142.5003366</v>
      </c>
      <c r="F84">
        <v>120316414</v>
      </c>
      <c r="G84">
        <v>157577313.2313512</v>
      </c>
      <c r="H84">
        <v>102634050.78398994</v>
      </c>
      <c r="I84">
        <v>116900417.59415649</v>
      </c>
      <c r="J84">
        <v>223608817.44889086</v>
      </c>
      <c r="K84">
        <v>198176948</v>
      </c>
      <c r="L84">
        <v>2602935680</v>
      </c>
      <c r="M84">
        <v>2055937598</v>
      </c>
      <c r="N84">
        <v>6088309338.7068663</v>
      </c>
      <c r="O84">
        <v>1887522547</v>
      </c>
      <c r="P84">
        <v>1796442970</v>
      </c>
      <c r="Q84">
        <v>2019287231</v>
      </c>
      <c r="R84">
        <v>1855520589</v>
      </c>
      <c r="S84">
        <v>1248872951</v>
      </c>
      <c r="T84">
        <v>1363158120</v>
      </c>
      <c r="U84">
        <v>1476152036</v>
      </c>
      <c r="V84">
        <v>1305667876</v>
      </c>
      <c r="W84">
        <v>1003088068</v>
      </c>
      <c r="X84">
        <v>1060072847</v>
      </c>
      <c r="Y84">
        <v>619695398</v>
      </c>
    </row>
    <row r="85" spans="1:25" x14ac:dyDescent="0.25">
      <c r="A85" t="s">
        <v>96</v>
      </c>
    </row>
    <row r="86" spans="1:25" x14ac:dyDescent="0.25">
      <c r="A86" t="s">
        <v>97</v>
      </c>
      <c r="B86">
        <v>27934207290</v>
      </c>
      <c r="C86">
        <v>27546669504.277306</v>
      </c>
      <c r="D86">
        <v>29361679689.020554</v>
      </c>
      <c r="E86">
        <v>31141073310.205688</v>
      </c>
      <c r="F86">
        <v>29417300128</v>
      </c>
      <c r="G86">
        <v>29474862355.995201</v>
      </c>
      <c r="H86">
        <v>30552107615.665157</v>
      </c>
      <c r="I86">
        <v>31030727561.024734</v>
      </c>
      <c r="J86">
        <v>31801939817.820778</v>
      </c>
      <c r="K86">
        <v>7920943366</v>
      </c>
      <c r="L86">
        <v>4312745475</v>
      </c>
      <c r="M86">
        <v>4711899311</v>
      </c>
      <c r="N86">
        <v>22343269161.589771</v>
      </c>
      <c r="O86">
        <v>3962168594</v>
      </c>
      <c r="P86">
        <v>3276261394</v>
      </c>
      <c r="Q86">
        <v>2895562182</v>
      </c>
      <c r="R86">
        <v>2615633233</v>
      </c>
      <c r="S86">
        <v>923115092</v>
      </c>
      <c r="T86">
        <v>869674494</v>
      </c>
      <c r="U86">
        <v>631871655</v>
      </c>
      <c r="V86">
        <v>792456252</v>
      </c>
      <c r="W86">
        <v>750765300</v>
      </c>
      <c r="X86">
        <v>783314035</v>
      </c>
      <c r="Y86">
        <v>138766579</v>
      </c>
    </row>
    <row r="87" spans="1:25" x14ac:dyDescent="0.25">
      <c r="A87" t="s">
        <v>98</v>
      </c>
      <c r="B87">
        <v>7000000000</v>
      </c>
      <c r="C87">
        <v>7000000000</v>
      </c>
      <c r="D87">
        <v>7000000000</v>
      </c>
      <c r="E87">
        <v>7000000000</v>
      </c>
      <c r="F87">
        <v>7000000000</v>
      </c>
      <c r="G87">
        <v>7000000000</v>
      </c>
      <c r="H87">
        <v>7000000000</v>
      </c>
      <c r="I87">
        <v>938116903</v>
      </c>
      <c r="J87">
        <v>938116903</v>
      </c>
      <c r="K87">
        <v>800000000</v>
      </c>
      <c r="L87">
        <v>800000000</v>
      </c>
      <c r="M87">
        <v>320000000</v>
      </c>
      <c r="N87">
        <v>320000000</v>
      </c>
      <c r="O87">
        <v>320000000</v>
      </c>
      <c r="P87">
        <v>320000000</v>
      </c>
      <c r="Q87">
        <v>320000000</v>
      </c>
      <c r="R87">
        <v>320000000</v>
      </c>
      <c r="S87">
        <v>320000000</v>
      </c>
      <c r="T87">
        <v>320000000</v>
      </c>
      <c r="U87">
        <v>252410000</v>
      </c>
      <c r="V87">
        <v>252410000</v>
      </c>
      <c r="W87">
        <v>97410000</v>
      </c>
      <c r="X87">
        <v>44815160</v>
      </c>
      <c r="Y87">
        <v>44815160</v>
      </c>
    </row>
    <row r="88" spans="1:25" x14ac:dyDescent="0.25">
      <c r="A88" t="s">
        <v>99</v>
      </c>
      <c r="B88">
        <v>4261953930</v>
      </c>
      <c r="C88">
        <v>4261953929.1714973</v>
      </c>
      <c r="D88">
        <v>4261953930.0038915</v>
      </c>
      <c r="E88">
        <v>4261953926.7870574</v>
      </c>
      <c r="F88">
        <v>4261953930</v>
      </c>
      <c r="G88">
        <v>4482644069.9370317</v>
      </c>
      <c r="H88">
        <v>4482960484.5012913</v>
      </c>
      <c r="I88">
        <v>3559150613.3197765</v>
      </c>
      <c r="J88">
        <v>3481009985.5910821</v>
      </c>
      <c r="N88">
        <v>2412418878.7582412</v>
      </c>
    </row>
    <row r="89" spans="1:25" x14ac:dyDescent="0.25">
      <c r="A89" t="s">
        <v>100</v>
      </c>
    </row>
    <row r="90" spans="1:25" x14ac:dyDescent="0.25">
      <c r="A90" t="s">
        <v>101</v>
      </c>
    </row>
    <row r="91" spans="1:25" x14ac:dyDescent="0.25">
      <c r="A91" t="s">
        <v>102</v>
      </c>
      <c r="B91">
        <v>878563885</v>
      </c>
      <c r="C91">
        <v>916827319.15725434</v>
      </c>
      <c r="D91">
        <v>1654097280.9374969</v>
      </c>
      <c r="E91">
        <v>1753454298.2289176</v>
      </c>
      <c r="F91">
        <v>1929900310</v>
      </c>
      <c r="G91">
        <v>2050904883.4729395</v>
      </c>
      <c r="H91">
        <v>2233836165.5653243</v>
      </c>
      <c r="I91">
        <v>2421587533.563921</v>
      </c>
      <c r="J91">
        <v>2786366359.2658768</v>
      </c>
      <c r="K91">
        <v>3005423800</v>
      </c>
      <c r="N91">
        <v>0</v>
      </c>
    </row>
    <row r="92" spans="1:25" x14ac:dyDescent="0.25">
      <c r="A92" t="s">
        <v>103</v>
      </c>
    </row>
    <row r="93" spans="1:25" x14ac:dyDescent="0.25">
      <c r="A93" t="s">
        <v>104</v>
      </c>
    </row>
    <row r="94" spans="1:25" x14ac:dyDescent="0.25">
      <c r="A94" t="s">
        <v>105</v>
      </c>
      <c r="B94">
        <v>398536088</v>
      </c>
      <c r="C94">
        <v>398536087.8742494</v>
      </c>
      <c r="D94">
        <v>398536088.52099347</v>
      </c>
      <c r="E94">
        <v>398536088.13248765</v>
      </c>
      <c r="F94">
        <v>398536088</v>
      </c>
      <c r="G94">
        <v>398536088.3530221</v>
      </c>
      <c r="H94">
        <v>1440193874.3123627</v>
      </c>
      <c r="I94">
        <v>5969499828.3397579</v>
      </c>
      <c r="J94">
        <v>5969499826.9767437</v>
      </c>
      <c r="K94">
        <v>0</v>
      </c>
      <c r="L94">
        <v>0</v>
      </c>
      <c r="M94">
        <v>0</v>
      </c>
      <c r="N94">
        <v>1223388696.106858</v>
      </c>
      <c r="O94">
        <v>185332488</v>
      </c>
      <c r="P94">
        <v>185332488</v>
      </c>
      <c r="Q94">
        <v>185332488</v>
      </c>
      <c r="R94">
        <v>185332488</v>
      </c>
      <c r="S94">
        <v>185339488</v>
      </c>
      <c r="T94">
        <v>186569716</v>
      </c>
    </row>
    <row r="95" spans="1:25" x14ac:dyDescent="0.25">
      <c r="A95" t="s">
        <v>106</v>
      </c>
    </row>
    <row r="96" spans="1:25" x14ac:dyDescent="0.25">
      <c r="A96" t="s">
        <v>107</v>
      </c>
    </row>
    <row r="97" spans="1:25" x14ac:dyDescent="0.25">
      <c r="A97" t="s">
        <v>108</v>
      </c>
      <c r="B97">
        <v>-6348241</v>
      </c>
      <c r="C97">
        <v>20359200.319786053</v>
      </c>
      <c r="D97">
        <v>5381441.0228403946</v>
      </c>
      <c r="E97">
        <v>1530365397.0487258</v>
      </c>
      <c r="F97">
        <v>6799806</v>
      </c>
      <c r="G97">
        <v>-1388872151.3485925</v>
      </c>
      <c r="H97">
        <v>-1623982653.3168817</v>
      </c>
      <c r="I97">
        <v>-2072391908.5528193</v>
      </c>
      <c r="J97">
        <v>-2460859751.684763</v>
      </c>
      <c r="K97">
        <v>2827664591</v>
      </c>
      <c r="L97">
        <v>2828453308</v>
      </c>
      <c r="M97">
        <v>2830825091</v>
      </c>
      <c r="N97">
        <v>-2391708761.1687231</v>
      </c>
      <c r="O97">
        <v>2829650223</v>
      </c>
      <c r="P97">
        <v>2830445086</v>
      </c>
      <c r="Q97">
        <v>2830678223</v>
      </c>
      <c r="R97">
        <v>2830644314</v>
      </c>
      <c r="S97">
        <v>654293581</v>
      </c>
      <c r="T97">
        <v>654283368</v>
      </c>
      <c r="U97">
        <v>654257336</v>
      </c>
      <c r="V97">
        <v>654233804</v>
      </c>
    </row>
    <row r="98" spans="1:25" x14ac:dyDescent="0.25">
      <c r="A98" t="s">
        <v>109</v>
      </c>
      <c r="B98">
        <v>405351552</v>
      </c>
      <c r="C98">
        <v>1518709047.37114</v>
      </c>
      <c r="D98">
        <v>1598890725.6230123</v>
      </c>
      <c r="F98">
        <v>-727285754</v>
      </c>
      <c r="H98">
        <v>0</v>
      </c>
      <c r="I98">
        <v>0</v>
      </c>
      <c r="K98">
        <v>-1346276666</v>
      </c>
      <c r="L98">
        <v>-1413477290</v>
      </c>
      <c r="M98">
        <v>-937401381</v>
      </c>
      <c r="N98">
        <v>0</v>
      </c>
      <c r="O98">
        <v>-746927963</v>
      </c>
      <c r="P98">
        <v>-680134016</v>
      </c>
      <c r="Q98">
        <v>-559045867</v>
      </c>
      <c r="R98">
        <v>-425193010</v>
      </c>
    </row>
    <row r="99" spans="1:25" x14ac:dyDescent="0.25">
      <c r="A99" t="s">
        <v>110</v>
      </c>
      <c r="B99">
        <v>316692119</v>
      </c>
      <c r="C99">
        <v>316692119.64035314</v>
      </c>
      <c r="D99">
        <v>316692119.65117794</v>
      </c>
      <c r="E99">
        <v>316692119.20710462</v>
      </c>
      <c r="F99">
        <v>316692119</v>
      </c>
      <c r="G99">
        <v>316692119.85277659</v>
      </c>
      <c r="H99">
        <v>316692119.46632808</v>
      </c>
      <c r="I99">
        <v>77298936.647305191</v>
      </c>
      <c r="J99">
        <v>77298937.01256077</v>
      </c>
      <c r="K99">
        <v>27307069</v>
      </c>
      <c r="L99">
        <v>27307069</v>
      </c>
      <c r="M99">
        <v>27307068</v>
      </c>
      <c r="N99">
        <v>0</v>
      </c>
    </row>
    <row r="100" spans="1:25" x14ac:dyDescent="0.25">
      <c r="A100" t="s">
        <v>111</v>
      </c>
    </row>
    <row r="101" spans="1:25" x14ac:dyDescent="0.25">
      <c r="A101" t="s">
        <v>112</v>
      </c>
    </row>
    <row r="102" spans="1:25" x14ac:dyDescent="0.25">
      <c r="A102" t="s">
        <v>113</v>
      </c>
    </row>
    <row r="103" spans="1:25" x14ac:dyDescent="0.25">
      <c r="A103" t="s">
        <v>114</v>
      </c>
      <c r="B103">
        <v>16388010959</v>
      </c>
      <c r="C103">
        <v>16238890160.209297</v>
      </c>
      <c r="D103">
        <v>16230703627.019484</v>
      </c>
      <c r="E103">
        <v>16230703629.471014</v>
      </c>
      <c r="F103">
        <v>17844643469</v>
      </c>
      <c r="G103">
        <v>17827283478.544552</v>
      </c>
      <c r="H103">
        <v>17845244614.458721</v>
      </c>
      <c r="I103">
        <v>21010507558.237003</v>
      </c>
      <c r="J103">
        <v>20166215428.081589</v>
      </c>
      <c r="K103">
        <v>1523673651</v>
      </c>
      <c r="L103">
        <v>1523673651</v>
      </c>
      <c r="M103">
        <v>2001300399</v>
      </c>
      <c r="N103">
        <v>15850571644.864058</v>
      </c>
      <c r="O103">
        <v>-293751490</v>
      </c>
      <c r="P103">
        <v>-293751490</v>
      </c>
      <c r="Q103">
        <v>-293751490</v>
      </c>
      <c r="R103">
        <v>-112788484</v>
      </c>
      <c r="S103">
        <v>-112788485</v>
      </c>
      <c r="T103">
        <v>-112788485</v>
      </c>
      <c r="U103">
        <v>-112788485</v>
      </c>
      <c r="V103">
        <v>-150141189</v>
      </c>
      <c r="W103">
        <v>-2252619</v>
      </c>
      <c r="X103">
        <v>95383998</v>
      </c>
      <c r="Y103">
        <v>-14514569</v>
      </c>
    </row>
    <row r="104" spans="1:25" x14ac:dyDescent="0.25">
      <c r="A104" t="s">
        <v>115</v>
      </c>
      <c r="B104">
        <v>-1708553002</v>
      </c>
      <c r="C104">
        <v>-3125298359.4662719</v>
      </c>
      <c r="D104">
        <v>-2104575523.7583435</v>
      </c>
      <c r="E104">
        <v>-350632148.66962016</v>
      </c>
      <c r="F104">
        <v>-1613939840</v>
      </c>
      <c r="G104">
        <v>-1212326132.8165319</v>
      </c>
      <c r="H104">
        <v>-1142836989.321991</v>
      </c>
      <c r="I104">
        <v>-873041903.53020167</v>
      </c>
      <c r="J104">
        <v>844292129.57768345</v>
      </c>
      <c r="K104">
        <v>1084549989</v>
      </c>
      <c r="L104">
        <v>548187805</v>
      </c>
      <c r="M104">
        <v>471267202</v>
      </c>
      <c r="N104">
        <v>4928598703.0293427</v>
      </c>
      <c r="O104">
        <v>1669264404</v>
      </c>
      <c r="P104">
        <v>915768394</v>
      </c>
      <c r="Q104">
        <v>413747896</v>
      </c>
      <c r="R104">
        <v>-180963007</v>
      </c>
      <c r="S104">
        <v>-122330424</v>
      </c>
      <c r="T104">
        <v>-176991037</v>
      </c>
      <c r="U104">
        <v>-160608128</v>
      </c>
      <c r="V104">
        <v>37352705</v>
      </c>
      <c r="W104">
        <v>-147888570</v>
      </c>
      <c r="X104">
        <v>-82551816</v>
      </c>
      <c r="Y104">
        <v>109898567</v>
      </c>
    </row>
    <row r="105" spans="1:25" x14ac:dyDescent="0.25">
      <c r="A105" t="s">
        <v>116</v>
      </c>
      <c r="B105">
        <v>832311312</v>
      </c>
      <c r="C105">
        <v>85803392.25808531</v>
      </c>
      <c r="D105">
        <v>88118599.058170542</v>
      </c>
      <c r="E105">
        <v>87722324.544622272</v>
      </c>
      <c r="F105">
        <v>91357993</v>
      </c>
      <c r="G105">
        <v>93471098.038611963</v>
      </c>
      <c r="H105">
        <v>107357146.94644481</v>
      </c>
      <c r="I105">
        <v>0</v>
      </c>
      <c r="J105">
        <v>0</v>
      </c>
      <c r="N105">
        <v>0</v>
      </c>
    </row>
    <row r="106" spans="1:25" x14ac:dyDescent="0.25">
      <c r="A106" t="s">
        <v>117</v>
      </c>
      <c r="B106">
        <v>28766518602</v>
      </c>
      <c r="C106">
        <v>27632472896.535389</v>
      </c>
      <c r="D106">
        <v>29449798288.078724</v>
      </c>
      <c r="E106">
        <v>31228795634.750309</v>
      </c>
      <c r="F106">
        <v>29508658121</v>
      </c>
      <c r="G106">
        <v>29568333454.033806</v>
      </c>
      <c r="H106">
        <v>30659464762.611603</v>
      </c>
      <c r="I106">
        <v>31030727561.024734</v>
      </c>
      <c r="J106">
        <v>31801939817.820778</v>
      </c>
      <c r="K106">
        <v>7920943366</v>
      </c>
      <c r="L106">
        <v>4312745475</v>
      </c>
      <c r="M106">
        <v>4711899311</v>
      </c>
      <c r="N106">
        <v>22343269161.589771</v>
      </c>
      <c r="O106">
        <v>3962168594</v>
      </c>
      <c r="P106">
        <v>3276261394</v>
      </c>
      <c r="Q106">
        <v>2895562182</v>
      </c>
      <c r="R106">
        <v>2615633233</v>
      </c>
      <c r="S106">
        <v>923115092</v>
      </c>
      <c r="T106">
        <v>869674494</v>
      </c>
      <c r="U106">
        <v>631871655</v>
      </c>
      <c r="V106">
        <v>792456252</v>
      </c>
      <c r="W106">
        <v>750765300</v>
      </c>
      <c r="X106">
        <v>783314035</v>
      </c>
      <c r="Y106">
        <v>138766579</v>
      </c>
    </row>
    <row r="107" spans="1:25" x14ac:dyDescent="0.25">
      <c r="A107" t="s">
        <v>118</v>
      </c>
      <c r="B107">
        <v>30928456652</v>
      </c>
      <c r="C107">
        <v>31895221204.944347</v>
      </c>
      <c r="D107">
        <v>34576543441.542191</v>
      </c>
      <c r="E107">
        <v>36104238007.599937</v>
      </c>
      <c r="F107">
        <v>33810574423</v>
      </c>
      <c r="G107">
        <v>33765273268.322853</v>
      </c>
      <c r="H107">
        <v>34911654111.527206</v>
      </c>
      <c r="I107">
        <v>32436487192.746071</v>
      </c>
      <c r="J107">
        <v>33569192688.328278</v>
      </c>
      <c r="K107">
        <v>10268645198</v>
      </c>
      <c r="L107">
        <v>9843073832</v>
      </c>
      <c r="M107">
        <v>9212831538</v>
      </c>
      <c r="N107">
        <v>32295476369.744896</v>
      </c>
      <c r="O107">
        <v>6960790417</v>
      </c>
      <c r="P107">
        <v>6257976867</v>
      </c>
      <c r="Q107">
        <v>6110290032</v>
      </c>
      <c r="R107">
        <v>5553130514</v>
      </c>
      <c r="S107">
        <v>2899094692</v>
      </c>
      <c r="T107">
        <v>2814610600</v>
      </c>
      <c r="U107">
        <v>2777377202</v>
      </c>
      <c r="V107">
        <v>2756020239</v>
      </c>
      <c r="W107">
        <v>2696765681</v>
      </c>
      <c r="X107">
        <v>2490683085</v>
      </c>
      <c r="Y107">
        <v>1095052573</v>
      </c>
    </row>
    <row r="108" spans="1:25" x14ac:dyDescent="0.25">
      <c r="A108" t="s">
        <v>119</v>
      </c>
      <c r="C108">
        <v>2416156613.0418711</v>
      </c>
      <c r="D108">
        <v>2597118059.7042212</v>
      </c>
      <c r="E108">
        <v>2477518417.0979629</v>
      </c>
      <c r="F108">
        <v>1655478038</v>
      </c>
      <c r="G108">
        <v>54531801.332081117</v>
      </c>
      <c r="H108">
        <v>-124468828.29106754</v>
      </c>
      <c r="I108">
        <v>198919310.71961287</v>
      </c>
      <c r="J108">
        <v>-248074856.74085042</v>
      </c>
      <c r="K108">
        <v>103930808</v>
      </c>
      <c r="L108">
        <v>-3073072952</v>
      </c>
      <c r="M108">
        <v>-2075764054</v>
      </c>
      <c r="N108">
        <v>-6354559767.1042929</v>
      </c>
      <c r="O108">
        <v>-1935042478</v>
      </c>
      <c r="P108">
        <v>-1854161157</v>
      </c>
      <c r="Q108">
        <v>-1947114611</v>
      </c>
      <c r="R108">
        <v>-2387623643</v>
      </c>
      <c r="S108">
        <v>-1336019890</v>
      </c>
      <c r="T108">
        <v>1095509505</v>
      </c>
      <c r="U108">
        <v>-1618547169</v>
      </c>
      <c r="V108">
        <v>-1406449386</v>
      </c>
      <c r="W108">
        <v>-1326853422</v>
      </c>
      <c r="X108">
        <v>-1118946000</v>
      </c>
      <c r="Y108">
        <v>-644687198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"/>
  <sheetViews>
    <sheetView zoomScaleNormal="100" workbookViewId="0">
      <selection sqref="A1:XFD1048576"/>
    </sheetView>
  </sheetViews>
  <sheetFormatPr defaultRowHeight="15.75" outlineLevelCol="2" x14ac:dyDescent="0.25"/>
  <cols>
    <col min="1" max="1" width="40" customWidth="1" outlineLevel="2"/>
    <col min="2" max="41" width="20" customWidth="1"/>
  </cols>
  <sheetData>
    <row r="1" spans="1:28" x14ac:dyDescent="0.25">
      <c r="A1" t="s">
        <v>0</v>
      </c>
      <c r="B1" t="s">
        <v>303</v>
      </c>
      <c r="C1" t="s">
        <v>304</v>
      </c>
      <c r="D1" t="s">
        <v>302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26</v>
      </c>
      <c r="AB1" t="s">
        <v>30</v>
      </c>
    </row>
    <row r="2" spans="1:28" x14ac:dyDescent="0.25">
      <c r="A2" t="s">
        <v>121</v>
      </c>
    </row>
    <row r="3" spans="1:28" x14ac:dyDescent="0.25">
      <c r="A3" t="s">
        <v>122</v>
      </c>
      <c r="B3">
        <v>6160091890</v>
      </c>
      <c r="C3">
        <v>4763809208.5107212</v>
      </c>
      <c r="D3">
        <v>2862495015.9938445</v>
      </c>
      <c r="E3">
        <v>1161210752.1998422</v>
      </c>
      <c r="F3">
        <v>7989409873</v>
      </c>
      <c r="G3">
        <v>5792999936.9220247</v>
      </c>
      <c r="H3">
        <v>3424255104.2091074</v>
      </c>
      <c r="I3">
        <v>2058051972.239393</v>
      </c>
      <c r="J3">
        <v>11019318819.531408</v>
      </c>
      <c r="K3">
        <v>8617152699.946331</v>
      </c>
      <c r="L3">
        <v>6008789507.9164391</v>
      </c>
      <c r="M3">
        <v>3438631376.8721766</v>
      </c>
      <c r="N3">
        <v>21543001925.851803</v>
      </c>
      <c r="O3">
        <v>3217285731</v>
      </c>
      <c r="P3">
        <v>1988694905</v>
      </c>
      <c r="Q3">
        <v>907059213</v>
      </c>
      <c r="R3">
        <v>1192936521</v>
      </c>
      <c r="S3">
        <v>826376117</v>
      </c>
      <c r="T3">
        <v>500782637</v>
      </c>
      <c r="U3">
        <v>237729655</v>
      </c>
      <c r="V3">
        <v>739549313</v>
      </c>
      <c r="W3">
        <v>516129703</v>
      </c>
      <c r="X3">
        <v>366381237</v>
      </c>
      <c r="Y3">
        <v>151643506</v>
      </c>
      <c r="Z3">
        <v>741955505</v>
      </c>
      <c r="AA3">
        <v>234157733</v>
      </c>
    </row>
    <row r="4" spans="1:28" x14ac:dyDescent="0.25">
      <c r="A4" t="s">
        <v>123</v>
      </c>
    </row>
    <row r="5" spans="1:28" x14ac:dyDescent="0.25">
      <c r="A5" t="s">
        <v>124</v>
      </c>
      <c r="J5">
        <v>10369172647.161551</v>
      </c>
      <c r="K5">
        <v>4862796197.4321508</v>
      </c>
      <c r="L5">
        <v>3264051990.4222116</v>
      </c>
      <c r="M5">
        <v>1858402740.290391</v>
      </c>
      <c r="N5">
        <v>21543001925.851803</v>
      </c>
      <c r="O5">
        <v>3227930337</v>
      </c>
      <c r="P5">
        <v>1997872806</v>
      </c>
      <c r="Q5">
        <v>907059213</v>
      </c>
      <c r="R5">
        <v>1192936521</v>
      </c>
    </row>
    <row r="6" spans="1:28" x14ac:dyDescent="0.25">
      <c r="A6" t="s">
        <v>125</v>
      </c>
    </row>
    <row r="7" spans="1:28" x14ac:dyDescent="0.25">
      <c r="A7" t="s">
        <v>126</v>
      </c>
      <c r="B7">
        <v>-5773771339</v>
      </c>
      <c r="C7">
        <v>-4421226602.4739962</v>
      </c>
      <c r="D7">
        <v>-2684417658.4892745</v>
      </c>
      <c r="E7">
        <v>-1108352244.4784606</v>
      </c>
      <c r="F7">
        <v>-6669386297</v>
      </c>
      <c r="G7">
        <v>-4361116830.4807262</v>
      </c>
      <c r="H7">
        <v>-2899823686.1626</v>
      </c>
      <c r="I7">
        <v>-1699009786.9460149</v>
      </c>
      <c r="J7">
        <v>-9185408055.6774769</v>
      </c>
      <c r="K7">
        <v>-6731226932.6669703</v>
      </c>
      <c r="L7">
        <v>-4778828900.4932861</v>
      </c>
      <c r="M7">
        <v>-2725941015.1087317</v>
      </c>
      <c r="N7">
        <v>-14159599584.435356</v>
      </c>
      <c r="O7">
        <v>-1936465815</v>
      </c>
      <c r="P7">
        <v>-1090625255</v>
      </c>
      <c r="Q7">
        <v>-399744400</v>
      </c>
      <c r="R7">
        <v>-865358998</v>
      </c>
      <c r="S7">
        <v>-614773542</v>
      </c>
      <c r="T7">
        <v>-376118586</v>
      </c>
      <c r="U7">
        <v>-186097006</v>
      </c>
      <c r="V7">
        <v>-527296553</v>
      </c>
      <c r="W7">
        <v>-363539389</v>
      </c>
      <c r="X7">
        <v>-249027985</v>
      </c>
      <c r="Y7">
        <v>-119619822</v>
      </c>
      <c r="Z7">
        <v>-575342199</v>
      </c>
      <c r="AA7">
        <v>-216495769</v>
      </c>
    </row>
    <row r="8" spans="1:28" x14ac:dyDescent="0.25">
      <c r="A8" t="s">
        <v>127</v>
      </c>
      <c r="B8">
        <v>386320551</v>
      </c>
      <c r="C8">
        <v>342582606.03672463</v>
      </c>
      <c r="D8">
        <v>178077357.50457031</v>
      </c>
      <c r="E8">
        <v>52858507.721381657</v>
      </c>
      <c r="F8">
        <v>1320023576</v>
      </c>
      <c r="G8">
        <v>1431883106.4412987</v>
      </c>
      <c r="H8">
        <v>524431418.04650766</v>
      </c>
      <c r="I8">
        <v>359042185.29337806</v>
      </c>
      <c r="J8">
        <v>1833910763.8539307</v>
      </c>
      <c r="K8">
        <v>1885925767.2793608</v>
      </c>
      <c r="L8">
        <v>1229960607.4231555</v>
      </c>
      <c r="M8">
        <v>712690361.7634449</v>
      </c>
      <c r="N8">
        <v>7383402341.4164515</v>
      </c>
      <c r="O8">
        <v>1280819916</v>
      </c>
      <c r="P8">
        <v>898069650</v>
      </c>
      <c r="Q8">
        <v>507314813</v>
      </c>
      <c r="R8">
        <v>327577523</v>
      </c>
      <c r="S8">
        <v>211602575</v>
      </c>
      <c r="T8">
        <v>124664051</v>
      </c>
      <c r="U8">
        <v>51632649</v>
      </c>
      <c r="V8">
        <v>212252760</v>
      </c>
      <c r="W8">
        <v>152590314</v>
      </c>
      <c r="X8">
        <v>117353252</v>
      </c>
      <c r="Y8">
        <v>32023684</v>
      </c>
      <c r="Z8">
        <v>166613306</v>
      </c>
      <c r="AA8">
        <v>17661964</v>
      </c>
    </row>
    <row r="9" spans="1:28" x14ac:dyDescent="0.25">
      <c r="A9" t="s">
        <v>128</v>
      </c>
    </row>
    <row r="10" spans="1:28" x14ac:dyDescent="0.25">
      <c r="A10" t="s">
        <v>129</v>
      </c>
    </row>
    <row r="11" spans="1:28" x14ac:dyDescent="0.25">
      <c r="A11" t="s">
        <v>130</v>
      </c>
    </row>
    <row r="12" spans="1:28" x14ac:dyDescent="0.25">
      <c r="A12" t="s">
        <v>131</v>
      </c>
    </row>
    <row r="13" spans="1:28" x14ac:dyDescent="0.25">
      <c r="A13" t="s">
        <v>132</v>
      </c>
      <c r="B13">
        <v>386320551</v>
      </c>
      <c r="C13">
        <v>342582606.03672463</v>
      </c>
      <c r="D13">
        <v>178077357.50457031</v>
      </c>
      <c r="E13">
        <v>52858507.721381657</v>
      </c>
      <c r="F13">
        <v>1320023576</v>
      </c>
      <c r="G13">
        <v>1431883106.4412987</v>
      </c>
      <c r="H13">
        <v>524431418.04650766</v>
      </c>
      <c r="I13">
        <v>359042185.29337806</v>
      </c>
      <c r="J13">
        <v>1833910763.8539307</v>
      </c>
      <c r="K13">
        <v>1885925767.2793608</v>
      </c>
      <c r="L13">
        <v>1229960607.4231555</v>
      </c>
      <c r="M13">
        <v>712690361.7634449</v>
      </c>
      <c r="N13">
        <v>7383402341.4164515</v>
      </c>
      <c r="O13">
        <v>1280819916</v>
      </c>
      <c r="P13">
        <v>898069650</v>
      </c>
      <c r="Q13">
        <v>507314813</v>
      </c>
      <c r="R13">
        <v>327577523</v>
      </c>
      <c r="S13">
        <v>211602575</v>
      </c>
      <c r="T13">
        <v>124664051</v>
      </c>
      <c r="U13">
        <v>51632649</v>
      </c>
      <c r="V13">
        <v>212252760</v>
      </c>
      <c r="W13">
        <v>152590314</v>
      </c>
      <c r="X13">
        <v>117353252</v>
      </c>
      <c r="Y13">
        <v>32023684</v>
      </c>
      <c r="Z13">
        <v>166613306</v>
      </c>
      <c r="AA13">
        <v>17661964</v>
      </c>
    </row>
    <row r="15" spans="1:28" x14ac:dyDescent="0.25">
      <c r="A15" t="s">
        <v>133</v>
      </c>
      <c r="B15">
        <v>-231245015</v>
      </c>
      <c r="C15">
        <v>-167416730.22744578</v>
      </c>
      <c r="D15">
        <v>-124812037.0727866</v>
      </c>
      <c r="E15">
        <v>-61811489.305277169</v>
      </c>
      <c r="F15">
        <v>-208471637</v>
      </c>
      <c r="G15">
        <v>-646238988.23683929</v>
      </c>
      <c r="H15">
        <v>-407767671.66484892</v>
      </c>
      <c r="I15">
        <v>-170673954.48094133</v>
      </c>
      <c r="J15">
        <v>-211136361.047941</v>
      </c>
      <c r="K15">
        <v>-577218219.52729452</v>
      </c>
      <c r="L15">
        <v>-290476701.50159317</v>
      </c>
      <c r="M15">
        <v>-194191150.18806618</v>
      </c>
      <c r="N15">
        <v>-232392643.60235667</v>
      </c>
      <c r="O15">
        <v>-35583045</v>
      </c>
      <c r="P15">
        <v>-27251268</v>
      </c>
      <c r="Q15">
        <v>-14208451</v>
      </c>
      <c r="R15">
        <v>-25637218</v>
      </c>
      <c r="S15">
        <v>-18449237</v>
      </c>
      <c r="T15">
        <v>-13695822</v>
      </c>
      <c r="U15">
        <v>-4593501</v>
      </c>
      <c r="V15">
        <v>-21305394</v>
      </c>
      <c r="W15">
        <v>-16299420</v>
      </c>
      <c r="X15">
        <v>-11189193</v>
      </c>
      <c r="Y15">
        <v>-5103602</v>
      </c>
      <c r="Z15">
        <v>-14883051</v>
      </c>
      <c r="AA15">
        <v>-5564511</v>
      </c>
      <c r="AB15">
        <v>-2221294</v>
      </c>
    </row>
    <row r="16" spans="1:28" x14ac:dyDescent="0.25">
      <c r="A16" t="s">
        <v>134</v>
      </c>
      <c r="B16">
        <v>-14343462</v>
      </c>
      <c r="C16">
        <v>-12685459.736277997</v>
      </c>
      <c r="D16">
        <v>-8822702.8373747263</v>
      </c>
      <c r="E16">
        <v>-3338284.7599140531</v>
      </c>
      <c r="F16">
        <v>-122916073</v>
      </c>
      <c r="G16">
        <v>-86850691.902055696</v>
      </c>
      <c r="H16">
        <v>-50564034.762429878</v>
      </c>
      <c r="I16">
        <v>-42470788.347809985</v>
      </c>
      <c r="J16">
        <v>-138245063.50302285</v>
      </c>
      <c r="K16">
        <v>-54144636.61005637</v>
      </c>
      <c r="L16">
        <v>-16330442.242242238</v>
      </c>
      <c r="M16">
        <v>-3660900.7844297183</v>
      </c>
      <c r="N16">
        <v>0</v>
      </c>
      <c r="T16">
        <v>0</v>
      </c>
      <c r="U16">
        <v>0</v>
      </c>
      <c r="V16">
        <v>-7404935</v>
      </c>
      <c r="W16">
        <v>-4159163</v>
      </c>
      <c r="X16">
        <v>-219547</v>
      </c>
      <c r="Y16">
        <v>-70035</v>
      </c>
      <c r="Z16">
        <v>-1669771</v>
      </c>
      <c r="AA16">
        <v>-2992659</v>
      </c>
    </row>
    <row r="17" spans="1:28" x14ac:dyDescent="0.25">
      <c r="A17" t="s">
        <v>135</v>
      </c>
      <c r="B17">
        <v>0</v>
      </c>
      <c r="C17">
        <v>0</v>
      </c>
      <c r="D17">
        <v>0</v>
      </c>
      <c r="F17">
        <v>-707204</v>
      </c>
      <c r="G17">
        <v>0</v>
      </c>
      <c r="H17">
        <v>0</v>
      </c>
      <c r="J17">
        <v>0</v>
      </c>
    </row>
    <row r="18" spans="1:28" x14ac:dyDescent="0.25">
      <c r="A18" t="s">
        <v>136</v>
      </c>
      <c r="B18">
        <v>123366579</v>
      </c>
      <c r="C18">
        <v>112739683.93160827</v>
      </c>
      <c r="D18">
        <v>155451361.92999104</v>
      </c>
      <c r="E18">
        <v>63454395.764508314</v>
      </c>
      <c r="F18">
        <v>198455027</v>
      </c>
      <c r="G18">
        <v>110268209.92356603</v>
      </c>
      <c r="H18">
        <v>96774004.989604652</v>
      </c>
      <c r="I18">
        <v>61128892.036409259</v>
      </c>
      <c r="J18">
        <v>249811714.16660893</v>
      </c>
      <c r="K18">
        <v>212572790.83632866</v>
      </c>
      <c r="L18">
        <v>130265010.1029496</v>
      </c>
      <c r="M18">
        <v>20243594.922519393</v>
      </c>
      <c r="N18">
        <v>163262252.72752205</v>
      </c>
      <c r="O18">
        <v>32562838</v>
      </c>
      <c r="P18">
        <v>21700207</v>
      </c>
      <c r="Q18">
        <v>3836630</v>
      </c>
      <c r="R18">
        <v>32960780</v>
      </c>
      <c r="S18">
        <v>27583064</v>
      </c>
      <c r="T18">
        <v>16010927</v>
      </c>
      <c r="U18">
        <v>10263812</v>
      </c>
      <c r="V18">
        <v>43848261</v>
      </c>
      <c r="W18">
        <v>26831395</v>
      </c>
      <c r="X18">
        <v>23227699</v>
      </c>
      <c r="Y18">
        <v>18119933</v>
      </c>
      <c r="Z18">
        <v>21264586</v>
      </c>
      <c r="AA18">
        <v>16579191</v>
      </c>
      <c r="AB18">
        <v>1937960</v>
      </c>
    </row>
    <row r="19" spans="1:28" x14ac:dyDescent="0.25">
      <c r="A19" t="s">
        <v>137</v>
      </c>
      <c r="B19">
        <v>-1116889722</v>
      </c>
      <c r="C19">
        <v>-658521141.11813009</v>
      </c>
      <c r="D19">
        <v>-482552916.88382173</v>
      </c>
      <c r="E19">
        <v>-295147280.49951953</v>
      </c>
      <c r="F19">
        <v>-631360447</v>
      </c>
      <c r="G19">
        <v>-431527285.70510393</v>
      </c>
      <c r="H19">
        <v>-335239091.45287448</v>
      </c>
      <c r="I19">
        <v>-59737426.800151333</v>
      </c>
      <c r="J19">
        <v>-591864253.4288764</v>
      </c>
      <c r="K19">
        <v>-360328064.30396342</v>
      </c>
      <c r="L19">
        <v>-91591609.504520804</v>
      </c>
      <c r="M19">
        <v>-39507880.522642709</v>
      </c>
      <c r="N19">
        <v>-352422962.15516996</v>
      </c>
      <c r="O19">
        <v>-54775229</v>
      </c>
      <c r="P19">
        <v>-24465842</v>
      </c>
      <c r="Q19">
        <v>-13237026</v>
      </c>
      <c r="R19">
        <v>-83984436</v>
      </c>
      <c r="S19">
        <v>-57419009</v>
      </c>
      <c r="T19">
        <v>-12706338</v>
      </c>
      <c r="U19">
        <v>-7483812</v>
      </c>
      <c r="V19">
        <v>-22533024</v>
      </c>
      <c r="W19">
        <v>-27521318</v>
      </c>
      <c r="X19">
        <v>-35896177</v>
      </c>
      <c r="Y19">
        <v>-32868312</v>
      </c>
      <c r="Z19">
        <v>-80883234</v>
      </c>
      <c r="AA19">
        <v>-5617404</v>
      </c>
      <c r="AB19">
        <v>-4923054</v>
      </c>
    </row>
    <row r="20" spans="1:28" x14ac:dyDescent="0.25">
      <c r="A20" t="s">
        <v>138</v>
      </c>
    </row>
    <row r="21" spans="1:28" x14ac:dyDescent="0.25">
      <c r="A21" t="s">
        <v>139</v>
      </c>
      <c r="B21">
        <v>-852791069</v>
      </c>
      <c r="C21">
        <v>-383301041.11352092</v>
      </c>
      <c r="D21">
        <v>-282658937.35942173</v>
      </c>
      <c r="E21">
        <v>-243984151.07882077</v>
      </c>
      <c r="F21">
        <v>555023242</v>
      </c>
      <c r="G21">
        <v>377534350.52086586</v>
      </c>
      <c r="H21">
        <v>-172365374.84404102</v>
      </c>
      <c r="I21">
        <v>147288907.70088467</v>
      </c>
      <c r="J21">
        <v>1142476800.0406997</v>
      </c>
      <c r="K21">
        <v>1106807637.6743755</v>
      </c>
      <c r="L21">
        <v>961826864.27774882</v>
      </c>
      <c r="M21">
        <v>495574025.19082564</v>
      </c>
      <c r="N21">
        <v>6961848988.386445</v>
      </c>
      <c r="O21">
        <v>1223024480</v>
      </c>
      <c r="P21">
        <v>868052747</v>
      </c>
      <c r="Q21">
        <v>483705966</v>
      </c>
      <c r="R21">
        <v>250916649</v>
      </c>
      <c r="S21">
        <v>163317393</v>
      </c>
      <c r="T21">
        <v>114272818</v>
      </c>
      <c r="U21">
        <v>49819148</v>
      </c>
      <c r="V21">
        <v>204857668</v>
      </c>
      <c r="W21">
        <v>131441808</v>
      </c>
      <c r="X21">
        <v>93276034</v>
      </c>
      <c r="Y21">
        <v>12101668</v>
      </c>
      <c r="Z21">
        <v>90441836</v>
      </c>
      <c r="AA21">
        <v>20066581</v>
      </c>
      <c r="AB21">
        <v>-5206388</v>
      </c>
    </row>
    <row r="23" spans="1:28" x14ac:dyDescent="0.25">
      <c r="A23" t="s">
        <v>140</v>
      </c>
    </row>
    <row r="24" spans="1:28" x14ac:dyDescent="0.25">
      <c r="A24" t="s">
        <v>141</v>
      </c>
    </row>
    <row r="25" spans="1:28" x14ac:dyDescent="0.25">
      <c r="A25" t="s">
        <v>142</v>
      </c>
      <c r="B25">
        <v>35080377</v>
      </c>
      <c r="C25">
        <v>28334846.829910133</v>
      </c>
      <c r="D25">
        <v>23726534.448641039</v>
      </c>
      <c r="E25">
        <v>0</v>
      </c>
      <c r="F25">
        <v>1388738</v>
      </c>
      <c r="G25">
        <v>1299488.6543944262</v>
      </c>
      <c r="H25">
        <v>1353733.5710833066</v>
      </c>
      <c r="I25">
        <v>0</v>
      </c>
      <c r="J25">
        <v>5164674.8823489975</v>
      </c>
      <c r="K25">
        <v>5425938.2375977775</v>
      </c>
      <c r="L25">
        <v>4852668.8782472229</v>
      </c>
      <c r="M25">
        <v>1288760.8991717291</v>
      </c>
      <c r="N25">
        <v>114622338.10632575</v>
      </c>
      <c r="O25">
        <v>26315520</v>
      </c>
      <c r="P25">
        <v>0</v>
      </c>
      <c r="Q25">
        <v>0</v>
      </c>
      <c r="R25">
        <v>124648</v>
      </c>
      <c r="S25">
        <v>124647</v>
      </c>
      <c r="T25">
        <v>124647</v>
      </c>
      <c r="U25">
        <v>150071</v>
      </c>
      <c r="V25">
        <v>389456</v>
      </c>
      <c r="W25">
        <v>389456</v>
      </c>
      <c r="X25">
        <v>51695</v>
      </c>
      <c r="Y25">
        <v>51695</v>
      </c>
      <c r="AB25">
        <v>12549</v>
      </c>
    </row>
    <row r="26" spans="1:28" x14ac:dyDescent="0.25">
      <c r="A26" t="s">
        <v>143</v>
      </c>
      <c r="B26">
        <v>-16180</v>
      </c>
      <c r="C26">
        <v>0</v>
      </c>
      <c r="D26">
        <v>0</v>
      </c>
      <c r="F26">
        <v>-86030990</v>
      </c>
      <c r="G26">
        <v>-94508196.899691731</v>
      </c>
      <c r="H26">
        <v>-109429189.55869891</v>
      </c>
      <c r="I26">
        <v>0</v>
      </c>
      <c r="J26">
        <v>-2052398.2527239202</v>
      </c>
      <c r="K26">
        <v>-2237678.752747253</v>
      </c>
      <c r="L26">
        <v>-2509522.749781183</v>
      </c>
      <c r="M26">
        <v>0</v>
      </c>
      <c r="N26">
        <v>-6646.4524680269769</v>
      </c>
      <c r="O26">
        <v>-133367</v>
      </c>
      <c r="P26">
        <v>-133366</v>
      </c>
      <c r="Q26">
        <v>-133366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AA26">
        <v>-3358</v>
      </c>
      <c r="AB26">
        <v>-1137</v>
      </c>
    </row>
    <row r="27" spans="1:28" x14ac:dyDescent="0.25">
      <c r="A27" t="s">
        <v>144</v>
      </c>
    </row>
    <row r="28" spans="1:28" x14ac:dyDescent="0.25">
      <c r="A28" t="s">
        <v>145</v>
      </c>
    </row>
    <row r="29" spans="1:28" x14ac:dyDescent="0.25">
      <c r="A29" t="s">
        <v>146</v>
      </c>
    </row>
    <row r="30" spans="1:28" x14ac:dyDescent="0.25">
      <c r="A30" t="s">
        <v>147</v>
      </c>
    </row>
    <row r="31" spans="1:28" x14ac:dyDescent="0.25">
      <c r="A31" t="s">
        <v>148</v>
      </c>
    </row>
    <row r="32" spans="1:28" x14ac:dyDescent="0.25">
      <c r="A32" t="s">
        <v>149</v>
      </c>
    </row>
    <row r="33" spans="1:28" x14ac:dyDescent="0.25">
      <c r="A33" t="s">
        <v>150</v>
      </c>
      <c r="B33">
        <v>-817726872</v>
      </c>
      <c r="C33">
        <v>-354966194.28361082</v>
      </c>
      <c r="D33">
        <v>-258932402.9107807</v>
      </c>
      <c r="E33">
        <v>-243984151.07882077</v>
      </c>
      <c r="F33">
        <v>470380990</v>
      </c>
      <c r="G33">
        <v>284325642.27556854</v>
      </c>
      <c r="H33">
        <v>-280440830.83165663</v>
      </c>
      <c r="I33">
        <v>147288907.70088467</v>
      </c>
      <c r="J33">
        <v>1145589076.6703246</v>
      </c>
      <c r="K33">
        <v>1109995897.1592259</v>
      </c>
      <c r="L33">
        <v>964170010.40621483</v>
      </c>
      <c r="M33">
        <v>496862786.08999735</v>
      </c>
      <c r="N33">
        <v>7076464680.0403042</v>
      </c>
      <c r="O33">
        <v>1249206633</v>
      </c>
      <c r="P33">
        <v>867919381</v>
      </c>
      <c r="Q33">
        <v>483572600</v>
      </c>
      <c r="R33">
        <v>251041297</v>
      </c>
      <c r="S33">
        <v>163442040</v>
      </c>
      <c r="T33">
        <v>114397465</v>
      </c>
      <c r="U33">
        <v>49969219</v>
      </c>
      <c r="V33">
        <v>205247124</v>
      </c>
      <c r="W33">
        <v>131831264</v>
      </c>
      <c r="X33">
        <v>93327729</v>
      </c>
      <c r="Y33">
        <v>12153363</v>
      </c>
      <c r="Z33">
        <v>90441836</v>
      </c>
      <c r="AA33">
        <v>20063223</v>
      </c>
      <c r="AB33">
        <v>-5194976</v>
      </c>
    </row>
    <row r="35" spans="1:28" x14ac:dyDescent="0.25">
      <c r="A35" t="s">
        <v>151</v>
      </c>
      <c r="B35">
        <v>2248978879</v>
      </c>
      <c r="C35">
        <v>103587774.54717244</v>
      </c>
      <c r="D35">
        <v>41158227.199998729</v>
      </c>
      <c r="E35">
        <v>24651621.584479768</v>
      </c>
      <c r="F35">
        <v>224541353</v>
      </c>
      <c r="G35">
        <v>218308053.85785306</v>
      </c>
      <c r="H35">
        <v>123033797.86793819</v>
      </c>
      <c r="I35">
        <v>16288501.714887761</v>
      </c>
      <c r="J35">
        <v>2119164511.8289659</v>
      </c>
      <c r="K35">
        <v>1636719905.2161901</v>
      </c>
      <c r="L35">
        <v>922788619.89153576</v>
      </c>
      <c r="M35">
        <v>778339016.1368221</v>
      </c>
      <c r="N35">
        <v>1497998126.0669632</v>
      </c>
      <c r="O35">
        <v>339770225</v>
      </c>
      <c r="P35">
        <v>260898303</v>
      </c>
      <c r="Q35">
        <v>75480959</v>
      </c>
      <c r="R35">
        <v>132480998</v>
      </c>
      <c r="S35">
        <v>119284154</v>
      </c>
      <c r="T35">
        <v>48085072</v>
      </c>
      <c r="U35">
        <v>30204146</v>
      </c>
      <c r="V35">
        <v>346899862</v>
      </c>
      <c r="W35">
        <v>236980573</v>
      </c>
      <c r="X35">
        <v>52726528</v>
      </c>
      <c r="Y35">
        <v>49937233</v>
      </c>
      <c r="Z35">
        <v>188042288</v>
      </c>
      <c r="AA35">
        <v>224238640</v>
      </c>
      <c r="AB35">
        <v>24268752</v>
      </c>
    </row>
    <row r="36" spans="1:28" x14ac:dyDescent="0.25">
      <c r="A36" t="s">
        <v>152</v>
      </c>
      <c r="B36">
        <v>-1359610899</v>
      </c>
      <c r="C36">
        <v>-1324877773.4181848</v>
      </c>
      <c r="D36">
        <v>-1010954679.2118754</v>
      </c>
      <c r="E36">
        <v>-754191518.90330029</v>
      </c>
      <c r="F36">
        <v>-1414069338</v>
      </c>
      <c r="G36">
        <v>-945986766.36368275</v>
      </c>
      <c r="H36">
        <v>-700854574.16112471</v>
      </c>
      <c r="I36">
        <v>-226950494.69270825</v>
      </c>
      <c r="J36">
        <v>-1729152010.362463</v>
      </c>
      <c r="K36">
        <v>-1200237320.2977405</v>
      </c>
      <c r="L36">
        <v>-874135426.39543998</v>
      </c>
      <c r="M36">
        <v>-647960902.05070937</v>
      </c>
      <c r="N36">
        <v>-4108919940.6408105</v>
      </c>
      <c r="O36">
        <v>-441059484</v>
      </c>
      <c r="P36">
        <v>-306783367</v>
      </c>
      <c r="Q36">
        <v>-103238485</v>
      </c>
      <c r="R36">
        <v>-656608597</v>
      </c>
      <c r="S36">
        <v>-433209696</v>
      </c>
      <c r="T36">
        <v>-340263643</v>
      </c>
      <c r="U36">
        <v>-252239162</v>
      </c>
      <c r="V36">
        <v>-702076801</v>
      </c>
      <c r="W36">
        <v>-591039969</v>
      </c>
      <c r="X36">
        <v>-304672112</v>
      </c>
      <c r="Y36">
        <v>-174963204</v>
      </c>
      <c r="Z36">
        <v>-435365238</v>
      </c>
      <c r="AA36">
        <v>-298706313</v>
      </c>
      <c r="AB36">
        <v>-52005276</v>
      </c>
    </row>
    <row r="37" spans="1:28" x14ac:dyDescent="0.25">
      <c r="A37" t="s">
        <v>153</v>
      </c>
      <c r="B37">
        <v>-1121069651</v>
      </c>
      <c r="C37">
        <v>-740731174.95794451</v>
      </c>
      <c r="D37">
        <v>-119153346.33658133</v>
      </c>
      <c r="E37">
        <v>1537506588.1214685</v>
      </c>
      <c r="F37">
        <v>-923608227</v>
      </c>
      <c r="G37">
        <v>-674527034.87909019</v>
      </c>
      <c r="H37">
        <v>-503139628.87136394</v>
      </c>
      <c r="I37">
        <v>-339853846.98303407</v>
      </c>
      <c r="J37">
        <v>-1733197181.48559</v>
      </c>
      <c r="K37">
        <v>-464311005.09980369</v>
      </c>
      <c r="L37">
        <v>-436671648.51082879</v>
      </c>
      <c r="M37">
        <v>-63021633.958314821</v>
      </c>
      <c r="N37">
        <v>-1220123341.443481</v>
      </c>
    </row>
    <row r="38" spans="1:28" x14ac:dyDescent="0.25">
      <c r="A38" t="s">
        <v>154</v>
      </c>
      <c r="B38">
        <v>-1049428543</v>
      </c>
      <c r="C38">
        <v>-2316987368.1125674</v>
      </c>
      <c r="D38">
        <v>-1347882201.2592387</v>
      </c>
      <c r="E38">
        <v>563982539.72382724</v>
      </c>
      <c r="F38">
        <v>-1642755222</v>
      </c>
      <c r="G38">
        <v>-1117880105.1093514</v>
      </c>
      <c r="H38">
        <v>-1361401235.9962072</v>
      </c>
      <c r="I38">
        <v>-403226932.25996989</v>
      </c>
      <c r="J38">
        <v>-197595603.34876239</v>
      </c>
      <c r="K38">
        <v>1082167476.9778717</v>
      </c>
      <c r="L38">
        <v>576151555.39148188</v>
      </c>
      <c r="M38">
        <v>564219266.21779513</v>
      </c>
      <c r="N38">
        <v>3245419524.0229745</v>
      </c>
      <c r="O38">
        <v>1147917374</v>
      </c>
      <c r="P38">
        <v>822034317</v>
      </c>
      <c r="Q38">
        <v>455815074</v>
      </c>
      <c r="R38">
        <v>-273086302</v>
      </c>
      <c r="S38">
        <v>-150483502</v>
      </c>
      <c r="T38">
        <v>-177781106</v>
      </c>
      <c r="U38">
        <v>-172065797</v>
      </c>
      <c r="V38">
        <v>-149929815</v>
      </c>
      <c r="W38">
        <v>-222228132</v>
      </c>
      <c r="X38">
        <v>-158617855</v>
      </c>
      <c r="Y38">
        <v>-112872608</v>
      </c>
      <c r="Z38">
        <v>-156881114</v>
      </c>
      <c r="AA38">
        <v>-54404450</v>
      </c>
      <c r="AB38">
        <v>-32931500</v>
      </c>
    </row>
    <row r="40" spans="1:28" x14ac:dyDescent="0.25">
      <c r="A40" t="s">
        <v>155</v>
      </c>
      <c r="B40">
        <v>48552542</v>
      </c>
      <c r="C40">
        <v>-808134740.5968039</v>
      </c>
      <c r="D40">
        <v>-756752993.34437466</v>
      </c>
      <c r="E40">
        <v>-915731133.44608688</v>
      </c>
      <c r="F40">
        <v>29548749</v>
      </c>
      <c r="G40">
        <v>-85088062.237439185</v>
      </c>
      <c r="H40">
        <v>227579702.43504983</v>
      </c>
      <c r="I40">
        <v>-469814971.25649309</v>
      </c>
      <c r="J40">
        <v>1041887732.9264458</v>
      </c>
      <c r="K40">
        <v>537521556.53211594</v>
      </c>
      <c r="L40">
        <v>283437451.56950623</v>
      </c>
      <c r="M40">
        <v>177433607.19748718</v>
      </c>
      <c r="N40">
        <v>1683179179.0063679</v>
      </c>
      <c r="O40">
        <v>521347030</v>
      </c>
      <c r="P40">
        <v>93734077</v>
      </c>
      <c r="Q40">
        <v>-42067178</v>
      </c>
      <c r="R40">
        <v>92123295</v>
      </c>
      <c r="S40">
        <v>28153079</v>
      </c>
      <c r="T40">
        <v>790069</v>
      </c>
      <c r="U40">
        <v>11457669</v>
      </c>
      <c r="V40">
        <v>187282520</v>
      </c>
      <c r="W40">
        <v>-37386063</v>
      </c>
      <c r="X40">
        <v>-439001</v>
      </c>
      <c r="Y40">
        <v>-1331812</v>
      </c>
      <c r="Z40">
        <v>8992544</v>
      </c>
      <c r="AA40">
        <v>-28147365</v>
      </c>
      <c r="AB40">
        <v>142830069</v>
      </c>
    </row>
    <row r="41" spans="1:28" x14ac:dyDescent="0.25">
      <c r="A41" t="s">
        <v>156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-3550553.8438303159</v>
      </c>
      <c r="J41">
        <v>-265216.65349499916</v>
      </c>
      <c r="K41">
        <v>-31970.575133799917</v>
      </c>
      <c r="N41">
        <v>-113156715.0203132</v>
      </c>
      <c r="O41">
        <v>-2201004</v>
      </c>
      <c r="P41">
        <v>0</v>
      </c>
      <c r="Q41">
        <v>0</v>
      </c>
      <c r="R41">
        <v>0</v>
      </c>
      <c r="S41">
        <v>0</v>
      </c>
      <c r="AA41">
        <v>-956468</v>
      </c>
    </row>
    <row r="42" spans="1:28" x14ac:dyDescent="0.25">
      <c r="A42" t="s">
        <v>157</v>
      </c>
      <c r="B42">
        <v>48552542</v>
      </c>
      <c r="C42">
        <v>-808134740.5968039</v>
      </c>
      <c r="D42">
        <v>-756752993.34437466</v>
      </c>
      <c r="E42">
        <v>-915731133.44608688</v>
      </c>
      <c r="F42">
        <v>29548749</v>
      </c>
      <c r="G42">
        <v>-85088062.237439185</v>
      </c>
      <c r="H42">
        <v>227579702.43504983</v>
      </c>
      <c r="I42">
        <v>-466264417.41266274</v>
      </c>
      <c r="J42">
        <v>1042152949.5799408</v>
      </c>
      <c r="K42">
        <v>537553527.10724986</v>
      </c>
      <c r="L42">
        <v>283437451.56950623</v>
      </c>
      <c r="M42">
        <v>190310684.98768592</v>
      </c>
      <c r="N42">
        <v>1796335894.0266812</v>
      </c>
      <c r="O42">
        <v>523548034</v>
      </c>
      <c r="P42">
        <v>93734077</v>
      </c>
      <c r="Q42">
        <v>-42067178</v>
      </c>
      <c r="R42">
        <v>92123295</v>
      </c>
      <c r="S42">
        <v>28153079</v>
      </c>
      <c r="T42">
        <v>790069</v>
      </c>
      <c r="U42">
        <v>11457669</v>
      </c>
      <c r="V42">
        <v>187282520</v>
      </c>
      <c r="W42">
        <v>-37386063</v>
      </c>
      <c r="X42">
        <v>-439001</v>
      </c>
      <c r="Y42">
        <v>-1331812</v>
      </c>
      <c r="Z42">
        <v>8992544</v>
      </c>
      <c r="AA42">
        <v>-27190897</v>
      </c>
      <c r="AB42">
        <v>142830069</v>
      </c>
    </row>
    <row r="43" spans="1:28" x14ac:dyDescent="0.25">
      <c r="A43" t="s">
        <v>158</v>
      </c>
      <c r="B43">
        <v>-1000876001</v>
      </c>
      <c r="C43">
        <v>-3125122108.7093716</v>
      </c>
      <c r="D43">
        <v>-2104635194.6036134</v>
      </c>
      <c r="E43">
        <v>-351748593.72225964</v>
      </c>
      <c r="F43">
        <v>-1613206473</v>
      </c>
      <c r="G43">
        <v>-1202968167.3467906</v>
      </c>
      <c r="H43">
        <v>-1133821533.5611575</v>
      </c>
      <c r="I43">
        <v>-873041903.51646304</v>
      </c>
      <c r="J43">
        <v>844292129.57768345</v>
      </c>
      <c r="K43">
        <v>1619689033.5099878</v>
      </c>
      <c r="L43">
        <v>859589006.96098816</v>
      </c>
      <c r="M43">
        <v>741652873.41528225</v>
      </c>
      <c r="N43">
        <v>4928598703.0293427</v>
      </c>
      <c r="O43">
        <v>1669264404</v>
      </c>
      <c r="P43">
        <v>915768394</v>
      </c>
      <c r="Q43">
        <v>413747896</v>
      </c>
      <c r="R43">
        <v>-180963007</v>
      </c>
      <c r="S43">
        <v>-122330423</v>
      </c>
      <c r="T43">
        <v>-176991037</v>
      </c>
      <c r="U43">
        <v>-160608128</v>
      </c>
      <c r="V43">
        <v>37352705</v>
      </c>
      <c r="W43">
        <v>-259614195</v>
      </c>
      <c r="X43">
        <v>-159056856</v>
      </c>
      <c r="Y43">
        <v>-114204420</v>
      </c>
      <c r="Z43">
        <v>-147888570</v>
      </c>
      <c r="AA43">
        <v>-82551815</v>
      </c>
      <c r="AB43">
        <v>109898569</v>
      </c>
    </row>
    <row r="44" spans="1:28" x14ac:dyDescent="0.25">
      <c r="A44" t="s">
        <v>159</v>
      </c>
    </row>
    <row r="46" spans="1:28" x14ac:dyDescent="0.25">
      <c r="A46" t="s">
        <v>160</v>
      </c>
      <c r="B46">
        <v>-1000876001</v>
      </c>
      <c r="C46">
        <v>-3125122108.7093716</v>
      </c>
      <c r="D46">
        <v>-2104635194.6036134</v>
      </c>
      <c r="E46">
        <v>-351748593.72225964</v>
      </c>
      <c r="F46">
        <v>-1613206473</v>
      </c>
      <c r="G46">
        <v>-1202968167.3467906</v>
      </c>
      <c r="H46">
        <v>-1133821533.5611575</v>
      </c>
      <c r="I46">
        <v>-873041903.51646304</v>
      </c>
      <c r="J46">
        <v>844292129.57768345</v>
      </c>
      <c r="K46">
        <v>1619689033.5099878</v>
      </c>
      <c r="L46">
        <v>859589006.96098816</v>
      </c>
      <c r="M46">
        <v>741652873.41528225</v>
      </c>
      <c r="N46">
        <v>4928598703.0293427</v>
      </c>
      <c r="O46">
        <v>1669264404</v>
      </c>
      <c r="P46">
        <v>915768394</v>
      </c>
      <c r="Q46">
        <v>413747896</v>
      </c>
      <c r="R46">
        <v>-180963007</v>
      </c>
      <c r="S46">
        <v>-122330423</v>
      </c>
      <c r="T46">
        <v>-176991037</v>
      </c>
      <c r="U46">
        <v>-160608128</v>
      </c>
      <c r="V46">
        <v>37352705</v>
      </c>
      <c r="W46">
        <v>-259614195</v>
      </c>
      <c r="X46">
        <v>-159056856</v>
      </c>
      <c r="Y46">
        <v>-114204420</v>
      </c>
      <c r="Z46">
        <v>-147888570</v>
      </c>
      <c r="AA46">
        <v>-82551815</v>
      </c>
      <c r="AB46">
        <v>109898569</v>
      </c>
    </row>
    <row r="47" spans="1:28" x14ac:dyDescent="0.25">
      <c r="A47" t="s">
        <v>116</v>
      </c>
      <c r="B47">
        <v>707677001</v>
      </c>
      <c r="C47">
        <v>176250.75690035103</v>
      </c>
      <c r="D47">
        <v>-59670.845270212019</v>
      </c>
      <c r="E47">
        <v>-1116444.6674446152</v>
      </c>
      <c r="F47">
        <v>733367</v>
      </c>
      <c r="G47">
        <v>9357963.9935347252</v>
      </c>
      <c r="H47">
        <v>9015455.9682871625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T47">
        <v>0</v>
      </c>
      <c r="V47">
        <v>0</v>
      </c>
      <c r="W47">
        <v>0</v>
      </c>
      <c r="X47">
        <v>0</v>
      </c>
    </row>
    <row r="48" spans="1:28" x14ac:dyDescent="0.25">
      <c r="A48" t="s">
        <v>161</v>
      </c>
      <c r="B48">
        <v>-1708553002</v>
      </c>
      <c r="C48">
        <v>-3125298359.4662719</v>
      </c>
      <c r="D48">
        <v>-2104575523.7583435</v>
      </c>
      <c r="E48">
        <v>-350632149.05481505</v>
      </c>
      <c r="F48">
        <v>-1613939840</v>
      </c>
      <c r="G48">
        <v>-1212326131.3403251</v>
      </c>
      <c r="H48">
        <v>-1142836989.5294445</v>
      </c>
      <c r="I48">
        <v>-873041903.51646304</v>
      </c>
      <c r="J48">
        <v>844292129.57768345</v>
      </c>
      <c r="K48">
        <v>1619689033.5099878</v>
      </c>
      <c r="L48">
        <v>859589006.96098816</v>
      </c>
      <c r="M48">
        <v>741652873.41528225</v>
      </c>
      <c r="N48">
        <v>4928598703.0293427</v>
      </c>
      <c r="O48">
        <v>1669264404</v>
      </c>
      <c r="P48">
        <v>915768394</v>
      </c>
      <c r="Q48">
        <v>413747896</v>
      </c>
      <c r="R48">
        <v>-180963007</v>
      </c>
      <c r="S48">
        <v>-122330423</v>
      </c>
      <c r="T48">
        <v>-176991037</v>
      </c>
      <c r="U48">
        <v>-160608128</v>
      </c>
      <c r="V48">
        <v>37352705</v>
      </c>
      <c r="W48">
        <v>-259614195</v>
      </c>
      <c r="X48">
        <v>-159056856</v>
      </c>
      <c r="Y48">
        <v>-114204420</v>
      </c>
      <c r="Z48">
        <v>-147888570</v>
      </c>
      <c r="AA48">
        <v>-82551815</v>
      </c>
      <c r="AB48">
        <v>109898569</v>
      </c>
    </row>
    <row r="50" spans="1:28" x14ac:dyDescent="0.25">
      <c r="A50" t="s">
        <v>162</v>
      </c>
      <c r="B50">
        <v>2026180373</v>
      </c>
      <c r="C50">
        <v>1595101748.0712636</v>
      </c>
      <c r="D50">
        <v>1090656952.8596883</v>
      </c>
      <c r="E50">
        <v>647125506.23198366</v>
      </c>
      <c r="F50">
        <v>1967312850</v>
      </c>
      <c r="G50">
        <v>1575407194.5265501</v>
      </c>
      <c r="H50">
        <v>1107826602.7695463</v>
      </c>
      <c r="I50">
        <v>654367426.88896978</v>
      </c>
      <c r="J50">
        <v>1507577827.7684195</v>
      </c>
      <c r="K50">
        <v>981438261.34509683</v>
      </c>
      <c r="L50">
        <v>484606534.06804234</v>
      </c>
      <c r="M50">
        <v>87411756.521596476</v>
      </c>
      <c r="N50">
        <v>909800296.17960274</v>
      </c>
      <c r="O50">
        <v>148735912</v>
      </c>
      <c r="P50">
        <v>99009701</v>
      </c>
      <c r="Q50">
        <v>48943268</v>
      </c>
      <c r="R50">
        <v>65633945</v>
      </c>
      <c r="S50">
        <v>63454716</v>
      </c>
      <c r="T50">
        <v>42429430</v>
      </c>
      <c r="U50">
        <v>20996518</v>
      </c>
      <c r="V50">
        <v>78695449</v>
      </c>
      <c r="W50">
        <v>55257496</v>
      </c>
      <c r="X50">
        <v>36853886</v>
      </c>
      <c r="Y50">
        <v>22736979</v>
      </c>
      <c r="Z50">
        <v>63637771</v>
      </c>
      <c r="AA50">
        <v>29923650</v>
      </c>
      <c r="AB50">
        <v>1274474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8A61-9696-4713-9168-07F3F56AB318}">
  <dimension ref="C2:I22"/>
  <sheetViews>
    <sheetView workbookViewId="0">
      <selection activeCell="G6" sqref="G6"/>
    </sheetView>
  </sheetViews>
  <sheetFormatPr defaultRowHeight="15.75" x14ac:dyDescent="0.25"/>
  <sheetData>
    <row r="2" spans="3:9" x14ac:dyDescent="0.25">
      <c r="F2" s="3" t="s">
        <v>294</v>
      </c>
    </row>
    <row r="3" spans="3:9" x14ac:dyDescent="0.25">
      <c r="F3" t="s">
        <v>292</v>
      </c>
    </row>
    <row r="4" spans="3:9" x14ac:dyDescent="0.25">
      <c r="F4" t="s">
        <v>293</v>
      </c>
    </row>
    <row r="6" spans="3:9" x14ac:dyDescent="0.25">
      <c r="C6" s="3" t="s">
        <v>290</v>
      </c>
      <c r="F6" s="3" t="s">
        <v>300</v>
      </c>
      <c r="I6" s="3" t="s">
        <v>299</v>
      </c>
    </row>
    <row r="7" spans="3:9" x14ac:dyDescent="0.25">
      <c r="C7" s="3" t="s">
        <v>291</v>
      </c>
    </row>
    <row r="9" spans="3:9" x14ac:dyDescent="0.25">
      <c r="E9" s="3" t="s">
        <v>298</v>
      </c>
    </row>
    <row r="10" spans="3:9" x14ac:dyDescent="0.25">
      <c r="E10" s="3" t="s">
        <v>297</v>
      </c>
      <c r="G10" s="3" t="s">
        <v>288</v>
      </c>
    </row>
    <row r="12" spans="3:9" x14ac:dyDescent="0.25">
      <c r="F12" s="3" t="s">
        <v>289</v>
      </c>
    </row>
    <row r="13" spans="3:9" x14ac:dyDescent="0.25">
      <c r="F13" s="3" t="s">
        <v>286</v>
      </c>
    </row>
    <row r="14" spans="3:9" x14ac:dyDescent="0.25">
      <c r="F14" t="s">
        <v>287</v>
      </c>
    </row>
    <row r="16" spans="3:9" x14ac:dyDescent="0.25">
      <c r="C16" s="3" t="s">
        <v>282</v>
      </c>
      <c r="E16" s="3" t="s">
        <v>296</v>
      </c>
      <c r="G16" s="3" t="s">
        <v>279</v>
      </c>
      <c r="I16" s="3" t="s">
        <v>295</v>
      </c>
    </row>
    <row r="17" spans="3:9" x14ac:dyDescent="0.25">
      <c r="C17" t="s">
        <v>283</v>
      </c>
      <c r="E17" t="s">
        <v>281</v>
      </c>
      <c r="G17" t="s">
        <v>280</v>
      </c>
      <c r="I17" t="s">
        <v>284</v>
      </c>
    </row>
    <row r="18" spans="3:9" x14ac:dyDescent="0.25">
      <c r="E18" t="s">
        <v>285</v>
      </c>
    </row>
    <row r="21" spans="3:9" x14ac:dyDescent="0.25">
      <c r="F21" t="s">
        <v>278</v>
      </c>
    </row>
    <row r="22" spans="3:9" x14ac:dyDescent="0.25">
      <c r="F22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0"/>
  <sheetViews>
    <sheetView workbookViewId="0"/>
  </sheetViews>
  <sheetFormatPr defaultRowHeight="15.75" x14ac:dyDescent="0.25"/>
  <cols>
    <col min="1" max="1" width="40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120</v>
      </c>
    </row>
    <row r="2" spans="1:38" x14ac:dyDescent="0.25">
      <c r="A2" t="s">
        <v>121</v>
      </c>
    </row>
    <row r="3" spans="1:38" x14ac:dyDescent="0.25">
      <c r="A3" t="s">
        <v>122</v>
      </c>
      <c r="B3">
        <v>109117642000</v>
      </c>
      <c r="C3">
        <v>119187325411.6828</v>
      </c>
      <c r="D3">
        <v>123268928136.24902</v>
      </c>
      <c r="E3">
        <v>129414711779.63519</v>
      </c>
      <c r="F3">
        <v>99801065000</v>
      </c>
      <c r="G3">
        <v>99749755737.824524</v>
      </c>
      <c r="H3">
        <v>108365451893.28964</v>
      </c>
      <c r="I3">
        <v>105192710847.78102</v>
      </c>
      <c r="J3">
        <v>95248667886.38765</v>
      </c>
      <c r="L3">
        <v>34254600000</v>
      </c>
      <c r="M3">
        <v>32304633000</v>
      </c>
      <c r="N3">
        <v>28164395000</v>
      </c>
      <c r="O3">
        <v>22518529000</v>
      </c>
      <c r="P3">
        <v>18147680000</v>
      </c>
      <c r="Q3">
        <v>14534414000</v>
      </c>
      <c r="R3">
        <v>12983814000</v>
      </c>
      <c r="S3">
        <v>13334671000</v>
      </c>
      <c r="T3">
        <v>11938155000</v>
      </c>
      <c r="U3">
        <v>7832129000</v>
      </c>
      <c r="V3">
        <v>7767528000</v>
      </c>
      <c r="W3">
        <v>8366065000</v>
      </c>
      <c r="X3">
        <v>8245951000</v>
      </c>
      <c r="Y3">
        <v>8427600000</v>
      </c>
      <c r="Z3">
        <v>6902157000</v>
      </c>
      <c r="AA3">
        <v>7414262000</v>
      </c>
      <c r="AB3">
        <v>7696011000</v>
      </c>
      <c r="AC3">
        <v>6511893000</v>
      </c>
      <c r="AD3">
        <v>5282218000</v>
      </c>
      <c r="AE3">
        <v>5705672000</v>
      </c>
      <c r="AF3">
        <v>5439610000</v>
      </c>
      <c r="AG3">
        <v>5061077000</v>
      </c>
      <c r="AH3">
        <v>4634254000</v>
      </c>
      <c r="AI3">
        <v>4525929000</v>
      </c>
      <c r="AJ3">
        <v>4083238000</v>
      </c>
      <c r="AK3">
        <v>3959556000</v>
      </c>
      <c r="AL3">
        <v>3527449000</v>
      </c>
    </row>
    <row r="4" spans="1:38" x14ac:dyDescent="0.25">
      <c r="A4" t="s">
        <v>123</v>
      </c>
    </row>
    <row r="5" spans="1:38" x14ac:dyDescent="0.25">
      <c r="A5" t="s">
        <v>124</v>
      </c>
      <c r="C5">
        <v>32058017888.577423</v>
      </c>
      <c r="D5">
        <v>37518480095.262421</v>
      </c>
      <c r="E5">
        <v>47695530712.20504</v>
      </c>
      <c r="F5">
        <v>35575604420.447639</v>
      </c>
      <c r="G5">
        <v>33801113555.104813</v>
      </c>
      <c r="H5">
        <v>41821791062.987244</v>
      </c>
      <c r="I5">
        <v>44060583817.349274</v>
      </c>
      <c r="J5">
        <v>33108520059.453541</v>
      </c>
      <c r="L5">
        <v>10127510000</v>
      </c>
      <c r="M5">
        <v>9736626000</v>
      </c>
      <c r="N5">
        <v>8378846000</v>
      </c>
    </row>
    <row r="6" spans="1:38" x14ac:dyDescent="0.25">
      <c r="A6" t="s">
        <v>125</v>
      </c>
      <c r="C6">
        <v>87129307523.105377</v>
      </c>
      <c r="D6">
        <v>85750448040.986572</v>
      </c>
      <c r="E6">
        <v>97874107496.33728</v>
      </c>
      <c r="F6">
        <v>48070534150.645241</v>
      </c>
      <c r="G6">
        <v>65948642182.719727</v>
      </c>
      <c r="H6">
        <v>66543660830.302414</v>
      </c>
      <c r="I6">
        <v>68516967838.929146</v>
      </c>
      <c r="J6">
        <v>54755307018.436684</v>
      </c>
      <c r="L6">
        <v>24127090000</v>
      </c>
      <c r="M6">
        <v>22568007000</v>
      </c>
      <c r="N6">
        <v>19785549000</v>
      </c>
    </row>
    <row r="7" spans="1:38" x14ac:dyDescent="0.25">
      <c r="A7" t="s">
        <v>126</v>
      </c>
      <c r="B7">
        <v>-77842714000</v>
      </c>
      <c r="C7">
        <v>-87187019938.87915</v>
      </c>
      <c r="D7">
        <v>-90721905149.380157</v>
      </c>
      <c r="E7">
        <v>-93594719040.227814</v>
      </c>
      <c r="F7">
        <v>-70182018000</v>
      </c>
      <c r="G7">
        <v>-71783272770.13446</v>
      </c>
      <c r="H7">
        <v>-76625506999.535126</v>
      </c>
      <c r="I7">
        <v>-72520403415.528015</v>
      </c>
      <c r="J7">
        <v>-67846275923.692169</v>
      </c>
      <c r="L7">
        <v>-24393399000</v>
      </c>
      <c r="M7">
        <v>-22736217000</v>
      </c>
      <c r="N7">
        <v>-19477778000</v>
      </c>
      <c r="O7">
        <v>-16041717000</v>
      </c>
      <c r="P7">
        <v>-13022200000</v>
      </c>
      <c r="Q7">
        <v>-10141203000</v>
      </c>
      <c r="R7">
        <v>-8500972000</v>
      </c>
      <c r="S7">
        <v>-8531464000</v>
      </c>
      <c r="T7">
        <v>-7810877000</v>
      </c>
      <c r="U7">
        <v>-5423959000</v>
      </c>
      <c r="V7">
        <v>-5299810000</v>
      </c>
      <c r="W7">
        <v>-5758661000</v>
      </c>
      <c r="X7">
        <v>-5520482000</v>
      </c>
      <c r="Y7">
        <v>-5784268000</v>
      </c>
      <c r="Z7">
        <v>-4663460000</v>
      </c>
      <c r="AA7">
        <v>-5003928000</v>
      </c>
      <c r="AB7">
        <v>-5185275000</v>
      </c>
      <c r="AC7">
        <v>-4537873000</v>
      </c>
      <c r="AD7">
        <v>-3631546000</v>
      </c>
      <c r="AE7">
        <v>-3956411000</v>
      </c>
      <c r="AF7">
        <v>-3714987000</v>
      </c>
      <c r="AG7">
        <v>-3506684000</v>
      </c>
      <c r="AH7">
        <v>-3156332000</v>
      </c>
      <c r="AI7">
        <v>-3094120000</v>
      </c>
      <c r="AJ7">
        <v>-2722219000</v>
      </c>
      <c r="AK7">
        <v>-2606889000</v>
      </c>
      <c r="AL7">
        <v>-2333384000</v>
      </c>
    </row>
    <row r="8" spans="1:38" x14ac:dyDescent="0.25">
      <c r="A8" t="s">
        <v>127</v>
      </c>
      <c r="B8">
        <v>31274928000</v>
      </c>
      <c r="C8">
        <v>32000305472.803665</v>
      </c>
      <c r="D8">
        <v>32547022986.868935</v>
      </c>
      <c r="E8">
        <v>35819992739.407326</v>
      </c>
      <c r="F8">
        <v>29619047000</v>
      </c>
      <c r="G8">
        <v>27966482967.690033</v>
      </c>
      <c r="H8">
        <v>31739944893.754578</v>
      </c>
      <c r="I8">
        <v>32672307432.252979</v>
      </c>
      <c r="J8">
        <v>27402391962.695477</v>
      </c>
      <c r="L8">
        <v>9861201000</v>
      </c>
      <c r="M8">
        <v>9568416000</v>
      </c>
      <c r="N8">
        <v>8686617000</v>
      </c>
      <c r="O8">
        <v>6476812000</v>
      </c>
      <c r="P8">
        <v>5125480000</v>
      </c>
      <c r="Q8">
        <v>4393211000</v>
      </c>
      <c r="R8">
        <v>4482842000</v>
      </c>
      <c r="S8">
        <v>4803207000</v>
      </c>
      <c r="T8">
        <v>4127278000</v>
      </c>
      <c r="U8">
        <v>2408170000</v>
      </c>
      <c r="V8">
        <v>2467718000</v>
      </c>
      <c r="W8">
        <v>2607404000</v>
      </c>
      <c r="X8">
        <v>2725469000</v>
      </c>
      <c r="Y8">
        <v>2643332000</v>
      </c>
      <c r="Z8">
        <v>2238697000</v>
      </c>
      <c r="AA8">
        <v>2410334000</v>
      </c>
      <c r="AB8">
        <v>2510736000</v>
      </c>
      <c r="AC8">
        <v>1974020000</v>
      </c>
      <c r="AD8">
        <v>1650672000</v>
      </c>
      <c r="AE8">
        <v>1749261000</v>
      </c>
      <c r="AF8">
        <v>1724623000</v>
      </c>
      <c r="AG8">
        <v>1554393000</v>
      </c>
      <c r="AH8">
        <v>1477922000</v>
      </c>
      <c r="AI8">
        <v>1431809000</v>
      </c>
      <c r="AJ8">
        <v>1361019000</v>
      </c>
      <c r="AK8">
        <v>1352667000</v>
      </c>
      <c r="AL8">
        <v>1194065000</v>
      </c>
    </row>
    <row r="9" spans="1:38" x14ac:dyDescent="0.25">
      <c r="A9" t="s">
        <v>128</v>
      </c>
      <c r="AJ9">
        <v>0</v>
      </c>
      <c r="AK9">
        <v>0</v>
      </c>
      <c r="AL9">
        <v>0</v>
      </c>
    </row>
    <row r="10" spans="1:38" x14ac:dyDescent="0.25">
      <c r="A10" t="s">
        <v>129</v>
      </c>
      <c r="AJ10">
        <v>0</v>
      </c>
      <c r="AK10">
        <v>0</v>
      </c>
      <c r="AL10">
        <v>0</v>
      </c>
    </row>
    <row r="11" spans="1:38" x14ac:dyDescent="0.25">
      <c r="A11" t="s">
        <v>130</v>
      </c>
      <c r="AJ11">
        <v>0</v>
      </c>
      <c r="AK11">
        <v>0</v>
      </c>
      <c r="AL11">
        <v>0</v>
      </c>
    </row>
    <row r="12" spans="1:38" x14ac:dyDescent="0.25">
      <c r="A12" t="s">
        <v>131</v>
      </c>
    </row>
    <row r="13" spans="1:38" x14ac:dyDescent="0.25">
      <c r="A13" t="s">
        <v>132</v>
      </c>
      <c r="B13">
        <v>31274928000</v>
      </c>
      <c r="C13">
        <v>32000305472.803665</v>
      </c>
      <c r="D13">
        <v>32547022986.868935</v>
      </c>
      <c r="E13">
        <v>35819992739.407326</v>
      </c>
      <c r="F13">
        <v>29619047000</v>
      </c>
      <c r="G13">
        <v>27966482967.690033</v>
      </c>
      <c r="H13">
        <v>31739944893.754578</v>
      </c>
      <c r="I13">
        <v>32672307432.252979</v>
      </c>
      <c r="J13">
        <v>27402391962.695477</v>
      </c>
      <c r="L13">
        <v>9861201000</v>
      </c>
      <c r="M13">
        <v>9568416000</v>
      </c>
      <c r="N13">
        <v>8686617000</v>
      </c>
      <c r="O13">
        <v>6476812000</v>
      </c>
      <c r="P13">
        <v>5125480000</v>
      </c>
      <c r="Q13">
        <v>4393211000</v>
      </c>
      <c r="R13">
        <v>4482842000</v>
      </c>
      <c r="S13">
        <v>4803207000</v>
      </c>
      <c r="T13">
        <v>4127278000</v>
      </c>
      <c r="U13">
        <v>2408170000</v>
      </c>
      <c r="V13">
        <v>2467718000</v>
      </c>
      <c r="W13">
        <v>2607404000</v>
      </c>
      <c r="X13">
        <v>2725469000</v>
      </c>
      <c r="Y13">
        <v>2643332000</v>
      </c>
      <c r="Z13">
        <v>2238697000</v>
      </c>
      <c r="AA13">
        <v>2410334000</v>
      </c>
      <c r="AB13">
        <v>2510736000</v>
      </c>
      <c r="AC13">
        <v>1974020000</v>
      </c>
      <c r="AD13">
        <v>1650672000</v>
      </c>
      <c r="AE13">
        <v>1749261000</v>
      </c>
      <c r="AF13">
        <v>1724623000</v>
      </c>
      <c r="AG13">
        <v>1554393000</v>
      </c>
      <c r="AH13">
        <v>1477922000</v>
      </c>
      <c r="AI13">
        <v>1431809000</v>
      </c>
      <c r="AJ13">
        <v>1361019000</v>
      </c>
      <c r="AK13">
        <v>1352667000</v>
      </c>
      <c r="AL13">
        <v>1194065000</v>
      </c>
    </row>
    <row r="15" spans="1:38" x14ac:dyDescent="0.25">
      <c r="A15" t="s">
        <v>133</v>
      </c>
      <c r="B15">
        <v>-7544236000</v>
      </c>
      <c r="C15">
        <v>-7173807984.6633148</v>
      </c>
      <c r="D15">
        <v>-6840898930.0851326</v>
      </c>
      <c r="E15">
        <v>-7329835081.4818344</v>
      </c>
      <c r="F15">
        <v>-5929432000</v>
      </c>
      <c r="G15">
        <v>-5535130067.5189095</v>
      </c>
      <c r="H15">
        <v>-6335063188.7841644</v>
      </c>
      <c r="I15">
        <v>-5561673414.8942137</v>
      </c>
      <c r="J15">
        <v>-6053731490.8484926</v>
      </c>
      <c r="L15">
        <v>-1286400000</v>
      </c>
      <c r="M15">
        <v>-1552445000</v>
      </c>
      <c r="N15">
        <v>-1312152000</v>
      </c>
      <c r="O15">
        <v>-1058708000</v>
      </c>
      <c r="P15">
        <v>-796232000</v>
      </c>
      <c r="Q15">
        <v>-681005000</v>
      </c>
      <c r="R15">
        <v>-570825000</v>
      </c>
      <c r="S15">
        <v>-721271000</v>
      </c>
      <c r="T15">
        <v>-551101000</v>
      </c>
      <c r="U15">
        <v>-416333000</v>
      </c>
      <c r="V15">
        <v>-487243000</v>
      </c>
      <c r="W15">
        <v>-400554000</v>
      </c>
      <c r="X15">
        <v>-409140000</v>
      </c>
      <c r="Y15">
        <v>-430451000</v>
      </c>
      <c r="Z15">
        <v>-354253000</v>
      </c>
      <c r="AA15">
        <v>-317969000</v>
      </c>
      <c r="AB15">
        <v>-353604000</v>
      </c>
      <c r="AC15">
        <v>-278671000</v>
      </c>
      <c r="AD15">
        <v>-259228000</v>
      </c>
      <c r="AE15">
        <v>-277616000</v>
      </c>
      <c r="AF15">
        <v>-231867000</v>
      </c>
      <c r="AG15">
        <v>-207823000</v>
      </c>
      <c r="AH15">
        <v>-219273000</v>
      </c>
      <c r="AI15">
        <v>-223508000</v>
      </c>
      <c r="AJ15">
        <v>-176328000</v>
      </c>
      <c r="AK15">
        <v>-173168000</v>
      </c>
      <c r="AL15">
        <v>-189787000</v>
      </c>
    </row>
    <row r="16" spans="1:38" x14ac:dyDescent="0.25">
      <c r="A16" t="s">
        <v>134</v>
      </c>
      <c r="B16">
        <v>-21430415000</v>
      </c>
      <c r="C16">
        <v>-22995539732.61306</v>
      </c>
      <c r="D16">
        <v>-23544919296.388351</v>
      </c>
      <c r="E16">
        <v>-26020431239.211143</v>
      </c>
      <c r="F16">
        <v>-18489273000</v>
      </c>
      <c r="G16">
        <v>-19050864502.266159</v>
      </c>
      <c r="H16">
        <v>-19538989424.793472</v>
      </c>
      <c r="I16">
        <v>-19091620721.354382</v>
      </c>
      <c r="J16">
        <v>-17066703427.066044</v>
      </c>
      <c r="L16">
        <v>-6347539000</v>
      </c>
      <c r="M16">
        <v>-6285679000</v>
      </c>
      <c r="N16">
        <v>-4929141000</v>
      </c>
      <c r="O16">
        <v>-4148183000</v>
      </c>
      <c r="P16">
        <v>-2916239000</v>
      </c>
      <c r="Q16">
        <v>-2569861000</v>
      </c>
      <c r="R16">
        <v>-2285710000</v>
      </c>
      <c r="S16">
        <v>-2413314000</v>
      </c>
      <c r="T16">
        <v>-2088466000</v>
      </c>
      <c r="U16">
        <v>-1433104000</v>
      </c>
      <c r="V16">
        <v>-1534375000</v>
      </c>
      <c r="W16">
        <v>-1640145000</v>
      </c>
      <c r="X16">
        <v>-1603703000</v>
      </c>
      <c r="Y16">
        <v>-1500715000</v>
      </c>
      <c r="Z16">
        <v>-1379958000</v>
      </c>
      <c r="AA16">
        <v>-1342139000</v>
      </c>
      <c r="AB16">
        <v>-1509756000</v>
      </c>
      <c r="AC16">
        <v>-1262253000</v>
      </c>
      <c r="AD16">
        <v>-980286000</v>
      </c>
      <c r="AE16">
        <v>-1140608000</v>
      </c>
      <c r="AF16">
        <v>-1047777000</v>
      </c>
      <c r="AG16">
        <v>-948681000</v>
      </c>
      <c r="AH16">
        <v>-890633000</v>
      </c>
      <c r="AI16">
        <v>-895499000</v>
      </c>
      <c r="AJ16">
        <v>-809101000</v>
      </c>
      <c r="AK16">
        <v>-830625000</v>
      </c>
      <c r="AL16">
        <v>-692099000</v>
      </c>
    </row>
    <row r="17" spans="1:38" x14ac:dyDescent="0.25">
      <c r="A17" t="s">
        <v>135</v>
      </c>
      <c r="B17">
        <v>-1297230000</v>
      </c>
      <c r="C17">
        <v>-1291774430.5258751</v>
      </c>
      <c r="D17">
        <v>-1759728886.0639405</v>
      </c>
      <c r="E17">
        <v>-1439537008.5112252</v>
      </c>
      <c r="F17">
        <v>-845507000</v>
      </c>
      <c r="G17">
        <v>-791164919.07947874</v>
      </c>
      <c r="H17">
        <v>-605562715.05813265</v>
      </c>
      <c r="I17">
        <v>-808039156.67294741</v>
      </c>
      <c r="J17">
        <v>-884082017.24665737</v>
      </c>
      <c r="L17">
        <v>-192720000</v>
      </c>
      <c r="M17">
        <v>-171056000</v>
      </c>
      <c r="N17">
        <v>-154577000</v>
      </c>
      <c r="O17">
        <v>-149232000</v>
      </c>
      <c r="P17">
        <v>-113079000</v>
      </c>
      <c r="Q17">
        <v>-94285000</v>
      </c>
      <c r="R17">
        <v>-87472000</v>
      </c>
      <c r="S17">
        <v>-88887000</v>
      </c>
      <c r="T17">
        <v>-84407000</v>
      </c>
      <c r="U17">
        <v>-72199000</v>
      </c>
      <c r="V17">
        <v>-72718000</v>
      </c>
      <c r="W17">
        <v>-70287000</v>
      </c>
      <c r="X17">
        <v>-64921000</v>
      </c>
      <c r="Y17">
        <v>-61998000</v>
      </c>
      <c r="Z17">
        <v>-59545000</v>
      </c>
      <c r="AA17">
        <v>-63728000</v>
      </c>
      <c r="AB17">
        <v>-51018000</v>
      </c>
      <c r="AC17">
        <v>-46571000</v>
      </c>
      <c r="AD17">
        <v>-43475000</v>
      </c>
      <c r="AE17">
        <v>-46694000</v>
      </c>
      <c r="AF17">
        <v>-39978000</v>
      </c>
      <c r="AG17">
        <v>-42988000</v>
      </c>
      <c r="AH17">
        <v>-40517000</v>
      </c>
      <c r="AI17">
        <v>-37864000</v>
      </c>
      <c r="AJ17">
        <v>-39898000</v>
      </c>
      <c r="AK17">
        <v>-39134000</v>
      </c>
      <c r="AL17">
        <v>-34772000</v>
      </c>
    </row>
    <row r="18" spans="1:38" x14ac:dyDescent="0.25">
      <c r="A18" t="s">
        <v>136</v>
      </c>
      <c r="B18">
        <v>6657341000</v>
      </c>
      <c r="C18">
        <v>20999923871.013096</v>
      </c>
      <c r="D18">
        <v>3862782357.0687037</v>
      </c>
      <c r="E18">
        <v>2136114681.1394873</v>
      </c>
      <c r="F18">
        <v>4553076000</v>
      </c>
      <c r="G18">
        <v>5967269297.0082283</v>
      </c>
      <c r="H18">
        <v>3057854655.2711639</v>
      </c>
      <c r="I18">
        <v>10582182570.157248</v>
      </c>
      <c r="J18">
        <v>1745213588.30073</v>
      </c>
      <c r="L18">
        <v>1188400000</v>
      </c>
      <c r="M18">
        <v>1776289000</v>
      </c>
      <c r="N18">
        <v>1901218000</v>
      </c>
      <c r="O18">
        <v>4128430000</v>
      </c>
      <c r="P18">
        <v>296991000</v>
      </c>
      <c r="Q18">
        <v>460985000</v>
      </c>
      <c r="R18">
        <v>890017000</v>
      </c>
      <c r="S18">
        <v>-23775000</v>
      </c>
      <c r="T18">
        <v>786082000</v>
      </c>
      <c r="U18">
        <v>432001000</v>
      </c>
      <c r="V18">
        <v>575052000</v>
      </c>
      <c r="W18">
        <v>241653000</v>
      </c>
      <c r="X18">
        <v>161467000</v>
      </c>
      <c r="Y18">
        <v>167282000</v>
      </c>
      <c r="Z18">
        <v>348333000</v>
      </c>
      <c r="AA18">
        <v>-476484000</v>
      </c>
      <c r="AB18">
        <v>1133164000</v>
      </c>
      <c r="AC18">
        <v>397237000</v>
      </c>
      <c r="AD18">
        <v>270898000</v>
      </c>
      <c r="AE18">
        <v>286064000</v>
      </c>
      <c r="AF18">
        <v>155483000</v>
      </c>
      <c r="AG18">
        <v>41598000</v>
      </c>
      <c r="AH18">
        <v>228693000</v>
      </c>
      <c r="AI18">
        <v>389312000</v>
      </c>
      <c r="AJ18">
        <v>129118000</v>
      </c>
      <c r="AK18">
        <v>81330000</v>
      </c>
      <c r="AL18">
        <v>90307000</v>
      </c>
    </row>
    <row r="19" spans="1:38" x14ac:dyDescent="0.25">
      <c r="A19" t="s">
        <v>137</v>
      </c>
      <c r="B19">
        <v>-5155468000</v>
      </c>
      <c r="C19">
        <v>-15402190996.404858</v>
      </c>
      <c r="D19">
        <v>-6519292288.6357708</v>
      </c>
      <c r="E19">
        <v>-3027119131.0961552</v>
      </c>
      <c r="F19">
        <v>-5089839000</v>
      </c>
      <c r="G19">
        <v>-4395566397.0073433</v>
      </c>
      <c r="H19">
        <v>-5176603052.3171253</v>
      </c>
      <c r="I19">
        <v>-11220933681.234341</v>
      </c>
      <c r="J19">
        <v>-2876659756.9083643</v>
      </c>
      <c r="L19">
        <v>-1389399000</v>
      </c>
      <c r="M19">
        <v>-1415510000</v>
      </c>
      <c r="N19">
        <v>-1470073000</v>
      </c>
      <c r="O19">
        <v>-2239376000</v>
      </c>
      <c r="P19">
        <v>-331811000</v>
      </c>
      <c r="Q19">
        <v>-441878000</v>
      </c>
      <c r="R19">
        <v>-750728000</v>
      </c>
      <c r="S19">
        <v>-63043000</v>
      </c>
      <c r="T19">
        <v>-315269000</v>
      </c>
      <c r="U19">
        <v>-206297000</v>
      </c>
      <c r="V19">
        <v>-175410000</v>
      </c>
      <c r="W19">
        <v>-106577000</v>
      </c>
      <c r="X19">
        <v>-90618000</v>
      </c>
      <c r="Y19">
        <v>-153679000</v>
      </c>
      <c r="Z19">
        <v>-153335000</v>
      </c>
      <c r="AA19">
        <v>-67721000</v>
      </c>
      <c r="AB19">
        <v>-345858000</v>
      </c>
      <c r="AC19">
        <v>-176824000</v>
      </c>
      <c r="AD19">
        <v>-134154000</v>
      </c>
      <c r="AE19">
        <v>-141300000</v>
      </c>
      <c r="AF19">
        <v>-57061000</v>
      </c>
      <c r="AG19">
        <v>-40838000</v>
      </c>
      <c r="AH19">
        <v>-132552000</v>
      </c>
      <c r="AI19">
        <v>-205086000</v>
      </c>
      <c r="AJ19">
        <v>-27263000</v>
      </c>
      <c r="AK19">
        <v>-80286000</v>
      </c>
      <c r="AL19">
        <v>-77138000</v>
      </c>
    </row>
    <row r="20" spans="1:38" x14ac:dyDescent="0.25">
      <c r="A20" t="s">
        <v>138</v>
      </c>
      <c r="U20">
        <v>0</v>
      </c>
      <c r="V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139</v>
      </c>
      <c r="B21">
        <v>2504920000</v>
      </c>
      <c r="C21">
        <v>6136916199.6096573</v>
      </c>
      <c r="D21">
        <v>-2255034057.2355614</v>
      </c>
      <c r="E21">
        <v>139184960.24645519</v>
      </c>
      <c r="F21">
        <v>3818072000</v>
      </c>
      <c r="G21">
        <v>4161026378.826376</v>
      </c>
      <c r="H21">
        <v>3141581168.0728321</v>
      </c>
      <c r="I21">
        <v>6572223028.2543373</v>
      </c>
      <c r="J21">
        <v>2266428858.9266543</v>
      </c>
      <c r="L21">
        <v>1833543000</v>
      </c>
      <c r="M21">
        <v>1920015000</v>
      </c>
      <c r="N21">
        <v>2721892000</v>
      </c>
      <c r="O21">
        <v>3009743000</v>
      </c>
      <c r="P21">
        <v>1265110000</v>
      </c>
      <c r="Q21">
        <v>1067167000</v>
      </c>
      <c r="R21">
        <v>1678124000</v>
      </c>
      <c r="S21">
        <v>1492917000</v>
      </c>
      <c r="T21">
        <v>1874117000</v>
      </c>
      <c r="U21">
        <v>712238000</v>
      </c>
      <c r="V21">
        <v>773024000</v>
      </c>
      <c r="W21">
        <v>631494000</v>
      </c>
      <c r="X21">
        <v>718554000</v>
      </c>
      <c r="Y21">
        <v>663771000</v>
      </c>
      <c r="Z21">
        <v>639939000</v>
      </c>
      <c r="AA21">
        <v>142293000</v>
      </c>
      <c r="AB21">
        <v>1383664000</v>
      </c>
      <c r="AC21">
        <v>606938000</v>
      </c>
      <c r="AD21">
        <v>504427000</v>
      </c>
      <c r="AE21">
        <v>429107000</v>
      </c>
      <c r="AF21">
        <v>503423000</v>
      </c>
      <c r="AG21">
        <v>355661000</v>
      </c>
      <c r="AH21">
        <v>423640000</v>
      </c>
      <c r="AI21">
        <v>459164000</v>
      </c>
      <c r="AJ21">
        <v>437547000</v>
      </c>
      <c r="AK21">
        <v>310784000</v>
      </c>
      <c r="AL21">
        <v>290576000</v>
      </c>
    </row>
    <row r="23" spans="1:38" x14ac:dyDescent="0.25">
      <c r="A23" t="s">
        <v>140</v>
      </c>
    </row>
    <row r="24" spans="1:38" x14ac:dyDescent="0.25">
      <c r="A24" t="s">
        <v>141</v>
      </c>
    </row>
    <row r="25" spans="1:38" x14ac:dyDescent="0.25">
      <c r="A25" t="s">
        <v>142</v>
      </c>
      <c r="B25">
        <v>30586000</v>
      </c>
      <c r="C25">
        <v>40344523.54317975</v>
      </c>
      <c r="D25">
        <v>10533868.602385521</v>
      </c>
      <c r="E25">
        <v>1255823763.1430306</v>
      </c>
      <c r="F25">
        <v>35543000</v>
      </c>
      <c r="G25">
        <v>25175134.782964744</v>
      </c>
      <c r="H25">
        <v>15378191.617252417</v>
      </c>
      <c r="I25">
        <v>10012076.415627196</v>
      </c>
      <c r="J25">
        <v>30210762.198776349</v>
      </c>
      <c r="L25">
        <v>13551000</v>
      </c>
      <c r="M25">
        <v>36060000</v>
      </c>
      <c r="N25">
        <v>4701000</v>
      </c>
      <c r="O25">
        <v>311710000</v>
      </c>
      <c r="P25">
        <v>1707000</v>
      </c>
      <c r="Q25">
        <v>1150000</v>
      </c>
      <c r="R25">
        <v>2273000</v>
      </c>
      <c r="S25">
        <v>11813000</v>
      </c>
      <c r="T25">
        <v>611000</v>
      </c>
      <c r="U25">
        <v>227349000</v>
      </c>
      <c r="V25">
        <v>895000</v>
      </c>
      <c r="W25">
        <v>3720000</v>
      </c>
      <c r="X25">
        <v>1622000</v>
      </c>
      <c r="Y25">
        <v>924000</v>
      </c>
      <c r="Z25">
        <v>550000</v>
      </c>
      <c r="AA25">
        <v>5074000</v>
      </c>
      <c r="AB25">
        <v>1457000</v>
      </c>
      <c r="AC25">
        <v>4277000</v>
      </c>
      <c r="AD25">
        <v>2470000</v>
      </c>
      <c r="AE25">
        <v>1004000</v>
      </c>
      <c r="AF25">
        <v>5071000</v>
      </c>
      <c r="AG25">
        <v>1783000</v>
      </c>
      <c r="AH25">
        <v>427000</v>
      </c>
      <c r="AI25">
        <v>1055000</v>
      </c>
      <c r="AJ25">
        <v>1705000</v>
      </c>
      <c r="AK25">
        <v>415021000</v>
      </c>
      <c r="AL25">
        <v>961000</v>
      </c>
    </row>
    <row r="26" spans="1:38" x14ac:dyDescent="0.25">
      <c r="A26" t="s">
        <v>143</v>
      </c>
      <c r="B26">
        <v>-4896000</v>
      </c>
      <c r="C26">
        <v>-178876592.69615245</v>
      </c>
      <c r="D26">
        <v>-28572156.081486195</v>
      </c>
      <c r="E26">
        <v>-129480559.35221556</v>
      </c>
      <c r="F26">
        <v>-35183000</v>
      </c>
      <c r="G26">
        <v>-84854788.281197324</v>
      </c>
      <c r="H26">
        <v>-13064884.838879749</v>
      </c>
      <c r="I26">
        <v>-13861993.062532067</v>
      </c>
      <c r="J26">
        <v>-51110127.715809584</v>
      </c>
      <c r="L26">
        <v>-6084000</v>
      </c>
      <c r="M26">
        <v>-2069000</v>
      </c>
      <c r="N26">
        <v>-21186000</v>
      </c>
      <c r="O26">
        <v>-6548000</v>
      </c>
      <c r="P26">
        <v>-266000</v>
      </c>
      <c r="Q26">
        <v>-169000</v>
      </c>
      <c r="R26">
        <v>-2596000</v>
      </c>
      <c r="S26">
        <v>-13816000</v>
      </c>
      <c r="T26">
        <v>-49218000</v>
      </c>
      <c r="U26">
        <v>-776000</v>
      </c>
      <c r="V26">
        <v>-675000</v>
      </c>
      <c r="W26">
        <v>-1821000</v>
      </c>
      <c r="X26">
        <v>-4582000</v>
      </c>
      <c r="Y26">
        <v>-1131000</v>
      </c>
      <c r="Z26">
        <v>-1022000</v>
      </c>
      <c r="AA26">
        <v>-2899000</v>
      </c>
      <c r="AB26">
        <v>-150000</v>
      </c>
      <c r="AC26">
        <v>-1306000</v>
      </c>
      <c r="AD26">
        <v>-2440000</v>
      </c>
      <c r="AE26">
        <v>-2093000</v>
      </c>
      <c r="AF26">
        <v>-3159000</v>
      </c>
      <c r="AG26">
        <v>-1847000</v>
      </c>
      <c r="AH26">
        <v>-248000</v>
      </c>
      <c r="AI26">
        <v>-1662000</v>
      </c>
      <c r="AJ26">
        <v>-66000</v>
      </c>
      <c r="AK26">
        <v>-159000</v>
      </c>
      <c r="AL26">
        <v>-526000</v>
      </c>
    </row>
    <row r="27" spans="1:38" x14ac:dyDescent="0.25">
      <c r="A27" t="s">
        <v>144</v>
      </c>
    </row>
    <row r="28" spans="1:38" x14ac:dyDescent="0.25">
      <c r="A28" t="s">
        <v>145</v>
      </c>
      <c r="B28">
        <v>-103304000</v>
      </c>
      <c r="C28">
        <v>78058330.038614094</v>
      </c>
      <c r="D28">
        <v>23826990.963033915</v>
      </c>
      <c r="E28">
        <v>-155531834.10440266</v>
      </c>
      <c r="F28">
        <v>-140141000</v>
      </c>
      <c r="G28">
        <v>-136994272.35793817</v>
      </c>
      <c r="H28">
        <v>-392460664.42522252</v>
      </c>
      <c r="I28">
        <v>49427222.391335279</v>
      </c>
      <c r="J28">
        <v>-284985557.2179417</v>
      </c>
      <c r="L28">
        <v>-31345000</v>
      </c>
      <c r="M28">
        <v>-13421000</v>
      </c>
      <c r="N28">
        <v>-8748000</v>
      </c>
      <c r="O28">
        <v>-32624000</v>
      </c>
      <c r="P28">
        <v>1513000</v>
      </c>
      <c r="Q28">
        <v>-17946000</v>
      </c>
      <c r="R28">
        <v>4543000</v>
      </c>
      <c r="S28">
        <v>-5464000</v>
      </c>
      <c r="T28">
        <v>22032000</v>
      </c>
      <c r="U28">
        <v>17122000</v>
      </c>
      <c r="V28">
        <v>7536000</v>
      </c>
      <c r="W28">
        <v>-3347000</v>
      </c>
      <c r="X28">
        <v>8016000</v>
      </c>
      <c r="Y28">
        <v>1404000</v>
      </c>
      <c r="Z28">
        <v>14968000</v>
      </c>
      <c r="AA28">
        <v>-3255000</v>
      </c>
      <c r="AB28">
        <v>-18797000</v>
      </c>
      <c r="AC28">
        <v>23587000</v>
      </c>
      <c r="AD28">
        <v>10691000</v>
      </c>
      <c r="AE28">
        <v>1846000</v>
      </c>
      <c r="AF28">
        <v>11429000</v>
      </c>
      <c r="AG28">
        <v>11949000</v>
      </c>
      <c r="AH28">
        <v>13866000</v>
      </c>
      <c r="AI28">
        <v>6920000</v>
      </c>
      <c r="AJ28">
        <v>8760000</v>
      </c>
      <c r="AK28">
        <v>12510000</v>
      </c>
      <c r="AL28">
        <v>6667000</v>
      </c>
    </row>
    <row r="29" spans="1:38" x14ac:dyDescent="0.25">
      <c r="A29" t="s">
        <v>146</v>
      </c>
    </row>
    <row r="30" spans="1:38" x14ac:dyDescent="0.25">
      <c r="A30" t="s">
        <v>147</v>
      </c>
    </row>
    <row r="31" spans="1:38" x14ac:dyDescent="0.25">
      <c r="A31" t="s">
        <v>148</v>
      </c>
    </row>
    <row r="32" spans="1:38" x14ac:dyDescent="0.25">
      <c r="A32" t="s">
        <v>149</v>
      </c>
    </row>
    <row r="33" spans="1:38" x14ac:dyDescent="0.25">
      <c r="A33" t="s">
        <v>150</v>
      </c>
      <c r="B33">
        <v>2427306000</v>
      </c>
      <c r="C33">
        <v>6076442460.4952984</v>
      </c>
      <c r="D33">
        <v>-2249245353.751627</v>
      </c>
      <c r="E33">
        <v>1109996329.9328671</v>
      </c>
      <c r="F33">
        <v>3678291000</v>
      </c>
      <c r="G33">
        <v>3964352452.9702053</v>
      </c>
      <c r="H33">
        <v>2751433810.4259825</v>
      </c>
      <c r="I33">
        <v>6617800333.9987688</v>
      </c>
      <c r="J33">
        <v>1960543936.1916792</v>
      </c>
      <c r="L33">
        <v>1809665000</v>
      </c>
      <c r="M33">
        <v>1940585000</v>
      </c>
      <c r="N33">
        <v>2696659000</v>
      </c>
      <c r="O33">
        <v>3282281000</v>
      </c>
      <c r="P33">
        <v>1268064000</v>
      </c>
      <c r="Q33">
        <v>1050202000</v>
      </c>
      <c r="R33">
        <v>1682344000</v>
      </c>
      <c r="S33">
        <v>1485450000</v>
      </c>
      <c r="T33">
        <v>1847542000</v>
      </c>
      <c r="U33">
        <v>955933000</v>
      </c>
      <c r="V33">
        <v>780780000</v>
      </c>
      <c r="W33">
        <v>630046000</v>
      </c>
      <c r="X33">
        <v>723610000</v>
      </c>
      <c r="Y33">
        <v>664968000</v>
      </c>
      <c r="Z33">
        <v>654435000</v>
      </c>
      <c r="AA33">
        <v>141213000</v>
      </c>
      <c r="AB33">
        <v>1366174000</v>
      </c>
      <c r="AC33">
        <v>633496000</v>
      </c>
      <c r="AD33">
        <v>515148000</v>
      </c>
      <c r="AE33">
        <v>429864000</v>
      </c>
      <c r="AF33">
        <v>516764000</v>
      </c>
      <c r="AG33">
        <v>367546000</v>
      </c>
      <c r="AH33">
        <v>437685000</v>
      </c>
      <c r="AI33">
        <v>465477000</v>
      </c>
      <c r="AJ33">
        <v>447946000</v>
      </c>
      <c r="AK33">
        <v>738156000</v>
      </c>
      <c r="AL33">
        <v>297678000</v>
      </c>
    </row>
    <row r="35" spans="1:38" x14ac:dyDescent="0.25">
      <c r="A35" t="s">
        <v>151</v>
      </c>
      <c r="B35">
        <v>3178527000</v>
      </c>
      <c r="C35">
        <v>4436074517.1616783</v>
      </c>
      <c r="D35">
        <v>6799677463.5894184</v>
      </c>
      <c r="E35">
        <v>4080888563.3922443</v>
      </c>
      <c r="F35">
        <v>8952752000</v>
      </c>
      <c r="G35">
        <v>7911680612.3343697</v>
      </c>
      <c r="H35">
        <v>7729287615.3730316</v>
      </c>
      <c r="I35">
        <v>15267506924.140579</v>
      </c>
      <c r="J35">
        <v>4994687196.1246767</v>
      </c>
      <c r="L35">
        <v>1749160000</v>
      </c>
      <c r="M35">
        <v>2026927000</v>
      </c>
      <c r="N35">
        <v>1973364000</v>
      </c>
      <c r="O35">
        <v>7902035000</v>
      </c>
      <c r="P35">
        <v>851615000</v>
      </c>
      <c r="Q35">
        <v>779523000</v>
      </c>
      <c r="R35">
        <v>1776185000</v>
      </c>
      <c r="S35">
        <v>1144608000</v>
      </c>
      <c r="T35">
        <v>1222428000</v>
      </c>
      <c r="U35">
        <v>791376000</v>
      </c>
      <c r="V35">
        <v>694084000</v>
      </c>
      <c r="W35">
        <v>631587000</v>
      </c>
      <c r="X35">
        <v>1114988000</v>
      </c>
      <c r="Y35">
        <v>648009000</v>
      </c>
      <c r="Z35">
        <v>719739000</v>
      </c>
      <c r="AA35">
        <v>467643000</v>
      </c>
      <c r="AB35">
        <v>1599003000</v>
      </c>
      <c r="AC35">
        <v>563946000</v>
      </c>
      <c r="AD35">
        <v>334627000</v>
      </c>
      <c r="AE35">
        <v>296623000</v>
      </c>
      <c r="AF35">
        <v>62450000</v>
      </c>
      <c r="AG35">
        <v>208015000</v>
      </c>
      <c r="AH35">
        <v>334451000</v>
      </c>
      <c r="AI35">
        <v>274772000</v>
      </c>
      <c r="AJ35">
        <v>140096000</v>
      </c>
      <c r="AK35">
        <v>97431000</v>
      </c>
      <c r="AL35">
        <v>157747000</v>
      </c>
    </row>
    <row r="36" spans="1:38" x14ac:dyDescent="0.25">
      <c r="A36" t="s">
        <v>152</v>
      </c>
      <c r="B36">
        <v>-10901018000</v>
      </c>
      <c r="C36">
        <v>-12111187617.328026</v>
      </c>
      <c r="D36">
        <v>-15166983959.868065</v>
      </c>
      <c r="E36">
        <v>-9441955276.839035</v>
      </c>
      <c r="F36">
        <v>-15338274000</v>
      </c>
      <c r="G36">
        <v>-13587223120.026833</v>
      </c>
      <c r="H36">
        <v>-12573210268.241661</v>
      </c>
      <c r="I36">
        <v>-20854755149.321556</v>
      </c>
      <c r="J36">
        <v>-8520015867.2524786</v>
      </c>
      <c r="L36">
        <v>-3327472000</v>
      </c>
      <c r="M36">
        <v>-3663606000</v>
      </c>
      <c r="N36">
        <v>-3218575000</v>
      </c>
      <c r="O36">
        <v>-10209935000</v>
      </c>
      <c r="P36">
        <v>-1349240000</v>
      </c>
      <c r="Q36">
        <v>-1246187000</v>
      </c>
      <c r="R36">
        <v>-2164273000</v>
      </c>
      <c r="S36">
        <v>-1251326000</v>
      </c>
      <c r="T36">
        <v>-1784935000</v>
      </c>
      <c r="U36">
        <v>-1221575000</v>
      </c>
      <c r="V36">
        <v>-1166460000</v>
      </c>
      <c r="W36">
        <v>-979445000</v>
      </c>
      <c r="X36">
        <v>-1569052000</v>
      </c>
      <c r="Y36">
        <v>-1011373000</v>
      </c>
      <c r="Z36">
        <v>-1113332000</v>
      </c>
      <c r="AA36">
        <v>-338560000</v>
      </c>
      <c r="AB36">
        <v>-2633333000</v>
      </c>
      <c r="AC36">
        <v>-1007997000</v>
      </c>
      <c r="AD36">
        <v>-691954000</v>
      </c>
      <c r="AE36">
        <v>-614177000</v>
      </c>
      <c r="AF36">
        <v>-320766000</v>
      </c>
      <c r="AG36">
        <v>-361988000</v>
      </c>
      <c r="AH36">
        <v>-535570000</v>
      </c>
      <c r="AI36">
        <v>-631951000</v>
      </c>
      <c r="AJ36">
        <v>-304769000</v>
      </c>
      <c r="AK36">
        <v>-179933000</v>
      </c>
      <c r="AL36">
        <v>-300969000</v>
      </c>
    </row>
    <row r="37" spans="1:38" x14ac:dyDescent="0.25">
      <c r="A37" t="s">
        <v>153</v>
      </c>
      <c r="B37">
        <v>4342139000</v>
      </c>
      <c r="C37">
        <v>7806267394.9532738</v>
      </c>
      <c r="D37">
        <v>2843636228.9817877</v>
      </c>
      <c r="E37">
        <v>395784248.87788868</v>
      </c>
      <c r="F37">
        <v>6355372000</v>
      </c>
      <c r="G37">
        <v>11796389857.098307</v>
      </c>
      <c r="H37">
        <v>7437974094.9283781</v>
      </c>
      <c r="I37">
        <v>1882117490.5596113</v>
      </c>
      <c r="J37">
        <v>3881059950.1312904</v>
      </c>
    </row>
    <row r="38" spans="1:38" x14ac:dyDescent="0.25">
      <c r="A38" t="s">
        <v>154</v>
      </c>
      <c r="B38">
        <v>-953046000</v>
      </c>
      <c r="C38">
        <v>6207596755.2822161</v>
      </c>
      <c r="D38">
        <v>-7772915621.0484867</v>
      </c>
      <c r="E38">
        <v>-3855286134.6360307</v>
      </c>
      <c r="F38">
        <v>3648141000</v>
      </c>
      <c r="G38">
        <v>10085199802.376053</v>
      </c>
      <c r="H38">
        <v>5345485252.4857397</v>
      </c>
      <c r="I38">
        <v>2912669599.3773966</v>
      </c>
      <c r="J38">
        <v>2316275215.1951675</v>
      </c>
      <c r="L38">
        <v>231353000</v>
      </c>
      <c r="M38">
        <v>303906000</v>
      </c>
      <c r="N38">
        <v>1451448000</v>
      </c>
      <c r="O38">
        <v>974381000</v>
      </c>
      <c r="P38">
        <v>770439000</v>
      </c>
      <c r="Q38">
        <v>583538000</v>
      </c>
      <c r="R38">
        <v>1294256000</v>
      </c>
      <c r="S38">
        <v>1378732000</v>
      </c>
      <c r="T38">
        <v>1285035000</v>
      </c>
      <c r="U38">
        <v>525734000</v>
      </c>
      <c r="V38">
        <v>308404000</v>
      </c>
      <c r="W38">
        <v>282188000</v>
      </c>
      <c r="X38">
        <v>269546000</v>
      </c>
      <c r="Y38">
        <v>301604000</v>
      </c>
      <c r="Z38">
        <v>260842000</v>
      </c>
      <c r="AA38">
        <v>270296000</v>
      </c>
      <c r="AB38">
        <v>331844000</v>
      </c>
      <c r="AC38">
        <v>189445000</v>
      </c>
      <c r="AD38">
        <v>157821000</v>
      </c>
      <c r="AE38">
        <v>112310000</v>
      </c>
      <c r="AF38">
        <v>258448000</v>
      </c>
      <c r="AG38">
        <v>213573000</v>
      </c>
      <c r="AH38">
        <v>236566000</v>
      </c>
      <c r="AI38">
        <v>108298000</v>
      </c>
      <c r="AJ38">
        <v>283273000</v>
      </c>
      <c r="AK38">
        <v>655654000</v>
      </c>
      <c r="AL38">
        <v>154456000</v>
      </c>
    </row>
    <row r="40" spans="1:38" x14ac:dyDescent="0.25">
      <c r="A40" t="s">
        <v>155</v>
      </c>
      <c r="B40">
        <v>-998533000</v>
      </c>
      <c r="C40">
        <v>-1795487378.2016068</v>
      </c>
      <c r="D40">
        <v>1213677294.629437</v>
      </c>
      <c r="E40">
        <v>949815844.96979678</v>
      </c>
      <c r="F40">
        <v>-1024944000</v>
      </c>
      <c r="G40">
        <v>6361375783.3738537</v>
      </c>
      <c r="H40">
        <v>-3622091415.1576347</v>
      </c>
      <c r="I40">
        <v>-439161851.89864141</v>
      </c>
      <c r="J40">
        <v>-334515970.62463087</v>
      </c>
      <c r="L40">
        <v>263546000</v>
      </c>
      <c r="M40">
        <v>36143000</v>
      </c>
      <c r="N40">
        <v>-227086000</v>
      </c>
      <c r="O40">
        <v>-81537000</v>
      </c>
      <c r="P40">
        <v>-53621000</v>
      </c>
      <c r="Q40">
        <v>-42383000</v>
      </c>
      <c r="R40">
        <v>-194064000</v>
      </c>
      <c r="S40">
        <v>-208958000</v>
      </c>
      <c r="T40">
        <v>-243828000</v>
      </c>
      <c r="U40">
        <v>-117171000</v>
      </c>
      <c r="V40">
        <v>-48959000</v>
      </c>
      <c r="W40">
        <v>-40283000</v>
      </c>
      <c r="X40">
        <v>-16514000</v>
      </c>
      <c r="Y40">
        <v>-69609000</v>
      </c>
      <c r="Z40">
        <v>-34748000</v>
      </c>
      <c r="AA40">
        <v>10611000</v>
      </c>
      <c r="AB40">
        <v>-79087000</v>
      </c>
      <c r="AC40">
        <v>-44855000</v>
      </c>
      <c r="AD40">
        <v>19766000</v>
      </c>
      <c r="AE40">
        <v>-22232000</v>
      </c>
      <c r="AF40">
        <v>-909000</v>
      </c>
      <c r="AG40">
        <v>43374000</v>
      </c>
      <c r="AH40">
        <v>4173000</v>
      </c>
      <c r="AI40">
        <v>122065000</v>
      </c>
      <c r="AJ40">
        <v>-19146000</v>
      </c>
      <c r="AK40">
        <v>-2599000</v>
      </c>
      <c r="AL40">
        <v>2149000</v>
      </c>
    </row>
    <row r="41" spans="1:38" x14ac:dyDescent="0.25">
      <c r="A41" t="s">
        <v>156</v>
      </c>
      <c r="B41">
        <v>-850654000</v>
      </c>
      <c r="C41">
        <v>431687333.22150707</v>
      </c>
      <c r="D41">
        <v>-137896187.64784384</v>
      </c>
      <c r="E41">
        <v>-350954707.98822069</v>
      </c>
      <c r="F41">
        <v>-1494465000</v>
      </c>
      <c r="G41">
        <v>392745097.79170799</v>
      </c>
      <c r="H41">
        <v>-1257340075.6167951</v>
      </c>
      <c r="I41">
        <v>-921918722.87639785</v>
      </c>
      <c r="J41">
        <v>-1250140041.5644443</v>
      </c>
      <c r="L41">
        <v>-413754000</v>
      </c>
      <c r="M41">
        <v>-195339000</v>
      </c>
      <c r="N41">
        <v>-352588000</v>
      </c>
      <c r="O41">
        <v>-227070000</v>
      </c>
      <c r="P41">
        <v>-159662000</v>
      </c>
      <c r="Q41">
        <v>-152109000</v>
      </c>
      <c r="R41">
        <v>-220655000</v>
      </c>
      <c r="S41">
        <v>-110566000</v>
      </c>
      <c r="T41">
        <v>-228717000</v>
      </c>
      <c r="U41">
        <v>-65670000</v>
      </c>
      <c r="V41">
        <v>-76079000</v>
      </c>
      <c r="W41">
        <v>-14552000</v>
      </c>
      <c r="X41">
        <v>-47253000</v>
      </c>
      <c r="Y41">
        <v>-122017000</v>
      </c>
      <c r="Z41">
        <v>-60704000</v>
      </c>
      <c r="AA41">
        <v>-44486000</v>
      </c>
      <c r="AB41">
        <v>-122949000</v>
      </c>
      <c r="AC41">
        <v>-50966000</v>
      </c>
      <c r="AD41">
        <v>-30347000</v>
      </c>
      <c r="AE41">
        <v>-55035000</v>
      </c>
      <c r="AF41">
        <v>-36077000</v>
      </c>
      <c r="AG41">
        <v>-37389000</v>
      </c>
      <c r="AH41">
        <v>-65533000</v>
      </c>
      <c r="AI41">
        <v>-17611000</v>
      </c>
      <c r="AJ41">
        <v>-33489000</v>
      </c>
      <c r="AK41">
        <v>-29711000</v>
      </c>
      <c r="AL41">
        <v>-19384000</v>
      </c>
    </row>
    <row r="42" spans="1:38" x14ac:dyDescent="0.25">
      <c r="A42" t="s">
        <v>157</v>
      </c>
      <c r="B42">
        <v>-147879000</v>
      </c>
      <c r="C42">
        <v>-2227174711.4231138</v>
      </c>
      <c r="D42">
        <v>1351573482.2772808</v>
      </c>
      <c r="E42">
        <v>1300770552.9580173</v>
      </c>
      <c r="F42">
        <v>469521000</v>
      </c>
      <c r="G42">
        <v>5968630685.5821457</v>
      </c>
      <c r="H42">
        <v>-2364751339.5408397</v>
      </c>
      <c r="I42">
        <v>482756870.97775602</v>
      </c>
      <c r="J42">
        <v>915624070.93981361</v>
      </c>
      <c r="L42">
        <v>677300000</v>
      </c>
      <c r="M42">
        <v>231482000</v>
      </c>
      <c r="N42">
        <v>125502000</v>
      </c>
      <c r="O42">
        <v>145533000</v>
      </c>
      <c r="P42">
        <v>106041000</v>
      </c>
      <c r="Q42">
        <v>109726000</v>
      </c>
      <c r="R42">
        <v>26591000</v>
      </c>
      <c r="S42">
        <v>-98392000</v>
      </c>
      <c r="T42">
        <v>-15111000</v>
      </c>
      <c r="U42">
        <v>-51501000</v>
      </c>
      <c r="V42">
        <v>27120000</v>
      </c>
      <c r="W42">
        <v>-25731000</v>
      </c>
      <c r="X42">
        <v>30739000</v>
      </c>
      <c r="Y42">
        <v>52408000</v>
      </c>
      <c r="Z42">
        <v>25956000</v>
      </c>
      <c r="AA42">
        <v>55097000</v>
      </c>
      <c r="AB42">
        <v>43862000</v>
      </c>
      <c r="AC42">
        <v>6111000</v>
      </c>
      <c r="AD42">
        <v>50113000</v>
      </c>
      <c r="AE42">
        <v>32803000</v>
      </c>
      <c r="AF42">
        <v>35168000</v>
      </c>
      <c r="AG42">
        <v>80763000</v>
      </c>
      <c r="AH42">
        <v>69706000</v>
      </c>
      <c r="AI42">
        <v>139676000</v>
      </c>
      <c r="AJ42">
        <v>14343000</v>
      </c>
      <c r="AK42">
        <v>27112000</v>
      </c>
      <c r="AL42">
        <v>21533000</v>
      </c>
    </row>
    <row r="43" spans="1:38" x14ac:dyDescent="0.25">
      <c r="A43" t="s">
        <v>158</v>
      </c>
      <c r="B43">
        <v>-1951579000</v>
      </c>
      <c r="C43">
        <v>4412109377.0806093</v>
      </c>
      <c r="D43">
        <v>-6559238326.4190502</v>
      </c>
      <c r="E43">
        <v>-2905470289.666234</v>
      </c>
      <c r="F43">
        <v>2623197000</v>
      </c>
      <c r="G43">
        <v>16446575585.749908</v>
      </c>
      <c r="H43">
        <v>1723393837.328105</v>
      </c>
      <c r="I43">
        <v>2473507747.478754</v>
      </c>
      <c r="J43">
        <v>1981759244.5705366</v>
      </c>
      <c r="L43">
        <v>494899000</v>
      </c>
      <c r="M43">
        <v>340049000</v>
      </c>
      <c r="N43">
        <v>1224362000</v>
      </c>
      <c r="O43">
        <v>892844000</v>
      </c>
      <c r="P43">
        <v>716818000</v>
      </c>
      <c r="Q43">
        <v>541155000</v>
      </c>
      <c r="R43">
        <v>1100192000</v>
      </c>
      <c r="S43">
        <v>1169774000</v>
      </c>
      <c r="T43">
        <v>1041207000</v>
      </c>
      <c r="U43">
        <v>408563000</v>
      </c>
      <c r="V43">
        <v>259445000</v>
      </c>
      <c r="W43">
        <v>241905000</v>
      </c>
      <c r="X43">
        <v>253032000</v>
      </c>
      <c r="Y43">
        <v>231995000</v>
      </c>
      <c r="Z43">
        <v>226094000</v>
      </c>
      <c r="AA43">
        <v>280907000</v>
      </c>
      <c r="AB43">
        <v>252757000</v>
      </c>
      <c r="AC43">
        <v>144590000</v>
      </c>
      <c r="AD43">
        <v>177587000</v>
      </c>
      <c r="AE43">
        <v>90078000</v>
      </c>
      <c r="AF43">
        <v>257539000</v>
      </c>
      <c r="AG43">
        <v>256947000</v>
      </c>
      <c r="AH43">
        <v>240739000</v>
      </c>
      <c r="AI43">
        <v>230363000</v>
      </c>
      <c r="AJ43">
        <v>264127000</v>
      </c>
      <c r="AK43">
        <v>653055000</v>
      </c>
      <c r="AL43">
        <v>156605000</v>
      </c>
    </row>
    <row r="44" spans="1:38" x14ac:dyDescent="0.25">
      <c r="A44" t="s">
        <v>159</v>
      </c>
    </row>
    <row r="46" spans="1:38" x14ac:dyDescent="0.25">
      <c r="A46" t="s">
        <v>160</v>
      </c>
      <c r="B46">
        <v>-1951579000</v>
      </c>
      <c r="C46">
        <v>4412109377.0806093</v>
      </c>
      <c r="D46">
        <v>-6559238326.4190502</v>
      </c>
      <c r="E46">
        <v>-2905470289.666234</v>
      </c>
      <c r="F46">
        <v>2623197000</v>
      </c>
      <c r="G46">
        <v>16446575585.749908</v>
      </c>
      <c r="H46">
        <v>1723393837.328105</v>
      </c>
      <c r="I46">
        <v>2473507747.478754</v>
      </c>
      <c r="J46">
        <v>1981759244.5705366</v>
      </c>
      <c r="L46">
        <v>494899000</v>
      </c>
      <c r="M46">
        <v>340049000</v>
      </c>
      <c r="N46">
        <v>1224362000</v>
      </c>
      <c r="O46">
        <v>892844000</v>
      </c>
      <c r="P46">
        <v>716818000</v>
      </c>
      <c r="Q46">
        <v>541155000</v>
      </c>
      <c r="R46">
        <v>1100192000</v>
      </c>
      <c r="S46">
        <v>1169774000</v>
      </c>
      <c r="T46">
        <v>1041207000</v>
      </c>
      <c r="U46">
        <v>408563000</v>
      </c>
      <c r="V46">
        <v>259445000</v>
      </c>
      <c r="W46">
        <v>241905000</v>
      </c>
      <c r="X46">
        <v>253032000</v>
      </c>
      <c r="Y46">
        <v>231995000</v>
      </c>
      <c r="Z46">
        <v>226094000</v>
      </c>
      <c r="AA46">
        <v>280907000</v>
      </c>
      <c r="AB46">
        <v>252757000</v>
      </c>
      <c r="AC46">
        <v>144590000</v>
      </c>
      <c r="AD46">
        <v>177587000</v>
      </c>
      <c r="AE46">
        <v>90078000</v>
      </c>
      <c r="AF46">
        <v>257539000</v>
      </c>
      <c r="AG46">
        <v>256947000</v>
      </c>
      <c r="AH46">
        <v>240739000</v>
      </c>
      <c r="AI46">
        <v>230363000</v>
      </c>
      <c r="AJ46">
        <v>264127000</v>
      </c>
      <c r="AK46">
        <v>653055000</v>
      </c>
      <c r="AL46">
        <v>156605000</v>
      </c>
    </row>
    <row r="47" spans="1:38" x14ac:dyDescent="0.25">
      <c r="A47" t="s">
        <v>116</v>
      </c>
      <c r="B47">
        <v>-311503000</v>
      </c>
      <c r="C47">
        <v>-3302146928.5934944</v>
      </c>
      <c r="D47">
        <v>-709237813.05037045</v>
      </c>
      <c r="E47">
        <v>-474985876.22505164</v>
      </c>
      <c r="F47">
        <v>197918000</v>
      </c>
      <c r="G47">
        <v>264329145.82827127</v>
      </c>
      <c r="H47">
        <v>267488962.35000861</v>
      </c>
      <c r="I47">
        <v>425949580.04389274</v>
      </c>
      <c r="J47">
        <v>199195604.56432787</v>
      </c>
      <c r="L47">
        <v>159142000</v>
      </c>
      <c r="M47">
        <v>81460000</v>
      </c>
      <c r="N47">
        <v>58777000</v>
      </c>
      <c r="O47">
        <v>102907000</v>
      </c>
      <c r="P47">
        <v>65442000</v>
      </c>
      <c r="Q47">
        <v>10529000</v>
      </c>
      <c r="R47">
        <v>7457000</v>
      </c>
      <c r="S47">
        <v>6281000</v>
      </c>
      <c r="T47">
        <v>19218000</v>
      </c>
      <c r="U47">
        <v>1940000</v>
      </c>
      <c r="V47">
        <v>3711000</v>
      </c>
      <c r="W47">
        <v>1899000</v>
      </c>
      <c r="X47">
        <v>12689000</v>
      </c>
      <c r="Y47">
        <v>12933000</v>
      </c>
      <c r="Z47">
        <v>672000</v>
      </c>
      <c r="AA47">
        <v>1073000</v>
      </c>
      <c r="AB47">
        <v>1515000</v>
      </c>
      <c r="AC47">
        <v>762000</v>
      </c>
      <c r="AD47">
        <v>735000</v>
      </c>
      <c r="AE47">
        <v>194000</v>
      </c>
      <c r="AF47">
        <v>1309000</v>
      </c>
      <c r="AG47">
        <v>366000</v>
      </c>
      <c r="AH47">
        <v>485000</v>
      </c>
      <c r="AI47">
        <v>982000</v>
      </c>
      <c r="AJ47">
        <v>1306000</v>
      </c>
      <c r="AK47">
        <v>1046000</v>
      </c>
      <c r="AL47">
        <v>904000</v>
      </c>
    </row>
    <row r="48" spans="1:38" x14ac:dyDescent="0.25">
      <c r="A48" t="s">
        <v>161</v>
      </c>
      <c r="B48">
        <v>-1640076000</v>
      </c>
      <c r="C48">
        <v>7714256305.6741037</v>
      </c>
      <c r="D48">
        <v>-5850000513.36868</v>
      </c>
      <c r="E48">
        <v>-2430484413.4411826</v>
      </c>
      <c r="F48">
        <v>2425279000</v>
      </c>
      <c r="G48">
        <v>16182246439.921635</v>
      </c>
      <c r="H48">
        <v>1455904874.9780955</v>
      </c>
      <c r="I48">
        <v>2047558167.4348612</v>
      </c>
      <c r="J48">
        <v>1782563640.0062089</v>
      </c>
      <c r="L48">
        <v>335757000</v>
      </c>
      <c r="M48">
        <v>258589000</v>
      </c>
      <c r="N48">
        <v>1165585000</v>
      </c>
      <c r="O48">
        <v>789937000</v>
      </c>
      <c r="P48">
        <v>651376000</v>
      </c>
      <c r="Q48">
        <v>530626000</v>
      </c>
      <c r="R48">
        <v>1092735000</v>
      </c>
      <c r="S48">
        <v>1163493000</v>
      </c>
      <c r="T48">
        <v>1021989000</v>
      </c>
      <c r="U48">
        <v>406623000</v>
      </c>
      <c r="V48">
        <v>255734000</v>
      </c>
      <c r="W48">
        <v>240006000</v>
      </c>
      <c r="X48">
        <v>240343000</v>
      </c>
      <c r="Y48">
        <v>219062000</v>
      </c>
      <c r="Z48">
        <v>225422000</v>
      </c>
      <c r="AA48">
        <v>279834000</v>
      </c>
      <c r="AB48">
        <v>251242000</v>
      </c>
      <c r="AC48">
        <v>143828000</v>
      </c>
      <c r="AD48">
        <v>176852000</v>
      </c>
      <c r="AE48">
        <v>89884000</v>
      </c>
      <c r="AF48">
        <v>256230000</v>
      </c>
      <c r="AG48">
        <v>256581000</v>
      </c>
      <c r="AH48">
        <v>240254000</v>
      </c>
      <c r="AI48">
        <v>229381000</v>
      </c>
      <c r="AJ48">
        <v>262821000</v>
      </c>
      <c r="AK48">
        <v>652009000</v>
      </c>
      <c r="AL48">
        <v>155701000</v>
      </c>
    </row>
    <row r="50" spans="1:38" x14ac:dyDescent="0.25">
      <c r="A50" t="s">
        <v>162</v>
      </c>
      <c r="B50">
        <v>4720201000</v>
      </c>
      <c r="C50">
        <v>4739194078.1795483</v>
      </c>
      <c r="D50">
        <v>5023816967.8438129</v>
      </c>
      <c r="E50">
        <v>4919662519.7064629</v>
      </c>
      <c r="F50">
        <v>3532711000</v>
      </c>
      <c r="G50">
        <v>3240359673.1502934</v>
      </c>
      <c r="H50">
        <v>3473799833.7790289</v>
      </c>
      <c r="I50">
        <v>3577088148.1823206</v>
      </c>
      <c r="J50">
        <v>3557611269.2816448</v>
      </c>
      <c r="L50">
        <v>880210000</v>
      </c>
      <c r="M50">
        <v>781318000</v>
      </c>
      <c r="N50">
        <v>711155000</v>
      </c>
      <c r="O50">
        <v>658652000</v>
      </c>
      <c r="P50">
        <v>461303000</v>
      </c>
      <c r="Q50">
        <v>380738000</v>
      </c>
      <c r="R50">
        <v>344989000</v>
      </c>
      <c r="S50">
        <v>325043000</v>
      </c>
      <c r="T50">
        <v>318619000</v>
      </c>
      <c r="U50">
        <v>296972000</v>
      </c>
      <c r="V50">
        <v>281360000</v>
      </c>
      <c r="W50">
        <v>278244000</v>
      </c>
      <c r="X50">
        <v>269607000</v>
      </c>
      <c r="Y50">
        <v>257981000</v>
      </c>
      <c r="Z50">
        <v>249102000</v>
      </c>
      <c r="AA50">
        <v>194890000</v>
      </c>
      <c r="AB50">
        <v>184949000</v>
      </c>
      <c r="AC50">
        <v>161000000</v>
      </c>
      <c r="AD50">
        <v>149575000</v>
      </c>
      <c r="AE50">
        <v>144277000</v>
      </c>
      <c r="AF50">
        <v>137253000</v>
      </c>
      <c r="AG50">
        <v>134943000</v>
      </c>
      <c r="AH50">
        <v>131714000</v>
      </c>
      <c r="AI50">
        <v>122029000</v>
      </c>
      <c r="AJ50">
        <v>109193000</v>
      </c>
      <c r="AK50">
        <v>110044000</v>
      </c>
      <c r="AL50">
        <v>97416000</v>
      </c>
    </row>
  </sheetData>
  <pageMargins left="0.7" right="0.7" top="0.75" bottom="0.75" header="0.3" footer="0.3"/>
  <ignoredErrors>
    <ignoredError sqref="A1:AL5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0"/>
  <sheetViews>
    <sheetView workbookViewId="0"/>
  </sheetViews>
  <sheetFormatPr defaultRowHeight="15.75" x14ac:dyDescent="0.25"/>
  <cols>
    <col min="1" max="1" width="40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120</v>
      </c>
    </row>
    <row r="2" spans="1:38" x14ac:dyDescent="0.25">
      <c r="A2" t="s">
        <v>121</v>
      </c>
    </row>
    <row r="3" spans="1:38" x14ac:dyDescent="0.25">
      <c r="A3" t="s">
        <v>122</v>
      </c>
      <c r="B3">
        <v>480988607327.56702</v>
      </c>
      <c r="C3">
        <v>471672030327.56702</v>
      </c>
      <c r="D3">
        <v>452234460653.70874</v>
      </c>
      <c r="E3">
        <v>437330984410.74939</v>
      </c>
      <c r="F3">
        <v>413108983478.8952</v>
      </c>
      <c r="G3">
        <v>408556586365.28284</v>
      </c>
      <c r="K3">
        <v>408665052501.74786</v>
      </c>
      <c r="L3">
        <v>117242157000</v>
      </c>
      <c r="M3">
        <v>101135237000</v>
      </c>
      <c r="N3">
        <v>83365018000</v>
      </c>
      <c r="O3">
        <v>68184437000</v>
      </c>
      <c r="P3">
        <v>59000579000</v>
      </c>
      <c r="Q3">
        <v>52791054000</v>
      </c>
      <c r="R3">
        <v>46088769000</v>
      </c>
      <c r="S3">
        <v>40872483000</v>
      </c>
      <c r="T3">
        <v>35903877000</v>
      </c>
      <c r="U3">
        <v>32211673000</v>
      </c>
      <c r="V3">
        <v>32807144000</v>
      </c>
      <c r="W3">
        <v>31941773000</v>
      </c>
      <c r="X3">
        <v>30989970000</v>
      </c>
      <c r="Y3">
        <v>30440030000</v>
      </c>
      <c r="Z3">
        <v>28524323000</v>
      </c>
      <c r="AA3">
        <v>26904384000</v>
      </c>
      <c r="AB3">
        <v>25195794000</v>
      </c>
      <c r="AC3">
        <v>22939393000</v>
      </c>
      <c r="AD3">
        <v>21488577000</v>
      </c>
      <c r="AE3">
        <v>20840613000</v>
      </c>
      <c r="AF3">
        <v>19660870000</v>
      </c>
      <c r="AG3">
        <v>18304498000</v>
      </c>
      <c r="AH3">
        <v>17202977000</v>
      </c>
      <c r="AI3">
        <v>16096172000</v>
      </c>
    </row>
    <row r="4" spans="1:38" x14ac:dyDescent="0.25">
      <c r="A4" t="s">
        <v>123</v>
      </c>
    </row>
    <row r="5" spans="1:38" x14ac:dyDescent="0.25">
      <c r="A5" t="s">
        <v>124</v>
      </c>
      <c r="C5">
        <v>152847633116.49252</v>
      </c>
      <c r="D5">
        <v>154590728783.0199</v>
      </c>
      <c r="E5">
        <v>158894039750.74475</v>
      </c>
      <c r="F5">
        <v>155259092855.88898</v>
      </c>
      <c r="G5">
        <v>152792008494.89487</v>
      </c>
      <c r="K5">
        <v>123990013160.1609</v>
      </c>
      <c r="O5">
        <v>20788705000</v>
      </c>
    </row>
    <row r="6" spans="1:38" x14ac:dyDescent="0.25">
      <c r="A6" t="s">
        <v>125</v>
      </c>
      <c r="C6">
        <v>318824397211.07446</v>
      </c>
      <c r="D6">
        <v>297643731870.68884</v>
      </c>
      <c r="E6">
        <v>278436944660.00464</v>
      </c>
      <c r="F6">
        <v>249079805002.59653</v>
      </c>
      <c r="G6">
        <v>255764577870.38797</v>
      </c>
      <c r="K6">
        <v>284675039341.58698</v>
      </c>
      <c r="O6">
        <v>47395732000</v>
      </c>
    </row>
    <row r="7" spans="1:38" x14ac:dyDescent="0.25">
      <c r="A7" t="s">
        <v>126</v>
      </c>
      <c r="B7">
        <v>-349346358128.48712</v>
      </c>
      <c r="C7">
        <v>-341685662128.48712</v>
      </c>
      <c r="D7">
        <v>-326281914959.74243</v>
      </c>
      <c r="E7">
        <v>-312185516809.8974</v>
      </c>
      <c r="F7">
        <v>-291111201185.19763</v>
      </c>
      <c r="G7">
        <v>-288775459108.88977</v>
      </c>
      <c r="K7">
        <v>-299542606939.56049</v>
      </c>
      <c r="L7">
        <v>-82649111000</v>
      </c>
      <c r="M7">
        <v>-71277912000</v>
      </c>
      <c r="N7">
        <v>-58682898000</v>
      </c>
      <c r="O7">
        <v>-47706092000</v>
      </c>
      <c r="P7">
        <v>-40195839000</v>
      </c>
      <c r="Q7">
        <v>-34984516000</v>
      </c>
      <c r="R7">
        <v>-30267272000</v>
      </c>
      <c r="S7">
        <v>-27066110000</v>
      </c>
      <c r="T7">
        <v>-24293307000</v>
      </c>
      <c r="U7">
        <v>-22002912000</v>
      </c>
      <c r="V7">
        <v>-22363221000</v>
      </c>
      <c r="W7">
        <v>-21726871000</v>
      </c>
      <c r="X7">
        <v>-20972138000</v>
      </c>
      <c r="Y7">
        <v>-20636931000</v>
      </c>
      <c r="Z7">
        <v>-19390536000</v>
      </c>
      <c r="AA7">
        <v>-18358622000</v>
      </c>
      <c r="AB7">
        <v>-17311105000</v>
      </c>
      <c r="AC7">
        <v>-15840817000</v>
      </c>
      <c r="AD7">
        <v>-14809628000</v>
      </c>
      <c r="AE7">
        <v>-14334414000</v>
      </c>
      <c r="AF7">
        <v>-13472123000</v>
      </c>
      <c r="AG7">
        <v>-12479355000</v>
      </c>
      <c r="AH7">
        <v>-11579560000</v>
      </c>
      <c r="AI7">
        <v>-10756612000</v>
      </c>
    </row>
    <row r="8" spans="1:38" x14ac:dyDescent="0.25">
      <c r="A8" t="s">
        <v>127</v>
      </c>
      <c r="B8">
        <v>131642249199.07993</v>
      </c>
      <c r="C8">
        <v>129986368199.07993</v>
      </c>
      <c r="D8">
        <v>125952545693.96629</v>
      </c>
      <c r="E8">
        <v>125145467600.85193</v>
      </c>
      <c r="F8">
        <v>121997782293.69759</v>
      </c>
      <c r="G8">
        <v>119781127256.39307</v>
      </c>
      <c r="K8">
        <v>109122445562.18738</v>
      </c>
      <c r="L8">
        <v>34593046000</v>
      </c>
      <c r="M8">
        <v>29857325000</v>
      </c>
      <c r="N8">
        <v>24682120000</v>
      </c>
      <c r="O8">
        <v>20478345000</v>
      </c>
      <c r="P8">
        <v>18804740000</v>
      </c>
      <c r="Q8">
        <v>17806538000</v>
      </c>
      <c r="R8">
        <v>15821497000</v>
      </c>
      <c r="S8">
        <v>13806373000</v>
      </c>
      <c r="T8">
        <v>11610570000</v>
      </c>
      <c r="U8">
        <v>10208761000</v>
      </c>
      <c r="V8">
        <v>10443923000</v>
      </c>
      <c r="W8">
        <v>10214902000</v>
      </c>
      <c r="X8">
        <v>10017832000</v>
      </c>
      <c r="Y8">
        <v>9803099000</v>
      </c>
      <c r="Z8">
        <v>9133787000</v>
      </c>
      <c r="AA8">
        <v>8545762000</v>
      </c>
      <c r="AB8">
        <v>7884689000</v>
      </c>
      <c r="AC8">
        <v>7098576000</v>
      </c>
      <c r="AD8">
        <v>6678949000</v>
      </c>
      <c r="AE8">
        <v>6506199000</v>
      </c>
      <c r="AF8">
        <v>6188747000</v>
      </c>
      <c r="AG8">
        <v>5825143000</v>
      </c>
      <c r="AH8">
        <v>5623417000</v>
      </c>
      <c r="AI8">
        <v>5339560000</v>
      </c>
    </row>
    <row r="9" spans="1:38" x14ac:dyDescent="0.25">
      <c r="A9" t="s">
        <v>128</v>
      </c>
    </row>
    <row r="10" spans="1:38" x14ac:dyDescent="0.25">
      <c r="A10" t="s">
        <v>129</v>
      </c>
    </row>
    <row r="11" spans="1:38" x14ac:dyDescent="0.25">
      <c r="A11" t="s">
        <v>130</v>
      </c>
    </row>
    <row r="12" spans="1:38" x14ac:dyDescent="0.25">
      <c r="A12" t="s">
        <v>131</v>
      </c>
    </row>
    <row r="13" spans="1:38" x14ac:dyDescent="0.25">
      <c r="A13" t="s">
        <v>132</v>
      </c>
      <c r="B13">
        <v>131642249199.07993</v>
      </c>
      <c r="C13">
        <v>129986368199.07993</v>
      </c>
      <c r="D13">
        <v>125952545693.96629</v>
      </c>
      <c r="E13">
        <v>125145467600.85193</v>
      </c>
      <c r="F13">
        <v>121997782293.69759</v>
      </c>
      <c r="G13">
        <v>119781127256.39307</v>
      </c>
      <c r="K13">
        <v>109122445562.18738</v>
      </c>
      <c r="L13">
        <v>34593046000</v>
      </c>
      <c r="M13">
        <v>29857325000</v>
      </c>
      <c r="N13">
        <v>24682120000</v>
      </c>
      <c r="O13">
        <v>20478345000</v>
      </c>
      <c r="P13">
        <v>18804740000</v>
      </c>
      <c r="Q13">
        <v>17806538000</v>
      </c>
      <c r="R13">
        <v>15821497000</v>
      </c>
      <c r="S13">
        <v>13806373000</v>
      </c>
      <c r="T13">
        <v>11610570000</v>
      </c>
      <c r="U13">
        <v>10208761000</v>
      </c>
      <c r="V13">
        <v>10443923000</v>
      </c>
      <c r="W13">
        <v>10214902000</v>
      </c>
      <c r="X13">
        <v>10017832000</v>
      </c>
      <c r="Y13">
        <v>9803099000</v>
      </c>
      <c r="Z13">
        <v>9133787000</v>
      </c>
      <c r="AA13">
        <v>8545762000</v>
      </c>
      <c r="AB13">
        <v>7884689000</v>
      </c>
      <c r="AC13">
        <v>7098576000</v>
      </c>
      <c r="AD13">
        <v>6678949000</v>
      </c>
      <c r="AE13">
        <v>6506199000</v>
      </c>
      <c r="AF13">
        <v>6188747000</v>
      </c>
      <c r="AG13">
        <v>5825143000</v>
      </c>
      <c r="AH13">
        <v>5623417000</v>
      </c>
      <c r="AI13">
        <v>5339560000</v>
      </c>
    </row>
    <row r="15" spans="1:38" x14ac:dyDescent="0.25">
      <c r="A15" t="s">
        <v>133</v>
      </c>
      <c r="B15">
        <v>-28888777996.230282</v>
      </c>
      <c r="C15">
        <v>-27273973996.230282</v>
      </c>
      <c r="D15">
        <v>-25635296079.085876</v>
      </c>
      <c r="E15">
        <v>-25129460337.784908</v>
      </c>
      <c r="F15">
        <v>-23361298671.197289</v>
      </c>
      <c r="G15">
        <v>-23485598162.04578</v>
      </c>
      <c r="K15">
        <v>-19226966084.780949</v>
      </c>
      <c r="L15">
        <v>-5209705000</v>
      </c>
      <c r="M15">
        <v>-4719537000</v>
      </c>
      <c r="N15">
        <v>-3848097000</v>
      </c>
      <c r="O15">
        <v>-3106770000</v>
      </c>
      <c r="P15">
        <v>-2769333000</v>
      </c>
      <c r="Q15">
        <v>-2524202000</v>
      </c>
      <c r="R15">
        <v>-2259530000</v>
      </c>
      <c r="S15">
        <v>-2175948000</v>
      </c>
      <c r="T15">
        <v>-1855231000</v>
      </c>
      <c r="U15">
        <v>-1713270000</v>
      </c>
      <c r="V15">
        <v>-1727388000</v>
      </c>
      <c r="W15">
        <v>-1594398000</v>
      </c>
      <c r="X15">
        <v>-1511813000</v>
      </c>
      <c r="Y15">
        <v>-1456277000</v>
      </c>
      <c r="Z15">
        <v>-1304497000</v>
      </c>
      <c r="AA15">
        <v>-1209472000</v>
      </c>
      <c r="AB15">
        <v>-1169119000</v>
      </c>
      <c r="AC15">
        <v>-1047382000</v>
      </c>
      <c r="AD15">
        <v>-976534000</v>
      </c>
      <c r="AE15">
        <v>-936579000</v>
      </c>
      <c r="AF15">
        <v>-882471000</v>
      </c>
      <c r="AG15">
        <v>-826932000</v>
      </c>
      <c r="AH15">
        <v>-792277000</v>
      </c>
      <c r="AI15">
        <v>-762791000</v>
      </c>
    </row>
    <row r="16" spans="1:38" x14ac:dyDescent="0.25">
      <c r="A16" t="s">
        <v>134</v>
      </c>
      <c r="B16">
        <v>-93991305268.212555</v>
      </c>
      <c r="C16">
        <v>-91050163268.212555</v>
      </c>
      <c r="D16">
        <v>-87105488037.865662</v>
      </c>
      <c r="E16">
        <v>-83099558166.270782</v>
      </c>
      <c r="F16">
        <v>-76170747648.414017</v>
      </c>
      <c r="G16">
        <v>-74748178075.480057</v>
      </c>
      <c r="K16">
        <v>-73974955758.645355</v>
      </c>
      <c r="L16">
        <v>-21710542000</v>
      </c>
      <c r="M16">
        <v>-18279242000</v>
      </c>
      <c r="N16">
        <v>-14563424000</v>
      </c>
      <c r="O16">
        <v>-11919993000</v>
      </c>
      <c r="P16">
        <v>-10185124000</v>
      </c>
      <c r="Q16">
        <v>-9357351000</v>
      </c>
      <c r="R16">
        <v>-8220594000</v>
      </c>
      <c r="S16">
        <v>-7469259000</v>
      </c>
      <c r="T16">
        <v>-6696090000</v>
      </c>
      <c r="U16">
        <v>-6211327000</v>
      </c>
      <c r="V16">
        <v>-6278938000</v>
      </c>
      <c r="W16">
        <v>-6124521000</v>
      </c>
      <c r="X16">
        <v>-5826515000</v>
      </c>
      <c r="Y16">
        <v>-5732568000</v>
      </c>
      <c r="Z16">
        <v>-5494106000</v>
      </c>
      <c r="AA16">
        <v>-5094434000</v>
      </c>
      <c r="AB16">
        <v>-4892903000</v>
      </c>
      <c r="AC16">
        <v>-4430924000</v>
      </c>
      <c r="AD16">
        <v>-4117352000</v>
      </c>
      <c r="AE16">
        <v>-4027699000</v>
      </c>
      <c r="AF16">
        <v>-3782590000</v>
      </c>
      <c r="AG16">
        <v>-3543914000</v>
      </c>
      <c r="AH16">
        <v>-3425858000</v>
      </c>
      <c r="AI16">
        <v>-3227324000</v>
      </c>
    </row>
    <row r="17" spans="1:35" x14ac:dyDescent="0.25">
      <c r="A17" t="s">
        <v>135</v>
      </c>
      <c r="B17">
        <v>-5788270325.1010408</v>
      </c>
      <c r="C17">
        <v>-5336547325.1010408</v>
      </c>
      <c r="D17">
        <v>-4835937813.654644</v>
      </c>
      <c r="E17">
        <v>-3681771642.6488366</v>
      </c>
      <c r="F17">
        <v>-3050273790.8105588</v>
      </c>
      <c r="G17">
        <v>-3088848808.0572162</v>
      </c>
      <c r="K17">
        <v>-2957714005.3512459</v>
      </c>
      <c r="L17">
        <v>-667585000</v>
      </c>
      <c r="M17">
        <v>-587944000</v>
      </c>
      <c r="N17">
        <v>-511173000</v>
      </c>
      <c r="O17">
        <v>-444068000</v>
      </c>
      <c r="P17">
        <v>-383723000</v>
      </c>
      <c r="Q17">
        <v>-355051000</v>
      </c>
      <c r="R17">
        <v>-332965000</v>
      </c>
      <c r="S17">
        <v>-318211000</v>
      </c>
      <c r="T17">
        <v>-299611000</v>
      </c>
      <c r="U17">
        <v>-280125000</v>
      </c>
      <c r="V17">
        <v>-269924000</v>
      </c>
      <c r="W17">
        <v>-256751000</v>
      </c>
      <c r="X17">
        <v>-250192000</v>
      </c>
      <c r="Y17">
        <v>-236289000</v>
      </c>
      <c r="Z17">
        <v>-220862000</v>
      </c>
      <c r="AA17">
        <v>-204792000</v>
      </c>
      <c r="AB17">
        <v>-187758000</v>
      </c>
      <c r="AC17">
        <v>-176718000</v>
      </c>
      <c r="AD17">
        <v>-173135000</v>
      </c>
      <c r="AE17">
        <v>-170177000</v>
      </c>
      <c r="AF17">
        <v>-161347000</v>
      </c>
      <c r="AG17">
        <v>-161267000</v>
      </c>
      <c r="AH17">
        <v>-157413000</v>
      </c>
      <c r="AI17">
        <v>-151668000</v>
      </c>
    </row>
    <row r="18" spans="1:35" x14ac:dyDescent="0.25">
      <c r="A18" t="s">
        <v>136</v>
      </c>
      <c r="B18">
        <v>33656161909.221287</v>
      </c>
      <c r="C18">
        <v>31551896909.221287</v>
      </c>
      <c r="D18">
        <v>16519242335.216419</v>
      </c>
      <c r="E18">
        <v>15714314633.41888</v>
      </c>
      <c r="F18">
        <v>24160382522.436638</v>
      </c>
      <c r="G18">
        <v>21352520110.73737</v>
      </c>
      <c r="K18">
        <v>18766897756.198303</v>
      </c>
      <c r="L18">
        <v>8994337000</v>
      </c>
      <c r="M18">
        <v>8102928000</v>
      </c>
      <c r="N18">
        <v>6787624000</v>
      </c>
      <c r="O18">
        <v>5776423000</v>
      </c>
      <c r="P18">
        <v>1624218000</v>
      </c>
      <c r="Q18">
        <v>2113309000</v>
      </c>
      <c r="R18">
        <v>2084325000</v>
      </c>
      <c r="S18">
        <v>1769360000</v>
      </c>
      <c r="T18">
        <v>2034788000</v>
      </c>
      <c r="U18">
        <v>1410173000</v>
      </c>
      <c r="V18">
        <v>1145454000</v>
      </c>
      <c r="W18">
        <v>918735000</v>
      </c>
      <c r="X18">
        <v>200598000</v>
      </c>
      <c r="Y18">
        <v>1172295000</v>
      </c>
      <c r="Z18">
        <v>1402250000</v>
      </c>
      <c r="AA18">
        <v>1324815000</v>
      </c>
      <c r="AB18">
        <v>2087363000</v>
      </c>
      <c r="AC18">
        <v>1109682000</v>
      </c>
      <c r="AD18">
        <v>754043000</v>
      </c>
      <c r="AE18">
        <v>711838000</v>
      </c>
      <c r="AF18">
        <v>815086000</v>
      </c>
      <c r="AG18">
        <v>788721000</v>
      </c>
      <c r="AH18">
        <v>828453000</v>
      </c>
      <c r="AI18">
        <v>690067000</v>
      </c>
    </row>
    <row r="19" spans="1:35" x14ac:dyDescent="0.25">
      <c r="A19" t="s">
        <v>137</v>
      </c>
      <c r="B19">
        <v>-30104070416.136784</v>
      </c>
      <c r="C19">
        <v>-30038441416.136784</v>
      </c>
      <c r="D19">
        <v>-19031816816.739269</v>
      </c>
      <c r="E19">
        <v>-17689127580.420624</v>
      </c>
      <c r="F19">
        <v>-25882942130.558811</v>
      </c>
      <c r="G19">
        <v>-23669762887.467175</v>
      </c>
      <c r="K19">
        <v>-16790148521.958933</v>
      </c>
      <c r="L19">
        <v>-6514358000</v>
      </c>
      <c r="M19">
        <v>-5456770000</v>
      </c>
      <c r="N19">
        <v>-4483138000</v>
      </c>
      <c r="O19">
        <v>-3763793000</v>
      </c>
      <c r="P19">
        <v>-1587460000</v>
      </c>
      <c r="Q19">
        <v>-1570918000</v>
      </c>
      <c r="R19">
        <v>-1335337000</v>
      </c>
      <c r="S19">
        <v>-760019000</v>
      </c>
      <c r="T19">
        <v>-803553000</v>
      </c>
      <c r="U19">
        <v>-578902000</v>
      </c>
      <c r="V19">
        <v>-526284000</v>
      </c>
      <c r="W19">
        <v>-504209000</v>
      </c>
      <c r="X19">
        <v>-465353000</v>
      </c>
      <c r="Y19">
        <v>-720593000</v>
      </c>
      <c r="Z19">
        <v>-743738000</v>
      </c>
      <c r="AA19">
        <v>-724557000</v>
      </c>
      <c r="AB19">
        <v>-798136000</v>
      </c>
      <c r="AC19">
        <v>-509339000</v>
      </c>
      <c r="AD19">
        <v>-373353000</v>
      </c>
      <c r="AE19">
        <v>-371751000</v>
      </c>
      <c r="AF19">
        <v>-435537000</v>
      </c>
      <c r="AG19">
        <v>-405739000</v>
      </c>
      <c r="AH19">
        <v>-445187000</v>
      </c>
      <c r="AI19">
        <v>-389773000</v>
      </c>
    </row>
    <row r="20" spans="1:35" x14ac:dyDescent="0.25">
      <c r="A20" t="s">
        <v>138</v>
      </c>
      <c r="W20">
        <v>0</v>
      </c>
      <c r="AI20">
        <v>0</v>
      </c>
    </row>
    <row r="21" spans="1:35" x14ac:dyDescent="0.25">
      <c r="A21" t="s">
        <v>139</v>
      </c>
      <c r="B21">
        <v>6525987102.6205511</v>
      </c>
      <c r="C21">
        <v>7839139102.6205511</v>
      </c>
      <c r="D21">
        <v>5863249281.8372698</v>
      </c>
      <c r="E21">
        <v>11259864507.145664</v>
      </c>
      <c r="F21">
        <v>17692902575.153545</v>
      </c>
      <c r="G21">
        <v>16141259434.0802</v>
      </c>
      <c r="K21">
        <v>14939558947.649216</v>
      </c>
      <c r="L21">
        <v>9485193000</v>
      </c>
      <c r="M21">
        <v>8916760000</v>
      </c>
      <c r="N21">
        <v>8063912000</v>
      </c>
      <c r="O21">
        <v>7020144000</v>
      </c>
      <c r="P21">
        <v>5503318000</v>
      </c>
      <c r="Q21">
        <v>6112325000</v>
      </c>
      <c r="R21">
        <v>5757396000</v>
      </c>
      <c r="S21">
        <v>4852296000</v>
      </c>
      <c r="T21">
        <v>3990873000</v>
      </c>
      <c r="U21">
        <v>2835310000</v>
      </c>
      <c r="V21">
        <v>2786843000</v>
      </c>
      <c r="W21">
        <v>2653758000</v>
      </c>
      <c r="X21">
        <v>2164557000</v>
      </c>
      <c r="Y21">
        <v>2829667000</v>
      </c>
      <c r="Z21">
        <v>2772834000</v>
      </c>
      <c r="AA21">
        <v>2637322000</v>
      </c>
      <c r="AB21">
        <v>2924136000</v>
      </c>
      <c r="AC21">
        <v>2043895000</v>
      </c>
      <c r="AD21">
        <v>1792618000</v>
      </c>
      <c r="AE21">
        <v>1711831000</v>
      </c>
      <c r="AF21">
        <v>1741888000</v>
      </c>
      <c r="AG21">
        <v>1676012000</v>
      </c>
      <c r="AH21">
        <v>1631135000</v>
      </c>
      <c r="AI21">
        <v>1498071000</v>
      </c>
    </row>
    <row r="23" spans="1:35" x14ac:dyDescent="0.25">
      <c r="A23" t="s">
        <v>140</v>
      </c>
    </row>
    <row r="24" spans="1:35" x14ac:dyDescent="0.25">
      <c r="A24" t="s">
        <v>141</v>
      </c>
    </row>
    <row r="25" spans="1:35" x14ac:dyDescent="0.25">
      <c r="A25" t="s">
        <v>142</v>
      </c>
      <c r="B25">
        <v>1337288155.2885959</v>
      </c>
      <c r="C25">
        <v>1342245155.2885959</v>
      </c>
      <c r="D25">
        <v>1327075766.5283809</v>
      </c>
      <c r="E25">
        <v>1331920089.5432477</v>
      </c>
      <c r="F25">
        <v>86108402.815844357</v>
      </c>
      <c r="G25">
        <v>80776165.014620706</v>
      </c>
      <c r="K25">
        <v>4421680602.2760277</v>
      </c>
      <c r="L25">
        <v>366022000</v>
      </c>
      <c r="M25">
        <v>354178000</v>
      </c>
      <c r="N25">
        <v>319268000</v>
      </c>
      <c r="O25">
        <v>316840000</v>
      </c>
      <c r="P25">
        <v>16943000</v>
      </c>
      <c r="Q25">
        <v>15847000</v>
      </c>
      <c r="R25">
        <v>242046000</v>
      </c>
      <c r="S25">
        <v>240668000</v>
      </c>
      <c r="T25">
        <v>232575000</v>
      </c>
      <c r="U25">
        <v>233586000</v>
      </c>
      <c r="V25">
        <v>7161000</v>
      </c>
      <c r="W25">
        <v>6816000</v>
      </c>
      <c r="X25">
        <v>8170000</v>
      </c>
      <c r="Y25">
        <v>8005000</v>
      </c>
      <c r="Z25">
        <v>11358000</v>
      </c>
      <c r="AA25">
        <v>13278000</v>
      </c>
      <c r="AB25">
        <v>9208000</v>
      </c>
      <c r="AC25">
        <v>12822000</v>
      </c>
      <c r="AD25">
        <v>10328000</v>
      </c>
      <c r="AE25">
        <v>8285000</v>
      </c>
      <c r="AF25">
        <v>8336000</v>
      </c>
      <c r="AG25">
        <v>4970000</v>
      </c>
      <c r="AH25">
        <v>418208000</v>
      </c>
      <c r="AI25">
        <v>418742000</v>
      </c>
    </row>
    <row r="26" spans="1:35" x14ac:dyDescent="0.25">
      <c r="A26" t="s">
        <v>143</v>
      </c>
      <c r="B26">
        <v>-341825308.1298542</v>
      </c>
      <c r="C26">
        <v>-372112308.1298542</v>
      </c>
      <c r="D26">
        <v>-278090503.71489906</v>
      </c>
      <c r="E26">
        <v>-262583232.47229263</v>
      </c>
      <c r="F26">
        <v>-146964666.18260914</v>
      </c>
      <c r="G26">
        <v>-162891793.89841872</v>
      </c>
      <c r="K26">
        <v>-275645318.04687583</v>
      </c>
      <c r="L26">
        <v>-35887000</v>
      </c>
      <c r="M26">
        <v>-30069000</v>
      </c>
      <c r="N26">
        <v>-28169000</v>
      </c>
      <c r="O26">
        <v>-9579000</v>
      </c>
      <c r="P26">
        <v>-16847000</v>
      </c>
      <c r="Q26">
        <v>-65799000</v>
      </c>
      <c r="R26">
        <v>-66406000</v>
      </c>
      <c r="S26">
        <v>-64485000</v>
      </c>
      <c r="T26">
        <v>-52490000</v>
      </c>
      <c r="U26">
        <v>-7854000</v>
      </c>
      <c r="V26">
        <v>-8209000</v>
      </c>
      <c r="W26">
        <v>-8556000</v>
      </c>
      <c r="X26">
        <v>-9634000</v>
      </c>
      <c r="Y26">
        <v>-5202000</v>
      </c>
      <c r="Z26">
        <v>-5377000</v>
      </c>
      <c r="AA26">
        <v>-6795000</v>
      </c>
      <c r="AB26">
        <v>-5989000</v>
      </c>
      <c r="AC26">
        <v>-8998000</v>
      </c>
      <c r="AD26">
        <v>-9539000</v>
      </c>
      <c r="AE26">
        <v>-7347000</v>
      </c>
      <c r="AF26">
        <v>-6916000</v>
      </c>
      <c r="AG26">
        <v>-3823000</v>
      </c>
      <c r="AH26">
        <v>-2135000</v>
      </c>
      <c r="AI26">
        <v>-2413000</v>
      </c>
    </row>
    <row r="27" spans="1:35" x14ac:dyDescent="0.25">
      <c r="A27" t="s">
        <v>144</v>
      </c>
    </row>
    <row r="28" spans="1:35" x14ac:dyDescent="0.25">
      <c r="A28" t="s">
        <v>145</v>
      </c>
      <c r="B28">
        <v>-156950513.10275465</v>
      </c>
      <c r="C28">
        <v>-193787513.10275465</v>
      </c>
      <c r="D28">
        <v>-408840115.49930692</v>
      </c>
      <c r="E28">
        <v>-825127770.88756335</v>
      </c>
      <c r="F28">
        <v>-620168714.39182544</v>
      </c>
      <c r="G28">
        <v>-765013271.60976708</v>
      </c>
      <c r="K28">
        <v>-1176195065.0915897</v>
      </c>
      <c r="L28">
        <v>-86138000</v>
      </c>
      <c r="M28">
        <v>-53280000</v>
      </c>
      <c r="N28">
        <v>-57805000</v>
      </c>
      <c r="O28">
        <v>-44514000</v>
      </c>
      <c r="P28">
        <v>-17354000</v>
      </c>
      <c r="Q28">
        <v>3165000</v>
      </c>
      <c r="R28">
        <v>38233000</v>
      </c>
      <c r="S28">
        <v>41226000</v>
      </c>
      <c r="T28">
        <v>43343000</v>
      </c>
      <c r="U28">
        <v>29327000</v>
      </c>
      <c r="V28">
        <v>13609000</v>
      </c>
      <c r="W28">
        <v>21041000</v>
      </c>
      <c r="X28">
        <v>21133000</v>
      </c>
      <c r="Y28">
        <v>-5680000</v>
      </c>
      <c r="Z28">
        <v>16503000</v>
      </c>
      <c r="AA28">
        <v>12226000</v>
      </c>
      <c r="AB28">
        <v>17327000</v>
      </c>
      <c r="AC28">
        <v>47553000</v>
      </c>
      <c r="AD28">
        <v>35915000</v>
      </c>
      <c r="AE28">
        <v>39090000</v>
      </c>
      <c r="AF28">
        <v>44164000</v>
      </c>
      <c r="AG28">
        <v>41495000</v>
      </c>
      <c r="AH28">
        <v>42056000</v>
      </c>
      <c r="AI28">
        <v>34857000</v>
      </c>
    </row>
    <row r="29" spans="1:35" x14ac:dyDescent="0.25">
      <c r="A29" t="s">
        <v>146</v>
      </c>
    </row>
    <row r="30" spans="1:35" x14ac:dyDescent="0.25">
      <c r="A30" t="s">
        <v>147</v>
      </c>
    </row>
    <row r="31" spans="1:35" x14ac:dyDescent="0.25">
      <c r="A31" t="s">
        <v>148</v>
      </c>
    </row>
    <row r="32" spans="1:35" x14ac:dyDescent="0.25">
      <c r="A32" t="s">
        <v>149</v>
      </c>
    </row>
    <row r="33" spans="1:35" x14ac:dyDescent="0.25">
      <c r="A33" t="s">
        <v>150</v>
      </c>
      <c r="B33">
        <v>7364499436.6765385</v>
      </c>
      <c r="C33">
        <v>8615484436.6765385</v>
      </c>
      <c r="D33">
        <v>6503394429.1514454</v>
      </c>
      <c r="E33">
        <v>11504073593.329056</v>
      </c>
      <c r="F33">
        <v>17011877597.394957</v>
      </c>
      <c r="G33">
        <v>15294130533.586636</v>
      </c>
      <c r="K33">
        <v>17909399166.786781</v>
      </c>
      <c r="L33">
        <v>9729190000</v>
      </c>
      <c r="M33">
        <v>9187589000</v>
      </c>
      <c r="N33">
        <v>8297206000</v>
      </c>
      <c r="O33">
        <v>7282891000</v>
      </c>
      <c r="P33">
        <v>5486060000</v>
      </c>
      <c r="Q33">
        <v>6065538000</v>
      </c>
      <c r="R33">
        <v>5971269000</v>
      </c>
      <c r="S33">
        <v>5069705000</v>
      </c>
      <c r="T33">
        <v>4214301000</v>
      </c>
      <c r="U33">
        <v>3090369000</v>
      </c>
      <c r="V33">
        <v>2799404000</v>
      </c>
      <c r="W33">
        <v>2673059000</v>
      </c>
      <c r="X33">
        <v>2184226000</v>
      </c>
      <c r="Y33">
        <v>2826790000</v>
      </c>
      <c r="Z33">
        <v>2795318000</v>
      </c>
      <c r="AA33">
        <v>2656031000</v>
      </c>
      <c r="AB33">
        <v>2944682000</v>
      </c>
      <c r="AC33">
        <v>2095272000</v>
      </c>
      <c r="AD33">
        <v>1829322000</v>
      </c>
      <c r="AE33">
        <v>1751859000</v>
      </c>
      <c r="AF33">
        <v>1787472000</v>
      </c>
      <c r="AG33">
        <v>1718654000</v>
      </c>
      <c r="AH33">
        <v>2089264000</v>
      </c>
      <c r="AI33">
        <v>1949257000</v>
      </c>
    </row>
    <row r="35" spans="1:35" x14ac:dyDescent="0.25">
      <c r="A35" t="s">
        <v>151</v>
      </c>
      <c r="B35">
        <v>18495167544.143341</v>
      </c>
      <c r="C35">
        <v>24269392544.143341</v>
      </c>
      <c r="D35">
        <v>27744998639.316032</v>
      </c>
      <c r="E35">
        <v>28674608791.099648</v>
      </c>
      <c r="F35">
        <v>39861227151.847977</v>
      </c>
      <c r="G35">
        <v>35903162347.972656</v>
      </c>
      <c r="K35">
        <v>22589803051.909779</v>
      </c>
      <c r="L35">
        <v>13651486000</v>
      </c>
      <c r="M35">
        <v>12753941000</v>
      </c>
      <c r="N35">
        <v>11506537000</v>
      </c>
      <c r="O35">
        <v>11309358000</v>
      </c>
      <c r="P35">
        <v>4551931000</v>
      </c>
      <c r="Q35">
        <v>4922744000</v>
      </c>
      <c r="R35">
        <v>4934597000</v>
      </c>
      <c r="S35">
        <v>3852496000</v>
      </c>
      <c r="T35">
        <v>3339475000</v>
      </c>
      <c r="U35">
        <v>3232035000</v>
      </c>
      <c r="V35">
        <v>3088668000</v>
      </c>
      <c r="W35">
        <v>3114323000</v>
      </c>
      <c r="X35">
        <v>2950379000</v>
      </c>
      <c r="Y35">
        <v>3434394000</v>
      </c>
      <c r="Z35">
        <v>3350331000</v>
      </c>
      <c r="AA35">
        <v>2965219000</v>
      </c>
      <c r="AB35">
        <v>2794199000</v>
      </c>
      <c r="AC35">
        <v>1257646000</v>
      </c>
      <c r="AD35">
        <v>901715000</v>
      </c>
      <c r="AE35">
        <v>901539000</v>
      </c>
      <c r="AF35">
        <v>879688000</v>
      </c>
      <c r="AG35">
        <v>957334000</v>
      </c>
      <c r="AH35">
        <v>846750000</v>
      </c>
      <c r="AI35">
        <v>670046000</v>
      </c>
    </row>
    <row r="36" spans="1:35" x14ac:dyDescent="0.25">
      <c r="A36" t="s">
        <v>152</v>
      </c>
      <c r="B36">
        <v>-47621144854.035126</v>
      </c>
      <c r="C36">
        <v>-52058400854.035126</v>
      </c>
      <c r="D36">
        <v>-53534436356.733932</v>
      </c>
      <c r="E36">
        <v>-50940662665.107529</v>
      </c>
      <c r="F36">
        <v>-62353462537.59005</v>
      </c>
      <c r="G36">
        <v>-55535204404.842529</v>
      </c>
      <c r="K36">
        <v>-41594575457.109352</v>
      </c>
      <c r="L36">
        <v>-20419588000</v>
      </c>
      <c r="M36">
        <v>-18441356000</v>
      </c>
      <c r="N36">
        <v>-16023937000</v>
      </c>
      <c r="O36">
        <v>-14969635000</v>
      </c>
      <c r="P36">
        <v>-6011026000</v>
      </c>
      <c r="Q36">
        <v>-6446721000</v>
      </c>
      <c r="R36">
        <v>-6422109000</v>
      </c>
      <c r="S36">
        <v>-5424296000</v>
      </c>
      <c r="T36">
        <v>-5152415000</v>
      </c>
      <c r="U36">
        <v>-4936532000</v>
      </c>
      <c r="V36">
        <v>-4726330000</v>
      </c>
      <c r="W36">
        <v>-4673202000</v>
      </c>
      <c r="X36">
        <v>-4032317000</v>
      </c>
      <c r="Y36">
        <v>-5096598000</v>
      </c>
      <c r="Z36">
        <v>-5093222000</v>
      </c>
      <c r="AA36">
        <v>-4671844000</v>
      </c>
      <c r="AB36">
        <v>-4947461000</v>
      </c>
      <c r="AC36">
        <v>-2634894000</v>
      </c>
      <c r="AD36">
        <v>-1988885000</v>
      </c>
      <c r="AE36">
        <v>-1832501000</v>
      </c>
      <c r="AF36">
        <v>-1850275000</v>
      </c>
      <c r="AG36">
        <v>-1834278000</v>
      </c>
      <c r="AH36">
        <v>-1652223000</v>
      </c>
      <c r="AI36">
        <v>-1417622000</v>
      </c>
    </row>
    <row r="37" spans="1:35" x14ac:dyDescent="0.25">
      <c r="A37" t="s">
        <v>153</v>
      </c>
      <c r="B37">
        <v>15387826872.81295</v>
      </c>
      <c r="C37">
        <v>17401059872.81295</v>
      </c>
      <c r="D37">
        <v>21391182334.957985</v>
      </c>
      <c r="E37">
        <v>25985520200.904572</v>
      </c>
      <c r="F37">
        <v>27471853442.586296</v>
      </c>
      <c r="G37">
        <v>24997541392.717587</v>
      </c>
      <c r="K37">
        <v>12598926366.385569</v>
      </c>
    </row>
    <row r="38" spans="1:35" x14ac:dyDescent="0.25">
      <c r="A38" t="s">
        <v>154</v>
      </c>
      <c r="B38">
        <v>-6373651000.4023018</v>
      </c>
      <c r="C38">
        <v>-1772464000.402302</v>
      </c>
      <c r="D38">
        <v>2105139046.691535</v>
      </c>
      <c r="E38">
        <v>15223539920.225763</v>
      </c>
      <c r="F38">
        <v>21991495654.239189</v>
      </c>
      <c r="G38">
        <v>20659629869.434357</v>
      </c>
      <c r="K38">
        <v>11503553127.972765</v>
      </c>
      <c r="L38">
        <v>2961088000</v>
      </c>
      <c r="M38">
        <v>3500174000</v>
      </c>
      <c r="N38">
        <v>3779806000</v>
      </c>
      <c r="O38">
        <v>3622614000</v>
      </c>
      <c r="P38">
        <v>4026965000</v>
      </c>
      <c r="Q38">
        <v>4541561000</v>
      </c>
      <c r="R38">
        <v>4483757000</v>
      </c>
      <c r="S38">
        <v>3497905000</v>
      </c>
      <c r="T38">
        <v>2401361000</v>
      </c>
      <c r="U38">
        <v>1385872000</v>
      </c>
      <c r="V38">
        <v>1161742000</v>
      </c>
      <c r="W38">
        <v>1114180000</v>
      </c>
      <c r="X38">
        <v>1102288000</v>
      </c>
      <c r="Y38">
        <v>1164586000</v>
      </c>
      <c r="Z38">
        <v>1052427000</v>
      </c>
      <c r="AA38">
        <v>949406000</v>
      </c>
      <c r="AB38">
        <v>791420000</v>
      </c>
      <c r="AC38">
        <v>718024000</v>
      </c>
      <c r="AD38">
        <v>742152000</v>
      </c>
      <c r="AE38">
        <v>820897000</v>
      </c>
      <c r="AF38">
        <v>816885000</v>
      </c>
      <c r="AG38">
        <v>841710000</v>
      </c>
      <c r="AH38">
        <v>1283791000</v>
      </c>
      <c r="AI38">
        <v>1201681000</v>
      </c>
    </row>
    <row r="40" spans="1:35" x14ac:dyDescent="0.25">
      <c r="A40" t="s">
        <v>155</v>
      </c>
      <c r="B40">
        <v>-630527238.60237288</v>
      </c>
      <c r="C40">
        <v>-656938238.60237288</v>
      </c>
      <c r="D40">
        <v>7499924922.9730873</v>
      </c>
      <c r="E40">
        <v>2664156213.1860156</v>
      </c>
      <c r="F40">
        <v>1275178516.3175774</v>
      </c>
      <c r="G40">
        <v>1965606545.6929467</v>
      </c>
      <c r="K40">
        <v>-367058314.28218001</v>
      </c>
      <c r="L40">
        <v>-8934000</v>
      </c>
      <c r="M40">
        <v>-326101000</v>
      </c>
      <c r="N40">
        <v>-404627000</v>
      </c>
      <c r="O40">
        <v>-371605000</v>
      </c>
      <c r="P40">
        <v>-499026000</v>
      </c>
      <c r="Q40">
        <v>-689233000</v>
      </c>
      <c r="R40">
        <v>-764021000</v>
      </c>
      <c r="S40">
        <v>-618916000</v>
      </c>
      <c r="T40">
        <v>-450241000</v>
      </c>
      <c r="U40">
        <v>-222927000</v>
      </c>
      <c r="V40">
        <v>-175365000</v>
      </c>
      <c r="W40">
        <v>-161154000</v>
      </c>
      <c r="X40">
        <v>-110260000</v>
      </c>
      <c r="Y40">
        <v>-172833000</v>
      </c>
      <c r="Z40">
        <v>-148079000</v>
      </c>
      <c r="AA40">
        <v>-93565000</v>
      </c>
      <c r="AB40">
        <v>-126408000</v>
      </c>
      <c r="AC40">
        <v>-48230000</v>
      </c>
      <c r="AD40">
        <v>39999000</v>
      </c>
      <c r="AE40">
        <v>24406000</v>
      </c>
      <c r="AF40">
        <v>168703000</v>
      </c>
      <c r="AG40">
        <v>150466000</v>
      </c>
      <c r="AH40">
        <v>104493000</v>
      </c>
      <c r="AI40">
        <v>102469000</v>
      </c>
    </row>
    <row r="41" spans="1:35" x14ac:dyDescent="0.25">
      <c r="A41" t="s">
        <v>156</v>
      </c>
      <c r="B41">
        <v>-907817562.41455746</v>
      </c>
      <c r="C41">
        <v>-1551628562.4145575</v>
      </c>
      <c r="D41">
        <v>-1590570797.8443565</v>
      </c>
      <c r="E41">
        <v>-2710014685.8133078</v>
      </c>
      <c r="F41">
        <v>-3280978700.7014847</v>
      </c>
      <c r="G41">
        <v>-3036653742.2659292</v>
      </c>
      <c r="K41">
        <v>-3041299229.4582067</v>
      </c>
      <c r="L41">
        <v>-1188751000</v>
      </c>
      <c r="M41">
        <v>-934659000</v>
      </c>
      <c r="N41">
        <v>-891429000</v>
      </c>
      <c r="O41">
        <v>-759496000</v>
      </c>
      <c r="P41">
        <v>-642992000</v>
      </c>
      <c r="Q41">
        <v>-712047000</v>
      </c>
      <c r="R41">
        <v>-625608000</v>
      </c>
      <c r="S41">
        <v>-481032000</v>
      </c>
      <c r="T41">
        <v>-385018000</v>
      </c>
      <c r="U41">
        <v>-203554000</v>
      </c>
      <c r="V41">
        <v>-259901000</v>
      </c>
      <c r="W41">
        <v>-244526000</v>
      </c>
      <c r="X41">
        <v>-274460000</v>
      </c>
      <c r="Y41">
        <v>-350156000</v>
      </c>
      <c r="Z41">
        <v>-279105000</v>
      </c>
      <c r="AA41">
        <v>-248748000</v>
      </c>
      <c r="AB41">
        <v>-259297000</v>
      </c>
      <c r="AC41">
        <v>-172425000</v>
      </c>
      <c r="AD41">
        <v>-158848000</v>
      </c>
      <c r="AE41">
        <v>-194034000</v>
      </c>
      <c r="AF41">
        <v>-156610000</v>
      </c>
      <c r="AG41">
        <v>-154022000</v>
      </c>
      <c r="AH41">
        <v>-146344000</v>
      </c>
      <c r="AI41">
        <v>-100195000</v>
      </c>
    </row>
    <row r="42" spans="1:35" x14ac:dyDescent="0.25">
      <c r="A42" t="s">
        <v>157</v>
      </c>
      <c r="B42">
        <v>277290323.81218457</v>
      </c>
      <c r="C42">
        <v>894690323.81218457</v>
      </c>
      <c r="D42">
        <v>9090495720.8174438</v>
      </c>
      <c r="E42">
        <v>5374170898.9993229</v>
      </c>
      <c r="F42">
        <v>4556157217.019062</v>
      </c>
      <c r="G42">
        <v>5002260287.9588757</v>
      </c>
      <c r="K42">
        <v>2674240915.1760268</v>
      </c>
      <c r="L42">
        <v>1179817000</v>
      </c>
      <c r="M42">
        <v>608558000</v>
      </c>
      <c r="N42">
        <v>486802000</v>
      </c>
      <c r="O42">
        <v>387891000</v>
      </c>
      <c r="P42">
        <v>143966000</v>
      </c>
      <c r="Q42">
        <v>22814000</v>
      </c>
      <c r="R42">
        <v>-138413000</v>
      </c>
      <c r="S42">
        <v>-137884000</v>
      </c>
      <c r="T42">
        <v>-65223000</v>
      </c>
      <c r="U42">
        <v>-19373000</v>
      </c>
      <c r="V42">
        <v>84536000</v>
      </c>
      <c r="W42">
        <v>83372000</v>
      </c>
      <c r="X42">
        <v>164200000</v>
      </c>
      <c r="Y42">
        <v>177323000</v>
      </c>
      <c r="Z42">
        <v>131026000</v>
      </c>
      <c r="AA42">
        <v>155183000</v>
      </c>
      <c r="AB42">
        <v>132889000</v>
      </c>
      <c r="AC42">
        <v>124195000</v>
      </c>
      <c r="AD42">
        <v>198847000</v>
      </c>
      <c r="AE42">
        <v>218440000</v>
      </c>
      <c r="AF42">
        <v>325313000</v>
      </c>
      <c r="AG42">
        <v>304488000</v>
      </c>
      <c r="AH42">
        <v>250837000</v>
      </c>
      <c r="AI42">
        <v>202664000</v>
      </c>
    </row>
    <row r="43" spans="1:35" x14ac:dyDescent="0.25">
      <c r="A43" t="s">
        <v>158</v>
      </c>
      <c r="B43">
        <v>-7004178239.0046749</v>
      </c>
      <c r="C43">
        <v>-2429402239.0046749</v>
      </c>
      <c r="D43">
        <v>9605063969.6646233</v>
      </c>
      <c r="E43">
        <v>17887696133.411781</v>
      </c>
      <c r="F43">
        <v>23266674170.556767</v>
      </c>
      <c r="G43">
        <v>22625236415.127304</v>
      </c>
      <c r="K43">
        <v>11136494813.690586</v>
      </c>
      <c r="L43">
        <v>2952154000</v>
      </c>
      <c r="M43">
        <v>3174073000</v>
      </c>
      <c r="N43">
        <v>3375179000</v>
      </c>
      <c r="O43">
        <v>3251009000</v>
      </c>
      <c r="P43">
        <v>3527939000</v>
      </c>
      <c r="Q43">
        <v>3852328000</v>
      </c>
      <c r="R43">
        <v>3719736000</v>
      </c>
      <c r="S43">
        <v>2878989000</v>
      </c>
      <c r="T43">
        <v>1951120000</v>
      </c>
      <c r="U43">
        <v>1162945000</v>
      </c>
      <c r="V43">
        <v>986377000</v>
      </c>
      <c r="W43">
        <v>953026000</v>
      </c>
      <c r="X43">
        <v>992028000</v>
      </c>
      <c r="Y43">
        <v>991753000</v>
      </c>
      <c r="Z43">
        <v>904348000</v>
      </c>
      <c r="AA43">
        <v>855841000</v>
      </c>
      <c r="AB43">
        <v>665012000</v>
      </c>
      <c r="AC43">
        <v>669794000</v>
      </c>
      <c r="AD43">
        <v>782151000</v>
      </c>
      <c r="AE43">
        <v>845303000</v>
      </c>
      <c r="AF43">
        <v>985588000</v>
      </c>
      <c r="AG43">
        <v>992176000</v>
      </c>
      <c r="AH43">
        <v>1388284000</v>
      </c>
      <c r="AI43">
        <v>1304150000</v>
      </c>
    </row>
    <row r="44" spans="1:35" x14ac:dyDescent="0.25">
      <c r="A44" t="s">
        <v>159</v>
      </c>
    </row>
    <row r="46" spans="1:35" x14ac:dyDescent="0.25">
      <c r="A46" t="s">
        <v>160</v>
      </c>
      <c r="B46">
        <v>-7004178239.0046749</v>
      </c>
      <c r="C46">
        <v>-2429402239.0046749</v>
      </c>
      <c r="D46">
        <v>9605063969.6646233</v>
      </c>
      <c r="E46">
        <v>17887696133.411781</v>
      </c>
      <c r="F46">
        <v>23266674170.556767</v>
      </c>
      <c r="G46">
        <v>22625236415.127304</v>
      </c>
      <c r="K46">
        <v>11136494813.690586</v>
      </c>
      <c r="L46">
        <v>2952154000</v>
      </c>
      <c r="M46">
        <v>3174073000</v>
      </c>
      <c r="N46">
        <v>3375179000</v>
      </c>
      <c r="O46">
        <v>3251009000</v>
      </c>
      <c r="P46">
        <v>3527939000</v>
      </c>
      <c r="Q46">
        <v>3852328000</v>
      </c>
      <c r="R46">
        <v>3719736000</v>
      </c>
      <c r="S46">
        <v>2878989000</v>
      </c>
      <c r="T46">
        <v>1951120000</v>
      </c>
      <c r="U46">
        <v>1162945000</v>
      </c>
      <c r="V46">
        <v>986377000</v>
      </c>
      <c r="W46">
        <v>953026000</v>
      </c>
      <c r="X46">
        <v>992028000</v>
      </c>
      <c r="Y46">
        <v>991753000</v>
      </c>
      <c r="Z46">
        <v>904348000</v>
      </c>
      <c r="AA46">
        <v>855841000</v>
      </c>
      <c r="AB46">
        <v>665012000</v>
      </c>
      <c r="AC46">
        <v>669794000</v>
      </c>
      <c r="AD46">
        <v>782151000</v>
      </c>
      <c r="AE46">
        <v>845303000</v>
      </c>
      <c r="AF46">
        <v>985588000</v>
      </c>
      <c r="AG46">
        <v>992176000</v>
      </c>
      <c r="AH46">
        <v>1388284000</v>
      </c>
      <c r="AI46">
        <v>1304150000</v>
      </c>
    </row>
    <row r="47" spans="1:35" x14ac:dyDescent="0.25">
      <c r="A47" t="s">
        <v>116</v>
      </c>
      <c r="B47">
        <v>-4797873617.8689165</v>
      </c>
      <c r="C47">
        <v>-4288452617.8689165</v>
      </c>
      <c r="D47">
        <v>-721976543.44715083</v>
      </c>
      <c r="E47">
        <v>254750231.95322824</v>
      </c>
      <c r="F47">
        <v>1155685688.2221727</v>
      </c>
      <c r="G47">
        <v>1156963292.7865005</v>
      </c>
      <c r="K47">
        <v>1148381525.594553</v>
      </c>
      <c r="L47">
        <v>402286000</v>
      </c>
      <c r="M47">
        <v>308586000</v>
      </c>
      <c r="N47">
        <v>237655000</v>
      </c>
      <c r="O47">
        <v>186335000</v>
      </c>
      <c r="P47">
        <v>89709000</v>
      </c>
      <c r="Q47">
        <v>43485000</v>
      </c>
      <c r="R47">
        <v>34896000</v>
      </c>
      <c r="S47">
        <v>31150000</v>
      </c>
      <c r="T47">
        <v>26768000</v>
      </c>
      <c r="U47">
        <v>20239000</v>
      </c>
      <c r="V47">
        <v>31232000</v>
      </c>
      <c r="W47">
        <v>28193000</v>
      </c>
      <c r="X47">
        <v>27367000</v>
      </c>
      <c r="Y47">
        <v>16193000</v>
      </c>
      <c r="Z47">
        <v>4022000</v>
      </c>
      <c r="AA47">
        <v>4085000</v>
      </c>
      <c r="AB47">
        <v>3206000</v>
      </c>
      <c r="AC47">
        <v>3000000</v>
      </c>
      <c r="AD47">
        <v>2604000</v>
      </c>
      <c r="AE47">
        <v>2354000</v>
      </c>
      <c r="AF47">
        <v>3142000</v>
      </c>
      <c r="AG47">
        <v>3139000</v>
      </c>
      <c r="AH47">
        <v>3819000</v>
      </c>
      <c r="AI47">
        <v>4238000</v>
      </c>
    </row>
    <row r="48" spans="1:35" x14ac:dyDescent="0.25">
      <c r="A48" t="s">
        <v>161</v>
      </c>
      <c r="B48">
        <v>-2206304621.1357584</v>
      </c>
      <c r="C48">
        <v>1859050378.8642418</v>
      </c>
      <c r="D48">
        <v>10327040513.111773</v>
      </c>
      <c r="E48">
        <v>17632945901.458549</v>
      </c>
      <c r="F48">
        <v>22110988482.334591</v>
      </c>
      <c r="G48">
        <v>21468273122.340801</v>
      </c>
      <c r="K48">
        <v>9988113288.0960312</v>
      </c>
      <c r="L48">
        <v>2549868000</v>
      </c>
      <c r="M48">
        <v>2865487000</v>
      </c>
      <c r="N48">
        <v>3137524000</v>
      </c>
      <c r="O48">
        <v>3064674000</v>
      </c>
      <c r="P48">
        <v>3438230000</v>
      </c>
      <c r="Q48">
        <v>3808843000</v>
      </c>
      <c r="R48">
        <v>3684840000</v>
      </c>
      <c r="S48">
        <v>2847839000</v>
      </c>
      <c r="T48">
        <v>1924352000</v>
      </c>
      <c r="U48">
        <v>1142706000</v>
      </c>
      <c r="V48">
        <v>955145000</v>
      </c>
      <c r="W48">
        <v>924833000</v>
      </c>
      <c r="X48">
        <v>964661000</v>
      </c>
      <c r="Y48">
        <v>975560000</v>
      </c>
      <c r="Z48">
        <v>900326000</v>
      </c>
      <c r="AA48">
        <v>851756000</v>
      </c>
      <c r="AB48">
        <v>661806000</v>
      </c>
      <c r="AC48">
        <v>666794000</v>
      </c>
      <c r="AD48">
        <v>779547000</v>
      </c>
      <c r="AE48">
        <v>842949000</v>
      </c>
      <c r="AF48">
        <v>982446000</v>
      </c>
      <c r="AG48">
        <v>989037000</v>
      </c>
      <c r="AH48">
        <v>1384465000</v>
      </c>
      <c r="AI48">
        <v>1299912000</v>
      </c>
    </row>
    <row r="50" spans="1:35" x14ac:dyDescent="0.25">
      <c r="A50" t="s">
        <v>162</v>
      </c>
      <c r="B50">
        <v>19402874565.729824</v>
      </c>
      <c r="C50">
        <v>18215384565.729824</v>
      </c>
      <c r="D50">
        <v>16716550160.700569</v>
      </c>
      <c r="E50">
        <v>15166533026.635784</v>
      </c>
      <c r="F50">
        <v>13823958655.111643</v>
      </c>
      <c r="G50">
        <v>13848858924.393288</v>
      </c>
      <c r="K50">
        <v>12812407160.343771</v>
      </c>
      <c r="L50">
        <v>3031335000</v>
      </c>
      <c r="M50">
        <v>2612428000</v>
      </c>
      <c r="N50">
        <v>2211848000</v>
      </c>
      <c r="O50">
        <v>1845682000</v>
      </c>
      <c r="P50">
        <v>1512073000</v>
      </c>
      <c r="Q50">
        <v>1369389000</v>
      </c>
      <c r="R50">
        <v>1285623000</v>
      </c>
      <c r="S50">
        <v>1221994000</v>
      </c>
      <c r="T50">
        <v>1175195000</v>
      </c>
      <c r="U50">
        <v>1126183000</v>
      </c>
      <c r="V50">
        <v>1087192000</v>
      </c>
      <c r="W50">
        <v>1054934000</v>
      </c>
      <c r="X50">
        <v>971580000</v>
      </c>
      <c r="Y50">
        <v>886922000</v>
      </c>
      <c r="Z50">
        <v>789941000</v>
      </c>
      <c r="AA50">
        <v>690414000</v>
      </c>
      <c r="AB50">
        <v>639801000</v>
      </c>
      <c r="AC50">
        <v>592105000</v>
      </c>
      <c r="AD50">
        <v>566048000</v>
      </c>
      <c r="AE50">
        <v>548187000</v>
      </c>
      <c r="AF50">
        <v>525939000</v>
      </c>
      <c r="AG50">
        <v>497879000</v>
      </c>
      <c r="AH50">
        <v>472980000</v>
      </c>
      <c r="AI50">
        <v>438682000</v>
      </c>
    </row>
  </sheetData>
  <pageMargins left="0.7" right="0.7" top="0.75" bottom="0.75" header="0.3" footer="0.3"/>
  <ignoredErrors>
    <ignoredError sqref="A1:AL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30"/>
  <sheetViews>
    <sheetView workbookViewId="0"/>
  </sheetViews>
  <sheetFormatPr defaultRowHeight="15.75" x14ac:dyDescent="0.25"/>
  <cols>
    <col min="1" max="1" width="40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120</v>
      </c>
    </row>
    <row r="2" spans="1:38" x14ac:dyDescent="0.25">
      <c r="A2" t="s">
        <v>121</v>
      </c>
    </row>
    <row r="3" spans="1:38" x14ac:dyDescent="0.25">
      <c r="A3" t="s">
        <v>163</v>
      </c>
      <c r="B3">
        <v>-9657964000</v>
      </c>
      <c r="C3">
        <v>15837703021.992514</v>
      </c>
      <c r="D3">
        <v>-13151625599.546349</v>
      </c>
      <c r="E3">
        <v>-11460127906.898232</v>
      </c>
      <c r="F3">
        <v>8267510000</v>
      </c>
      <c r="G3">
        <v>-529215901.13426834</v>
      </c>
      <c r="H3">
        <v>11725764507.822151</v>
      </c>
      <c r="I3">
        <v>-10708945725.722097</v>
      </c>
      <c r="J3">
        <v>-6288969423.5581722</v>
      </c>
      <c r="K3">
        <v>-4603904336.192709</v>
      </c>
      <c r="L3">
        <v>-762326000</v>
      </c>
      <c r="M3">
        <v>-4251702000</v>
      </c>
      <c r="N3">
        <v>-1041144000</v>
      </c>
      <c r="O3">
        <v>-1072549000</v>
      </c>
      <c r="P3">
        <v>-1652992000</v>
      </c>
      <c r="Q3">
        <v>-2325702000</v>
      </c>
      <c r="R3">
        <v>-1724237000</v>
      </c>
      <c r="S3">
        <v>6420905000</v>
      </c>
      <c r="T3">
        <v>5166107000</v>
      </c>
      <c r="U3">
        <v>2904991000</v>
      </c>
      <c r="V3">
        <v>769474000</v>
      </c>
      <c r="W3">
        <v>3174880000</v>
      </c>
      <c r="X3">
        <v>1964650000</v>
      </c>
      <c r="Y3">
        <v>1252656000</v>
      </c>
      <c r="Z3">
        <v>676055000</v>
      </c>
      <c r="AA3">
        <v>1680909000</v>
      </c>
      <c r="AB3">
        <v>430262000</v>
      </c>
      <c r="AC3">
        <v>88696000</v>
      </c>
      <c r="AD3">
        <v>14193000</v>
      </c>
      <c r="AE3">
        <v>589868000</v>
      </c>
      <c r="AF3">
        <v>-259904000</v>
      </c>
      <c r="AG3">
        <v>-527458000</v>
      </c>
      <c r="AH3">
        <v>-410264000</v>
      </c>
      <c r="AI3">
        <v>2067277000</v>
      </c>
      <c r="AJ3">
        <v>1210870000</v>
      </c>
      <c r="AK3">
        <v>766321000</v>
      </c>
      <c r="AL3">
        <v>351171000</v>
      </c>
    </row>
    <row r="4" spans="1:38" x14ac:dyDescent="0.25">
      <c r="A4" t="s">
        <v>160</v>
      </c>
      <c r="B4">
        <v>-1951579000</v>
      </c>
      <c r="C4">
        <v>-2429402239.0046749</v>
      </c>
      <c r="D4">
        <v>-6841511616.0852842</v>
      </c>
      <c r="E4">
        <v>-282273289.66623414</v>
      </c>
      <c r="F4">
        <v>2623197000</v>
      </c>
      <c r="G4">
        <v>22625236415.127304</v>
      </c>
      <c r="H4">
        <v>6178660829.3773956</v>
      </c>
      <c r="I4">
        <v>4455266992.0492907</v>
      </c>
      <c r="J4">
        <v>1981760950.8476403</v>
      </c>
      <c r="K4">
        <v>11136494813.690586</v>
      </c>
      <c r="L4">
        <v>2059310000</v>
      </c>
      <c r="M4">
        <v>1564411000</v>
      </c>
      <c r="N4">
        <v>1224362000</v>
      </c>
      <c r="O4">
        <v>3251009000</v>
      </c>
      <c r="P4">
        <v>2358165000</v>
      </c>
      <c r="Q4">
        <v>1641347000</v>
      </c>
      <c r="R4">
        <v>1100192000</v>
      </c>
      <c r="S4">
        <v>2878989000</v>
      </c>
      <c r="T4">
        <v>1709215000</v>
      </c>
      <c r="U4">
        <v>668008000</v>
      </c>
      <c r="V4">
        <v>259445000</v>
      </c>
      <c r="W4">
        <v>953026000</v>
      </c>
      <c r="X4">
        <v>711121000</v>
      </c>
      <c r="Y4">
        <v>458089000</v>
      </c>
      <c r="Z4">
        <v>226094000</v>
      </c>
      <c r="AA4">
        <v>855841000</v>
      </c>
      <c r="AB4">
        <v>574934000</v>
      </c>
      <c r="AC4">
        <v>322177000</v>
      </c>
      <c r="AD4">
        <v>177587000</v>
      </c>
      <c r="AE4">
        <v>845303000</v>
      </c>
      <c r="AF4">
        <v>755225000</v>
      </c>
      <c r="AG4">
        <v>497686000</v>
      </c>
      <c r="AH4">
        <v>240739000</v>
      </c>
      <c r="AI4">
        <v>1304150000</v>
      </c>
      <c r="AJ4">
        <v>1073787000</v>
      </c>
      <c r="AK4">
        <v>809660000</v>
      </c>
      <c r="AL4">
        <v>156605000</v>
      </c>
    </row>
    <row r="5" spans="1:38" x14ac:dyDescent="0.25">
      <c r="A5" t="s">
        <v>164</v>
      </c>
      <c r="B5">
        <v>6052054000</v>
      </c>
      <c r="C5">
        <v>9937879772.0139313</v>
      </c>
      <c r="D5">
        <v>11982324366.065493</v>
      </c>
      <c r="E5">
        <v>-3110862594.9406929</v>
      </c>
      <c r="F5">
        <v>2980445000</v>
      </c>
      <c r="G5">
        <v>-10159054203.322718</v>
      </c>
      <c r="H5">
        <v>15925738864.489979</v>
      </c>
      <c r="I5">
        <v>5743861611.372447</v>
      </c>
      <c r="J5">
        <v>-2363823813.9913158</v>
      </c>
      <c r="K5">
        <v>-17768457952.586346</v>
      </c>
      <c r="L5">
        <v>9912329000</v>
      </c>
      <c r="M5">
        <v>6658033000</v>
      </c>
      <c r="N5">
        <v>3100542000</v>
      </c>
      <c r="O5">
        <v>9343881000</v>
      </c>
      <c r="P5">
        <v>4563855000</v>
      </c>
      <c r="Q5">
        <v>2920623000</v>
      </c>
      <c r="R5">
        <v>1452137000</v>
      </c>
      <c r="S5">
        <v>4075683000</v>
      </c>
      <c r="T5">
        <v>3514784000</v>
      </c>
      <c r="U5">
        <v>1529056000</v>
      </c>
      <c r="V5">
        <v>737906000</v>
      </c>
      <c r="W5">
        <v>3155164000</v>
      </c>
      <c r="X5">
        <v>2670705000</v>
      </c>
      <c r="Y5">
        <v>1826055000</v>
      </c>
      <c r="Z5">
        <v>849622000</v>
      </c>
      <c r="AA5">
        <v>2749216000</v>
      </c>
      <c r="AB5">
        <v>3035534000</v>
      </c>
      <c r="AC5">
        <v>1343018000</v>
      </c>
      <c r="AD5">
        <v>528118000</v>
      </c>
      <c r="AE5">
        <v>1694269000</v>
      </c>
      <c r="AF5">
        <v>1281411000</v>
      </c>
      <c r="AG5">
        <v>801140000</v>
      </c>
      <c r="AH5">
        <v>392392000</v>
      </c>
      <c r="AI5">
        <v>645072000</v>
      </c>
      <c r="AJ5">
        <v>444318000</v>
      </c>
      <c r="AK5">
        <v>74567000</v>
      </c>
      <c r="AL5">
        <v>200459000</v>
      </c>
    </row>
    <row r="6" spans="1:38" x14ac:dyDescent="0.25">
      <c r="A6" t="s">
        <v>165</v>
      </c>
      <c r="B6">
        <v>4720201000</v>
      </c>
      <c r="C6">
        <v>18215384565.729824</v>
      </c>
      <c r="D6">
        <v>13476190487.550276</v>
      </c>
      <c r="E6">
        <v>8452373519.7064629</v>
      </c>
      <c r="F6">
        <v>3532711000</v>
      </c>
      <c r="G6">
        <v>13848858924.393288</v>
      </c>
      <c r="H6">
        <v>10608499251.242994</v>
      </c>
      <c r="I6">
        <v>7134699417.4639654</v>
      </c>
      <c r="J6">
        <v>3557611269.2816448</v>
      </c>
      <c r="K6">
        <v>12812407160.343771</v>
      </c>
      <c r="L6">
        <v>2372683000</v>
      </c>
      <c r="M6">
        <v>1492473000</v>
      </c>
      <c r="N6">
        <v>711155000</v>
      </c>
      <c r="O6">
        <v>1845682000</v>
      </c>
      <c r="P6">
        <v>1187030000</v>
      </c>
      <c r="Q6">
        <v>725727000</v>
      </c>
      <c r="R6">
        <v>344989000</v>
      </c>
      <c r="S6">
        <v>1221994000</v>
      </c>
      <c r="T6">
        <v>896951000</v>
      </c>
      <c r="U6">
        <v>578332000</v>
      </c>
      <c r="V6">
        <v>281360000</v>
      </c>
      <c r="W6">
        <v>1054934000</v>
      </c>
      <c r="X6">
        <v>776690000</v>
      </c>
      <c r="Y6">
        <v>507083000</v>
      </c>
      <c r="Z6">
        <v>249102000</v>
      </c>
      <c r="AA6">
        <v>690414000</v>
      </c>
      <c r="AB6">
        <v>495524000</v>
      </c>
      <c r="AC6">
        <v>310575000</v>
      </c>
      <c r="AD6">
        <v>149575000</v>
      </c>
      <c r="AE6">
        <v>548187000</v>
      </c>
      <c r="AF6">
        <v>403910000</v>
      </c>
      <c r="AG6">
        <v>266657000</v>
      </c>
      <c r="AH6">
        <v>131714000</v>
      </c>
      <c r="AI6">
        <v>438682000</v>
      </c>
      <c r="AJ6">
        <v>316653000</v>
      </c>
      <c r="AK6">
        <v>207460000</v>
      </c>
      <c r="AL6">
        <v>97416000</v>
      </c>
    </row>
    <row r="7" spans="1:38" x14ac:dyDescent="0.25">
      <c r="A7" t="s">
        <v>166</v>
      </c>
      <c r="B7">
        <v>136966000</v>
      </c>
      <c r="C7">
        <v>-313870393.94311899</v>
      </c>
      <c r="D7">
        <v>-233834982.53871492</v>
      </c>
      <c r="E7">
        <v>-182034046.9367781</v>
      </c>
      <c r="F7">
        <v>-13191000</v>
      </c>
      <c r="G7">
        <v>493006351.55985177</v>
      </c>
      <c r="H7">
        <v>387793120.58618617</v>
      </c>
      <c r="I7">
        <v>452800901.40948313</v>
      </c>
      <c r="J7">
        <v>257020893.88026011</v>
      </c>
      <c r="K7">
        <v>269780050.70507371</v>
      </c>
      <c r="L7">
        <v>82393000</v>
      </c>
      <c r="M7">
        <v>55420000</v>
      </c>
      <c r="N7">
        <v>23592000</v>
      </c>
      <c r="O7">
        <v>1493000</v>
      </c>
      <c r="P7">
        <v>62625000</v>
      </c>
      <c r="Q7">
        <v>46223000</v>
      </c>
      <c r="R7">
        <v>32505000</v>
      </c>
      <c r="S7">
        <v>182697000</v>
      </c>
      <c r="T7">
        <v>96231000</v>
      </c>
      <c r="U7">
        <v>34292000</v>
      </c>
      <c r="V7">
        <v>15750000</v>
      </c>
      <c r="W7">
        <v>88801000</v>
      </c>
      <c r="X7">
        <v>52346000</v>
      </c>
      <c r="Y7">
        <v>42855000</v>
      </c>
      <c r="Z7">
        <v>15398000</v>
      </c>
      <c r="AA7">
        <v>65656000</v>
      </c>
      <c r="AB7">
        <v>29636000</v>
      </c>
      <c r="AC7">
        <v>20201000</v>
      </c>
      <c r="AD7">
        <v>13487000</v>
      </c>
      <c r="AE7">
        <v>41995000</v>
      </c>
      <c r="AF7">
        <v>8556000</v>
      </c>
      <c r="AG7">
        <v>6698000</v>
      </c>
      <c r="AH7">
        <v>3264000</v>
      </c>
      <c r="AI7">
        <v>49515000</v>
      </c>
      <c r="AJ7">
        <v>28426000</v>
      </c>
      <c r="AK7">
        <v>25349000</v>
      </c>
      <c r="AL7">
        <v>1930000</v>
      </c>
    </row>
    <row r="8" spans="1:38" x14ac:dyDescent="0.25">
      <c r="A8" t="s">
        <v>167</v>
      </c>
      <c r="B8">
        <v>887956000</v>
      </c>
      <c r="C8">
        <v>19146671860.05476</v>
      </c>
      <c r="D8">
        <v>7390300580.0622292</v>
      </c>
      <c r="E8">
        <v>3700614535.2457004</v>
      </c>
      <c r="F8">
        <v>2181316000</v>
      </c>
      <c r="G8">
        <v>6250657123.4471331</v>
      </c>
      <c r="H8">
        <v>9032176066.2230434</v>
      </c>
      <c r="I8">
        <v>7620720182.0384693</v>
      </c>
      <c r="J8">
        <v>1494099756.5892489</v>
      </c>
      <c r="K8">
        <v>4362586166.6469469</v>
      </c>
      <c r="L8">
        <v>3174188000</v>
      </c>
      <c r="M8">
        <v>2090438000</v>
      </c>
      <c r="N8">
        <v>879416000</v>
      </c>
      <c r="O8">
        <v>3818561000</v>
      </c>
      <c r="P8">
        <v>1721349000</v>
      </c>
      <c r="Q8">
        <v>1077169000</v>
      </c>
      <c r="R8">
        <v>515836000</v>
      </c>
      <c r="S8">
        <v>856376000</v>
      </c>
      <c r="T8">
        <v>979406000</v>
      </c>
      <c r="U8">
        <v>136606000</v>
      </c>
      <c r="V8">
        <v>-60988000</v>
      </c>
      <c r="W8">
        <v>383637000</v>
      </c>
      <c r="X8">
        <v>559723000</v>
      </c>
      <c r="Y8">
        <v>451405000</v>
      </c>
      <c r="Z8">
        <v>183632000</v>
      </c>
      <c r="AA8">
        <v>289387000</v>
      </c>
      <c r="AB8">
        <v>637229000</v>
      </c>
      <c r="AC8">
        <v>250389000</v>
      </c>
      <c r="AD8">
        <v>42758000</v>
      </c>
      <c r="AE8">
        <v>304873000</v>
      </c>
      <c r="AF8">
        <v>386451000</v>
      </c>
      <c r="AG8">
        <v>276923000</v>
      </c>
      <c r="AH8">
        <v>109133000</v>
      </c>
      <c r="AI8">
        <v>161814000</v>
      </c>
      <c r="AJ8">
        <v>275717000</v>
      </c>
      <c r="AK8">
        <v>139481000</v>
      </c>
      <c r="AL8">
        <v>13781000</v>
      </c>
    </row>
    <row r="9" spans="1:38" x14ac:dyDescent="0.25">
      <c r="A9" t="s">
        <v>168</v>
      </c>
      <c r="C9">
        <v>-2890248.2501722821</v>
      </c>
      <c r="D9">
        <v>-2554487.0317002884</v>
      </c>
      <c r="E9">
        <v>-2554296.1207955885</v>
      </c>
      <c r="G9">
        <v>-479873.66225251905</v>
      </c>
      <c r="H9">
        <v>0</v>
      </c>
      <c r="K9">
        <v>-1220407.8348696874</v>
      </c>
      <c r="L9">
        <v>-156000</v>
      </c>
      <c r="M9">
        <v>-156000</v>
      </c>
      <c r="N9">
        <v>-156000</v>
      </c>
      <c r="O9">
        <v>-342000</v>
      </c>
      <c r="P9">
        <v>-117000</v>
      </c>
      <c r="Q9">
        <v>-117000</v>
      </c>
      <c r="R9">
        <v>-117000</v>
      </c>
      <c r="S9">
        <v>-93000</v>
      </c>
      <c r="AA9">
        <v>-94000</v>
      </c>
      <c r="AB9">
        <v>-94000</v>
      </c>
      <c r="AC9">
        <v>-94000</v>
      </c>
      <c r="AD9">
        <v>-94000</v>
      </c>
      <c r="AE9">
        <v>-93000</v>
      </c>
      <c r="AF9">
        <v>-93000</v>
      </c>
      <c r="AG9">
        <v>-93000</v>
      </c>
      <c r="AH9">
        <v>0</v>
      </c>
      <c r="AI9">
        <v>-59000</v>
      </c>
      <c r="AJ9">
        <v>-59000</v>
      </c>
      <c r="AK9">
        <v>-59000</v>
      </c>
    </row>
    <row r="10" spans="1:38" x14ac:dyDescent="0.25">
      <c r="A10" t="s">
        <v>169</v>
      </c>
    </row>
    <row r="11" spans="1:38" x14ac:dyDescent="0.25">
      <c r="A11" t="s">
        <v>170</v>
      </c>
      <c r="C11">
        <v>-18736022174.837498</v>
      </c>
      <c r="K11">
        <v>-4253826852.800396</v>
      </c>
      <c r="O11">
        <v>-234997000</v>
      </c>
      <c r="S11">
        <v>0</v>
      </c>
    </row>
    <row r="12" spans="1:38" x14ac:dyDescent="0.25">
      <c r="A12" t="s">
        <v>171</v>
      </c>
      <c r="B12">
        <v>3811190000</v>
      </c>
      <c r="C12">
        <v>14390682515.438341</v>
      </c>
      <c r="D12">
        <v>9203703320.4349689</v>
      </c>
      <c r="E12">
        <v>4342391308.8100243</v>
      </c>
      <c r="F12">
        <v>2507973000</v>
      </c>
      <c r="G12">
        <v>9631272420.0368786</v>
      </c>
      <c r="H12">
        <v>7249944149.7490263</v>
      </c>
      <c r="I12">
        <v>4165423813.3308043</v>
      </c>
      <c r="J12">
        <v>2710228268.3702044</v>
      </c>
      <c r="K12">
        <v>11515015109.369787</v>
      </c>
      <c r="L12">
        <v>2510528000</v>
      </c>
      <c r="M12">
        <v>1530778000</v>
      </c>
      <c r="N12">
        <v>655297000</v>
      </c>
      <c r="O12">
        <v>1599916000</v>
      </c>
      <c r="P12">
        <v>1062664000</v>
      </c>
      <c r="Q12">
        <v>606952000</v>
      </c>
      <c r="R12">
        <v>233680000</v>
      </c>
      <c r="S12">
        <v>1110323000</v>
      </c>
      <c r="T12">
        <v>906769000</v>
      </c>
      <c r="U12">
        <v>649923000</v>
      </c>
      <c r="V12">
        <v>340010000</v>
      </c>
      <c r="W12">
        <v>1410618000</v>
      </c>
      <c r="X12">
        <v>1040379000</v>
      </c>
      <c r="Y12">
        <v>709396000</v>
      </c>
      <c r="Z12">
        <v>344239000</v>
      </c>
      <c r="AA12">
        <v>947585000</v>
      </c>
      <c r="AB12">
        <v>658955000</v>
      </c>
      <c r="AC12">
        <v>383375000</v>
      </c>
      <c r="AD12">
        <v>173890000</v>
      </c>
      <c r="AE12">
        <v>544336000</v>
      </c>
      <c r="AF12">
        <v>390350000</v>
      </c>
      <c r="AG12">
        <v>245687000</v>
      </c>
      <c r="AH12">
        <v>111588000</v>
      </c>
      <c r="AI12">
        <v>412636000</v>
      </c>
      <c r="AJ12">
        <v>304502000</v>
      </c>
      <c r="AK12">
        <v>207853000</v>
      </c>
      <c r="AL12">
        <v>98434000</v>
      </c>
    </row>
    <row r="13" spans="1:38" x14ac:dyDescent="0.25">
      <c r="A13" t="s">
        <v>172</v>
      </c>
      <c r="B13">
        <v>-79716000</v>
      </c>
      <c r="C13">
        <v>-847062862.8336221</v>
      </c>
      <c r="D13">
        <v>-537537056.81350362</v>
      </c>
      <c r="E13">
        <v>-239338183.5001229</v>
      </c>
      <c r="F13">
        <v>-116664000</v>
      </c>
      <c r="G13">
        <v>-592407337.93373191</v>
      </c>
      <c r="H13">
        <v>-394631987.65319699</v>
      </c>
      <c r="I13">
        <v>-276421976.90672582</v>
      </c>
      <c r="J13">
        <v>-113171945.12192275</v>
      </c>
      <c r="K13">
        <v>-367407910.2765438</v>
      </c>
      <c r="L13">
        <v>-79077000</v>
      </c>
      <c r="M13">
        <v>-57794000</v>
      </c>
      <c r="N13">
        <v>-11151000</v>
      </c>
      <c r="O13">
        <v>-90990000</v>
      </c>
      <c r="P13">
        <v>-59385000</v>
      </c>
      <c r="Q13">
        <v>-32440000</v>
      </c>
      <c r="R13">
        <v>-19125000</v>
      </c>
      <c r="S13">
        <v>-109988000</v>
      </c>
      <c r="T13">
        <v>-59358000</v>
      </c>
      <c r="U13">
        <v>-37521000</v>
      </c>
      <c r="V13">
        <v>-11888000</v>
      </c>
      <c r="W13">
        <v>-72940000</v>
      </c>
      <c r="X13">
        <v>-29197000</v>
      </c>
      <c r="Y13">
        <v>-20909000</v>
      </c>
      <c r="Z13">
        <v>-12355000</v>
      </c>
      <c r="AA13">
        <v>-77722000</v>
      </c>
      <c r="AB13">
        <v>-46950000</v>
      </c>
      <c r="AC13">
        <v>-27335000</v>
      </c>
      <c r="AD13">
        <v>-4542000</v>
      </c>
      <c r="AE13">
        <v>-67314000</v>
      </c>
      <c r="AF13">
        <v>-45005000</v>
      </c>
      <c r="AG13">
        <v>-30753000</v>
      </c>
      <c r="AH13">
        <v>-34620000</v>
      </c>
      <c r="AI13">
        <v>-198860000</v>
      </c>
      <c r="AJ13">
        <v>-141598000</v>
      </c>
      <c r="AK13">
        <v>-89423000</v>
      </c>
      <c r="AL13">
        <v>-46639000</v>
      </c>
    </row>
    <row r="14" spans="1:38" x14ac:dyDescent="0.25">
      <c r="A14" t="s">
        <v>173</v>
      </c>
    </row>
    <row r="15" spans="1:38" x14ac:dyDescent="0.25">
      <c r="A15" t="s">
        <v>174</v>
      </c>
      <c r="B15">
        <v>664695000</v>
      </c>
      <c r="C15">
        <v>1098355970.2147474</v>
      </c>
      <c r="D15">
        <v>4467837586.0990601</v>
      </c>
      <c r="E15">
        <v>3390065633.4093623</v>
      </c>
      <c r="F15">
        <v>2771375000</v>
      </c>
      <c r="G15">
        <v>8510702481.644969</v>
      </c>
      <c r="H15">
        <v>12303578011.950947</v>
      </c>
      <c r="I15">
        <v>11036611596.475645</v>
      </c>
      <c r="J15">
        <v>834431623.7853303</v>
      </c>
      <c r="K15">
        <v>7124842640.6221418</v>
      </c>
      <c r="L15">
        <v>1869268000</v>
      </c>
      <c r="M15">
        <v>1268955000</v>
      </c>
      <c r="N15">
        <v>562165000</v>
      </c>
      <c r="O15">
        <v>1639073000</v>
      </c>
      <c r="P15">
        <v>310000</v>
      </c>
      <c r="Q15">
        <v>-8969000</v>
      </c>
      <c r="R15">
        <v>-75343000</v>
      </c>
      <c r="S15">
        <v>89246000</v>
      </c>
      <c r="T15">
        <v>44245000</v>
      </c>
      <c r="U15">
        <v>54805000</v>
      </c>
      <c r="V15">
        <v>31730000</v>
      </c>
      <c r="W15">
        <v>145042000</v>
      </c>
      <c r="X15">
        <v>60236000</v>
      </c>
      <c r="Y15">
        <v>96865000</v>
      </c>
      <c r="Z15">
        <v>77317000</v>
      </c>
      <c r="AA15">
        <v>1021151000</v>
      </c>
      <c r="AB15">
        <v>1416729000</v>
      </c>
      <c r="AC15">
        <v>389451000</v>
      </c>
      <c r="AD15">
        <v>70757000</v>
      </c>
      <c r="AE15">
        <v>208648000</v>
      </c>
      <c r="AF15">
        <v>90005000</v>
      </c>
      <c r="AG15">
        <v>23560000</v>
      </c>
      <c r="AH15">
        <v>77306000</v>
      </c>
      <c r="AI15">
        <v>359602000</v>
      </c>
      <c r="AJ15">
        <v>49033000</v>
      </c>
      <c r="AK15">
        <v>4139000</v>
      </c>
      <c r="AL15">
        <v>-26535000</v>
      </c>
    </row>
    <row r="16" spans="1:38" x14ac:dyDescent="0.25">
      <c r="A16" t="s">
        <v>175</v>
      </c>
    </row>
    <row r="17" spans="1:38" x14ac:dyDescent="0.25">
      <c r="A17" t="s">
        <v>176</v>
      </c>
    </row>
    <row r="18" spans="1:38" x14ac:dyDescent="0.25">
      <c r="A18" t="s">
        <v>177</v>
      </c>
      <c r="B18">
        <v>1019339000</v>
      </c>
      <c r="C18">
        <v>4372252207.0812616</v>
      </c>
      <c r="D18">
        <v>3670797864.5533142</v>
      </c>
      <c r="E18">
        <v>2128527443.5193534</v>
      </c>
      <c r="F18">
        <v>901001000</v>
      </c>
      <c r="G18">
        <v>-5949467060.8407373</v>
      </c>
      <c r="H18">
        <v>-5753835834.2899895</v>
      </c>
      <c r="I18">
        <v>-6777447026.4563732</v>
      </c>
      <c r="J18">
        <v>98925154.075542077</v>
      </c>
      <c r="K18">
        <v>489429624.89109272</v>
      </c>
      <c r="L18">
        <v>67784000</v>
      </c>
      <c r="M18">
        <v>76920000</v>
      </c>
      <c r="N18">
        <v>14044000</v>
      </c>
      <c r="O18">
        <v>436011000</v>
      </c>
      <c r="P18">
        <v>273567000</v>
      </c>
      <c r="Q18">
        <v>245252000</v>
      </c>
      <c r="R18">
        <v>221934000</v>
      </c>
      <c r="S18">
        <v>364222000</v>
      </c>
      <c r="T18">
        <v>508604000</v>
      </c>
      <c r="U18">
        <v>193184000</v>
      </c>
      <c r="V18">
        <v>97778000</v>
      </c>
      <c r="W18">
        <v>-14769000</v>
      </c>
      <c r="X18">
        <v>96542000</v>
      </c>
      <c r="Y18">
        <v>-54410000</v>
      </c>
      <c r="Z18">
        <v>-31269000</v>
      </c>
      <c r="AA18">
        <v>-278752000</v>
      </c>
      <c r="AB18">
        <v>-249206000</v>
      </c>
      <c r="AC18">
        <v>23212000</v>
      </c>
      <c r="AD18">
        <v>110409000</v>
      </c>
      <c r="AE18">
        <v>168195000</v>
      </c>
      <c r="AF18">
        <v>126218000</v>
      </c>
      <c r="AG18">
        <v>81241000</v>
      </c>
      <c r="AH18">
        <v>10599000</v>
      </c>
      <c r="AI18">
        <v>-35782000</v>
      </c>
      <c r="AJ18">
        <v>28776000</v>
      </c>
      <c r="AK18">
        <v>8717000</v>
      </c>
      <c r="AL18">
        <v>68798000</v>
      </c>
    </row>
    <row r="19" spans="1:38" x14ac:dyDescent="0.25">
      <c r="A19" t="s">
        <v>178</v>
      </c>
      <c r="B19">
        <v>103304000</v>
      </c>
      <c r="C19">
        <v>193787513.10275465</v>
      </c>
      <c r="D19">
        <v>271845843.14136875</v>
      </c>
      <c r="E19">
        <v>295672834.10440266</v>
      </c>
      <c r="F19">
        <v>140141000</v>
      </c>
      <c r="G19">
        <v>765013271.60976708</v>
      </c>
      <c r="H19">
        <v>628018999.25182891</v>
      </c>
      <c r="I19">
        <v>235558334.82660642</v>
      </c>
      <c r="J19">
        <v>284985538.30621606</v>
      </c>
      <c r="K19">
        <v>1176195065.0915897</v>
      </c>
      <c r="L19">
        <v>53514000</v>
      </c>
      <c r="M19">
        <v>22169000</v>
      </c>
      <c r="N19">
        <v>8748000</v>
      </c>
      <c r="O19">
        <v>44514000</v>
      </c>
      <c r="P19">
        <v>11890000</v>
      </c>
      <c r="Q19">
        <v>13403000</v>
      </c>
      <c r="R19">
        <v>-4543000</v>
      </c>
      <c r="S19">
        <v>-41226000</v>
      </c>
      <c r="T19">
        <v>-46690000</v>
      </c>
      <c r="U19">
        <v>-24658000</v>
      </c>
      <c r="V19">
        <v>-7536000</v>
      </c>
      <c r="W19">
        <v>-21041000</v>
      </c>
      <c r="X19">
        <v>-24388000</v>
      </c>
      <c r="Y19">
        <v>-16372000</v>
      </c>
      <c r="Z19">
        <v>-14968000</v>
      </c>
      <c r="AA19">
        <v>-12226000</v>
      </c>
      <c r="AB19">
        <v>-15481000</v>
      </c>
      <c r="AC19">
        <v>-34278000</v>
      </c>
      <c r="AD19">
        <v>-10691000</v>
      </c>
      <c r="AE19">
        <v>-39090000</v>
      </c>
      <c r="AF19">
        <v>-37244000</v>
      </c>
      <c r="AG19">
        <v>-25815000</v>
      </c>
      <c r="AH19">
        <v>-13866000</v>
      </c>
      <c r="AI19">
        <v>-34857000</v>
      </c>
      <c r="AJ19">
        <v>-27937000</v>
      </c>
      <c r="AK19">
        <v>-19177000</v>
      </c>
      <c r="AL19">
        <v>-6667000</v>
      </c>
    </row>
    <row r="20" spans="1:38" x14ac:dyDescent="0.25">
      <c r="A20" t="s">
        <v>179</v>
      </c>
      <c r="B20">
        <v>998533000</v>
      </c>
      <c r="C20">
        <v>656938238.60237288</v>
      </c>
      <c r="D20">
        <v>-1138549139.5992339</v>
      </c>
      <c r="E20">
        <v>75128155.030203208</v>
      </c>
      <c r="F20">
        <v>1024944000</v>
      </c>
      <c r="G20">
        <v>-1965606545.6929467</v>
      </c>
      <c r="H20">
        <v>4395769237.6809072</v>
      </c>
      <c r="I20">
        <v>773677822.52327228</v>
      </c>
      <c r="J20">
        <v>334513714.66297734</v>
      </c>
      <c r="K20">
        <v>367058314.28218001</v>
      </c>
      <c r="L20">
        <v>-72603000</v>
      </c>
      <c r="M20">
        <v>190943000</v>
      </c>
      <c r="N20">
        <v>227086000</v>
      </c>
      <c r="O20">
        <v>371605000</v>
      </c>
      <c r="P20">
        <v>290068000</v>
      </c>
      <c r="Q20">
        <v>236447000</v>
      </c>
      <c r="R20">
        <v>194064000</v>
      </c>
      <c r="S20">
        <v>618916000</v>
      </c>
      <c r="T20">
        <v>409958000</v>
      </c>
      <c r="U20">
        <v>166130000</v>
      </c>
      <c r="V20">
        <v>48959000</v>
      </c>
      <c r="W20">
        <v>161154000</v>
      </c>
      <c r="X20">
        <v>120871000</v>
      </c>
      <c r="Y20">
        <v>104357000</v>
      </c>
      <c r="Z20">
        <v>34748000</v>
      </c>
      <c r="AA20">
        <v>93565000</v>
      </c>
      <c r="AB20">
        <v>104176000</v>
      </c>
      <c r="AC20">
        <v>25089000</v>
      </c>
      <c r="AD20">
        <v>-19766000</v>
      </c>
      <c r="AE20">
        <v>-24406000</v>
      </c>
      <c r="AF20">
        <v>-46638000</v>
      </c>
      <c r="AG20">
        <v>-47547000</v>
      </c>
      <c r="AH20">
        <v>-4173000</v>
      </c>
      <c r="AI20">
        <v>-102469000</v>
      </c>
      <c r="AJ20">
        <v>19596000</v>
      </c>
      <c r="AK20">
        <v>450000</v>
      </c>
      <c r="AL20">
        <v>-2149000</v>
      </c>
    </row>
    <row r="21" spans="1:38" x14ac:dyDescent="0.25">
      <c r="A21" t="s">
        <v>180</v>
      </c>
    </row>
    <row r="22" spans="1:38" x14ac:dyDescent="0.25">
      <c r="A22" t="s">
        <v>181</v>
      </c>
      <c r="B22">
        <v>185000</v>
      </c>
      <c r="C22">
        <v>159615225.33757985</v>
      </c>
      <c r="D22">
        <v>152687912.35313681</v>
      </c>
      <c r="E22">
        <v>134648987.47892675</v>
      </c>
      <c r="F22">
        <v>22197000</v>
      </c>
      <c r="G22">
        <v>82595502.546050549</v>
      </c>
      <c r="H22">
        <v>22435975.385565445</v>
      </c>
      <c r="I22">
        <v>24749282.163938101</v>
      </c>
      <c r="J22">
        <v>20897871.472841412</v>
      </c>
      <c r="K22">
        <v>203035819.0902344</v>
      </c>
      <c r="L22">
        <v>3976000</v>
      </c>
      <c r="M22">
        <v>11443000</v>
      </c>
      <c r="N22">
        <v>16641000</v>
      </c>
      <c r="O22">
        <v>-15310000</v>
      </c>
      <c r="P22">
        <v>-1982000</v>
      </c>
      <c r="Q22">
        <v>-541000</v>
      </c>
      <c r="R22">
        <v>440000</v>
      </c>
      <c r="S22">
        <v>1705000</v>
      </c>
      <c r="T22">
        <v>-298000</v>
      </c>
      <c r="U22">
        <v>-202000</v>
      </c>
      <c r="V22">
        <v>-127000</v>
      </c>
      <c r="W22">
        <v>-2580000</v>
      </c>
      <c r="X22">
        <v>-681000</v>
      </c>
      <c r="Y22">
        <v>679000</v>
      </c>
      <c r="Z22">
        <v>472000</v>
      </c>
      <c r="AA22">
        <v>-6389000</v>
      </c>
      <c r="AB22">
        <v>-4214000</v>
      </c>
      <c r="AC22">
        <v>-2907000</v>
      </c>
      <c r="AD22">
        <v>64000</v>
      </c>
      <c r="AE22">
        <v>-845000</v>
      </c>
      <c r="AF22">
        <v>-1934000</v>
      </c>
      <c r="AG22">
        <v>-22000</v>
      </c>
      <c r="AH22">
        <v>-179000</v>
      </c>
      <c r="AI22">
        <v>-2531000</v>
      </c>
      <c r="AJ22">
        <v>-3138000</v>
      </c>
      <c r="AK22">
        <v>-1499000</v>
      </c>
      <c r="AL22">
        <v>-435000</v>
      </c>
    </row>
    <row r="23" spans="1:38" x14ac:dyDescent="0.25">
      <c r="A23" t="s">
        <v>182</v>
      </c>
    </row>
    <row r="24" spans="1:38" x14ac:dyDescent="0.25">
      <c r="A24" t="s">
        <v>183</v>
      </c>
      <c r="B24">
        <v>0</v>
      </c>
      <c r="C24">
        <v>-14488662.591495782</v>
      </c>
      <c r="D24">
        <v>-22557617.62517022</v>
      </c>
      <c r="E24">
        <v>-22556791.578457199</v>
      </c>
      <c r="F24">
        <v>-22557000</v>
      </c>
      <c r="G24">
        <v>0</v>
      </c>
      <c r="H24">
        <v>0</v>
      </c>
      <c r="I24">
        <v>0</v>
      </c>
      <c r="J24">
        <v>0</v>
      </c>
      <c r="O24">
        <v>-930000</v>
      </c>
      <c r="S24">
        <v>0</v>
      </c>
      <c r="T24">
        <v>-226498000</v>
      </c>
      <c r="U24">
        <v>-226498000</v>
      </c>
      <c r="W24">
        <v>4320000</v>
      </c>
      <c r="X24">
        <v>4320000</v>
      </c>
      <c r="Y24">
        <v>0</v>
      </c>
      <c r="AA24">
        <v>0</v>
      </c>
      <c r="AB24">
        <v>0</v>
      </c>
      <c r="AH24">
        <v>0</v>
      </c>
      <c r="AI24">
        <v>-413739000</v>
      </c>
      <c r="AJ24">
        <v>-413739000</v>
      </c>
      <c r="AK24">
        <v>-413739000</v>
      </c>
    </row>
    <row r="25" spans="1:38" x14ac:dyDescent="0.25">
      <c r="A25" t="s">
        <v>184</v>
      </c>
      <c r="B25">
        <v>-25875000</v>
      </c>
      <c r="F25">
        <v>0</v>
      </c>
      <c r="O25">
        <v>-55682000</v>
      </c>
      <c r="S25">
        <v>-226498000</v>
      </c>
    </row>
    <row r="26" spans="1:38" x14ac:dyDescent="0.25">
      <c r="A26" t="s">
        <v>185</v>
      </c>
    </row>
    <row r="27" spans="1:38" x14ac:dyDescent="0.25">
      <c r="A27" t="s">
        <v>186</v>
      </c>
      <c r="B27">
        <v>736507000</v>
      </c>
      <c r="C27">
        <v>2736163678.854929</v>
      </c>
      <c r="D27">
        <v>1535315714.6301107</v>
      </c>
      <c r="E27">
        <v>649363224.13755941</v>
      </c>
      <c r="F27">
        <v>205174000</v>
      </c>
      <c r="G27">
        <v>109889968.02816115</v>
      </c>
      <c r="H27">
        <v>156813221.76742566</v>
      </c>
      <c r="I27">
        <v>687988512.95870721</v>
      </c>
      <c r="J27">
        <v>-11843365959.293657</v>
      </c>
      <c r="K27">
        <v>-51466352732.717361</v>
      </c>
      <c r="L27">
        <v>-70169000</v>
      </c>
      <c r="M27">
        <v>-23556000</v>
      </c>
      <c r="N27">
        <v>13705000</v>
      </c>
      <c r="O27">
        <v>-14723000</v>
      </c>
      <c r="P27">
        <v>15836000</v>
      </c>
      <c r="Q27">
        <v>11517000</v>
      </c>
      <c r="R27">
        <v>7817000</v>
      </c>
      <c r="S27">
        <v>8009000</v>
      </c>
      <c r="T27">
        <v>5464000</v>
      </c>
      <c r="U27">
        <v>4663000</v>
      </c>
      <c r="V27">
        <v>2858000</v>
      </c>
      <c r="W27">
        <v>17988000</v>
      </c>
      <c r="X27">
        <v>13864000</v>
      </c>
      <c r="Y27">
        <v>5106000</v>
      </c>
      <c r="Z27">
        <v>3306000</v>
      </c>
      <c r="AA27">
        <v>16641000</v>
      </c>
      <c r="AB27">
        <v>9230000</v>
      </c>
      <c r="AC27">
        <v>5340000</v>
      </c>
      <c r="AD27">
        <v>2271000</v>
      </c>
      <c r="AE27">
        <v>9783000</v>
      </c>
      <c r="AF27">
        <v>6835000</v>
      </c>
      <c r="AG27">
        <v>4604000</v>
      </c>
      <c r="AH27">
        <v>1626000</v>
      </c>
      <c r="AI27">
        <v>11120000</v>
      </c>
      <c r="AJ27">
        <v>8086000</v>
      </c>
      <c r="AK27">
        <v>5015000</v>
      </c>
      <c r="AL27">
        <v>2525000</v>
      </c>
    </row>
    <row r="28" spans="1:38" x14ac:dyDescent="0.25">
      <c r="A28" t="s">
        <v>187</v>
      </c>
      <c r="B28">
        <v>-13662238000</v>
      </c>
      <c r="C28">
        <v>9314914607.5692387</v>
      </c>
      <c r="D28">
        <v>-17636721178.389336</v>
      </c>
      <c r="E28">
        <v>-7596056255.4057493</v>
      </c>
      <c r="F28">
        <v>2712590000</v>
      </c>
      <c r="G28">
        <v>-11704087804.764299</v>
      </c>
      <c r="H28">
        <v>-9467038885.3516808</v>
      </c>
      <c r="I28">
        <v>-20143609808.139565</v>
      </c>
      <c r="J28">
        <v>-5411039236.6100025</v>
      </c>
      <c r="K28">
        <v>4347693377.2870522</v>
      </c>
      <c r="L28">
        <v>-12261056000</v>
      </c>
      <c r="M28">
        <v>-12077168000</v>
      </c>
      <c r="N28">
        <v>-5149677000</v>
      </c>
      <c r="O28">
        <v>-13168716000</v>
      </c>
      <c r="P28">
        <v>-8267725000</v>
      </c>
      <c r="Q28">
        <v>-6786228000</v>
      </c>
      <c r="R28">
        <v>-4233638000</v>
      </c>
      <c r="S28">
        <v>-366321000</v>
      </c>
      <c r="T28">
        <v>54891000</v>
      </c>
      <c r="U28">
        <v>759358000</v>
      </c>
      <c r="V28">
        <v>-207522000</v>
      </c>
      <c r="W28">
        <v>-782999000</v>
      </c>
      <c r="X28">
        <v>-1297435000</v>
      </c>
      <c r="Y28">
        <v>-964533000</v>
      </c>
      <c r="Z28">
        <v>-388352000</v>
      </c>
      <c r="AA28">
        <v>-1818338000</v>
      </c>
      <c r="AB28">
        <v>-3090945000</v>
      </c>
      <c r="AC28">
        <v>-1520293000</v>
      </c>
      <c r="AD28">
        <v>-665309000</v>
      </c>
      <c r="AE28">
        <v>-1785765000</v>
      </c>
      <c r="AF28">
        <v>-2191898000</v>
      </c>
      <c r="AG28">
        <v>-1731300000</v>
      </c>
      <c r="AH28">
        <v>-1025467000</v>
      </c>
      <c r="AI28">
        <v>253044000</v>
      </c>
      <c r="AJ28">
        <v>-217123000</v>
      </c>
      <c r="AK28">
        <v>-99430000</v>
      </c>
      <c r="AL28">
        <v>5021000</v>
      </c>
    </row>
    <row r="29" spans="1:38" x14ac:dyDescent="0.25">
      <c r="A29" t="s">
        <v>188</v>
      </c>
    </row>
    <row r="30" spans="1:38" x14ac:dyDescent="0.25">
      <c r="A30" t="s">
        <v>189</v>
      </c>
    </row>
    <row r="31" spans="1:38" x14ac:dyDescent="0.25">
      <c r="A31" t="s">
        <v>190</v>
      </c>
      <c r="B31">
        <v>-10905230000</v>
      </c>
      <c r="C31">
        <v>32444142738.987915</v>
      </c>
      <c r="D31">
        <v>8461751158.5133171</v>
      </c>
      <c r="E31">
        <v>784374017.15180087</v>
      </c>
      <c r="F31">
        <v>4801053000</v>
      </c>
      <c r="G31">
        <v>-16323865670.726938</v>
      </c>
      <c r="H31">
        <v>-14673505694.884729</v>
      </c>
      <c r="I31">
        <v>-20501412551.229046</v>
      </c>
      <c r="J31">
        <v>-2058367145.0452688</v>
      </c>
      <c r="K31">
        <v>12310748031.940756</v>
      </c>
      <c r="L31">
        <v>-10003137000</v>
      </c>
      <c r="M31">
        <v>-10403605000</v>
      </c>
      <c r="N31">
        <v>-5523178000</v>
      </c>
      <c r="O31">
        <v>-10244163000</v>
      </c>
      <c r="P31">
        <v>-5579175000</v>
      </c>
      <c r="Q31">
        <v>-4801992000</v>
      </c>
      <c r="R31">
        <v>-3606086000</v>
      </c>
      <c r="S31">
        <v>-2781751000</v>
      </c>
      <c r="T31">
        <v>-2668901000</v>
      </c>
      <c r="U31">
        <v>509181000</v>
      </c>
      <c r="V31">
        <v>341191000</v>
      </c>
      <c r="W31">
        <v>-1548013000</v>
      </c>
      <c r="X31">
        <v>-1741538000</v>
      </c>
      <c r="Y31">
        <v>-1610777000</v>
      </c>
      <c r="Z31">
        <v>-502963000</v>
      </c>
      <c r="AA31">
        <v>-1283364000</v>
      </c>
      <c r="AB31">
        <v>-2948333000</v>
      </c>
      <c r="AC31">
        <v>-1466685000</v>
      </c>
      <c r="AD31">
        <v>-288752000</v>
      </c>
      <c r="AE31">
        <v>-1226705000</v>
      </c>
      <c r="AF31">
        <v>-1708636000</v>
      </c>
      <c r="AG31">
        <v>-1168565000</v>
      </c>
      <c r="AH31">
        <v>-397558000</v>
      </c>
      <c r="AI31">
        <v>-482683000</v>
      </c>
      <c r="AJ31">
        <v>-491241000</v>
      </c>
      <c r="AK31">
        <v>-244725000</v>
      </c>
      <c r="AL31">
        <v>312900000</v>
      </c>
    </row>
    <row r="32" spans="1:38" x14ac:dyDescent="0.25">
      <c r="A32" t="s">
        <v>191</v>
      </c>
    </row>
    <row r="33" spans="1:38" x14ac:dyDescent="0.25">
      <c r="A33" t="s">
        <v>192</v>
      </c>
      <c r="T33">
        <v>0</v>
      </c>
      <c r="V33">
        <v>0</v>
      </c>
      <c r="X33">
        <v>0</v>
      </c>
      <c r="Z33">
        <v>0</v>
      </c>
      <c r="AD33">
        <v>0</v>
      </c>
      <c r="AG33">
        <v>0</v>
      </c>
      <c r="AH33">
        <v>0</v>
      </c>
      <c r="AJ33">
        <v>0</v>
      </c>
      <c r="AK33">
        <v>0</v>
      </c>
      <c r="AL33">
        <v>0</v>
      </c>
    </row>
    <row r="34" spans="1:38" x14ac:dyDescent="0.25">
      <c r="A34" t="s">
        <v>193</v>
      </c>
      <c r="T34">
        <v>0</v>
      </c>
      <c r="V34">
        <v>0</v>
      </c>
      <c r="Z34">
        <v>0</v>
      </c>
      <c r="AD34">
        <v>0</v>
      </c>
    </row>
    <row r="35" spans="1:38" x14ac:dyDescent="0.25">
      <c r="A35" t="s">
        <v>194</v>
      </c>
    </row>
    <row r="36" spans="1:38" x14ac:dyDescent="0.25">
      <c r="A36" t="s">
        <v>195</v>
      </c>
    </row>
    <row r="37" spans="1:38" x14ac:dyDescent="0.25">
      <c r="A37" t="s">
        <v>196</v>
      </c>
      <c r="B37">
        <v>-9585542000</v>
      </c>
      <c r="C37">
        <v>18331532702.665253</v>
      </c>
      <c r="D37">
        <v>1420276075.4346519</v>
      </c>
      <c r="E37">
        <v>-216341874.63404751</v>
      </c>
      <c r="F37">
        <v>3894521000</v>
      </c>
      <c r="G37">
        <v>6325495402.2052116</v>
      </c>
      <c r="H37">
        <v>-1388235041.6679864</v>
      </c>
      <c r="I37">
        <v>-10760700478.793079</v>
      </c>
      <c r="J37">
        <v>4584694973.077445</v>
      </c>
      <c r="K37">
        <v>-2435152214.6306829</v>
      </c>
      <c r="L37">
        <v>-13913446000</v>
      </c>
      <c r="M37">
        <v>-11527299000</v>
      </c>
      <c r="N37">
        <v>-6672516000</v>
      </c>
      <c r="O37">
        <v>-8778570000</v>
      </c>
      <c r="P37">
        <v>-4993662000</v>
      </c>
      <c r="Q37">
        <v>-5258009000</v>
      </c>
      <c r="R37">
        <v>-3088414000</v>
      </c>
      <c r="S37">
        <v>-1550665000</v>
      </c>
      <c r="T37">
        <v>-1248489000</v>
      </c>
      <c r="U37">
        <v>-265909000</v>
      </c>
      <c r="V37">
        <v>-192842000</v>
      </c>
      <c r="W37">
        <v>-287696000</v>
      </c>
      <c r="X37">
        <v>-610973000</v>
      </c>
      <c r="Y37">
        <v>-715923000</v>
      </c>
      <c r="Z37">
        <v>-353226000</v>
      </c>
      <c r="AA37">
        <v>-1348338000</v>
      </c>
      <c r="AB37">
        <v>-2457030000</v>
      </c>
      <c r="AC37">
        <v>-984552000</v>
      </c>
      <c r="AD37">
        <v>-532101000</v>
      </c>
      <c r="AE37">
        <v>-1035079000</v>
      </c>
      <c r="AF37">
        <v>-1189992000</v>
      </c>
      <c r="AG37">
        <v>-777777000</v>
      </c>
      <c r="AH37">
        <v>-492100000</v>
      </c>
      <c r="AI37">
        <v>-515333000</v>
      </c>
      <c r="AJ37">
        <v>-271493000</v>
      </c>
      <c r="AK37">
        <v>-176589000</v>
      </c>
      <c r="AL37">
        <v>-114354000</v>
      </c>
    </row>
    <row r="38" spans="1:38" x14ac:dyDescent="0.25">
      <c r="A38" t="s">
        <v>197</v>
      </c>
    </row>
    <row r="39" spans="1:38" x14ac:dyDescent="0.25">
      <c r="A39" t="s">
        <v>198</v>
      </c>
      <c r="B39">
        <v>-1335322000</v>
      </c>
      <c r="C39">
        <v>-440015531.96625131</v>
      </c>
      <c r="D39">
        <v>-2212361214.9903412</v>
      </c>
      <c r="E39">
        <v>-3164965262.1017637</v>
      </c>
      <c r="F39">
        <v>-1992512000</v>
      </c>
      <c r="G39">
        <v>-1077143573.2133877</v>
      </c>
      <c r="H39">
        <v>210321771.55049562</v>
      </c>
      <c r="I39">
        <v>-533531946.38445395</v>
      </c>
      <c r="J39">
        <v>-41722547.916072682</v>
      </c>
      <c r="K39">
        <v>258542128.55898201</v>
      </c>
      <c r="L39">
        <v>-427971000</v>
      </c>
      <c r="M39">
        <v>-1384945000</v>
      </c>
      <c r="N39">
        <v>-765194000</v>
      </c>
      <c r="O39">
        <v>-121529000</v>
      </c>
      <c r="P39">
        <v>20610000</v>
      </c>
      <c r="Q39">
        <v>-42642000</v>
      </c>
      <c r="R39">
        <v>-44935000</v>
      </c>
      <c r="S39">
        <v>-286948000</v>
      </c>
      <c r="T39">
        <v>-171876000</v>
      </c>
      <c r="U39">
        <v>-148481000</v>
      </c>
      <c r="V39">
        <v>-147645000</v>
      </c>
      <c r="W39">
        <v>-42848000</v>
      </c>
      <c r="X39">
        <v>-127601000</v>
      </c>
      <c r="Y39">
        <v>-153548000</v>
      </c>
      <c r="Z39">
        <v>-95652000</v>
      </c>
      <c r="AA39">
        <v>-75301000</v>
      </c>
      <c r="AB39">
        <v>8741000</v>
      </c>
      <c r="AC39">
        <v>13707000</v>
      </c>
      <c r="AD39">
        <v>-31459000</v>
      </c>
      <c r="AE39">
        <v>-973000</v>
      </c>
      <c r="AF39">
        <v>-36694000</v>
      </c>
      <c r="AG39">
        <v>-41109000</v>
      </c>
      <c r="AH39">
        <v>-45018000</v>
      </c>
      <c r="AI39">
        <v>-44210000</v>
      </c>
      <c r="AJ39">
        <v>-57979000</v>
      </c>
      <c r="AK39">
        <v>-36460000</v>
      </c>
      <c r="AL39">
        <v>-27333000</v>
      </c>
    </row>
    <row r="40" spans="1:38" x14ac:dyDescent="0.25">
      <c r="A40" t="s">
        <v>199</v>
      </c>
      <c r="B40">
        <v>6875150000</v>
      </c>
      <c r="C40">
        <v>-28417764977.113483</v>
      </c>
      <c r="D40">
        <v>-16276989018.807205</v>
      </c>
      <c r="E40">
        <v>-940268888.12524521</v>
      </c>
      <c r="F40">
        <v>-301497000</v>
      </c>
      <c r="G40">
        <v>4330410745.7413721</v>
      </c>
      <c r="H40">
        <v>10980509291.240459</v>
      </c>
      <c r="I40">
        <v>16114201944.750334</v>
      </c>
      <c r="J40">
        <v>-4127152842.984478</v>
      </c>
      <c r="K40">
        <v>-3001186267.2503738</v>
      </c>
      <c r="L40">
        <v>11304933000</v>
      </c>
      <c r="M40">
        <v>10633551000</v>
      </c>
      <c r="N40">
        <v>7720050000</v>
      </c>
      <c r="O40">
        <v>6575905000</v>
      </c>
      <c r="P40">
        <v>2640792000</v>
      </c>
      <c r="Q40">
        <v>3442163000</v>
      </c>
      <c r="R40">
        <v>2850457000</v>
      </c>
      <c r="S40">
        <v>4427202000</v>
      </c>
      <c r="T40">
        <v>3631161000</v>
      </c>
      <c r="U40">
        <v>352537000</v>
      </c>
      <c r="V40">
        <v>22199000</v>
      </c>
      <c r="W40">
        <v>916705000</v>
      </c>
      <c r="X40">
        <v>1187478000</v>
      </c>
      <c r="Y40">
        <v>1481376000</v>
      </c>
      <c r="Z40">
        <v>574844000</v>
      </c>
      <c r="AA40">
        <v>1158876000</v>
      </c>
      <c r="AB40">
        <v>2469209000</v>
      </c>
      <c r="AC40">
        <v>1033780000</v>
      </c>
      <c r="AD40">
        <v>252525000</v>
      </c>
      <c r="AE40">
        <v>489579000</v>
      </c>
      <c r="AF40">
        <v>783686000</v>
      </c>
      <c r="AG40">
        <v>355931000</v>
      </c>
      <c r="AH40">
        <v>69958000</v>
      </c>
      <c r="AI40">
        <v>955788000</v>
      </c>
      <c r="AJ40">
        <v>404135000</v>
      </c>
      <c r="AK40">
        <v>315601000</v>
      </c>
      <c r="AL40">
        <v>-131921000</v>
      </c>
    </row>
    <row r="41" spans="1:38" x14ac:dyDescent="0.25">
      <c r="A41" t="s">
        <v>200</v>
      </c>
    </row>
    <row r="42" spans="1:38" x14ac:dyDescent="0.25">
      <c r="A42" t="s">
        <v>201</v>
      </c>
      <c r="B42">
        <v>-817242000</v>
      </c>
      <c r="C42">
        <v>-4979810785.4612503</v>
      </c>
      <c r="D42">
        <v>-1980435079.9038861</v>
      </c>
      <c r="E42">
        <v>-3134557035.6143475</v>
      </c>
      <c r="F42">
        <v>-2091244000</v>
      </c>
      <c r="G42">
        <v>630257923.35773218</v>
      </c>
      <c r="H42">
        <v>-183351113.82889447</v>
      </c>
      <c r="I42">
        <v>-173015661.78011373</v>
      </c>
      <c r="J42">
        <v>-390665350.68030876</v>
      </c>
      <c r="K42">
        <v>289543347.89553505</v>
      </c>
      <c r="L42">
        <v>526529000</v>
      </c>
      <c r="M42">
        <v>307466000</v>
      </c>
      <c r="N42">
        <v>201513000</v>
      </c>
      <c r="O42">
        <v>-68446000</v>
      </c>
      <c r="P42">
        <v>28285000</v>
      </c>
      <c r="Q42">
        <v>-21272000</v>
      </c>
      <c r="R42">
        <v>-36927000</v>
      </c>
      <c r="S42">
        <v>-75730000</v>
      </c>
      <c r="T42">
        <v>-14583000</v>
      </c>
      <c r="U42">
        <v>-152102000</v>
      </c>
      <c r="V42">
        <v>-180810000</v>
      </c>
      <c r="W42">
        <v>69978000</v>
      </c>
      <c r="X42">
        <v>-78846000</v>
      </c>
      <c r="Y42">
        <v>-85291000</v>
      </c>
      <c r="Z42">
        <v>-86518000</v>
      </c>
      <c r="AA42">
        <v>-71293000</v>
      </c>
      <c r="AB42">
        <v>-82352000</v>
      </c>
      <c r="AC42">
        <v>-81793000</v>
      </c>
      <c r="AD42">
        <v>-148062000</v>
      </c>
      <c r="AE42">
        <v>18819000</v>
      </c>
      <c r="AF42">
        <v>-66321000</v>
      </c>
      <c r="AG42">
        <v>-68081000</v>
      </c>
      <c r="AH42">
        <v>-80230000</v>
      </c>
      <c r="AI42">
        <v>37692000</v>
      </c>
      <c r="AJ42">
        <v>-44677000</v>
      </c>
      <c r="AK42">
        <v>-31710000</v>
      </c>
      <c r="AL42">
        <v>-57463000</v>
      </c>
    </row>
    <row r="43" spans="1:38" x14ac:dyDescent="0.25">
      <c r="A43" t="s">
        <v>202</v>
      </c>
      <c r="T43">
        <v>0</v>
      </c>
      <c r="V43">
        <v>0</v>
      </c>
      <c r="Z43">
        <v>0</v>
      </c>
      <c r="AD43">
        <v>0</v>
      </c>
    </row>
    <row r="44" spans="1:38" x14ac:dyDescent="0.25">
      <c r="A44" t="s">
        <v>203</v>
      </c>
      <c r="B44">
        <v>966661000</v>
      </c>
      <c r="C44">
        <v>-1073840589.5885718</v>
      </c>
      <c r="D44">
        <v>-1301976658.1451693</v>
      </c>
      <c r="E44">
        <v>-1660436436.3533666</v>
      </c>
      <c r="F44">
        <v>-1297990000</v>
      </c>
      <c r="G44">
        <v>2633414583.1219387</v>
      </c>
      <c r="H44">
        <v>1033070112.5819427</v>
      </c>
      <c r="I44">
        <v>-28027.189355363062</v>
      </c>
      <c r="J44">
        <v>-579950459.32871234</v>
      </c>
      <c r="K44">
        <v>-376009560.81059283</v>
      </c>
      <c r="L44">
        <v>571103000</v>
      </c>
      <c r="M44">
        <v>276679000</v>
      </c>
      <c r="N44">
        <v>64316000</v>
      </c>
      <c r="O44">
        <v>-89181000</v>
      </c>
      <c r="P44">
        <v>203496000</v>
      </c>
      <c r="Q44">
        <v>16406000</v>
      </c>
      <c r="R44">
        <v>34000</v>
      </c>
      <c r="S44">
        <v>-37894000</v>
      </c>
      <c r="T44">
        <v>-28178000</v>
      </c>
      <c r="U44">
        <v>-17921000</v>
      </c>
      <c r="V44">
        <v>-8942000</v>
      </c>
      <c r="W44">
        <v>-30402000</v>
      </c>
      <c r="X44">
        <v>-22005000</v>
      </c>
      <c r="Y44">
        <v>-14597000</v>
      </c>
      <c r="Z44">
        <v>27021000</v>
      </c>
      <c r="AA44">
        <v>-32673000</v>
      </c>
      <c r="AB44">
        <v>133906000</v>
      </c>
      <c r="AC44">
        <v>29055000</v>
      </c>
      <c r="AD44">
        <v>15188000</v>
      </c>
      <c r="AE44">
        <v>3949000</v>
      </c>
      <c r="AF44">
        <v>5179000</v>
      </c>
      <c r="AG44">
        <v>-16691000</v>
      </c>
      <c r="AH44">
        <v>-28405000</v>
      </c>
      <c r="AI44">
        <v>51572000</v>
      </c>
      <c r="AJ44">
        <v>60164000</v>
      </c>
      <c r="AK44">
        <v>-14975000</v>
      </c>
      <c r="AL44">
        <v>233663000</v>
      </c>
    </row>
    <row r="45" spans="1:38" x14ac:dyDescent="0.25">
      <c r="A45" t="s">
        <v>204</v>
      </c>
    </row>
    <row r="46" spans="1:38" x14ac:dyDescent="0.25">
      <c r="A46" t="s">
        <v>205</v>
      </c>
      <c r="B46">
        <v>99786000</v>
      </c>
      <c r="C46">
        <v>510123313.01707923</v>
      </c>
      <c r="D46">
        <v>281717578.74006397</v>
      </c>
      <c r="E46">
        <v>43523677.142573811</v>
      </c>
      <c r="F46">
        <v>69310000</v>
      </c>
      <c r="G46">
        <v>354934812.1510123</v>
      </c>
      <c r="H46">
        <v>243559343.88558128</v>
      </c>
      <c r="I46">
        <v>176780222.89580002</v>
      </c>
      <c r="J46">
        <v>67445767.190005019</v>
      </c>
      <c r="K46">
        <v>208541956.00146288</v>
      </c>
      <c r="L46">
        <v>4459000</v>
      </c>
      <c r="M46">
        <v>4171000</v>
      </c>
      <c r="N46">
        <v>598000</v>
      </c>
      <c r="O46">
        <v>51304000</v>
      </c>
      <c r="P46">
        <v>34855000</v>
      </c>
      <c r="Q46">
        <v>21471000</v>
      </c>
      <c r="R46">
        <v>16760000</v>
      </c>
      <c r="S46">
        <v>53400000</v>
      </c>
      <c r="T46">
        <v>35897000</v>
      </c>
      <c r="U46">
        <v>29066000</v>
      </c>
      <c r="V46">
        <v>24136000</v>
      </c>
      <c r="W46">
        <v>34676000</v>
      </c>
      <c r="X46">
        <v>32462000</v>
      </c>
      <c r="Y46">
        <v>29010000</v>
      </c>
      <c r="Z46">
        <v>23723000</v>
      </c>
      <c r="AA46">
        <v>49803000</v>
      </c>
      <c r="AB46">
        <v>40701000</v>
      </c>
      <c r="AC46">
        <v>6799000</v>
      </c>
      <c r="AD46">
        <v>2393000</v>
      </c>
      <c r="AE46">
        <v>81749000</v>
      </c>
      <c r="AF46">
        <v>48196000</v>
      </c>
      <c r="AG46">
        <v>38627000</v>
      </c>
      <c r="AH46">
        <v>28627000</v>
      </c>
      <c r="AI46">
        <v>182966000</v>
      </c>
      <c r="AJ46">
        <v>64269000</v>
      </c>
      <c r="AK46">
        <v>62577000</v>
      </c>
      <c r="AL46">
        <v>19401000</v>
      </c>
    </row>
    <row r="47" spans="1:38" x14ac:dyDescent="0.25">
      <c r="A47" t="s">
        <v>206</v>
      </c>
    </row>
    <row r="48" spans="1:38" x14ac:dyDescent="0.25">
      <c r="A48" t="s">
        <v>207</v>
      </c>
      <c r="B48">
        <v>1039501000</v>
      </c>
      <c r="C48">
        <v>-7059452262.9714479</v>
      </c>
      <c r="D48">
        <v>-6028704019.2307701</v>
      </c>
      <c r="E48">
        <v>692615547.12864721</v>
      </c>
      <c r="F48">
        <v>-369051000</v>
      </c>
      <c r="G48">
        <v>-8577592027.4012403</v>
      </c>
      <c r="H48">
        <v>-5689407554.2285528</v>
      </c>
      <c r="I48">
        <v>-4465903310.4096518</v>
      </c>
      <c r="J48">
        <v>-2865321630.9226122</v>
      </c>
      <c r="K48">
        <v>-2907334044.4180312</v>
      </c>
      <c r="L48">
        <v>-323526000</v>
      </c>
      <c r="M48">
        <v>16814000</v>
      </c>
      <c r="N48">
        <v>-175266000</v>
      </c>
      <c r="O48">
        <v>-494036000</v>
      </c>
      <c r="P48">
        <v>-622926000</v>
      </c>
      <c r="Q48">
        <v>-142353000</v>
      </c>
      <c r="R48">
        <v>-324527000</v>
      </c>
      <c r="S48">
        <v>-113935000</v>
      </c>
      <c r="T48">
        <v>519860000</v>
      </c>
      <c r="U48">
        <v>452987000</v>
      </c>
      <c r="V48">
        <v>-64809000</v>
      </c>
      <c r="W48">
        <v>104601000</v>
      </c>
      <c r="X48">
        <v>63588000</v>
      </c>
      <c r="Y48">
        <v>105217000</v>
      </c>
      <c r="Z48">
        <v>24419000</v>
      </c>
      <c r="AA48">
        <v>-216048000</v>
      </c>
      <c r="AB48">
        <v>-255787000</v>
      </c>
      <c r="AC48">
        <v>-70604000</v>
      </c>
      <c r="AD48">
        <v>64959000</v>
      </c>
      <c r="AE48">
        <v>-117104000</v>
      </c>
      <c r="AF48">
        <v>-27316000</v>
      </c>
      <c r="AG48">
        <v>-53635000</v>
      </c>
      <c r="AH48">
        <v>-80741000</v>
      </c>
      <c r="AI48">
        <v>67252000</v>
      </c>
      <c r="AJ48">
        <v>119699000</v>
      </c>
      <c r="AK48">
        <v>26851000</v>
      </c>
      <c r="AL48">
        <v>-229872000</v>
      </c>
    </row>
    <row r="49" spans="1:38" x14ac:dyDescent="0.25">
      <c r="A49" t="s">
        <v>208</v>
      </c>
      <c r="B49">
        <v>-9561763000</v>
      </c>
      <c r="C49">
        <v>16823392140.578495</v>
      </c>
      <c r="D49">
        <v>-12495908428.409128</v>
      </c>
      <c r="E49">
        <v>-10989192140.012676</v>
      </c>
      <c r="F49">
        <v>8316232000</v>
      </c>
      <c r="G49">
        <v>762094407.04028606</v>
      </c>
      <c r="H49">
        <v>12637360808.515694</v>
      </c>
      <c r="I49">
        <v>-9944481204.7178249</v>
      </c>
      <c r="J49">
        <v>-5793102099.7536783</v>
      </c>
      <c r="K49">
        <v>-2284269761.6087079</v>
      </c>
      <c r="L49">
        <v>-289417000</v>
      </c>
      <c r="M49">
        <v>-3854724000</v>
      </c>
      <c r="N49">
        <v>-824773000</v>
      </c>
      <c r="O49">
        <v>-573826000</v>
      </c>
      <c r="P49">
        <v>-1345705000</v>
      </c>
      <c r="Q49">
        <v>-2224258000</v>
      </c>
      <c r="R49">
        <v>-1681309000</v>
      </c>
      <c r="S49">
        <v>6588351000</v>
      </c>
      <c r="T49">
        <v>5278890000</v>
      </c>
      <c r="U49">
        <v>2956422000</v>
      </c>
      <c r="V49">
        <v>789829000</v>
      </c>
      <c r="W49">
        <v>3325191000</v>
      </c>
      <c r="X49">
        <v>2084391000</v>
      </c>
      <c r="Y49">
        <v>1319611000</v>
      </c>
      <c r="Z49">
        <v>687364000</v>
      </c>
      <c r="AA49">
        <v>1786719000</v>
      </c>
      <c r="AB49">
        <v>519523000</v>
      </c>
      <c r="AC49">
        <v>144902000</v>
      </c>
      <c r="AD49">
        <v>40396000</v>
      </c>
      <c r="AE49">
        <v>753807000</v>
      </c>
      <c r="AF49">
        <v>-155262000</v>
      </c>
      <c r="AG49">
        <v>-432474000</v>
      </c>
      <c r="AH49">
        <v>-392336000</v>
      </c>
      <c r="AI49">
        <v>2202266000</v>
      </c>
      <c r="AJ49">
        <v>1300982000</v>
      </c>
      <c r="AK49">
        <v>784797000</v>
      </c>
      <c r="AL49">
        <v>362085000</v>
      </c>
    </row>
    <row r="50" spans="1:38" x14ac:dyDescent="0.25">
      <c r="A50" t="s">
        <v>209</v>
      </c>
    </row>
    <row r="51" spans="1:38" x14ac:dyDescent="0.25">
      <c r="A51" t="s">
        <v>210</v>
      </c>
    </row>
    <row r="52" spans="1:38" x14ac:dyDescent="0.25">
      <c r="A52" t="s">
        <v>211</v>
      </c>
    </row>
    <row r="53" spans="1:38" x14ac:dyDescent="0.25">
      <c r="A53" t="s">
        <v>212</v>
      </c>
    </row>
    <row r="54" spans="1:38" x14ac:dyDescent="0.25">
      <c r="A54" t="s">
        <v>213</v>
      </c>
      <c r="B54">
        <v>-96201000</v>
      </c>
      <c r="C54">
        <v>-985689118.5859828</v>
      </c>
      <c r="D54">
        <v>-655717171.13722026</v>
      </c>
      <c r="E54">
        <v>-470935766.88555551</v>
      </c>
      <c r="F54">
        <v>-48722000</v>
      </c>
      <c r="G54">
        <v>-1291310308.1745543</v>
      </c>
      <c r="H54">
        <v>-911596300.69354284</v>
      </c>
      <c r="I54">
        <v>-764464521.00427294</v>
      </c>
      <c r="J54">
        <v>-495867323.80449373</v>
      </c>
      <c r="K54">
        <v>-2319634574.5840011</v>
      </c>
      <c r="L54">
        <v>-472909000</v>
      </c>
      <c r="M54">
        <v>-396978000</v>
      </c>
      <c r="N54">
        <v>-216371000</v>
      </c>
      <c r="O54">
        <v>-498723000</v>
      </c>
      <c r="P54">
        <v>-307287000</v>
      </c>
      <c r="Q54">
        <v>-101444000</v>
      </c>
      <c r="R54">
        <v>-42928000</v>
      </c>
      <c r="S54">
        <v>-167446000</v>
      </c>
      <c r="T54">
        <v>-112783000</v>
      </c>
      <c r="U54">
        <v>-51431000</v>
      </c>
      <c r="V54">
        <v>-20355000</v>
      </c>
      <c r="W54">
        <v>-150311000</v>
      </c>
      <c r="X54">
        <v>-119741000</v>
      </c>
      <c r="Y54">
        <v>-66955000</v>
      </c>
      <c r="Z54">
        <v>-11309000</v>
      </c>
      <c r="AA54">
        <v>-105810000</v>
      </c>
      <c r="AB54">
        <v>-89261000</v>
      </c>
      <c r="AC54">
        <v>-56206000</v>
      </c>
      <c r="AD54">
        <v>-26203000</v>
      </c>
      <c r="AE54">
        <v>-163939000</v>
      </c>
      <c r="AF54">
        <v>-104642000</v>
      </c>
      <c r="AG54">
        <v>-94984000</v>
      </c>
      <c r="AH54">
        <v>-17928000</v>
      </c>
      <c r="AI54">
        <v>-134989000</v>
      </c>
      <c r="AJ54">
        <v>-90112000</v>
      </c>
      <c r="AK54">
        <v>-18476000</v>
      </c>
      <c r="AL54">
        <v>-10914000</v>
      </c>
    </row>
    <row r="55" spans="1:38" x14ac:dyDescent="0.25">
      <c r="A55" t="s">
        <v>214</v>
      </c>
    </row>
    <row r="56" spans="1:38" x14ac:dyDescent="0.25">
      <c r="A56" t="s">
        <v>215</v>
      </c>
    </row>
    <row r="57" spans="1:38" x14ac:dyDescent="0.25">
      <c r="A57" t="s">
        <v>216</v>
      </c>
    </row>
    <row r="58" spans="1:38" x14ac:dyDescent="0.25">
      <c r="A58" t="s">
        <v>217</v>
      </c>
    </row>
    <row r="59" spans="1:38" x14ac:dyDescent="0.25">
      <c r="A59" t="s">
        <v>218</v>
      </c>
    </row>
    <row r="60" spans="1:38" x14ac:dyDescent="0.25">
      <c r="A60" t="s">
        <v>219</v>
      </c>
    </row>
    <row r="61" spans="1:38" x14ac:dyDescent="0.25">
      <c r="A61" t="s">
        <v>220</v>
      </c>
    </row>
    <row r="62" spans="1:38" x14ac:dyDescent="0.25">
      <c r="A62" t="s">
        <v>221</v>
      </c>
    </row>
    <row r="63" spans="1:38" x14ac:dyDescent="0.25">
      <c r="A63" t="s">
        <v>222</v>
      </c>
    </row>
    <row r="64" spans="1:38" x14ac:dyDescent="0.25">
      <c r="A64" t="s">
        <v>213</v>
      </c>
      <c r="B64">
        <v>-96201000</v>
      </c>
      <c r="C64">
        <v>-985689118.5859828</v>
      </c>
      <c r="D64">
        <v>-655717171.13722026</v>
      </c>
      <c r="E64">
        <v>-470935766.88555551</v>
      </c>
      <c r="F64">
        <v>-48722000</v>
      </c>
      <c r="G64">
        <v>-1291310308.1745543</v>
      </c>
      <c r="H64">
        <v>-911596300.69354284</v>
      </c>
      <c r="I64">
        <v>-764464521.00427294</v>
      </c>
      <c r="J64">
        <v>-495867323.80449373</v>
      </c>
      <c r="K64">
        <v>-2319634574.5840011</v>
      </c>
      <c r="L64">
        <v>-472909000</v>
      </c>
      <c r="M64">
        <v>-396978000</v>
      </c>
      <c r="N64">
        <v>-216371000</v>
      </c>
      <c r="O64">
        <v>-498723000</v>
      </c>
      <c r="P64">
        <v>-307287000</v>
      </c>
      <c r="Q64">
        <v>-101444000</v>
      </c>
      <c r="R64">
        <v>-42928000</v>
      </c>
      <c r="S64">
        <v>-167446000</v>
      </c>
      <c r="T64">
        <v>-112783000</v>
      </c>
      <c r="U64">
        <v>-51431000</v>
      </c>
      <c r="V64">
        <v>-20355000</v>
      </c>
      <c r="W64">
        <v>-150311000</v>
      </c>
      <c r="X64">
        <v>-119741000</v>
      </c>
      <c r="Y64">
        <v>-66955000</v>
      </c>
      <c r="Z64">
        <v>-11309000</v>
      </c>
      <c r="AA64">
        <v>-105810000</v>
      </c>
      <c r="AB64">
        <v>-89261000</v>
      </c>
      <c r="AC64">
        <v>-56206000</v>
      </c>
      <c r="AD64">
        <v>-26203000</v>
      </c>
      <c r="AE64">
        <v>-163939000</v>
      </c>
      <c r="AF64">
        <v>-104642000</v>
      </c>
      <c r="AG64">
        <v>-94984000</v>
      </c>
      <c r="AH64">
        <v>-17928000</v>
      </c>
      <c r="AI64">
        <v>-134989000</v>
      </c>
      <c r="AJ64">
        <v>-90112000</v>
      </c>
      <c r="AK64">
        <v>-18476000</v>
      </c>
      <c r="AL64">
        <v>-10914000</v>
      </c>
    </row>
    <row r="65" spans="1:38" x14ac:dyDescent="0.25">
      <c r="A65" t="s">
        <v>223</v>
      </c>
    </row>
    <row r="66" spans="1:38" x14ac:dyDescent="0.25">
      <c r="A66" t="s">
        <v>224</v>
      </c>
    </row>
    <row r="68" spans="1:38" x14ac:dyDescent="0.25">
      <c r="A68" t="s">
        <v>225</v>
      </c>
      <c r="B68">
        <v>-3688068000</v>
      </c>
      <c r="C68">
        <v>-16199602606.01218</v>
      </c>
      <c r="D68">
        <v>-7101051709.1989431</v>
      </c>
      <c r="E68">
        <v>-1306845415.4461067</v>
      </c>
      <c r="F68">
        <v>-4489264000</v>
      </c>
      <c r="G68">
        <v>-21388467710.927345</v>
      </c>
      <c r="H68">
        <v>-14041050262.798082</v>
      </c>
      <c r="I68">
        <v>-9138226870.4215527</v>
      </c>
      <c r="J68">
        <v>-5446676929.8003721</v>
      </c>
      <c r="K68">
        <v>-12386918642.821802</v>
      </c>
      <c r="L68">
        <v>-2200319000</v>
      </c>
      <c r="M68">
        <v>-1790926000</v>
      </c>
      <c r="N68">
        <v>-730569000</v>
      </c>
      <c r="O68">
        <v>-4383598000</v>
      </c>
      <c r="P68">
        <v>-3593324000</v>
      </c>
      <c r="Q68">
        <v>-4261489000</v>
      </c>
      <c r="R68">
        <v>-422060000</v>
      </c>
      <c r="S68">
        <v>-1321760000</v>
      </c>
      <c r="T68">
        <v>-693233000</v>
      </c>
      <c r="U68">
        <v>-309468000</v>
      </c>
      <c r="V68">
        <v>-273934000</v>
      </c>
      <c r="W68">
        <v>-1912128000</v>
      </c>
      <c r="X68">
        <v>-1413873000</v>
      </c>
      <c r="Y68">
        <v>-1099625000</v>
      </c>
      <c r="Z68">
        <v>-373568000</v>
      </c>
      <c r="AA68">
        <v>-1781726000</v>
      </c>
      <c r="AB68">
        <v>-1215830000</v>
      </c>
      <c r="AC68">
        <v>-707039000</v>
      </c>
      <c r="AD68">
        <v>-230672000</v>
      </c>
      <c r="AE68">
        <v>-1069947000</v>
      </c>
      <c r="AF68">
        <v>-639229000</v>
      </c>
      <c r="AG68">
        <v>-333318000</v>
      </c>
      <c r="AH68">
        <v>-115104000</v>
      </c>
      <c r="AI68">
        <v>-998176000</v>
      </c>
      <c r="AJ68">
        <v>141642000</v>
      </c>
      <c r="AK68">
        <v>286287000</v>
      </c>
      <c r="AL68">
        <v>-129161000</v>
      </c>
    </row>
    <row r="69" spans="1:38" x14ac:dyDescent="0.25">
      <c r="A69" t="s">
        <v>226</v>
      </c>
      <c r="B69">
        <v>10821000</v>
      </c>
      <c r="F69">
        <v>0</v>
      </c>
      <c r="O69">
        <v>323703000</v>
      </c>
      <c r="S69">
        <v>275778000</v>
      </c>
      <c r="T69">
        <v>275778000</v>
      </c>
      <c r="U69">
        <v>275778000</v>
      </c>
      <c r="W69">
        <v>0</v>
      </c>
      <c r="X69">
        <v>0</v>
      </c>
      <c r="Y69">
        <v>0</v>
      </c>
    </row>
    <row r="70" spans="1:38" x14ac:dyDescent="0.25">
      <c r="A70" t="s">
        <v>227</v>
      </c>
    </row>
    <row r="71" spans="1:38" x14ac:dyDescent="0.25">
      <c r="A71" t="s">
        <v>228</v>
      </c>
      <c r="C71">
        <v>9923272241.6345387</v>
      </c>
      <c r="D71">
        <v>9630365815.1225586</v>
      </c>
      <c r="E71">
        <v>9558768476.8830109</v>
      </c>
      <c r="G71">
        <v>-2037804418.6809709</v>
      </c>
      <c r="H71">
        <v>-2339051607.5387149</v>
      </c>
      <c r="I71">
        <v>-2302587755.0845304</v>
      </c>
      <c r="J71">
        <v>-2038290991.3576729</v>
      </c>
      <c r="K71">
        <v>3938259261.2698851</v>
      </c>
      <c r="L71">
        <v>1352972000</v>
      </c>
      <c r="M71">
        <v>0</v>
      </c>
      <c r="N71">
        <v>0</v>
      </c>
      <c r="O71">
        <v>-2136004000</v>
      </c>
      <c r="P71">
        <v>-2055799000</v>
      </c>
      <c r="Q71">
        <v>-361486000</v>
      </c>
      <c r="S71">
        <v>0</v>
      </c>
      <c r="T71">
        <v>0</v>
      </c>
      <c r="U71">
        <v>0</v>
      </c>
      <c r="W71">
        <v>-406321000</v>
      </c>
      <c r="X71">
        <v>-406321000</v>
      </c>
      <c r="Y71">
        <v>-406321000</v>
      </c>
      <c r="Z71">
        <v>0</v>
      </c>
      <c r="AA71">
        <v>0</v>
      </c>
      <c r="AB71">
        <v>0</v>
      </c>
      <c r="AC71">
        <v>0</v>
      </c>
      <c r="AH71">
        <v>0</v>
      </c>
      <c r="AI71">
        <v>-745608000</v>
      </c>
      <c r="AJ71">
        <v>0</v>
      </c>
      <c r="AK71">
        <v>0</v>
      </c>
    </row>
    <row r="72" spans="1:38" x14ac:dyDescent="0.25">
      <c r="A72" t="s">
        <v>229</v>
      </c>
      <c r="Q72">
        <v>-2986099000</v>
      </c>
    </row>
    <row r="73" spans="1:38" x14ac:dyDescent="0.25">
      <c r="A73" t="s">
        <v>230</v>
      </c>
      <c r="L73">
        <v>-26725000</v>
      </c>
      <c r="O73">
        <v>3136000</v>
      </c>
      <c r="S73">
        <v>0</v>
      </c>
    </row>
    <row r="74" spans="1:38" x14ac:dyDescent="0.25">
      <c r="A74" t="s">
        <v>231</v>
      </c>
      <c r="B74">
        <v>-442231000</v>
      </c>
      <c r="C74">
        <v>-579153579.58317041</v>
      </c>
      <c r="D74">
        <v>-579152738.40136814</v>
      </c>
      <c r="E74">
        <v>-579152566.87606978</v>
      </c>
      <c r="F74">
        <v>-581403000</v>
      </c>
      <c r="G74">
        <v>0</v>
      </c>
      <c r="H74">
        <v>0</v>
      </c>
      <c r="I74">
        <v>0</v>
      </c>
      <c r="J74">
        <v>0</v>
      </c>
      <c r="K74">
        <v>-830028289.61804461</v>
      </c>
      <c r="M74">
        <v>-26725000</v>
      </c>
      <c r="N74">
        <v>-26725000</v>
      </c>
      <c r="O74">
        <v>-140840000</v>
      </c>
      <c r="P74">
        <v>-38220000</v>
      </c>
      <c r="Q74">
        <v>-38220000</v>
      </c>
      <c r="R74">
        <v>-38220000</v>
      </c>
      <c r="S74">
        <v>-35228000</v>
      </c>
      <c r="T74">
        <v>-35228000</v>
      </c>
      <c r="U74">
        <v>-35228000</v>
      </c>
      <c r="V74">
        <v>0</v>
      </c>
      <c r="W74">
        <v>-167686000</v>
      </c>
      <c r="X74">
        <v>-112480000</v>
      </c>
      <c r="Y74">
        <v>-112480000</v>
      </c>
      <c r="Z74">
        <v>-53537000</v>
      </c>
      <c r="AA74">
        <v>-57237000</v>
      </c>
      <c r="AB74">
        <v>-57237000</v>
      </c>
      <c r="AC74">
        <v>-57237000</v>
      </c>
      <c r="AD74">
        <v>-27383000</v>
      </c>
      <c r="AE74">
        <v>-19002000</v>
      </c>
    </row>
    <row r="75" spans="1:38" x14ac:dyDescent="0.25">
      <c r="A75" t="s">
        <v>232</v>
      </c>
    </row>
    <row r="76" spans="1:38" x14ac:dyDescent="0.25">
      <c r="A76" t="s">
        <v>219</v>
      </c>
      <c r="B76">
        <v>0</v>
      </c>
      <c r="C76">
        <v>24779531.265947741</v>
      </c>
      <c r="D76">
        <v>24862971.993064575</v>
      </c>
      <c r="E76">
        <v>24862664.884512074</v>
      </c>
      <c r="F76">
        <v>24031000</v>
      </c>
      <c r="H76">
        <v>0</v>
      </c>
      <c r="I76">
        <v>0</v>
      </c>
      <c r="J76">
        <v>0</v>
      </c>
      <c r="AH76">
        <v>0</v>
      </c>
      <c r="AI76">
        <v>558582000</v>
      </c>
      <c r="AJ76">
        <v>558582000</v>
      </c>
      <c r="AK76">
        <v>558582000</v>
      </c>
    </row>
    <row r="77" spans="1:38" x14ac:dyDescent="0.25">
      <c r="A77" t="s">
        <v>218</v>
      </c>
      <c r="B77">
        <v>-5533000</v>
      </c>
      <c r="C77">
        <v>-184868026.49978581</v>
      </c>
      <c r="D77">
        <v>-16060284.538588215</v>
      </c>
      <c r="E77">
        <v>-11468216.298953559</v>
      </c>
      <c r="F77">
        <v>-3254000</v>
      </c>
      <c r="G77">
        <v>-18640230.1465795</v>
      </c>
      <c r="H77">
        <v>-13030924.917661591</v>
      </c>
      <c r="I77">
        <v>-6494664.1515291324</v>
      </c>
      <c r="J77">
        <v>0</v>
      </c>
      <c r="K77">
        <v>-39207190.767890364</v>
      </c>
      <c r="L77">
        <v>-12010000</v>
      </c>
      <c r="M77">
        <v>-10216000</v>
      </c>
      <c r="O77">
        <v>0</v>
      </c>
      <c r="P77">
        <v>0</v>
      </c>
      <c r="Q77">
        <v>0</v>
      </c>
    </row>
    <row r="78" spans="1:38" x14ac:dyDescent="0.25">
      <c r="A78" t="s">
        <v>233</v>
      </c>
      <c r="B78">
        <v>40338000</v>
      </c>
      <c r="C78">
        <v>742901661.80551672</v>
      </c>
      <c r="D78">
        <v>321012700.68008363</v>
      </c>
      <c r="E78">
        <v>75893806.884865627</v>
      </c>
      <c r="F78">
        <v>78774000</v>
      </c>
      <c r="G78">
        <v>1026767844.9535304</v>
      </c>
      <c r="H78">
        <v>181554551.52088547</v>
      </c>
      <c r="I78">
        <v>165108172.49244383</v>
      </c>
      <c r="J78">
        <v>163284300.67727056</v>
      </c>
      <c r="K78">
        <v>1307690831.1533952</v>
      </c>
      <c r="L78">
        <v>219994000</v>
      </c>
      <c r="M78">
        <v>179947000</v>
      </c>
      <c r="N78">
        <v>63512000</v>
      </c>
      <c r="O78">
        <v>70244000</v>
      </c>
      <c r="P78">
        <v>28275000</v>
      </c>
      <c r="Q78">
        <v>22017000</v>
      </c>
      <c r="R78">
        <v>11928000</v>
      </c>
      <c r="S78">
        <v>172913000</v>
      </c>
      <c r="T78">
        <v>13360000</v>
      </c>
      <c r="U78">
        <v>34013000</v>
      </c>
      <c r="V78">
        <v>29134000</v>
      </c>
      <c r="W78">
        <v>41483000</v>
      </c>
      <c r="X78">
        <v>3685000</v>
      </c>
      <c r="Y78">
        <v>6509000</v>
      </c>
      <c r="Z78">
        <v>5150000</v>
      </c>
      <c r="AA78">
        <v>37507000</v>
      </c>
      <c r="AB78">
        <v>9909000</v>
      </c>
      <c r="AC78">
        <v>7488000</v>
      </c>
      <c r="AD78">
        <v>3256000</v>
      </c>
      <c r="AE78">
        <v>18730000</v>
      </c>
      <c r="AF78">
        <v>16797000</v>
      </c>
      <c r="AG78">
        <v>13947000</v>
      </c>
      <c r="AH78">
        <v>1086000</v>
      </c>
      <c r="AI78">
        <v>7007000</v>
      </c>
      <c r="AJ78">
        <v>9099000</v>
      </c>
      <c r="AK78">
        <v>4208000</v>
      </c>
      <c r="AL78">
        <v>1580000</v>
      </c>
    </row>
    <row r="79" spans="1:38" x14ac:dyDescent="0.25">
      <c r="A79" t="s">
        <v>234</v>
      </c>
      <c r="B79">
        <v>-3291463000</v>
      </c>
      <c r="C79">
        <v>-26190582159.758621</v>
      </c>
      <c r="D79">
        <v>-16545783279.226179</v>
      </c>
      <c r="E79">
        <v>-10436336720.530853</v>
      </c>
      <c r="F79">
        <v>-4069549000</v>
      </c>
      <c r="G79">
        <v>-20398247308.241604</v>
      </c>
      <c r="H79">
        <v>-11909499262.560568</v>
      </c>
      <c r="I79">
        <v>-7033229526.3291779</v>
      </c>
      <c r="J79">
        <v>-3610647282.9065146</v>
      </c>
      <c r="K79">
        <v>-16958793629.639984</v>
      </c>
      <c r="L79">
        <v>-3790081000</v>
      </c>
      <c r="M79">
        <v>-1989463000</v>
      </c>
      <c r="N79">
        <v>-822887000</v>
      </c>
      <c r="O79">
        <v>-2515344000</v>
      </c>
      <c r="P79">
        <v>-1538862000</v>
      </c>
      <c r="Q79">
        <v>-908983000</v>
      </c>
      <c r="R79">
        <v>-395885000</v>
      </c>
      <c r="S79">
        <v>-1735316000</v>
      </c>
      <c r="T79">
        <v>-947143000</v>
      </c>
      <c r="U79">
        <v>-584031000</v>
      </c>
      <c r="V79">
        <v>-303068000</v>
      </c>
      <c r="W79">
        <v>-1379604000</v>
      </c>
      <c r="X79">
        <v>-898757000</v>
      </c>
      <c r="Y79">
        <v>-587333000</v>
      </c>
      <c r="Z79">
        <v>-325181000</v>
      </c>
      <c r="AA79">
        <v>-1797305000</v>
      </c>
      <c r="AB79">
        <v>-1077008000</v>
      </c>
      <c r="AC79">
        <v>-628916000</v>
      </c>
      <c r="AD79">
        <v>-232809000</v>
      </c>
      <c r="AE79">
        <v>-987217000</v>
      </c>
      <c r="AF79">
        <v>-582951000</v>
      </c>
      <c r="AG79">
        <v>-343536000</v>
      </c>
      <c r="AH79">
        <v>-129275000</v>
      </c>
      <c r="AI79">
        <v>-830966000</v>
      </c>
      <c r="AJ79">
        <v>-438848000</v>
      </c>
      <c r="AK79">
        <v>-289312000</v>
      </c>
      <c r="AL79">
        <v>-143491000</v>
      </c>
    </row>
    <row r="80" spans="1:38" x14ac:dyDescent="0.25">
      <c r="A80" t="s">
        <v>235</v>
      </c>
    </row>
    <row r="81" spans="1:38" x14ac:dyDescent="0.25">
      <c r="A81" t="s">
        <v>236</v>
      </c>
    </row>
    <row r="82" spans="1:38" x14ac:dyDescent="0.25">
      <c r="A82" t="s">
        <v>237</v>
      </c>
    </row>
    <row r="83" spans="1:38" x14ac:dyDescent="0.25">
      <c r="A83" t="s">
        <v>238</v>
      </c>
    </row>
    <row r="84" spans="1:38" x14ac:dyDescent="0.25">
      <c r="A84" t="s">
        <v>239</v>
      </c>
    </row>
    <row r="85" spans="1:38" x14ac:dyDescent="0.25">
      <c r="A85" t="s">
        <v>240</v>
      </c>
    </row>
    <row r="86" spans="1:38" x14ac:dyDescent="0.25">
      <c r="A86" t="s">
        <v>241</v>
      </c>
    </row>
    <row r="87" spans="1:38" x14ac:dyDescent="0.25">
      <c r="A87" t="s">
        <v>242</v>
      </c>
    </row>
    <row r="88" spans="1:38" x14ac:dyDescent="0.25">
      <c r="A88" t="s">
        <v>243</v>
      </c>
      <c r="T88">
        <v>0</v>
      </c>
      <c r="V88">
        <v>0</v>
      </c>
      <c r="X88">
        <v>0</v>
      </c>
      <c r="Z88">
        <v>0</v>
      </c>
      <c r="AA88">
        <v>9044000</v>
      </c>
      <c r="AB88">
        <v>-117759000</v>
      </c>
      <c r="AC88">
        <v>-54639000</v>
      </c>
      <c r="AD88">
        <v>0</v>
      </c>
      <c r="AE88">
        <v>-95636000</v>
      </c>
      <c r="AF88">
        <v>-86253000</v>
      </c>
      <c r="AG88">
        <v>-16907000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244</v>
      </c>
      <c r="T89">
        <v>0</v>
      </c>
      <c r="V89">
        <v>0</v>
      </c>
      <c r="Z89">
        <v>0</v>
      </c>
      <c r="AD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245</v>
      </c>
    </row>
    <row r="91" spans="1:38" x14ac:dyDescent="0.25">
      <c r="A91" t="s">
        <v>246</v>
      </c>
    </row>
    <row r="92" spans="1:38" x14ac:dyDescent="0.25">
      <c r="A92" t="s">
        <v>247</v>
      </c>
    </row>
    <row r="93" spans="1:38" x14ac:dyDescent="0.25">
      <c r="A93" t="s">
        <v>210</v>
      </c>
      <c r="B93">
        <v>0</v>
      </c>
      <c r="C93">
        <v>64047725.123391256</v>
      </c>
      <c r="D93">
        <v>63703105.171485581</v>
      </c>
      <c r="E93">
        <v>60587139.607379846</v>
      </c>
      <c r="F93">
        <v>62137000</v>
      </c>
      <c r="G93">
        <v>39456401.188281089</v>
      </c>
      <c r="H93">
        <v>38976980.697976381</v>
      </c>
      <c r="I93">
        <v>38976902.651242405</v>
      </c>
      <c r="J93">
        <v>38977043.786545269</v>
      </c>
      <c r="K93">
        <v>195160374.78084087</v>
      </c>
      <c r="L93">
        <v>55531000</v>
      </c>
      <c r="M93">
        <v>55531000</v>
      </c>
      <c r="N93">
        <v>55531000</v>
      </c>
      <c r="O93">
        <v>11507000</v>
      </c>
      <c r="P93">
        <v>11282000</v>
      </c>
      <c r="Q93">
        <v>11282000</v>
      </c>
      <c r="R93">
        <v>117000</v>
      </c>
      <c r="S93">
        <v>93000</v>
      </c>
      <c r="T93">
        <v>0</v>
      </c>
      <c r="U93">
        <v>0</v>
      </c>
      <c r="Z93">
        <v>0</v>
      </c>
      <c r="AA93">
        <v>26265000</v>
      </c>
      <c r="AB93">
        <v>26265000</v>
      </c>
      <c r="AC93">
        <v>26265000</v>
      </c>
      <c r="AD93">
        <v>26264000</v>
      </c>
      <c r="AE93">
        <v>13178000</v>
      </c>
      <c r="AF93">
        <v>13178000</v>
      </c>
      <c r="AG93">
        <v>13178000</v>
      </c>
      <c r="AH93">
        <v>13085000</v>
      </c>
      <c r="AI93">
        <v>12809000</v>
      </c>
      <c r="AJ93">
        <v>12809000</v>
      </c>
      <c r="AK93">
        <v>12809000</v>
      </c>
      <c r="AL93">
        <v>12750000</v>
      </c>
    </row>
    <row r="94" spans="1:38" x14ac:dyDescent="0.25">
      <c r="A94" t="s">
        <v>211</v>
      </c>
    </row>
    <row r="95" spans="1:38" x14ac:dyDescent="0.25">
      <c r="A95" t="s">
        <v>212</v>
      </c>
    </row>
    <row r="96" spans="1:38" x14ac:dyDescent="0.25">
      <c r="A96" t="s">
        <v>214</v>
      </c>
    </row>
    <row r="97" spans="1:38" x14ac:dyDescent="0.25">
      <c r="A97" t="s">
        <v>215</v>
      </c>
    </row>
    <row r="98" spans="1:38" x14ac:dyDescent="0.25">
      <c r="A98" t="s">
        <v>213</v>
      </c>
    </row>
    <row r="99" spans="1:38" x14ac:dyDescent="0.25">
      <c r="A99" t="s">
        <v>223</v>
      </c>
    </row>
    <row r="100" spans="1:38" x14ac:dyDescent="0.25">
      <c r="A100" t="s">
        <v>224</v>
      </c>
    </row>
    <row r="102" spans="1:38" x14ac:dyDescent="0.25">
      <c r="A102" t="s">
        <v>248</v>
      </c>
      <c r="B102">
        <v>2432903000</v>
      </c>
      <c r="C102">
        <v>1164440957.1473804</v>
      </c>
      <c r="D102">
        <v>1296693408.1807961</v>
      </c>
      <c r="E102">
        <v>-2074372543.869029</v>
      </c>
      <c r="F102">
        <v>-5259775000</v>
      </c>
      <c r="G102">
        <v>46869354145.555122</v>
      </c>
      <c r="H102">
        <v>20025143160.290718</v>
      </c>
      <c r="I102">
        <v>8835813497.2771835</v>
      </c>
      <c r="J102">
        <v>19574015068.895569</v>
      </c>
      <c r="K102">
        <v>12067958381.073263</v>
      </c>
      <c r="L102">
        <v>3686883000</v>
      </c>
      <c r="M102">
        <v>2064067000</v>
      </c>
      <c r="N102">
        <v>1135822000</v>
      </c>
      <c r="O102">
        <v>4802358000</v>
      </c>
      <c r="P102">
        <v>209202000</v>
      </c>
      <c r="Q102">
        <v>3905396000</v>
      </c>
      <c r="R102">
        <v>-565407000</v>
      </c>
      <c r="S102">
        <v>-1307361000</v>
      </c>
      <c r="T102">
        <v>-1685504000</v>
      </c>
      <c r="U102">
        <v>-988670000</v>
      </c>
      <c r="V102">
        <v>60122000</v>
      </c>
      <c r="W102">
        <v>-160651000</v>
      </c>
      <c r="X102">
        <v>-677975000</v>
      </c>
      <c r="Y102">
        <v>-47293000</v>
      </c>
      <c r="Z102">
        <v>575090000</v>
      </c>
      <c r="AA102">
        <v>2402330000</v>
      </c>
      <c r="AB102">
        <v>1506848000</v>
      </c>
      <c r="AC102">
        <v>618710000</v>
      </c>
      <c r="AD102">
        <v>71331000</v>
      </c>
      <c r="AE102">
        <v>366538000</v>
      </c>
      <c r="AF102">
        <v>345832000</v>
      </c>
      <c r="AG102">
        <v>387149000</v>
      </c>
      <c r="AH102">
        <v>867386000</v>
      </c>
      <c r="AI102">
        <v>-1110651000</v>
      </c>
      <c r="AJ102">
        <v>-910465000</v>
      </c>
      <c r="AK102">
        <v>-770275000</v>
      </c>
      <c r="AL102">
        <v>83695000</v>
      </c>
    </row>
    <row r="103" spans="1:38" x14ac:dyDescent="0.25">
      <c r="A103" t="s">
        <v>249</v>
      </c>
    </row>
    <row r="104" spans="1:38" x14ac:dyDescent="0.25">
      <c r="A104" t="s">
        <v>250</v>
      </c>
      <c r="AI104">
        <v>0</v>
      </c>
      <c r="AJ104">
        <v>0</v>
      </c>
      <c r="AK104">
        <v>0</v>
      </c>
    </row>
    <row r="105" spans="1:38" x14ac:dyDescent="0.25">
      <c r="A105" t="s">
        <v>251</v>
      </c>
      <c r="T105">
        <v>0</v>
      </c>
      <c r="V105">
        <v>0</v>
      </c>
      <c r="X105">
        <v>0</v>
      </c>
      <c r="Z105">
        <v>0</v>
      </c>
      <c r="AB105">
        <v>0</v>
      </c>
      <c r="AC105">
        <v>0</v>
      </c>
      <c r="AD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8" x14ac:dyDescent="0.25">
      <c r="A106" t="s">
        <v>252</v>
      </c>
    </row>
    <row r="107" spans="1:38" x14ac:dyDescent="0.25">
      <c r="A107" t="s">
        <v>253</v>
      </c>
      <c r="K107">
        <v>-6499137318.9826717</v>
      </c>
      <c r="L107">
        <v>-1882894000</v>
      </c>
      <c r="N107">
        <v>-1066203000</v>
      </c>
      <c r="O107">
        <v>-1215266000</v>
      </c>
      <c r="P107">
        <v>-855398000</v>
      </c>
      <c r="Q107">
        <v>0</v>
      </c>
      <c r="R107">
        <v>0</v>
      </c>
      <c r="T107">
        <v>0</v>
      </c>
      <c r="V107">
        <v>0</v>
      </c>
      <c r="X107">
        <v>0</v>
      </c>
      <c r="Z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254</v>
      </c>
      <c r="L108">
        <v>0</v>
      </c>
      <c r="M108">
        <v>-1782468000</v>
      </c>
      <c r="S108">
        <v>0</v>
      </c>
      <c r="T108">
        <v>0</v>
      </c>
      <c r="V108">
        <v>0</v>
      </c>
      <c r="Z108">
        <v>0</v>
      </c>
      <c r="AB108">
        <v>0</v>
      </c>
      <c r="AC108">
        <v>0</v>
      </c>
      <c r="AD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255</v>
      </c>
    </row>
    <row r="110" spans="1:38" x14ac:dyDescent="0.25">
      <c r="A110" t="s">
        <v>256</v>
      </c>
      <c r="B110">
        <v>42440167000</v>
      </c>
      <c r="C110">
        <v>152997209516.89111</v>
      </c>
      <c r="D110">
        <v>244573817940.78366</v>
      </c>
      <c r="E110">
        <v>41692678697.472076</v>
      </c>
      <c r="F110">
        <v>30463674000</v>
      </c>
      <c r="G110">
        <v>186776843959.81076</v>
      </c>
      <c r="H110">
        <v>274546727778.07031</v>
      </c>
      <c r="I110">
        <v>54814951425.311195</v>
      </c>
      <c r="J110">
        <v>32305055821.343609</v>
      </c>
      <c r="K110">
        <v>57573901222.122429</v>
      </c>
      <c r="L110">
        <v>15833561000</v>
      </c>
      <c r="M110">
        <v>11495065000</v>
      </c>
      <c r="N110">
        <v>6460295000</v>
      </c>
      <c r="O110">
        <v>19143476000</v>
      </c>
      <c r="P110">
        <v>10833596000</v>
      </c>
      <c r="Q110">
        <v>9000296000</v>
      </c>
      <c r="R110">
        <v>2184809000</v>
      </c>
      <c r="S110">
        <v>4212527000</v>
      </c>
      <c r="T110">
        <v>3821710000</v>
      </c>
      <c r="U110">
        <v>2571435000</v>
      </c>
      <c r="V110">
        <v>2225060000</v>
      </c>
      <c r="W110">
        <v>5265420000</v>
      </c>
      <c r="X110">
        <v>5072460000</v>
      </c>
      <c r="Y110">
        <v>3496566000</v>
      </c>
      <c r="Z110">
        <v>2861056000</v>
      </c>
      <c r="AA110">
        <v>5548940000</v>
      </c>
      <c r="AB110">
        <v>4403465000</v>
      </c>
      <c r="AC110">
        <v>3231983000</v>
      </c>
      <c r="AD110">
        <v>2016538000</v>
      </c>
      <c r="AE110">
        <v>2834707000</v>
      </c>
      <c r="AF110">
        <v>2546888000</v>
      </c>
      <c r="AG110">
        <v>1940039000</v>
      </c>
      <c r="AH110">
        <v>1322533000</v>
      </c>
      <c r="AI110">
        <v>2603563000</v>
      </c>
      <c r="AJ110">
        <v>1641397000</v>
      </c>
      <c r="AK110">
        <v>922466000</v>
      </c>
      <c r="AL110">
        <v>919379000</v>
      </c>
    </row>
    <row r="111" spans="1:38" x14ac:dyDescent="0.25">
      <c r="A111" t="s">
        <v>257</v>
      </c>
      <c r="B111">
        <v>-33070040000</v>
      </c>
      <c r="C111">
        <v>-124939099943.98689</v>
      </c>
      <c r="D111">
        <v>-225335694222.55127</v>
      </c>
      <c r="E111">
        <v>-34013641578.164009</v>
      </c>
      <c r="F111">
        <v>-31905004000</v>
      </c>
      <c r="G111">
        <v>-128197020570.28552</v>
      </c>
      <c r="H111">
        <v>-243930399501.85263</v>
      </c>
      <c r="I111">
        <v>-38864211692.660255</v>
      </c>
      <c r="J111">
        <v>-9710232163.0590782</v>
      </c>
      <c r="K111">
        <v>-19693495582.968513</v>
      </c>
      <c r="L111">
        <v>-5995633000</v>
      </c>
      <c r="M111">
        <v>-4307041000</v>
      </c>
      <c r="N111">
        <v>-2140841000</v>
      </c>
      <c r="O111">
        <v>-9522410000</v>
      </c>
      <c r="P111">
        <v>-7003729000</v>
      </c>
      <c r="Q111">
        <v>-2662635000</v>
      </c>
      <c r="R111">
        <v>-898510000</v>
      </c>
      <c r="S111">
        <v>-3614211000</v>
      </c>
      <c r="T111">
        <v>-3778035000</v>
      </c>
      <c r="U111">
        <v>-2465096000</v>
      </c>
      <c r="V111">
        <v>-1720904000</v>
      </c>
      <c r="W111">
        <v>-3811499000</v>
      </c>
      <c r="X111">
        <v>-4493188000</v>
      </c>
      <c r="Y111">
        <v>-3008987000</v>
      </c>
      <c r="Z111">
        <v>-2035645000</v>
      </c>
      <c r="AA111">
        <v>-2288445000</v>
      </c>
      <c r="AB111">
        <v>-2081393000</v>
      </c>
      <c r="AC111">
        <v>-1796089000</v>
      </c>
      <c r="AD111">
        <v>-1349877000</v>
      </c>
      <c r="AE111">
        <v>-1529456000</v>
      </c>
      <c r="AF111">
        <v>-1415946000</v>
      </c>
      <c r="AG111">
        <v>-921260000</v>
      </c>
      <c r="AH111">
        <v>-388768000</v>
      </c>
      <c r="AI111">
        <v>-3043217000</v>
      </c>
      <c r="AJ111">
        <v>-2002690000</v>
      </c>
      <c r="AK111">
        <v>-1246689000</v>
      </c>
      <c r="AL111">
        <v>-788926000</v>
      </c>
    </row>
    <row r="112" spans="1:38" x14ac:dyDescent="0.25">
      <c r="A112" t="s">
        <v>258</v>
      </c>
    </row>
    <row r="113" spans="1:38" x14ac:dyDescent="0.25">
      <c r="A113" t="s">
        <v>259</v>
      </c>
    </row>
    <row r="114" spans="1:38" x14ac:dyDescent="0.25">
      <c r="A114" t="s">
        <v>260</v>
      </c>
      <c r="B114">
        <v>-1156374000</v>
      </c>
      <c r="C114">
        <v>-4824462693.5836544</v>
      </c>
      <c r="D114">
        <v>-3371640999.3468351</v>
      </c>
      <c r="E114">
        <v>-2137269378.6719213</v>
      </c>
      <c r="F114">
        <v>-846795000</v>
      </c>
      <c r="G114">
        <v>-3071482004.1198711</v>
      </c>
      <c r="H114">
        <v>-2107912638.098933</v>
      </c>
      <c r="I114">
        <v>-1368720531.8006806</v>
      </c>
      <c r="J114">
        <v>-677280514.17407119</v>
      </c>
      <c r="K114">
        <v>-2554265926.2012072</v>
      </c>
      <c r="L114">
        <v>-799462000</v>
      </c>
      <c r="M114">
        <v>-526334000</v>
      </c>
      <c r="N114">
        <v>-349298000</v>
      </c>
      <c r="O114">
        <v>-635575000</v>
      </c>
      <c r="P114">
        <v>-353369000</v>
      </c>
      <c r="Q114">
        <v>-246907000</v>
      </c>
      <c r="R114">
        <v>-86074000</v>
      </c>
      <c r="S114">
        <v>-303233000</v>
      </c>
      <c r="T114">
        <v>-225703000</v>
      </c>
      <c r="U114">
        <v>-146929000</v>
      </c>
      <c r="V114">
        <v>-77873000</v>
      </c>
      <c r="W114">
        <v>-281525000</v>
      </c>
      <c r="X114">
        <v>-199280000</v>
      </c>
      <c r="Y114">
        <v>-132990000</v>
      </c>
      <c r="Z114">
        <v>-60360000</v>
      </c>
      <c r="AA114">
        <v>0</v>
      </c>
      <c r="AB114">
        <v>0</v>
      </c>
      <c r="AC114">
        <v>0</v>
      </c>
      <c r="AD114">
        <v>0</v>
      </c>
    </row>
    <row r="115" spans="1:38" x14ac:dyDescent="0.25">
      <c r="A115" t="s">
        <v>245</v>
      </c>
      <c r="B115">
        <v>-508673000</v>
      </c>
      <c r="F115">
        <v>147627000</v>
      </c>
      <c r="J115">
        <v>317503465.98924041</v>
      </c>
      <c r="K115">
        <v>-1260584359.9855866</v>
      </c>
      <c r="L115">
        <v>-3816000</v>
      </c>
      <c r="M115">
        <v>-185490000</v>
      </c>
      <c r="N115">
        <v>-178029000</v>
      </c>
      <c r="R115">
        <v>-159833000</v>
      </c>
      <c r="T115">
        <v>-512204000</v>
      </c>
      <c r="U115">
        <v>-208258000</v>
      </c>
      <c r="V115">
        <v>-39221000</v>
      </c>
      <c r="W115">
        <v>-27880000</v>
      </c>
      <c r="X115">
        <v>-154998000</v>
      </c>
      <c r="Y115">
        <v>40668000</v>
      </c>
      <c r="Z115">
        <v>31240000</v>
      </c>
      <c r="AA115">
        <v>368123000</v>
      </c>
      <c r="AB115">
        <v>177499000</v>
      </c>
      <c r="AC115">
        <v>-49757000</v>
      </c>
      <c r="AD115">
        <v>-36930000</v>
      </c>
      <c r="AE115">
        <v>-22387000</v>
      </c>
      <c r="AF115">
        <v>-17139000</v>
      </c>
      <c r="AG115">
        <v>-19136000</v>
      </c>
      <c r="AH115">
        <v>-12706000</v>
      </c>
      <c r="AI115">
        <v>14253000</v>
      </c>
      <c r="AJ115">
        <v>15537000</v>
      </c>
      <c r="AK115">
        <v>14080000</v>
      </c>
      <c r="AL115">
        <v>27278000</v>
      </c>
    </row>
    <row r="116" spans="1:38" x14ac:dyDescent="0.25">
      <c r="A116" t="s">
        <v>246</v>
      </c>
      <c r="C116">
        <v>-4576842380.7230263</v>
      </c>
      <c r="D116">
        <v>-2682513149.6104765</v>
      </c>
      <c r="E116">
        <v>-1828993227.0996728</v>
      </c>
      <c r="G116">
        <v>6323463643.5342979</v>
      </c>
      <c r="H116">
        <v>5332933801.4298382</v>
      </c>
      <c r="I116">
        <v>386301298.81127417</v>
      </c>
      <c r="O116">
        <v>-204839000</v>
      </c>
      <c r="P116">
        <v>-89192000</v>
      </c>
      <c r="Q116">
        <v>-231926000</v>
      </c>
      <c r="S116">
        <v>-399379000</v>
      </c>
    </row>
    <row r="117" spans="1:38" x14ac:dyDescent="0.25">
      <c r="A117" t="s">
        <v>247</v>
      </c>
    </row>
    <row r="118" spans="1:38" x14ac:dyDescent="0.25">
      <c r="A118" t="s">
        <v>209</v>
      </c>
      <c r="B118">
        <v>-13341000</v>
      </c>
      <c r="C118">
        <v>-1241558635.8011584</v>
      </c>
      <c r="D118">
        <v>-1005373110.3334706</v>
      </c>
      <c r="E118">
        <v>-754713607.03491163</v>
      </c>
      <c r="F118">
        <v>0</v>
      </c>
      <c r="G118">
        <v>-5130627593.2390909</v>
      </c>
      <c r="H118">
        <v>-4833712880.4549208</v>
      </c>
      <c r="I118">
        <v>-878324977.76043534</v>
      </c>
      <c r="K118">
        <v>-5811073606.3849249</v>
      </c>
      <c r="L118">
        <v>-1695451000</v>
      </c>
      <c r="M118">
        <v>-1459508000</v>
      </c>
      <c r="N118">
        <v>-1384556000</v>
      </c>
      <c r="O118">
        <v>-1513222000</v>
      </c>
      <c r="P118">
        <v>-1513222000</v>
      </c>
      <c r="Q118">
        <v>-1513222000</v>
      </c>
      <c r="R118">
        <v>-1500000000</v>
      </c>
      <c r="S118">
        <v>-27086000</v>
      </c>
      <c r="T118">
        <v>-27086000</v>
      </c>
      <c r="U118">
        <v>-27086000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-435168000</v>
      </c>
      <c r="AB118">
        <v>-435000000</v>
      </c>
      <c r="AC118">
        <v>-435000000</v>
      </c>
      <c r="AD118">
        <v>-435000000</v>
      </c>
      <c r="AE118">
        <v>-425102000</v>
      </c>
      <c r="AF118">
        <v>-425000000</v>
      </c>
      <c r="AG118">
        <v>-425000000</v>
      </c>
      <c r="AH118">
        <v>0</v>
      </c>
      <c r="AI118">
        <v>-262000000</v>
      </c>
      <c r="AJ118">
        <v>-262000000</v>
      </c>
      <c r="AK118">
        <v>-262000000</v>
      </c>
    </row>
    <row r="119" spans="1:38" x14ac:dyDescent="0.25">
      <c r="A119" t="s">
        <v>211</v>
      </c>
      <c r="B119">
        <v>-5126386000</v>
      </c>
      <c r="C119">
        <v>-16697541970.769775</v>
      </c>
      <c r="D119">
        <v>-11827722927.712418</v>
      </c>
      <c r="E119">
        <v>-6215555386.3337488</v>
      </c>
      <c r="F119">
        <v>-3866581000</v>
      </c>
      <c r="G119">
        <v>-12811595494.019482</v>
      </c>
      <c r="H119">
        <v>-10808350433.092125</v>
      </c>
      <c r="I119">
        <v>-5756078918.0050793</v>
      </c>
      <c r="J119">
        <v>-3463543226.8879681</v>
      </c>
      <c r="K119">
        <v>-11008054834.434061</v>
      </c>
      <c r="L119">
        <v>-2000208000</v>
      </c>
      <c r="M119">
        <v>-1321774000</v>
      </c>
      <c r="N119">
        <v>-276784000</v>
      </c>
      <c r="O119">
        <v>-1493546000</v>
      </c>
      <c r="P119">
        <v>-978801000</v>
      </c>
      <c r="Q119">
        <v>-587789000</v>
      </c>
      <c r="R119">
        <v>-202887000</v>
      </c>
      <c r="S119">
        <v>-1399666000</v>
      </c>
      <c r="T119">
        <v>-1093135000</v>
      </c>
      <c r="U119">
        <v>-784876000</v>
      </c>
      <c r="V119">
        <v>-365169000</v>
      </c>
      <c r="W119">
        <v>-1434642000</v>
      </c>
      <c r="X119">
        <v>-1001007000</v>
      </c>
      <c r="Y119">
        <v>-506950000</v>
      </c>
      <c r="Z119">
        <v>-249782000</v>
      </c>
      <c r="AA119">
        <v>-832947000</v>
      </c>
      <c r="AB119">
        <v>-584526000</v>
      </c>
      <c r="AC119">
        <v>-345096000</v>
      </c>
      <c r="AD119">
        <v>-129765000</v>
      </c>
      <c r="AE119">
        <v>-511168000</v>
      </c>
      <c r="AF119">
        <v>-360256000</v>
      </c>
      <c r="AG119">
        <v>-197842000</v>
      </c>
      <c r="AH119">
        <v>-57902000</v>
      </c>
      <c r="AI119">
        <v>-441734000</v>
      </c>
      <c r="AJ119">
        <v>-317759000</v>
      </c>
      <c r="AK119">
        <v>-208225000</v>
      </c>
      <c r="AL119">
        <v>-78519000</v>
      </c>
    </row>
    <row r="120" spans="1:38" x14ac:dyDescent="0.25">
      <c r="A120" t="s">
        <v>212</v>
      </c>
      <c r="B120">
        <v>604057000</v>
      </c>
      <c r="C120">
        <v>3182900743.9757128</v>
      </c>
      <c r="D120">
        <v>2481135591.5816894</v>
      </c>
      <c r="E120">
        <v>1832485160.1007206</v>
      </c>
      <c r="F120">
        <v>952478000</v>
      </c>
      <c r="G120">
        <v>3089662171.9021811</v>
      </c>
      <c r="H120">
        <v>1982670256.0566237</v>
      </c>
      <c r="I120">
        <v>1189885406.3398714</v>
      </c>
      <c r="J120">
        <v>684256138.59974682</v>
      </c>
      <c r="K120">
        <v>1196153818.2243543</v>
      </c>
      <c r="L120">
        <v>243408000</v>
      </c>
      <c r="M120">
        <v>156854000</v>
      </c>
      <c r="N120">
        <v>84943000</v>
      </c>
      <c r="O120">
        <v>229017000</v>
      </c>
      <c r="P120">
        <v>185153000</v>
      </c>
      <c r="Q120">
        <v>159096000</v>
      </c>
      <c r="R120">
        <v>104905000</v>
      </c>
      <c r="S120">
        <v>231696000</v>
      </c>
      <c r="T120">
        <v>134413000</v>
      </c>
      <c r="U120">
        <v>76803000</v>
      </c>
      <c r="V120">
        <v>41087000</v>
      </c>
      <c r="W120">
        <v>147463000</v>
      </c>
      <c r="X120">
        <v>111902000</v>
      </c>
      <c r="Y120">
        <v>69506000</v>
      </c>
      <c r="Z120">
        <v>31887000</v>
      </c>
      <c r="AA120">
        <v>58468000</v>
      </c>
      <c r="AB120">
        <v>36033000</v>
      </c>
      <c r="AC120">
        <v>18009000</v>
      </c>
      <c r="AD120">
        <v>8636000</v>
      </c>
      <c r="AE120">
        <v>29727000</v>
      </c>
      <c r="AF120">
        <v>24120000</v>
      </c>
      <c r="AG120">
        <v>14952000</v>
      </c>
      <c r="AH120">
        <v>5855000</v>
      </c>
      <c r="AI120">
        <v>29604000</v>
      </c>
      <c r="AJ120">
        <v>23136000</v>
      </c>
      <c r="AK120">
        <v>15108000</v>
      </c>
      <c r="AL120">
        <v>7008000</v>
      </c>
    </row>
    <row r="121" spans="1:38" x14ac:dyDescent="0.25">
      <c r="A121" t="s">
        <v>214</v>
      </c>
    </row>
    <row r="122" spans="1:38" x14ac:dyDescent="0.25">
      <c r="A122" t="s">
        <v>215</v>
      </c>
    </row>
    <row r="123" spans="1:38" x14ac:dyDescent="0.25">
      <c r="A123" t="s">
        <v>213</v>
      </c>
    </row>
    <row r="124" spans="1:38" x14ac:dyDescent="0.25">
      <c r="A124" t="s">
        <v>223</v>
      </c>
      <c r="B124">
        <v>-736507000</v>
      </c>
      <c r="C124">
        <v>-2736163678.854929</v>
      </c>
      <c r="D124">
        <v>-1535315714.6301107</v>
      </c>
      <c r="E124">
        <v>-649363224.13755941</v>
      </c>
      <c r="F124">
        <v>-205174000</v>
      </c>
      <c r="G124">
        <v>-109889968.02816115</v>
      </c>
      <c r="H124">
        <v>-156813221.76742566</v>
      </c>
      <c r="I124">
        <v>-687988512.95870721</v>
      </c>
      <c r="J124">
        <v>118255547.08409095</v>
      </c>
      <c r="K124">
        <v>124514969.68344286</v>
      </c>
      <c r="L124">
        <v>-12622000</v>
      </c>
      <c r="M124">
        <v>-5237000</v>
      </c>
      <c r="N124">
        <v>-13705000</v>
      </c>
      <c r="O124">
        <v>14723000</v>
      </c>
      <c r="P124">
        <v>-15836000</v>
      </c>
      <c r="Q124">
        <v>-11517000</v>
      </c>
      <c r="R124">
        <v>-7817000</v>
      </c>
      <c r="S124">
        <v>-8009000</v>
      </c>
      <c r="T124">
        <v>-5464000</v>
      </c>
      <c r="U124">
        <v>-4663000</v>
      </c>
      <c r="V124">
        <v>-2858000</v>
      </c>
      <c r="W124">
        <v>-17988000</v>
      </c>
      <c r="X124">
        <v>-13864000</v>
      </c>
      <c r="Y124">
        <v>-5106000</v>
      </c>
      <c r="Z124">
        <v>-3306000</v>
      </c>
      <c r="AA124">
        <v>-16641000</v>
      </c>
      <c r="AB124">
        <v>-9230000</v>
      </c>
      <c r="AC124">
        <v>-5340000</v>
      </c>
      <c r="AD124">
        <v>-2271000</v>
      </c>
      <c r="AE124">
        <v>-9783000</v>
      </c>
      <c r="AF124">
        <v>-6835000</v>
      </c>
      <c r="AG124">
        <v>-4604000</v>
      </c>
      <c r="AH124">
        <v>-1626000</v>
      </c>
      <c r="AI124">
        <v>-11120000</v>
      </c>
      <c r="AJ124">
        <v>-8086000</v>
      </c>
      <c r="AK124">
        <v>-5015000</v>
      </c>
      <c r="AL124">
        <v>-2525000</v>
      </c>
    </row>
    <row r="125" spans="1:38" x14ac:dyDescent="0.25">
      <c r="A125" t="s">
        <v>224</v>
      </c>
    </row>
    <row r="126" spans="1:38" x14ac:dyDescent="0.25">
      <c r="A126" t="s">
        <v>261</v>
      </c>
      <c r="B126">
        <v>-10913129000</v>
      </c>
      <c r="C126">
        <v>802541373.12771225</v>
      </c>
      <c r="D126">
        <v>-18955983900.564495</v>
      </c>
      <c r="E126">
        <v>-14841345866.213367</v>
      </c>
      <c r="F126">
        <v>-1481529000</v>
      </c>
      <c r="G126">
        <v>24951670533.493511</v>
      </c>
      <c r="H126">
        <v>17709857405.314789</v>
      </c>
      <c r="I126">
        <v>-11011359098.866463</v>
      </c>
      <c r="J126">
        <v>7838368715.5370264</v>
      </c>
      <c r="K126">
        <v>-4922864597.9412498</v>
      </c>
      <c r="L126">
        <v>724238000</v>
      </c>
      <c r="M126">
        <v>-3978561000</v>
      </c>
      <c r="N126">
        <v>-635891000</v>
      </c>
      <c r="O126">
        <v>-653789000</v>
      </c>
      <c r="P126">
        <v>-5037114000</v>
      </c>
      <c r="Q126">
        <v>-2681795000</v>
      </c>
      <c r="R126">
        <v>-2711704000</v>
      </c>
      <c r="S126">
        <v>3791784000</v>
      </c>
      <c r="T126">
        <v>2787370000</v>
      </c>
      <c r="U126">
        <v>1606853000</v>
      </c>
      <c r="V126">
        <v>555662000</v>
      </c>
      <c r="W126">
        <v>1102101000</v>
      </c>
      <c r="X126">
        <v>-127198000</v>
      </c>
      <c r="Y126">
        <v>105738000</v>
      </c>
      <c r="Z126">
        <v>877577000</v>
      </c>
      <c r="AA126">
        <v>2301513000</v>
      </c>
      <c r="AB126">
        <v>721280000</v>
      </c>
      <c r="AC126">
        <v>367000</v>
      </c>
      <c r="AD126">
        <v>-145148000</v>
      </c>
      <c r="AE126">
        <v>-113541000</v>
      </c>
      <c r="AF126">
        <v>-553301000</v>
      </c>
      <c r="AG126">
        <v>-473627000</v>
      </c>
      <c r="AH126">
        <v>342018000</v>
      </c>
      <c r="AI126">
        <v>-41550000</v>
      </c>
      <c r="AJ126">
        <v>442047000</v>
      </c>
      <c r="AK126">
        <v>282333000</v>
      </c>
      <c r="AL126">
        <v>305705000</v>
      </c>
    </row>
    <row r="127" spans="1:38" x14ac:dyDescent="0.25">
      <c r="A127" t="s">
        <v>262</v>
      </c>
      <c r="B127">
        <v>886505000</v>
      </c>
      <c r="C127">
        <v>-12293583982.522211</v>
      </c>
      <c r="D127">
        <v>-8915741050.182888</v>
      </c>
      <c r="E127">
        <v>2837797510.9408484</v>
      </c>
      <c r="F127">
        <v>-6069060000</v>
      </c>
      <c r="G127">
        <v>5756792282.3080215</v>
      </c>
      <c r="H127">
        <v>1333036366.5365615</v>
      </c>
      <c r="I127">
        <v>15966899955.240614</v>
      </c>
      <c r="J127">
        <v>-3642734326.6416454</v>
      </c>
      <c r="K127">
        <v>150076793.16223687</v>
      </c>
      <c r="L127">
        <v>3687901000</v>
      </c>
      <c r="M127">
        <v>2919019000</v>
      </c>
      <c r="N127">
        <v>1313730000</v>
      </c>
      <c r="O127">
        <v>4677477000</v>
      </c>
      <c r="P127">
        <v>1388867000</v>
      </c>
      <c r="Q127">
        <v>1436045000</v>
      </c>
      <c r="R127">
        <v>928555000</v>
      </c>
      <c r="S127">
        <v>1273505000</v>
      </c>
      <c r="T127">
        <v>1818022000</v>
      </c>
      <c r="U127">
        <v>713495000</v>
      </c>
      <c r="V127">
        <v>341530000</v>
      </c>
      <c r="W127">
        <v>483559000</v>
      </c>
      <c r="X127">
        <v>263383000</v>
      </c>
      <c r="Y127">
        <v>339943000</v>
      </c>
      <c r="Z127">
        <v>256341000</v>
      </c>
      <c r="AA127">
        <v>454872000</v>
      </c>
      <c r="AB127">
        <v>919975000</v>
      </c>
      <c r="AC127">
        <v>373440000</v>
      </c>
      <c r="AD127">
        <v>174237000</v>
      </c>
      <c r="AE127">
        <v>252782000</v>
      </c>
      <c r="AF127">
        <v>93974000</v>
      </c>
      <c r="AG127">
        <v>69985000</v>
      </c>
      <c r="AH127">
        <v>101969000</v>
      </c>
      <c r="AI127">
        <v>317049000</v>
      </c>
      <c r="AJ127">
        <v>113067000</v>
      </c>
      <c r="AK127">
        <v>17937000</v>
      </c>
      <c r="AL127">
        <v>18060000</v>
      </c>
    </row>
    <row r="128" spans="1:38" x14ac:dyDescent="0.25">
      <c r="A128" t="s">
        <v>263</v>
      </c>
      <c r="B128">
        <v>-10026624000</v>
      </c>
      <c r="C128">
        <v>-11491042609.394499</v>
      </c>
      <c r="D128">
        <v>-27871724950.747383</v>
      </c>
      <c r="E128">
        <v>-12003548355.27252</v>
      </c>
      <c r="F128">
        <v>-7550589000</v>
      </c>
      <c r="G128">
        <v>30708462815.801533</v>
      </c>
      <c r="H128">
        <v>19042893771.851349</v>
      </c>
      <c r="I128">
        <v>4955540856.3741493</v>
      </c>
      <c r="J128">
        <v>4195634388.8953815</v>
      </c>
      <c r="K128">
        <v>-4772787804.7790127</v>
      </c>
      <c r="L128">
        <v>4412139000</v>
      </c>
      <c r="M128">
        <v>-1059542000</v>
      </c>
      <c r="N128">
        <v>677839000</v>
      </c>
      <c r="O128">
        <v>4023688000</v>
      </c>
      <c r="P128">
        <v>-3648247000</v>
      </c>
      <c r="Q128">
        <v>-1245750000</v>
      </c>
      <c r="R128">
        <v>-1783149000</v>
      </c>
      <c r="S128">
        <v>5065289000</v>
      </c>
      <c r="T128">
        <v>4605392000</v>
      </c>
      <c r="U128">
        <v>2320348000</v>
      </c>
      <c r="V128">
        <v>897192000</v>
      </c>
      <c r="W128">
        <v>1585660000</v>
      </c>
      <c r="X128">
        <v>136185000</v>
      </c>
      <c r="Y128">
        <v>445681000</v>
      </c>
      <c r="Z128">
        <v>1133918000</v>
      </c>
      <c r="AA128">
        <v>2756385000</v>
      </c>
      <c r="AB128">
        <v>1641255000</v>
      </c>
      <c r="AC128">
        <v>373807000</v>
      </c>
      <c r="AD128">
        <v>29089000</v>
      </c>
      <c r="AE128">
        <v>139241000</v>
      </c>
      <c r="AF128">
        <v>-459327000</v>
      </c>
      <c r="AG128">
        <v>-403642000</v>
      </c>
      <c r="AH128">
        <v>443987000</v>
      </c>
      <c r="AI128">
        <v>275499000</v>
      </c>
      <c r="AJ128">
        <v>555114000</v>
      </c>
      <c r="AK128">
        <v>300270000</v>
      </c>
      <c r="AL128">
        <v>323765000</v>
      </c>
    </row>
    <row r="129" spans="1:38" x14ac:dyDescent="0.25">
      <c r="A129" t="s">
        <v>264</v>
      </c>
      <c r="B129">
        <v>55842119000</v>
      </c>
      <c r="C129">
        <v>77509536222.230911</v>
      </c>
      <c r="D129">
        <v>77509529777.187515</v>
      </c>
      <c r="E129">
        <v>77509523392.676208</v>
      </c>
      <c r="F129">
        <v>77509529000</v>
      </c>
      <c r="G129">
        <v>64092285135.065468</v>
      </c>
      <c r="H129">
        <v>64092276124.362679</v>
      </c>
      <c r="I129">
        <v>64092265770.835045</v>
      </c>
      <c r="J129">
        <v>64092273380.655037</v>
      </c>
      <c r="K129">
        <v>68865062070.937622</v>
      </c>
      <c r="L129">
        <v>16011915000</v>
      </c>
      <c r="M129">
        <v>16011915000</v>
      </c>
      <c r="N129">
        <v>16011915000</v>
      </c>
      <c r="O129">
        <v>11988227000</v>
      </c>
      <c r="P129">
        <v>11988227000</v>
      </c>
      <c r="Q129">
        <v>11988227000</v>
      </c>
      <c r="R129">
        <v>11988227000</v>
      </c>
      <c r="S129">
        <v>6922938000</v>
      </c>
      <c r="T129">
        <v>6922938000</v>
      </c>
      <c r="U129">
        <v>6922938000</v>
      </c>
      <c r="V129">
        <v>6922938000</v>
      </c>
      <c r="W129">
        <v>5337278000</v>
      </c>
      <c r="X129">
        <v>5337278000</v>
      </c>
      <c r="Y129">
        <v>5337278000</v>
      </c>
      <c r="Z129">
        <v>5337278000</v>
      </c>
      <c r="AA129">
        <v>2580893000</v>
      </c>
      <c r="AB129">
        <v>2580893000</v>
      </c>
      <c r="AC129">
        <v>2580893000</v>
      </c>
      <c r="AD129">
        <v>2580893000</v>
      </c>
      <c r="AE129">
        <v>2441652000</v>
      </c>
      <c r="AF129">
        <v>2441652000</v>
      </c>
      <c r="AG129">
        <v>2441652000</v>
      </c>
      <c r="AH129">
        <v>2441652000</v>
      </c>
      <c r="AI129">
        <v>2166153000</v>
      </c>
      <c r="AJ129">
        <v>2166153000</v>
      </c>
      <c r="AK129">
        <v>2166153000</v>
      </c>
      <c r="AL129">
        <v>2166153000</v>
      </c>
    </row>
    <row r="130" spans="1:38" x14ac:dyDescent="0.25">
      <c r="A130" t="s">
        <v>265</v>
      </c>
      <c r="B130">
        <v>43825456000</v>
      </c>
      <c r="C130">
        <v>55842122133.821312</v>
      </c>
      <c r="D130">
        <v>40030746366.208008</v>
      </c>
      <c r="E130">
        <v>57598423325.539284</v>
      </c>
      <c r="F130">
        <v>64350543000</v>
      </c>
      <c r="G130">
        <v>77509536222.230911</v>
      </c>
      <c r="H130">
        <v>69222897827.865219</v>
      </c>
      <c r="I130">
        <v>62647248859.793304</v>
      </c>
      <c r="J130">
        <v>68287907769.550407</v>
      </c>
      <c r="K130">
        <v>64092274266.1586</v>
      </c>
      <c r="L130">
        <v>20424054000</v>
      </c>
      <c r="M130">
        <v>14952373000</v>
      </c>
      <c r="N130">
        <v>16689754000</v>
      </c>
      <c r="O130">
        <v>16011915000</v>
      </c>
      <c r="P130">
        <v>8339980000</v>
      </c>
      <c r="Q130">
        <v>10742477000</v>
      </c>
      <c r="R130">
        <v>10205078000</v>
      </c>
      <c r="S130">
        <v>11988227000</v>
      </c>
      <c r="T130">
        <v>11528330000</v>
      </c>
      <c r="U130">
        <v>9243286000</v>
      </c>
      <c r="V130">
        <v>7820130000</v>
      </c>
      <c r="W130">
        <v>6922938000</v>
      </c>
      <c r="X130">
        <v>5473463000</v>
      </c>
      <c r="Y130">
        <v>5782959000</v>
      </c>
      <c r="Z130">
        <v>6471196000</v>
      </c>
      <c r="AA130">
        <v>5337278000</v>
      </c>
      <c r="AB130">
        <v>4222148000</v>
      </c>
      <c r="AC130">
        <v>2954700000</v>
      </c>
      <c r="AD130">
        <v>2609982000</v>
      </c>
      <c r="AE130">
        <v>2580893000</v>
      </c>
      <c r="AF130">
        <v>1982325000</v>
      </c>
      <c r="AG130">
        <v>2038010000</v>
      </c>
      <c r="AH130">
        <v>2885639000</v>
      </c>
      <c r="AI130">
        <v>2441652000</v>
      </c>
      <c r="AJ130">
        <v>2721267000</v>
      </c>
      <c r="AK130">
        <v>2466423000</v>
      </c>
      <c r="AL130">
        <v>2489918000</v>
      </c>
    </row>
  </sheetData>
  <pageMargins left="0.7" right="0.7" top="0.75" bottom="0.75" header="0.3" footer="0.3"/>
  <ignoredErrors>
    <ignoredError sqref="A1:AL13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30"/>
  <sheetViews>
    <sheetView workbookViewId="0"/>
  </sheetViews>
  <sheetFormatPr defaultRowHeight="15.75" x14ac:dyDescent="0.25"/>
  <cols>
    <col min="1" max="1" width="40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120</v>
      </c>
    </row>
    <row r="2" spans="1:38" x14ac:dyDescent="0.25">
      <c r="A2" t="s">
        <v>121</v>
      </c>
    </row>
    <row r="3" spans="1:38" x14ac:dyDescent="0.25">
      <c r="A3" t="s">
        <v>163</v>
      </c>
      <c r="B3">
        <v>-9657964000</v>
      </c>
      <c r="C3">
        <v>28989328621.538864</v>
      </c>
      <c r="D3">
        <v>-1691497692.6481171</v>
      </c>
      <c r="E3">
        <v>-19727637906.898232</v>
      </c>
      <c r="F3">
        <v>8267510000</v>
      </c>
      <c r="G3">
        <v>-12254980408.956419</v>
      </c>
      <c r="H3">
        <v>22434710233.54425</v>
      </c>
      <c r="I3">
        <v>-4419976302.1639252</v>
      </c>
      <c r="J3">
        <v>-6288969423.5581722</v>
      </c>
      <c r="L3">
        <v>3489376000</v>
      </c>
      <c r="M3">
        <v>-3210558000</v>
      </c>
      <c r="N3">
        <v>-1041144000</v>
      </c>
      <c r="O3">
        <v>580443000</v>
      </c>
      <c r="P3">
        <v>672710000</v>
      </c>
      <c r="Q3">
        <v>-601465000</v>
      </c>
      <c r="R3">
        <v>-1724237000</v>
      </c>
      <c r="S3">
        <v>1254798000</v>
      </c>
      <c r="T3">
        <v>2261116000</v>
      </c>
      <c r="U3">
        <v>2135517000</v>
      </c>
      <c r="V3">
        <v>769474000</v>
      </c>
      <c r="W3">
        <v>1210230000</v>
      </c>
      <c r="X3">
        <v>711994000</v>
      </c>
      <c r="Y3">
        <v>576601000</v>
      </c>
      <c r="Z3">
        <v>676055000</v>
      </c>
      <c r="AA3">
        <v>1250647000</v>
      </c>
      <c r="AB3">
        <v>341566000</v>
      </c>
      <c r="AC3">
        <v>74503000</v>
      </c>
      <c r="AD3">
        <v>14193000</v>
      </c>
      <c r="AE3">
        <v>849772000</v>
      </c>
      <c r="AF3">
        <v>267554000</v>
      </c>
      <c r="AG3">
        <v>-117194000</v>
      </c>
      <c r="AH3">
        <v>-410264000</v>
      </c>
      <c r="AI3">
        <v>856407000</v>
      </c>
      <c r="AJ3">
        <v>444549000</v>
      </c>
      <c r="AK3">
        <v>415150000</v>
      </c>
      <c r="AL3">
        <v>351171000</v>
      </c>
    </row>
    <row r="4" spans="1:38" x14ac:dyDescent="0.25">
      <c r="A4" t="s">
        <v>160</v>
      </c>
      <c r="B4">
        <v>-1951579000</v>
      </c>
      <c r="C4">
        <v>4412109377.0806093</v>
      </c>
      <c r="D4">
        <v>-6559238326.4190502</v>
      </c>
      <c r="E4">
        <v>-2905470289.666234</v>
      </c>
      <c r="F4">
        <v>2623197000</v>
      </c>
      <c r="G4">
        <v>16446575585.749908</v>
      </c>
      <c r="H4">
        <v>1723393837.328105</v>
      </c>
      <c r="I4">
        <v>2473506041.2016506</v>
      </c>
      <c r="J4">
        <v>1981760950.8476403</v>
      </c>
      <c r="L4">
        <v>494899000</v>
      </c>
      <c r="M4">
        <v>340049000</v>
      </c>
      <c r="N4">
        <v>1224362000</v>
      </c>
      <c r="O4">
        <v>892844000</v>
      </c>
      <c r="P4">
        <v>716818000</v>
      </c>
      <c r="Q4">
        <v>541155000</v>
      </c>
      <c r="R4">
        <v>1100192000</v>
      </c>
      <c r="S4">
        <v>1169774000</v>
      </c>
      <c r="T4">
        <v>1041207000</v>
      </c>
      <c r="U4">
        <v>408563000</v>
      </c>
      <c r="V4">
        <v>259445000</v>
      </c>
      <c r="W4">
        <v>241905000</v>
      </c>
      <c r="X4">
        <v>253032000</v>
      </c>
      <c r="Y4">
        <v>231995000</v>
      </c>
      <c r="Z4">
        <v>226094000</v>
      </c>
      <c r="AA4">
        <v>280907000</v>
      </c>
      <c r="AB4">
        <v>252757000</v>
      </c>
      <c r="AC4">
        <v>144590000</v>
      </c>
      <c r="AD4">
        <v>177587000</v>
      </c>
      <c r="AE4">
        <v>90078000</v>
      </c>
      <c r="AF4">
        <v>257539000</v>
      </c>
      <c r="AG4">
        <v>256947000</v>
      </c>
      <c r="AH4">
        <v>240739000</v>
      </c>
      <c r="AI4">
        <v>230363000</v>
      </c>
      <c r="AJ4">
        <v>264127000</v>
      </c>
      <c r="AK4">
        <v>653055000</v>
      </c>
      <c r="AL4">
        <v>156605000</v>
      </c>
    </row>
    <row r="5" spans="1:38" x14ac:dyDescent="0.25">
      <c r="A5" t="s">
        <v>164</v>
      </c>
      <c r="B5">
        <v>6052054000</v>
      </c>
      <c r="C5">
        <v>-2044444594.0515614</v>
      </c>
      <c r="D5">
        <v>15093186961.006186</v>
      </c>
      <c r="E5">
        <v>-6091307594.9406929</v>
      </c>
      <c r="F5">
        <v>2980445000</v>
      </c>
      <c r="G5">
        <v>-26084793067.812698</v>
      </c>
      <c r="H5">
        <v>10181877253.117531</v>
      </c>
      <c r="I5">
        <v>8107685425.3637629</v>
      </c>
      <c r="J5">
        <v>-2363823813.9913158</v>
      </c>
      <c r="L5">
        <v>3254296000</v>
      </c>
      <c r="M5">
        <v>3557491000</v>
      </c>
      <c r="N5">
        <v>3100542000</v>
      </c>
      <c r="O5">
        <v>4780026000</v>
      </c>
      <c r="P5">
        <v>1643232000</v>
      </c>
      <c r="Q5">
        <v>1468486000</v>
      </c>
      <c r="R5">
        <v>1452137000</v>
      </c>
      <c r="S5">
        <v>560899000</v>
      </c>
      <c r="T5">
        <v>1985728000</v>
      </c>
      <c r="U5">
        <v>791150000</v>
      </c>
      <c r="V5">
        <v>737906000</v>
      </c>
      <c r="W5">
        <v>484459000</v>
      </c>
      <c r="X5">
        <v>844650000</v>
      </c>
      <c r="Y5">
        <v>976433000</v>
      </c>
      <c r="Z5">
        <v>849622000</v>
      </c>
      <c r="AA5">
        <v>-286318000</v>
      </c>
      <c r="AB5">
        <v>1692516000</v>
      </c>
      <c r="AC5">
        <v>814900000</v>
      </c>
      <c r="AD5">
        <v>528118000</v>
      </c>
      <c r="AE5">
        <v>412858000</v>
      </c>
      <c r="AF5">
        <v>480271000</v>
      </c>
      <c r="AG5">
        <v>408748000</v>
      </c>
      <c r="AH5">
        <v>392392000</v>
      </c>
      <c r="AI5">
        <v>200754000</v>
      </c>
      <c r="AJ5">
        <v>369751000</v>
      </c>
      <c r="AK5">
        <v>-125892000</v>
      </c>
      <c r="AL5">
        <v>200459000</v>
      </c>
    </row>
    <row r="6" spans="1:38" x14ac:dyDescent="0.25">
      <c r="A6" t="s">
        <v>165</v>
      </c>
      <c r="B6">
        <v>4720201000</v>
      </c>
      <c r="C6">
        <v>4739194078.1795483</v>
      </c>
      <c r="D6">
        <v>5023816967.8438129</v>
      </c>
      <c r="E6">
        <v>4919662519.7064629</v>
      </c>
      <c r="F6">
        <v>3532711000</v>
      </c>
      <c r="G6">
        <v>3240359673.1502934</v>
      </c>
      <c r="H6">
        <v>3473799833.7790289</v>
      </c>
      <c r="I6">
        <v>3577088148.1823206</v>
      </c>
      <c r="J6">
        <v>3557611269.2816448</v>
      </c>
      <c r="L6">
        <v>880210000</v>
      </c>
      <c r="M6">
        <v>781318000</v>
      </c>
      <c r="N6">
        <v>711155000</v>
      </c>
      <c r="O6">
        <v>658652000</v>
      </c>
      <c r="P6">
        <v>461303000</v>
      </c>
      <c r="Q6">
        <v>380738000</v>
      </c>
      <c r="R6">
        <v>344989000</v>
      </c>
      <c r="S6">
        <v>325043000</v>
      </c>
      <c r="T6">
        <v>318619000</v>
      </c>
      <c r="U6">
        <v>296972000</v>
      </c>
      <c r="V6">
        <v>281360000</v>
      </c>
      <c r="W6">
        <v>278244000</v>
      </c>
      <c r="X6">
        <v>269607000</v>
      </c>
      <c r="Y6">
        <v>257981000</v>
      </c>
      <c r="Z6">
        <v>249102000</v>
      </c>
      <c r="AA6">
        <v>194890000</v>
      </c>
      <c r="AB6">
        <v>184949000</v>
      </c>
      <c r="AC6">
        <v>161000000</v>
      </c>
      <c r="AD6">
        <v>149575000</v>
      </c>
      <c r="AE6">
        <v>144277000</v>
      </c>
      <c r="AF6">
        <v>137253000</v>
      </c>
      <c r="AG6">
        <v>134943000</v>
      </c>
      <c r="AH6">
        <v>131714000</v>
      </c>
      <c r="AI6">
        <v>122029000</v>
      </c>
      <c r="AJ6">
        <v>109193000</v>
      </c>
      <c r="AK6">
        <v>110044000</v>
      </c>
      <c r="AL6">
        <v>97416000</v>
      </c>
    </row>
    <row r="7" spans="1:38" x14ac:dyDescent="0.25">
      <c r="A7" t="s">
        <v>166</v>
      </c>
      <c r="B7">
        <v>136966000</v>
      </c>
      <c r="C7">
        <v>-80035411.404404074</v>
      </c>
      <c r="D7">
        <v>-51800935.601936817</v>
      </c>
      <c r="E7">
        <v>-168843046.9367781</v>
      </c>
      <c r="F7">
        <v>-13191000</v>
      </c>
      <c r="G7">
        <v>105213230.9736656</v>
      </c>
      <c r="H7">
        <v>-65007780.823296964</v>
      </c>
      <c r="I7">
        <v>195780007.52922302</v>
      </c>
      <c r="J7">
        <v>257020893.88026011</v>
      </c>
      <c r="L7">
        <v>26973000</v>
      </c>
      <c r="M7">
        <v>31828000</v>
      </c>
      <c r="N7">
        <v>23592000</v>
      </c>
      <c r="O7">
        <v>-61132000</v>
      </c>
      <c r="P7">
        <v>16402000</v>
      </c>
      <c r="Q7">
        <v>13718000</v>
      </c>
      <c r="R7">
        <v>32505000</v>
      </c>
      <c r="S7">
        <v>86466000</v>
      </c>
      <c r="T7">
        <v>61939000</v>
      </c>
      <c r="U7">
        <v>18542000</v>
      </c>
      <c r="V7">
        <v>15750000</v>
      </c>
      <c r="W7">
        <v>36455000</v>
      </c>
      <c r="X7">
        <v>9491000</v>
      </c>
      <c r="Y7">
        <v>27457000</v>
      </c>
      <c r="Z7">
        <v>15398000</v>
      </c>
      <c r="AA7">
        <v>36020000</v>
      </c>
      <c r="AB7">
        <v>9435000</v>
      </c>
      <c r="AC7">
        <v>6714000</v>
      </c>
      <c r="AD7">
        <v>13487000</v>
      </c>
      <c r="AE7">
        <v>33439000</v>
      </c>
      <c r="AF7">
        <v>1858000</v>
      </c>
      <c r="AG7">
        <v>3434000</v>
      </c>
      <c r="AH7">
        <v>3264000</v>
      </c>
      <c r="AI7">
        <v>21089000</v>
      </c>
      <c r="AJ7">
        <v>3077000</v>
      </c>
      <c r="AK7">
        <v>23419000</v>
      </c>
      <c r="AL7">
        <v>1930000</v>
      </c>
    </row>
    <row r="8" spans="1:38" x14ac:dyDescent="0.25">
      <c r="A8" t="s">
        <v>167</v>
      </c>
      <c r="B8">
        <v>887956000</v>
      </c>
      <c r="C8">
        <v>11756371279.992531</v>
      </c>
      <c r="D8">
        <v>3689686044.8165288</v>
      </c>
      <c r="E8">
        <v>1519298535.2457004</v>
      </c>
      <c r="F8">
        <v>2181316000</v>
      </c>
      <c r="G8">
        <v>-2781518942.7759104</v>
      </c>
      <c r="H8">
        <v>1411455884.1845741</v>
      </c>
      <c r="I8">
        <v>6126620425.4492207</v>
      </c>
      <c r="J8">
        <v>1494099756.5892489</v>
      </c>
      <c r="L8">
        <v>1083750000</v>
      </c>
      <c r="M8">
        <v>1211022000</v>
      </c>
      <c r="N8">
        <v>879416000</v>
      </c>
      <c r="O8">
        <v>2097212000</v>
      </c>
      <c r="P8">
        <v>644180000</v>
      </c>
      <c r="Q8">
        <v>561333000</v>
      </c>
      <c r="R8">
        <v>515836000</v>
      </c>
      <c r="S8">
        <v>-123030000</v>
      </c>
      <c r="T8">
        <v>842800000</v>
      </c>
      <c r="U8">
        <v>197594000</v>
      </c>
      <c r="V8">
        <v>-60988000</v>
      </c>
      <c r="W8">
        <v>-176086000</v>
      </c>
      <c r="X8">
        <v>108318000</v>
      </c>
      <c r="Y8">
        <v>267773000</v>
      </c>
      <c r="Z8">
        <v>183632000</v>
      </c>
      <c r="AA8">
        <v>-347842000</v>
      </c>
      <c r="AB8">
        <v>386840000</v>
      </c>
      <c r="AC8">
        <v>207631000</v>
      </c>
      <c r="AD8">
        <v>42758000</v>
      </c>
      <c r="AE8">
        <v>-81578000</v>
      </c>
      <c r="AF8">
        <v>109528000</v>
      </c>
      <c r="AG8">
        <v>167790000</v>
      </c>
      <c r="AH8">
        <v>109133000</v>
      </c>
      <c r="AI8">
        <v>-113903000</v>
      </c>
      <c r="AJ8">
        <v>136236000</v>
      </c>
      <c r="AK8">
        <v>125700000</v>
      </c>
      <c r="AL8">
        <v>13781000</v>
      </c>
    </row>
    <row r="9" spans="1:38" x14ac:dyDescent="0.25">
      <c r="A9" t="s">
        <v>168</v>
      </c>
      <c r="C9">
        <v>-335761.21847199369</v>
      </c>
      <c r="D9">
        <v>-190.91090469993651</v>
      </c>
      <c r="G9">
        <v>-479873.66225251905</v>
      </c>
      <c r="L9">
        <v>0</v>
      </c>
      <c r="M9">
        <v>0</v>
      </c>
      <c r="N9">
        <v>-156000</v>
      </c>
      <c r="O9">
        <v>-225000</v>
      </c>
      <c r="P9">
        <v>0</v>
      </c>
      <c r="Q9">
        <v>0</v>
      </c>
      <c r="R9">
        <v>-117000</v>
      </c>
      <c r="AA9">
        <v>0</v>
      </c>
      <c r="AB9">
        <v>0</v>
      </c>
      <c r="AC9">
        <v>0</v>
      </c>
      <c r="AD9">
        <v>-94000</v>
      </c>
      <c r="AE9">
        <v>0</v>
      </c>
      <c r="AF9">
        <v>0</v>
      </c>
      <c r="AG9">
        <v>-93000</v>
      </c>
      <c r="AH9">
        <v>0</v>
      </c>
      <c r="AI9">
        <v>0</v>
      </c>
      <c r="AJ9">
        <v>0</v>
      </c>
    </row>
    <row r="10" spans="1:38" x14ac:dyDescent="0.25">
      <c r="A10" t="s">
        <v>169</v>
      </c>
    </row>
    <row r="11" spans="1:38" x14ac:dyDescent="0.25">
      <c r="A11" t="s">
        <v>170</v>
      </c>
    </row>
    <row r="12" spans="1:38" x14ac:dyDescent="0.25">
      <c r="A12" t="s">
        <v>171</v>
      </c>
      <c r="B12">
        <v>3811190000</v>
      </c>
      <c r="C12">
        <v>5186979195.0033722</v>
      </c>
      <c r="D12">
        <v>4861312011.6249447</v>
      </c>
      <c r="E12">
        <v>1834418308.8100243</v>
      </c>
      <c r="F12">
        <v>2507973000</v>
      </c>
      <c r="G12">
        <v>2381328270.2878523</v>
      </c>
      <c r="H12">
        <v>3084520336.418222</v>
      </c>
      <c r="I12">
        <v>1455195544.9605999</v>
      </c>
      <c r="J12">
        <v>2710228268.3702044</v>
      </c>
      <c r="L12">
        <v>979750000</v>
      </c>
      <c r="M12">
        <v>875481000</v>
      </c>
      <c r="N12">
        <v>655297000</v>
      </c>
      <c r="O12">
        <v>537252000</v>
      </c>
      <c r="P12">
        <v>455712000</v>
      </c>
      <c r="Q12">
        <v>373272000</v>
      </c>
      <c r="R12">
        <v>233680000</v>
      </c>
      <c r="S12">
        <v>203554000</v>
      </c>
      <c r="T12">
        <v>256846000</v>
      </c>
      <c r="U12">
        <v>309913000</v>
      </c>
      <c r="V12">
        <v>340010000</v>
      </c>
      <c r="W12">
        <v>370239000</v>
      </c>
      <c r="X12">
        <v>330983000</v>
      </c>
      <c r="Y12">
        <v>365157000</v>
      </c>
      <c r="Z12">
        <v>344239000</v>
      </c>
      <c r="AA12">
        <v>288630000</v>
      </c>
      <c r="AB12">
        <v>275580000</v>
      </c>
      <c r="AC12">
        <v>209485000</v>
      </c>
      <c r="AD12">
        <v>173890000</v>
      </c>
      <c r="AE12">
        <v>153986000</v>
      </c>
      <c r="AF12">
        <v>144663000</v>
      </c>
      <c r="AG12">
        <v>134099000</v>
      </c>
      <c r="AH12">
        <v>111588000</v>
      </c>
      <c r="AI12">
        <v>108134000</v>
      </c>
      <c r="AJ12">
        <v>96649000</v>
      </c>
      <c r="AK12">
        <v>109419000</v>
      </c>
      <c r="AL12">
        <v>98434000</v>
      </c>
    </row>
    <row r="13" spans="1:38" x14ac:dyDescent="0.25">
      <c r="A13" t="s">
        <v>172</v>
      </c>
      <c r="B13">
        <v>-79716000</v>
      </c>
      <c r="C13">
        <v>-309525806.02011847</v>
      </c>
      <c r="D13">
        <v>-298198873.31338072</v>
      </c>
      <c r="E13">
        <v>-122674183.5001229</v>
      </c>
      <c r="F13">
        <v>-116664000</v>
      </c>
      <c r="G13">
        <v>-197775350.28053492</v>
      </c>
      <c r="H13">
        <v>-118210010.74647117</v>
      </c>
      <c r="I13">
        <v>-163250031.78480309</v>
      </c>
      <c r="J13">
        <v>-113171945.12192275</v>
      </c>
      <c r="L13">
        <v>-21283000</v>
      </c>
      <c r="M13">
        <v>-46643000</v>
      </c>
      <c r="N13">
        <v>-11151000</v>
      </c>
      <c r="O13">
        <v>-31605000</v>
      </c>
      <c r="P13">
        <v>-26945000</v>
      </c>
      <c r="Q13">
        <v>-13315000</v>
      </c>
      <c r="R13">
        <v>-19125000</v>
      </c>
      <c r="S13">
        <v>-50630000</v>
      </c>
      <c r="T13">
        <v>-21837000</v>
      </c>
      <c r="U13">
        <v>-25633000</v>
      </c>
      <c r="V13">
        <v>-11888000</v>
      </c>
      <c r="W13">
        <v>-43743000</v>
      </c>
      <c r="X13">
        <v>-8288000</v>
      </c>
      <c r="Y13">
        <v>-8554000</v>
      </c>
      <c r="Z13">
        <v>-12355000</v>
      </c>
      <c r="AA13">
        <v>-30772000</v>
      </c>
      <c r="AB13">
        <v>-19615000</v>
      </c>
      <c r="AC13">
        <v>-22793000</v>
      </c>
      <c r="AD13">
        <v>-4542000</v>
      </c>
      <c r="AE13">
        <v>-22309000</v>
      </c>
      <c r="AF13">
        <v>-14252000</v>
      </c>
      <c r="AG13">
        <v>3867000</v>
      </c>
      <c r="AH13">
        <v>-34620000</v>
      </c>
      <c r="AI13">
        <v>-57262000</v>
      </c>
      <c r="AJ13">
        <v>-52175000</v>
      </c>
      <c r="AK13">
        <v>-42784000</v>
      </c>
      <c r="AL13">
        <v>-46639000</v>
      </c>
    </row>
    <row r="14" spans="1:38" x14ac:dyDescent="0.25">
      <c r="A14" t="s">
        <v>173</v>
      </c>
    </row>
    <row r="15" spans="1:38" x14ac:dyDescent="0.25">
      <c r="A15" t="s">
        <v>174</v>
      </c>
      <c r="B15">
        <v>664695000</v>
      </c>
      <c r="C15">
        <v>-3369481615.8843126</v>
      </c>
      <c r="D15">
        <v>1077771952.6896977</v>
      </c>
      <c r="E15">
        <v>618690633.40936232</v>
      </c>
      <c r="F15">
        <v>2771375000</v>
      </c>
      <c r="G15">
        <v>-3792875530.3059778</v>
      </c>
      <c r="H15">
        <v>1266966415.4753017</v>
      </c>
      <c r="I15">
        <v>10202179972.690315</v>
      </c>
      <c r="J15">
        <v>834431623.7853303</v>
      </c>
      <c r="L15">
        <v>600313000</v>
      </c>
      <c r="M15">
        <v>706790000</v>
      </c>
      <c r="N15">
        <v>562165000</v>
      </c>
      <c r="O15">
        <v>1638763000</v>
      </c>
      <c r="P15">
        <v>9279000</v>
      </c>
      <c r="Q15">
        <v>66374000</v>
      </c>
      <c r="R15">
        <v>-75343000</v>
      </c>
      <c r="S15">
        <v>45001000</v>
      </c>
      <c r="T15">
        <v>-10560000</v>
      </c>
      <c r="U15">
        <v>23075000</v>
      </c>
      <c r="V15">
        <v>31730000</v>
      </c>
      <c r="W15">
        <v>84806000</v>
      </c>
      <c r="X15">
        <v>-36629000</v>
      </c>
      <c r="Y15">
        <v>19548000</v>
      </c>
      <c r="Z15">
        <v>77317000</v>
      </c>
      <c r="AA15">
        <v>-395578000</v>
      </c>
      <c r="AB15">
        <v>1027278000</v>
      </c>
      <c r="AC15">
        <v>318694000</v>
      </c>
      <c r="AD15">
        <v>70757000</v>
      </c>
      <c r="AE15">
        <v>118643000</v>
      </c>
      <c r="AF15">
        <v>66445000</v>
      </c>
      <c r="AG15">
        <v>-53746000</v>
      </c>
      <c r="AH15">
        <v>77306000</v>
      </c>
      <c r="AI15">
        <v>310569000</v>
      </c>
      <c r="AJ15">
        <v>44894000</v>
      </c>
      <c r="AK15">
        <v>30674000</v>
      </c>
      <c r="AL15">
        <v>-26535000</v>
      </c>
    </row>
    <row r="16" spans="1:38" x14ac:dyDescent="0.25">
      <c r="A16" t="s">
        <v>175</v>
      </c>
    </row>
    <row r="17" spans="1:38" x14ac:dyDescent="0.25">
      <c r="A17" t="s">
        <v>176</v>
      </c>
    </row>
    <row r="18" spans="1:38" x14ac:dyDescent="0.25">
      <c r="A18" t="s">
        <v>177</v>
      </c>
      <c r="B18">
        <v>1019339000</v>
      </c>
      <c r="C18">
        <v>701454342.52794743</v>
      </c>
      <c r="D18">
        <v>1542270421.0339608</v>
      </c>
      <c r="E18">
        <v>1227526443.5193534</v>
      </c>
      <c r="F18">
        <v>901001000</v>
      </c>
      <c r="G18">
        <v>-195631226.55074787</v>
      </c>
      <c r="H18">
        <v>1023611192.1663837</v>
      </c>
      <c r="I18">
        <v>-6876372180.5319157</v>
      </c>
      <c r="J18">
        <v>98925154.075542077</v>
      </c>
      <c r="L18">
        <v>-9136000</v>
      </c>
      <c r="M18">
        <v>62876000</v>
      </c>
      <c r="N18">
        <v>14044000</v>
      </c>
      <c r="O18">
        <v>162444000</v>
      </c>
      <c r="P18">
        <v>28315000</v>
      </c>
      <c r="Q18">
        <v>23318000</v>
      </c>
      <c r="R18">
        <v>221934000</v>
      </c>
      <c r="S18">
        <v>-144382000</v>
      </c>
      <c r="T18">
        <v>315420000</v>
      </c>
      <c r="U18">
        <v>95406000</v>
      </c>
      <c r="V18">
        <v>97778000</v>
      </c>
      <c r="W18">
        <v>-111311000</v>
      </c>
      <c r="X18">
        <v>150952000</v>
      </c>
      <c r="Y18">
        <v>-23141000</v>
      </c>
      <c r="Z18">
        <v>-31269000</v>
      </c>
      <c r="AA18">
        <v>-29546000</v>
      </c>
      <c r="AB18">
        <v>-272418000</v>
      </c>
      <c r="AC18">
        <v>-87197000</v>
      </c>
      <c r="AD18">
        <v>110409000</v>
      </c>
      <c r="AE18">
        <v>41977000</v>
      </c>
      <c r="AF18">
        <v>44977000</v>
      </c>
      <c r="AG18">
        <v>70642000</v>
      </c>
      <c r="AH18">
        <v>10599000</v>
      </c>
      <c r="AI18">
        <v>-64558000</v>
      </c>
      <c r="AJ18">
        <v>20059000</v>
      </c>
      <c r="AK18">
        <v>-60081000</v>
      </c>
      <c r="AL18">
        <v>68798000</v>
      </c>
    </row>
    <row r="19" spans="1:38" x14ac:dyDescent="0.25">
      <c r="A19" t="s">
        <v>178</v>
      </c>
      <c r="B19">
        <v>103304000</v>
      </c>
      <c r="C19">
        <v>-78058330.038614094</v>
      </c>
      <c r="D19">
        <v>-23826990.963033915</v>
      </c>
      <c r="E19">
        <v>155531834.10440266</v>
      </c>
      <c r="F19">
        <v>140141000</v>
      </c>
      <c r="G19">
        <v>136994272.35793817</v>
      </c>
      <c r="H19">
        <v>392460664.42522252</v>
      </c>
      <c r="I19">
        <v>-49427203.479609638</v>
      </c>
      <c r="J19">
        <v>284985538.30621606</v>
      </c>
      <c r="L19">
        <v>31345000</v>
      </c>
      <c r="M19">
        <v>13421000</v>
      </c>
      <c r="N19">
        <v>8748000</v>
      </c>
      <c r="O19">
        <v>32624000</v>
      </c>
      <c r="P19">
        <v>-1513000</v>
      </c>
      <c r="Q19">
        <v>17946000</v>
      </c>
      <c r="R19">
        <v>-4543000</v>
      </c>
      <c r="S19">
        <v>5464000</v>
      </c>
      <c r="T19">
        <v>-22032000</v>
      </c>
      <c r="U19">
        <v>-17122000</v>
      </c>
      <c r="V19">
        <v>-7536000</v>
      </c>
      <c r="W19">
        <v>3347000</v>
      </c>
      <c r="X19">
        <v>-8016000</v>
      </c>
      <c r="Y19">
        <v>-1404000</v>
      </c>
      <c r="Z19">
        <v>-14968000</v>
      </c>
      <c r="AA19">
        <v>3255000</v>
      </c>
      <c r="AB19">
        <v>18797000</v>
      </c>
      <c r="AC19">
        <v>-23587000</v>
      </c>
      <c r="AD19">
        <v>-10691000</v>
      </c>
      <c r="AE19">
        <v>-1846000</v>
      </c>
      <c r="AF19">
        <v>-11429000</v>
      </c>
      <c r="AG19">
        <v>-11949000</v>
      </c>
      <c r="AH19">
        <v>-13866000</v>
      </c>
      <c r="AI19">
        <v>-6920000</v>
      </c>
      <c r="AJ19">
        <v>-8760000</v>
      </c>
      <c r="AK19">
        <v>-12510000</v>
      </c>
      <c r="AL19">
        <v>-6667000</v>
      </c>
    </row>
    <row r="20" spans="1:38" x14ac:dyDescent="0.25">
      <c r="A20" t="s">
        <v>179</v>
      </c>
      <c r="B20">
        <v>998533000</v>
      </c>
      <c r="C20">
        <v>1795487378.2016068</v>
      </c>
      <c r="D20">
        <v>-1213677294.629437</v>
      </c>
      <c r="E20">
        <v>-949815844.96979678</v>
      </c>
      <c r="F20">
        <v>1024944000</v>
      </c>
      <c r="G20">
        <v>-6361375783.3738537</v>
      </c>
      <c r="H20">
        <v>3622091415.1576347</v>
      </c>
      <c r="I20">
        <v>439164107.86029494</v>
      </c>
      <c r="J20">
        <v>334513714.66297734</v>
      </c>
      <c r="L20">
        <v>-263546000</v>
      </c>
      <c r="M20">
        <v>-36143000</v>
      </c>
      <c r="N20">
        <v>227086000</v>
      </c>
      <c r="O20">
        <v>81537000</v>
      </c>
      <c r="P20">
        <v>53621000</v>
      </c>
      <c r="Q20">
        <v>42383000</v>
      </c>
      <c r="R20">
        <v>194064000</v>
      </c>
      <c r="S20">
        <v>208958000</v>
      </c>
      <c r="T20">
        <v>243828000</v>
      </c>
      <c r="U20">
        <v>117171000</v>
      </c>
      <c r="V20">
        <v>48959000</v>
      </c>
      <c r="W20">
        <v>40283000</v>
      </c>
      <c r="X20">
        <v>16514000</v>
      </c>
      <c r="Y20">
        <v>69609000</v>
      </c>
      <c r="Z20">
        <v>34748000</v>
      </c>
      <c r="AA20">
        <v>-10611000</v>
      </c>
      <c r="AB20">
        <v>79087000</v>
      </c>
      <c r="AC20">
        <v>44855000</v>
      </c>
      <c r="AD20">
        <v>-19766000</v>
      </c>
      <c r="AE20">
        <v>22232000</v>
      </c>
      <c r="AF20">
        <v>909000</v>
      </c>
      <c r="AG20">
        <v>-43374000</v>
      </c>
      <c r="AH20">
        <v>-4173000</v>
      </c>
      <c r="AI20">
        <v>-122065000</v>
      </c>
      <c r="AJ20">
        <v>19146000</v>
      </c>
      <c r="AK20">
        <v>2599000</v>
      </c>
      <c r="AL20">
        <v>-2149000</v>
      </c>
    </row>
    <row r="21" spans="1:38" x14ac:dyDescent="0.25">
      <c r="A21" t="s">
        <v>180</v>
      </c>
    </row>
    <row r="22" spans="1:38" x14ac:dyDescent="0.25">
      <c r="A22" t="s">
        <v>181</v>
      </c>
      <c r="B22">
        <v>185000</v>
      </c>
      <c r="C22">
        <v>6927312.9844430387</v>
      </c>
      <c r="D22">
        <v>18038924.87421006</v>
      </c>
      <c r="E22">
        <v>112451987.47892675</v>
      </c>
      <c r="F22">
        <v>22197000</v>
      </c>
      <c r="G22">
        <v>60159527.160485104</v>
      </c>
      <c r="H22">
        <v>-2313306.7783726566</v>
      </c>
      <c r="I22">
        <v>3851410.6910966896</v>
      </c>
      <c r="J22">
        <v>20897871.472841412</v>
      </c>
      <c r="L22">
        <v>-7467000</v>
      </c>
      <c r="M22">
        <v>-5198000</v>
      </c>
      <c r="N22">
        <v>16641000</v>
      </c>
      <c r="O22">
        <v>-13328000</v>
      </c>
      <c r="P22">
        <v>-1441000</v>
      </c>
      <c r="Q22">
        <v>-981000</v>
      </c>
      <c r="R22">
        <v>440000</v>
      </c>
      <c r="S22">
        <v>2003000</v>
      </c>
      <c r="T22">
        <v>-96000</v>
      </c>
      <c r="U22">
        <v>-75000</v>
      </c>
      <c r="V22">
        <v>-127000</v>
      </c>
      <c r="W22">
        <v>-1899000</v>
      </c>
      <c r="X22">
        <v>-1360000</v>
      </c>
      <c r="Y22">
        <v>207000</v>
      </c>
      <c r="Z22">
        <v>472000</v>
      </c>
      <c r="AA22">
        <v>-2175000</v>
      </c>
      <c r="AB22">
        <v>-1307000</v>
      </c>
      <c r="AC22">
        <v>-2971000</v>
      </c>
      <c r="AD22">
        <v>64000</v>
      </c>
      <c r="AE22">
        <v>1089000</v>
      </c>
      <c r="AF22">
        <v>-1912000</v>
      </c>
      <c r="AG22">
        <v>157000</v>
      </c>
      <c r="AH22">
        <v>-179000</v>
      </c>
      <c r="AI22">
        <v>607000</v>
      </c>
      <c r="AJ22">
        <v>-1639000</v>
      </c>
      <c r="AK22">
        <v>-1064000</v>
      </c>
      <c r="AL22">
        <v>-435000</v>
      </c>
    </row>
    <row r="23" spans="1:38" x14ac:dyDescent="0.25">
      <c r="A23" t="s">
        <v>182</v>
      </c>
    </row>
    <row r="24" spans="1:38" x14ac:dyDescent="0.25">
      <c r="A24" t="s">
        <v>183</v>
      </c>
      <c r="B24">
        <v>0</v>
      </c>
      <c r="C24">
        <v>8068955.0336744376</v>
      </c>
      <c r="D24">
        <v>-826.04671302065253</v>
      </c>
      <c r="E24">
        <v>208.42154280096292</v>
      </c>
      <c r="F24">
        <v>-22557000</v>
      </c>
      <c r="G24">
        <v>0</v>
      </c>
      <c r="H24">
        <v>0</v>
      </c>
      <c r="I24">
        <v>0</v>
      </c>
      <c r="J24">
        <v>0</v>
      </c>
      <c r="S24">
        <v>226498000</v>
      </c>
      <c r="T24">
        <v>0</v>
      </c>
      <c r="W24">
        <v>0</v>
      </c>
      <c r="X24">
        <v>4320000</v>
      </c>
      <c r="AA24">
        <v>0</v>
      </c>
      <c r="AH24">
        <v>0</v>
      </c>
      <c r="AI24">
        <v>0</v>
      </c>
      <c r="AJ24">
        <v>0</v>
      </c>
    </row>
    <row r="25" spans="1:38" x14ac:dyDescent="0.25">
      <c r="A25" t="s">
        <v>184</v>
      </c>
      <c r="B25">
        <v>-25875000</v>
      </c>
      <c r="F25">
        <v>0</v>
      </c>
    </row>
    <row r="26" spans="1:38" x14ac:dyDescent="0.25">
      <c r="A26" t="s">
        <v>185</v>
      </c>
    </row>
    <row r="27" spans="1:38" x14ac:dyDescent="0.25">
      <c r="A27" t="s">
        <v>186</v>
      </c>
      <c r="B27">
        <v>736507000</v>
      </c>
      <c r="C27">
        <v>1200847964.2248182</v>
      </c>
      <c r="D27">
        <v>885952490.49255133</v>
      </c>
      <c r="E27">
        <v>444189224.13755941</v>
      </c>
      <c r="F27">
        <v>205174000</v>
      </c>
      <c r="G27">
        <v>-46923253.739264503</v>
      </c>
      <c r="H27">
        <v>-531175291.19128156</v>
      </c>
      <c r="I27">
        <v>12531354472.252365</v>
      </c>
      <c r="J27">
        <v>-11843365959.293657</v>
      </c>
      <c r="L27">
        <v>-46613000</v>
      </c>
      <c r="M27">
        <v>-37261000</v>
      </c>
      <c r="N27">
        <v>13705000</v>
      </c>
      <c r="O27">
        <v>-30559000</v>
      </c>
      <c r="P27">
        <v>4319000</v>
      </c>
      <c r="Q27">
        <v>3700000</v>
      </c>
      <c r="R27">
        <v>7817000</v>
      </c>
      <c r="S27">
        <v>2545000</v>
      </c>
      <c r="T27">
        <v>801000</v>
      </c>
      <c r="U27">
        <v>1805000</v>
      </c>
      <c r="V27">
        <v>2858000</v>
      </c>
      <c r="W27">
        <v>4124000</v>
      </c>
      <c r="X27">
        <v>8758000</v>
      </c>
      <c r="Y27">
        <v>1800000</v>
      </c>
      <c r="Z27">
        <v>3306000</v>
      </c>
      <c r="AA27">
        <v>7411000</v>
      </c>
      <c r="AB27">
        <v>3890000</v>
      </c>
      <c r="AC27">
        <v>3069000</v>
      </c>
      <c r="AD27">
        <v>2271000</v>
      </c>
      <c r="AE27">
        <v>2948000</v>
      </c>
      <c r="AF27">
        <v>2231000</v>
      </c>
      <c r="AG27">
        <v>2978000</v>
      </c>
      <c r="AH27">
        <v>1626000</v>
      </c>
      <c r="AI27">
        <v>3034000</v>
      </c>
      <c r="AJ27">
        <v>3071000</v>
      </c>
      <c r="AK27">
        <v>2490000</v>
      </c>
      <c r="AL27">
        <v>2525000</v>
      </c>
    </row>
    <row r="28" spans="1:38" x14ac:dyDescent="0.25">
      <c r="A28" t="s">
        <v>187</v>
      </c>
      <c r="B28">
        <v>-13662238000</v>
      </c>
      <c r="C28">
        <v>26951635785.958572</v>
      </c>
      <c r="D28">
        <v>-10040664922.983585</v>
      </c>
      <c r="E28">
        <v>-10308646255.40575</v>
      </c>
      <c r="F28">
        <v>2712590000</v>
      </c>
      <c r="G28">
        <v>-2237048919.4126186</v>
      </c>
      <c r="H28">
        <v>10676570922.787884</v>
      </c>
      <c r="I28">
        <v>-14732570571.529562</v>
      </c>
      <c r="J28">
        <v>-5411039236.6100025</v>
      </c>
      <c r="L28">
        <v>-183888000</v>
      </c>
      <c r="M28">
        <v>-6927491000</v>
      </c>
      <c r="N28">
        <v>-5149677000</v>
      </c>
      <c r="O28">
        <v>-4900991000</v>
      </c>
      <c r="P28">
        <v>-1481497000</v>
      </c>
      <c r="Q28">
        <v>-2552590000</v>
      </c>
      <c r="R28">
        <v>-4233638000</v>
      </c>
      <c r="S28">
        <v>-421212000</v>
      </c>
      <c r="T28">
        <v>-704467000</v>
      </c>
      <c r="U28">
        <v>966880000</v>
      </c>
      <c r="V28">
        <v>-207522000</v>
      </c>
      <c r="W28">
        <v>514436000</v>
      </c>
      <c r="X28">
        <v>-332902000</v>
      </c>
      <c r="Y28">
        <v>-576181000</v>
      </c>
      <c r="Z28">
        <v>-388352000</v>
      </c>
      <c r="AA28">
        <v>1272607000</v>
      </c>
      <c r="AB28">
        <v>-1570652000</v>
      </c>
      <c r="AC28">
        <v>-854984000</v>
      </c>
      <c r="AD28">
        <v>-665309000</v>
      </c>
      <c r="AE28">
        <v>406133000</v>
      </c>
      <c r="AF28">
        <v>-460598000</v>
      </c>
      <c r="AG28">
        <v>-705833000</v>
      </c>
      <c r="AH28">
        <v>-1025467000</v>
      </c>
      <c r="AI28">
        <v>470167000</v>
      </c>
      <c r="AJ28">
        <v>-117693000</v>
      </c>
      <c r="AK28">
        <v>-104451000</v>
      </c>
      <c r="AL28">
        <v>5021000</v>
      </c>
    </row>
    <row r="29" spans="1:38" x14ac:dyDescent="0.25">
      <c r="A29" t="s">
        <v>188</v>
      </c>
    </row>
    <row r="30" spans="1:38" x14ac:dyDescent="0.25">
      <c r="A30" t="s">
        <v>189</v>
      </c>
    </row>
    <row r="31" spans="1:38" x14ac:dyDescent="0.25">
      <c r="A31" t="s">
        <v>190</v>
      </c>
      <c r="B31">
        <v>-10905230000</v>
      </c>
      <c r="C31">
        <v>23982391580.474598</v>
      </c>
      <c r="D31">
        <v>7677377141.361516</v>
      </c>
      <c r="E31">
        <v>-4016678982.8481989</v>
      </c>
      <c r="F31">
        <v>4801053000</v>
      </c>
      <c r="G31">
        <v>-1650359975.8422089</v>
      </c>
      <c r="H31">
        <v>5827906856.3443165</v>
      </c>
      <c r="I31">
        <v>-18443045406.183777</v>
      </c>
      <c r="J31">
        <v>-2058367145.0452688</v>
      </c>
      <c r="L31">
        <v>400468000</v>
      </c>
      <c r="M31">
        <v>-4880427000</v>
      </c>
      <c r="N31">
        <v>-5523178000</v>
      </c>
      <c r="O31">
        <v>-4664988000</v>
      </c>
      <c r="P31">
        <v>-777183000</v>
      </c>
      <c r="Q31">
        <v>-1195906000</v>
      </c>
      <c r="R31">
        <v>-3606086000</v>
      </c>
      <c r="S31">
        <v>-112850000</v>
      </c>
      <c r="T31">
        <v>-3178082000</v>
      </c>
      <c r="U31">
        <v>167990000</v>
      </c>
      <c r="V31">
        <v>341191000</v>
      </c>
      <c r="W31">
        <v>193525000</v>
      </c>
      <c r="X31">
        <v>-130761000</v>
      </c>
      <c r="Y31">
        <v>-1107814000</v>
      </c>
      <c r="Z31">
        <v>-502963000</v>
      </c>
      <c r="AA31">
        <v>1664969000</v>
      </c>
      <c r="AB31">
        <v>-1481648000</v>
      </c>
      <c r="AC31">
        <v>-1177933000</v>
      </c>
      <c r="AD31">
        <v>-288752000</v>
      </c>
      <c r="AE31">
        <v>481931000</v>
      </c>
      <c r="AF31">
        <v>-540071000</v>
      </c>
      <c r="AG31">
        <v>-771007000</v>
      </c>
      <c r="AH31">
        <v>-397558000</v>
      </c>
      <c r="AI31">
        <v>8558000</v>
      </c>
      <c r="AJ31">
        <v>-246516000</v>
      </c>
      <c r="AK31">
        <v>-557625000</v>
      </c>
      <c r="AL31">
        <v>312900000</v>
      </c>
    </row>
    <row r="32" spans="1:38" x14ac:dyDescent="0.25">
      <c r="A32" t="s">
        <v>191</v>
      </c>
    </row>
    <row r="33" spans="1:38" x14ac:dyDescent="0.25">
      <c r="A33" t="s">
        <v>192</v>
      </c>
      <c r="V33">
        <v>0</v>
      </c>
      <c r="Z33">
        <v>0</v>
      </c>
      <c r="AD33">
        <v>0</v>
      </c>
      <c r="AG33">
        <v>0</v>
      </c>
      <c r="AH33">
        <v>0</v>
      </c>
      <c r="AJ33">
        <v>0</v>
      </c>
      <c r="AK33">
        <v>0</v>
      </c>
      <c r="AL33">
        <v>0</v>
      </c>
    </row>
    <row r="34" spans="1:38" x14ac:dyDescent="0.25">
      <c r="A34" t="s">
        <v>193</v>
      </c>
      <c r="V34">
        <v>0</v>
      </c>
      <c r="Z34">
        <v>0</v>
      </c>
      <c r="AD34">
        <v>0</v>
      </c>
    </row>
    <row r="35" spans="1:38" x14ac:dyDescent="0.25">
      <c r="A35" t="s">
        <v>194</v>
      </c>
    </row>
    <row r="36" spans="1:38" x14ac:dyDescent="0.25">
      <c r="A36" t="s">
        <v>195</v>
      </c>
    </row>
    <row r="37" spans="1:38" x14ac:dyDescent="0.25">
      <c r="A37" t="s">
        <v>196</v>
      </c>
      <c r="B37">
        <v>-9585542000</v>
      </c>
      <c r="C37">
        <v>16911256627.2306</v>
      </c>
      <c r="D37">
        <v>1636617950.0686994</v>
      </c>
      <c r="E37">
        <v>-4110862874.6340475</v>
      </c>
      <c r="F37">
        <v>3894521000</v>
      </c>
      <c r="G37">
        <v>7713730443.8731976</v>
      </c>
      <c r="H37">
        <v>9372465437.1250935</v>
      </c>
      <c r="I37">
        <v>-15345395451.870525</v>
      </c>
      <c r="J37">
        <v>4584694973.077445</v>
      </c>
      <c r="L37">
        <v>-2386147000</v>
      </c>
      <c r="M37">
        <v>-4854783000</v>
      </c>
      <c r="N37">
        <v>-6672516000</v>
      </c>
      <c r="O37">
        <v>-3784908000</v>
      </c>
      <c r="P37">
        <v>264347000</v>
      </c>
      <c r="Q37">
        <v>-2169595000</v>
      </c>
      <c r="R37">
        <v>-3088414000</v>
      </c>
      <c r="S37">
        <v>-302176000</v>
      </c>
      <c r="T37">
        <v>-982580000</v>
      </c>
      <c r="U37">
        <v>-73067000</v>
      </c>
      <c r="V37">
        <v>-192842000</v>
      </c>
      <c r="W37">
        <v>323277000</v>
      </c>
      <c r="X37">
        <v>104950000</v>
      </c>
      <c r="Y37">
        <v>-362697000</v>
      </c>
      <c r="Z37">
        <v>-353226000</v>
      </c>
      <c r="AA37">
        <v>1108692000</v>
      </c>
      <c r="AB37">
        <v>-1472478000</v>
      </c>
      <c r="AC37">
        <v>-452451000</v>
      </c>
      <c r="AD37">
        <v>-532101000</v>
      </c>
      <c r="AE37">
        <v>154913000</v>
      </c>
      <c r="AF37">
        <v>-412215000</v>
      </c>
      <c r="AG37">
        <v>-285677000</v>
      </c>
      <c r="AH37">
        <v>-492100000</v>
      </c>
      <c r="AI37">
        <v>-243840000</v>
      </c>
      <c r="AJ37">
        <v>-94904000</v>
      </c>
      <c r="AK37">
        <v>-62235000</v>
      </c>
      <c r="AL37">
        <v>-114354000</v>
      </c>
    </row>
    <row r="38" spans="1:38" x14ac:dyDescent="0.25">
      <c r="A38" t="s">
        <v>197</v>
      </c>
    </row>
    <row r="39" spans="1:38" x14ac:dyDescent="0.25">
      <c r="A39" t="s">
        <v>198</v>
      </c>
      <c r="B39">
        <v>-1335322000</v>
      </c>
      <c r="C39">
        <v>1772345683.0240898</v>
      </c>
      <c r="D39">
        <v>952604047.11142254</v>
      </c>
      <c r="E39">
        <v>-1172453262.1017637</v>
      </c>
      <c r="F39">
        <v>-1992512000</v>
      </c>
      <c r="G39">
        <v>-1287465344.7638834</v>
      </c>
      <c r="H39">
        <v>743853717.93494964</v>
      </c>
      <c r="I39">
        <v>-491809398.46838129</v>
      </c>
      <c r="J39">
        <v>-41722547.916072682</v>
      </c>
      <c r="L39">
        <v>956974000</v>
      </c>
      <c r="M39">
        <v>-619751000</v>
      </c>
      <c r="N39">
        <v>-765194000</v>
      </c>
      <c r="O39">
        <v>-142139000</v>
      </c>
      <c r="P39">
        <v>63252000</v>
      </c>
      <c r="Q39">
        <v>2293000</v>
      </c>
      <c r="R39">
        <v>-44935000</v>
      </c>
      <c r="S39">
        <v>-115072000</v>
      </c>
      <c r="T39">
        <v>-23395000</v>
      </c>
      <c r="U39">
        <v>-836000</v>
      </c>
      <c r="V39">
        <v>-147645000</v>
      </c>
      <c r="W39">
        <v>84753000</v>
      </c>
      <c r="X39">
        <v>25947000</v>
      </c>
      <c r="Y39">
        <v>-57896000</v>
      </c>
      <c r="Z39">
        <v>-95652000</v>
      </c>
      <c r="AA39">
        <v>-84042000</v>
      </c>
      <c r="AB39">
        <v>-4966000</v>
      </c>
      <c r="AC39">
        <v>45166000</v>
      </c>
      <c r="AD39">
        <v>-31459000</v>
      </c>
      <c r="AE39">
        <v>35721000</v>
      </c>
      <c r="AF39">
        <v>4415000</v>
      </c>
      <c r="AG39">
        <v>3909000</v>
      </c>
      <c r="AH39">
        <v>-45018000</v>
      </c>
      <c r="AI39">
        <v>13769000</v>
      </c>
      <c r="AJ39">
        <v>-21519000</v>
      </c>
      <c r="AK39">
        <v>-9127000</v>
      </c>
      <c r="AL39">
        <v>-27333000</v>
      </c>
    </row>
    <row r="40" spans="1:38" x14ac:dyDescent="0.25">
      <c r="A40" t="s">
        <v>199</v>
      </c>
      <c r="B40">
        <v>6875150000</v>
      </c>
      <c r="C40">
        <v>-12140775958.306278</v>
      </c>
      <c r="D40">
        <v>-15336720130.681959</v>
      </c>
      <c r="E40">
        <v>-638771888.12524521</v>
      </c>
      <c r="F40">
        <v>-301497000</v>
      </c>
      <c r="G40">
        <v>-6650098545.4990873</v>
      </c>
      <c r="H40">
        <v>-5133692653.5098743</v>
      </c>
      <c r="I40">
        <v>20241354787.73481</v>
      </c>
      <c r="J40">
        <v>-4127152842.984478</v>
      </c>
      <c r="L40">
        <v>671382000</v>
      </c>
      <c r="M40">
        <v>2913501000</v>
      </c>
      <c r="N40">
        <v>7720050000</v>
      </c>
      <c r="O40">
        <v>3935113000</v>
      </c>
      <c r="P40">
        <v>-801371000</v>
      </c>
      <c r="Q40">
        <v>591706000</v>
      </c>
      <c r="R40">
        <v>2850457000</v>
      </c>
      <c r="S40">
        <v>796041000</v>
      </c>
      <c r="T40">
        <v>3278624000</v>
      </c>
      <c r="U40">
        <v>330338000</v>
      </c>
      <c r="V40">
        <v>22199000</v>
      </c>
      <c r="W40">
        <v>-270773000</v>
      </c>
      <c r="X40">
        <v>-293898000</v>
      </c>
      <c r="Y40">
        <v>906532000</v>
      </c>
      <c r="Z40">
        <v>574844000</v>
      </c>
      <c r="AA40">
        <v>-1310333000</v>
      </c>
      <c r="AB40">
        <v>1435429000</v>
      </c>
      <c r="AC40">
        <v>781255000</v>
      </c>
      <c r="AD40">
        <v>252525000</v>
      </c>
      <c r="AE40">
        <v>-294107000</v>
      </c>
      <c r="AF40">
        <v>427755000</v>
      </c>
      <c r="AG40">
        <v>285973000</v>
      </c>
      <c r="AH40">
        <v>69958000</v>
      </c>
      <c r="AI40">
        <v>551653000</v>
      </c>
      <c r="AJ40">
        <v>88534000</v>
      </c>
      <c r="AK40">
        <v>447522000</v>
      </c>
      <c r="AL40">
        <v>-131921000</v>
      </c>
    </row>
    <row r="41" spans="1:38" x14ac:dyDescent="0.25">
      <c r="A41" t="s">
        <v>200</v>
      </c>
    </row>
    <row r="42" spans="1:38" x14ac:dyDescent="0.25">
      <c r="A42" t="s">
        <v>201</v>
      </c>
      <c r="B42">
        <v>-817242000</v>
      </c>
      <c r="C42">
        <v>-2999375705.5573645</v>
      </c>
      <c r="D42">
        <v>1154121955.7104614</v>
      </c>
      <c r="E42">
        <v>-1043313035.6143475</v>
      </c>
      <c r="F42">
        <v>-2091244000</v>
      </c>
      <c r="G42">
        <v>813609037.18662667</v>
      </c>
      <c r="H42">
        <v>-10335452.048780739</v>
      </c>
      <c r="I42">
        <v>217649688.90019503</v>
      </c>
      <c r="J42">
        <v>-390665350.68030876</v>
      </c>
      <c r="L42">
        <v>219063000</v>
      </c>
      <c r="M42">
        <v>105953000</v>
      </c>
      <c r="N42">
        <v>201513000</v>
      </c>
      <c r="O42">
        <v>-96731000</v>
      </c>
      <c r="P42">
        <v>49557000</v>
      </c>
      <c r="Q42">
        <v>15655000</v>
      </c>
      <c r="R42">
        <v>-36927000</v>
      </c>
      <c r="S42">
        <v>-61147000</v>
      </c>
      <c r="T42">
        <v>137519000</v>
      </c>
      <c r="U42">
        <v>28708000</v>
      </c>
      <c r="V42">
        <v>-180810000</v>
      </c>
      <c r="W42">
        <v>148824000</v>
      </c>
      <c r="X42">
        <v>6445000</v>
      </c>
      <c r="Y42">
        <v>1227000</v>
      </c>
      <c r="Z42">
        <v>-86518000</v>
      </c>
      <c r="AA42">
        <v>11059000</v>
      </c>
      <c r="AB42">
        <v>-559000</v>
      </c>
      <c r="AC42">
        <v>66269000</v>
      </c>
      <c r="AD42">
        <v>-148062000</v>
      </c>
      <c r="AE42">
        <v>85140000</v>
      </c>
      <c r="AF42">
        <v>1760000</v>
      </c>
      <c r="AG42">
        <v>12149000</v>
      </c>
      <c r="AH42">
        <v>-80230000</v>
      </c>
      <c r="AI42">
        <v>82369000</v>
      </c>
      <c r="AJ42">
        <v>-12967000</v>
      </c>
      <c r="AK42">
        <v>25753000</v>
      </c>
      <c r="AL42">
        <v>-57463000</v>
      </c>
    </row>
    <row r="43" spans="1:38" x14ac:dyDescent="0.25">
      <c r="A43" t="s">
        <v>202</v>
      </c>
      <c r="V43">
        <v>0</v>
      </c>
      <c r="Z43">
        <v>0</v>
      </c>
      <c r="AD43">
        <v>0</v>
      </c>
    </row>
    <row r="44" spans="1:38" x14ac:dyDescent="0.25">
      <c r="A44" t="s">
        <v>203</v>
      </c>
      <c r="B44">
        <v>966661000</v>
      </c>
      <c r="C44">
        <v>228136068.55659747</v>
      </c>
      <c r="D44">
        <v>358459778.20819736</v>
      </c>
      <c r="E44">
        <v>-362446436.35336661</v>
      </c>
      <c r="F44">
        <v>-1297990000</v>
      </c>
      <c r="G44">
        <v>1600344470.5399961</v>
      </c>
      <c r="H44">
        <v>1033098139.7712981</v>
      </c>
      <c r="I44">
        <v>579922432.13935697</v>
      </c>
      <c r="J44">
        <v>-579950459.32871234</v>
      </c>
      <c r="L44">
        <v>294424000</v>
      </c>
      <c r="M44">
        <v>212363000</v>
      </c>
      <c r="N44">
        <v>64316000</v>
      </c>
      <c r="O44">
        <v>-292677000</v>
      </c>
      <c r="P44">
        <v>187090000</v>
      </c>
      <c r="Q44">
        <v>16372000</v>
      </c>
      <c r="R44">
        <v>34000</v>
      </c>
      <c r="S44">
        <v>-9716000</v>
      </c>
      <c r="T44">
        <v>-10257000</v>
      </c>
      <c r="U44">
        <v>-8979000</v>
      </c>
      <c r="V44">
        <v>-8942000</v>
      </c>
      <c r="W44">
        <v>-8397000</v>
      </c>
      <c r="X44">
        <v>-7408000</v>
      </c>
      <c r="Y44">
        <v>-41618000</v>
      </c>
      <c r="Z44">
        <v>27021000</v>
      </c>
      <c r="AA44">
        <v>-166579000</v>
      </c>
      <c r="AB44">
        <v>104851000</v>
      </c>
      <c r="AC44">
        <v>13867000</v>
      </c>
      <c r="AD44">
        <v>15188000</v>
      </c>
      <c r="AE44">
        <v>-1230000</v>
      </c>
      <c r="AF44">
        <v>21870000</v>
      </c>
      <c r="AG44">
        <v>11714000</v>
      </c>
      <c r="AH44">
        <v>-28405000</v>
      </c>
      <c r="AI44">
        <v>-8592000</v>
      </c>
      <c r="AJ44">
        <v>75139000</v>
      </c>
      <c r="AK44">
        <v>-248638000</v>
      </c>
      <c r="AL44">
        <v>233663000</v>
      </c>
    </row>
    <row r="45" spans="1:38" x14ac:dyDescent="0.25">
      <c r="A45" t="s">
        <v>204</v>
      </c>
    </row>
    <row r="46" spans="1:38" x14ac:dyDescent="0.25">
      <c r="A46" t="s">
        <v>205</v>
      </c>
      <c r="B46">
        <v>99786000</v>
      </c>
      <c r="C46">
        <v>228405734.27701527</v>
      </c>
      <c r="D46">
        <v>238193901.59749016</v>
      </c>
      <c r="E46">
        <v>-25786322.857426189</v>
      </c>
      <c r="F46">
        <v>69310000</v>
      </c>
      <c r="G46">
        <v>111375468.26543102</v>
      </c>
      <c r="H46">
        <v>66779120.98978126</v>
      </c>
      <c r="I46">
        <v>109334455.705795</v>
      </c>
      <c r="J46">
        <v>67445767.190005019</v>
      </c>
      <c r="L46">
        <v>288000</v>
      </c>
      <c r="M46">
        <v>3573000</v>
      </c>
      <c r="N46">
        <v>598000</v>
      </c>
      <c r="O46">
        <v>16449000</v>
      </c>
      <c r="P46">
        <v>13384000</v>
      </c>
      <c r="Q46">
        <v>4711000</v>
      </c>
      <c r="R46">
        <v>16760000</v>
      </c>
      <c r="S46">
        <v>17503000</v>
      </c>
      <c r="T46">
        <v>6831000</v>
      </c>
      <c r="U46">
        <v>4930000</v>
      </c>
      <c r="V46">
        <v>24136000</v>
      </c>
      <c r="W46">
        <v>2214000</v>
      </c>
      <c r="X46">
        <v>3452000</v>
      </c>
      <c r="Y46">
        <v>5287000</v>
      </c>
      <c r="Z46">
        <v>23723000</v>
      </c>
      <c r="AA46">
        <v>9102000</v>
      </c>
      <c r="AB46">
        <v>33902000</v>
      </c>
      <c r="AC46">
        <v>4406000</v>
      </c>
      <c r="AD46">
        <v>2393000</v>
      </c>
      <c r="AE46">
        <v>33553000</v>
      </c>
      <c r="AF46">
        <v>9569000</v>
      </c>
      <c r="AG46">
        <v>10000000</v>
      </c>
      <c r="AH46">
        <v>28627000</v>
      </c>
      <c r="AI46">
        <v>118697000</v>
      </c>
      <c r="AJ46">
        <v>1692000</v>
      </c>
      <c r="AK46">
        <v>43176000</v>
      </c>
      <c r="AL46">
        <v>19401000</v>
      </c>
    </row>
    <row r="47" spans="1:38" x14ac:dyDescent="0.25">
      <c r="A47" t="s">
        <v>206</v>
      </c>
    </row>
    <row r="48" spans="1:38" x14ac:dyDescent="0.25">
      <c r="A48" t="s">
        <v>207</v>
      </c>
      <c r="B48">
        <v>1039501000</v>
      </c>
      <c r="C48">
        <v>-1030748243.7406778</v>
      </c>
      <c r="D48">
        <v>-6721319566.359417</v>
      </c>
      <c r="E48">
        <v>1061666547.1286472</v>
      </c>
      <c r="F48">
        <v>-369051000</v>
      </c>
      <c r="G48">
        <v>-2888184473.1726875</v>
      </c>
      <c r="H48">
        <v>-1223504243.8189011</v>
      </c>
      <c r="I48">
        <v>-1600581679.4870396</v>
      </c>
      <c r="J48">
        <v>-2865321630.9226122</v>
      </c>
      <c r="L48">
        <v>-340340000</v>
      </c>
      <c r="M48">
        <v>192080000</v>
      </c>
      <c r="N48">
        <v>-175266000</v>
      </c>
      <c r="O48">
        <v>128890000</v>
      </c>
      <c r="P48">
        <v>-480573000</v>
      </c>
      <c r="Q48">
        <v>182174000</v>
      </c>
      <c r="R48">
        <v>-324527000</v>
      </c>
      <c r="S48">
        <v>-633795000</v>
      </c>
      <c r="T48">
        <v>66873000</v>
      </c>
      <c r="U48">
        <v>517796000</v>
      </c>
      <c r="V48">
        <v>-64809000</v>
      </c>
      <c r="W48">
        <v>41013000</v>
      </c>
      <c r="X48">
        <v>-41629000</v>
      </c>
      <c r="Y48">
        <v>80798000</v>
      </c>
      <c r="Z48">
        <v>24419000</v>
      </c>
      <c r="AA48">
        <v>39739000</v>
      </c>
      <c r="AB48">
        <v>-185183000</v>
      </c>
      <c r="AC48">
        <v>-135563000</v>
      </c>
      <c r="AD48">
        <v>64959000</v>
      </c>
      <c r="AE48">
        <v>-89788000</v>
      </c>
      <c r="AF48">
        <v>26319000</v>
      </c>
      <c r="AG48">
        <v>27106000</v>
      </c>
      <c r="AH48">
        <v>-80741000</v>
      </c>
      <c r="AI48">
        <v>-52447000</v>
      </c>
      <c r="AJ48">
        <v>92848000</v>
      </c>
      <c r="AK48">
        <v>256723000</v>
      </c>
      <c r="AL48">
        <v>-229872000</v>
      </c>
    </row>
    <row r="49" spans="1:38" x14ac:dyDescent="0.25">
      <c r="A49" t="s">
        <v>208</v>
      </c>
      <c r="B49">
        <v>-9561763000</v>
      </c>
      <c r="C49">
        <v>29319300568.987625</v>
      </c>
      <c r="D49">
        <v>-1506716288.396452</v>
      </c>
      <c r="E49">
        <v>-19305424140.012676</v>
      </c>
      <c r="F49">
        <v>8316232000</v>
      </c>
      <c r="G49">
        <v>-11875266401.475407</v>
      </c>
      <c r="H49">
        <v>22581842013.233521</v>
      </c>
      <c r="I49">
        <v>-4151379104.9641466</v>
      </c>
      <c r="J49">
        <v>-5793102099.7536783</v>
      </c>
      <c r="L49">
        <v>3565307000</v>
      </c>
      <c r="M49">
        <v>-3029951000</v>
      </c>
      <c r="N49">
        <v>-824773000</v>
      </c>
      <c r="O49">
        <v>771879000</v>
      </c>
      <c r="P49">
        <v>878553000</v>
      </c>
      <c r="Q49">
        <v>-542949000</v>
      </c>
      <c r="R49">
        <v>-1681309000</v>
      </c>
      <c r="S49">
        <v>1309461000</v>
      </c>
      <c r="T49">
        <v>2322468000</v>
      </c>
      <c r="U49">
        <v>2166593000</v>
      </c>
      <c r="V49">
        <v>789829000</v>
      </c>
      <c r="W49">
        <v>1240800000</v>
      </c>
      <c r="X49">
        <v>764780000</v>
      </c>
      <c r="Y49">
        <v>632247000</v>
      </c>
      <c r="Z49">
        <v>687364000</v>
      </c>
      <c r="AA49">
        <v>1267196000</v>
      </c>
      <c r="AB49">
        <v>374621000</v>
      </c>
      <c r="AC49">
        <v>104506000</v>
      </c>
      <c r="AD49">
        <v>40396000</v>
      </c>
      <c r="AE49">
        <v>909069000</v>
      </c>
      <c r="AF49">
        <v>277212000</v>
      </c>
      <c r="AG49">
        <v>-40138000</v>
      </c>
      <c r="AH49">
        <v>-392336000</v>
      </c>
      <c r="AI49">
        <v>901284000</v>
      </c>
      <c r="AJ49">
        <v>516185000</v>
      </c>
      <c r="AK49">
        <v>422712000</v>
      </c>
      <c r="AL49">
        <v>362085000</v>
      </c>
    </row>
    <row r="50" spans="1:38" x14ac:dyDescent="0.25">
      <c r="A50" t="s">
        <v>209</v>
      </c>
    </row>
    <row r="51" spans="1:38" x14ac:dyDescent="0.25">
      <c r="A51" t="s">
        <v>210</v>
      </c>
    </row>
    <row r="52" spans="1:38" x14ac:dyDescent="0.25">
      <c r="A52" t="s">
        <v>211</v>
      </c>
    </row>
    <row r="53" spans="1:38" x14ac:dyDescent="0.25">
      <c r="A53" t="s">
        <v>212</v>
      </c>
    </row>
    <row r="54" spans="1:38" x14ac:dyDescent="0.25">
      <c r="A54" t="s">
        <v>213</v>
      </c>
      <c r="B54">
        <v>-96201000</v>
      </c>
      <c r="C54">
        <v>-329971947.44876254</v>
      </c>
      <c r="D54">
        <v>-184781404.25166476</v>
      </c>
      <c r="E54">
        <v>-422213766.88555551</v>
      </c>
      <c r="F54">
        <v>-48722000</v>
      </c>
      <c r="G54">
        <v>-379714007.48101151</v>
      </c>
      <c r="H54">
        <v>-147131779.6892699</v>
      </c>
      <c r="I54">
        <v>-268597197.19977921</v>
      </c>
      <c r="J54">
        <v>-495867323.80449373</v>
      </c>
      <c r="L54">
        <v>-75931000</v>
      </c>
      <c r="M54">
        <v>-180607000</v>
      </c>
      <c r="N54">
        <v>-216371000</v>
      </c>
      <c r="O54">
        <v>-191436000</v>
      </c>
      <c r="P54">
        <v>-205843000</v>
      </c>
      <c r="Q54">
        <v>-58516000</v>
      </c>
      <c r="R54">
        <v>-42928000</v>
      </c>
      <c r="S54">
        <v>-54663000</v>
      </c>
      <c r="T54">
        <v>-61352000</v>
      </c>
      <c r="U54">
        <v>-31076000</v>
      </c>
      <c r="V54">
        <v>-20355000</v>
      </c>
      <c r="W54">
        <v>-30570000</v>
      </c>
      <c r="X54">
        <v>-52786000</v>
      </c>
      <c r="Y54">
        <v>-55646000</v>
      </c>
      <c r="Z54">
        <v>-11309000</v>
      </c>
      <c r="AA54">
        <v>-16549000</v>
      </c>
      <c r="AB54">
        <v>-33055000</v>
      </c>
      <c r="AC54">
        <v>-30003000</v>
      </c>
      <c r="AD54">
        <v>-26203000</v>
      </c>
      <c r="AE54">
        <v>-59297000</v>
      </c>
      <c r="AF54">
        <v>-9658000</v>
      </c>
      <c r="AG54">
        <v>-77056000</v>
      </c>
      <c r="AH54">
        <v>-17928000</v>
      </c>
      <c r="AI54">
        <v>-44877000</v>
      </c>
      <c r="AJ54">
        <v>-71636000</v>
      </c>
      <c r="AK54">
        <v>-7562000</v>
      </c>
      <c r="AL54">
        <v>-10914000</v>
      </c>
    </row>
    <row r="55" spans="1:38" x14ac:dyDescent="0.25">
      <c r="A55" t="s">
        <v>214</v>
      </c>
    </row>
    <row r="56" spans="1:38" x14ac:dyDescent="0.25">
      <c r="A56" t="s">
        <v>215</v>
      </c>
    </row>
    <row r="57" spans="1:38" x14ac:dyDescent="0.25">
      <c r="A57" t="s">
        <v>216</v>
      </c>
    </row>
    <row r="58" spans="1:38" x14ac:dyDescent="0.25">
      <c r="A58" t="s">
        <v>217</v>
      </c>
    </row>
    <row r="59" spans="1:38" x14ac:dyDescent="0.25">
      <c r="A59" t="s">
        <v>218</v>
      </c>
    </row>
    <row r="60" spans="1:38" x14ac:dyDescent="0.25">
      <c r="A60" t="s">
        <v>219</v>
      </c>
    </row>
    <row r="61" spans="1:38" x14ac:dyDescent="0.25">
      <c r="A61" t="s">
        <v>220</v>
      </c>
    </row>
    <row r="62" spans="1:38" x14ac:dyDescent="0.25">
      <c r="A62" t="s">
        <v>221</v>
      </c>
    </row>
    <row r="63" spans="1:38" x14ac:dyDescent="0.25">
      <c r="A63" t="s">
        <v>222</v>
      </c>
    </row>
    <row r="64" spans="1:38" x14ac:dyDescent="0.25">
      <c r="A64" t="s">
        <v>213</v>
      </c>
      <c r="B64">
        <v>-96201000</v>
      </c>
      <c r="C64">
        <v>-329971947.44876254</v>
      </c>
      <c r="D64">
        <v>-184781404.25166476</v>
      </c>
      <c r="E64">
        <v>-422213766.88555551</v>
      </c>
      <c r="F64">
        <v>-48722000</v>
      </c>
      <c r="G64">
        <v>-379714007.48101151</v>
      </c>
      <c r="H64">
        <v>-147131779.6892699</v>
      </c>
      <c r="I64">
        <v>-268597197.19977921</v>
      </c>
      <c r="J64">
        <v>-495867323.80449373</v>
      </c>
      <c r="L64">
        <v>-75931000</v>
      </c>
      <c r="M64">
        <v>-180607000</v>
      </c>
      <c r="N64">
        <v>-216371000</v>
      </c>
      <c r="O64">
        <v>-191436000</v>
      </c>
      <c r="P64">
        <v>-205843000</v>
      </c>
      <c r="Q64">
        <v>-58516000</v>
      </c>
      <c r="R64">
        <v>-42928000</v>
      </c>
      <c r="S64">
        <v>-54663000</v>
      </c>
      <c r="T64">
        <v>-61352000</v>
      </c>
      <c r="U64">
        <v>-31076000</v>
      </c>
      <c r="V64">
        <v>-20355000</v>
      </c>
      <c r="W64">
        <v>-30570000</v>
      </c>
      <c r="X64">
        <v>-52786000</v>
      </c>
      <c r="Y64">
        <v>-55646000</v>
      </c>
      <c r="Z64">
        <v>-11309000</v>
      </c>
      <c r="AA64">
        <v>-16549000</v>
      </c>
      <c r="AB64">
        <v>-33055000</v>
      </c>
      <c r="AC64">
        <v>-30003000</v>
      </c>
      <c r="AD64">
        <v>-26203000</v>
      </c>
      <c r="AE64">
        <v>-59297000</v>
      </c>
      <c r="AF64">
        <v>-9658000</v>
      </c>
      <c r="AG64">
        <v>-77056000</v>
      </c>
      <c r="AH64">
        <v>-17928000</v>
      </c>
      <c r="AI64">
        <v>-44877000</v>
      </c>
      <c r="AJ64">
        <v>-71636000</v>
      </c>
      <c r="AK64">
        <v>-7562000</v>
      </c>
      <c r="AL64">
        <v>-10914000</v>
      </c>
    </row>
    <row r="65" spans="1:38" x14ac:dyDescent="0.25">
      <c r="A65" t="s">
        <v>223</v>
      </c>
    </row>
    <row r="66" spans="1:38" x14ac:dyDescent="0.25">
      <c r="A66" t="s">
        <v>224</v>
      </c>
    </row>
    <row r="68" spans="1:38" x14ac:dyDescent="0.25">
      <c r="A68" t="s">
        <v>225</v>
      </c>
      <c r="B68">
        <v>-3688068000</v>
      </c>
      <c r="C68">
        <v>-9098550896.8132362</v>
      </c>
      <c r="D68">
        <v>-5794206293.7528362</v>
      </c>
      <c r="E68">
        <v>3182418584.5538931</v>
      </c>
      <c r="F68">
        <v>-4489264000</v>
      </c>
      <c r="G68">
        <v>-7347417448.1292629</v>
      </c>
      <c r="H68">
        <v>-4902823392.3765297</v>
      </c>
      <c r="I68">
        <v>-3691549940.6211805</v>
      </c>
      <c r="J68">
        <v>-5446676929.8003721</v>
      </c>
      <c r="L68">
        <v>-409393000</v>
      </c>
      <c r="M68">
        <v>-1060357000</v>
      </c>
      <c r="N68">
        <v>-730569000</v>
      </c>
      <c r="O68">
        <v>-790274000</v>
      </c>
      <c r="P68">
        <v>668165000</v>
      </c>
      <c r="Q68">
        <v>-3839429000</v>
      </c>
      <c r="R68">
        <v>-422060000</v>
      </c>
      <c r="S68">
        <v>-628527000</v>
      </c>
      <c r="T68">
        <v>-383765000</v>
      </c>
      <c r="U68">
        <v>-35534000</v>
      </c>
      <c r="V68">
        <v>-273934000</v>
      </c>
      <c r="W68">
        <v>-498255000</v>
      </c>
      <c r="X68">
        <v>-314248000</v>
      </c>
      <c r="Y68">
        <v>-726057000</v>
      </c>
      <c r="Z68">
        <v>-373568000</v>
      </c>
      <c r="AA68">
        <v>-565896000</v>
      </c>
      <c r="AB68">
        <v>-508791000</v>
      </c>
      <c r="AC68">
        <v>-476367000</v>
      </c>
      <c r="AD68">
        <v>-230672000</v>
      </c>
      <c r="AE68">
        <v>-430718000</v>
      </c>
      <c r="AF68">
        <v>-305911000</v>
      </c>
      <c r="AG68">
        <v>-218214000</v>
      </c>
      <c r="AH68">
        <v>-115104000</v>
      </c>
      <c r="AI68">
        <v>-1139818000</v>
      </c>
      <c r="AJ68">
        <v>-144645000</v>
      </c>
      <c r="AK68">
        <v>415448000</v>
      </c>
      <c r="AL68">
        <v>-129161000</v>
      </c>
    </row>
    <row r="69" spans="1:38" x14ac:dyDescent="0.25">
      <c r="A69" t="s">
        <v>226</v>
      </c>
      <c r="B69">
        <v>10821000</v>
      </c>
      <c r="F69">
        <v>0</v>
      </c>
      <c r="S69">
        <v>0</v>
      </c>
      <c r="T69">
        <v>0</v>
      </c>
      <c r="W69">
        <v>0</v>
      </c>
      <c r="X69">
        <v>0</v>
      </c>
    </row>
    <row r="70" spans="1:38" x14ac:dyDescent="0.25">
      <c r="A70" t="s">
        <v>227</v>
      </c>
    </row>
    <row r="71" spans="1:38" x14ac:dyDescent="0.25">
      <c r="A71" t="s">
        <v>228</v>
      </c>
      <c r="C71">
        <v>292906426.51198006</v>
      </c>
      <c r="D71">
        <v>71597338.239547729</v>
      </c>
      <c r="G71">
        <v>301247188.85774398</v>
      </c>
      <c r="H71">
        <v>-36463852.454184532</v>
      </c>
      <c r="I71">
        <v>-264296763.72685742</v>
      </c>
      <c r="J71">
        <v>-2038290991.3576729</v>
      </c>
      <c r="L71">
        <v>1352972000</v>
      </c>
      <c r="M71">
        <v>0</v>
      </c>
      <c r="N71">
        <v>0</v>
      </c>
      <c r="O71">
        <v>-80205000</v>
      </c>
      <c r="P71">
        <v>-1694313000</v>
      </c>
      <c r="S71">
        <v>0</v>
      </c>
      <c r="T71">
        <v>0</v>
      </c>
      <c r="W71">
        <v>0</v>
      </c>
      <c r="X71">
        <v>0</v>
      </c>
      <c r="Y71">
        <v>-406321000</v>
      </c>
      <c r="Z71">
        <v>0</v>
      </c>
      <c r="AA71">
        <v>0</v>
      </c>
      <c r="AB71">
        <v>0</v>
      </c>
      <c r="AH71">
        <v>0</v>
      </c>
      <c r="AI71">
        <v>-745608000</v>
      </c>
      <c r="AJ71">
        <v>0</v>
      </c>
    </row>
    <row r="72" spans="1:38" x14ac:dyDescent="0.25">
      <c r="A72" t="s">
        <v>229</v>
      </c>
    </row>
    <row r="73" spans="1:38" x14ac:dyDescent="0.25">
      <c r="A73" t="s">
        <v>230</v>
      </c>
    </row>
    <row r="74" spans="1:38" x14ac:dyDescent="0.25">
      <c r="A74" t="s">
        <v>231</v>
      </c>
      <c r="B74">
        <v>-442231000</v>
      </c>
      <c r="C74">
        <v>-841.18180227279663</v>
      </c>
      <c r="D74">
        <v>-171.52529835700989</v>
      </c>
      <c r="E74">
        <v>2250433.1239302158</v>
      </c>
      <c r="F74">
        <v>-581403000</v>
      </c>
      <c r="G74">
        <v>0</v>
      </c>
      <c r="H74">
        <v>0</v>
      </c>
      <c r="I74">
        <v>0</v>
      </c>
      <c r="J74">
        <v>0</v>
      </c>
      <c r="M74">
        <v>0</v>
      </c>
      <c r="N74">
        <v>-26725000</v>
      </c>
      <c r="O74">
        <v>-102620000</v>
      </c>
      <c r="P74">
        <v>0</v>
      </c>
      <c r="Q74">
        <v>0</v>
      </c>
      <c r="R74">
        <v>-38220000</v>
      </c>
      <c r="S74">
        <v>0</v>
      </c>
      <c r="T74">
        <v>0</v>
      </c>
      <c r="U74">
        <v>-35228000</v>
      </c>
      <c r="V74">
        <v>0</v>
      </c>
      <c r="W74">
        <v>-55206000</v>
      </c>
      <c r="X74">
        <v>0</v>
      </c>
      <c r="Y74">
        <v>-58943000</v>
      </c>
      <c r="Z74">
        <v>-53537000</v>
      </c>
      <c r="AA74">
        <v>0</v>
      </c>
      <c r="AB74">
        <v>0</v>
      </c>
      <c r="AC74">
        <v>-29854000</v>
      </c>
      <c r="AD74">
        <v>-27383000</v>
      </c>
    </row>
    <row r="75" spans="1:38" x14ac:dyDescent="0.25">
      <c r="A75" t="s">
        <v>232</v>
      </c>
    </row>
    <row r="76" spans="1:38" x14ac:dyDescent="0.25">
      <c r="A76" t="s">
        <v>219</v>
      </c>
      <c r="B76">
        <v>0</v>
      </c>
      <c r="C76">
        <v>-83440.727116834372</v>
      </c>
      <c r="D76">
        <v>307.10855250060558</v>
      </c>
      <c r="E76">
        <v>831664.88451207429</v>
      </c>
      <c r="F76">
        <v>24031000</v>
      </c>
      <c r="H76">
        <v>0</v>
      </c>
      <c r="I76">
        <v>0</v>
      </c>
      <c r="J76">
        <v>0</v>
      </c>
      <c r="AH76">
        <v>0</v>
      </c>
      <c r="AI76">
        <v>0</v>
      </c>
      <c r="AJ76">
        <v>0</v>
      </c>
    </row>
    <row r="77" spans="1:38" x14ac:dyDescent="0.25">
      <c r="A77" t="s">
        <v>218</v>
      </c>
      <c r="B77">
        <v>-5533000</v>
      </c>
      <c r="C77">
        <v>-168807741.96119758</v>
      </c>
      <c r="D77">
        <v>-4592068.2396346554</v>
      </c>
      <c r="E77">
        <v>-8214216.2989535592</v>
      </c>
      <c r="F77">
        <v>-3254000</v>
      </c>
      <c r="G77">
        <v>-5609305.2289179098</v>
      </c>
      <c r="H77">
        <v>-6536260.7661324581</v>
      </c>
      <c r="I77">
        <v>-6494664.1515291324</v>
      </c>
      <c r="J77">
        <v>0</v>
      </c>
      <c r="L77">
        <v>-1794000</v>
      </c>
      <c r="O77">
        <v>0</v>
      </c>
      <c r="P77">
        <v>0</v>
      </c>
    </row>
    <row r="78" spans="1:38" x14ac:dyDescent="0.25">
      <c r="A78" t="s">
        <v>233</v>
      </c>
      <c r="B78">
        <v>40338000</v>
      </c>
      <c r="C78">
        <v>421888961.12543309</v>
      </c>
      <c r="D78">
        <v>245118893.79521799</v>
      </c>
      <c r="E78">
        <v>-2880193.1151343733</v>
      </c>
      <c r="F78">
        <v>78774000</v>
      </c>
      <c r="G78">
        <v>845213293.43264496</v>
      </c>
      <c r="H78">
        <v>16446379.028441638</v>
      </c>
      <c r="I78">
        <v>1823871.8151732683</v>
      </c>
      <c r="J78">
        <v>163284300.67727056</v>
      </c>
      <c r="L78">
        <v>40047000</v>
      </c>
      <c r="M78">
        <v>116435000</v>
      </c>
      <c r="N78">
        <v>63512000</v>
      </c>
      <c r="O78">
        <v>41969000</v>
      </c>
      <c r="P78">
        <v>6258000</v>
      </c>
      <c r="Q78">
        <v>10089000</v>
      </c>
      <c r="R78">
        <v>11928000</v>
      </c>
      <c r="S78">
        <v>159553000</v>
      </c>
      <c r="T78">
        <v>-20653000</v>
      </c>
      <c r="U78">
        <v>4879000</v>
      </c>
      <c r="V78">
        <v>29134000</v>
      </c>
      <c r="W78">
        <v>37798000</v>
      </c>
      <c r="X78">
        <v>-2824000</v>
      </c>
      <c r="Y78">
        <v>1359000</v>
      </c>
      <c r="Z78">
        <v>5150000</v>
      </c>
      <c r="AA78">
        <v>27598000</v>
      </c>
      <c r="AB78">
        <v>2421000</v>
      </c>
      <c r="AC78">
        <v>4232000</v>
      </c>
      <c r="AD78">
        <v>3256000</v>
      </c>
      <c r="AE78">
        <v>1933000</v>
      </c>
      <c r="AF78">
        <v>2850000</v>
      </c>
      <c r="AG78">
        <v>12861000</v>
      </c>
      <c r="AH78">
        <v>1086000</v>
      </c>
      <c r="AI78">
        <v>-2092000</v>
      </c>
      <c r="AJ78">
        <v>4891000</v>
      </c>
      <c r="AK78">
        <v>2628000</v>
      </c>
      <c r="AL78">
        <v>1580000</v>
      </c>
    </row>
    <row r="79" spans="1:38" x14ac:dyDescent="0.25">
      <c r="A79" t="s">
        <v>234</v>
      </c>
      <c r="B79">
        <v>-3291463000</v>
      </c>
      <c r="C79">
        <v>-9644798880.5324421</v>
      </c>
      <c r="D79">
        <v>-6109446558.6953259</v>
      </c>
      <c r="E79">
        <v>-6366787720.5308533</v>
      </c>
      <c r="F79">
        <v>-4069549000</v>
      </c>
      <c r="G79">
        <v>-8488748045.681036</v>
      </c>
      <c r="H79">
        <v>-4876269736.23139</v>
      </c>
      <c r="I79">
        <v>-3422582243.4226632</v>
      </c>
      <c r="J79">
        <v>-3610647282.9065146</v>
      </c>
      <c r="L79">
        <v>-1800618000</v>
      </c>
      <c r="M79">
        <v>-1166576000</v>
      </c>
      <c r="N79">
        <v>-822887000</v>
      </c>
      <c r="O79">
        <v>-976482000</v>
      </c>
      <c r="P79">
        <v>-629879000</v>
      </c>
      <c r="Q79">
        <v>-513098000</v>
      </c>
      <c r="R79">
        <v>-395885000</v>
      </c>
      <c r="S79">
        <v>-788173000</v>
      </c>
      <c r="T79">
        <v>-363112000</v>
      </c>
      <c r="U79">
        <v>-280963000</v>
      </c>
      <c r="V79">
        <v>-303068000</v>
      </c>
      <c r="W79">
        <v>-480847000</v>
      </c>
      <c r="X79">
        <v>-311424000</v>
      </c>
      <c r="Y79">
        <v>-262152000</v>
      </c>
      <c r="Z79">
        <v>-325181000</v>
      </c>
      <c r="AA79">
        <v>-720297000</v>
      </c>
      <c r="AB79">
        <v>-448092000</v>
      </c>
      <c r="AC79">
        <v>-396107000</v>
      </c>
      <c r="AD79">
        <v>-232809000</v>
      </c>
      <c r="AE79">
        <v>-404266000</v>
      </c>
      <c r="AF79">
        <v>-239415000</v>
      </c>
      <c r="AG79">
        <v>-214261000</v>
      </c>
      <c r="AH79">
        <v>-129275000</v>
      </c>
      <c r="AI79">
        <v>-392118000</v>
      </c>
      <c r="AJ79">
        <v>-149536000</v>
      </c>
      <c r="AK79">
        <v>-145821000</v>
      </c>
      <c r="AL79">
        <v>-143491000</v>
      </c>
    </row>
    <row r="80" spans="1:38" x14ac:dyDescent="0.25">
      <c r="A80" t="s">
        <v>235</v>
      </c>
    </row>
    <row r="81" spans="1:38" x14ac:dyDescent="0.25">
      <c r="A81" t="s">
        <v>236</v>
      </c>
    </row>
    <row r="82" spans="1:38" x14ac:dyDescent="0.25">
      <c r="A82" t="s">
        <v>237</v>
      </c>
    </row>
    <row r="83" spans="1:38" x14ac:dyDescent="0.25">
      <c r="A83" t="s">
        <v>238</v>
      </c>
    </row>
    <row r="84" spans="1:38" x14ac:dyDescent="0.25">
      <c r="A84" t="s">
        <v>239</v>
      </c>
    </row>
    <row r="85" spans="1:38" x14ac:dyDescent="0.25">
      <c r="A85" t="s">
        <v>240</v>
      </c>
    </row>
    <row r="86" spans="1:38" x14ac:dyDescent="0.25">
      <c r="A86" t="s">
        <v>241</v>
      </c>
    </row>
    <row r="87" spans="1:38" x14ac:dyDescent="0.25">
      <c r="A87" t="s">
        <v>242</v>
      </c>
    </row>
    <row r="88" spans="1:38" x14ac:dyDescent="0.25">
      <c r="A88" t="s">
        <v>243</v>
      </c>
      <c r="V88">
        <v>0</v>
      </c>
      <c r="Z88">
        <v>0</v>
      </c>
      <c r="AA88">
        <v>126803000</v>
      </c>
      <c r="AB88">
        <v>-63120000</v>
      </c>
      <c r="AC88">
        <v>-54639000</v>
      </c>
      <c r="AD88">
        <v>0</v>
      </c>
      <c r="AE88">
        <v>-9383000</v>
      </c>
      <c r="AF88">
        <v>-69346000</v>
      </c>
      <c r="AG88">
        <v>-16907000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244</v>
      </c>
      <c r="V89">
        <v>0</v>
      </c>
      <c r="Z89">
        <v>0</v>
      </c>
      <c r="AD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245</v>
      </c>
    </row>
    <row r="91" spans="1:38" x14ac:dyDescent="0.25">
      <c r="A91" t="s">
        <v>246</v>
      </c>
    </row>
    <row r="92" spans="1:38" x14ac:dyDescent="0.25">
      <c r="A92" t="s">
        <v>247</v>
      </c>
    </row>
    <row r="93" spans="1:38" x14ac:dyDescent="0.25">
      <c r="A93" t="s">
        <v>210</v>
      </c>
      <c r="B93">
        <v>0</v>
      </c>
      <c r="C93">
        <v>344619.95190567523</v>
      </c>
      <c r="D93">
        <v>3115965.5641057342</v>
      </c>
      <c r="E93">
        <v>-1549860.3926201537</v>
      </c>
      <c r="F93">
        <v>62137000</v>
      </c>
      <c r="G93">
        <v>479420.49030470848</v>
      </c>
      <c r="H93">
        <v>78.046733975410461</v>
      </c>
      <c r="I93">
        <v>-141.1353028640151</v>
      </c>
      <c r="J93">
        <v>38977043.786545269</v>
      </c>
      <c r="L93">
        <v>0</v>
      </c>
      <c r="M93">
        <v>0</v>
      </c>
      <c r="N93">
        <v>55531000</v>
      </c>
      <c r="O93">
        <v>225000</v>
      </c>
      <c r="P93">
        <v>0</v>
      </c>
      <c r="Q93">
        <v>11165000</v>
      </c>
      <c r="R93">
        <v>117000</v>
      </c>
      <c r="S93">
        <v>93000</v>
      </c>
      <c r="T93">
        <v>0</v>
      </c>
      <c r="Z93">
        <v>0</v>
      </c>
      <c r="AA93">
        <v>0</v>
      </c>
      <c r="AB93">
        <v>0</v>
      </c>
      <c r="AC93">
        <v>1000</v>
      </c>
      <c r="AD93">
        <v>26264000</v>
      </c>
      <c r="AE93">
        <v>0</v>
      </c>
      <c r="AF93">
        <v>0</v>
      </c>
      <c r="AG93">
        <v>93000</v>
      </c>
      <c r="AH93">
        <v>13085000</v>
      </c>
      <c r="AI93">
        <v>0</v>
      </c>
      <c r="AJ93">
        <v>0</v>
      </c>
      <c r="AK93">
        <v>59000</v>
      </c>
      <c r="AL93">
        <v>12750000</v>
      </c>
    </row>
    <row r="94" spans="1:38" x14ac:dyDescent="0.25">
      <c r="A94" t="s">
        <v>211</v>
      </c>
    </row>
    <row r="95" spans="1:38" x14ac:dyDescent="0.25">
      <c r="A95" t="s">
        <v>212</v>
      </c>
    </row>
    <row r="96" spans="1:38" x14ac:dyDescent="0.25">
      <c r="A96" t="s">
        <v>214</v>
      </c>
    </row>
    <row r="97" spans="1:38" x14ac:dyDescent="0.25">
      <c r="A97" t="s">
        <v>215</v>
      </c>
    </row>
    <row r="98" spans="1:38" x14ac:dyDescent="0.25">
      <c r="A98" t="s">
        <v>213</v>
      </c>
    </row>
    <row r="99" spans="1:38" x14ac:dyDescent="0.25">
      <c r="A99" t="s">
        <v>223</v>
      </c>
    </row>
    <row r="100" spans="1:38" x14ac:dyDescent="0.25">
      <c r="A100" t="s">
        <v>224</v>
      </c>
    </row>
    <row r="102" spans="1:38" x14ac:dyDescent="0.25">
      <c r="A102" t="s">
        <v>248</v>
      </c>
      <c r="B102">
        <v>2432903000</v>
      </c>
      <c r="C102">
        <v>-132252451.03341579</v>
      </c>
      <c r="D102">
        <v>3371065952.0498252</v>
      </c>
      <c r="E102">
        <v>3185402456.130971</v>
      </c>
      <c r="F102">
        <v>-5259775000</v>
      </c>
      <c r="G102">
        <v>26844210985.264404</v>
      </c>
      <c r="H102">
        <v>11189329663.013535</v>
      </c>
      <c r="I102">
        <v>-10738201571.618385</v>
      </c>
      <c r="J102">
        <v>19574015068.895569</v>
      </c>
      <c r="L102">
        <v>1622816000</v>
      </c>
      <c r="M102">
        <v>928245000</v>
      </c>
      <c r="N102">
        <v>1135822000</v>
      </c>
      <c r="O102">
        <v>4593156000</v>
      </c>
      <c r="P102">
        <v>-3696194000</v>
      </c>
      <c r="Q102">
        <v>4470803000</v>
      </c>
      <c r="R102">
        <v>-565407000</v>
      </c>
      <c r="S102">
        <v>378143000</v>
      </c>
      <c r="T102">
        <v>-696834000</v>
      </c>
      <c r="U102">
        <v>-1048792000</v>
      </c>
      <c r="V102">
        <v>60122000</v>
      </c>
      <c r="W102">
        <v>517324000</v>
      </c>
      <c r="X102">
        <v>-630682000</v>
      </c>
      <c r="Y102">
        <v>-622383000</v>
      </c>
      <c r="Z102">
        <v>575090000</v>
      </c>
      <c r="AA102">
        <v>895482000</v>
      </c>
      <c r="AB102">
        <v>888138000</v>
      </c>
      <c r="AC102">
        <v>547379000</v>
      </c>
      <c r="AD102">
        <v>71331000</v>
      </c>
      <c r="AE102">
        <v>20706000</v>
      </c>
      <c r="AF102">
        <v>-41317000</v>
      </c>
      <c r="AG102">
        <v>-480237000</v>
      </c>
      <c r="AH102">
        <v>867386000</v>
      </c>
      <c r="AI102">
        <v>-200186000</v>
      </c>
      <c r="AJ102">
        <v>-140190000</v>
      </c>
      <c r="AK102">
        <v>-853970000</v>
      </c>
      <c r="AL102">
        <v>83695000</v>
      </c>
    </row>
    <row r="103" spans="1:38" x14ac:dyDescent="0.25">
      <c r="A103" t="s">
        <v>249</v>
      </c>
    </row>
    <row r="104" spans="1:38" x14ac:dyDescent="0.25">
      <c r="A104" t="s">
        <v>250</v>
      </c>
      <c r="AI104">
        <v>0</v>
      </c>
      <c r="AJ104">
        <v>0</v>
      </c>
    </row>
    <row r="105" spans="1:38" x14ac:dyDescent="0.25">
      <c r="A105" t="s">
        <v>251</v>
      </c>
      <c r="V105">
        <v>0</v>
      </c>
      <c r="Z105">
        <v>0</v>
      </c>
      <c r="AB105">
        <v>0</v>
      </c>
      <c r="AC105">
        <v>0</v>
      </c>
      <c r="AD105">
        <v>0</v>
      </c>
      <c r="AG105">
        <v>0</v>
      </c>
      <c r="AH105">
        <v>0</v>
      </c>
      <c r="AI105">
        <v>0</v>
      </c>
      <c r="AJ105">
        <v>0</v>
      </c>
    </row>
    <row r="106" spans="1:38" x14ac:dyDescent="0.25">
      <c r="A106" t="s">
        <v>252</v>
      </c>
    </row>
    <row r="107" spans="1:38" x14ac:dyDescent="0.25">
      <c r="A107" t="s">
        <v>253</v>
      </c>
      <c r="N107">
        <v>-1066203000</v>
      </c>
      <c r="O107">
        <v>-359868000</v>
      </c>
      <c r="P107">
        <v>-855398000</v>
      </c>
      <c r="Q107">
        <v>0</v>
      </c>
      <c r="R107">
        <v>0</v>
      </c>
      <c r="V107">
        <v>0</v>
      </c>
      <c r="Z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254</v>
      </c>
      <c r="L108">
        <v>1782468000</v>
      </c>
      <c r="S108">
        <v>0</v>
      </c>
      <c r="V108">
        <v>0</v>
      </c>
      <c r="Z108">
        <v>0</v>
      </c>
      <c r="AB108">
        <v>0</v>
      </c>
      <c r="AC108">
        <v>0</v>
      </c>
      <c r="AD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255</v>
      </c>
    </row>
    <row r="110" spans="1:38" x14ac:dyDescent="0.25">
      <c r="A110" t="s">
        <v>256</v>
      </c>
      <c r="B110">
        <v>42440167000</v>
      </c>
      <c r="C110">
        <v>-91576608423.892548</v>
      </c>
      <c r="D110">
        <v>202881139243.31158</v>
      </c>
      <c r="E110">
        <v>11229004697.472076</v>
      </c>
      <c r="F110">
        <v>30463674000</v>
      </c>
      <c r="G110">
        <v>-87769883818.259552</v>
      </c>
      <c r="H110">
        <v>219731776352.75912</v>
      </c>
      <c r="I110">
        <v>22509895603.967587</v>
      </c>
      <c r="J110">
        <v>32305055821.343609</v>
      </c>
      <c r="L110">
        <v>4338496000</v>
      </c>
      <c r="M110">
        <v>5034770000</v>
      </c>
      <c r="N110">
        <v>6460295000</v>
      </c>
      <c r="O110">
        <v>8309880000</v>
      </c>
      <c r="P110">
        <v>1833300000</v>
      </c>
      <c r="Q110">
        <v>6815487000</v>
      </c>
      <c r="R110">
        <v>2184809000</v>
      </c>
      <c r="S110">
        <v>390817000</v>
      </c>
      <c r="T110">
        <v>1250275000</v>
      </c>
      <c r="U110">
        <v>346375000</v>
      </c>
      <c r="V110">
        <v>2225060000</v>
      </c>
      <c r="W110">
        <v>192960000</v>
      </c>
      <c r="X110">
        <v>1575894000</v>
      </c>
      <c r="Y110">
        <v>635510000</v>
      </c>
      <c r="Z110">
        <v>2861056000</v>
      </c>
      <c r="AA110">
        <v>1145475000</v>
      </c>
      <c r="AB110">
        <v>1171482000</v>
      </c>
      <c r="AC110">
        <v>1215445000</v>
      </c>
      <c r="AD110">
        <v>2016538000</v>
      </c>
      <c r="AE110">
        <v>287819000</v>
      </c>
      <c r="AF110">
        <v>606849000</v>
      </c>
      <c r="AG110">
        <v>617506000</v>
      </c>
      <c r="AH110">
        <v>1322533000</v>
      </c>
      <c r="AI110">
        <v>962166000</v>
      </c>
      <c r="AJ110">
        <v>718931000</v>
      </c>
      <c r="AK110">
        <v>3087000</v>
      </c>
      <c r="AL110">
        <v>919379000</v>
      </c>
    </row>
    <row r="111" spans="1:38" x14ac:dyDescent="0.25">
      <c r="A111" t="s">
        <v>257</v>
      </c>
      <c r="B111">
        <v>-33070040000</v>
      </c>
      <c r="C111">
        <v>100396594278.56438</v>
      </c>
      <c r="D111">
        <v>-191322052644.38727</v>
      </c>
      <c r="E111">
        <v>-2108637578.1640091</v>
      </c>
      <c r="F111">
        <v>-31905004000</v>
      </c>
      <c r="G111">
        <v>115733378931.56711</v>
      </c>
      <c r="H111">
        <v>-205066187809.19238</v>
      </c>
      <c r="I111">
        <v>-29153979529.601177</v>
      </c>
      <c r="J111">
        <v>-9710232163.0590782</v>
      </c>
      <c r="L111">
        <v>-1688592000</v>
      </c>
      <c r="M111">
        <v>-2166200000</v>
      </c>
      <c r="N111">
        <v>-2140841000</v>
      </c>
      <c r="O111">
        <v>-2518681000</v>
      </c>
      <c r="P111">
        <v>-4341094000</v>
      </c>
      <c r="Q111">
        <v>-1764125000</v>
      </c>
      <c r="R111">
        <v>-898510000</v>
      </c>
      <c r="S111">
        <v>163824000</v>
      </c>
      <c r="T111">
        <v>-1312939000</v>
      </c>
      <c r="U111">
        <v>-744192000</v>
      </c>
      <c r="V111">
        <v>-1720904000</v>
      </c>
      <c r="W111">
        <v>681689000</v>
      </c>
      <c r="X111">
        <v>-1484201000</v>
      </c>
      <c r="Y111">
        <v>-973342000</v>
      </c>
      <c r="Z111">
        <v>-2035645000</v>
      </c>
      <c r="AA111">
        <v>-207052000</v>
      </c>
      <c r="AB111">
        <v>-285304000</v>
      </c>
      <c r="AC111">
        <v>-446212000</v>
      </c>
      <c r="AD111">
        <v>-1349877000</v>
      </c>
      <c r="AE111">
        <v>-113510000</v>
      </c>
      <c r="AF111">
        <v>-494686000</v>
      </c>
      <c r="AG111">
        <v>-532492000</v>
      </c>
      <c r="AH111">
        <v>-388768000</v>
      </c>
      <c r="AI111">
        <v>-1040527000</v>
      </c>
      <c r="AJ111">
        <v>-756001000</v>
      </c>
      <c r="AK111">
        <v>-457763000</v>
      </c>
      <c r="AL111">
        <v>-788926000</v>
      </c>
    </row>
    <row r="112" spans="1:38" x14ac:dyDescent="0.25">
      <c r="A112" t="s">
        <v>258</v>
      </c>
    </row>
    <row r="113" spans="1:38" x14ac:dyDescent="0.25">
      <c r="A113" t="s">
        <v>259</v>
      </c>
    </row>
    <row r="114" spans="1:38" x14ac:dyDescent="0.25">
      <c r="A114" t="s">
        <v>260</v>
      </c>
      <c r="B114">
        <v>-1156374000</v>
      </c>
      <c r="C114">
        <v>-1452821694.2368193</v>
      </c>
      <c r="D114">
        <v>-1234371620.6749139</v>
      </c>
      <c r="E114">
        <v>-1290474378.6719213</v>
      </c>
      <c r="F114">
        <v>-846795000</v>
      </c>
      <c r="G114">
        <v>-963569366.02093816</v>
      </c>
      <c r="H114">
        <v>-739192106.29825234</v>
      </c>
      <c r="I114">
        <v>-691440017.62660944</v>
      </c>
      <c r="J114">
        <v>-677280514.17407119</v>
      </c>
      <c r="L114">
        <v>-273128000</v>
      </c>
      <c r="M114">
        <v>-177036000</v>
      </c>
      <c r="N114">
        <v>-349298000</v>
      </c>
      <c r="O114">
        <v>-282206000</v>
      </c>
      <c r="P114">
        <v>-106462000</v>
      </c>
      <c r="Q114">
        <v>-160833000</v>
      </c>
      <c r="R114">
        <v>-86074000</v>
      </c>
      <c r="S114">
        <v>-77530000</v>
      </c>
      <c r="T114">
        <v>-78774000</v>
      </c>
      <c r="U114">
        <v>-69056000</v>
      </c>
      <c r="V114">
        <v>-77873000</v>
      </c>
      <c r="W114">
        <v>-82245000</v>
      </c>
      <c r="X114">
        <v>-66290000</v>
      </c>
      <c r="Y114">
        <v>-72630000</v>
      </c>
      <c r="Z114">
        <v>-60360000</v>
      </c>
      <c r="AA114">
        <v>0</v>
      </c>
      <c r="AB114">
        <v>0</v>
      </c>
      <c r="AC114">
        <v>0</v>
      </c>
      <c r="AD114">
        <v>0</v>
      </c>
    </row>
    <row r="115" spans="1:38" x14ac:dyDescent="0.25">
      <c r="A115" t="s">
        <v>245</v>
      </c>
      <c r="B115">
        <v>-508673000</v>
      </c>
      <c r="F115">
        <v>147627000</v>
      </c>
      <c r="J115">
        <v>317503465.98924041</v>
      </c>
      <c r="L115">
        <v>181674000</v>
      </c>
      <c r="M115">
        <v>-7461000</v>
      </c>
      <c r="N115">
        <v>-178029000</v>
      </c>
      <c r="R115">
        <v>-159833000</v>
      </c>
      <c r="T115">
        <v>-303946000</v>
      </c>
      <c r="U115">
        <v>-169037000</v>
      </c>
      <c r="V115">
        <v>-39221000</v>
      </c>
      <c r="W115">
        <v>127118000</v>
      </c>
      <c r="X115">
        <v>-195666000</v>
      </c>
      <c r="Y115">
        <v>9428000</v>
      </c>
      <c r="Z115">
        <v>31240000</v>
      </c>
      <c r="AA115">
        <v>190624000</v>
      </c>
      <c r="AB115">
        <v>227256000</v>
      </c>
      <c r="AC115">
        <v>-12827000</v>
      </c>
      <c r="AD115">
        <v>-36930000</v>
      </c>
      <c r="AE115">
        <v>-5248000</v>
      </c>
      <c r="AF115">
        <v>1997000</v>
      </c>
      <c r="AG115">
        <v>-6430000</v>
      </c>
      <c r="AH115">
        <v>-12706000</v>
      </c>
      <c r="AI115">
        <v>-1284000</v>
      </c>
      <c r="AJ115">
        <v>1457000</v>
      </c>
      <c r="AK115">
        <v>-13198000</v>
      </c>
      <c r="AL115">
        <v>27278000</v>
      </c>
    </row>
    <row r="116" spans="1:38" x14ac:dyDescent="0.25">
      <c r="A116" t="s">
        <v>246</v>
      </c>
      <c r="C116">
        <v>-1894329231.1125498</v>
      </c>
      <c r="D116">
        <v>-853519922.5108037</v>
      </c>
      <c r="G116">
        <v>990529842.10445976</v>
      </c>
      <c r="H116">
        <v>4946632502.6185637</v>
      </c>
      <c r="O116">
        <v>-115647000</v>
      </c>
      <c r="P116">
        <v>142734000</v>
      </c>
    </row>
    <row r="117" spans="1:38" x14ac:dyDescent="0.25">
      <c r="A117" t="s">
        <v>247</v>
      </c>
    </row>
    <row r="118" spans="1:38" x14ac:dyDescent="0.25">
      <c r="A118" t="s">
        <v>209</v>
      </c>
      <c r="B118">
        <v>-13341000</v>
      </c>
      <c r="C118">
        <v>-236185525.46768785</v>
      </c>
      <c r="D118">
        <v>-250659503.29855895</v>
      </c>
      <c r="E118">
        <v>-754713607.03491163</v>
      </c>
      <c r="F118">
        <v>0</v>
      </c>
      <c r="G118">
        <v>-296914712.78417015</v>
      </c>
      <c r="H118">
        <v>-3955387902.6944857</v>
      </c>
      <c r="L118">
        <v>-235943000</v>
      </c>
      <c r="M118">
        <v>-74952000</v>
      </c>
      <c r="N118">
        <v>-1384556000</v>
      </c>
      <c r="O118">
        <v>0</v>
      </c>
      <c r="P118">
        <v>0</v>
      </c>
      <c r="Q118">
        <v>-13222000</v>
      </c>
      <c r="R118">
        <v>-1500000000</v>
      </c>
      <c r="S118">
        <v>0</v>
      </c>
      <c r="T118">
        <v>0</v>
      </c>
      <c r="U118">
        <v>-27086000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-168000</v>
      </c>
      <c r="AB118">
        <v>0</v>
      </c>
      <c r="AC118">
        <v>0</v>
      </c>
      <c r="AD118">
        <v>-435000000</v>
      </c>
      <c r="AE118">
        <v>-102000</v>
      </c>
      <c r="AF118">
        <v>0</v>
      </c>
      <c r="AG118">
        <v>-425000000</v>
      </c>
      <c r="AH118">
        <v>0</v>
      </c>
      <c r="AI118">
        <v>0</v>
      </c>
      <c r="AJ118">
        <v>0</v>
      </c>
    </row>
    <row r="119" spans="1:38" x14ac:dyDescent="0.25">
      <c r="A119" t="s">
        <v>211</v>
      </c>
      <c r="B119">
        <v>-5126386000</v>
      </c>
      <c r="C119">
        <v>-4869819043.0573578</v>
      </c>
      <c r="D119">
        <v>-5612167541.3786688</v>
      </c>
      <c r="E119">
        <v>-2348974386.3337488</v>
      </c>
      <c r="F119">
        <v>-3866581000</v>
      </c>
      <c r="G119">
        <v>-2003245060.9273567</v>
      </c>
      <c r="H119">
        <v>-5052271515.0870457</v>
      </c>
      <c r="I119">
        <v>-2292535691.1171112</v>
      </c>
      <c r="J119">
        <v>-3463543226.8879681</v>
      </c>
      <c r="L119">
        <v>-678434000</v>
      </c>
      <c r="M119">
        <v>-1044990000</v>
      </c>
      <c r="N119">
        <v>-276784000</v>
      </c>
      <c r="O119">
        <v>-514745000</v>
      </c>
      <c r="P119">
        <v>-391012000</v>
      </c>
      <c r="Q119">
        <v>-384902000</v>
      </c>
      <c r="R119">
        <v>-202887000</v>
      </c>
      <c r="S119">
        <v>-306531000</v>
      </c>
      <c r="T119">
        <v>-308259000</v>
      </c>
      <c r="U119">
        <v>-419707000</v>
      </c>
      <c r="V119">
        <v>-365169000</v>
      </c>
      <c r="W119">
        <v>-433635000</v>
      </c>
      <c r="X119">
        <v>-494057000</v>
      </c>
      <c r="Y119">
        <v>-257168000</v>
      </c>
      <c r="Z119">
        <v>-249782000</v>
      </c>
      <c r="AA119">
        <v>-248421000</v>
      </c>
      <c r="AB119">
        <v>-239430000</v>
      </c>
      <c r="AC119">
        <v>-215331000</v>
      </c>
      <c r="AD119">
        <v>-129765000</v>
      </c>
      <c r="AE119">
        <v>-150912000</v>
      </c>
      <c r="AF119">
        <v>-162414000</v>
      </c>
      <c r="AG119">
        <v>-139940000</v>
      </c>
      <c r="AH119">
        <v>-57902000</v>
      </c>
      <c r="AI119">
        <v>-123975000</v>
      </c>
      <c r="AJ119">
        <v>-109534000</v>
      </c>
      <c r="AK119">
        <v>-129706000</v>
      </c>
      <c r="AL119">
        <v>-78519000</v>
      </c>
    </row>
    <row r="120" spans="1:38" x14ac:dyDescent="0.25">
      <c r="A120" t="s">
        <v>212</v>
      </c>
      <c r="B120">
        <v>604057000</v>
      </c>
      <c r="C120">
        <v>701765152.39402342</v>
      </c>
      <c r="D120">
        <v>648650431.48096871</v>
      </c>
      <c r="E120">
        <v>880007160.10072064</v>
      </c>
      <c r="F120">
        <v>952478000</v>
      </c>
      <c r="G120">
        <v>1106991915.8455575</v>
      </c>
      <c r="H120">
        <v>792784849.71675229</v>
      </c>
      <c r="I120">
        <v>505629267.74012458</v>
      </c>
      <c r="J120">
        <v>684256138.59974682</v>
      </c>
      <c r="L120">
        <v>86554000</v>
      </c>
      <c r="M120">
        <v>71911000</v>
      </c>
      <c r="N120">
        <v>84943000</v>
      </c>
      <c r="O120">
        <v>43864000</v>
      </c>
      <c r="P120">
        <v>26057000</v>
      </c>
      <c r="Q120">
        <v>54191000</v>
      </c>
      <c r="R120">
        <v>104905000</v>
      </c>
      <c r="S120">
        <v>97283000</v>
      </c>
      <c r="T120">
        <v>57610000</v>
      </c>
      <c r="U120">
        <v>35716000</v>
      </c>
      <c r="V120">
        <v>41087000</v>
      </c>
      <c r="W120">
        <v>35561000</v>
      </c>
      <c r="X120">
        <v>42396000</v>
      </c>
      <c r="Y120">
        <v>37619000</v>
      </c>
      <c r="Z120">
        <v>31887000</v>
      </c>
      <c r="AA120">
        <v>22435000</v>
      </c>
      <c r="AB120">
        <v>18024000</v>
      </c>
      <c r="AC120">
        <v>9373000</v>
      </c>
      <c r="AD120">
        <v>8636000</v>
      </c>
      <c r="AE120">
        <v>5607000</v>
      </c>
      <c r="AF120">
        <v>9168000</v>
      </c>
      <c r="AG120">
        <v>9097000</v>
      </c>
      <c r="AH120">
        <v>5855000</v>
      </c>
      <c r="AI120">
        <v>6468000</v>
      </c>
      <c r="AJ120">
        <v>8028000</v>
      </c>
      <c r="AK120">
        <v>8100000</v>
      </c>
      <c r="AL120">
        <v>7008000</v>
      </c>
    </row>
    <row r="121" spans="1:38" x14ac:dyDescent="0.25">
      <c r="A121" t="s">
        <v>214</v>
      </c>
    </row>
    <row r="122" spans="1:38" x14ac:dyDescent="0.25">
      <c r="A122" t="s">
        <v>215</v>
      </c>
    </row>
    <row r="123" spans="1:38" x14ac:dyDescent="0.25">
      <c r="A123" t="s">
        <v>213</v>
      </c>
    </row>
    <row r="124" spans="1:38" x14ac:dyDescent="0.25">
      <c r="A124" t="s">
        <v>223</v>
      </c>
      <c r="B124">
        <v>-736507000</v>
      </c>
      <c r="C124">
        <v>-1200847964.2248182</v>
      </c>
      <c r="D124">
        <v>-885952490.49255133</v>
      </c>
      <c r="E124">
        <v>-444189224.13755941</v>
      </c>
      <c r="F124">
        <v>-205174000</v>
      </c>
      <c r="G124">
        <v>46923253.739264503</v>
      </c>
      <c r="H124">
        <v>531175291.19128156</v>
      </c>
      <c r="I124">
        <v>-806244060.04279816</v>
      </c>
      <c r="J124">
        <v>118255547.08409095</v>
      </c>
      <c r="L124">
        <v>-7385000</v>
      </c>
      <c r="M124">
        <v>8468000</v>
      </c>
      <c r="N124">
        <v>-13705000</v>
      </c>
      <c r="O124">
        <v>30559000</v>
      </c>
      <c r="P124">
        <v>-4319000</v>
      </c>
      <c r="Q124">
        <v>-3700000</v>
      </c>
      <c r="R124">
        <v>-7817000</v>
      </c>
      <c r="S124">
        <v>-2545000</v>
      </c>
      <c r="T124">
        <v>-801000</v>
      </c>
      <c r="U124">
        <v>-1805000</v>
      </c>
      <c r="V124">
        <v>-2858000</v>
      </c>
      <c r="W124">
        <v>-4124000</v>
      </c>
      <c r="X124">
        <v>-8758000</v>
      </c>
      <c r="Y124">
        <v>-1800000</v>
      </c>
      <c r="Z124">
        <v>-3306000</v>
      </c>
      <c r="AA124">
        <v>-7411000</v>
      </c>
      <c r="AB124">
        <v>-3890000</v>
      </c>
      <c r="AC124">
        <v>-3069000</v>
      </c>
      <c r="AD124">
        <v>-2271000</v>
      </c>
      <c r="AE124">
        <v>-2948000</v>
      </c>
      <c r="AF124">
        <v>-2231000</v>
      </c>
      <c r="AG124">
        <v>-2978000</v>
      </c>
      <c r="AH124">
        <v>-1626000</v>
      </c>
      <c r="AI124">
        <v>-3034000</v>
      </c>
      <c r="AJ124">
        <v>-3071000</v>
      </c>
      <c r="AK124">
        <v>-2490000</v>
      </c>
      <c r="AL124">
        <v>-2525000</v>
      </c>
    </row>
    <row r="125" spans="1:38" x14ac:dyDescent="0.25">
      <c r="A125" t="s">
        <v>224</v>
      </c>
    </row>
    <row r="126" spans="1:38" x14ac:dyDescent="0.25">
      <c r="A126" t="s">
        <v>261</v>
      </c>
      <c r="B126">
        <v>-10913129000</v>
      </c>
      <c r="C126">
        <v>19758525273.692207</v>
      </c>
      <c r="D126">
        <v>-4114638034.3511276</v>
      </c>
      <c r="E126">
        <v>-13359816866.213367</v>
      </c>
      <c r="F126">
        <v>-1481529000</v>
      </c>
      <c r="G126">
        <v>7241813128.1787224</v>
      </c>
      <c r="H126">
        <v>28721216504.181252</v>
      </c>
      <c r="I126">
        <v>-18849727814.403488</v>
      </c>
      <c r="J126">
        <v>7838368715.5370264</v>
      </c>
      <c r="L126">
        <v>4702799000</v>
      </c>
      <c r="M126">
        <v>-3342670000</v>
      </c>
      <c r="N126">
        <v>-635891000</v>
      </c>
      <c r="O126">
        <v>4383325000</v>
      </c>
      <c r="P126">
        <v>-2355319000</v>
      </c>
      <c r="Q126">
        <v>29909000</v>
      </c>
      <c r="R126">
        <v>-2711704000</v>
      </c>
      <c r="S126">
        <v>1004414000</v>
      </c>
      <c r="T126">
        <v>1180517000</v>
      </c>
      <c r="U126">
        <v>1051191000</v>
      </c>
      <c r="V126">
        <v>555662000</v>
      </c>
      <c r="W126">
        <v>1229299000</v>
      </c>
      <c r="X126">
        <v>-232936000</v>
      </c>
      <c r="Y126">
        <v>-771839000</v>
      </c>
      <c r="Z126">
        <v>877577000</v>
      </c>
      <c r="AA126">
        <v>1580233000</v>
      </c>
      <c r="AB126">
        <v>720913000</v>
      </c>
      <c r="AC126">
        <v>145515000</v>
      </c>
      <c r="AD126">
        <v>-145148000</v>
      </c>
      <c r="AE126">
        <v>439760000</v>
      </c>
      <c r="AF126">
        <v>-79674000</v>
      </c>
      <c r="AG126">
        <v>-815645000</v>
      </c>
      <c r="AH126">
        <v>342018000</v>
      </c>
      <c r="AI126">
        <v>-483597000</v>
      </c>
      <c r="AJ126">
        <v>159714000</v>
      </c>
      <c r="AK126">
        <v>-23372000</v>
      </c>
      <c r="AL126">
        <v>305705000</v>
      </c>
    </row>
    <row r="127" spans="1:38" x14ac:dyDescent="0.25">
      <c r="A127" t="s">
        <v>262</v>
      </c>
      <c r="B127">
        <v>886505000</v>
      </c>
      <c r="C127">
        <v>-3377842932.339323</v>
      </c>
      <c r="D127">
        <v>-11753538561.123737</v>
      </c>
      <c r="E127">
        <v>8906857510.9408493</v>
      </c>
      <c r="F127">
        <v>-6069060000</v>
      </c>
      <c r="G127">
        <v>4423755915.7714596</v>
      </c>
      <c r="H127">
        <v>-14633863588.704052</v>
      </c>
      <c r="I127">
        <v>19609634281.882259</v>
      </c>
      <c r="J127">
        <v>-3642734326.6416454</v>
      </c>
      <c r="L127">
        <v>768882000</v>
      </c>
      <c r="M127">
        <v>1605289000</v>
      </c>
      <c r="N127">
        <v>1313730000</v>
      </c>
      <c r="O127">
        <v>3288610000</v>
      </c>
      <c r="P127">
        <v>-47178000</v>
      </c>
      <c r="Q127">
        <v>507490000</v>
      </c>
      <c r="R127">
        <v>928555000</v>
      </c>
      <c r="S127">
        <v>-544517000</v>
      </c>
      <c r="T127">
        <v>1104527000</v>
      </c>
      <c r="U127">
        <v>371965000</v>
      </c>
      <c r="V127">
        <v>341530000</v>
      </c>
      <c r="W127">
        <v>220176000</v>
      </c>
      <c r="X127">
        <v>-76560000</v>
      </c>
      <c r="Y127">
        <v>83602000</v>
      </c>
      <c r="Z127">
        <v>256341000</v>
      </c>
      <c r="AA127">
        <v>-465103000</v>
      </c>
      <c r="AB127">
        <v>546535000</v>
      </c>
      <c r="AC127">
        <v>199203000</v>
      </c>
      <c r="AD127">
        <v>174237000</v>
      </c>
      <c r="AE127">
        <v>158808000</v>
      </c>
      <c r="AF127">
        <v>23989000</v>
      </c>
      <c r="AG127">
        <v>-31984000</v>
      </c>
      <c r="AH127">
        <v>101969000</v>
      </c>
      <c r="AI127">
        <v>203982000</v>
      </c>
      <c r="AJ127">
        <v>95130000</v>
      </c>
      <c r="AK127">
        <v>-123000</v>
      </c>
      <c r="AL127">
        <v>18060000</v>
      </c>
    </row>
    <row r="128" spans="1:38" x14ac:dyDescent="0.25">
      <c r="A128" t="s">
        <v>263</v>
      </c>
      <c r="B128">
        <v>-10026624000</v>
      </c>
      <c r="C128">
        <v>16380682341.352884</v>
      </c>
      <c r="D128">
        <v>-15868176595.474863</v>
      </c>
      <c r="E128">
        <v>-4452959355.2725201</v>
      </c>
      <c r="F128">
        <v>-7550589000</v>
      </c>
      <c r="G128">
        <v>11665569043.950184</v>
      </c>
      <c r="H128">
        <v>14087352915.4772</v>
      </c>
      <c r="I128">
        <v>759906467.47876787</v>
      </c>
      <c r="J128">
        <v>4195634388.8953815</v>
      </c>
      <c r="L128">
        <v>5471681000</v>
      </c>
      <c r="M128">
        <v>-1737381000</v>
      </c>
      <c r="N128">
        <v>677839000</v>
      </c>
      <c r="O128">
        <v>7671935000</v>
      </c>
      <c r="P128">
        <v>-2402497000</v>
      </c>
      <c r="Q128">
        <v>537399000</v>
      </c>
      <c r="R128">
        <v>-1783149000</v>
      </c>
      <c r="S128">
        <v>459897000</v>
      </c>
      <c r="T128">
        <v>2285044000</v>
      </c>
      <c r="U128">
        <v>1423156000</v>
      </c>
      <c r="V128">
        <v>897192000</v>
      </c>
      <c r="W128">
        <v>1449475000</v>
      </c>
      <c r="X128">
        <v>-309496000</v>
      </c>
      <c r="Y128">
        <v>-688237000</v>
      </c>
      <c r="Z128">
        <v>1133918000</v>
      </c>
      <c r="AA128">
        <v>1115130000</v>
      </c>
      <c r="AB128">
        <v>1267448000</v>
      </c>
      <c r="AC128">
        <v>344718000</v>
      </c>
      <c r="AD128">
        <v>29089000</v>
      </c>
      <c r="AE128">
        <v>598568000</v>
      </c>
      <c r="AF128">
        <v>-55685000</v>
      </c>
      <c r="AG128">
        <v>-847629000</v>
      </c>
      <c r="AH128">
        <v>443987000</v>
      </c>
      <c r="AI128">
        <v>-279615000</v>
      </c>
      <c r="AJ128">
        <v>254844000</v>
      </c>
      <c r="AK128">
        <v>-23495000</v>
      </c>
      <c r="AL128">
        <v>323765000</v>
      </c>
    </row>
    <row r="129" spans="1:38" x14ac:dyDescent="0.25">
      <c r="A129" t="s">
        <v>264</v>
      </c>
      <c r="B129">
        <v>55842119000</v>
      </c>
      <c r="C129">
        <v>6445.0433959960938</v>
      </c>
      <c r="D129">
        <v>6384.5113067626953</v>
      </c>
      <c r="E129">
        <v>-5607.3237915039063</v>
      </c>
      <c r="F129">
        <v>77509529000</v>
      </c>
      <c r="G129">
        <v>9010.7027893066406</v>
      </c>
      <c r="H129">
        <v>10353.527633666992</v>
      </c>
      <c r="I129">
        <v>-7609.8199920654297</v>
      </c>
      <c r="J129">
        <v>64092273380.655037</v>
      </c>
      <c r="L129">
        <v>0</v>
      </c>
      <c r="M129">
        <v>0</v>
      </c>
      <c r="N129">
        <v>16011915000</v>
      </c>
      <c r="O129">
        <v>0</v>
      </c>
      <c r="P129">
        <v>0</v>
      </c>
      <c r="Q129">
        <v>0</v>
      </c>
      <c r="R129">
        <v>11988227000</v>
      </c>
      <c r="S129">
        <v>0</v>
      </c>
      <c r="T129">
        <v>0</v>
      </c>
      <c r="U129">
        <v>0</v>
      </c>
      <c r="V129">
        <v>6922938000</v>
      </c>
      <c r="W129">
        <v>0</v>
      </c>
      <c r="X129">
        <v>0</v>
      </c>
      <c r="Y129">
        <v>0</v>
      </c>
      <c r="Z129">
        <v>5337278000</v>
      </c>
      <c r="AA129">
        <v>0</v>
      </c>
      <c r="AB129">
        <v>0</v>
      </c>
      <c r="AC129">
        <v>0</v>
      </c>
      <c r="AD129">
        <v>2580893000</v>
      </c>
      <c r="AE129">
        <v>0</v>
      </c>
      <c r="AF129">
        <v>0</v>
      </c>
      <c r="AG129">
        <v>0</v>
      </c>
      <c r="AH129">
        <v>2441652000</v>
      </c>
      <c r="AI129">
        <v>0</v>
      </c>
      <c r="AJ129">
        <v>0</v>
      </c>
      <c r="AK129">
        <v>0</v>
      </c>
      <c r="AL129">
        <v>2166153000</v>
      </c>
    </row>
    <row r="130" spans="1:38" x14ac:dyDescent="0.25">
      <c r="A130" t="s">
        <v>265</v>
      </c>
      <c r="B130">
        <v>43825456000</v>
      </c>
      <c r="C130">
        <v>15811375767.613304</v>
      </c>
      <c r="D130">
        <v>-17567676959.331276</v>
      </c>
      <c r="E130">
        <v>-6752119674.4607162</v>
      </c>
      <c r="F130">
        <v>64350543000</v>
      </c>
      <c r="G130">
        <v>8286638394.3656921</v>
      </c>
      <c r="H130">
        <v>6575648968.0719147</v>
      </c>
      <c r="I130">
        <v>-5640658909.757103</v>
      </c>
      <c r="J130">
        <v>68287907769.550407</v>
      </c>
      <c r="L130">
        <v>5471681000</v>
      </c>
      <c r="M130">
        <v>-1737381000</v>
      </c>
      <c r="N130">
        <v>16689754000</v>
      </c>
      <c r="O130">
        <v>7671935000</v>
      </c>
      <c r="P130">
        <v>-2402497000</v>
      </c>
      <c r="Q130">
        <v>537399000</v>
      </c>
      <c r="R130">
        <v>10205078000</v>
      </c>
      <c r="S130">
        <v>459897000</v>
      </c>
      <c r="T130">
        <v>2285044000</v>
      </c>
      <c r="U130">
        <v>1423156000</v>
      </c>
      <c r="V130">
        <v>7820130000</v>
      </c>
      <c r="W130">
        <v>1449475000</v>
      </c>
      <c r="X130">
        <v>-309496000</v>
      </c>
      <c r="Y130">
        <v>-688237000</v>
      </c>
      <c r="Z130">
        <v>6471196000</v>
      </c>
      <c r="AA130">
        <v>1115130000</v>
      </c>
      <c r="AB130">
        <v>1267448000</v>
      </c>
      <c r="AC130">
        <v>344718000</v>
      </c>
      <c r="AD130">
        <v>2609982000</v>
      </c>
      <c r="AE130">
        <v>598568000</v>
      </c>
      <c r="AF130">
        <v>-55685000</v>
      </c>
      <c r="AG130">
        <v>-847629000</v>
      </c>
      <c r="AH130">
        <v>2885639000</v>
      </c>
      <c r="AI130">
        <v>-279615000</v>
      </c>
      <c r="AJ130">
        <v>254844000</v>
      </c>
      <c r="AK130">
        <v>-23495000</v>
      </c>
      <c r="AL130">
        <v>2489918000</v>
      </c>
    </row>
  </sheetData>
  <pageMargins left="0.7" right="0.7" top="0.75" bottom="0.75" header="0.3" footer="0.3"/>
  <ignoredErrors>
    <ignoredError sqref="A1:AL13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30"/>
  <sheetViews>
    <sheetView workbookViewId="0"/>
  </sheetViews>
  <sheetFormatPr defaultRowHeight="15.75" x14ac:dyDescent="0.25"/>
  <cols>
    <col min="1" max="1" width="40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120</v>
      </c>
    </row>
    <row r="2" spans="1:38" x14ac:dyDescent="0.25">
      <c r="A2" t="s">
        <v>121</v>
      </c>
    </row>
    <row r="3" spans="1:38" x14ac:dyDescent="0.25">
      <c r="A3" t="s">
        <v>163</v>
      </c>
      <c r="B3">
        <v>-2087770978.0074863</v>
      </c>
      <c r="C3">
        <v>15837703021.992514</v>
      </c>
      <c r="D3">
        <v>-25406606008.502769</v>
      </c>
      <c r="E3">
        <v>-1280398082.3104019</v>
      </c>
      <c r="F3">
        <v>14027263522.423904</v>
      </c>
      <c r="G3">
        <v>-529215901.13426834</v>
      </c>
      <c r="K3">
        <v>-4603904336.192709</v>
      </c>
      <c r="L3">
        <v>-181883000</v>
      </c>
      <c r="M3">
        <v>-2998549000</v>
      </c>
      <c r="N3">
        <v>-389456000</v>
      </c>
      <c r="O3">
        <v>-1072549000</v>
      </c>
      <c r="P3">
        <v>-398194000</v>
      </c>
      <c r="Q3">
        <v>1190212000</v>
      </c>
      <c r="R3">
        <v>3927194000</v>
      </c>
      <c r="S3">
        <v>6420905000</v>
      </c>
      <c r="T3">
        <v>6376337000</v>
      </c>
      <c r="U3">
        <v>4827215000</v>
      </c>
      <c r="V3">
        <v>3268299000</v>
      </c>
      <c r="W3">
        <v>3174880000</v>
      </c>
      <c r="X3">
        <v>3215297000</v>
      </c>
      <c r="Y3">
        <v>2844869000</v>
      </c>
      <c r="Z3">
        <v>2342771000</v>
      </c>
      <c r="AA3">
        <v>1680909000</v>
      </c>
      <c r="AB3">
        <v>1280034000</v>
      </c>
      <c r="AC3">
        <v>1206022000</v>
      </c>
      <c r="AD3">
        <v>1014325000</v>
      </c>
      <c r="AE3">
        <v>589868000</v>
      </c>
      <c r="AF3">
        <v>596503000</v>
      </c>
      <c r="AG3">
        <v>773498000</v>
      </c>
      <c r="AH3">
        <v>1305842000</v>
      </c>
      <c r="AI3">
        <v>2067277000</v>
      </c>
    </row>
    <row r="4" spans="1:38" x14ac:dyDescent="0.25">
      <c r="A4" t="s">
        <v>160</v>
      </c>
      <c r="B4">
        <v>-7004178239.0046749</v>
      </c>
      <c r="C4">
        <v>-2429402239.0046749</v>
      </c>
      <c r="D4">
        <v>9605063969.6646233</v>
      </c>
      <c r="E4">
        <v>17887696133.411781</v>
      </c>
      <c r="F4">
        <v>23266672464.279663</v>
      </c>
      <c r="G4">
        <v>22625236415.127304</v>
      </c>
      <c r="K4">
        <v>11136494813.690586</v>
      </c>
      <c r="L4">
        <v>2952154000</v>
      </c>
      <c r="M4">
        <v>3174073000</v>
      </c>
      <c r="N4">
        <v>3375179000</v>
      </c>
      <c r="O4">
        <v>3251009000</v>
      </c>
      <c r="P4">
        <v>3527939000</v>
      </c>
      <c r="Q4">
        <v>3852328000</v>
      </c>
      <c r="R4">
        <v>3719736000</v>
      </c>
      <c r="S4">
        <v>2878989000</v>
      </c>
      <c r="T4">
        <v>1951120000</v>
      </c>
      <c r="U4">
        <v>1162945000</v>
      </c>
      <c r="V4">
        <v>986377000</v>
      </c>
      <c r="W4">
        <v>953026000</v>
      </c>
      <c r="X4">
        <v>992028000</v>
      </c>
      <c r="Y4">
        <v>991753000</v>
      </c>
      <c r="Z4">
        <v>904348000</v>
      </c>
      <c r="AA4">
        <v>855841000</v>
      </c>
      <c r="AB4">
        <v>665012000</v>
      </c>
      <c r="AC4">
        <v>669794000</v>
      </c>
      <c r="AD4">
        <v>782151000</v>
      </c>
      <c r="AE4">
        <v>845303000</v>
      </c>
      <c r="AF4">
        <v>985588000</v>
      </c>
      <c r="AG4">
        <v>992176000</v>
      </c>
      <c r="AH4">
        <v>1388284000</v>
      </c>
      <c r="AI4">
        <v>1304150000</v>
      </c>
    </row>
    <row r="5" spans="1:38" x14ac:dyDescent="0.25">
      <c r="A5" t="s">
        <v>164</v>
      </c>
      <c r="B5">
        <v>13009488772.013931</v>
      </c>
      <c r="C5">
        <v>9937879772.0139313</v>
      </c>
      <c r="D5">
        <v>-14102468701.747206</v>
      </c>
      <c r="E5">
        <v>-19013778409.635857</v>
      </c>
      <c r="F5">
        <v>-4814785389.3314018</v>
      </c>
      <c r="G5">
        <v>-10159054203.322718</v>
      </c>
      <c r="K5">
        <v>-17768457952.586346</v>
      </c>
      <c r="L5">
        <v>14692355000</v>
      </c>
      <c r="M5">
        <v>13081291000</v>
      </c>
      <c r="N5">
        <v>10992286000</v>
      </c>
      <c r="O5">
        <v>9343881000</v>
      </c>
      <c r="P5">
        <v>5124754000</v>
      </c>
      <c r="Q5">
        <v>5467250000</v>
      </c>
      <c r="R5">
        <v>4789914000</v>
      </c>
      <c r="S5">
        <v>4075683000</v>
      </c>
      <c r="T5">
        <v>3999243000</v>
      </c>
      <c r="U5">
        <v>2858165000</v>
      </c>
      <c r="V5">
        <v>3043448000</v>
      </c>
      <c r="W5">
        <v>3155164000</v>
      </c>
      <c r="X5">
        <v>2384387000</v>
      </c>
      <c r="Y5">
        <v>3232253000</v>
      </c>
      <c r="Z5">
        <v>3070720000</v>
      </c>
      <c r="AA5">
        <v>2749216000</v>
      </c>
      <c r="AB5">
        <v>3448392000</v>
      </c>
      <c r="AC5">
        <v>2236147000</v>
      </c>
      <c r="AD5">
        <v>1829995000</v>
      </c>
      <c r="AE5">
        <v>1694269000</v>
      </c>
      <c r="AF5">
        <v>1482165000</v>
      </c>
      <c r="AG5">
        <v>1371645000</v>
      </c>
      <c r="AH5">
        <v>837005000</v>
      </c>
      <c r="AI5">
        <v>645072000</v>
      </c>
    </row>
    <row r="6" spans="1:38" x14ac:dyDescent="0.25">
      <c r="A6" t="s">
        <v>165</v>
      </c>
      <c r="B6">
        <v>19402874565.729824</v>
      </c>
      <c r="C6">
        <v>18215384565.729824</v>
      </c>
      <c r="D6">
        <v>16716550160.700569</v>
      </c>
      <c r="E6">
        <v>15166533026.635784</v>
      </c>
      <c r="F6">
        <v>13823958655.111643</v>
      </c>
      <c r="G6">
        <v>13848858924.393288</v>
      </c>
      <c r="K6">
        <v>12812407160.343771</v>
      </c>
      <c r="L6">
        <v>3031335000</v>
      </c>
      <c r="M6">
        <v>2612428000</v>
      </c>
      <c r="N6">
        <v>2211848000</v>
      </c>
      <c r="O6">
        <v>1845682000</v>
      </c>
      <c r="P6">
        <v>1512073000</v>
      </c>
      <c r="Q6">
        <v>1369389000</v>
      </c>
      <c r="R6">
        <v>1285623000</v>
      </c>
      <c r="S6">
        <v>1221994000</v>
      </c>
      <c r="T6">
        <v>1175195000</v>
      </c>
      <c r="U6">
        <v>1126183000</v>
      </c>
      <c r="V6">
        <v>1087192000</v>
      </c>
      <c r="W6">
        <v>1054934000</v>
      </c>
      <c r="X6">
        <v>971580000</v>
      </c>
      <c r="Y6">
        <v>886922000</v>
      </c>
      <c r="Z6">
        <v>789941000</v>
      </c>
      <c r="AA6">
        <v>690414000</v>
      </c>
      <c r="AB6">
        <v>639801000</v>
      </c>
      <c r="AC6">
        <v>592105000</v>
      </c>
      <c r="AD6">
        <v>566048000</v>
      </c>
      <c r="AE6">
        <v>548187000</v>
      </c>
      <c r="AF6">
        <v>525939000</v>
      </c>
      <c r="AG6">
        <v>497879000</v>
      </c>
      <c r="AH6">
        <v>472980000</v>
      </c>
      <c r="AI6">
        <v>438682000</v>
      </c>
    </row>
    <row r="7" spans="1:38" x14ac:dyDescent="0.25">
      <c r="A7" t="s">
        <v>166</v>
      </c>
      <c r="B7">
        <v>-163713393.94311899</v>
      </c>
      <c r="C7">
        <v>-313870393.94311899</v>
      </c>
      <c r="D7">
        <v>-128621751.56504932</v>
      </c>
      <c r="E7">
        <v>-141828596.78640947</v>
      </c>
      <c r="F7">
        <v>222794457.67959166</v>
      </c>
      <c r="G7">
        <v>493006351.55985177</v>
      </c>
      <c r="K7">
        <v>269780050.70507371</v>
      </c>
      <c r="L7">
        <v>21261000</v>
      </c>
      <c r="M7">
        <v>10690000</v>
      </c>
      <c r="N7">
        <v>-7420000</v>
      </c>
      <c r="O7">
        <v>1493000</v>
      </c>
      <c r="P7">
        <v>149091000</v>
      </c>
      <c r="Q7">
        <v>194628000</v>
      </c>
      <c r="R7">
        <v>199452000</v>
      </c>
      <c r="S7">
        <v>182697000</v>
      </c>
      <c r="T7">
        <v>132686000</v>
      </c>
      <c r="U7">
        <v>80238000</v>
      </c>
      <c r="V7">
        <v>89153000</v>
      </c>
      <c r="W7">
        <v>88801000</v>
      </c>
      <c r="X7">
        <v>88366000</v>
      </c>
      <c r="Y7">
        <v>88310000</v>
      </c>
      <c r="Z7">
        <v>67567000</v>
      </c>
      <c r="AA7">
        <v>65656000</v>
      </c>
      <c r="AB7">
        <v>63075000</v>
      </c>
      <c r="AC7">
        <v>55498000</v>
      </c>
      <c r="AD7">
        <v>52218000</v>
      </c>
      <c r="AE7">
        <v>41995000</v>
      </c>
      <c r="AF7">
        <v>29645000</v>
      </c>
      <c r="AG7">
        <v>30864000</v>
      </c>
      <c r="AH7">
        <v>50849000</v>
      </c>
      <c r="AI7">
        <v>49515000</v>
      </c>
    </row>
    <row r="8" spans="1:38" x14ac:dyDescent="0.25">
      <c r="A8" t="s">
        <v>167</v>
      </c>
      <c r="B8">
        <v>17853311860.05476</v>
      </c>
      <c r="C8">
        <v>19146671860.05476</v>
      </c>
      <c r="D8">
        <v>4608781637.2863188</v>
      </c>
      <c r="E8">
        <v>2330551476.6543641</v>
      </c>
      <c r="F8">
        <v>6937873366.8578844</v>
      </c>
      <c r="G8">
        <v>6250657123.4471331</v>
      </c>
      <c r="K8">
        <v>4362586166.6469469</v>
      </c>
      <c r="L8">
        <v>5271400000</v>
      </c>
      <c r="M8">
        <v>4831830000</v>
      </c>
      <c r="N8">
        <v>4182141000</v>
      </c>
      <c r="O8">
        <v>3818561000</v>
      </c>
      <c r="P8">
        <v>1598319000</v>
      </c>
      <c r="Q8">
        <v>1796939000</v>
      </c>
      <c r="R8">
        <v>1433200000</v>
      </c>
      <c r="S8">
        <v>856376000</v>
      </c>
      <c r="T8">
        <v>803320000</v>
      </c>
      <c r="U8">
        <v>68838000</v>
      </c>
      <c r="V8">
        <v>139017000</v>
      </c>
      <c r="W8">
        <v>383637000</v>
      </c>
      <c r="X8">
        <v>211881000</v>
      </c>
      <c r="Y8">
        <v>490403000</v>
      </c>
      <c r="Z8">
        <v>430261000</v>
      </c>
      <c r="AA8">
        <v>289387000</v>
      </c>
      <c r="AB8">
        <v>555651000</v>
      </c>
      <c r="AC8">
        <v>278339000</v>
      </c>
      <c r="AD8">
        <v>238498000</v>
      </c>
      <c r="AE8">
        <v>304873000</v>
      </c>
      <c r="AF8">
        <v>272548000</v>
      </c>
      <c r="AG8">
        <v>299256000</v>
      </c>
      <c r="AH8">
        <v>257166000</v>
      </c>
      <c r="AI8">
        <v>161814000</v>
      </c>
    </row>
    <row r="9" spans="1:38" x14ac:dyDescent="0.25">
      <c r="A9" t="s">
        <v>168</v>
      </c>
      <c r="C9">
        <v>-2890248.2501722821</v>
      </c>
      <c r="D9">
        <v>-3034360.6939528072</v>
      </c>
      <c r="G9">
        <v>-479873.66225251905</v>
      </c>
      <c r="K9">
        <v>-1220407.8348696874</v>
      </c>
      <c r="L9">
        <v>-381000</v>
      </c>
      <c r="M9">
        <v>-381000</v>
      </c>
      <c r="N9">
        <v>-381000</v>
      </c>
      <c r="O9">
        <v>-342000</v>
      </c>
      <c r="S9">
        <v>-93000</v>
      </c>
      <c r="AA9">
        <v>-94000</v>
      </c>
      <c r="AB9">
        <v>-94000</v>
      </c>
      <c r="AC9">
        <v>-94000</v>
      </c>
      <c r="AD9">
        <v>-187000</v>
      </c>
      <c r="AE9">
        <v>-93000</v>
      </c>
      <c r="AF9">
        <v>-93000</v>
      </c>
      <c r="AG9">
        <v>-93000</v>
      </c>
      <c r="AI9">
        <v>-59000</v>
      </c>
    </row>
    <row r="10" spans="1:38" x14ac:dyDescent="0.25">
      <c r="A10" t="s">
        <v>169</v>
      </c>
    </row>
    <row r="11" spans="1:38" x14ac:dyDescent="0.25">
      <c r="A11" t="s">
        <v>170</v>
      </c>
      <c r="C11">
        <v>-18736022174.837498</v>
      </c>
      <c r="K11">
        <v>-4253826852.800396</v>
      </c>
      <c r="O11">
        <v>-234997000</v>
      </c>
      <c r="S11">
        <v>0</v>
      </c>
    </row>
    <row r="12" spans="1:38" x14ac:dyDescent="0.25">
      <c r="A12" t="s">
        <v>171</v>
      </c>
      <c r="B12">
        <v>15693899515.438341</v>
      </c>
      <c r="C12">
        <v>14390682515.438341</v>
      </c>
      <c r="D12">
        <v>11585031590.72282</v>
      </c>
      <c r="E12">
        <v>9808239915.516098</v>
      </c>
      <c r="F12">
        <v>9429017151.6666737</v>
      </c>
      <c r="G12">
        <v>9631272420.0368786</v>
      </c>
      <c r="K12">
        <v>11515015109.369787</v>
      </c>
      <c r="L12">
        <v>3047780000</v>
      </c>
      <c r="M12">
        <v>2523742000</v>
      </c>
      <c r="N12">
        <v>2021533000</v>
      </c>
      <c r="O12">
        <v>1599916000</v>
      </c>
      <c r="P12">
        <v>1266218000</v>
      </c>
      <c r="Q12">
        <v>1067352000</v>
      </c>
      <c r="R12">
        <v>1003993000</v>
      </c>
      <c r="S12">
        <v>1110323000</v>
      </c>
      <c r="T12">
        <v>1277008000</v>
      </c>
      <c r="U12">
        <v>1351145000</v>
      </c>
      <c r="V12">
        <v>1406389000</v>
      </c>
      <c r="W12">
        <v>1410618000</v>
      </c>
      <c r="X12">
        <v>1329009000</v>
      </c>
      <c r="Y12">
        <v>1273606000</v>
      </c>
      <c r="Z12">
        <v>1117934000</v>
      </c>
      <c r="AA12">
        <v>947585000</v>
      </c>
      <c r="AB12">
        <v>812941000</v>
      </c>
      <c r="AC12">
        <v>682024000</v>
      </c>
      <c r="AD12">
        <v>606638000</v>
      </c>
      <c r="AE12">
        <v>544336000</v>
      </c>
      <c r="AF12">
        <v>498484000</v>
      </c>
      <c r="AG12">
        <v>450470000</v>
      </c>
      <c r="AH12">
        <v>425790000</v>
      </c>
      <c r="AI12">
        <v>412636000</v>
      </c>
    </row>
    <row r="13" spans="1:38" x14ac:dyDescent="0.25">
      <c r="A13" t="s">
        <v>172</v>
      </c>
      <c r="B13">
        <v>-810114862.8336221</v>
      </c>
      <c r="C13">
        <v>-847062862.8336221</v>
      </c>
      <c r="D13">
        <v>-735312407.09403849</v>
      </c>
      <c r="E13">
        <v>-555323544.52712893</v>
      </c>
      <c r="F13">
        <v>-595899392.81180918</v>
      </c>
      <c r="G13">
        <v>-592407337.93373191</v>
      </c>
      <c r="K13">
        <v>-367407910.2765438</v>
      </c>
      <c r="L13">
        <v>-110682000</v>
      </c>
      <c r="M13">
        <v>-116344000</v>
      </c>
      <c r="N13">
        <v>-83016000</v>
      </c>
      <c r="O13">
        <v>-90990000</v>
      </c>
      <c r="P13">
        <v>-110015000</v>
      </c>
      <c r="Q13">
        <v>-104907000</v>
      </c>
      <c r="R13">
        <v>-117225000</v>
      </c>
      <c r="S13">
        <v>-109988000</v>
      </c>
      <c r="T13">
        <v>-103101000</v>
      </c>
      <c r="U13">
        <v>-89552000</v>
      </c>
      <c r="V13">
        <v>-72473000</v>
      </c>
      <c r="W13">
        <v>-72940000</v>
      </c>
      <c r="X13">
        <v>-59969000</v>
      </c>
      <c r="Y13">
        <v>-71296000</v>
      </c>
      <c r="Z13">
        <v>-85535000</v>
      </c>
      <c r="AA13">
        <v>-77722000</v>
      </c>
      <c r="AB13">
        <v>-69259000</v>
      </c>
      <c r="AC13">
        <v>-63896000</v>
      </c>
      <c r="AD13">
        <v>-37236000</v>
      </c>
      <c r="AE13">
        <v>-67314000</v>
      </c>
      <c r="AF13">
        <v>-102267000</v>
      </c>
      <c r="AG13">
        <v>-140190000</v>
      </c>
      <c r="AH13">
        <v>-186841000</v>
      </c>
      <c r="AI13">
        <v>-198860000</v>
      </c>
    </row>
    <row r="14" spans="1:38" x14ac:dyDescent="0.25">
      <c r="A14" t="s">
        <v>173</v>
      </c>
    </row>
    <row r="15" spans="1:38" x14ac:dyDescent="0.25">
      <c r="A15" t="s">
        <v>174</v>
      </c>
      <c r="B15">
        <v>-1008324029.7852526</v>
      </c>
      <c r="C15">
        <v>1098355970.2147474</v>
      </c>
      <c r="D15">
        <v>674962055.79308224</v>
      </c>
      <c r="E15">
        <v>864156518.57868624</v>
      </c>
      <c r="F15">
        <v>10447645857.859638</v>
      </c>
      <c r="G15">
        <v>8510702481.644969</v>
      </c>
      <c r="K15">
        <v>7124842640.6221418</v>
      </c>
      <c r="L15">
        <v>3508031000</v>
      </c>
      <c r="M15">
        <v>2916997000</v>
      </c>
      <c r="N15">
        <v>2276581000</v>
      </c>
      <c r="O15">
        <v>1639073000</v>
      </c>
      <c r="P15">
        <v>45311000</v>
      </c>
      <c r="Q15">
        <v>25472000</v>
      </c>
      <c r="R15">
        <v>-17827000</v>
      </c>
      <c r="S15">
        <v>89246000</v>
      </c>
      <c r="T15">
        <v>129051000</v>
      </c>
      <c r="U15">
        <v>102982000</v>
      </c>
      <c r="V15">
        <v>99455000</v>
      </c>
      <c r="W15">
        <v>145042000</v>
      </c>
      <c r="X15">
        <v>-335342000</v>
      </c>
      <c r="Y15">
        <v>728565000</v>
      </c>
      <c r="Z15">
        <v>1027711000</v>
      </c>
      <c r="AA15">
        <v>1021151000</v>
      </c>
      <c r="AB15">
        <v>1535372000</v>
      </c>
      <c r="AC15">
        <v>574539000</v>
      </c>
      <c r="AD15">
        <v>202099000</v>
      </c>
      <c r="AE15">
        <v>208648000</v>
      </c>
      <c r="AF15">
        <v>400574000</v>
      </c>
      <c r="AG15">
        <v>379023000</v>
      </c>
      <c r="AH15">
        <v>463443000</v>
      </c>
      <c r="AI15">
        <v>359602000</v>
      </c>
    </row>
    <row r="16" spans="1:38" x14ac:dyDescent="0.25">
      <c r="A16" t="s">
        <v>175</v>
      </c>
    </row>
    <row r="17" spans="1:35" x14ac:dyDescent="0.25">
      <c r="A17" t="s">
        <v>176</v>
      </c>
    </row>
    <row r="18" spans="1:35" x14ac:dyDescent="0.25">
      <c r="A18" t="s">
        <v>177</v>
      </c>
      <c r="B18">
        <v>4490590207.0812616</v>
      </c>
      <c r="C18">
        <v>4372252207.0812616</v>
      </c>
      <c r="D18">
        <v>3475166638.0025663</v>
      </c>
      <c r="E18">
        <v>2956507409.1349893</v>
      </c>
      <c r="F18">
        <v>-5147391214.9162798</v>
      </c>
      <c r="G18">
        <v>-5949467060.8407373</v>
      </c>
      <c r="K18">
        <v>489429624.89109272</v>
      </c>
      <c r="L18">
        <v>230228000</v>
      </c>
      <c r="M18">
        <v>267679000</v>
      </c>
      <c r="N18">
        <v>228121000</v>
      </c>
      <c r="O18">
        <v>436011000</v>
      </c>
      <c r="P18">
        <v>129185000</v>
      </c>
      <c r="Q18">
        <v>416290000</v>
      </c>
      <c r="R18">
        <v>488378000</v>
      </c>
      <c r="S18">
        <v>364222000</v>
      </c>
      <c r="T18">
        <v>397293000</v>
      </c>
      <c r="U18">
        <v>232825000</v>
      </c>
      <c r="V18">
        <v>114278000</v>
      </c>
      <c r="W18">
        <v>-14769000</v>
      </c>
      <c r="X18">
        <v>66996000</v>
      </c>
      <c r="Y18">
        <v>-356374000</v>
      </c>
      <c r="Z18">
        <v>-420430000</v>
      </c>
      <c r="AA18">
        <v>-278752000</v>
      </c>
      <c r="AB18">
        <v>-207229000</v>
      </c>
      <c r="AC18">
        <v>110166000</v>
      </c>
      <c r="AD18">
        <v>268005000</v>
      </c>
      <c r="AE18">
        <v>168195000</v>
      </c>
      <c r="AF18">
        <v>61660000</v>
      </c>
      <c r="AG18">
        <v>36742000</v>
      </c>
      <c r="AH18">
        <v>-93981000</v>
      </c>
      <c r="AI18">
        <v>-35782000</v>
      </c>
    </row>
    <row r="19" spans="1:35" x14ac:dyDescent="0.25">
      <c r="A19" t="s">
        <v>178</v>
      </c>
      <c r="B19">
        <v>156950513.10275465</v>
      </c>
      <c r="C19">
        <v>193787513.10275465</v>
      </c>
      <c r="D19">
        <v>408840115.49930692</v>
      </c>
      <c r="E19">
        <v>825127770.88756335</v>
      </c>
      <c r="F19">
        <v>620168733.30355096</v>
      </c>
      <c r="G19">
        <v>765013271.60976708</v>
      </c>
      <c r="K19">
        <v>1176195065.0915897</v>
      </c>
      <c r="L19">
        <v>86138000</v>
      </c>
      <c r="M19">
        <v>53280000</v>
      </c>
      <c r="N19">
        <v>57805000</v>
      </c>
      <c r="O19">
        <v>44514000</v>
      </c>
      <c r="P19">
        <v>17354000</v>
      </c>
      <c r="Q19">
        <v>-3165000</v>
      </c>
      <c r="R19">
        <v>-38233000</v>
      </c>
      <c r="S19">
        <v>-41226000</v>
      </c>
      <c r="T19">
        <v>-43343000</v>
      </c>
      <c r="U19">
        <v>-29327000</v>
      </c>
      <c r="V19">
        <v>-13609000</v>
      </c>
      <c r="W19">
        <v>-21041000</v>
      </c>
      <c r="X19">
        <v>-21133000</v>
      </c>
      <c r="Y19">
        <v>5680000</v>
      </c>
      <c r="Z19">
        <v>-16503000</v>
      </c>
      <c r="AA19">
        <v>-12226000</v>
      </c>
      <c r="AB19">
        <v>-17327000</v>
      </c>
      <c r="AC19">
        <v>-47553000</v>
      </c>
      <c r="AD19">
        <v>-35915000</v>
      </c>
      <c r="AE19">
        <v>-39090000</v>
      </c>
      <c r="AF19">
        <v>-44164000</v>
      </c>
      <c r="AG19">
        <v>-41495000</v>
      </c>
      <c r="AH19">
        <v>-42056000</v>
      </c>
      <c r="AI19">
        <v>-34857000</v>
      </c>
    </row>
    <row r="20" spans="1:35" x14ac:dyDescent="0.25">
      <c r="A20" t="s">
        <v>179</v>
      </c>
      <c r="B20">
        <v>630527238.60237288</v>
      </c>
      <c r="C20">
        <v>656938238.60237288</v>
      </c>
      <c r="D20">
        <v>-7499924922.9730873</v>
      </c>
      <c r="E20">
        <v>-2664156213.1860156</v>
      </c>
      <c r="F20">
        <v>-1275176260.3559241</v>
      </c>
      <c r="G20">
        <v>-1965606545.6929467</v>
      </c>
      <c r="K20">
        <v>367058314.28218001</v>
      </c>
      <c r="L20">
        <v>8934000</v>
      </c>
      <c r="M20">
        <v>326101000</v>
      </c>
      <c r="N20">
        <v>404627000</v>
      </c>
      <c r="O20">
        <v>371605000</v>
      </c>
      <c r="P20">
        <v>499026000</v>
      </c>
      <c r="Q20">
        <v>689233000</v>
      </c>
      <c r="R20">
        <v>764021000</v>
      </c>
      <c r="S20">
        <v>618916000</v>
      </c>
      <c r="T20">
        <v>450241000</v>
      </c>
      <c r="U20">
        <v>222927000</v>
      </c>
      <c r="V20">
        <v>175365000</v>
      </c>
      <c r="W20">
        <v>161154000</v>
      </c>
      <c r="X20">
        <v>110260000</v>
      </c>
      <c r="Y20">
        <v>172833000</v>
      </c>
      <c r="Z20">
        <v>148079000</v>
      </c>
      <c r="AA20">
        <v>93565000</v>
      </c>
      <c r="AB20">
        <v>126408000</v>
      </c>
      <c r="AC20">
        <v>48230000</v>
      </c>
      <c r="AD20">
        <v>-39999000</v>
      </c>
      <c r="AE20">
        <v>-24406000</v>
      </c>
      <c r="AF20">
        <v>-168703000</v>
      </c>
      <c r="AG20">
        <v>-150466000</v>
      </c>
      <c r="AH20">
        <v>-104493000</v>
      </c>
      <c r="AI20">
        <v>-102469000</v>
      </c>
    </row>
    <row r="21" spans="1:35" x14ac:dyDescent="0.25">
      <c r="A21" t="s">
        <v>180</v>
      </c>
    </row>
    <row r="22" spans="1:35" x14ac:dyDescent="0.25">
      <c r="A22" t="s">
        <v>181</v>
      </c>
      <c r="B22">
        <v>137603225.33757985</v>
      </c>
      <c r="C22">
        <v>159615225.33757985</v>
      </c>
      <c r="D22">
        <v>212847439.51362193</v>
      </c>
      <c r="E22">
        <v>192495207.86103919</v>
      </c>
      <c r="F22">
        <v>83894631.073209137</v>
      </c>
      <c r="G22">
        <v>82595502.546050549</v>
      </c>
      <c r="K22">
        <v>203035819.0902344</v>
      </c>
      <c r="L22">
        <v>-9352000</v>
      </c>
      <c r="M22">
        <v>-3326000</v>
      </c>
      <c r="N22">
        <v>891000</v>
      </c>
      <c r="O22">
        <v>-15310000</v>
      </c>
      <c r="P22">
        <v>21000</v>
      </c>
      <c r="Q22">
        <v>1366000</v>
      </c>
      <c r="R22">
        <v>2272000</v>
      </c>
      <c r="S22">
        <v>1705000</v>
      </c>
      <c r="T22">
        <v>-2197000</v>
      </c>
      <c r="U22">
        <v>-3461000</v>
      </c>
      <c r="V22">
        <v>-3179000</v>
      </c>
      <c r="W22">
        <v>-2580000</v>
      </c>
      <c r="X22">
        <v>-2856000</v>
      </c>
      <c r="Y22">
        <v>-2803000</v>
      </c>
      <c r="Z22">
        <v>-5981000</v>
      </c>
      <c r="AA22">
        <v>-6389000</v>
      </c>
      <c r="AB22">
        <v>-3125000</v>
      </c>
      <c r="AC22">
        <v>-3730000</v>
      </c>
      <c r="AD22">
        <v>-602000</v>
      </c>
      <c r="AE22">
        <v>-845000</v>
      </c>
      <c r="AF22">
        <v>-1327000</v>
      </c>
      <c r="AG22">
        <v>-1054000</v>
      </c>
      <c r="AH22">
        <v>-2275000</v>
      </c>
      <c r="AI22">
        <v>-2531000</v>
      </c>
    </row>
    <row r="23" spans="1:35" x14ac:dyDescent="0.25">
      <c r="A23" t="s">
        <v>182</v>
      </c>
    </row>
    <row r="24" spans="1:35" x14ac:dyDescent="0.25">
      <c r="A24" t="s">
        <v>183</v>
      </c>
      <c r="B24">
        <v>8068337.4085042179</v>
      </c>
      <c r="C24">
        <v>-14488662.591495782</v>
      </c>
      <c r="D24">
        <v>-22557617.62517022</v>
      </c>
      <c r="E24">
        <v>-22556791.578457199</v>
      </c>
      <c r="F24">
        <v>-22557000</v>
      </c>
      <c r="G24">
        <v>0</v>
      </c>
      <c r="O24">
        <v>-930000</v>
      </c>
      <c r="S24">
        <v>0</v>
      </c>
      <c r="T24">
        <v>-226498000</v>
      </c>
      <c r="U24">
        <v>-222178000</v>
      </c>
      <c r="W24">
        <v>4320000</v>
      </c>
      <c r="X24">
        <v>4320000</v>
      </c>
      <c r="AA24">
        <v>0</v>
      </c>
      <c r="AI24">
        <v>-413739000</v>
      </c>
    </row>
    <row r="25" spans="1:35" x14ac:dyDescent="0.25">
      <c r="A25" t="s">
        <v>184</v>
      </c>
      <c r="O25">
        <v>-55682000</v>
      </c>
      <c r="S25">
        <v>-226498000</v>
      </c>
    </row>
    <row r="26" spans="1:35" x14ac:dyDescent="0.25">
      <c r="A26" t="s">
        <v>185</v>
      </c>
    </row>
    <row r="27" spans="1:35" x14ac:dyDescent="0.25">
      <c r="A27" t="s">
        <v>186</v>
      </c>
      <c r="B27">
        <v>3267496678.854929</v>
      </c>
      <c r="C27">
        <v>2736163678.854929</v>
      </c>
      <c r="D27">
        <v>1488392460.8908463</v>
      </c>
      <c r="E27">
        <v>71264679.207013369</v>
      </c>
      <c r="F27">
        <v>12158429927.321819</v>
      </c>
      <c r="G27">
        <v>109889968.02816115</v>
      </c>
      <c r="K27">
        <v>-51466352732.717361</v>
      </c>
      <c r="L27">
        <v>-100728000</v>
      </c>
      <c r="M27">
        <v>-49796000</v>
      </c>
      <c r="N27">
        <v>-8835000</v>
      </c>
      <c r="O27">
        <v>-14723000</v>
      </c>
      <c r="P27">
        <v>18381000</v>
      </c>
      <c r="Q27">
        <v>14863000</v>
      </c>
      <c r="R27">
        <v>12968000</v>
      </c>
      <c r="S27">
        <v>8009000</v>
      </c>
      <c r="T27">
        <v>9588000</v>
      </c>
      <c r="U27">
        <v>17545000</v>
      </c>
      <c r="V27">
        <v>17540000</v>
      </c>
      <c r="W27">
        <v>17988000</v>
      </c>
      <c r="X27">
        <v>21275000</v>
      </c>
      <c r="Y27">
        <v>16407000</v>
      </c>
      <c r="Z27">
        <v>17676000</v>
      </c>
      <c r="AA27">
        <v>16641000</v>
      </c>
      <c r="AB27">
        <v>12178000</v>
      </c>
      <c r="AC27">
        <v>10519000</v>
      </c>
      <c r="AD27">
        <v>10428000</v>
      </c>
      <c r="AE27">
        <v>9783000</v>
      </c>
      <c r="AF27">
        <v>9869000</v>
      </c>
      <c r="AG27">
        <v>10709000</v>
      </c>
      <c r="AH27">
        <v>10221000</v>
      </c>
      <c r="AI27">
        <v>11120000</v>
      </c>
    </row>
    <row r="28" spans="1:35" x14ac:dyDescent="0.25">
      <c r="A28" t="s">
        <v>187</v>
      </c>
      <c r="B28">
        <v>-7059913392.4307613</v>
      </c>
      <c r="C28">
        <v>9314914607.5692387</v>
      </c>
      <c r="D28">
        <v>-19873770097.801956</v>
      </c>
      <c r="E28">
        <v>843465747.9695158</v>
      </c>
      <c r="F28">
        <v>-3580458568.1542969</v>
      </c>
      <c r="G28">
        <v>-11704087804.764299</v>
      </c>
      <c r="K28">
        <v>4347693377.2870522</v>
      </c>
      <c r="L28">
        <v>-17162047000</v>
      </c>
      <c r="M28">
        <v>-18459656000</v>
      </c>
      <c r="N28">
        <v>-14084755000</v>
      </c>
      <c r="O28">
        <v>-13168716000</v>
      </c>
      <c r="P28">
        <v>-8688937000</v>
      </c>
      <c r="Q28">
        <v>-7911907000</v>
      </c>
      <c r="R28">
        <v>-4392437000</v>
      </c>
      <c r="S28">
        <v>-366321000</v>
      </c>
      <c r="T28">
        <v>569327000</v>
      </c>
      <c r="U28">
        <v>940892000</v>
      </c>
      <c r="V28">
        <v>-602169000</v>
      </c>
      <c r="W28">
        <v>-782999000</v>
      </c>
      <c r="X28">
        <v>-24828000</v>
      </c>
      <c r="Y28">
        <v>-1262578000</v>
      </c>
      <c r="Z28">
        <v>-1541381000</v>
      </c>
      <c r="AA28">
        <v>-1818338000</v>
      </c>
      <c r="AB28">
        <v>-2684812000</v>
      </c>
      <c r="AC28">
        <v>-1574758000</v>
      </c>
      <c r="AD28">
        <v>-1425607000</v>
      </c>
      <c r="AE28">
        <v>-1785765000</v>
      </c>
      <c r="AF28">
        <v>-1721731000</v>
      </c>
      <c r="AG28">
        <v>-1378826000</v>
      </c>
      <c r="AH28">
        <v>-777444000</v>
      </c>
      <c r="AI28">
        <v>253044000</v>
      </c>
    </row>
    <row r="29" spans="1:35" x14ac:dyDescent="0.25">
      <c r="A29" t="s">
        <v>188</v>
      </c>
    </row>
    <row r="30" spans="1:35" x14ac:dyDescent="0.25">
      <c r="A30" t="s">
        <v>189</v>
      </c>
    </row>
    <row r="31" spans="1:35" x14ac:dyDescent="0.25">
      <c r="A31" t="s">
        <v>190</v>
      </c>
      <c r="B31">
        <v>16737859738.987915</v>
      </c>
      <c r="C31">
        <v>32444142738.987915</v>
      </c>
      <c r="D31">
        <v>6811391182.6711082</v>
      </c>
      <c r="E31">
        <v>4961920897.6539087</v>
      </c>
      <c r="F31">
        <v>-9464445525.6816692</v>
      </c>
      <c r="G31">
        <v>-16323865670.726938</v>
      </c>
      <c r="K31">
        <v>12310748031.940756</v>
      </c>
      <c r="L31">
        <v>-14668125000</v>
      </c>
      <c r="M31">
        <v>-15845776000</v>
      </c>
      <c r="N31">
        <v>-12161255000</v>
      </c>
      <c r="O31">
        <v>-10244163000</v>
      </c>
      <c r="P31">
        <v>-5692025000</v>
      </c>
      <c r="Q31">
        <v>-8092924000</v>
      </c>
      <c r="R31">
        <v>-6729028000</v>
      </c>
      <c r="S31">
        <v>-2781751000</v>
      </c>
      <c r="T31">
        <v>-2475376000</v>
      </c>
      <c r="U31">
        <v>571945000</v>
      </c>
      <c r="V31">
        <v>-703859000</v>
      </c>
      <c r="W31">
        <v>-1548013000</v>
      </c>
      <c r="X31">
        <v>-76569000</v>
      </c>
      <c r="Y31">
        <v>-1427456000</v>
      </c>
      <c r="Z31">
        <v>-1497575000</v>
      </c>
      <c r="AA31">
        <v>-1283364000</v>
      </c>
      <c r="AB31">
        <v>-2466402000</v>
      </c>
      <c r="AC31">
        <v>-1524825000</v>
      </c>
      <c r="AD31">
        <v>-1117899000</v>
      </c>
      <c r="AE31">
        <v>-1226705000</v>
      </c>
      <c r="AF31">
        <v>-1700078000</v>
      </c>
      <c r="AG31">
        <v>-1406523000</v>
      </c>
      <c r="AH31">
        <v>-1193141000</v>
      </c>
      <c r="AI31">
        <v>-482683000</v>
      </c>
    </row>
    <row r="32" spans="1:35" x14ac:dyDescent="0.25">
      <c r="A32" t="s">
        <v>191</v>
      </c>
    </row>
    <row r="33" spans="1:35" x14ac:dyDescent="0.25">
      <c r="A33" t="s">
        <v>192</v>
      </c>
    </row>
    <row r="34" spans="1:35" x14ac:dyDescent="0.25">
      <c r="A34" t="s">
        <v>193</v>
      </c>
    </row>
    <row r="35" spans="1:35" x14ac:dyDescent="0.25">
      <c r="A35" t="s">
        <v>194</v>
      </c>
    </row>
    <row r="36" spans="1:35" x14ac:dyDescent="0.25">
      <c r="A36" t="s">
        <v>195</v>
      </c>
    </row>
    <row r="37" spans="1:35" x14ac:dyDescent="0.25">
      <c r="A37" t="s">
        <v>196</v>
      </c>
      <c r="B37">
        <v>4851469702.6652527</v>
      </c>
      <c r="C37">
        <v>18331532702.665253</v>
      </c>
      <c r="D37">
        <v>9134006519.3078499</v>
      </c>
      <c r="E37">
        <v>16869854006.364243</v>
      </c>
      <c r="F37">
        <v>5635321429.1277666</v>
      </c>
      <c r="G37">
        <v>6325495402.2052116</v>
      </c>
      <c r="K37">
        <v>-2435152214.6306829</v>
      </c>
      <c r="L37">
        <v>-17698354000</v>
      </c>
      <c r="M37">
        <v>-15047860000</v>
      </c>
      <c r="N37">
        <v>-12362672000</v>
      </c>
      <c r="O37">
        <v>-8778570000</v>
      </c>
      <c r="P37">
        <v>-5295838000</v>
      </c>
      <c r="Q37">
        <v>-6542765000</v>
      </c>
      <c r="R37">
        <v>-4446237000</v>
      </c>
      <c r="S37">
        <v>-1550665000</v>
      </c>
      <c r="T37">
        <v>-925212000</v>
      </c>
      <c r="U37">
        <v>162318000</v>
      </c>
      <c r="V37">
        <v>-127312000</v>
      </c>
      <c r="W37">
        <v>-287696000</v>
      </c>
      <c r="X37">
        <v>497719000</v>
      </c>
      <c r="Y37">
        <v>-1079709000</v>
      </c>
      <c r="Z37">
        <v>-1169463000</v>
      </c>
      <c r="AA37">
        <v>-1348338000</v>
      </c>
      <c r="AB37">
        <v>-2302117000</v>
      </c>
      <c r="AC37">
        <v>-1241854000</v>
      </c>
      <c r="AD37">
        <v>-1075080000</v>
      </c>
      <c r="AE37">
        <v>-1035079000</v>
      </c>
      <c r="AF37">
        <v>-1433832000</v>
      </c>
      <c r="AG37">
        <v>-1116521000</v>
      </c>
      <c r="AH37">
        <v>-893079000</v>
      </c>
      <c r="AI37">
        <v>-515333000</v>
      </c>
    </row>
    <row r="38" spans="1:35" x14ac:dyDescent="0.25">
      <c r="A38" t="s">
        <v>197</v>
      </c>
    </row>
    <row r="39" spans="1:35" x14ac:dyDescent="0.25">
      <c r="A39" t="s">
        <v>198</v>
      </c>
      <c r="B39">
        <v>217174468.03374863</v>
      </c>
      <c r="C39">
        <v>-440015531.96625131</v>
      </c>
      <c r="D39">
        <v>-3499826559.7542248</v>
      </c>
      <c r="E39">
        <v>-3708576888.9306974</v>
      </c>
      <c r="F39">
        <v>-3027933025.2973151</v>
      </c>
      <c r="G39">
        <v>-1077143573.2133877</v>
      </c>
      <c r="K39">
        <v>258542128.55898201</v>
      </c>
      <c r="L39">
        <v>-570110000</v>
      </c>
      <c r="M39">
        <v>-1463832000</v>
      </c>
      <c r="N39">
        <v>-841788000</v>
      </c>
      <c r="O39">
        <v>-121529000</v>
      </c>
      <c r="P39">
        <v>-94462000</v>
      </c>
      <c r="Q39">
        <v>-181109000</v>
      </c>
      <c r="R39">
        <v>-184238000</v>
      </c>
      <c r="S39">
        <v>-286948000</v>
      </c>
      <c r="T39">
        <v>-87123000</v>
      </c>
      <c r="U39">
        <v>-37781000</v>
      </c>
      <c r="V39">
        <v>-94841000</v>
      </c>
      <c r="W39">
        <v>-42848000</v>
      </c>
      <c r="X39">
        <v>-211643000</v>
      </c>
      <c r="Y39">
        <v>-242556000</v>
      </c>
      <c r="Z39">
        <v>-139494000</v>
      </c>
      <c r="AA39">
        <v>-75301000</v>
      </c>
      <c r="AB39">
        <v>44462000</v>
      </c>
      <c r="AC39">
        <v>53843000</v>
      </c>
      <c r="AD39">
        <v>12586000</v>
      </c>
      <c r="AE39">
        <v>-973000</v>
      </c>
      <c r="AF39">
        <v>-22925000</v>
      </c>
      <c r="AG39">
        <v>-48859000</v>
      </c>
      <c r="AH39">
        <v>-61895000</v>
      </c>
      <c r="AI39">
        <v>-44210000</v>
      </c>
    </row>
    <row r="40" spans="1:35" x14ac:dyDescent="0.25">
      <c r="A40" t="s">
        <v>199</v>
      </c>
      <c r="B40">
        <v>-21241117977.113483</v>
      </c>
      <c r="C40">
        <v>-28417764977.113483</v>
      </c>
      <c r="D40">
        <v>-22927087564.306293</v>
      </c>
      <c r="E40">
        <v>-12724060087.134207</v>
      </c>
      <c r="F40">
        <v>8156066588.7258501</v>
      </c>
      <c r="G40">
        <v>4330410745.7413721</v>
      </c>
      <c r="K40">
        <v>-3001186267.2503738</v>
      </c>
      <c r="L40">
        <v>15240046000</v>
      </c>
      <c r="M40">
        <v>13767293000</v>
      </c>
      <c r="N40">
        <v>11445498000</v>
      </c>
      <c r="O40">
        <v>6575905000</v>
      </c>
      <c r="P40">
        <v>3436833000</v>
      </c>
      <c r="Q40">
        <v>7516828000</v>
      </c>
      <c r="R40">
        <v>7255460000</v>
      </c>
      <c r="S40">
        <v>4427202000</v>
      </c>
      <c r="T40">
        <v>3360388000</v>
      </c>
      <c r="U40">
        <v>-212134000</v>
      </c>
      <c r="V40">
        <v>364060000</v>
      </c>
      <c r="W40">
        <v>916705000</v>
      </c>
      <c r="X40">
        <v>-122855000</v>
      </c>
      <c r="Y40">
        <v>1606472000</v>
      </c>
      <c r="Z40">
        <v>1481195000</v>
      </c>
      <c r="AA40">
        <v>1158876000</v>
      </c>
      <c r="AB40">
        <v>2175102000</v>
      </c>
      <c r="AC40">
        <v>1167428000</v>
      </c>
      <c r="AD40">
        <v>672146000</v>
      </c>
      <c r="AE40">
        <v>489579000</v>
      </c>
      <c r="AF40">
        <v>1335339000</v>
      </c>
      <c r="AG40">
        <v>996118000</v>
      </c>
      <c r="AH40">
        <v>1157667000</v>
      </c>
      <c r="AI40">
        <v>955788000</v>
      </c>
    </row>
    <row r="41" spans="1:35" x14ac:dyDescent="0.25">
      <c r="A41" t="s">
        <v>200</v>
      </c>
    </row>
    <row r="42" spans="1:35" x14ac:dyDescent="0.25">
      <c r="A42" t="s">
        <v>201</v>
      </c>
      <c r="B42">
        <v>-3705808785.4612503</v>
      </c>
      <c r="C42">
        <v>-4979810785.4612503</v>
      </c>
      <c r="D42">
        <v>-1166826042.7172594</v>
      </c>
      <c r="E42">
        <v>-2331283450.4765015</v>
      </c>
      <c r="F42">
        <v>-1070320725.9619591</v>
      </c>
      <c r="G42">
        <v>630257923.35773218</v>
      </c>
      <c r="K42">
        <v>289543347.89553505</v>
      </c>
      <c r="L42">
        <v>429798000</v>
      </c>
      <c r="M42">
        <v>260292000</v>
      </c>
      <c r="N42">
        <v>169994000</v>
      </c>
      <c r="O42">
        <v>-68446000</v>
      </c>
      <c r="P42">
        <v>-32862000</v>
      </c>
      <c r="Q42">
        <v>55100000</v>
      </c>
      <c r="R42">
        <v>68153000</v>
      </c>
      <c r="S42">
        <v>-75730000</v>
      </c>
      <c r="T42">
        <v>134241000</v>
      </c>
      <c r="U42">
        <v>3167000</v>
      </c>
      <c r="V42">
        <v>-24314000</v>
      </c>
      <c r="W42">
        <v>69978000</v>
      </c>
      <c r="X42">
        <v>-67787000</v>
      </c>
      <c r="Y42">
        <v>-74791000</v>
      </c>
      <c r="Z42">
        <v>-9749000</v>
      </c>
      <c r="AA42">
        <v>-71293000</v>
      </c>
      <c r="AB42">
        <v>2788000</v>
      </c>
      <c r="AC42">
        <v>5107000</v>
      </c>
      <c r="AD42">
        <v>-49013000</v>
      </c>
      <c r="AE42">
        <v>18819000</v>
      </c>
      <c r="AF42">
        <v>16048000</v>
      </c>
      <c r="AG42">
        <v>1321000</v>
      </c>
      <c r="AH42">
        <v>14925000</v>
      </c>
      <c r="AI42">
        <v>37692000</v>
      </c>
    </row>
    <row r="43" spans="1:35" x14ac:dyDescent="0.25">
      <c r="A43" t="s">
        <v>202</v>
      </c>
    </row>
    <row r="44" spans="1:35" x14ac:dyDescent="0.25">
      <c r="A44" t="s">
        <v>203</v>
      </c>
      <c r="B44">
        <v>1190810410.4114282</v>
      </c>
      <c r="C44">
        <v>-1073840589.5885718</v>
      </c>
      <c r="D44">
        <v>298367812.39482689</v>
      </c>
      <c r="E44">
        <v>973006173.95792747</v>
      </c>
      <c r="F44">
        <v>1915375042.4506512</v>
      </c>
      <c r="G44">
        <v>2633414583.1219387</v>
      </c>
      <c r="K44">
        <v>-376009560.81059283</v>
      </c>
      <c r="L44">
        <v>278426000</v>
      </c>
      <c r="M44">
        <v>171092000</v>
      </c>
      <c r="N44">
        <v>-24899000</v>
      </c>
      <c r="O44">
        <v>-89181000</v>
      </c>
      <c r="P44">
        <v>193780000</v>
      </c>
      <c r="Q44">
        <v>-3567000</v>
      </c>
      <c r="R44">
        <v>-28918000</v>
      </c>
      <c r="S44">
        <v>-37894000</v>
      </c>
      <c r="T44">
        <v>-36575000</v>
      </c>
      <c r="U44">
        <v>-33726000</v>
      </c>
      <c r="V44">
        <v>-66365000</v>
      </c>
      <c r="W44">
        <v>-30402000</v>
      </c>
      <c r="X44">
        <v>-188584000</v>
      </c>
      <c r="Y44">
        <v>-76325000</v>
      </c>
      <c r="Z44">
        <v>-20840000</v>
      </c>
      <c r="AA44">
        <v>-32673000</v>
      </c>
      <c r="AB44">
        <v>132676000</v>
      </c>
      <c r="AC44">
        <v>49695000</v>
      </c>
      <c r="AD44">
        <v>47542000</v>
      </c>
      <c r="AE44">
        <v>3949000</v>
      </c>
      <c r="AF44">
        <v>-3413000</v>
      </c>
      <c r="AG44">
        <v>49856000</v>
      </c>
      <c r="AH44">
        <v>-210496000</v>
      </c>
      <c r="AI44">
        <v>51572000</v>
      </c>
    </row>
    <row r="45" spans="1:35" x14ac:dyDescent="0.25">
      <c r="A45" t="s">
        <v>204</v>
      </c>
    </row>
    <row r="46" spans="1:35" x14ac:dyDescent="0.25">
      <c r="A46" t="s">
        <v>205</v>
      </c>
      <c r="B46">
        <v>540599313.01707923</v>
      </c>
      <c r="C46">
        <v>510123313.01707923</v>
      </c>
      <c r="D46">
        <v>393093047.00549495</v>
      </c>
      <c r="E46">
        <v>221678266.39778608</v>
      </c>
      <c r="F46">
        <v>356799044.9610073</v>
      </c>
      <c r="G46">
        <v>354934812.1510123</v>
      </c>
      <c r="K46">
        <v>208541956.00146288</v>
      </c>
      <c r="L46">
        <v>20908000</v>
      </c>
      <c r="M46">
        <v>34004000</v>
      </c>
      <c r="N46">
        <v>35142000</v>
      </c>
      <c r="O46">
        <v>51304000</v>
      </c>
      <c r="P46">
        <v>52358000</v>
      </c>
      <c r="Q46">
        <v>45805000</v>
      </c>
      <c r="R46">
        <v>46024000</v>
      </c>
      <c r="S46">
        <v>53400000</v>
      </c>
      <c r="T46">
        <v>38111000</v>
      </c>
      <c r="U46">
        <v>34732000</v>
      </c>
      <c r="V46">
        <v>35089000</v>
      </c>
      <c r="W46">
        <v>34676000</v>
      </c>
      <c r="X46">
        <v>41564000</v>
      </c>
      <c r="Y46">
        <v>72014000</v>
      </c>
      <c r="Z46">
        <v>71133000</v>
      </c>
      <c r="AA46">
        <v>49803000</v>
      </c>
      <c r="AB46">
        <v>74254000</v>
      </c>
      <c r="AC46">
        <v>49921000</v>
      </c>
      <c r="AD46">
        <v>55515000</v>
      </c>
      <c r="AE46">
        <v>81749000</v>
      </c>
      <c r="AF46">
        <v>166893000</v>
      </c>
      <c r="AG46">
        <v>159016000</v>
      </c>
      <c r="AH46">
        <v>192192000</v>
      </c>
      <c r="AI46">
        <v>182966000</v>
      </c>
    </row>
    <row r="47" spans="1:35" x14ac:dyDescent="0.25">
      <c r="A47" t="s">
        <v>206</v>
      </c>
    </row>
    <row r="48" spans="1:35" x14ac:dyDescent="0.25">
      <c r="A48" t="s">
        <v>207</v>
      </c>
      <c r="B48">
        <v>-5650900262.9714479</v>
      </c>
      <c r="C48">
        <v>-7059452262.9714479</v>
      </c>
      <c r="D48">
        <v>-8916888492.4034576</v>
      </c>
      <c r="E48">
        <v>-3419073169.8629413</v>
      </c>
      <c r="F48">
        <v>-6081321396.4786282</v>
      </c>
      <c r="G48">
        <v>-8577592027.4012403</v>
      </c>
      <c r="K48">
        <v>-2907334044.4180312</v>
      </c>
      <c r="L48">
        <v>-194636000</v>
      </c>
      <c r="M48">
        <v>-334869000</v>
      </c>
      <c r="N48">
        <v>-344775000</v>
      </c>
      <c r="O48">
        <v>-494036000</v>
      </c>
      <c r="P48">
        <v>-1256721000</v>
      </c>
      <c r="Q48">
        <v>-709275000</v>
      </c>
      <c r="R48">
        <v>-373653000</v>
      </c>
      <c r="S48">
        <v>-113935000</v>
      </c>
      <c r="T48">
        <v>560873000</v>
      </c>
      <c r="U48">
        <v>452371000</v>
      </c>
      <c r="V48">
        <v>15373000</v>
      </c>
      <c r="W48">
        <v>104601000</v>
      </c>
      <c r="X48">
        <v>103327000</v>
      </c>
      <c r="Y48">
        <v>-40227000</v>
      </c>
      <c r="Z48">
        <v>-256588000</v>
      </c>
      <c r="AA48">
        <v>-216048000</v>
      </c>
      <c r="AB48">
        <v>-345575000</v>
      </c>
      <c r="AC48">
        <v>-134073000</v>
      </c>
      <c r="AD48">
        <v>28596000</v>
      </c>
      <c r="AE48">
        <v>-117104000</v>
      </c>
      <c r="AF48">
        <v>-79763000</v>
      </c>
      <c r="AG48">
        <v>-13234000</v>
      </c>
      <c r="AH48">
        <v>216383000</v>
      </c>
      <c r="AI48">
        <v>67252000</v>
      </c>
    </row>
    <row r="49" spans="1:35" x14ac:dyDescent="0.25">
      <c r="A49" t="s">
        <v>208</v>
      </c>
      <c r="B49">
        <v>-1054602859.421505</v>
      </c>
      <c r="C49">
        <v>16823392140.578495</v>
      </c>
      <c r="D49">
        <v>-24371174829.884537</v>
      </c>
      <c r="E49">
        <v>-282616528.25456619</v>
      </c>
      <c r="F49">
        <v>14871428506.793964</v>
      </c>
      <c r="G49">
        <v>762094407.04028606</v>
      </c>
      <c r="K49">
        <v>-2284269761.6087079</v>
      </c>
      <c r="L49">
        <v>482462000</v>
      </c>
      <c r="M49">
        <v>-2204292000</v>
      </c>
      <c r="N49">
        <v>282710000</v>
      </c>
      <c r="O49">
        <v>-573826000</v>
      </c>
      <c r="P49">
        <v>-36244000</v>
      </c>
      <c r="Q49">
        <v>1407671000</v>
      </c>
      <c r="R49">
        <v>4117213000</v>
      </c>
      <c r="S49">
        <v>6588351000</v>
      </c>
      <c r="T49">
        <v>6519690000</v>
      </c>
      <c r="U49">
        <v>4962002000</v>
      </c>
      <c r="V49">
        <v>3427656000</v>
      </c>
      <c r="W49">
        <v>3325191000</v>
      </c>
      <c r="X49">
        <v>3351587000</v>
      </c>
      <c r="Y49">
        <v>2961428000</v>
      </c>
      <c r="Z49">
        <v>2433687000</v>
      </c>
      <c r="AA49">
        <v>1786719000</v>
      </c>
      <c r="AB49">
        <v>1428592000</v>
      </c>
      <c r="AC49">
        <v>1331183000</v>
      </c>
      <c r="AD49">
        <v>1186539000</v>
      </c>
      <c r="AE49">
        <v>753807000</v>
      </c>
      <c r="AF49">
        <v>746022000</v>
      </c>
      <c r="AG49">
        <v>984995000</v>
      </c>
      <c r="AH49">
        <v>1447845000</v>
      </c>
      <c r="AI49">
        <v>2202266000</v>
      </c>
    </row>
    <row r="50" spans="1:35" x14ac:dyDescent="0.25">
      <c r="A50" t="s">
        <v>209</v>
      </c>
    </row>
    <row r="51" spans="1:35" x14ac:dyDescent="0.25">
      <c r="A51" t="s">
        <v>210</v>
      </c>
    </row>
    <row r="52" spans="1:35" x14ac:dyDescent="0.25">
      <c r="A52" t="s">
        <v>211</v>
      </c>
    </row>
    <row r="53" spans="1:35" x14ac:dyDescent="0.25">
      <c r="A53" t="s">
        <v>212</v>
      </c>
    </row>
    <row r="54" spans="1:35" x14ac:dyDescent="0.25">
      <c r="A54" t="s">
        <v>213</v>
      </c>
      <c r="B54">
        <v>-1033168118.5859828</v>
      </c>
      <c r="C54">
        <v>-985689118.5859828</v>
      </c>
      <c r="D54">
        <v>-1035431178.6182318</v>
      </c>
      <c r="E54">
        <v>-997781554.05583692</v>
      </c>
      <c r="F54">
        <v>-844164984.37006068</v>
      </c>
      <c r="G54">
        <v>-1291310308.1745543</v>
      </c>
      <c r="K54">
        <v>-2319634574.5840011</v>
      </c>
      <c r="L54">
        <v>-664345000</v>
      </c>
      <c r="M54">
        <v>-794257000</v>
      </c>
      <c r="N54">
        <v>-672166000</v>
      </c>
      <c r="O54">
        <v>-498723000</v>
      </c>
      <c r="P54">
        <v>-361950000</v>
      </c>
      <c r="Q54">
        <v>-217459000</v>
      </c>
      <c r="R54">
        <v>-190019000</v>
      </c>
      <c r="S54">
        <v>-167446000</v>
      </c>
      <c r="T54">
        <v>-143353000</v>
      </c>
      <c r="U54">
        <v>-134787000</v>
      </c>
      <c r="V54">
        <v>-159357000</v>
      </c>
      <c r="W54">
        <v>-150311000</v>
      </c>
      <c r="X54">
        <v>-136290000</v>
      </c>
      <c r="Y54">
        <v>-116559000</v>
      </c>
      <c r="Z54">
        <v>-90916000</v>
      </c>
      <c r="AA54">
        <v>-105810000</v>
      </c>
      <c r="AB54">
        <v>-148558000</v>
      </c>
      <c r="AC54">
        <v>-125161000</v>
      </c>
      <c r="AD54">
        <v>-172214000</v>
      </c>
      <c r="AE54">
        <v>-163939000</v>
      </c>
      <c r="AF54">
        <v>-149519000</v>
      </c>
      <c r="AG54">
        <v>-211497000</v>
      </c>
      <c r="AH54">
        <v>-142003000</v>
      </c>
      <c r="AI54">
        <v>-134989000</v>
      </c>
    </row>
    <row r="55" spans="1:35" x14ac:dyDescent="0.25">
      <c r="A55" t="s">
        <v>214</v>
      </c>
    </row>
    <row r="56" spans="1:35" x14ac:dyDescent="0.25">
      <c r="A56" t="s">
        <v>215</v>
      </c>
    </row>
    <row r="57" spans="1:35" x14ac:dyDescent="0.25">
      <c r="A57" t="s">
        <v>216</v>
      </c>
    </row>
    <row r="58" spans="1:35" x14ac:dyDescent="0.25">
      <c r="A58" t="s">
        <v>217</v>
      </c>
    </row>
    <row r="59" spans="1:35" x14ac:dyDescent="0.25">
      <c r="A59" t="s">
        <v>218</v>
      </c>
    </row>
    <row r="60" spans="1:35" x14ac:dyDescent="0.25">
      <c r="A60" t="s">
        <v>219</v>
      </c>
    </row>
    <row r="61" spans="1:35" x14ac:dyDescent="0.25">
      <c r="A61" t="s">
        <v>220</v>
      </c>
    </row>
    <row r="62" spans="1:35" x14ac:dyDescent="0.25">
      <c r="A62" t="s">
        <v>221</v>
      </c>
    </row>
    <row r="63" spans="1:35" x14ac:dyDescent="0.25">
      <c r="A63" t="s">
        <v>222</v>
      </c>
    </row>
    <row r="64" spans="1:35" x14ac:dyDescent="0.25">
      <c r="A64" t="s">
        <v>213</v>
      </c>
      <c r="B64">
        <v>-1033168118.5859828</v>
      </c>
      <c r="C64">
        <v>-985689118.5859828</v>
      </c>
      <c r="D64">
        <v>-1035431178.6182318</v>
      </c>
      <c r="E64">
        <v>-997781554.05583692</v>
      </c>
      <c r="F64">
        <v>-844164984.37006068</v>
      </c>
      <c r="G64">
        <v>-1291310308.1745543</v>
      </c>
      <c r="K64">
        <v>-2319634574.5840011</v>
      </c>
      <c r="L64">
        <v>-664345000</v>
      </c>
      <c r="M64">
        <v>-794257000</v>
      </c>
      <c r="N64">
        <v>-672166000</v>
      </c>
      <c r="O64">
        <v>-498723000</v>
      </c>
      <c r="P64">
        <v>-361950000</v>
      </c>
      <c r="Q64">
        <v>-217459000</v>
      </c>
      <c r="R64">
        <v>-190019000</v>
      </c>
      <c r="S64">
        <v>-167446000</v>
      </c>
      <c r="T64">
        <v>-143353000</v>
      </c>
      <c r="U64">
        <v>-134787000</v>
      </c>
      <c r="V64">
        <v>-159357000</v>
      </c>
      <c r="W64">
        <v>-150311000</v>
      </c>
      <c r="X64">
        <v>-136290000</v>
      </c>
      <c r="Y64">
        <v>-116559000</v>
      </c>
      <c r="Z64">
        <v>-90916000</v>
      </c>
      <c r="AA64">
        <v>-105810000</v>
      </c>
      <c r="AB64">
        <v>-148558000</v>
      </c>
      <c r="AC64">
        <v>-125161000</v>
      </c>
      <c r="AD64">
        <v>-172214000</v>
      </c>
      <c r="AE64">
        <v>-163939000</v>
      </c>
      <c r="AF64">
        <v>-149519000</v>
      </c>
      <c r="AG64">
        <v>-211497000</v>
      </c>
      <c r="AH64">
        <v>-142003000</v>
      </c>
      <c r="AI64">
        <v>-134989000</v>
      </c>
    </row>
    <row r="65" spans="1:35" x14ac:dyDescent="0.25">
      <c r="A65" t="s">
        <v>223</v>
      </c>
    </row>
    <row r="66" spans="1:35" x14ac:dyDescent="0.25">
      <c r="A66" t="s">
        <v>224</v>
      </c>
    </row>
    <row r="68" spans="1:35" x14ac:dyDescent="0.25">
      <c r="A68" t="s">
        <v>225</v>
      </c>
      <c r="B68">
        <v>-15398406606.01218</v>
      </c>
      <c r="C68">
        <v>-16199602606.01218</v>
      </c>
      <c r="D68">
        <v>-14448469157.328205</v>
      </c>
      <c r="E68">
        <v>-13557086255.951899</v>
      </c>
      <c r="F68">
        <v>-20431054781.126972</v>
      </c>
      <c r="G68">
        <v>-21388467710.927345</v>
      </c>
      <c r="K68">
        <v>-12386918642.821802</v>
      </c>
      <c r="L68">
        <v>-2990593000</v>
      </c>
      <c r="M68">
        <v>-1913035000</v>
      </c>
      <c r="N68">
        <v>-4692107000</v>
      </c>
      <c r="O68">
        <v>-4383598000</v>
      </c>
      <c r="P68">
        <v>-4221851000</v>
      </c>
      <c r="Q68">
        <v>-5273781000</v>
      </c>
      <c r="R68">
        <v>-1469886000</v>
      </c>
      <c r="S68">
        <v>-1321760000</v>
      </c>
      <c r="T68">
        <v>-1191488000</v>
      </c>
      <c r="U68">
        <v>-1121971000</v>
      </c>
      <c r="V68">
        <v>-1812494000</v>
      </c>
      <c r="W68">
        <v>-1912128000</v>
      </c>
      <c r="X68">
        <v>-1979769000</v>
      </c>
      <c r="Y68">
        <v>-2174312000</v>
      </c>
      <c r="Z68">
        <v>-1924622000</v>
      </c>
      <c r="AA68">
        <v>-1781726000</v>
      </c>
      <c r="AB68">
        <v>-1646548000</v>
      </c>
      <c r="AC68">
        <v>-1443668000</v>
      </c>
      <c r="AD68">
        <v>-1185515000</v>
      </c>
      <c r="AE68">
        <v>-1069947000</v>
      </c>
      <c r="AF68">
        <v>-1779047000</v>
      </c>
      <c r="AG68">
        <v>-1617781000</v>
      </c>
      <c r="AH68">
        <v>-984119000</v>
      </c>
      <c r="AI68">
        <v>-998176000</v>
      </c>
    </row>
    <row r="69" spans="1:35" x14ac:dyDescent="0.25">
      <c r="A69" t="s">
        <v>226</v>
      </c>
      <c r="O69">
        <v>323703000</v>
      </c>
      <c r="S69">
        <v>275778000</v>
      </c>
      <c r="T69">
        <v>275778000</v>
      </c>
      <c r="U69">
        <v>275778000</v>
      </c>
      <c r="W69">
        <v>0</v>
      </c>
    </row>
    <row r="70" spans="1:35" x14ac:dyDescent="0.25">
      <c r="A70" t="s">
        <v>227</v>
      </c>
    </row>
    <row r="71" spans="1:35" x14ac:dyDescent="0.25">
      <c r="A71" t="s">
        <v>228</v>
      </c>
      <c r="C71">
        <v>9923272241.6345387</v>
      </c>
      <c r="D71">
        <v>9931613003.9803028</v>
      </c>
      <c r="E71">
        <v>9823551813.2865696</v>
      </c>
      <c r="G71">
        <v>-2037804418.6809709</v>
      </c>
      <c r="K71">
        <v>3938259261.2698851</v>
      </c>
      <c r="L71">
        <v>1272767000</v>
      </c>
      <c r="M71">
        <v>-1774518000</v>
      </c>
      <c r="O71">
        <v>-2136004000</v>
      </c>
      <c r="P71">
        <v>-2055799000</v>
      </c>
      <c r="Q71">
        <v>-361486000</v>
      </c>
      <c r="S71">
        <v>0</v>
      </c>
      <c r="T71">
        <v>0</v>
      </c>
      <c r="U71">
        <v>0</v>
      </c>
      <c r="W71">
        <v>-406321000</v>
      </c>
      <c r="X71">
        <v>-406321000</v>
      </c>
      <c r="Y71">
        <v>-406321000</v>
      </c>
      <c r="AA71">
        <v>0</v>
      </c>
      <c r="AI71">
        <v>-745608000</v>
      </c>
    </row>
    <row r="72" spans="1:35" x14ac:dyDescent="0.25">
      <c r="A72" t="s">
        <v>229</v>
      </c>
    </row>
    <row r="73" spans="1:35" x14ac:dyDescent="0.25">
      <c r="A73" t="s">
        <v>230</v>
      </c>
      <c r="O73">
        <v>3136000</v>
      </c>
      <c r="S73">
        <v>0</v>
      </c>
    </row>
    <row r="74" spans="1:35" x14ac:dyDescent="0.25">
      <c r="A74" t="s">
        <v>231</v>
      </c>
      <c r="B74">
        <v>-439981579.58317041</v>
      </c>
      <c r="C74">
        <v>-579153579.58317041</v>
      </c>
      <c r="D74">
        <v>-579152738.40136814</v>
      </c>
      <c r="E74">
        <v>-579152566.87606978</v>
      </c>
      <c r="F74">
        <v>-581403000</v>
      </c>
      <c r="G74">
        <v>0</v>
      </c>
      <c r="K74">
        <v>-830028289.61804461</v>
      </c>
      <c r="M74">
        <v>-129345000</v>
      </c>
      <c r="N74">
        <v>-129345000</v>
      </c>
      <c r="O74">
        <v>-140840000</v>
      </c>
      <c r="P74">
        <v>-38220000</v>
      </c>
      <c r="Q74">
        <v>-38220000</v>
      </c>
      <c r="R74">
        <v>-73448000</v>
      </c>
      <c r="S74">
        <v>-35228000</v>
      </c>
      <c r="T74">
        <v>-90434000</v>
      </c>
      <c r="U74">
        <v>-90434000</v>
      </c>
      <c r="V74">
        <v>-114149000</v>
      </c>
      <c r="W74">
        <v>-167686000</v>
      </c>
      <c r="X74">
        <v>-112480000</v>
      </c>
      <c r="Y74">
        <v>-112480000</v>
      </c>
      <c r="Z74">
        <v>-83391000</v>
      </c>
      <c r="AA74">
        <v>-57237000</v>
      </c>
      <c r="AE74">
        <v>-19002000</v>
      </c>
    </row>
    <row r="75" spans="1:35" x14ac:dyDescent="0.25">
      <c r="A75" t="s">
        <v>232</v>
      </c>
    </row>
    <row r="76" spans="1:35" x14ac:dyDescent="0.25">
      <c r="A76" t="s">
        <v>219</v>
      </c>
      <c r="B76">
        <v>748531.26594774053</v>
      </c>
      <c r="C76">
        <v>24779531.265947741</v>
      </c>
      <c r="AI76">
        <v>558582000</v>
      </c>
    </row>
    <row r="77" spans="1:35" x14ac:dyDescent="0.25">
      <c r="A77" t="s">
        <v>218</v>
      </c>
      <c r="B77">
        <v>-187147026.49978581</v>
      </c>
      <c r="C77">
        <v>-184868026.49978581</v>
      </c>
      <c r="D77">
        <v>-21669589.767506123</v>
      </c>
      <c r="E77">
        <v>-23613782.294003926</v>
      </c>
      <c r="F77">
        <v>-21894230.1465795</v>
      </c>
      <c r="G77">
        <v>-18640230.1465795</v>
      </c>
      <c r="K77">
        <v>-39207190.767890364</v>
      </c>
      <c r="L77">
        <v>-12010000</v>
      </c>
      <c r="M77">
        <v>-10216000</v>
      </c>
      <c r="O77">
        <v>0</v>
      </c>
    </row>
    <row r="78" spans="1:35" x14ac:dyDescent="0.25">
      <c r="A78" t="s">
        <v>233</v>
      </c>
      <c r="B78">
        <v>704465661.80551672</v>
      </c>
      <c r="C78">
        <v>742901661.80551672</v>
      </c>
      <c r="D78">
        <v>1166225994.1127286</v>
      </c>
      <c r="E78">
        <v>937553479.34595227</v>
      </c>
      <c r="F78">
        <v>942257544.2762599</v>
      </c>
      <c r="G78">
        <v>1026767844.9535304</v>
      </c>
      <c r="K78">
        <v>1307690831.1533952</v>
      </c>
      <c r="L78">
        <v>261963000</v>
      </c>
      <c r="M78">
        <v>228174000</v>
      </c>
      <c r="N78">
        <v>121828000</v>
      </c>
      <c r="O78">
        <v>70244000</v>
      </c>
      <c r="P78">
        <v>187828000</v>
      </c>
      <c r="Q78">
        <v>160917000</v>
      </c>
      <c r="R78">
        <v>155707000</v>
      </c>
      <c r="S78">
        <v>172913000</v>
      </c>
      <c r="T78">
        <v>51158000</v>
      </c>
      <c r="U78">
        <v>68987000</v>
      </c>
      <c r="V78">
        <v>65467000</v>
      </c>
      <c r="W78">
        <v>41483000</v>
      </c>
      <c r="X78">
        <v>31283000</v>
      </c>
      <c r="Y78">
        <v>36528000</v>
      </c>
      <c r="Z78">
        <v>39401000</v>
      </c>
      <c r="AA78">
        <v>37507000</v>
      </c>
      <c r="AB78">
        <v>11842000</v>
      </c>
      <c r="AC78">
        <v>12271000</v>
      </c>
      <c r="AD78">
        <v>20900000</v>
      </c>
      <c r="AE78">
        <v>18730000</v>
      </c>
      <c r="AF78">
        <v>14705000</v>
      </c>
      <c r="AG78">
        <v>16746000</v>
      </c>
      <c r="AH78">
        <v>6513000</v>
      </c>
      <c r="AI78">
        <v>7007000</v>
      </c>
    </row>
    <row r="79" spans="1:35" x14ac:dyDescent="0.25">
      <c r="A79" t="s">
        <v>234</v>
      </c>
      <c r="B79">
        <v>-25412496159.758621</v>
      </c>
      <c r="C79">
        <v>-26190582159.758621</v>
      </c>
      <c r="D79">
        <v>-25034531324.907215</v>
      </c>
      <c r="E79">
        <v>-23801354502.443279</v>
      </c>
      <c r="F79">
        <v>-20857149025.335091</v>
      </c>
      <c r="G79">
        <v>-20398247308.241604</v>
      </c>
      <c r="K79">
        <v>-16958793629.639984</v>
      </c>
      <c r="L79">
        <v>-4766563000</v>
      </c>
      <c r="M79">
        <v>-3595824000</v>
      </c>
      <c r="N79">
        <v>-2942346000</v>
      </c>
      <c r="O79">
        <v>-2515344000</v>
      </c>
      <c r="P79">
        <v>-2327035000</v>
      </c>
      <c r="Q79">
        <v>-2060268000</v>
      </c>
      <c r="R79">
        <v>-1828133000</v>
      </c>
      <c r="S79">
        <v>-1735316000</v>
      </c>
      <c r="T79">
        <v>-1427990000</v>
      </c>
      <c r="U79">
        <v>-1376302000</v>
      </c>
      <c r="V79">
        <v>-1357491000</v>
      </c>
      <c r="W79">
        <v>-1379604000</v>
      </c>
      <c r="X79">
        <v>-1619054000</v>
      </c>
      <c r="Y79">
        <v>-1755722000</v>
      </c>
      <c r="Z79">
        <v>-1889677000</v>
      </c>
      <c r="AA79">
        <v>-1797305000</v>
      </c>
      <c r="AB79">
        <v>-1481274000</v>
      </c>
      <c r="AC79">
        <v>-1272597000</v>
      </c>
      <c r="AD79">
        <v>-1090751000</v>
      </c>
      <c r="AE79">
        <v>-987217000</v>
      </c>
      <c r="AF79">
        <v>-975069000</v>
      </c>
      <c r="AG79">
        <v>-885190000</v>
      </c>
      <c r="AH79">
        <v>-816750000</v>
      </c>
      <c r="AI79">
        <v>-830966000</v>
      </c>
    </row>
    <row r="80" spans="1:35" x14ac:dyDescent="0.25">
      <c r="A80" t="s">
        <v>235</v>
      </c>
    </row>
    <row r="81" spans="1:35" x14ac:dyDescent="0.25">
      <c r="A81" t="s">
        <v>236</v>
      </c>
    </row>
    <row r="82" spans="1:35" x14ac:dyDescent="0.25">
      <c r="A82" t="s">
        <v>237</v>
      </c>
    </row>
    <row r="83" spans="1:35" x14ac:dyDescent="0.25">
      <c r="A83" t="s">
        <v>238</v>
      </c>
    </row>
    <row r="84" spans="1:35" x14ac:dyDescent="0.25">
      <c r="A84" t="s">
        <v>239</v>
      </c>
    </row>
    <row r="85" spans="1:35" x14ac:dyDescent="0.25">
      <c r="A85" t="s">
        <v>240</v>
      </c>
    </row>
    <row r="86" spans="1:35" x14ac:dyDescent="0.25">
      <c r="A86" t="s">
        <v>241</v>
      </c>
    </row>
    <row r="87" spans="1:35" x14ac:dyDescent="0.25">
      <c r="A87" t="s">
        <v>242</v>
      </c>
    </row>
    <row r="88" spans="1:35" x14ac:dyDescent="0.25">
      <c r="A88" t="s">
        <v>243</v>
      </c>
      <c r="X88">
        <v>126803000</v>
      </c>
      <c r="Z88">
        <v>9044000</v>
      </c>
      <c r="AA88">
        <v>9044000</v>
      </c>
      <c r="AB88">
        <v>-127142000</v>
      </c>
      <c r="AC88">
        <v>-133368000</v>
      </c>
      <c r="AD88">
        <v>-95636000</v>
      </c>
      <c r="AE88">
        <v>-95636000</v>
      </c>
      <c r="AF88">
        <v>-86253000</v>
      </c>
      <c r="AG88">
        <v>-16907000</v>
      </c>
      <c r="AH88">
        <v>0</v>
      </c>
      <c r="AI88">
        <v>0</v>
      </c>
    </row>
    <row r="89" spans="1:35" x14ac:dyDescent="0.25">
      <c r="A89" t="s">
        <v>244</v>
      </c>
      <c r="AH89">
        <v>0</v>
      </c>
      <c r="AI89">
        <v>0</v>
      </c>
    </row>
    <row r="90" spans="1:35" x14ac:dyDescent="0.25">
      <c r="A90" t="s">
        <v>245</v>
      </c>
    </row>
    <row r="91" spans="1:35" x14ac:dyDescent="0.25">
      <c r="A91" t="s">
        <v>246</v>
      </c>
    </row>
    <row r="92" spans="1:35" x14ac:dyDescent="0.25">
      <c r="A92" t="s">
        <v>247</v>
      </c>
    </row>
    <row r="93" spans="1:35" x14ac:dyDescent="0.25">
      <c r="A93" t="s">
        <v>210</v>
      </c>
      <c r="B93">
        <v>1910725.1233912557</v>
      </c>
      <c r="C93">
        <v>64047725.123391256</v>
      </c>
      <c r="D93">
        <v>64182525.661790289</v>
      </c>
      <c r="E93">
        <v>61066638.14441853</v>
      </c>
      <c r="F93">
        <v>62616357.40173582</v>
      </c>
      <c r="G93">
        <v>39456401.188281089</v>
      </c>
      <c r="K93">
        <v>195160374.78084087</v>
      </c>
      <c r="L93">
        <v>55756000</v>
      </c>
      <c r="M93">
        <v>55756000</v>
      </c>
      <c r="N93">
        <v>66921000</v>
      </c>
      <c r="O93">
        <v>11507000</v>
      </c>
      <c r="P93">
        <v>11375000</v>
      </c>
      <c r="Q93">
        <v>11375000</v>
      </c>
      <c r="S93">
        <v>93000</v>
      </c>
      <c r="Z93">
        <v>1000</v>
      </c>
      <c r="AA93">
        <v>26265000</v>
      </c>
      <c r="AB93">
        <v>26265000</v>
      </c>
      <c r="AC93">
        <v>26265000</v>
      </c>
      <c r="AD93">
        <v>26357000</v>
      </c>
      <c r="AE93">
        <v>13178000</v>
      </c>
      <c r="AF93">
        <v>13178000</v>
      </c>
      <c r="AG93">
        <v>13178000</v>
      </c>
      <c r="AH93">
        <v>13144000</v>
      </c>
      <c r="AI93">
        <v>12809000</v>
      </c>
    </row>
    <row r="94" spans="1:35" x14ac:dyDescent="0.25">
      <c r="A94" t="s">
        <v>211</v>
      </c>
    </row>
    <row r="95" spans="1:35" x14ac:dyDescent="0.25">
      <c r="A95" t="s">
        <v>212</v>
      </c>
    </row>
    <row r="96" spans="1:35" x14ac:dyDescent="0.25">
      <c r="A96" t="s">
        <v>214</v>
      </c>
    </row>
    <row r="97" spans="1:35" x14ac:dyDescent="0.25">
      <c r="A97" t="s">
        <v>215</v>
      </c>
    </row>
    <row r="98" spans="1:35" x14ac:dyDescent="0.25">
      <c r="A98" t="s">
        <v>213</v>
      </c>
    </row>
    <row r="99" spans="1:35" x14ac:dyDescent="0.25">
      <c r="A99" t="s">
        <v>223</v>
      </c>
    </row>
    <row r="100" spans="1:35" x14ac:dyDescent="0.25">
      <c r="A100" t="s">
        <v>224</v>
      </c>
    </row>
    <row r="102" spans="1:35" x14ac:dyDescent="0.25">
      <c r="A102" t="s">
        <v>248</v>
      </c>
      <c r="B102">
        <v>8857118957.1473808</v>
      </c>
      <c r="C102">
        <v>1164440957.1473804</v>
      </c>
      <c r="D102">
        <v>28140904393.445202</v>
      </c>
      <c r="E102">
        <v>35959168104.408913</v>
      </c>
      <c r="F102">
        <v>22035564076.659554</v>
      </c>
      <c r="G102">
        <v>46869354145.555122</v>
      </c>
      <c r="K102">
        <v>12067958381.073263</v>
      </c>
      <c r="L102">
        <v>8280039000</v>
      </c>
      <c r="M102">
        <v>2961029000</v>
      </c>
      <c r="N102">
        <v>6503587000</v>
      </c>
      <c r="O102">
        <v>4802358000</v>
      </c>
      <c r="P102">
        <v>587345000</v>
      </c>
      <c r="Q102">
        <v>3586705000</v>
      </c>
      <c r="R102">
        <v>-1932890000</v>
      </c>
      <c r="S102">
        <v>-1307361000</v>
      </c>
      <c r="T102">
        <v>-1168180000</v>
      </c>
      <c r="U102">
        <v>-1102028000</v>
      </c>
      <c r="V102">
        <v>-675619000</v>
      </c>
      <c r="W102">
        <v>-160651000</v>
      </c>
      <c r="X102">
        <v>217507000</v>
      </c>
      <c r="Y102">
        <v>1736327000</v>
      </c>
      <c r="Z102">
        <v>2906089000</v>
      </c>
      <c r="AA102">
        <v>2402330000</v>
      </c>
      <c r="AB102">
        <v>1527554000</v>
      </c>
      <c r="AC102">
        <v>598099000</v>
      </c>
      <c r="AD102">
        <v>-429517000</v>
      </c>
      <c r="AE102">
        <v>366538000</v>
      </c>
      <c r="AF102">
        <v>145646000</v>
      </c>
      <c r="AG102">
        <v>46773000</v>
      </c>
      <c r="AH102">
        <v>-326960000</v>
      </c>
      <c r="AI102">
        <v>-1110651000</v>
      </c>
    </row>
    <row r="103" spans="1:35" x14ac:dyDescent="0.25">
      <c r="A103" t="s">
        <v>249</v>
      </c>
    </row>
    <row r="104" spans="1:35" x14ac:dyDescent="0.25">
      <c r="A104" t="s">
        <v>250</v>
      </c>
      <c r="AI104">
        <v>0</v>
      </c>
    </row>
    <row r="105" spans="1:35" x14ac:dyDescent="0.25">
      <c r="A105" t="s">
        <v>251</v>
      </c>
      <c r="AG105">
        <v>0</v>
      </c>
      <c r="AI105">
        <v>0</v>
      </c>
    </row>
    <row r="106" spans="1:35" x14ac:dyDescent="0.25">
      <c r="A106" t="s">
        <v>252</v>
      </c>
    </row>
    <row r="107" spans="1:35" x14ac:dyDescent="0.25">
      <c r="A107" t="s">
        <v>253</v>
      </c>
      <c r="K107">
        <v>-6499137318.9826717</v>
      </c>
      <c r="L107">
        <v>-2242762000</v>
      </c>
      <c r="N107">
        <v>-2281469000</v>
      </c>
      <c r="O107">
        <v>-1215266000</v>
      </c>
      <c r="AG107">
        <v>0</v>
      </c>
      <c r="AH107">
        <v>0</v>
      </c>
      <c r="AI107">
        <v>0</v>
      </c>
    </row>
    <row r="108" spans="1:35" x14ac:dyDescent="0.25">
      <c r="A108" t="s">
        <v>254</v>
      </c>
      <c r="S108">
        <v>0</v>
      </c>
      <c r="AG108">
        <v>0</v>
      </c>
      <c r="AH108">
        <v>0</v>
      </c>
      <c r="AI108">
        <v>0</v>
      </c>
    </row>
    <row r="109" spans="1:35" x14ac:dyDescent="0.25">
      <c r="A109" t="s">
        <v>255</v>
      </c>
    </row>
    <row r="110" spans="1:35" x14ac:dyDescent="0.25">
      <c r="A110" t="s">
        <v>256</v>
      </c>
      <c r="B110">
        <v>164973702516.89111</v>
      </c>
      <c r="C110">
        <v>152997209516.89111</v>
      </c>
      <c r="D110">
        <v>156803934122.52411</v>
      </c>
      <c r="E110">
        <v>173654571231.97165</v>
      </c>
      <c r="F110">
        <v>184935462138.46716</v>
      </c>
      <c r="G110">
        <v>186776843959.81076</v>
      </c>
      <c r="K110">
        <v>57573901222.122429</v>
      </c>
      <c r="L110">
        <v>24143441000</v>
      </c>
      <c r="M110">
        <v>21638245000</v>
      </c>
      <c r="N110">
        <v>23418962000</v>
      </c>
      <c r="O110">
        <v>19143476000</v>
      </c>
      <c r="P110">
        <v>11224413000</v>
      </c>
      <c r="Q110">
        <v>10641388000</v>
      </c>
      <c r="R110">
        <v>4172276000</v>
      </c>
      <c r="S110">
        <v>4212527000</v>
      </c>
      <c r="T110">
        <v>4014670000</v>
      </c>
      <c r="U110">
        <v>4340289000</v>
      </c>
      <c r="V110">
        <v>4629424000</v>
      </c>
      <c r="W110">
        <v>5265420000</v>
      </c>
      <c r="X110">
        <v>6217935000</v>
      </c>
      <c r="Y110">
        <v>5813523000</v>
      </c>
      <c r="Z110">
        <v>6393458000</v>
      </c>
      <c r="AA110">
        <v>5548940000</v>
      </c>
      <c r="AB110">
        <v>4691284000</v>
      </c>
      <c r="AC110">
        <v>4126651000</v>
      </c>
      <c r="AD110">
        <v>3528712000</v>
      </c>
      <c r="AE110">
        <v>2834707000</v>
      </c>
      <c r="AF110">
        <v>3509054000</v>
      </c>
      <c r="AG110">
        <v>3621136000</v>
      </c>
      <c r="AH110">
        <v>3006717000</v>
      </c>
      <c r="AI110">
        <v>2603563000</v>
      </c>
    </row>
    <row r="111" spans="1:35" x14ac:dyDescent="0.25">
      <c r="A111" t="s">
        <v>257</v>
      </c>
      <c r="B111">
        <v>-126104135943.98689</v>
      </c>
      <c r="C111">
        <v>-124939099943.98689</v>
      </c>
      <c r="D111">
        <v>-109602315290.98416</v>
      </c>
      <c r="E111">
        <v>-123346450455.78928</v>
      </c>
      <c r="F111">
        <v>-150391792407.22644</v>
      </c>
      <c r="G111">
        <v>-128197020570.28552</v>
      </c>
      <c r="K111">
        <v>-19693495582.968513</v>
      </c>
      <c r="L111">
        <v>-8514314000</v>
      </c>
      <c r="M111">
        <v>-11166816000</v>
      </c>
      <c r="N111">
        <v>-10764741000</v>
      </c>
      <c r="O111">
        <v>-9522410000</v>
      </c>
      <c r="P111">
        <v>-6839905000</v>
      </c>
      <c r="Q111">
        <v>-3811750000</v>
      </c>
      <c r="R111">
        <v>-2791817000</v>
      </c>
      <c r="S111">
        <v>-3614211000</v>
      </c>
      <c r="T111">
        <v>-3096346000</v>
      </c>
      <c r="U111">
        <v>-3267608000</v>
      </c>
      <c r="V111">
        <v>-3496758000</v>
      </c>
      <c r="W111">
        <v>-3811499000</v>
      </c>
      <c r="X111">
        <v>-4700240000</v>
      </c>
      <c r="Y111">
        <v>-3501343000</v>
      </c>
      <c r="Z111">
        <v>-2974213000</v>
      </c>
      <c r="AA111">
        <v>-2288445000</v>
      </c>
      <c r="AB111">
        <v>-2194903000</v>
      </c>
      <c r="AC111">
        <v>-2404285000</v>
      </c>
      <c r="AD111">
        <v>-2490565000</v>
      </c>
      <c r="AE111">
        <v>-1529456000</v>
      </c>
      <c r="AF111">
        <v>-2456473000</v>
      </c>
      <c r="AG111">
        <v>-2717788000</v>
      </c>
      <c r="AH111">
        <v>-2643059000</v>
      </c>
      <c r="AI111">
        <v>-3043217000</v>
      </c>
    </row>
    <row r="112" spans="1:35" x14ac:dyDescent="0.25">
      <c r="A112" t="s">
        <v>258</v>
      </c>
    </row>
    <row r="113" spans="1:35" x14ac:dyDescent="0.25">
      <c r="A113" t="s">
        <v>259</v>
      </c>
    </row>
    <row r="114" spans="1:35" x14ac:dyDescent="0.25">
      <c r="A114" t="s">
        <v>260</v>
      </c>
      <c r="B114">
        <v>-5134041693.5836544</v>
      </c>
      <c r="C114">
        <v>-4824462693.5836544</v>
      </c>
      <c r="D114">
        <v>-4335210365.3677731</v>
      </c>
      <c r="E114">
        <v>-3840030850.9911118</v>
      </c>
      <c r="F114">
        <v>-3240996489.9457998</v>
      </c>
      <c r="G114">
        <v>-3071482004.1198711</v>
      </c>
      <c r="K114">
        <v>-2554265926.2012072</v>
      </c>
      <c r="L114">
        <v>-1081668000</v>
      </c>
      <c r="M114">
        <v>-915002000</v>
      </c>
      <c r="N114">
        <v>-898799000</v>
      </c>
      <c r="O114">
        <v>-635575000</v>
      </c>
      <c r="P114">
        <v>-430899000</v>
      </c>
      <c r="Q114">
        <v>-403211000</v>
      </c>
      <c r="R114">
        <v>-311434000</v>
      </c>
      <c r="S114">
        <v>-303233000</v>
      </c>
      <c r="T114">
        <v>-307948000</v>
      </c>
      <c r="U114">
        <v>-295464000</v>
      </c>
      <c r="V114">
        <v>-299038000</v>
      </c>
      <c r="W114">
        <v>-281525000</v>
      </c>
      <c r="X114">
        <v>-199280000</v>
      </c>
      <c r="Y114">
        <v>-132990000</v>
      </c>
      <c r="Z114">
        <v>-60360000</v>
      </c>
      <c r="AA114">
        <v>0</v>
      </c>
    </row>
    <row r="115" spans="1:35" x14ac:dyDescent="0.25">
      <c r="A115" t="s">
        <v>245</v>
      </c>
      <c r="K115">
        <v>-1260584359.9855866</v>
      </c>
      <c r="T115">
        <v>-385086000</v>
      </c>
      <c r="U115">
        <v>-276806000</v>
      </c>
      <c r="V115">
        <v>-98341000</v>
      </c>
      <c r="W115">
        <v>-27880000</v>
      </c>
      <c r="X115">
        <v>35626000</v>
      </c>
      <c r="Y115">
        <v>458548000</v>
      </c>
      <c r="Z115">
        <v>436293000</v>
      </c>
      <c r="AA115">
        <v>368123000</v>
      </c>
      <c r="AB115">
        <v>172251000</v>
      </c>
      <c r="AC115">
        <v>-53008000</v>
      </c>
      <c r="AD115">
        <v>-46611000</v>
      </c>
      <c r="AE115">
        <v>-22387000</v>
      </c>
      <c r="AF115">
        <v>-18423000</v>
      </c>
      <c r="AG115">
        <v>-18963000</v>
      </c>
      <c r="AH115">
        <v>-25731000</v>
      </c>
      <c r="AI115">
        <v>14253000</v>
      </c>
    </row>
    <row r="116" spans="1:35" x14ac:dyDescent="0.25">
      <c r="A116" t="s">
        <v>246</v>
      </c>
      <c r="C116">
        <v>-4576842380.7230263</v>
      </c>
      <c r="D116">
        <v>-1691983307.5060167</v>
      </c>
      <c r="E116">
        <v>4108169117.6233506</v>
      </c>
      <c r="G116">
        <v>6323463643.5342979</v>
      </c>
      <c r="O116">
        <v>-204839000</v>
      </c>
      <c r="S116">
        <v>-399379000</v>
      </c>
    </row>
    <row r="117" spans="1:35" x14ac:dyDescent="0.25">
      <c r="A117" t="s">
        <v>247</v>
      </c>
    </row>
    <row r="118" spans="1:35" x14ac:dyDescent="0.25">
      <c r="A118" t="s">
        <v>209</v>
      </c>
      <c r="B118">
        <v>-1254899635.8011584</v>
      </c>
      <c r="C118">
        <v>-1241558635.8011584</v>
      </c>
      <c r="D118">
        <v>-1302287823.1176407</v>
      </c>
      <c r="E118">
        <v>-5007016222.513567</v>
      </c>
      <c r="G118">
        <v>-5130627593.2390909</v>
      </c>
      <c r="K118">
        <v>-5811073606.3849249</v>
      </c>
      <c r="L118">
        <v>-1695451000</v>
      </c>
      <c r="M118">
        <v>-1459508000</v>
      </c>
      <c r="N118">
        <v>-1397778000</v>
      </c>
      <c r="O118">
        <v>-1513222000</v>
      </c>
      <c r="P118">
        <v>-1513222000</v>
      </c>
      <c r="Q118">
        <v>-1513222000</v>
      </c>
      <c r="R118">
        <v>-1527086000</v>
      </c>
      <c r="S118">
        <v>-27086000</v>
      </c>
      <c r="T118">
        <v>-27086000</v>
      </c>
      <c r="U118">
        <v>-27086000</v>
      </c>
      <c r="V118">
        <v>0</v>
      </c>
      <c r="W118">
        <v>0</v>
      </c>
      <c r="X118">
        <v>-168000</v>
      </c>
      <c r="Y118">
        <v>-168000</v>
      </c>
      <c r="Z118">
        <v>-168000</v>
      </c>
      <c r="AA118">
        <v>-435168000</v>
      </c>
      <c r="AB118">
        <v>-435102000</v>
      </c>
      <c r="AC118">
        <v>-435102000</v>
      </c>
      <c r="AD118">
        <v>-860102000</v>
      </c>
      <c r="AE118">
        <v>-425102000</v>
      </c>
      <c r="AF118">
        <v>-425000000</v>
      </c>
      <c r="AG118">
        <v>-425000000</v>
      </c>
      <c r="AI118">
        <v>-262000000</v>
      </c>
    </row>
    <row r="119" spans="1:35" x14ac:dyDescent="0.25">
      <c r="A119" t="s">
        <v>211</v>
      </c>
      <c r="B119">
        <v>-17957346970.769775</v>
      </c>
      <c r="C119">
        <v>-16697541970.769775</v>
      </c>
      <c r="D119">
        <v>-13830967988.639774</v>
      </c>
      <c r="E119">
        <v>-13271071962.348152</v>
      </c>
      <c r="F119">
        <v>-13214633267.131514</v>
      </c>
      <c r="G119">
        <v>-12811595494.019482</v>
      </c>
      <c r="K119">
        <v>-11008054834.434061</v>
      </c>
      <c r="L119">
        <v>-2514953000</v>
      </c>
      <c r="M119">
        <v>-2227531000</v>
      </c>
      <c r="N119">
        <v>-1567443000</v>
      </c>
      <c r="O119">
        <v>-1493546000</v>
      </c>
      <c r="P119">
        <v>-1285332000</v>
      </c>
      <c r="Q119">
        <v>-1202579000</v>
      </c>
      <c r="R119">
        <v>-1237384000</v>
      </c>
      <c r="S119">
        <v>-1399666000</v>
      </c>
      <c r="T119">
        <v>-1526770000</v>
      </c>
      <c r="U119">
        <v>-1712568000</v>
      </c>
      <c r="V119">
        <v>-1550029000</v>
      </c>
      <c r="W119">
        <v>-1434642000</v>
      </c>
      <c r="X119">
        <v>-1249428000</v>
      </c>
      <c r="Y119">
        <v>-994801000</v>
      </c>
      <c r="Z119">
        <v>-952964000</v>
      </c>
      <c r="AA119">
        <v>-832947000</v>
      </c>
      <c r="AB119">
        <v>-735438000</v>
      </c>
      <c r="AC119">
        <v>-658422000</v>
      </c>
      <c r="AD119">
        <v>-583031000</v>
      </c>
      <c r="AE119">
        <v>-511168000</v>
      </c>
      <c r="AF119">
        <v>-484231000</v>
      </c>
      <c r="AG119">
        <v>-431351000</v>
      </c>
      <c r="AH119">
        <v>-421117000</v>
      </c>
      <c r="AI119">
        <v>-441734000</v>
      </c>
    </row>
    <row r="120" spans="1:35" x14ac:dyDescent="0.25">
      <c r="A120" t="s">
        <v>212</v>
      </c>
      <c r="B120">
        <v>2834479743.9757128</v>
      </c>
      <c r="C120">
        <v>3182900743.9757128</v>
      </c>
      <c r="D120">
        <v>3588127507.427247</v>
      </c>
      <c r="E120">
        <v>3732261925.6630306</v>
      </c>
      <c r="F120">
        <v>3357884033.3024344</v>
      </c>
      <c r="G120">
        <v>3089662171.9021811</v>
      </c>
      <c r="K120">
        <v>1196153818.2243543</v>
      </c>
      <c r="L120">
        <v>287272000</v>
      </c>
      <c r="M120">
        <v>226775000</v>
      </c>
      <c r="N120">
        <v>209055000</v>
      </c>
      <c r="O120">
        <v>229017000</v>
      </c>
      <c r="P120">
        <v>282436000</v>
      </c>
      <c r="Q120">
        <v>313989000</v>
      </c>
      <c r="R120">
        <v>295514000</v>
      </c>
      <c r="S120">
        <v>231696000</v>
      </c>
      <c r="T120">
        <v>169974000</v>
      </c>
      <c r="U120">
        <v>154760000</v>
      </c>
      <c r="V120">
        <v>156663000</v>
      </c>
      <c r="W120">
        <v>147463000</v>
      </c>
      <c r="X120">
        <v>134337000</v>
      </c>
      <c r="Y120">
        <v>109965000</v>
      </c>
      <c r="Z120">
        <v>81719000</v>
      </c>
      <c r="AA120">
        <v>58468000</v>
      </c>
      <c r="AB120">
        <v>41640000</v>
      </c>
      <c r="AC120">
        <v>32784000</v>
      </c>
      <c r="AD120">
        <v>32508000</v>
      </c>
      <c r="AE120">
        <v>29727000</v>
      </c>
      <c r="AF120">
        <v>30588000</v>
      </c>
      <c r="AG120">
        <v>29448000</v>
      </c>
      <c r="AH120">
        <v>28451000</v>
      </c>
      <c r="AI120">
        <v>29604000</v>
      </c>
    </row>
    <row r="121" spans="1:35" x14ac:dyDescent="0.25">
      <c r="A121" t="s">
        <v>214</v>
      </c>
    </row>
    <row r="122" spans="1:35" x14ac:dyDescent="0.25">
      <c r="A122" t="s">
        <v>215</v>
      </c>
    </row>
    <row r="123" spans="1:35" x14ac:dyDescent="0.25">
      <c r="A123" t="s">
        <v>213</v>
      </c>
    </row>
    <row r="124" spans="1:35" x14ac:dyDescent="0.25">
      <c r="A124" t="s">
        <v>223</v>
      </c>
      <c r="B124">
        <v>-3267496678.854929</v>
      </c>
      <c r="C124">
        <v>-2736163678.854929</v>
      </c>
      <c r="D124">
        <v>-1488392460.8908463</v>
      </c>
      <c r="E124">
        <v>-71264679.207013369</v>
      </c>
      <c r="F124">
        <v>-433319515.11225212</v>
      </c>
      <c r="G124">
        <v>-109889968.02816115</v>
      </c>
      <c r="K124">
        <v>124514969.68344286</v>
      </c>
      <c r="L124">
        <v>17937000</v>
      </c>
      <c r="M124">
        <v>21003000</v>
      </c>
      <c r="N124">
        <v>8835000</v>
      </c>
      <c r="O124">
        <v>14723000</v>
      </c>
      <c r="P124">
        <v>-18381000</v>
      </c>
      <c r="Q124">
        <v>-14863000</v>
      </c>
      <c r="R124">
        <v>-12968000</v>
      </c>
      <c r="S124">
        <v>-8009000</v>
      </c>
      <c r="T124">
        <v>-9588000</v>
      </c>
      <c r="U124">
        <v>-17545000</v>
      </c>
      <c r="V124">
        <v>-17540000</v>
      </c>
      <c r="W124">
        <v>-17988000</v>
      </c>
      <c r="X124">
        <v>-21275000</v>
      </c>
      <c r="Y124">
        <v>-16407000</v>
      </c>
      <c r="Z124">
        <v>-17676000</v>
      </c>
      <c r="AA124">
        <v>-16641000</v>
      </c>
      <c r="AB124">
        <v>-12178000</v>
      </c>
      <c r="AC124">
        <v>-10519000</v>
      </c>
      <c r="AD124">
        <v>-10428000</v>
      </c>
      <c r="AE124">
        <v>-9783000</v>
      </c>
      <c r="AF124">
        <v>-9869000</v>
      </c>
      <c r="AG124">
        <v>-10709000</v>
      </c>
      <c r="AH124">
        <v>-10221000</v>
      </c>
      <c r="AI124">
        <v>-11120000</v>
      </c>
    </row>
    <row r="125" spans="1:35" x14ac:dyDescent="0.25">
      <c r="A125" t="s">
        <v>224</v>
      </c>
    </row>
    <row r="126" spans="1:35" x14ac:dyDescent="0.25">
      <c r="A126" t="s">
        <v>261</v>
      </c>
      <c r="B126">
        <v>-8629058626.8722878</v>
      </c>
      <c r="C126">
        <v>802541373.12771225</v>
      </c>
      <c r="D126">
        <v>-11714170772.385773</v>
      </c>
      <c r="E126">
        <v>21121683766.146603</v>
      </c>
      <c r="F126">
        <v>15631772817.956486</v>
      </c>
      <c r="G126">
        <v>24951670533.493511</v>
      </c>
      <c r="K126">
        <v>-4922864597.9412498</v>
      </c>
      <c r="L126">
        <v>5107563000</v>
      </c>
      <c r="M126">
        <v>-1950555000</v>
      </c>
      <c r="N126">
        <v>1422024000</v>
      </c>
      <c r="O126">
        <v>-653789000</v>
      </c>
      <c r="P126">
        <v>-4032700000</v>
      </c>
      <c r="Q126">
        <v>-496864000</v>
      </c>
      <c r="R126">
        <v>524418000</v>
      </c>
      <c r="S126">
        <v>3791784000</v>
      </c>
      <c r="T126">
        <v>4016669000</v>
      </c>
      <c r="U126">
        <v>2603216000</v>
      </c>
      <c r="V126">
        <v>780186000</v>
      </c>
      <c r="W126">
        <v>1102101000</v>
      </c>
      <c r="X126">
        <v>1453035000</v>
      </c>
      <c r="Y126">
        <v>2406884000</v>
      </c>
      <c r="Z126">
        <v>3324238000</v>
      </c>
      <c r="AA126">
        <v>2301513000</v>
      </c>
      <c r="AB126">
        <v>1161040000</v>
      </c>
      <c r="AC126">
        <v>360453000</v>
      </c>
      <c r="AD126">
        <v>-600707000</v>
      </c>
      <c r="AE126">
        <v>-113541000</v>
      </c>
      <c r="AF126">
        <v>-1036898000</v>
      </c>
      <c r="AG126">
        <v>-797510000</v>
      </c>
      <c r="AH126">
        <v>-5237000</v>
      </c>
      <c r="AI126">
        <v>-41550000</v>
      </c>
    </row>
    <row r="127" spans="1:35" x14ac:dyDescent="0.25">
      <c r="A127" t="s">
        <v>262</v>
      </c>
      <c r="B127">
        <v>-5338018982.5222111</v>
      </c>
      <c r="C127">
        <v>-12293583982.522211</v>
      </c>
      <c r="D127">
        <v>-4491985134.4114285</v>
      </c>
      <c r="E127">
        <v>-7372310161.991744</v>
      </c>
      <c r="F127">
        <v>3330466608.949667</v>
      </c>
      <c r="G127">
        <v>5756792282.3080215</v>
      </c>
      <c r="K127">
        <v>150076793.16223687</v>
      </c>
      <c r="L127">
        <v>6976511000</v>
      </c>
      <c r="M127">
        <v>6160451000</v>
      </c>
      <c r="N127">
        <v>5062652000</v>
      </c>
      <c r="O127">
        <v>4677477000</v>
      </c>
      <c r="P127">
        <v>844350000</v>
      </c>
      <c r="Q127">
        <v>1996055000</v>
      </c>
      <c r="R127">
        <v>1860530000</v>
      </c>
      <c r="S127">
        <v>1273505000</v>
      </c>
      <c r="T127">
        <v>2038198000</v>
      </c>
      <c r="U127">
        <v>857111000</v>
      </c>
      <c r="V127">
        <v>568748000</v>
      </c>
      <c r="W127">
        <v>483559000</v>
      </c>
      <c r="X127">
        <v>-201720000</v>
      </c>
      <c r="Y127">
        <v>421375000</v>
      </c>
      <c r="Z127">
        <v>536976000</v>
      </c>
      <c r="AA127">
        <v>454872000</v>
      </c>
      <c r="AB127">
        <v>1078783000</v>
      </c>
      <c r="AC127">
        <v>556237000</v>
      </c>
      <c r="AD127">
        <v>325050000</v>
      </c>
      <c r="AE127">
        <v>252782000</v>
      </c>
      <c r="AF127">
        <v>297956000</v>
      </c>
      <c r="AG127">
        <v>369097000</v>
      </c>
      <c r="AH127">
        <v>400958000</v>
      </c>
      <c r="AI127">
        <v>317049000</v>
      </c>
    </row>
    <row r="128" spans="1:35" x14ac:dyDescent="0.25">
      <c r="A128" t="s">
        <v>263</v>
      </c>
      <c r="B128">
        <v>-13967077609.394499</v>
      </c>
      <c r="C128">
        <v>-11491042609.394499</v>
      </c>
      <c r="D128">
        <v>-16206155906.797199</v>
      </c>
      <c r="E128">
        <v>13749373604.154863</v>
      </c>
      <c r="F128">
        <v>18962239426.906151</v>
      </c>
      <c r="G128">
        <v>30708462815.801533</v>
      </c>
      <c r="K128">
        <v>-4772787804.7790127</v>
      </c>
      <c r="L128">
        <v>12084074000</v>
      </c>
      <c r="M128">
        <v>4209896000</v>
      </c>
      <c r="N128">
        <v>6484676000</v>
      </c>
      <c r="O128">
        <v>4023688000</v>
      </c>
      <c r="P128">
        <v>-3188350000</v>
      </c>
      <c r="Q128">
        <v>1499191000</v>
      </c>
      <c r="R128">
        <v>2384948000</v>
      </c>
      <c r="S128">
        <v>5065289000</v>
      </c>
      <c r="T128">
        <v>6054867000</v>
      </c>
      <c r="U128">
        <v>3460327000</v>
      </c>
      <c r="V128">
        <v>1348934000</v>
      </c>
      <c r="W128">
        <v>1585660000</v>
      </c>
      <c r="X128">
        <v>1251315000</v>
      </c>
      <c r="Y128">
        <v>2828259000</v>
      </c>
      <c r="Z128">
        <v>3861214000</v>
      </c>
      <c r="AA128">
        <v>2756385000</v>
      </c>
      <c r="AB128">
        <v>2239823000</v>
      </c>
      <c r="AC128">
        <v>916690000</v>
      </c>
      <c r="AD128">
        <v>-275657000</v>
      </c>
      <c r="AE128">
        <v>139241000</v>
      </c>
      <c r="AF128">
        <v>-738942000</v>
      </c>
      <c r="AG128">
        <v>-428413000</v>
      </c>
      <c r="AH128">
        <v>395721000</v>
      </c>
      <c r="AI128">
        <v>275499000</v>
      </c>
    </row>
    <row r="129" spans="1:35" x14ac:dyDescent="0.25">
      <c r="A129" t="s">
        <v>264</v>
      </c>
      <c r="B129">
        <v>55842126222.230911</v>
      </c>
      <c r="C129">
        <v>77509536222.230911</v>
      </c>
      <c r="D129">
        <v>77509538787.890305</v>
      </c>
      <c r="E129">
        <v>77509542756.906631</v>
      </c>
      <c r="F129">
        <v>77509540754.410431</v>
      </c>
      <c r="G129">
        <v>64092285135.065468</v>
      </c>
      <c r="K129">
        <v>68865062070.937622</v>
      </c>
      <c r="L129">
        <v>16011915000</v>
      </c>
      <c r="M129">
        <v>16011915000</v>
      </c>
      <c r="N129">
        <v>16011915000</v>
      </c>
      <c r="O129">
        <v>11988227000</v>
      </c>
      <c r="P129">
        <v>11988227000</v>
      </c>
      <c r="Q129">
        <v>11988227000</v>
      </c>
      <c r="R129">
        <v>11988227000</v>
      </c>
      <c r="S129">
        <v>6922938000</v>
      </c>
      <c r="T129">
        <v>6922938000</v>
      </c>
      <c r="U129">
        <v>6922938000</v>
      </c>
      <c r="V129">
        <v>6922938000</v>
      </c>
      <c r="W129">
        <v>5337278000</v>
      </c>
      <c r="X129">
        <v>5337278000</v>
      </c>
      <c r="Y129">
        <v>5337278000</v>
      </c>
      <c r="Z129">
        <v>5337278000</v>
      </c>
      <c r="AA129">
        <v>2580893000</v>
      </c>
      <c r="AB129">
        <v>2580893000</v>
      </c>
      <c r="AC129">
        <v>2580893000</v>
      </c>
      <c r="AD129">
        <v>2580893000</v>
      </c>
      <c r="AE129">
        <v>2441652000</v>
      </c>
      <c r="AF129">
        <v>2441652000</v>
      </c>
      <c r="AG129">
        <v>2441652000</v>
      </c>
      <c r="AH129">
        <v>2441652000</v>
      </c>
      <c r="AI129">
        <v>2166153000</v>
      </c>
    </row>
    <row r="130" spans="1:35" x14ac:dyDescent="0.25">
      <c r="A130" t="s">
        <v>265</v>
      </c>
      <c r="B130">
        <v>35317035133.821312</v>
      </c>
      <c r="C130">
        <v>55842122133.821312</v>
      </c>
      <c r="D130">
        <v>48317384760.5737</v>
      </c>
      <c r="E130">
        <v>72460710687.976898</v>
      </c>
      <c r="F130">
        <v>73572171452.680511</v>
      </c>
      <c r="G130">
        <v>77509536222.230911</v>
      </c>
      <c r="K130">
        <v>64092274266.1586</v>
      </c>
      <c r="L130">
        <v>28095989000</v>
      </c>
      <c r="M130">
        <v>20221811000</v>
      </c>
      <c r="N130">
        <v>22496591000</v>
      </c>
      <c r="O130">
        <v>16011915000</v>
      </c>
      <c r="P130">
        <v>8799877000</v>
      </c>
      <c r="Q130">
        <v>13487418000</v>
      </c>
      <c r="R130">
        <v>14373175000</v>
      </c>
      <c r="S130">
        <v>11988227000</v>
      </c>
      <c r="T130">
        <v>12977805000</v>
      </c>
      <c r="U130">
        <v>10383265000</v>
      </c>
      <c r="V130">
        <v>8271872000</v>
      </c>
      <c r="W130">
        <v>6922938000</v>
      </c>
      <c r="X130">
        <v>6588593000</v>
      </c>
      <c r="Y130">
        <v>8165537000</v>
      </c>
      <c r="Z130">
        <v>9198492000</v>
      </c>
      <c r="AA130">
        <v>5337278000</v>
      </c>
      <c r="AB130">
        <v>4820716000</v>
      </c>
      <c r="AC130">
        <v>3497583000</v>
      </c>
      <c r="AD130">
        <v>2305236000</v>
      </c>
      <c r="AE130">
        <v>2580893000</v>
      </c>
      <c r="AF130">
        <v>1702710000</v>
      </c>
      <c r="AG130">
        <v>2013239000</v>
      </c>
      <c r="AH130">
        <v>2837373000</v>
      </c>
      <c r="AI130">
        <v>2441652000</v>
      </c>
    </row>
  </sheetData>
  <pageMargins left="0.7" right="0.7" top="0.75" bottom="0.75" header="0.3" footer="0.3"/>
  <ignoredErrors>
    <ignoredError sqref="A1:AL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İcmal</vt:lpstr>
      <vt:lpstr>Bilanço</vt:lpstr>
      <vt:lpstr>Gelir Tablosu (Dönemsel)</vt:lpstr>
      <vt:lpstr>Sayfa1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can</dc:creator>
  <cp:lastModifiedBy>samet can</cp:lastModifiedBy>
  <dcterms:created xsi:type="dcterms:W3CDTF">2025-04-27T10:56:17Z</dcterms:created>
  <dcterms:modified xsi:type="dcterms:W3CDTF">2026-03-13T20:30:07Z</dcterms:modified>
</cp:coreProperties>
</file>