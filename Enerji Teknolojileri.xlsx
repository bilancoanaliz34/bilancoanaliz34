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rive'ım\Diğer\"/>
    </mc:Choice>
  </mc:AlternateContent>
  <xr:revisionPtr revIDLastSave="0" documentId="13_ncr:1_{FE2938E4-7BE9-4EF4-96D9-13DD2E2770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Sayfa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" i="2" l="1"/>
  <c r="AF14" i="2"/>
  <c r="AD14" i="2"/>
  <c r="AC14" i="2"/>
  <c r="AB14" i="2"/>
  <c r="AA14" i="2"/>
  <c r="Z14" i="2"/>
  <c r="Y14" i="2"/>
  <c r="X14" i="2"/>
  <c r="W14" i="2"/>
  <c r="V14" i="2"/>
  <c r="U14" i="2"/>
  <c r="T14" i="2"/>
  <c r="AF13" i="2"/>
  <c r="N13" i="2" s="1"/>
  <c r="AD13" i="2"/>
  <c r="AC13" i="2"/>
  <c r="AB13" i="2"/>
  <c r="AA13" i="2"/>
  <c r="Z13" i="2"/>
  <c r="Y13" i="2"/>
  <c r="X13" i="2"/>
  <c r="T13" i="2" s="1"/>
  <c r="W13" i="2"/>
  <c r="V13" i="2"/>
  <c r="U13" i="2"/>
  <c r="AF12" i="2"/>
  <c r="N12" i="2" s="1"/>
  <c r="AD12" i="2"/>
  <c r="AC12" i="2"/>
  <c r="AB12" i="2"/>
  <c r="AA12" i="2"/>
  <c r="Z12" i="2"/>
  <c r="Y12" i="2"/>
  <c r="X12" i="2"/>
  <c r="W12" i="2"/>
  <c r="T12" i="2" s="1"/>
  <c r="V12" i="2"/>
  <c r="U12" i="2"/>
  <c r="AF11" i="2"/>
  <c r="N11" i="2" s="1"/>
  <c r="AD11" i="2"/>
  <c r="AC11" i="2"/>
  <c r="AB11" i="2"/>
  <c r="AA11" i="2"/>
  <c r="Z11" i="2"/>
  <c r="Y11" i="2"/>
  <c r="X11" i="2"/>
  <c r="W11" i="2"/>
  <c r="V11" i="2"/>
  <c r="U11" i="2"/>
  <c r="T11" i="2"/>
  <c r="N14" i="2"/>
  <c r="B11" i="2"/>
  <c r="B12" i="2"/>
  <c r="B13" i="2"/>
  <c r="B14" i="2"/>
  <c r="C11" i="2"/>
  <c r="C12" i="2"/>
  <c r="C13" i="2"/>
  <c r="C14" i="2"/>
  <c r="D11" i="2"/>
  <c r="D12" i="2"/>
  <c r="D13" i="2"/>
  <c r="D14" i="2"/>
  <c r="E11" i="2"/>
  <c r="E12" i="2"/>
  <c r="E13" i="2"/>
  <c r="E14" i="2"/>
  <c r="F11" i="2"/>
  <c r="F12" i="2"/>
  <c r="F13" i="2"/>
  <c r="F14" i="2"/>
  <c r="G11" i="2"/>
  <c r="G12" i="2"/>
  <c r="G13" i="2"/>
  <c r="G14" i="2"/>
  <c r="H11" i="2"/>
  <c r="H12" i="2"/>
  <c r="H13" i="2"/>
  <c r="H14" i="2"/>
  <c r="I11" i="2"/>
  <c r="I12" i="2"/>
  <c r="I13" i="2"/>
  <c r="I14" i="2"/>
  <c r="J11" i="2"/>
  <c r="J12" i="2"/>
  <c r="J13" i="2"/>
  <c r="J14" i="2"/>
  <c r="K11" i="2"/>
  <c r="K12" i="2"/>
  <c r="K13" i="2"/>
  <c r="K14" i="2"/>
  <c r="L11" i="2"/>
  <c r="L12" i="2"/>
  <c r="L13" i="2"/>
  <c r="L14" i="2"/>
  <c r="AF34" i="2" l="1"/>
  <c r="AF33" i="2"/>
  <c r="AF32" i="2"/>
  <c r="AF31" i="2"/>
  <c r="AF30" i="2"/>
  <c r="AF29" i="2"/>
  <c r="AF28" i="2"/>
  <c r="AF27" i="2"/>
  <c r="D3" i="2"/>
  <c r="D4" i="2"/>
  <c r="D5" i="2"/>
  <c r="D6" i="2"/>
  <c r="D7" i="2"/>
  <c r="D8" i="2"/>
  <c r="D9" i="2"/>
  <c r="D10" i="2"/>
  <c r="R33" i="1"/>
  <c r="T33" i="1" s="1"/>
  <c r="R32" i="1"/>
  <c r="T32" i="1" s="1"/>
  <c r="R31" i="1"/>
  <c r="T31" i="1" s="1"/>
  <c r="R30" i="1"/>
  <c r="T30" i="1" s="1"/>
  <c r="T29" i="1"/>
  <c r="R29" i="1"/>
  <c r="R28" i="1"/>
  <c r="T28" i="1" s="1"/>
  <c r="R27" i="1"/>
  <c r="T27" i="1" s="1"/>
  <c r="R26" i="1"/>
  <c r="T26" i="1" s="1"/>
  <c r="R25" i="1"/>
  <c r="T25" i="1" s="1"/>
  <c r="R24" i="1"/>
  <c r="T24" i="1" s="1"/>
  <c r="R23" i="1"/>
  <c r="T23" i="1" s="1"/>
  <c r="R22" i="1"/>
  <c r="T22" i="1" s="1"/>
  <c r="R21" i="1"/>
  <c r="T21" i="1" s="1"/>
  <c r="R3" i="1" l="1"/>
  <c r="T3" i="1" s="1"/>
  <c r="R4" i="1"/>
  <c r="T4" i="1" s="1"/>
  <c r="R5" i="1"/>
  <c r="T5" i="1" s="1"/>
  <c r="R6" i="1"/>
  <c r="T6" i="1" s="1"/>
  <c r="R7" i="1"/>
  <c r="T7" i="1" s="1"/>
  <c r="R8" i="1"/>
  <c r="T8" i="1" s="1"/>
  <c r="R9" i="1"/>
  <c r="T9" i="1" s="1"/>
  <c r="R10" i="1"/>
  <c r="T10" i="1" s="1"/>
  <c r="R11" i="1"/>
  <c r="T11" i="1" s="1"/>
  <c r="R12" i="1"/>
  <c r="T12" i="1" s="1"/>
  <c r="R13" i="1"/>
  <c r="T13" i="1" s="1"/>
  <c r="R14" i="1"/>
  <c r="T14" i="1" s="1"/>
  <c r="R15" i="1"/>
  <c r="T15" i="1" s="1"/>
  <c r="R16" i="1"/>
  <c r="T16" i="1" s="1"/>
  <c r="R17" i="1"/>
  <c r="T17" i="1" s="1"/>
  <c r="R18" i="1"/>
  <c r="T18" i="1" s="1"/>
  <c r="R19" i="1"/>
  <c r="T19" i="1" s="1"/>
  <c r="R20" i="1"/>
  <c r="T20" i="1" s="1"/>
  <c r="R2" i="1"/>
  <c r="T2" i="1" s="1"/>
  <c r="L10" i="2"/>
  <c r="K10" i="2"/>
  <c r="J10" i="2"/>
  <c r="I10" i="2"/>
  <c r="H10" i="2"/>
  <c r="G10" i="2"/>
  <c r="F10" i="2"/>
  <c r="E10" i="2"/>
  <c r="C10" i="2"/>
  <c r="B10" i="2"/>
  <c r="L9" i="2"/>
  <c r="K9" i="2"/>
  <c r="J9" i="2"/>
  <c r="I9" i="2"/>
  <c r="H9" i="2"/>
  <c r="G9" i="2"/>
  <c r="F9" i="2"/>
  <c r="E9" i="2"/>
  <c r="C9" i="2"/>
  <c r="B9" i="2"/>
  <c r="V2" i="1" l="1"/>
  <c r="AF26" i="2"/>
  <c r="AF25" i="2"/>
  <c r="AF24" i="2"/>
  <c r="AF23" i="2"/>
  <c r="AF22" i="2"/>
  <c r="AF21" i="2"/>
  <c r="AF20" i="2"/>
  <c r="AF19" i="2"/>
  <c r="AF18" i="2"/>
  <c r="AF17" i="2"/>
  <c r="AF16" i="2"/>
  <c r="AF15" i="2"/>
  <c r="AF10" i="2"/>
  <c r="N10" i="2" s="1"/>
  <c r="N9" i="2"/>
  <c r="L8" i="2"/>
  <c r="K8" i="2"/>
  <c r="J8" i="2"/>
  <c r="I8" i="2"/>
  <c r="H8" i="2"/>
  <c r="G8" i="2"/>
  <c r="F8" i="2"/>
  <c r="E8" i="2"/>
  <c r="C8" i="2"/>
  <c r="B8" i="2"/>
  <c r="N8" i="2" s="1"/>
  <c r="L7" i="2"/>
  <c r="K7" i="2"/>
  <c r="J7" i="2"/>
  <c r="I7" i="2"/>
  <c r="H7" i="2"/>
  <c r="G7" i="2"/>
  <c r="F7" i="2"/>
  <c r="E7" i="2"/>
  <c r="C7" i="2"/>
  <c r="B7" i="2"/>
  <c r="N7" i="2" s="1"/>
  <c r="L6" i="2"/>
  <c r="K6" i="2"/>
  <c r="J6" i="2"/>
  <c r="I6" i="2"/>
  <c r="H6" i="2"/>
  <c r="G6" i="2"/>
  <c r="F6" i="2"/>
  <c r="E6" i="2"/>
  <c r="C6" i="2"/>
  <c r="B6" i="2"/>
  <c r="N6" i="2" s="1"/>
  <c r="L5" i="2"/>
  <c r="K5" i="2"/>
  <c r="J5" i="2"/>
  <c r="I5" i="2"/>
  <c r="H5" i="2"/>
  <c r="G5" i="2"/>
  <c r="F5" i="2"/>
  <c r="E5" i="2"/>
  <c r="C5" i="2"/>
  <c r="B5" i="2"/>
  <c r="AF5" i="2" s="1"/>
  <c r="N5" i="2" s="1"/>
  <c r="J3" i="2"/>
  <c r="J4" i="2"/>
  <c r="AB3" i="2" l="1"/>
  <c r="AB4" i="2"/>
  <c r="AB7" i="2"/>
  <c r="AB6" i="2"/>
  <c r="AB9" i="2"/>
  <c r="AB10" i="2"/>
  <c r="AB5" i="2"/>
  <c r="AB8" i="2"/>
  <c r="R5" i="2"/>
  <c r="L3" i="2"/>
  <c r="L4" i="2"/>
  <c r="K3" i="2"/>
  <c r="K4" i="2"/>
  <c r="AC4" i="2" s="1"/>
  <c r="I3" i="2"/>
  <c r="I4" i="2"/>
  <c r="H3" i="2"/>
  <c r="H4" i="2"/>
  <c r="G3" i="2"/>
  <c r="G4" i="2"/>
  <c r="F3" i="2"/>
  <c r="F4" i="2"/>
  <c r="E3" i="2"/>
  <c r="E4" i="2"/>
  <c r="C4" i="2"/>
  <c r="C3" i="2"/>
  <c r="B3" i="2"/>
  <c r="B4" i="2"/>
  <c r="N4" i="2" s="1"/>
  <c r="U7" i="2" l="1"/>
  <c r="U6" i="2"/>
  <c r="U3" i="2"/>
  <c r="U9" i="2"/>
  <c r="U10" i="2"/>
  <c r="U5" i="2"/>
  <c r="U4" i="2"/>
  <c r="U8" i="2"/>
  <c r="AC9" i="2"/>
  <c r="AC8" i="2"/>
  <c r="AA3" i="2"/>
  <c r="AD3" i="2"/>
  <c r="AD10" i="2"/>
  <c r="AC10" i="2"/>
  <c r="AF3" i="2"/>
  <c r="N3" i="2" s="1"/>
  <c r="R12" i="2" s="1"/>
  <c r="Z5" i="2"/>
  <c r="Z9" i="2"/>
  <c r="Z6" i="2"/>
  <c r="Z10" i="2"/>
  <c r="Z7" i="2"/>
  <c r="Z4" i="2"/>
  <c r="Z8" i="2"/>
  <c r="Z3" i="2"/>
  <c r="AC3" i="2"/>
  <c r="AA8" i="2"/>
  <c r="AA9" i="2"/>
  <c r="AA4" i="2"/>
  <c r="AD4" i="2"/>
  <c r="AA7" i="2"/>
  <c r="AD7" i="2"/>
  <c r="AA10" i="2"/>
  <c r="AD8" i="2"/>
  <c r="AD9" i="2"/>
  <c r="Y4" i="2"/>
  <c r="Y8" i="2"/>
  <c r="Y3" i="2"/>
  <c r="Y5" i="2"/>
  <c r="Y9" i="2"/>
  <c r="Y6" i="2"/>
  <c r="Y10" i="2"/>
  <c r="Y7" i="2"/>
  <c r="AD6" i="2"/>
  <c r="AC6" i="2"/>
  <c r="AC7" i="2"/>
  <c r="AA6" i="2"/>
  <c r="AC5" i="2"/>
  <c r="AA5" i="2"/>
  <c r="AD5" i="2"/>
  <c r="W7" i="2"/>
  <c r="W5" i="2"/>
  <c r="W10" i="2"/>
  <c r="W4" i="2"/>
  <c r="W8" i="2"/>
  <c r="W3" i="2"/>
  <c r="W9" i="2"/>
  <c r="W6" i="2"/>
  <c r="V6" i="2"/>
  <c r="V10" i="2"/>
  <c r="V8" i="2"/>
  <c r="V5" i="2"/>
  <c r="V7" i="2"/>
  <c r="V4" i="2"/>
  <c r="V3" i="2"/>
  <c r="V9" i="2"/>
  <c r="X4" i="2"/>
  <c r="X8" i="2"/>
  <c r="X3" i="2"/>
  <c r="X6" i="2"/>
  <c r="X5" i="2"/>
  <c r="X9" i="2"/>
  <c r="X10" i="2"/>
  <c r="X7" i="2"/>
  <c r="R11" i="2"/>
  <c r="R10" i="2"/>
  <c r="R8" i="2"/>
  <c r="R9" i="2"/>
  <c r="R4" i="2"/>
  <c r="R7" i="2"/>
  <c r="R3" i="2"/>
  <c r="R6" i="2"/>
  <c r="T9" i="2" l="1"/>
  <c r="T10" i="2"/>
  <c r="T4" i="2"/>
  <c r="T7" i="2"/>
  <c r="T5" i="2"/>
  <c r="T3" i="2"/>
  <c r="T6" i="2"/>
  <c r="T8" i="2"/>
  <c r="T2" i="2" l="1"/>
</calcChain>
</file>

<file path=xl/sharedStrings.xml><?xml version="1.0" encoding="utf-8"?>
<sst xmlns="http://schemas.openxmlformats.org/spreadsheetml/2006/main" count="91" uniqueCount="29">
  <si>
    <t>Şirket</t>
  </si>
  <si>
    <t>Özkaynak Karlılığı</t>
  </si>
  <si>
    <t>PD/DD</t>
  </si>
  <si>
    <t>F/K</t>
  </si>
  <si>
    <t>FD/FAVÖK</t>
  </si>
  <si>
    <t>FD/Satış</t>
  </si>
  <si>
    <t>PEG</t>
  </si>
  <si>
    <t>ROIC</t>
  </si>
  <si>
    <t>Yıllık Net Kar Değişimi</t>
  </si>
  <si>
    <t>Yıllık FAVÖK Değişimi</t>
  </si>
  <si>
    <t>Yıllık Satışlar Değişimi</t>
  </si>
  <si>
    <t xml:space="preserve">Yıllık İşletme Faaliyetleri Nakit Akış Değişimi </t>
  </si>
  <si>
    <t>2023/9</t>
  </si>
  <si>
    <t>Kapanış Fiyatı</t>
  </si>
  <si>
    <t>Bilanço Sonrası Hisse Fiyatı</t>
  </si>
  <si>
    <t>#</t>
  </si>
  <si>
    <t>KONTR</t>
  </si>
  <si>
    <t>YEOTK</t>
  </si>
  <si>
    <t xml:space="preserve">#ARDYZ #ARENA #ATATP #AZTEK #DESPC #ESCOM #FONET #HTTBT #INDES #KAREL #KFEIN #KONTR #KRONT #LINK #LOGO #MIATK #MTRKS #OBASE #PCILT #PENTA #PKART #SMART #VBTYZ #YEOTK </t>
  </si>
  <si>
    <t>ALFAS</t>
  </si>
  <si>
    <t>ASTOR</t>
  </si>
  <si>
    <t>BRLSM</t>
  </si>
  <si>
    <t>CWENE</t>
  </si>
  <si>
    <t>EKOS</t>
  </si>
  <si>
    <t>EUPWR</t>
  </si>
  <si>
    <t>GESAN</t>
  </si>
  <si>
    <t>ORGE</t>
  </si>
  <si>
    <t>SAYAS</t>
  </si>
  <si>
    <t>SMRTG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</si>
</sst>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4"/>
      <color rgb="FF687FF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0" fontId="0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9" fontId="3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center"/>
    </xf>
  </cellXfs>
  <cellStyles count="2">
    <cellStyle name="Normal" xfId="0" builtinId="0"/>
    <cellStyle name="Yüzde" xfId="1" builtinId="5"/>
  </cellStyles>
  <dxfs count="16"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theme="0"/>
        </top>
        <bottom style="thick">
          <color theme="0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4"/>
        <color rgb="FF687FF4"/>
        <name val="Calibri"/>
        <family val="2"/>
        <charset val="162"/>
        <scheme val="minor"/>
      </font>
      <alignment vertical="center" textRotation="0" indent="0" justifyLastLine="0" shrinkToFit="0" readingOrder="0"/>
      <border diagonalUp="0" diagonalDown="0" outline="0">
        <left/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alignment horizontal="center" vertical="center" textRotation="0" wrapText="0" indent="0" justifyLastLine="0" shrinkToFit="0" readingOrder="0"/>
    </dxf>
    <dxf>
      <border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charset val="16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</dxfs>
  <tableStyles count="0" defaultTableStyle="TableStyleMedium9" defaultPivotStyle="PivotStyleMedium4"/>
  <colors>
    <mruColors>
      <color rgb="FF687FF4"/>
      <color rgb="FFFC60C4"/>
      <color rgb="FF047E67"/>
      <color rgb="FFEB700B"/>
      <color rgb="FFFE6666"/>
      <color rgb="FF5DD9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rive'&#305;m\Di&#287;er\Borsa%20&#199;al&#305;&#351;ma.xlsx" TargetMode="External"/><Relationship Id="rId1" Type="http://schemas.openxmlformats.org/officeDocument/2006/relationships/externalLinkPath" Target="Borsa%20&#199;al&#305;&#351;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  <sheetName val="Sayfa2"/>
      <sheetName val="Sayfa3"/>
      <sheetName val="data"/>
      <sheetName val="Sayfa4"/>
      <sheetName val="Sayfa5"/>
      <sheetName val="GYO"/>
      <sheetName val="DEA"/>
      <sheetName val="ANA M"/>
      <sheetName val="AMB"/>
      <sheetName val="ARK"/>
      <sheetName val="B.Y."/>
      <sheetName val="CSP"/>
      <sheetName val="ENT"/>
      <sheetName val="En.Ü."/>
      <sheetName val="G.P."/>
      <sheetName val="Gı-Iç"/>
      <sheetName val="HAB"/>
      <sheetName val="HOLD"/>
      <sheetName val="ILAC"/>
      <sheetName val="KAMA"/>
      <sheetName val="Sayf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CC89F-5199-48A4-A1B6-1973822B08D0}" name="Tablo1" displayName="Tablo1" ref="B2:L14" totalsRowShown="0" headerRowDxfId="15" dataDxfId="13" headerRowBorderDxfId="14" tableBorderDxfId="12" totalsRowBorderDxfId="11">
  <autoFilter ref="B2:L14" xr:uid="{06DCC89F-5199-48A4-A1B6-1973822B08D0}"/>
  <tableColumns count="11">
    <tableColumn id="1" xr3:uid="{DB058AAE-8836-4A67-A8AF-3B1E4D508ED2}" name="Şirket" dataDxfId="10">
      <calculatedColumnFormula>+data!A2</calculatedColumnFormula>
    </tableColumn>
    <tableColumn id="2" xr3:uid="{C9FD7B0C-3B22-4ACB-951C-F227F46047AB}" name="Özkaynak Karlılığı" dataDxfId="9" dataCellStyle="Yüzde">
      <calculatedColumnFormula>+data!B2/100</calculatedColumnFormula>
    </tableColumn>
    <tableColumn id="3" xr3:uid="{791EDFA7-3B7D-4D77-9960-0C214D8D5419}" name="PD/DD" dataDxfId="8">
      <calculatedColumnFormula>IF(data!C2&lt;0,"",data!C2)</calculatedColumnFormula>
    </tableColumn>
    <tableColumn id="4" xr3:uid="{EDCBB533-5839-4BD8-BA97-362B0CD0980A}" name="F/K" dataDxfId="7">
      <calculatedColumnFormula>IF(data!D2="","",data!D2)</calculatedColumnFormula>
    </tableColumn>
    <tableColumn id="5" xr3:uid="{2A745841-F480-4922-AC33-B08CCE7EE14E}" name="FD/FAVÖK" dataDxfId="6">
      <calculatedColumnFormula>IF(data!E2="","",data!E2)</calculatedColumnFormula>
    </tableColumn>
    <tableColumn id="6" xr3:uid="{8D0D068C-C623-4343-B44D-CEF1E60F0181}" name="FD/Satış" dataDxfId="5">
      <calculatedColumnFormula>IF(data!F2="","",data!F2)</calculatedColumnFormula>
    </tableColumn>
    <tableColumn id="7" xr3:uid="{25E03C56-2BA5-4B55-845D-E10692E36E1A}" name="PEG" dataDxfId="4">
      <calculatedColumnFormula>IF(data!G2="","",data!G2)</calculatedColumnFormula>
    </tableColumn>
    <tableColumn id="8" xr3:uid="{2757D01D-F636-4214-8413-25343C5851D9}" name="ROIC" dataDxfId="3" dataCellStyle="Yüzde">
      <calculatedColumnFormula>IF(data!H2/100="","",data!H2/100)</calculatedColumnFormula>
    </tableColumn>
    <tableColumn id="9" xr3:uid="{3D650952-779D-4594-97C7-E595D93E9C54}" name="Yıllık Net Kar Değişimi" dataDxfId="2">
      <calculatedColumnFormula>IF(data!I2/100=0,"",data!I2/100)</calculatedColumnFormula>
    </tableColumn>
    <tableColumn id="10" xr3:uid="{735BA8B3-1DCE-4D3B-99F6-EE20448B5649}" name="Yıllık FAVÖK Değişimi" dataDxfId="1">
      <calculatedColumnFormula>IF(data!J2/100="","",data!J2/100)</calculatedColumnFormula>
    </tableColumn>
    <tableColumn id="11" xr3:uid="{FE94096D-4CDF-464A-87F5-80E490A86FC9}" name="Yıllık Satışlar Değişimi" dataDxfId="0">
      <calculatedColumnFormula>IF(data!K2/100="","",data!K2/100)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workbookViewId="0">
      <selection activeCell="E18" sqref="E18"/>
    </sheetView>
  </sheetViews>
  <sheetFormatPr defaultRowHeight="15.6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22" x14ac:dyDescent="0.3">
      <c r="A2" t="s">
        <v>19</v>
      </c>
      <c r="B2">
        <v>120.72</v>
      </c>
      <c r="C2">
        <v>17.78</v>
      </c>
      <c r="D2">
        <v>24.66</v>
      </c>
      <c r="E2">
        <v>24.82</v>
      </c>
      <c r="F2">
        <v>5.71</v>
      </c>
      <c r="G2">
        <v>7.0000000000000007E-2</v>
      </c>
      <c r="H2">
        <v>152.29</v>
      </c>
      <c r="I2">
        <v>277.93</v>
      </c>
      <c r="J2">
        <v>414.18</v>
      </c>
      <c r="K2">
        <v>294.11</v>
      </c>
      <c r="L2">
        <v>-19.920000000000002</v>
      </c>
      <c r="M2">
        <v>87.4</v>
      </c>
      <c r="Q2" t="s">
        <v>15</v>
      </c>
      <c r="R2" t="str">
        <f>CONCATENATE(Q2,A2)</f>
        <v>#ALFAS</v>
      </c>
      <c r="T2" t="str">
        <f>CONCATENATE(R2," ")</f>
        <v xml:space="preserve">#ALFAS </v>
      </c>
      <c r="V2" t="str">
        <f>CONCATENATE(T2,T3,T4,T5,T6,T7,T8,T9,T10,T11,T12,T13,T14,T15,T16,T17,T18,T19,T20,T21,T22,T23,T24,T25)</f>
        <v xml:space="preserve">#ALFAS #ASTOR #BRLSM #CWENE #EKOS #EUPWR #GESAN #KONTR #ORGE #SAYAS #SMRTG #YEOTK # # # # # # # # # # # # </v>
      </c>
    </row>
    <row r="3" spans="1:22" x14ac:dyDescent="0.3">
      <c r="A3" t="s">
        <v>20</v>
      </c>
      <c r="B3">
        <v>73.84</v>
      </c>
      <c r="C3">
        <v>13.83</v>
      </c>
      <c r="D3">
        <v>28.06</v>
      </c>
      <c r="E3">
        <v>26.27</v>
      </c>
      <c r="F3">
        <v>8.8800000000000008</v>
      </c>
      <c r="G3">
        <v>0.16</v>
      </c>
      <c r="H3">
        <v>82.09</v>
      </c>
      <c r="I3">
        <v>176.58</v>
      </c>
      <c r="J3">
        <v>153.24</v>
      </c>
      <c r="K3">
        <v>92.01</v>
      </c>
      <c r="L3">
        <v>612.4</v>
      </c>
      <c r="M3">
        <v>106</v>
      </c>
      <c r="Q3" t="s">
        <v>15</v>
      </c>
      <c r="R3" t="str">
        <f t="shared" ref="R3:R20" si="0">CONCATENATE(Q3,A3)</f>
        <v>#ASTOR</v>
      </c>
      <c r="T3" t="str">
        <f t="shared" ref="T3:T20" si="1">CONCATENATE(R3," ")</f>
        <v xml:space="preserve">#ASTOR </v>
      </c>
    </row>
    <row r="4" spans="1:22" x14ac:dyDescent="0.3">
      <c r="A4" t="s">
        <v>21</v>
      </c>
      <c r="B4">
        <v>60.45</v>
      </c>
      <c r="C4">
        <v>6.25</v>
      </c>
      <c r="D4">
        <v>13.48</v>
      </c>
      <c r="E4">
        <v>22.34</v>
      </c>
      <c r="F4">
        <v>2.04</v>
      </c>
      <c r="G4">
        <v>0.04</v>
      </c>
      <c r="H4">
        <v>39.619999999999997</v>
      </c>
      <c r="I4">
        <v>186.64</v>
      </c>
      <c r="J4">
        <v>134.34</v>
      </c>
      <c r="K4">
        <v>133.26</v>
      </c>
      <c r="L4">
        <v>-250.97</v>
      </c>
      <c r="M4">
        <v>24</v>
      </c>
      <c r="Q4" t="s">
        <v>15</v>
      </c>
      <c r="R4" t="str">
        <f t="shared" si="0"/>
        <v>#BRLSM</v>
      </c>
      <c r="T4" t="str">
        <f t="shared" si="1"/>
        <v xml:space="preserve">#BRLSM </v>
      </c>
    </row>
    <row r="5" spans="1:22" x14ac:dyDescent="0.3">
      <c r="A5" t="s">
        <v>22</v>
      </c>
      <c r="B5">
        <v>55.47</v>
      </c>
      <c r="C5">
        <v>8.2799999999999994</v>
      </c>
      <c r="D5">
        <v>29.86</v>
      </c>
      <c r="E5">
        <v>17.829999999999998</v>
      </c>
      <c r="F5">
        <v>4</v>
      </c>
      <c r="G5">
        <v>0.25</v>
      </c>
      <c r="H5">
        <v>100.63</v>
      </c>
      <c r="I5">
        <v>44.72</v>
      </c>
      <c r="J5">
        <v>164.59</v>
      </c>
      <c r="K5">
        <v>137.72</v>
      </c>
      <c r="L5">
        <v>-300.45999999999998</v>
      </c>
      <c r="M5">
        <v>274</v>
      </c>
      <c r="Q5" t="s">
        <v>15</v>
      </c>
      <c r="R5" t="str">
        <f t="shared" si="0"/>
        <v>#CWENE</v>
      </c>
      <c r="T5" t="str">
        <f t="shared" si="1"/>
        <v xml:space="preserve">#CWENE </v>
      </c>
    </row>
    <row r="6" spans="1:22" x14ac:dyDescent="0.3">
      <c r="A6" t="s">
        <v>23</v>
      </c>
      <c r="B6">
        <v>38.090000000000003</v>
      </c>
      <c r="C6">
        <v>13.86</v>
      </c>
      <c r="D6">
        <v>72.75</v>
      </c>
      <c r="E6">
        <v>53.39</v>
      </c>
      <c r="F6">
        <v>12.49</v>
      </c>
      <c r="G6">
        <v>0.51</v>
      </c>
      <c r="H6">
        <v>38.9</v>
      </c>
      <c r="I6">
        <v>69.63</v>
      </c>
      <c r="J6">
        <v>185.73</v>
      </c>
      <c r="K6">
        <v>179.33</v>
      </c>
      <c r="L6">
        <v>164.08</v>
      </c>
      <c r="M6">
        <v>38.78</v>
      </c>
      <c r="Q6" t="s">
        <v>15</v>
      </c>
      <c r="R6" t="str">
        <f t="shared" si="0"/>
        <v>#EKOS</v>
      </c>
      <c r="T6" t="str">
        <f t="shared" si="1"/>
        <v xml:space="preserve">#EKOS </v>
      </c>
      <c r="V6" t="s">
        <v>18</v>
      </c>
    </row>
    <row r="7" spans="1:22" x14ac:dyDescent="0.3">
      <c r="A7" t="s">
        <v>24</v>
      </c>
      <c r="B7">
        <v>65.45</v>
      </c>
      <c r="C7">
        <v>10.3</v>
      </c>
      <c r="D7">
        <v>31.46</v>
      </c>
      <c r="E7">
        <v>37.03</v>
      </c>
      <c r="F7">
        <v>8.6300000000000008</v>
      </c>
      <c r="G7">
        <v>0.05</v>
      </c>
      <c r="H7">
        <v>35.46</v>
      </c>
      <c r="I7">
        <v>492.25</v>
      </c>
      <c r="J7">
        <v>175.38</v>
      </c>
      <c r="K7">
        <v>165.35</v>
      </c>
      <c r="L7">
        <v>3235.73</v>
      </c>
      <c r="M7">
        <v>166.1</v>
      </c>
      <c r="Q7" t="s">
        <v>15</v>
      </c>
      <c r="R7" t="str">
        <f t="shared" si="0"/>
        <v>#EUPWR</v>
      </c>
      <c r="T7" t="str">
        <f t="shared" si="1"/>
        <v xml:space="preserve">#EUPWR </v>
      </c>
    </row>
    <row r="8" spans="1:22" x14ac:dyDescent="0.3">
      <c r="A8" t="s">
        <v>25</v>
      </c>
      <c r="B8">
        <v>54.64</v>
      </c>
      <c r="C8">
        <v>7.63</v>
      </c>
      <c r="D8">
        <v>21.55</v>
      </c>
      <c r="E8">
        <v>13.78</v>
      </c>
      <c r="F8">
        <v>4.1500000000000004</v>
      </c>
      <c r="G8">
        <v>0.09</v>
      </c>
      <c r="H8">
        <v>44.48</v>
      </c>
      <c r="I8">
        <v>259.02</v>
      </c>
      <c r="J8">
        <v>158.63999999999999</v>
      </c>
      <c r="K8">
        <v>124.2</v>
      </c>
      <c r="L8">
        <v>902.05</v>
      </c>
      <c r="M8">
        <v>68.95</v>
      </c>
      <c r="Q8" t="s">
        <v>15</v>
      </c>
      <c r="R8" t="str">
        <f t="shared" si="0"/>
        <v>#GESAN</v>
      </c>
      <c r="T8" t="str">
        <f t="shared" si="1"/>
        <v xml:space="preserve">#GESAN </v>
      </c>
    </row>
    <row r="9" spans="1:22" x14ac:dyDescent="0.3">
      <c r="A9" t="s">
        <v>16</v>
      </c>
      <c r="B9">
        <v>68.8</v>
      </c>
      <c r="C9">
        <v>25.55</v>
      </c>
      <c r="D9">
        <v>59.71</v>
      </c>
      <c r="E9">
        <v>516.42999999999995</v>
      </c>
      <c r="F9">
        <v>18.79</v>
      </c>
      <c r="G9">
        <v>0.24</v>
      </c>
      <c r="H9">
        <v>32.729999999999997</v>
      </c>
      <c r="I9">
        <v>183.9</v>
      </c>
      <c r="K9">
        <v>110.64</v>
      </c>
      <c r="L9">
        <v>-369.32</v>
      </c>
      <c r="M9">
        <v>247.1</v>
      </c>
      <c r="Q9" t="s">
        <v>15</v>
      </c>
      <c r="R9" t="str">
        <f t="shared" si="0"/>
        <v>#KONTR</v>
      </c>
      <c r="T9" t="str">
        <f t="shared" si="1"/>
        <v xml:space="preserve">#KONTR </v>
      </c>
    </row>
    <row r="10" spans="1:22" x14ac:dyDescent="0.3">
      <c r="A10" t="s">
        <v>26</v>
      </c>
      <c r="B10">
        <v>64.09</v>
      </c>
      <c r="C10">
        <v>4.8600000000000003</v>
      </c>
      <c r="D10">
        <v>10.130000000000001</v>
      </c>
      <c r="E10">
        <v>8.8699999999999992</v>
      </c>
      <c r="F10">
        <v>4.07</v>
      </c>
      <c r="G10">
        <v>0.08</v>
      </c>
      <c r="H10">
        <v>61.75</v>
      </c>
      <c r="I10">
        <v>104.83</v>
      </c>
      <c r="J10">
        <v>141.78</v>
      </c>
      <c r="K10">
        <v>103.8</v>
      </c>
      <c r="L10">
        <v>-43.5</v>
      </c>
      <c r="M10">
        <v>61.9</v>
      </c>
      <c r="Q10" t="s">
        <v>15</v>
      </c>
      <c r="R10" t="str">
        <f t="shared" si="0"/>
        <v>#ORGE</v>
      </c>
      <c r="T10" t="str">
        <f t="shared" si="1"/>
        <v xml:space="preserve">#ORGE </v>
      </c>
    </row>
    <row r="11" spans="1:22" x14ac:dyDescent="0.3">
      <c r="A11" t="s">
        <v>27</v>
      </c>
      <c r="B11">
        <v>82.05</v>
      </c>
      <c r="C11">
        <v>14.58</v>
      </c>
      <c r="D11">
        <v>24.75</v>
      </c>
      <c r="E11">
        <v>38.04</v>
      </c>
      <c r="F11">
        <v>9.74</v>
      </c>
      <c r="G11">
        <v>0.21</v>
      </c>
      <c r="H11">
        <v>38.44</v>
      </c>
      <c r="I11">
        <v>117.62</v>
      </c>
      <c r="J11">
        <v>9.68</v>
      </c>
      <c r="K11">
        <v>10.67</v>
      </c>
      <c r="L11">
        <v>-342.41</v>
      </c>
      <c r="M11">
        <v>86.8</v>
      </c>
      <c r="Q11" t="s">
        <v>15</v>
      </c>
      <c r="R11" t="str">
        <f t="shared" si="0"/>
        <v>#SAYAS</v>
      </c>
      <c r="T11" t="str">
        <f t="shared" si="1"/>
        <v xml:space="preserve">#SAYAS </v>
      </c>
    </row>
    <row r="12" spans="1:22" x14ac:dyDescent="0.3">
      <c r="A12" t="s">
        <v>28</v>
      </c>
      <c r="B12">
        <v>83.13</v>
      </c>
      <c r="C12">
        <v>28.43</v>
      </c>
      <c r="D12">
        <v>45.2</v>
      </c>
      <c r="E12">
        <v>36.270000000000003</v>
      </c>
      <c r="F12">
        <v>7.23</v>
      </c>
      <c r="G12">
        <v>0.14000000000000001</v>
      </c>
      <c r="H12">
        <v>142.28</v>
      </c>
      <c r="I12">
        <v>404.53</v>
      </c>
      <c r="J12">
        <v>518.54999999999995</v>
      </c>
      <c r="K12">
        <v>264.39999999999998</v>
      </c>
      <c r="L12">
        <v>119.98</v>
      </c>
      <c r="M12">
        <v>60</v>
      </c>
      <c r="Q12" t="s">
        <v>15</v>
      </c>
      <c r="R12" t="str">
        <f t="shared" si="0"/>
        <v>#SMRTG</v>
      </c>
      <c r="T12" t="str">
        <f t="shared" si="1"/>
        <v xml:space="preserve">#SMRTG </v>
      </c>
    </row>
    <row r="13" spans="1:22" x14ac:dyDescent="0.3">
      <c r="A13" t="s">
        <v>17</v>
      </c>
      <c r="B13">
        <v>90.19</v>
      </c>
      <c r="C13">
        <v>23.05</v>
      </c>
      <c r="D13">
        <v>37.17</v>
      </c>
      <c r="E13">
        <v>29.56</v>
      </c>
      <c r="F13">
        <v>5.24</v>
      </c>
      <c r="G13">
        <v>0.12</v>
      </c>
      <c r="H13">
        <v>68.709999999999994</v>
      </c>
      <c r="I13">
        <v>236.09</v>
      </c>
      <c r="J13">
        <v>213.92</v>
      </c>
      <c r="K13">
        <v>232.23</v>
      </c>
      <c r="L13">
        <v>-196.3</v>
      </c>
      <c r="M13">
        <v>178.8</v>
      </c>
      <c r="Q13" t="s">
        <v>15</v>
      </c>
      <c r="R13" t="str">
        <f t="shared" si="0"/>
        <v>#YEOTK</v>
      </c>
      <c r="T13" t="str">
        <f t="shared" si="1"/>
        <v xml:space="preserve">#YEOTK </v>
      </c>
    </row>
    <row r="14" spans="1:22" x14ac:dyDescent="0.3">
      <c r="Q14" t="s">
        <v>15</v>
      </c>
      <c r="R14" t="str">
        <f t="shared" si="0"/>
        <v>#</v>
      </c>
      <c r="T14" t="str">
        <f t="shared" si="1"/>
        <v xml:space="preserve"># </v>
      </c>
    </row>
    <row r="15" spans="1:22" x14ac:dyDescent="0.3">
      <c r="Q15" t="s">
        <v>15</v>
      </c>
      <c r="R15" t="str">
        <f t="shared" si="0"/>
        <v>#</v>
      </c>
      <c r="T15" t="str">
        <f t="shared" si="1"/>
        <v xml:space="preserve"># </v>
      </c>
    </row>
    <row r="16" spans="1:22" x14ac:dyDescent="0.3">
      <c r="Q16" t="s">
        <v>15</v>
      </c>
      <c r="R16" t="str">
        <f t="shared" si="0"/>
        <v>#</v>
      </c>
      <c r="T16" t="str">
        <f t="shared" si="1"/>
        <v xml:space="preserve"># </v>
      </c>
    </row>
    <row r="17" spans="17:20" x14ac:dyDescent="0.3">
      <c r="Q17" t="s">
        <v>15</v>
      </c>
      <c r="R17" t="str">
        <f t="shared" si="0"/>
        <v>#</v>
      </c>
      <c r="T17" t="str">
        <f t="shared" si="1"/>
        <v xml:space="preserve"># </v>
      </c>
    </row>
    <row r="18" spans="17:20" x14ac:dyDescent="0.3">
      <c r="Q18" t="s">
        <v>15</v>
      </c>
      <c r="R18" t="str">
        <f t="shared" si="0"/>
        <v>#</v>
      </c>
      <c r="T18" t="str">
        <f t="shared" si="1"/>
        <v xml:space="preserve"># </v>
      </c>
    </row>
    <row r="19" spans="17:20" x14ac:dyDescent="0.3">
      <c r="Q19" t="s">
        <v>15</v>
      </c>
      <c r="R19" t="str">
        <f t="shared" si="0"/>
        <v>#</v>
      </c>
      <c r="T19" t="str">
        <f t="shared" si="1"/>
        <v xml:space="preserve"># </v>
      </c>
    </row>
    <row r="20" spans="17:20" x14ac:dyDescent="0.3">
      <c r="Q20" t="s">
        <v>15</v>
      </c>
      <c r="R20" t="str">
        <f t="shared" si="0"/>
        <v>#</v>
      </c>
      <c r="T20" t="str">
        <f t="shared" si="1"/>
        <v xml:space="preserve"># </v>
      </c>
    </row>
    <row r="21" spans="17:20" x14ac:dyDescent="0.3">
      <c r="Q21" t="s">
        <v>15</v>
      </c>
      <c r="R21" t="str">
        <f t="shared" ref="R21:R33" si="2">CONCATENATE(Q21,A21)</f>
        <v>#</v>
      </c>
      <c r="T21" t="str">
        <f t="shared" ref="T21:T33" si="3">CONCATENATE(R21," ")</f>
        <v xml:space="preserve"># </v>
      </c>
    </row>
    <row r="22" spans="17:20" x14ac:dyDescent="0.3">
      <c r="Q22" t="s">
        <v>15</v>
      </c>
      <c r="R22" t="str">
        <f t="shared" si="2"/>
        <v>#</v>
      </c>
      <c r="T22" t="str">
        <f t="shared" si="3"/>
        <v xml:space="preserve"># </v>
      </c>
    </row>
    <row r="23" spans="17:20" x14ac:dyDescent="0.3">
      <c r="Q23" t="s">
        <v>15</v>
      </c>
      <c r="R23" t="str">
        <f t="shared" si="2"/>
        <v>#</v>
      </c>
      <c r="T23" t="str">
        <f t="shared" si="3"/>
        <v xml:space="preserve"># </v>
      </c>
    </row>
    <row r="24" spans="17:20" x14ac:dyDescent="0.3">
      <c r="Q24" t="s">
        <v>15</v>
      </c>
      <c r="R24" t="str">
        <f t="shared" si="2"/>
        <v>#</v>
      </c>
      <c r="T24" t="str">
        <f t="shared" si="3"/>
        <v xml:space="preserve"># </v>
      </c>
    </row>
    <row r="25" spans="17:20" x14ac:dyDescent="0.3">
      <c r="Q25" t="s">
        <v>15</v>
      </c>
      <c r="R25" t="str">
        <f t="shared" si="2"/>
        <v>#</v>
      </c>
      <c r="T25" t="str">
        <f t="shared" si="3"/>
        <v xml:space="preserve"># </v>
      </c>
    </row>
    <row r="26" spans="17:20" x14ac:dyDescent="0.3">
      <c r="Q26" t="s">
        <v>15</v>
      </c>
      <c r="R26" t="str">
        <f t="shared" si="2"/>
        <v>#</v>
      </c>
      <c r="T26" t="str">
        <f t="shared" si="3"/>
        <v xml:space="preserve"># </v>
      </c>
    </row>
    <row r="27" spans="17:20" x14ac:dyDescent="0.3">
      <c r="Q27" t="s">
        <v>15</v>
      </c>
      <c r="R27" t="str">
        <f t="shared" si="2"/>
        <v>#</v>
      </c>
      <c r="T27" t="str">
        <f t="shared" si="3"/>
        <v xml:space="preserve"># </v>
      </c>
    </row>
    <row r="28" spans="17:20" x14ac:dyDescent="0.3">
      <c r="Q28" t="s">
        <v>15</v>
      </c>
      <c r="R28" t="str">
        <f t="shared" si="2"/>
        <v>#</v>
      </c>
      <c r="T28" t="str">
        <f t="shared" si="3"/>
        <v xml:space="preserve"># </v>
      </c>
    </row>
    <row r="29" spans="17:20" x14ac:dyDescent="0.3">
      <c r="Q29" t="s">
        <v>15</v>
      </c>
      <c r="R29" t="str">
        <f t="shared" si="2"/>
        <v>#</v>
      </c>
      <c r="T29" t="str">
        <f t="shared" si="3"/>
        <v xml:space="preserve"># </v>
      </c>
    </row>
    <row r="30" spans="17:20" x14ac:dyDescent="0.3">
      <c r="Q30" t="s">
        <v>15</v>
      </c>
      <c r="R30" t="str">
        <f t="shared" si="2"/>
        <v>#</v>
      </c>
      <c r="T30" t="str">
        <f t="shared" si="3"/>
        <v xml:space="preserve"># </v>
      </c>
    </row>
    <row r="31" spans="17:20" x14ac:dyDescent="0.3">
      <c r="Q31" t="s">
        <v>15</v>
      </c>
      <c r="R31" t="str">
        <f t="shared" si="2"/>
        <v>#</v>
      </c>
      <c r="T31" t="str">
        <f t="shared" si="3"/>
        <v xml:space="preserve"># </v>
      </c>
    </row>
    <row r="32" spans="17:20" x14ac:dyDescent="0.3">
      <c r="Q32" t="s">
        <v>15</v>
      </c>
      <c r="R32" t="str">
        <f t="shared" si="2"/>
        <v>#</v>
      </c>
      <c r="T32" t="str">
        <f t="shared" si="3"/>
        <v xml:space="preserve"># </v>
      </c>
    </row>
    <row r="33" spans="17:20" x14ac:dyDescent="0.3">
      <c r="Q33" t="s">
        <v>15</v>
      </c>
      <c r="R33" t="str">
        <f t="shared" si="2"/>
        <v>#</v>
      </c>
      <c r="T33" t="str">
        <f t="shared" si="3"/>
        <v xml:space="preserve"># </v>
      </c>
    </row>
  </sheetData>
  <pageMargins left="0.7" right="0.7" top="0.75" bottom="0.75" header="0.3" footer="0.3"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6D0-6FCA-438D-A857-20DA5A6B22F9}">
  <sheetPr>
    <pageSetUpPr fitToPage="1"/>
  </sheetPr>
  <dimension ref="B1:AF152"/>
  <sheetViews>
    <sheetView showGridLines="0" tabSelected="1" zoomScale="85" zoomScaleNormal="85" workbookViewId="0">
      <selection activeCell="K13" sqref="K13"/>
    </sheetView>
  </sheetViews>
  <sheetFormatPr defaultColWidth="9" defaultRowHeight="21" customHeight="1" x14ac:dyDescent="0.3"/>
  <cols>
    <col min="1" max="1" width="2.5" style="5" customWidth="1"/>
    <col min="2" max="2" width="9" style="15"/>
    <col min="3" max="3" width="12.69921875" style="3" customWidth="1"/>
    <col min="4" max="8" width="12.69921875" style="2" customWidth="1"/>
    <col min="9" max="9" width="12.69921875" style="3" customWidth="1"/>
    <col min="10" max="12" width="12.69921875" style="2" customWidth="1"/>
    <col min="13" max="13" width="1.69921875" style="5" customWidth="1"/>
    <col min="14" max="14" width="12.09765625" style="18" customWidth="1"/>
    <col min="15" max="15" width="6.3984375" style="5" customWidth="1"/>
    <col min="16" max="18" width="9" style="5" customWidth="1"/>
    <col min="19" max="19" width="2.8984375" style="5" customWidth="1"/>
    <col min="20" max="20" width="9" style="29"/>
    <col min="21" max="21" width="7" style="2" customWidth="1"/>
    <col min="22" max="23" width="6.59765625" style="2" customWidth="1"/>
    <col min="24" max="30" width="6.59765625" style="12" customWidth="1"/>
    <col min="31" max="31" width="1.59765625" style="5" customWidth="1"/>
    <col min="32" max="16384" width="9" style="5"/>
  </cols>
  <sheetData>
    <row r="1" spans="2:32" ht="21" customHeight="1" thickBot="1" x14ac:dyDescent="0.35"/>
    <row r="2" spans="2:32" s="4" customFormat="1" ht="47.25" customHeight="1" thickTop="1" thickBot="1" x14ac:dyDescent="0.35">
      <c r="B2" s="21" t="s">
        <v>0</v>
      </c>
      <c r="C2" s="22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9</v>
      </c>
      <c r="L2" s="23" t="s">
        <v>10</v>
      </c>
      <c r="M2" s="20"/>
      <c r="N2" s="23" t="s">
        <v>14</v>
      </c>
      <c r="R2" s="4" t="s">
        <v>12</v>
      </c>
      <c r="T2" s="30">
        <f>AVERAGE(T3:T137)</f>
        <v>43.634873721038183</v>
      </c>
      <c r="U2" s="1" t="s">
        <v>1</v>
      </c>
      <c r="V2" s="1" t="s">
        <v>2</v>
      </c>
      <c r="W2" s="1" t="s">
        <v>3</v>
      </c>
      <c r="X2" s="12" t="s">
        <v>4</v>
      </c>
      <c r="Y2" s="12" t="s">
        <v>5</v>
      </c>
      <c r="Z2" s="12" t="s">
        <v>6</v>
      </c>
      <c r="AA2" s="12" t="s">
        <v>7</v>
      </c>
      <c r="AB2" s="12" t="s">
        <v>8</v>
      </c>
      <c r="AC2" s="12" t="s">
        <v>9</v>
      </c>
      <c r="AD2" s="12" t="s">
        <v>10</v>
      </c>
    </row>
    <row r="3" spans="2:32" ht="21.9" customHeight="1" thickTop="1" thickBot="1" x14ac:dyDescent="0.35">
      <c r="B3" s="16" t="str">
        <f>+data!A2</f>
        <v>ALFAS</v>
      </c>
      <c r="C3" s="13">
        <f>+data!B2/100</f>
        <v>1.2072000000000001</v>
      </c>
      <c r="D3" s="14">
        <f>IF(data!C2&lt;0,"",data!C2)</f>
        <v>17.78</v>
      </c>
      <c r="E3" s="14">
        <f>IF(data!D2="","",data!D2)</f>
        <v>24.66</v>
      </c>
      <c r="F3" s="14">
        <f>IF(data!E2="","",data!E2)</f>
        <v>24.82</v>
      </c>
      <c r="G3" s="14">
        <f>IF(data!F2="","",data!F2)</f>
        <v>5.71</v>
      </c>
      <c r="H3" s="14">
        <f>IF(data!G2="","",data!G2)</f>
        <v>7.0000000000000007E-2</v>
      </c>
      <c r="I3" s="13">
        <f>IF(data!H2/100="","",data!H2/100)</f>
        <v>1.5228999999999999</v>
      </c>
      <c r="J3" s="13">
        <f>IF(data!I2/100=0,"",data!I2/100)</f>
        <v>2.7793000000000001</v>
      </c>
      <c r="K3" s="13">
        <f>IF(data!J2/100="","",data!J2/100)</f>
        <v>4.1417999999999999</v>
      </c>
      <c r="L3" s="13">
        <f>IF(data!K2/100="","",data!K2/100)</f>
        <v>2.9411</v>
      </c>
      <c r="N3" s="19">
        <f>(AF3-data!M2)/AF3</f>
        <v>0.29799196787148591</v>
      </c>
      <c r="Q3" s="8" t="s">
        <v>10</v>
      </c>
      <c r="R3" s="5">
        <f>AVERAGE(Tablo1[Yıllık Satışlar Değişimi])</f>
        <v>1.5397666666666663</v>
      </c>
      <c r="T3" s="31">
        <f>SUM(U3:AD3)</f>
        <v>63.335358381570316</v>
      </c>
      <c r="U3" s="12">
        <f>IF(Tablo1[[#This Row],[Özkaynak Karlılığı]]&lt;0,0,(Tablo1[[#This Row],[Özkaynak Karlılığı]]/MAX(Tablo1[Özkaynak Karlılığı]))*10)</f>
        <v>10</v>
      </c>
      <c r="V3" s="12">
        <f>(MIN(Tablo1[PD/DD])/Tablo1[[#This Row],[PD/DD]])*10</f>
        <v>2.7334083239595053</v>
      </c>
      <c r="W3" s="12">
        <f>IFERROR((MIN(Tablo1[F/K])/Tablo1[[#This Row],[F/K]])*10,"")</f>
        <v>4.1078669910786703</v>
      </c>
      <c r="X3" s="12">
        <f>IFERROR((MIN(Tablo1[FD/FAVÖK])/Tablo1[[#This Row],[FD/FAVÖK]])*10,"")</f>
        <v>3.5737308622078965</v>
      </c>
      <c r="Y3" s="12">
        <f>IFERROR((MIN(Tablo1[FD/Satış])/Tablo1[[#This Row],[FD/Satış]])*10,"")</f>
        <v>3.5726795096322244</v>
      </c>
      <c r="Z3" s="12">
        <f>IFERROR((MIN(Tablo1[PEG])/Tablo1[[#This Row],[PEG]])*10,"")</f>
        <v>5.7142857142857135</v>
      </c>
      <c r="AA3" s="12">
        <f>(Tablo1[[#This Row],[ROIC]]/MAX(Tablo1[ROIC]))*10</f>
        <v>10</v>
      </c>
      <c r="AB3" s="12">
        <f>IFERROR(IF(Tablo1[[#This Row],[Yıllık Net Kar Değişimi]]&lt;0,0,(Tablo1[[#This Row],[Yıllık Net Kar Değişimi]]/MAX(Tablo1[Yıllık Net Kar Değişimi]))*10),"")</f>
        <v>5.6461147790756723</v>
      </c>
      <c r="AC3" s="12">
        <f>IFERROR(IF(Tablo1[[#This Row],[Yıllık FAVÖK Değişimi]]&lt;0,0,(Tablo1[[#This Row],[Yıllık FAVÖK Değişimi]]/MAX(Tablo1[Yıllık FAVÖK Değişimi]))*10),"")</f>
        <v>7.9872722013306339</v>
      </c>
      <c r="AD3" s="12">
        <f>IFERROR(IF(Tablo1[[#This Row],[Yıllık Satışlar Değişimi]]&lt;0,0,(Tablo1[[#This Row],[Yıllık Satışlar Değişimi]]/MAX(Tablo1[Yıllık Satışlar Değişimi]))*10),"")</f>
        <v>10</v>
      </c>
      <c r="AF3" s="5">
        <f>SUMIFS([1]!Tablo1[Hisse Fiyatı],[1]!Tablo1[Hisse],Tablo1[[#This Row],[Şirket]],[1]!Tablo1[Dönem],$R$2)</f>
        <v>124.5</v>
      </c>
    </row>
    <row r="4" spans="2:32" ht="21.9" customHeight="1" thickTop="1" thickBot="1" x14ac:dyDescent="0.35">
      <c r="B4" s="17" t="str">
        <f>+data!A3</f>
        <v>ASTOR</v>
      </c>
      <c r="C4" s="6">
        <f>+data!B3/100</f>
        <v>0.73840000000000006</v>
      </c>
      <c r="D4" s="9">
        <f>IF(data!C3&lt;0,"",data!C3)</f>
        <v>13.83</v>
      </c>
      <c r="E4" s="9">
        <f>IF(data!D3="","",data!D3)</f>
        <v>28.06</v>
      </c>
      <c r="F4" s="9">
        <f>IF(data!E3="","",data!E3)</f>
        <v>26.27</v>
      </c>
      <c r="G4" s="9">
        <f>IF(data!F3="","",data!F3)</f>
        <v>8.8800000000000008</v>
      </c>
      <c r="H4" s="9">
        <f>IF(data!G3="","",data!G3)</f>
        <v>0.16</v>
      </c>
      <c r="I4" s="6">
        <f>IF(data!H3/100="","",data!H3/100)</f>
        <v>0.82090000000000007</v>
      </c>
      <c r="J4" s="6">
        <f>IF(data!I3/100=0,"",data!I3/100)</f>
        <v>1.7658</v>
      </c>
      <c r="K4" s="6">
        <f>IF(data!J3/100="","",data!J3/100)</f>
        <v>1.5324</v>
      </c>
      <c r="L4" s="6">
        <f>IF(data!K3/100="","",data!K3/100)</f>
        <v>0.92010000000000003</v>
      </c>
      <c r="N4" s="19">
        <f>(AF4-data!M3)/AF4</f>
        <v>0.18711656441717794</v>
      </c>
      <c r="Q4" s="8" t="s">
        <v>9</v>
      </c>
      <c r="R4" s="5">
        <f>AVERAGE(Tablo1[Yıllık FAVÖK Değişimi])</f>
        <v>1.8916916666666663</v>
      </c>
      <c r="T4" s="32">
        <f t="shared" ref="T4:T21" si="0">SUM(U4:AD4)</f>
        <v>36.475786877968574</v>
      </c>
      <c r="U4" s="12">
        <f>IF(Tablo1[[#This Row],[Özkaynak Karlılığı]]&lt;0,0,(Tablo1[[#This Row],[Özkaynak Karlılığı]]/MAX(Tablo1[Özkaynak Karlılığı]))*10)</f>
        <v>6.116633532140491</v>
      </c>
      <c r="V4" s="12">
        <f>(MIN(Tablo1[PD/DD])/Tablo1[[#This Row],[PD/DD]])*10</f>
        <v>3.5140997830802605</v>
      </c>
      <c r="W4" s="12">
        <f>IFERROR((MIN(Tablo1[F/K])/Tablo1[[#This Row],[F/K]])*10,"")</f>
        <v>3.6101211689237349</v>
      </c>
      <c r="X4" s="12">
        <f>IFERROR((MIN(Tablo1[FD/FAVÖK])/Tablo1[[#This Row],[FD/FAVÖK]])*10,"")</f>
        <v>3.3764750666159116</v>
      </c>
      <c r="Y4" s="12">
        <f>IFERROR((MIN(Tablo1[FD/Satış])/Tablo1[[#This Row],[FD/Satış]])*10,"")</f>
        <v>2.2972972972972974</v>
      </c>
      <c r="Z4" s="12">
        <f>IFERROR((MIN(Tablo1[PEG])/Tablo1[[#This Row],[PEG]])*10,"")</f>
        <v>2.5</v>
      </c>
      <c r="AA4" s="12">
        <f>(Tablo1[[#This Row],[ROIC]]/MAX(Tablo1[ROIC]))*10</f>
        <v>5.3903736292599653</v>
      </c>
      <c r="AB4" s="12">
        <f>IFERROR(IF(Tablo1[[#This Row],[Yıllık Net Kar Değişimi]]&lt;0,0,(Tablo1[[#This Row],[Yıllık Net Kar Değişimi]]/MAX(Tablo1[Yıllık Net Kar Değişimi]))*10),"")</f>
        <v>3.5872016251904522</v>
      </c>
      <c r="AC4" s="12">
        <f>IFERROR(IF(Tablo1[[#This Row],[Yıllık FAVÖK Değişimi]]&lt;0,0,(Tablo1[[#This Row],[Yıllık FAVÖK Değişimi]]/MAX(Tablo1[Yıllık FAVÖK Değişimi]))*10),"")</f>
        <v>2.9551634365056412</v>
      </c>
      <c r="AD4" s="12">
        <f>IFERROR(IF(Tablo1[[#This Row],[Yıllık Satışlar Değişimi]]&lt;0,0,(Tablo1[[#This Row],[Yıllık Satışlar Değişimi]]/MAX(Tablo1[Yıllık Satışlar Değişimi]))*10),"")</f>
        <v>3.1284213389548126</v>
      </c>
      <c r="AF4" s="33">
        <v>130.4</v>
      </c>
    </row>
    <row r="5" spans="2:32" ht="21.9" customHeight="1" thickTop="1" thickBot="1" x14ac:dyDescent="0.35">
      <c r="B5" s="17" t="str">
        <f>+data!A4</f>
        <v>BRLSM</v>
      </c>
      <c r="C5" s="6">
        <f>+data!B4/100</f>
        <v>0.60450000000000004</v>
      </c>
      <c r="D5" s="9">
        <f>IF(data!C4&lt;0,"",data!C4)</f>
        <v>6.25</v>
      </c>
      <c r="E5" s="9">
        <f>IF(data!D4="","",data!D4)</f>
        <v>13.48</v>
      </c>
      <c r="F5" s="9">
        <f>IF(data!E4="","",data!E4)</f>
        <v>22.34</v>
      </c>
      <c r="G5" s="9">
        <f>IF(data!F4="","",data!F4)</f>
        <v>2.04</v>
      </c>
      <c r="H5" s="9">
        <f>IF(data!G4="","",data!G4)</f>
        <v>0.04</v>
      </c>
      <c r="I5" s="6">
        <f>IF(data!H4/100="","",data!H4/100)</f>
        <v>0.3962</v>
      </c>
      <c r="J5" s="6">
        <f>IF(data!I4/100=0,"",data!I4/100)</f>
        <v>1.8663999999999998</v>
      </c>
      <c r="K5" s="6">
        <f>IF(data!J4/100="","",data!J4/100)</f>
        <v>1.3433999999999999</v>
      </c>
      <c r="L5" s="6">
        <f>IF(data!K4/100="","",data!K4/100)</f>
        <v>1.3326</v>
      </c>
      <c r="N5" s="19">
        <f>(AF5-data!M4)/AF5</f>
        <v>0.23420548819400128</v>
      </c>
      <c r="Q5" s="8" t="s">
        <v>8</v>
      </c>
      <c r="R5" s="5">
        <f>AVERAGE(Tablo1[Yıllık Net Kar Değişimi])</f>
        <v>2.1281166666666667</v>
      </c>
      <c r="T5" s="32">
        <f t="shared" si="0"/>
        <v>57.78357667787516</v>
      </c>
      <c r="U5" s="12">
        <f>IF(Tablo1[[#This Row],[Özkaynak Karlılığı]]&lt;0,0,(Tablo1[[#This Row],[Özkaynak Karlılığı]]/MAX(Tablo1[Özkaynak Karlılığı]))*10)</f>
        <v>5.0074552683896627</v>
      </c>
      <c r="V5" s="12">
        <f>(MIN(Tablo1[PD/DD])/Tablo1[[#This Row],[PD/DD]])*10</f>
        <v>7.7760000000000007</v>
      </c>
      <c r="W5" s="12">
        <f>IFERROR((MIN(Tablo1[F/K])/Tablo1[[#This Row],[F/K]])*10,"")</f>
        <v>7.5148367952522257</v>
      </c>
      <c r="X5" s="12">
        <f>IFERROR((MIN(Tablo1[FD/FAVÖK])/Tablo1[[#This Row],[FD/FAVÖK]])*10,"")</f>
        <v>3.9704565801253358</v>
      </c>
      <c r="Y5" s="12">
        <f>IFERROR((MIN(Tablo1[FD/Satış])/Tablo1[[#This Row],[FD/Satış]])*10,"")</f>
        <v>10</v>
      </c>
      <c r="Z5" s="12">
        <f>IFERROR((MIN(Tablo1[PEG])/Tablo1[[#This Row],[PEG]])*10,"")</f>
        <v>10</v>
      </c>
      <c r="AA5" s="12">
        <f>(Tablo1[[#This Row],[ROIC]]/MAX(Tablo1[ROIC]))*10</f>
        <v>2.6016153391555585</v>
      </c>
      <c r="AB5" s="12">
        <f>IFERROR(IF(Tablo1[[#This Row],[Yıllık Net Kar Değişimi]]&lt;0,0,(Tablo1[[#This Row],[Yıllık Net Kar Değişimi]]/MAX(Tablo1[Yıllık Net Kar Değişimi]))*10),"")</f>
        <v>3.7915693245302178</v>
      </c>
      <c r="AC5" s="12">
        <f>IFERROR(IF(Tablo1[[#This Row],[Yıllık FAVÖK Değişimi]]&lt;0,0,(Tablo1[[#This Row],[Yıllık FAVÖK Değişimi]]/MAX(Tablo1[Yıllık FAVÖK Değişimi]))*10),"")</f>
        <v>2.5906855655192369</v>
      </c>
      <c r="AD5" s="12">
        <f>IFERROR(IF(Tablo1[[#This Row],[Yıllık Satışlar Değişimi]]&lt;0,0,(Tablo1[[#This Row],[Yıllık Satışlar Değişimi]]/MAX(Tablo1[Yıllık Satışlar Değişimi]))*10),"")</f>
        <v>4.5309578049029273</v>
      </c>
      <c r="AF5" s="5">
        <f>SUMIFS([1]!Tablo1[Hisse Fiyatı],[1]!Tablo1[Hisse],Tablo1[[#This Row],[Şirket]],[1]!Tablo1[Dönem],$R$2)</f>
        <v>31.34</v>
      </c>
    </row>
    <row r="6" spans="2:32" ht="21.9" customHeight="1" thickTop="1" thickBot="1" x14ac:dyDescent="0.35">
      <c r="B6" s="17" t="str">
        <f>+data!A5</f>
        <v>CWENE</v>
      </c>
      <c r="C6" s="6">
        <f>+data!B5/100</f>
        <v>0.55469999999999997</v>
      </c>
      <c r="D6" s="9">
        <f>IF(data!C5&lt;0,"",data!C5)</f>
        <v>8.2799999999999994</v>
      </c>
      <c r="E6" s="9">
        <f>IF(data!D5="","",data!D5)</f>
        <v>29.86</v>
      </c>
      <c r="F6" s="9">
        <f>IF(data!E5="","",data!E5)</f>
        <v>17.829999999999998</v>
      </c>
      <c r="G6" s="9">
        <f>IF(data!F5="","",data!F5)</f>
        <v>4</v>
      </c>
      <c r="H6" s="9">
        <f>IF(data!G5="","",data!G5)</f>
        <v>0.25</v>
      </c>
      <c r="I6" s="6">
        <f>IF(data!H5/100="","",data!H5/100)</f>
        <v>1.0063</v>
      </c>
      <c r="J6" s="6">
        <f>IF(data!I5/100=0,"",data!I5/100)</f>
        <v>0.44719999999999999</v>
      </c>
      <c r="K6" s="6">
        <f>IF(data!J5/100="","",data!J5/100)</f>
        <v>1.6459000000000001</v>
      </c>
      <c r="L6" s="6">
        <f>IF(data!K5/100="","",data!K5/100)</f>
        <v>1.3772</v>
      </c>
      <c r="N6" s="19">
        <f>(AF6-data!M5)/AF6</f>
        <v>0.17655897821187078</v>
      </c>
      <c r="Q6" s="8" t="s">
        <v>7</v>
      </c>
      <c r="R6" s="5">
        <f>AVERAGE(Tablo1[ROIC])</f>
        <v>0.69781666666666664</v>
      </c>
      <c r="T6" s="32">
        <f t="shared" si="0"/>
        <v>40.904669586270629</v>
      </c>
      <c r="U6" s="12">
        <f>IF(Tablo1[[#This Row],[Özkaynak Karlılığı]]&lt;0,0,(Tablo1[[#This Row],[Özkaynak Karlılığı]]/MAX(Tablo1[Özkaynak Karlılığı]))*10)</f>
        <v>4.5949304174950294</v>
      </c>
      <c r="V6" s="12">
        <f>(MIN(Tablo1[PD/DD])/Tablo1[[#This Row],[PD/DD]])*10</f>
        <v>5.8695652173913047</v>
      </c>
      <c r="W6" s="12">
        <f>IFERROR((MIN(Tablo1[F/K])/Tablo1[[#This Row],[F/K]])*10,"")</f>
        <v>3.3924983255190893</v>
      </c>
      <c r="X6" s="12">
        <f>IFERROR((MIN(Tablo1[FD/FAVÖK])/Tablo1[[#This Row],[FD/FAVÖK]])*10,"")</f>
        <v>4.974761637689288</v>
      </c>
      <c r="Y6" s="12">
        <f>IFERROR((MIN(Tablo1[FD/Satış])/Tablo1[[#This Row],[FD/Satış]])*10,"")</f>
        <v>5.0999999999999996</v>
      </c>
      <c r="Z6" s="12">
        <f>IFERROR((MIN(Tablo1[PEG])/Tablo1[[#This Row],[PEG]])*10,"")</f>
        <v>1.6</v>
      </c>
      <c r="AA6" s="12">
        <f>(Tablo1[[#This Row],[ROIC]]/MAX(Tablo1[ROIC]))*10</f>
        <v>6.607787773327205</v>
      </c>
      <c r="AB6" s="12">
        <f>IFERROR(IF(Tablo1[[#This Row],[Yıllık Net Kar Değişimi]]&lt;0,0,(Tablo1[[#This Row],[Yıllık Net Kar Değişimi]]/MAX(Tablo1[Yıllık Net Kar Değişimi]))*10),"")</f>
        <v>0.90848146267140673</v>
      </c>
      <c r="AC6" s="12">
        <f>IFERROR(IF(Tablo1[[#This Row],[Yıllık FAVÖK Değişimi]]&lt;0,0,(Tablo1[[#This Row],[Yıllık FAVÖK Değişimi]]/MAX(Tablo1[Yıllık FAVÖK Değişimi]))*10),"")</f>
        <v>3.1740430045318684</v>
      </c>
      <c r="AD6" s="12">
        <f>IFERROR(IF(Tablo1[[#This Row],[Yıllık Satışlar Değişimi]]&lt;0,0,(Tablo1[[#This Row],[Yıllık Satışlar Değişimi]]/MAX(Tablo1[Yıllık Satışlar Değişimi]))*10),"")</f>
        <v>4.6826017476454389</v>
      </c>
      <c r="AF6" s="33">
        <v>332.75</v>
      </c>
    </row>
    <row r="7" spans="2:32" ht="21.9" customHeight="1" thickTop="1" thickBot="1" x14ac:dyDescent="0.35">
      <c r="B7" s="17" t="str">
        <f>+data!A6</f>
        <v>EKOS</v>
      </c>
      <c r="C7" s="6">
        <f>+data!B6/100</f>
        <v>0.38090000000000002</v>
      </c>
      <c r="D7" s="9">
        <f>IF(data!C6&lt;0,"",data!C6)</f>
        <v>13.86</v>
      </c>
      <c r="E7" s="9">
        <f>IF(data!D6="","",data!D6)</f>
        <v>72.75</v>
      </c>
      <c r="F7" s="9">
        <f>IF(data!E6="","",data!E6)</f>
        <v>53.39</v>
      </c>
      <c r="G7" s="9">
        <f>IF(data!F6="","",data!F6)</f>
        <v>12.49</v>
      </c>
      <c r="H7" s="9">
        <f>IF(data!G6="","",data!G6)</f>
        <v>0.51</v>
      </c>
      <c r="I7" s="6">
        <f>IF(data!H6/100="","",data!H6/100)</f>
        <v>0.38900000000000001</v>
      </c>
      <c r="J7" s="6">
        <f>IF(data!I6/100=0,"",data!I6/100)</f>
        <v>0.69629999999999992</v>
      </c>
      <c r="K7" s="6">
        <f>IF(data!J6/100="","",data!J6/100)</f>
        <v>1.8573</v>
      </c>
      <c r="L7" s="6">
        <f>IF(data!K6/100="","",data!K6/100)</f>
        <v>1.7933000000000001</v>
      </c>
      <c r="N7" s="19">
        <f>(AF7-data!M6)/AF7</f>
        <v>2.7582748244734237E-2</v>
      </c>
      <c r="Q7" s="8" t="s">
        <v>5</v>
      </c>
      <c r="R7" s="5">
        <f>AVERAGE(Tablo1[FD/Satış])</f>
        <v>7.5808333333333318</v>
      </c>
      <c r="T7" s="32">
        <f t="shared" si="0"/>
        <v>25.781107844481213</v>
      </c>
      <c r="U7" s="12">
        <f>IF(Tablo1[[#This Row],[Özkaynak Karlılığı]]&lt;0,0,(Tablo1[[#This Row],[Özkaynak Karlılığı]]/MAX(Tablo1[Özkaynak Karlılığı]))*10)</f>
        <v>3.1552352551358513</v>
      </c>
      <c r="V7" s="12">
        <f>(MIN(Tablo1[PD/DD])/Tablo1[[#This Row],[PD/DD]])*10</f>
        <v>3.506493506493507</v>
      </c>
      <c r="W7" s="12">
        <f>IFERROR((MIN(Tablo1[F/K])/Tablo1[[#This Row],[F/K]])*10,"")</f>
        <v>1.3924398625429555</v>
      </c>
      <c r="X7" s="12">
        <f>IFERROR((MIN(Tablo1[FD/FAVÖK])/Tablo1[[#This Row],[FD/FAVÖK]])*10,"")</f>
        <v>1.6613598052069676</v>
      </c>
      <c r="Y7" s="12">
        <f>IFERROR((MIN(Tablo1[FD/Satış])/Tablo1[[#This Row],[FD/Satış]])*10,"")</f>
        <v>1.633306645316253</v>
      </c>
      <c r="Z7" s="12">
        <f>IFERROR((MIN(Tablo1[PEG])/Tablo1[[#This Row],[PEG]])*10,"")</f>
        <v>0.78431372549019607</v>
      </c>
      <c r="AA7" s="12">
        <f>(Tablo1[[#This Row],[ROIC]]/MAX(Tablo1[ROIC]))*10</f>
        <v>2.5543371199684817</v>
      </c>
      <c r="AB7" s="12">
        <f>IFERROR(IF(Tablo1[[#This Row],[Yıllık Net Kar Değişimi]]&lt;0,0,(Tablo1[[#This Row],[Yıllık Net Kar Değişimi]]/MAX(Tablo1[Yıllık Net Kar Değişimi]))*10),"")</f>
        <v>1.4145251396648042</v>
      </c>
      <c r="AC7" s="12">
        <f>IFERROR(IF(Tablo1[[#This Row],[Yıllık FAVÖK Değişimi]]&lt;0,0,(Tablo1[[#This Row],[Yıllık FAVÖK Değişimi]]/MAX(Tablo1[Yıllık FAVÖK Değişimi]))*10),"")</f>
        <v>3.581718252820365</v>
      </c>
      <c r="AD7" s="12">
        <f>IFERROR(IF(Tablo1[[#This Row],[Yıllık Satışlar Değişimi]]&lt;0,0,(Tablo1[[#This Row],[Yıllık Satışlar Değişimi]]/MAX(Tablo1[Yıllık Satışlar Değişimi]))*10),"")</f>
        <v>6.0973785318418283</v>
      </c>
      <c r="AF7" s="33">
        <v>39.880000000000003</v>
      </c>
    </row>
    <row r="8" spans="2:32" ht="21.9" customHeight="1" thickTop="1" thickBot="1" x14ac:dyDescent="0.35">
      <c r="B8" s="17" t="str">
        <f>+data!A7</f>
        <v>EUPWR</v>
      </c>
      <c r="C8" s="6">
        <f>+data!B7/100</f>
        <v>0.65450000000000008</v>
      </c>
      <c r="D8" s="9">
        <f>IF(data!C7&lt;0,"",data!C7)</f>
        <v>10.3</v>
      </c>
      <c r="E8" s="9">
        <f>IF(data!D7="","",data!D7)</f>
        <v>31.46</v>
      </c>
      <c r="F8" s="9">
        <f>IF(data!E7="","",data!E7)</f>
        <v>37.03</v>
      </c>
      <c r="G8" s="9">
        <f>IF(data!F7="","",data!F7)</f>
        <v>8.6300000000000008</v>
      </c>
      <c r="H8" s="9">
        <f>IF(data!G7="","",data!G7)</f>
        <v>0.05</v>
      </c>
      <c r="I8" s="6">
        <f>IF(data!H7/100="","",data!H7/100)</f>
        <v>0.35460000000000003</v>
      </c>
      <c r="J8" s="6">
        <f>IF(data!I7/100=0,"",data!I7/100)</f>
        <v>4.9225000000000003</v>
      </c>
      <c r="K8" s="6">
        <f>IF(data!J7/100="","",data!J7/100)</f>
        <v>1.7538</v>
      </c>
      <c r="L8" s="6">
        <f>IF(data!K7/100="","",data!K7/100)</f>
        <v>1.6535</v>
      </c>
      <c r="N8" s="19">
        <f>(AF8-data!M7)/AF8</f>
        <v>0.1303664921465969</v>
      </c>
      <c r="Q8" s="8" t="s">
        <v>4</v>
      </c>
      <c r="R8" s="5">
        <f>AVERAGE(Tablo1[FD/FAVÖK])</f>
        <v>68.719166666666652</v>
      </c>
      <c r="T8" s="32">
        <f t="shared" si="0"/>
        <v>47.451869162920495</v>
      </c>
      <c r="U8" s="12">
        <f>IF(Tablo1[[#This Row],[Özkaynak Karlılığı]]&lt;0,0,(Tablo1[[#This Row],[Özkaynak Karlılığı]]/MAX(Tablo1[Özkaynak Karlılığı]))*10)</f>
        <v>5.4216368455931088</v>
      </c>
      <c r="V8" s="12">
        <f>(MIN(Tablo1[PD/DD])/Tablo1[[#This Row],[PD/DD]])*10</f>
        <v>4.7184466019417473</v>
      </c>
      <c r="W8" s="12">
        <f>IFERROR((MIN(Tablo1[F/K])/Tablo1[[#This Row],[F/K]])*10,"")</f>
        <v>3.2199618563254928</v>
      </c>
      <c r="X8" s="12">
        <f>IFERROR((MIN(Tablo1[FD/FAVÖK])/Tablo1[[#This Row],[FD/FAVÖK]])*10,"")</f>
        <v>2.3953551174723193</v>
      </c>
      <c r="Y8" s="12">
        <f>IFERROR((MIN(Tablo1[FD/Satış])/Tablo1[[#This Row],[FD/Satış]])*10,"")</f>
        <v>2.3638470451911933</v>
      </c>
      <c r="Z8" s="12">
        <f>IFERROR((MIN(Tablo1[PEG])/Tablo1[[#This Row],[PEG]])*10,"")</f>
        <v>7.9999999999999991</v>
      </c>
      <c r="AA8" s="12">
        <f>(Tablo1[[#This Row],[ROIC]]/MAX(Tablo1[ROIC]))*10</f>
        <v>2.3284522949635567</v>
      </c>
      <c r="AB8" s="12">
        <f>IFERROR(IF(Tablo1[[#This Row],[Yıllık Net Kar Değişimi]]&lt;0,0,(Tablo1[[#This Row],[Yıllık Net Kar Değişimi]]/MAX(Tablo1[Yıllık Net Kar Değişimi]))*10),"")</f>
        <v>10</v>
      </c>
      <c r="AC8" s="12">
        <f>IFERROR(IF(Tablo1[[#This Row],[Yıllık FAVÖK Değişimi]]&lt;0,0,(Tablo1[[#This Row],[Yıllık FAVÖK Değişimi]]/MAX(Tablo1[Yıllık FAVÖK Değişimi]))*10),"")</f>
        <v>3.3821232282325719</v>
      </c>
      <c r="AD8" s="12">
        <f>IFERROR(IF(Tablo1[[#This Row],[Yıllık Satışlar Değişimi]]&lt;0,0,(Tablo1[[#This Row],[Yıllık Satışlar Değişimi]]/MAX(Tablo1[Yıllık Satışlar Değişimi]))*10),"")</f>
        <v>5.6220461732005038</v>
      </c>
      <c r="AF8" s="33">
        <v>191</v>
      </c>
    </row>
    <row r="9" spans="2:32" ht="21.9" customHeight="1" thickTop="1" thickBot="1" x14ac:dyDescent="0.35">
      <c r="B9" s="17" t="str">
        <f>+data!A8</f>
        <v>GESAN</v>
      </c>
      <c r="C9" s="6">
        <f>+data!B8/100</f>
        <v>0.5464</v>
      </c>
      <c r="D9" s="9">
        <f>IF(data!C8&lt;0,"",data!C8)</f>
        <v>7.63</v>
      </c>
      <c r="E9" s="9">
        <f>IF(data!D8="","",data!D8)</f>
        <v>21.55</v>
      </c>
      <c r="F9" s="9">
        <f>IF(data!E8="","",data!E8)</f>
        <v>13.78</v>
      </c>
      <c r="G9" s="9">
        <f>IF(data!F8="","",data!F8)</f>
        <v>4.1500000000000004</v>
      </c>
      <c r="H9" s="9">
        <f>IF(data!G8="","",data!G8)</f>
        <v>0.09</v>
      </c>
      <c r="I9" s="6">
        <f>IF(data!H8/100="","",data!H8/100)</f>
        <v>0.44479999999999997</v>
      </c>
      <c r="J9" s="6">
        <f>IF(data!I8/100=0,"",data!I8/100)</f>
        <v>2.5901999999999998</v>
      </c>
      <c r="K9" s="6">
        <f>IF(data!J8/100="","",data!J8/100)</f>
        <v>1.5863999999999998</v>
      </c>
      <c r="L9" s="6">
        <f>IF(data!K8/100="","",data!K8/100)</f>
        <v>1.242</v>
      </c>
      <c r="N9" s="19">
        <f>(AF9-data!M8)/AF9</f>
        <v>0.25054347826086953</v>
      </c>
      <c r="Q9" s="8" t="s">
        <v>3</v>
      </c>
      <c r="R9" s="5">
        <f>+AVERAGE(Tablo1[F/K])</f>
        <v>33.231666666666669</v>
      </c>
      <c r="T9" s="32">
        <f t="shared" si="0"/>
        <v>46.858351628603437</v>
      </c>
      <c r="U9" s="12">
        <f>IF(Tablo1[[#This Row],[Özkaynak Karlılığı]]&lt;0,0,(Tablo1[[#This Row],[Özkaynak Karlılığı]]/MAX(Tablo1[Özkaynak Karlılığı]))*10)</f>
        <v>4.5261762756792576</v>
      </c>
      <c r="V9" s="12">
        <f>(MIN(Tablo1[PD/DD])/Tablo1[[#This Row],[PD/DD]])*10</f>
        <v>6.3695937090432508</v>
      </c>
      <c r="W9" s="12">
        <f>IFERROR((MIN(Tablo1[F/K])/Tablo1[[#This Row],[F/K]])*10,"")</f>
        <v>4.700696055684455</v>
      </c>
      <c r="X9" s="12">
        <f>IFERROR((MIN(Tablo1[FD/FAVÖK])/Tablo1[[#This Row],[FD/FAVÖK]])*10,"")</f>
        <v>6.4368650217706822</v>
      </c>
      <c r="Y9" s="12">
        <f>IFERROR((MIN(Tablo1[FD/Satış])/Tablo1[[#This Row],[FD/Satış]])*10,"")</f>
        <v>4.9156626506024095</v>
      </c>
      <c r="Z9" s="12">
        <f>IFERROR((MIN(Tablo1[PEG])/Tablo1[[#This Row],[PEG]])*10,"")</f>
        <v>4.4444444444444446</v>
      </c>
      <c r="AA9" s="12">
        <f>(Tablo1[[#This Row],[ROIC]]/MAX(Tablo1[ROIC]))*10</f>
        <v>2.9207433186683303</v>
      </c>
      <c r="AB9" s="12">
        <f>IFERROR(IF(Tablo1[[#This Row],[Yıllık Net Kar Değişimi]]&lt;0,0,(Tablo1[[#This Row],[Yıllık Net Kar Değişimi]]/MAX(Tablo1[Yıllık Net Kar Değişimi]))*10),"")</f>
        <v>5.2619603859827313</v>
      </c>
      <c r="AC9" s="12">
        <f>IFERROR(IF(Tablo1[[#This Row],[Yıllık FAVÖK Değişimi]]&lt;0,0,(Tablo1[[#This Row],[Yıllık FAVÖK Değişimi]]/MAX(Tablo1[Yıllık FAVÖK Değişimi]))*10),"")</f>
        <v>3.0592999710731847</v>
      </c>
      <c r="AD9" s="12">
        <f>IFERROR(IF(Tablo1[[#This Row],[Yıllık Satışlar Değişimi]]&lt;0,0,(Tablo1[[#This Row],[Yıllık Satışlar Değişimi]]/MAX(Tablo1[Yıllık Satışlar Değişimi]))*10),"")</f>
        <v>4.2229097956546866</v>
      </c>
      <c r="AF9" s="5">
        <f>SUMIFS([1]!Tablo1[Hisse Fiyatı],[1]!Tablo1[Hisse],Tablo1[[#This Row],[Şirket]],[1]!Tablo1[Dönem],$R$2)</f>
        <v>92</v>
      </c>
    </row>
    <row r="10" spans="2:32" ht="21.9" customHeight="1" thickTop="1" thickBot="1" x14ac:dyDescent="0.35">
      <c r="B10" s="17" t="str">
        <f>+data!A9</f>
        <v>KONTR</v>
      </c>
      <c r="C10" s="6">
        <f>+data!B9/100</f>
        <v>0.68799999999999994</v>
      </c>
      <c r="D10" s="9">
        <f>IF(data!C9&lt;0,"",data!C9)</f>
        <v>25.55</v>
      </c>
      <c r="E10" s="9">
        <f>IF(data!D9="","",data!D9)</f>
        <v>59.71</v>
      </c>
      <c r="F10" s="9">
        <f>IF(data!E9="","",data!E9)</f>
        <v>516.42999999999995</v>
      </c>
      <c r="G10" s="9">
        <f>IF(data!F9="","",data!F9)</f>
        <v>18.79</v>
      </c>
      <c r="H10" s="9">
        <f>IF(data!G9="","",data!G9)</f>
        <v>0.24</v>
      </c>
      <c r="I10" s="6">
        <f>IF(data!H9/100="","",data!H9/100)</f>
        <v>0.32729999999999998</v>
      </c>
      <c r="J10" s="6">
        <f>IF(data!I9/100=0,"",data!I9/100)</f>
        <v>1.839</v>
      </c>
      <c r="K10" s="6">
        <f>IF(data!J9/100="","",data!J9/100)</f>
        <v>0</v>
      </c>
      <c r="L10" s="6">
        <f>IF(data!K9/100="","",data!K9/100)</f>
        <v>1.1064000000000001</v>
      </c>
      <c r="N10" s="19">
        <f>(AF10-data!M9)/AF10</f>
        <v>0.14939759036144581</v>
      </c>
      <c r="Q10" s="8" t="s">
        <v>2</v>
      </c>
      <c r="R10" s="5">
        <f>AVERAGE(Tablo1[PD/DD])</f>
        <v>14.533333333333333</v>
      </c>
      <c r="T10" s="32">
        <f t="shared" si="0"/>
        <v>21.868884431070601</v>
      </c>
      <c r="U10" s="12">
        <f>IF(Tablo1[[#This Row],[Özkaynak Karlılığı]]&lt;0,0,(Tablo1[[#This Row],[Özkaynak Karlılığı]]/MAX(Tablo1[Özkaynak Karlılığı]))*10)</f>
        <v>5.6991385023194159</v>
      </c>
      <c r="V10" s="12">
        <f>(MIN(Tablo1[PD/DD])/Tablo1[[#This Row],[PD/DD]])*10</f>
        <v>1.9021526418786694</v>
      </c>
      <c r="W10" s="12">
        <f>IFERROR((MIN(Tablo1[F/K])/Tablo1[[#This Row],[F/K]])*10,"")</f>
        <v>1.6965332440127283</v>
      </c>
      <c r="X10" s="12">
        <f>IFERROR((MIN(Tablo1[FD/FAVÖK])/Tablo1[[#This Row],[FD/FAVÖK]])*10,"")</f>
        <v>0.17175609472726217</v>
      </c>
      <c r="Y10" s="12">
        <f>IFERROR((MIN(Tablo1[FD/Satış])/Tablo1[[#This Row],[FD/Satış]])*10,"")</f>
        <v>1.0856838744012773</v>
      </c>
      <c r="Z10" s="12">
        <f>IFERROR((MIN(Tablo1[PEG])/Tablo1[[#This Row],[PEG]])*10,"")</f>
        <v>1.666666666666667</v>
      </c>
      <c r="AA10" s="12">
        <f>(Tablo1[[#This Row],[ROIC]]/MAX(Tablo1[ROIC]))*10</f>
        <v>2.149189047212555</v>
      </c>
      <c r="AB10" s="12">
        <f>IFERROR(IF(Tablo1[[#This Row],[Yıllık Net Kar Değişimi]]&lt;0,0,(Tablo1[[#This Row],[Yıllık Net Kar Değişimi]]/MAX(Tablo1[Yıllık Net Kar Değişimi]))*10),"")</f>
        <v>3.7359065515490091</v>
      </c>
      <c r="AC10" s="12">
        <f>IFERROR(IF(Tablo1[[#This Row],[Yıllık FAVÖK Değişimi]]&lt;0,0,(Tablo1[[#This Row],[Yıllık FAVÖK Değişimi]]/MAX(Tablo1[Yıllık FAVÖK Değişimi]))*10),"")</f>
        <v>0</v>
      </c>
      <c r="AD10" s="12">
        <f>IFERROR(IF(Tablo1[[#This Row],[Yıllık Satışlar Değişimi]]&lt;0,0,(Tablo1[[#This Row],[Yıllık Satışlar Değişimi]]/MAX(Tablo1[Yıllık Satışlar Değişimi]))*10),"")</f>
        <v>3.7618578083030156</v>
      </c>
      <c r="AF10" s="5">
        <f>SUMIFS([1]!Tablo1[Hisse Fiyatı],[1]!Tablo1[Hisse],Tablo1[[#This Row],[Şirket]],[1]!Tablo1[Dönem],$R$2)</f>
        <v>290.5</v>
      </c>
    </row>
    <row r="11" spans="2:32" ht="21.9" customHeight="1" thickTop="1" thickBot="1" x14ac:dyDescent="0.35">
      <c r="B11" s="17" t="str">
        <f>+data!A10</f>
        <v>ORGE</v>
      </c>
      <c r="C11" s="24">
        <f>+data!B10/100</f>
        <v>0.64090000000000003</v>
      </c>
      <c r="D11" s="9">
        <f>IF(data!C10&lt;0,"",data!C10)</f>
        <v>4.8600000000000003</v>
      </c>
      <c r="E11" s="9">
        <f>IF(data!D10="","",data!D10)</f>
        <v>10.130000000000001</v>
      </c>
      <c r="F11" s="9">
        <f>IF(data!E10="","",data!E10)</f>
        <v>8.8699999999999992</v>
      </c>
      <c r="G11" s="9">
        <f>IF(data!F10="","",data!F10)</f>
        <v>4.07</v>
      </c>
      <c r="H11" s="9">
        <f>IF(data!G10="","",data!G10)</f>
        <v>0.08</v>
      </c>
      <c r="I11" s="25">
        <f>IF(data!H10/100="","",data!H10/100)</f>
        <v>0.61750000000000005</v>
      </c>
      <c r="J11" s="6">
        <f>IF(data!I10/100=0,"",data!I10/100)</f>
        <v>1.0483</v>
      </c>
      <c r="K11" s="6">
        <f>IF(data!J10/100="","",data!J10/100)</f>
        <v>1.4177999999999999</v>
      </c>
      <c r="L11" s="6">
        <f>IF(data!K10/100="","",data!K10/100)</f>
        <v>1.038</v>
      </c>
      <c r="N11" s="19">
        <f>(AF11-data!M10)/AF11</f>
        <v>-0.12545454545454543</v>
      </c>
      <c r="Q11" s="8" t="s">
        <v>1</v>
      </c>
      <c r="R11" s="5">
        <f>AVERAGE(Tablo1[Özkaynak Karlılığı])</f>
        <v>0.71410000000000007</v>
      </c>
      <c r="T11" s="32">
        <f t="shared" ref="T11:T14" si="1">SUM(U11:AD11)</f>
        <v>57.769091674938295</v>
      </c>
      <c r="U11" s="12">
        <f>IF(Tablo1[[#This Row],[Özkaynak Karlılığı]]&lt;0,0,(Tablo1[[#This Row],[Özkaynak Karlılığı]]/MAX(Tablo1[Özkaynak Karlılığı]))*10)</f>
        <v>5.3089794565937707</v>
      </c>
      <c r="V11" s="12">
        <f>(MIN(Tablo1[PD/DD])/Tablo1[[#This Row],[PD/DD]])*10</f>
        <v>10</v>
      </c>
      <c r="W11" s="12">
        <f>IFERROR((MIN(Tablo1[F/K])/Tablo1[[#This Row],[F/K]])*10,"")</f>
        <v>10</v>
      </c>
      <c r="X11" s="12">
        <f>IFERROR((MIN(Tablo1[FD/FAVÖK])/Tablo1[[#This Row],[FD/FAVÖK]])*10,"")</f>
        <v>10</v>
      </c>
      <c r="Y11" s="12">
        <f>IFERROR((MIN(Tablo1[FD/Satış])/Tablo1[[#This Row],[FD/Satış]])*10,"")</f>
        <v>5.0122850122850116</v>
      </c>
      <c r="Z11" s="12">
        <f>IFERROR((MIN(Tablo1[PEG])/Tablo1[[#This Row],[PEG]])*10,"")</f>
        <v>5</v>
      </c>
      <c r="AA11" s="12">
        <f>(Tablo1[[#This Row],[ROIC]]/MAX(Tablo1[ROIC]))*10</f>
        <v>4.0547639372250313</v>
      </c>
      <c r="AB11" s="12">
        <f>IFERROR(IF(Tablo1[[#This Row],[Yıllık Net Kar Değişimi]]&lt;0,0,(Tablo1[[#This Row],[Yıllık Net Kar Değişimi]]/MAX(Tablo1[Yıllık Net Kar Değişimi]))*10),"")</f>
        <v>2.1296089385474861</v>
      </c>
      <c r="AC11" s="12">
        <f>IFERROR(IF(Tablo1[[#This Row],[Yıllık FAVÖK Değişimi]]&lt;0,0,(Tablo1[[#This Row],[Yıllık FAVÖK Değişimi]]/MAX(Tablo1[Yıllık FAVÖK Değişimi]))*10),"")</f>
        <v>2.7341625687011861</v>
      </c>
      <c r="AD11" s="12">
        <f>IFERROR(IF(Tablo1[[#This Row],[Yıllık Satışlar Değişimi]]&lt;0,0,(Tablo1[[#This Row],[Yıllık Satışlar Değişimi]]/MAX(Tablo1[Yıllık Satışlar Değişimi]))*10),"")</f>
        <v>3.5292917615858013</v>
      </c>
      <c r="AF11" s="5">
        <f>SUMIFS([1]!Tablo1[Hisse Fiyatı],[1]!Tablo1[Hisse],Tablo1[[#This Row],[Şirket]],[1]!Tablo1[Dönem],$R$2)</f>
        <v>55</v>
      </c>
    </row>
    <row r="12" spans="2:32" ht="21.9" customHeight="1" thickTop="1" thickBot="1" x14ac:dyDescent="0.35">
      <c r="B12" s="17" t="str">
        <f>+data!A11</f>
        <v>SAYAS</v>
      </c>
      <c r="C12" s="24">
        <f>+data!B11/100</f>
        <v>0.82050000000000001</v>
      </c>
      <c r="D12" s="9">
        <f>IF(data!C11&lt;0,"",data!C11)</f>
        <v>14.58</v>
      </c>
      <c r="E12" s="9">
        <f>IF(data!D11="","",data!D11)</f>
        <v>24.75</v>
      </c>
      <c r="F12" s="9">
        <f>IF(data!E11="","",data!E11)</f>
        <v>38.04</v>
      </c>
      <c r="G12" s="9">
        <f>IF(data!F11="","",data!F11)</f>
        <v>9.74</v>
      </c>
      <c r="H12" s="9">
        <f>IF(data!G11="","",data!G11)</f>
        <v>0.21</v>
      </c>
      <c r="I12" s="25">
        <f>IF(data!H11/100="","",data!H11/100)</f>
        <v>0.38439999999999996</v>
      </c>
      <c r="J12" s="6">
        <f>IF(data!I11/100=0,"",data!I11/100)</f>
        <v>1.1762000000000001</v>
      </c>
      <c r="K12" s="6">
        <f>IF(data!J11/100="","",data!J11/100)</f>
        <v>9.6799999999999997E-2</v>
      </c>
      <c r="L12" s="6">
        <f>IF(data!K11/100="","",data!K11/100)</f>
        <v>0.1067</v>
      </c>
      <c r="N12" s="19">
        <f>(AF12-data!M11)/AF12</f>
        <v>0.20366972477064224</v>
      </c>
      <c r="Q12" s="8" t="s">
        <v>14</v>
      </c>
      <c r="R12" s="11">
        <f>+AVERAGE(N3:N21)</f>
        <v>0.16027067506069245</v>
      </c>
      <c r="T12" s="32">
        <f t="shared" si="1"/>
        <v>26.016987777470881</v>
      </c>
      <c r="U12" s="12">
        <f>IF(Tablo1[[#This Row],[Özkaynak Karlılığı]]&lt;0,0,(Tablo1[[#This Row],[Özkaynak Karlılığı]]/MAX(Tablo1[Özkaynak Karlılığı]))*10)</f>
        <v>6.7967196819085487</v>
      </c>
      <c r="V12" s="12">
        <f>(MIN(Tablo1[PD/DD])/Tablo1[[#This Row],[PD/DD]])*10</f>
        <v>3.3333333333333339</v>
      </c>
      <c r="W12" s="12">
        <f>IFERROR((MIN(Tablo1[F/K])/Tablo1[[#This Row],[F/K]])*10,"")</f>
        <v>4.0929292929292931</v>
      </c>
      <c r="X12" s="12">
        <f>IFERROR((MIN(Tablo1[FD/FAVÖK])/Tablo1[[#This Row],[FD/FAVÖK]])*10,"")</f>
        <v>2.3317560462670874</v>
      </c>
      <c r="Y12" s="12">
        <f>IFERROR((MIN(Tablo1[FD/Satış])/Tablo1[[#This Row],[FD/Satış]])*10,"")</f>
        <v>2.0944558521560577</v>
      </c>
      <c r="Z12" s="12">
        <f>IFERROR((MIN(Tablo1[PEG])/Tablo1[[#This Row],[PEG]])*10,"")</f>
        <v>1.9047619047619049</v>
      </c>
      <c r="AA12" s="12">
        <f>(Tablo1[[#This Row],[ROIC]]/MAX(Tablo1[ROIC]))*10</f>
        <v>2.5241315910434037</v>
      </c>
      <c r="AB12" s="12">
        <f>IFERROR(IF(Tablo1[[#This Row],[Yıllık Net Kar Değişimi]]&lt;0,0,(Tablo1[[#This Row],[Yıllık Net Kar Değişimi]]/MAX(Tablo1[Yıllık Net Kar Değişimi]))*10),"")</f>
        <v>2.3894362620619605</v>
      </c>
      <c r="AC12" s="12">
        <f>IFERROR(IF(Tablo1[[#This Row],[Yıllık FAVÖK Değişimi]]&lt;0,0,(Tablo1[[#This Row],[Yıllık FAVÖK Değişimi]]/MAX(Tablo1[Yıllık FAVÖK Değişimi]))*10),"")</f>
        <v>0.18667438048404206</v>
      </c>
      <c r="AD12" s="12">
        <f>IFERROR(IF(Tablo1[[#This Row],[Yıllık Satışlar Değişimi]]&lt;0,0,(Tablo1[[#This Row],[Yıllık Satışlar Değişimi]]/MAX(Tablo1[Yıllık Satışlar Değişimi]))*10),"")</f>
        <v>0.36278943252524565</v>
      </c>
      <c r="AF12" s="5">
        <f>SUMIFS([1]!Tablo1[Hisse Fiyatı],[1]!Tablo1[Hisse],Tablo1[[#This Row],[Şirket]],[1]!Tablo1[Dönem],$R$2)</f>
        <v>109</v>
      </c>
    </row>
    <row r="13" spans="2:32" ht="21.9" customHeight="1" thickTop="1" thickBot="1" x14ac:dyDescent="0.35">
      <c r="B13" s="17" t="str">
        <f>+data!A12</f>
        <v>SMRTG</v>
      </c>
      <c r="C13" s="24">
        <f>+data!B12/100</f>
        <v>0.83129999999999993</v>
      </c>
      <c r="D13" s="9">
        <f>IF(data!C12&lt;0,"",data!C12)</f>
        <v>28.43</v>
      </c>
      <c r="E13" s="9">
        <f>IF(data!D12="","",data!D12)</f>
        <v>45.2</v>
      </c>
      <c r="F13" s="9">
        <f>IF(data!E12="","",data!E12)</f>
        <v>36.270000000000003</v>
      </c>
      <c r="G13" s="9">
        <f>IF(data!F12="","",data!F12)</f>
        <v>7.23</v>
      </c>
      <c r="H13" s="9">
        <f>IF(data!G12="","",data!G12)</f>
        <v>0.14000000000000001</v>
      </c>
      <c r="I13" s="25">
        <f>IF(data!H12/100="","",data!H12/100)</f>
        <v>1.4228000000000001</v>
      </c>
      <c r="J13" s="6">
        <f>IF(data!I12/100=0,"",data!I12/100)</f>
        <v>4.0453000000000001</v>
      </c>
      <c r="K13" s="6">
        <f>IF(data!J12/100="","",data!J12/100)</f>
        <v>5.1854999999999993</v>
      </c>
      <c r="L13" s="6">
        <f>IF(data!K12/100="","",data!K12/100)</f>
        <v>2.6439999999999997</v>
      </c>
      <c r="N13" s="19">
        <f>(AF13-data!M12)/AF13</f>
        <v>0.14953933380581144</v>
      </c>
      <c r="Q13" s="8"/>
      <c r="T13" s="32">
        <f t="shared" si="1"/>
        <v>55.511575916001746</v>
      </c>
      <c r="U13" s="12">
        <f>IF(Tablo1[[#This Row],[Özkaynak Karlılığı]]&lt;0,0,(Tablo1[[#This Row],[Özkaynak Karlılığı]]/MAX(Tablo1[Özkaynak Karlılığı]))*10)</f>
        <v>6.8861829025844923</v>
      </c>
      <c r="V13" s="12">
        <f>(MIN(Tablo1[PD/DD])/Tablo1[[#This Row],[PD/DD]])*10</f>
        <v>1.7094618360886389</v>
      </c>
      <c r="W13" s="12">
        <f>IFERROR((MIN(Tablo1[F/K])/Tablo1[[#This Row],[F/K]])*10,"")</f>
        <v>2.2411504424778759</v>
      </c>
      <c r="X13" s="12">
        <f>IFERROR((MIN(Tablo1[FD/FAVÖK])/Tablo1[[#This Row],[FD/FAVÖK]])*10,"")</f>
        <v>2.445547284256961</v>
      </c>
      <c r="Y13" s="12">
        <f>IFERROR((MIN(Tablo1[FD/Satış])/Tablo1[[#This Row],[FD/Satış]])*10,"")</f>
        <v>2.8215767634854769</v>
      </c>
      <c r="Z13" s="12">
        <f>IFERROR((MIN(Tablo1[PEG])/Tablo1[[#This Row],[PEG]])*10,"")</f>
        <v>2.8571428571428568</v>
      </c>
      <c r="AA13" s="12">
        <f>(Tablo1[[#This Row],[ROIC]]/MAX(Tablo1[ROIC]))*10</f>
        <v>9.3427014249129954</v>
      </c>
      <c r="AB13" s="12">
        <f>IFERROR(IF(Tablo1[[#This Row],[Yıllık Net Kar Değişimi]]&lt;0,0,(Tablo1[[#This Row],[Yıllık Net Kar Değişimi]]/MAX(Tablo1[Yıllık Net Kar Değişimi]))*10),"")</f>
        <v>8.2179786693753183</v>
      </c>
      <c r="AC13" s="12">
        <f>IFERROR(IF(Tablo1[[#This Row],[Yıllık FAVÖK Değişimi]]&lt;0,0,(Tablo1[[#This Row],[Yıllık FAVÖK Değişimi]]/MAX(Tablo1[Yıllık FAVÖK Değişimi]))*10),"")</f>
        <v>10</v>
      </c>
      <c r="AD13" s="12">
        <f>IFERROR(IF(Tablo1[[#This Row],[Yıllık Satışlar Değişimi]]&lt;0,0,(Tablo1[[#This Row],[Yıllık Satışlar Değişimi]]/MAX(Tablo1[Yıllık Satışlar Değişimi]))*10),"")</f>
        <v>8.9898337356771272</v>
      </c>
      <c r="AF13" s="5">
        <f>SUMIFS([1]!Tablo1[Hisse Fiyatı],[1]!Tablo1[Hisse],Tablo1[[#This Row],[Şirket]],[1]!Tablo1[Dönem],$R$2)</f>
        <v>70.55</v>
      </c>
    </row>
    <row r="14" spans="2:32" ht="21.9" customHeight="1" thickTop="1" thickBot="1" x14ac:dyDescent="0.35">
      <c r="B14" s="17" t="str">
        <f>+data!A13</f>
        <v>YEOTK</v>
      </c>
      <c r="C14" s="24">
        <f>+data!B13/100</f>
        <v>0.90189999999999992</v>
      </c>
      <c r="D14" s="9">
        <f>IF(data!C13&lt;0,"",data!C13)</f>
        <v>23.05</v>
      </c>
      <c r="E14" s="9">
        <f>IF(data!D13="","",data!D13)</f>
        <v>37.17</v>
      </c>
      <c r="F14" s="9">
        <f>IF(data!E13="","",data!E13)</f>
        <v>29.56</v>
      </c>
      <c r="G14" s="9">
        <f>IF(data!F13="","",data!F13)</f>
        <v>5.24</v>
      </c>
      <c r="H14" s="9">
        <f>IF(data!G13="","",data!G13)</f>
        <v>0.12</v>
      </c>
      <c r="I14" s="25">
        <f>IF(data!H13/100="","",data!H13/100)</f>
        <v>0.68709999999999993</v>
      </c>
      <c r="J14" s="6">
        <f>IF(data!I13/100=0,"",data!I13/100)</f>
        <v>2.3609</v>
      </c>
      <c r="K14" s="6">
        <f>IF(data!J13/100="","",data!J13/100)</f>
        <v>2.1391999999999998</v>
      </c>
      <c r="L14" s="6">
        <f>IF(data!K13/100="","",data!K13/100)</f>
        <v>2.3222999999999998</v>
      </c>
      <c r="N14" s="19">
        <f>(AF14-data!M13)/AF14</f>
        <v>0.24173027989821882</v>
      </c>
      <c r="Q14" s="8"/>
      <c r="T14" s="32">
        <f t="shared" si="1"/>
        <v>43.861224693286836</v>
      </c>
      <c r="U14" s="12">
        <f>IF(Tablo1[[#This Row],[Özkaynak Karlılığı]]&lt;0,0,(Tablo1[[#This Row],[Özkaynak Karlılığı]]/MAX(Tablo1[Özkaynak Karlılığı]))*10)</f>
        <v>7.4710072895957582</v>
      </c>
      <c r="V14" s="12">
        <f>(MIN(Tablo1[PD/DD])/Tablo1[[#This Row],[PD/DD]])*10</f>
        <v>2.1084598698481565</v>
      </c>
      <c r="W14" s="12">
        <f>IFERROR((MIN(Tablo1[F/K])/Tablo1[[#This Row],[F/K]])*10,"")</f>
        <v>2.7253161151466236</v>
      </c>
      <c r="X14" s="12">
        <f>IFERROR((MIN(Tablo1[FD/FAVÖK])/Tablo1[[#This Row],[FD/FAVÖK]])*10,"")</f>
        <v>3.000676589986468</v>
      </c>
      <c r="Y14" s="12">
        <f>IFERROR((MIN(Tablo1[FD/Satış])/Tablo1[[#This Row],[FD/Satış]])*10,"")</f>
        <v>3.893129770992366</v>
      </c>
      <c r="Z14" s="12">
        <f>IFERROR((MIN(Tablo1[PEG])/Tablo1[[#This Row],[PEG]])*10,"")</f>
        <v>3.3333333333333339</v>
      </c>
      <c r="AA14" s="12">
        <f>(Tablo1[[#This Row],[ROIC]]/MAX(Tablo1[ROIC]))*10</f>
        <v>4.5117867227001112</v>
      </c>
      <c r="AB14" s="12">
        <f>IFERROR(IF(Tablo1[[#This Row],[Yıllık Net Kar Değişimi]]&lt;0,0,(Tablo1[[#This Row],[Yıllık Net Kar Değişimi]]/MAX(Tablo1[Yıllık Net Kar Değişimi]))*10),"")</f>
        <v>4.796140172676485</v>
      </c>
      <c r="AC14" s="12">
        <f>IFERROR(IF(Tablo1[[#This Row],[Yıllık FAVÖK Değişimi]]&lt;0,0,(Tablo1[[#This Row],[Yıllık FAVÖK Değişimi]]/MAX(Tablo1[Yıllık FAVÖK Değişimi]))*10),"")</f>
        <v>4.1253495323498219</v>
      </c>
      <c r="AD14" s="12">
        <f>IFERROR(IF(Tablo1[[#This Row],[Yıllık Satışlar Değişimi]]&lt;0,0,(Tablo1[[#This Row],[Yıllık Satışlar Değişimi]]/MAX(Tablo1[Yıllık Satışlar Değişimi]))*10),"")</f>
        <v>7.8960252966577125</v>
      </c>
      <c r="AF14" s="5">
        <f>SUMIFS([1]!Tablo1[Hisse Fiyatı],[1]!Tablo1[Hisse],Tablo1[[#This Row],[Şirket]],[1]!Tablo1[Dönem],$R$2)</f>
        <v>235.8</v>
      </c>
    </row>
    <row r="15" spans="2:32" ht="21.9" customHeight="1" thickTop="1" thickBot="1" x14ac:dyDescent="0.35">
      <c r="B15" s="26"/>
      <c r="C15" s="27"/>
      <c r="D15" s="10"/>
      <c r="E15" s="10"/>
      <c r="F15" s="10"/>
      <c r="G15" s="10"/>
      <c r="H15" s="10"/>
      <c r="I15" s="28"/>
      <c r="J15" s="7"/>
      <c r="K15" s="7"/>
      <c r="L15" s="7"/>
      <c r="N15" s="19"/>
      <c r="Q15" s="8"/>
      <c r="T15" s="32"/>
      <c r="U15" s="12"/>
      <c r="V15" s="12"/>
      <c r="W15" s="12"/>
      <c r="AF15" s="5">
        <f>SUMIFS([1]!Tablo1[Hisse Fiyatı],[1]!Tablo1[Hisse],Tablo1[[#This Row],[Şirket]],[1]!Tablo1[Dönem],$R$2)</f>
        <v>0</v>
      </c>
    </row>
    <row r="16" spans="2:32" ht="21.9" customHeight="1" thickTop="1" thickBot="1" x14ac:dyDescent="0.35">
      <c r="B16" s="17"/>
      <c r="C16" s="6"/>
      <c r="D16" s="9"/>
      <c r="E16" s="9"/>
      <c r="F16" s="9"/>
      <c r="G16" s="9"/>
      <c r="H16" s="9"/>
      <c r="I16" s="6"/>
      <c r="J16" s="6"/>
      <c r="K16" s="6"/>
      <c r="L16" s="6"/>
      <c r="N16" s="19"/>
      <c r="T16" s="32"/>
      <c r="U16" s="12"/>
      <c r="V16" s="12"/>
      <c r="W16" s="12"/>
      <c r="AF16" s="5">
        <f>SUMIFS([1]!Tablo1[Hisse Fiyatı],[1]!Tablo1[Hisse],Tablo1[[#This Row],[Şirket]],[1]!Tablo1[Dönem],$R$2)</f>
        <v>0</v>
      </c>
    </row>
    <row r="17" spans="2:32" ht="21.9" customHeight="1" thickTop="1" thickBot="1" x14ac:dyDescent="0.35">
      <c r="B17" s="17"/>
      <c r="C17" s="6"/>
      <c r="D17" s="9"/>
      <c r="E17" s="9"/>
      <c r="F17" s="9"/>
      <c r="G17" s="9"/>
      <c r="H17" s="9"/>
      <c r="I17" s="6"/>
      <c r="J17" s="6"/>
      <c r="K17" s="6"/>
      <c r="L17" s="6"/>
      <c r="N17" s="19"/>
      <c r="T17" s="32"/>
      <c r="U17" s="12"/>
      <c r="V17" s="12"/>
      <c r="W17" s="12"/>
      <c r="AF17" s="5">
        <f>SUMIFS([1]!Tablo1[Hisse Fiyatı],[1]!Tablo1[Hisse],Tablo1[[#This Row],[Şirket]],[1]!Tablo1[Dönem],$R$2)</f>
        <v>0</v>
      </c>
    </row>
    <row r="18" spans="2:32" ht="21.9" customHeight="1" thickTop="1" thickBot="1" x14ac:dyDescent="0.35">
      <c r="B18" s="17"/>
      <c r="C18" s="6"/>
      <c r="D18" s="9"/>
      <c r="E18" s="9"/>
      <c r="F18" s="9"/>
      <c r="G18" s="9"/>
      <c r="H18" s="9"/>
      <c r="I18" s="6"/>
      <c r="J18" s="6"/>
      <c r="K18" s="6"/>
      <c r="L18" s="6"/>
      <c r="N18" s="19"/>
      <c r="T18" s="32"/>
      <c r="U18" s="12"/>
      <c r="V18" s="12"/>
      <c r="W18" s="12"/>
      <c r="AF18" s="5">
        <f>SUMIFS([1]!Tablo1[Hisse Fiyatı],[1]!Tablo1[Hisse],Tablo1[[#This Row],[Şirket]],[1]!Tablo1[Dönem],$R$2)</f>
        <v>0</v>
      </c>
    </row>
    <row r="19" spans="2:32" ht="21.9" customHeight="1" thickTop="1" thickBot="1" x14ac:dyDescent="0.35">
      <c r="B19" s="17"/>
      <c r="C19" s="6"/>
      <c r="D19" s="9"/>
      <c r="E19" s="9"/>
      <c r="F19" s="9"/>
      <c r="G19" s="9"/>
      <c r="H19" s="9"/>
      <c r="I19" s="6"/>
      <c r="J19" s="6"/>
      <c r="K19" s="6"/>
      <c r="L19" s="6"/>
      <c r="N19" s="19"/>
      <c r="T19" s="32"/>
      <c r="U19" s="12"/>
      <c r="V19" s="12"/>
      <c r="W19" s="12"/>
      <c r="AF19" s="5">
        <f>SUMIFS([1]!Tablo1[Hisse Fiyatı],[1]!Tablo1[Hisse],Tablo1[[#This Row],[Şirket]],[1]!Tablo1[Dönem],$R$2)</f>
        <v>0</v>
      </c>
    </row>
    <row r="20" spans="2:32" ht="21.9" customHeight="1" thickTop="1" thickBot="1" x14ac:dyDescent="0.35">
      <c r="B20" s="17"/>
      <c r="C20" s="6"/>
      <c r="D20" s="9"/>
      <c r="E20" s="9"/>
      <c r="F20" s="9"/>
      <c r="G20" s="9"/>
      <c r="H20" s="9"/>
      <c r="I20" s="6"/>
      <c r="J20" s="6"/>
      <c r="K20" s="6"/>
      <c r="L20" s="6"/>
      <c r="N20" s="19"/>
      <c r="T20" s="32"/>
      <c r="U20" s="12"/>
      <c r="V20" s="12"/>
      <c r="W20" s="12"/>
      <c r="AF20" s="5">
        <f>SUMIFS([1]!Tablo1[Hisse Fiyatı],[1]!Tablo1[Hisse],Tablo1[[#This Row],[Şirket]],[1]!Tablo1[Dönem],$R$2)</f>
        <v>0</v>
      </c>
    </row>
    <row r="21" spans="2:32" ht="21.9" customHeight="1" thickTop="1" thickBot="1" x14ac:dyDescent="0.35">
      <c r="B21" s="17"/>
      <c r="C21" s="6"/>
      <c r="D21" s="9"/>
      <c r="E21" s="9"/>
      <c r="F21" s="9"/>
      <c r="G21" s="9"/>
      <c r="H21" s="9"/>
      <c r="I21" s="6"/>
      <c r="J21" s="6"/>
      <c r="K21" s="6"/>
      <c r="L21" s="6"/>
      <c r="N21" s="19"/>
      <c r="T21" s="32"/>
      <c r="U21" s="12"/>
      <c r="V21" s="12"/>
      <c r="W21" s="12"/>
      <c r="AF21" s="5">
        <f>SUMIFS([1]!Tablo1[Hisse Fiyatı],[1]!Tablo1[Hisse],Tablo1[[#This Row],[Şirket]],[1]!Tablo1[Dönem],$R$2)</f>
        <v>0</v>
      </c>
    </row>
    <row r="22" spans="2:32" ht="21.9" customHeight="1" thickTop="1" thickBot="1" x14ac:dyDescent="0.35">
      <c r="B22" s="17"/>
      <c r="C22" s="24"/>
      <c r="D22" s="9"/>
      <c r="E22" s="9"/>
      <c r="F22" s="9"/>
      <c r="G22" s="9"/>
      <c r="H22" s="9"/>
      <c r="I22" s="25"/>
      <c r="J22" s="6"/>
      <c r="K22" s="6"/>
      <c r="L22" s="6"/>
      <c r="N22" s="19"/>
      <c r="T22" s="32"/>
      <c r="U22" s="12"/>
      <c r="V22" s="12"/>
      <c r="W22" s="12"/>
      <c r="AF22" s="5">
        <f>SUMIFS([1]!Tablo1[Hisse Fiyatı],[1]!Tablo1[Hisse],Tablo1[[#This Row],[Şirket]],[1]!Tablo1[Dönem],$R$2)</f>
        <v>0</v>
      </c>
    </row>
    <row r="23" spans="2:32" ht="21.9" customHeight="1" thickTop="1" thickBot="1" x14ac:dyDescent="0.35">
      <c r="B23" s="17"/>
      <c r="C23" s="24"/>
      <c r="D23" s="9"/>
      <c r="E23" s="9"/>
      <c r="F23" s="9"/>
      <c r="G23" s="9"/>
      <c r="H23" s="9"/>
      <c r="I23" s="25"/>
      <c r="J23" s="6"/>
      <c r="K23" s="6"/>
      <c r="L23" s="6"/>
      <c r="N23" s="19"/>
      <c r="T23" s="32"/>
      <c r="U23" s="12"/>
      <c r="V23" s="12"/>
      <c r="W23" s="12"/>
      <c r="AF23" s="5">
        <f>SUMIFS([1]!Tablo1[Hisse Fiyatı],[1]!Tablo1[Hisse],Tablo1[[#This Row],[Şirket]],[1]!Tablo1[Dönem],$R$2)</f>
        <v>0</v>
      </c>
    </row>
    <row r="24" spans="2:32" ht="21.9" customHeight="1" thickTop="1" thickBot="1" x14ac:dyDescent="0.35">
      <c r="B24" s="17"/>
      <c r="C24" s="24"/>
      <c r="D24" s="9"/>
      <c r="E24" s="9"/>
      <c r="F24" s="9"/>
      <c r="G24" s="9"/>
      <c r="H24" s="9"/>
      <c r="I24" s="25"/>
      <c r="J24" s="6"/>
      <c r="K24" s="6"/>
      <c r="L24" s="6"/>
      <c r="N24" s="19"/>
      <c r="T24" s="32"/>
      <c r="U24" s="12"/>
      <c r="V24" s="12"/>
      <c r="W24" s="12"/>
      <c r="AF24" s="5">
        <f>SUMIFS([1]!Tablo1[Hisse Fiyatı],[1]!Tablo1[Hisse],Tablo1[[#This Row],[Şirket]],[1]!Tablo1[Dönem],$R$2)</f>
        <v>0</v>
      </c>
    </row>
    <row r="25" spans="2:32" ht="21.9" customHeight="1" thickTop="1" thickBot="1" x14ac:dyDescent="0.35">
      <c r="B25" s="17"/>
      <c r="C25" s="24"/>
      <c r="D25" s="9"/>
      <c r="E25" s="9"/>
      <c r="F25" s="9"/>
      <c r="G25" s="9"/>
      <c r="H25" s="9"/>
      <c r="I25" s="25"/>
      <c r="J25" s="6"/>
      <c r="K25" s="6"/>
      <c r="L25" s="6"/>
      <c r="N25" s="19"/>
      <c r="T25" s="32"/>
      <c r="U25" s="12"/>
      <c r="V25" s="12"/>
      <c r="W25" s="12"/>
      <c r="AF25" s="5">
        <f>SUMIFS([1]!Tablo1[Hisse Fiyatı],[1]!Tablo1[Hisse],Tablo1[[#This Row],[Şirket]],[1]!Tablo1[Dönem],$R$2)</f>
        <v>0</v>
      </c>
    </row>
    <row r="26" spans="2:32" ht="21.9" customHeight="1" thickTop="1" thickBot="1" x14ac:dyDescent="0.35">
      <c r="B26" s="17"/>
      <c r="C26" s="24"/>
      <c r="D26" s="9"/>
      <c r="E26" s="9"/>
      <c r="F26" s="9"/>
      <c r="G26" s="9"/>
      <c r="H26" s="9"/>
      <c r="I26" s="25"/>
      <c r="J26" s="6"/>
      <c r="K26" s="6"/>
      <c r="L26" s="6"/>
      <c r="N26" s="19"/>
      <c r="T26" s="32"/>
      <c r="U26" s="12"/>
      <c r="V26" s="12"/>
      <c r="W26" s="12"/>
      <c r="AF26" s="5">
        <f>SUMIFS([1]!Tablo1[Hisse Fiyatı],[1]!Tablo1[Hisse],Tablo1[[#This Row],[Şirket]],[1]!Tablo1[Dönem],$R$2)</f>
        <v>0</v>
      </c>
    </row>
    <row r="27" spans="2:32" ht="21.9" customHeight="1" thickTop="1" thickBot="1" x14ac:dyDescent="0.35">
      <c r="B27" s="17"/>
      <c r="C27" s="24"/>
      <c r="D27" s="9"/>
      <c r="E27" s="9"/>
      <c r="F27" s="9"/>
      <c r="G27" s="9"/>
      <c r="H27" s="9"/>
      <c r="I27" s="25"/>
      <c r="J27" s="6"/>
      <c r="K27" s="6"/>
      <c r="L27" s="6"/>
      <c r="T27" s="32"/>
      <c r="U27" s="12"/>
      <c r="V27" s="12"/>
      <c r="W27" s="12"/>
      <c r="AF27" s="5">
        <f>SUMIFS([1]!Tablo1[Hisse Fiyatı],[1]!Tablo1[Hisse],Tablo1[[#This Row],[Şirket]],[1]!Tablo1[Dönem],$R$2)</f>
        <v>0</v>
      </c>
    </row>
    <row r="28" spans="2:32" ht="21.9" customHeight="1" thickTop="1" thickBot="1" x14ac:dyDescent="0.35">
      <c r="B28" s="17"/>
      <c r="C28" s="24"/>
      <c r="D28" s="9"/>
      <c r="E28" s="9"/>
      <c r="F28" s="9"/>
      <c r="G28" s="9"/>
      <c r="H28" s="9"/>
      <c r="I28" s="25"/>
      <c r="J28" s="6"/>
      <c r="K28" s="6"/>
      <c r="L28" s="6"/>
      <c r="U28" s="12"/>
      <c r="V28" s="12"/>
      <c r="W28" s="12"/>
      <c r="AF28" s="5">
        <f>SUMIFS([1]!Tablo1[Hisse Fiyatı],[1]!Tablo1[Hisse],Tablo1[[#This Row],[Şirket]],[1]!Tablo1[Dönem],$R$2)</f>
        <v>0</v>
      </c>
    </row>
    <row r="29" spans="2:32" ht="21.9" customHeight="1" thickTop="1" thickBot="1" x14ac:dyDescent="0.35">
      <c r="B29" s="17"/>
      <c r="C29" s="24"/>
      <c r="D29" s="9"/>
      <c r="E29" s="9"/>
      <c r="F29" s="9"/>
      <c r="G29" s="9"/>
      <c r="H29" s="9"/>
      <c r="I29" s="25"/>
      <c r="J29" s="6"/>
      <c r="K29" s="6"/>
      <c r="L29" s="6"/>
      <c r="U29" s="12"/>
      <c r="V29" s="12"/>
      <c r="W29" s="12"/>
      <c r="AF29" s="5">
        <f>SUMIFS([1]!Tablo1[Hisse Fiyatı],[1]!Tablo1[Hisse],Tablo1[[#This Row],[Şirket]],[1]!Tablo1[Dönem],$R$2)</f>
        <v>0</v>
      </c>
    </row>
    <row r="30" spans="2:32" ht="21.9" customHeight="1" thickTop="1" thickBot="1" x14ac:dyDescent="0.35">
      <c r="B30" s="26"/>
      <c r="C30" s="27"/>
      <c r="D30" s="10"/>
      <c r="E30" s="10"/>
      <c r="F30" s="10"/>
      <c r="G30" s="10"/>
      <c r="H30" s="10"/>
      <c r="I30" s="28"/>
      <c r="J30" s="7"/>
      <c r="K30" s="7"/>
      <c r="L30" s="7"/>
      <c r="U30" s="12"/>
      <c r="V30" s="12"/>
      <c r="W30" s="12"/>
      <c r="AF30" s="5">
        <f>SUMIFS([1]!Tablo1[Hisse Fiyatı],[1]!Tablo1[Hisse],Tablo1[[#This Row],[Şirket]],[1]!Tablo1[Dönem],$R$2)</f>
        <v>0</v>
      </c>
    </row>
    <row r="31" spans="2:32" ht="21.9" customHeight="1" thickTop="1" thickBot="1" x14ac:dyDescent="0.35">
      <c r="B31" s="17"/>
      <c r="C31" s="24"/>
      <c r="D31" s="9"/>
      <c r="E31" s="9"/>
      <c r="F31" s="9"/>
      <c r="G31" s="9"/>
      <c r="H31" s="9"/>
      <c r="I31" s="25"/>
      <c r="J31" s="6"/>
      <c r="K31" s="6"/>
      <c r="L31" s="6"/>
      <c r="U31" s="12"/>
      <c r="V31" s="12"/>
      <c r="W31" s="12"/>
      <c r="AF31" s="5">
        <f>SUMIFS([1]!Tablo1[Hisse Fiyatı],[1]!Tablo1[Hisse],Tablo1[[#This Row],[Şirket]],[1]!Tablo1[Dönem],$R$2)</f>
        <v>0</v>
      </c>
    </row>
    <row r="32" spans="2:32" ht="21.9" customHeight="1" thickTop="1" thickBot="1" x14ac:dyDescent="0.35">
      <c r="B32" s="17"/>
      <c r="C32" s="24"/>
      <c r="D32" s="9"/>
      <c r="E32" s="9"/>
      <c r="F32" s="9"/>
      <c r="G32" s="9"/>
      <c r="H32" s="9"/>
      <c r="I32" s="25"/>
      <c r="J32" s="6"/>
      <c r="K32" s="6"/>
      <c r="L32" s="6"/>
      <c r="U32" s="12"/>
      <c r="V32" s="12"/>
      <c r="W32" s="12"/>
      <c r="AF32" s="5">
        <f>SUMIFS([1]!Tablo1[Hisse Fiyatı],[1]!Tablo1[Hisse],Tablo1[[#This Row],[Şirket]],[1]!Tablo1[Dönem],$R$2)</f>
        <v>0</v>
      </c>
    </row>
    <row r="33" spans="2:32" ht="21.9" customHeight="1" thickTop="1" thickBot="1" x14ac:dyDescent="0.35">
      <c r="B33" s="17"/>
      <c r="C33" s="24"/>
      <c r="D33" s="9"/>
      <c r="E33" s="9"/>
      <c r="F33" s="9"/>
      <c r="G33" s="9"/>
      <c r="H33" s="9"/>
      <c r="I33" s="25"/>
      <c r="J33" s="6"/>
      <c r="K33" s="6"/>
      <c r="L33" s="6"/>
      <c r="U33" s="12"/>
      <c r="V33" s="12"/>
      <c r="W33" s="12"/>
      <c r="AF33" s="5">
        <f>SUMIFS([1]!Tablo1[Hisse Fiyatı],[1]!Tablo1[Hisse],Tablo1[[#This Row],[Şirket]],[1]!Tablo1[Dönem],$R$2)</f>
        <v>0</v>
      </c>
    </row>
    <row r="34" spans="2:32" ht="21.9" customHeight="1" thickTop="1" thickBot="1" x14ac:dyDescent="0.35">
      <c r="B34" s="17"/>
      <c r="C34" s="24"/>
      <c r="D34" s="9"/>
      <c r="E34" s="9"/>
      <c r="F34" s="9"/>
      <c r="G34" s="9"/>
      <c r="H34" s="9"/>
      <c r="I34" s="25"/>
      <c r="J34" s="6"/>
      <c r="K34" s="6"/>
      <c r="L34" s="6"/>
      <c r="U34" s="12"/>
      <c r="V34" s="12"/>
      <c r="W34" s="12"/>
      <c r="AF34" s="5">
        <f>SUMIFS([1]!Tablo1[Hisse Fiyatı],[1]!Tablo1[Hisse],Tablo1[[#This Row],[Şirket]],[1]!Tablo1[Dönem],$R$2)</f>
        <v>0</v>
      </c>
    </row>
    <row r="35" spans="2:32" ht="21.9" customHeight="1" thickTop="1" thickBot="1" x14ac:dyDescent="0.35">
      <c r="B35" s="17"/>
      <c r="C35" s="24"/>
      <c r="D35" s="9"/>
      <c r="E35" s="9"/>
      <c r="F35" s="9"/>
      <c r="G35" s="9"/>
      <c r="H35" s="9"/>
      <c r="I35" s="25"/>
      <c r="J35" s="6"/>
      <c r="K35" s="6"/>
      <c r="L35" s="6"/>
      <c r="U35" s="12"/>
      <c r="V35" s="12"/>
      <c r="W35" s="12"/>
    </row>
    <row r="36" spans="2:32" ht="21.9" customHeight="1" thickTop="1" x14ac:dyDescent="0.3">
      <c r="B36" s="26"/>
      <c r="C36" s="27"/>
      <c r="D36" s="10"/>
      <c r="E36" s="10"/>
      <c r="F36" s="10"/>
      <c r="G36" s="10"/>
      <c r="H36" s="10"/>
      <c r="I36" s="28"/>
      <c r="J36" s="7"/>
      <c r="K36" s="7"/>
      <c r="L36" s="7"/>
    </row>
    <row r="37" spans="2:32" ht="21.9" customHeight="1" x14ac:dyDescent="0.3"/>
    <row r="38" spans="2:32" ht="21.9" customHeight="1" x14ac:dyDescent="0.3"/>
    <row r="39" spans="2:32" ht="21.9" customHeight="1" x14ac:dyDescent="0.3"/>
    <row r="40" spans="2:32" ht="21.9" customHeight="1" x14ac:dyDescent="0.3"/>
    <row r="41" spans="2:32" ht="21.9" customHeight="1" x14ac:dyDescent="0.3"/>
    <row r="42" spans="2:32" ht="21.9" customHeight="1" x14ac:dyDescent="0.3"/>
    <row r="43" spans="2:32" ht="21.9" customHeight="1" x14ac:dyDescent="0.3"/>
    <row r="44" spans="2:32" ht="21.9" customHeight="1" x14ac:dyDescent="0.3"/>
    <row r="45" spans="2:32" ht="21.9" customHeight="1" x14ac:dyDescent="0.3"/>
    <row r="46" spans="2:32" ht="21.9" customHeight="1" x14ac:dyDescent="0.3"/>
    <row r="47" spans="2:32" ht="21.9" customHeight="1" x14ac:dyDescent="0.3"/>
    <row r="48" spans="2:32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</sheetData>
  <conditionalFormatting sqref="C3:C14">
    <cfRule type="colorScale" priority="21">
      <colorScale>
        <cfvo type="min"/>
        <cfvo type="num" val="0"/>
        <cfvo type="num" val="$R$11"/>
        <color rgb="FFFE6666"/>
        <color theme="0"/>
        <color rgb="FF5DD9A1"/>
      </colorScale>
    </cfRule>
  </conditionalFormatting>
  <conditionalFormatting sqref="D3:D14">
    <cfRule type="colorScale" priority="20">
      <colorScale>
        <cfvo type="min"/>
        <cfvo type="num" val="$R$10"/>
        <cfvo type="max"/>
        <color rgb="FF5DD9A1"/>
        <color theme="0"/>
        <color rgb="FFFE6666"/>
      </colorScale>
    </cfRule>
  </conditionalFormatting>
  <conditionalFormatting sqref="E3:E14">
    <cfRule type="colorScale" priority="19">
      <colorScale>
        <cfvo type="min"/>
        <cfvo type="num" val="$R$9"/>
        <cfvo type="max"/>
        <color rgb="FF5DD9A1"/>
        <color theme="0"/>
        <color rgb="FFFE6666"/>
      </colorScale>
    </cfRule>
  </conditionalFormatting>
  <conditionalFormatting sqref="F3:F14">
    <cfRule type="colorScale" priority="18">
      <colorScale>
        <cfvo type="min"/>
        <cfvo type="num" val="$R$8"/>
        <cfvo type="max"/>
        <color rgb="FF5DD9A1"/>
        <color theme="0"/>
        <color rgb="FFFE6666"/>
      </colorScale>
    </cfRule>
  </conditionalFormatting>
  <conditionalFormatting sqref="G3:G14">
    <cfRule type="colorScale" priority="17">
      <colorScale>
        <cfvo type="min"/>
        <cfvo type="num" val="$R$7"/>
        <cfvo type="max"/>
        <color rgb="FF5DD9A1"/>
        <color theme="0"/>
        <color rgb="FFFE6666"/>
      </colorScale>
    </cfRule>
  </conditionalFormatting>
  <conditionalFormatting sqref="H3:H14">
    <cfRule type="colorScale" priority="8">
      <colorScale>
        <cfvo type="min"/>
        <cfvo type="num" val="1"/>
        <cfvo type="max"/>
        <color rgb="FF5DD9A1"/>
        <color theme="0"/>
        <color rgb="FFFE6666"/>
      </colorScale>
    </cfRule>
  </conditionalFormatting>
  <conditionalFormatting sqref="I3:I14">
    <cfRule type="colorScale" priority="16">
      <colorScale>
        <cfvo type="min"/>
        <cfvo type="num" val="0"/>
        <cfvo type="num" val="$R$6"/>
        <color rgb="FFFE6666"/>
        <color theme="0"/>
        <color rgb="FF5DD9A1"/>
      </colorScale>
    </cfRule>
  </conditionalFormatting>
  <conditionalFormatting sqref="J3:J14">
    <cfRule type="colorScale" priority="15">
      <colorScale>
        <cfvo type="min"/>
        <cfvo type="num" val="0"/>
        <cfvo type="num" val="$R$5"/>
        <color rgb="FFFE6666"/>
        <color theme="0"/>
        <color rgb="FF5DD9A1"/>
      </colorScale>
    </cfRule>
  </conditionalFormatting>
  <conditionalFormatting sqref="K3:K14">
    <cfRule type="colorScale" priority="14">
      <colorScale>
        <cfvo type="min"/>
        <cfvo type="num" val="0"/>
        <cfvo type="num" val="$R$4"/>
        <color rgb="FFFE6666"/>
        <color theme="0"/>
        <color rgb="FF5DD9A1"/>
      </colorScale>
    </cfRule>
  </conditionalFormatting>
  <conditionalFormatting sqref="L3:L14">
    <cfRule type="colorScale" priority="13">
      <colorScale>
        <cfvo type="min"/>
        <cfvo type="num" val="0"/>
        <cfvo type="num" val="$R$3"/>
        <color rgb="FFFE6666"/>
        <color theme="0"/>
        <color rgb="FF5DD9A1"/>
      </colorScale>
    </cfRule>
  </conditionalFormatting>
  <conditionalFormatting sqref="N3:N26">
    <cfRule type="iconSet" priority="1">
      <iconSet>
        <cfvo type="percent" val="0"/>
        <cfvo type="num" val="0"/>
        <cfvo type="num" val="0.1"/>
      </iconSet>
    </cfRule>
  </conditionalFormatting>
  <conditionalFormatting sqref="T3:T34">
    <cfRule type="colorScale" priority="2">
      <colorScale>
        <cfvo type="min"/>
        <cfvo type="num" val="$T$2"/>
        <cfvo type="max"/>
        <color rgb="FFFE6666"/>
        <color theme="0"/>
        <color rgb="FF5DD9A1"/>
      </colorScale>
    </cfRule>
  </conditionalFormatting>
  <printOptions horizontalCentered="1"/>
  <pageMargins left="0.11811023622047245" right="0.11811023622047245" top="0.15748031496062992" bottom="0.15748031496062992" header="0.31496062992125984" footer="0.31496062992125984"/>
  <pageSetup paperSize="9" scale="4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TeknikOfis</dc:creator>
  <cp:lastModifiedBy>samet can</cp:lastModifiedBy>
  <cp:lastPrinted>2024-01-03T18:58:06Z</cp:lastPrinted>
  <dcterms:created xsi:type="dcterms:W3CDTF">2024-01-02T13:44:01Z</dcterms:created>
  <dcterms:modified xsi:type="dcterms:W3CDTF">2024-01-03T18:58:36Z</dcterms:modified>
</cp:coreProperties>
</file>