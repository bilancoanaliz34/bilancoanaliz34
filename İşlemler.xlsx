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Drive'ım\Diğer\Borsa Analiz\"/>
    </mc:Choice>
  </mc:AlternateContent>
  <xr:revisionPtr revIDLastSave="0" documentId="13_ncr:1_{AA323970-30EA-4214-8B3C-F2CAD94526D7}" xr6:coauthVersionLast="47" xr6:coauthVersionMax="47" xr10:uidLastSave="{00000000-0000-0000-0000-000000000000}"/>
  <bookViews>
    <workbookView xWindow="-23148" yWindow="-108" windowWidth="23256" windowHeight="12456" activeTab="2" xr2:uid="{3B0259B3-AD59-454E-8ABB-1C5BA3BA6BA9}"/>
  </bookViews>
  <sheets>
    <sheet name="Portföy" sheetId="2" r:id="rId1"/>
    <sheet name="İşlem" sheetId="1" r:id="rId2"/>
    <sheet name="Sayfa4" sheetId="7" r:id="rId3"/>
    <sheet name="ALSAT" sheetId="8" r:id="rId4"/>
    <sheet name="işlem btc" sheetId="10" r:id="rId5"/>
    <sheet name="bt as" sheetId="11" r:id="rId6"/>
    <sheet name="alsat btc" sheetId="9" r:id="rId7"/>
    <sheet name="Sayfa1" sheetId="12" r:id="rId8"/>
    <sheet name="Sayfa2" sheetId="13" r:id="rId9"/>
    <sheet name="Sayfa3" sheetId="14" r:id="rId10"/>
  </sheets>
  <definedNames>
    <definedName name="_xlnm._FilterDatabase" localSheetId="5" hidden="1">'bt as'!$B$2:$G$504</definedName>
    <definedName name="_xlnm._FilterDatabase" localSheetId="7" hidden="1">Sayfa1!$A$1:$I$1</definedName>
    <definedName name="_xlnm._FilterDatabase" localSheetId="2" hidden="1">Sayfa4!$B$2:$G$1351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6" i="14" l="1"/>
  <c r="D206" i="14"/>
  <c r="F200" i="14"/>
  <c r="F191" i="14"/>
  <c r="F184" i="14"/>
  <c r="F180" i="14"/>
  <c r="AG20" i="14"/>
  <c r="AI20" i="14"/>
  <c r="AJ20" i="14" s="1"/>
  <c r="AG9" i="14"/>
  <c r="AI9" i="14"/>
  <c r="AJ9" i="14" s="1"/>
  <c r="AG145" i="14"/>
  <c r="AI145" i="14"/>
  <c r="AJ145" i="14" s="1"/>
  <c r="AG92" i="14"/>
  <c r="AI92" i="14"/>
  <c r="AJ92" i="14" s="1"/>
  <c r="AG103" i="14"/>
  <c r="AI103" i="14"/>
  <c r="AJ103" i="14" s="1"/>
  <c r="AG153" i="14"/>
  <c r="AI153" i="14"/>
  <c r="AJ153" i="14" s="1"/>
  <c r="AG109" i="14"/>
  <c r="AI109" i="14"/>
  <c r="AJ109" i="14" s="1"/>
  <c r="AG89" i="14"/>
  <c r="AI89" i="14"/>
  <c r="AJ89" i="14" s="1"/>
  <c r="AG112" i="14"/>
  <c r="AI112" i="14"/>
  <c r="AJ112" i="14" s="1"/>
  <c r="AG62" i="14"/>
  <c r="AI62" i="14"/>
  <c r="AJ62" i="14" s="1"/>
  <c r="AG119" i="14"/>
  <c r="AI119" i="14"/>
  <c r="AJ119" i="14" s="1"/>
  <c r="AG96" i="14"/>
  <c r="AI96" i="14"/>
  <c r="AJ96" i="14" s="1"/>
  <c r="AG25" i="14"/>
  <c r="AI25" i="14"/>
  <c r="AJ25" i="14" s="1"/>
  <c r="AG100" i="14"/>
  <c r="AI100" i="14"/>
  <c r="AJ100" i="14" s="1"/>
  <c r="AG136" i="14"/>
  <c r="AI136" i="14"/>
  <c r="AJ136" i="14" s="1"/>
  <c r="AG110" i="14"/>
  <c r="AI110" i="14"/>
  <c r="AJ110" i="14" s="1"/>
  <c r="AG60" i="14"/>
  <c r="AI60" i="14"/>
  <c r="AJ60" i="14" s="1"/>
  <c r="AG8" i="14"/>
  <c r="AI8" i="14"/>
  <c r="AJ8" i="14" s="1"/>
  <c r="AG24" i="14"/>
  <c r="AI24" i="14"/>
  <c r="AJ24" i="14" s="1"/>
  <c r="AG50" i="14"/>
  <c r="AI50" i="14"/>
  <c r="AJ50" i="14" s="1"/>
  <c r="AG94" i="14"/>
  <c r="AI94" i="14"/>
  <c r="AJ94" i="14" s="1"/>
  <c r="AG111" i="14"/>
  <c r="AI111" i="14"/>
  <c r="AJ111" i="14" s="1"/>
  <c r="AG40" i="14"/>
  <c r="AI40" i="14"/>
  <c r="AJ40" i="14" s="1"/>
  <c r="AG151" i="14"/>
  <c r="AI151" i="14"/>
  <c r="AJ151" i="14" s="1"/>
  <c r="AG167" i="14"/>
  <c r="AI167" i="14"/>
  <c r="AJ167" i="14" s="1"/>
  <c r="AG162" i="14"/>
  <c r="AI162" i="14"/>
  <c r="AJ162" i="14" s="1"/>
  <c r="AG63" i="14"/>
  <c r="AI63" i="14"/>
  <c r="AJ63" i="14" s="1"/>
  <c r="F171" i="14" l="1"/>
  <c r="F173" i="14" s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 l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AG87" i="14"/>
  <c r="AI87" i="14"/>
  <c r="AJ87" i="14" s="1"/>
  <c r="AG121" i="14"/>
  <c r="AI121" i="14"/>
  <c r="AJ121" i="14" s="1"/>
  <c r="AG127" i="14"/>
  <c r="AI127" i="14"/>
  <c r="AJ127" i="14" s="1"/>
  <c r="AG7" i="14"/>
  <c r="AI7" i="14"/>
  <c r="AJ7" i="14" s="1"/>
  <c r="AG38" i="14"/>
  <c r="AI38" i="14"/>
  <c r="AJ38" i="14" s="1"/>
  <c r="AG59" i="14"/>
  <c r="AI59" i="14"/>
  <c r="AJ59" i="14" s="1"/>
  <c r="AG108" i="14"/>
  <c r="AI108" i="14"/>
  <c r="AJ108" i="14" s="1"/>
  <c r="AG139" i="14"/>
  <c r="AI139" i="14"/>
  <c r="AJ139" i="14" s="1"/>
  <c r="AG120" i="14"/>
  <c r="AI120" i="14"/>
  <c r="AJ120" i="14" s="1"/>
  <c r="AG122" i="14"/>
  <c r="AI122" i="14"/>
  <c r="AJ122" i="14" s="1"/>
  <c r="AG64" i="14"/>
  <c r="AI64" i="14"/>
  <c r="AJ64" i="14" s="1"/>
  <c r="AG6" i="14"/>
  <c r="AI6" i="14"/>
  <c r="AJ6" i="14" s="1"/>
  <c r="AG125" i="14"/>
  <c r="AI125" i="14"/>
  <c r="AJ125" i="14" s="1"/>
  <c r="AG135" i="14"/>
  <c r="AI135" i="14"/>
  <c r="AJ135" i="14" s="1"/>
  <c r="AG53" i="14"/>
  <c r="AI53" i="14"/>
  <c r="AJ53" i="14" s="1"/>
  <c r="AG41" i="14"/>
  <c r="AI41" i="14"/>
  <c r="AJ41" i="14" s="1"/>
  <c r="AG150" i="14"/>
  <c r="AI150" i="14"/>
  <c r="AJ150" i="14" s="1"/>
  <c r="AG42" i="14"/>
  <c r="AI42" i="14"/>
  <c r="AJ42" i="14" s="1"/>
  <c r="AG93" i="14"/>
  <c r="AI93" i="14"/>
  <c r="AJ93" i="14" s="1"/>
  <c r="AG105" i="14"/>
  <c r="AI105" i="14"/>
  <c r="AJ105" i="14" s="1"/>
  <c r="AG86" i="14"/>
  <c r="AI86" i="14"/>
  <c r="AJ86" i="14" s="1"/>
  <c r="AG80" i="14"/>
  <c r="AI80" i="14"/>
  <c r="AJ80" i="14" s="1"/>
  <c r="AG16" i="14"/>
  <c r="AI16" i="14"/>
  <c r="AJ16" i="14" s="1"/>
  <c r="AG65" i="14"/>
  <c r="AI65" i="14"/>
  <c r="AJ65" i="14" s="1"/>
  <c r="AG126" i="14"/>
  <c r="AI126" i="14"/>
  <c r="AJ126" i="14" s="1"/>
  <c r="AG124" i="14"/>
  <c r="AI124" i="14"/>
  <c r="AJ124" i="14" s="1"/>
  <c r="AG113" i="14"/>
  <c r="AI113" i="14"/>
  <c r="AJ113" i="14" s="1"/>
  <c r="AG29" i="14"/>
  <c r="AI29" i="14"/>
  <c r="AJ29" i="14" s="1"/>
  <c r="AG101" i="14"/>
  <c r="AI101" i="14"/>
  <c r="AJ101" i="14" s="1"/>
  <c r="AG44" i="14"/>
  <c r="AI44" i="14"/>
  <c r="AJ44" i="14" s="1"/>
  <c r="AG11" i="14"/>
  <c r="AI11" i="14"/>
  <c r="AJ11" i="14" s="1"/>
  <c r="AG82" i="14"/>
  <c r="AI82" i="14"/>
  <c r="AJ82" i="14" s="1"/>
  <c r="AG54" i="14"/>
  <c r="AI54" i="14"/>
  <c r="AJ54" i="14" s="1"/>
  <c r="AJ176" i="14"/>
  <c r="AJ177" i="14"/>
  <c r="AJ178" i="14"/>
  <c r="AJ179" i="14"/>
  <c r="AJ180" i="14"/>
  <c r="AJ181" i="14"/>
  <c r="AJ182" i="14"/>
  <c r="AJ183" i="14"/>
  <c r="AJ184" i="14"/>
  <c r="AJ185" i="14"/>
  <c r="AJ186" i="14"/>
  <c r="AJ187" i="14"/>
  <c r="AJ188" i="14"/>
  <c r="AJ189" i="14"/>
  <c r="AJ190" i="14"/>
  <c r="AJ191" i="14"/>
  <c r="AJ192" i="14"/>
  <c r="AJ193" i="14"/>
  <c r="AJ194" i="14"/>
  <c r="AJ195" i="14"/>
  <c r="AJ196" i="14"/>
  <c r="AJ197" i="14"/>
  <c r="AJ198" i="14"/>
  <c r="AJ199" i="14"/>
  <c r="AJ200" i="14"/>
  <c r="AJ201" i="14"/>
  <c r="AJ202" i="14"/>
  <c r="AJ203" i="14"/>
  <c r="AJ204" i="14"/>
  <c r="AJ175" i="14"/>
  <c r="E171" i="14"/>
  <c r="E173" i="14" s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AG158" i="14"/>
  <c r="AI158" i="14"/>
  <c r="AJ158" i="14" s="1"/>
  <c r="AG117" i="14"/>
  <c r="AI117" i="14"/>
  <c r="AJ117" i="14" s="1"/>
  <c r="AG76" i="14"/>
  <c r="AI76" i="14"/>
  <c r="AJ76" i="14" s="1"/>
  <c r="AG66" i="14"/>
  <c r="AI66" i="14"/>
  <c r="AJ66" i="14" s="1"/>
  <c r="AG155" i="14"/>
  <c r="AI155" i="14"/>
  <c r="AJ155" i="14" s="1"/>
  <c r="AG70" i="14"/>
  <c r="AI70" i="14"/>
  <c r="AJ70" i="14" s="1"/>
  <c r="AG69" i="14"/>
  <c r="AI69" i="14"/>
  <c r="AJ69" i="14" s="1"/>
  <c r="AG43" i="14"/>
  <c r="AI43" i="14"/>
  <c r="AJ43" i="14" s="1"/>
  <c r="AG37" i="14"/>
  <c r="AI37" i="14"/>
  <c r="AJ37" i="14" s="1"/>
  <c r="AG35" i="14"/>
  <c r="AI35" i="14"/>
  <c r="AJ35" i="14" s="1"/>
  <c r="AG23" i="14"/>
  <c r="AI23" i="14"/>
  <c r="AJ23" i="14" s="1"/>
  <c r="AG143" i="14"/>
  <c r="AI143" i="14"/>
  <c r="AJ143" i="14" s="1"/>
  <c r="AG157" i="14"/>
  <c r="AI157" i="14"/>
  <c r="AJ157" i="14" s="1"/>
  <c r="AG78" i="14"/>
  <c r="AI78" i="14"/>
  <c r="AJ78" i="14" s="1"/>
  <c r="AG21" i="14"/>
  <c r="AI21" i="14"/>
  <c r="AJ21" i="14" s="1"/>
  <c r="AG118" i="14"/>
  <c r="AI118" i="14"/>
  <c r="AG81" i="14"/>
  <c r="AI81" i="14"/>
  <c r="AJ81" i="14" s="1"/>
  <c r="AG72" i="14"/>
  <c r="AI72" i="14"/>
  <c r="AJ72" i="14" s="1"/>
  <c r="C206" i="14"/>
  <c r="AG164" i="14"/>
  <c r="AI164" i="14"/>
  <c r="AJ164" i="14" s="1"/>
  <c r="AG88" i="14"/>
  <c r="AI88" i="14"/>
  <c r="AJ88" i="14" s="1"/>
  <c r="AG31" i="14"/>
  <c r="AI31" i="14"/>
  <c r="AJ31" i="14" s="1"/>
  <c r="AG56" i="14"/>
  <c r="AI56" i="14"/>
  <c r="AJ56" i="14" s="1"/>
  <c r="AG34" i="14"/>
  <c r="AI34" i="14"/>
  <c r="AJ34" i="14" s="1"/>
  <c r="AG138" i="14"/>
  <c r="AI138" i="14"/>
  <c r="AG141" i="14"/>
  <c r="AI141" i="14"/>
  <c r="AJ141" i="14" s="1"/>
  <c r="AG3" i="14"/>
  <c r="AI3" i="14"/>
  <c r="AJ3" i="14" s="1"/>
  <c r="AG116" i="14"/>
  <c r="AI116" i="14"/>
  <c r="AJ116" i="14" s="1"/>
  <c r="AG115" i="14"/>
  <c r="AI115" i="14"/>
  <c r="AJ115" i="14" s="1"/>
  <c r="AG33" i="14"/>
  <c r="AI33" i="14"/>
  <c r="AJ33" i="14" s="1"/>
  <c r="AG90" i="14"/>
  <c r="AI90" i="14"/>
  <c r="AJ90" i="14" s="1"/>
  <c r="AG36" i="14"/>
  <c r="AI36" i="14"/>
  <c r="AJ36" i="14" s="1"/>
  <c r="AG27" i="14"/>
  <c r="AI27" i="14"/>
  <c r="AJ27" i="14" s="1"/>
  <c r="AG15" i="14"/>
  <c r="AI15" i="14"/>
  <c r="AJ15" i="14" s="1"/>
  <c r="AG144" i="14"/>
  <c r="AI144" i="14"/>
  <c r="AJ144" i="14" s="1"/>
  <c r="AG132" i="14"/>
  <c r="AI132" i="14"/>
  <c r="AJ132" i="14" s="1"/>
  <c r="AG14" i="14"/>
  <c r="AI14" i="14"/>
  <c r="AJ14" i="14" s="1"/>
  <c r="AG131" i="14"/>
  <c r="AI131" i="14"/>
  <c r="AJ131" i="14" s="1"/>
  <c r="AG55" i="14"/>
  <c r="AI55" i="14"/>
  <c r="AJ55" i="14" s="1"/>
  <c r="AG26" i="14"/>
  <c r="AI26" i="14"/>
  <c r="AJ26" i="14" s="1"/>
  <c r="AG97" i="14"/>
  <c r="AI97" i="14"/>
  <c r="AJ97" i="14" s="1"/>
  <c r="AG147" i="14"/>
  <c r="AI147" i="14"/>
  <c r="AJ147" i="14" s="1"/>
  <c r="AG142" i="14"/>
  <c r="AI142" i="14"/>
  <c r="AJ142" i="14" s="1"/>
  <c r="AG128" i="14"/>
  <c r="AI128" i="14"/>
  <c r="AJ128" i="14" s="1"/>
  <c r="AG49" i="14"/>
  <c r="AI49" i="14"/>
  <c r="AJ49" i="14" s="1"/>
  <c r="AJ118" i="14" l="1"/>
  <c r="AJ138" i="14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C173" i="14"/>
  <c r="F1295" i="1"/>
  <c r="F1294" i="1"/>
  <c r="F1293" i="1"/>
  <c r="F1292" i="1"/>
  <c r="F1291" i="1"/>
  <c r="R7" i="8"/>
  <c r="Q7" i="8"/>
  <c r="P7" i="8"/>
  <c r="O7" i="8"/>
  <c r="N7" i="8"/>
  <c r="M7" i="8"/>
  <c r="L7" i="8"/>
  <c r="K7" i="8"/>
  <c r="B7" i="8"/>
  <c r="X7" i="8" s="1"/>
  <c r="I169" i="14"/>
  <c r="J169" i="14"/>
  <c r="K169" i="14"/>
  <c r="L169" i="14"/>
  <c r="M169" i="14"/>
  <c r="N169" i="14"/>
  <c r="O169" i="14"/>
  <c r="F187" i="14" s="1"/>
  <c r="P169" i="14"/>
  <c r="Q169" i="14"/>
  <c r="R169" i="14"/>
  <c r="S169" i="14"/>
  <c r="T169" i="14"/>
  <c r="U169" i="14"/>
  <c r="V169" i="14"/>
  <c r="W169" i="14"/>
  <c r="F195" i="14" s="1"/>
  <c r="X169" i="14"/>
  <c r="Y169" i="14"/>
  <c r="Z169" i="14"/>
  <c r="F198" i="14" s="1"/>
  <c r="AA169" i="14"/>
  <c r="AB169" i="14"/>
  <c r="AC169" i="14"/>
  <c r="F201" i="14" s="1"/>
  <c r="AD169" i="14"/>
  <c r="AE169" i="14"/>
  <c r="AF169" i="14"/>
  <c r="E169" i="14"/>
  <c r="F169" i="14"/>
  <c r="G169" i="14"/>
  <c r="H169" i="14"/>
  <c r="D169" i="14"/>
  <c r="C169" i="14"/>
  <c r="F1290" i="1"/>
  <c r="F1289" i="1"/>
  <c r="F1288" i="1"/>
  <c r="F1287" i="1"/>
  <c r="F1286" i="1"/>
  <c r="F1285" i="1"/>
  <c r="F8" i="2"/>
  <c r="C8" i="2"/>
  <c r="F1284" i="1"/>
  <c r="AI77" i="14"/>
  <c r="AJ77" i="14" s="1"/>
  <c r="AI4" i="14"/>
  <c r="AJ4" i="14" s="1"/>
  <c r="AI68" i="14"/>
  <c r="AJ68" i="14" s="1"/>
  <c r="AI134" i="14"/>
  <c r="AJ134" i="14" s="1"/>
  <c r="AI159" i="14"/>
  <c r="AJ159" i="14" s="1"/>
  <c r="AI75" i="14"/>
  <c r="AJ75" i="14" s="1"/>
  <c r="AI152" i="14"/>
  <c r="AJ152" i="14" s="1"/>
  <c r="AI154" i="14"/>
  <c r="AJ154" i="14" s="1"/>
  <c r="AI5" i="14"/>
  <c r="AJ5" i="14" s="1"/>
  <c r="AI19" i="14"/>
  <c r="AJ19" i="14" s="1"/>
  <c r="AI46" i="14"/>
  <c r="AJ46" i="14" s="1"/>
  <c r="AI48" i="14"/>
  <c r="AJ48" i="14" s="1"/>
  <c r="AI73" i="14"/>
  <c r="AJ73" i="14" s="1"/>
  <c r="AI91" i="14"/>
  <c r="AJ91" i="14" s="1"/>
  <c r="AI123" i="14"/>
  <c r="AJ123" i="14" s="1"/>
  <c r="AI129" i="14"/>
  <c r="AJ129" i="14" s="1"/>
  <c r="AI133" i="14"/>
  <c r="AJ133" i="14" s="1"/>
  <c r="AI148" i="14"/>
  <c r="AJ148" i="14" s="1"/>
  <c r="AI156" i="14"/>
  <c r="AJ156" i="14" s="1"/>
  <c r="AI160" i="14"/>
  <c r="AJ160" i="14" s="1"/>
  <c r="AI165" i="14"/>
  <c r="AJ165" i="14" s="1"/>
  <c r="AI2" i="14"/>
  <c r="AJ2" i="14" s="1"/>
  <c r="AI10" i="14"/>
  <c r="AJ10" i="14" s="1"/>
  <c r="AI12" i="14"/>
  <c r="AJ12" i="14" s="1"/>
  <c r="AI13" i="14"/>
  <c r="AJ13" i="14" s="1"/>
  <c r="AI17" i="14"/>
  <c r="AJ17" i="14" s="1"/>
  <c r="AI18" i="14"/>
  <c r="AJ18" i="14" s="1"/>
  <c r="AI22" i="14"/>
  <c r="AJ22" i="14" s="1"/>
  <c r="AI28" i="14"/>
  <c r="AJ28" i="14" s="1"/>
  <c r="AI30" i="14"/>
  <c r="AJ30" i="14" s="1"/>
  <c r="AI32" i="14"/>
  <c r="AJ32" i="14" s="1"/>
  <c r="AI39" i="14"/>
  <c r="AJ39" i="14" s="1"/>
  <c r="AI45" i="14"/>
  <c r="AJ45" i="14" s="1"/>
  <c r="AI47" i="14"/>
  <c r="AJ47" i="14" s="1"/>
  <c r="AI51" i="14"/>
  <c r="AJ51" i="14" s="1"/>
  <c r="AI52" i="14"/>
  <c r="AJ52" i="14" s="1"/>
  <c r="AI57" i="14"/>
  <c r="AJ57" i="14" s="1"/>
  <c r="AI58" i="14"/>
  <c r="AJ58" i="14" s="1"/>
  <c r="AI61" i="14"/>
  <c r="AJ61" i="14" s="1"/>
  <c r="AI67" i="14"/>
  <c r="AJ67" i="14" s="1"/>
  <c r="AI71" i="14"/>
  <c r="AJ71" i="14" s="1"/>
  <c r="AI74" i="14"/>
  <c r="AJ74" i="14" s="1"/>
  <c r="AI79" i="14"/>
  <c r="AJ79" i="14" s="1"/>
  <c r="AI83" i="14"/>
  <c r="AJ83" i="14" s="1"/>
  <c r="AI84" i="14"/>
  <c r="AJ84" i="14" s="1"/>
  <c r="AI85" i="14"/>
  <c r="AJ85" i="14" s="1"/>
  <c r="AI95" i="14"/>
  <c r="AJ95" i="14" s="1"/>
  <c r="AI98" i="14"/>
  <c r="AJ98" i="14" s="1"/>
  <c r="AI99" i="14"/>
  <c r="AJ99" i="14" s="1"/>
  <c r="F204" i="14" s="1"/>
  <c r="AI102" i="14"/>
  <c r="AJ102" i="14" s="1"/>
  <c r="AI104" i="14"/>
  <c r="AJ104" i="14" s="1"/>
  <c r="AI106" i="14"/>
  <c r="AJ106" i="14" s="1"/>
  <c r="AI107" i="14"/>
  <c r="AJ107" i="14" s="1"/>
  <c r="AI114" i="14"/>
  <c r="AJ114" i="14" s="1"/>
  <c r="AI130" i="14"/>
  <c r="AJ130" i="14" s="1"/>
  <c r="AI137" i="14"/>
  <c r="AJ137" i="14" s="1"/>
  <c r="AI140" i="14"/>
  <c r="AJ140" i="14" s="1"/>
  <c r="AI146" i="14"/>
  <c r="AJ146" i="14" s="1"/>
  <c r="AI149" i="14"/>
  <c r="AJ149" i="14" s="1"/>
  <c r="AI161" i="14"/>
  <c r="AJ161" i="14" s="1"/>
  <c r="AI163" i="14"/>
  <c r="AJ163" i="14" s="1"/>
  <c r="AI166" i="14"/>
  <c r="AJ166" i="14" s="1"/>
  <c r="AI168" i="14"/>
  <c r="AJ168" i="14" s="1"/>
  <c r="AG168" i="14"/>
  <c r="AG166" i="14"/>
  <c r="AG165" i="14"/>
  <c r="AG163" i="14"/>
  <c r="AG161" i="14"/>
  <c r="AG160" i="14"/>
  <c r="AG156" i="14"/>
  <c r="AG159" i="14"/>
  <c r="AG154" i="14"/>
  <c r="AG152" i="14"/>
  <c r="AG149" i="14"/>
  <c r="AG148" i="14"/>
  <c r="AG146" i="14"/>
  <c r="AG140" i="14"/>
  <c r="AG137" i="14"/>
  <c r="AG134" i="14"/>
  <c r="AG133" i="14"/>
  <c r="AG130" i="14"/>
  <c r="AG129" i="14"/>
  <c r="AG123" i="14"/>
  <c r="AG114" i="14"/>
  <c r="AG107" i="14"/>
  <c r="AG106" i="14"/>
  <c r="AG104" i="14"/>
  <c r="AG102" i="14"/>
  <c r="AG99" i="14"/>
  <c r="AG98" i="14"/>
  <c r="AG95" i="14"/>
  <c r="AG91" i="14"/>
  <c r="AG85" i="14"/>
  <c r="AG84" i="14"/>
  <c r="AG83" i="14"/>
  <c r="AG79" i="14"/>
  <c r="AG77" i="14"/>
  <c r="AG75" i="14"/>
  <c r="AG74" i="14"/>
  <c r="AG73" i="14"/>
  <c r="AG71" i="14"/>
  <c r="AG68" i="14"/>
  <c r="AG67" i="14"/>
  <c r="AG61" i="14"/>
  <c r="AG58" i="14"/>
  <c r="AG57" i="14"/>
  <c r="AG52" i="14"/>
  <c r="AG51" i="14"/>
  <c r="AG48" i="14"/>
  <c r="AG47" i="14"/>
  <c r="AG46" i="14"/>
  <c r="AG45" i="14"/>
  <c r="AG39" i="14"/>
  <c r="AG32" i="14"/>
  <c r="AG30" i="14"/>
  <c r="AG28" i="14"/>
  <c r="AG22" i="14"/>
  <c r="AG19" i="14"/>
  <c r="AG18" i="14"/>
  <c r="AG17" i="14"/>
  <c r="AG13" i="14"/>
  <c r="AG12" i="14"/>
  <c r="AG10" i="14"/>
  <c r="AG5" i="14"/>
  <c r="AG4" i="14"/>
  <c r="AG2" i="14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O4" i="8"/>
  <c r="P4" i="8"/>
  <c r="Q4" i="8"/>
  <c r="R4" i="8"/>
  <c r="R51" i="8"/>
  <c r="Q51" i="8"/>
  <c r="P51" i="8"/>
  <c r="O51" i="8"/>
  <c r="N51" i="8"/>
  <c r="M51" i="8"/>
  <c r="L51" i="8"/>
  <c r="K51" i="8"/>
  <c r="R50" i="8"/>
  <c r="Q50" i="8"/>
  <c r="P50" i="8"/>
  <c r="O50" i="8"/>
  <c r="N50" i="8"/>
  <c r="M50" i="8"/>
  <c r="L50" i="8"/>
  <c r="K50" i="8"/>
  <c r="R49" i="8"/>
  <c r="Q49" i="8"/>
  <c r="P49" i="8"/>
  <c r="O49" i="8"/>
  <c r="N49" i="8"/>
  <c r="M49" i="8"/>
  <c r="L49" i="8"/>
  <c r="K49" i="8"/>
  <c r="R48" i="8"/>
  <c r="Q48" i="8"/>
  <c r="P48" i="8"/>
  <c r="O48" i="8"/>
  <c r="N48" i="8"/>
  <c r="M48" i="8"/>
  <c r="L48" i="8"/>
  <c r="K48" i="8"/>
  <c r="R47" i="8"/>
  <c r="Q47" i="8"/>
  <c r="P47" i="8"/>
  <c r="O47" i="8"/>
  <c r="N47" i="8"/>
  <c r="M47" i="8"/>
  <c r="L47" i="8"/>
  <c r="K47" i="8"/>
  <c r="R46" i="8"/>
  <c r="Q46" i="8"/>
  <c r="P46" i="8"/>
  <c r="O46" i="8"/>
  <c r="N46" i="8"/>
  <c r="M46" i="8"/>
  <c r="L46" i="8"/>
  <c r="K46" i="8"/>
  <c r="R45" i="8"/>
  <c r="Q45" i="8"/>
  <c r="P45" i="8"/>
  <c r="O45" i="8"/>
  <c r="N45" i="8"/>
  <c r="M45" i="8"/>
  <c r="L45" i="8"/>
  <c r="K45" i="8"/>
  <c r="R44" i="8"/>
  <c r="Q44" i="8"/>
  <c r="P44" i="8"/>
  <c r="O44" i="8"/>
  <c r="N44" i="8"/>
  <c r="M44" i="8"/>
  <c r="L44" i="8"/>
  <c r="K44" i="8"/>
  <c r="R43" i="8"/>
  <c r="Q43" i="8"/>
  <c r="P43" i="8"/>
  <c r="O43" i="8"/>
  <c r="N43" i="8"/>
  <c r="M43" i="8"/>
  <c r="L43" i="8"/>
  <c r="K43" i="8"/>
  <c r="R42" i="8"/>
  <c r="Q42" i="8"/>
  <c r="P42" i="8"/>
  <c r="O42" i="8"/>
  <c r="N42" i="8"/>
  <c r="M42" i="8"/>
  <c r="L42" i="8"/>
  <c r="K42" i="8"/>
  <c r="R41" i="8"/>
  <c r="Q41" i="8"/>
  <c r="P41" i="8"/>
  <c r="O41" i="8"/>
  <c r="N41" i="8"/>
  <c r="M41" i="8"/>
  <c r="L41" i="8"/>
  <c r="K41" i="8"/>
  <c r="R40" i="8"/>
  <c r="Q40" i="8"/>
  <c r="P40" i="8"/>
  <c r="O40" i="8"/>
  <c r="N40" i="8"/>
  <c r="M40" i="8"/>
  <c r="L40" i="8"/>
  <c r="K40" i="8"/>
  <c r="R39" i="8"/>
  <c r="Q39" i="8"/>
  <c r="P39" i="8"/>
  <c r="O39" i="8"/>
  <c r="N39" i="8"/>
  <c r="M39" i="8"/>
  <c r="L39" i="8"/>
  <c r="K39" i="8"/>
  <c r="R38" i="8"/>
  <c r="Q38" i="8"/>
  <c r="P38" i="8"/>
  <c r="O38" i="8"/>
  <c r="N38" i="8"/>
  <c r="M38" i="8"/>
  <c r="L38" i="8"/>
  <c r="K38" i="8"/>
  <c r="R37" i="8"/>
  <c r="Q37" i="8"/>
  <c r="P37" i="8"/>
  <c r="O37" i="8"/>
  <c r="N37" i="8"/>
  <c r="M37" i="8"/>
  <c r="L37" i="8"/>
  <c r="K37" i="8"/>
  <c r="R36" i="8"/>
  <c r="Q36" i="8"/>
  <c r="P36" i="8"/>
  <c r="O36" i="8"/>
  <c r="N36" i="8"/>
  <c r="M36" i="8"/>
  <c r="L36" i="8"/>
  <c r="K36" i="8"/>
  <c r="R35" i="8"/>
  <c r="Q35" i="8"/>
  <c r="P35" i="8"/>
  <c r="O35" i="8"/>
  <c r="N35" i="8"/>
  <c r="M35" i="8"/>
  <c r="L35" i="8"/>
  <c r="K35" i="8"/>
  <c r="R34" i="8"/>
  <c r="Q34" i="8"/>
  <c r="P34" i="8"/>
  <c r="O34" i="8"/>
  <c r="N34" i="8"/>
  <c r="M34" i="8"/>
  <c r="L34" i="8"/>
  <c r="K34" i="8"/>
  <c r="R33" i="8"/>
  <c r="Q33" i="8"/>
  <c r="P33" i="8"/>
  <c r="O33" i="8"/>
  <c r="N33" i="8"/>
  <c r="M33" i="8"/>
  <c r="L33" i="8"/>
  <c r="K33" i="8"/>
  <c r="R32" i="8"/>
  <c r="Q32" i="8"/>
  <c r="P32" i="8"/>
  <c r="O32" i="8"/>
  <c r="N32" i="8"/>
  <c r="M32" i="8"/>
  <c r="L32" i="8"/>
  <c r="K32" i="8"/>
  <c r="R31" i="8"/>
  <c r="Q31" i="8"/>
  <c r="P31" i="8"/>
  <c r="O31" i="8"/>
  <c r="N31" i="8"/>
  <c r="M31" i="8"/>
  <c r="L31" i="8"/>
  <c r="K31" i="8"/>
  <c r="R30" i="8"/>
  <c r="Q30" i="8"/>
  <c r="P30" i="8"/>
  <c r="O30" i="8"/>
  <c r="N30" i="8"/>
  <c r="M30" i="8"/>
  <c r="L30" i="8"/>
  <c r="K30" i="8"/>
  <c r="R29" i="8"/>
  <c r="Q29" i="8"/>
  <c r="P29" i="8"/>
  <c r="O29" i="8"/>
  <c r="N29" i="8"/>
  <c r="M29" i="8"/>
  <c r="L29" i="8"/>
  <c r="K29" i="8"/>
  <c r="R28" i="8"/>
  <c r="Q28" i="8"/>
  <c r="P28" i="8"/>
  <c r="O28" i="8"/>
  <c r="N28" i="8"/>
  <c r="M28" i="8"/>
  <c r="L28" i="8"/>
  <c r="K28" i="8"/>
  <c r="R27" i="8"/>
  <c r="Q27" i="8"/>
  <c r="P27" i="8"/>
  <c r="O27" i="8"/>
  <c r="N27" i="8"/>
  <c r="M27" i="8"/>
  <c r="L27" i="8"/>
  <c r="K27" i="8"/>
  <c r="R26" i="8"/>
  <c r="Q26" i="8"/>
  <c r="P26" i="8"/>
  <c r="O26" i="8"/>
  <c r="N26" i="8"/>
  <c r="M26" i="8"/>
  <c r="L26" i="8"/>
  <c r="K26" i="8"/>
  <c r="R25" i="8"/>
  <c r="Q25" i="8"/>
  <c r="P25" i="8"/>
  <c r="O25" i="8"/>
  <c r="N25" i="8"/>
  <c r="M25" i="8"/>
  <c r="L25" i="8"/>
  <c r="K25" i="8"/>
  <c r="R24" i="8"/>
  <c r="Q24" i="8"/>
  <c r="P24" i="8"/>
  <c r="O24" i="8"/>
  <c r="N24" i="8"/>
  <c r="M24" i="8"/>
  <c r="L24" i="8"/>
  <c r="K24" i="8"/>
  <c r="R23" i="8"/>
  <c r="Q23" i="8"/>
  <c r="P23" i="8"/>
  <c r="O23" i="8"/>
  <c r="N23" i="8"/>
  <c r="M23" i="8"/>
  <c r="L23" i="8"/>
  <c r="K23" i="8"/>
  <c r="R22" i="8"/>
  <c r="Q22" i="8"/>
  <c r="P22" i="8"/>
  <c r="O22" i="8"/>
  <c r="N22" i="8"/>
  <c r="M22" i="8"/>
  <c r="L22" i="8"/>
  <c r="K22" i="8"/>
  <c r="R21" i="8"/>
  <c r="Q21" i="8"/>
  <c r="P21" i="8"/>
  <c r="O21" i="8"/>
  <c r="N21" i="8"/>
  <c r="M21" i="8"/>
  <c r="L21" i="8"/>
  <c r="K21" i="8"/>
  <c r="R20" i="8"/>
  <c r="Q20" i="8"/>
  <c r="P20" i="8"/>
  <c r="O20" i="8"/>
  <c r="N20" i="8"/>
  <c r="M20" i="8"/>
  <c r="L20" i="8"/>
  <c r="K20" i="8"/>
  <c r="R19" i="8"/>
  <c r="Q19" i="8"/>
  <c r="P19" i="8"/>
  <c r="O19" i="8"/>
  <c r="N19" i="8"/>
  <c r="M19" i="8"/>
  <c r="L19" i="8"/>
  <c r="K19" i="8"/>
  <c r="R18" i="8"/>
  <c r="Q18" i="8"/>
  <c r="P18" i="8"/>
  <c r="O18" i="8"/>
  <c r="N18" i="8"/>
  <c r="M18" i="8"/>
  <c r="L18" i="8"/>
  <c r="K18" i="8"/>
  <c r="R17" i="8"/>
  <c r="Q17" i="8"/>
  <c r="P17" i="8"/>
  <c r="O17" i="8"/>
  <c r="N17" i="8"/>
  <c r="M17" i="8"/>
  <c r="L17" i="8"/>
  <c r="K17" i="8"/>
  <c r="R16" i="8"/>
  <c r="Q16" i="8"/>
  <c r="P16" i="8"/>
  <c r="O16" i="8"/>
  <c r="N16" i="8"/>
  <c r="M16" i="8"/>
  <c r="L16" i="8"/>
  <c r="K16" i="8"/>
  <c r="R15" i="8"/>
  <c r="Q15" i="8"/>
  <c r="P15" i="8"/>
  <c r="O15" i="8"/>
  <c r="N15" i="8"/>
  <c r="M15" i="8"/>
  <c r="L15" i="8"/>
  <c r="K15" i="8"/>
  <c r="R14" i="8"/>
  <c r="Q14" i="8"/>
  <c r="P14" i="8"/>
  <c r="O14" i="8"/>
  <c r="N14" i="8"/>
  <c r="M14" i="8"/>
  <c r="L14" i="8"/>
  <c r="K14" i="8"/>
  <c r="R13" i="8"/>
  <c r="Q13" i="8"/>
  <c r="P13" i="8"/>
  <c r="O13" i="8"/>
  <c r="N13" i="8"/>
  <c r="M13" i="8"/>
  <c r="L13" i="8"/>
  <c r="K13" i="8"/>
  <c r="R12" i="8"/>
  <c r="Q12" i="8"/>
  <c r="P12" i="8"/>
  <c r="O12" i="8"/>
  <c r="N12" i="8"/>
  <c r="M12" i="8"/>
  <c r="L12" i="8"/>
  <c r="K12" i="8"/>
  <c r="R11" i="8"/>
  <c r="Q11" i="8"/>
  <c r="P11" i="8"/>
  <c r="O11" i="8"/>
  <c r="N11" i="8"/>
  <c r="M11" i="8"/>
  <c r="L11" i="8"/>
  <c r="K11" i="8"/>
  <c r="R10" i="8"/>
  <c r="Q10" i="8"/>
  <c r="P10" i="8"/>
  <c r="O10" i="8"/>
  <c r="N10" i="8"/>
  <c r="M10" i="8"/>
  <c r="L10" i="8"/>
  <c r="K10" i="8"/>
  <c r="R9" i="8"/>
  <c r="Q9" i="8"/>
  <c r="P9" i="8"/>
  <c r="O9" i="8"/>
  <c r="N9" i="8"/>
  <c r="M9" i="8"/>
  <c r="L9" i="8"/>
  <c r="K9" i="8"/>
  <c r="R8" i="8"/>
  <c r="Q8" i="8"/>
  <c r="P8" i="8"/>
  <c r="O8" i="8"/>
  <c r="N8" i="8"/>
  <c r="M8" i="8"/>
  <c r="L8" i="8"/>
  <c r="K8" i="8"/>
  <c r="R6" i="8"/>
  <c r="Q6" i="8"/>
  <c r="P6" i="8"/>
  <c r="O6" i="8"/>
  <c r="N6" i="8"/>
  <c r="M6" i="8"/>
  <c r="L6" i="8"/>
  <c r="K6" i="8"/>
  <c r="R5" i="8"/>
  <c r="Q5" i="8"/>
  <c r="P5" i="8"/>
  <c r="O5" i="8"/>
  <c r="N5" i="8"/>
  <c r="M5" i="8"/>
  <c r="L5" i="8"/>
  <c r="K5" i="8"/>
  <c r="N4" i="8"/>
  <c r="M4" i="8"/>
  <c r="L4" i="8"/>
  <c r="K4" i="8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92" i="14" l="1"/>
  <c r="F194" i="14"/>
  <c r="F189" i="14"/>
  <c r="F181" i="14"/>
  <c r="F179" i="14"/>
  <c r="F183" i="14"/>
  <c r="F188" i="14"/>
  <c r="F182" i="14"/>
  <c r="F203" i="14"/>
  <c r="F175" i="14"/>
  <c r="F177" i="14"/>
  <c r="F197" i="14"/>
  <c r="F190" i="14"/>
  <c r="F196" i="14"/>
  <c r="F185" i="14"/>
  <c r="F202" i="14"/>
  <c r="F193" i="14"/>
  <c r="F186" i="14"/>
  <c r="F199" i="14"/>
  <c r="F176" i="14"/>
  <c r="F178" i="14"/>
  <c r="G8" i="2"/>
  <c r="H7" i="8"/>
  <c r="C7" i="8" s="1"/>
  <c r="S7" i="8"/>
  <c r="W7" i="8"/>
  <c r="AJ169" i="14"/>
  <c r="D8" i="2"/>
  <c r="S9" i="8"/>
  <c r="S11" i="8"/>
  <c r="S13" i="8"/>
  <c r="S15" i="8"/>
  <c r="S17" i="8"/>
  <c r="S25" i="8"/>
  <c r="S27" i="8"/>
  <c r="S29" i="8"/>
  <c r="S31" i="8"/>
  <c r="S33" i="8"/>
  <c r="S41" i="8"/>
  <c r="S43" i="8"/>
  <c r="S45" i="8"/>
  <c r="S47" i="8"/>
  <c r="S49" i="8"/>
  <c r="S6" i="8"/>
  <c r="S21" i="8"/>
  <c r="S35" i="8"/>
  <c r="S39" i="8"/>
  <c r="S8" i="8"/>
  <c r="S12" i="8"/>
  <c r="S16" i="8"/>
  <c r="S20" i="8"/>
  <c r="S26" i="8"/>
  <c r="S30" i="8"/>
  <c r="S34" i="8"/>
  <c r="S42" i="8"/>
  <c r="S44" i="8"/>
  <c r="S46" i="8"/>
  <c r="S50" i="8"/>
  <c r="S24" i="8"/>
  <c r="S36" i="8"/>
  <c r="S38" i="8"/>
  <c r="S40" i="8"/>
  <c r="S4" i="8"/>
  <c r="S19" i="8"/>
  <c r="S23" i="8"/>
  <c r="S37" i="8"/>
  <c r="S51" i="8"/>
  <c r="S5" i="8"/>
  <c r="S10" i="8"/>
  <c r="S14" i="8"/>
  <c r="S18" i="8"/>
  <c r="S22" i="8"/>
  <c r="S28" i="8"/>
  <c r="S32" i="8"/>
  <c r="S48" i="8"/>
  <c r="Z116" i="8"/>
  <c r="Z115" i="8"/>
  <c r="Z114" i="8"/>
  <c r="Z113" i="8"/>
  <c r="Z112" i="8"/>
  <c r="Z111" i="8"/>
  <c r="Z110" i="8"/>
  <c r="Z109" i="8"/>
  <c r="Z108" i="8"/>
  <c r="Z107" i="8"/>
  <c r="Z106" i="8"/>
  <c r="Z105" i="8"/>
  <c r="Z104" i="8"/>
  <c r="Z103" i="8"/>
  <c r="Z102" i="8"/>
  <c r="Z101" i="8"/>
  <c r="Z100" i="8"/>
  <c r="Z99" i="8"/>
  <c r="Z98" i="8"/>
  <c r="Z97" i="8"/>
  <c r="Z96" i="8"/>
  <c r="Z95" i="8"/>
  <c r="Z94" i="8"/>
  <c r="Z93" i="8"/>
  <c r="Z92" i="8"/>
  <c r="Z91" i="8"/>
  <c r="Z90" i="8"/>
  <c r="Z89" i="8"/>
  <c r="Z88" i="8"/>
  <c r="Z87" i="8"/>
  <c r="Z86" i="8"/>
  <c r="Z85" i="8"/>
  <c r="Z84" i="8"/>
  <c r="Z83" i="8"/>
  <c r="Z82" i="8"/>
  <c r="Z81" i="8"/>
  <c r="Z80" i="8"/>
  <c r="Z79" i="8"/>
  <c r="Z78" i="8"/>
  <c r="Z77" i="8"/>
  <c r="Z76" i="8"/>
  <c r="Z75" i="8"/>
  <c r="Z74" i="8"/>
  <c r="Z73" i="8"/>
  <c r="Z72" i="8"/>
  <c r="Z71" i="8"/>
  <c r="Z70" i="8"/>
  <c r="Z69" i="8"/>
  <c r="Z68" i="8"/>
  <c r="Z67" i="8"/>
  <c r="Z66" i="8"/>
  <c r="Z65" i="8"/>
  <c r="Z64" i="8"/>
  <c r="Z63" i="8"/>
  <c r="Z62" i="8"/>
  <c r="Z61" i="8"/>
  <c r="Z60" i="8"/>
  <c r="Z59" i="8"/>
  <c r="Z58" i="8"/>
  <c r="Z57" i="8"/>
  <c r="Z56" i="8"/>
  <c r="Z55" i="8"/>
  <c r="Z54" i="8"/>
  <c r="Z53" i="8"/>
  <c r="Z52" i="8"/>
  <c r="Z34" i="8"/>
  <c r="D34" i="8" s="1"/>
  <c r="L1345" i="7"/>
  <c r="K1345" i="7"/>
  <c r="I1345" i="7"/>
  <c r="L1344" i="7"/>
  <c r="K1344" i="7"/>
  <c r="I1344" i="7"/>
  <c r="L1343" i="7"/>
  <c r="K1343" i="7"/>
  <c r="I1343" i="7"/>
  <c r="L1342" i="7"/>
  <c r="K1342" i="7"/>
  <c r="I1342" i="7"/>
  <c r="L1341" i="7"/>
  <c r="K1341" i="7"/>
  <c r="I1341" i="7"/>
  <c r="L1340" i="7"/>
  <c r="K1340" i="7"/>
  <c r="I1340" i="7"/>
  <c r="L1339" i="7"/>
  <c r="K1339" i="7"/>
  <c r="I1339" i="7"/>
  <c r="L1338" i="7"/>
  <c r="K1338" i="7"/>
  <c r="I1338" i="7"/>
  <c r="L1337" i="7"/>
  <c r="K1337" i="7"/>
  <c r="I1337" i="7"/>
  <c r="L1336" i="7"/>
  <c r="K1336" i="7"/>
  <c r="I1336" i="7"/>
  <c r="L1335" i="7"/>
  <c r="K1335" i="7"/>
  <c r="I1335" i="7"/>
  <c r="L1334" i="7"/>
  <c r="K1334" i="7"/>
  <c r="I1334" i="7"/>
  <c r="L1333" i="7"/>
  <c r="K1333" i="7"/>
  <c r="I1333" i="7"/>
  <c r="L1332" i="7"/>
  <c r="K1332" i="7"/>
  <c r="I1332" i="7"/>
  <c r="L1331" i="7"/>
  <c r="K1331" i="7"/>
  <c r="I1331" i="7"/>
  <c r="L1330" i="7"/>
  <c r="K1330" i="7"/>
  <c r="I1330" i="7"/>
  <c r="L1329" i="7"/>
  <c r="K1329" i="7"/>
  <c r="I1329" i="7"/>
  <c r="L1328" i="7"/>
  <c r="K1328" i="7"/>
  <c r="I1328" i="7"/>
  <c r="L1327" i="7"/>
  <c r="K1327" i="7"/>
  <c r="I1327" i="7"/>
  <c r="L1326" i="7"/>
  <c r="K1326" i="7"/>
  <c r="I1326" i="7"/>
  <c r="L1325" i="7"/>
  <c r="K1325" i="7"/>
  <c r="I1325" i="7"/>
  <c r="L1324" i="7"/>
  <c r="K1324" i="7"/>
  <c r="I1324" i="7"/>
  <c r="L1323" i="7"/>
  <c r="K1323" i="7"/>
  <c r="I1323" i="7"/>
  <c r="L1322" i="7"/>
  <c r="K1322" i="7"/>
  <c r="I1322" i="7"/>
  <c r="L1321" i="7"/>
  <c r="K1321" i="7"/>
  <c r="I1321" i="7"/>
  <c r="L1320" i="7"/>
  <c r="K1320" i="7"/>
  <c r="I1320" i="7"/>
  <c r="L1319" i="7"/>
  <c r="K1319" i="7"/>
  <c r="I1319" i="7"/>
  <c r="L1318" i="7"/>
  <c r="K1318" i="7"/>
  <c r="I1318" i="7"/>
  <c r="L1317" i="7"/>
  <c r="K1317" i="7"/>
  <c r="I1317" i="7"/>
  <c r="L1316" i="7"/>
  <c r="K1316" i="7"/>
  <c r="I1316" i="7"/>
  <c r="L1315" i="7"/>
  <c r="K1315" i="7"/>
  <c r="I1315" i="7"/>
  <c r="L1314" i="7"/>
  <c r="K1314" i="7"/>
  <c r="I1314" i="7"/>
  <c r="L1313" i="7"/>
  <c r="K1313" i="7"/>
  <c r="I1313" i="7"/>
  <c r="L1312" i="7"/>
  <c r="K1312" i="7"/>
  <c r="I1312" i="7"/>
  <c r="L1311" i="7"/>
  <c r="K1311" i="7"/>
  <c r="I1311" i="7"/>
  <c r="L1310" i="7"/>
  <c r="K1310" i="7"/>
  <c r="I1310" i="7"/>
  <c r="L1309" i="7"/>
  <c r="K1309" i="7"/>
  <c r="I1309" i="7"/>
  <c r="L1308" i="7"/>
  <c r="K1308" i="7"/>
  <c r="I1308" i="7"/>
  <c r="L1307" i="7"/>
  <c r="K1307" i="7"/>
  <c r="I1307" i="7"/>
  <c r="L1306" i="7"/>
  <c r="K1306" i="7"/>
  <c r="I1306" i="7"/>
  <c r="L1305" i="7"/>
  <c r="K1305" i="7"/>
  <c r="I1305" i="7"/>
  <c r="L1304" i="7"/>
  <c r="K1304" i="7"/>
  <c r="I1304" i="7"/>
  <c r="L1303" i="7"/>
  <c r="K1303" i="7"/>
  <c r="I1303" i="7"/>
  <c r="L1302" i="7"/>
  <c r="K1302" i="7"/>
  <c r="I1302" i="7"/>
  <c r="L1301" i="7"/>
  <c r="K1301" i="7"/>
  <c r="I1301" i="7"/>
  <c r="L1300" i="7"/>
  <c r="K1300" i="7"/>
  <c r="I1300" i="7"/>
  <c r="L1299" i="7"/>
  <c r="K1299" i="7"/>
  <c r="I1299" i="7"/>
  <c r="L1298" i="7"/>
  <c r="K1298" i="7"/>
  <c r="I1298" i="7"/>
  <c r="L1297" i="7"/>
  <c r="K1297" i="7"/>
  <c r="I1297" i="7"/>
  <c r="L1296" i="7"/>
  <c r="K1296" i="7"/>
  <c r="I1296" i="7"/>
  <c r="L1295" i="7"/>
  <c r="K1295" i="7"/>
  <c r="I1295" i="7"/>
  <c r="L1294" i="7"/>
  <c r="K1294" i="7"/>
  <c r="I1294" i="7"/>
  <c r="L1293" i="7"/>
  <c r="K1293" i="7"/>
  <c r="I1293" i="7"/>
  <c r="L1292" i="7"/>
  <c r="K1292" i="7"/>
  <c r="I1292" i="7"/>
  <c r="L1291" i="7"/>
  <c r="K1291" i="7"/>
  <c r="I1291" i="7"/>
  <c r="L1290" i="7"/>
  <c r="K1290" i="7"/>
  <c r="I1290" i="7"/>
  <c r="L1289" i="7"/>
  <c r="K1289" i="7"/>
  <c r="I1289" i="7"/>
  <c r="L1288" i="7"/>
  <c r="K1288" i="7"/>
  <c r="I1288" i="7"/>
  <c r="L1287" i="7"/>
  <c r="K1287" i="7"/>
  <c r="I1287" i="7"/>
  <c r="L1286" i="7"/>
  <c r="K1286" i="7"/>
  <c r="I1286" i="7"/>
  <c r="L1285" i="7"/>
  <c r="K1285" i="7"/>
  <c r="I1285" i="7"/>
  <c r="L1284" i="7"/>
  <c r="K1284" i="7"/>
  <c r="I1284" i="7"/>
  <c r="L1283" i="7"/>
  <c r="K1283" i="7"/>
  <c r="I1283" i="7"/>
  <c r="L1282" i="7"/>
  <c r="K1282" i="7"/>
  <c r="I1282" i="7"/>
  <c r="L1281" i="7"/>
  <c r="K1281" i="7"/>
  <c r="I1281" i="7"/>
  <c r="L1280" i="7"/>
  <c r="K1280" i="7"/>
  <c r="I1280" i="7"/>
  <c r="L1279" i="7"/>
  <c r="K1279" i="7"/>
  <c r="I1279" i="7"/>
  <c r="L1278" i="7"/>
  <c r="K1278" i="7"/>
  <c r="I1278" i="7"/>
  <c r="L1277" i="7"/>
  <c r="K1277" i="7"/>
  <c r="I1277" i="7"/>
  <c r="L1276" i="7"/>
  <c r="K1276" i="7"/>
  <c r="I1276" i="7"/>
  <c r="L1275" i="7"/>
  <c r="K1275" i="7"/>
  <c r="I1275" i="7"/>
  <c r="L1274" i="7"/>
  <c r="K1274" i="7"/>
  <c r="I1274" i="7"/>
  <c r="L1273" i="7"/>
  <c r="K1273" i="7"/>
  <c r="I1273" i="7"/>
  <c r="L1272" i="7"/>
  <c r="K1272" i="7"/>
  <c r="I1272" i="7"/>
  <c r="L1271" i="7"/>
  <c r="K1271" i="7"/>
  <c r="I1271" i="7"/>
  <c r="L1270" i="7"/>
  <c r="K1270" i="7"/>
  <c r="I1270" i="7"/>
  <c r="L1269" i="7"/>
  <c r="K1269" i="7"/>
  <c r="I1269" i="7"/>
  <c r="L1268" i="7"/>
  <c r="K1268" i="7"/>
  <c r="I1268" i="7"/>
  <c r="L1267" i="7"/>
  <c r="K1267" i="7"/>
  <c r="I1267" i="7"/>
  <c r="L1266" i="7"/>
  <c r="K1266" i="7"/>
  <c r="I1266" i="7"/>
  <c r="L1265" i="7"/>
  <c r="K1265" i="7"/>
  <c r="I1265" i="7"/>
  <c r="L1264" i="7"/>
  <c r="K1264" i="7"/>
  <c r="I1264" i="7"/>
  <c r="L1263" i="7"/>
  <c r="K1263" i="7"/>
  <c r="I1263" i="7"/>
  <c r="L1262" i="7"/>
  <c r="K1262" i="7"/>
  <c r="I1262" i="7"/>
  <c r="L1261" i="7"/>
  <c r="K1261" i="7"/>
  <c r="I1261" i="7"/>
  <c r="L1260" i="7"/>
  <c r="K1260" i="7"/>
  <c r="I1260" i="7"/>
  <c r="L1259" i="7"/>
  <c r="K1259" i="7"/>
  <c r="I1259" i="7"/>
  <c r="L1258" i="7"/>
  <c r="K1258" i="7"/>
  <c r="I1258" i="7"/>
  <c r="L1257" i="7"/>
  <c r="K1257" i="7"/>
  <c r="I1257" i="7"/>
  <c r="L1256" i="7"/>
  <c r="K1256" i="7"/>
  <c r="I1256" i="7"/>
  <c r="L1255" i="7"/>
  <c r="K1255" i="7"/>
  <c r="I1255" i="7"/>
  <c r="L1254" i="7"/>
  <c r="K1254" i="7"/>
  <c r="I1254" i="7"/>
  <c r="L1253" i="7"/>
  <c r="K1253" i="7"/>
  <c r="I1253" i="7"/>
  <c r="L1252" i="7"/>
  <c r="K1252" i="7"/>
  <c r="I1252" i="7"/>
  <c r="L1251" i="7"/>
  <c r="K1251" i="7"/>
  <c r="I1251" i="7"/>
  <c r="L1250" i="7"/>
  <c r="K1250" i="7"/>
  <c r="I1250" i="7"/>
  <c r="L1249" i="7"/>
  <c r="K1249" i="7"/>
  <c r="I1249" i="7"/>
  <c r="L1248" i="7"/>
  <c r="K1248" i="7"/>
  <c r="I1248" i="7"/>
  <c r="L1247" i="7"/>
  <c r="K1247" i="7"/>
  <c r="I1247" i="7"/>
  <c r="L1246" i="7"/>
  <c r="K1246" i="7"/>
  <c r="I1246" i="7"/>
  <c r="L1245" i="7"/>
  <c r="K1245" i="7"/>
  <c r="I1245" i="7"/>
  <c r="L1244" i="7"/>
  <c r="K1244" i="7"/>
  <c r="I1244" i="7"/>
  <c r="L1243" i="7"/>
  <c r="K1243" i="7"/>
  <c r="I1243" i="7"/>
  <c r="L1242" i="7"/>
  <c r="K1242" i="7"/>
  <c r="I1242" i="7"/>
  <c r="L1241" i="7"/>
  <c r="K1241" i="7"/>
  <c r="I1241" i="7"/>
  <c r="L1240" i="7"/>
  <c r="K1240" i="7"/>
  <c r="I1240" i="7"/>
  <c r="L1239" i="7"/>
  <c r="K1239" i="7"/>
  <c r="I1239" i="7"/>
  <c r="L1238" i="7"/>
  <c r="K1238" i="7"/>
  <c r="I1238" i="7"/>
  <c r="L1237" i="7"/>
  <c r="K1237" i="7"/>
  <c r="I1237" i="7"/>
  <c r="L1236" i="7"/>
  <c r="K1236" i="7"/>
  <c r="I1236" i="7"/>
  <c r="L1235" i="7"/>
  <c r="K1235" i="7"/>
  <c r="I1235" i="7"/>
  <c r="L1234" i="7"/>
  <c r="K1234" i="7"/>
  <c r="I1234" i="7"/>
  <c r="L1233" i="7"/>
  <c r="K1233" i="7"/>
  <c r="I1233" i="7"/>
  <c r="L1232" i="7"/>
  <c r="K1232" i="7"/>
  <c r="I1232" i="7"/>
  <c r="L1231" i="7"/>
  <c r="K1231" i="7"/>
  <c r="I1231" i="7"/>
  <c r="L1230" i="7"/>
  <c r="K1230" i="7"/>
  <c r="I1230" i="7"/>
  <c r="L1229" i="7"/>
  <c r="K1229" i="7"/>
  <c r="I1229" i="7"/>
  <c r="L1228" i="7"/>
  <c r="K1228" i="7"/>
  <c r="I1228" i="7"/>
  <c r="L1227" i="7"/>
  <c r="K1227" i="7"/>
  <c r="I1227" i="7"/>
  <c r="L1226" i="7"/>
  <c r="K1226" i="7"/>
  <c r="I1226" i="7"/>
  <c r="L1225" i="7"/>
  <c r="K1225" i="7"/>
  <c r="I1225" i="7"/>
  <c r="L1224" i="7"/>
  <c r="K1224" i="7"/>
  <c r="I1224" i="7"/>
  <c r="L1223" i="7"/>
  <c r="K1223" i="7"/>
  <c r="I1223" i="7"/>
  <c r="L1222" i="7"/>
  <c r="K1222" i="7"/>
  <c r="I1222" i="7"/>
  <c r="L1221" i="7"/>
  <c r="K1221" i="7"/>
  <c r="I1221" i="7"/>
  <c r="L1220" i="7"/>
  <c r="K1220" i="7"/>
  <c r="I1220" i="7"/>
  <c r="L1219" i="7"/>
  <c r="K1219" i="7"/>
  <c r="I1219" i="7"/>
  <c r="L1218" i="7"/>
  <c r="K1218" i="7"/>
  <c r="I1218" i="7"/>
  <c r="L1217" i="7"/>
  <c r="K1217" i="7"/>
  <c r="I1217" i="7"/>
  <c r="L1216" i="7"/>
  <c r="K1216" i="7"/>
  <c r="I1216" i="7"/>
  <c r="L1215" i="7"/>
  <c r="K1215" i="7"/>
  <c r="I1215" i="7"/>
  <c r="L1214" i="7"/>
  <c r="K1214" i="7"/>
  <c r="I1214" i="7"/>
  <c r="L1213" i="7"/>
  <c r="K1213" i="7"/>
  <c r="I1213" i="7"/>
  <c r="L1212" i="7"/>
  <c r="K1212" i="7"/>
  <c r="I1212" i="7"/>
  <c r="L1211" i="7"/>
  <c r="K1211" i="7"/>
  <c r="I1211" i="7"/>
  <c r="L1210" i="7"/>
  <c r="K1210" i="7"/>
  <c r="I1210" i="7"/>
  <c r="L1209" i="7"/>
  <c r="K1209" i="7"/>
  <c r="I1209" i="7"/>
  <c r="L1208" i="7"/>
  <c r="K1208" i="7"/>
  <c r="I1208" i="7"/>
  <c r="L1207" i="7"/>
  <c r="K1207" i="7"/>
  <c r="I1207" i="7"/>
  <c r="L1206" i="7"/>
  <c r="K1206" i="7"/>
  <c r="I1206" i="7"/>
  <c r="L1205" i="7"/>
  <c r="K1205" i="7"/>
  <c r="I1205" i="7"/>
  <c r="L1204" i="7"/>
  <c r="K1204" i="7"/>
  <c r="I1204" i="7"/>
  <c r="L1203" i="7"/>
  <c r="K1203" i="7"/>
  <c r="I1203" i="7"/>
  <c r="L1202" i="7"/>
  <c r="K1202" i="7"/>
  <c r="I1202" i="7"/>
  <c r="L1201" i="7"/>
  <c r="K1201" i="7"/>
  <c r="I1201" i="7"/>
  <c r="L1200" i="7"/>
  <c r="K1200" i="7"/>
  <c r="I1200" i="7"/>
  <c r="L1199" i="7"/>
  <c r="K1199" i="7"/>
  <c r="I1199" i="7"/>
  <c r="L1198" i="7"/>
  <c r="K1198" i="7"/>
  <c r="I1198" i="7"/>
  <c r="L1197" i="7"/>
  <c r="K1197" i="7"/>
  <c r="I1197" i="7"/>
  <c r="L1196" i="7"/>
  <c r="K1196" i="7"/>
  <c r="I1196" i="7"/>
  <c r="L1195" i="7"/>
  <c r="K1195" i="7"/>
  <c r="I1195" i="7"/>
  <c r="L1194" i="7"/>
  <c r="K1194" i="7"/>
  <c r="I1194" i="7"/>
  <c r="L1193" i="7"/>
  <c r="K1193" i="7"/>
  <c r="I1193" i="7"/>
  <c r="L1192" i="7"/>
  <c r="K1192" i="7"/>
  <c r="I1192" i="7"/>
  <c r="L1191" i="7"/>
  <c r="K1191" i="7"/>
  <c r="I1191" i="7"/>
  <c r="L1190" i="7"/>
  <c r="K1190" i="7"/>
  <c r="I1190" i="7"/>
  <c r="L1189" i="7"/>
  <c r="K1189" i="7"/>
  <c r="I1189" i="7"/>
  <c r="L1188" i="7"/>
  <c r="K1188" i="7"/>
  <c r="I1188" i="7"/>
  <c r="L1187" i="7"/>
  <c r="K1187" i="7"/>
  <c r="I1187" i="7"/>
  <c r="L1186" i="7"/>
  <c r="K1186" i="7"/>
  <c r="I1186" i="7"/>
  <c r="L1185" i="7"/>
  <c r="K1185" i="7"/>
  <c r="I1185" i="7"/>
  <c r="L1184" i="7"/>
  <c r="K1184" i="7"/>
  <c r="I1184" i="7"/>
  <c r="L1183" i="7"/>
  <c r="K1183" i="7"/>
  <c r="I1183" i="7"/>
  <c r="L1182" i="7"/>
  <c r="K1182" i="7"/>
  <c r="I1182" i="7"/>
  <c r="L1181" i="7"/>
  <c r="K1181" i="7"/>
  <c r="I1181" i="7"/>
  <c r="L1180" i="7"/>
  <c r="K1180" i="7"/>
  <c r="I1180" i="7"/>
  <c r="L1179" i="7"/>
  <c r="K1179" i="7"/>
  <c r="I1179" i="7"/>
  <c r="L1178" i="7"/>
  <c r="K1178" i="7"/>
  <c r="I1178" i="7"/>
  <c r="L1177" i="7"/>
  <c r="K1177" i="7"/>
  <c r="I1177" i="7"/>
  <c r="L1176" i="7"/>
  <c r="K1176" i="7"/>
  <c r="I1176" i="7"/>
  <c r="L1175" i="7"/>
  <c r="K1175" i="7"/>
  <c r="I1175" i="7"/>
  <c r="L1174" i="7"/>
  <c r="K1174" i="7"/>
  <c r="I1174" i="7"/>
  <c r="L1173" i="7"/>
  <c r="K1173" i="7"/>
  <c r="I1173" i="7"/>
  <c r="L1172" i="7"/>
  <c r="K1172" i="7"/>
  <c r="I1172" i="7"/>
  <c r="L1171" i="7"/>
  <c r="K1171" i="7"/>
  <c r="I1171" i="7"/>
  <c r="L1170" i="7"/>
  <c r="K1170" i="7"/>
  <c r="I1170" i="7"/>
  <c r="L1169" i="7"/>
  <c r="K1169" i="7"/>
  <c r="I1169" i="7"/>
  <c r="L1168" i="7"/>
  <c r="K1168" i="7"/>
  <c r="I1168" i="7"/>
  <c r="L1167" i="7"/>
  <c r="K1167" i="7"/>
  <c r="I1167" i="7"/>
  <c r="L1166" i="7"/>
  <c r="K1166" i="7"/>
  <c r="I1166" i="7"/>
  <c r="L1165" i="7"/>
  <c r="K1165" i="7"/>
  <c r="I1165" i="7"/>
  <c r="L1164" i="7"/>
  <c r="K1164" i="7"/>
  <c r="I1164" i="7"/>
  <c r="L1163" i="7"/>
  <c r="K1163" i="7"/>
  <c r="I1163" i="7"/>
  <c r="L1162" i="7"/>
  <c r="K1162" i="7"/>
  <c r="I1162" i="7"/>
  <c r="L1161" i="7"/>
  <c r="K1161" i="7"/>
  <c r="I1161" i="7"/>
  <c r="L1160" i="7"/>
  <c r="K1160" i="7"/>
  <c r="I1160" i="7"/>
  <c r="L1159" i="7"/>
  <c r="K1159" i="7"/>
  <c r="I1159" i="7"/>
  <c r="L1158" i="7"/>
  <c r="K1158" i="7"/>
  <c r="I1158" i="7"/>
  <c r="L1157" i="7"/>
  <c r="K1157" i="7"/>
  <c r="I1157" i="7"/>
  <c r="L1156" i="7"/>
  <c r="K1156" i="7"/>
  <c r="I1156" i="7"/>
  <c r="L1155" i="7"/>
  <c r="K1155" i="7"/>
  <c r="I1155" i="7"/>
  <c r="L1154" i="7"/>
  <c r="K1154" i="7"/>
  <c r="I1154" i="7"/>
  <c r="L1153" i="7"/>
  <c r="K1153" i="7"/>
  <c r="I1153" i="7"/>
  <c r="L1152" i="7"/>
  <c r="K1152" i="7"/>
  <c r="I1152" i="7"/>
  <c r="L1151" i="7"/>
  <c r="K1151" i="7"/>
  <c r="I1151" i="7"/>
  <c r="L1150" i="7"/>
  <c r="K1150" i="7"/>
  <c r="I1150" i="7"/>
  <c r="L1149" i="7"/>
  <c r="K1149" i="7"/>
  <c r="I1149" i="7"/>
  <c r="L1148" i="7"/>
  <c r="K1148" i="7"/>
  <c r="I1148" i="7"/>
  <c r="L1147" i="7"/>
  <c r="K1147" i="7"/>
  <c r="I1147" i="7"/>
  <c r="L1146" i="7"/>
  <c r="K1146" i="7"/>
  <c r="I1146" i="7"/>
  <c r="L1145" i="7"/>
  <c r="K1145" i="7"/>
  <c r="I1145" i="7"/>
  <c r="L1144" i="7"/>
  <c r="K1144" i="7"/>
  <c r="I1144" i="7"/>
  <c r="L1143" i="7"/>
  <c r="K1143" i="7"/>
  <c r="I1143" i="7"/>
  <c r="L1142" i="7"/>
  <c r="K1142" i="7"/>
  <c r="I1142" i="7"/>
  <c r="L1141" i="7"/>
  <c r="K1141" i="7"/>
  <c r="I1141" i="7"/>
  <c r="L1140" i="7"/>
  <c r="K1140" i="7"/>
  <c r="I1140" i="7"/>
  <c r="L1139" i="7"/>
  <c r="K1139" i="7"/>
  <c r="I1139" i="7"/>
  <c r="L1138" i="7"/>
  <c r="K1138" i="7"/>
  <c r="I1138" i="7"/>
  <c r="L1137" i="7"/>
  <c r="K1137" i="7"/>
  <c r="I1137" i="7"/>
  <c r="L1136" i="7"/>
  <c r="K1136" i="7"/>
  <c r="I1136" i="7"/>
  <c r="L1135" i="7"/>
  <c r="K1135" i="7"/>
  <c r="I1135" i="7"/>
  <c r="L1134" i="7"/>
  <c r="K1134" i="7"/>
  <c r="I1134" i="7"/>
  <c r="L1133" i="7"/>
  <c r="K1133" i="7"/>
  <c r="I1133" i="7"/>
  <c r="L1132" i="7"/>
  <c r="K1132" i="7"/>
  <c r="I1132" i="7"/>
  <c r="L1131" i="7"/>
  <c r="K1131" i="7"/>
  <c r="I1131" i="7"/>
  <c r="L1130" i="7"/>
  <c r="K1130" i="7"/>
  <c r="I1130" i="7"/>
  <c r="L1129" i="7"/>
  <c r="K1129" i="7"/>
  <c r="I1129" i="7"/>
  <c r="L1128" i="7"/>
  <c r="K1128" i="7"/>
  <c r="I1128" i="7"/>
  <c r="L1127" i="7"/>
  <c r="K1127" i="7"/>
  <c r="I1127" i="7"/>
  <c r="L1126" i="7"/>
  <c r="K1126" i="7"/>
  <c r="I1126" i="7"/>
  <c r="L1125" i="7"/>
  <c r="K1125" i="7"/>
  <c r="I1125" i="7"/>
  <c r="L1124" i="7"/>
  <c r="K1124" i="7"/>
  <c r="I1124" i="7"/>
  <c r="L1123" i="7"/>
  <c r="K1123" i="7"/>
  <c r="I1123" i="7"/>
  <c r="L1122" i="7"/>
  <c r="K1122" i="7"/>
  <c r="I1122" i="7"/>
  <c r="L1121" i="7"/>
  <c r="K1121" i="7"/>
  <c r="I1121" i="7"/>
  <c r="L1120" i="7"/>
  <c r="K1120" i="7"/>
  <c r="I1120" i="7"/>
  <c r="L1119" i="7"/>
  <c r="K1119" i="7"/>
  <c r="I1119" i="7"/>
  <c r="L1118" i="7"/>
  <c r="K1118" i="7"/>
  <c r="I1118" i="7"/>
  <c r="L1117" i="7"/>
  <c r="K1117" i="7"/>
  <c r="I1117" i="7"/>
  <c r="L1116" i="7"/>
  <c r="K1116" i="7"/>
  <c r="I1116" i="7"/>
  <c r="L1115" i="7"/>
  <c r="K1115" i="7"/>
  <c r="I1115" i="7"/>
  <c r="L1114" i="7"/>
  <c r="K1114" i="7"/>
  <c r="I1114" i="7"/>
  <c r="L1113" i="7"/>
  <c r="K1113" i="7"/>
  <c r="I1113" i="7"/>
  <c r="L1112" i="7"/>
  <c r="K1112" i="7"/>
  <c r="I1112" i="7"/>
  <c r="L1111" i="7"/>
  <c r="K1111" i="7"/>
  <c r="I1111" i="7"/>
  <c r="L1110" i="7"/>
  <c r="K1110" i="7"/>
  <c r="I1110" i="7"/>
  <c r="L1109" i="7"/>
  <c r="K1109" i="7"/>
  <c r="I1109" i="7"/>
  <c r="L1108" i="7"/>
  <c r="K1108" i="7"/>
  <c r="I1108" i="7"/>
  <c r="L1107" i="7"/>
  <c r="K1107" i="7"/>
  <c r="I1107" i="7"/>
  <c r="L1106" i="7"/>
  <c r="K1106" i="7"/>
  <c r="I1106" i="7"/>
  <c r="L1105" i="7"/>
  <c r="K1105" i="7"/>
  <c r="I1105" i="7"/>
  <c r="L1104" i="7"/>
  <c r="K1104" i="7"/>
  <c r="I1104" i="7"/>
  <c r="L1103" i="7"/>
  <c r="K1103" i="7"/>
  <c r="I1103" i="7"/>
  <c r="L1102" i="7"/>
  <c r="K1102" i="7"/>
  <c r="I1102" i="7"/>
  <c r="L1101" i="7"/>
  <c r="K1101" i="7"/>
  <c r="I1101" i="7"/>
  <c r="L1100" i="7"/>
  <c r="K1100" i="7"/>
  <c r="I1100" i="7"/>
  <c r="L1099" i="7"/>
  <c r="K1099" i="7"/>
  <c r="I1099" i="7"/>
  <c r="L1098" i="7"/>
  <c r="K1098" i="7"/>
  <c r="I1098" i="7"/>
  <c r="L1097" i="7"/>
  <c r="K1097" i="7"/>
  <c r="I1097" i="7"/>
  <c r="L1096" i="7"/>
  <c r="K1096" i="7"/>
  <c r="I1096" i="7"/>
  <c r="L1095" i="7"/>
  <c r="K1095" i="7"/>
  <c r="I1095" i="7"/>
  <c r="L1094" i="7"/>
  <c r="K1094" i="7"/>
  <c r="I1094" i="7"/>
  <c r="L1093" i="7"/>
  <c r="K1093" i="7"/>
  <c r="I1093" i="7"/>
  <c r="L1092" i="7"/>
  <c r="K1092" i="7"/>
  <c r="I1092" i="7"/>
  <c r="L1091" i="7"/>
  <c r="K1091" i="7"/>
  <c r="I1091" i="7"/>
  <c r="L1090" i="7"/>
  <c r="K1090" i="7"/>
  <c r="I1090" i="7"/>
  <c r="L1089" i="7"/>
  <c r="K1089" i="7"/>
  <c r="I1089" i="7"/>
  <c r="L1088" i="7"/>
  <c r="K1088" i="7"/>
  <c r="I1088" i="7"/>
  <c r="L1087" i="7"/>
  <c r="K1087" i="7"/>
  <c r="I1087" i="7"/>
  <c r="L1086" i="7"/>
  <c r="K1086" i="7"/>
  <c r="I1086" i="7"/>
  <c r="L1085" i="7"/>
  <c r="K1085" i="7"/>
  <c r="I1085" i="7"/>
  <c r="L1084" i="7"/>
  <c r="K1084" i="7"/>
  <c r="I1084" i="7"/>
  <c r="L1083" i="7"/>
  <c r="K1083" i="7"/>
  <c r="I1083" i="7"/>
  <c r="L1082" i="7"/>
  <c r="K1082" i="7"/>
  <c r="I1082" i="7"/>
  <c r="L1081" i="7"/>
  <c r="K1081" i="7"/>
  <c r="I1081" i="7"/>
  <c r="L1080" i="7"/>
  <c r="K1080" i="7"/>
  <c r="I1080" i="7"/>
  <c r="L1079" i="7"/>
  <c r="K1079" i="7"/>
  <c r="I1079" i="7"/>
  <c r="L1078" i="7"/>
  <c r="K1078" i="7"/>
  <c r="I1078" i="7"/>
  <c r="L1077" i="7"/>
  <c r="K1077" i="7"/>
  <c r="I1077" i="7"/>
  <c r="L1076" i="7"/>
  <c r="K1076" i="7"/>
  <c r="I1076" i="7"/>
  <c r="L1075" i="7"/>
  <c r="K1075" i="7"/>
  <c r="I1075" i="7"/>
  <c r="L1074" i="7"/>
  <c r="K1074" i="7"/>
  <c r="I1074" i="7"/>
  <c r="L1073" i="7"/>
  <c r="K1073" i="7"/>
  <c r="I1073" i="7"/>
  <c r="L1072" i="7"/>
  <c r="K1072" i="7"/>
  <c r="I1072" i="7"/>
  <c r="L1071" i="7"/>
  <c r="K1071" i="7"/>
  <c r="I1071" i="7"/>
  <c r="L1070" i="7"/>
  <c r="K1070" i="7"/>
  <c r="I1070" i="7"/>
  <c r="L1069" i="7"/>
  <c r="K1069" i="7"/>
  <c r="I1069" i="7"/>
  <c r="L1068" i="7"/>
  <c r="K1068" i="7"/>
  <c r="I1068" i="7"/>
  <c r="L1067" i="7"/>
  <c r="K1067" i="7"/>
  <c r="I1067" i="7"/>
  <c r="L1066" i="7"/>
  <c r="K1066" i="7"/>
  <c r="I1066" i="7"/>
  <c r="L1065" i="7"/>
  <c r="K1065" i="7"/>
  <c r="I1065" i="7"/>
  <c r="L1064" i="7"/>
  <c r="K1064" i="7"/>
  <c r="I1064" i="7"/>
  <c r="L1063" i="7"/>
  <c r="K1063" i="7"/>
  <c r="I1063" i="7"/>
  <c r="L1062" i="7"/>
  <c r="K1062" i="7"/>
  <c r="I1062" i="7"/>
  <c r="L1061" i="7"/>
  <c r="K1061" i="7"/>
  <c r="I1061" i="7"/>
  <c r="L1060" i="7"/>
  <c r="K1060" i="7"/>
  <c r="I1060" i="7"/>
  <c r="L1059" i="7"/>
  <c r="K1059" i="7"/>
  <c r="I1059" i="7"/>
  <c r="L1058" i="7"/>
  <c r="K1058" i="7"/>
  <c r="I1058" i="7"/>
  <c r="L1057" i="7"/>
  <c r="K1057" i="7"/>
  <c r="I1057" i="7"/>
  <c r="L1056" i="7"/>
  <c r="K1056" i="7"/>
  <c r="I1056" i="7"/>
  <c r="L1055" i="7"/>
  <c r="K1055" i="7"/>
  <c r="I1055" i="7"/>
  <c r="L1054" i="7"/>
  <c r="K1054" i="7"/>
  <c r="I1054" i="7"/>
  <c r="L1053" i="7"/>
  <c r="K1053" i="7"/>
  <c r="I1053" i="7"/>
  <c r="L1052" i="7"/>
  <c r="K1052" i="7"/>
  <c r="I1052" i="7"/>
  <c r="L1051" i="7"/>
  <c r="K1051" i="7"/>
  <c r="I1051" i="7"/>
  <c r="L1050" i="7"/>
  <c r="K1050" i="7"/>
  <c r="I1050" i="7"/>
  <c r="L1049" i="7"/>
  <c r="K1049" i="7"/>
  <c r="I1049" i="7"/>
  <c r="L1048" i="7"/>
  <c r="K1048" i="7"/>
  <c r="I1048" i="7"/>
  <c r="L1047" i="7"/>
  <c r="K1047" i="7"/>
  <c r="I1047" i="7"/>
  <c r="L1046" i="7"/>
  <c r="K1046" i="7"/>
  <c r="I1046" i="7"/>
  <c r="L1045" i="7"/>
  <c r="K1045" i="7"/>
  <c r="I1045" i="7"/>
  <c r="L1044" i="7"/>
  <c r="K1044" i="7"/>
  <c r="I1044" i="7"/>
  <c r="L1043" i="7"/>
  <c r="K1043" i="7"/>
  <c r="I1043" i="7"/>
  <c r="L1042" i="7"/>
  <c r="K1042" i="7"/>
  <c r="I1042" i="7"/>
  <c r="L1041" i="7"/>
  <c r="K1041" i="7"/>
  <c r="I1041" i="7"/>
  <c r="L1040" i="7"/>
  <c r="K1040" i="7"/>
  <c r="I1040" i="7"/>
  <c r="L1039" i="7"/>
  <c r="K1039" i="7"/>
  <c r="I1039" i="7"/>
  <c r="L1038" i="7"/>
  <c r="K1038" i="7"/>
  <c r="I1038" i="7"/>
  <c r="L1037" i="7"/>
  <c r="K1037" i="7"/>
  <c r="I1037" i="7"/>
  <c r="L1036" i="7"/>
  <c r="K1036" i="7"/>
  <c r="I1036" i="7"/>
  <c r="L1035" i="7"/>
  <c r="K1035" i="7"/>
  <c r="I1035" i="7"/>
  <c r="L1034" i="7"/>
  <c r="K1034" i="7"/>
  <c r="I1034" i="7"/>
  <c r="L1033" i="7"/>
  <c r="K1033" i="7"/>
  <c r="I1033" i="7"/>
  <c r="L1032" i="7"/>
  <c r="K1032" i="7"/>
  <c r="I1032" i="7"/>
  <c r="L1031" i="7"/>
  <c r="K1031" i="7"/>
  <c r="I1031" i="7"/>
  <c r="L1030" i="7"/>
  <c r="K1030" i="7"/>
  <c r="I1030" i="7"/>
  <c r="L1029" i="7"/>
  <c r="K1029" i="7"/>
  <c r="I1029" i="7"/>
  <c r="L1028" i="7"/>
  <c r="K1028" i="7"/>
  <c r="I1028" i="7"/>
  <c r="L1027" i="7"/>
  <c r="K1027" i="7"/>
  <c r="I1027" i="7"/>
  <c r="L1026" i="7"/>
  <c r="K1026" i="7"/>
  <c r="I1026" i="7"/>
  <c r="L1025" i="7"/>
  <c r="K1025" i="7"/>
  <c r="I1025" i="7"/>
  <c r="L1024" i="7"/>
  <c r="K1024" i="7"/>
  <c r="I1024" i="7"/>
  <c r="L1023" i="7"/>
  <c r="K1023" i="7"/>
  <c r="I1023" i="7"/>
  <c r="L1022" i="7"/>
  <c r="K1022" i="7"/>
  <c r="I1022" i="7"/>
  <c r="L1021" i="7"/>
  <c r="K1021" i="7"/>
  <c r="I1021" i="7"/>
  <c r="L1020" i="7"/>
  <c r="K1020" i="7"/>
  <c r="I1020" i="7"/>
  <c r="L1019" i="7"/>
  <c r="K1019" i="7"/>
  <c r="I1019" i="7"/>
  <c r="L1018" i="7"/>
  <c r="K1018" i="7"/>
  <c r="I1018" i="7"/>
  <c r="L1017" i="7"/>
  <c r="K1017" i="7"/>
  <c r="I1017" i="7"/>
  <c r="L1016" i="7"/>
  <c r="K1016" i="7"/>
  <c r="I1016" i="7"/>
  <c r="L1015" i="7"/>
  <c r="K1015" i="7"/>
  <c r="I1015" i="7"/>
  <c r="L1014" i="7"/>
  <c r="K1014" i="7"/>
  <c r="I1014" i="7"/>
  <c r="L1013" i="7"/>
  <c r="K1013" i="7"/>
  <c r="I1013" i="7"/>
  <c r="L1012" i="7"/>
  <c r="K1012" i="7"/>
  <c r="I1012" i="7"/>
  <c r="L1011" i="7"/>
  <c r="K1011" i="7"/>
  <c r="I1011" i="7"/>
  <c r="L1010" i="7"/>
  <c r="K1010" i="7"/>
  <c r="I1010" i="7"/>
  <c r="L1009" i="7"/>
  <c r="K1009" i="7"/>
  <c r="I1009" i="7"/>
  <c r="L1008" i="7"/>
  <c r="K1008" i="7"/>
  <c r="I1008" i="7"/>
  <c r="L1007" i="7"/>
  <c r="K1007" i="7"/>
  <c r="I1007" i="7"/>
  <c r="L1006" i="7"/>
  <c r="K1006" i="7"/>
  <c r="I1006" i="7"/>
  <c r="L1005" i="7"/>
  <c r="K1005" i="7"/>
  <c r="I1005" i="7"/>
  <c r="L1004" i="7"/>
  <c r="K1004" i="7"/>
  <c r="I1004" i="7"/>
  <c r="L1003" i="7"/>
  <c r="K1003" i="7"/>
  <c r="I1003" i="7"/>
  <c r="L1002" i="7"/>
  <c r="K1002" i="7"/>
  <c r="I1002" i="7"/>
  <c r="L1001" i="7"/>
  <c r="K1001" i="7"/>
  <c r="I1001" i="7"/>
  <c r="L1000" i="7"/>
  <c r="K1000" i="7"/>
  <c r="I1000" i="7"/>
  <c r="L999" i="7"/>
  <c r="K999" i="7"/>
  <c r="I999" i="7"/>
  <c r="L998" i="7"/>
  <c r="K998" i="7"/>
  <c r="I998" i="7"/>
  <c r="L997" i="7"/>
  <c r="K997" i="7"/>
  <c r="I997" i="7"/>
  <c r="L996" i="7"/>
  <c r="K996" i="7"/>
  <c r="I996" i="7"/>
  <c r="L995" i="7"/>
  <c r="K995" i="7"/>
  <c r="I995" i="7"/>
  <c r="L994" i="7"/>
  <c r="K994" i="7"/>
  <c r="I994" i="7"/>
  <c r="L993" i="7"/>
  <c r="K993" i="7"/>
  <c r="I993" i="7"/>
  <c r="L992" i="7"/>
  <c r="K992" i="7"/>
  <c r="I992" i="7"/>
  <c r="L991" i="7"/>
  <c r="K991" i="7"/>
  <c r="I991" i="7"/>
  <c r="L990" i="7"/>
  <c r="K990" i="7"/>
  <c r="I990" i="7"/>
  <c r="L989" i="7"/>
  <c r="K989" i="7"/>
  <c r="I989" i="7"/>
  <c r="L988" i="7"/>
  <c r="K988" i="7"/>
  <c r="I988" i="7"/>
  <c r="L987" i="7"/>
  <c r="K987" i="7"/>
  <c r="I987" i="7"/>
  <c r="L986" i="7"/>
  <c r="K986" i="7"/>
  <c r="I986" i="7"/>
  <c r="L985" i="7"/>
  <c r="K985" i="7"/>
  <c r="I985" i="7"/>
  <c r="L984" i="7"/>
  <c r="K984" i="7"/>
  <c r="I984" i="7"/>
  <c r="L983" i="7"/>
  <c r="K983" i="7"/>
  <c r="I983" i="7"/>
  <c r="L982" i="7"/>
  <c r="K982" i="7"/>
  <c r="I982" i="7"/>
  <c r="L981" i="7"/>
  <c r="K981" i="7"/>
  <c r="I981" i="7"/>
  <c r="L980" i="7"/>
  <c r="K980" i="7"/>
  <c r="I980" i="7"/>
  <c r="L979" i="7"/>
  <c r="K979" i="7"/>
  <c r="I979" i="7"/>
  <c r="L978" i="7"/>
  <c r="K978" i="7"/>
  <c r="I978" i="7"/>
  <c r="L977" i="7"/>
  <c r="K977" i="7"/>
  <c r="I977" i="7"/>
  <c r="L976" i="7"/>
  <c r="K976" i="7"/>
  <c r="I976" i="7"/>
  <c r="L975" i="7"/>
  <c r="K975" i="7"/>
  <c r="I975" i="7"/>
  <c r="L974" i="7"/>
  <c r="K974" i="7"/>
  <c r="I974" i="7"/>
  <c r="L973" i="7"/>
  <c r="K973" i="7"/>
  <c r="I973" i="7"/>
  <c r="L972" i="7"/>
  <c r="K972" i="7"/>
  <c r="I972" i="7"/>
  <c r="L971" i="7"/>
  <c r="K971" i="7"/>
  <c r="I971" i="7"/>
  <c r="L970" i="7"/>
  <c r="K970" i="7"/>
  <c r="I970" i="7"/>
  <c r="L969" i="7"/>
  <c r="K969" i="7"/>
  <c r="I969" i="7"/>
  <c r="L968" i="7"/>
  <c r="K968" i="7"/>
  <c r="I968" i="7"/>
  <c r="L967" i="7"/>
  <c r="K967" i="7"/>
  <c r="I967" i="7"/>
  <c r="L966" i="7"/>
  <c r="K966" i="7"/>
  <c r="I966" i="7"/>
  <c r="L965" i="7"/>
  <c r="K965" i="7"/>
  <c r="I965" i="7"/>
  <c r="L964" i="7"/>
  <c r="K964" i="7"/>
  <c r="I964" i="7"/>
  <c r="L963" i="7"/>
  <c r="K963" i="7"/>
  <c r="I963" i="7"/>
  <c r="L962" i="7"/>
  <c r="K962" i="7"/>
  <c r="I962" i="7"/>
  <c r="L961" i="7"/>
  <c r="K961" i="7"/>
  <c r="I961" i="7"/>
  <c r="L960" i="7"/>
  <c r="K960" i="7"/>
  <c r="I960" i="7"/>
  <c r="L959" i="7"/>
  <c r="K959" i="7"/>
  <c r="I959" i="7"/>
  <c r="L958" i="7"/>
  <c r="K958" i="7"/>
  <c r="I958" i="7"/>
  <c r="L957" i="7"/>
  <c r="K957" i="7"/>
  <c r="I957" i="7"/>
  <c r="L956" i="7"/>
  <c r="K956" i="7"/>
  <c r="I956" i="7"/>
  <c r="L955" i="7"/>
  <c r="K955" i="7"/>
  <c r="I955" i="7"/>
  <c r="L954" i="7"/>
  <c r="K954" i="7"/>
  <c r="I954" i="7"/>
  <c r="L953" i="7"/>
  <c r="K953" i="7"/>
  <c r="I953" i="7"/>
  <c r="L952" i="7"/>
  <c r="K952" i="7"/>
  <c r="I952" i="7"/>
  <c r="L951" i="7"/>
  <c r="K951" i="7"/>
  <c r="I951" i="7"/>
  <c r="L950" i="7"/>
  <c r="K950" i="7"/>
  <c r="I950" i="7"/>
  <c r="L949" i="7"/>
  <c r="K949" i="7"/>
  <c r="I949" i="7"/>
  <c r="L948" i="7"/>
  <c r="K948" i="7"/>
  <c r="I948" i="7"/>
  <c r="L947" i="7"/>
  <c r="K947" i="7"/>
  <c r="I947" i="7"/>
  <c r="L946" i="7"/>
  <c r="K946" i="7"/>
  <c r="I946" i="7"/>
  <c r="L945" i="7"/>
  <c r="K945" i="7"/>
  <c r="I945" i="7"/>
  <c r="L944" i="7"/>
  <c r="K944" i="7"/>
  <c r="I944" i="7"/>
  <c r="L943" i="7"/>
  <c r="K943" i="7"/>
  <c r="I943" i="7"/>
  <c r="L942" i="7"/>
  <c r="K942" i="7"/>
  <c r="I942" i="7"/>
  <c r="L941" i="7"/>
  <c r="K941" i="7"/>
  <c r="I941" i="7"/>
  <c r="L940" i="7"/>
  <c r="K940" i="7"/>
  <c r="I940" i="7"/>
  <c r="L939" i="7"/>
  <c r="K939" i="7"/>
  <c r="I939" i="7"/>
  <c r="L938" i="7"/>
  <c r="K938" i="7"/>
  <c r="I938" i="7"/>
  <c r="L937" i="7"/>
  <c r="K937" i="7"/>
  <c r="I937" i="7"/>
  <c r="L936" i="7"/>
  <c r="K936" i="7"/>
  <c r="I936" i="7"/>
  <c r="L935" i="7"/>
  <c r="K935" i="7"/>
  <c r="I935" i="7"/>
  <c r="L934" i="7"/>
  <c r="K934" i="7"/>
  <c r="I934" i="7"/>
  <c r="L933" i="7"/>
  <c r="K933" i="7"/>
  <c r="I933" i="7"/>
  <c r="L932" i="7"/>
  <c r="K932" i="7"/>
  <c r="I932" i="7"/>
  <c r="L931" i="7"/>
  <c r="K931" i="7"/>
  <c r="I931" i="7"/>
  <c r="L930" i="7"/>
  <c r="K930" i="7"/>
  <c r="I930" i="7"/>
  <c r="L929" i="7"/>
  <c r="K929" i="7"/>
  <c r="I929" i="7"/>
  <c r="L928" i="7"/>
  <c r="K928" i="7"/>
  <c r="I928" i="7"/>
  <c r="L927" i="7"/>
  <c r="K927" i="7"/>
  <c r="I927" i="7"/>
  <c r="L926" i="7"/>
  <c r="K926" i="7"/>
  <c r="I926" i="7"/>
  <c r="L925" i="7"/>
  <c r="K925" i="7"/>
  <c r="I925" i="7"/>
  <c r="L924" i="7"/>
  <c r="K924" i="7"/>
  <c r="I924" i="7"/>
  <c r="L923" i="7"/>
  <c r="K923" i="7"/>
  <c r="I923" i="7"/>
  <c r="L922" i="7"/>
  <c r="K922" i="7"/>
  <c r="I922" i="7"/>
  <c r="L921" i="7"/>
  <c r="K921" i="7"/>
  <c r="I921" i="7"/>
  <c r="L920" i="7"/>
  <c r="K920" i="7"/>
  <c r="I920" i="7"/>
  <c r="L919" i="7"/>
  <c r="K919" i="7"/>
  <c r="I919" i="7"/>
  <c r="L918" i="7"/>
  <c r="K918" i="7"/>
  <c r="I918" i="7"/>
  <c r="L917" i="7"/>
  <c r="K917" i="7"/>
  <c r="I917" i="7"/>
  <c r="L916" i="7"/>
  <c r="K916" i="7"/>
  <c r="I916" i="7"/>
  <c r="L915" i="7"/>
  <c r="K915" i="7"/>
  <c r="I915" i="7"/>
  <c r="L914" i="7"/>
  <c r="K914" i="7"/>
  <c r="I914" i="7"/>
  <c r="L913" i="7"/>
  <c r="K913" i="7"/>
  <c r="I913" i="7"/>
  <c r="L912" i="7"/>
  <c r="K912" i="7"/>
  <c r="I912" i="7"/>
  <c r="L911" i="7"/>
  <c r="K911" i="7"/>
  <c r="I911" i="7"/>
  <c r="L910" i="7"/>
  <c r="K910" i="7"/>
  <c r="I910" i="7"/>
  <c r="L909" i="7"/>
  <c r="K909" i="7"/>
  <c r="I909" i="7"/>
  <c r="L908" i="7"/>
  <c r="K908" i="7"/>
  <c r="I908" i="7"/>
  <c r="L907" i="7"/>
  <c r="K907" i="7"/>
  <c r="I907" i="7"/>
  <c r="L906" i="7"/>
  <c r="K906" i="7"/>
  <c r="I906" i="7"/>
  <c r="L905" i="7"/>
  <c r="K905" i="7"/>
  <c r="I905" i="7"/>
  <c r="L904" i="7"/>
  <c r="K904" i="7"/>
  <c r="I904" i="7"/>
  <c r="L903" i="7"/>
  <c r="K903" i="7"/>
  <c r="I903" i="7"/>
  <c r="L902" i="7"/>
  <c r="K902" i="7"/>
  <c r="I902" i="7"/>
  <c r="L901" i="7"/>
  <c r="K901" i="7"/>
  <c r="I901" i="7"/>
  <c r="L900" i="7"/>
  <c r="K900" i="7"/>
  <c r="I900" i="7"/>
  <c r="L899" i="7"/>
  <c r="K899" i="7"/>
  <c r="I899" i="7"/>
  <c r="L898" i="7"/>
  <c r="K898" i="7"/>
  <c r="I898" i="7"/>
  <c r="L897" i="7"/>
  <c r="K897" i="7"/>
  <c r="I897" i="7"/>
  <c r="L896" i="7"/>
  <c r="K896" i="7"/>
  <c r="I896" i="7"/>
  <c r="L895" i="7"/>
  <c r="K895" i="7"/>
  <c r="I895" i="7"/>
  <c r="L894" i="7"/>
  <c r="K894" i="7"/>
  <c r="I894" i="7"/>
  <c r="L893" i="7"/>
  <c r="K893" i="7"/>
  <c r="I893" i="7"/>
  <c r="L892" i="7"/>
  <c r="K892" i="7"/>
  <c r="I892" i="7"/>
  <c r="L891" i="7"/>
  <c r="K891" i="7"/>
  <c r="I891" i="7"/>
  <c r="L890" i="7"/>
  <c r="K890" i="7"/>
  <c r="I890" i="7"/>
  <c r="L889" i="7"/>
  <c r="K889" i="7"/>
  <c r="I889" i="7"/>
  <c r="L888" i="7"/>
  <c r="K888" i="7"/>
  <c r="I888" i="7"/>
  <c r="L887" i="7"/>
  <c r="K887" i="7"/>
  <c r="I887" i="7"/>
  <c r="L886" i="7"/>
  <c r="K886" i="7"/>
  <c r="I886" i="7"/>
  <c r="L885" i="7"/>
  <c r="K885" i="7"/>
  <c r="I885" i="7"/>
  <c r="L884" i="7"/>
  <c r="K884" i="7"/>
  <c r="I884" i="7"/>
  <c r="L883" i="7"/>
  <c r="K883" i="7"/>
  <c r="I883" i="7"/>
  <c r="L882" i="7"/>
  <c r="K882" i="7"/>
  <c r="I882" i="7"/>
  <c r="L881" i="7"/>
  <c r="K881" i="7"/>
  <c r="I881" i="7"/>
  <c r="L880" i="7"/>
  <c r="K880" i="7"/>
  <c r="I880" i="7"/>
  <c r="L879" i="7"/>
  <c r="K879" i="7"/>
  <c r="I879" i="7"/>
  <c r="L878" i="7"/>
  <c r="K878" i="7"/>
  <c r="I878" i="7"/>
  <c r="L877" i="7"/>
  <c r="K877" i="7"/>
  <c r="I877" i="7"/>
  <c r="L876" i="7"/>
  <c r="K876" i="7"/>
  <c r="I876" i="7"/>
  <c r="L875" i="7"/>
  <c r="K875" i="7"/>
  <c r="I875" i="7"/>
  <c r="L874" i="7"/>
  <c r="K874" i="7"/>
  <c r="I874" i="7"/>
  <c r="L873" i="7"/>
  <c r="K873" i="7"/>
  <c r="I873" i="7"/>
  <c r="L872" i="7"/>
  <c r="K872" i="7"/>
  <c r="I872" i="7"/>
  <c r="L871" i="7"/>
  <c r="K871" i="7"/>
  <c r="I871" i="7"/>
  <c r="L870" i="7"/>
  <c r="K870" i="7"/>
  <c r="I870" i="7"/>
  <c r="L869" i="7"/>
  <c r="K869" i="7"/>
  <c r="I869" i="7"/>
  <c r="L868" i="7"/>
  <c r="K868" i="7"/>
  <c r="I868" i="7"/>
  <c r="L867" i="7"/>
  <c r="K867" i="7"/>
  <c r="I867" i="7"/>
  <c r="L866" i="7"/>
  <c r="K866" i="7"/>
  <c r="I866" i="7"/>
  <c r="L865" i="7"/>
  <c r="K865" i="7"/>
  <c r="I865" i="7"/>
  <c r="L864" i="7"/>
  <c r="K864" i="7"/>
  <c r="I864" i="7"/>
  <c r="L863" i="7"/>
  <c r="K863" i="7"/>
  <c r="I863" i="7"/>
  <c r="L862" i="7"/>
  <c r="K862" i="7"/>
  <c r="I862" i="7"/>
  <c r="L861" i="7"/>
  <c r="K861" i="7"/>
  <c r="I861" i="7"/>
  <c r="L860" i="7"/>
  <c r="K860" i="7"/>
  <c r="I860" i="7"/>
  <c r="L859" i="7"/>
  <c r="K859" i="7"/>
  <c r="I859" i="7"/>
  <c r="L858" i="7"/>
  <c r="K858" i="7"/>
  <c r="I858" i="7"/>
  <c r="L857" i="7"/>
  <c r="K857" i="7"/>
  <c r="I857" i="7"/>
  <c r="L856" i="7"/>
  <c r="K856" i="7"/>
  <c r="I856" i="7"/>
  <c r="L855" i="7"/>
  <c r="K855" i="7"/>
  <c r="I855" i="7"/>
  <c r="L854" i="7"/>
  <c r="K854" i="7"/>
  <c r="I854" i="7"/>
  <c r="L853" i="7"/>
  <c r="K853" i="7"/>
  <c r="I853" i="7"/>
  <c r="L852" i="7"/>
  <c r="K852" i="7"/>
  <c r="I852" i="7"/>
  <c r="L851" i="7"/>
  <c r="K851" i="7"/>
  <c r="I851" i="7"/>
  <c r="L850" i="7"/>
  <c r="K850" i="7"/>
  <c r="I850" i="7"/>
  <c r="L849" i="7"/>
  <c r="K849" i="7"/>
  <c r="I849" i="7"/>
  <c r="L848" i="7"/>
  <c r="K848" i="7"/>
  <c r="I848" i="7"/>
  <c r="L847" i="7"/>
  <c r="K847" i="7"/>
  <c r="I847" i="7"/>
  <c r="L846" i="7"/>
  <c r="K846" i="7"/>
  <c r="I846" i="7"/>
  <c r="L845" i="7"/>
  <c r="K845" i="7"/>
  <c r="I845" i="7"/>
  <c r="L844" i="7"/>
  <c r="K844" i="7"/>
  <c r="I844" i="7"/>
  <c r="L843" i="7"/>
  <c r="K843" i="7"/>
  <c r="I843" i="7"/>
  <c r="L842" i="7"/>
  <c r="K842" i="7"/>
  <c r="I842" i="7"/>
  <c r="L841" i="7"/>
  <c r="K841" i="7"/>
  <c r="I841" i="7"/>
  <c r="L840" i="7"/>
  <c r="K840" i="7"/>
  <c r="I840" i="7"/>
  <c r="L839" i="7"/>
  <c r="K839" i="7"/>
  <c r="I839" i="7"/>
  <c r="L838" i="7"/>
  <c r="K838" i="7"/>
  <c r="I838" i="7"/>
  <c r="L837" i="7"/>
  <c r="K837" i="7"/>
  <c r="I837" i="7"/>
  <c r="L836" i="7"/>
  <c r="K836" i="7"/>
  <c r="I836" i="7"/>
  <c r="L835" i="7"/>
  <c r="K835" i="7"/>
  <c r="I835" i="7"/>
  <c r="L834" i="7"/>
  <c r="K834" i="7"/>
  <c r="I834" i="7"/>
  <c r="L833" i="7"/>
  <c r="K833" i="7"/>
  <c r="I833" i="7"/>
  <c r="L832" i="7"/>
  <c r="K832" i="7"/>
  <c r="I832" i="7"/>
  <c r="L831" i="7"/>
  <c r="K831" i="7"/>
  <c r="I831" i="7"/>
  <c r="L830" i="7"/>
  <c r="K830" i="7"/>
  <c r="I830" i="7"/>
  <c r="L829" i="7"/>
  <c r="K829" i="7"/>
  <c r="I829" i="7"/>
  <c r="L828" i="7"/>
  <c r="K828" i="7"/>
  <c r="I828" i="7"/>
  <c r="L827" i="7"/>
  <c r="K827" i="7"/>
  <c r="I827" i="7"/>
  <c r="L826" i="7"/>
  <c r="K826" i="7"/>
  <c r="I826" i="7"/>
  <c r="L825" i="7"/>
  <c r="K825" i="7"/>
  <c r="I825" i="7"/>
  <c r="L824" i="7"/>
  <c r="K824" i="7"/>
  <c r="I824" i="7"/>
  <c r="L823" i="7"/>
  <c r="K823" i="7"/>
  <c r="I823" i="7"/>
  <c r="L822" i="7"/>
  <c r="K822" i="7"/>
  <c r="I822" i="7"/>
  <c r="L821" i="7"/>
  <c r="K821" i="7"/>
  <c r="I821" i="7"/>
  <c r="L820" i="7"/>
  <c r="K820" i="7"/>
  <c r="I820" i="7"/>
  <c r="L819" i="7"/>
  <c r="K819" i="7"/>
  <c r="I819" i="7"/>
  <c r="L818" i="7"/>
  <c r="K818" i="7"/>
  <c r="I818" i="7"/>
  <c r="L817" i="7"/>
  <c r="K817" i="7"/>
  <c r="I817" i="7"/>
  <c r="L816" i="7"/>
  <c r="K816" i="7"/>
  <c r="I816" i="7"/>
  <c r="L815" i="7"/>
  <c r="K815" i="7"/>
  <c r="I815" i="7"/>
  <c r="L814" i="7"/>
  <c r="K814" i="7"/>
  <c r="I814" i="7"/>
  <c r="L813" i="7"/>
  <c r="K813" i="7"/>
  <c r="I813" i="7"/>
  <c r="L812" i="7"/>
  <c r="K812" i="7"/>
  <c r="I812" i="7"/>
  <c r="L811" i="7"/>
  <c r="K811" i="7"/>
  <c r="I811" i="7"/>
  <c r="L810" i="7"/>
  <c r="K810" i="7"/>
  <c r="I810" i="7"/>
  <c r="L809" i="7"/>
  <c r="K809" i="7"/>
  <c r="I809" i="7"/>
  <c r="L808" i="7"/>
  <c r="K808" i="7"/>
  <c r="I808" i="7"/>
  <c r="L807" i="7"/>
  <c r="K807" i="7"/>
  <c r="I807" i="7"/>
  <c r="L806" i="7"/>
  <c r="K806" i="7"/>
  <c r="I806" i="7"/>
  <c r="L805" i="7"/>
  <c r="K805" i="7"/>
  <c r="I805" i="7"/>
  <c r="L804" i="7"/>
  <c r="K804" i="7"/>
  <c r="I804" i="7"/>
  <c r="L803" i="7"/>
  <c r="K803" i="7"/>
  <c r="I803" i="7"/>
  <c r="L802" i="7"/>
  <c r="K802" i="7"/>
  <c r="I802" i="7"/>
  <c r="L801" i="7"/>
  <c r="K801" i="7"/>
  <c r="I801" i="7"/>
  <c r="L800" i="7"/>
  <c r="K800" i="7"/>
  <c r="I800" i="7"/>
  <c r="L799" i="7"/>
  <c r="K799" i="7"/>
  <c r="I799" i="7"/>
  <c r="L798" i="7"/>
  <c r="K798" i="7"/>
  <c r="I798" i="7"/>
  <c r="L797" i="7"/>
  <c r="K797" i="7"/>
  <c r="I797" i="7"/>
  <c r="L796" i="7"/>
  <c r="K796" i="7"/>
  <c r="I796" i="7"/>
  <c r="L795" i="7"/>
  <c r="K795" i="7"/>
  <c r="I795" i="7"/>
  <c r="L794" i="7"/>
  <c r="K794" i="7"/>
  <c r="I794" i="7"/>
  <c r="L793" i="7"/>
  <c r="K793" i="7"/>
  <c r="I793" i="7"/>
  <c r="L792" i="7"/>
  <c r="K792" i="7"/>
  <c r="I792" i="7"/>
  <c r="L791" i="7"/>
  <c r="K791" i="7"/>
  <c r="I791" i="7"/>
  <c r="L790" i="7"/>
  <c r="K790" i="7"/>
  <c r="I790" i="7"/>
  <c r="L789" i="7"/>
  <c r="K789" i="7"/>
  <c r="I789" i="7"/>
  <c r="L788" i="7"/>
  <c r="K788" i="7"/>
  <c r="I788" i="7"/>
  <c r="L787" i="7"/>
  <c r="K787" i="7"/>
  <c r="I787" i="7"/>
  <c r="L786" i="7"/>
  <c r="K786" i="7"/>
  <c r="I786" i="7"/>
  <c r="L785" i="7"/>
  <c r="K785" i="7"/>
  <c r="I785" i="7"/>
  <c r="L784" i="7"/>
  <c r="K784" i="7"/>
  <c r="I784" i="7"/>
  <c r="L783" i="7"/>
  <c r="K783" i="7"/>
  <c r="I783" i="7"/>
  <c r="L782" i="7"/>
  <c r="K782" i="7"/>
  <c r="I782" i="7"/>
  <c r="L781" i="7"/>
  <c r="K781" i="7"/>
  <c r="I781" i="7"/>
  <c r="L780" i="7"/>
  <c r="K780" i="7"/>
  <c r="I780" i="7"/>
  <c r="L779" i="7"/>
  <c r="K779" i="7"/>
  <c r="I779" i="7"/>
  <c r="L778" i="7"/>
  <c r="K778" i="7"/>
  <c r="I778" i="7"/>
  <c r="L777" i="7"/>
  <c r="K777" i="7"/>
  <c r="I777" i="7"/>
  <c r="L776" i="7"/>
  <c r="K776" i="7"/>
  <c r="I776" i="7"/>
  <c r="L775" i="7"/>
  <c r="K775" i="7"/>
  <c r="I775" i="7"/>
  <c r="L774" i="7"/>
  <c r="K774" i="7"/>
  <c r="I774" i="7"/>
  <c r="L773" i="7"/>
  <c r="K773" i="7"/>
  <c r="I773" i="7"/>
  <c r="L772" i="7"/>
  <c r="K772" i="7"/>
  <c r="I772" i="7"/>
  <c r="L771" i="7"/>
  <c r="K771" i="7"/>
  <c r="I771" i="7"/>
  <c r="L770" i="7"/>
  <c r="K770" i="7"/>
  <c r="I770" i="7"/>
  <c r="L769" i="7"/>
  <c r="K769" i="7"/>
  <c r="I769" i="7"/>
  <c r="L768" i="7"/>
  <c r="K768" i="7"/>
  <c r="I768" i="7"/>
  <c r="L767" i="7"/>
  <c r="K767" i="7"/>
  <c r="I767" i="7"/>
  <c r="L766" i="7"/>
  <c r="K766" i="7"/>
  <c r="I766" i="7"/>
  <c r="L765" i="7"/>
  <c r="K765" i="7"/>
  <c r="I765" i="7"/>
  <c r="L764" i="7"/>
  <c r="K764" i="7"/>
  <c r="I764" i="7"/>
  <c r="L763" i="7"/>
  <c r="K763" i="7"/>
  <c r="I763" i="7"/>
  <c r="L762" i="7"/>
  <c r="K762" i="7"/>
  <c r="I762" i="7"/>
  <c r="L761" i="7"/>
  <c r="K761" i="7"/>
  <c r="I761" i="7"/>
  <c r="L760" i="7"/>
  <c r="K760" i="7"/>
  <c r="I760" i="7"/>
  <c r="L759" i="7"/>
  <c r="K759" i="7"/>
  <c r="I759" i="7"/>
  <c r="L758" i="7"/>
  <c r="K758" i="7"/>
  <c r="I758" i="7"/>
  <c r="L757" i="7"/>
  <c r="K757" i="7"/>
  <c r="I757" i="7"/>
  <c r="L756" i="7"/>
  <c r="K756" i="7"/>
  <c r="I756" i="7"/>
  <c r="L755" i="7"/>
  <c r="K755" i="7"/>
  <c r="I755" i="7"/>
  <c r="L754" i="7"/>
  <c r="K754" i="7"/>
  <c r="I754" i="7"/>
  <c r="L753" i="7"/>
  <c r="K753" i="7"/>
  <c r="I753" i="7"/>
  <c r="L752" i="7"/>
  <c r="K752" i="7"/>
  <c r="I752" i="7"/>
  <c r="L751" i="7"/>
  <c r="K751" i="7"/>
  <c r="I751" i="7"/>
  <c r="L750" i="7"/>
  <c r="K750" i="7"/>
  <c r="I750" i="7"/>
  <c r="L749" i="7"/>
  <c r="K749" i="7"/>
  <c r="I749" i="7"/>
  <c r="L748" i="7"/>
  <c r="K748" i="7"/>
  <c r="I748" i="7"/>
  <c r="L747" i="7"/>
  <c r="K747" i="7"/>
  <c r="I747" i="7"/>
  <c r="L746" i="7"/>
  <c r="K746" i="7"/>
  <c r="I746" i="7"/>
  <c r="L745" i="7"/>
  <c r="K745" i="7"/>
  <c r="I745" i="7"/>
  <c r="L744" i="7"/>
  <c r="K744" i="7"/>
  <c r="I744" i="7"/>
  <c r="L743" i="7"/>
  <c r="K743" i="7"/>
  <c r="I743" i="7"/>
  <c r="L742" i="7"/>
  <c r="K742" i="7"/>
  <c r="I742" i="7"/>
  <c r="L741" i="7"/>
  <c r="K741" i="7"/>
  <c r="I741" i="7"/>
  <c r="L740" i="7"/>
  <c r="K740" i="7"/>
  <c r="I740" i="7"/>
  <c r="L739" i="7"/>
  <c r="K739" i="7"/>
  <c r="I739" i="7"/>
  <c r="L738" i="7"/>
  <c r="K738" i="7"/>
  <c r="I738" i="7"/>
  <c r="L737" i="7"/>
  <c r="K737" i="7"/>
  <c r="I737" i="7"/>
  <c r="L736" i="7"/>
  <c r="K736" i="7"/>
  <c r="I736" i="7"/>
  <c r="L735" i="7"/>
  <c r="K735" i="7"/>
  <c r="I735" i="7"/>
  <c r="L734" i="7"/>
  <c r="K734" i="7"/>
  <c r="I734" i="7"/>
  <c r="L733" i="7"/>
  <c r="K733" i="7"/>
  <c r="I733" i="7"/>
  <c r="L732" i="7"/>
  <c r="K732" i="7"/>
  <c r="I732" i="7"/>
  <c r="L731" i="7"/>
  <c r="K731" i="7"/>
  <c r="I731" i="7"/>
  <c r="L730" i="7"/>
  <c r="K730" i="7"/>
  <c r="I730" i="7"/>
  <c r="L729" i="7"/>
  <c r="K729" i="7"/>
  <c r="I729" i="7"/>
  <c r="L728" i="7"/>
  <c r="K728" i="7"/>
  <c r="I728" i="7"/>
  <c r="L727" i="7"/>
  <c r="K727" i="7"/>
  <c r="I727" i="7"/>
  <c r="L726" i="7"/>
  <c r="K726" i="7"/>
  <c r="I726" i="7"/>
  <c r="L725" i="7"/>
  <c r="K725" i="7"/>
  <c r="I725" i="7"/>
  <c r="L724" i="7"/>
  <c r="K724" i="7"/>
  <c r="I724" i="7"/>
  <c r="L723" i="7"/>
  <c r="K723" i="7"/>
  <c r="I723" i="7"/>
  <c r="L722" i="7"/>
  <c r="K722" i="7"/>
  <c r="I722" i="7"/>
  <c r="L721" i="7"/>
  <c r="K721" i="7"/>
  <c r="I721" i="7"/>
  <c r="L720" i="7"/>
  <c r="K720" i="7"/>
  <c r="I720" i="7"/>
  <c r="L719" i="7"/>
  <c r="K719" i="7"/>
  <c r="I719" i="7"/>
  <c r="L718" i="7"/>
  <c r="K718" i="7"/>
  <c r="I718" i="7"/>
  <c r="L717" i="7"/>
  <c r="K717" i="7"/>
  <c r="I717" i="7"/>
  <c r="L716" i="7"/>
  <c r="K716" i="7"/>
  <c r="I716" i="7"/>
  <c r="L715" i="7"/>
  <c r="K715" i="7"/>
  <c r="I715" i="7"/>
  <c r="L714" i="7"/>
  <c r="K714" i="7"/>
  <c r="I714" i="7"/>
  <c r="L713" i="7"/>
  <c r="K713" i="7"/>
  <c r="I713" i="7"/>
  <c r="L712" i="7"/>
  <c r="K712" i="7"/>
  <c r="I712" i="7"/>
  <c r="L711" i="7"/>
  <c r="K711" i="7"/>
  <c r="I711" i="7"/>
  <c r="L710" i="7"/>
  <c r="K710" i="7"/>
  <c r="I710" i="7"/>
  <c r="L709" i="7"/>
  <c r="K709" i="7"/>
  <c r="I709" i="7"/>
  <c r="L708" i="7"/>
  <c r="K708" i="7"/>
  <c r="I708" i="7"/>
  <c r="L707" i="7"/>
  <c r="K707" i="7"/>
  <c r="I707" i="7"/>
  <c r="L706" i="7"/>
  <c r="K706" i="7"/>
  <c r="I706" i="7"/>
  <c r="L705" i="7"/>
  <c r="K705" i="7"/>
  <c r="I705" i="7"/>
  <c r="L704" i="7"/>
  <c r="K704" i="7"/>
  <c r="I704" i="7"/>
  <c r="L703" i="7"/>
  <c r="K703" i="7"/>
  <c r="I703" i="7"/>
  <c r="L702" i="7"/>
  <c r="K702" i="7"/>
  <c r="I702" i="7"/>
  <c r="L701" i="7"/>
  <c r="K701" i="7"/>
  <c r="I701" i="7"/>
  <c r="L700" i="7"/>
  <c r="L699" i="7"/>
  <c r="L698" i="7"/>
  <c r="L697" i="7"/>
  <c r="L696" i="7"/>
  <c r="L695" i="7"/>
  <c r="L694" i="7"/>
  <c r="L693" i="7"/>
  <c r="L692" i="7"/>
  <c r="L691" i="7"/>
  <c r="L690" i="7"/>
  <c r="L689" i="7"/>
  <c r="L688" i="7"/>
  <c r="L687" i="7"/>
  <c r="L686" i="7"/>
  <c r="L685" i="7"/>
  <c r="L684" i="7"/>
  <c r="L683" i="7"/>
  <c r="L682" i="7"/>
  <c r="L681" i="7"/>
  <c r="L680" i="7"/>
  <c r="L679" i="7"/>
  <c r="L678" i="7"/>
  <c r="L677" i="7"/>
  <c r="L676" i="7"/>
  <c r="L675" i="7"/>
  <c r="L674" i="7"/>
  <c r="L673" i="7"/>
  <c r="L672" i="7"/>
  <c r="L671" i="7"/>
  <c r="L670" i="7"/>
  <c r="L669" i="7"/>
  <c r="L668" i="7"/>
  <c r="L667" i="7"/>
  <c r="L666" i="7"/>
  <c r="L665" i="7"/>
  <c r="L664" i="7"/>
  <c r="L663" i="7"/>
  <c r="L662" i="7"/>
  <c r="L661" i="7"/>
  <c r="L660" i="7"/>
  <c r="L659" i="7"/>
  <c r="L658" i="7"/>
  <c r="L657" i="7"/>
  <c r="L656" i="7"/>
  <c r="L655" i="7"/>
  <c r="L654" i="7"/>
  <c r="L653" i="7"/>
  <c r="L652" i="7"/>
  <c r="L651" i="7"/>
  <c r="L650" i="7"/>
  <c r="L649" i="7"/>
  <c r="L648" i="7"/>
  <c r="L647" i="7"/>
  <c r="L646" i="7"/>
  <c r="L645" i="7"/>
  <c r="L644" i="7"/>
  <c r="L643" i="7"/>
  <c r="L642" i="7"/>
  <c r="L641" i="7"/>
  <c r="L640" i="7"/>
  <c r="L639" i="7"/>
  <c r="L638" i="7"/>
  <c r="L635" i="7"/>
  <c r="L634" i="7"/>
  <c r="L633" i="7"/>
  <c r="L632" i="7"/>
  <c r="L631" i="7"/>
  <c r="L630" i="7"/>
  <c r="L629" i="7"/>
  <c r="L628" i="7"/>
  <c r="L623" i="7"/>
  <c r="L622" i="7"/>
  <c r="L621" i="7"/>
  <c r="L620" i="7"/>
  <c r="L618" i="7"/>
  <c r="L617" i="7"/>
  <c r="L615" i="7"/>
  <c r="L614" i="7"/>
  <c r="L613" i="7"/>
  <c r="L611" i="7"/>
  <c r="L610" i="7"/>
  <c r="L609" i="7"/>
  <c r="L608" i="7"/>
  <c r="L607" i="7"/>
  <c r="L606" i="7"/>
  <c r="L605" i="7"/>
  <c r="L604" i="7"/>
  <c r="L603" i="7"/>
  <c r="L602" i="7"/>
  <c r="L601" i="7"/>
  <c r="L600" i="7"/>
  <c r="L599" i="7"/>
  <c r="L598" i="7"/>
  <c r="L597" i="7"/>
  <c r="L596" i="7"/>
  <c r="L595" i="7"/>
  <c r="L594" i="7"/>
  <c r="L593" i="7"/>
  <c r="L592" i="7"/>
  <c r="L591" i="7"/>
  <c r="L590" i="7"/>
  <c r="L589" i="7"/>
  <c r="L588" i="7"/>
  <c r="L586" i="7"/>
  <c r="L585" i="7"/>
  <c r="L584" i="7"/>
  <c r="L580" i="7"/>
  <c r="L579" i="7"/>
  <c r="L578" i="7"/>
  <c r="L577" i="7"/>
  <c r="L576" i="7"/>
  <c r="L575" i="7"/>
  <c r="L574" i="7"/>
  <c r="L573" i="7"/>
  <c r="L572" i="7"/>
  <c r="L571" i="7"/>
  <c r="L570" i="7"/>
  <c r="L564" i="7"/>
  <c r="L563" i="7"/>
  <c r="L562" i="7"/>
  <c r="L561" i="7"/>
  <c r="L560" i="7"/>
  <c r="L559" i="7"/>
  <c r="L558" i="7"/>
  <c r="L557" i="7"/>
  <c r="L556" i="7"/>
  <c r="L555" i="7"/>
  <c r="L554" i="7"/>
  <c r="L553" i="7"/>
  <c r="L551" i="7"/>
  <c r="L548" i="7"/>
  <c r="L547" i="7"/>
  <c r="L545" i="7"/>
  <c r="L544" i="7"/>
  <c r="L543" i="7"/>
  <c r="L542" i="7"/>
  <c r="L541" i="7"/>
  <c r="L540" i="7"/>
  <c r="L539" i="7"/>
  <c r="L538" i="7"/>
  <c r="L535" i="7"/>
  <c r="L530" i="7"/>
  <c r="L529" i="7"/>
  <c r="L526" i="7"/>
  <c r="L525" i="7"/>
  <c r="L524" i="7"/>
  <c r="L523" i="7"/>
  <c r="L522" i="7"/>
  <c r="L521" i="7"/>
  <c r="L519" i="7"/>
  <c r="L517" i="7"/>
  <c r="L516" i="7"/>
  <c r="L515" i="7"/>
  <c r="L514" i="7"/>
  <c r="L513" i="7"/>
  <c r="L512" i="7"/>
  <c r="L511" i="7"/>
  <c r="L510" i="7"/>
  <c r="L507" i="7"/>
  <c r="L506" i="7"/>
  <c r="L505" i="7"/>
  <c r="L503" i="7"/>
  <c r="L500" i="7"/>
  <c r="L498" i="7"/>
  <c r="L497" i="7"/>
  <c r="L495" i="7"/>
  <c r="L494" i="7"/>
  <c r="L493" i="7"/>
  <c r="L492" i="7"/>
  <c r="L491" i="7"/>
  <c r="L490" i="7"/>
  <c r="L486" i="7"/>
  <c r="L485" i="7"/>
  <c r="L484" i="7"/>
  <c r="L483" i="7"/>
  <c r="L481" i="7"/>
  <c r="L480" i="7"/>
  <c r="L474" i="7"/>
  <c r="L471" i="7"/>
  <c r="L470" i="7"/>
  <c r="L469" i="7"/>
  <c r="L459" i="7"/>
  <c r="L458" i="7"/>
  <c r="L451" i="7"/>
  <c r="L450" i="7"/>
  <c r="L449" i="7"/>
  <c r="L448" i="7"/>
  <c r="L446" i="7"/>
  <c r="L445" i="7"/>
  <c r="L444" i="7"/>
  <c r="L443" i="7"/>
  <c r="L440" i="7"/>
  <c r="L439" i="7"/>
  <c r="L435" i="7"/>
  <c r="L434" i="7"/>
  <c r="L433" i="7"/>
  <c r="L431" i="7"/>
  <c r="L426" i="7"/>
  <c r="L417" i="7"/>
  <c r="L414" i="7"/>
  <c r="L409" i="7"/>
  <c r="L404" i="7"/>
  <c r="L403" i="7"/>
  <c r="L402" i="7"/>
  <c r="L401" i="7"/>
  <c r="L398" i="7"/>
  <c r="L382" i="7"/>
  <c r="L381" i="7"/>
  <c r="L379" i="7"/>
  <c r="L378" i="7"/>
  <c r="L359" i="7"/>
  <c r="L357" i="7"/>
  <c r="L348" i="7"/>
  <c r="L340" i="7"/>
  <c r="L336" i="7"/>
  <c r="L335" i="7"/>
  <c r="L302" i="7"/>
  <c r="L268" i="7"/>
  <c r="L266" i="7"/>
  <c r="L265" i="7"/>
  <c r="L219" i="7"/>
  <c r="L175" i="7"/>
  <c r="L173" i="7"/>
  <c r="L164" i="7"/>
  <c r="L163" i="7"/>
  <c r="L140" i="7"/>
  <c r="L136" i="7"/>
  <c r="L120" i="7"/>
  <c r="L67" i="7"/>
  <c r="L62" i="7"/>
  <c r="L56" i="7"/>
  <c r="L54" i="7"/>
  <c r="L36" i="7"/>
  <c r="L2" i="7"/>
  <c r="L1" i="7"/>
  <c r="L17" i="7"/>
  <c r="Z121" i="8"/>
  <c r="Z120" i="8"/>
  <c r="Z119" i="8"/>
  <c r="Z118" i="8"/>
  <c r="Z117" i="8"/>
  <c r="K700" i="7"/>
  <c r="K699" i="7"/>
  <c r="K698" i="7"/>
  <c r="K697" i="7"/>
  <c r="K696" i="7"/>
  <c r="K695" i="7"/>
  <c r="K694" i="7"/>
  <c r="K693" i="7"/>
  <c r="K692" i="7"/>
  <c r="K691" i="7"/>
  <c r="K690" i="7"/>
  <c r="K689" i="7"/>
  <c r="K688" i="7"/>
  <c r="K687" i="7"/>
  <c r="K686" i="7"/>
  <c r="K685" i="7"/>
  <c r="K684" i="7"/>
  <c r="K683" i="7"/>
  <c r="K682" i="7"/>
  <c r="K681" i="7"/>
  <c r="K680" i="7"/>
  <c r="K679" i="7"/>
  <c r="K678" i="7"/>
  <c r="K677" i="7"/>
  <c r="K676" i="7"/>
  <c r="K675" i="7"/>
  <c r="K674" i="7"/>
  <c r="K673" i="7"/>
  <c r="K672" i="7"/>
  <c r="K671" i="7"/>
  <c r="K670" i="7"/>
  <c r="K669" i="7"/>
  <c r="K668" i="7"/>
  <c r="K667" i="7"/>
  <c r="K666" i="7"/>
  <c r="K665" i="7"/>
  <c r="K664" i="7"/>
  <c r="K663" i="7"/>
  <c r="K662" i="7"/>
  <c r="K661" i="7"/>
  <c r="K660" i="7"/>
  <c r="K659" i="7"/>
  <c r="K658" i="7"/>
  <c r="K657" i="7"/>
  <c r="K656" i="7"/>
  <c r="K655" i="7"/>
  <c r="K654" i="7"/>
  <c r="K653" i="7"/>
  <c r="K652" i="7"/>
  <c r="K651" i="7"/>
  <c r="K650" i="7"/>
  <c r="K649" i="7"/>
  <c r="K648" i="7"/>
  <c r="K647" i="7"/>
  <c r="K646" i="7"/>
  <c r="K645" i="7"/>
  <c r="K644" i="7"/>
  <c r="K643" i="7"/>
  <c r="K642" i="7"/>
  <c r="K641" i="7"/>
  <c r="K640" i="7"/>
  <c r="K639" i="7"/>
  <c r="K638" i="7"/>
  <c r="K635" i="7"/>
  <c r="K634" i="7"/>
  <c r="K633" i="7"/>
  <c r="K632" i="7"/>
  <c r="K631" i="7"/>
  <c r="K630" i="7"/>
  <c r="K629" i="7"/>
  <c r="K628" i="7"/>
  <c r="K623" i="7"/>
  <c r="K622" i="7"/>
  <c r="K621" i="7"/>
  <c r="K620" i="7"/>
  <c r="K618" i="7"/>
  <c r="K617" i="7"/>
  <c r="K615" i="7"/>
  <c r="K614" i="7"/>
  <c r="K613" i="7"/>
  <c r="K611" i="7"/>
  <c r="K610" i="7"/>
  <c r="K609" i="7"/>
  <c r="K608" i="7"/>
  <c r="K607" i="7"/>
  <c r="K606" i="7"/>
  <c r="K605" i="7"/>
  <c r="K604" i="7"/>
  <c r="K603" i="7"/>
  <c r="K602" i="7"/>
  <c r="K601" i="7"/>
  <c r="K600" i="7"/>
  <c r="K599" i="7"/>
  <c r="K598" i="7"/>
  <c r="K597" i="7"/>
  <c r="K596" i="7"/>
  <c r="K595" i="7"/>
  <c r="K594" i="7"/>
  <c r="K593" i="7"/>
  <c r="K592" i="7"/>
  <c r="K591" i="7"/>
  <c r="K590" i="7"/>
  <c r="K589" i="7"/>
  <c r="K588" i="7"/>
  <c r="K586" i="7"/>
  <c r="K585" i="7"/>
  <c r="K584" i="7"/>
  <c r="K580" i="7"/>
  <c r="K579" i="7"/>
  <c r="K578" i="7"/>
  <c r="K577" i="7"/>
  <c r="K576" i="7"/>
  <c r="K575" i="7"/>
  <c r="K574" i="7"/>
  <c r="K573" i="7"/>
  <c r="K572" i="7"/>
  <c r="K571" i="7"/>
  <c r="K570" i="7"/>
  <c r="K564" i="7"/>
  <c r="K563" i="7"/>
  <c r="K562" i="7"/>
  <c r="K561" i="7"/>
  <c r="K560" i="7"/>
  <c r="K559" i="7"/>
  <c r="K558" i="7"/>
  <c r="K557" i="7"/>
  <c r="K556" i="7"/>
  <c r="K555" i="7"/>
  <c r="K554" i="7"/>
  <c r="K553" i="7"/>
  <c r="K551" i="7"/>
  <c r="K548" i="7"/>
  <c r="K547" i="7"/>
  <c r="K545" i="7"/>
  <c r="K544" i="7"/>
  <c r="K543" i="7"/>
  <c r="K542" i="7"/>
  <c r="K541" i="7"/>
  <c r="K540" i="7"/>
  <c r="K539" i="7"/>
  <c r="K538" i="7"/>
  <c r="K535" i="7"/>
  <c r="K530" i="7"/>
  <c r="K529" i="7"/>
  <c r="K526" i="7"/>
  <c r="K525" i="7"/>
  <c r="K524" i="7"/>
  <c r="K523" i="7"/>
  <c r="K522" i="7"/>
  <c r="K521" i="7"/>
  <c r="K519" i="7"/>
  <c r="K517" i="7"/>
  <c r="K516" i="7"/>
  <c r="K515" i="7"/>
  <c r="K514" i="7"/>
  <c r="K513" i="7"/>
  <c r="K512" i="7"/>
  <c r="K511" i="7"/>
  <c r="K510" i="7"/>
  <c r="K507" i="7"/>
  <c r="K506" i="7"/>
  <c r="K505" i="7"/>
  <c r="K503" i="7"/>
  <c r="K500" i="7"/>
  <c r="K498" i="7"/>
  <c r="K497" i="7"/>
  <c r="K495" i="7"/>
  <c r="K494" i="7"/>
  <c r="K493" i="7"/>
  <c r="K492" i="7"/>
  <c r="K491" i="7"/>
  <c r="K490" i="7"/>
  <c r="K486" i="7"/>
  <c r="K485" i="7"/>
  <c r="K484" i="7"/>
  <c r="K483" i="7"/>
  <c r="K481" i="7"/>
  <c r="K480" i="7"/>
  <c r="K474" i="7"/>
  <c r="K471" i="7"/>
  <c r="K470" i="7"/>
  <c r="K469" i="7"/>
  <c r="K459" i="7"/>
  <c r="K458" i="7"/>
  <c r="K451" i="7"/>
  <c r="K450" i="7"/>
  <c r="K449" i="7"/>
  <c r="K448" i="7"/>
  <c r="K446" i="7"/>
  <c r="K445" i="7"/>
  <c r="K444" i="7"/>
  <c r="K443" i="7"/>
  <c r="K440" i="7"/>
  <c r="K439" i="7"/>
  <c r="K435" i="7"/>
  <c r="K434" i="7"/>
  <c r="K433" i="7"/>
  <c r="K431" i="7"/>
  <c r="K426" i="7"/>
  <c r="K417" i="7"/>
  <c r="K414" i="7"/>
  <c r="K409" i="7"/>
  <c r="K404" i="7"/>
  <c r="K403" i="7"/>
  <c r="K402" i="7"/>
  <c r="K401" i="7"/>
  <c r="K398" i="7"/>
  <c r="K382" i="7"/>
  <c r="K381" i="7"/>
  <c r="K379" i="7"/>
  <c r="K378" i="7"/>
  <c r="K359" i="7"/>
  <c r="K357" i="7"/>
  <c r="K348" i="7"/>
  <c r="K340" i="7"/>
  <c r="K336" i="7"/>
  <c r="K335" i="7"/>
  <c r="K302" i="7"/>
  <c r="K268" i="7"/>
  <c r="K266" i="7"/>
  <c r="K265" i="7"/>
  <c r="K219" i="7"/>
  <c r="K175" i="7"/>
  <c r="K173" i="7"/>
  <c r="K164" i="7"/>
  <c r="K163" i="7"/>
  <c r="K140" i="7"/>
  <c r="K136" i="7"/>
  <c r="K120" i="7"/>
  <c r="K67" i="7"/>
  <c r="K62" i="7"/>
  <c r="K56" i="7"/>
  <c r="K54" i="7"/>
  <c r="K36" i="7"/>
  <c r="K2" i="7"/>
  <c r="K1" i="7"/>
  <c r="K17" i="7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I700" i="7"/>
  <c r="I699" i="7"/>
  <c r="I698" i="7"/>
  <c r="I697" i="7"/>
  <c r="I696" i="7"/>
  <c r="I695" i="7"/>
  <c r="I694" i="7"/>
  <c r="I693" i="7"/>
  <c r="I692" i="7"/>
  <c r="I691" i="7"/>
  <c r="I690" i="7"/>
  <c r="I689" i="7"/>
  <c r="I688" i="7"/>
  <c r="I687" i="7"/>
  <c r="I686" i="7"/>
  <c r="I685" i="7"/>
  <c r="I684" i="7"/>
  <c r="I683" i="7"/>
  <c r="I682" i="7"/>
  <c r="I681" i="7"/>
  <c r="I680" i="7"/>
  <c r="I679" i="7"/>
  <c r="I678" i="7"/>
  <c r="I677" i="7"/>
  <c r="I676" i="7"/>
  <c r="I675" i="7"/>
  <c r="I674" i="7"/>
  <c r="I673" i="7"/>
  <c r="I672" i="7"/>
  <c r="I671" i="7"/>
  <c r="I670" i="7"/>
  <c r="I669" i="7"/>
  <c r="I668" i="7"/>
  <c r="I667" i="7"/>
  <c r="I666" i="7"/>
  <c r="I665" i="7"/>
  <c r="I664" i="7"/>
  <c r="I663" i="7"/>
  <c r="I662" i="7"/>
  <c r="I661" i="7"/>
  <c r="I660" i="7"/>
  <c r="I659" i="7"/>
  <c r="I658" i="7"/>
  <c r="I657" i="7"/>
  <c r="I656" i="7"/>
  <c r="I655" i="7"/>
  <c r="I654" i="7"/>
  <c r="I653" i="7"/>
  <c r="I652" i="7"/>
  <c r="I651" i="7"/>
  <c r="I650" i="7"/>
  <c r="I649" i="7"/>
  <c r="I648" i="7"/>
  <c r="I647" i="7"/>
  <c r="I646" i="7"/>
  <c r="I645" i="7"/>
  <c r="I644" i="7"/>
  <c r="I643" i="7"/>
  <c r="I642" i="7"/>
  <c r="I641" i="7"/>
  <c r="I640" i="7"/>
  <c r="I639" i="7"/>
  <c r="I638" i="7"/>
  <c r="I637" i="7"/>
  <c r="I636" i="7"/>
  <c r="I635" i="7"/>
  <c r="I634" i="7"/>
  <c r="I633" i="7"/>
  <c r="I632" i="7"/>
  <c r="I631" i="7"/>
  <c r="I630" i="7"/>
  <c r="I629" i="7"/>
  <c r="I628" i="7"/>
  <c r="I627" i="7"/>
  <c r="I626" i="7"/>
  <c r="I625" i="7"/>
  <c r="I624" i="7"/>
  <c r="I623" i="7"/>
  <c r="I622" i="7"/>
  <c r="I621" i="7"/>
  <c r="I620" i="7"/>
  <c r="I618" i="7"/>
  <c r="I617" i="7"/>
  <c r="I615" i="7"/>
  <c r="I614" i="7"/>
  <c r="I613" i="7"/>
  <c r="I611" i="7"/>
  <c r="I610" i="7"/>
  <c r="I609" i="7"/>
  <c r="I608" i="7"/>
  <c r="I607" i="7"/>
  <c r="I606" i="7"/>
  <c r="I605" i="7"/>
  <c r="I604" i="7"/>
  <c r="I603" i="7"/>
  <c r="I602" i="7"/>
  <c r="I601" i="7"/>
  <c r="I600" i="7"/>
  <c r="I599" i="7"/>
  <c r="I598" i="7"/>
  <c r="I597" i="7"/>
  <c r="I596" i="7"/>
  <c r="I595" i="7"/>
  <c r="I594" i="7"/>
  <c r="I593" i="7"/>
  <c r="I592" i="7"/>
  <c r="I591" i="7"/>
  <c r="I590" i="7"/>
  <c r="I589" i="7"/>
  <c r="I588" i="7"/>
  <c r="I586" i="7"/>
  <c r="I585" i="7"/>
  <c r="I584" i="7"/>
  <c r="I583" i="7"/>
  <c r="I582" i="7"/>
  <c r="I581" i="7"/>
  <c r="I580" i="7"/>
  <c r="I579" i="7"/>
  <c r="I578" i="7"/>
  <c r="I577" i="7"/>
  <c r="I576" i="7"/>
  <c r="I575" i="7"/>
  <c r="I574" i="7"/>
  <c r="I573" i="7"/>
  <c r="I572" i="7"/>
  <c r="I571" i="7"/>
  <c r="I570" i="7"/>
  <c r="I569" i="7"/>
  <c r="I568" i="7"/>
  <c r="I567" i="7"/>
  <c r="I566" i="7"/>
  <c r="I565" i="7"/>
  <c r="I564" i="7"/>
  <c r="I563" i="7"/>
  <c r="I562" i="7"/>
  <c r="I561" i="7"/>
  <c r="I560" i="7"/>
  <c r="I559" i="7"/>
  <c r="I558" i="7"/>
  <c r="I557" i="7"/>
  <c r="I556" i="7"/>
  <c r="I555" i="7"/>
  <c r="I554" i="7"/>
  <c r="I553" i="7"/>
  <c r="I551" i="7"/>
  <c r="I550" i="7"/>
  <c r="I549" i="7"/>
  <c r="I548" i="7"/>
  <c r="I547" i="7"/>
  <c r="I546" i="7"/>
  <c r="I545" i="7"/>
  <c r="I544" i="7"/>
  <c r="I543" i="7"/>
  <c r="I542" i="7"/>
  <c r="I541" i="7"/>
  <c r="I540" i="7"/>
  <c r="I539" i="7"/>
  <c r="I538" i="7"/>
  <c r="I535" i="7"/>
  <c r="I530" i="7"/>
  <c r="I529" i="7"/>
  <c r="I526" i="7"/>
  <c r="I525" i="7"/>
  <c r="I524" i="7"/>
  <c r="I523" i="7"/>
  <c r="I522" i="7"/>
  <c r="I521" i="7"/>
  <c r="I519" i="7"/>
  <c r="I517" i="7"/>
  <c r="I516" i="7"/>
  <c r="I515" i="7"/>
  <c r="I514" i="7"/>
  <c r="I513" i="7"/>
  <c r="I512" i="7"/>
  <c r="I511" i="7"/>
  <c r="I510" i="7"/>
  <c r="I507" i="7"/>
  <c r="I506" i="7"/>
  <c r="I505" i="7"/>
  <c r="I503" i="7"/>
  <c r="I500" i="7"/>
  <c r="I498" i="7"/>
  <c r="I497" i="7"/>
  <c r="I495" i="7"/>
  <c r="I494" i="7"/>
  <c r="I493" i="7"/>
  <c r="I492" i="7"/>
  <c r="I491" i="7"/>
  <c r="I490" i="7"/>
  <c r="I486" i="7"/>
  <c r="I485" i="7"/>
  <c r="I484" i="7"/>
  <c r="I483" i="7"/>
  <c r="I481" i="7"/>
  <c r="I480" i="7"/>
  <c r="I474" i="7"/>
  <c r="I471" i="7"/>
  <c r="I470" i="7"/>
  <c r="I469" i="7"/>
  <c r="I459" i="7"/>
  <c r="I458" i="7"/>
  <c r="I451" i="7"/>
  <c r="I450" i="7"/>
  <c r="I449" i="7"/>
  <c r="I448" i="7"/>
  <c r="I446" i="7"/>
  <c r="I445" i="7"/>
  <c r="I444" i="7"/>
  <c r="I443" i="7"/>
  <c r="I440" i="7"/>
  <c r="I439" i="7"/>
  <c r="I435" i="7"/>
  <c r="I434" i="7"/>
  <c r="I433" i="7"/>
  <c r="I431" i="7"/>
  <c r="I426" i="7"/>
  <c r="I420" i="7"/>
  <c r="I417" i="7"/>
  <c r="I414" i="7"/>
  <c r="I409" i="7"/>
  <c r="I404" i="7"/>
  <c r="I403" i="7"/>
  <c r="I402" i="7"/>
  <c r="I401" i="7"/>
  <c r="I398" i="7"/>
  <c r="I382" i="7"/>
  <c r="I381" i="7"/>
  <c r="I379" i="7"/>
  <c r="I378" i="7"/>
  <c r="I359" i="7"/>
  <c r="I357" i="7"/>
  <c r="I348" i="7"/>
  <c r="I340" i="7"/>
  <c r="I336" i="7"/>
  <c r="I335" i="7"/>
  <c r="I302" i="7"/>
  <c r="I268" i="7"/>
  <c r="I266" i="7"/>
  <c r="I265" i="7"/>
  <c r="I219" i="7"/>
  <c r="I175" i="7"/>
  <c r="I173" i="7"/>
  <c r="I164" i="7"/>
  <c r="I163" i="7"/>
  <c r="I140" i="7"/>
  <c r="I136" i="7"/>
  <c r="I120" i="7"/>
  <c r="I67" i="7"/>
  <c r="I62" i="7"/>
  <c r="I56" i="7"/>
  <c r="I54" i="7"/>
  <c r="I36" i="7"/>
  <c r="I17" i="7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66" i="10"/>
  <c r="F65" i="10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64" i="10"/>
  <c r="F63" i="10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G520" i="7"/>
  <c r="G518" i="7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G1351" i="7"/>
  <c r="G1350" i="7"/>
  <c r="G1349" i="7"/>
  <c r="G1348" i="7"/>
  <c r="G1347" i="7"/>
  <c r="G1346" i="7"/>
  <c r="G1345" i="7"/>
  <c r="G1344" i="7"/>
  <c r="G1343" i="7"/>
  <c r="G1342" i="7"/>
  <c r="G1341" i="7"/>
  <c r="G1340" i="7"/>
  <c r="G1339" i="7"/>
  <c r="G1338" i="7"/>
  <c r="G1337" i="7"/>
  <c r="G1336" i="7"/>
  <c r="G1335" i="7"/>
  <c r="G1334" i="7"/>
  <c r="G1333" i="7"/>
  <c r="G1332" i="7"/>
  <c r="G1331" i="7"/>
  <c r="G1330" i="7"/>
  <c r="G1329" i="7"/>
  <c r="G1328" i="7"/>
  <c r="G1327" i="7"/>
  <c r="G1326" i="7"/>
  <c r="G1325" i="7"/>
  <c r="G1324" i="7"/>
  <c r="G1323" i="7"/>
  <c r="G1322" i="7"/>
  <c r="G1321" i="7"/>
  <c r="G1320" i="7"/>
  <c r="G1319" i="7"/>
  <c r="G1318" i="7"/>
  <c r="G1317" i="7"/>
  <c r="G1316" i="7"/>
  <c r="G1315" i="7"/>
  <c r="G1314" i="7"/>
  <c r="G1313" i="7"/>
  <c r="G1312" i="7"/>
  <c r="G1311" i="7"/>
  <c r="G1310" i="7"/>
  <c r="G1309" i="7"/>
  <c r="G1308" i="7"/>
  <c r="G1307" i="7"/>
  <c r="G1306" i="7"/>
  <c r="G1305" i="7"/>
  <c r="G1304" i="7"/>
  <c r="G1303" i="7"/>
  <c r="G1302" i="7"/>
  <c r="G1301" i="7"/>
  <c r="G1300" i="7"/>
  <c r="G1299" i="7"/>
  <c r="G1298" i="7"/>
  <c r="G1297" i="7"/>
  <c r="G1296" i="7"/>
  <c r="G1295" i="7"/>
  <c r="G1294" i="7"/>
  <c r="G1293" i="7"/>
  <c r="G1292" i="7"/>
  <c r="G1291" i="7"/>
  <c r="G1290" i="7"/>
  <c r="G1289" i="7"/>
  <c r="G1288" i="7"/>
  <c r="G1287" i="7"/>
  <c r="G1286" i="7"/>
  <c r="G1285" i="7"/>
  <c r="G1284" i="7"/>
  <c r="G1283" i="7"/>
  <c r="G1282" i="7"/>
  <c r="G1281" i="7"/>
  <c r="G1280" i="7"/>
  <c r="G1279" i="7"/>
  <c r="G1278" i="7"/>
  <c r="G1277" i="7"/>
  <c r="G1276" i="7"/>
  <c r="G1275" i="7"/>
  <c r="G1274" i="7"/>
  <c r="G1273" i="7"/>
  <c r="G1272" i="7"/>
  <c r="G1271" i="7"/>
  <c r="G1270" i="7"/>
  <c r="G1269" i="7"/>
  <c r="G1268" i="7"/>
  <c r="G1267" i="7"/>
  <c r="G1266" i="7"/>
  <c r="G1265" i="7"/>
  <c r="G1264" i="7"/>
  <c r="G1263" i="7"/>
  <c r="G1262" i="7"/>
  <c r="G1261" i="7"/>
  <c r="G1260" i="7"/>
  <c r="G1259" i="7"/>
  <c r="G1258" i="7"/>
  <c r="G1257" i="7"/>
  <c r="G1256" i="7"/>
  <c r="G1255" i="7"/>
  <c r="G1254" i="7"/>
  <c r="G1253" i="7"/>
  <c r="G1252" i="7"/>
  <c r="G1251" i="7"/>
  <c r="G1250" i="7"/>
  <c r="G1249" i="7"/>
  <c r="G1248" i="7"/>
  <c r="G1247" i="7"/>
  <c r="G1246" i="7"/>
  <c r="G1245" i="7"/>
  <c r="G1244" i="7"/>
  <c r="G1243" i="7"/>
  <c r="G1242" i="7"/>
  <c r="G1241" i="7"/>
  <c r="G1240" i="7"/>
  <c r="G1239" i="7"/>
  <c r="G1238" i="7"/>
  <c r="G1237" i="7"/>
  <c r="G1236" i="7"/>
  <c r="G1235" i="7"/>
  <c r="G1234" i="7"/>
  <c r="G1233" i="7"/>
  <c r="G1232" i="7"/>
  <c r="G1231" i="7"/>
  <c r="G1230" i="7"/>
  <c r="G1229" i="7"/>
  <c r="G1228" i="7"/>
  <c r="G1227" i="7"/>
  <c r="G1226" i="7"/>
  <c r="G1225" i="7"/>
  <c r="G1224" i="7"/>
  <c r="G1223" i="7"/>
  <c r="G1222" i="7"/>
  <c r="G1221" i="7"/>
  <c r="G1220" i="7"/>
  <c r="G1219" i="7"/>
  <c r="G1218" i="7"/>
  <c r="G1217" i="7"/>
  <c r="G1216" i="7"/>
  <c r="G1215" i="7"/>
  <c r="G1214" i="7"/>
  <c r="G1213" i="7"/>
  <c r="G1212" i="7"/>
  <c r="G1211" i="7"/>
  <c r="G1210" i="7"/>
  <c r="G1209" i="7"/>
  <c r="G1208" i="7"/>
  <c r="G1207" i="7"/>
  <c r="G1206" i="7"/>
  <c r="G1205" i="7"/>
  <c r="G1204" i="7"/>
  <c r="G1203" i="7"/>
  <c r="G1202" i="7"/>
  <c r="G1201" i="7"/>
  <c r="G1200" i="7"/>
  <c r="G1199" i="7"/>
  <c r="G1198" i="7"/>
  <c r="G1197" i="7"/>
  <c r="G1196" i="7"/>
  <c r="G1195" i="7"/>
  <c r="G1194" i="7"/>
  <c r="G1193" i="7"/>
  <c r="G1192" i="7"/>
  <c r="G1191" i="7"/>
  <c r="G1190" i="7"/>
  <c r="G1189" i="7"/>
  <c r="G1188" i="7"/>
  <c r="G1187" i="7"/>
  <c r="G1186" i="7"/>
  <c r="G1185" i="7"/>
  <c r="G1184" i="7"/>
  <c r="G1183" i="7"/>
  <c r="G1182" i="7"/>
  <c r="G1181" i="7"/>
  <c r="G1180" i="7"/>
  <c r="G1179" i="7"/>
  <c r="G1178" i="7"/>
  <c r="G1177" i="7"/>
  <c r="G1176" i="7"/>
  <c r="G1175" i="7"/>
  <c r="G1174" i="7"/>
  <c r="G1173" i="7"/>
  <c r="G1172" i="7"/>
  <c r="G1171" i="7"/>
  <c r="G1170" i="7"/>
  <c r="G1169" i="7"/>
  <c r="G1168" i="7"/>
  <c r="G1167" i="7"/>
  <c r="G1166" i="7"/>
  <c r="G1165" i="7"/>
  <c r="G1164" i="7"/>
  <c r="G1163" i="7"/>
  <c r="G1162" i="7"/>
  <c r="G1161" i="7"/>
  <c r="G1160" i="7"/>
  <c r="G1159" i="7"/>
  <c r="G1158" i="7"/>
  <c r="G1157" i="7"/>
  <c r="G1156" i="7"/>
  <c r="G1155" i="7"/>
  <c r="G1154" i="7"/>
  <c r="G1153" i="7"/>
  <c r="G1152" i="7"/>
  <c r="G1151" i="7"/>
  <c r="G1150" i="7"/>
  <c r="G1149" i="7"/>
  <c r="G1148" i="7"/>
  <c r="G1147" i="7"/>
  <c r="G1146" i="7"/>
  <c r="G1145" i="7"/>
  <c r="G1144" i="7"/>
  <c r="G1143" i="7"/>
  <c r="G1142" i="7"/>
  <c r="G1141" i="7"/>
  <c r="G1140" i="7"/>
  <c r="G1139" i="7"/>
  <c r="G1138" i="7"/>
  <c r="G1137" i="7"/>
  <c r="G1136" i="7"/>
  <c r="G1135" i="7"/>
  <c r="G1134" i="7"/>
  <c r="G1133" i="7"/>
  <c r="G1132" i="7"/>
  <c r="G1131" i="7"/>
  <c r="G1130" i="7"/>
  <c r="G1129" i="7"/>
  <c r="G1128" i="7"/>
  <c r="G1127" i="7"/>
  <c r="G1126" i="7"/>
  <c r="G1125" i="7"/>
  <c r="G1124" i="7"/>
  <c r="G1123" i="7"/>
  <c r="G1122" i="7"/>
  <c r="G1121" i="7"/>
  <c r="G1120" i="7"/>
  <c r="G1119" i="7"/>
  <c r="G1118" i="7"/>
  <c r="G1117" i="7"/>
  <c r="G1116" i="7"/>
  <c r="G1115" i="7"/>
  <c r="G1114" i="7"/>
  <c r="G1113" i="7"/>
  <c r="G1112" i="7"/>
  <c r="G1111" i="7"/>
  <c r="G1110" i="7"/>
  <c r="G1109" i="7"/>
  <c r="G1108" i="7"/>
  <c r="G1107" i="7"/>
  <c r="G1106" i="7"/>
  <c r="G1105" i="7"/>
  <c r="G1104" i="7"/>
  <c r="G1103" i="7"/>
  <c r="G1102" i="7"/>
  <c r="G1101" i="7"/>
  <c r="G1100" i="7"/>
  <c r="G1099" i="7"/>
  <c r="G1098" i="7"/>
  <c r="G1097" i="7"/>
  <c r="G1096" i="7"/>
  <c r="G1095" i="7"/>
  <c r="G1094" i="7"/>
  <c r="G1093" i="7"/>
  <c r="G1092" i="7"/>
  <c r="G1091" i="7"/>
  <c r="G1090" i="7"/>
  <c r="G1089" i="7"/>
  <c r="G1088" i="7"/>
  <c r="G1087" i="7"/>
  <c r="G1086" i="7"/>
  <c r="G1085" i="7"/>
  <c r="G1084" i="7"/>
  <c r="G1083" i="7"/>
  <c r="G1082" i="7"/>
  <c r="G1081" i="7"/>
  <c r="G1080" i="7"/>
  <c r="G1079" i="7"/>
  <c r="G1078" i="7"/>
  <c r="G1077" i="7"/>
  <c r="G1076" i="7"/>
  <c r="G1075" i="7"/>
  <c r="G1074" i="7"/>
  <c r="G1073" i="7"/>
  <c r="G1072" i="7"/>
  <c r="G1071" i="7"/>
  <c r="G1070" i="7"/>
  <c r="G1069" i="7"/>
  <c r="G1068" i="7"/>
  <c r="G1067" i="7"/>
  <c r="G1066" i="7"/>
  <c r="G1065" i="7"/>
  <c r="G1064" i="7"/>
  <c r="G1063" i="7"/>
  <c r="G1062" i="7"/>
  <c r="G1061" i="7"/>
  <c r="G1060" i="7"/>
  <c r="G1059" i="7"/>
  <c r="G1058" i="7"/>
  <c r="G1057" i="7"/>
  <c r="G1056" i="7"/>
  <c r="G1055" i="7"/>
  <c r="G1054" i="7"/>
  <c r="G1053" i="7"/>
  <c r="G1052" i="7"/>
  <c r="G1051" i="7"/>
  <c r="G1050" i="7"/>
  <c r="G1049" i="7"/>
  <c r="G1048" i="7"/>
  <c r="G1047" i="7"/>
  <c r="G1046" i="7"/>
  <c r="G1045" i="7"/>
  <c r="G1044" i="7"/>
  <c r="G1043" i="7"/>
  <c r="G1042" i="7"/>
  <c r="G1041" i="7"/>
  <c r="G1040" i="7"/>
  <c r="G1039" i="7"/>
  <c r="G1038" i="7"/>
  <c r="G1037" i="7"/>
  <c r="G1036" i="7"/>
  <c r="G1035" i="7"/>
  <c r="G1034" i="7"/>
  <c r="G1033" i="7"/>
  <c r="G1032" i="7"/>
  <c r="G1031" i="7"/>
  <c r="G1030" i="7"/>
  <c r="G1029" i="7"/>
  <c r="G1028" i="7"/>
  <c r="G1027" i="7"/>
  <c r="G1026" i="7"/>
  <c r="G1025" i="7"/>
  <c r="G1024" i="7"/>
  <c r="G1023" i="7"/>
  <c r="G1022" i="7"/>
  <c r="G1021" i="7"/>
  <c r="G1020" i="7"/>
  <c r="G1019" i="7"/>
  <c r="G1018" i="7"/>
  <c r="G1017" i="7"/>
  <c r="G1016" i="7"/>
  <c r="G1015" i="7"/>
  <c r="G1014" i="7"/>
  <c r="G1013" i="7"/>
  <c r="G1012" i="7"/>
  <c r="G1011" i="7"/>
  <c r="G1010" i="7"/>
  <c r="G1009" i="7"/>
  <c r="G1008" i="7"/>
  <c r="G1007" i="7"/>
  <c r="G1006" i="7"/>
  <c r="G1005" i="7"/>
  <c r="G1004" i="7"/>
  <c r="G1003" i="7"/>
  <c r="G1002" i="7"/>
  <c r="G1001" i="7"/>
  <c r="G1000" i="7"/>
  <c r="G999" i="7"/>
  <c r="G998" i="7"/>
  <c r="G997" i="7"/>
  <c r="G996" i="7"/>
  <c r="G995" i="7"/>
  <c r="G994" i="7"/>
  <c r="G993" i="7"/>
  <c r="G992" i="7"/>
  <c r="G991" i="7"/>
  <c r="G990" i="7"/>
  <c r="G989" i="7"/>
  <c r="G988" i="7"/>
  <c r="G987" i="7"/>
  <c r="G986" i="7"/>
  <c r="G985" i="7"/>
  <c r="G984" i="7"/>
  <c r="G983" i="7"/>
  <c r="G982" i="7"/>
  <c r="G981" i="7"/>
  <c r="G980" i="7"/>
  <c r="G979" i="7"/>
  <c r="G978" i="7"/>
  <c r="G977" i="7"/>
  <c r="G976" i="7"/>
  <c r="G975" i="7"/>
  <c r="G974" i="7"/>
  <c r="G973" i="7"/>
  <c r="G972" i="7"/>
  <c r="G971" i="7"/>
  <c r="G970" i="7"/>
  <c r="G969" i="7"/>
  <c r="G968" i="7"/>
  <c r="G967" i="7"/>
  <c r="G966" i="7"/>
  <c r="G965" i="7"/>
  <c r="G964" i="7"/>
  <c r="G963" i="7"/>
  <c r="G962" i="7"/>
  <c r="G961" i="7"/>
  <c r="G960" i="7"/>
  <c r="G959" i="7"/>
  <c r="G958" i="7"/>
  <c r="G957" i="7"/>
  <c r="G956" i="7"/>
  <c r="G955" i="7"/>
  <c r="G954" i="7"/>
  <c r="G953" i="7"/>
  <c r="G952" i="7"/>
  <c r="G951" i="7"/>
  <c r="G950" i="7"/>
  <c r="G949" i="7"/>
  <c r="G948" i="7"/>
  <c r="G947" i="7"/>
  <c r="G946" i="7"/>
  <c r="G945" i="7"/>
  <c r="G944" i="7"/>
  <c r="G943" i="7"/>
  <c r="G942" i="7"/>
  <c r="G941" i="7"/>
  <c r="G940" i="7"/>
  <c r="G939" i="7"/>
  <c r="G938" i="7"/>
  <c r="G937" i="7"/>
  <c r="G936" i="7"/>
  <c r="G935" i="7"/>
  <c r="G934" i="7"/>
  <c r="G933" i="7"/>
  <c r="G932" i="7"/>
  <c r="G931" i="7"/>
  <c r="G930" i="7"/>
  <c r="G929" i="7"/>
  <c r="G928" i="7"/>
  <c r="G927" i="7"/>
  <c r="G926" i="7"/>
  <c r="G925" i="7"/>
  <c r="G924" i="7"/>
  <c r="G923" i="7"/>
  <c r="G922" i="7"/>
  <c r="G921" i="7"/>
  <c r="G920" i="7"/>
  <c r="G919" i="7"/>
  <c r="G918" i="7"/>
  <c r="G917" i="7"/>
  <c r="G916" i="7"/>
  <c r="G915" i="7"/>
  <c r="G914" i="7"/>
  <c r="G913" i="7"/>
  <c r="G912" i="7"/>
  <c r="G911" i="7"/>
  <c r="G910" i="7"/>
  <c r="G909" i="7"/>
  <c r="G908" i="7"/>
  <c r="G907" i="7"/>
  <c r="G906" i="7"/>
  <c r="G905" i="7"/>
  <c r="G904" i="7"/>
  <c r="G903" i="7"/>
  <c r="G902" i="7"/>
  <c r="G901" i="7"/>
  <c r="G900" i="7"/>
  <c r="G899" i="7"/>
  <c r="G898" i="7"/>
  <c r="G897" i="7"/>
  <c r="G896" i="7"/>
  <c r="G895" i="7"/>
  <c r="G894" i="7"/>
  <c r="G893" i="7"/>
  <c r="G892" i="7"/>
  <c r="G891" i="7"/>
  <c r="G890" i="7"/>
  <c r="G889" i="7"/>
  <c r="G888" i="7"/>
  <c r="G887" i="7"/>
  <c r="G886" i="7"/>
  <c r="G885" i="7"/>
  <c r="G884" i="7"/>
  <c r="G883" i="7"/>
  <c r="G882" i="7"/>
  <c r="G881" i="7"/>
  <c r="G880" i="7"/>
  <c r="G879" i="7"/>
  <c r="G878" i="7"/>
  <c r="G877" i="7"/>
  <c r="G876" i="7"/>
  <c r="G875" i="7"/>
  <c r="G874" i="7"/>
  <c r="G873" i="7"/>
  <c r="G872" i="7"/>
  <c r="G871" i="7"/>
  <c r="G870" i="7"/>
  <c r="G869" i="7"/>
  <c r="G868" i="7"/>
  <c r="G867" i="7"/>
  <c r="G866" i="7"/>
  <c r="G865" i="7"/>
  <c r="G864" i="7"/>
  <c r="G863" i="7"/>
  <c r="G862" i="7"/>
  <c r="G861" i="7"/>
  <c r="G860" i="7"/>
  <c r="G859" i="7"/>
  <c r="G858" i="7"/>
  <c r="G857" i="7"/>
  <c r="G856" i="7"/>
  <c r="G855" i="7"/>
  <c r="G854" i="7"/>
  <c r="G853" i="7"/>
  <c r="G852" i="7"/>
  <c r="G851" i="7"/>
  <c r="G850" i="7"/>
  <c r="G849" i="7"/>
  <c r="G848" i="7"/>
  <c r="G847" i="7"/>
  <c r="G846" i="7"/>
  <c r="G845" i="7"/>
  <c r="G844" i="7"/>
  <c r="G843" i="7"/>
  <c r="G842" i="7"/>
  <c r="G841" i="7"/>
  <c r="G840" i="7"/>
  <c r="G839" i="7"/>
  <c r="G838" i="7"/>
  <c r="G837" i="7"/>
  <c r="G836" i="7"/>
  <c r="G835" i="7"/>
  <c r="G834" i="7"/>
  <c r="G833" i="7"/>
  <c r="G832" i="7"/>
  <c r="G831" i="7"/>
  <c r="G830" i="7"/>
  <c r="G829" i="7"/>
  <c r="G828" i="7"/>
  <c r="G827" i="7"/>
  <c r="G826" i="7"/>
  <c r="G825" i="7"/>
  <c r="G824" i="7"/>
  <c r="G823" i="7"/>
  <c r="G822" i="7"/>
  <c r="G821" i="7"/>
  <c r="G820" i="7"/>
  <c r="G819" i="7"/>
  <c r="G818" i="7"/>
  <c r="G817" i="7"/>
  <c r="G816" i="7"/>
  <c r="G815" i="7"/>
  <c r="G814" i="7"/>
  <c r="G813" i="7"/>
  <c r="G812" i="7"/>
  <c r="G811" i="7"/>
  <c r="G810" i="7"/>
  <c r="G809" i="7"/>
  <c r="G808" i="7"/>
  <c r="G807" i="7"/>
  <c r="G806" i="7"/>
  <c r="G805" i="7"/>
  <c r="G804" i="7"/>
  <c r="G803" i="7"/>
  <c r="G802" i="7"/>
  <c r="G801" i="7"/>
  <c r="G800" i="7"/>
  <c r="G799" i="7"/>
  <c r="G798" i="7"/>
  <c r="G797" i="7"/>
  <c r="G796" i="7"/>
  <c r="G795" i="7"/>
  <c r="G794" i="7"/>
  <c r="G793" i="7"/>
  <c r="G792" i="7"/>
  <c r="G791" i="7"/>
  <c r="G790" i="7"/>
  <c r="G789" i="7"/>
  <c r="G788" i="7"/>
  <c r="G787" i="7"/>
  <c r="G786" i="7"/>
  <c r="G785" i="7"/>
  <c r="G784" i="7"/>
  <c r="G783" i="7"/>
  <c r="G782" i="7"/>
  <c r="G781" i="7"/>
  <c r="G780" i="7"/>
  <c r="G779" i="7"/>
  <c r="G778" i="7"/>
  <c r="G777" i="7"/>
  <c r="G776" i="7"/>
  <c r="G775" i="7"/>
  <c r="G774" i="7"/>
  <c r="G773" i="7"/>
  <c r="G772" i="7"/>
  <c r="G771" i="7"/>
  <c r="G770" i="7"/>
  <c r="G769" i="7"/>
  <c r="G768" i="7"/>
  <c r="G767" i="7"/>
  <c r="G766" i="7"/>
  <c r="G765" i="7"/>
  <c r="G764" i="7"/>
  <c r="G763" i="7"/>
  <c r="G762" i="7"/>
  <c r="G761" i="7"/>
  <c r="G760" i="7"/>
  <c r="G759" i="7"/>
  <c r="G758" i="7"/>
  <c r="G757" i="7"/>
  <c r="G756" i="7"/>
  <c r="G755" i="7"/>
  <c r="G754" i="7"/>
  <c r="G753" i="7"/>
  <c r="G752" i="7"/>
  <c r="G751" i="7"/>
  <c r="G750" i="7"/>
  <c r="G749" i="7"/>
  <c r="G746" i="7"/>
  <c r="G748" i="7"/>
  <c r="G591" i="7"/>
  <c r="G494" i="7"/>
  <c r="G685" i="7"/>
  <c r="G493" i="7"/>
  <c r="G742" i="7"/>
  <c r="G381" i="7"/>
  <c r="G675" i="7"/>
  <c r="G745" i="7"/>
  <c r="G555" i="7"/>
  <c r="G737" i="7"/>
  <c r="G554" i="7"/>
  <c r="G558" i="7"/>
  <c r="G379" i="7"/>
  <c r="G378" i="7"/>
  <c r="G557" i="7"/>
  <c r="G547" i="7"/>
  <c r="G551" i="7"/>
  <c r="G359" i="7"/>
  <c r="G519" i="7"/>
  <c r="G727" i="7"/>
  <c r="G402" i="7"/>
  <c r="G603" i="7"/>
  <c r="G511" i="7"/>
  <c r="G723" i="7"/>
  <c r="G629" i="7"/>
  <c r="G706" i="7"/>
  <c r="G700" i="7"/>
  <c r="G698" i="7"/>
  <c r="G440" i="7"/>
  <c r="G348" i="7"/>
  <c r="G340" i="7"/>
  <c r="G588" i="7"/>
  <c r="G633" i="7"/>
  <c r="G602" i="7"/>
  <c r="G683" i="7"/>
  <c r="G644" i="7"/>
  <c r="G657" i="7"/>
  <c r="G560" i="7"/>
  <c r="G336" i="7"/>
  <c r="G692" i="7"/>
  <c r="G674" i="7"/>
  <c r="G635" i="7"/>
  <c r="G335" i="7"/>
  <c r="G401" i="7"/>
  <c r="G510" i="7"/>
  <c r="G435" i="7"/>
  <c r="G590" i="7"/>
  <c r="G682" i="7"/>
  <c r="G632" i="7"/>
  <c r="G676" i="7"/>
  <c r="G610" i="7"/>
  <c r="G434" i="7"/>
  <c r="G589" i="7"/>
  <c r="G705" i="7"/>
  <c r="G720" i="7"/>
  <c r="G623" i="7"/>
  <c r="G500" i="7"/>
  <c r="G507" i="7"/>
  <c r="G639" i="7"/>
  <c r="G726" i="7"/>
  <c r="G492" i="7"/>
  <c r="G491" i="7"/>
  <c r="G586" i="7"/>
  <c r="G681" i="7"/>
  <c r="G486" i="7"/>
  <c r="G673" i="7"/>
  <c r="G735" i="7"/>
  <c r="G687" i="7"/>
  <c r="G725" i="7"/>
  <c r="G677" i="7"/>
  <c r="G484" i="7"/>
  <c r="G483" i="7"/>
  <c r="G480" i="7"/>
  <c r="G724" i="7"/>
  <c r="G474" i="7"/>
  <c r="G670" i="7"/>
  <c r="G471" i="7"/>
  <c r="G686" i="7"/>
  <c r="G470" i="7"/>
  <c r="G667" i="7"/>
  <c r="G656" i="7"/>
  <c r="G506" i="7"/>
  <c r="G545" i="7"/>
  <c r="G638" i="7"/>
  <c r="G601" i="7"/>
  <c r="G544" i="7"/>
  <c r="G699" i="7"/>
  <c r="G732" i="7"/>
  <c r="G672" i="7"/>
  <c r="G445" i="7"/>
  <c r="G643" i="7"/>
  <c r="G722" i="7"/>
  <c r="G654" i="7"/>
  <c r="G653" i="7"/>
  <c r="G652" i="7"/>
  <c r="G539" i="7"/>
  <c r="G444" i="7"/>
  <c r="G649" i="7"/>
  <c r="G648" i="7"/>
  <c r="G433" i="7"/>
  <c r="G302" i="7"/>
  <c r="G268" i="7"/>
  <c r="G741" i="7"/>
  <c r="G556" i="7"/>
  <c r="G730" i="7"/>
  <c r="G584" i="7"/>
  <c r="G498" i="7"/>
  <c r="G709" i="7"/>
  <c r="G548" i="7"/>
  <c r="G637" i="7"/>
  <c r="G636" i="7"/>
  <c r="G535" i="7"/>
  <c r="G530" i="7"/>
  <c r="G580" i="7"/>
  <c r="G579" i="7"/>
  <c r="G628" i="7"/>
  <c r="G740" i="7"/>
  <c r="G600" i="7"/>
  <c r="G647" i="7"/>
  <c r="G634" i="7"/>
  <c r="G626" i="7"/>
  <c r="G490" i="7"/>
  <c r="G719" i="7"/>
  <c r="G642" i="7"/>
  <c r="G529" i="7"/>
  <c r="G622" i="7"/>
  <c r="G684" i="7"/>
  <c r="G619" i="7"/>
  <c r="G621" i="7"/>
  <c r="G559" i="7"/>
  <c r="G616" i="7"/>
  <c r="G713" i="7"/>
  <c r="G583" i="7"/>
  <c r="G691" i="7"/>
  <c r="G612" i="7"/>
  <c r="G543" i="7"/>
  <c r="G718" i="7"/>
  <c r="G515" i="7"/>
  <c r="G662" i="7"/>
  <c r="G595" i="7"/>
  <c r="G609" i="7"/>
  <c r="G398" i="7"/>
  <c r="G574" i="7"/>
  <c r="G420" i="7"/>
  <c r="G678" i="7"/>
  <c r="G569" i="7"/>
  <c r="G594" i="7"/>
  <c r="G573" i="7"/>
  <c r="G517" i="7"/>
  <c r="G671" i="7"/>
  <c r="G620" i="7"/>
  <c r="G618" i="7"/>
  <c r="G697" i="7"/>
  <c r="G712" i="7"/>
  <c r="G661" i="7"/>
  <c r="G641" i="7"/>
  <c r="G357" i="7"/>
  <c r="G550" i="7"/>
  <c r="G717" i="7"/>
  <c r="G587" i="7"/>
  <c r="G631" i="7"/>
  <c r="G669" i="7"/>
  <c r="G526" i="7"/>
  <c r="G599" i="7"/>
  <c r="G443" i="7"/>
  <c r="G578" i="7"/>
  <c r="G431" i="7"/>
  <c r="G668" i="7"/>
  <c r="G534" i="7"/>
  <c r="G522" i="7"/>
  <c r="G680" i="7"/>
  <c r="G690" i="7"/>
  <c r="G582" i="7"/>
  <c r="G516" i="7"/>
  <c r="G568" i="7"/>
  <c r="G549" i="7"/>
  <c r="G716" i="7"/>
  <c r="G696" i="7"/>
  <c r="G729" i="7"/>
  <c r="G537" i="7"/>
  <c r="G734" i="7"/>
  <c r="G711" i="7"/>
  <c r="G605" i="7"/>
  <c r="G627" i="7"/>
  <c r="G739" i="7"/>
  <c r="G485" i="7"/>
  <c r="G266" i="7"/>
  <c r="G585" i="7"/>
  <c r="G525" i="7"/>
  <c r="G617" i="7"/>
  <c r="G646" i="7"/>
  <c r="G409" i="7"/>
  <c r="G593" i="7"/>
  <c r="G572" i="7"/>
  <c r="G552" i="7"/>
  <c r="G505" i="7"/>
  <c r="G625" i="7"/>
  <c r="G508" i="7"/>
  <c r="G571" i="7"/>
  <c r="G679" i="7"/>
  <c r="G577" i="7"/>
  <c r="G608" i="7"/>
  <c r="G542" i="7"/>
  <c r="G514" i="7"/>
  <c r="G598" i="7"/>
  <c r="G655" i="7"/>
  <c r="G689" i="7"/>
  <c r="G615" i="7"/>
  <c r="G570" i="7"/>
  <c r="G624" i="7"/>
  <c r="G666" i="7"/>
  <c r="G567" i="7"/>
  <c r="G715" i="7"/>
  <c r="G645" i="7"/>
  <c r="G564" i="7"/>
  <c r="G738" i="7"/>
  <c r="G524" i="7"/>
  <c r="G533" i="7"/>
  <c r="G528" i="7"/>
  <c r="G527" i="7"/>
  <c r="G747" i="7"/>
  <c r="G714" i="7"/>
  <c r="G532" i="7"/>
  <c r="G576" i="7"/>
  <c r="G265" i="7"/>
  <c r="G665" i="7"/>
  <c r="G651" i="7"/>
  <c r="G553" i="7"/>
  <c r="G541" i="7"/>
  <c r="G614" i="7"/>
  <c r="G513" i="7"/>
  <c r="G695" i="7"/>
  <c r="G466" i="7"/>
  <c r="G538" i="7"/>
  <c r="G704" i="7"/>
  <c r="G509" i="7"/>
  <c r="G347" i="7"/>
  <c r="G703" i="7"/>
  <c r="G744" i="7"/>
  <c r="G531" i="7"/>
  <c r="G504" i="7"/>
  <c r="G219" i="7"/>
  <c r="G502" i="7"/>
  <c r="G501" i="7"/>
  <c r="G702" i="7"/>
  <c r="G743" i="7"/>
  <c r="G736" i="7"/>
  <c r="G733" i="7"/>
  <c r="G496" i="7"/>
  <c r="G731" i="7"/>
  <c r="G728" i="7"/>
  <c r="G499" i="7"/>
  <c r="G721" i="7"/>
  <c r="G710" i="7"/>
  <c r="G708" i="7"/>
  <c r="G489" i="7"/>
  <c r="G488" i="7"/>
  <c r="G487" i="7"/>
  <c r="G707" i="7"/>
  <c r="G701" i="7"/>
  <c r="G581" i="7"/>
  <c r="G694" i="7"/>
  <c r="G482" i="7"/>
  <c r="G693" i="7"/>
  <c r="G688" i="7"/>
  <c r="G479" i="7"/>
  <c r="G478" i="7"/>
  <c r="G477" i="7"/>
  <c r="G476" i="7"/>
  <c r="G475" i="7"/>
  <c r="G597" i="7"/>
  <c r="G473" i="7"/>
  <c r="G472" i="7"/>
  <c r="G596" i="7"/>
  <c r="G658" i="7"/>
  <c r="G566" i="7"/>
  <c r="G468" i="7"/>
  <c r="G467" i="7"/>
  <c r="G536" i="7"/>
  <c r="G465" i="7"/>
  <c r="G464" i="7"/>
  <c r="G463" i="7"/>
  <c r="G462" i="7"/>
  <c r="G461" i="7"/>
  <c r="G565" i="7"/>
  <c r="G575" i="7"/>
  <c r="G664" i="7"/>
  <c r="G457" i="7"/>
  <c r="G456" i="7"/>
  <c r="G455" i="7"/>
  <c r="G454" i="7"/>
  <c r="G453" i="7"/>
  <c r="G452" i="7"/>
  <c r="G663" i="7"/>
  <c r="G660" i="7"/>
  <c r="G659" i="7"/>
  <c r="G546" i="7"/>
  <c r="G447" i="7"/>
  <c r="G650" i="7"/>
  <c r="G460" i="7"/>
  <c r="G640" i="7"/>
  <c r="G630" i="7"/>
  <c r="G442" i="7"/>
  <c r="G441" i="7"/>
  <c r="G613" i="7"/>
  <c r="G611" i="7"/>
  <c r="G438" i="7"/>
  <c r="G437" i="7"/>
  <c r="G436" i="7"/>
  <c r="G607" i="7"/>
  <c r="G606" i="7"/>
  <c r="G604" i="7"/>
  <c r="G432" i="7"/>
  <c r="G592" i="7"/>
  <c r="G430" i="7"/>
  <c r="G429" i="7"/>
  <c r="G428" i="7"/>
  <c r="G427" i="7"/>
  <c r="G563" i="7"/>
  <c r="G425" i="7"/>
  <c r="G424" i="7"/>
  <c r="G423" i="7"/>
  <c r="G422" i="7"/>
  <c r="G421" i="7"/>
  <c r="G562" i="7"/>
  <c r="G419" i="7"/>
  <c r="G418" i="7"/>
  <c r="G561" i="7"/>
  <c r="G481" i="7"/>
  <c r="G415" i="7"/>
  <c r="G540" i="7"/>
  <c r="G413" i="7"/>
  <c r="G412" i="7"/>
  <c r="G411" i="7"/>
  <c r="G410" i="7"/>
  <c r="G416" i="7"/>
  <c r="G408" i="7"/>
  <c r="G407" i="7"/>
  <c r="G406" i="7"/>
  <c r="G405" i="7"/>
  <c r="G523" i="7"/>
  <c r="G512" i="7"/>
  <c r="G521" i="7"/>
  <c r="G439" i="7"/>
  <c r="G400" i="7"/>
  <c r="G399" i="7"/>
  <c r="G503" i="7"/>
  <c r="G397" i="7"/>
  <c r="G396" i="7"/>
  <c r="G395" i="7"/>
  <c r="G394" i="7"/>
  <c r="G393" i="7"/>
  <c r="G392" i="7"/>
  <c r="G391" i="7"/>
  <c r="G390" i="7"/>
  <c r="G389" i="7"/>
  <c r="G388" i="7"/>
  <c r="G387" i="7"/>
  <c r="G386" i="7"/>
  <c r="G385" i="7"/>
  <c r="G384" i="7"/>
  <c r="G383" i="7"/>
  <c r="G426" i="7"/>
  <c r="G497" i="7"/>
  <c r="G380" i="7"/>
  <c r="G495" i="7"/>
  <c r="G417" i="7"/>
  <c r="G377" i="7"/>
  <c r="G376" i="7"/>
  <c r="G375" i="7"/>
  <c r="G374" i="7"/>
  <c r="G373" i="7"/>
  <c r="G372" i="7"/>
  <c r="G371" i="7"/>
  <c r="G370" i="7"/>
  <c r="G369" i="7"/>
  <c r="G368" i="7"/>
  <c r="G367" i="7"/>
  <c r="G366" i="7"/>
  <c r="G365" i="7"/>
  <c r="G364" i="7"/>
  <c r="G363" i="7"/>
  <c r="G362" i="7"/>
  <c r="G361" i="7"/>
  <c r="G360" i="7"/>
  <c r="G414" i="7"/>
  <c r="G358" i="7"/>
  <c r="G469" i="7"/>
  <c r="G356" i="7"/>
  <c r="G355" i="7"/>
  <c r="G354" i="7"/>
  <c r="G353" i="7"/>
  <c r="G352" i="7"/>
  <c r="G351" i="7"/>
  <c r="G350" i="7"/>
  <c r="G349" i="7"/>
  <c r="G459" i="7"/>
  <c r="G458" i="7"/>
  <c r="G346" i="7"/>
  <c r="G345" i="7"/>
  <c r="G344" i="7"/>
  <c r="G343" i="7"/>
  <c r="G342" i="7"/>
  <c r="G341" i="7"/>
  <c r="G451" i="7"/>
  <c r="G339" i="7"/>
  <c r="G338" i="7"/>
  <c r="G337" i="7"/>
  <c r="G450" i="7"/>
  <c r="G449" i="7"/>
  <c r="G334" i="7"/>
  <c r="G333" i="7"/>
  <c r="G332" i="7"/>
  <c r="G331" i="7"/>
  <c r="G330" i="7"/>
  <c r="G329" i="7"/>
  <c r="G328" i="7"/>
  <c r="G327" i="7"/>
  <c r="G326" i="7"/>
  <c r="G325" i="7"/>
  <c r="G324" i="7"/>
  <c r="G323" i="7"/>
  <c r="G322" i="7"/>
  <c r="G321" i="7"/>
  <c r="G320" i="7"/>
  <c r="G319" i="7"/>
  <c r="G318" i="7"/>
  <c r="G317" i="7"/>
  <c r="G316" i="7"/>
  <c r="G315" i="7"/>
  <c r="G314" i="7"/>
  <c r="G313" i="7"/>
  <c r="G312" i="7"/>
  <c r="G311" i="7"/>
  <c r="G310" i="7"/>
  <c r="G309" i="7"/>
  <c r="G308" i="7"/>
  <c r="G307" i="7"/>
  <c r="G306" i="7"/>
  <c r="G305" i="7"/>
  <c r="G304" i="7"/>
  <c r="G303" i="7"/>
  <c r="G448" i="7"/>
  <c r="G301" i="7"/>
  <c r="G300" i="7"/>
  <c r="G299" i="7"/>
  <c r="G298" i="7"/>
  <c r="G297" i="7"/>
  <c r="G296" i="7"/>
  <c r="G295" i="7"/>
  <c r="G294" i="7"/>
  <c r="G293" i="7"/>
  <c r="G292" i="7"/>
  <c r="G291" i="7"/>
  <c r="G290" i="7"/>
  <c r="G289" i="7"/>
  <c r="G288" i="7"/>
  <c r="G287" i="7"/>
  <c r="G286" i="7"/>
  <c r="G285" i="7"/>
  <c r="G284" i="7"/>
  <c r="G283" i="7"/>
  <c r="G282" i="7"/>
  <c r="G281" i="7"/>
  <c r="G280" i="7"/>
  <c r="G279" i="7"/>
  <c r="G278" i="7"/>
  <c r="G277" i="7"/>
  <c r="G276" i="7"/>
  <c r="G275" i="7"/>
  <c r="G274" i="7"/>
  <c r="G273" i="7"/>
  <c r="G272" i="7"/>
  <c r="G271" i="7"/>
  <c r="G270" i="7"/>
  <c r="G269" i="7"/>
  <c r="G446" i="7"/>
  <c r="G267" i="7"/>
  <c r="G404" i="7"/>
  <c r="G403" i="7"/>
  <c r="G264" i="7"/>
  <c r="G263" i="7"/>
  <c r="G262" i="7"/>
  <c r="G261" i="7"/>
  <c r="G260" i="7"/>
  <c r="G259" i="7"/>
  <c r="G258" i="7"/>
  <c r="G257" i="7"/>
  <c r="G256" i="7"/>
  <c r="G255" i="7"/>
  <c r="G254" i="7"/>
  <c r="G253" i="7"/>
  <c r="G252" i="7"/>
  <c r="G251" i="7"/>
  <c r="G250" i="7"/>
  <c r="G249" i="7"/>
  <c r="G248" i="7"/>
  <c r="G247" i="7"/>
  <c r="G246" i="7"/>
  <c r="G245" i="7"/>
  <c r="G244" i="7"/>
  <c r="G243" i="7"/>
  <c r="G242" i="7"/>
  <c r="G241" i="7"/>
  <c r="G240" i="7"/>
  <c r="G239" i="7"/>
  <c r="G238" i="7"/>
  <c r="G237" i="7"/>
  <c r="G236" i="7"/>
  <c r="G235" i="7"/>
  <c r="G234" i="7"/>
  <c r="G233" i="7"/>
  <c r="G232" i="7"/>
  <c r="G231" i="7"/>
  <c r="G230" i="7"/>
  <c r="G229" i="7"/>
  <c r="G228" i="7"/>
  <c r="G227" i="7"/>
  <c r="G226" i="7"/>
  <c r="G225" i="7"/>
  <c r="G224" i="7"/>
  <c r="G223" i="7"/>
  <c r="G222" i="7"/>
  <c r="G221" i="7"/>
  <c r="G220" i="7"/>
  <c r="G382" i="7"/>
  <c r="G218" i="7"/>
  <c r="G217" i="7"/>
  <c r="G216" i="7"/>
  <c r="G215" i="7"/>
  <c r="G214" i="7"/>
  <c r="G213" i="7"/>
  <c r="G212" i="7"/>
  <c r="G211" i="7"/>
  <c r="G210" i="7"/>
  <c r="G209" i="7"/>
  <c r="G208" i="7"/>
  <c r="G207" i="7"/>
  <c r="G206" i="7"/>
  <c r="G205" i="7"/>
  <c r="G204" i="7"/>
  <c r="G203" i="7"/>
  <c r="G202" i="7"/>
  <c r="G201" i="7"/>
  <c r="G200" i="7"/>
  <c r="G199" i="7"/>
  <c r="G198" i="7"/>
  <c r="G197" i="7"/>
  <c r="G196" i="7"/>
  <c r="G195" i="7"/>
  <c r="G194" i="7"/>
  <c r="G193" i="7"/>
  <c r="G192" i="7"/>
  <c r="G191" i="7"/>
  <c r="G190" i="7"/>
  <c r="G189" i="7"/>
  <c r="G188" i="7"/>
  <c r="G187" i="7"/>
  <c r="G186" i="7"/>
  <c r="G185" i="7"/>
  <c r="G184" i="7"/>
  <c r="G183" i="7"/>
  <c r="G182" i="7"/>
  <c r="G181" i="7"/>
  <c r="G180" i="7"/>
  <c r="G179" i="7"/>
  <c r="G178" i="7"/>
  <c r="G177" i="7"/>
  <c r="G176" i="7"/>
  <c r="G175" i="7"/>
  <c r="G174" i="7"/>
  <c r="G173" i="7"/>
  <c r="G172" i="7"/>
  <c r="G171" i="7"/>
  <c r="G170" i="7"/>
  <c r="G169" i="7"/>
  <c r="G168" i="7"/>
  <c r="G167" i="7"/>
  <c r="G166" i="7"/>
  <c r="G165" i="7"/>
  <c r="G164" i="7"/>
  <c r="G163" i="7"/>
  <c r="G162" i="7"/>
  <c r="G161" i="7"/>
  <c r="G160" i="7"/>
  <c r="G159" i="7"/>
  <c r="G158" i="7"/>
  <c r="G157" i="7"/>
  <c r="G156" i="7"/>
  <c r="G155" i="7"/>
  <c r="G154" i="7"/>
  <c r="G153" i="7"/>
  <c r="G152" i="7"/>
  <c r="G151" i="7"/>
  <c r="G150" i="7"/>
  <c r="G149" i="7"/>
  <c r="G148" i="7"/>
  <c r="G147" i="7"/>
  <c r="G146" i="7"/>
  <c r="G145" i="7"/>
  <c r="G144" i="7"/>
  <c r="G143" i="7"/>
  <c r="G142" i="7"/>
  <c r="G141" i="7"/>
  <c r="G140" i="7"/>
  <c r="G139" i="7"/>
  <c r="G138" i="7"/>
  <c r="G137" i="7"/>
  <c r="G136" i="7"/>
  <c r="G135" i="7"/>
  <c r="G134" i="7"/>
  <c r="G133" i="7"/>
  <c r="G132" i="7"/>
  <c r="G131" i="7"/>
  <c r="G130" i="7"/>
  <c r="G129" i="7"/>
  <c r="G128" i="7"/>
  <c r="G127" i="7"/>
  <c r="G126" i="7"/>
  <c r="G125" i="7"/>
  <c r="G124" i="7"/>
  <c r="G123" i="7"/>
  <c r="G122" i="7"/>
  <c r="G121" i="7"/>
  <c r="G120" i="7"/>
  <c r="G119" i="7"/>
  <c r="G118" i="7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1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62" i="10"/>
  <c r="F1098" i="1"/>
  <c r="F1097" i="1"/>
  <c r="F1096" i="1"/>
  <c r="F1095" i="1"/>
  <c r="F1094" i="1"/>
  <c r="F1093" i="1"/>
  <c r="F1092" i="1"/>
  <c r="F61" i="10"/>
  <c r="F60" i="10"/>
  <c r="F1091" i="1"/>
  <c r="F1090" i="1"/>
  <c r="F1089" i="1"/>
  <c r="F1088" i="1"/>
  <c r="F1087" i="1"/>
  <c r="F1086" i="1"/>
  <c r="F1085" i="1"/>
  <c r="F1084" i="1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A3" i="12"/>
  <c r="A2" i="12"/>
  <c r="A4" i="12"/>
  <c r="F1083" i="1"/>
  <c r="F1082" i="1"/>
  <c r="F1081" i="1"/>
  <c r="F1080" i="1"/>
  <c r="F1079" i="1"/>
  <c r="F59" i="10"/>
  <c r="F57" i="10"/>
  <c r="F1078" i="1"/>
  <c r="F1077" i="1"/>
  <c r="F1076" i="1"/>
  <c r="F1075" i="1"/>
  <c r="F1074" i="1"/>
  <c r="F1073" i="1"/>
  <c r="F1072" i="1"/>
  <c r="F1071" i="1"/>
  <c r="F1070" i="1"/>
  <c r="F1069" i="1"/>
  <c r="F58" i="10"/>
  <c r="F56" i="10"/>
  <c r="F55" i="10"/>
  <c r="F54" i="10"/>
  <c r="F53" i="10"/>
  <c r="L25" i="11"/>
  <c r="F52" i="10"/>
  <c r="Z26" i="8" l="1"/>
  <c r="D26" i="8" s="1"/>
  <c r="Z7" i="8"/>
  <c r="D7" i="8" s="1"/>
  <c r="Z35" i="8"/>
  <c r="D35" i="8" s="1"/>
  <c r="Z40" i="8"/>
  <c r="D40" i="8" s="1"/>
  <c r="Z28" i="8"/>
  <c r="D28" i="8" s="1"/>
  <c r="Z37" i="8"/>
  <c r="D37" i="8" s="1"/>
  <c r="Z8" i="8"/>
  <c r="D8" i="8" s="1"/>
  <c r="Z21" i="8"/>
  <c r="D21" i="8" s="1"/>
  <c r="E8" i="2"/>
  <c r="H8" i="2" s="1"/>
  <c r="I7" i="8" s="1"/>
  <c r="J7" i="8"/>
  <c r="T7" i="8" s="1"/>
  <c r="U7" i="8" s="1"/>
  <c r="Z12" i="8"/>
  <c r="D12" i="8" s="1"/>
  <c r="Z27" i="8"/>
  <c r="D27" i="8" s="1"/>
  <c r="Z38" i="8"/>
  <c r="D38" i="8" s="1"/>
  <c r="Z43" i="8"/>
  <c r="D43" i="8" s="1"/>
  <c r="Z48" i="8"/>
  <c r="D48" i="8" s="1"/>
  <c r="Z25" i="8"/>
  <c r="D25" i="8" s="1"/>
  <c r="Z15" i="8"/>
  <c r="D15" i="8" s="1"/>
  <c r="Z22" i="8"/>
  <c r="D22" i="8" s="1"/>
  <c r="Z32" i="8"/>
  <c r="D32" i="8" s="1"/>
  <c r="Z44" i="8"/>
  <c r="D44" i="8" s="1"/>
  <c r="Z13" i="8"/>
  <c r="D13" i="8" s="1"/>
  <c r="Z9" i="8"/>
  <c r="D9" i="8" s="1"/>
  <c r="Z17" i="8"/>
  <c r="D17" i="8" s="1"/>
  <c r="Z36" i="8"/>
  <c r="D36" i="8" s="1"/>
  <c r="Z11" i="8"/>
  <c r="D11" i="8" s="1"/>
  <c r="Z47" i="8"/>
  <c r="D47" i="8" s="1"/>
  <c r="Z6" i="8"/>
  <c r="D6" i="8" s="1"/>
  <c r="Z30" i="8"/>
  <c r="D30" i="8" s="1"/>
  <c r="Z33" i="8"/>
  <c r="D33" i="8" s="1"/>
  <c r="Z50" i="8"/>
  <c r="D50" i="8" s="1"/>
  <c r="Z23" i="8"/>
  <c r="D23" i="8" s="1"/>
  <c r="Z29" i="8"/>
  <c r="D29" i="8" s="1"/>
  <c r="Z39" i="8"/>
  <c r="D39" i="8" s="1"/>
  <c r="Z24" i="8"/>
  <c r="D24" i="8" s="1"/>
  <c r="Z20" i="8"/>
  <c r="D20" i="8" s="1"/>
  <c r="Z4" i="8"/>
  <c r="D4" i="8" s="1"/>
  <c r="Z41" i="8"/>
  <c r="D41" i="8" s="1"/>
  <c r="Z51" i="8"/>
  <c r="D51" i="8" s="1"/>
  <c r="Z18" i="8"/>
  <c r="D18" i="8" s="1"/>
  <c r="Z5" i="8"/>
  <c r="D5" i="8" s="1"/>
  <c r="Z31" i="8"/>
  <c r="D31" i="8" s="1"/>
  <c r="Z45" i="8"/>
  <c r="D45" i="8" s="1"/>
  <c r="Z14" i="8"/>
  <c r="D14" i="8" s="1"/>
  <c r="Z10" i="8"/>
  <c r="D10" i="8" s="1"/>
  <c r="Z16" i="8"/>
  <c r="D16" i="8" s="1"/>
  <c r="Z42" i="8"/>
  <c r="D42" i="8" s="1"/>
  <c r="Z19" i="8"/>
  <c r="D19" i="8" s="1"/>
  <c r="Z46" i="8"/>
  <c r="D46" i="8" s="1"/>
  <c r="Z49" i="8"/>
  <c r="D49" i="8" s="1"/>
  <c r="F1068" i="1"/>
  <c r="F1067" i="1"/>
  <c r="F1066" i="1"/>
  <c r="F1065" i="1"/>
  <c r="F1064" i="1"/>
  <c r="F1063" i="1"/>
  <c r="F1062" i="1"/>
  <c r="F1061" i="1"/>
  <c r="I50" i="10"/>
  <c r="H50" i="10"/>
  <c r="I51" i="10"/>
  <c r="H51" i="10"/>
  <c r="J73" i="11"/>
  <c r="I73" i="11"/>
  <c r="J72" i="11"/>
  <c r="I72" i="11"/>
  <c r="J71" i="11"/>
  <c r="I71" i="11"/>
  <c r="J70" i="11"/>
  <c r="I70" i="11"/>
  <c r="J69" i="11"/>
  <c r="I69" i="11"/>
  <c r="J68" i="11"/>
  <c r="I68" i="11"/>
  <c r="J67" i="11"/>
  <c r="I67" i="11"/>
  <c r="J66" i="11"/>
  <c r="I66" i="11"/>
  <c r="J65" i="11"/>
  <c r="I65" i="11"/>
  <c r="J64" i="11"/>
  <c r="I64" i="11"/>
  <c r="J63" i="11"/>
  <c r="I63" i="11"/>
  <c r="J62" i="11"/>
  <c r="I62" i="11"/>
  <c r="J61" i="11"/>
  <c r="I61" i="11"/>
  <c r="J60" i="11"/>
  <c r="I60" i="11"/>
  <c r="J59" i="11"/>
  <c r="I59" i="11"/>
  <c r="J58" i="11"/>
  <c r="I58" i="11"/>
  <c r="J57" i="11"/>
  <c r="I57" i="11"/>
  <c r="J56" i="11"/>
  <c r="I56" i="11"/>
  <c r="J55" i="11"/>
  <c r="I55" i="11"/>
  <c r="J54" i="11"/>
  <c r="I54" i="11"/>
  <c r="J53" i="11"/>
  <c r="I53" i="11"/>
  <c r="J52" i="11"/>
  <c r="I52" i="11"/>
  <c r="J51" i="11"/>
  <c r="I51" i="11"/>
  <c r="J50" i="11"/>
  <c r="I50" i="11"/>
  <c r="J46" i="11"/>
  <c r="I46" i="11"/>
  <c r="J42" i="11"/>
  <c r="I42" i="11"/>
  <c r="J38" i="11"/>
  <c r="I38" i="11"/>
  <c r="J30" i="11"/>
  <c r="I30" i="11"/>
  <c r="J28" i="11"/>
  <c r="I28" i="11"/>
  <c r="J25" i="11"/>
  <c r="I25" i="11"/>
  <c r="J24" i="11"/>
  <c r="I24" i="11"/>
  <c r="J13" i="11"/>
  <c r="I13" i="11"/>
  <c r="J12" i="11"/>
  <c r="I12" i="11"/>
  <c r="J6" i="11"/>
  <c r="I6" i="11"/>
  <c r="J5" i="11"/>
  <c r="I5" i="11"/>
  <c r="I4" i="11"/>
  <c r="J4" i="11"/>
  <c r="F51" i="10"/>
  <c r="F50" i="10"/>
  <c r="F49" i="10"/>
  <c r="F1060" i="1"/>
  <c r="F1059" i="1"/>
  <c r="F1058" i="1"/>
  <c r="F1057" i="1"/>
  <c r="F1056" i="1"/>
  <c r="F1055" i="1"/>
  <c r="F1054" i="1"/>
  <c r="F1053" i="1"/>
  <c r="F1052" i="1"/>
  <c r="F1051" i="1"/>
  <c r="F48" i="10"/>
  <c r="M43" i="10"/>
  <c r="F47" i="10"/>
  <c r="F46" i="10"/>
  <c r="F45" i="10"/>
  <c r="F74" i="2"/>
  <c r="C74" i="2"/>
  <c r="F1050" i="1"/>
  <c r="F1049" i="1"/>
  <c r="F1048" i="1"/>
  <c r="F1047" i="1"/>
  <c r="F1046" i="1"/>
  <c r="F1045" i="1"/>
  <c r="F1044" i="1"/>
  <c r="F1043" i="1"/>
  <c r="F1041" i="1"/>
  <c r="F1042" i="1"/>
  <c r="F44" i="10"/>
  <c r="F7" i="8" l="1"/>
  <c r="E7" i="8" s="1"/>
  <c r="G7" i="8" s="1"/>
  <c r="D74" i="2"/>
  <c r="J41" i="8" s="1"/>
  <c r="H41" i="8"/>
  <c r="C41" i="8" s="1"/>
  <c r="G74" i="2"/>
  <c r="F43" i="10"/>
  <c r="F1040" i="1"/>
  <c r="F1039" i="1"/>
  <c r="F1038" i="1"/>
  <c r="F1037" i="1"/>
  <c r="F1036" i="1"/>
  <c r="F1035" i="1"/>
  <c r="F1034" i="1"/>
  <c r="F1033" i="1"/>
  <c r="F1032" i="1"/>
  <c r="F42" i="10"/>
  <c r="F41" i="10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40" i="10"/>
  <c r="D41" i="11"/>
  <c r="D14" i="11"/>
  <c r="D5" i="11"/>
  <c r="D4" i="11"/>
  <c r="D7" i="11"/>
  <c r="D3" i="11"/>
  <c r="G504" i="11"/>
  <c r="G503" i="11"/>
  <c r="G502" i="11"/>
  <c r="G501" i="11"/>
  <c r="G500" i="11"/>
  <c r="G499" i="11"/>
  <c r="G498" i="11"/>
  <c r="G497" i="11"/>
  <c r="G496" i="11"/>
  <c r="G495" i="11"/>
  <c r="G494" i="11"/>
  <c r="G493" i="11"/>
  <c r="G492" i="11"/>
  <c r="G491" i="11"/>
  <c r="G490" i="11"/>
  <c r="G489" i="11"/>
  <c r="G488" i="11"/>
  <c r="G487" i="11"/>
  <c r="G486" i="11"/>
  <c r="G485" i="11"/>
  <c r="G484" i="11"/>
  <c r="G483" i="11"/>
  <c r="G482" i="11"/>
  <c r="G481" i="11"/>
  <c r="G480" i="11"/>
  <c r="G479" i="11"/>
  <c r="G478" i="11"/>
  <c r="G477" i="11"/>
  <c r="G476" i="11"/>
  <c r="G475" i="11"/>
  <c r="G474" i="11"/>
  <c r="G473" i="11"/>
  <c r="G472" i="11"/>
  <c r="G471" i="11"/>
  <c r="G470" i="11"/>
  <c r="G469" i="11"/>
  <c r="G468" i="11"/>
  <c r="G467" i="11"/>
  <c r="G466" i="11"/>
  <c r="G465" i="11"/>
  <c r="G464" i="11"/>
  <c r="G463" i="11"/>
  <c r="G462" i="11"/>
  <c r="G461" i="11"/>
  <c r="G460" i="11"/>
  <c r="G459" i="11"/>
  <c r="G458" i="11"/>
  <c r="G457" i="11"/>
  <c r="G456" i="11"/>
  <c r="G455" i="11"/>
  <c r="G454" i="11"/>
  <c r="G453" i="11"/>
  <c r="G452" i="11"/>
  <c r="G451" i="11"/>
  <c r="G450" i="11"/>
  <c r="G449" i="11"/>
  <c r="G448" i="11"/>
  <c r="G447" i="11"/>
  <c r="G446" i="11"/>
  <c r="G445" i="11"/>
  <c r="G444" i="11"/>
  <c r="G443" i="11"/>
  <c r="G442" i="11"/>
  <c r="G441" i="11"/>
  <c r="G440" i="11"/>
  <c r="G439" i="11"/>
  <c r="G438" i="11"/>
  <c r="G437" i="11"/>
  <c r="G436" i="11"/>
  <c r="G435" i="11"/>
  <c r="G434" i="11"/>
  <c r="G433" i="11"/>
  <c r="G432" i="11"/>
  <c r="G431" i="11"/>
  <c r="G430" i="11"/>
  <c r="G429" i="11"/>
  <c r="G428" i="11"/>
  <c r="G427" i="11"/>
  <c r="G426" i="11"/>
  <c r="G425" i="11"/>
  <c r="G424" i="11"/>
  <c r="G423" i="11"/>
  <c r="G422" i="11"/>
  <c r="G421" i="11"/>
  <c r="G420" i="11"/>
  <c r="G419" i="11"/>
  <c r="G418" i="11"/>
  <c r="G417" i="11"/>
  <c r="G416" i="11"/>
  <c r="G415" i="11"/>
  <c r="G414" i="11"/>
  <c r="G413" i="11"/>
  <c r="G412" i="11"/>
  <c r="G411" i="11"/>
  <c r="G410" i="11"/>
  <c r="G409" i="11"/>
  <c r="G408" i="11"/>
  <c r="G407" i="11"/>
  <c r="G406" i="11"/>
  <c r="G405" i="11"/>
  <c r="G404" i="11"/>
  <c r="G403" i="11"/>
  <c r="G402" i="11"/>
  <c r="G401" i="11"/>
  <c r="G400" i="11"/>
  <c r="G399" i="11"/>
  <c r="G398" i="11"/>
  <c r="G397" i="11"/>
  <c r="G396" i="11"/>
  <c r="G395" i="11"/>
  <c r="G394" i="11"/>
  <c r="G393" i="11"/>
  <c r="G392" i="11"/>
  <c r="G391" i="11"/>
  <c r="G390" i="11"/>
  <c r="G389" i="11"/>
  <c r="G388" i="11"/>
  <c r="G387" i="11"/>
  <c r="G386" i="11"/>
  <c r="G385" i="11"/>
  <c r="G384" i="11"/>
  <c r="G383" i="11"/>
  <c r="G382" i="11"/>
  <c r="G381" i="11"/>
  <c r="G380" i="11"/>
  <c r="G379" i="11"/>
  <c r="G378" i="11"/>
  <c r="G377" i="11"/>
  <c r="G376" i="11"/>
  <c r="G375" i="11"/>
  <c r="G374" i="11"/>
  <c r="G373" i="11"/>
  <c r="G372" i="11"/>
  <c r="G371" i="11"/>
  <c r="G370" i="11"/>
  <c r="G369" i="11"/>
  <c r="G368" i="11"/>
  <c r="G367" i="11"/>
  <c r="G366" i="11"/>
  <c r="G365" i="11"/>
  <c r="G364" i="11"/>
  <c r="G363" i="11"/>
  <c r="G362" i="11"/>
  <c r="G361" i="11"/>
  <c r="G360" i="11"/>
  <c r="G359" i="11"/>
  <c r="G358" i="11"/>
  <c r="G357" i="11"/>
  <c r="G356" i="11"/>
  <c r="G355" i="11"/>
  <c r="G354" i="11"/>
  <c r="G353" i="11"/>
  <c r="G352" i="11"/>
  <c r="G351" i="11"/>
  <c r="G350" i="11"/>
  <c r="G349" i="11"/>
  <c r="G348" i="11"/>
  <c r="G347" i="11"/>
  <c r="G346" i="11"/>
  <c r="G345" i="11"/>
  <c r="G344" i="11"/>
  <c r="G343" i="11"/>
  <c r="G342" i="11"/>
  <c r="G341" i="11"/>
  <c r="G340" i="11"/>
  <c r="G339" i="11"/>
  <c r="G338" i="11"/>
  <c r="G337" i="11"/>
  <c r="G336" i="11"/>
  <c r="G335" i="11"/>
  <c r="G334" i="11"/>
  <c r="G333" i="11"/>
  <c r="G332" i="11"/>
  <c r="G331" i="11"/>
  <c r="G330" i="11"/>
  <c r="G329" i="11"/>
  <c r="G328" i="11"/>
  <c r="G327" i="11"/>
  <c r="G326" i="11"/>
  <c r="G325" i="11"/>
  <c r="G324" i="11"/>
  <c r="G323" i="11"/>
  <c r="G322" i="11"/>
  <c r="G321" i="11"/>
  <c r="G320" i="11"/>
  <c r="G319" i="11"/>
  <c r="G318" i="11"/>
  <c r="G317" i="11"/>
  <c r="G316" i="11"/>
  <c r="G315" i="11"/>
  <c r="G314" i="11"/>
  <c r="G313" i="11"/>
  <c r="G312" i="11"/>
  <c r="G311" i="11"/>
  <c r="G310" i="11"/>
  <c r="G309" i="11"/>
  <c r="G308" i="11"/>
  <c r="G307" i="11"/>
  <c r="G306" i="11"/>
  <c r="G305" i="11"/>
  <c r="G304" i="11"/>
  <c r="G303" i="11"/>
  <c r="G302" i="11"/>
  <c r="G301" i="11"/>
  <c r="G300" i="11"/>
  <c r="G299" i="11"/>
  <c r="G298" i="11"/>
  <c r="G297" i="11"/>
  <c r="G296" i="11"/>
  <c r="G295" i="11"/>
  <c r="G294" i="11"/>
  <c r="G293" i="11"/>
  <c r="G292" i="11"/>
  <c r="G291" i="11"/>
  <c r="G290" i="11"/>
  <c r="G289" i="11"/>
  <c r="G288" i="11"/>
  <c r="G287" i="11"/>
  <c r="G286" i="11"/>
  <c r="G285" i="11"/>
  <c r="G284" i="11"/>
  <c r="G283" i="11"/>
  <c r="G282" i="11"/>
  <c r="G281" i="11"/>
  <c r="G280" i="11"/>
  <c r="G279" i="11"/>
  <c r="G278" i="11"/>
  <c r="G277" i="11"/>
  <c r="G276" i="11"/>
  <c r="G275" i="11"/>
  <c r="G274" i="11"/>
  <c r="G273" i="11"/>
  <c r="G272" i="11"/>
  <c r="G271" i="11"/>
  <c r="G270" i="11"/>
  <c r="G269" i="11"/>
  <c r="G268" i="11"/>
  <c r="G267" i="11"/>
  <c r="G266" i="11"/>
  <c r="G265" i="11"/>
  <c r="G264" i="11"/>
  <c r="G263" i="11"/>
  <c r="G262" i="11"/>
  <c r="G261" i="11"/>
  <c r="G260" i="11"/>
  <c r="G259" i="11"/>
  <c r="G258" i="11"/>
  <c r="G257" i="11"/>
  <c r="G256" i="11"/>
  <c r="G255" i="11"/>
  <c r="G254" i="11"/>
  <c r="G253" i="11"/>
  <c r="G252" i="11"/>
  <c r="G251" i="11"/>
  <c r="G250" i="11"/>
  <c r="G249" i="11"/>
  <c r="G248" i="11"/>
  <c r="G247" i="11"/>
  <c r="G246" i="11"/>
  <c r="G245" i="11"/>
  <c r="G244" i="11"/>
  <c r="G243" i="11"/>
  <c r="G242" i="11"/>
  <c r="G241" i="11"/>
  <c r="G240" i="11"/>
  <c r="G239" i="11"/>
  <c r="G238" i="11"/>
  <c r="G237" i="11"/>
  <c r="G236" i="11"/>
  <c r="G235" i="11"/>
  <c r="G234" i="11"/>
  <c r="G233" i="11"/>
  <c r="G232" i="11"/>
  <c r="G231" i="11"/>
  <c r="G230" i="11"/>
  <c r="G229" i="11"/>
  <c r="G228" i="11"/>
  <c r="G227" i="11"/>
  <c r="G226" i="11"/>
  <c r="G225" i="11"/>
  <c r="G224" i="11"/>
  <c r="G223" i="11"/>
  <c r="G222" i="11"/>
  <c r="G221" i="11"/>
  <c r="G220" i="11"/>
  <c r="G219" i="11"/>
  <c r="G218" i="11"/>
  <c r="G217" i="11"/>
  <c r="G216" i="11"/>
  <c r="G215" i="11"/>
  <c r="G214" i="11"/>
  <c r="G213" i="11"/>
  <c r="G212" i="11"/>
  <c r="G211" i="11"/>
  <c r="G210" i="11"/>
  <c r="G209" i="11"/>
  <c r="G208" i="11"/>
  <c r="G207" i="11"/>
  <c r="G206" i="11"/>
  <c r="O205" i="11"/>
  <c r="O207" i="11" s="1"/>
  <c r="G205" i="11"/>
  <c r="G204" i="11"/>
  <c r="G203" i="11"/>
  <c r="G202" i="11"/>
  <c r="O201" i="11"/>
  <c r="O216" i="11" s="1"/>
  <c r="G201" i="11"/>
  <c r="G200" i="11"/>
  <c r="G199" i="11"/>
  <c r="G198" i="11"/>
  <c r="G197" i="11"/>
  <c r="G196" i="11"/>
  <c r="G195" i="11"/>
  <c r="G194" i="11"/>
  <c r="G193" i="11"/>
  <c r="G192" i="11"/>
  <c r="G191" i="11"/>
  <c r="G190" i="11"/>
  <c r="G189" i="11"/>
  <c r="G188" i="11"/>
  <c r="G187" i="11"/>
  <c r="G186" i="11"/>
  <c r="G185" i="11"/>
  <c r="G184" i="11"/>
  <c r="G183" i="11"/>
  <c r="G182" i="11"/>
  <c r="G181" i="11"/>
  <c r="G180" i="11"/>
  <c r="G179" i="11"/>
  <c r="G178" i="11"/>
  <c r="G177" i="11"/>
  <c r="G176" i="11"/>
  <c r="G175" i="11"/>
  <c r="G174" i="11"/>
  <c r="G173" i="11"/>
  <c r="G172" i="11"/>
  <c r="G171" i="11"/>
  <c r="G170" i="11"/>
  <c r="G169" i="11"/>
  <c r="G168" i="11"/>
  <c r="G167" i="11"/>
  <c r="G166" i="11"/>
  <c r="G165" i="11"/>
  <c r="G164" i="11"/>
  <c r="G163" i="11"/>
  <c r="G162" i="11"/>
  <c r="G161" i="11"/>
  <c r="G160" i="11"/>
  <c r="G159" i="11"/>
  <c r="G158" i="11"/>
  <c r="G157" i="11"/>
  <c r="G156" i="11"/>
  <c r="G155" i="11"/>
  <c r="G154" i="11"/>
  <c r="G153" i="11"/>
  <c r="G152" i="11"/>
  <c r="G151" i="11"/>
  <c r="G150" i="11"/>
  <c r="G149" i="11"/>
  <c r="G148" i="11"/>
  <c r="G147" i="11"/>
  <c r="G146" i="11"/>
  <c r="G145" i="11"/>
  <c r="G144" i="11"/>
  <c r="G143" i="11"/>
  <c r="G142" i="11"/>
  <c r="G141" i="11"/>
  <c r="G140" i="11"/>
  <c r="G139" i="11"/>
  <c r="G138" i="11"/>
  <c r="G137" i="11"/>
  <c r="G136" i="11"/>
  <c r="G135" i="11"/>
  <c r="G134" i="11"/>
  <c r="G133" i="11"/>
  <c r="G132" i="11"/>
  <c r="G131" i="11"/>
  <c r="G130" i="11"/>
  <c r="G129" i="11"/>
  <c r="G128" i="11"/>
  <c r="G127" i="11"/>
  <c r="G126" i="11"/>
  <c r="G125" i="11"/>
  <c r="G124" i="11"/>
  <c r="G123" i="11"/>
  <c r="G122" i="11"/>
  <c r="G121" i="11"/>
  <c r="G120" i="11"/>
  <c r="G119" i="11"/>
  <c r="G118" i="11"/>
  <c r="G117" i="11"/>
  <c r="G116" i="11"/>
  <c r="G115" i="11"/>
  <c r="G114" i="11"/>
  <c r="G113" i="11"/>
  <c r="G112" i="11"/>
  <c r="G111" i="11"/>
  <c r="G110" i="11"/>
  <c r="G109" i="11"/>
  <c r="G108" i="11"/>
  <c r="G107" i="11"/>
  <c r="G106" i="11"/>
  <c r="G105" i="11"/>
  <c r="G104" i="11"/>
  <c r="G103" i="11"/>
  <c r="G102" i="11"/>
  <c r="G101" i="11"/>
  <c r="G100" i="11"/>
  <c r="G99" i="11"/>
  <c r="G98" i="11"/>
  <c r="G97" i="11"/>
  <c r="G96" i="11"/>
  <c r="G95" i="11"/>
  <c r="G94" i="11"/>
  <c r="G93" i="11"/>
  <c r="G92" i="11"/>
  <c r="G91" i="11"/>
  <c r="G90" i="11"/>
  <c r="G89" i="11"/>
  <c r="G88" i="11"/>
  <c r="G87" i="11"/>
  <c r="G86" i="11"/>
  <c r="G85" i="11"/>
  <c r="G84" i="11"/>
  <c r="G83" i="11"/>
  <c r="G82" i="11"/>
  <c r="G81" i="11"/>
  <c r="G80" i="11"/>
  <c r="G79" i="11"/>
  <c r="G78" i="11"/>
  <c r="G77" i="11"/>
  <c r="G76" i="11"/>
  <c r="G75" i="11"/>
  <c r="G74" i="11"/>
  <c r="G73" i="11"/>
  <c r="G72" i="11"/>
  <c r="G71" i="11"/>
  <c r="G70" i="11"/>
  <c r="G69" i="11"/>
  <c r="G68" i="11"/>
  <c r="G67" i="11"/>
  <c r="G66" i="11"/>
  <c r="G65" i="11"/>
  <c r="G64" i="11"/>
  <c r="G63" i="11"/>
  <c r="G62" i="11"/>
  <c r="G52" i="11"/>
  <c r="G25" i="11"/>
  <c r="G59" i="11"/>
  <c r="G58" i="11"/>
  <c r="G51" i="11"/>
  <c r="G56" i="11"/>
  <c r="G24" i="11"/>
  <c r="G30" i="11"/>
  <c r="G61" i="11"/>
  <c r="G46" i="11"/>
  <c r="G42" i="11"/>
  <c r="G50" i="11"/>
  <c r="G49" i="11"/>
  <c r="G48" i="11"/>
  <c r="G47" i="11"/>
  <c r="G28" i="11"/>
  <c r="G45" i="11"/>
  <c r="G44" i="11"/>
  <c r="G43" i="11"/>
  <c r="G13" i="11"/>
  <c r="G23" i="11"/>
  <c r="G40" i="11"/>
  <c r="G39" i="11"/>
  <c r="G60" i="11"/>
  <c r="G37" i="11"/>
  <c r="G36" i="11"/>
  <c r="G35" i="11"/>
  <c r="G34" i="11"/>
  <c r="G33" i="11"/>
  <c r="G32" i="11"/>
  <c r="G31" i="11"/>
  <c r="G12" i="11"/>
  <c r="G16" i="11"/>
  <c r="G41" i="11"/>
  <c r="G27" i="11"/>
  <c r="G26" i="11"/>
  <c r="G6" i="11"/>
  <c r="G55" i="11"/>
  <c r="G57" i="11"/>
  <c r="G22" i="11"/>
  <c r="G21" i="11"/>
  <c r="G20" i="11"/>
  <c r="G19" i="11"/>
  <c r="G18" i="11"/>
  <c r="G17" i="11"/>
  <c r="G29" i="11"/>
  <c r="G15" i="11"/>
  <c r="G14" i="11"/>
  <c r="G54" i="11"/>
  <c r="G5" i="11"/>
  <c r="G11" i="11"/>
  <c r="G10" i="11"/>
  <c r="G9" i="11"/>
  <c r="G8" i="11"/>
  <c r="G7" i="11"/>
  <c r="G4" i="11"/>
  <c r="G53" i="11"/>
  <c r="G38" i="11"/>
  <c r="G3" i="11"/>
  <c r="G2" i="11"/>
  <c r="F39" i="10"/>
  <c r="F38" i="10"/>
  <c r="F37" i="10"/>
  <c r="F81" i="2"/>
  <c r="C81" i="2"/>
  <c r="F1018" i="1"/>
  <c r="F1017" i="1"/>
  <c r="F1016" i="1"/>
  <c r="F1015" i="1"/>
  <c r="F1014" i="1"/>
  <c r="F1013" i="1"/>
  <c r="F1012" i="1"/>
  <c r="F1011" i="1"/>
  <c r="F1010" i="1"/>
  <c r="F1009" i="1"/>
  <c r="F36" i="10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25" i="2"/>
  <c r="C25" i="2"/>
  <c r="H16" i="8" s="1"/>
  <c r="C16" i="8" s="1"/>
  <c r="F993" i="1"/>
  <c r="E74" i="2" l="1"/>
  <c r="H74" i="2" s="1"/>
  <c r="I41" i="8" s="1"/>
  <c r="G81" i="2"/>
  <c r="D81" i="2"/>
  <c r="E81" i="2" s="1"/>
  <c r="G1" i="11"/>
  <c r="G25" i="2"/>
  <c r="F992" i="1"/>
  <c r="F991" i="1"/>
  <c r="F990" i="1"/>
  <c r="F989" i="1"/>
  <c r="F988" i="1"/>
  <c r="B14" i="8"/>
  <c r="F20" i="2"/>
  <c r="C20" i="2"/>
  <c r="H14" i="8" s="1"/>
  <c r="C14" i="8" s="1"/>
  <c r="F21" i="2"/>
  <c r="C21" i="2"/>
  <c r="H15" i="8" s="1"/>
  <c r="C15" i="8" s="1"/>
  <c r="F987" i="1"/>
  <c r="F986" i="1"/>
  <c r="F985" i="1"/>
  <c r="F84" i="2"/>
  <c r="C84" i="2"/>
  <c r="H45" i="8" s="1"/>
  <c r="C45" i="8" s="1"/>
  <c r="F35" i="10"/>
  <c r="F34" i="10"/>
  <c r="F984" i="1"/>
  <c r="F983" i="1"/>
  <c r="F982" i="1"/>
  <c r="F981" i="1"/>
  <c r="F980" i="1"/>
  <c r="F979" i="1"/>
  <c r="F33" i="10"/>
  <c r="F978" i="1"/>
  <c r="F977" i="1"/>
  <c r="F976" i="1"/>
  <c r="F32" i="10"/>
  <c r="F31" i="10"/>
  <c r="F30" i="10"/>
  <c r="F29" i="10"/>
  <c r="F28" i="10"/>
  <c r="F27" i="10"/>
  <c r="F975" i="1"/>
  <c r="F974" i="1"/>
  <c r="F973" i="1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X14" i="8" l="1"/>
  <c r="W14" i="8"/>
  <c r="H81" i="2"/>
  <c r="D20" i="2"/>
  <c r="J14" i="8" s="1"/>
  <c r="T14" i="8" s="1"/>
  <c r="U14" i="8" s="1"/>
  <c r="G20" i="2"/>
  <c r="G21" i="2"/>
  <c r="G84" i="2"/>
  <c r="F12" i="10"/>
  <c r="E20" i="2" l="1"/>
  <c r="H20" i="2" s="1"/>
  <c r="I14" i="8" s="1"/>
  <c r="F11" i="10"/>
  <c r="F10" i="10"/>
  <c r="F9" i="10"/>
  <c r="F8" i="10"/>
  <c r="G50" i="9" a="1"/>
  <c r="G50" i="9" s="1"/>
  <c r="G49" i="9" a="1"/>
  <c r="G49" i="9" s="1"/>
  <c r="G48" i="9" a="1"/>
  <c r="G48" i="9" s="1"/>
  <c r="G47" i="9" a="1"/>
  <c r="G47" i="9" s="1"/>
  <c r="G46" i="9" a="1"/>
  <c r="G46" i="9" s="1"/>
  <c r="G45" i="9" a="1"/>
  <c r="G45" i="9" s="1"/>
  <c r="G44" i="9" a="1"/>
  <c r="G44" i="9" s="1"/>
  <c r="G43" i="9" a="1"/>
  <c r="G43" i="9" s="1"/>
  <c r="G42" i="9" a="1"/>
  <c r="G42" i="9" s="1"/>
  <c r="G41" i="9" a="1"/>
  <c r="G41" i="9" s="1"/>
  <c r="G40" i="9" a="1"/>
  <c r="G40" i="9" s="1"/>
  <c r="G39" i="9" a="1"/>
  <c r="G39" i="9" s="1"/>
  <c r="G38" i="9" a="1"/>
  <c r="G38" i="9" s="1"/>
  <c r="G37" i="9" a="1"/>
  <c r="G37" i="9" s="1"/>
  <c r="G36" i="9" a="1"/>
  <c r="G36" i="9" s="1"/>
  <c r="G35" i="9" a="1"/>
  <c r="G35" i="9" s="1"/>
  <c r="G34" i="9" a="1"/>
  <c r="G34" i="9" s="1"/>
  <c r="G33" i="9" a="1"/>
  <c r="G33" i="9" s="1"/>
  <c r="G32" i="9" a="1"/>
  <c r="G32" i="9" s="1"/>
  <c r="G31" i="9" a="1"/>
  <c r="G31" i="9" s="1"/>
  <c r="G30" i="9" a="1"/>
  <c r="G30" i="9" s="1"/>
  <c r="G29" i="9" a="1"/>
  <c r="G29" i="9" s="1"/>
  <c r="G28" i="9" a="1"/>
  <c r="G28" i="9" s="1"/>
  <c r="G27" i="9" a="1"/>
  <c r="G27" i="9" s="1"/>
  <c r="G26" i="9" a="1"/>
  <c r="G26" i="9" s="1"/>
  <c r="G25" i="9" a="1"/>
  <c r="G25" i="9" s="1"/>
  <c r="G24" i="9" a="1"/>
  <c r="G24" i="9" s="1"/>
  <c r="G23" i="9" a="1"/>
  <c r="G23" i="9" s="1"/>
  <c r="G22" i="9" a="1"/>
  <c r="G22" i="9" s="1"/>
  <c r="G21" i="9" a="1"/>
  <c r="G21" i="9" s="1"/>
  <c r="G20" i="9" a="1"/>
  <c r="G20" i="9" s="1"/>
  <c r="G19" i="9" a="1"/>
  <c r="G19" i="9" s="1"/>
  <c r="G18" i="9" a="1"/>
  <c r="G18" i="9" s="1"/>
  <c r="G17" i="9" a="1"/>
  <c r="G17" i="9" s="1"/>
  <c r="G16" i="9" a="1"/>
  <c r="G16" i="9" s="1"/>
  <c r="G15" i="9" a="1"/>
  <c r="G15" i="9" s="1"/>
  <c r="G14" i="9" a="1"/>
  <c r="G14" i="9" s="1"/>
  <c r="G13" i="9" a="1"/>
  <c r="G13" i="9" s="1"/>
  <c r="G12" i="9" a="1"/>
  <c r="G12" i="9" s="1"/>
  <c r="G11" i="9" a="1"/>
  <c r="G11" i="9" s="1"/>
  <c r="G10" i="9" a="1"/>
  <c r="G10" i="9" s="1"/>
  <c r="G9" i="9" a="1"/>
  <c r="G9" i="9" s="1"/>
  <c r="E50" i="9" a="1"/>
  <c r="E50" i="9" s="1"/>
  <c r="E49" i="9" a="1"/>
  <c r="E49" i="9" s="1"/>
  <c r="E48" i="9" a="1"/>
  <c r="E48" i="9" s="1"/>
  <c r="E47" i="9" a="1"/>
  <c r="E47" i="9" s="1"/>
  <c r="E46" i="9" a="1"/>
  <c r="E46" i="9" s="1"/>
  <c r="E45" i="9" a="1"/>
  <c r="E45" i="9" s="1"/>
  <c r="E44" i="9" a="1"/>
  <c r="E44" i="9" s="1"/>
  <c r="E43" i="9" a="1"/>
  <c r="E43" i="9" s="1"/>
  <c r="E42" i="9" a="1"/>
  <c r="E42" i="9" s="1"/>
  <c r="E41" i="9" a="1"/>
  <c r="E41" i="9" s="1"/>
  <c r="E40" i="9" a="1"/>
  <c r="E40" i="9" s="1"/>
  <c r="E39" i="9" a="1"/>
  <c r="E39" i="9" s="1"/>
  <c r="E38" i="9" a="1"/>
  <c r="E38" i="9" s="1"/>
  <c r="E37" i="9" a="1"/>
  <c r="E37" i="9" s="1"/>
  <c r="E36" i="9" a="1"/>
  <c r="E36" i="9" s="1"/>
  <c r="E35" i="9" a="1"/>
  <c r="E35" i="9" s="1"/>
  <c r="E34" i="9" a="1"/>
  <c r="E34" i="9" s="1"/>
  <c r="E33" i="9" a="1"/>
  <c r="E33" i="9" s="1"/>
  <c r="E32" i="9" a="1"/>
  <c r="E32" i="9" s="1"/>
  <c r="E31" i="9" a="1"/>
  <c r="E31" i="9" s="1"/>
  <c r="E30" i="9" a="1"/>
  <c r="E30" i="9" s="1"/>
  <c r="E29" i="9" a="1"/>
  <c r="E29" i="9" s="1"/>
  <c r="E28" i="9" a="1"/>
  <c r="E28" i="9" s="1"/>
  <c r="E27" i="9" a="1"/>
  <c r="E27" i="9" s="1"/>
  <c r="E26" i="9" a="1"/>
  <c r="E26" i="9" s="1"/>
  <c r="E25" i="9" a="1"/>
  <c r="E25" i="9" s="1"/>
  <c r="E24" i="9" a="1"/>
  <c r="E24" i="9" s="1"/>
  <c r="E23" i="9" a="1"/>
  <c r="E23" i="9" s="1"/>
  <c r="E22" i="9" a="1"/>
  <c r="E22" i="9" s="1"/>
  <c r="E21" i="9" a="1"/>
  <c r="E21" i="9" s="1"/>
  <c r="E20" i="9" a="1"/>
  <c r="E20" i="9" s="1"/>
  <c r="E19" i="9" a="1"/>
  <c r="E19" i="9" s="1"/>
  <c r="E18" i="9" a="1"/>
  <c r="E18" i="9" s="1"/>
  <c r="E17" i="9" a="1"/>
  <c r="E17" i="9" s="1"/>
  <c r="E16" i="9" a="1"/>
  <c r="E16" i="9" s="1"/>
  <c r="E15" i="9" a="1"/>
  <c r="E15" i="9" s="1"/>
  <c r="E14" i="9" a="1"/>
  <c r="E14" i="9" s="1"/>
  <c r="E13" i="9" a="1"/>
  <c r="E13" i="9" s="1"/>
  <c r="E12" i="9" a="1"/>
  <c r="E12" i="9" s="1"/>
  <c r="E11" i="9" a="1"/>
  <c r="E11" i="9" s="1"/>
  <c r="E10" i="9" a="1"/>
  <c r="E10" i="9" s="1"/>
  <c r="E9" i="9" a="1"/>
  <c r="E9" i="9" s="1"/>
  <c r="E8" i="9" a="1"/>
  <c r="E8" i="9" s="1"/>
  <c r="G8" i="9" s="1"/>
  <c r="E7" i="9" a="1"/>
  <c r="E7" i="9" s="1"/>
  <c r="G7" i="9" s="1"/>
  <c r="E6" i="9" a="1"/>
  <c r="E6" i="9" s="1"/>
  <c r="G6" i="9" s="1"/>
  <c r="E5" i="9" a="1"/>
  <c r="E5" i="9" s="1"/>
  <c r="G5" i="9" s="1"/>
  <c r="E4" i="9" a="1"/>
  <c r="E4" i="9" s="1"/>
  <c r="G4" i="9" s="1"/>
  <c r="F7" i="10"/>
  <c r="F6" i="10"/>
  <c r="F5" i="10"/>
  <c r="F4" i="10"/>
  <c r="F3" i="10"/>
  <c r="F2" i="10"/>
  <c r="B141" i="9"/>
  <c r="B140" i="9"/>
  <c r="B139" i="9"/>
  <c r="B138" i="9"/>
  <c r="B137" i="9"/>
  <c r="B136" i="9"/>
  <c r="B135" i="9"/>
  <c r="B134" i="9"/>
  <c r="B133" i="9"/>
  <c r="B132" i="9"/>
  <c r="B131" i="9"/>
  <c r="B130" i="9"/>
  <c r="B129" i="9"/>
  <c r="B128" i="9"/>
  <c r="B127" i="9"/>
  <c r="B126" i="9"/>
  <c r="B125" i="9"/>
  <c r="B124" i="9"/>
  <c r="B123" i="9"/>
  <c r="B122" i="9"/>
  <c r="C121" i="9"/>
  <c r="J121" i="9" s="1"/>
  <c r="B121" i="9"/>
  <c r="B120" i="9"/>
  <c r="C120" i="9" s="1"/>
  <c r="C119" i="9"/>
  <c r="B119" i="9"/>
  <c r="B118" i="9"/>
  <c r="C118" i="9" s="1"/>
  <c r="B117" i="9"/>
  <c r="C117" i="9" s="1"/>
  <c r="K117" i="9" s="1"/>
  <c r="B116" i="9"/>
  <c r="C116" i="9" s="1"/>
  <c r="B115" i="9"/>
  <c r="C115" i="9" s="1"/>
  <c r="B114" i="9"/>
  <c r="C114" i="9" s="1"/>
  <c r="D114" i="9" s="1"/>
  <c r="F114" i="9" s="1"/>
  <c r="B113" i="9"/>
  <c r="C113" i="9" s="1"/>
  <c r="B112" i="9"/>
  <c r="C112" i="9" s="1"/>
  <c r="D112" i="9" s="1"/>
  <c r="F112" i="9" s="1"/>
  <c r="C111" i="9"/>
  <c r="B111" i="9"/>
  <c r="B110" i="9"/>
  <c r="C110" i="9" s="1"/>
  <c r="C109" i="9"/>
  <c r="K109" i="9" s="1"/>
  <c r="B109" i="9"/>
  <c r="B108" i="9"/>
  <c r="C108" i="9" s="1"/>
  <c r="B107" i="9"/>
  <c r="C107" i="9" s="1"/>
  <c r="B106" i="9"/>
  <c r="C106" i="9" s="1"/>
  <c r="J106" i="9" s="1"/>
  <c r="C105" i="9"/>
  <c r="J105" i="9" s="1"/>
  <c r="B105" i="9"/>
  <c r="B104" i="9"/>
  <c r="C104" i="9" s="1"/>
  <c r="D104" i="9" s="1"/>
  <c r="F104" i="9" s="1"/>
  <c r="B103" i="9"/>
  <c r="C103" i="9" s="1"/>
  <c r="B102" i="9"/>
  <c r="C102" i="9" s="1"/>
  <c r="K102" i="9" s="1"/>
  <c r="C101" i="9"/>
  <c r="K101" i="9" s="1"/>
  <c r="B101" i="9"/>
  <c r="B100" i="9"/>
  <c r="C100" i="9" s="1"/>
  <c r="C99" i="9"/>
  <c r="D99" i="9" s="1"/>
  <c r="F99" i="9" s="1"/>
  <c r="B99" i="9"/>
  <c r="B98" i="9"/>
  <c r="C98" i="9" s="1"/>
  <c r="D98" i="9" s="1"/>
  <c r="F98" i="9" s="1"/>
  <c r="B97" i="9"/>
  <c r="C97" i="9" s="1"/>
  <c r="B96" i="9"/>
  <c r="C96" i="9" s="1"/>
  <c r="C95" i="9"/>
  <c r="B95" i="9"/>
  <c r="B94" i="9"/>
  <c r="C94" i="9" s="1"/>
  <c r="B93" i="9"/>
  <c r="C93" i="9" s="1"/>
  <c r="K93" i="9" s="1"/>
  <c r="B92" i="9"/>
  <c r="C92" i="9" s="1"/>
  <c r="B91" i="9"/>
  <c r="C91" i="9" s="1"/>
  <c r="K91" i="9" s="1"/>
  <c r="B90" i="9"/>
  <c r="C90" i="9" s="1"/>
  <c r="D90" i="9" s="1"/>
  <c r="F90" i="9" s="1"/>
  <c r="B89" i="9"/>
  <c r="C89" i="9" s="1"/>
  <c r="C88" i="9"/>
  <c r="D88" i="9" s="1"/>
  <c r="F88" i="9" s="1"/>
  <c r="B88" i="9"/>
  <c r="C87" i="9"/>
  <c r="B87" i="9"/>
  <c r="B86" i="9"/>
  <c r="C86" i="9" s="1"/>
  <c r="C85" i="9"/>
  <c r="J85" i="9" s="1"/>
  <c r="B85" i="9"/>
  <c r="B84" i="9"/>
  <c r="C84" i="9" s="1"/>
  <c r="B83" i="9"/>
  <c r="C83" i="9" s="1"/>
  <c r="B82" i="9"/>
  <c r="C82" i="9" s="1"/>
  <c r="B81" i="9"/>
  <c r="C81" i="9" s="1"/>
  <c r="J81" i="9" s="1"/>
  <c r="B80" i="9"/>
  <c r="C80" i="9" s="1"/>
  <c r="B79" i="9"/>
  <c r="C79" i="9" s="1"/>
  <c r="B78" i="9"/>
  <c r="C78" i="9" s="1"/>
  <c r="C77" i="9"/>
  <c r="K77" i="9" s="1"/>
  <c r="B77" i="9"/>
  <c r="B76" i="9"/>
  <c r="C76" i="9" s="1"/>
  <c r="B75" i="9"/>
  <c r="C75" i="9" s="1"/>
  <c r="B74" i="9"/>
  <c r="C74" i="9" s="1"/>
  <c r="D74" i="9" s="1"/>
  <c r="F74" i="9" s="1"/>
  <c r="B73" i="9"/>
  <c r="C73" i="9" s="1"/>
  <c r="B72" i="9"/>
  <c r="C72" i="9" s="1"/>
  <c r="B71" i="9"/>
  <c r="C71" i="9" s="1"/>
  <c r="B70" i="9"/>
  <c r="C70" i="9" s="1"/>
  <c r="K70" i="9" s="1"/>
  <c r="B69" i="9"/>
  <c r="C69" i="9" s="1"/>
  <c r="K69" i="9" s="1"/>
  <c r="B68" i="9"/>
  <c r="C68" i="9" s="1"/>
  <c r="B67" i="9"/>
  <c r="C67" i="9" s="1"/>
  <c r="D67" i="9" s="1"/>
  <c r="F67" i="9" s="1"/>
  <c r="B66" i="9"/>
  <c r="C66" i="9" s="1"/>
  <c r="D66" i="9" s="1"/>
  <c r="F66" i="9" s="1"/>
  <c r="B65" i="9"/>
  <c r="C65" i="9" s="1"/>
  <c r="B64" i="9"/>
  <c r="C64" i="9" s="1"/>
  <c r="K64" i="9" s="1"/>
  <c r="B63" i="9"/>
  <c r="C63" i="9" s="1"/>
  <c r="B62" i="9"/>
  <c r="C62" i="9" s="1"/>
  <c r="C61" i="9"/>
  <c r="K61" i="9" s="1"/>
  <c r="B61" i="9"/>
  <c r="C60" i="9"/>
  <c r="B60" i="9"/>
  <c r="C59" i="9"/>
  <c r="D59" i="9" s="1"/>
  <c r="F59" i="9" s="1"/>
  <c r="B59" i="9"/>
  <c r="B58" i="9"/>
  <c r="C58" i="9" s="1"/>
  <c r="B57" i="9"/>
  <c r="C57" i="9" s="1"/>
  <c r="J57" i="9" s="1"/>
  <c r="B56" i="9"/>
  <c r="C56" i="9" s="1"/>
  <c r="B55" i="9"/>
  <c r="C55" i="9" s="1"/>
  <c r="C54" i="9"/>
  <c r="B54" i="9"/>
  <c r="C53" i="9"/>
  <c r="J53" i="9" s="1"/>
  <c r="B53" i="9"/>
  <c r="B52" i="9"/>
  <c r="C52" i="9" s="1"/>
  <c r="B51" i="9"/>
  <c r="C51" i="9" s="1"/>
  <c r="C50" i="9"/>
  <c r="D50" i="9" s="1"/>
  <c r="F50" i="9" s="1"/>
  <c r="C49" i="9"/>
  <c r="J49" i="9" s="1"/>
  <c r="C48" i="9"/>
  <c r="C47" i="9"/>
  <c r="D47" i="9" s="1"/>
  <c r="F47" i="9" s="1"/>
  <c r="C44" i="9"/>
  <c r="D44" i="9" s="1"/>
  <c r="F44" i="9" s="1"/>
  <c r="C42" i="9"/>
  <c r="D42" i="9" s="1"/>
  <c r="F42" i="9" s="1"/>
  <c r="C40" i="9"/>
  <c r="J40" i="9" s="1"/>
  <c r="C39" i="9"/>
  <c r="D39" i="9" s="1"/>
  <c r="F39" i="9" s="1"/>
  <c r="C38" i="9"/>
  <c r="J38" i="9" s="1"/>
  <c r="C36" i="9"/>
  <c r="K36" i="9" s="1"/>
  <c r="C35" i="9"/>
  <c r="C32" i="9"/>
  <c r="C31" i="9"/>
  <c r="J31" i="9" s="1"/>
  <c r="C23" i="9"/>
  <c r="D23" i="9" s="1"/>
  <c r="F23" i="9" s="1"/>
  <c r="C21" i="9"/>
  <c r="D21" i="9" s="1"/>
  <c r="F21" i="9" s="1"/>
  <c r="C18" i="9"/>
  <c r="C17" i="9"/>
  <c r="D17" i="9" s="1"/>
  <c r="F17" i="9" s="1"/>
  <c r="C14" i="9"/>
  <c r="C13" i="9"/>
  <c r="D13" i="9" s="1"/>
  <c r="F13" i="9" s="1"/>
  <c r="C10" i="9"/>
  <c r="D10" i="9" s="1"/>
  <c r="F10" i="9" s="1"/>
  <c r="C9" i="9"/>
  <c r="K9" i="9" s="1"/>
  <c r="D6" i="9"/>
  <c r="F6" i="9" s="1"/>
  <c r="J5" i="9"/>
  <c r="K4" i="9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B43" i="8"/>
  <c r="F927" i="1"/>
  <c r="F926" i="1"/>
  <c r="B10" i="8"/>
  <c r="F11" i="2"/>
  <c r="C11" i="2"/>
  <c r="H10" i="8" s="1"/>
  <c r="C10" i="8" s="1"/>
  <c r="F91" i="2"/>
  <c r="C91" i="2"/>
  <c r="H49" i="8" s="1"/>
  <c r="C49" i="8" s="1"/>
  <c r="F80" i="2"/>
  <c r="C80" i="2"/>
  <c r="H43" i="8" s="1"/>
  <c r="C43" i="8" s="1"/>
  <c r="F32" i="2"/>
  <c r="C32" i="2"/>
  <c r="H20" i="8" s="1"/>
  <c r="C20" i="8" s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B36" i="8"/>
  <c r="F55" i="2"/>
  <c r="C55" i="2"/>
  <c r="H36" i="8" s="1"/>
  <c r="C36" i="8" s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B18" i="8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D25" i="2" s="1"/>
  <c r="J16" i="8" s="1"/>
  <c r="F803" i="1"/>
  <c r="D21" i="2" s="1"/>
  <c r="J15" i="8" s="1"/>
  <c r="F802" i="1"/>
  <c r="F801" i="1"/>
  <c r="F800" i="1"/>
  <c r="B45" i="8"/>
  <c r="F799" i="1"/>
  <c r="F798" i="1"/>
  <c r="F797" i="1"/>
  <c r="B22" i="8"/>
  <c r="B5" i="8"/>
  <c r="F37" i="2"/>
  <c r="C37" i="2"/>
  <c r="H22" i="8" s="1"/>
  <c r="C22" i="8" s="1"/>
  <c r="F4" i="2"/>
  <c r="C4" i="2"/>
  <c r="H5" i="8" s="1"/>
  <c r="C5" i="8" s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B15" i="8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B49" i="8"/>
  <c r="B48" i="8"/>
  <c r="B47" i="8"/>
  <c r="B46" i="8"/>
  <c r="B44" i="8"/>
  <c r="B42" i="8"/>
  <c r="B40" i="8"/>
  <c r="B39" i="8"/>
  <c r="B38" i="8"/>
  <c r="B35" i="8"/>
  <c r="B34" i="8"/>
  <c r="B33" i="8"/>
  <c r="B31" i="8"/>
  <c r="B30" i="8"/>
  <c r="B29" i="8"/>
  <c r="B28" i="8"/>
  <c r="B27" i="8"/>
  <c r="B26" i="8"/>
  <c r="B25" i="8"/>
  <c r="B24" i="8"/>
  <c r="B23" i="8"/>
  <c r="B21" i="8"/>
  <c r="B17" i="8"/>
  <c r="B12" i="8"/>
  <c r="B11" i="8"/>
  <c r="B9" i="8"/>
  <c r="B8" i="8"/>
  <c r="B6" i="8"/>
  <c r="B4" i="8"/>
  <c r="F720" i="1"/>
  <c r="F747" i="1"/>
  <c r="F746" i="1"/>
  <c r="F745" i="1"/>
  <c r="F744" i="1"/>
  <c r="F743" i="1"/>
  <c r="F742" i="1"/>
  <c r="F741" i="1"/>
  <c r="F54" i="2"/>
  <c r="C54" i="2"/>
  <c r="H35" i="8" s="1"/>
  <c r="C35" i="8" s="1"/>
  <c r="F740" i="1"/>
  <c r="F739" i="1"/>
  <c r="F737" i="1"/>
  <c r="F738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O201" i="7"/>
  <c r="O216" i="7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6" i="2"/>
  <c r="C66" i="2"/>
  <c r="H39" i="8" s="1"/>
  <c r="C39" i="8" s="1"/>
  <c r="F665" i="1"/>
  <c r="F666" i="1"/>
  <c r="F667" i="1"/>
  <c r="F668" i="1"/>
  <c r="F669" i="1"/>
  <c r="F670" i="1"/>
  <c r="F671" i="1"/>
  <c r="F672" i="1"/>
  <c r="F673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O205" i="7"/>
  <c r="O207" i="7" s="1"/>
  <c r="F652" i="1"/>
  <c r="F651" i="1"/>
  <c r="F650" i="1"/>
  <c r="F649" i="1"/>
  <c r="F648" i="1"/>
  <c r="F647" i="1"/>
  <c r="F646" i="1"/>
  <c r="F645" i="1"/>
  <c r="F644" i="1"/>
  <c r="F643" i="1"/>
  <c r="F39" i="2"/>
  <c r="C39" i="2"/>
  <c r="H24" i="8" s="1"/>
  <c r="C24" i="8" s="1"/>
  <c r="F642" i="1"/>
  <c r="F51" i="2"/>
  <c r="C51" i="2"/>
  <c r="H32" i="8" s="1"/>
  <c r="C32" i="8" s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T15" i="8" l="1"/>
  <c r="U15" i="8" s="1"/>
  <c r="E15" i="8" s="1"/>
  <c r="F14" i="8"/>
  <c r="E14" i="8" s="1"/>
  <c r="E25" i="2"/>
  <c r="H25" i="2" s="1"/>
  <c r="I16" i="8" s="1"/>
  <c r="E21" i="2"/>
  <c r="H21" i="2" s="1"/>
  <c r="I15" i="8" s="1"/>
  <c r="D84" i="2"/>
  <c r="J45" i="8" s="1"/>
  <c r="T45" i="8" s="1"/>
  <c r="U45" i="8" s="1"/>
  <c r="B41" i="8"/>
  <c r="T41" i="8" s="1"/>
  <c r="U41" i="8" s="1"/>
  <c r="X18" i="8"/>
  <c r="X43" i="8"/>
  <c r="X36" i="8"/>
  <c r="X45" i="8"/>
  <c r="D11" i="2"/>
  <c r="J10" i="8" s="1"/>
  <c r="T10" i="8" s="1"/>
  <c r="U10" i="8" s="1"/>
  <c r="D37" i="2"/>
  <c r="J22" i="8" s="1"/>
  <c r="T22" i="8" s="1"/>
  <c r="U22" i="8" s="1"/>
  <c r="K38" i="9"/>
  <c r="D55" i="2"/>
  <c r="J36" i="8" s="1"/>
  <c r="T36" i="8" s="1"/>
  <c r="U36" i="8" s="1"/>
  <c r="D80" i="2"/>
  <c r="J43" i="8" s="1"/>
  <c r="T43" i="8" s="1"/>
  <c r="U43" i="8" s="1"/>
  <c r="K17" i="9"/>
  <c r="J98" i="9"/>
  <c r="J13" i="9"/>
  <c r="J17" i="9"/>
  <c r="D53" i="9"/>
  <c r="F53" i="9" s="1"/>
  <c r="K88" i="9"/>
  <c r="K53" i="9"/>
  <c r="J44" i="9"/>
  <c r="K44" i="9"/>
  <c r="D85" i="9"/>
  <c r="F85" i="9" s="1"/>
  <c r="D69" i="9"/>
  <c r="F69" i="9" s="1"/>
  <c r="D77" i="9"/>
  <c r="F77" i="9" s="1"/>
  <c r="J93" i="9"/>
  <c r="D101" i="9"/>
  <c r="F101" i="9" s="1"/>
  <c r="K85" i="9"/>
  <c r="D93" i="9"/>
  <c r="F93" i="9" s="1"/>
  <c r="J69" i="9"/>
  <c r="J77" i="9"/>
  <c r="J101" i="9"/>
  <c r="D117" i="9"/>
  <c r="F117" i="9" s="1"/>
  <c r="K49" i="9"/>
  <c r="D109" i="9"/>
  <c r="F109" i="9" s="1"/>
  <c r="J117" i="9"/>
  <c r="J23" i="9"/>
  <c r="J114" i="9"/>
  <c r="K23" i="9"/>
  <c r="K105" i="9"/>
  <c r="K114" i="9"/>
  <c r="K13" i="9"/>
  <c r="D61" i="9"/>
  <c r="F61" i="9" s="1"/>
  <c r="J109" i="9"/>
  <c r="K74" i="9"/>
  <c r="J61" i="9"/>
  <c r="J88" i="9"/>
  <c r="D102" i="9"/>
  <c r="F102" i="9" s="1"/>
  <c r="J42" i="9"/>
  <c r="J21" i="9"/>
  <c r="K31" i="9"/>
  <c r="D38" i="9"/>
  <c r="F38" i="9" s="1"/>
  <c r="K42" i="9"/>
  <c r="D36" i="9"/>
  <c r="F36" i="9" s="1"/>
  <c r="K50" i="9"/>
  <c r="J36" i="9"/>
  <c r="K21" i="9"/>
  <c r="J50" i="9"/>
  <c r="D49" i="9"/>
  <c r="F49" i="9" s="1"/>
  <c r="J6" i="9"/>
  <c r="K6" i="9"/>
  <c r="K5" i="9"/>
  <c r="D5" i="9"/>
  <c r="F5" i="9" s="1"/>
  <c r="J4" i="9"/>
  <c r="K78" i="9"/>
  <c r="D78" i="9"/>
  <c r="F78" i="9" s="1"/>
  <c r="J78" i="9"/>
  <c r="J120" i="9"/>
  <c r="K120" i="9"/>
  <c r="D120" i="9"/>
  <c r="F120" i="9" s="1"/>
  <c r="D72" i="9"/>
  <c r="F72" i="9" s="1"/>
  <c r="K72" i="9"/>
  <c r="J72" i="9"/>
  <c r="K116" i="9"/>
  <c r="J116" i="9"/>
  <c r="D116" i="9"/>
  <c r="F116" i="9" s="1"/>
  <c r="J51" i="9"/>
  <c r="K51" i="9"/>
  <c r="D51" i="9"/>
  <c r="F51" i="9" s="1"/>
  <c r="K68" i="9"/>
  <c r="J68" i="9"/>
  <c r="D68" i="9"/>
  <c r="F68" i="9" s="1"/>
  <c r="J75" i="9"/>
  <c r="K75" i="9"/>
  <c r="D75" i="9"/>
  <c r="F75" i="9" s="1"/>
  <c r="J113" i="9"/>
  <c r="K113" i="9"/>
  <c r="D113" i="9"/>
  <c r="F113" i="9" s="1"/>
  <c r="K57" i="9"/>
  <c r="D64" i="9"/>
  <c r="F64" i="9" s="1"/>
  <c r="K107" i="9"/>
  <c r="J107" i="9"/>
  <c r="D107" i="9"/>
  <c r="F107" i="9" s="1"/>
  <c r="D81" i="9"/>
  <c r="F81" i="9" s="1"/>
  <c r="K94" i="9"/>
  <c r="J94" i="9"/>
  <c r="D94" i="9"/>
  <c r="F94" i="9" s="1"/>
  <c r="D58" i="9"/>
  <c r="F58" i="9" s="1"/>
  <c r="J58" i="9"/>
  <c r="K58" i="9"/>
  <c r="K81" i="9"/>
  <c r="K95" i="9"/>
  <c r="J95" i="9"/>
  <c r="D95" i="9"/>
  <c r="F95" i="9" s="1"/>
  <c r="K108" i="9"/>
  <c r="J108" i="9"/>
  <c r="D108" i="9"/>
  <c r="F108" i="9" s="1"/>
  <c r="J64" i="9"/>
  <c r="J70" i="9"/>
  <c r="D70" i="9"/>
  <c r="F70" i="9" s="1"/>
  <c r="D82" i="9"/>
  <c r="F82" i="9" s="1"/>
  <c r="K82" i="9"/>
  <c r="J82" i="9"/>
  <c r="K118" i="9"/>
  <c r="J118" i="9"/>
  <c r="D118" i="9"/>
  <c r="F118" i="9" s="1"/>
  <c r="C20" i="9"/>
  <c r="K40" i="9"/>
  <c r="K119" i="9"/>
  <c r="J119" i="9"/>
  <c r="D119" i="9"/>
  <c r="F119" i="9" s="1"/>
  <c r="C24" i="9"/>
  <c r="D83" i="9"/>
  <c r="F83" i="9" s="1"/>
  <c r="J83" i="9"/>
  <c r="K83" i="9"/>
  <c r="J89" i="9"/>
  <c r="D89" i="9"/>
  <c r="F89" i="9" s="1"/>
  <c r="K89" i="9"/>
  <c r="J96" i="9"/>
  <c r="D96" i="9"/>
  <c r="F96" i="9" s="1"/>
  <c r="K96" i="9"/>
  <c r="K115" i="9"/>
  <c r="J115" i="9"/>
  <c r="D115" i="9"/>
  <c r="F115" i="9" s="1"/>
  <c r="K56" i="9"/>
  <c r="J56" i="9"/>
  <c r="D56" i="9"/>
  <c r="F56" i="9" s="1"/>
  <c r="K86" i="9"/>
  <c r="J86" i="9"/>
  <c r="D86" i="9"/>
  <c r="F86" i="9" s="1"/>
  <c r="K100" i="9"/>
  <c r="J100" i="9"/>
  <c r="D100" i="9"/>
  <c r="F100" i="9" s="1"/>
  <c r="C12" i="9"/>
  <c r="J65" i="9"/>
  <c r="K65" i="9"/>
  <c r="D65" i="9"/>
  <c r="F65" i="9" s="1"/>
  <c r="K84" i="9"/>
  <c r="J84" i="9"/>
  <c r="D84" i="9"/>
  <c r="F84" i="9" s="1"/>
  <c r="J97" i="9"/>
  <c r="D97" i="9"/>
  <c r="F97" i="9" s="1"/>
  <c r="K97" i="9"/>
  <c r="K71" i="9"/>
  <c r="J71" i="9"/>
  <c r="D71" i="9"/>
  <c r="F71" i="9" s="1"/>
  <c r="J91" i="9"/>
  <c r="D91" i="9"/>
  <c r="F91" i="9" s="1"/>
  <c r="J102" i="9"/>
  <c r="D62" i="9"/>
  <c r="F62" i="9" s="1"/>
  <c r="J62" i="9"/>
  <c r="K62" i="9"/>
  <c r="J112" i="9"/>
  <c r="K80" i="9"/>
  <c r="D80" i="9"/>
  <c r="F80" i="9" s="1"/>
  <c r="J80" i="9"/>
  <c r="K112" i="9"/>
  <c r="C30" i="9"/>
  <c r="K52" i="9"/>
  <c r="J52" i="9"/>
  <c r="D52" i="9"/>
  <c r="F52" i="9" s="1"/>
  <c r="D57" i="9"/>
  <c r="F57" i="9" s="1"/>
  <c r="D106" i="9"/>
  <c r="F106" i="9" s="1"/>
  <c r="K106" i="9"/>
  <c r="C16" i="9"/>
  <c r="J54" i="9"/>
  <c r="K54" i="9"/>
  <c r="K14" i="9"/>
  <c r="J14" i="9"/>
  <c r="D14" i="9"/>
  <c r="F14" i="9" s="1"/>
  <c r="D18" i="9"/>
  <c r="F18" i="9" s="1"/>
  <c r="J18" i="9"/>
  <c r="K18" i="9"/>
  <c r="D54" i="9"/>
  <c r="F54" i="9" s="1"/>
  <c r="J67" i="9"/>
  <c r="C34" i="9"/>
  <c r="D40" i="9"/>
  <c r="F40" i="9" s="1"/>
  <c r="K10" i="9"/>
  <c r="J10" i="9"/>
  <c r="C26" i="9"/>
  <c r="J32" i="9"/>
  <c r="K32" i="9"/>
  <c r="C22" i="9"/>
  <c r="C28" i="9"/>
  <c r="D32" i="9"/>
  <c r="F32" i="9" s="1"/>
  <c r="K67" i="9"/>
  <c r="J73" i="9"/>
  <c r="K73" i="9"/>
  <c r="D73" i="9"/>
  <c r="F73" i="9" s="1"/>
  <c r="K92" i="9"/>
  <c r="J92" i="9"/>
  <c r="D92" i="9"/>
  <c r="F92" i="9" s="1"/>
  <c r="K99" i="9"/>
  <c r="J99" i="9"/>
  <c r="J110" i="9"/>
  <c r="K110" i="9"/>
  <c r="D110" i="9"/>
  <c r="F110" i="9" s="1"/>
  <c r="J35" i="9"/>
  <c r="K35" i="9"/>
  <c r="C43" i="9"/>
  <c r="C45" i="9"/>
  <c r="K79" i="9"/>
  <c r="J79" i="9"/>
  <c r="D79" i="9"/>
  <c r="F79" i="9" s="1"/>
  <c r="C33" i="9"/>
  <c r="D35" i="9"/>
  <c r="F35" i="9" s="1"/>
  <c r="C37" i="9"/>
  <c r="C29" i="9"/>
  <c r="C25" i="9"/>
  <c r="C27" i="9"/>
  <c r="K47" i="9"/>
  <c r="J59" i="9"/>
  <c r="K66" i="9"/>
  <c r="J104" i="9"/>
  <c r="K111" i="9"/>
  <c r="J111" i="9"/>
  <c r="D111" i="9"/>
  <c r="F111" i="9" s="1"/>
  <c r="K121" i="9"/>
  <c r="C19" i="9"/>
  <c r="C46" i="9"/>
  <c r="K59" i="9"/>
  <c r="K87" i="9"/>
  <c r="J87" i="9"/>
  <c r="D87" i="9"/>
  <c r="F87" i="9" s="1"/>
  <c r="K104" i="9"/>
  <c r="K103" i="9"/>
  <c r="J103" i="9"/>
  <c r="D103" i="9"/>
  <c r="F103" i="9" s="1"/>
  <c r="J90" i="9"/>
  <c r="D121" i="9"/>
  <c r="F121" i="9" s="1"/>
  <c r="J47" i="9"/>
  <c r="J66" i="9"/>
  <c r="K90" i="9"/>
  <c r="C11" i="9"/>
  <c r="J39" i="9"/>
  <c r="K48" i="9"/>
  <c r="J48" i="9"/>
  <c r="K63" i="9"/>
  <c r="J63" i="9"/>
  <c r="D63" i="9"/>
  <c r="F63" i="9" s="1"/>
  <c r="C41" i="9"/>
  <c r="D9" i="9"/>
  <c r="F9" i="9" s="1"/>
  <c r="D31" i="9"/>
  <c r="F31" i="9" s="1"/>
  <c r="C15" i="9"/>
  <c r="D4" i="9"/>
  <c r="F4" i="9" s="1"/>
  <c r="K39" i="9"/>
  <c r="D48" i="9"/>
  <c r="F48" i="9" s="1"/>
  <c r="K60" i="9"/>
  <c r="J60" i="9"/>
  <c r="D60" i="9"/>
  <c r="F60" i="9" s="1"/>
  <c r="K55" i="9"/>
  <c r="J55" i="9"/>
  <c r="D55" i="9"/>
  <c r="F55" i="9" s="1"/>
  <c r="K76" i="9"/>
  <c r="J76" i="9"/>
  <c r="D76" i="9"/>
  <c r="F76" i="9" s="1"/>
  <c r="J9" i="9"/>
  <c r="J74" i="9"/>
  <c r="K98" i="9"/>
  <c r="D105" i="9"/>
  <c r="F105" i="9" s="1"/>
  <c r="W43" i="8"/>
  <c r="W10" i="8"/>
  <c r="X10" i="8"/>
  <c r="G91" i="2"/>
  <c r="G11" i="2"/>
  <c r="G80" i="2"/>
  <c r="G32" i="2"/>
  <c r="G55" i="2"/>
  <c r="W36" i="8"/>
  <c r="W5" i="8"/>
  <c r="W18" i="8"/>
  <c r="W22" i="8"/>
  <c r="X22" i="8"/>
  <c r="X5" i="8"/>
  <c r="W45" i="8"/>
  <c r="W15" i="8"/>
  <c r="X15" i="8"/>
  <c r="G4" i="2"/>
  <c r="G37" i="2"/>
  <c r="D4" i="2"/>
  <c r="J5" i="8" s="1"/>
  <c r="T5" i="8" s="1"/>
  <c r="U5" i="8" s="1"/>
  <c r="B13" i="8"/>
  <c r="B32" i="8"/>
  <c r="B51" i="8"/>
  <c r="B50" i="8"/>
  <c r="B16" i="8"/>
  <c r="T16" i="8" s="1"/>
  <c r="U16" i="8" s="1"/>
  <c r="B19" i="8"/>
  <c r="B20" i="8"/>
  <c r="B37" i="8"/>
  <c r="W28" i="8"/>
  <c r="X24" i="8"/>
  <c r="X21" i="8"/>
  <c r="X25" i="8"/>
  <c r="W44" i="8"/>
  <c r="X44" i="8"/>
  <c r="W25" i="8"/>
  <c r="X46" i="8"/>
  <c r="W9" i="8"/>
  <c r="X11" i="8"/>
  <c r="X33" i="8"/>
  <c r="X40" i="8"/>
  <c r="W33" i="8"/>
  <c r="X48" i="8"/>
  <c r="X9" i="8"/>
  <c r="X38" i="8"/>
  <c r="X29" i="8"/>
  <c r="X47" i="8"/>
  <c r="X31" i="8"/>
  <c r="X28" i="8"/>
  <c r="X49" i="8"/>
  <c r="W49" i="8"/>
  <c r="W4" i="8"/>
  <c r="X35" i="8"/>
  <c r="X27" i="8"/>
  <c r="X8" i="8"/>
  <c r="X39" i="8"/>
  <c r="X30" i="8"/>
  <c r="X23" i="8"/>
  <c r="X4" i="8"/>
  <c r="W35" i="8"/>
  <c r="W27" i="8"/>
  <c r="W8" i="8"/>
  <c r="X12" i="8"/>
  <c r="W39" i="8"/>
  <c r="W30" i="8"/>
  <c r="W23" i="8"/>
  <c r="X42" i="8"/>
  <c r="X34" i="8"/>
  <c r="X26" i="8"/>
  <c r="X17" i="8"/>
  <c r="X6" i="8"/>
  <c r="W42" i="8"/>
  <c r="W34" i="8"/>
  <c r="W26" i="8"/>
  <c r="W17" i="8"/>
  <c r="W6" i="8"/>
  <c r="W48" i="8"/>
  <c r="W47" i="8"/>
  <c r="W40" i="8"/>
  <c r="W31" i="8"/>
  <c r="W24" i="8"/>
  <c r="W12" i="8"/>
  <c r="W46" i="8"/>
  <c r="W38" i="8"/>
  <c r="W29" i="8"/>
  <c r="W21" i="8"/>
  <c r="W11" i="8"/>
  <c r="D66" i="2"/>
  <c r="J39" i="8" s="1"/>
  <c r="T39" i="8" s="1"/>
  <c r="U39" i="8" s="1"/>
  <c r="E39" i="8" s="1"/>
  <c r="G54" i="2"/>
  <c r="D54" i="2"/>
  <c r="J35" i="8" s="1"/>
  <c r="T35" i="8" s="1"/>
  <c r="U35" i="8" s="1"/>
  <c r="E35" i="8" s="1"/>
  <c r="G66" i="2"/>
  <c r="G51" i="2"/>
  <c r="G39" i="2"/>
  <c r="D39" i="2"/>
  <c r="J24" i="8" s="1"/>
  <c r="T24" i="8" s="1"/>
  <c r="U24" i="8" s="1"/>
  <c r="D51" i="2"/>
  <c r="J32" i="8" s="1"/>
  <c r="T32" i="8" s="1"/>
  <c r="U32" i="8" s="1"/>
  <c r="E32" i="8" s="1"/>
  <c r="F609" i="1"/>
  <c r="F608" i="1"/>
  <c r="F607" i="1"/>
  <c r="F606" i="1"/>
  <c r="F605" i="1"/>
  <c r="F604" i="1"/>
  <c r="F16" i="2"/>
  <c r="C16" i="2"/>
  <c r="F603" i="1"/>
  <c r="F602" i="1"/>
  <c r="F601" i="1"/>
  <c r="F600" i="1"/>
  <c r="F599" i="1"/>
  <c r="F598" i="1"/>
  <c r="F597" i="1"/>
  <c r="D91" i="2" s="1"/>
  <c r="J49" i="8" s="1"/>
  <c r="T49" i="8" s="1"/>
  <c r="U49" i="8" s="1"/>
  <c r="F42" i="2"/>
  <c r="C42" i="2"/>
  <c r="H25" i="8" s="1"/>
  <c r="C25" i="8" s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85" i="2"/>
  <c r="C85" i="2"/>
  <c r="H46" i="8" s="1"/>
  <c r="C46" i="8" s="1"/>
  <c r="F555" i="1"/>
  <c r="F554" i="1"/>
  <c r="F18" i="2"/>
  <c r="C18" i="2"/>
  <c r="H13" i="8" s="1"/>
  <c r="C13" i="8" s="1"/>
  <c r="F553" i="1"/>
  <c r="F552" i="1"/>
  <c r="F551" i="1"/>
  <c r="F550" i="1"/>
  <c r="F58" i="2"/>
  <c r="C58" i="2"/>
  <c r="H37" i="8" s="1"/>
  <c r="C37" i="8" s="1"/>
  <c r="F549" i="1"/>
  <c r="F548" i="1"/>
  <c r="F547" i="1"/>
  <c r="F546" i="1"/>
  <c r="F545" i="1"/>
  <c r="F544" i="1"/>
  <c r="F543" i="1"/>
  <c r="F542" i="1"/>
  <c r="F541" i="1"/>
  <c r="F46" i="2"/>
  <c r="C46" i="2"/>
  <c r="H28" i="8" s="1"/>
  <c r="C28" i="8" s="1"/>
  <c r="F540" i="1"/>
  <c r="F539" i="1"/>
  <c r="F90" i="2"/>
  <c r="C90" i="2"/>
  <c r="H48" i="8" s="1"/>
  <c r="C48" i="8" s="1"/>
  <c r="F538" i="1"/>
  <c r="F537" i="1"/>
  <c r="F536" i="1"/>
  <c r="F40" i="2"/>
  <c r="C40" i="2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G14" i="8" l="1"/>
  <c r="F15" i="8"/>
  <c r="E84" i="2"/>
  <c r="H84" i="2" s="1"/>
  <c r="I45" i="8" s="1"/>
  <c r="W41" i="8"/>
  <c r="X41" i="8"/>
  <c r="E39" i="2"/>
  <c r="H39" i="2" s="1"/>
  <c r="I24" i="8" s="1"/>
  <c r="E80" i="2"/>
  <c r="H80" i="2" s="1"/>
  <c r="I43" i="8" s="1"/>
  <c r="E55" i="2"/>
  <c r="H55" i="2" s="1"/>
  <c r="I36" i="8" s="1"/>
  <c r="E37" i="2"/>
  <c r="H37" i="2" s="1"/>
  <c r="I22" i="8" s="1"/>
  <c r="E54" i="2"/>
  <c r="H54" i="2" s="1"/>
  <c r="I35" i="8" s="1"/>
  <c r="E11" i="2"/>
  <c r="H11" i="2" s="1"/>
  <c r="I10" i="8" s="1"/>
  <c r="E51" i="2"/>
  <c r="H51" i="2" s="1"/>
  <c r="I32" i="8" s="1"/>
  <c r="E91" i="2"/>
  <c r="H91" i="2" s="1"/>
  <c r="I49" i="8" s="1"/>
  <c r="E66" i="2"/>
  <c r="H66" i="2" s="1"/>
  <c r="I39" i="8" s="1"/>
  <c r="D16" i="9"/>
  <c r="F16" i="9" s="1"/>
  <c r="K16" i="9"/>
  <c r="J16" i="9"/>
  <c r="K27" i="9"/>
  <c r="J27" i="9"/>
  <c r="D27" i="9"/>
  <c r="F27" i="9" s="1"/>
  <c r="K24" i="9"/>
  <c r="J24" i="9"/>
  <c r="D24" i="9"/>
  <c r="F24" i="9" s="1"/>
  <c r="K25" i="9"/>
  <c r="D25" i="9"/>
  <c r="F25" i="9" s="1"/>
  <c r="J25" i="9"/>
  <c r="K33" i="9"/>
  <c r="J33" i="9"/>
  <c r="D33" i="9"/>
  <c r="F33" i="9" s="1"/>
  <c r="J19" i="9"/>
  <c r="D19" i="9"/>
  <c r="F19" i="9" s="1"/>
  <c r="K19" i="9"/>
  <c r="D15" i="9"/>
  <c r="F15" i="9" s="1"/>
  <c r="K15" i="9"/>
  <c r="J15" i="9"/>
  <c r="D34" i="9"/>
  <c r="F34" i="9" s="1"/>
  <c r="J34" i="9"/>
  <c r="K34" i="9"/>
  <c r="K20" i="9"/>
  <c r="J20" i="9"/>
  <c r="D20" i="9"/>
  <c r="F20" i="9" s="1"/>
  <c r="D26" i="9"/>
  <c r="F26" i="9" s="1"/>
  <c r="J26" i="9"/>
  <c r="K26" i="9"/>
  <c r="D46" i="9"/>
  <c r="F46" i="9" s="1"/>
  <c r="K46" i="9"/>
  <c r="J46" i="9"/>
  <c r="J12" i="9"/>
  <c r="K12" i="9"/>
  <c r="D12" i="9"/>
  <c r="F12" i="9" s="1"/>
  <c r="D8" i="9"/>
  <c r="F8" i="9" s="1"/>
  <c r="J8" i="9"/>
  <c r="K8" i="9"/>
  <c r="K41" i="9"/>
  <c r="J41" i="9"/>
  <c r="D41" i="9"/>
  <c r="F41" i="9" s="1"/>
  <c r="K45" i="9"/>
  <c r="J45" i="9"/>
  <c r="D45" i="9"/>
  <c r="F45" i="9" s="1"/>
  <c r="K43" i="9"/>
  <c r="D43" i="9"/>
  <c r="F43" i="9" s="1"/>
  <c r="J43" i="9"/>
  <c r="K28" i="9"/>
  <c r="J28" i="9"/>
  <c r="D28" i="9"/>
  <c r="F28" i="9" s="1"/>
  <c r="K7" i="9"/>
  <c r="J7" i="9"/>
  <c r="D7" i="9"/>
  <c r="F7" i="9" s="1"/>
  <c r="K22" i="9"/>
  <c r="D22" i="9"/>
  <c r="F22" i="9" s="1"/>
  <c r="J22" i="9"/>
  <c r="J11" i="9"/>
  <c r="D11" i="9"/>
  <c r="F11" i="9" s="1"/>
  <c r="K11" i="9"/>
  <c r="K29" i="9"/>
  <c r="J29" i="9"/>
  <c r="D29" i="9"/>
  <c r="F29" i="9" s="1"/>
  <c r="D37" i="9"/>
  <c r="F37" i="9" s="1"/>
  <c r="K37" i="9"/>
  <c r="J37" i="9"/>
  <c r="K30" i="9"/>
  <c r="J30" i="9"/>
  <c r="D30" i="9"/>
  <c r="F30" i="9" s="1"/>
  <c r="W19" i="8"/>
  <c r="W51" i="8"/>
  <c r="X51" i="8"/>
  <c r="W20" i="8"/>
  <c r="E4" i="2"/>
  <c r="H4" i="2" s="1"/>
  <c r="I5" i="8" s="1"/>
  <c r="X37" i="8"/>
  <c r="X50" i="8"/>
  <c r="W50" i="8"/>
  <c r="W13" i="8"/>
  <c r="W32" i="8"/>
  <c r="X32" i="8"/>
  <c r="X13" i="8"/>
  <c r="X20" i="8"/>
  <c r="W16" i="8"/>
  <c r="X19" i="8"/>
  <c r="X16" i="8"/>
  <c r="W37" i="8"/>
  <c r="G16" i="2"/>
  <c r="G42" i="2"/>
  <c r="D16" i="2"/>
  <c r="D42" i="2"/>
  <c r="J25" i="8" s="1"/>
  <c r="T25" i="8" s="1"/>
  <c r="U25" i="8" s="1"/>
  <c r="E25" i="8" s="1"/>
  <c r="D85" i="2"/>
  <c r="J46" i="8" s="1"/>
  <c r="T46" i="8" s="1"/>
  <c r="U46" i="8" s="1"/>
  <c r="G85" i="2"/>
  <c r="G90" i="2"/>
  <c r="G18" i="2"/>
  <c r="D18" i="2"/>
  <c r="J13" i="8" s="1"/>
  <c r="T13" i="8" s="1"/>
  <c r="U13" i="8" s="1"/>
  <c r="G58" i="2"/>
  <c r="G40" i="2"/>
  <c r="G46" i="2"/>
  <c r="D58" i="2"/>
  <c r="J37" i="8" s="1"/>
  <c r="T37" i="8" s="1"/>
  <c r="U37" i="8" s="1"/>
  <c r="E37" i="8" s="1"/>
  <c r="D46" i="2"/>
  <c r="J28" i="8" s="1"/>
  <c r="T28" i="8" s="1"/>
  <c r="U28" i="8" s="1"/>
  <c r="E28" i="8" s="1"/>
  <c r="D90" i="2"/>
  <c r="J48" i="8" s="1"/>
  <c r="T48" i="8" s="1"/>
  <c r="U48" i="8" s="1"/>
  <c r="E48" i="8" s="1"/>
  <c r="D40" i="2"/>
  <c r="E40" i="2" s="1"/>
  <c r="F517" i="1"/>
  <c r="F516" i="1"/>
  <c r="D32" i="2" s="1"/>
  <c r="J20" i="8" s="1"/>
  <c r="T20" i="8" s="1"/>
  <c r="U20" i="8" s="1"/>
  <c r="E20" i="8" s="1"/>
  <c r="F515" i="1"/>
  <c r="F514" i="1"/>
  <c r="F513" i="1"/>
  <c r="G15" i="7"/>
  <c r="G8" i="7"/>
  <c r="G9" i="7"/>
  <c r="G5" i="7"/>
  <c r="G4" i="7"/>
  <c r="G41" i="7"/>
  <c r="G50" i="7"/>
  <c r="G39" i="7"/>
  <c r="G3" i="7"/>
  <c r="G27" i="7"/>
  <c r="G6" i="7"/>
  <c r="G25" i="7"/>
  <c r="G22" i="7"/>
  <c r="G47" i="7"/>
  <c r="G52" i="7"/>
  <c r="G45" i="7"/>
  <c r="G23" i="7"/>
  <c r="G24" i="7"/>
  <c r="G36" i="7"/>
  <c r="G17" i="7"/>
  <c r="F512" i="1"/>
  <c r="F511" i="1"/>
  <c r="F510" i="1"/>
  <c r="F509" i="1"/>
  <c r="F508" i="1"/>
  <c r="F507" i="1"/>
  <c r="G15" i="8" l="1"/>
  <c r="F39" i="8"/>
  <c r="F22" i="8"/>
  <c r="E22" i="8" s="1"/>
  <c r="F32" i="8"/>
  <c r="F36" i="8"/>
  <c r="E36" i="8" s="1"/>
  <c r="F49" i="8"/>
  <c r="E49" i="8" s="1"/>
  <c r="F5" i="8"/>
  <c r="E5" i="8" s="1"/>
  <c r="F10" i="8"/>
  <c r="E10" i="8" s="1"/>
  <c r="F41" i="8"/>
  <c r="E41" i="8" s="1"/>
  <c r="F43" i="8"/>
  <c r="E43" i="8" s="1"/>
  <c r="F16" i="8"/>
  <c r="E16" i="8" s="1"/>
  <c r="F35" i="8"/>
  <c r="F24" i="8"/>
  <c r="E24" i="8" s="1"/>
  <c r="F45" i="8"/>
  <c r="E45" i="8" s="1"/>
  <c r="E42" i="2"/>
  <c r="H42" i="2" s="1"/>
  <c r="I25" i="8" s="1"/>
  <c r="E58" i="2"/>
  <c r="H58" i="2" s="1"/>
  <c r="I37" i="8" s="1"/>
  <c r="E18" i="2"/>
  <c r="H18" i="2" s="1"/>
  <c r="I13" i="8" s="1"/>
  <c r="E85" i="2"/>
  <c r="H85" i="2" s="1"/>
  <c r="I46" i="8" s="1"/>
  <c r="E16" i="2"/>
  <c r="H16" i="2" s="1"/>
  <c r="E32" i="2"/>
  <c r="H32" i="2" s="1"/>
  <c r="I20" i="8" s="1"/>
  <c r="E90" i="2"/>
  <c r="H90" i="2" s="1"/>
  <c r="I48" i="8" s="1"/>
  <c r="E46" i="2"/>
  <c r="H46" i="2" s="1"/>
  <c r="I28" i="8" s="1"/>
  <c r="H40" i="2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D491" i="1"/>
  <c r="F491" i="1" s="1"/>
  <c r="F490" i="1"/>
  <c r="F489" i="1"/>
  <c r="F488" i="1"/>
  <c r="F487" i="1"/>
  <c r="F486" i="1"/>
  <c r="F485" i="1"/>
  <c r="F484" i="1"/>
  <c r="F483" i="1"/>
  <c r="F482" i="1"/>
  <c r="F481" i="1"/>
  <c r="F64" i="2"/>
  <c r="C64" i="2"/>
  <c r="F480" i="1"/>
  <c r="F479" i="1"/>
  <c r="F478" i="1"/>
  <c r="F477" i="1"/>
  <c r="F476" i="1"/>
  <c r="F475" i="1"/>
  <c r="F474" i="1"/>
  <c r="F473" i="1"/>
  <c r="G46" i="7"/>
  <c r="F472" i="1"/>
  <c r="F36" i="2"/>
  <c r="C36" i="2"/>
  <c r="D36" i="2" s="1"/>
  <c r="E36" i="2" s="1"/>
  <c r="F471" i="1"/>
  <c r="F470" i="1"/>
  <c r="F469" i="1"/>
  <c r="F60" i="2"/>
  <c r="C60" i="2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G49" i="8" l="1"/>
  <c r="G16" i="8"/>
  <c r="G39" i="8"/>
  <c r="G45" i="8"/>
  <c r="G24" i="8"/>
  <c r="G43" i="8"/>
  <c r="G36" i="8"/>
  <c r="G35" i="8"/>
  <c r="G5" i="8"/>
  <c r="G32" i="8"/>
  <c r="G22" i="8"/>
  <c r="F25" i="8"/>
  <c r="F48" i="8"/>
  <c r="G41" i="8"/>
  <c r="F20" i="8"/>
  <c r="F46" i="8"/>
  <c r="E46" i="8" s="1"/>
  <c r="F28" i="8"/>
  <c r="F37" i="8"/>
  <c r="F13" i="8"/>
  <c r="E13" i="8" s="1"/>
  <c r="G10" i="8"/>
  <c r="G64" i="2"/>
  <c r="D64" i="2"/>
  <c r="E64" i="2" s="1"/>
  <c r="G36" i="2"/>
  <c r="H36" i="2" s="1"/>
  <c r="G60" i="2"/>
  <c r="D60" i="2"/>
  <c r="E60" i="2" s="1"/>
  <c r="F383" i="1"/>
  <c r="F382" i="1"/>
  <c r="F381" i="1"/>
  <c r="F380" i="1"/>
  <c r="F379" i="1"/>
  <c r="F378" i="1"/>
  <c r="F15" i="2"/>
  <c r="C15" i="2"/>
  <c r="D15" i="2" s="1"/>
  <c r="E15" i="2" s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G37" i="8" l="1"/>
  <c r="G48" i="8"/>
  <c r="G46" i="8"/>
  <c r="G13" i="8"/>
  <c r="G28" i="8"/>
  <c r="G20" i="8"/>
  <c r="G25" i="8"/>
  <c r="H64" i="2"/>
  <c r="H60" i="2"/>
  <c r="G15" i="2"/>
  <c r="H15" i="2" s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1" i="2" l="1"/>
  <c r="C31" i="2"/>
  <c r="H19" i="8" s="1"/>
  <c r="C19" i="8" s="1"/>
  <c r="F329" i="1"/>
  <c r="F328" i="1"/>
  <c r="F327" i="1"/>
  <c r="D31" i="2" l="1"/>
  <c r="J19" i="8" s="1"/>
  <c r="T19" i="8" s="1"/>
  <c r="U19" i="8" s="1"/>
  <c r="G31" i="2"/>
  <c r="F326" i="1"/>
  <c r="F325" i="1"/>
  <c r="F324" i="1"/>
  <c r="F323" i="1"/>
  <c r="F322" i="1"/>
  <c r="F321" i="1"/>
  <c r="F320" i="1"/>
  <c r="F319" i="1"/>
  <c r="F318" i="1"/>
  <c r="F317" i="1"/>
  <c r="G43" i="7"/>
  <c r="G29" i="7"/>
  <c r="G20" i="7"/>
  <c r="G19" i="7"/>
  <c r="G18" i="7"/>
  <c r="G16" i="7"/>
  <c r="G2" i="7"/>
  <c r="G38" i="7"/>
  <c r="G32" i="7"/>
  <c r="G48" i="7"/>
  <c r="G7" i="7"/>
  <c r="G53" i="7"/>
  <c r="G42" i="7"/>
  <c r="G49" i="7"/>
  <c r="G51" i="7"/>
  <c r="G37" i="7"/>
  <c r="G44" i="7"/>
  <c r="G40" i="7"/>
  <c r="G30" i="7"/>
  <c r="G35" i="7"/>
  <c r="G34" i="7"/>
  <c r="G31" i="7"/>
  <c r="G28" i="7"/>
  <c r="G13" i="7"/>
  <c r="G26" i="7"/>
  <c r="G14" i="7"/>
  <c r="G12" i="7"/>
  <c r="G21" i="7"/>
  <c r="G33" i="7"/>
  <c r="G11" i="7"/>
  <c r="G10" i="7"/>
  <c r="F316" i="1"/>
  <c r="G1" i="7" l="1"/>
  <c r="E31" i="2"/>
  <c r="H31" i="2" s="1"/>
  <c r="I19" i="8" s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19" i="8" l="1"/>
  <c r="E19" i="8" s="1"/>
  <c r="F295" i="1"/>
  <c r="F294" i="1"/>
  <c r="F293" i="1"/>
  <c r="F292" i="1"/>
  <c r="F291" i="1"/>
  <c r="F290" i="1"/>
  <c r="F65" i="2"/>
  <c r="C65" i="2"/>
  <c r="D65" i="2" s="1"/>
  <c r="E65" i="2" s="1"/>
  <c r="F289" i="1"/>
  <c r="F288" i="1"/>
  <c r="F287" i="1"/>
  <c r="F286" i="1"/>
  <c r="F76" i="2"/>
  <c r="F68" i="2"/>
  <c r="F63" i="2"/>
  <c r="F52" i="2"/>
  <c r="F47" i="2"/>
  <c r="F34" i="2"/>
  <c r="F10" i="2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G19" i="8" l="1"/>
  <c r="G65" i="2"/>
  <c r="H65" i="2" s="1"/>
  <c r="F267" i="1"/>
  <c r="F266" i="1"/>
  <c r="F265" i="1" l="1"/>
  <c r="F264" i="1"/>
  <c r="F62" i="2"/>
  <c r="C62" i="2"/>
  <c r="D62" i="2" s="1"/>
  <c r="E62" i="2" s="1"/>
  <c r="F263" i="1"/>
  <c r="F262" i="1"/>
  <c r="F261" i="1"/>
  <c r="G62" i="2" l="1"/>
  <c r="H62" i="2" s="1"/>
  <c r="F260" i="1"/>
  <c r="F259" i="1" l="1"/>
  <c r="F258" i="1"/>
  <c r="F257" i="1"/>
  <c r="F256" i="1"/>
  <c r="F255" i="1" l="1"/>
  <c r="F254" i="1"/>
  <c r="F253" i="1"/>
  <c r="F75" i="2"/>
  <c r="C75" i="2"/>
  <c r="F252" i="1"/>
  <c r="F251" i="1"/>
  <c r="F250" i="1"/>
  <c r="F249" i="1"/>
  <c r="F248" i="1"/>
  <c r="F247" i="1"/>
  <c r="F53" i="2"/>
  <c r="C53" i="2"/>
  <c r="H34" i="8" s="1"/>
  <c r="C34" i="8" s="1"/>
  <c r="F246" i="1"/>
  <c r="F245" i="1"/>
  <c r="F244" i="1"/>
  <c r="F243" i="1"/>
  <c r="F242" i="1"/>
  <c r="F241" i="1"/>
  <c r="D75" i="2" l="1"/>
  <c r="E75" i="2" s="1"/>
  <c r="D53" i="2"/>
  <c r="J34" i="8" s="1"/>
  <c r="T34" i="8" s="1"/>
  <c r="U34" i="8" s="1"/>
  <c r="E34" i="8" s="1"/>
  <c r="G53" i="2"/>
  <c r="G75" i="2"/>
  <c r="E53" i="2" l="1"/>
  <c r="H53" i="2" s="1"/>
  <c r="I34" i="8" s="1"/>
  <c r="H75" i="2"/>
  <c r="C92" i="2"/>
  <c r="H50" i="8" s="1"/>
  <c r="C50" i="8" s="1"/>
  <c r="C52" i="2"/>
  <c r="H33" i="8" s="1"/>
  <c r="C33" i="8" s="1"/>
  <c r="F240" i="1"/>
  <c r="C10" i="2"/>
  <c r="H9" i="8" s="1"/>
  <c r="C9" i="8" s="1"/>
  <c r="F239" i="1"/>
  <c r="F238" i="1"/>
  <c r="F237" i="1"/>
  <c r="F236" i="1"/>
  <c r="F235" i="1"/>
  <c r="F234" i="1"/>
  <c r="F233" i="1"/>
  <c r="F71" i="2"/>
  <c r="C71" i="2"/>
  <c r="F92" i="2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C47" i="2"/>
  <c r="H29" i="8" s="1"/>
  <c r="C29" i="8" s="1"/>
  <c r="C34" i="2"/>
  <c r="F209" i="1"/>
  <c r="F208" i="1"/>
  <c r="F207" i="1"/>
  <c r="F206" i="1"/>
  <c r="F34" i="8" l="1"/>
  <c r="D34" i="2"/>
  <c r="D52" i="2"/>
  <c r="J33" i="8" s="1"/>
  <c r="T33" i="8" s="1"/>
  <c r="U33" i="8" s="1"/>
  <c r="E33" i="8" s="1"/>
  <c r="D47" i="2"/>
  <c r="J29" i="8" s="1"/>
  <c r="T29" i="8" s="1"/>
  <c r="U29" i="8" s="1"/>
  <c r="E29" i="8" s="1"/>
  <c r="D92" i="2"/>
  <c r="J50" i="8" s="1"/>
  <c r="T50" i="8" s="1"/>
  <c r="U50" i="8" s="1"/>
  <c r="E50" i="8" s="1"/>
  <c r="D71" i="2"/>
  <c r="D10" i="2"/>
  <c r="J9" i="8" s="1"/>
  <c r="T9" i="8" s="1"/>
  <c r="U9" i="8" s="1"/>
  <c r="G52" i="2"/>
  <c r="G10" i="2"/>
  <c r="G71" i="2"/>
  <c r="G92" i="2"/>
  <c r="G47" i="2"/>
  <c r="G34" i="2"/>
  <c r="F205" i="1"/>
  <c r="F204" i="1"/>
  <c r="F203" i="1"/>
  <c r="F202" i="1"/>
  <c r="F201" i="1"/>
  <c r="G34" i="8" l="1"/>
  <c r="E52" i="2"/>
  <c r="H52" i="2" s="1"/>
  <c r="I33" i="8" s="1"/>
  <c r="E34" i="2"/>
  <c r="H34" i="2" s="1"/>
  <c r="E92" i="2"/>
  <c r="H92" i="2" s="1"/>
  <c r="I50" i="8" s="1"/>
  <c r="E10" i="2"/>
  <c r="H10" i="2" s="1"/>
  <c r="I9" i="8" s="1"/>
  <c r="E71" i="2"/>
  <c r="H71" i="2" s="1"/>
  <c r="E47" i="2"/>
  <c r="H47" i="2" s="1"/>
  <c r="I29" i="8" s="1"/>
  <c r="F200" i="1"/>
  <c r="F199" i="1"/>
  <c r="F35" i="2"/>
  <c r="C35" i="2"/>
  <c r="H21" i="8" s="1"/>
  <c r="C21" i="8" s="1"/>
  <c r="F9" i="8" l="1"/>
  <c r="E9" i="8" s="1"/>
  <c r="F50" i="8"/>
  <c r="F29" i="8"/>
  <c r="F33" i="8"/>
  <c r="D35" i="2"/>
  <c r="J21" i="8" s="1"/>
  <c r="T21" i="8" s="1"/>
  <c r="U21" i="8" s="1"/>
  <c r="E21" i="8" s="1"/>
  <c r="G35" i="2"/>
  <c r="F198" i="1"/>
  <c r="F197" i="1"/>
  <c r="F196" i="1"/>
  <c r="F195" i="1"/>
  <c r="F194" i="1"/>
  <c r="F193" i="1"/>
  <c r="F192" i="1"/>
  <c r="G29" i="8" l="1"/>
  <c r="G50" i="8"/>
  <c r="G33" i="8"/>
  <c r="G9" i="8"/>
  <c r="E35" i="2"/>
  <c r="H35" i="2" s="1"/>
  <c r="I21" i="8" s="1"/>
  <c r="F191" i="1"/>
  <c r="F190" i="1"/>
  <c r="F189" i="1"/>
  <c r="F188" i="1"/>
  <c r="F187" i="1"/>
  <c r="F186" i="1"/>
  <c r="F185" i="1"/>
  <c r="C63" i="2"/>
  <c r="H38" i="8" s="1"/>
  <c r="C38" i="8" s="1"/>
  <c r="F184" i="1"/>
  <c r="F183" i="1"/>
  <c r="F182" i="1"/>
  <c r="F181" i="1"/>
  <c r="F180" i="1"/>
  <c r="F179" i="1"/>
  <c r="F178" i="1"/>
  <c r="F177" i="1"/>
  <c r="F176" i="1"/>
  <c r="F21" i="8" l="1"/>
  <c r="D63" i="2"/>
  <c r="J38" i="8" s="1"/>
  <c r="T38" i="8" s="1"/>
  <c r="U38" i="8" s="1"/>
  <c r="E38" i="8" s="1"/>
  <c r="G63" i="2"/>
  <c r="F175" i="1"/>
  <c r="F174" i="1"/>
  <c r="F173" i="1"/>
  <c r="G21" i="8" l="1"/>
  <c r="E63" i="2"/>
  <c r="H63" i="2" s="1"/>
  <c r="I38" i="8" s="1"/>
  <c r="F172" i="1"/>
  <c r="F38" i="8" l="1"/>
  <c r="F171" i="1"/>
  <c r="F170" i="1"/>
  <c r="G38" i="8" l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4" i="1"/>
  <c r="F155" i="1"/>
  <c r="F156" i="1"/>
  <c r="F157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 l="1"/>
  <c r="F138" i="1"/>
  <c r="F137" i="1" l="1"/>
  <c r="F136" i="1"/>
  <c r="F135" i="1" l="1"/>
  <c r="F134" i="1"/>
  <c r="F133" i="1"/>
  <c r="F132" i="1" l="1"/>
  <c r="F131" i="1"/>
  <c r="F130" i="1"/>
  <c r="F129" i="1" l="1"/>
  <c r="F128" i="1" l="1"/>
  <c r="F127" i="1"/>
  <c r="F126" i="1"/>
  <c r="F125" i="1"/>
  <c r="F124" i="1"/>
  <c r="F123" i="1"/>
  <c r="F122" i="1"/>
  <c r="F121" i="1"/>
  <c r="F120" i="1" l="1"/>
  <c r="F119" i="1"/>
  <c r="F118" i="1"/>
  <c r="F117" i="1"/>
  <c r="F116" i="1"/>
  <c r="F115" i="1"/>
  <c r="F114" i="1" l="1"/>
  <c r="F113" i="1"/>
  <c r="F112" i="1" l="1"/>
  <c r="F111" i="1"/>
  <c r="F110" i="1" l="1"/>
  <c r="F109" i="1" l="1"/>
  <c r="F108" i="1"/>
  <c r="F107" i="1"/>
  <c r="F106" i="1" l="1"/>
  <c r="F105" i="1"/>
  <c r="F104" i="1"/>
  <c r="F103" i="1" l="1"/>
  <c r="F102" i="1"/>
  <c r="F101" i="1"/>
  <c r="F100" i="1" l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 l="1"/>
  <c r="F83" i="1"/>
  <c r="F82" i="1"/>
  <c r="F81" i="1"/>
  <c r="F80" i="1"/>
  <c r="F79" i="1"/>
  <c r="F78" i="1"/>
  <c r="F77" i="1" l="1"/>
  <c r="F76" i="1"/>
  <c r="F75" i="1"/>
  <c r="F74" i="1" l="1"/>
  <c r="F73" i="1"/>
  <c r="F72" i="1"/>
  <c r="F71" i="1"/>
  <c r="F70" i="1"/>
  <c r="F69" i="1"/>
  <c r="F68" i="1"/>
  <c r="F67" i="1"/>
  <c r="F66" i="1"/>
  <c r="F65" i="1"/>
  <c r="F64" i="1"/>
  <c r="F63" i="1"/>
  <c r="F62" i="1"/>
  <c r="F61" i="1" l="1"/>
  <c r="F61" i="2"/>
  <c r="C61" i="2"/>
  <c r="D61" i="2" s="1"/>
  <c r="F60" i="1"/>
  <c r="F59" i="1"/>
  <c r="F58" i="1"/>
  <c r="F57" i="1"/>
  <c r="F56" i="1"/>
  <c r="F55" i="1"/>
  <c r="F54" i="1"/>
  <c r="F53" i="1"/>
  <c r="F52" i="1"/>
  <c r="E61" i="2" l="1"/>
  <c r="G61" i="2"/>
  <c r="F51" i="1"/>
  <c r="F5" i="2"/>
  <c r="C5" i="2"/>
  <c r="D5" i="2" s="1"/>
  <c r="F50" i="1"/>
  <c r="H61" i="2" l="1"/>
  <c r="E5" i="2"/>
  <c r="G5" i="2"/>
  <c r="F49" i="1"/>
  <c r="F48" i="1"/>
  <c r="F47" i="1"/>
  <c r="C93" i="2"/>
  <c r="H51" i="8" s="1"/>
  <c r="C51" i="8" s="1"/>
  <c r="C89" i="2"/>
  <c r="C88" i="2"/>
  <c r="H47" i="8" s="1"/>
  <c r="C47" i="8" s="1"/>
  <c r="C87" i="2"/>
  <c r="C86" i="2"/>
  <c r="C83" i="2"/>
  <c r="C82" i="2"/>
  <c r="H44" i="8" s="1"/>
  <c r="C44" i="8" s="1"/>
  <c r="C79" i="2"/>
  <c r="C78" i="2"/>
  <c r="C77" i="2"/>
  <c r="H42" i="8" s="1"/>
  <c r="C42" i="8" s="1"/>
  <c r="C76" i="2"/>
  <c r="C73" i="2"/>
  <c r="C72" i="2"/>
  <c r="C70" i="2"/>
  <c r="C69" i="2"/>
  <c r="C68" i="2"/>
  <c r="H40" i="8" s="1"/>
  <c r="C40" i="8" s="1"/>
  <c r="C67" i="2"/>
  <c r="C59" i="2"/>
  <c r="C57" i="2"/>
  <c r="C56" i="2"/>
  <c r="C50" i="2"/>
  <c r="H31" i="8" s="1"/>
  <c r="C31" i="8" s="1"/>
  <c r="C49" i="2"/>
  <c r="C48" i="2"/>
  <c r="H30" i="8" s="1"/>
  <c r="C30" i="8" s="1"/>
  <c r="C45" i="2"/>
  <c r="H27" i="8" s="1"/>
  <c r="C27" i="8" s="1"/>
  <c r="C44" i="2"/>
  <c r="H26" i="8" s="1"/>
  <c r="C26" i="8" s="1"/>
  <c r="C43" i="2"/>
  <c r="C41" i="2"/>
  <c r="C38" i="2"/>
  <c r="H23" i="8" s="1"/>
  <c r="C23" i="8" s="1"/>
  <c r="C33" i="2"/>
  <c r="C30" i="2"/>
  <c r="C29" i="2"/>
  <c r="H18" i="8" s="1"/>
  <c r="C18" i="8" s="1"/>
  <c r="C28" i="2"/>
  <c r="C27" i="2"/>
  <c r="H17" i="8" s="1"/>
  <c r="C17" i="8" s="1"/>
  <c r="C24" i="2"/>
  <c r="C23" i="2"/>
  <c r="C22" i="2"/>
  <c r="C19" i="2"/>
  <c r="C17" i="2"/>
  <c r="H12" i="8" s="1"/>
  <c r="C12" i="8" s="1"/>
  <c r="C14" i="2"/>
  <c r="H11" i="8" s="1"/>
  <c r="C11" i="8" s="1"/>
  <c r="C13" i="2"/>
  <c r="C12" i="2"/>
  <c r="C9" i="2"/>
  <c r="H8" i="8" s="1"/>
  <c r="C8" i="8" s="1"/>
  <c r="C7" i="2"/>
  <c r="C6" i="2"/>
  <c r="H6" i="8" s="1"/>
  <c r="C6" i="8" s="1"/>
  <c r="C3" i="2"/>
  <c r="C2" i="2"/>
  <c r="H4" i="8" s="1"/>
  <c r="C4" i="8" s="1"/>
  <c r="C26" i="2"/>
  <c r="D67" i="2" l="1"/>
  <c r="D68" i="2"/>
  <c r="J40" i="8" s="1"/>
  <c r="T40" i="8" s="1"/>
  <c r="U40" i="8" s="1"/>
  <c r="E40" i="8" s="1"/>
  <c r="D24" i="2"/>
  <c r="D69" i="2"/>
  <c r="D78" i="2"/>
  <c r="D13" i="2"/>
  <c r="D45" i="2"/>
  <c r="J27" i="8" s="1"/>
  <c r="T27" i="8" s="1"/>
  <c r="U27" i="8" s="1"/>
  <c r="E27" i="8" s="1"/>
  <c r="D77" i="2"/>
  <c r="J42" i="8" s="1"/>
  <c r="T42" i="8" s="1"/>
  <c r="U42" i="8" s="1"/>
  <c r="D12" i="2"/>
  <c r="D23" i="2"/>
  <c r="D41" i="2"/>
  <c r="H5" i="2"/>
  <c r="F46" i="1"/>
  <c r="F45" i="1"/>
  <c r="F44" i="1"/>
  <c r="F43" i="1"/>
  <c r="F42" i="1"/>
  <c r="F41" i="1"/>
  <c r="F40" i="1"/>
  <c r="F39" i="1"/>
  <c r="F38" i="1"/>
  <c r="F3" i="2"/>
  <c r="F6" i="2"/>
  <c r="F7" i="2"/>
  <c r="F9" i="2"/>
  <c r="F12" i="2"/>
  <c r="F13" i="2"/>
  <c r="F14" i="2"/>
  <c r="F17" i="2"/>
  <c r="F19" i="2"/>
  <c r="F22" i="2"/>
  <c r="F23" i="2"/>
  <c r="F24" i="2"/>
  <c r="F26" i="2"/>
  <c r="F27" i="2"/>
  <c r="F28" i="2"/>
  <c r="F29" i="2"/>
  <c r="F30" i="2"/>
  <c r="F33" i="2"/>
  <c r="F38" i="2"/>
  <c r="F41" i="2"/>
  <c r="F43" i="2"/>
  <c r="F44" i="2"/>
  <c r="F45" i="2"/>
  <c r="F48" i="2"/>
  <c r="F49" i="2"/>
  <c r="F50" i="2"/>
  <c r="F56" i="2"/>
  <c r="F57" i="2"/>
  <c r="F59" i="2"/>
  <c r="F67" i="2"/>
  <c r="F69" i="2"/>
  <c r="F70" i="2"/>
  <c r="F72" i="2"/>
  <c r="F73" i="2"/>
  <c r="F77" i="2"/>
  <c r="F78" i="2"/>
  <c r="F79" i="2"/>
  <c r="F82" i="2"/>
  <c r="F83" i="2"/>
  <c r="F86" i="2"/>
  <c r="F87" i="2"/>
  <c r="F88" i="2"/>
  <c r="F89" i="2"/>
  <c r="F93" i="2"/>
  <c r="F2" i="2"/>
  <c r="F37" i="1" l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D26" i="2" s="1"/>
  <c r="F10" i="1"/>
  <c r="F9" i="1"/>
  <c r="F8" i="1"/>
  <c r="F7" i="1"/>
  <c r="F6" i="1"/>
  <c r="F5" i="1"/>
  <c r="F4" i="1"/>
  <c r="F3" i="1"/>
  <c r="F2" i="1"/>
  <c r="D17" i="2" l="1"/>
  <c r="J12" i="8" s="1"/>
  <c r="T12" i="8" s="1"/>
  <c r="U12" i="8" s="1"/>
  <c r="E12" i="8" s="1"/>
  <c r="D19" i="2"/>
  <c r="D22" i="2"/>
  <c r="D70" i="2"/>
  <c r="E70" i="2" s="1"/>
  <c r="D28" i="2"/>
  <c r="D76" i="2"/>
  <c r="D29" i="2"/>
  <c r="J18" i="8" s="1"/>
  <c r="T18" i="8" s="1"/>
  <c r="U18" i="8" s="1"/>
  <c r="D79" i="2"/>
  <c r="D30" i="2"/>
  <c r="D82" i="2"/>
  <c r="J44" i="8" s="1"/>
  <c r="T44" i="8" s="1"/>
  <c r="U44" i="8" s="1"/>
  <c r="D33" i="2"/>
  <c r="D83" i="2"/>
  <c r="D38" i="2"/>
  <c r="J23" i="8" s="1"/>
  <c r="T23" i="8" s="1"/>
  <c r="U23" i="8" s="1"/>
  <c r="D86" i="2"/>
  <c r="E86" i="2" s="1"/>
  <c r="D2" i="2"/>
  <c r="J4" i="8" s="1"/>
  <c r="T4" i="8" s="1"/>
  <c r="U4" i="8" s="1"/>
  <c r="D43" i="2"/>
  <c r="D87" i="2"/>
  <c r="D3" i="2"/>
  <c r="D44" i="2"/>
  <c r="J26" i="8" s="1"/>
  <c r="T26" i="8" s="1"/>
  <c r="U26" i="8" s="1"/>
  <c r="D88" i="2"/>
  <c r="J47" i="8" s="1"/>
  <c r="T47" i="8" s="1"/>
  <c r="U47" i="8" s="1"/>
  <c r="D6" i="2"/>
  <c r="J6" i="8" s="1"/>
  <c r="T6" i="8" s="1"/>
  <c r="U6" i="8" s="1"/>
  <c r="D48" i="2"/>
  <c r="J30" i="8" s="1"/>
  <c r="T30" i="8" s="1"/>
  <c r="U30" i="8" s="1"/>
  <c r="D89" i="2"/>
  <c r="E89" i="2" s="1"/>
  <c r="D7" i="2"/>
  <c r="E7" i="2" s="1"/>
  <c r="D49" i="2"/>
  <c r="D93" i="2"/>
  <c r="J51" i="8" s="1"/>
  <c r="T51" i="8" s="1"/>
  <c r="U51" i="8" s="1"/>
  <c r="D9" i="2"/>
  <c r="J8" i="8" s="1"/>
  <c r="T8" i="8" s="1"/>
  <c r="U8" i="8" s="1"/>
  <c r="E8" i="8" s="1"/>
  <c r="D50" i="2"/>
  <c r="J31" i="8" s="1"/>
  <c r="T31" i="8" s="1"/>
  <c r="U31" i="8" s="1"/>
  <c r="D14" i="2"/>
  <c r="J11" i="8" s="1"/>
  <c r="T11" i="8" s="1"/>
  <c r="U11" i="8" s="1"/>
  <c r="D56" i="2"/>
  <c r="D57" i="2"/>
  <c r="E57" i="2" s="1"/>
  <c r="D59" i="2"/>
  <c r="D72" i="2"/>
  <c r="D27" i="2"/>
  <c r="J17" i="8" s="1"/>
  <c r="T17" i="8" s="1"/>
  <c r="U17" i="8" s="1"/>
  <c r="D73" i="2"/>
  <c r="G73" i="2"/>
  <c r="E41" i="2"/>
  <c r="G41" i="2"/>
  <c r="E77" i="2"/>
  <c r="G77" i="2"/>
  <c r="G44" i="2"/>
  <c r="G19" i="2"/>
  <c r="G83" i="2"/>
  <c r="G50" i="2"/>
  <c r="E23" i="2"/>
  <c r="G23" i="2"/>
  <c r="G87" i="2"/>
  <c r="G57" i="2"/>
  <c r="G26" i="2"/>
  <c r="G89" i="2"/>
  <c r="G27" i="2"/>
  <c r="G67" i="2"/>
  <c r="E67" i="2"/>
  <c r="G93" i="2"/>
  <c r="G28" i="2"/>
  <c r="E68" i="2"/>
  <c r="G68" i="2"/>
  <c r="G2" i="2"/>
  <c r="G29" i="2"/>
  <c r="E69" i="2"/>
  <c r="G69" i="2"/>
  <c r="G3" i="2"/>
  <c r="G30" i="2"/>
  <c r="G70" i="2"/>
  <c r="G9" i="2"/>
  <c r="G76" i="2"/>
  <c r="G43" i="2"/>
  <c r="E13" i="2"/>
  <c r="G13" i="2"/>
  <c r="G14" i="2"/>
  <c r="G17" i="2"/>
  <c r="G48" i="2"/>
  <c r="G82" i="2"/>
  <c r="G49" i="2"/>
  <c r="G22" i="2"/>
  <c r="G86" i="2"/>
  <c r="G56" i="2"/>
  <c r="E24" i="2"/>
  <c r="G24" i="2"/>
  <c r="G88" i="2"/>
  <c r="G59" i="2"/>
  <c r="G6" i="2"/>
  <c r="G33" i="2"/>
  <c r="G72" i="2"/>
  <c r="G7" i="2"/>
  <c r="E78" i="2"/>
  <c r="G78" i="2"/>
  <c r="G38" i="2"/>
  <c r="E12" i="2"/>
  <c r="G12" i="2"/>
  <c r="G45" i="2"/>
  <c r="E45" i="2"/>
  <c r="G79" i="2"/>
  <c r="E9" i="2" l="1"/>
  <c r="H9" i="2" s="1"/>
  <c r="I8" i="8" s="1"/>
  <c r="E2" i="2"/>
  <c r="H2" i="2" s="1"/>
  <c r="I4" i="8" s="1"/>
  <c r="E6" i="2"/>
  <c r="H6" i="2" s="1"/>
  <c r="I6" i="8" s="1"/>
  <c r="E88" i="2"/>
  <c r="H88" i="2" s="1"/>
  <c r="I47" i="8" s="1"/>
  <c r="E27" i="2"/>
  <c r="H27" i="2" s="1"/>
  <c r="I17" i="8" s="1"/>
  <c r="E48" i="2"/>
  <c r="H48" i="2" s="1"/>
  <c r="I30" i="8" s="1"/>
  <c r="E19" i="2"/>
  <c r="H19" i="2" s="1"/>
  <c r="E3" i="2"/>
  <c r="H3" i="2" s="1"/>
  <c r="E73" i="2"/>
  <c r="H73" i="2" s="1"/>
  <c r="E29" i="2"/>
  <c r="H29" i="2" s="1"/>
  <c r="I18" i="8" s="1"/>
  <c r="E87" i="2"/>
  <c r="H87" i="2" s="1"/>
  <c r="E49" i="2"/>
  <c r="H49" i="2" s="1"/>
  <c r="E83" i="2"/>
  <c r="H83" i="2" s="1"/>
  <c r="E28" i="2"/>
  <c r="H28" i="2" s="1"/>
  <c r="H78" i="2"/>
  <c r="E44" i="2"/>
  <c r="H44" i="2" s="1"/>
  <c r="I26" i="8" s="1"/>
  <c r="E30" i="2"/>
  <c r="H30" i="2" s="1"/>
  <c r="E72" i="2"/>
  <c r="H72" i="2" s="1"/>
  <c r="E38" i="2"/>
  <c r="H38" i="2" s="1"/>
  <c r="I23" i="8" s="1"/>
  <c r="E14" i="2"/>
  <c r="H14" i="2" s="1"/>
  <c r="I11" i="8" s="1"/>
  <c r="E22" i="2"/>
  <c r="H22" i="2" s="1"/>
  <c r="E79" i="2"/>
  <c r="H79" i="2" s="1"/>
  <c r="E82" i="2"/>
  <c r="H82" i="2" s="1"/>
  <c r="I44" i="8" s="1"/>
  <c r="E43" i="2"/>
  <c r="H43" i="2" s="1"/>
  <c r="E93" i="2"/>
  <c r="H93" i="2" s="1"/>
  <c r="I51" i="8" s="1"/>
  <c r="E59" i="2"/>
  <c r="H59" i="2" s="1"/>
  <c r="E76" i="2"/>
  <c r="H76" i="2" s="1"/>
  <c r="E33" i="2"/>
  <c r="H33" i="2" s="1"/>
  <c r="E56" i="2"/>
  <c r="H56" i="2" s="1"/>
  <c r="H57" i="2"/>
  <c r="E17" i="2"/>
  <c r="H17" i="2" s="1"/>
  <c r="I12" i="8" s="1"/>
  <c r="E50" i="2"/>
  <c r="H50" i="2" s="1"/>
  <c r="I31" i="8" s="1"/>
  <c r="E26" i="2"/>
  <c r="H26" i="2" s="1"/>
  <c r="H70" i="2"/>
  <c r="H68" i="2"/>
  <c r="I40" i="8" s="1"/>
  <c r="H12" i="2"/>
  <c r="H41" i="2"/>
  <c r="H24" i="2"/>
  <c r="H69" i="2"/>
  <c r="H13" i="2"/>
  <c r="H86" i="2"/>
  <c r="H45" i="2"/>
  <c r="I27" i="8" s="1"/>
  <c r="H7" i="2"/>
  <c r="H77" i="2"/>
  <c r="I42" i="8" s="1"/>
  <c r="H89" i="2"/>
  <c r="H67" i="2"/>
  <c r="H23" i="2"/>
  <c r="F40" i="8" l="1"/>
  <c r="F8" i="8"/>
  <c r="F31" i="8"/>
  <c r="E31" i="8" s="1"/>
  <c r="F42" i="8"/>
  <c r="E42" i="8" s="1"/>
  <c r="F23" i="8"/>
  <c r="E23" i="8" s="1"/>
  <c r="F18" i="8"/>
  <c r="E18" i="8" s="1"/>
  <c r="F6" i="8"/>
  <c r="E6" i="8" s="1"/>
  <c r="F4" i="8"/>
  <c r="E4" i="8" s="1"/>
  <c r="F12" i="8"/>
  <c r="F27" i="8"/>
  <c r="F51" i="8"/>
  <c r="E51" i="8" s="1"/>
  <c r="F26" i="8"/>
  <c r="E26" i="8" s="1"/>
  <c r="F44" i="8"/>
  <c r="E44" i="8" s="1"/>
  <c r="F30" i="8"/>
  <c r="E30" i="8" s="1"/>
  <c r="F17" i="8"/>
  <c r="E17" i="8" s="1"/>
  <c r="F11" i="8"/>
  <c r="E11" i="8" s="1"/>
  <c r="F47" i="8"/>
  <c r="E47" i="8" s="1"/>
  <c r="G40" i="8" l="1"/>
  <c r="G27" i="8"/>
  <c r="G12" i="8"/>
  <c r="G51" i="8"/>
  <c r="G26" i="8"/>
  <c r="G8" i="8"/>
  <c r="G17" i="8"/>
  <c r="G4" i="8"/>
  <c r="G6" i="8"/>
  <c r="G18" i="8"/>
  <c r="G31" i="8"/>
  <c r="G47" i="8"/>
  <c r="G11" i="8"/>
  <c r="G23" i="8"/>
  <c r="G42" i="8"/>
  <c r="G30" i="8"/>
  <c r="G44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<sst xmlns="http://schemas.openxmlformats.org/spreadsheetml/2006/main" count="5358" uniqueCount="757">
  <si>
    <t>Tarih</t>
  </si>
  <si>
    <t>Hisse</t>
  </si>
  <si>
    <t>İşlem</t>
  </si>
  <si>
    <t>Adet</t>
  </si>
  <si>
    <t>Fiyat</t>
  </si>
  <si>
    <t>Toplam</t>
  </si>
  <si>
    <t>ADEL</t>
  </si>
  <si>
    <t>ALIŞ</t>
  </si>
  <si>
    <t>ALARK</t>
  </si>
  <si>
    <t>SATIŞ</t>
  </si>
  <si>
    <t>ARASE</t>
  </si>
  <si>
    <t>ARENA</t>
  </si>
  <si>
    <t>ASTOR</t>
  </si>
  <si>
    <t>BRLSM</t>
  </si>
  <si>
    <t>BURVA</t>
  </si>
  <si>
    <t>CATES</t>
  </si>
  <si>
    <t>CWENE</t>
  </si>
  <si>
    <t>DEVA</t>
  </si>
  <si>
    <t>DOAS</t>
  </si>
  <si>
    <t>DOKTA</t>
  </si>
  <si>
    <t>EDATA</t>
  </si>
  <si>
    <t>EDIP</t>
  </si>
  <si>
    <t>ENJSA</t>
  </si>
  <si>
    <t>FROTO</t>
  </si>
  <si>
    <t>HTTBT</t>
  </si>
  <si>
    <t>HUNER</t>
  </si>
  <si>
    <t>KBORU</t>
  </si>
  <si>
    <t>KCHOL</t>
  </si>
  <si>
    <t>KONTR</t>
  </si>
  <si>
    <t>ONCSM</t>
  </si>
  <si>
    <t>ORGE</t>
  </si>
  <si>
    <t>OZRDN</t>
  </si>
  <si>
    <t>SAHOL</t>
  </si>
  <si>
    <t>SMART</t>
  </si>
  <si>
    <t>SMRTG</t>
  </si>
  <si>
    <t>TARKM</t>
  </si>
  <si>
    <t>THYAO</t>
  </si>
  <si>
    <t>TNZTP</t>
  </si>
  <si>
    <t>TOASO</t>
  </si>
  <si>
    <t>TTRAK</t>
  </si>
  <si>
    <t>TUCLK</t>
  </si>
  <si>
    <t>TUPRS</t>
  </si>
  <si>
    <t>UNLU</t>
  </si>
  <si>
    <t>YEOTK</t>
  </si>
  <si>
    <t>Maliyet</t>
  </si>
  <si>
    <t>Kar/Zarar</t>
  </si>
  <si>
    <t>TAVHL</t>
  </si>
  <si>
    <t>DAGI</t>
  </si>
  <si>
    <t>DAPGM</t>
  </si>
  <si>
    <t>PRKAB</t>
  </si>
  <si>
    <t>PRKME</t>
  </si>
  <si>
    <t>BNTAS</t>
  </si>
  <si>
    <t>GRNYO</t>
  </si>
  <si>
    <t>INDES</t>
  </si>
  <si>
    <t>SAFKR</t>
  </si>
  <si>
    <t>TDGYO</t>
  </si>
  <si>
    <t>BIMAS</t>
  </si>
  <si>
    <t>Şirket</t>
  </si>
  <si>
    <t>A1CAP</t>
  </si>
  <si>
    <t>ACSEL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</si>
  <si>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</si>
  <si>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</si>
  <si>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</si>
  <si>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</si>
  <si>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</si>
  <si>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</si>
  <si>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</si>
  <si>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</si>
  <si>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</si>
  <si>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AKBNK</t>
  </si>
  <si>
    <t>AKCNS</t>
  </si>
  <si>
    <t>AKENR</t>
  </si>
  <si>
    <t>AKFGY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</si>
  <si>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</si>
  <si>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</si>
  <si>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</si>
  <si>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</si>
  <si>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</si>
  <si>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</si>
  <si>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</si>
  <si>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</si>
  <si>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</si>
  <si>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</si>
  <si>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</si>
  <si>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</si>
  <si>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</si>
  <si>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</si>
  <si>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</si>
  <si>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</si>
  <si>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ALMAD</t>
  </si>
  <si>
    <t>ALTNY</t>
  </si>
  <si>
    <t>ALVES</t>
  </si>
  <si>
    <t>ANELE</t>
  </si>
  <si>
    <t>ANGEN</t>
  </si>
  <si>
    <t>ANHYT</t>
  </si>
  <si>
    <t>ANSGR</t>
  </si>
  <si>
    <t>ARCLK</t>
  </si>
  <si>
    <t>ARDYZ</t>
  </si>
  <si>
    <t>ARSAN</t>
  </si>
  <si>
    <t>ARTMS</t>
  </si>
  <si>
    <t>ARZUM</t>
  </si>
  <si>
    <t>ASELS</t>
  </si>
  <si>
    <t>ASGYO</t>
  </si>
  <si>
    <t>ASUZU</t>
  </si>
  <si>
    <t>ATAGY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</si>
  <si>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</si>
  <si>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</si>
  <si>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</si>
  <si>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</si>
  <si>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</si>
  <si>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</si>
  <si>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</si>
  <si>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</si>
  <si>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</si>
  <si>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</si>
  <si>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</si>
  <si>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</si>
  <si>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</si>
  <si>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AYES</t>
  </si>
  <si>
    <t>AYGAZ</t>
  </si>
  <si>
    <t>AZTEK</t>
  </si>
  <si>
    <t>BAGFS</t>
  </si>
  <si>
    <t>BAKAB</t>
  </si>
  <si>
    <t>BALAT</t>
  </si>
  <si>
    <t>BANVT</t>
  </si>
  <si>
    <t>BARMA</t>
  </si>
  <si>
    <t>BASCM</t>
  </si>
  <si>
    <t>BASGZ</t>
  </si>
  <si>
    <t>BAYRK</t>
  </si>
  <si>
    <t>BEGYO</t>
  </si>
  <si>
    <t>BERA</t>
  </si>
  <si>
    <t>BEYAZ</t>
  </si>
  <si>
    <t>BFREN</t>
  </si>
  <si>
    <t>BIENY</t>
  </si>
  <si>
    <t>BIGCH</t>
  </si>
  <si>
    <t>BINHO</t>
  </si>
  <si>
    <t>BIOEN</t>
  </si>
  <si>
    <t>BIZIM</t>
  </si>
  <si>
    <t>BJKAS</t>
  </si>
  <si>
    <t>BLCYT</t>
  </si>
  <si>
    <t>BMSCH</t>
  </si>
  <si>
    <t>BMSTL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</si>
  <si>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</si>
  <si>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</si>
  <si>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</si>
  <si>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</si>
  <si>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</si>
  <si>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</si>
  <si>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</si>
  <si>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</si>
  <si>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BRMEN</t>
  </si>
  <si>
    <t>BRSAN</t>
  </si>
  <si>
    <t>BRYAT</t>
  </si>
  <si>
    <t>BSOKE</t>
  </si>
  <si>
    <t>BTCIM</t>
  </si>
  <si>
    <t>BUCIM</t>
  </si>
  <si>
    <t>BURCE</t>
  </si>
  <si>
    <t>BVSAN</t>
  </si>
  <si>
    <t>BYDNR</t>
  </si>
  <si>
    <t>CANTE</t>
  </si>
  <si>
    <t>CASA</t>
  </si>
  <si>
    <t>CCOLA</t>
  </si>
  <si>
    <t>CELHA</t>
  </si>
  <si>
    <t>CEMAS</t>
  </si>
  <si>
    <t>CEMTS</t>
  </si>
  <si>
    <t>CEOEM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</si>
  <si>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</si>
  <si>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</si>
  <si>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</si>
  <si>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</si>
  <si>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</si>
  <si>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</si>
  <si>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</si>
  <si>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</si>
  <si>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</si>
  <si>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</si>
  <si>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DAGHL</t>
  </si>
  <si>
    <t>DARDL</t>
  </si>
  <si>
    <t>DENGE</t>
  </si>
  <si>
    <t>DERHL</t>
  </si>
  <si>
    <t>DERIM</t>
  </si>
  <si>
    <t>DESA</t>
  </si>
  <si>
    <t>DESPC</t>
  </si>
  <si>
    <t>DGATE</t>
  </si>
  <si>
    <t>DGGYO</t>
  </si>
  <si>
    <t>DGNMO</t>
  </si>
  <si>
    <t>DIRIT</t>
  </si>
  <si>
    <t>DITAS</t>
  </si>
  <si>
    <t>DMRGD</t>
  </si>
  <si>
    <t>DMSAS</t>
  </si>
  <si>
    <t>DNISI</t>
  </si>
  <si>
    <t>DOBUR</t>
  </si>
  <si>
    <t>DOFER</t>
  </si>
  <si>
    <t>DOGUB</t>
  </si>
  <si>
    <t>DOHOL</t>
  </si>
  <si>
    <t>DURDO</t>
  </si>
  <si>
    <t>DYOBY</t>
  </si>
  <si>
    <t>DZGYO</t>
  </si>
  <si>
    <t>EBEBK</t>
  </si>
  <si>
    <t>ECILC</t>
  </si>
  <si>
    <t>ECZYT</t>
  </si>
  <si>
    <t>EGEEN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</si>
  <si>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</si>
  <si>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</si>
  <si>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</si>
  <si>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</si>
  <si>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</si>
  <si>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</si>
  <si>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</si>
  <si>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</si>
  <si>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</si>
  <si>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</si>
  <si>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</si>
  <si>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ENERY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</si>
  <si>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</si>
  <si>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</si>
  <si>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</si>
  <si>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</si>
  <si>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</si>
  <si>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</si>
  <si>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</si>
  <si>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</si>
  <si>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</si>
  <si>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</si>
  <si>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</si>
  <si>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</si>
  <si>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</si>
  <si>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</si>
  <si>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</si>
  <si>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</si>
  <si>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</si>
  <si>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</si>
  <si>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</si>
  <si>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</si>
  <si>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</si>
  <si>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</si>
  <si>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</si>
  <si>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</si>
  <si>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</si>
  <si>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</si>
  <si>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</si>
  <si>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</si>
  <si>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</si>
  <si>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</si>
  <si>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</si>
  <si>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</si>
  <si>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</si>
  <si>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</si>
  <si>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</si>
  <si>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</si>
  <si>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</si>
  <si>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</si>
  <si>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</si>
  <si>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GLRYH</t>
  </si>
  <si>
    <t>GLYHO</t>
  </si>
  <si>
    <t>GMTAS</t>
  </si>
  <si>
    <t>GOKNR</t>
  </si>
  <si>
    <t>GOLTS</t>
  </si>
  <si>
    <t>GOODY</t>
  </si>
  <si>
    <t>GOZDE</t>
  </si>
  <si>
    <t>GRSEL</t>
  </si>
  <si>
    <t>GRTRK</t>
  </si>
  <si>
    <t>GSDDE</t>
  </si>
  <si>
    <t>GSDHO</t>
  </si>
  <si>
    <t>GSRAY</t>
  </si>
  <si>
    <t>GUBRF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</si>
  <si>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</si>
  <si>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</si>
  <si>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</si>
  <si>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</si>
  <si>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</si>
  <si>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</si>
  <si>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</si>
  <si>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</si>
  <si>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</si>
  <si>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</si>
  <si>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</si>
  <si>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</si>
  <si>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HUBVC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</si>
  <si>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</si>
  <si>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</si>
  <si>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</si>
  <si>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</si>
  <si>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</si>
  <si>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</si>
  <si>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</si>
  <si>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</si>
  <si>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</si>
  <si>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</si>
  <si>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</si>
  <si>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</si>
  <si>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INFO</t>
  </si>
  <si>
    <t>INGRM</t>
  </si>
  <si>
    <t>INTEM</t>
  </si>
  <si>
    <t>INVEO</t>
  </si>
  <si>
    <t>INVES</t>
  </si>
  <si>
    <t>IPEKE</t>
  </si>
  <si>
    <t>ISATR</t>
  </si>
  <si>
    <t>ISBIR</t>
  </si>
  <si>
    <t>ISBTR</t>
  </si>
  <si>
    <t>ISCTR</t>
  </si>
  <si>
    <t>ISDMR</t>
  </si>
  <si>
    <t>ISFIN</t>
  </si>
  <si>
    <t>ISGSY</t>
  </si>
  <si>
    <t>ISGYO</t>
  </si>
  <si>
    <t>ISKPL</t>
  </si>
  <si>
    <t>ISKUR</t>
  </si>
  <si>
    <t>ISMEN</t>
  </si>
  <si>
    <t>ISSEN</t>
  </si>
  <si>
    <t>ISYAT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</si>
  <si>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</si>
  <si>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</si>
  <si>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</si>
  <si>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</si>
  <si>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</si>
  <si>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</si>
  <si>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</si>
  <si>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</si>
  <si>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</si>
  <si>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KARYE</t>
  </si>
  <si>
    <t>KATMR</t>
  </si>
  <si>
    <t>KAYSE</t>
  </si>
  <si>
    <t>KCAER</t>
  </si>
  <si>
    <t>KENT</t>
  </si>
  <si>
    <t>KERVN</t>
  </si>
  <si>
    <t>KERVT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</si>
  <si>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</si>
  <si>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</si>
  <si>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</si>
  <si>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</si>
  <si>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</si>
  <si>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</si>
  <si>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</si>
  <si>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</si>
  <si>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</si>
  <si>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</si>
  <si>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KMPUR</t>
  </si>
  <si>
    <t>KNFRT</t>
  </si>
  <si>
    <t>KOCMT</t>
  </si>
  <si>
    <t>KONKA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</si>
  <si>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</si>
  <si>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</si>
  <si>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</si>
  <si>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</si>
  <si>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</si>
  <si>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</si>
  <si>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</si>
  <si>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</si>
  <si>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</si>
  <si>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</si>
  <si>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</si>
  <si>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</si>
  <si>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</si>
  <si>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</si>
  <si>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</si>
  <si>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</si>
  <si>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</si>
  <si>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</si>
  <si>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</si>
  <si>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</si>
  <si>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</si>
  <si>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</si>
  <si>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</si>
  <si>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</si>
  <si>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</si>
  <si>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</si>
  <si>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</si>
  <si>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</si>
  <si>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</si>
  <si>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</si>
  <si>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</si>
  <si>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</si>
  <si>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</si>
  <si>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</si>
  <si>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</si>
  <si>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</si>
  <si>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</si>
  <si>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</si>
  <si>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</si>
  <si>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</si>
  <si>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</si>
  <si>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</si>
  <si>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</si>
  <si>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</si>
  <si>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</si>
  <si>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</si>
  <si>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</si>
  <si>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</si>
  <si>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</si>
  <si>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</si>
  <si>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</si>
  <si>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METUR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</si>
  <si>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</si>
  <si>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</si>
  <si>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</si>
  <si>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</si>
  <si>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</si>
  <si>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</si>
  <si>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</si>
  <si>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</si>
  <si>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</si>
  <si>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</si>
  <si>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</si>
  <si>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</si>
  <si>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</si>
  <si>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</si>
  <si>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</si>
  <si>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</si>
  <si>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</si>
  <si>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</si>
  <si>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</si>
  <si>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</si>
  <si>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</si>
  <si>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</si>
  <si>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</si>
  <si>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</si>
  <si>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</si>
  <si>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</si>
  <si>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</si>
  <si>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ONRYT</t>
  </si>
  <si>
    <t>ORCAY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</si>
  <si>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</si>
  <si>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</si>
  <si>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</si>
  <si>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</si>
  <si>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</si>
  <si>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</si>
  <si>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</si>
  <si>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</si>
  <si>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</si>
  <si>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OZGYO</t>
  </si>
  <si>
    <t>OZKGY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</si>
  <si>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</si>
  <si>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</si>
  <si>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</si>
  <si>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</si>
  <si>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</si>
  <si>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</si>
  <si>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</si>
  <si>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</si>
  <si>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</si>
  <si>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PEHOL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</si>
  <si>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</si>
  <si>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</si>
  <si>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</si>
  <si>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</si>
  <si>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</si>
  <si>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</si>
  <si>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</si>
  <si>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</si>
  <si>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</si>
  <si>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</si>
  <si>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</si>
  <si>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</si>
  <si>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</si>
  <si>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</si>
  <si>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</si>
  <si>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PRZMA</t>
  </si>
  <si>
    <t>PSDTC</t>
  </si>
  <si>
    <t>PSGYO</t>
  </si>
  <si>
    <t>QNBFB</t>
  </si>
  <si>
    <t>QNBFL</t>
  </si>
  <si>
    <t>QUAGR</t>
  </si>
  <si>
    <t>RALYH</t>
  </si>
  <si>
    <t>RAYSG</t>
  </si>
  <si>
    <t>REEDR</t>
  </si>
  <si>
    <t>RGYAS</t>
  </si>
  <si>
    <t>RNPOL</t>
  </si>
  <si>
    <t>RODRG</t>
  </si>
  <si>
    <t>ROYAL</t>
  </si>
  <si>
    <t>RTALB</t>
  </si>
  <si>
    <t>RUBNS</t>
  </si>
  <si>
    <t>RYGYO</t>
  </si>
  <si>
    <t>RYSAS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</si>
  <si>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</si>
  <si>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</si>
  <si>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</si>
  <si>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</si>
  <si>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</si>
  <si>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</si>
  <si>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</si>
  <si>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</si>
  <si>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SEGYO</t>
  </si>
  <si>
    <t>SEKFK</t>
  </si>
  <si>
    <t>SEKUR</t>
  </si>
  <si>
    <t>SELEC</t>
  </si>
  <si>
    <t>SELGD</t>
  </si>
  <si>
    <t>SELVA</t>
  </si>
  <si>
    <t>SEYKM</t>
  </si>
  <si>
    <t>SILVR</t>
  </si>
  <si>
    <t>SISE</t>
  </si>
  <si>
    <t>SKBNK</t>
  </si>
  <si>
    <t>SKTAS</t>
  </si>
  <si>
    <t>SKYLP</t>
  </si>
  <si>
    <t>SKYMD</t>
  </si>
  <si>
    <t>SNGYO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</si>
  <si>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</si>
  <si>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</si>
  <si>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</si>
  <si>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</si>
  <si>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</si>
  <si>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</si>
  <si>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</si>
  <si>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</si>
  <si>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</si>
  <si>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</si>
  <si>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</si>
  <si>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</si>
  <si>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</si>
  <si>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TATEN</t>
  </si>
  <si>
    <t>TATGD</t>
  </si>
  <si>
    <t>TBORG</t>
  </si>
  <si>
    <t>TCELL</t>
  </si>
  <si>
    <t>TEKTU</t>
  </si>
  <si>
    <t>TERA</t>
  </si>
  <si>
    <t>TETMT</t>
  </si>
  <si>
    <t>TEZOL</t>
  </si>
  <si>
    <t>TGSAS</t>
  </si>
  <si>
    <t>TKFEN</t>
  </si>
  <si>
    <t>TKNSA</t>
  </si>
  <si>
    <t>TLMAN</t>
  </si>
  <si>
    <t>TMPOL</t>
  </si>
  <si>
    <t>TMSN</t>
  </si>
  <si>
    <t>TRCAS</t>
  </si>
  <si>
    <t>TRGYO</t>
  </si>
  <si>
    <t>TRILC</t>
  </si>
  <si>
    <t>TSGYO</t>
  </si>
  <si>
    <t>TSKB</t>
  </si>
  <si>
    <t>TSPOR</t>
  </si>
  <si>
    <t>TTKOM</t>
  </si>
  <si>
    <t>TUKAS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</si>
  <si>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</si>
  <si>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</si>
  <si>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</si>
  <si>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</si>
  <si>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</si>
  <si>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</si>
  <si>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</si>
  <si>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</si>
  <si>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</si>
  <si>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UMPAS</t>
  </si>
  <si>
    <t>USAK</t>
  </si>
  <si>
    <t>VAKBN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</si>
  <si>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</si>
  <si>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</si>
  <si>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</si>
  <si>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</si>
  <si>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</si>
  <si>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</si>
  <si>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</si>
  <si>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</si>
  <si>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</si>
  <si>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</si>
  <si>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</si>
  <si>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</si>
  <si>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YAPRK</t>
  </si>
  <si>
    <t>YATAS</t>
  </si>
  <si>
    <t>YAYLA</t>
  </si>
  <si>
    <t>YBTAS</t>
  </si>
  <si>
    <t>YESIL</t>
  </si>
  <si>
    <t>YGGYO</t>
  </si>
  <si>
    <t>YGYO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</si>
  <si>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</si>
  <si>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</si>
  <si>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</si>
  <si>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</si>
  <si>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</si>
  <si>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</si>
  <si>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</si>
  <si>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</si>
  <si>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</si>
  <si>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</si>
  <si>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Toplam Maliyet</t>
  </si>
  <si>
    <t>Toplam Tutar</t>
  </si>
  <si>
    <t>DOCO</t>
  </si>
  <si>
    <t>EFORC</t>
  </si>
  <si>
    <t>SEGMN</t>
  </si>
  <si>
    <t>DCTTR</t>
  </si>
  <si>
    <t>BAHKM</t>
  </si>
  <si>
    <t>TCKRC</t>
  </si>
  <si>
    <t>GUNDG</t>
  </si>
  <si>
    <t>AHSGY</t>
  </si>
  <si>
    <t>ADET</t>
  </si>
  <si>
    <t>FİYAT</t>
  </si>
  <si>
    <t>INTEK</t>
  </si>
  <si>
    <t>LYDHO</t>
  </si>
  <si>
    <t>OZATD</t>
  </si>
  <si>
    <t>CEMZY</t>
  </si>
  <si>
    <t>hisse</t>
  </si>
  <si>
    <t>DURKN</t>
  </si>
  <si>
    <t>UZERB</t>
  </si>
  <si>
    <t>BINBN</t>
  </si>
  <si>
    <t>TABAN</t>
  </si>
  <si>
    <t>TAVAN</t>
  </si>
  <si>
    <t>GRTHO</t>
  </si>
  <si>
    <t>LYDYE</t>
  </si>
  <si>
    <t>PIXEL</t>
  </si>
  <si>
    <t>GRT</t>
  </si>
  <si>
    <t>PEPE</t>
  </si>
  <si>
    <t>BONK</t>
  </si>
  <si>
    <t>CYBER</t>
  </si>
  <si>
    <t>SMRVA</t>
  </si>
  <si>
    <t>CGCAM</t>
  </si>
  <si>
    <t>Sektör</t>
  </si>
  <si>
    <t>İMALAT</t>
  </si>
  <si>
    <t>HOLDİNG</t>
  </si>
  <si>
    <t>HABERLEŞME</t>
  </si>
  <si>
    <t>TAŞ TOPRAK MADEN</t>
  </si>
  <si>
    <t>ENERJİ ÜRETİM DAĞ.</t>
  </si>
  <si>
    <t>TEKNOLOJİK ÜRÜN T.</t>
  </si>
  <si>
    <t>ENERJİ TEK.</t>
  </si>
  <si>
    <t>TEKSTİL</t>
  </si>
  <si>
    <t>OTO YAN SAN.</t>
  </si>
  <si>
    <t>GIDA PARAKENDE</t>
  </si>
  <si>
    <t>ÇİMENTO</t>
  </si>
  <si>
    <t>DESTEK HİZ.</t>
  </si>
  <si>
    <t>GYO</t>
  </si>
  <si>
    <t>SAĞLIK İLAÇ</t>
  </si>
  <si>
    <t>OTOMOTİV</t>
  </si>
  <si>
    <t>BİLİŞİM YAZILIM</t>
  </si>
  <si>
    <t>İNŞAAT</t>
  </si>
  <si>
    <t>ANA METAL</t>
  </si>
  <si>
    <t>KİMYA PLASTİK</t>
  </si>
  <si>
    <t>GIDA İÇECEK</t>
  </si>
  <si>
    <t>SERVİS</t>
  </si>
  <si>
    <t>GİRİŞİM</t>
  </si>
  <si>
    <t>ULAŞTIRMA</t>
  </si>
  <si>
    <t>DAY. TÜK. ÜRÜN</t>
  </si>
  <si>
    <t>DURUM</t>
  </si>
  <si>
    <t>MALİYET</t>
  </si>
  <si>
    <t>Haftalık</t>
  </si>
  <si>
    <t xml:space="preserve"> 1 Aylık</t>
  </si>
  <si>
    <t>YTD</t>
  </si>
  <si>
    <t>1 Yıllık</t>
  </si>
  <si>
    <t>Adel </t>
  </si>
  <si>
    <t>Alcatel Lucent </t>
  </si>
  <si>
    <t>Astor Enerji </t>
  </si>
  <si>
    <t>-</t>
  </si>
  <si>
    <t>Bayrak </t>
  </si>
  <si>
    <t>Birleşim Mühendislik Isıtma Soğutma </t>
  </si>
  <si>
    <t>Bosch Fren </t>
  </si>
  <si>
    <t>Bülbüloğlu Vinç </t>
  </si>
  <si>
    <t>Burçelik Vana San. Ve Tic. A.Ş. </t>
  </si>
  <si>
    <t>CEO Event Medya </t>
  </si>
  <si>
    <t>Çimsa Çimento </t>
  </si>
  <si>
    <t>Desa </t>
  </si>
  <si>
    <t>Doğu Aras Enerji </t>
  </si>
  <si>
    <t>Doğuş Otomotiv Servis </t>
  </si>
  <si>
    <t>E-Data Teknoloji </t>
  </si>
  <si>
    <t>Emlak Konut GYO </t>
  </si>
  <si>
    <t>Erdemir </t>
  </si>
  <si>
    <t>Federal Mogul </t>
  </si>
  <si>
    <t>Ford Otomotiv San. A.Ş. </t>
  </si>
  <si>
    <t>Girişim Elektrik </t>
  </si>
  <si>
    <t>Gübretaş </t>
  </si>
  <si>
    <t>Hun Yenilenebilir Enerji </t>
  </si>
  <si>
    <t>İndeks Bilgisayar Sistemleri </t>
  </si>
  <si>
    <t>İskenderun Demir Çelik </t>
  </si>
  <si>
    <t>Kartal Yenilenebilir Enerji </t>
  </si>
  <si>
    <t>Kontrolmatik Teknoloji </t>
  </si>
  <si>
    <t>Kristal Kola </t>
  </si>
  <si>
    <t>Kuzey Boru </t>
  </si>
  <si>
    <t>Marka Yatırım </t>
  </si>
  <si>
    <t>Matriks Bilgi </t>
  </si>
  <si>
    <t>Mega Polietilen Köpük </t>
  </si>
  <si>
    <t>Nasmed Özel Sağlık Hizmetleri </t>
  </si>
  <si>
    <t>Obase Bilgisayar ve Danışmanlık </t>
  </si>
  <si>
    <t>Ostim </t>
  </si>
  <si>
    <t>Pardus Girişim Sermayesi Yatırım </t>
  </si>
  <si>
    <t>Park Elektrik </t>
  </si>
  <si>
    <t>Penta Teknoloji </t>
  </si>
  <si>
    <t>Sanica Isı Sanayi </t>
  </si>
  <si>
    <t>Tapdi Oksijen Özel Sağlık ve Eğitim Hiz. </t>
  </si>
  <si>
    <t>TAV Havalimanları </t>
  </si>
  <si>
    <t>Trabzon Liman İşletmeciliği </t>
  </si>
  <si>
    <t>Tüpraş </t>
  </si>
  <si>
    <t>Türk İlaç </t>
  </si>
  <si>
    <t>Türk Telekomunikasyon </t>
  </si>
  <si>
    <t>VBT Yazılım </t>
  </si>
  <si>
    <t>Vestel Beyaz </t>
  </si>
  <si>
    <t>Vestel Elektronik </t>
  </si>
  <si>
    <t>YEO Teknoloji Enerji </t>
  </si>
  <si>
    <t>SATIŞ SKOR</t>
  </si>
  <si>
    <t>ALIŞ SKOR</t>
  </si>
  <si>
    <t xml:space="preserve">  </t>
  </si>
  <si>
    <t>ARMGD</t>
  </si>
  <si>
    <t>Son Fiyat</t>
  </si>
  <si>
    <t>1 Hafta %</t>
  </si>
  <si>
    <t>1 Ay %</t>
  </si>
  <si>
    <t>3 Ay %</t>
  </si>
  <si>
    <t>6 Ay %</t>
  </si>
  <si>
    <t>1 Yıl %</t>
  </si>
  <si>
    <t>3 Yıl %</t>
  </si>
  <si>
    <t>5 Yıl %</t>
  </si>
  <si>
    <t>3 Yıllık</t>
  </si>
  <si>
    <t>5 Yıllık</t>
  </si>
  <si>
    <t xml:space="preserve"> 3 Aylık</t>
  </si>
  <si>
    <t>6 Aylık</t>
  </si>
  <si>
    <t>AL/SAT</t>
  </si>
  <si>
    <t>2025 %</t>
  </si>
  <si>
    <t>SMA5-20</t>
  </si>
  <si>
    <t>MR</t>
  </si>
  <si>
    <t>DAHI</t>
  </si>
  <si>
    <t>TK</t>
  </si>
  <si>
    <t>ICH</t>
  </si>
  <si>
    <t>BYB</t>
  </si>
  <si>
    <t>ZKN</t>
  </si>
  <si>
    <t>PU</t>
  </si>
  <si>
    <t>SAR</t>
  </si>
  <si>
    <t>FÜ</t>
  </si>
  <si>
    <t>EDS</t>
  </si>
  <si>
    <t>VOL</t>
  </si>
  <si>
    <t>BOLLING</t>
  </si>
  <si>
    <t>GÖST</t>
  </si>
  <si>
    <t>DAHI 2</t>
  </si>
  <si>
    <t>SWING</t>
  </si>
  <si>
    <t>TT2</t>
  </si>
  <si>
    <t>PSAR+A</t>
  </si>
  <si>
    <t>ADX20</t>
  </si>
  <si>
    <t>MACD + S</t>
  </si>
  <si>
    <t>DRI MO</t>
  </si>
  <si>
    <t>DKA</t>
  </si>
  <si>
    <t>MFI50</t>
  </si>
  <si>
    <t>EMA5-20</t>
  </si>
  <si>
    <t>EMA20-50</t>
  </si>
  <si>
    <t>MACD0 Y</t>
  </si>
  <si>
    <t>EMALAR S.</t>
  </si>
  <si>
    <t>P.SAR + EMA</t>
  </si>
  <si>
    <t>HILL</t>
  </si>
  <si>
    <t>TOPLAM</t>
  </si>
  <si>
    <t>Sütun1</t>
  </si>
  <si>
    <t>ZKN2</t>
  </si>
  <si>
    <t>Hafta Başı</t>
  </si>
  <si>
    <t>Prim</t>
  </si>
  <si>
    <t>1.Hafta</t>
  </si>
  <si>
    <t>GLRMK</t>
  </si>
  <si>
    <t>EGEGY</t>
  </si>
  <si>
    <t>2.Hafta</t>
  </si>
  <si>
    <t>ZKN HO</t>
  </si>
  <si>
    <t>PSAR+ADX</t>
  </si>
  <si>
    <t>3.Hafta</t>
  </si>
  <si>
    <t/>
  </si>
  <si>
    <t>FLAMA ÜÇG</t>
  </si>
  <si>
    <t>VOL K. S.</t>
  </si>
  <si>
    <t>SWING TR 3</t>
  </si>
  <si>
    <t>DRI MOM</t>
  </si>
  <si>
    <t>MINI RALLI</t>
  </si>
  <si>
    <t>DİBİNİ SIY.</t>
  </si>
  <si>
    <t>AKFIS</t>
  </si>
  <si>
    <t>MOPAS</t>
  </si>
  <si>
    <t>QNBFK</t>
  </si>
  <si>
    <t>QNBTR</t>
  </si>
  <si>
    <t>4.Hafta</t>
  </si>
  <si>
    <t>HULL</t>
  </si>
  <si>
    <t>MACD 0 Y</t>
  </si>
  <si>
    <t>SAR DÜZELTMESİ</t>
  </si>
  <si>
    <t>ZKN İYİ ALIM 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</si>
</sst>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₺&quot;#,##0.00;[Red]\-&quot;₺&quot;#,##0.00"/>
    <numFmt numFmtId="44" formatCode="_-&quot;₺&quot;* #,##0.00_-;\-&quot;₺&quot;* #,##0.00_-;_-&quot;₺&quot;* &quot;-&quot;??_-;_-@_-"/>
    <numFmt numFmtId="164" formatCode="#,##0.00\ &quot;₺&quot;;[Red]\-#,##0.00\ &quot;₺&quot;"/>
    <numFmt numFmtId="165" formatCode="#,##0.00000000\ &quot;₺&quot;;[Red]\-#,##0.00000000\ &quot;₺&quot;"/>
    <numFmt numFmtId="166" formatCode="_ * #,##0.00000000_ \ [$$-C0C]_ ;_ * \-#,##0.00000000\ \ [$$-C0C]_ ;_ * &quot;-&quot;??_ \ [$$-C0C]_ ;_ @_ "/>
    <numFmt numFmtId="167" formatCode="_ * #,##0.00_ \ [$$-C0C]_ ;_ * \-#,##0.00\ \ [$$-C0C]_ ;_ * &quot;-&quot;??_ \ [$$-C0C]_ ;_ @_ "/>
    <numFmt numFmtId="168" formatCode="_ * #,##0.0000000_ \ [$$-C0C]_ ;_ * \-#,##0.0000000\ \ [$$-C0C]_ ;_ * &quot;-&quot;??_ \ [$$-C0C]_ ;_ @_ "/>
    <numFmt numFmtId="169" formatCode="_-[$₺-41F]* #,##0.00_-;\-[$₺-41F]* #,##0.00_-;_-[$₺-41F]* &quot;-&quot;??_-;_-@_-"/>
  </numFmts>
  <fonts count="13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color rgb="FFFF0066"/>
      <name val="Aptos Narrow"/>
      <family val="2"/>
      <scheme val="minor"/>
    </font>
    <font>
      <b/>
      <sz val="11"/>
      <color rgb="FFFF0066"/>
      <name val="Aptos Narrow"/>
      <family val="2"/>
      <scheme val="minor"/>
    </font>
    <font>
      <b/>
      <sz val="11"/>
      <color theme="0"/>
      <name val="Aptos Narrow"/>
      <family val="2"/>
      <charset val="162"/>
      <scheme val="minor"/>
    </font>
    <font>
      <sz val="9"/>
      <color theme="1"/>
      <name val="Aptos Narrow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EA6A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theme="4"/>
      </left>
      <right style="thin">
        <color theme="0"/>
      </right>
      <top style="medium">
        <color theme="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4"/>
      </top>
      <bottom style="thin">
        <color theme="0"/>
      </bottom>
      <diagonal/>
    </border>
    <border>
      <left style="thin">
        <color theme="0"/>
      </left>
      <right style="medium">
        <color theme="4"/>
      </right>
      <top style="medium">
        <color theme="4"/>
      </top>
      <bottom style="thin">
        <color theme="0"/>
      </bottom>
      <diagonal/>
    </border>
    <border>
      <left style="medium">
        <color theme="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4"/>
      </right>
      <top style="thin">
        <color theme="0"/>
      </top>
      <bottom style="thin">
        <color theme="0"/>
      </bottom>
      <diagonal/>
    </border>
    <border>
      <left style="medium">
        <color theme="4"/>
      </left>
      <right style="thin">
        <color theme="0"/>
      </right>
      <top style="thin">
        <color theme="0"/>
      </top>
      <bottom style="medium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4"/>
      </bottom>
      <diagonal/>
    </border>
    <border>
      <left style="thin">
        <color theme="0"/>
      </left>
      <right style="medium">
        <color theme="4"/>
      </right>
      <top style="thin">
        <color theme="0"/>
      </top>
      <bottom style="medium">
        <color theme="4"/>
      </bottom>
      <diagonal/>
    </border>
    <border>
      <left style="medium">
        <color theme="4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medium">
        <color theme="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medium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9">
    <xf numFmtId="0" fontId="0" fillId="0" borderId="0" xfId="0"/>
    <xf numFmtId="164" fontId="3" fillId="0" borderId="0" xfId="1" applyNumberFormat="1" applyFont="1" applyAlignment="1">
      <alignment horizontal="right"/>
    </xf>
    <xf numFmtId="164" fontId="2" fillId="0" borderId="0" xfId="1" applyNumberFormat="1" applyFont="1" applyAlignment="1">
      <alignment horizontal="right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0" fontId="5" fillId="2" borderId="1" xfId="0" applyFont="1" applyFill="1" applyBorder="1"/>
    <xf numFmtId="0" fontId="5" fillId="2" borderId="1" xfId="0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right"/>
    </xf>
    <xf numFmtId="164" fontId="4" fillId="2" borderId="1" xfId="1" applyNumberFormat="1" applyFont="1" applyFill="1" applyBorder="1" applyAlignment="1">
      <alignment horizontal="right"/>
    </xf>
    <xf numFmtId="14" fontId="5" fillId="2" borderId="2" xfId="0" applyNumberFormat="1" applyFont="1" applyFill="1" applyBorder="1" applyAlignment="1">
      <alignment horizontal="center"/>
    </xf>
    <xf numFmtId="0" fontId="5" fillId="2" borderId="2" xfId="0" applyFont="1" applyFill="1" applyBorder="1"/>
    <xf numFmtId="0" fontId="5" fillId="2" borderId="2" xfId="0" applyFont="1" applyFill="1" applyBorder="1" applyAlignment="1">
      <alignment horizontal="center"/>
    </xf>
    <xf numFmtId="164" fontId="5" fillId="2" borderId="2" xfId="1" applyNumberFormat="1" applyFont="1" applyFill="1" applyBorder="1" applyAlignment="1">
      <alignment horizontal="right"/>
    </xf>
    <xf numFmtId="164" fontId="4" fillId="2" borderId="2" xfId="1" applyNumberFormat="1" applyFont="1" applyFill="1" applyBorder="1" applyAlignment="1">
      <alignment horizontal="right"/>
    </xf>
    <xf numFmtId="164" fontId="4" fillId="3" borderId="0" xfId="1" applyNumberFormat="1" applyFont="1" applyFill="1" applyAlignment="1">
      <alignment horizontal="center"/>
    </xf>
    <xf numFmtId="14" fontId="4" fillId="3" borderId="0" xfId="0" applyNumberFormat="1" applyFont="1" applyFill="1" applyAlignment="1">
      <alignment horizontal="center"/>
    </xf>
    <xf numFmtId="0" fontId="4" fillId="3" borderId="0" xfId="0" applyFont="1" applyFill="1"/>
    <xf numFmtId="0" fontId="4" fillId="3" borderId="0" xfId="0" applyFont="1" applyFill="1" applyAlignment="1">
      <alignment horizontal="center"/>
    </xf>
    <xf numFmtId="0" fontId="7" fillId="0" borderId="0" xfId="0" applyFont="1" applyAlignment="1">
      <alignment vertical="center" wrapText="1"/>
    </xf>
    <xf numFmtId="0" fontId="6" fillId="3" borderId="3" xfId="0" applyFont="1" applyFill="1" applyBorder="1" applyAlignment="1">
      <alignment vertical="center" wrapText="1"/>
    </xf>
    <xf numFmtId="0" fontId="6" fillId="3" borderId="4" xfId="0" applyFont="1" applyFill="1" applyBorder="1" applyAlignment="1">
      <alignment horizontal="center" vertical="center" wrapText="1"/>
    </xf>
    <xf numFmtId="164" fontId="6" fillId="3" borderId="4" xfId="0" applyNumberFormat="1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8" fontId="0" fillId="0" borderId="0" xfId="0" applyNumberFormat="1"/>
    <xf numFmtId="1" fontId="0" fillId="0" borderId="0" xfId="0" applyNumberFormat="1" applyAlignment="1">
      <alignment horizontal="center"/>
    </xf>
    <xf numFmtId="0" fontId="0" fillId="4" borderId="6" xfId="0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right" vertical="center"/>
    </xf>
    <xf numFmtId="8" fontId="0" fillId="4" borderId="7" xfId="0" applyNumberFormat="1" applyFill="1" applyBorder="1" applyAlignment="1">
      <alignment horizontal="right" vertical="center"/>
    </xf>
    <xf numFmtId="0" fontId="0" fillId="0" borderId="0" xfId="0" applyAlignment="1">
      <alignment vertical="center"/>
    </xf>
    <xf numFmtId="0" fontId="0" fillId="4" borderId="8" xfId="0" applyFill="1" applyBorder="1" applyAlignment="1">
      <alignment vertical="center"/>
    </xf>
    <xf numFmtId="0" fontId="0" fillId="4" borderId="9" xfId="0" applyFill="1" applyBorder="1" applyAlignment="1">
      <alignment horizontal="center" vertical="center"/>
    </xf>
    <xf numFmtId="164" fontId="0" fillId="4" borderId="9" xfId="0" applyNumberFormat="1" applyFill="1" applyBorder="1" applyAlignment="1">
      <alignment horizontal="right" vertical="center"/>
    </xf>
    <xf numFmtId="8" fontId="0" fillId="4" borderId="10" xfId="0" applyNumberFormat="1" applyFill="1" applyBorder="1" applyAlignment="1">
      <alignment horizontal="right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164" fontId="0" fillId="0" borderId="0" xfId="0" applyNumberFormat="1"/>
    <xf numFmtId="0" fontId="0" fillId="4" borderId="11" xfId="0" applyFill="1" applyBorder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2" xfId="0" applyFont="1" applyBorder="1"/>
    <xf numFmtId="0" fontId="2" fillId="0" borderId="12" xfId="0" applyFont="1" applyBorder="1" applyAlignment="1">
      <alignment horizontal="center"/>
    </xf>
    <xf numFmtId="14" fontId="0" fillId="0" borderId="0" xfId="0" applyNumberFormat="1"/>
    <xf numFmtId="164" fontId="8" fillId="0" borderId="2" xfId="1" applyNumberFormat="1" applyFont="1" applyFill="1" applyBorder="1" applyAlignment="1">
      <alignment horizontal="right"/>
    </xf>
    <xf numFmtId="164" fontId="9" fillId="0" borderId="2" xfId="1" applyNumberFormat="1" applyFont="1" applyFill="1" applyBorder="1" applyAlignment="1">
      <alignment horizontal="right"/>
    </xf>
    <xf numFmtId="8" fontId="10" fillId="0" borderId="0" xfId="0" applyNumberFormat="1" applyFont="1"/>
    <xf numFmtId="0" fontId="3" fillId="0" borderId="0" xfId="0" applyFont="1" applyAlignment="1">
      <alignment horizontal="center"/>
    </xf>
    <xf numFmtId="164" fontId="3" fillId="0" borderId="0" xfId="1" applyNumberFormat="1" applyFont="1" applyFill="1" applyBorder="1" applyAlignment="1">
      <alignment horizontal="center"/>
    </xf>
    <xf numFmtId="0" fontId="0" fillId="0" borderId="12" xfId="0" applyBorder="1"/>
    <xf numFmtId="164" fontId="3" fillId="0" borderId="12" xfId="1" applyNumberFormat="1" applyFont="1" applyFill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165" fontId="4" fillId="3" borderId="0" xfId="1" applyNumberFormat="1" applyFont="1" applyFill="1" applyAlignment="1">
      <alignment horizontal="center"/>
    </xf>
    <xf numFmtId="165" fontId="5" fillId="2" borderId="1" xfId="1" applyNumberFormat="1" applyFont="1" applyFill="1" applyBorder="1" applyAlignment="1">
      <alignment horizontal="right"/>
    </xf>
    <xf numFmtId="165" fontId="5" fillId="2" borderId="2" xfId="1" applyNumberFormat="1" applyFont="1" applyFill="1" applyBorder="1" applyAlignment="1">
      <alignment horizontal="right"/>
    </xf>
    <xf numFmtId="165" fontId="0" fillId="0" borderId="0" xfId="0" applyNumberFormat="1"/>
    <xf numFmtId="166" fontId="3" fillId="0" borderId="0" xfId="0" applyNumberFormat="1" applyFont="1"/>
    <xf numFmtId="166" fontId="2" fillId="0" borderId="12" xfId="0" applyNumberFormat="1" applyFont="1" applyBorder="1"/>
    <xf numFmtId="166" fontId="3" fillId="0" borderId="12" xfId="1" applyNumberFormat="1" applyFont="1" applyFill="1" applyBorder="1" applyAlignment="1"/>
    <xf numFmtId="166" fontId="3" fillId="0" borderId="0" xfId="1" applyNumberFormat="1" applyFont="1" applyFill="1" applyBorder="1" applyAlignment="1"/>
    <xf numFmtId="166" fontId="0" fillId="0" borderId="0" xfId="0" applyNumberFormat="1" applyAlignment="1">
      <alignment horizontal="center"/>
    </xf>
    <xf numFmtId="166" fontId="2" fillId="0" borderId="12" xfId="0" applyNumberFormat="1" applyFont="1" applyBorder="1" applyAlignment="1">
      <alignment horizontal="center"/>
    </xf>
    <xf numFmtId="166" fontId="3" fillId="0" borderId="12" xfId="1" applyNumberFormat="1" applyFont="1" applyFill="1" applyBorder="1" applyAlignment="1">
      <alignment horizontal="center"/>
    </xf>
    <xf numFmtId="166" fontId="3" fillId="0" borderId="0" xfId="1" applyNumberFormat="1" applyFont="1" applyFill="1" applyBorder="1" applyAlignment="1">
      <alignment horizontal="center"/>
    </xf>
    <xf numFmtId="167" fontId="10" fillId="0" borderId="0" xfId="1" applyNumberFormat="1" applyFont="1"/>
    <xf numFmtId="167" fontId="0" fillId="0" borderId="0" xfId="1" applyNumberFormat="1" applyFont="1"/>
    <xf numFmtId="166" fontId="8" fillId="0" borderId="2" xfId="1" applyNumberFormat="1" applyFont="1" applyFill="1" applyBorder="1" applyAlignment="1">
      <alignment horizontal="right"/>
    </xf>
    <xf numFmtId="4" fontId="0" fillId="0" borderId="0" xfId="0" applyNumberFormat="1" applyAlignment="1">
      <alignment horizontal="center"/>
    </xf>
    <xf numFmtId="168" fontId="9" fillId="0" borderId="2" xfId="1" applyNumberFormat="1" applyFont="1" applyFill="1" applyBorder="1" applyAlignment="1">
      <alignment horizontal="right"/>
    </xf>
    <xf numFmtId="0" fontId="6" fillId="3" borderId="13" xfId="0" applyFont="1" applyFill="1" applyBorder="1" applyAlignment="1">
      <alignment vertical="center" wrapText="1"/>
    </xf>
    <xf numFmtId="0" fontId="0" fillId="4" borderId="14" xfId="0" applyFill="1" applyBorder="1" applyAlignment="1">
      <alignment vertical="center"/>
    </xf>
    <xf numFmtId="0" fontId="0" fillId="4" borderId="15" xfId="0" applyFill="1" applyBorder="1" applyAlignment="1">
      <alignment vertical="center"/>
    </xf>
    <xf numFmtId="0" fontId="0" fillId="4" borderId="16" xfId="0" applyFill="1" applyBorder="1" applyAlignment="1">
      <alignment vertical="center"/>
    </xf>
    <xf numFmtId="10" fontId="0" fillId="0" borderId="0" xfId="0" applyNumberFormat="1"/>
    <xf numFmtId="10" fontId="0" fillId="0" borderId="0" xfId="2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2" fontId="0" fillId="5" borderId="0" xfId="0" applyNumberFormat="1" applyFill="1" applyAlignment="1">
      <alignment horizontal="center"/>
    </xf>
    <xf numFmtId="9" fontId="0" fillId="0" borderId="0" xfId="2" applyFont="1"/>
    <xf numFmtId="0" fontId="0" fillId="0" borderId="0" xfId="0" applyAlignment="1">
      <alignment horizontal="center" textRotation="90"/>
    </xf>
    <xf numFmtId="169" fontId="0" fillId="0" borderId="0" xfId="0" applyNumberFormat="1" applyAlignment="1">
      <alignment horizontal="center" textRotation="90"/>
    </xf>
    <xf numFmtId="169" fontId="0" fillId="0" borderId="0" xfId="0" applyNumberFormat="1" applyAlignment="1">
      <alignment horizontal="center"/>
    </xf>
    <xf numFmtId="0" fontId="11" fillId="6" borderId="17" xfId="0" applyFont="1" applyFill="1" applyBorder="1" applyAlignment="1">
      <alignment horizontal="center"/>
    </xf>
    <xf numFmtId="10" fontId="0" fillId="0" borderId="0" xfId="0" applyNumberFormat="1" applyAlignment="1">
      <alignment horizontal="center"/>
    </xf>
    <xf numFmtId="2" fontId="12" fillId="0" borderId="0" xfId="2" applyNumberFormat="1" applyFont="1" applyAlignment="1">
      <alignment horizontal="center"/>
    </xf>
    <xf numFmtId="0" fontId="0" fillId="7" borderId="0" xfId="0" applyFill="1" applyAlignment="1">
      <alignment horizontal="center"/>
    </xf>
    <xf numFmtId="0" fontId="0" fillId="2" borderId="0" xfId="0" applyFill="1" applyAlignment="1">
      <alignment horizontal="center" textRotation="90"/>
    </xf>
    <xf numFmtId="0" fontId="0" fillId="3" borderId="0" xfId="0" applyFill="1" applyAlignment="1">
      <alignment horizontal="center" textRotation="90"/>
    </xf>
    <xf numFmtId="0" fontId="2" fillId="0" borderId="12" xfId="0" applyFont="1" applyBorder="1" applyAlignment="1">
      <alignment horizontal="center"/>
    </xf>
  </cellXfs>
  <cellStyles count="3">
    <cellStyle name="Normal" xfId="0" builtinId="0"/>
    <cellStyle name="ParaBirimi" xfId="1" builtinId="4"/>
    <cellStyle name="Yüzde" xfId="2" builtinId="5"/>
  </cellStyles>
  <dxfs count="96">
    <dxf>
      <font>
        <b/>
        <i val="0"/>
        <color theme="0"/>
      </font>
      <fill>
        <patternFill>
          <bgColor rgb="FF00EA6A"/>
        </patternFill>
      </fill>
    </dxf>
    <dxf>
      <font>
        <b/>
        <i val="0"/>
        <color theme="0"/>
      </font>
      <fill>
        <patternFill>
          <bgColor rgb="FFFF0066"/>
        </patternFill>
      </fill>
    </dxf>
    <dxf>
      <font>
        <b/>
        <i val="0"/>
        <color theme="9"/>
      </font>
    </dxf>
    <dxf>
      <font>
        <color theme="0"/>
      </font>
      <fill>
        <patternFill>
          <fgColor rgb="FFFF0066"/>
          <bgColor rgb="FFFA4C6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theme="0"/>
      </font>
      <fill>
        <patternFill>
          <bgColor rgb="FF00B853"/>
        </patternFill>
      </fill>
    </dxf>
    <dxf>
      <font>
        <b/>
        <i val="0"/>
        <color theme="0"/>
      </font>
      <fill>
        <patternFill>
          <bgColor rgb="FFFF0066"/>
        </patternFill>
      </fill>
    </dxf>
    <dxf>
      <font>
        <b/>
        <i val="0"/>
        <color theme="9"/>
      </font>
    </dxf>
    <dxf>
      <font>
        <color theme="0"/>
      </font>
      <fill>
        <patternFill>
          <fgColor rgb="FFFF0066"/>
          <bgColor rgb="FFFA4C6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theme="0"/>
      </font>
      <fill>
        <patternFill>
          <fgColor rgb="FFFA4C65"/>
          <bgColor rgb="FFFA4C65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9" formatCode="_-[$₺-41F]* #,##0.00_-;\-[$₺-41F]* #,##0.00_-;_-[$₺-41F]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9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64" formatCode="#,##0.00\ &quot;₺&quot;;[Red]\-#,##0.00\ &quot;₺&quot;"/>
      <fill>
        <patternFill patternType="solid">
          <fgColor indexed="64"/>
          <bgColor theme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65" formatCode="#,##0.00000000\ &quot;₺&quot;;[Red]\-#,##0.00000000\ &quot;₺&quot;"/>
      <fill>
        <patternFill patternType="solid">
          <fgColor indexed="64"/>
          <bgColor theme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9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9" formatCode="d/mm/yyyy"/>
      <fill>
        <patternFill patternType="solid">
          <fgColor indexed="64"/>
          <bgColor theme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64" formatCode="#,##0.00\ &quot;₺&quot;;[Red]\-#,##0.00\ &quot;₺&quot;"/>
      <fill>
        <patternFill patternType="solid">
          <fgColor indexed="64"/>
          <bgColor theme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64" formatCode="#,##0.00\ &quot;₺&quot;;[Red]\-#,##0.00\ &quot;₺&quot;"/>
      <fill>
        <patternFill patternType="solid">
          <fgColor indexed="64"/>
          <bgColor theme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9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9" formatCode="d/mm/yyyy"/>
      <fill>
        <patternFill patternType="solid">
          <fgColor indexed="64"/>
          <bgColor theme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9"/>
        </patternFill>
      </fill>
    </dxf>
    <dxf>
      <font>
        <b/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/>
        </patternFill>
      </fill>
    </dxf>
  </dxfs>
  <tableStyles count="0" defaultTableStyle="TableStyleMedium2" defaultPivotStyle="PivotStyleLight16"/>
  <colors>
    <mruColors>
      <color rgb="FFFF0066"/>
      <color rgb="FF00EA6A"/>
      <color rgb="FF00B853"/>
      <color rgb="FFFF438F"/>
      <color rgb="FFFF97C1"/>
      <color rgb="FFFFDDEB"/>
      <color rgb="FFDDF7DD"/>
      <color rgb="FFA9E9A9"/>
      <color rgb="FF33CC33"/>
      <color rgb="FFFA4C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DF2B88-5111-4C5B-BFD0-4697DEA54324}" name="Tablo1" displayName="Tablo1" ref="A1:F1417" totalsRowShown="0" headerRowDxfId="95" dataDxfId="94">
  <autoFilter ref="A1:F1417" xr:uid="{E0DF2B88-5111-4C5B-BFD0-4697DEA54324}"/>
  <tableColumns count="6">
    <tableColumn id="1" xr3:uid="{DBA2D221-556F-423A-831F-580AD573EA62}" name="Tarih" dataDxfId="93"/>
    <tableColumn id="2" xr3:uid="{2D74FE25-C4FF-489F-BE2C-28CE04CB9717}" name="Hisse" dataDxfId="92"/>
    <tableColumn id="3" xr3:uid="{9DE8F6A5-3C34-449A-A269-6F8712CCA251}" name="İşlem" dataDxfId="91"/>
    <tableColumn id="4" xr3:uid="{8BAC7BBC-604D-4CD4-801D-08829BB5E9DC}" name="Adet" dataDxfId="90"/>
    <tableColumn id="5" xr3:uid="{548553C5-0711-4973-B2C6-2F91C46C071C}" name="Fiyat" dataDxfId="89" dataCellStyle="ParaBirimi"/>
    <tableColumn id="6" xr3:uid="{BA383255-280B-4D24-A704-770AAE3D6241}" name="Toplam" dataDxfId="88" dataCellStyle="ParaBirimi">
      <calculatedColumnFormula>+E2*D2</calculatedColumnFormula>
    </tableColumn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23BF1C-9A17-4B2B-8213-4AF0E7F665AB}" name="Tablo2" displayName="Tablo2" ref="K1:T588" totalsRowShown="0">
  <autoFilter ref="K1:T588" xr:uid="{DF23BF1C-9A17-4B2B-8213-4AF0E7F665AB}"/>
  <tableColumns count="10">
    <tableColumn id="1" xr3:uid="{E262D5AE-76F4-4021-A15E-8CF176486CBA}" name="Şirket"/>
    <tableColumn id="2" xr3:uid="{D2D22E77-CEF4-4F59-9A47-F53641D6B497}" name="Son Fiyat"/>
    <tableColumn id="3" xr3:uid="{3FA576FC-C997-4920-96CF-D3B732D47725}" name="1 Hafta %"/>
    <tableColumn id="4" xr3:uid="{2F3BE6B6-7D1D-4CCB-B880-E8675137DDD7}" name="1 Ay %"/>
    <tableColumn id="5" xr3:uid="{6F18B821-E2D3-48E2-AD8A-81B60169F273}" name="3 Ay %"/>
    <tableColumn id="6" xr3:uid="{14047757-F53B-4F54-9CBC-6982692A977A}" name="6 Ay %"/>
    <tableColumn id="7" xr3:uid="{A7A7E6EB-7024-41C2-AAD3-3AA3AAB3CBCD}" name="2025 %"/>
    <tableColumn id="8" xr3:uid="{1A923108-C70E-49EB-BC33-13F73291F51C}" name="1 Yıl %"/>
    <tableColumn id="9" xr3:uid="{3C619553-CF6E-4390-A148-248D3BBB1E54}" name="3 Yıl %"/>
    <tableColumn id="10" xr3:uid="{3A00E0F6-4252-40A9-8961-C36418740694}" name="5 Yıl %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DB7E999-2128-4487-A26A-BA9AF06C40D5}" name="Tablo4" displayName="Tablo4" ref="A1:F66" totalsRowShown="0">
  <autoFilter ref="A1:F66" xr:uid="{DDB7E999-2128-4487-A26A-BA9AF06C40D5}"/>
  <tableColumns count="6">
    <tableColumn id="1" xr3:uid="{98E5A53F-AC37-4BCA-8DEA-12068EE1EC23}" name="Tarih" dataDxfId="87"/>
    <tableColumn id="2" xr3:uid="{A88199A9-7A24-41A2-AED4-3C3BA62C0181}" name="Hisse" dataDxfId="86"/>
    <tableColumn id="3" xr3:uid="{51A19860-BE0B-4885-920C-E28256E6B2C9}" name="İşlem" dataDxfId="85"/>
    <tableColumn id="4" xr3:uid="{7732D286-29CE-4E4E-A608-45EBA3711B8B}" name="Adet" dataDxfId="84"/>
    <tableColumn id="5" xr3:uid="{F13BEC29-6B50-4CA3-94DF-42A84D91460E}" name="Fiyat" dataDxfId="83" dataCellStyle="ParaBirimi"/>
    <tableColumn id="6" xr3:uid="{F31F4A09-AAC0-4412-A785-4F3FD3D332B6}" name="Toplam" dataDxfId="82" dataCellStyle="ParaBirimi">
      <calculatedColumnFormula>+E2*D2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F41577A-3516-4E4E-94EA-8BC507856470}" name="Tablo3" displayName="Tablo3" ref="B1:AJ169" totalsRowCount="1" headerRowDxfId="81" dataDxfId="80">
  <autoFilter ref="B1:AJ168" xr:uid="{6F41577A-3516-4E4E-94EA-8BC507856470}"/>
  <sortState xmlns:xlrd2="http://schemas.microsoft.com/office/spreadsheetml/2017/richdata2" ref="B2:AJ168">
    <sortCondition ref="B1:B168"/>
  </sortState>
  <tableColumns count="35">
    <tableColumn id="1" xr3:uid="{117D4978-5832-4666-8E70-13449891ADB6}" name="Sütun1" totalsRowLabel="Toplam" dataDxfId="79" totalsRowDxfId="78"/>
    <tableColumn id="2" xr3:uid="{8677E3B2-2ACD-4B2A-B222-ADEC2812DCDC}" name="SMA5-20" totalsRowFunction="sum" dataDxfId="77" totalsRowDxfId="76"/>
    <tableColumn id="3" xr3:uid="{747F0968-B761-45BB-9347-DDA334AAAD2F}" name="MINI RALLI" totalsRowFunction="sum" dataDxfId="75" totalsRowDxfId="74"/>
    <tableColumn id="4" xr3:uid="{654716D9-842E-4F95-ADDE-63925CEC16A4}" name="DAHI" totalsRowFunction="sum" dataDxfId="73" totalsRowDxfId="72"/>
    <tableColumn id="5" xr3:uid="{2F15B81A-999B-4F63-8FC7-3B0046E51218}" name="TK" totalsRowFunction="sum" dataDxfId="71" totalsRowDxfId="70"/>
    <tableColumn id="6" xr3:uid="{C3D4C8B3-F865-43C1-BBAD-5C7E9304DBE9}" name="ICH" totalsRowFunction="sum" dataDxfId="69" totalsRowDxfId="68"/>
    <tableColumn id="7" xr3:uid="{5C3512C8-0794-4141-845D-23DCCE99E19F}" name="BYB" totalsRowFunction="sum" dataDxfId="67" totalsRowDxfId="66"/>
    <tableColumn id="8" xr3:uid="{A316B2E8-EC74-47FF-B4E0-3D83C8EA72BC}" name="ZKN İYİ ALIM Y." totalsRowFunction="sum" dataDxfId="65" totalsRowDxfId="64"/>
    <tableColumn id="9" xr3:uid="{FC0F6F10-2A58-4E19-99FC-944E3A6F6953}" name="PU" totalsRowFunction="sum" dataDxfId="63" totalsRowDxfId="62"/>
    <tableColumn id="10" xr3:uid="{4DDC370D-FC6B-4C73-9783-647CE39B6C48}" name="SAR DÜZELTMESİ" totalsRowFunction="sum" dataDxfId="61" totalsRowDxfId="60"/>
    <tableColumn id="11" xr3:uid="{A8A616EE-DEA2-434F-AD47-36C93D8E9771}" name="FLAMA ÜÇG" totalsRowFunction="sum" dataDxfId="59" totalsRowDxfId="58"/>
    <tableColumn id="12" xr3:uid="{1F652AA5-FBBF-4A61-87DE-9BDC9943DF9D}" name="DİBİNİ SIY." totalsRowFunction="sum" dataDxfId="57" totalsRowDxfId="56"/>
    <tableColumn id="13" xr3:uid="{5523504D-F34F-4818-9EED-8A25358E8C0B}" name="ZKN HO" totalsRowFunction="sum" dataDxfId="55" totalsRowDxfId="54"/>
    <tableColumn id="14" xr3:uid="{760C0853-470E-41F6-B80B-BEE609A3AB72}" name="VOL K. S." totalsRowFunction="sum" dataDxfId="53" totalsRowDxfId="52"/>
    <tableColumn id="15" xr3:uid="{B8F713F2-220C-4706-B772-AAAF46591152}" name="BOLLING" totalsRowFunction="sum" dataDxfId="51" totalsRowDxfId="50"/>
    <tableColumn id="16" xr3:uid="{A7FF306E-6422-45B8-978F-787E82D90CA3}" name="GÖST" totalsRowFunction="sum" dataDxfId="49" totalsRowDxfId="48"/>
    <tableColumn id="17" xr3:uid="{88BF66FC-CB94-478B-8B1D-1360B7D3A915}" name="DAHI 2" totalsRowFunction="sum" dataDxfId="47" totalsRowDxfId="46"/>
    <tableColumn id="18" xr3:uid="{9B2588C0-3210-4DA5-8110-37303912F0BA}" name="SWING TR 3" totalsRowFunction="sum" dataDxfId="45" totalsRowDxfId="44"/>
    <tableColumn id="19" xr3:uid="{EA0B51ED-9B86-40D3-A36B-2416143C5B69}" name="TT2" totalsRowFunction="sum" dataDxfId="43" totalsRowDxfId="42"/>
    <tableColumn id="20" xr3:uid="{06A5A001-DBC9-4E5E-9E55-814C7265497C}" name="PSAR+ADX" totalsRowFunction="sum" dataDxfId="41" totalsRowDxfId="40"/>
    <tableColumn id="21" xr3:uid="{7152CF04-E171-4FAD-A3AC-2C4369F87D2E}" name="ADX20" totalsRowFunction="sum" dataDxfId="39" totalsRowDxfId="38"/>
    <tableColumn id="22" xr3:uid="{BA71001D-1C16-41E6-86A5-6FC703EBAEA6}" name="MACD + S" totalsRowFunction="sum" dataDxfId="37" totalsRowDxfId="36"/>
    <tableColumn id="23" xr3:uid="{982AB038-97F4-4510-BE95-AB11DEC8B859}" name="DRI MOM" totalsRowFunction="sum" dataDxfId="35" totalsRowDxfId="34"/>
    <tableColumn id="24" xr3:uid="{D5DE1AD8-7AB5-4E36-88BF-FE9CD5A8B1F5}" name="DKA" totalsRowFunction="sum" dataDxfId="33" totalsRowDxfId="32"/>
    <tableColumn id="25" xr3:uid="{395FEECE-C50A-4DA9-A809-EBC01D2B051F}" name="MFI50" totalsRowFunction="sum" dataDxfId="31" totalsRowDxfId="30"/>
    <tableColumn id="26" xr3:uid="{F87478E3-B841-4DE4-85C7-805720A4FFE4}" name="EMA5-20" totalsRowFunction="sum" dataDxfId="29" totalsRowDxfId="28"/>
    <tableColumn id="27" xr3:uid="{BF3D2FCB-226E-412D-8933-EC76743DC026}" name="EMA20-50" totalsRowFunction="sum" dataDxfId="27" totalsRowDxfId="26"/>
    <tableColumn id="28" xr3:uid="{34318379-52A9-4084-AA52-A273BE1B769F}" name="MACD 0 Y" totalsRowFunction="sum" dataDxfId="25" totalsRowDxfId="24"/>
    <tableColumn id="29" xr3:uid="{91AEA6FF-97A9-4D3F-A7B9-D286C83F4C59}" name="EMALAR S." totalsRowFunction="sum" dataDxfId="23" totalsRowDxfId="22"/>
    <tableColumn id="30" xr3:uid="{147FDD13-69BC-414E-8177-4DA233D5CD5A}" name="P.SAR + EMA" totalsRowFunction="sum" dataDxfId="21" totalsRowDxfId="20"/>
    <tableColumn id="31" xr3:uid="{78A2C05F-0DD5-4807-919F-9444F34D93AB}" name="HULL" totalsRowFunction="sum" dataDxfId="19" totalsRowDxfId="18"/>
    <tableColumn id="32" xr3:uid="{F3BCACEF-8ED8-47BA-98BF-DDB5A9AC1C5C}" name="TOPLAM" dataDxfId="17" totalsRowDxfId="16">
      <calculatedColumnFormula>SUM(C2:AF2)</calculatedColumnFormula>
    </tableColumn>
    <tableColumn id="34" xr3:uid="{21A3C5A5-CF25-4EA4-915E-61220ED44B1D}" name="Hafta Başı" dataDxfId="15" totalsRowDxfId="14"/>
    <tableColumn id="33" xr3:uid="{D6AB8227-867A-498A-A720-2106C9F82E3B}" name="Fiyat" dataDxfId="13" totalsRowDxfId="12">
      <calculatedColumnFormula>SUMIFS(Tablo2[Son Fiyat],Tablo2[Şirket],Tablo3[[#This Row],[Sütun1]])</calculatedColumnFormula>
    </tableColumn>
    <tableColumn id="35" xr3:uid="{4DE4E8BA-CFF7-477C-9563-56A250AFA920}" name="Prim" totalsRowFunction="sum" dataDxfId="11" totalsRowDxfId="10" dataCellStyle="Yüzde">
      <calculatedColumnFormula>+(Tablo3[[#This Row],[Fiyat]]-Tablo3[[#This Row],[Hafta Başı]])/Tablo3[[#This Row],[Hafta Başı]]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246FE-D4E6-45E1-89C6-ADD879F07ED0}">
  <dimension ref="A1:H93"/>
  <sheetViews>
    <sheetView showZeros="0" topLeftCell="A69" zoomScale="115" zoomScaleNormal="115" workbookViewId="0">
      <selection activeCell="D73" sqref="D73"/>
    </sheetView>
  </sheetViews>
  <sheetFormatPr defaultColWidth="8.88671875" defaultRowHeight="19.2" customHeight="1" x14ac:dyDescent="0.3"/>
  <cols>
    <col min="1" max="1" width="10.5546875" style="30" customWidth="1"/>
    <col min="2" max="2" width="19.33203125" style="30" bestFit="1" customWidth="1"/>
    <col min="3" max="3" width="9.6640625" style="35" customWidth="1"/>
    <col min="4" max="7" width="15.5546875" style="36" customWidth="1"/>
    <col min="8" max="8" width="15.5546875" style="37" customWidth="1"/>
    <col min="9" max="16384" width="8.88671875" style="30"/>
  </cols>
  <sheetData>
    <row r="1" spans="1:8" s="19" customFormat="1" ht="37.950000000000003" customHeight="1" x14ac:dyDescent="0.3">
      <c r="A1" s="20" t="s">
        <v>1</v>
      </c>
      <c r="B1" s="70" t="s">
        <v>603</v>
      </c>
      <c r="C1" s="21" t="s">
        <v>3</v>
      </c>
      <c r="D1" s="22" t="s">
        <v>44</v>
      </c>
      <c r="E1" s="22" t="s">
        <v>572</v>
      </c>
      <c r="F1" s="22" t="s">
        <v>4</v>
      </c>
      <c r="G1" s="22" t="s">
        <v>573</v>
      </c>
      <c r="H1" s="23" t="s">
        <v>45</v>
      </c>
    </row>
    <row r="2" spans="1:8" ht="19.2" customHeight="1" x14ac:dyDescent="0.3">
      <c r="A2" s="26" t="s">
        <v>6</v>
      </c>
      <c r="B2" s="71" t="s">
        <v>604</v>
      </c>
      <c r="C2" s="27">
        <f>SUMIFS(Tablo1[Adet],Tablo1[Hisse],Portföy!A2,Tablo1[İşlem],"ALIŞ")-SUMIFS(Tablo1[Adet],Tablo1[Hisse],Portföy!A2,Tablo1[İşlem],"SATIŞ")</f>
        <v>985</v>
      </c>
      <c r="D2" s="28">
        <f>IFERROR((SUMIFS(Tablo1[Toplam],Tablo1[Hisse],Portföy!A2,Tablo1[İşlem],"ALIŞ")-SUMIFS(Tablo1[Toplam],Tablo1[Hisse],Portföy!A2,Tablo1[İşlem],"SATIŞ"))/C2,0)</f>
        <v>36.942883248730965</v>
      </c>
      <c r="E2" s="28">
        <f>+D2*C2</f>
        <v>36388.74</v>
      </c>
      <c r="F2" s="28">
        <f>SUMIFS(Tablo2[Son Fiyat],Tablo2[Şirket],Portföy!A2)</f>
        <v>32</v>
      </c>
      <c r="G2" s="28">
        <f>+F2*C2</f>
        <v>31520</v>
      </c>
      <c r="H2" s="29">
        <f>+G2-E2+IF(Portföy!C2=0,SUMIFS(Tablo1[Toplam],Tablo1[Hisse],Portföy!A2,Tablo1[İşlem],"SATIŞ")-SUMIFS(Tablo1[Toplam],Tablo1[Hisse],Portföy!A2,Tablo1[İşlem],"ALIŞ"),0)</f>
        <v>-4868.739999999998</v>
      </c>
    </row>
    <row r="3" spans="1:8" ht="19.2" customHeight="1" x14ac:dyDescent="0.3">
      <c r="A3" s="26" t="s">
        <v>8</v>
      </c>
      <c r="B3" s="71" t="s">
        <v>605</v>
      </c>
      <c r="C3" s="27">
        <f>SUMIFS(Tablo1[Adet],Tablo1[Hisse],Portföy!A3,Tablo1[İşlem],"ALIŞ")-SUMIFS(Tablo1[Adet],Tablo1[Hisse],Portföy!A3,Tablo1[İşlem],"SATIŞ")</f>
        <v>0</v>
      </c>
      <c r="D3" s="28">
        <f>IFERROR((SUMIFS(Tablo1[Toplam],Tablo1[Hisse],Portföy!A3,Tablo1[İşlem],"ALIŞ")-SUMIFS(Tablo1[Toplam],Tablo1[Hisse],Portföy!A3,Tablo1[İşlem],"SATIŞ"))/C3,0)</f>
        <v>0</v>
      </c>
      <c r="E3" s="28">
        <f t="shared" ref="E3:E93" si="0">+D3*C3</f>
        <v>0</v>
      </c>
      <c r="F3" s="28">
        <f>SUMIFS(Tablo2[Son Fiyat],Tablo2[Şirket],Portföy!A3)</f>
        <v>86.05</v>
      </c>
      <c r="G3" s="28">
        <f t="shared" ref="G3:G93" si="1">+F3*C3</f>
        <v>0</v>
      </c>
      <c r="H3" s="29">
        <f>+G3-E3+IF(Portföy!C3=0,SUMIFS(Tablo1[Toplam],Tablo1[Hisse],Portföy!A3,Tablo1[İşlem],"SATIŞ")-SUMIFS(Tablo1[Toplam],Tablo1[Hisse],Portföy!A3,Tablo1[İşlem],"ALIŞ"),0)</f>
        <v>-5016.9999999999982</v>
      </c>
    </row>
    <row r="4" spans="1:8" ht="19.2" customHeight="1" x14ac:dyDescent="0.3">
      <c r="A4" s="26" t="s">
        <v>83</v>
      </c>
      <c r="B4" s="71" t="s">
        <v>606</v>
      </c>
      <c r="C4" s="27">
        <f>SUMIFS(Tablo1[Adet],Tablo1[Hisse],Portföy!A4,Tablo1[İşlem],"ALIŞ")-SUMIFS(Tablo1[Adet],Tablo1[Hisse],Portföy!A4,Tablo1[İşlem],"SATIŞ")</f>
        <v>0</v>
      </c>
      <c r="D4" s="28">
        <f>IFERROR((SUMIFS(Tablo1[Toplam],Tablo1[Hisse],Portföy!A4,Tablo1[İşlem],"ALIŞ")-SUMIFS(Tablo1[Toplam],Tablo1[Hisse],Portföy!A4,Tablo1[İşlem],"SATIŞ"))/C4,0)</f>
        <v>0</v>
      </c>
      <c r="E4" s="28">
        <f t="shared" si="0"/>
        <v>0</v>
      </c>
      <c r="F4" s="28">
        <f>SUMIFS(Tablo2[Son Fiyat],Tablo2[Şirket],Portföy!A4)</f>
        <v>137.69999999999999</v>
      </c>
      <c r="G4" s="28">
        <f t="shared" si="1"/>
        <v>0</v>
      </c>
      <c r="H4" s="29">
        <f>+G4-E4+IF(Portföy!C4=0,SUMIFS(Tablo1[Toplam],Tablo1[Hisse],Portföy!A4,Tablo1[İşlem],"SATIŞ")-SUMIFS(Tablo1[Toplam],Tablo1[Hisse],Portföy!A4,Tablo1[İşlem],"ALIŞ"),0)</f>
        <v>125</v>
      </c>
    </row>
    <row r="5" spans="1:8" ht="19.2" customHeight="1" x14ac:dyDescent="0.3">
      <c r="A5" s="26" t="s">
        <v>89</v>
      </c>
      <c r="B5" s="71" t="s">
        <v>607</v>
      </c>
      <c r="C5" s="27">
        <f>SUMIFS(Tablo1[Adet],Tablo1[Hisse],Portföy!A5,Tablo1[İşlem],"ALIŞ")-SUMIFS(Tablo1[Adet],Tablo1[Hisse],Portföy!A5,Tablo1[İşlem],"SATIŞ")</f>
        <v>0</v>
      </c>
      <c r="D5" s="28">
        <f>IFERROR((SUMIFS(Tablo1[Toplam],Tablo1[Hisse],Portföy!A5,Tablo1[İşlem],"ALIŞ")-SUMIFS(Tablo1[Toplam],Tablo1[Hisse],Portföy!A5,Tablo1[İşlem],"SATIŞ"))/C5,0)</f>
        <v>0</v>
      </c>
      <c r="E5" s="28">
        <f t="shared" ref="E5" si="2">+D5*C5</f>
        <v>0</v>
      </c>
      <c r="F5" s="28">
        <f>SUMIFS(Tablo2[Son Fiyat],Tablo2[Şirket],Portföy!A5)</f>
        <v>7.52</v>
      </c>
      <c r="G5" s="28">
        <f t="shared" ref="G5" si="3">+F5*C5</f>
        <v>0</v>
      </c>
      <c r="H5" s="29">
        <f>+G5-E5+IF(Portföy!C5=0,SUMIFS(Tablo1[Toplam],Tablo1[Hisse],Portföy!A5,Tablo1[İşlem],"SATIŞ")-SUMIFS(Tablo1[Toplam],Tablo1[Hisse],Portföy!A5,Tablo1[İşlem],"ALIŞ"),0)</f>
        <v>704.5</v>
      </c>
    </row>
    <row r="6" spans="1:8" ht="19.2" customHeight="1" x14ac:dyDescent="0.3">
      <c r="A6" s="26" t="s">
        <v>10</v>
      </c>
      <c r="B6" s="71" t="s">
        <v>608</v>
      </c>
      <c r="C6" s="27">
        <f>SUMIFS(Tablo1[Adet],Tablo1[Hisse],Portföy!A6,Tablo1[İşlem],"ALIŞ")-SUMIFS(Tablo1[Adet],Tablo1[Hisse],Portföy!A6,Tablo1[İşlem],"SATIŞ")</f>
        <v>410</v>
      </c>
      <c r="D6" s="28">
        <f>IFERROR((SUMIFS(Tablo1[Toplam],Tablo1[Hisse],Portföy!A6,Tablo1[İşlem],"ALIŞ")-SUMIFS(Tablo1[Toplam],Tablo1[Hisse],Portföy!A6,Tablo1[İşlem],"SATIŞ"))/C6,0)</f>
        <v>58.365243902439026</v>
      </c>
      <c r="E6" s="28">
        <f t="shared" si="0"/>
        <v>23929.75</v>
      </c>
      <c r="F6" s="28">
        <f>SUMIFS(Tablo2[Son Fiyat],Tablo2[Şirket],Portföy!A6)</f>
        <v>49.72</v>
      </c>
      <c r="G6" s="28">
        <f t="shared" si="1"/>
        <v>20385.2</v>
      </c>
      <c r="H6" s="29">
        <f>+G6-E6+IF(Portföy!C6=0,SUMIFS(Tablo1[Toplam],Tablo1[Hisse],Portföy!A6,Tablo1[İşlem],"SATIŞ")-SUMIFS(Tablo1[Toplam],Tablo1[Hisse],Portföy!A6,Tablo1[İşlem],"ALIŞ"),0)</f>
        <v>-3544.5499999999993</v>
      </c>
    </row>
    <row r="7" spans="1:8" ht="19.2" customHeight="1" x14ac:dyDescent="0.3">
      <c r="A7" s="26" t="s">
        <v>11</v>
      </c>
      <c r="B7" s="71" t="s">
        <v>609</v>
      </c>
      <c r="C7" s="27">
        <f>SUMIFS(Tablo1[Adet],Tablo1[Hisse],Portföy!A7,Tablo1[İşlem],"ALIŞ")-SUMIFS(Tablo1[Adet],Tablo1[Hisse],Portföy!A7,Tablo1[İşlem],"SATIŞ")</f>
        <v>0</v>
      </c>
      <c r="D7" s="28">
        <f>IFERROR((SUMIFS(Tablo1[Toplam],Tablo1[Hisse],Portföy!A7,Tablo1[İşlem],"ALIŞ")-SUMIFS(Tablo1[Toplam],Tablo1[Hisse],Portföy!A7,Tablo1[İşlem],"SATIŞ"))/C7,0)</f>
        <v>0</v>
      </c>
      <c r="E7" s="28">
        <f t="shared" si="0"/>
        <v>0</v>
      </c>
      <c r="F7" s="28">
        <f>SUMIFS(Tablo2[Son Fiyat],Tablo2[Şirket],Portföy!A7)</f>
        <v>35.94</v>
      </c>
      <c r="G7" s="28">
        <f t="shared" si="1"/>
        <v>0</v>
      </c>
      <c r="H7" s="29">
        <f>+G7-E7+IF(Portföy!C7=0,SUMIFS(Tablo1[Toplam],Tablo1[Hisse],Portföy!A7,Tablo1[İşlem],"SATIŞ")-SUMIFS(Tablo1[Toplam],Tablo1[Hisse],Portföy!A7,Tablo1[İşlem],"ALIŞ"),0)</f>
        <v>-2793.5999999999995</v>
      </c>
    </row>
    <row r="8" spans="1:8" ht="19.2" customHeight="1" x14ac:dyDescent="0.3">
      <c r="A8" s="26" t="s">
        <v>101</v>
      </c>
      <c r="B8" s="71"/>
      <c r="C8" s="27">
        <f>SUMIFS(Tablo1[Adet],Tablo1[Hisse],Portföy!A8,Tablo1[İşlem],"ALIŞ")-SUMIFS(Tablo1[Adet],Tablo1[Hisse],Portföy!A8,Tablo1[İşlem],"SATIŞ")</f>
        <v>2</v>
      </c>
      <c r="D8" s="28">
        <f>IFERROR((SUMIFS(Tablo1[Toplam],Tablo1[Hisse],Portföy!A8,Tablo1[İşlem],"ALIŞ")-SUMIFS(Tablo1[Toplam],Tablo1[Hisse],Portföy!A8,Tablo1[İşlem],"SATIŞ"))/C8,0)</f>
        <v>75</v>
      </c>
      <c r="E8" s="28">
        <f t="shared" si="0"/>
        <v>150</v>
      </c>
      <c r="F8" s="28">
        <f>SUMIFS(Tablo2[Son Fiyat],Tablo2[Şirket],Portföy!A8)</f>
        <v>88.7</v>
      </c>
      <c r="G8" s="28">
        <f t="shared" si="1"/>
        <v>177.4</v>
      </c>
      <c r="H8" s="29">
        <f>+G8-E8+IF(Portföy!C8=0,SUMIFS(Tablo1[Toplam],Tablo1[Hisse],Portföy!A8,Tablo1[İşlem],"SATIŞ")-SUMIFS(Tablo1[Toplam],Tablo1[Hisse],Portföy!A8,Tablo1[İşlem],"ALIŞ"),0)</f>
        <v>27.400000000000006</v>
      </c>
    </row>
    <row r="9" spans="1:8" ht="19.2" customHeight="1" x14ac:dyDescent="0.3">
      <c r="A9" s="26" t="s">
        <v>12</v>
      </c>
      <c r="B9" s="71" t="s">
        <v>610</v>
      </c>
      <c r="C9" s="27">
        <f>SUMIFS(Tablo1[Adet],Tablo1[Hisse],Portföy!A9,Tablo1[İşlem],"ALIŞ")-SUMIFS(Tablo1[Adet],Tablo1[Hisse],Portföy!A9,Tablo1[İşlem],"SATIŞ")</f>
        <v>18</v>
      </c>
      <c r="D9" s="28">
        <f>IFERROR((SUMIFS(Tablo1[Toplam],Tablo1[Hisse],Portföy!A9,Tablo1[İşlem],"ALIŞ")-SUMIFS(Tablo1[Toplam],Tablo1[Hisse],Portföy!A9,Tablo1[İşlem],"SATIŞ"))/C9,0)</f>
        <v>-9.1166666666665854</v>
      </c>
      <c r="E9" s="28">
        <f t="shared" si="0"/>
        <v>-164.09999999999854</v>
      </c>
      <c r="F9" s="28">
        <f>SUMIFS(Tablo2[Son Fiyat],Tablo2[Şirket],Portföy!A9)</f>
        <v>117.6</v>
      </c>
      <c r="G9" s="28">
        <f t="shared" si="1"/>
        <v>2116.7999999999997</v>
      </c>
      <c r="H9" s="29">
        <f>+G9-E9+IF(Portföy!C9=0,SUMIFS(Tablo1[Toplam],Tablo1[Hisse],Portföy!A9,Tablo1[İşlem],"SATIŞ")-SUMIFS(Tablo1[Toplam],Tablo1[Hisse],Portföy!A9,Tablo1[İşlem],"ALIŞ"),0)</f>
        <v>2280.8999999999983</v>
      </c>
    </row>
    <row r="10" spans="1:8" ht="19.2" customHeight="1" x14ac:dyDescent="0.3">
      <c r="A10" s="26" t="s">
        <v>128</v>
      </c>
      <c r="B10" s="71" t="s">
        <v>611</v>
      </c>
      <c r="C10" s="27">
        <f>SUMIFS(Tablo1[Adet],Tablo1[Hisse],Portföy!A10,Tablo1[İşlem],"ALIŞ")-SUMIFS(Tablo1[Adet],Tablo1[Hisse],Portföy!A10,Tablo1[İşlem],"SATIŞ")</f>
        <v>720</v>
      </c>
      <c r="D10" s="28">
        <f>IFERROR((SUMIFS(Tablo1[Toplam],Tablo1[Hisse],Portföy!A10,Tablo1[İşlem],"ALIŞ")-SUMIFS(Tablo1[Toplam],Tablo1[Hisse],Portföy!A10,Tablo1[İşlem],"SATIŞ"))/C10,0)</f>
        <v>18.861041666666662</v>
      </c>
      <c r="E10" s="28">
        <f t="shared" si="0"/>
        <v>13579.949999999997</v>
      </c>
      <c r="F10" s="28">
        <f>SUMIFS(Tablo2[Son Fiyat],Tablo2[Şirket],Portföy!A10)</f>
        <v>18.350000000000001</v>
      </c>
      <c r="G10" s="28">
        <f t="shared" si="1"/>
        <v>13212.000000000002</v>
      </c>
      <c r="H10" s="29">
        <f>+G10-E10+IF(Portföy!C10=0,SUMIFS(Tablo1[Toplam],Tablo1[Hisse],Portföy!A10,Tablo1[İşlem],"SATIŞ")-SUMIFS(Tablo1[Toplam],Tablo1[Hisse],Portföy!A10,Tablo1[İşlem],"ALIŞ"),0)</f>
        <v>-367.94999999999527</v>
      </c>
    </row>
    <row r="11" spans="1:8" ht="19.2" customHeight="1" x14ac:dyDescent="0.3">
      <c r="A11" s="26" t="s">
        <v>132</v>
      </c>
      <c r="B11" s="71" t="s">
        <v>612</v>
      </c>
      <c r="C11" s="27">
        <f>SUMIFS(Tablo1[Adet],Tablo1[Hisse],Portföy!A11,Tablo1[İşlem],"ALIŞ")-SUMIFS(Tablo1[Adet],Tablo1[Hisse],Portföy!A11,Tablo1[İşlem],"SATIŞ")</f>
        <v>4</v>
      </c>
      <c r="D11" s="28">
        <f>IFERROR((SUMIFS(Tablo1[Toplam],Tablo1[Hisse],Portföy!A11,Tablo1[İşlem],"ALIŞ")-SUMIFS(Tablo1[Toplam],Tablo1[Hisse],Portföy!A11,Tablo1[İşlem],"SATIŞ"))/C11,0)</f>
        <v>682</v>
      </c>
      <c r="E11" s="28">
        <f t="shared" si="0"/>
        <v>2728</v>
      </c>
      <c r="F11" s="28">
        <f>SUMIFS(Tablo2[Son Fiyat],Tablo2[Şirket],Portföy!A11)</f>
        <v>640</v>
      </c>
      <c r="G11" s="28">
        <f t="shared" si="1"/>
        <v>2560</v>
      </c>
      <c r="H11" s="29">
        <f>+G11-E11+IF(Portföy!C11=0,SUMIFS(Tablo1[Toplam],Tablo1[Hisse],Portföy!A11,Tablo1[İşlem],"SATIŞ")-SUMIFS(Tablo1[Toplam],Tablo1[Hisse],Portföy!A11,Tablo1[İşlem],"ALIŞ"),0)</f>
        <v>-168</v>
      </c>
    </row>
    <row r="12" spans="1:8" ht="19.2" customHeight="1" x14ac:dyDescent="0.3">
      <c r="A12" s="26" t="s">
        <v>56</v>
      </c>
      <c r="B12" s="71" t="s">
        <v>613</v>
      </c>
      <c r="C12" s="27">
        <f>SUMIFS(Tablo1[Adet],Tablo1[Hisse],Portföy!A12,Tablo1[İşlem],"ALIŞ")-SUMIFS(Tablo1[Adet],Tablo1[Hisse],Portföy!A12,Tablo1[İşlem],"SATIŞ")</f>
        <v>0</v>
      </c>
      <c r="D12" s="28">
        <f>IFERROR((SUMIFS(Tablo1[Toplam],Tablo1[Hisse],Portföy!A12,Tablo1[İşlem],"ALIŞ")-SUMIFS(Tablo1[Toplam],Tablo1[Hisse],Portföy!A12,Tablo1[İşlem],"SATIŞ"))/C12,0)</f>
        <v>0</v>
      </c>
      <c r="E12" s="28">
        <f t="shared" si="0"/>
        <v>0</v>
      </c>
      <c r="F12" s="28">
        <f>SUMIFS(Tablo2[Son Fiyat],Tablo2[Şirket],Portföy!A12)</f>
        <v>550</v>
      </c>
      <c r="G12" s="28">
        <f t="shared" si="1"/>
        <v>0</v>
      </c>
      <c r="H12" s="29">
        <f>+G12-E12+IF(Portföy!C12=0,SUMIFS(Tablo1[Toplam],Tablo1[Hisse],Portföy!A12,Tablo1[İşlem],"SATIŞ")-SUMIFS(Tablo1[Toplam],Tablo1[Hisse],Portföy!A12,Tablo1[İşlem],"ALIŞ"),0)</f>
        <v>0</v>
      </c>
    </row>
    <row r="13" spans="1:8" ht="19.2" customHeight="1" x14ac:dyDescent="0.3">
      <c r="A13" s="26" t="s">
        <v>51</v>
      </c>
      <c r="B13" s="71"/>
      <c r="C13" s="27">
        <f>SUMIFS(Tablo1[Adet],Tablo1[Hisse],Portföy!A13,Tablo1[İşlem],"ALIŞ")-SUMIFS(Tablo1[Adet],Tablo1[Hisse],Portföy!A13,Tablo1[İşlem],"SATIŞ")</f>
        <v>0</v>
      </c>
      <c r="D13" s="28">
        <f>IFERROR((SUMIFS(Tablo1[Toplam],Tablo1[Hisse],Portföy!A13,Tablo1[İşlem],"ALIŞ")-SUMIFS(Tablo1[Toplam],Tablo1[Hisse],Portföy!A13,Tablo1[İşlem],"SATIŞ"))/C13,0)</f>
        <v>0</v>
      </c>
      <c r="E13" s="28">
        <f t="shared" si="0"/>
        <v>0</v>
      </c>
      <c r="F13" s="28">
        <f>SUMIFS(Tablo2[Son Fiyat],Tablo2[Şirket],Portföy!A13)</f>
        <v>11.02</v>
      </c>
      <c r="G13" s="28">
        <f t="shared" si="1"/>
        <v>0</v>
      </c>
      <c r="H13" s="29">
        <f>+G13-E13+IF(Portföy!C13=0,SUMIFS(Tablo1[Toplam],Tablo1[Hisse],Portföy!A13,Tablo1[İşlem],"SATIŞ")-SUMIFS(Tablo1[Toplam],Tablo1[Hisse],Portföy!A13,Tablo1[İşlem],"ALIŞ"),0)</f>
        <v>-135.5</v>
      </c>
    </row>
    <row r="14" spans="1:8" ht="19.2" customHeight="1" x14ac:dyDescent="0.3">
      <c r="A14" s="26" t="s">
        <v>13</v>
      </c>
      <c r="B14" s="71" t="s">
        <v>610</v>
      </c>
      <c r="C14" s="27">
        <f>SUMIFS(Tablo1[Adet],Tablo1[Hisse],Portföy!A14,Tablo1[İşlem],"ALIŞ")-SUMIFS(Tablo1[Adet],Tablo1[Hisse],Portföy!A14,Tablo1[İşlem],"SATIŞ")</f>
        <v>1900</v>
      </c>
      <c r="D14" s="28">
        <f>IFERROR((SUMIFS(Tablo1[Toplam],Tablo1[Hisse],Portföy!A14,Tablo1[İşlem],"ALIŞ")-SUMIFS(Tablo1[Toplam],Tablo1[Hisse],Portföy!A14,Tablo1[İşlem],"SATIŞ"))/C14,0)</f>
        <v>22.264789473684214</v>
      </c>
      <c r="E14" s="28">
        <f t="shared" si="0"/>
        <v>42303.100000000006</v>
      </c>
      <c r="F14" s="28">
        <f>SUMIFS(Tablo2[Son Fiyat],Tablo2[Şirket],Portföy!A14)</f>
        <v>14.97</v>
      </c>
      <c r="G14" s="28">
        <f t="shared" si="1"/>
        <v>28443</v>
      </c>
      <c r="H14" s="29">
        <f>+G14-E14+IF(Portföy!C14=0,SUMIFS(Tablo1[Toplam],Tablo1[Hisse],Portföy!A14,Tablo1[İşlem],"SATIŞ")-SUMIFS(Tablo1[Toplam],Tablo1[Hisse],Portföy!A14,Tablo1[İşlem],"ALIŞ"),0)</f>
        <v>-13860.100000000006</v>
      </c>
    </row>
    <row r="15" spans="1:8" ht="19.2" customHeight="1" x14ac:dyDescent="0.3">
      <c r="A15" s="26" t="s">
        <v>151</v>
      </c>
      <c r="B15" s="71"/>
      <c r="C15" s="27">
        <f>SUMIFS(Tablo1[Adet],Tablo1[Hisse],Portföy!A15,Tablo1[İşlem],"ALIŞ")-SUMIFS(Tablo1[Adet],Tablo1[Hisse],Portföy!A15,Tablo1[İşlem],"SATIŞ")</f>
        <v>0</v>
      </c>
      <c r="D15" s="28">
        <f>IFERROR((SUMIFS(Tablo1[Toplam],Tablo1[Hisse],Portföy!A15,Tablo1[İşlem],"ALIŞ")-SUMIFS(Tablo1[Toplam],Tablo1[Hisse],Portföy!A15,Tablo1[İşlem],"SATIŞ"))/C15,0)</f>
        <v>0</v>
      </c>
      <c r="E15" s="28">
        <f t="shared" si="0"/>
        <v>0</v>
      </c>
      <c r="F15" s="28">
        <f>SUMIFS(Tablo2[Son Fiyat],Tablo2[Şirket],Portföy!A15)</f>
        <v>394.25</v>
      </c>
      <c r="G15" s="28">
        <f t="shared" si="1"/>
        <v>0</v>
      </c>
      <c r="H15" s="29">
        <f>+G15-E15+IF(Portföy!C15=0,SUMIFS(Tablo1[Toplam],Tablo1[Hisse],Portföy!A15,Tablo1[İşlem],"SATIŞ")-SUMIFS(Tablo1[Toplam],Tablo1[Hisse],Portföy!A15,Tablo1[İşlem],"ALIŞ"),0)</f>
        <v>140</v>
      </c>
    </row>
    <row r="16" spans="1:8" ht="19.2" customHeight="1" x14ac:dyDescent="0.3">
      <c r="A16" s="26" t="s">
        <v>154</v>
      </c>
      <c r="B16" s="71" t="s">
        <v>614</v>
      </c>
      <c r="C16" s="27">
        <f>SUMIFS(Tablo1[Adet],Tablo1[Hisse],Portföy!A16,Tablo1[İşlem],"ALIŞ")-SUMIFS(Tablo1[Adet],Tablo1[Hisse],Portföy!A16,Tablo1[İşlem],"SATIŞ")</f>
        <v>0</v>
      </c>
      <c r="D16" s="28">
        <f>IFERROR((SUMIFS(Tablo1[Toplam],Tablo1[Hisse],Portföy!A16,Tablo1[İşlem],"ALIŞ")-SUMIFS(Tablo1[Toplam],Tablo1[Hisse],Portföy!A16,Tablo1[İşlem],"SATIŞ"))/C16,0)</f>
        <v>0</v>
      </c>
      <c r="E16" s="28">
        <f t="shared" si="0"/>
        <v>0</v>
      </c>
      <c r="F16" s="28">
        <f>SUMIFS(Tablo2[Son Fiyat],Tablo2[Şirket],Portföy!A16)</f>
        <v>4.37</v>
      </c>
      <c r="G16" s="28">
        <f t="shared" si="1"/>
        <v>0</v>
      </c>
      <c r="H16" s="29">
        <f>+G16-E16+IF(Portföy!C16=0,SUMIFS(Tablo1[Toplam],Tablo1[Hisse],Portföy!A16,Tablo1[İşlem],"SATIŞ")-SUMIFS(Tablo1[Toplam],Tablo1[Hisse],Portföy!A16,Tablo1[İşlem],"ALIŞ"),0)</f>
        <v>122</v>
      </c>
    </row>
    <row r="17" spans="1:8" ht="19.2" customHeight="1" x14ac:dyDescent="0.3">
      <c r="A17" s="26" t="s">
        <v>14</v>
      </c>
      <c r="B17" s="71" t="s">
        <v>604</v>
      </c>
      <c r="C17" s="27">
        <f>SUMIFS(Tablo1[Adet],Tablo1[Hisse],Portföy!A17,Tablo1[İşlem],"ALIŞ")-SUMIFS(Tablo1[Adet],Tablo1[Hisse],Portföy!A17,Tablo1[İşlem],"SATIŞ")</f>
        <v>15</v>
      </c>
      <c r="D17" s="28">
        <f>IFERROR((SUMIFS(Tablo1[Toplam],Tablo1[Hisse],Portföy!A17,Tablo1[İşlem],"ALIŞ")-SUMIFS(Tablo1[Toplam],Tablo1[Hisse],Portföy!A17,Tablo1[İşlem],"SATIŞ"))/C17,0)</f>
        <v>72.046666666666709</v>
      </c>
      <c r="E17" s="28">
        <f t="shared" si="0"/>
        <v>1080.7000000000007</v>
      </c>
      <c r="F17" s="28">
        <f>SUMIFS(Tablo2[Son Fiyat],Tablo2[Şirket],Portföy!A17)</f>
        <v>105.8</v>
      </c>
      <c r="G17" s="28">
        <f t="shared" si="1"/>
        <v>1587</v>
      </c>
      <c r="H17" s="29">
        <f>+G17-E17+IF(Portföy!C17=0,SUMIFS(Tablo1[Toplam],Tablo1[Hisse],Portföy!A17,Tablo1[İşlem],"SATIŞ")-SUMIFS(Tablo1[Toplam],Tablo1[Hisse],Portföy!A17,Tablo1[İşlem],"ALIŞ"),0)</f>
        <v>506.29999999999927</v>
      </c>
    </row>
    <row r="18" spans="1:8" ht="19.2" customHeight="1" x14ac:dyDescent="0.3">
      <c r="A18" s="26" t="s">
        <v>157</v>
      </c>
      <c r="B18" s="71" t="s">
        <v>604</v>
      </c>
      <c r="C18" s="27">
        <f>SUMIFS(Tablo1[Adet],Tablo1[Hisse],Portföy!A18,Tablo1[İşlem],"ALIŞ")-SUMIFS(Tablo1[Adet],Tablo1[Hisse],Portföy!A18,Tablo1[İşlem],"SATIŞ")</f>
        <v>0</v>
      </c>
      <c r="D18" s="28">
        <f>IFERROR((SUMIFS(Tablo1[Toplam],Tablo1[Hisse],Portföy!A18,Tablo1[İşlem],"ALIŞ")-SUMIFS(Tablo1[Toplam],Tablo1[Hisse],Portföy!A18,Tablo1[İşlem],"SATIŞ"))/C18,0)</f>
        <v>0</v>
      </c>
      <c r="E18" s="28">
        <f t="shared" si="0"/>
        <v>0</v>
      </c>
      <c r="F18" s="28">
        <f>SUMIFS(Tablo2[Son Fiyat],Tablo2[Şirket],Portföy!A18)</f>
        <v>105.9</v>
      </c>
      <c r="G18" s="28">
        <f t="shared" si="1"/>
        <v>0</v>
      </c>
      <c r="H18" s="29">
        <f>+G18-E18+IF(Portföy!C18=0,SUMIFS(Tablo1[Toplam],Tablo1[Hisse],Portföy!A18,Tablo1[İşlem],"SATIŞ")-SUMIFS(Tablo1[Toplam],Tablo1[Hisse],Portföy!A18,Tablo1[İşlem],"ALIŞ"),0)</f>
        <v>246.19999999999982</v>
      </c>
    </row>
    <row r="19" spans="1:8" ht="19.2" customHeight="1" x14ac:dyDescent="0.3">
      <c r="A19" s="26" t="s">
        <v>15</v>
      </c>
      <c r="B19" s="71"/>
      <c r="C19" s="27">
        <f>SUMIFS(Tablo1[Adet],Tablo1[Hisse],Portföy!A19,Tablo1[İşlem],"ALIŞ")-SUMIFS(Tablo1[Adet],Tablo1[Hisse],Portföy!A19,Tablo1[İşlem],"SATIŞ")</f>
        <v>0</v>
      </c>
      <c r="D19" s="28">
        <f>IFERROR((SUMIFS(Tablo1[Toplam],Tablo1[Hisse],Portföy!A19,Tablo1[İşlem],"ALIŞ")-SUMIFS(Tablo1[Toplam],Tablo1[Hisse],Portföy!A19,Tablo1[İşlem],"SATIŞ"))/C19,0)</f>
        <v>0</v>
      </c>
      <c r="E19" s="28">
        <f t="shared" si="0"/>
        <v>0</v>
      </c>
      <c r="F19" s="28">
        <f>SUMIFS(Tablo2[Son Fiyat],Tablo2[Şirket],Portföy!A19)</f>
        <v>35</v>
      </c>
      <c r="G19" s="28">
        <f t="shared" si="1"/>
        <v>0</v>
      </c>
      <c r="H19" s="29">
        <f>+G19-E19+IF(Portföy!C19=0,SUMIFS(Tablo1[Toplam],Tablo1[Hisse],Portföy!A19,Tablo1[İşlem],"SATIŞ")-SUMIFS(Tablo1[Toplam],Tablo1[Hisse],Portföy!A19,Tablo1[İşlem],"ALIŞ"),0)</f>
        <v>-992.76999999999862</v>
      </c>
    </row>
    <row r="20" spans="1:8" ht="19.2" customHeight="1" x14ac:dyDescent="0.3">
      <c r="A20" s="26" t="s">
        <v>165</v>
      </c>
      <c r="B20" s="71" t="s">
        <v>615</v>
      </c>
      <c r="C20" s="27">
        <f>SUMIFS(Tablo1[Adet],Tablo1[Hisse],Portföy!A20,Tablo1[İşlem],"ALIŞ")-SUMIFS(Tablo1[Adet],Tablo1[Hisse],Portföy!A20,Tablo1[İşlem],"SATIŞ")</f>
        <v>130</v>
      </c>
      <c r="D20" s="28">
        <f>IFERROR((SUMIFS(Tablo1[Toplam],Tablo1[Hisse],Portföy!A20,Tablo1[İşlem],"ALIŞ")-SUMIFS(Tablo1[Toplam],Tablo1[Hisse],Portföy!A20,Tablo1[İşlem],"SATIŞ"))/C20,0)</f>
        <v>25.21</v>
      </c>
      <c r="E20" s="28">
        <f t="shared" si="0"/>
        <v>3277.3</v>
      </c>
      <c r="F20" s="28">
        <f>SUMIFS(Tablo2[Son Fiyat],Tablo2[Şirket],Portföy!A20)</f>
        <v>25</v>
      </c>
      <c r="G20" s="28">
        <f t="shared" si="1"/>
        <v>3250</v>
      </c>
      <c r="H20" s="29">
        <f>+G20-E20+IF(Portföy!C20=0,SUMIFS(Tablo1[Toplam],Tablo1[Hisse],Portföy!A20,Tablo1[İşlem],"SATIŞ")-SUMIFS(Tablo1[Toplam],Tablo1[Hisse],Portföy!A20,Tablo1[İşlem],"ALIŞ"),0)</f>
        <v>-27.300000000000182</v>
      </c>
    </row>
    <row r="21" spans="1:8" ht="19.2" customHeight="1" x14ac:dyDescent="0.3">
      <c r="A21" s="26" t="s">
        <v>166</v>
      </c>
      <c r="B21" s="71" t="s">
        <v>614</v>
      </c>
      <c r="C21" s="27">
        <f>SUMIFS(Tablo1[Adet],Tablo1[Hisse],Portföy!A21,Tablo1[İşlem],"ALIŞ")-SUMIFS(Tablo1[Adet],Tablo1[Hisse],Portföy!A21,Tablo1[İşlem],"SATIŞ")</f>
        <v>5</v>
      </c>
      <c r="D21" s="28">
        <f>IFERROR((SUMIFS(Tablo1[Toplam],Tablo1[Hisse],Portföy!A21,Tablo1[İşlem],"ALIŞ")-SUMIFS(Tablo1[Toplam],Tablo1[Hisse],Portföy!A21,Tablo1[İşlem],"SATIŞ"))/C21,0)</f>
        <v>16.692000000000007</v>
      </c>
      <c r="E21" s="28">
        <f t="shared" si="0"/>
        <v>83.460000000000036</v>
      </c>
      <c r="F21" s="28">
        <f>SUMIFS(Tablo2[Son Fiyat],Tablo2[Şirket],Portföy!A21)</f>
        <v>53.35</v>
      </c>
      <c r="G21" s="28">
        <f t="shared" si="1"/>
        <v>266.75</v>
      </c>
      <c r="H21" s="29">
        <f>+G21-E21+IF(Portföy!C21=0,SUMIFS(Tablo1[Toplam],Tablo1[Hisse],Portföy!A21,Tablo1[İşlem],"SATIŞ")-SUMIFS(Tablo1[Toplam],Tablo1[Hisse],Portföy!A21,Tablo1[İşlem],"ALIŞ"),0)</f>
        <v>183.28999999999996</v>
      </c>
    </row>
    <row r="22" spans="1:8" ht="19.2" customHeight="1" x14ac:dyDescent="0.3">
      <c r="A22" s="26" t="s">
        <v>16</v>
      </c>
      <c r="B22" s="71"/>
      <c r="C22" s="27">
        <f>SUMIFS(Tablo1[Adet],Tablo1[Hisse],Portföy!A22,Tablo1[İşlem],"ALIŞ")-SUMIFS(Tablo1[Adet],Tablo1[Hisse],Portföy!A22,Tablo1[İşlem],"SATIŞ")</f>
        <v>0</v>
      </c>
      <c r="D22" s="28">
        <f>IFERROR((SUMIFS(Tablo1[Toplam],Tablo1[Hisse],Portföy!A22,Tablo1[İşlem],"ALIŞ")-SUMIFS(Tablo1[Toplam],Tablo1[Hisse],Portföy!A22,Tablo1[İşlem],"SATIŞ"))/C22,0)</f>
        <v>0</v>
      </c>
      <c r="E22" s="28">
        <f t="shared" si="0"/>
        <v>0</v>
      </c>
      <c r="F22" s="28">
        <f>SUMIFS(Tablo2[Son Fiyat],Tablo2[Şirket],Portföy!A22)</f>
        <v>19.95</v>
      </c>
      <c r="G22" s="28">
        <f t="shared" si="1"/>
        <v>0</v>
      </c>
      <c r="H22" s="29">
        <f>+G22-E22+IF(Portföy!C22=0,SUMIFS(Tablo1[Toplam],Tablo1[Hisse],Portföy!A22,Tablo1[İşlem],"SATIŞ")-SUMIFS(Tablo1[Toplam],Tablo1[Hisse],Portföy!A22,Tablo1[İşlem],"ALIŞ"),0)</f>
        <v>-5526.5</v>
      </c>
    </row>
    <row r="23" spans="1:8" ht="19.2" customHeight="1" x14ac:dyDescent="0.3">
      <c r="A23" s="26" t="s">
        <v>47</v>
      </c>
      <c r="B23" s="71" t="s">
        <v>611</v>
      </c>
      <c r="C23" s="27">
        <f>SUMIFS(Tablo1[Adet],Tablo1[Hisse],Portföy!A23,Tablo1[İşlem],"ALIŞ")-SUMIFS(Tablo1[Adet],Tablo1[Hisse],Portföy!A23,Tablo1[İşlem],"SATIŞ")</f>
        <v>0</v>
      </c>
      <c r="D23" s="28">
        <f>IFERROR((SUMIFS(Tablo1[Toplam],Tablo1[Hisse],Portföy!A23,Tablo1[İşlem],"ALIŞ")-SUMIFS(Tablo1[Toplam],Tablo1[Hisse],Portföy!A23,Tablo1[İşlem],"SATIŞ"))/C23,0)</f>
        <v>0</v>
      </c>
      <c r="E23" s="28">
        <f t="shared" si="0"/>
        <v>0</v>
      </c>
      <c r="F23" s="28">
        <f>SUMIFS(Tablo2[Son Fiyat],Tablo2[Şirket],Portföy!A23)</f>
        <v>15.58</v>
      </c>
      <c r="G23" s="28">
        <f t="shared" si="1"/>
        <v>0</v>
      </c>
      <c r="H23" s="29">
        <f>+G23-E23+IF(Portföy!C23=0,SUMIFS(Tablo1[Toplam],Tablo1[Hisse],Portföy!A23,Tablo1[İşlem],"SATIŞ")-SUMIFS(Tablo1[Toplam],Tablo1[Hisse],Portföy!A23,Tablo1[İşlem],"ALIŞ"),0)</f>
        <v>0</v>
      </c>
    </row>
    <row r="24" spans="1:8" ht="19.2" customHeight="1" x14ac:dyDescent="0.3">
      <c r="A24" s="26" t="s">
        <v>48</v>
      </c>
      <c r="B24" s="71" t="s">
        <v>616</v>
      </c>
      <c r="C24" s="27">
        <f>SUMIFS(Tablo1[Adet],Tablo1[Hisse],Portföy!A24,Tablo1[İşlem],"ALIŞ")-SUMIFS(Tablo1[Adet],Tablo1[Hisse],Portföy!A24,Tablo1[İşlem],"SATIŞ")</f>
        <v>0</v>
      </c>
      <c r="D24" s="28">
        <f>IFERROR((SUMIFS(Tablo1[Toplam],Tablo1[Hisse],Portföy!A24,Tablo1[İşlem],"ALIŞ")-SUMIFS(Tablo1[Toplam],Tablo1[Hisse],Portföy!A24,Tablo1[İşlem],"SATIŞ"))/C24,0)</f>
        <v>0</v>
      </c>
      <c r="E24" s="28">
        <f t="shared" si="0"/>
        <v>0</v>
      </c>
      <c r="F24" s="28">
        <f>SUMIFS(Tablo2[Son Fiyat],Tablo2[Şirket],Portföy!A24)</f>
        <v>7.52</v>
      </c>
      <c r="G24" s="28">
        <f t="shared" si="1"/>
        <v>0</v>
      </c>
      <c r="H24" s="29">
        <f>+G24-E24+IF(Portföy!C24=0,SUMIFS(Tablo1[Toplam],Tablo1[Hisse],Portföy!A24,Tablo1[İşlem],"SATIŞ")-SUMIFS(Tablo1[Toplam],Tablo1[Hisse],Portföy!A24,Tablo1[İşlem],"ALIŞ"),0)</f>
        <v>170.56999999999971</v>
      </c>
    </row>
    <row r="25" spans="1:8" ht="19.2" customHeight="1" x14ac:dyDescent="0.3">
      <c r="A25" s="26" t="s">
        <v>181</v>
      </c>
      <c r="B25" s="71" t="s">
        <v>611</v>
      </c>
      <c r="C25" s="27">
        <f>SUMIFS(Tablo1[Adet],Tablo1[Hisse],Portföy!A25,Tablo1[İşlem],"ALIŞ")-SUMIFS(Tablo1[Adet],Tablo1[Hisse],Portföy!A25,Tablo1[İşlem],"SATIŞ")</f>
        <v>175</v>
      </c>
      <c r="D25" s="28">
        <f>IFERROR((SUMIFS(Tablo1[Toplam],Tablo1[Hisse],Portföy!A25,Tablo1[İşlem],"ALIŞ")-SUMIFS(Tablo1[Toplam],Tablo1[Hisse],Portföy!A25,Tablo1[İşlem],"SATIŞ"))/C25,0)</f>
        <v>8.7080000000000037</v>
      </c>
      <c r="E25" s="28">
        <f t="shared" si="0"/>
        <v>1523.9000000000005</v>
      </c>
      <c r="F25" s="28">
        <f>SUMIFS(Tablo2[Son Fiyat],Tablo2[Şirket],Portföy!A25)</f>
        <v>9.74</v>
      </c>
      <c r="G25" s="28">
        <f t="shared" si="1"/>
        <v>1704.5</v>
      </c>
      <c r="H25" s="29">
        <f>+G25-E25+IF(Portföy!C25=0,SUMIFS(Tablo1[Toplam],Tablo1[Hisse],Portföy!A25,Tablo1[İşlem],"SATIŞ")-SUMIFS(Tablo1[Toplam],Tablo1[Hisse],Portföy!A25,Tablo1[İşlem],"ALIŞ"),0)</f>
        <v>180.59999999999945</v>
      </c>
    </row>
    <row r="26" spans="1:8" ht="19.2" customHeight="1" x14ac:dyDescent="0.3">
      <c r="A26" s="26" t="s">
        <v>17</v>
      </c>
      <c r="B26" s="71" t="s">
        <v>617</v>
      </c>
      <c r="C26" s="27">
        <f>SUMIFS(Tablo1[Adet],Tablo1[Hisse],Portföy!A26,Tablo1[İşlem],"ALIŞ")-SUMIFS(Tablo1[Adet],Tablo1[Hisse],Portföy!A26,Tablo1[İşlem],"SATIŞ")</f>
        <v>0</v>
      </c>
      <c r="D26" s="28">
        <f>IFERROR((SUMIFS(Tablo1[Toplam],Tablo1[Hisse],Portföy!A26,Tablo1[İşlem],"ALIŞ")-SUMIFS(Tablo1[Toplam],Tablo1[Hisse],Portföy!A26,Tablo1[İşlem],"SATIŞ"))/C26,0)</f>
        <v>0</v>
      </c>
      <c r="E26" s="28">
        <f t="shared" si="0"/>
        <v>0</v>
      </c>
      <c r="F26" s="28">
        <f>SUMIFS(Tablo2[Son Fiyat],Tablo2[Şirket],Portföy!A26)</f>
        <v>71.400000000000006</v>
      </c>
      <c r="G26" s="28">
        <f t="shared" si="1"/>
        <v>0</v>
      </c>
      <c r="H26" s="29">
        <f>+G26-E26+IF(Portföy!C26=0,SUMIFS(Tablo1[Toplam],Tablo1[Hisse],Portföy!A26,Tablo1[İşlem],"SATIŞ")-SUMIFS(Tablo1[Toplam],Tablo1[Hisse],Portföy!A26,Tablo1[İşlem],"ALIŞ"),0)</f>
        <v>28.349999999999909</v>
      </c>
    </row>
    <row r="27" spans="1:8" ht="19.2" customHeight="1" x14ac:dyDescent="0.3">
      <c r="A27" s="26" t="s">
        <v>18</v>
      </c>
      <c r="B27" s="71" t="s">
        <v>618</v>
      </c>
      <c r="C27" s="27">
        <f>SUMIFS(Tablo1[Adet],Tablo1[Hisse],Portföy!A27,Tablo1[İşlem],"ALIŞ")-SUMIFS(Tablo1[Adet],Tablo1[Hisse],Portföy!A27,Tablo1[İşlem],"SATIŞ")</f>
        <v>101</v>
      </c>
      <c r="D27" s="28">
        <f>IFERROR((SUMIFS(Tablo1[Toplam],Tablo1[Hisse],Portföy!A27,Tablo1[İşlem],"ALIŞ")-SUMIFS(Tablo1[Toplam],Tablo1[Hisse],Portföy!A27,Tablo1[İşlem],"SATIŞ"))/C27,0)</f>
        <v>373.75742574257424</v>
      </c>
      <c r="E27" s="28">
        <f t="shared" si="0"/>
        <v>37749.5</v>
      </c>
      <c r="F27" s="28">
        <f>SUMIFS(Tablo2[Son Fiyat],Tablo2[Şirket],Portföy!A27)</f>
        <v>188.1</v>
      </c>
      <c r="G27" s="28">
        <f t="shared" si="1"/>
        <v>18998.099999999999</v>
      </c>
      <c r="H27" s="29">
        <f>+G27-E27+IF(Portföy!C27=0,SUMIFS(Tablo1[Toplam],Tablo1[Hisse],Portföy!A27,Tablo1[İşlem],"SATIŞ")-SUMIFS(Tablo1[Toplam],Tablo1[Hisse],Portföy!A27,Tablo1[İşlem],"ALIŞ"),0)</f>
        <v>-18751.400000000001</v>
      </c>
    </row>
    <row r="28" spans="1:8" ht="19.2" customHeight="1" x14ac:dyDescent="0.3">
      <c r="A28" s="26" t="s">
        <v>19</v>
      </c>
      <c r="B28" s="71"/>
      <c r="C28" s="27">
        <f>SUMIFS(Tablo1[Adet],Tablo1[Hisse],Portföy!A28,Tablo1[İşlem],"ALIŞ")-SUMIFS(Tablo1[Adet],Tablo1[Hisse],Portföy!A28,Tablo1[İşlem],"SATIŞ")</f>
        <v>0</v>
      </c>
      <c r="D28" s="28">
        <f>IFERROR((SUMIFS(Tablo1[Toplam],Tablo1[Hisse],Portföy!A28,Tablo1[İşlem],"ALIŞ")-SUMIFS(Tablo1[Toplam],Tablo1[Hisse],Portföy!A28,Tablo1[İşlem],"SATIŞ"))/C28,0)</f>
        <v>0</v>
      </c>
      <c r="E28" s="28">
        <f t="shared" si="0"/>
        <v>0</v>
      </c>
      <c r="F28" s="28">
        <f>SUMIFS(Tablo2[Son Fiyat],Tablo2[Şirket],Portföy!A28)</f>
        <v>22.9</v>
      </c>
      <c r="G28" s="28">
        <f t="shared" si="1"/>
        <v>0</v>
      </c>
      <c r="H28" s="29">
        <f>+G28-E28+IF(Portföy!C28=0,SUMIFS(Tablo1[Toplam],Tablo1[Hisse],Portföy!A28,Tablo1[İşlem],"SATIŞ")-SUMIFS(Tablo1[Toplam],Tablo1[Hisse],Portföy!A28,Tablo1[İşlem],"ALIŞ"),0)</f>
        <v>-9714.5</v>
      </c>
    </row>
    <row r="29" spans="1:8" ht="19.2" customHeight="1" x14ac:dyDescent="0.3">
      <c r="A29" s="26" t="s">
        <v>20</v>
      </c>
      <c r="B29" s="71" t="s">
        <v>619</v>
      </c>
      <c r="C29" s="27">
        <f>SUMIFS(Tablo1[Adet],Tablo1[Hisse],Portföy!A29,Tablo1[İşlem],"ALIŞ")-SUMIFS(Tablo1[Adet],Tablo1[Hisse],Portföy!A29,Tablo1[İşlem],"SATIŞ")</f>
        <v>1150</v>
      </c>
      <c r="D29" s="28">
        <f>IFERROR((SUMIFS(Tablo1[Toplam],Tablo1[Hisse],Portföy!A29,Tablo1[İşlem],"ALIŞ")-SUMIFS(Tablo1[Toplam],Tablo1[Hisse],Portföy!A29,Tablo1[İşlem],"SATIŞ"))/C29,0)</f>
        <v>17.134782608695652</v>
      </c>
      <c r="E29" s="28">
        <f t="shared" si="0"/>
        <v>19705</v>
      </c>
      <c r="F29" s="28">
        <f>SUMIFS(Tablo2[Son Fiyat],Tablo2[Şirket],Portföy!A29)</f>
        <v>13.12</v>
      </c>
      <c r="G29" s="28">
        <f t="shared" si="1"/>
        <v>15088</v>
      </c>
      <c r="H29" s="29">
        <f>+G29-E29+IF(Portföy!C29=0,SUMIFS(Tablo1[Toplam],Tablo1[Hisse],Portföy!A29,Tablo1[İşlem],"SATIŞ")-SUMIFS(Tablo1[Toplam],Tablo1[Hisse],Portföy!A29,Tablo1[İşlem],"ALIŞ"),0)</f>
        <v>-4617</v>
      </c>
    </row>
    <row r="30" spans="1:8" ht="19.2" customHeight="1" x14ac:dyDescent="0.3">
      <c r="A30" s="26" t="s">
        <v>21</v>
      </c>
      <c r="B30" s="71" t="s">
        <v>620</v>
      </c>
      <c r="C30" s="27">
        <f>SUMIFS(Tablo1[Adet],Tablo1[Hisse],Portföy!A30,Tablo1[İşlem],"ALIŞ")-SUMIFS(Tablo1[Adet],Tablo1[Hisse],Portföy!A30,Tablo1[İşlem],"SATIŞ")</f>
        <v>0</v>
      </c>
      <c r="D30" s="28">
        <f>IFERROR((SUMIFS(Tablo1[Toplam],Tablo1[Hisse],Portföy!A30,Tablo1[İşlem],"ALIŞ")-SUMIFS(Tablo1[Toplam],Tablo1[Hisse],Portföy!A30,Tablo1[İşlem],"SATIŞ"))/C30,0)</f>
        <v>0</v>
      </c>
      <c r="E30" s="28">
        <f t="shared" si="0"/>
        <v>0</v>
      </c>
      <c r="F30" s="28">
        <f>SUMIFS(Tablo2[Son Fiyat],Tablo2[Şirket],Portföy!A30)</f>
        <v>20.5</v>
      </c>
      <c r="G30" s="28">
        <f t="shared" si="1"/>
        <v>0</v>
      </c>
      <c r="H30" s="29">
        <f>+G30-E30+IF(Portföy!C30=0,SUMIFS(Tablo1[Toplam],Tablo1[Hisse],Portföy!A30,Tablo1[İşlem],"SATIŞ")-SUMIFS(Tablo1[Toplam],Tablo1[Hisse],Portföy!A30,Tablo1[İşlem],"ALIŞ"),0)</f>
        <v>-231</v>
      </c>
    </row>
    <row r="31" spans="1:8" ht="19.2" customHeight="1" x14ac:dyDescent="0.3">
      <c r="A31" s="26" t="s">
        <v>202</v>
      </c>
      <c r="B31" s="71" t="s">
        <v>617</v>
      </c>
      <c r="C31" s="27">
        <f>SUMIFS(Tablo1[Adet],Tablo1[Hisse],Portföy!A31,Tablo1[İşlem],"ALIŞ")-SUMIFS(Tablo1[Adet],Tablo1[Hisse],Portföy!A31,Tablo1[İşlem],"SATIŞ")</f>
        <v>0</v>
      </c>
      <c r="D31" s="28">
        <f>IFERROR((SUMIFS(Tablo1[Toplam],Tablo1[Hisse],Portföy!A31,Tablo1[İşlem],"ALIŞ")-SUMIFS(Tablo1[Toplam],Tablo1[Hisse],Portföy!A31,Tablo1[İşlem],"SATIŞ"))/C31,0)</f>
        <v>0</v>
      </c>
      <c r="E31" s="28">
        <f t="shared" si="0"/>
        <v>0</v>
      </c>
      <c r="F31" s="28">
        <f>SUMIFS(Tablo2[Son Fiyat],Tablo2[Şirket],Portföy!A31)</f>
        <v>24.4</v>
      </c>
      <c r="G31" s="28">
        <f t="shared" si="1"/>
        <v>0</v>
      </c>
      <c r="H31" s="29">
        <f>+G31-E31+IF(Portföy!C31=0,SUMIFS(Tablo1[Toplam],Tablo1[Hisse],Portföy!A31,Tablo1[İşlem],"SATIŞ")-SUMIFS(Tablo1[Toplam],Tablo1[Hisse],Portföy!A31,Tablo1[İşlem],"ALIŞ"),0)</f>
        <v>215.2800000000002</v>
      </c>
    </row>
    <row r="32" spans="1:8" ht="19.2" customHeight="1" x14ac:dyDescent="0.3">
      <c r="A32" s="26" t="s">
        <v>206</v>
      </c>
      <c r="B32" s="71" t="s">
        <v>616</v>
      </c>
      <c r="C32" s="27">
        <f>SUMIFS(Tablo1[Adet],Tablo1[Hisse],Portföy!A32,Tablo1[İşlem],"ALIŞ")-SUMIFS(Tablo1[Adet],Tablo1[Hisse],Portföy!A32,Tablo1[İşlem],"SATIŞ")</f>
        <v>0</v>
      </c>
      <c r="D32" s="28">
        <f>IFERROR((SUMIFS(Tablo1[Toplam],Tablo1[Hisse],Portföy!A32,Tablo1[İşlem],"ALIŞ")-SUMIFS(Tablo1[Toplam],Tablo1[Hisse],Portföy!A32,Tablo1[İşlem],"SATIŞ"))/C32,0)</f>
        <v>0</v>
      </c>
      <c r="E32" s="28">
        <f t="shared" si="0"/>
        <v>0</v>
      </c>
      <c r="F32" s="28">
        <f>SUMIFS(Tablo2[Son Fiyat],Tablo2[Şirket],Portföy!A32)</f>
        <v>15.27</v>
      </c>
      <c r="G32" s="28">
        <f t="shared" si="1"/>
        <v>0</v>
      </c>
      <c r="H32" s="29">
        <f>+G32-E32+IF(Portföy!C32=0,SUMIFS(Tablo1[Toplam],Tablo1[Hisse],Portföy!A32,Tablo1[İşlem],"SATIŞ")-SUMIFS(Tablo1[Toplam],Tablo1[Hisse],Portföy!A32,Tablo1[İşlem],"ALIŞ"),0)</f>
        <v>1361.5</v>
      </c>
    </row>
    <row r="33" spans="1:8" ht="19.2" customHeight="1" x14ac:dyDescent="0.3">
      <c r="A33" s="26" t="s">
        <v>22</v>
      </c>
      <c r="B33" s="71"/>
      <c r="C33" s="27">
        <f>SUMIFS(Tablo1[Adet],Tablo1[Hisse],Portföy!A33,Tablo1[İşlem],"ALIŞ")-SUMIFS(Tablo1[Adet],Tablo1[Hisse],Portföy!A33,Tablo1[İşlem],"SATIŞ")</f>
        <v>0</v>
      </c>
      <c r="D33" s="28">
        <f>IFERROR((SUMIFS(Tablo1[Toplam],Tablo1[Hisse],Portföy!A33,Tablo1[İşlem],"ALIŞ")-SUMIFS(Tablo1[Toplam],Tablo1[Hisse],Portföy!A33,Tablo1[İşlem],"SATIŞ"))/C33,0)</f>
        <v>0</v>
      </c>
      <c r="E33" s="28">
        <f t="shared" si="0"/>
        <v>0</v>
      </c>
      <c r="F33" s="28">
        <f>SUMIFS(Tablo2[Son Fiyat],Tablo2[Şirket],Portföy!A33)</f>
        <v>61.3</v>
      </c>
      <c r="G33" s="28">
        <f t="shared" si="1"/>
        <v>0</v>
      </c>
      <c r="H33" s="29">
        <f>+G33-E33+IF(Portföy!C33=0,SUMIFS(Tablo1[Toplam],Tablo1[Hisse],Portföy!A33,Tablo1[İşlem],"SATIŞ")-SUMIFS(Tablo1[Toplam],Tablo1[Hisse],Portföy!A33,Tablo1[İşlem],"ALIŞ"),0)</f>
        <v>368.5</v>
      </c>
    </row>
    <row r="34" spans="1:8" ht="19.2" customHeight="1" x14ac:dyDescent="0.3">
      <c r="A34" s="26" t="s">
        <v>219</v>
      </c>
      <c r="B34" s="71"/>
      <c r="C34" s="27">
        <f>SUMIFS(Tablo1[Adet],Tablo1[Hisse],Portföy!A34,Tablo1[İşlem],"ALIŞ")-SUMIFS(Tablo1[Adet],Tablo1[Hisse],Portföy!A34,Tablo1[İşlem],"SATIŞ")</f>
        <v>0</v>
      </c>
      <c r="D34" s="28">
        <f>IFERROR((SUMIFS(Tablo1[Toplam],Tablo1[Hisse],Portföy!A34,Tablo1[İşlem],"ALIŞ")-SUMIFS(Tablo1[Toplam],Tablo1[Hisse],Portföy!A34,Tablo1[İşlem],"SATIŞ"))/C34,0)</f>
        <v>0</v>
      </c>
      <c r="E34" s="28">
        <f t="shared" si="0"/>
        <v>0</v>
      </c>
      <c r="F34" s="28">
        <f>SUMIFS(Tablo2[Son Fiyat],Tablo2[Şirket],Portföy!A34)</f>
        <v>88.7</v>
      </c>
      <c r="G34" s="28">
        <f t="shared" si="1"/>
        <v>0</v>
      </c>
      <c r="H34" s="29">
        <f>+G34-E34+IF(Portföy!C34=0,SUMIFS(Tablo1[Toplam],Tablo1[Hisse],Portföy!A34,Tablo1[İşlem],"SATIŞ")-SUMIFS(Tablo1[Toplam],Tablo1[Hisse],Portföy!A34,Tablo1[İşlem],"ALIŞ"),0)</f>
        <v>290</v>
      </c>
    </row>
    <row r="35" spans="1:8" ht="19.2" customHeight="1" x14ac:dyDescent="0.3">
      <c r="A35" s="26" t="s">
        <v>220</v>
      </c>
      <c r="B35" s="71" t="s">
        <v>621</v>
      </c>
      <c r="C35" s="27">
        <f>SUMIFS(Tablo1[Adet],Tablo1[Hisse],Portföy!A35,Tablo1[İşlem],"ALIŞ")-SUMIFS(Tablo1[Adet],Tablo1[Hisse],Portföy!A35,Tablo1[İşlem],"SATIŞ")</f>
        <v>130</v>
      </c>
      <c r="D35" s="28">
        <f>IFERROR((SUMIFS(Tablo1[Toplam],Tablo1[Hisse],Portföy!A35,Tablo1[İşlem],"ALIŞ")-SUMIFS(Tablo1[Toplam],Tablo1[Hisse],Portföy!A35,Tablo1[İşlem],"SATIŞ"))/C35,0)</f>
        <v>18.759230769230776</v>
      </c>
      <c r="E35" s="28">
        <f t="shared" si="0"/>
        <v>2438.7000000000007</v>
      </c>
      <c r="F35" s="28">
        <f>SUMIFS(Tablo2[Son Fiyat],Tablo2[Şirket],Portföy!A35)</f>
        <v>22.44</v>
      </c>
      <c r="G35" s="28">
        <f t="shared" si="1"/>
        <v>2917.2000000000003</v>
      </c>
      <c r="H35" s="29">
        <f>+G35-E35+IF(Portföy!C35=0,SUMIFS(Tablo1[Toplam],Tablo1[Hisse],Portföy!A35,Tablo1[İşlem],"SATIŞ")-SUMIFS(Tablo1[Toplam],Tablo1[Hisse],Portföy!A35,Tablo1[İşlem],"ALIŞ"),0)</f>
        <v>478.49999999999955</v>
      </c>
    </row>
    <row r="36" spans="1:8" ht="19.2" customHeight="1" x14ac:dyDescent="0.3">
      <c r="A36" s="26" t="s">
        <v>229</v>
      </c>
      <c r="B36" s="71"/>
      <c r="C36" s="27">
        <f>SUMIFS(Tablo1[Adet],Tablo1[Hisse],Portföy!A36,Tablo1[İşlem],"ALIŞ")-SUMIFS(Tablo1[Adet],Tablo1[Hisse],Portföy!A36,Tablo1[İşlem],"SATIŞ")</f>
        <v>0</v>
      </c>
      <c r="D36" s="28">
        <f>IFERROR((SUMIFS(Tablo1[Toplam],Tablo1[Hisse],Portföy!A36,Tablo1[İşlem],"ALIŞ")-SUMIFS(Tablo1[Toplam],Tablo1[Hisse],Portföy!A36,Tablo1[İşlem],"SATIŞ"))/C36,0)</f>
        <v>0</v>
      </c>
      <c r="E36" s="28">
        <f t="shared" si="0"/>
        <v>0</v>
      </c>
      <c r="F36" s="28">
        <f>SUMIFS(Tablo2[Son Fiyat],Tablo2[Şirket],Portföy!A36)</f>
        <v>37</v>
      </c>
      <c r="G36" s="28">
        <f t="shared" si="1"/>
        <v>0</v>
      </c>
      <c r="H36" s="29">
        <f>+G36-E36+IF(Portföy!C36=0,SUMIFS(Tablo1[Toplam],Tablo1[Hisse],Portföy!A36,Tablo1[İşlem],"SATIŞ")-SUMIFS(Tablo1[Toplam],Tablo1[Hisse],Portföy!A36,Tablo1[İşlem],"ALIŞ"),0)</f>
        <v>0</v>
      </c>
    </row>
    <row r="37" spans="1:8" ht="19.2" customHeight="1" x14ac:dyDescent="0.3">
      <c r="A37" s="26" t="s">
        <v>236</v>
      </c>
      <c r="B37" s="71" t="s">
        <v>612</v>
      </c>
      <c r="C37" s="27">
        <f>SUMIFS(Tablo1[Adet],Tablo1[Hisse],Portföy!A37,Tablo1[İşlem],"ALIŞ")-SUMIFS(Tablo1[Adet],Tablo1[Hisse],Portföy!A37,Tablo1[İşlem],"SATIŞ")</f>
        <v>2</v>
      </c>
      <c r="D37" s="28">
        <f>IFERROR((SUMIFS(Tablo1[Toplam],Tablo1[Hisse],Portföy!A37,Tablo1[İşlem],"ALIŞ")-SUMIFS(Tablo1[Toplam],Tablo1[Hisse],Portföy!A37,Tablo1[İşlem],"SATIŞ"))/C37,0)</f>
        <v>312.5</v>
      </c>
      <c r="E37" s="28">
        <f t="shared" si="0"/>
        <v>625</v>
      </c>
      <c r="F37" s="28">
        <f>SUMIFS(Tablo2[Son Fiyat],Tablo2[Şirket],Portföy!A37)</f>
        <v>306</v>
      </c>
      <c r="G37" s="28">
        <f t="shared" si="1"/>
        <v>612</v>
      </c>
      <c r="H37" s="29">
        <f>+G37-E37+IF(Portföy!C37=0,SUMIFS(Tablo1[Toplam],Tablo1[Hisse],Portföy!A37,Tablo1[İşlem],"SATIŞ")-SUMIFS(Tablo1[Toplam],Tablo1[Hisse],Portföy!A37,Tablo1[İşlem],"ALIŞ"),0)</f>
        <v>-13</v>
      </c>
    </row>
    <row r="38" spans="1:8" ht="19.2" customHeight="1" x14ac:dyDescent="0.3">
      <c r="A38" s="26" t="s">
        <v>23</v>
      </c>
      <c r="B38" s="71" t="s">
        <v>618</v>
      </c>
      <c r="C38" s="27">
        <f>SUMIFS(Tablo1[Adet],Tablo1[Hisse],Portföy!A38,Tablo1[İşlem],"ALIŞ")-SUMIFS(Tablo1[Adet],Tablo1[Hisse],Portföy!A38,Tablo1[İşlem],"SATIŞ")</f>
        <v>11</v>
      </c>
      <c r="D38" s="28">
        <f>IFERROR((SUMIFS(Tablo1[Toplam],Tablo1[Hisse],Portföy!A38,Tablo1[İşlem],"ALIŞ")-SUMIFS(Tablo1[Toplam],Tablo1[Hisse],Portföy!A38,Tablo1[İşlem],"SATIŞ"))/C38,0)</f>
        <v>1097.7654545454543</v>
      </c>
      <c r="E38" s="28">
        <f t="shared" si="0"/>
        <v>12075.419999999998</v>
      </c>
      <c r="F38" s="28">
        <f>SUMIFS(Tablo2[Son Fiyat],Tablo2[Şirket],Portföy!A38)</f>
        <v>929.5</v>
      </c>
      <c r="G38" s="28">
        <f t="shared" si="1"/>
        <v>10224.5</v>
      </c>
      <c r="H38" s="29">
        <f>+G38-E38+IF(Portföy!C38=0,SUMIFS(Tablo1[Toplam],Tablo1[Hisse],Portföy!A38,Tablo1[İşlem],"SATIŞ")-SUMIFS(Tablo1[Toplam],Tablo1[Hisse],Portföy!A38,Tablo1[İşlem],"ALIŞ"),0)</f>
        <v>-1850.9199999999983</v>
      </c>
    </row>
    <row r="39" spans="1:8" ht="19.2" customHeight="1" x14ac:dyDescent="0.3">
      <c r="A39" s="26" t="s">
        <v>249</v>
      </c>
      <c r="B39" s="71" t="s">
        <v>610</v>
      </c>
      <c r="C39" s="27">
        <f>SUMIFS(Tablo1[Adet],Tablo1[Hisse],Portföy!A39,Tablo1[İşlem],"ALIŞ")-SUMIFS(Tablo1[Adet],Tablo1[Hisse],Portföy!A39,Tablo1[İşlem],"SATIŞ")</f>
        <v>40</v>
      </c>
      <c r="D39" s="28">
        <f>IFERROR((SUMIFS(Tablo1[Toplam],Tablo1[Hisse],Portföy!A39,Tablo1[İşlem],"ALIŞ")-SUMIFS(Tablo1[Toplam],Tablo1[Hisse],Portföy!A39,Tablo1[İşlem],"SATIŞ"))/C39,0)</f>
        <v>31.207499999999982</v>
      </c>
      <c r="E39" s="28">
        <f t="shared" si="0"/>
        <v>1248.2999999999993</v>
      </c>
      <c r="F39" s="28">
        <f>SUMIFS(Tablo2[Son Fiyat],Tablo2[Şirket],Portföy!A39)</f>
        <v>51.25</v>
      </c>
      <c r="G39" s="28">
        <f t="shared" si="1"/>
        <v>2050</v>
      </c>
      <c r="H39" s="29">
        <f>+G39-E39+IF(Portföy!C39=0,SUMIFS(Tablo1[Toplam],Tablo1[Hisse],Portföy!A39,Tablo1[İşlem],"SATIŞ")-SUMIFS(Tablo1[Toplam],Tablo1[Hisse],Portföy!A39,Tablo1[İşlem],"ALIŞ"),0)</f>
        <v>801.70000000000073</v>
      </c>
    </row>
    <row r="40" spans="1:8" ht="19.2" customHeight="1" x14ac:dyDescent="0.3">
      <c r="A40" s="26" t="s">
        <v>255</v>
      </c>
      <c r="B40" s="71"/>
      <c r="C40" s="27">
        <f>SUMIFS(Tablo1[Adet],Tablo1[Hisse],Portföy!A40,Tablo1[İşlem],"ALIŞ")-SUMIFS(Tablo1[Adet],Tablo1[Hisse],Portföy!A40,Tablo1[İşlem],"SATIŞ")</f>
        <v>0</v>
      </c>
      <c r="D40" s="28">
        <f>IFERROR((SUMIFS(Tablo1[Toplam],Tablo1[Hisse],Portföy!A40,Tablo1[İşlem],"ALIŞ")-SUMIFS(Tablo1[Toplam],Tablo1[Hisse],Portföy!A40,Tablo1[İşlem],"SATIŞ"))/C40,0)</f>
        <v>0</v>
      </c>
      <c r="E40" s="28">
        <f t="shared" si="0"/>
        <v>0</v>
      </c>
      <c r="F40" s="28">
        <f>SUMIFS(Tablo2[Son Fiyat],Tablo2[Şirket],Portföy!A40)</f>
        <v>11.04</v>
      </c>
      <c r="G40" s="28">
        <f t="shared" si="1"/>
        <v>0</v>
      </c>
      <c r="H40" s="29">
        <f>+G40-E40+IF(Portföy!C40=0,SUMIFS(Tablo1[Toplam],Tablo1[Hisse],Portföy!A40,Tablo1[İşlem],"SATIŞ")-SUMIFS(Tablo1[Toplam],Tablo1[Hisse],Portföy!A40,Tablo1[İşlem],"ALIŞ"),0)</f>
        <v>237.5</v>
      </c>
    </row>
    <row r="41" spans="1:8" ht="19.2" customHeight="1" x14ac:dyDescent="0.3">
      <c r="A41" s="26" t="s">
        <v>52</v>
      </c>
      <c r="B41" s="71"/>
      <c r="C41" s="27">
        <f>SUMIFS(Tablo1[Adet],Tablo1[Hisse],Portföy!A41,Tablo1[İşlem],"ALIŞ")-SUMIFS(Tablo1[Adet],Tablo1[Hisse],Portföy!A41,Tablo1[İşlem],"SATIŞ")</f>
        <v>0</v>
      </c>
      <c r="D41" s="28">
        <f>IFERROR((SUMIFS(Tablo1[Toplam],Tablo1[Hisse],Portföy!A41,Tablo1[İşlem],"ALIŞ")-SUMIFS(Tablo1[Toplam],Tablo1[Hisse],Portföy!A41,Tablo1[İşlem],"SATIŞ"))/C41,0)</f>
        <v>0</v>
      </c>
      <c r="E41" s="28">
        <f t="shared" si="0"/>
        <v>0</v>
      </c>
      <c r="F41" s="28">
        <f>SUMIFS(Tablo2[Son Fiyat],Tablo2[Şirket],Portföy!A41)</f>
        <v>9.25</v>
      </c>
      <c r="G41" s="28">
        <f t="shared" si="1"/>
        <v>0</v>
      </c>
      <c r="H41" s="29">
        <f>+G41-E41+IF(Portföy!C41=0,SUMIFS(Tablo1[Toplam],Tablo1[Hisse],Portföy!A41,Tablo1[İşlem],"SATIŞ")-SUMIFS(Tablo1[Toplam],Tablo1[Hisse],Portföy!A41,Tablo1[İşlem],"ALIŞ"),0)</f>
        <v>-66</v>
      </c>
    </row>
    <row r="42" spans="1:8" ht="19.2" customHeight="1" x14ac:dyDescent="0.3">
      <c r="A42" s="26" t="s">
        <v>265</v>
      </c>
      <c r="B42" s="71" t="s">
        <v>622</v>
      </c>
      <c r="C42" s="27">
        <f>SUMIFS(Tablo1[Adet],Tablo1[Hisse],Portföy!A42,Tablo1[İşlem],"ALIŞ")-SUMIFS(Tablo1[Adet],Tablo1[Hisse],Portföy!A42,Tablo1[İşlem],"SATIŞ")</f>
        <v>2</v>
      </c>
      <c r="D42" s="28">
        <f>IFERROR((SUMIFS(Tablo1[Toplam],Tablo1[Hisse],Portföy!A42,Tablo1[İşlem],"ALIŞ")-SUMIFS(Tablo1[Toplam],Tablo1[Hisse],Portföy!A42,Tablo1[İşlem],"SATIŞ"))/C42,0)</f>
        <v>162.5</v>
      </c>
      <c r="E42" s="28">
        <f t="shared" si="0"/>
        <v>325</v>
      </c>
      <c r="F42" s="28">
        <f>SUMIFS(Tablo2[Son Fiyat],Tablo2[Şirket],Portföy!A42)</f>
        <v>266.75</v>
      </c>
      <c r="G42" s="28">
        <f t="shared" si="1"/>
        <v>533.5</v>
      </c>
      <c r="H42" s="29">
        <f>+G42-E42+IF(Portföy!C42=0,SUMIFS(Tablo1[Toplam],Tablo1[Hisse],Portföy!A42,Tablo1[İşlem],"SATIŞ")-SUMIFS(Tablo1[Toplam],Tablo1[Hisse],Portföy!A42,Tablo1[İşlem],"ALIŞ"),0)</f>
        <v>208.5</v>
      </c>
    </row>
    <row r="43" spans="1:8" ht="19.2" customHeight="1" x14ac:dyDescent="0.3">
      <c r="A43" s="26" t="s">
        <v>24</v>
      </c>
      <c r="B43" s="71"/>
      <c r="C43" s="27">
        <f>SUMIFS(Tablo1[Adet],Tablo1[Hisse],Portföy!A43,Tablo1[İşlem],"ALIŞ")-SUMIFS(Tablo1[Adet],Tablo1[Hisse],Portföy!A43,Tablo1[İşlem],"SATIŞ")</f>
        <v>0</v>
      </c>
      <c r="D43" s="28">
        <f>IFERROR((SUMIFS(Tablo1[Toplam],Tablo1[Hisse],Portföy!A43,Tablo1[İşlem],"ALIŞ")-SUMIFS(Tablo1[Toplam],Tablo1[Hisse],Portföy!A43,Tablo1[İşlem],"SATIŞ"))/C43,0)</f>
        <v>0</v>
      </c>
      <c r="E43" s="28">
        <f t="shared" si="0"/>
        <v>0</v>
      </c>
      <c r="F43" s="28">
        <f>SUMIFS(Tablo2[Son Fiyat],Tablo2[Şirket],Portföy!A43)</f>
        <v>41.7</v>
      </c>
      <c r="G43" s="28">
        <f t="shared" si="1"/>
        <v>0</v>
      </c>
      <c r="H43" s="29">
        <f>+G43-E43+IF(Portföy!C43=0,SUMIFS(Tablo1[Toplam],Tablo1[Hisse],Portföy!A43,Tablo1[İşlem],"SATIŞ")-SUMIFS(Tablo1[Toplam],Tablo1[Hisse],Portföy!A43,Tablo1[İşlem],"ALIŞ"),0)</f>
        <v>129.59999999999991</v>
      </c>
    </row>
    <row r="44" spans="1:8" ht="19.2" customHeight="1" x14ac:dyDescent="0.3">
      <c r="A44" s="26" t="s">
        <v>25</v>
      </c>
      <c r="B44" s="71" t="s">
        <v>608</v>
      </c>
      <c r="C44" s="27">
        <f>SUMIFS(Tablo1[Adet],Tablo1[Hisse],Portföy!A44,Tablo1[İşlem],"ALIŞ")-SUMIFS(Tablo1[Adet],Tablo1[Hisse],Portföy!A44,Tablo1[İşlem],"SATIŞ")</f>
        <v>150</v>
      </c>
      <c r="D44" s="28">
        <f>IFERROR((SUMIFS(Tablo1[Toplam],Tablo1[Hisse],Portföy!A44,Tablo1[İşlem],"ALIŞ")-SUMIFS(Tablo1[Toplam],Tablo1[Hisse],Portföy!A44,Tablo1[İşlem],"SATIŞ"))/C44,0)</f>
        <v>0.20333333333333334</v>
      </c>
      <c r="E44" s="28">
        <f t="shared" si="0"/>
        <v>30.5</v>
      </c>
      <c r="F44" s="28">
        <f>SUMIFS(Tablo2[Son Fiyat],Tablo2[Şirket],Portföy!A44)</f>
        <v>3.55</v>
      </c>
      <c r="G44" s="28">
        <f t="shared" si="1"/>
        <v>532.5</v>
      </c>
      <c r="H44" s="29">
        <f>+G44-E44+IF(Portföy!C44=0,SUMIFS(Tablo1[Toplam],Tablo1[Hisse],Portföy!A44,Tablo1[İşlem],"SATIŞ")-SUMIFS(Tablo1[Toplam],Tablo1[Hisse],Portföy!A44,Tablo1[İşlem],"ALIŞ"),0)</f>
        <v>502</v>
      </c>
    </row>
    <row r="45" spans="1:8" ht="19.2" customHeight="1" x14ac:dyDescent="0.3">
      <c r="A45" s="26" t="s">
        <v>53</v>
      </c>
      <c r="B45" s="71" t="s">
        <v>609</v>
      </c>
      <c r="C45" s="27">
        <f>SUMIFS(Tablo1[Adet],Tablo1[Hisse],Portföy!A45,Tablo1[İşlem],"ALIŞ")-SUMIFS(Tablo1[Adet],Tablo1[Hisse],Portföy!A45,Tablo1[İşlem],"SATIŞ")</f>
        <v>45</v>
      </c>
      <c r="D45" s="28">
        <f>IFERROR((SUMIFS(Tablo1[Toplam],Tablo1[Hisse],Portföy!A45,Tablo1[İşlem],"ALIŞ")-SUMIFS(Tablo1[Toplam],Tablo1[Hisse],Portföy!A45,Tablo1[İşlem],"SATIŞ"))/C45,0)</f>
        <v>-7.5739999999999981</v>
      </c>
      <c r="E45" s="28">
        <f t="shared" si="0"/>
        <v>-340.82999999999993</v>
      </c>
      <c r="F45" s="28">
        <f>SUMIFS(Tablo2[Son Fiyat],Tablo2[Şirket],Portföy!A45)</f>
        <v>7.68</v>
      </c>
      <c r="G45" s="28">
        <f t="shared" si="1"/>
        <v>345.59999999999997</v>
      </c>
      <c r="H45" s="29">
        <f>+G45-E45+IF(Portföy!C45=0,SUMIFS(Tablo1[Toplam],Tablo1[Hisse],Portföy!A45,Tablo1[İşlem],"SATIŞ")-SUMIFS(Tablo1[Toplam],Tablo1[Hisse],Portföy!A45,Tablo1[İşlem],"ALIŞ"),0)</f>
        <v>686.42999999999984</v>
      </c>
    </row>
    <row r="46" spans="1:8" ht="19.2" customHeight="1" x14ac:dyDescent="0.3">
      <c r="A46" s="26" t="s">
        <v>301</v>
      </c>
      <c r="B46" s="71" t="s">
        <v>621</v>
      </c>
      <c r="C46" s="27">
        <f>SUMIFS(Tablo1[Adet],Tablo1[Hisse],Portföy!A46,Tablo1[İşlem],"ALIŞ")-SUMIFS(Tablo1[Adet],Tablo1[Hisse],Portföy!A46,Tablo1[İşlem],"SATIŞ")</f>
        <v>45</v>
      </c>
      <c r="D46" s="28">
        <f>IFERROR((SUMIFS(Tablo1[Toplam],Tablo1[Hisse],Portföy!A46,Tablo1[İşlem],"ALIŞ")-SUMIFS(Tablo1[Toplam],Tablo1[Hisse],Portföy!A46,Tablo1[İşlem],"SATIŞ"))/C46,0)</f>
        <v>21.177777777777777</v>
      </c>
      <c r="E46" s="28">
        <f t="shared" si="0"/>
        <v>953</v>
      </c>
      <c r="F46" s="28">
        <f>SUMIFS(Tablo2[Son Fiyat],Tablo2[Şirket],Portföy!A46)</f>
        <v>37.4</v>
      </c>
      <c r="G46" s="28">
        <f t="shared" si="1"/>
        <v>1683</v>
      </c>
      <c r="H46" s="29">
        <f>+G46-E46+IF(Portföy!C46=0,SUMIFS(Tablo1[Toplam],Tablo1[Hisse],Portföy!A46,Tablo1[İşlem],"SATIŞ")-SUMIFS(Tablo1[Toplam],Tablo1[Hisse],Portföy!A46,Tablo1[İşlem],"ALIŞ"),0)</f>
        <v>730</v>
      </c>
    </row>
    <row r="47" spans="1:8" ht="19.2" customHeight="1" x14ac:dyDescent="0.3">
      <c r="A47" s="26" t="s">
        <v>319</v>
      </c>
      <c r="B47" s="71" t="s">
        <v>608</v>
      </c>
      <c r="C47" s="27">
        <f>SUMIFS(Tablo1[Adet],Tablo1[Hisse],Portföy!A47,Tablo1[İşlem],"ALIŞ")-SUMIFS(Tablo1[Adet],Tablo1[Hisse],Portföy!A47,Tablo1[İşlem],"SATIŞ")</f>
        <v>40</v>
      </c>
      <c r="D47" s="28">
        <f>IFERROR((SUMIFS(Tablo1[Toplam],Tablo1[Hisse],Portföy!A47,Tablo1[İşlem],"ALIŞ")-SUMIFS(Tablo1[Toplam],Tablo1[Hisse],Portföy!A47,Tablo1[İşlem],"SATIŞ"))/C47,0)</f>
        <v>19.120499999999993</v>
      </c>
      <c r="E47" s="28">
        <f t="shared" si="0"/>
        <v>764.81999999999971</v>
      </c>
      <c r="F47" s="28">
        <f>SUMIFS(Tablo2[Son Fiyat],Tablo2[Şirket],Portföy!A47)</f>
        <v>27.42</v>
      </c>
      <c r="G47" s="28">
        <f t="shared" si="1"/>
        <v>1096.8000000000002</v>
      </c>
      <c r="H47" s="29">
        <f>+G47-E47+IF(Portföy!C47=0,SUMIFS(Tablo1[Toplam],Tablo1[Hisse],Portföy!A47,Tablo1[İşlem],"SATIŞ")-SUMIFS(Tablo1[Toplam],Tablo1[Hisse],Portföy!A47,Tablo1[İşlem],"ALIŞ"),0)</f>
        <v>331.98000000000047</v>
      </c>
    </row>
    <row r="48" spans="1:8" ht="19.2" customHeight="1" x14ac:dyDescent="0.3">
      <c r="A48" s="26" t="s">
        <v>26</v>
      </c>
      <c r="B48" s="71" t="s">
        <v>604</v>
      </c>
      <c r="C48" s="27">
        <f>SUMIFS(Tablo1[Adet],Tablo1[Hisse],Portföy!A48,Tablo1[İşlem],"ALIŞ")-SUMIFS(Tablo1[Adet],Tablo1[Hisse],Portföy!A48,Tablo1[İşlem],"SATIŞ")</f>
        <v>185</v>
      </c>
      <c r="D48" s="28">
        <f>IFERROR((SUMIFS(Tablo1[Toplam],Tablo1[Hisse],Portföy!A48,Tablo1[İşlem],"ALIŞ")-SUMIFS(Tablo1[Toplam],Tablo1[Hisse],Portföy!A48,Tablo1[İşlem],"SATIŞ"))/C48,0)</f>
        <v>83.302162162162176</v>
      </c>
      <c r="E48" s="28">
        <f t="shared" si="0"/>
        <v>15410.900000000003</v>
      </c>
      <c r="F48" s="28">
        <f>SUMIFS(Tablo2[Son Fiyat],Tablo2[Şirket],Portföy!A48)</f>
        <v>78.599999999999994</v>
      </c>
      <c r="G48" s="28">
        <f t="shared" si="1"/>
        <v>14540.999999999998</v>
      </c>
      <c r="H48" s="29">
        <f>+G48-E48+IF(Portföy!C48=0,SUMIFS(Tablo1[Toplam],Tablo1[Hisse],Portföy!A48,Tablo1[İşlem],"SATIŞ")-SUMIFS(Tablo1[Toplam],Tablo1[Hisse],Portföy!A48,Tablo1[İşlem],"ALIŞ"),0)</f>
        <v>-869.90000000000509</v>
      </c>
    </row>
    <row r="49" spans="1:8" ht="19.2" customHeight="1" x14ac:dyDescent="0.3">
      <c r="A49" s="26" t="s">
        <v>27</v>
      </c>
      <c r="B49" s="71" t="s">
        <v>605</v>
      </c>
      <c r="C49" s="27">
        <f>SUMIFS(Tablo1[Adet],Tablo1[Hisse],Portföy!A49,Tablo1[İşlem],"ALIŞ")-SUMIFS(Tablo1[Adet],Tablo1[Hisse],Portföy!A49,Tablo1[İşlem],"SATIŞ")</f>
        <v>0</v>
      </c>
      <c r="D49" s="28">
        <f>IFERROR((SUMIFS(Tablo1[Toplam],Tablo1[Hisse],Portföy!A49,Tablo1[İşlem],"ALIŞ")-SUMIFS(Tablo1[Toplam],Tablo1[Hisse],Portföy!A49,Tablo1[İşlem],"SATIŞ"))/C49,0)</f>
        <v>0</v>
      </c>
      <c r="E49" s="28">
        <f t="shared" si="0"/>
        <v>0</v>
      </c>
      <c r="F49" s="28">
        <f>SUMIFS(Tablo2[Son Fiyat],Tablo2[Şirket],Portföy!A49)</f>
        <v>169.8</v>
      </c>
      <c r="G49" s="28">
        <f t="shared" si="1"/>
        <v>0</v>
      </c>
      <c r="H49" s="29">
        <f>+G49-E49+IF(Portföy!C49=0,SUMIFS(Tablo1[Toplam],Tablo1[Hisse],Portföy!A49,Tablo1[İşlem],"SATIŞ")-SUMIFS(Tablo1[Toplam],Tablo1[Hisse],Portföy!A49,Tablo1[İşlem],"ALIŞ"),0)</f>
        <v>-81</v>
      </c>
    </row>
    <row r="50" spans="1:8" ht="19.2" customHeight="1" x14ac:dyDescent="0.3">
      <c r="A50" s="26" t="s">
        <v>28</v>
      </c>
      <c r="B50" s="71" t="s">
        <v>610</v>
      </c>
      <c r="C50" s="27">
        <f>SUMIFS(Tablo1[Adet],Tablo1[Hisse],Portföy!A50,Tablo1[İşlem],"ALIŞ")-SUMIFS(Tablo1[Adet],Tablo1[Hisse],Portföy!A50,Tablo1[İşlem],"SATIŞ")</f>
        <v>465</v>
      </c>
      <c r="D50" s="28">
        <f>IFERROR((SUMIFS(Tablo1[Toplam],Tablo1[Hisse],Portföy!A50,Tablo1[İşlem],"ALIŞ")-SUMIFS(Tablo1[Toplam],Tablo1[Hisse],Portföy!A50,Tablo1[İşlem],"SATIŞ"))/C50,0)</f>
        <v>51.836129032258071</v>
      </c>
      <c r="E50" s="28">
        <f t="shared" si="0"/>
        <v>24103.800000000003</v>
      </c>
      <c r="F50" s="28">
        <f>SUMIFS(Tablo2[Son Fiyat],Tablo2[Şirket],Portföy!A50)</f>
        <v>35.86</v>
      </c>
      <c r="G50" s="28">
        <f t="shared" si="1"/>
        <v>16674.900000000001</v>
      </c>
      <c r="H50" s="29">
        <f>+G50-E50+IF(Portföy!C50=0,SUMIFS(Tablo1[Toplam],Tablo1[Hisse],Portföy!A50,Tablo1[İşlem],"SATIŞ")-SUMIFS(Tablo1[Toplam],Tablo1[Hisse],Portföy!A50,Tablo1[İşlem],"ALIŞ"),0)</f>
        <v>-7428.9000000000015</v>
      </c>
    </row>
    <row r="51" spans="1:8" ht="19.2" customHeight="1" x14ac:dyDescent="0.3">
      <c r="A51" s="26" t="s">
        <v>352</v>
      </c>
      <c r="B51" s="71" t="s">
        <v>623</v>
      </c>
      <c r="C51" s="27">
        <f>SUMIFS(Tablo1[Adet],Tablo1[Hisse],Portföy!A51,Tablo1[İşlem],"ALIŞ")-SUMIFS(Tablo1[Adet],Tablo1[Hisse],Portföy!A51,Tablo1[İşlem],"SATIŞ")</f>
        <v>0</v>
      </c>
      <c r="D51" s="28">
        <f>IFERROR((SUMIFS(Tablo1[Toplam],Tablo1[Hisse],Portföy!A51,Tablo1[İşlem],"ALIŞ")-SUMIFS(Tablo1[Toplam],Tablo1[Hisse],Portföy!A51,Tablo1[İşlem],"SATIŞ"))/C51,0)</f>
        <v>0</v>
      </c>
      <c r="E51" s="28">
        <f t="shared" si="0"/>
        <v>0</v>
      </c>
      <c r="F51" s="28">
        <f>SUMIFS(Tablo2[Son Fiyat],Tablo2[Şirket],Portföy!A51)</f>
        <v>5.8</v>
      </c>
      <c r="G51" s="28">
        <f t="shared" si="1"/>
        <v>0</v>
      </c>
      <c r="H51" s="29">
        <f>+G51-E51+IF(Portföy!C51=0,SUMIFS(Tablo1[Toplam],Tablo1[Hisse],Portföy!A51,Tablo1[İşlem],"SATIŞ")-SUMIFS(Tablo1[Toplam],Tablo1[Hisse],Portföy!A51,Tablo1[İşlem],"ALIŞ"),0)</f>
        <v>295.94999999999982</v>
      </c>
    </row>
    <row r="52" spans="1:8" ht="19.2" customHeight="1" x14ac:dyDescent="0.3">
      <c r="A52" s="26" t="s">
        <v>379</v>
      </c>
      <c r="B52" s="71" t="s">
        <v>605</v>
      </c>
      <c r="C52" s="27">
        <f>SUMIFS(Tablo1[Adet],Tablo1[Hisse],Portföy!A52,Tablo1[İşlem],"ALIŞ")-SUMIFS(Tablo1[Adet],Tablo1[Hisse],Portföy!A52,Tablo1[İşlem],"SATIŞ")</f>
        <v>20</v>
      </c>
      <c r="D52" s="28">
        <f>IFERROR((SUMIFS(Tablo1[Toplam],Tablo1[Hisse],Portföy!A52,Tablo1[İşlem],"ALIŞ")-SUMIFS(Tablo1[Toplam],Tablo1[Hisse],Portföy!A52,Tablo1[İşlem],"SATIŞ"))/C52,0)</f>
        <v>-175.46250000000001</v>
      </c>
      <c r="E52" s="28">
        <f t="shared" si="0"/>
        <v>-3509.25</v>
      </c>
      <c r="F52" s="28">
        <f>SUMIFS(Tablo2[Son Fiyat],Tablo2[Şirket],Portföy!A52)</f>
        <v>57.2</v>
      </c>
      <c r="G52" s="28">
        <f t="shared" si="1"/>
        <v>1144</v>
      </c>
      <c r="H52" s="29">
        <f>+G52-E52+IF(Portföy!C52=0,SUMIFS(Tablo1[Toplam],Tablo1[Hisse],Portföy!A52,Tablo1[İşlem],"SATIŞ")-SUMIFS(Tablo1[Toplam],Tablo1[Hisse],Portföy!A52,Tablo1[İşlem],"ALIŞ"),0)</f>
        <v>4653.25</v>
      </c>
    </row>
    <row r="53" spans="1:8" ht="19.2" customHeight="1" x14ac:dyDescent="0.3">
      <c r="A53" s="26" t="s">
        <v>383</v>
      </c>
      <c r="B53" s="71" t="s">
        <v>622</v>
      </c>
      <c r="C53" s="27">
        <f>SUMIFS(Tablo1[Adet],Tablo1[Hisse],Portföy!A53,Tablo1[İşlem],"ALIŞ")-SUMIFS(Tablo1[Adet],Tablo1[Hisse],Portföy!A53,Tablo1[İşlem],"SATIŞ")</f>
        <v>0</v>
      </c>
      <c r="D53" s="28">
        <f>IFERROR((SUMIFS(Tablo1[Toplam],Tablo1[Hisse],Portföy!A53,Tablo1[İşlem],"ALIŞ")-SUMIFS(Tablo1[Toplam],Tablo1[Hisse],Portföy!A53,Tablo1[İşlem],"SATIŞ"))/C53,0)</f>
        <v>0</v>
      </c>
      <c r="E53" s="28">
        <f t="shared" si="0"/>
        <v>0</v>
      </c>
      <c r="F53" s="28">
        <f>SUMIFS(Tablo2[Son Fiyat],Tablo2[Şirket],Portföy!A53)</f>
        <v>2.7</v>
      </c>
      <c r="G53" s="28">
        <f t="shared" si="1"/>
        <v>0</v>
      </c>
      <c r="H53" s="29">
        <f>+G53-E53+IF(Portföy!C53=0,SUMIFS(Tablo1[Toplam],Tablo1[Hisse],Portföy!A53,Tablo1[İşlem],"SATIŞ")-SUMIFS(Tablo1[Toplam],Tablo1[Hisse],Portföy!A53,Tablo1[İşlem],"ALIŞ"),0)</f>
        <v>326</v>
      </c>
    </row>
    <row r="54" spans="1:8" ht="19.2" customHeight="1" x14ac:dyDescent="0.3">
      <c r="A54" s="26" t="s">
        <v>404</v>
      </c>
      <c r="B54" s="71" t="s">
        <v>619</v>
      </c>
      <c r="C54" s="27">
        <f>SUMIFS(Tablo1[Adet],Tablo1[Hisse],Portföy!A54,Tablo1[İşlem],"ALIŞ")-SUMIFS(Tablo1[Adet],Tablo1[Hisse],Portföy!A54,Tablo1[İşlem],"SATIŞ")</f>
        <v>20</v>
      </c>
      <c r="D54" s="28">
        <f>IFERROR((SUMIFS(Tablo1[Toplam],Tablo1[Hisse],Portföy!A54,Tablo1[İşlem],"ALIŞ")-SUMIFS(Tablo1[Toplam],Tablo1[Hisse],Portföy!A54,Tablo1[İşlem],"SATIŞ"))/C54,0)</f>
        <v>7.8400000000000087</v>
      </c>
      <c r="E54" s="28">
        <f t="shared" si="0"/>
        <v>156.80000000000018</v>
      </c>
      <c r="F54" s="28">
        <f>SUMIFS(Tablo2[Son Fiyat],Tablo2[Şirket],Portföy!A54)</f>
        <v>20.66</v>
      </c>
      <c r="G54" s="28">
        <f t="shared" si="1"/>
        <v>413.2</v>
      </c>
      <c r="H54" s="29">
        <f>+G54-E54+IF(Portföy!C54=0,SUMIFS(Tablo1[Toplam],Tablo1[Hisse],Portföy!A54,Tablo1[İşlem],"SATIŞ")-SUMIFS(Tablo1[Toplam],Tablo1[Hisse],Portföy!A54,Tablo1[İşlem],"ALIŞ"),0)</f>
        <v>256.39999999999981</v>
      </c>
    </row>
    <row r="55" spans="1:8" ht="19.2" customHeight="1" x14ac:dyDescent="0.3">
      <c r="A55" s="26" t="s">
        <v>415</v>
      </c>
      <c r="B55" s="71" t="s">
        <v>619</v>
      </c>
      <c r="C55" s="27">
        <f>SUMIFS(Tablo1[Adet],Tablo1[Hisse],Portföy!A55,Tablo1[İşlem],"ALIŞ")-SUMIFS(Tablo1[Adet],Tablo1[Hisse],Portföy!A55,Tablo1[İşlem],"SATIŞ")</f>
        <v>0</v>
      </c>
      <c r="D55" s="28">
        <f>IFERROR((SUMIFS(Tablo1[Toplam],Tablo1[Hisse],Portföy!A55,Tablo1[İşlem],"ALIŞ")-SUMIFS(Tablo1[Toplam],Tablo1[Hisse],Portföy!A55,Tablo1[İşlem],"SATIŞ"))/C55,0)</f>
        <v>0</v>
      </c>
      <c r="E55" s="28">
        <f t="shared" si="0"/>
        <v>0</v>
      </c>
      <c r="F55" s="28">
        <f>SUMIFS(Tablo2[Son Fiyat],Tablo2[Şirket],Portföy!A55)</f>
        <v>32.119999999999997</v>
      </c>
      <c r="G55" s="28">
        <f t="shared" si="1"/>
        <v>0</v>
      </c>
      <c r="H55" s="29">
        <f>+G55-E55+IF(Portföy!C55=0,SUMIFS(Tablo1[Toplam],Tablo1[Hisse],Portföy!A55,Tablo1[İşlem],"SATIŞ")-SUMIFS(Tablo1[Toplam],Tablo1[Hisse],Portföy!A55,Tablo1[İşlem],"ALIŞ"),0)</f>
        <v>380.30000000000018</v>
      </c>
    </row>
    <row r="56" spans="1:8" ht="19.2" customHeight="1" x14ac:dyDescent="0.3">
      <c r="A56" s="26" t="s">
        <v>29</v>
      </c>
      <c r="B56" s="71" t="s">
        <v>617</v>
      </c>
      <c r="C56" s="27">
        <f>SUMIFS(Tablo1[Adet],Tablo1[Hisse],Portföy!A56,Tablo1[İşlem],"ALIŞ")-SUMIFS(Tablo1[Adet],Tablo1[Hisse],Portföy!A56,Tablo1[İşlem],"SATIŞ")</f>
        <v>0</v>
      </c>
      <c r="D56" s="28">
        <f>IFERROR((SUMIFS(Tablo1[Toplam],Tablo1[Hisse],Portföy!A56,Tablo1[İşlem],"ALIŞ")-SUMIFS(Tablo1[Toplam],Tablo1[Hisse],Portföy!A56,Tablo1[İşlem],"SATIŞ"))/C56,0)</f>
        <v>0</v>
      </c>
      <c r="E56" s="28">
        <f t="shared" si="0"/>
        <v>0</v>
      </c>
      <c r="F56" s="28">
        <f>SUMIFS(Tablo2[Son Fiyat],Tablo2[Şirket],Portföy!A56)</f>
        <v>107.2</v>
      </c>
      <c r="G56" s="28">
        <f t="shared" si="1"/>
        <v>0</v>
      </c>
      <c r="H56" s="29">
        <f>+G56-E56+IF(Portföy!C56=0,SUMIFS(Tablo1[Toplam],Tablo1[Hisse],Portföy!A56,Tablo1[İşlem],"SATIŞ")-SUMIFS(Tablo1[Toplam],Tablo1[Hisse],Portföy!A56,Tablo1[İşlem],"ALIŞ"),0)</f>
        <v>667.80000000000291</v>
      </c>
    </row>
    <row r="57" spans="1:8" ht="19.2" customHeight="1" x14ac:dyDescent="0.3">
      <c r="A57" s="26" t="s">
        <v>30</v>
      </c>
      <c r="B57" s="71"/>
      <c r="C57" s="27">
        <f>SUMIFS(Tablo1[Adet],Tablo1[Hisse],Portföy!A57,Tablo1[İşlem],"ALIŞ")-SUMIFS(Tablo1[Adet],Tablo1[Hisse],Portföy!A57,Tablo1[İşlem],"SATIŞ")</f>
        <v>0</v>
      </c>
      <c r="D57" s="28">
        <f>IFERROR((SUMIFS(Tablo1[Toplam],Tablo1[Hisse],Portföy!A57,Tablo1[İşlem],"ALIŞ")-SUMIFS(Tablo1[Toplam],Tablo1[Hisse],Portföy!A57,Tablo1[İşlem],"SATIŞ"))/C57,0)</f>
        <v>0</v>
      </c>
      <c r="E57" s="28">
        <f t="shared" si="0"/>
        <v>0</v>
      </c>
      <c r="F57" s="28">
        <f>SUMIFS(Tablo2[Son Fiyat],Tablo2[Şirket],Portföy!A57)</f>
        <v>84.9</v>
      </c>
      <c r="G57" s="28">
        <f t="shared" si="1"/>
        <v>0</v>
      </c>
      <c r="H57" s="29">
        <f>+G57-E57+IF(Portföy!C57=0,SUMIFS(Tablo1[Toplam],Tablo1[Hisse],Portföy!A57,Tablo1[İşlem],"SATIŞ")-SUMIFS(Tablo1[Toplam],Tablo1[Hisse],Portföy!A57,Tablo1[İşlem],"ALIŞ"),0)</f>
        <v>511.25</v>
      </c>
    </row>
    <row r="58" spans="1:8" ht="19.2" customHeight="1" x14ac:dyDescent="0.3">
      <c r="A58" s="26" t="s">
        <v>423</v>
      </c>
      <c r="B58" s="71" t="s">
        <v>605</v>
      </c>
      <c r="C58" s="27">
        <f>SUMIFS(Tablo1[Adet],Tablo1[Hisse],Portföy!A58,Tablo1[İşlem],"ALIŞ")-SUMIFS(Tablo1[Adet],Tablo1[Hisse],Portföy!A58,Tablo1[İşlem],"SATIŞ")</f>
        <v>0</v>
      </c>
      <c r="D58" s="28">
        <f>IFERROR((SUMIFS(Tablo1[Toplam],Tablo1[Hisse],Portföy!A58,Tablo1[İşlem],"ALIŞ")-SUMIFS(Tablo1[Toplam],Tablo1[Hisse],Portföy!A58,Tablo1[İşlem],"SATIŞ"))/C58,0)</f>
        <v>0</v>
      </c>
      <c r="E58" s="28">
        <f t="shared" si="0"/>
        <v>0</v>
      </c>
      <c r="F58" s="28">
        <f>SUMIFS(Tablo2[Son Fiyat],Tablo2[Şirket],Portföy!A58)</f>
        <v>10.3</v>
      </c>
      <c r="G58" s="28">
        <f t="shared" si="1"/>
        <v>0</v>
      </c>
      <c r="H58" s="29">
        <f>+G58-E58+IF(Portföy!C58=0,SUMIFS(Tablo1[Toplam],Tablo1[Hisse],Portföy!A58,Tablo1[İşlem],"SATIŞ")-SUMIFS(Tablo1[Toplam],Tablo1[Hisse],Portföy!A58,Tablo1[İşlem],"ALIŞ"),0)</f>
        <v>539.75</v>
      </c>
    </row>
    <row r="59" spans="1:8" ht="19.2" customHeight="1" x14ac:dyDescent="0.3">
      <c r="A59" s="26" t="s">
        <v>31</v>
      </c>
      <c r="B59" s="71" t="s">
        <v>611</v>
      </c>
      <c r="C59" s="27">
        <f>SUMIFS(Tablo1[Adet],Tablo1[Hisse],Portföy!A59,Tablo1[İşlem],"ALIŞ")-SUMIFS(Tablo1[Adet],Tablo1[Hisse],Portföy!A59,Tablo1[İşlem],"SATIŞ")</f>
        <v>0</v>
      </c>
      <c r="D59" s="28">
        <f>IFERROR((SUMIFS(Tablo1[Toplam],Tablo1[Hisse],Portföy!A59,Tablo1[İşlem],"ALIŞ")-SUMIFS(Tablo1[Toplam],Tablo1[Hisse],Portföy!A59,Tablo1[İşlem],"SATIŞ"))/C59,0)</f>
        <v>0</v>
      </c>
      <c r="E59" s="28">
        <f t="shared" si="0"/>
        <v>0</v>
      </c>
      <c r="F59" s="28">
        <f>SUMIFS(Tablo2[Son Fiyat],Tablo2[Şirket],Portföy!A59)</f>
        <v>9.5</v>
      </c>
      <c r="G59" s="28">
        <f t="shared" si="1"/>
        <v>0</v>
      </c>
      <c r="H59" s="29">
        <f>+G59-E59+IF(Portföy!C59=0,SUMIFS(Tablo1[Toplam],Tablo1[Hisse],Portföy!A59,Tablo1[İşlem],"SATIŞ")-SUMIFS(Tablo1[Toplam],Tablo1[Hisse],Portföy!A59,Tablo1[İşlem],"ALIŞ"),0)</f>
        <v>-4373.7000000000007</v>
      </c>
    </row>
    <row r="60" spans="1:8" ht="19.2" customHeight="1" x14ac:dyDescent="0.3">
      <c r="A60" s="26" t="s">
        <v>426</v>
      </c>
      <c r="B60" s="71" t="s">
        <v>614</v>
      </c>
      <c r="C60" s="27">
        <f>SUMIFS(Tablo1[Adet],Tablo1[Hisse],Portföy!A60,Tablo1[İşlem],"ALIŞ")-SUMIFS(Tablo1[Adet],Tablo1[Hisse],Portföy!A60,Tablo1[İşlem],"SATIŞ")</f>
        <v>0</v>
      </c>
      <c r="D60" s="28">
        <f>IFERROR((SUMIFS(Tablo1[Toplam],Tablo1[Hisse],Portföy!A60,Tablo1[İşlem],"ALIŞ")-SUMIFS(Tablo1[Toplam],Tablo1[Hisse],Portföy!A60,Tablo1[İşlem],"SATIŞ"))/C60,0)</f>
        <v>0</v>
      </c>
      <c r="E60" s="28">
        <f t="shared" si="0"/>
        <v>0</v>
      </c>
      <c r="F60" s="28">
        <f>SUMIFS(Tablo2[Son Fiyat],Tablo2[Şirket],Portföy!A60)</f>
        <v>24.26</v>
      </c>
      <c r="G60" s="28">
        <f t="shared" si="1"/>
        <v>0</v>
      </c>
      <c r="H60" s="29">
        <f>+G60-E60+IF(Portföy!C60=0,SUMIFS(Tablo1[Toplam],Tablo1[Hisse],Portföy!A60,Tablo1[İşlem],"SATIŞ")-SUMIFS(Tablo1[Toplam],Tablo1[Hisse],Portföy!A60,Tablo1[İşlem],"ALIŞ"),0)</f>
        <v>65</v>
      </c>
    </row>
    <row r="61" spans="1:8" ht="19.2" customHeight="1" x14ac:dyDescent="0.3">
      <c r="A61" s="26" t="s">
        <v>440</v>
      </c>
      <c r="B61" s="71"/>
      <c r="C61" s="27">
        <f>SUMIFS(Tablo1[Adet],Tablo1[Hisse],Portföy!A61,Tablo1[İşlem],"ALIŞ")-SUMIFS(Tablo1[Adet],Tablo1[Hisse],Portföy!A61,Tablo1[İşlem],"SATIŞ")</f>
        <v>0</v>
      </c>
      <c r="D61" s="28">
        <f>IFERROR((SUMIFS(Tablo1[Toplam],Tablo1[Hisse],Portföy!A61,Tablo1[İşlem],"ALIŞ")-SUMIFS(Tablo1[Toplam],Tablo1[Hisse],Portföy!A61,Tablo1[İşlem],"SATIŞ"))/C61,0)</f>
        <v>0</v>
      </c>
      <c r="E61" s="28">
        <f t="shared" ref="E61:E66" si="4">+D61*C61</f>
        <v>0</v>
      </c>
      <c r="F61" s="28">
        <f>SUMIFS(Tablo2[Son Fiyat],Tablo2[Şirket],Portföy!A61)</f>
        <v>17.64</v>
      </c>
      <c r="G61" s="28">
        <f t="shared" ref="G61:G66" si="5">+F61*C61</f>
        <v>0</v>
      </c>
      <c r="H61" s="29">
        <f>+G61-E61+IF(Portföy!C61=0,SUMIFS(Tablo1[Toplam],Tablo1[Hisse],Portföy!A61,Tablo1[İşlem],"SATIŞ")-SUMIFS(Tablo1[Toplam],Tablo1[Hisse],Portföy!A61,Tablo1[İşlem],"ALIŞ"),0)</f>
        <v>-58.199999999999818</v>
      </c>
    </row>
    <row r="62" spans="1:8" ht="19.2" customHeight="1" x14ac:dyDescent="0.3">
      <c r="A62" s="26" t="s">
        <v>442</v>
      </c>
      <c r="B62" s="71"/>
      <c r="C62" s="27">
        <f>SUMIFS(Tablo1[Adet],Tablo1[Hisse],Portföy!A62,Tablo1[İşlem],"ALIŞ")-SUMIFS(Tablo1[Adet],Tablo1[Hisse],Portföy!A62,Tablo1[İşlem],"SATIŞ")</f>
        <v>0</v>
      </c>
      <c r="D62" s="28">
        <f>IFERROR((SUMIFS(Tablo1[Toplam],Tablo1[Hisse],Portföy!A62,Tablo1[İşlem],"ALIŞ")-SUMIFS(Tablo1[Toplam],Tablo1[Hisse],Portföy!A62,Tablo1[İşlem],"SATIŞ"))/C62,0)</f>
        <v>0</v>
      </c>
      <c r="E62" s="28">
        <f t="shared" si="4"/>
        <v>0</v>
      </c>
      <c r="F62" s="28">
        <f>SUMIFS(Tablo2[Son Fiyat],Tablo2[Şirket],Portföy!A62)</f>
        <v>1.38</v>
      </c>
      <c r="G62" s="28">
        <f t="shared" si="5"/>
        <v>0</v>
      </c>
      <c r="H62" s="29">
        <f>+G62-E62+IF(Portföy!C62=0,SUMIFS(Tablo1[Toplam],Tablo1[Hisse],Portföy!A62,Tablo1[İşlem],"SATIŞ")-SUMIFS(Tablo1[Toplam],Tablo1[Hisse],Portföy!A62,Tablo1[İşlem],"ALIŞ"),0)</f>
        <v>0</v>
      </c>
    </row>
    <row r="63" spans="1:8" ht="19.2" customHeight="1" x14ac:dyDescent="0.3">
      <c r="A63" s="26" t="s">
        <v>444</v>
      </c>
      <c r="B63" s="71" t="s">
        <v>609</v>
      </c>
      <c r="C63" s="27">
        <f>SUMIFS(Tablo1[Adet],Tablo1[Hisse],Portföy!A63,Tablo1[İşlem],"ALIŞ")-SUMIFS(Tablo1[Adet],Tablo1[Hisse],Portföy!A63,Tablo1[İşlem],"SATIŞ")</f>
        <v>110</v>
      </c>
      <c r="D63" s="28">
        <f>IFERROR((SUMIFS(Tablo1[Toplam],Tablo1[Hisse],Portföy!A63,Tablo1[İşlem],"ALIŞ")-SUMIFS(Tablo1[Toplam],Tablo1[Hisse],Portföy!A63,Tablo1[İşlem],"SATIŞ"))/C63,0)</f>
        <v>10.695454545454545</v>
      </c>
      <c r="E63" s="28">
        <f t="shared" si="4"/>
        <v>1176.5</v>
      </c>
      <c r="F63" s="28">
        <f>SUMIFS(Tablo2[Son Fiyat],Tablo2[Şirket],Portföy!A63)</f>
        <v>15.61</v>
      </c>
      <c r="G63" s="28">
        <f t="shared" si="5"/>
        <v>1717.1</v>
      </c>
      <c r="H63" s="29">
        <f>+G63-E63+IF(Portföy!C63=0,SUMIFS(Tablo1[Toplam],Tablo1[Hisse],Portföy!A63,Tablo1[İşlem],"SATIŞ")-SUMIFS(Tablo1[Toplam],Tablo1[Hisse],Portföy!A63,Tablo1[İşlem],"ALIŞ"),0)</f>
        <v>540.59999999999991</v>
      </c>
    </row>
    <row r="64" spans="1:8" ht="19.2" customHeight="1" x14ac:dyDescent="0.3">
      <c r="A64" s="26" t="s">
        <v>451</v>
      </c>
      <c r="B64" s="71" t="s">
        <v>624</v>
      </c>
      <c r="C64" s="27">
        <f>SUMIFS(Tablo1[Adet],Tablo1[Hisse],Portföy!A64,Tablo1[İşlem],"ALIŞ")-SUMIFS(Tablo1[Adet],Tablo1[Hisse],Portföy!A64,Tablo1[İşlem],"SATIŞ")</f>
        <v>0</v>
      </c>
      <c r="D64" s="28">
        <f>IFERROR((SUMIFS(Tablo1[Toplam],Tablo1[Hisse],Portföy!A64,Tablo1[İşlem],"ALIŞ")-SUMIFS(Tablo1[Toplam],Tablo1[Hisse],Portföy!A64,Tablo1[İşlem],"SATIŞ"))/C64,0)</f>
        <v>0</v>
      </c>
      <c r="E64" s="28">
        <f t="shared" si="4"/>
        <v>0</v>
      </c>
      <c r="F64" s="28">
        <f>SUMIFS(Tablo2[Son Fiyat],Tablo2[Şirket],Portföy!A64)</f>
        <v>32.24</v>
      </c>
      <c r="G64" s="28">
        <f t="shared" si="5"/>
        <v>0</v>
      </c>
      <c r="H64" s="29">
        <f>+G64-E64+IF(Portföy!C64=0,SUMIFS(Tablo1[Toplam],Tablo1[Hisse],Portföy!A64,Tablo1[İşlem],"SATIŞ")-SUMIFS(Tablo1[Toplam],Tablo1[Hisse],Portföy!A64,Tablo1[İşlem],"ALIŞ"),0)</f>
        <v>26.039999999999964</v>
      </c>
    </row>
    <row r="65" spans="1:8" ht="19.2" customHeight="1" x14ac:dyDescent="0.3">
      <c r="A65" s="26" t="s">
        <v>455</v>
      </c>
      <c r="B65" s="71"/>
      <c r="C65" s="27">
        <f>SUMIFS(Tablo1[Adet],Tablo1[Hisse],Portföy!A65,Tablo1[İşlem],"ALIŞ")-SUMIFS(Tablo1[Adet],Tablo1[Hisse],Portföy!A65,Tablo1[İşlem],"SATIŞ")</f>
        <v>0</v>
      </c>
      <c r="D65" s="28">
        <f>IFERROR((SUMIFS(Tablo1[Toplam],Tablo1[Hisse],Portföy!A65,Tablo1[İşlem],"ALIŞ")-SUMIFS(Tablo1[Toplam],Tablo1[Hisse],Portföy!A65,Tablo1[İşlem],"SATIŞ"))/C65,0)</f>
        <v>0</v>
      </c>
      <c r="E65" s="28">
        <f t="shared" si="4"/>
        <v>0</v>
      </c>
      <c r="F65" s="28">
        <f>SUMIFS(Tablo2[Son Fiyat],Tablo2[Şirket],Portföy!A65)</f>
        <v>6780</v>
      </c>
      <c r="G65" s="28">
        <f t="shared" si="5"/>
        <v>0</v>
      </c>
      <c r="H65" s="29">
        <f>+G65-E65+IF(Portföy!C65=0,SUMIFS(Tablo1[Toplam],Tablo1[Hisse],Portföy!A65,Tablo1[İşlem],"SATIŞ")-SUMIFS(Tablo1[Toplam],Tablo1[Hisse],Portföy!A65,Tablo1[İşlem],"ALIŞ"),0)</f>
        <v>-1350</v>
      </c>
    </row>
    <row r="66" spans="1:8" ht="19.2" customHeight="1" x14ac:dyDescent="0.3">
      <c r="A66" s="26" t="s">
        <v>456</v>
      </c>
      <c r="B66" s="71" t="s">
        <v>625</v>
      </c>
      <c r="C66" s="27">
        <f>SUMIFS(Tablo1[Adet],Tablo1[Hisse],Portföy!A66,Tablo1[İşlem],"ALIŞ")-SUMIFS(Tablo1[Adet],Tablo1[Hisse],Portföy!A66,Tablo1[İşlem],"SATIŞ")</f>
        <v>330</v>
      </c>
      <c r="D66" s="28">
        <f>IFERROR((SUMIFS(Tablo1[Toplam],Tablo1[Hisse],Portföy!A66,Tablo1[İşlem],"ALIŞ")-SUMIFS(Tablo1[Toplam],Tablo1[Hisse],Portföy!A66,Tablo1[İşlem],"SATIŞ"))/C66,0)</f>
        <v>3.5293939393939415</v>
      </c>
      <c r="E66" s="28">
        <f t="shared" si="4"/>
        <v>1164.7000000000007</v>
      </c>
      <c r="F66" s="28">
        <f>SUMIFS(Tablo2[Son Fiyat],Tablo2[Şirket],Portföy!A66)</f>
        <v>5.03</v>
      </c>
      <c r="G66" s="28">
        <f t="shared" si="5"/>
        <v>1659.9</v>
      </c>
      <c r="H66" s="29">
        <f>+G66-E66+IF(Portföy!C66=0,SUMIFS(Tablo1[Toplam],Tablo1[Hisse],Portföy!A66,Tablo1[İşlem],"SATIŞ")-SUMIFS(Tablo1[Toplam],Tablo1[Hisse],Portföy!A66,Tablo1[İşlem],"ALIŞ"),0)</f>
        <v>495.19999999999936</v>
      </c>
    </row>
    <row r="67" spans="1:8" ht="19.2" customHeight="1" x14ac:dyDescent="0.3">
      <c r="A67" s="26" t="s">
        <v>49</v>
      </c>
      <c r="B67" s="71"/>
      <c r="C67" s="27">
        <f>SUMIFS(Tablo1[Adet],Tablo1[Hisse],Portföy!A67,Tablo1[İşlem],"ALIŞ")-SUMIFS(Tablo1[Adet],Tablo1[Hisse],Portföy!A67,Tablo1[İşlem],"SATIŞ")</f>
        <v>0</v>
      </c>
      <c r="D67" s="28">
        <f>IFERROR((SUMIFS(Tablo1[Toplam],Tablo1[Hisse],Portföy!A67,Tablo1[İşlem],"ALIŞ")-SUMIFS(Tablo1[Toplam],Tablo1[Hisse],Portföy!A67,Tablo1[İşlem],"SATIŞ"))/C67,0)</f>
        <v>0</v>
      </c>
      <c r="E67" s="28">
        <f t="shared" si="0"/>
        <v>0</v>
      </c>
      <c r="F67" s="28">
        <f>SUMIFS(Tablo2[Son Fiyat],Tablo2[Şirket],Portföy!A67)</f>
        <v>30.46</v>
      </c>
      <c r="G67" s="28">
        <f t="shared" si="1"/>
        <v>0</v>
      </c>
      <c r="H67" s="29">
        <f>+G67-E67+IF(Portföy!C67=0,SUMIFS(Tablo1[Toplam],Tablo1[Hisse],Portföy!A67,Tablo1[İşlem],"SATIŞ")-SUMIFS(Tablo1[Toplam],Tablo1[Hisse],Portföy!A67,Tablo1[İşlem],"ALIŞ"),0)</f>
        <v>275.19999999999982</v>
      </c>
    </row>
    <row r="68" spans="1:8" ht="19.2" customHeight="1" x14ac:dyDescent="0.3">
      <c r="A68" s="26" t="s">
        <v>50</v>
      </c>
      <c r="B68" s="71" t="s">
        <v>608</v>
      </c>
      <c r="C68" s="27">
        <f>SUMIFS(Tablo1[Adet],Tablo1[Hisse],Portföy!A68,Tablo1[İşlem],"ALIŞ")-SUMIFS(Tablo1[Adet],Tablo1[Hisse],Portföy!A68,Tablo1[İşlem],"SATIŞ")</f>
        <v>25</v>
      </c>
      <c r="D68" s="28">
        <f>IFERROR((SUMIFS(Tablo1[Toplam],Tablo1[Hisse],Portföy!A68,Tablo1[İşlem],"ALIŞ")-SUMIFS(Tablo1[Toplam],Tablo1[Hisse],Portföy!A68,Tablo1[İşlem],"SATIŞ"))/C68,0)</f>
        <v>13.35</v>
      </c>
      <c r="E68" s="28">
        <f t="shared" si="0"/>
        <v>333.75</v>
      </c>
      <c r="F68" s="28">
        <f>SUMIFS(Tablo2[Son Fiyat],Tablo2[Şirket],Portföy!A68)</f>
        <v>20.5</v>
      </c>
      <c r="G68" s="28">
        <f t="shared" si="1"/>
        <v>512.5</v>
      </c>
      <c r="H68" s="29">
        <f>+G68-E68+IF(Portföy!C68=0,SUMIFS(Tablo1[Toplam],Tablo1[Hisse],Portföy!A68,Tablo1[İşlem],"SATIŞ")-SUMIFS(Tablo1[Toplam],Tablo1[Hisse],Portföy!A68,Tablo1[İşlem],"ALIŞ"),0)</f>
        <v>178.75</v>
      </c>
    </row>
    <row r="69" spans="1:8" ht="19.2" customHeight="1" x14ac:dyDescent="0.3">
      <c r="A69" s="26" t="s">
        <v>54</v>
      </c>
      <c r="B69" s="71"/>
      <c r="C69" s="27">
        <f>SUMIFS(Tablo1[Adet],Tablo1[Hisse],Portföy!A69,Tablo1[İşlem],"ALIŞ")-SUMIFS(Tablo1[Adet],Tablo1[Hisse],Portföy!A69,Tablo1[İşlem],"SATIŞ")</f>
        <v>0</v>
      </c>
      <c r="D69" s="28">
        <f>IFERROR((SUMIFS(Tablo1[Toplam],Tablo1[Hisse],Portföy!A69,Tablo1[İşlem],"ALIŞ")-SUMIFS(Tablo1[Toplam],Tablo1[Hisse],Portföy!A69,Tablo1[İşlem],"SATIŞ"))/C69,0)</f>
        <v>0</v>
      </c>
      <c r="E69" s="28">
        <f t="shared" si="0"/>
        <v>0</v>
      </c>
      <c r="F69" s="28">
        <f>SUMIFS(Tablo2[Son Fiyat],Tablo2[Şirket],Portföy!A69)</f>
        <v>59.65</v>
      </c>
      <c r="G69" s="28">
        <f t="shared" si="1"/>
        <v>0</v>
      </c>
      <c r="H69" s="29">
        <f>+G69-E69+IF(Portföy!C69=0,SUMIFS(Tablo1[Toplam],Tablo1[Hisse],Portföy!A69,Tablo1[İşlem],"SATIŞ")-SUMIFS(Tablo1[Toplam],Tablo1[Hisse],Portföy!A69,Tablo1[İşlem],"ALIŞ"),0)</f>
        <v>0</v>
      </c>
    </row>
    <row r="70" spans="1:8" ht="19.2" customHeight="1" x14ac:dyDescent="0.3">
      <c r="A70" s="26" t="s">
        <v>32</v>
      </c>
      <c r="B70" s="71" t="s">
        <v>605</v>
      </c>
      <c r="C70" s="27">
        <f>SUMIFS(Tablo1[Adet],Tablo1[Hisse],Portföy!A70,Tablo1[İşlem],"ALIŞ")-SUMIFS(Tablo1[Adet],Tablo1[Hisse],Portföy!A70,Tablo1[İşlem],"SATIŞ")</f>
        <v>0</v>
      </c>
      <c r="D70" s="28">
        <f>IFERROR((SUMIFS(Tablo1[Toplam],Tablo1[Hisse],Portföy!A70,Tablo1[İşlem],"ALIŞ")-SUMIFS(Tablo1[Toplam],Tablo1[Hisse],Portföy!A70,Tablo1[İşlem],"SATIŞ"))/C70,0)</f>
        <v>0</v>
      </c>
      <c r="E70" s="28">
        <f t="shared" si="0"/>
        <v>0</v>
      </c>
      <c r="F70" s="28">
        <f>SUMIFS(Tablo2[Son Fiyat],Tablo2[Şirket],Portföy!A70)</f>
        <v>99.9</v>
      </c>
      <c r="G70" s="28">
        <f t="shared" si="1"/>
        <v>0</v>
      </c>
      <c r="H70" s="29">
        <f>+G70-E70+IF(Portföy!C70=0,SUMIFS(Tablo1[Toplam],Tablo1[Hisse],Portföy!A70,Tablo1[İşlem],"SATIŞ")-SUMIFS(Tablo1[Toplam],Tablo1[Hisse],Portföy!A70,Tablo1[İşlem],"ALIŞ"),0)</f>
        <v>-202</v>
      </c>
    </row>
    <row r="71" spans="1:8" ht="19.2" customHeight="1" x14ac:dyDescent="0.3">
      <c r="A71" s="26" t="s">
        <v>481</v>
      </c>
      <c r="B71" s="71"/>
      <c r="C71" s="27">
        <f>SUMIFS(Tablo1[Adet],Tablo1[Hisse],Portföy!A71,Tablo1[İşlem],"ALIŞ")-SUMIFS(Tablo1[Adet],Tablo1[Hisse],Portföy!A71,Tablo1[İşlem],"SATIŞ")</f>
        <v>0</v>
      </c>
      <c r="D71" s="28">
        <f>IFERROR((SUMIFS(Tablo1[Toplam],Tablo1[Hisse],Portföy!A71,Tablo1[İşlem],"ALIŞ")-SUMIFS(Tablo1[Toplam],Tablo1[Hisse],Portföy!A71,Tablo1[İşlem],"SATIŞ"))/C71,0)</f>
        <v>0</v>
      </c>
      <c r="E71" s="28">
        <f t="shared" si="0"/>
        <v>0</v>
      </c>
      <c r="F71" s="28">
        <f>SUMIFS(Tablo2[Son Fiyat],Tablo2[Şirket],Portföy!A71)</f>
        <v>197</v>
      </c>
      <c r="G71" s="28">
        <f t="shared" si="1"/>
        <v>0</v>
      </c>
      <c r="H71" s="29">
        <f>+G71-E71+IF(Portföy!C71=0,SUMIFS(Tablo1[Toplam],Tablo1[Hisse],Portföy!A71,Tablo1[İşlem],"SATIŞ")-SUMIFS(Tablo1[Toplam],Tablo1[Hisse],Portföy!A71,Tablo1[İşlem],"ALIŞ"),0)</f>
        <v>0</v>
      </c>
    </row>
    <row r="72" spans="1:8" ht="19.2" customHeight="1" x14ac:dyDescent="0.3">
      <c r="A72" s="26" t="s">
        <v>33</v>
      </c>
      <c r="B72" s="71"/>
      <c r="C72" s="27">
        <f>SUMIFS(Tablo1[Adet],Tablo1[Hisse],Portföy!A72,Tablo1[İşlem],"ALIŞ")-SUMIFS(Tablo1[Adet],Tablo1[Hisse],Portföy!A72,Tablo1[İşlem],"SATIŞ")</f>
        <v>0</v>
      </c>
      <c r="D72" s="28">
        <f>IFERROR((SUMIFS(Tablo1[Toplam],Tablo1[Hisse],Portföy!A72,Tablo1[İşlem],"ALIŞ")-SUMIFS(Tablo1[Toplam],Tablo1[Hisse],Portföy!A72,Tablo1[İşlem],"SATIŞ"))/C72,0)</f>
        <v>0</v>
      </c>
      <c r="E72" s="28">
        <f t="shared" si="0"/>
        <v>0</v>
      </c>
      <c r="F72" s="28">
        <f>SUMIFS(Tablo2[Son Fiyat],Tablo2[Şirket],Portföy!A72)</f>
        <v>32.979999999999997</v>
      </c>
      <c r="G72" s="28">
        <f t="shared" si="1"/>
        <v>0</v>
      </c>
      <c r="H72" s="29">
        <f>+G72-E72+IF(Portföy!C72=0,SUMIFS(Tablo1[Toplam],Tablo1[Hisse],Portföy!A72,Tablo1[İşlem],"SATIŞ")-SUMIFS(Tablo1[Toplam],Tablo1[Hisse],Portföy!A72,Tablo1[İşlem],"ALIŞ"),0)</f>
        <v>-2886</v>
      </c>
    </row>
    <row r="73" spans="1:8" ht="19.2" customHeight="1" x14ac:dyDescent="0.3">
      <c r="A73" s="26" t="s">
        <v>34</v>
      </c>
      <c r="B73" s="71"/>
      <c r="C73" s="27">
        <f>SUMIFS(Tablo1[Adet],Tablo1[Hisse],Portföy!A73,Tablo1[İşlem],"ALIŞ")-SUMIFS(Tablo1[Adet],Tablo1[Hisse],Portföy!A73,Tablo1[İşlem],"SATIŞ")</f>
        <v>0</v>
      </c>
      <c r="D73" s="28">
        <f>IFERROR((SUMIFS(Tablo1[Toplam],Tablo1[Hisse],Portföy!A73,Tablo1[İşlem],"ALIŞ")-SUMIFS(Tablo1[Toplam],Tablo1[Hisse],Portföy!A73,Tablo1[İşlem],"SATIŞ"))/C73,0)</f>
        <v>0</v>
      </c>
      <c r="E73" s="28">
        <f t="shared" si="0"/>
        <v>0</v>
      </c>
      <c r="F73" s="28">
        <f>SUMIFS(Tablo2[Son Fiyat],Tablo2[Şirket],Portföy!A73)</f>
        <v>44.14</v>
      </c>
      <c r="G73" s="28">
        <f t="shared" si="1"/>
        <v>0</v>
      </c>
      <c r="H73" s="29">
        <f>+G73-E73+IF(Portföy!C73=0,SUMIFS(Tablo1[Toplam],Tablo1[Hisse],Portföy!A73,Tablo1[İşlem],"SATIŞ")-SUMIFS(Tablo1[Toplam],Tablo1[Hisse],Portföy!A73,Tablo1[İşlem],"ALIŞ"),0)</f>
        <v>-4584</v>
      </c>
    </row>
    <row r="74" spans="1:8" ht="19.2" customHeight="1" x14ac:dyDescent="0.3">
      <c r="A74" s="26" t="s">
        <v>496</v>
      </c>
      <c r="B74" s="71" t="s">
        <v>604</v>
      </c>
      <c r="C74" s="27">
        <f>SUMIFS(Tablo1[Adet],Tablo1[Hisse],Portföy!A74,Tablo1[İşlem],"ALIŞ")-SUMIFS(Tablo1[Adet],Tablo1[Hisse],Portföy!A74,Tablo1[İşlem],"SATIŞ")</f>
        <v>1000</v>
      </c>
      <c r="D74" s="28">
        <f>IFERROR((SUMIFS(Tablo1[Toplam],Tablo1[Hisse],Portföy!A74,Tablo1[İşlem],"ALIŞ")-SUMIFS(Tablo1[Toplam],Tablo1[Hisse],Portföy!A74,Tablo1[İşlem],"SATIŞ"))/C74,0)</f>
        <v>5.3702500000000004</v>
      </c>
      <c r="E74" s="28">
        <f t="shared" si="0"/>
        <v>5370.25</v>
      </c>
      <c r="F74" s="28">
        <f>SUMIFS(Tablo2[Son Fiyat],Tablo2[Şirket],Portföy!A74)</f>
        <v>5.03</v>
      </c>
      <c r="G74" s="28">
        <f t="shared" si="1"/>
        <v>5030</v>
      </c>
      <c r="H74" s="29">
        <f>+G74-E74+IF(Portföy!C74=0,SUMIFS(Tablo1[Toplam],Tablo1[Hisse],Portföy!A74,Tablo1[İşlem],"SATIŞ")-SUMIFS(Tablo1[Toplam],Tablo1[Hisse],Portföy!A74,Tablo1[İşlem],"ALIŞ"),0)</f>
        <v>-340.25</v>
      </c>
    </row>
    <row r="75" spans="1:8" ht="19.2" customHeight="1" x14ac:dyDescent="0.3">
      <c r="A75" s="26" t="s">
        <v>498</v>
      </c>
      <c r="B75" s="71"/>
      <c r="C75" s="27">
        <f>SUMIFS(Tablo1[Adet],Tablo1[Hisse],Portföy!A75,Tablo1[İşlem],"ALIŞ")-SUMIFS(Tablo1[Adet],Tablo1[Hisse],Portföy!A75,Tablo1[İşlem],"SATIŞ")</f>
        <v>0</v>
      </c>
      <c r="D75" s="28">
        <f>IFERROR((SUMIFS(Tablo1[Toplam],Tablo1[Hisse],Portföy!A75,Tablo1[İşlem],"ALIŞ")-SUMIFS(Tablo1[Toplam],Tablo1[Hisse],Portföy!A75,Tablo1[İşlem],"SATIŞ"))/C75,0)</f>
        <v>0</v>
      </c>
      <c r="E75" s="28">
        <f t="shared" si="0"/>
        <v>0</v>
      </c>
      <c r="F75" s="28">
        <f>SUMIFS(Tablo2[Son Fiyat],Tablo2[Şirket],Portföy!A75)</f>
        <v>58.65</v>
      </c>
      <c r="G75" s="28">
        <f t="shared" si="1"/>
        <v>0</v>
      </c>
      <c r="H75" s="29">
        <f>+G75-E75+IF(Portföy!C75=0,SUMIFS(Tablo1[Toplam],Tablo1[Hisse],Portföy!A75,Tablo1[İşlem],"SATIŞ")-SUMIFS(Tablo1[Toplam],Tablo1[Hisse],Portföy!A75,Tablo1[İşlem],"ALIŞ"),0)</f>
        <v>110</v>
      </c>
    </row>
    <row r="76" spans="1:8" ht="19.2" customHeight="1" x14ac:dyDescent="0.3">
      <c r="A76" s="26" t="s">
        <v>35</v>
      </c>
      <c r="B76" s="71"/>
      <c r="C76" s="27">
        <f>SUMIFS(Tablo1[Adet],Tablo1[Hisse],Portföy!A76,Tablo1[İşlem],"ALIŞ")-SUMIFS(Tablo1[Adet],Tablo1[Hisse],Portföy!A76,Tablo1[İşlem],"SATIŞ")</f>
        <v>3</v>
      </c>
      <c r="D76" s="28">
        <f>IFERROR((SUMIFS(Tablo1[Toplam],Tablo1[Hisse],Portföy!A76,Tablo1[İşlem],"ALIŞ")-SUMIFS(Tablo1[Toplam],Tablo1[Hisse],Portföy!A76,Tablo1[İşlem],"SATIŞ"))/C76,0)</f>
        <v>355.51666666666642</v>
      </c>
      <c r="E76" s="28">
        <f t="shared" si="0"/>
        <v>1066.5499999999993</v>
      </c>
      <c r="F76" s="28">
        <f>SUMIFS(Tablo2[Son Fiyat],Tablo2[Şirket],Portföy!A76)</f>
        <v>395.25</v>
      </c>
      <c r="G76" s="28">
        <f t="shared" si="1"/>
        <v>1185.75</v>
      </c>
      <c r="H76" s="29">
        <f>+G76-E76+IF(Portföy!C76=0,SUMIFS(Tablo1[Toplam],Tablo1[Hisse],Portföy!A76,Tablo1[İşlem],"SATIŞ")-SUMIFS(Tablo1[Toplam],Tablo1[Hisse],Portföy!A76,Tablo1[İşlem],"ALIŞ"),0)</f>
        <v>119.20000000000073</v>
      </c>
    </row>
    <row r="77" spans="1:8" ht="19.2" customHeight="1" x14ac:dyDescent="0.3">
      <c r="A77" s="26" t="s">
        <v>46</v>
      </c>
      <c r="B77" s="71" t="s">
        <v>626</v>
      </c>
      <c r="C77" s="27">
        <f>SUMIFS(Tablo1[Adet],Tablo1[Hisse],Portföy!A77,Tablo1[İşlem],"ALIŞ")-SUMIFS(Tablo1[Adet],Tablo1[Hisse],Portföy!A77,Tablo1[İşlem],"SATIŞ")</f>
        <v>5</v>
      </c>
      <c r="D77" s="28">
        <f>IFERROR((SUMIFS(Tablo1[Toplam],Tablo1[Hisse],Portföy!A77,Tablo1[İşlem],"ALIŞ")-SUMIFS(Tablo1[Toplam],Tablo1[Hisse],Portföy!A77,Tablo1[İşlem],"SATIŞ"))/C77,0)</f>
        <v>298.60000000000002</v>
      </c>
      <c r="E77" s="28">
        <f t="shared" si="0"/>
        <v>1493</v>
      </c>
      <c r="F77" s="28">
        <f>SUMIFS(Tablo2[Son Fiyat],Tablo2[Şirket],Portföy!A77)</f>
        <v>277.75</v>
      </c>
      <c r="G77" s="28">
        <f t="shared" si="1"/>
        <v>1388.75</v>
      </c>
      <c r="H77" s="29">
        <f>+G77-E77+IF(Portföy!C77=0,SUMIFS(Tablo1[Toplam],Tablo1[Hisse],Portföy!A77,Tablo1[İşlem],"SATIŞ")-SUMIFS(Tablo1[Toplam],Tablo1[Hisse],Portföy!A77,Tablo1[İşlem],"ALIŞ"),0)</f>
        <v>-104.25</v>
      </c>
    </row>
    <row r="78" spans="1:8" ht="19.2" customHeight="1" x14ac:dyDescent="0.3">
      <c r="A78" s="26" t="s">
        <v>55</v>
      </c>
      <c r="B78" s="71" t="s">
        <v>616</v>
      </c>
      <c r="C78" s="27">
        <f>SUMIFS(Tablo1[Adet],Tablo1[Hisse],Portföy!A78,Tablo1[İşlem],"ALIŞ")-SUMIFS(Tablo1[Adet],Tablo1[Hisse],Portföy!A78,Tablo1[İşlem],"SATIŞ")</f>
        <v>0</v>
      </c>
      <c r="D78" s="28">
        <f>IFERROR((SUMIFS(Tablo1[Toplam],Tablo1[Hisse],Portföy!A78,Tablo1[İşlem],"ALIŞ")-SUMIFS(Tablo1[Toplam],Tablo1[Hisse],Portföy!A78,Tablo1[İşlem],"SATIŞ"))/C78,0)</f>
        <v>0</v>
      </c>
      <c r="E78" s="28">
        <f t="shared" si="0"/>
        <v>0</v>
      </c>
      <c r="F78" s="28">
        <f>SUMIFS(Tablo2[Son Fiyat],Tablo2[Şirket],Portföy!A78)</f>
        <v>15.87</v>
      </c>
      <c r="G78" s="28">
        <f t="shared" si="1"/>
        <v>0</v>
      </c>
      <c r="H78" s="29">
        <f>+G78-E78+IF(Portföy!C78=0,SUMIFS(Tablo1[Toplam],Tablo1[Hisse],Portföy!A78,Tablo1[İşlem],"SATIŞ")-SUMIFS(Tablo1[Toplam],Tablo1[Hisse],Portföy!A78,Tablo1[İşlem],"ALIŞ"),0)</f>
        <v>405.5</v>
      </c>
    </row>
    <row r="79" spans="1:8" ht="19.2" customHeight="1" x14ac:dyDescent="0.3">
      <c r="A79" s="26" t="s">
        <v>36</v>
      </c>
      <c r="B79" s="71" t="s">
        <v>626</v>
      </c>
      <c r="C79" s="27">
        <f>SUMIFS(Tablo1[Adet],Tablo1[Hisse],Portföy!A79,Tablo1[İşlem],"ALIŞ")-SUMIFS(Tablo1[Adet],Tablo1[Hisse],Portföy!A79,Tablo1[İşlem],"SATIŞ")</f>
        <v>0</v>
      </c>
      <c r="D79" s="28">
        <f>IFERROR((SUMIFS(Tablo1[Toplam],Tablo1[Hisse],Portföy!A79,Tablo1[İşlem],"ALIŞ")-SUMIFS(Tablo1[Toplam],Tablo1[Hisse],Portföy!A79,Tablo1[İşlem],"SATIŞ"))/C79,0)</f>
        <v>0</v>
      </c>
      <c r="E79" s="28">
        <f t="shared" si="0"/>
        <v>0</v>
      </c>
      <c r="F79" s="28">
        <f>SUMIFS(Tablo2[Son Fiyat],Tablo2[Şirket],Portföy!A79)</f>
        <v>317</v>
      </c>
      <c r="G79" s="28">
        <f t="shared" si="1"/>
        <v>0</v>
      </c>
      <c r="H79" s="29">
        <f>+G79-E79+IF(Portföy!C79=0,SUMIFS(Tablo1[Toplam],Tablo1[Hisse],Portföy!A79,Tablo1[İşlem],"SATIŞ")-SUMIFS(Tablo1[Toplam],Tablo1[Hisse],Portföy!A79,Tablo1[İşlem],"ALIŞ"),0)</f>
        <v>165.29999999999973</v>
      </c>
    </row>
    <row r="80" spans="1:8" ht="19.2" customHeight="1" x14ac:dyDescent="0.3">
      <c r="A80" s="26" t="s">
        <v>520</v>
      </c>
      <c r="B80" s="71" t="s">
        <v>626</v>
      </c>
      <c r="C80" s="27">
        <f>SUMIFS(Tablo1[Adet],Tablo1[Hisse],Portföy!A80,Tablo1[İşlem],"ALIŞ")-SUMIFS(Tablo1[Adet],Tablo1[Hisse],Portföy!A80,Tablo1[İşlem],"SATIŞ")</f>
        <v>15</v>
      </c>
      <c r="D80" s="28">
        <f>IFERROR((SUMIFS(Tablo1[Toplam],Tablo1[Hisse],Portföy!A80,Tablo1[İşlem],"ALIŞ")-SUMIFS(Tablo1[Toplam],Tablo1[Hisse],Portföy!A80,Tablo1[İşlem],"SATIŞ"))/C80,0)</f>
        <v>86.466666666666669</v>
      </c>
      <c r="E80" s="28">
        <f t="shared" si="0"/>
        <v>1297</v>
      </c>
      <c r="F80" s="28">
        <f>SUMIFS(Tablo2[Son Fiyat],Tablo2[Şirket],Portföy!A80)</f>
        <v>91</v>
      </c>
      <c r="G80" s="28">
        <f t="shared" si="1"/>
        <v>1365</v>
      </c>
      <c r="H80" s="29">
        <f>+G80-E80+IF(Portföy!C80=0,SUMIFS(Tablo1[Toplam],Tablo1[Hisse],Portföy!A80,Tablo1[İşlem],"SATIŞ")-SUMIFS(Tablo1[Toplam],Tablo1[Hisse],Portföy!A80,Tablo1[İşlem],"ALIŞ"),0)</f>
        <v>68</v>
      </c>
    </row>
    <row r="81" spans="1:8" ht="19.2" customHeight="1" x14ac:dyDescent="0.3">
      <c r="A81" s="26" t="s">
        <v>522</v>
      </c>
      <c r="B81" s="71"/>
      <c r="C81" s="27">
        <f>SUMIFS(Tablo1[Adet],Tablo1[Hisse],Portföy!A81,Tablo1[İşlem],"ALIŞ")-SUMIFS(Tablo1[Adet],Tablo1[Hisse],Portföy!A81,Tablo1[İşlem],"SATIŞ")</f>
        <v>0</v>
      </c>
      <c r="D81" s="28">
        <f>IFERROR((SUMIFS(Tablo1[Toplam],Tablo1[Hisse],Portföy!A81,Tablo1[İşlem],"ALIŞ")-SUMIFS(Tablo1[Toplam],Tablo1[Hisse],Portföy!A81,Tablo1[İşlem],"SATIŞ"))/C81,0)</f>
        <v>0</v>
      </c>
      <c r="E81" s="28">
        <f t="shared" si="0"/>
        <v>0</v>
      </c>
      <c r="F81" s="28">
        <f>SUMIFS(Tablo2[Son Fiyat],Tablo2[Şirket],Portföy!A81)</f>
        <v>112</v>
      </c>
      <c r="G81" s="28">
        <f t="shared" si="1"/>
        <v>0</v>
      </c>
      <c r="H81" s="29">
        <f>+G81-E81+IF(Portföy!C81=0,SUMIFS(Tablo1[Toplam],Tablo1[Hisse],Portföy!A81,Tablo1[İşlem],"SATIŞ")-SUMIFS(Tablo1[Toplam],Tablo1[Hisse],Portföy!A81,Tablo1[İşlem],"ALIŞ"),0)</f>
        <v>7.5</v>
      </c>
    </row>
    <row r="82" spans="1:8" ht="19.2" customHeight="1" x14ac:dyDescent="0.3">
      <c r="A82" s="26" t="s">
        <v>37</v>
      </c>
      <c r="B82" s="71" t="s">
        <v>617</v>
      </c>
      <c r="C82" s="27">
        <f>SUMIFS(Tablo1[Adet],Tablo1[Hisse],Portföy!A82,Tablo1[İşlem],"ALIŞ")-SUMIFS(Tablo1[Adet],Tablo1[Hisse],Portföy!A82,Tablo1[İşlem],"SATIŞ")</f>
        <v>205</v>
      </c>
      <c r="D82" s="28">
        <f>IFERROR((SUMIFS(Tablo1[Toplam],Tablo1[Hisse],Portföy!A82,Tablo1[İşlem],"ALIŞ")-SUMIFS(Tablo1[Toplam],Tablo1[Hisse],Portföy!A82,Tablo1[İşlem],"SATIŞ"))/C82,0)</f>
        <v>63.326000000000008</v>
      </c>
      <c r="E82" s="28">
        <f t="shared" si="0"/>
        <v>12981.830000000002</v>
      </c>
      <c r="F82" s="28">
        <f>SUMIFS(Tablo2[Son Fiyat],Tablo2[Şirket],Portföy!A82)</f>
        <v>52.05</v>
      </c>
      <c r="G82" s="28">
        <f t="shared" si="1"/>
        <v>10670.25</v>
      </c>
      <c r="H82" s="29">
        <f>+G82-E82+IF(Portföy!C82=0,SUMIFS(Tablo1[Toplam],Tablo1[Hisse],Portföy!A82,Tablo1[İşlem],"SATIŞ")-SUMIFS(Tablo1[Toplam],Tablo1[Hisse],Portföy!A82,Tablo1[İşlem],"ALIŞ"),0)</f>
        <v>-2311.5800000000017</v>
      </c>
    </row>
    <row r="83" spans="1:8" ht="19.2" customHeight="1" x14ac:dyDescent="0.3">
      <c r="A83" s="26" t="s">
        <v>38</v>
      </c>
      <c r="B83" s="71" t="s">
        <v>618</v>
      </c>
      <c r="C83" s="27">
        <f>SUMIFS(Tablo1[Adet],Tablo1[Hisse],Portföy!A83,Tablo1[İşlem],"ALIŞ")-SUMIFS(Tablo1[Adet],Tablo1[Hisse],Portföy!A83,Tablo1[İşlem],"SATIŞ")</f>
        <v>0</v>
      </c>
      <c r="D83" s="28">
        <f>IFERROR((SUMIFS(Tablo1[Toplam],Tablo1[Hisse],Portföy!A83,Tablo1[İşlem],"ALIŞ")-SUMIFS(Tablo1[Toplam],Tablo1[Hisse],Portföy!A83,Tablo1[İşlem],"SATIŞ"))/C83,0)</f>
        <v>0</v>
      </c>
      <c r="E83" s="28">
        <f t="shared" si="0"/>
        <v>0</v>
      </c>
      <c r="F83" s="28">
        <f>SUMIFS(Tablo2[Son Fiyat],Tablo2[Şirket],Portföy!A83)</f>
        <v>222.5</v>
      </c>
      <c r="G83" s="28">
        <f t="shared" si="1"/>
        <v>0</v>
      </c>
      <c r="H83" s="29">
        <f>+G83-E83+IF(Portföy!C83=0,SUMIFS(Tablo1[Toplam],Tablo1[Hisse],Portföy!A83,Tablo1[İşlem],"SATIŞ")-SUMIFS(Tablo1[Toplam],Tablo1[Hisse],Portföy!A83,Tablo1[İşlem],"ALIŞ"),0)</f>
        <v>-479.5</v>
      </c>
    </row>
    <row r="84" spans="1:8" ht="19.2" customHeight="1" x14ac:dyDescent="0.3">
      <c r="A84" s="26" t="s">
        <v>525</v>
      </c>
      <c r="B84" s="71" t="s">
        <v>617</v>
      </c>
      <c r="C84" s="27">
        <f>SUMIFS(Tablo1[Adet],Tablo1[Hisse],Portföy!A84,Tablo1[İşlem],"ALIŞ")-SUMIFS(Tablo1[Adet],Tablo1[Hisse],Portföy!A84,Tablo1[İşlem],"SATIŞ")</f>
        <v>150</v>
      </c>
      <c r="D84" s="28">
        <f>IFERROR((SUMIFS(Tablo1[Toplam],Tablo1[Hisse],Portföy!A84,Tablo1[İşlem],"ALIŞ")-SUMIFS(Tablo1[Toplam],Tablo1[Hisse],Portföy!A84,Tablo1[İşlem],"SATIŞ"))/C84,0)</f>
        <v>15.348933333333328</v>
      </c>
      <c r="E84" s="28">
        <f t="shared" si="0"/>
        <v>2302.3399999999992</v>
      </c>
      <c r="F84" s="28">
        <f>SUMIFS(Tablo2[Son Fiyat],Tablo2[Şirket],Portföy!A84)</f>
        <v>18.77</v>
      </c>
      <c r="G84" s="28">
        <f t="shared" si="1"/>
        <v>2815.5</v>
      </c>
      <c r="H84" s="29">
        <f>+G84-E84+IF(Portföy!C84=0,SUMIFS(Tablo1[Toplam],Tablo1[Hisse],Portföy!A84,Tablo1[İşlem],"SATIŞ")-SUMIFS(Tablo1[Toplam],Tablo1[Hisse],Portföy!A84,Tablo1[İşlem],"ALIŞ"),0)</f>
        <v>513.16000000000076</v>
      </c>
    </row>
    <row r="85" spans="1:8" ht="19.2" customHeight="1" x14ac:dyDescent="0.3">
      <c r="A85" s="26" t="s">
        <v>529</v>
      </c>
      <c r="B85" s="71" t="s">
        <v>606</v>
      </c>
      <c r="C85" s="27">
        <f>SUMIFS(Tablo1[Adet],Tablo1[Hisse],Portföy!A85,Tablo1[İşlem],"ALIŞ")-SUMIFS(Tablo1[Adet],Tablo1[Hisse],Portföy!A85,Tablo1[İşlem],"SATIŞ")</f>
        <v>0</v>
      </c>
      <c r="D85" s="28">
        <f>IFERROR((SUMIFS(Tablo1[Toplam],Tablo1[Hisse],Portföy!A85,Tablo1[İşlem],"ALIŞ")-SUMIFS(Tablo1[Toplam],Tablo1[Hisse],Portföy!A85,Tablo1[İşlem],"SATIŞ"))/C85,0)</f>
        <v>0</v>
      </c>
      <c r="E85" s="28">
        <f t="shared" si="0"/>
        <v>0</v>
      </c>
      <c r="F85" s="28">
        <f>SUMIFS(Tablo2[Son Fiyat],Tablo2[Şirket],Portföy!A85)</f>
        <v>50.55</v>
      </c>
      <c r="G85" s="28">
        <f t="shared" si="1"/>
        <v>0</v>
      </c>
      <c r="H85" s="29">
        <f>+G85-E85+IF(Portföy!C85=0,SUMIFS(Tablo1[Toplam],Tablo1[Hisse],Portföy!A85,Tablo1[İşlem],"SATIŞ")-SUMIFS(Tablo1[Toplam],Tablo1[Hisse],Portföy!A85,Tablo1[İşlem],"ALIŞ"),0)</f>
        <v>1092.9000000000015</v>
      </c>
    </row>
    <row r="86" spans="1:8" ht="19.2" customHeight="1" x14ac:dyDescent="0.3">
      <c r="A86" s="26" t="s">
        <v>39</v>
      </c>
      <c r="B86" s="71" t="s">
        <v>618</v>
      </c>
      <c r="C86" s="27">
        <f>SUMIFS(Tablo1[Adet],Tablo1[Hisse],Portföy!A86,Tablo1[İşlem],"ALIŞ")-SUMIFS(Tablo1[Adet],Tablo1[Hisse],Portföy!A86,Tablo1[İşlem],"SATIŞ")</f>
        <v>0</v>
      </c>
      <c r="D86" s="28">
        <f>IFERROR((SUMIFS(Tablo1[Toplam],Tablo1[Hisse],Portföy!A86,Tablo1[İşlem],"ALIŞ")-SUMIFS(Tablo1[Toplam],Tablo1[Hisse],Portföy!A86,Tablo1[İşlem],"SATIŞ"))/C86,0)</f>
        <v>0</v>
      </c>
      <c r="E86" s="28">
        <f t="shared" si="0"/>
        <v>0</v>
      </c>
      <c r="F86" s="28">
        <f>SUMIFS(Tablo2[Son Fiyat],Tablo2[Şirket],Portföy!A86)</f>
        <v>685</v>
      </c>
      <c r="G86" s="28">
        <f t="shared" si="1"/>
        <v>0</v>
      </c>
      <c r="H86" s="29">
        <f>+G86-E86+IF(Portföy!C86=0,SUMIFS(Tablo1[Toplam],Tablo1[Hisse],Portföy!A86,Tablo1[İşlem],"SATIŞ")-SUMIFS(Tablo1[Toplam],Tablo1[Hisse],Portföy!A86,Tablo1[İşlem],"ALIŞ"),0)</f>
        <v>-1918.5</v>
      </c>
    </row>
    <row r="87" spans="1:8" ht="19.2" customHeight="1" x14ac:dyDescent="0.3">
      <c r="A87" s="26" t="s">
        <v>40</v>
      </c>
      <c r="B87" s="71" t="s">
        <v>621</v>
      </c>
      <c r="C87" s="27">
        <f>SUMIFS(Tablo1[Adet],Tablo1[Hisse],Portföy!A87,Tablo1[İşlem],"ALIŞ")-SUMIFS(Tablo1[Adet],Tablo1[Hisse],Portföy!A87,Tablo1[İşlem],"SATIŞ")</f>
        <v>0</v>
      </c>
      <c r="D87" s="28">
        <f>IFERROR((SUMIFS(Tablo1[Toplam],Tablo1[Hisse],Portföy!A87,Tablo1[İşlem],"ALIŞ")-SUMIFS(Tablo1[Toplam],Tablo1[Hisse],Portföy!A87,Tablo1[İşlem],"SATIŞ"))/C87,0)</f>
        <v>0</v>
      </c>
      <c r="E87" s="28">
        <f t="shared" si="0"/>
        <v>0</v>
      </c>
      <c r="F87" s="28">
        <f>SUMIFS(Tablo2[Son Fiyat],Tablo2[Şirket],Portföy!A87)</f>
        <v>10.06</v>
      </c>
      <c r="G87" s="28">
        <f t="shared" si="1"/>
        <v>0</v>
      </c>
      <c r="H87" s="29">
        <f>+G87-E87+IF(Portföy!C87=0,SUMIFS(Tablo1[Toplam],Tablo1[Hisse],Portföy!A87,Tablo1[İşlem],"SATIŞ")-SUMIFS(Tablo1[Toplam],Tablo1[Hisse],Portföy!A87,Tablo1[İşlem],"ALIŞ"),0)</f>
        <v>-483</v>
      </c>
    </row>
    <row r="88" spans="1:8" ht="19.2" customHeight="1" x14ac:dyDescent="0.3">
      <c r="A88" s="26" t="s">
        <v>41</v>
      </c>
      <c r="B88" s="71" t="s">
        <v>622</v>
      </c>
      <c r="C88" s="27">
        <f>SUMIFS(Tablo1[Adet],Tablo1[Hisse],Portföy!A88,Tablo1[İşlem],"ALIŞ")-SUMIFS(Tablo1[Adet],Tablo1[Hisse],Portföy!A88,Tablo1[İşlem],"SATIŞ")</f>
        <v>153</v>
      </c>
      <c r="D88" s="28">
        <f>IFERROR((SUMIFS(Tablo1[Toplam],Tablo1[Hisse],Portföy!A88,Tablo1[İşlem],"ALIŞ")-SUMIFS(Tablo1[Toplam],Tablo1[Hisse],Portföy!A88,Tablo1[İşlem],"SATIŞ"))/C88,0)</f>
        <v>177.05424836601307</v>
      </c>
      <c r="E88" s="28">
        <f t="shared" si="0"/>
        <v>27089.3</v>
      </c>
      <c r="F88" s="28">
        <f>SUMIFS(Tablo2[Son Fiyat],Tablo2[Şirket],Portföy!A88)</f>
        <v>141.19999999999999</v>
      </c>
      <c r="G88" s="28">
        <f t="shared" si="1"/>
        <v>21603.599999999999</v>
      </c>
      <c r="H88" s="29">
        <f>+G88-E88+IF(Portföy!C88=0,SUMIFS(Tablo1[Toplam],Tablo1[Hisse],Portföy!A88,Tablo1[İşlem],"SATIŞ")-SUMIFS(Tablo1[Toplam],Tablo1[Hisse],Portföy!A88,Tablo1[İşlem],"ALIŞ"),0)</f>
        <v>-5485.7000000000007</v>
      </c>
    </row>
    <row r="89" spans="1:8" ht="19.2" customHeight="1" x14ac:dyDescent="0.3">
      <c r="A89" s="26" t="s">
        <v>42</v>
      </c>
      <c r="B89" s="71"/>
      <c r="C89" s="27">
        <f>SUMIFS(Tablo1[Adet],Tablo1[Hisse],Portföy!A89,Tablo1[İşlem],"ALIŞ")-SUMIFS(Tablo1[Adet],Tablo1[Hisse],Portföy!A89,Tablo1[İşlem],"SATIŞ")</f>
        <v>0</v>
      </c>
      <c r="D89" s="28">
        <f>IFERROR((SUMIFS(Tablo1[Toplam],Tablo1[Hisse],Portföy!A89,Tablo1[İşlem],"ALIŞ")-SUMIFS(Tablo1[Toplam],Tablo1[Hisse],Portföy!A89,Tablo1[İşlem],"SATIŞ"))/C89,0)</f>
        <v>0</v>
      </c>
      <c r="E89" s="28">
        <f t="shared" si="0"/>
        <v>0</v>
      </c>
      <c r="F89" s="28">
        <f>SUMIFS(Tablo2[Son Fiyat],Tablo2[Şirket],Portföy!A89)</f>
        <v>14.32</v>
      </c>
      <c r="G89" s="28">
        <f t="shared" si="1"/>
        <v>0</v>
      </c>
      <c r="H89" s="29">
        <f>+G89-E89+IF(Portföy!C89=0,SUMIFS(Tablo1[Toplam],Tablo1[Hisse],Portföy!A89,Tablo1[İşlem],"SATIŞ")-SUMIFS(Tablo1[Toplam],Tablo1[Hisse],Portföy!A89,Tablo1[İşlem],"ALIŞ"),0)</f>
        <v>44.5</v>
      </c>
    </row>
    <row r="90" spans="1:8" ht="19.2" customHeight="1" x14ac:dyDescent="0.3">
      <c r="A90" s="39" t="s">
        <v>546</v>
      </c>
      <c r="B90" s="72" t="s">
        <v>619</v>
      </c>
      <c r="C90" s="27">
        <f>SUMIFS(Tablo1[Adet],Tablo1[Hisse],Portföy!A90,Tablo1[İşlem],"ALIŞ")-SUMIFS(Tablo1[Adet],Tablo1[Hisse],Portföy!A90,Tablo1[İşlem],"SATIŞ")</f>
        <v>35</v>
      </c>
      <c r="D90" s="28">
        <f>IFERROR((SUMIFS(Tablo1[Toplam],Tablo1[Hisse],Portföy!A90,Tablo1[İşlem],"ALIŞ")-SUMIFS(Tablo1[Toplam],Tablo1[Hisse],Portföy!A90,Tablo1[İşlem],"SATIŞ"))/C90,0)</f>
        <v>16.957142857142856</v>
      </c>
      <c r="E90" s="28">
        <f t="shared" si="0"/>
        <v>593.5</v>
      </c>
      <c r="F90" s="28">
        <f>SUMIFS(Tablo2[Son Fiyat],Tablo2[Şirket],Portföy!A90)</f>
        <v>25.2</v>
      </c>
      <c r="G90" s="28">
        <f t="shared" si="1"/>
        <v>882</v>
      </c>
      <c r="H90" s="29">
        <f>+G90-E90+IF(Portföy!C90=0,SUMIFS(Tablo1[Toplam],Tablo1[Hisse],Portföy!A90,Tablo1[İşlem],"SATIŞ")-SUMIFS(Tablo1[Toplam],Tablo1[Hisse],Portföy!A90,Tablo1[İşlem],"ALIŞ"),0)</f>
        <v>288.5</v>
      </c>
    </row>
    <row r="91" spans="1:8" ht="19.2" customHeight="1" x14ac:dyDescent="0.3">
      <c r="A91" s="39" t="s">
        <v>549</v>
      </c>
      <c r="B91" s="72" t="s">
        <v>627</v>
      </c>
      <c r="C91" s="27">
        <f>SUMIFS(Tablo1[Adet],Tablo1[Hisse],Portföy!A91,Tablo1[İşlem],"ALIŞ")-SUMIFS(Tablo1[Adet],Tablo1[Hisse],Portföy!A91,Tablo1[İşlem],"SATIŞ")</f>
        <v>100</v>
      </c>
      <c r="D91" s="28">
        <f>IFERROR((SUMIFS(Tablo1[Toplam],Tablo1[Hisse],Portföy!A91,Tablo1[İşlem],"ALIŞ")-SUMIFS(Tablo1[Toplam],Tablo1[Hisse],Portföy!A91,Tablo1[İşlem],"SATIŞ"))/C91,0)</f>
        <v>16.09</v>
      </c>
      <c r="E91" s="28">
        <f t="shared" si="0"/>
        <v>1609</v>
      </c>
      <c r="F91" s="28">
        <f>SUMIFS(Tablo2[Son Fiyat],Tablo2[Şirket],Portföy!A91)</f>
        <v>15.17</v>
      </c>
      <c r="G91" s="28">
        <f t="shared" si="1"/>
        <v>1517</v>
      </c>
      <c r="H91" s="29">
        <f>+G91-E91+IF(Portföy!C91=0,SUMIFS(Tablo1[Toplam],Tablo1[Hisse],Portföy!A91,Tablo1[İşlem],"SATIŞ")-SUMIFS(Tablo1[Toplam],Tablo1[Hisse],Portföy!A91,Tablo1[İşlem],"ALIŞ"),0)</f>
        <v>-92</v>
      </c>
    </row>
    <row r="92" spans="1:8" ht="19.2" customHeight="1" x14ac:dyDescent="0.3">
      <c r="A92" s="39" t="s">
        <v>550</v>
      </c>
      <c r="B92" s="72" t="s">
        <v>627</v>
      </c>
      <c r="C92" s="27">
        <f>SUMIFS(Tablo1[Adet],Tablo1[Hisse],Portföy!A92,Tablo1[İşlem],"ALIŞ")-SUMIFS(Tablo1[Adet],Tablo1[Hisse],Portföy!A92,Tablo1[İşlem],"SATIŞ")</f>
        <v>20</v>
      </c>
      <c r="D92" s="28">
        <f>IFERROR((SUMIFS(Tablo1[Toplam],Tablo1[Hisse],Portföy!A92,Tablo1[İşlem],"ALIŞ")-SUMIFS(Tablo1[Toplam],Tablo1[Hisse],Portföy!A92,Tablo1[İşlem],"SATIŞ"))/C92,0)</f>
        <v>35.577499999999965</v>
      </c>
      <c r="E92" s="28">
        <f t="shared" si="0"/>
        <v>711.54999999999927</v>
      </c>
      <c r="F92" s="28">
        <f>SUMIFS(Tablo2[Son Fiyat],Tablo2[Şirket],Portföy!A92)</f>
        <v>61.35</v>
      </c>
      <c r="G92" s="28">
        <f t="shared" si="1"/>
        <v>1227</v>
      </c>
      <c r="H92" s="29">
        <f>+G92-E92+IF(Portföy!C92=0,SUMIFS(Tablo1[Toplam],Tablo1[Hisse],Portföy!A92,Tablo1[İşlem],"SATIŞ")-SUMIFS(Tablo1[Toplam],Tablo1[Hisse],Portföy!A92,Tablo1[İşlem],"ALIŞ"),0)</f>
        <v>515.45000000000073</v>
      </c>
    </row>
    <row r="93" spans="1:8" ht="19.2" customHeight="1" thickBot="1" x14ac:dyDescent="0.35">
      <c r="A93" s="31" t="s">
        <v>43</v>
      </c>
      <c r="B93" s="73" t="s">
        <v>610</v>
      </c>
      <c r="C93" s="32">
        <f>SUMIFS(Tablo1[Adet],Tablo1[Hisse],Portföy!A93,Tablo1[İşlem],"ALIŞ")-SUMIFS(Tablo1[Adet],Tablo1[Hisse],Portföy!A93,Tablo1[İşlem],"SATIŞ")</f>
        <v>0</v>
      </c>
      <c r="D93" s="33">
        <f>IFERROR((SUMIFS(Tablo1[Toplam],Tablo1[Hisse],Portföy!A93,Tablo1[İşlem],"ALIŞ")-SUMIFS(Tablo1[Toplam],Tablo1[Hisse],Portföy!A93,Tablo1[İşlem],"SATIŞ"))/C93,0)</f>
        <v>0</v>
      </c>
      <c r="E93" s="33">
        <f t="shared" si="0"/>
        <v>0</v>
      </c>
      <c r="F93" s="33">
        <f>SUMIFS(Tablo2[Son Fiyat],Tablo2[Şirket],Portföy!A93)</f>
        <v>54.5</v>
      </c>
      <c r="G93" s="33">
        <f t="shared" si="1"/>
        <v>0</v>
      </c>
      <c r="H93" s="34">
        <f>+G93-E93+IF(Portföy!C93=0,SUMIFS(Tablo1[Toplam],Tablo1[Hisse],Portföy!A93,Tablo1[İşlem],"SATIŞ")-SUMIFS(Tablo1[Toplam],Tablo1[Hisse],Portföy!A93,Tablo1[İşlem],"ALIŞ"),0)</f>
        <v>574.14999999999782</v>
      </c>
    </row>
  </sheetData>
  <conditionalFormatting sqref="A2:H93">
    <cfRule type="expression" dxfId="9" priority="5">
      <formula>$H2&gt;0</formula>
    </cfRule>
    <cfRule type="expression" dxfId="8" priority="6">
      <formula>$H2&lt;0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C9A92-C756-4AB7-A042-FDA54077B8EB}">
  <dimension ref="A1:T1417"/>
  <sheetViews>
    <sheetView showGridLines="0" topLeftCell="A1320" workbookViewId="0">
      <selection activeCell="E1332" sqref="E1332"/>
    </sheetView>
  </sheetViews>
  <sheetFormatPr defaultRowHeight="14.4" x14ac:dyDescent="0.3"/>
  <cols>
    <col min="1" max="1" width="16" style="4" customWidth="1"/>
    <col min="2" max="2" width="11.109375" customWidth="1"/>
    <col min="3" max="3" width="11.33203125" style="3" customWidth="1"/>
    <col min="4" max="4" width="11.88671875" style="3" customWidth="1"/>
    <col min="5" max="5" width="15.33203125" style="1" customWidth="1"/>
    <col min="6" max="6" width="21.33203125" style="2" customWidth="1"/>
    <col min="12" max="12" width="14.5546875" customWidth="1"/>
    <col min="13" max="15" width="9" bestFit="1" customWidth="1"/>
    <col min="16" max="16" width="9.33203125" bestFit="1" customWidth="1"/>
    <col min="17" max="19" width="9" bestFit="1" customWidth="1"/>
    <col min="20" max="20" width="9.5546875" bestFit="1" customWidth="1"/>
  </cols>
  <sheetData>
    <row r="1" spans="1:20" x14ac:dyDescent="0.3">
      <c r="A1" s="16" t="s">
        <v>0</v>
      </c>
      <c r="B1" s="17" t="s">
        <v>1</v>
      </c>
      <c r="C1" s="18" t="s">
        <v>2</v>
      </c>
      <c r="D1" s="18" t="s">
        <v>3</v>
      </c>
      <c r="E1" s="15" t="s">
        <v>4</v>
      </c>
      <c r="F1" s="15" t="s">
        <v>5</v>
      </c>
      <c r="K1" t="s">
        <v>57</v>
      </c>
      <c r="L1" t="s">
        <v>686</v>
      </c>
      <c r="M1" t="s">
        <v>687</v>
      </c>
      <c r="N1" t="s">
        <v>688</v>
      </c>
      <c r="O1" t="s">
        <v>689</v>
      </c>
      <c r="P1" t="s">
        <v>690</v>
      </c>
      <c r="Q1" t="s">
        <v>699</v>
      </c>
      <c r="R1" t="s">
        <v>691</v>
      </c>
      <c r="S1" t="s">
        <v>692</v>
      </c>
      <c r="T1" t="s">
        <v>693</v>
      </c>
    </row>
    <row r="2" spans="1:20" x14ac:dyDescent="0.3">
      <c r="A2" s="5">
        <v>45462</v>
      </c>
      <c r="B2" s="6" t="s">
        <v>6</v>
      </c>
      <c r="C2" s="7" t="s">
        <v>7</v>
      </c>
      <c r="D2" s="7">
        <v>4</v>
      </c>
      <c r="E2" s="8">
        <v>579.63</v>
      </c>
      <c r="F2" s="9">
        <f t="shared" ref="F2:F42" si="0">+E2*D2</f>
        <v>2318.52</v>
      </c>
      <c r="K2" t="s">
        <v>58</v>
      </c>
      <c r="L2">
        <v>24.16</v>
      </c>
      <c r="M2" s="78">
        <v>-3.21</v>
      </c>
      <c r="N2" s="78">
        <v>-13.71</v>
      </c>
      <c r="O2" s="78">
        <v>-1.71</v>
      </c>
      <c r="P2" s="78">
        <v>-8.83</v>
      </c>
      <c r="Q2" s="78">
        <v>-13.71</v>
      </c>
      <c r="R2" s="78">
        <v>-21.56</v>
      </c>
      <c r="S2" s="78"/>
      <c r="T2" s="78"/>
    </row>
    <row r="3" spans="1:20" x14ac:dyDescent="0.3">
      <c r="A3" s="5">
        <v>45462</v>
      </c>
      <c r="B3" s="6" t="s">
        <v>8</v>
      </c>
      <c r="C3" s="7" t="s">
        <v>7</v>
      </c>
      <c r="D3" s="7">
        <v>100</v>
      </c>
      <c r="E3" s="8">
        <v>137.16999999999999</v>
      </c>
      <c r="F3" s="9">
        <f t="shared" si="0"/>
        <v>13716.999999999998</v>
      </c>
      <c r="K3" t="s">
        <v>59</v>
      </c>
      <c r="L3">
        <v>119.3</v>
      </c>
      <c r="M3" s="78">
        <v>0.34</v>
      </c>
      <c r="N3" s="78">
        <v>4.6500000000000004</v>
      </c>
      <c r="O3" s="78">
        <v>8.65</v>
      </c>
      <c r="P3" s="78">
        <v>-14.02</v>
      </c>
      <c r="Q3" s="78">
        <v>4.6500000000000004</v>
      </c>
      <c r="R3" s="78">
        <v>-9.4600000000000009</v>
      </c>
      <c r="S3" s="78">
        <v>484.52</v>
      </c>
      <c r="T3" s="78">
        <v>1463.56</v>
      </c>
    </row>
    <row r="4" spans="1:20" x14ac:dyDescent="0.3">
      <c r="A4" s="5">
        <v>45462</v>
      </c>
      <c r="B4" s="6" t="s">
        <v>10</v>
      </c>
      <c r="C4" s="7" t="s">
        <v>7</v>
      </c>
      <c r="D4" s="7">
        <v>200</v>
      </c>
      <c r="E4" s="8">
        <v>67.41</v>
      </c>
      <c r="F4" s="9">
        <f t="shared" si="0"/>
        <v>13482</v>
      </c>
      <c r="K4" t="s">
        <v>6</v>
      </c>
      <c r="L4">
        <v>32</v>
      </c>
      <c r="M4" s="78">
        <v>-3.32</v>
      </c>
      <c r="N4" s="78">
        <v>-4.42</v>
      </c>
      <c r="O4" s="78">
        <v>-21.84</v>
      </c>
      <c r="P4" s="78">
        <v>-33.99</v>
      </c>
      <c r="Q4" s="78">
        <v>-4.42</v>
      </c>
      <c r="R4" s="78">
        <v>-21.38</v>
      </c>
      <c r="S4" s="78">
        <v>1126.05</v>
      </c>
      <c r="T4" s="78">
        <v>2005.26</v>
      </c>
    </row>
    <row r="5" spans="1:20" x14ac:dyDescent="0.3">
      <c r="A5" s="10">
        <v>45462</v>
      </c>
      <c r="B5" s="11" t="s">
        <v>11</v>
      </c>
      <c r="C5" s="12" t="s">
        <v>7</v>
      </c>
      <c r="D5" s="12">
        <v>160</v>
      </c>
      <c r="E5" s="13">
        <v>45.58</v>
      </c>
      <c r="F5" s="14">
        <f t="shared" si="0"/>
        <v>7292.7999999999993</v>
      </c>
      <c r="K5" t="s">
        <v>60</v>
      </c>
      <c r="L5">
        <v>2.06</v>
      </c>
      <c r="M5" s="78">
        <v>-5.94</v>
      </c>
      <c r="N5" s="78">
        <v>-5.5</v>
      </c>
      <c r="O5" s="78">
        <v>11.96</v>
      </c>
      <c r="P5" s="78">
        <v>-4.1900000000000004</v>
      </c>
      <c r="Q5" s="78">
        <v>-5.5</v>
      </c>
      <c r="R5" s="78">
        <v>-11.97</v>
      </c>
      <c r="S5" s="78">
        <v>174.67</v>
      </c>
      <c r="T5" s="78">
        <v>52.59</v>
      </c>
    </row>
    <row r="6" spans="1:20" x14ac:dyDescent="0.3">
      <c r="A6" s="10">
        <v>45462</v>
      </c>
      <c r="B6" s="11" t="s">
        <v>12</v>
      </c>
      <c r="C6" s="12" t="s">
        <v>7</v>
      </c>
      <c r="D6" s="12">
        <v>310</v>
      </c>
      <c r="E6" s="13">
        <v>97.04</v>
      </c>
      <c r="F6" s="14">
        <f t="shared" si="0"/>
        <v>30082.400000000001</v>
      </c>
      <c r="K6" t="s">
        <v>61</v>
      </c>
      <c r="L6">
        <v>29.48</v>
      </c>
      <c r="M6" s="78">
        <v>-3.79</v>
      </c>
      <c r="N6" s="78">
        <v>-11.84</v>
      </c>
      <c r="O6" s="78">
        <v>-7.7</v>
      </c>
      <c r="P6" s="78">
        <v>-14.7</v>
      </c>
      <c r="Q6" s="78">
        <v>-11.84</v>
      </c>
      <c r="R6" s="78">
        <v>-11.47</v>
      </c>
      <c r="S6" s="78"/>
      <c r="T6" s="78"/>
    </row>
    <row r="7" spans="1:20" x14ac:dyDescent="0.3">
      <c r="A7" s="10">
        <v>45462</v>
      </c>
      <c r="B7" s="11" t="s">
        <v>13</v>
      </c>
      <c r="C7" s="12" t="s">
        <v>7</v>
      </c>
      <c r="D7" s="12">
        <v>1600</v>
      </c>
      <c r="E7" s="13">
        <v>24.06</v>
      </c>
      <c r="F7" s="14">
        <f t="shared" si="0"/>
        <v>38496</v>
      </c>
      <c r="K7" t="s">
        <v>62</v>
      </c>
      <c r="L7">
        <v>161.4</v>
      </c>
      <c r="M7" s="78">
        <v>-2.65</v>
      </c>
      <c r="N7" s="78">
        <v>-15.76</v>
      </c>
      <c r="O7" s="78">
        <v>-15.81</v>
      </c>
      <c r="P7" s="78">
        <v>-39.549999999999997</v>
      </c>
      <c r="Q7" s="78">
        <v>-15.76</v>
      </c>
      <c r="R7" s="78">
        <v>15.94</v>
      </c>
      <c r="S7" s="78">
        <v>516.03</v>
      </c>
      <c r="T7" s="78">
        <v>749.92</v>
      </c>
    </row>
    <row r="8" spans="1:20" x14ac:dyDescent="0.3">
      <c r="A8" s="10">
        <v>45462</v>
      </c>
      <c r="B8" s="11" t="s">
        <v>14</v>
      </c>
      <c r="C8" s="12" t="s">
        <v>7</v>
      </c>
      <c r="D8" s="12">
        <v>60</v>
      </c>
      <c r="E8" s="13">
        <v>135.19999999999999</v>
      </c>
      <c r="F8" s="14">
        <f t="shared" si="0"/>
        <v>8111.9999999999991</v>
      </c>
      <c r="K8" t="s">
        <v>63</v>
      </c>
      <c r="L8">
        <v>15.62</v>
      </c>
      <c r="M8" s="78">
        <v>-1.76</v>
      </c>
      <c r="N8" s="78">
        <v>5.47</v>
      </c>
      <c r="O8" s="78">
        <v>-1.7</v>
      </c>
      <c r="P8" s="78">
        <v>8.5500000000000007</v>
      </c>
      <c r="Q8" s="78">
        <v>5.47</v>
      </c>
      <c r="R8" s="78">
        <v>29.63</v>
      </c>
      <c r="S8" s="78">
        <v>388.12</v>
      </c>
      <c r="T8" s="78">
        <v>553.55999999999995</v>
      </c>
    </row>
    <row r="9" spans="1:20" x14ac:dyDescent="0.3">
      <c r="A9" s="10">
        <v>45462</v>
      </c>
      <c r="B9" s="11" t="s">
        <v>15</v>
      </c>
      <c r="C9" s="12" t="s">
        <v>7</v>
      </c>
      <c r="D9" s="12">
        <v>113</v>
      </c>
      <c r="E9" s="13">
        <v>55.94</v>
      </c>
      <c r="F9" s="14">
        <f t="shared" si="0"/>
        <v>6321.2199999999993</v>
      </c>
      <c r="K9" t="s">
        <v>64</v>
      </c>
      <c r="L9">
        <v>140.6</v>
      </c>
      <c r="M9" s="78">
        <v>-4.68</v>
      </c>
      <c r="N9" s="78">
        <v>-13.58</v>
      </c>
      <c r="O9" s="78">
        <v>34.29</v>
      </c>
      <c r="P9" s="78">
        <v>7.99</v>
      </c>
      <c r="Q9" s="78">
        <v>-13.58</v>
      </c>
      <c r="R9" s="78">
        <v>147.06</v>
      </c>
      <c r="S9" s="78">
        <v>426.39</v>
      </c>
      <c r="T9" s="78">
        <v>1073.6199999999999</v>
      </c>
    </row>
    <row r="10" spans="1:20" x14ac:dyDescent="0.3">
      <c r="A10" s="10">
        <v>45462</v>
      </c>
      <c r="B10" s="11" t="s">
        <v>16</v>
      </c>
      <c r="C10" s="12" t="s">
        <v>7</v>
      </c>
      <c r="D10" s="12">
        <v>50</v>
      </c>
      <c r="E10" s="13">
        <v>282.18</v>
      </c>
      <c r="F10" s="14">
        <f t="shared" si="0"/>
        <v>14109</v>
      </c>
      <c r="K10" t="s">
        <v>65</v>
      </c>
      <c r="L10">
        <v>300.75</v>
      </c>
      <c r="M10" s="78">
        <v>-4.5199999999999996</v>
      </c>
      <c r="N10" s="78">
        <v>-3.91</v>
      </c>
      <c r="O10" s="78">
        <v>3.8</v>
      </c>
      <c r="P10" s="78">
        <v>-29.44</v>
      </c>
      <c r="Q10" s="78">
        <v>-3.91</v>
      </c>
      <c r="R10" s="78">
        <v>32.450000000000003</v>
      </c>
      <c r="S10" s="78">
        <v>714.16</v>
      </c>
      <c r="T10" s="78">
        <v>1456.68</v>
      </c>
    </row>
    <row r="11" spans="1:20" x14ac:dyDescent="0.3">
      <c r="A11" s="10">
        <v>45462</v>
      </c>
      <c r="B11" s="11" t="s">
        <v>17</v>
      </c>
      <c r="C11" s="12" t="s">
        <v>7</v>
      </c>
      <c r="D11" s="12">
        <v>30</v>
      </c>
      <c r="E11" s="13">
        <v>78.930000000000007</v>
      </c>
      <c r="F11" s="14">
        <f t="shared" si="0"/>
        <v>2367.9</v>
      </c>
      <c r="K11" t="s">
        <v>66</v>
      </c>
      <c r="L11">
        <v>10.029999999999999</v>
      </c>
      <c r="M11" s="78">
        <v>-6.52</v>
      </c>
      <c r="N11" s="78">
        <v>-6.09</v>
      </c>
      <c r="O11" s="78">
        <v>-31.58</v>
      </c>
      <c r="P11" s="78">
        <v>-50.05</v>
      </c>
      <c r="Q11" s="78">
        <v>-6.09</v>
      </c>
      <c r="R11" s="78">
        <v>-63.63</v>
      </c>
      <c r="S11" s="78"/>
      <c r="T11" s="78"/>
    </row>
    <row r="12" spans="1:20" x14ac:dyDescent="0.3">
      <c r="A12" s="10">
        <v>45462</v>
      </c>
      <c r="B12" s="11" t="s">
        <v>18</v>
      </c>
      <c r="C12" s="12" t="s">
        <v>7</v>
      </c>
      <c r="D12" s="12">
        <v>140</v>
      </c>
      <c r="E12" s="13">
        <v>330.6</v>
      </c>
      <c r="F12" s="14">
        <f t="shared" si="0"/>
        <v>46284</v>
      </c>
      <c r="K12" t="s">
        <v>67</v>
      </c>
      <c r="L12">
        <v>7.32</v>
      </c>
      <c r="M12" s="78">
        <v>-0.27</v>
      </c>
      <c r="N12" s="78">
        <v>-3.68</v>
      </c>
      <c r="O12" s="78">
        <v>2.66</v>
      </c>
      <c r="P12" s="78">
        <v>-2.79</v>
      </c>
      <c r="Q12" s="78">
        <v>-3.68</v>
      </c>
      <c r="R12" s="78">
        <v>-20.78</v>
      </c>
      <c r="S12" s="78">
        <v>146.46</v>
      </c>
      <c r="T12" s="78">
        <v>283.25</v>
      </c>
    </row>
    <row r="13" spans="1:20" x14ac:dyDescent="0.3">
      <c r="A13" s="10">
        <v>45462</v>
      </c>
      <c r="B13" s="11" t="s">
        <v>19</v>
      </c>
      <c r="C13" s="12" t="s">
        <v>7</v>
      </c>
      <c r="D13" s="12">
        <v>650</v>
      </c>
      <c r="E13" s="13">
        <v>35.630000000000003</v>
      </c>
      <c r="F13" s="14">
        <f t="shared" si="0"/>
        <v>23159.5</v>
      </c>
      <c r="K13" t="s">
        <v>68</v>
      </c>
      <c r="L13">
        <v>19.23</v>
      </c>
      <c r="M13" s="78">
        <v>-3.71</v>
      </c>
      <c r="N13" s="78">
        <v>-7.28</v>
      </c>
      <c r="O13" s="78">
        <v>-1.64</v>
      </c>
      <c r="P13" s="78">
        <v>47.24</v>
      </c>
      <c r="Q13" s="78">
        <v>-7.28</v>
      </c>
      <c r="R13" s="78">
        <v>51.9</v>
      </c>
      <c r="S13" s="78"/>
      <c r="T13" s="78"/>
    </row>
    <row r="14" spans="1:20" x14ac:dyDescent="0.3">
      <c r="A14" s="10">
        <v>45462</v>
      </c>
      <c r="B14" s="11" t="s">
        <v>20</v>
      </c>
      <c r="C14" s="12" t="s">
        <v>7</v>
      </c>
      <c r="D14" s="12">
        <v>650</v>
      </c>
      <c r="E14" s="13">
        <v>22.45</v>
      </c>
      <c r="F14" s="14">
        <f t="shared" si="0"/>
        <v>14592.5</v>
      </c>
      <c r="K14" t="s">
        <v>581</v>
      </c>
      <c r="L14">
        <v>25.32</v>
      </c>
      <c r="M14" s="78">
        <v>1.44</v>
      </c>
      <c r="N14" s="78">
        <v>16.68</v>
      </c>
      <c r="O14" s="78">
        <v>30.65</v>
      </c>
      <c r="P14" s="78"/>
      <c r="Q14" s="78">
        <v>16.68</v>
      </c>
      <c r="R14" s="78"/>
      <c r="S14" s="78"/>
      <c r="T14" s="78"/>
    </row>
    <row r="15" spans="1:20" x14ac:dyDescent="0.3">
      <c r="A15" s="10">
        <v>45462</v>
      </c>
      <c r="B15" s="11" t="s">
        <v>21</v>
      </c>
      <c r="C15" s="12" t="s">
        <v>7</v>
      </c>
      <c r="D15" s="12">
        <v>150</v>
      </c>
      <c r="E15" s="13">
        <v>24.21</v>
      </c>
      <c r="F15" s="14">
        <f t="shared" si="0"/>
        <v>3631.5</v>
      </c>
      <c r="K15" t="s">
        <v>69</v>
      </c>
      <c r="L15">
        <v>64.849999999999994</v>
      </c>
      <c r="M15" s="78">
        <v>-2.41</v>
      </c>
      <c r="N15" s="78">
        <v>0</v>
      </c>
      <c r="O15" s="78">
        <v>28.16</v>
      </c>
      <c r="P15" s="78">
        <v>4.7699999999999996</v>
      </c>
      <c r="Q15" s="78">
        <v>0</v>
      </c>
      <c r="R15" s="78">
        <v>71.150000000000006</v>
      </c>
      <c r="S15" s="78">
        <v>857.9</v>
      </c>
      <c r="T15" s="78">
        <v>856.49</v>
      </c>
    </row>
    <row r="16" spans="1:20" x14ac:dyDescent="0.3">
      <c r="A16" s="10">
        <v>45462</v>
      </c>
      <c r="B16" s="11" t="s">
        <v>22</v>
      </c>
      <c r="C16" s="12" t="s">
        <v>7</v>
      </c>
      <c r="D16" s="12">
        <v>50</v>
      </c>
      <c r="E16" s="13">
        <v>59.85</v>
      </c>
      <c r="F16" s="14">
        <f t="shared" si="0"/>
        <v>2992.5</v>
      </c>
      <c r="K16" t="s">
        <v>70</v>
      </c>
      <c r="L16">
        <v>208.2</v>
      </c>
      <c r="M16" s="78">
        <v>0.92</v>
      </c>
      <c r="N16" s="78">
        <v>15.67</v>
      </c>
      <c r="O16" s="78">
        <v>33.89</v>
      </c>
      <c r="P16" s="78">
        <v>39.36</v>
      </c>
      <c r="Q16" s="78">
        <v>15.67</v>
      </c>
      <c r="R16" s="78">
        <v>26.7</v>
      </c>
      <c r="S16" s="78">
        <v>1212.74</v>
      </c>
      <c r="T16" s="78">
        <v>2167.9699999999998</v>
      </c>
    </row>
    <row r="17" spans="1:20" x14ac:dyDescent="0.3">
      <c r="A17" s="10">
        <v>45462</v>
      </c>
      <c r="B17" s="11" t="s">
        <v>23</v>
      </c>
      <c r="C17" s="12" t="s">
        <v>7</v>
      </c>
      <c r="D17" s="12">
        <v>11</v>
      </c>
      <c r="E17" s="13">
        <v>1112.22</v>
      </c>
      <c r="F17" s="14">
        <f t="shared" si="0"/>
        <v>12234.42</v>
      </c>
      <c r="K17" t="s">
        <v>71</v>
      </c>
      <c r="L17">
        <v>14.1</v>
      </c>
      <c r="M17" s="78">
        <v>-0.28000000000000003</v>
      </c>
      <c r="N17" s="78">
        <v>6.98</v>
      </c>
      <c r="O17" s="78">
        <v>21.34</v>
      </c>
      <c r="P17" s="78">
        <v>12.44</v>
      </c>
      <c r="Q17" s="78">
        <v>6.98</v>
      </c>
      <c r="R17" s="78">
        <v>187.76</v>
      </c>
      <c r="S17" s="78">
        <v>775.78</v>
      </c>
      <c r="T17" s="78">
        <v>1046.3399999999999</v>
      </c>
    </row>
    <row r="18" spans="1:20" x14ac:dyDescent="0.3">
      <c r="A18" s="10">
        <v>45462</v>
      </c>
      <c r="B18" s="11" t="s">
        <v>24</v>
      </c>
      <c r="C18" s="12" t="s">
        <v>7</v>
      </c>
      <c r="D18" s="12">
        <v>30</v>
      </c>
      <c r="E18" s="13">
        <v>72.08</v>
      </c>
      <c r="F18" s="14">
        <f t="shared" si="0"/>
        <v>2162.4</v>
      </c>
      <c r="K18" t="s">
        <v>72</v>
      </c>
      <c r="L18">
        <v>1.99</v>
      </c>
      <c r="M18" s="78">
        <v>-5.24</v>
      </c>
      <c r="N18" s="78">
        <v>-3.86</v>
      </c>
      <c r="O18" s="78">
        <v>4.1900000000000004</v>
      </c>
      <c r="P18" s="78">
        <v>-13.85</v>
      </c>
      <c r="Q18" s="78">
        <v>-3.86</v>
      </c>
      <c r="R18" s="78">
        <v>-2.93</v>
      </c>
      <c r="S18" s="78">
        <v>-2.4500000000000002</v>
      </c>
      <c r="T18" s="78">
        <v>165.33</v>
      </c>
    </row>
    <row r="19" spans="1:20" x14ac:dyDescent="0.3">
      <c r="A19" s="10">
        <v>45462</v>
      </c>
      <c r="B19" s="11" t="s">
        <v>25</v>
      </c>
      <c r="C19" s="12" t="s">
        <v>7</v>
      </c>
      <c r="D19" s="12">
        <v>250</v>
      </c>
      <c r="E19" s="13">
        <v>4.38</v>
      </c>
      <c r="F19" s="14">
        <f t="shared" si="0"/>
        <v>1095</v>
      </c>
      <c r="K19" t="s">
        <v>748</v>
      </c>
      <c r="L19">
        <v>26.4</v>
      </c>
      <c r="M19" s="78">
        <v>-15.92</v>
      </c>
      <c r="N19" s="78"/>
      <c r="O19" s="78"/>
      <c r="P19" s="78"/>
      <c r="Q19" s="78"/>
      <c r="R19" s="78"/>
      <c r="S19" s="78"/>
      <c r="T19" s="78"/>
    </row>
    <row r="20" spans="1:20" x14ac:dyDescent="0.3">
      <c r="A20" s="10">
        <v>45462</v>
      </c>
      <c r="B20" s="11" t="s">
        <v>26</v>
      </c>
      <c r="C20" s="12" t="s">
        <v>7</v>
      </c>
      <c r="D20" s="12">
        <v>100</v>
      </c>
      <c r="E20" s="13">
        <v>111.98</v>
      </c>
      <c r="F20" s="14">
        <f t="shared" si="0"/>
        <v>11198</v>
      </c>
      <c r="K20" t="s">
        <v>73</v>
      </c>
      <c r="L20">
        <v>18</v>
      </c>
      <c r="M20" s="78">
        <v>-5.81</v>
      </c>
      <c r="N20" s="78">
        <v>-8.2100000000000009</v>
      </c>
      <c r="O20" s="78">
        <v>2.68</v>
      </c>
      <c r="P20" s="78">
        <v>-24.75</v>
      </c>
      <c r="Q20" s="78">
        <v>-8.2100000000000009</v>
      </c>
      <c r="R20" s="78">
        <v>-11.76</v>
      </c>
      <c r="S20" s="78"/>
      <c r="T20" s="78"/>
    </row>
    <row r="21" spans="1:20" x14ac:dyDescent="0.3">
      <c r="A21" s="10">
        <v>45462</v>
      </c>
      <c r="B21" s="11" t="s">
        <v>27</v>
      </c>
      <c r="C21" s="12" t="s">
        <v>7</v>
      </c>
      <c r="D21" s="12">
        <v>20</v>
      </c>
      <c r="E21" s="13">
        <v>214.65</v>
      </c>
      <c r="F21" s="14">
        <f t="shared" si="0"/>
        <v>4293</v>
      </c>
      <c r="K21" t="s">
        <v>74</v>
      </c>
      <c r="L21">
        <v>8.0399999999999991</v>
      </c>
      <c r="M21" s="78">
        <v>-2.31</v>
      </c>
      <c r="N21" s="78">
        <v>5.24</v>
      </c>
      <c r="O21" s="78">
        <v>35.58</v>
      </c>
      <c r="P21" s="78">
        <v>23.5</v>
      </c>
      <c r="Q21" s="78">
        <v>5.24</v>
      </c>
      <c r="R21" s="78">
        <v>23.69</v>
      </c>
      <c r="S21" s="78">
        <v>296.06</v>
      </c>
      <c r="T21" s="78">
        <v>482.61</v>
      </c>
    </row>
    <row r="22" spans="1:20" x14ac:dyDescent="0.3">
      <c r="A22" s="10">
        <v>45462</v>
      </c>
      <c r="B22" s="11" t="s">
        <v>28</v>
      </c>
      <c r="C22" s="12" t="s">
        <v>7</v>
      </c>
      <c r="D22" s="12">
        <v>50</v>
      </c>
      <c r="E22" s="13">
        <v>232.97</v>
      </c>
      <c r="F22" s="14">
        <f t="shared" si="0"/>
        <v>11648.5</v>
      </c>
      <c r="K22" t="s">
        <v>75</v>
      </c>
      <c r="L22">
        <v>211</v>
      </c>
      <c r="M22" s="78">
        <v>-3.08</v>
      </c>
      <c r="N22" s="78">
        <v>-6.06</v>
      </c>
      <c r="O22" s="78">
        <v>4.09</v>
      </c>
      <c r="P22" s="78">
        <v>-16.100000000000001</v>
      </c>
      <c r="Q22" s="78">
        <v>-6.06</v>
      </c>
      <c r="R22" s="78">
        <v>11.87</v>
      </c>
      <c r="S22" s="78">
        <v>455.56</v>
      </c>
      <c r="T22" s="78">
        <v>949.75</v>
      </c>
    </row>
    <row r="23" spans="1:20" x14ac:dyDescent="0.3">
      <c r="A23" s="10">
        <v>45462</v>
      </c>
      <c r="B23" s="11" t="s">
        <v>29</v>
      </c>
      <c r="C23" s="12" t="s">
        <v>7</v>
      </c>
      <c r="D23" s="12">
        <v>110</v>
      </c>
      <c r="E23" s="13">
        <v>176.42</v>
      </c>
      <c r="F23" s="14">
        <f t="shared" si="0"/>
        <v>19406.199999999997</v>
      </c>
      <c r="K23" t="s">
        <v>76</v>
      </c>
      <c r="L23">
        <v>11.54</v>
      </c>
      <c r="M23" s="78">
        <v>4.91</v>
      </c>
      <c r="N23" s="78">
        <v>-10.82</v>
      </c>
      <c r="O23" s="78">
        <v>38.369999999999997</v>
      </c>
      <c r="P23" s="78">
        <v>13.92</v>
      </c>
      <c r="Q23" s="78">
        <v>-10.82</v>
      </c>
      <c r="R23" s="78">
        <v>56.58</v>
      </c>
      <c r="S23" s="78">
        <v>388.98</v>
      </c>
      <c r="T23" s="78">
        <v>2208</v>
      </c>
    </row>
    <row r="24" spans="1:20" x14ac:dyDescent="0.3">
      <c r="A24" s="10">
        <v>45462</v>
      </c>
      <c r="B24" s="11" t="s">
        <v>30</v>
      </c>
      <c r="C24" s="12" t="s">
        <v>7</v>
      </c>
      <c r="D24" s="12">
        <v>125</v>
      </c>
      <c r="E24" s="13">
        <v>70.09</v>
      </c>
      <c r="F24" s="14">
        <f t="shared" si="0"/>
        <v>8761.25</v>
      </c>
      <c r="K24" t="s">
        <v>77</v>
      </c>
      <c r="L24">
        <v>41.1</v>
      </c>
      <c r="M24" s="78">
        <v>-3.48</v>
      </c>
      <c r="N24" s="78">
        <v>4.8499999999999996</v>
      </c>
      <c r="O24" s="78">
        <v>24.55</v>
      </c>
      <c r="P24" s="78">
        <v>-0.44</v>
      </c>
      <c r="Q24" s="78">
        <v>4.8499999999999996</v>
      </c>
      <c r="R24" s="78">
        <v>17.29</v>
      </c>
      <c r="S24" s="78">
        <v>254.92</v>
      </c>
      <c r="T24" s="78">
        <v>2074.6</v>
      </c>
    </row>
    <row r="25" spans="1:20" x14ac:dyDescent="0.3">
      <c r="A25" s="10">
        <v>45462</v>
      </c>
      <c r="B25" s="11" t="s">
        <v>31</v>
      </c>
      <c r="C25" s="12" t="s">
        <v>7</v>
      </c>
      <c r="D25" s="12">
        <v>100</v>
      </c>
      <c r="E25" s="13">
        <v>57.88</v>
      </c>
      <c r="F25" s="14">
        <f t="shared" si="0"/>
        <v>5788</v>
      </c>
      <c r="K25" t="s">
        <v>78</v>
      </c>
      <c r="L25">
        <v>7.17</v>
      </c>
      <c r="M25" s="78">
        <v>-0.42</v>
      </c>
      <c r="N25" s="78">
        <v>-4.4000000000000004</v>
      </c>
      <c r="O25" s="78">
        <v>17.16</v>
      </c>
      <c r="P25" s="78">
        <v>5.6</v>
      </c>
      <c r="Q25" s="78">
        <v>-4.4000000000000004</v>
      </c>
      <c r="R25" s="78">
        <v>52.55</v>
      </c>
      <c r="S25" s="78">
        <v>1203.6400000000001</v>
      </c>
      <c r="T25" s="78">
        <v>696.67</v>
      </c>
    </row>
    <row r="26" spans="1:20" x14ac:dyDescent="0.3">
      <c r="A26" s="10">
        <v>45462</v>
      </c>
      <c r="B26" s="11" t="s">
        <v>32</v>
      </c>
      <c r="C26" s="12" t="s">
        <v>7</v>
      </c>
      <c r="D26" s="12">
        <v>10</v>
      </c>
      <c r="E26" s="13">
        <v>103.8</v>
      </c>
      <c r="F26" s="14">
        <f t="shared" si="0"/>
        <v>1038</v>
      </c>
      <c r="K26" t="s">
        <v>79</v>
      </c>
      <c r="L26">
        <v>10.93</v>
      </c>
      <c r="M26" s="78">
        <v>-4.21</v>
      </c>
      <c r="N26" s="78">
        <v>-6.66</v>
      </c>
      <c r="O26" s="78">
        <v>-0.73</v>
      </c>
      <c r="P26" s="78">
        <v>-15.73</v>
      </c>
      <c r="Q26" s="78">
        <v>-6.66</v>
      </c>
      <c r="R26" s="78">
        <v>-28.52</v>
      </c>
      <c r="S26" s="78">
        <v>-30.43</v>
      </c>
      <c r="T26" s="78">
        <v>212.29</v>
      </c>
    </row>
    <row r="27" spans="1:20" x14ac:dyDescent="0.3">
      <c r="A27" s="10">
        <v>45462</v>
      </c>
      <c r="B27" s="11" t="s">
        <v>33</v>
      </c>
      <c r="C27" s="12" t="s">
        <v>7</v>
      </c>
      <c r="D27" s="12">
        <v>300</v>
      </c>
      <c r="E27" s="13">
        <v>42.85</v>
      </c>
      <c r="F27" s="14">
        <f t="shared" si="0"/>
        <v>12855</v>
      </c>
      <c r="K27" t="s">
        <v>80</v>
      </c>
      <c r="L27">
        <v>2.5499999999999998</v>
      </c>
      <c r="M27" s="78">
        <v>-3.77</v>
      </c>
      <c r="N27" s="78">
        <v>-5.56</v>
      </c>
      <c r="O27" s="78">
        <v>-1.92</v>
      </c>
      <c r="P27" s="78">
        <v>-52.51</v>
      </c>
      <c r="Q27" s="78">
        <v>-5.56</v>
      </c>
      <c r="R27" s="78">
        <v>-3.77</v>
      </c>
      <c r="S27" s="78">
        <v>140.57</v>
      </c>
      <c r="T27" s="78">
        <v>332.2</v>
      </c>
    </row>
    <row r="28" spans="1:20" x14ac:dyDescent="0.3">
      <c r="A28" s="10">
        <v>45462</v>
      </c>
      <c r="B28" s="11" t="s">
        <v>34</v>
      </c>
      <c r="C28" s="12" t="s">
        <v>7</v>
      </c>
      <c r="D28" s="12">
        <v>300</v>
      </c>
      <c r="E28" s="13">
        <v>57.77</v>
      </c>
      <c r="F28" s="14">
        <f t="shared" si="0"/>
        <v>17331</v>
      </c>
      <c r="K28" t="s">
        <v>8</v>
      </c>
      <c r="L28">
        <v>86.05</v>
      </c>
      <c r="M28" s="78">
        <v>-4.12</v>
      </c>
      <c r="N28" s="78">
        <v>-6.47</v>
      </c>
      <c r="O28" s="78">
        <v>-0.35</v>
      </c>
      <c r="P28" s="78">
        <v>-17.89</v>
      </c>
      <c r="Q28" s="78">
        <v>-6.47</v>
      </c>
      <c r="R28" s="78">
        <v>-19.149999999999999</v>
      </c>
      <c r="S28" s="78">
        <v>380.19</v>
      </c>
      <c r="T28" s="78">
        <v>1383.62</v>
      </c>
    </row>
    <row r="29" spans="1:20" x14ac:dyDescent="0.3">
      <c r="A29" s="10">
        <v>45462</v>
      </c>
      <c r="B29" s="11" t="s">
        <v>35</v>
      </c>
      <c r="C29" s="12" t="s">
        <v>7</v>
      </c>
      <c r="D29" s="12">
        <v>10</v>
      </c>
      <c r="E29" s="13">
        <v>527.73</v>
      </c>
      <c r="F29" s="14">
        <f t="shared" si="0"/>
        <v>5277.3</v>
      </c>
      <c r="K29" t="s">
        <v>81</v>
      </c>
      <c r="L29">
        <v>7.16</v>
      </c>
      <c r="M29" s="78">
        <v>-5.17</v>
      </c>
      <c r="N29" s="78">
        <v>11.35</v>
      </c>
      <c r="O29" s="78">
        <v>36.119999999999997</v>
      </c>
      <c r="P29" s="78">
        <v>14.19</v>
      </c>
      <c r="Q29" s="78">
        <v>11.35</v>
      </c>
      <c r="R29" s="78">
        <v>68.87</v>
      </c>
      <c r="S29" s="78">
        <v>411.43</v>
      </c>
      <c r="T29" s="78">
        <v>434.33</v>
      </c>
    </row>
    <row r="30" spans="1:20" x14ac:dyDescent="0.3">
      <c r="A30" s="10">
        <v>45462</v>
      </c>
      <c r="B30" s="11" t="s">
        <v>36</v>
      </c>
      <c r="C30" s="12" t="s">
        <v>7</v>
      </c>
      <c r="D30" s="12">
        <v>10</v>
      </c>
      <c r="E30" s="13">
        <v>289.22000000000003</v>
      </c>
      <c r="F30" s="14">
        <f t="shared" si="0"/>
        <v>2892.2000000000003</v>
      </c>
      <c r="K30" t="s">
        <v>82</v>
      </c>
      <c r="L30">
        <v>958</v>
      </c>
      <c r="M30" s="78">
        <v>-3.57</v>
      </c>
      <c r="N30" s="78">
        <v>-10.72</v>
      </c>
      <c r="O30" s="78">
        <v>3.79</v>
      </c>
      <c r="P30" s="78">
        <v>-13.69</v>
      </c>
      <c r="Q30" s="78">
        <v>-10.72</v>
      </c>
      <c r="R30" s="78">
        <v>-17.41</v>
      </c>
      <c r="S30" s="78">
        <v>251.43</v>
      </c>
      <c r="T30" s="78">
        <v>1422.57</v>
      </c>
    </row>
    <row r="31" spans="1:20" x14ac:dyDescent="0.3">
      <c r="A31" s="10">
        <v>45462</v>
      </c>
      <c r="B31" s="11" t="s">
        <v>37</v>
      </c>
      <c r="C31" s="12" t="s">
        <v>7</v>
      </c>
      <c r="D31" s="12">
        <v>247</v>
      </c>
      <c r="E31" s="13">
        <v>65.989999999999995</v>
      </c>
      <c r="F31" s="14">
        <f t="shared" si="0"/>
        <v>16299.529999999999</v>
      </c>
      <c r="K31" t="s">
        <v>83</v>
      </c>
      <c r="L31">
        <v>137.69999999999999</v>
      </c>
      <c r="M31" s="78">
        <v>0.66</v>
      </c>
      <c r="N31" s="78">
        <v>14.85</v>
      </c>
      <c r="O31" s="78">
        <v>14.85</v>
      </c>
      <c r="P31" s="78">
        <v>42.92</v>
      </c>
      <c r="Q31" s="78">
        <v>14.85</v>
      </c>
      <c r="R31" s="78">
        <v>29.78</v>
      </c>
      <c r="S31" s="78">
        <v>395.32</v>
      </c>
      <c r="T31" s="78">
        <v>783.83</v>
      </c>
    </row>
    <row r="32" spans="1:20" x14ac:dyDescent="0.3">
      <c r="A32" s="10">
        <v>45462</v>
      </c>
      <c r="B32" s="11" t="s">
        <v>38</v>
      </c>
      <c r="C32" s="12" t="s">
        <v>7</v>
      </c>
      <c r="D32" s="12">
        <v>25</v>
      </c>
      <c r="E32" s="13">
        <v>262.48</v>
      </c>
      <c r="F32" s="14">
        <f t="shared" si="0"/>
        <v>6562</v>
      </c>
      <c r="K32" t="s">
        <v>84</v>
      </c>
      <c r="L32">
        <v>73.349999999999994</v>
      </c>
      <c r="M32" s="78">
        <v>-1.68</v>
      </c>
      <c r="N32" s="78">
        <v>7.95</v>
      </c>
      <c r="O32" s="78">
        <v>35.96</v>
      </c>
      <c r="P32" s="78">
        <v>10.58</v>
      </c>
      <c r="Q32" s="78">
        <v>7.95</v>
      </c>
      <c r="R32" s="78">
        <v>-26.01</v>
      </c>
      <c r="S32" s="78"/>
      <c r="T32" s="78"/>
    </row>
    <row r="33" spans="1:20" x14ac:dyDescent="0.3">
      <c r="A33" s="10">
        <v>45462</v>
      </c>
      <c r="B33" s="11" t="s">
        <v>39</v>
      </c>
      <c r="C33" s="12" t="s">
        <v>7</v>
      </c>
      <c r="D33" s="12">
        <v>10</v>
      </c>
      <c r="E33" s="13">
        <v>909.85</v>
      </c>
      <c r="F33" s="14">
        <f t="shared" si="0"/>
        <v>9098.5</v>
      </c>
      <c r="K33" t="s">
        <v>85</v>
      </c>
      <c r="L33">
        <v>20.28</v>
      </c>
      <c r="M33" s="78">
        <v>-7.73</v>
      </c>
      <c r="N33" s="78">
        <v>-3.15</v>
      </c>
      <c r="O33" s="78">
        <v>16.75</v>
      </c>
      <c r="P33" s="78">
        <v>-21.24</v>
      </c>
      <c r="Q33" s="78">
        <v>-3.15</v>
      </c>
      <c r="R33" s="78">
        <v>-0.98</v>
      </c>
      <c r="S33" s="78">
        <v>179.34</v>
      </c>
      <c r="T33" s="78">
        <v>611.58000000000004</v>
      </c>
    </row>
    <row r="34" spans="1:20" x14ac:dyDescent="0.3">
      <c r="A34" s="10">
        <v>45462</v>
      </c>
      <c r="B34" s="11" t="s">
        <v>40</v>
      </c>
      <c r="C34" s="12" t="s">
        <v>7</v>
      </c>
      <c r="D34" s="12">
        <v>300</v>
      </c>
      <c r="E34" s="13">
        <v>13.16</v>
      </c>
      <c r="F34" s="14">
        <f t="shared" si="0"/>
        <v>3948</v>
      </c>
      <c r="K34" t="s">
        <v>86</v>
      </c>
      <c r="L34">
        <v>8.1999999999999993</v>
      </c>
      <c r="M34" s="78">
        <v>-9.89</v>
      </c>
      <c r="N34" s="78">
        <v>-10.28</v>
      </c>
      <c r="O34" s="78">
        <v>28.73</v>
      </c>
      <c r="P34" s="78">
        <v>18.16</v>
      </c>
      <c r="Q34" s="78">
        <v>-10.28</v>
      </c>
      <c r="R34" s="78">
        <v>9.6300000000000008</v>
      </c>
      <c r="S34" s="78">
        <v>666.36</v>
      </c>
      <c r="T34" s="78">
        <v>1950</v>
      </c>
    </row>
    <row r="35" spans="1:20" x14ac:dyDescent="0.3">
      <c r="A35" s="10">
        <v>45462</v>
      </c>
      <c r="B35" s="11" t="s">
        <v>41</v>
      </c>
      <c r="C35" s="12" t="s">
        <v>7</v>
      </c>
      <c r="D35" s="12">
        <v>130</v>
      </c>
      <c r="E35" s="13">
        <v>181.95</v>
      </c>
      <c r="F35" s="14">
        <f t="shared" si="0"/>
        <v>23653.5</v>
      </c>
      <c r="K35" t="s">
        <v>87</v>
      </c>
      <c r="L35">
        <v>17.34</v>
      </c>
      <c r="M35" s="78">
        <v>-8.06</v>
      </c>
      <c r="N35" s="78">
        <v>-8.93</v>
      </c>
      <c r="O35" s="78">
        <v>5.8</v>
      </c>
      <c r="P35" s="78">
        <v>4.46</v>
      </c>
      <c r="Q35" s="78">
        <v>-8.93</v>
      </c>
      <c r="R35" s="78">
        <v>-9.26</v>
      </c>
      <c r="S35" s="78">
        <v>86.45</v>
      </c>
      <c r="T35" s="78">
        <v>445.28</v>
      </c>
    </row>
    <row r="36" spans="1:20" x14ac:dyDescent="0.3">
      <c r="A36" s="10">
        <v>45462</v>
      </c>
      <c r="B36" s="11" t="s">
        <v>42</v>
      </c>
      <c r="C36" s="12" t="s">
        <v>7</v>
      </c>
      <c r="D36" s="12">
        <v>250</v>
      </c>
      <c r="E36" s="13">
        <v>16.25</v>
      </c>
      <c r="F36" s="14">
        <f t="shared" si="0"/>
        <v>4062.5</v>
      </c>
      <c r="K36" t="s">
        <v>88</v>
      </c>
      <c r="L36">
        <v>25.52</v>
      </c>
      <c r="M36" s="78">
        <v>-2.97</v>
      </c>
      <c r="N36" s="78">
        <v>-28.91</v>
      </c>
      <c r="O36" s="78">
        <v>-19.55</v>
      </c>
      <c r="P36" s="78">
        <v>4.42</v>
      </c>
      <c r="Q36" s="78">
        <v>-28.91</v>
      </c>
      <c r="R36" s="78"/>
      <c r="S36" s="78"/>
      <c r="T36" s="78"/>
    </row>
    <row r="37" spans="1:20" x14ac:dyDescent="0.3">
      <c r="A37" s="10">
        <v>45462</v>
      </c>
      <c r="B37" s="11" t="s">
        <v>43</v>
      </c>
      <c r="C37" s="12" t="s">
        <v>7</v>
      </c>
      <c r="D37" s="12">
        <v>60</v>
      </c>
      <c r="E37" s="13">
        <v>213.3</v>
      </c>
      <c r="F37" s="14">
        <f t="shared" si="0"/>
        <v>12798</v>
      </c>
      <c r="K37" t="s">
        <v>89</v>
      </c>
      <c r="L37">
        <v>7.52</v>
      </c>
      <c r="M37" s="78">
        <v>-6.58</v>
      </c>
      <c r="N37" s="78">
        <v>-0.13</v>
      </c>
      <c r="O37" s="78">
        <v>4.4400000000000004</v>
      </c>
      <c r="P37" s="78">
        <v>-9.2899999999999991</v>
      </c>
      <c r="Q37" s="78">
        <v>-0.13</v>
      </c>
      <c r="R37" s="78">
        <v>-0.79</v>
      </c>
      <c r="S37" s="78">
        <v>297.88</v>
      </c>
      <c r="T37" s="78">
        <v>1828.21</v>
      </c>
    </row>
    <row r="38" spans="1:20" x14ac:dyDescent="0.3">
      <c r="A38" s="10">
        <v>45463</v>
      </c>
      <c r="B38" s="11" t="s">
        <v>20</v>
      </c>
      <c r="C38" s="12" t="s">
        <v>7</v>
      </c>
      <c r="D38" s="12">
        <v>100</v>
      </c>
      <c r="E38" s="13">
        <v>16.73</v>
      </c>
      <c r="F38" s="14">
        <f t="shared" si="0"/>
        <v>1673</v>
      </c>
      <c r="K38" t="s">
        <v>90</v>
      </c>
      <c r="L38">
        <v>76.25</v>
      </c>
      <c r="M38" s="78">
        <v>-0.2</v>
      </c>
      <c r="N38" s="78">
        <v>-7.24</v>
      </c>
      <c r="O38" s="78">
        <v>-22.19</v>
      </c>
      <c r="P38" s="78">
        <v>-38.21</v>
      </c>
      <c r="Q38" s="78">
        <v>-7.24</v>
      </c>
      <c r="R38" s="78"/>
      <c r="S38" s="78"/>
      <c r="T38" s="78"/>
    </row>
    <row r="39" spans="1:20" x14ac:dyDescent="0.3">
      <c r="A39" s="10">
        <v>45463</v>
      </c>
      <c r="B39" s="11" t="s">
        <v>17</v>
      </c>
      <c r="C39" s="12" t="s">
        <v>9</v>
      </c>
      <c r="D39" s="12">
        <v>15</v>
      </c>
      <c r="E39" s="13">
        <v>90.75</v>
      </c>
      <c r="F39" s="14">
        <f t="shared" si="0"/>
        <v>1361.25</v>
      </c>
      <c r="K39" t="s">
        <v>91</v>
      </c>
      <c r="L39">
        <v>35.299999999999997</v>
      </c>
      <c r="M39" s="78">
        <v>-9.02</v>
      </c>
      <c r="N39" s="78">
        <v>-7.74</v>
      </c>
      <c r="O39" s="78">
        <v>5.82</v>
      </c>
      <c r="P39" s="78">
        <v>-34.020000000000003</v>
      </c>
      <c r="Q39" s="78">
        <v>-7.74</v>
      </c>
      <c r="R39" s="78"/>
      <c r="S39" s="78"/>
      <c r="T39" s="78"/>
    </row>
    <row r="40" spans="1:20" x14ac:dyDescent="0.3">
      <c r="A40" s="10">
        <v>45463</v>
      </c>
      <c r="B40" s="11" t="s">
        <v>21</v>
      </c>
      <c r="C40" s="12" t="s">
        <v>9</v>
      </c>
      <c r="D40" s="12">
        <v>50</v>
      </c>
      <c r="E40" s="13">
        <v>26.7</v>
      </c>
      <c r="F40" s="14">
        <f t="shared" si="0"/>
        <v>1335</v>
      </c>
      <c r="K40" t="s">
        <v>92</v>
      </c>
      <c r="L40">
        <v>14.22</v>
      </c>
      <c r="M40" s="78">
        <v>-4.1100000000000003</v>
      </c>
      <c r="N40" s="78">
        <v>-10.9</v>
      </c>
      <c r="O40" s="78">
        <v>-7.12</v>
      </c>
      <c r="P40" s="78">
        <v>-12.22</v>
      </c>
      <c r="Q40" s="78">
        <v>-10.9</v>
      </c>
      <c r="R40" s="78">
        <v>4.6399999999999997</v>
      </c>
      <c r="S40" s="78">
        <v>526.42999999999995</v>
      </c>
      <c r="T40" s="78">
        <v>817.42</v>
      </c>
    </row>
    <row r="41" spans="1:20" x14ac:dyDescent="0.3">
      <c r="A41" s="10">
        <v>45463</v>
      </c>
      <c r="B41" s="11" t="s">
        <v>38</v>
      </c>
      <c r="C41" s="12" t="s">
        <v>9</v>
      </c>
      <c r="D41" s="12">
        <v>5</v>
      </c>
      <c r="E41" s="13">
        <v>319.75</v>
      </c>
      <c r="F41" s="14">
        <f t="shared" si="0"/>
        <v>1598.75</v>
      </c>
      <c r="K41" t="s">
        <v>93</v>
      </c>
      <c r="L41">
        <v>13.64</v>
      </c>
      <c r="M41" s="78">
        <v>-6.45</v>
      </c>
      <c r="N41" s="78">
        <v>10.36</v>
      </c>
      <c r="O41" s="78">
        <v>-3.67</v>
      </c>
      <c r="P41" s="78">
        <v>12.73</v>
      </c>
      <c r="Q41" s="78">
        <v>10.36</v>
      </c>
      <c r="R41" s="78">
        <v>-7.0000000000000007E-2</v>
      </c>
      <c r="S41" s="78">
        <v>12.91</v>
      </c>
      <c r="T41" s="78"/>
    </row>
    <row r="42" spans="1:20" x14ac:dyDescent="0.3">
      <c r="A42" s="10">
        <v>45463</v>
      </c>
      <c r="B42" s="11" t="s">
        <v>26</v>
      </c>
      <c r="C42" s="12" t="s">
        <v>7</v>
      </c>
      <c r="D42" s="12">
        <v>15</v>
      </c>
      <c r="E42" s="13">
        <v>85</v>
      </c>
      <c r="F42" s="14">
        <f t="shared" si="0"/>
        <v>1275</v>
      </c>
      <c r="K42" t="s">
        <v>94</v>
      </c>
      <c r="L42">
        <v>99.5</v>
      </c>
      <c r="M42" s="78">
        <v>-6.92</v>
      </c>
      <c r="N42" s="78">
        <v>-4.33</v>
      </c>
      <c r="O42" s="78">
        <v>10.56</v>
      </c>
      <c r="P42" s="78">
        <v>-14.81</v>
      </c>
      <c r="Q42" s="78">
        <v>-4.33</v>
      </c>
      <c r="R42" s="78">
        <v>145.80000000000001</v>
      </c>
      <c r="S42" s="78">
        <v>687.81</v>
      </c>
      <c r="T42" s="78">
        <v>1893.99</v>
      </c>
    </row>
    <row r="43" spans="1:20" x14ac:dyDescent="0.3">
      <c r="A43" s="10">
        <v>45463</v>
      </c>
      <c r="B43" s="11" t="s">
        <v>29</v>
      </c>
      <c r="C43" s="12" t="s">
        <v>7</v>
      </c>
      <c r="D43" s="12">
        <v>10</v>
      </c>
      <c r="E43" s="13">
        <v>135</v>
      </c>
      <c r="F43" s="14">
        <f t="shared" ref="F43:F50" si="1">+E43*D43</f>
        <v>1350</v>
      </c>
      <c r="K43" t="s">
        <v>95</v>
      </c>
      <c r="L43">
        <v>110.5</v>
      </c>
      <c r="M43" s="78">
        <v>-2.56</v>
      </c>
      <c r="N43" s="78">
        <v>6.25</v>
      </c>
      <c r="O43" s="78">
        <v>28.41</v>
      </c>
      <c r="P43" s="78">
        <v>8.76</v>
      </c>
      <c r="Q43" s="78">
        <v>6.25</v>
      </c>
      <c r="R43" s="78">
        <v>55.31</v>
      </c>
      <c r="S43" s="78">
        <v>1676.53</v>
      </c>
      <c r="T43" s="78">
        <v>2377.58</v>
      </c>
    </row>
    <row r="44" spans="1:20" x14ac:dyDescent="0.3">
      <c r="A44" s="10">
        <v>45464</v>
      </c>
      <c r="B44" s="11" t="s">
        <v>15</v>
      </c>
      <c r="C44" s="12" t="s">
        <v>7</v>
      </c>
      <c r="D44" s="12">
        <v>25</v>
      </c>
      <c r="E44" s="13">
        <v>47.64</v>
      </c>
      <c r="F44" s="14">
        <f t="shared" si="1"/>
        <v>1191</v>
      </c>
      <c r="K44" t="s">
        <v>10</v>
      </c>
      <c r="L44">
        <v>49.72</v>
      </c>
      <c r="M44" s="78">
        <v>-2.13</v>
      </c>
      <c r="N44" s="78">
        <v>-11.21</v>
      </c>
      <c r="O44" s="78">
        <v>-12.92</v>
      </c>
      <c r="P44" s="78">
        <v>-5.82</v>
      </c>
      <c r="Q44" s="78">
        <v>-11.21</v>
      </c>
      <c r="R44" s="78">
        <v>-21.53</v>
      </c>
      <c r="S44" s="78">
        <v>112.57</v>
      </c>
      <c r="T44" s="78"/>
    </row>
    <row r="45" spans="1:20" x14ac:dyDescent="0.3">
      <c r="A45" s="10">
        <v>45464</v>
      </c>
      <c r="B45" s="11" t="s">
        <v>43</v>
      </c>
      <c r="C45" s="12" t="s">
        <v>7</v>
      </c>
      <c r="D45" s="12">
        <v>10</v>
      </c>
      <c r="E45" s="13">
        <v>182.5</v>
      </c>
      <c r="F45" s="14">
        <f t="shared" si="1"/>
        <v>1825</v>
      </c>
      <c r="K45" t="s">
        <v>96</v>
      </c>
      <c r="L45">
        <v>127</v>
      </c>
      <c r="M45" s="78">
        <v>-3.05</v>
      </c>
      <c r="N45" s="78">
        <v>-10.56</v>
      </c>
      <c r="O45" s="78">
        <v>-1.17</v>
      </c>
      <c r="P45" s="78">
        <v>-24.4</v>
      </c>
      <c r="Q45" s="78">
        <v>-10.56</v>
      </c>
      <c r="R45" s="78">
        <v>-10.31</v>
      </c>
      <c r="S45" s="78">
        <v>161.16</v>
      </c>
      <c r="T45" s="78">
        <v>586.49</v>
      </c>
    </row>
    <row r="46" spans="1:20" x14ac:dyDescent="0.3">
      <c r="A46" s="10">
        <v>45464</v>
      </c>
      <c r="B46" s="11" t="s">
        <v>10</v>
      </c>
      <c r="C46" s="12" t="s">
        <v>7</v>
      </c>
      <c r="D46" s="12">
        <v>50</v>
      </c>
      <c r="E46" s="13">
        <v>59</v>
      </c>
      <c r="F46" s="14">
        <f t="shared" si="1"/>
        <v>2950</v>
      </c>
      <c r="K46" t="s">
        <v>97</v>
      </c>
      <c r="L46">
        <v>36.24</v>
      </c>
      <c r="M46" s="78">
        <v>-7.31</v>
      </c>
      <c r="N46" s="78">
        <v>-11.61</v>
      </c>
      <c r="O46" s="78">
        <v>12.76</v>
      </c>
      <c r="P46" s="78">
        <v>-7.79</v>
      </c>
      <c r="Q46" s="78">
        <v>-11.61</v>
      </c>
      <c r="R46" s="78">
        <v>-10.98</v>
      </c>
      <c r="S46" s="78">
        <v>343.03</v>
      </c>
      <c r="T46" s="78"/>
    </row>
    <row r="47" spans="1:20" x14ac:dyDescent="0.3">
      <c r="A47" s="10">
        <v>45467</v>
      </c>
      <c r="B47" s="11" t="s">
        <v>33</v>
      </c>
      <c r="C47" s="12" t="s">
        <v>7</v>
      </c>
      <c r="D47" s="12">
        <v>40</v>
      </c>
      <c r="E47" s="13">
        <v>37.1</v>
      </c>
      <c r="F47" s="14">
        <f t="shared" si="1"/>
        <v>1484</v>
      </c>
      <c r="K47" t="s">
        <v>11</v>
      </c>
      <c r="L47">
        <v>35.94</v>
      </c>
      <c r="M47" s="78">
        <v>-2.86</v>
      </c>
      <c r="N47" s="78">
        <v>0.34</v>
      </c>
      <c r="O47" s="78">
        <v>23.76</v>
      </c>
      <c r="P47" s="78">
        <v>-10.42</v>
      </c>
      <c r="Q47" s="78">
        <v>0.34</v>
      </c>
      <c r="R47" s="78">
        <v>-17.04</v>
      </c>
      <c r="S47" s="78">
        <v>135.52000000000001</v>
      </c>
      <c r="T47" s="78">
        <v>1143.5999999999999</v>
      </c>
    </row>
    <row r="48" spans="1:20" x14ac:dyDescent="0.3">
      <c r="A48" s="10">
        <v>45467</v>
      </c>
      <c r="B48" s="11" t="s">
        <v>43</v>
      </c>
      <c r="C48" s="12" t="s">
        <v>9</v>
      </c>
      <c r="D48" s="12">
        <v>10</v>
      </c>
      <c r="E48" s="13">
        <v>202.1</v>
      </c>
      <c r="F48" s="14">
        <f t="shared" si="1"/>
        <v>2021</v>
      </c>
      <c r="K48" t="s">
        <v>685</v>
      </c>
      <c r="L48">
        <v>35.6</v>
      </c>
      <c r="M48" s="78">
        <v>0.96</v>
      </c>
      <c r="N48" s="78"/>
      <c r="O48" s="78"/>
      <c r="P48" s="78"/>
      <c r="Q48" s="78"/>
      <c r="R48" s="78"/>
      <c r="S48" s="78"/>
      <c r="T48" s="78"/>
    </row>
    <row r="49" spans="1:20" x14ac:dyDescent="0.3">
      <c r="A49" s="10">
        <v>45467</v>
      </c>
      <c r="B49" s="11" t="s">
        <v>6</v>
      </c>
      <c r="C49" s="12" t="s">
        <v>7</v>
      </c>
      <c r="D49" s="12">
        <v>1</v>
      </c>
      <c r="E49" s="13">
        <v>515</v>
      </c>
      <c r="F49" s="14">
        <f t="shared" si="1"/>
        <v>515</v>
      </c>
      <c r="K49" t="s">
        <v>98</v>
      </c>
      <c r="L49">
        <v>20.04</v>
      </c>
      <c r="M49" s="78">
        <v>-4.3899999999999997</v>
      </c>
      <c r="N49" s="78">
        <v>-12.18</v>
      </c>
      <c r="O49" s="78">
        <v>-9.65</v>
      </c>
      <c r="P49" s="78">
        <v>3.35</v>
      </c>
      <c r="Q49" s="78">
        <v>-12.18</v>
      </c>
      <c r="R49" s="78">
        <v>61.61</v>
      </c>
      <c r="S49" s="78">
        <v>415.17</v>
      </c>
      <c r="T49" s="78">
        <v>1071.93</v>
      </c>
    </row>
    <row r="50" spans="1:20" x14ac:dyDescent="0.3">
      <c r="A50" s="10">
        <v>45467</v>
      </c>
      <c r="B50" s="11" t="s">
        <v>52</v>
      </c>
      <c r="C50" s="12" t="s">
        <v>7</v>
      </c>
      <c r="D50" s="12">
        <v>150</v>
      </c>
      <c r="E50" s="13">
        <v>9.9</v>
      </c>
      <c r="F50" s="14">
        <f t="shared" si="1"/>
        <v>1485</v>
      </c>
      <c r="K50" t="s">
        <v>99</v>
      </c>
      <c r="L50">
        <v>29</v>
      </c>
      <c r="M50" s="78">
        <v>-2.62</v>
      </c>
      <c r="N50" s="78">
        <v>-3.07</v>
      </c>
      <c r="O50" s="78">
        <v>-31.47</v>
      </c>
      <c r="P50" s="78">
        <v>-48.21</v>
      </c>
      <c r="Q50" s="78">
        <v>-3.07</v>
      </c>
      <c r="R50" s="78"/>
      <c r="S50" s="78"/>
      <c r="T50" s="78"/>
    </row>
    <row r="51" spans="1:20" x14ac:dyDescent="0.3">
      <c r="A51" s="10">
        <v>45468</v>
      </c>
      <c r="B51" s="11" t="s">
        <v>22</v>
      </c>
      <c r="C51" s="12" t="s">
        <v>9</v>
      </c>
      <c r="D51" s="12">
        <v>20</v>
      </c>
      <c r="E51" s="13">
        <v>65.849999999999994</v>
      </c>
      <c r="F51" s="14">
        <f t="shared" ref="F51:F56" si="2">+E51*D51</f>
        <v>1317</v>
      </c>
      <c r="K51" t="s">
        <v>100</v>
      </c>
      <c r="L51">
        <v>36.520000000000003</v>
      </c>
      <c r="M51" s="78">
        <v>-4.4000000000000004</v>
      </c>
      <c r="N51" s="78">
        <v>-5.14</v>
      </c>
      <c r="O51" s="78">
        <v>-16.510000000000002</v>
      </c>
      <c r="P51" s="78">
        <v>-30.96</v>
      </c>
      <c r="Q51" s="78">
        <v>-5.14</v>
      </c>
      <c r="R51" s="78">
        <v>2.0099999999999998</v>
      </c>
      <c r="S51" s="78">
        <v>135.46</v>
      </c>
      <c r="T51" s="78"/>
    </row>
    <row r="52" spans="1:20" x14ac:dyDescent="0.3">
      <c r="A52" s="10">
        <v>45469</v>
      </c>
      <c r="B52" s="11" t="s">
        <v>12</v>
      </c>
      <c r="C52" s="12" t="s">
        <v>9</v>
      </c>
      <c r="D52" s="12">
        <v>50</v>
      </c>
      <c r="E52" s="13">
        <v>107</v>
      </c>
      <c r="F52" s="14">
        <f t="shared" si="2"/>
        <v>5350</v>
      </c>
      <c r="K52" t="s">
        <v>101</v>
      </c>
      <c r="L52">
        <v>88.7</v>
      </c>
      <c r="M52" s="78">
        <v>4.17</v>
      </c>
      <c r="N52" s="78">
        <v>22.34</v>
      </c>
      <c r="O52" s="78">
        <v>46.01</v>
      </c>
      <c r="P52" s="78">
        <v>42.15</v>
      </c>
      <c r="Q52" s="78">
        <v>22.34</v>
      </c>
      <c r="R52" s="78">
        <v>75.569999999999993</v>
      </c>
      <c r="S52" s="78">
        <v>728.2</v>
      </c>
      <c r="T52" s="78">
        <v>1453.42</v>
      </c>
    </row>
    <row r="53" spans="1:20" x14ac:dyDescent="0.3">
      <c r="A53" s="10">
        <v>45469</v>
      </c>
      <c r="B53" s="11" t="s">
        <v>25</v>
      </c>
      <c r="C53" s="12" t="s">
        <v>7</v>
      </c>
      <c r="D53" s="12">
        <v>250</v>
      </c>
      <c r="E53" s="13">
        <v>3.79</v>
      </c>
      <c r="F53" s="14">
        <f t="shared" si="2"/>
        <v>947.5</v>
      </c>
      <c r="K53" t="s">
        <v>102</v>
      </c>
      <c r="L53">
        <v>11.18</v>
      </c>
      <c r="M53" s="78">
        <v>-5.81</v>
      </c>
      <c r="N53" s="78">
        <v>-9.4</v>
      </c>
      <c r="O53" s="78">
        <v>5.08</v>
      </c>
      <c r="P53" s="78">
        <v>-10.63</v>
      </c>
      <c r="Q53" s="78">
        <v>-9.4</v>
      </c>
      <c r="R53" s="78">
        <v>-29.99</v>
      </c>
      <c r="S53" s="78"/>
      <c r="T53" s="78"/>
    </row>
    <row r="54" spans="1:20" x14ac:dyDescent="0.3">
      <c r="A54" s="10">
        <v>45469</v>
      </c>
      <c r="B54" s="11" t="s">
        <v>37</v>
      </c>
      <c r="C54" s="12" t="s">
        <v>7</v>
      </c>
      <c r="D54" s="12">
        <v>23</v>
      </c>
      <c r="E54" s="13">
        <v>58</v>
      </c>
      <c r="F54" s="14">
        <f t="shared" si="2"/>
        <v>1334</v>
      </c>
      <c r="K54" t="s">
        <v>12</v>
      </c>
      <c r="L54">
        <v>117.6</v>
      </c>
      <c r="M54" s="78">
        <v>-8.1300000000000008</v>
      </c>
      <c r="N54" s="78">
        <v>3.25</v>
      </c>
      <c r="O54" s="78">
        <v>50.77</v>
      </c>
      <c r="P54" s="78">
        <v>26.66</v>
      </c>
      <c r="Q54" s="78">
        <v>3.25</v>
      </c>
      <c r="R54" s="78">
        <v>1.1200000000000001</v>
      </c>
      <c r="S54" s="78"/>
      <c r="T54" s="78"/>
    </row>
    <row r="55" spans="1:20" x14ac:dyDescent="0.3">
      <c r="A55" s="10">
        <v>45469</v>
      </c>
      <c r="B55" s="11" t="s">
        <v>35</v>
      </c>
      <c r="C55" s="12" t="s">
        <v>7</v>
      </c>
      <c r="D55" s="12">
        <v>5</v>
      </c>
      <c r="E55" s="13">
        <v>465</v>
      </c>
      <c r="F55" s="14">
        <f t="shared" si="2"/>
        <v>2325</v>
      </c>
      <c r="K55" t="s">
        <v>103</v>
      </c>
      <c r="L55">
        <v>61.7</v>
      </c>
      <c r="M55" s="78">
        <v>-3.74</v>
      </c>
      <c r="N55" s="78">
        <v>-6.66</v>
      </c>
      <c r="O55" s="78">
        <v>-8.73</v>
      </c>
      <c r="P55" s="78">
        <v>-26.2</v>
      </c>
      <c r="Q55" s="78">
        <v>-6.66</v>
      </c>
      <c r="R55" s="78">
        <v>-11.35</v>
      </c>
      <c r="S55" s="78">
        <v>316.05</v>
      </c>
      <c r="T55" s="78">
        <v>1532.28</v>
      </c>
    </row>
    <row r="56" spans="1:20" x14ac:dyDescent="0.3">
      <c r="A56" s="10">
        <v>45469</v>
      </c>
      <c r="B56" s="11" t="s">
        <v>89</v>
      </c>
      <c r="C56" s="12" t="s">
        <v>7</v>
      </c>
      <c r="D56" s="12">
        <v>200</v>
      </c>
      <c r="E56" s="13">
        <v>6.6</v>
      </c>
      <c r="F56" s="14">
        <f t="shared" si="2"/>
        <v>1320</v>
      </c>
      <c r="K56" t="s">
        <v>104</v>
      </c>
      <c r="L56">
        <v>11.1</v>
      </c>
      <c r="M56" s="78">
        <v>-1.77</v>
      </c>
      <c r="N56" s="78">
        <v>-2.63</v>
      </c>
      <c r="O56" s="78">
        <v>-12.74</v>
      </c>
      <c r="P56" s="78">
        <v>-3.06</v>
      </c>
      <c r="Q56" s="78">
        <v>-2.63</v>
      </c>
      <c r="R56" s="78">
        <v>18.84</v>
      </c>
      <c r="S56" s="78">
        <v>344</v>
      </c>
      <c r="T56" s="78">
        <v>368.35</v>
      </c>
    </row>
    <row r="57" spans="1:20" x14ac:dyDescent="0.3">
      <c r="A57" s="10">
        <v>45469</v>
      </c>
      <c r="B57" s="11" t="s">
        <v>19</v>
      </c>
      <c r="C57" s="12" t="s">
        <v>7</v>
      </c>
      <c r="D57" s="12">
        <v>35</v>
      </c>
      <c r="E57" s="13">
        <v>31.9</v>
      </c>
      <c r="F57" s="14">
        <f t="shared" ref="F57:F62" si="3">+E57*D57</f>
        <v>1116.5</v>
      </c>
      <c r="K57" t="s">
        <v>105</v>
      </c>
      <c r="L57">
        <v>40.6</v>
      </c>
      <c r="M57" s="78">
        <v>-9.01</v>
      </c>
      <c r="N57" s="78">
        <v>-18.28</v>
      </c>
      <c r="O57" s="78">
        <v>-6.28</v>
      </c>
      <c r="P57" s="78">
        <v>-19.920000000000002</v>
      </c>
      <c r="Q57" s="78">
        <v>-18.28</v>
      </c>
      <c r="R57" s="78">
        <v>-27.53</v>
      </c>
      <c r="S57" s="78"/>
      <c r="T57" s="78"/>
    </row>
    <row r="58" spans="1:20" x14ac:dyDescent="0.3">
      <c r="A58" s="10">
        <v>45470</v>
      </c>
      <c r="B58" s="11" t="s">
        <v>15</v>
      </c>
      <c r="C58" s="12" t="s">
        <v>9</v>
      </c>
      <c r="D58" s="12">
        <v>38</v>
      </c>
      <c r="E58" s="13">
        <v>52.4</v>
      </c>
      <c r="F58" s="14">
        <f t="shared" si="3"/>
        <v>1991.2</v>
      </c>
      <c r="K58" t="s">
        <v>106</v>
      </c>
      <c r="L58">
        <v>109.4</v>
      </c>
      <c r="M58" s="78">
        <v>-5.28</v>
      </c>
      <c r="N58" s="78">
        <v>3.7</v>
      </c>
      <c r="O58" s="78">
        <v>23.31</v>
      </c>
      <c r="P58" s="78">
        <v>-8.09</v>
      </c>
      <c r="Q58" s="78">
        <v>3.7</v>
      </c>
      <c r="R58" s="78">
        <v>-16.8</v>
      </c>
      <c r="S58" s="78">
        <v>287.12</v>
      </c>
      <c r="T58" s="78"/>
    </row>
    <row r="59" spans="1:20" x14ac:dyDescent="0.3">
      <c r="A59" s="10">
        <v>45474</v>
      </c>
      <c r="B59" s="11" t="s">
        <v>34</v>
      </c>
      <c r="C59" s="12" t="s">
        <v>7</v>
      </c>
      <c r="D59" s="12">
        <v>30</v>
      </c>
      <c r="E59" s="13">
        <v>51</v>
      </c>
      <c r="F59" s="14">
        <f t="shared" si="3"/>
        <v>1530</v>
      </c>
      <c r="K59" t="s">
        <v>107</v>
      </c>
      <c r="L59">
        <v>157.69999999999999</v>
      </c>
      <c r="M59" s="78">
        <v>-4.37</v>
      </c>
      <c r="N59" s="78">
        <v>-7.18</v>
      </c>
      <c r="O59" s="78">
        <v>-3.37</v>
      </c>
      <c r="P59" s="78">
        <v>-8.9</v>
      </c>
      <c r="Q59" s="78">
        <v>-7.18</v>
      </c>
      <c r="R59" s="78">
        <v>27.18</v>
      </c>
      <c r="S59" s="78">
        <v>320.98</v>
      </c>
      <c r="T59" s="78">
        <v>903.18</v>
      </c>
    </row>
    <row r="60" spans="1:20" x14ac:dyDescent="0.3">
      <c r="A60" s="10">
        <v>45475</v>
      </c>
      <c r="B60" s="11" t="s">
        <v>6</v>
      </c>
      <c r="C60" s="12" t="s">
        <v>9</v>
      </c>
      <c r="D60" s="12">
        <v>1</v>
      </c>
      <c r="E60" s="13">
        <v>573</v>
      </c>
      <c r="F60" s="14">
        <f t="shared" si="3"/>
        <v>573</v>
      </c>
      <c r="K60" t="s">
        <v>108</v>
      </c>
      <c r="L60">
        <v>5.74</v>
      </c>
      <c r="M60" s="78">
        <v>-5.59</v>
      </c>
      <c r="N60" s="78">
        <v>-17.05</v>
      </c>
      <c r="O60" s="78">
        <v>9.5399999999999991</v>
      </c>
      <c r="P60" s="78">
        <v>-12.1</v>
      </c>
      <c r="Q60" s="78">
        <v>-17.05</v>
      </c>
      <c r="R60" s="78">
        <v>26.15</v>
      </c>
      <c r="S60" s="78">
        <v>407.96</v>
      </c>
      <c r="T60" s="78">
        <v>504.21</v>
      </c>
    </row>
    <row r="61" spans="1:20" x14ac:dyDescent="0.3">
      <c r="A61" s="10">
        <v>45476</v>
      </c>
      <c r="B61" s="11" t="s">
        <v>6</v>
      </c>
      <c r="C61" s="12" t="s">
        <v>9</v>
      </c>
      <c r="D61" s="12">
        <v>1</v>
      </c>
      <c r="E61" s="13">
        <v>623.5</v>
      </c>
      <c r="F61" s="14">
        <f t="shared" si="3"/>
        <v>623.5</v>
      </c>
      <c r="K61" t="s">
        <v>109</v>
      </c>
      <c r="L61">
        <v>44.44</v>
      </c>
      <c r="M61" s="78">
        <v>2.11</v>
      </c>
      <c r="N61" s="78">
        <v>-3.39</v>
      </c>
      <c r="O61" s="78">
        <v>-0.18</v>
      </c>
      <c r="P61" s="78">
        <v>-38.619999999999997</v>
      </c>
      <c r="Q61" s="78">
        <v>-3.39</v>
      </c>
      <c r="R61" s="78">
        <v>4.22</v>
      </c>
      <c r="S61" s="78">
        <v>304</v>
      </c>
      <c r="T61" s="78">
        <v>3832.74</v>
      </c>
    </row>
    <row r="62" spans="1:20" x14ac:dyDescent="0.3">
      <c r="A62" s="10">
        <v>45477</v>
      </c>
      <c r="B62" s="11" t="s">
        <v>440</v>
      </c>
      <c r="C62" s="12" t="s">
        <v>7</v>
      </c>
      <c r="D62" s="12">
        <v>60</v>
      </c>
      <c r="E62" s="13">
        <v>18.7</v>
      </c>
      <c r="F62" s="14">
        <f t="shared" si="3"/>
        <v>1122</v>
      </c>
      <c r="K62" t="s">
        <v>110</v>
      </c>
      <c r="L62">
        <v>8.09</v>
      </c>
      <c r="M62" s="78">
        <v>-1.82</v>
      </c>
      <c r="N62" s="78">
        <v>-6.47</v>
      </c>
      <c r="O62" s="78">
        <v>-4.26</v>
      </c>
      <c r="P62" s="78">
        <v>0.37</v>
      </c>
      <c r="Q62" s="78">
        <v>-6.47</v>
      </c>
      <c r="R62" s="78">
        <v>-3.92</v>
      </c>
      <c r="S62" s="78">
        <v>203</v>
      </c>
      <c r="T62" s="78">
        <v>591.45000000000005</v>
      </c>
    </row>
    <row r="63" spans="1:20" x14ac:dyDescent="0.3">
      <c r="A63" s="5">
        <v>45477</v>
      </c>
      <c r="B63" s="6" t="s">
        <v>38</v>
      </c>
      <c r="C63" s="7" t="s">
        <v>9</v>
      </c>
      <c r="D63" s="7">
        <v>5</v>
      </c>
      <c r="E63" s="8">
        <v>351.75</v>
      </c>
      <c r="F63" s="9">
        <f t="shared" ref="F63:F69" si="4">+E63*D63</f>
        <v>1758.75</v>
      </c>
      <c r="K63" t="s">
        <v>111</v>
      </c>
      <c r="L63">
        <v>37.380000000000003</v>
      </c>
      <c r="M63" s="78">
        <v>4.88</v>
      </c>
      <c r="N63" s="78">
        <v>7.23</v>
      </c>
      <c r="O63" s="78">
        <v>6.8</v>
      </c>
      <c r="P63" s="78">
        <v>8.2200000000000006</v>
      </c>
      <c r="Q63" s="78">
        <v>7.23</v>
      </c>
      <c r="R63" s="78">
        <v>6.01</v>
      </c>
      <c r="S63" s="78">
        <v>473.31</v>
      </c>
      <c r="T63" s="78">
        <v>2296.15</v>
      </c>
    </row>
    <row r="64" spans="1:20" x14ac:dyDescent="0.3">
      <c r="A64" s="10">
        <v>45478</v>
      </c>
      <c r="B64" s="11" t="s">
        <v>27</v>
      </c>
      <c r="C64" s="12" t="s">
        <v>9</v>
      </c>
      <c r="D64" s="12">
        <v>10</v>
      </c>
      <c r="E64" s="13">
        <v>236.2</v>
      </c>
      <c r="F64" s="14">
        <f t="shared" si="4"/>
        <v>2362</v>
      </c>
      <c r="K64" t="s">
        <v>112</v>
      </c>
      <c r="L64">
        <v>2.86</v>
      </c>
      <c r="M64" s="78">
        <v>-10.63</v>
      </c>
      <c r="N64" s="78">
        <v>2.14</v>
      </c>
      <c r="O64" s="78">
        <v>4.38</v>
      </c>
      <c r="P64" s="78">
        <v>-12.8</v>
      </c>
      <c r="Q64" s="78">
        <v>2.14</v>
      </c>
      <c r="R64" s="78">
        <v>-20.56</v>
      </c>
      <c r="S64" s="78">
        <v>29.41</v>
      </c>
      <c r="T64" s="78">
        <v>153.1</v>
      </c>
    </row>
    <row r="65" spans="1:20" x14ac:dyDescent="0.3">
      <c r="A65" s="5">
        <v>45478</v>
      </c>
      <c r="B65" s="6" t="s">
        <v>29</v>
      </c>
      <c r="C65" s="7" t="s">
        <v>9</v>
      </c>
      <c r="D65" s="7">
        <v>10</v>
      </c>
      <c r="E65" s="8">
        <v>148.5</v>
      </c>
      <c r="F65" s="9">
        <f t="shared" si="4"/>
        <v>1485</v>
      </c>
      <c r="K65" t="s">
        <v>113</v>
      </c>
      <c r="L65">
        <v>62.9</v>
      </c>
      <c r="M65" s="78">
        <v>3.97</v>
      </c>
      <c r="N65" s="78">
        <v>16.48</v>
      </c>
      <c r="O65" s="78">
        <v>31.87</v>
      </c>
      <c r="P65" s="78">
        <v>38.06</v>
      </c>
      <c r="Q65" s="78">
        <v>16.48</v>
      </c>
      <c r="R65" s="78">
        <v>24.23</v>
      </c>
      <c r="S65" s="78"/>
      <c r="T65" s="78"/>
    </row>
    <row r="66" spans="1:20" x14ac:dyDescent="0.3">
      <c r="A66" s="5">
        <v>45478</v>
      </c>
      <c r="B66" s="6" t="s">
        <v>6</v>
      </c>
      <c r="C66" s="7" t="s">
        <v>7</v>
      </c>
      <c r="D66" s="7">
        <v>1</v>
      </c>
      <c r="E66" s="8">
        <v>550</v>
      </c>
      <c r="F66" s="9">
        <f t="shared" si="4"/>
        <v>550</v>
      </c>
      <c r="K66" t="s">
        <v>114</v>
      </c>
      <c r="L66">
        <v>11.6</v>
      </c>
      <c r="M66" s="78">
        <v>-4.92</v>
      </c>
      <c r="N66" s="78">
        <v>-8.3000000000000007</v>
      </c>
      <c r="O66" s="78">
        <v>0.87</v>
      </c>
      <c r="P66" s="78">
        <v>0.69</v>
      </c>
      <c r="Q66" s="78">
        <v>-8.3000000000000007</v>
      </c>
      <c r="R66" s="78">
        <v>31.82</v>
      </c>
      <c r="S66" s="78">
        <v>395.73</v>
      </c>
      <c r="T66" s="78">
        <v>517.02</v>
      </c>
    </row>
    <row r="67" spans="1:20" x14ac:dyDescent="0.3">
      <c r="A67" s="5">
        <v>45478</v>
      </c>
      <c r="B67" s="6" t="s">
        <v>49</v>
      </c>
      <c r="C67" s="7" t="s">
        <v>7</v>
      </c>
      <c r="D67" s="7">
        <v>40</v>
      </c>
      <c r="E67" s="8">
        <v>35.5</v>
      </c>
      <c r="F67" s="9">
        <f t="shared" si="4"/>
        <v>1420</v>
      </c>
      <c r="K67" t="s">
        <v>115</v>
      </c>
      <c r="L67">
        <v>482.75</v>
      </c>
      <c r="M67" s="78">
        <v>-1.08</v>
      </c>
      <c r="N67" s="78">
        <v>-7.25</v>
      </c>
      <c r="O67" s="78">
        <v>0.1</v>
      </c>
      <c r="P67" s="78">
        <v>-17.48</v>
      </c>
      <c r="Q67" s="78">
        <v>-7.25</v>
      </c>
      <c r="R67" s="78">
        <v>-52.06</v>
      </c>
      <c r="S67" s="78">
        <v>588.16999999999996</v>
      </c>
      <c r="T67" s="78">
        <v>5252</v>
      </c>
    </row>
    <row r="68" spans="1:20" x14ac:dyDescent="0.3">
      <c r="A68" s="5">
        <v>45478</v>
      </c>
      <c r="B68" s="6" t="s">
        <v>15</v>
      </c>
      <c r="C68" s="7" t="s">
        <v>7</v>
      </c>
      <c r="D68" s="7">
        <v>25</v>
      </c>
      <c r="E68" s="8">
        <v>45.3</v>
      </c>
      <c r="F68" s="9">
        <f t="shared" si="4"/>
        <v>1132.5</v>
      </c>
      <c r="K68" t="s">
        <v>116</v>
      </c>
      <c r="L68">
        <v>22.16</v>
      </c>
      <c r="M68" s="78">
        <v>-6.02</v>
      </c>
      <c r="N68" s="78">
        <v>-5.94</v>
      </c>
      <c r="O68" s="78">
        <v>-11.36</v>
      </c>
      <c r="P68" s="78">
        <v>-25.29</v>
      </c>
      <c r="Q68" s="78">
        <v>-5.94</v>
      </c>
      <c r="R68" s="78">
        <v>-2.76</v>
      </c>
      <c r="S68" s="78">
        <v>243.57</v>
      </c>
      <c r="T68" s="78"/>
    </row>
    <row r="69" spans="1:20" x14ac:dyDescent="0.3">
      <c r="A69" s="5">
        <v>45478</v>
      </c>
      <c r="B69" s="6" t="s">
        <v>26</v>
      </c>
      <c r="C69" s="7" t="s">
        <v>7</v>
      </c>
      <c r="D69" s="7">
        <v>15</v>
      </c>
      <c r="E69" s="8">
        <v>76</v>
      </c>
      <c r="F69" s="9">
        <f t="shared" si="4"/>
        <v>1140</v>
      </c>
      <c r="K69" t="s">
        <v>117</v>
      </c>
      <c r="L69">
        <v>28.8</v>
      </c>
      <c r="M69" s="78">
        <v>-5.45</v>
      </c>
      <c r="N69" s="78">
        <v>-6.55</v>
      </c>
      <c r="O69" s="78">
        <v>7.5</v>
      </c>
      <c r="P69" s="78">
        <v>2.09</v>
      </c>
      <c r="Q69" s="78">
        <v>-6.55</v>
      </c>
      <c r="R69" s="78">
        <v>15.57</v>
      </c>
      <c r="S69" s="78">
        <v>280.45</v>
      </c>
      <c r="T69" s="78">
        <v>708.99</v>
      </c>
    </row>
    <row r="70" spans="1:20" x14ac:dyDescent="0.3">
      <c r="A70" s="10">
        <v>45481</v>
      </c>
      <c r="B70" s="11" t="s">
        <v>29</v>
      </c>
      <c r="C70" s="12" t="s">
        <v>9</v>
      </c>
      <c r="D70" s="12">
        <v>10</v>
      </c>
      <c r="E70" s="13">
        <v>163.4</v>
      </c>
      <c r="F70" s="14">
        <f t="shared" ref="F70:F75" si="5">+E70*D70</f>
        <v>1634</v>
      </c>
      <c r="K70" t="s">
        <v>118</v>
      </c>
      <c r="L70">
        <v>9.08</v>
      </c>
      <c r="M70" s="78">
        <v>6.32</v>
      </c>
      <c r="N70" s="78">
        <v>4.97</v>
      </c>
      <c r="O70" s="78">
        <v>-0.33</v>
      </c>
      <c r="P70" s="78">
        <v>2.71</v>
      </c>
      <c r="Q70" s="78">
        <v>4.97</v>
      </c>
      <c r="R70" s="78">
        <v>34.32</v>
      </c>
      <c r="S70" s="78">
        <v>298.25</v>
      </c>
      <c r="T70" s="78">
        <v>3142.86</v>
      </c>
    </row>
    <row r="71" spans="1:20" x14ac:dyDescent="0.3">
      <c r="A71" s="10">
        <v>45482</v>
      </c>
      <c r="B71" s="11" t="s">
        <v>35</v>
      </c>
      <c r="C71" s="12" t="s">
        <v>9</v>
      </c>
      <c r="D71" s="12">
        <v>5</v>
      </c>
      <c r="E71" s="13">
        <v>495</v>
      </c>
      <c r="F71" s="14">
        <f t="shared" si="5"/>
        <v>2475</v>
      </c>
      <c r="K71" t="s">
        <v>119</v>
      </c>
      <c r="L71">
        <v>158.9</v>
      </c>
      <c r="M71" s="78">
        <v>-0.5</v>
      </c>
      <c r="N71" s="78">
        <v>-10.18</v>
      </c>
      <c r="O71" s="78">
        <v>5.3</v>
      </c>
      <c r="P71" s="78">
        <v>-7.35</v>
      </c>
      <c r="Q71" s="78">
        <v>-10.18</v>
      </c>
      <c r="R71" s="78">
        <v>12.78</v>
      </c>
      <c r="S71" s="78">
        <v>622.27</v>
      </c>
      <c r="T71" s="78">
        <v>1314.96</v>
      </c>
    </row>
    <row r="72" spans="1:20" x14ac:dyDescent="0.3">
      <c r="A72" s="5">
        <v>45482</v>
      </c>
      <c r="B72" s="6" t="s">
        <v>39</v>
      </c>
      <c r="C72" s="7" t="s">
        <v>7</v>
      </c>
      <c r="D72" s="7">
        <v>2</v>
      </c>
      <c r="E72" s="8">
        <v>850</v>
      </c>
      <c r="F72" s="9">
        <f t="shared" si="5"/>
        <v>1700</v>
      </c>
      <c r="K72" t="s">
        <v>120</v>
      </c>
      <c r="L72">
        <v>47.46</v>
      </c>
      <c r="M72" s="78">
        <v>-4.08</v>
      </c>
      <c r="N72" s="78">
        <v>1.54</v>
      </c>
      <c r="O72" s="78">
        <v>-4.55</v>
      </c>
      <c r="P72" s="78">
        <v>-29.74</v>
      </c>
      <c r="Q72" s="78">
        <v>1.54</v>
      </c>
      <c r="R72" s="78">
        <v>-70.069999999999993</v>
      </c>
      <c r="S72" s="78"/>
      <c r="T72" s="78"/>
    </row>
    <row r="73" spans="1:20" x14ac:dyDescent="0.3">
      <c r="A73" s="5">
        <v>45482</v>
      </c>
      <c r="B73" s="6" t="s">
        <v>440</v>
      </c>
      <c r="C73" s="7" t="s">
        <v>7</v>
      </c>
      <c r="D73" s="7">
        <v>60</v>
      </c>
      <c r="E73" s="8">
        <v>16.829999999999998</v>
      </c>
      <c r="F73" s="9">
        <f t="shared" si="5"/>
        <v>1009.8</v>
      </c>
      <c r="K73" t="s">
        <v>121</v>
      </c>
      <c r="L73">
        <v>22.24</v>
      </c>
      <c r="M73" s="78">
        <v>-3.39</v>
      </c>
      <c r="N73" s="78">
        <v>1.46</v>
      </c>
      <c r="O73" s="78">
        <v>11.81</v>
      </c>
      <c r="P73" s="78">
        <v>-6.48</v>
      </c>
      <c r="Q73" s="78">
        <v>1.46</v>
      </c>
      <c r="R73" s="78">
        <v>-18.59</v>
      </c>
      <c r="S73" s="78">
        <v>69</v>
      </c>
      <c r="T73" s="78">
        <v>225.62</v>
      </c>
    </row>
    <row r="74" spans="1:20" x14ac:dyDescent="0.3">
      <c r="A74" s="10">
        <v>45483</v>
      </c>
      <c r="B74" s="11" t="s">
        <v>55</v>
      </c>
      <c r="C74" s="7" t="s">
        <v>7</v>
      </c>
      <c r="D74" s="12">
        <v>100</v>
      </c>
      <c r="E74" s="13">
        <v>10.67</v>
      </c>
      <c r="F74" s="14">
        <f t="shared" si="5"/>
        <v>1067</v>
      </c>
      <c r="K74" t="s">
        <v>578</v>
      </c>
      <c r="L74">
        <v>46</v>
      </c>
      <c r="M74" s="78">
        <v>-3.56</v>
      </c>
      <c r="N74" s="78">
        <v>-6.73</v>
      </c>
      <c r="O74" s="78">
        <v>6.58</v>
      </c>
      <c r="P74" s="78"/>
      <c r="Q74" s="78">
        <v>-6.73</v>
      </c>
      <c r="R74" s="78"/>
      <c r="S74" s="78"/>
      <c r="T74" s="78"/>
    </row>
    <row r="75" spans="1:20" x14ac:dyDescent="0.3">
      <c r="A75" s="5">
        <v>45483</v>
      </c>
      <c r="B75" s="6" t="s">
        <v>35</v>
      </c>
      <c r="C75" s="7" t="s">
        <v>9</v>
      </c>
      <c r="D75" s="7">
        <v>5</v>
      </c>
      <c r="E75" s="8">
        <v>544.5</v>
      </c>
      <c r="F75" s="9">
        <f t="shared" si="5"/>
        <v>2722.5</v>
      </c>
      <c r="K75" t="s">
        <v>122</v>
      </c>
      <c r="L75">
        <v>34.299999999999997</v>
      </c>
      <c r="M75" s="78">
        <v>-4.51</v>
      </c>
      <c r="N75" s="78">
        <v>-6.84</v>
      </c>
      <c r="O75" s="78">
        <v>-2.61</v>
      </c>
      <c r="P75" s="78">
        <v>-15.14</v>
      </c>
      <c r="Q75" s="78">
        <v>-6.84</v>
      </c>
      <c r="R75" s="78">
        <v>-27.41</v>
      </c>
      <c r="S75" s="78">
        <v>271.61</v>
      </c>
      <c r="T75" s="78">
        <v>882.81</v>
      </c>
    </row>
    <row r="76" spans="1:20" x14ac:dyDescent="0.3">
      <c r="A76" s="10">
        <v>45484</v>
      </c>
      <c r="B76" s="11" t="s">
        <v>89</v>
      </c>
      <c r="C76" s="12" t="s">
        <v>9</v>
      </c>
      <c r="D76" s="12">
        <v>200</v>
      </c>
      <c r="E76" s="13">
        <v>7.26</v>
      </c>
      <c r="F76" s="14">
        <f t="shared" ref="F76:F81" si="6">+E76*D76</f>
        <v>1452</v>
      </c>
      <c r="K76" t="s">
        <v>123</v>
      </c>
      <c r="L76">
        <v>56.65</v>
      </c>
      <c r="M76" s="78">
        <v>-2.33</v>
      </c>
      <c r="N76" s="78">
        <v>1.1599999999999999</v>
      </c>
      <c r="O76" s="78">
        <v>23.15</v>
      </c>
      <c r="P76" s="78">
        <v>49.87</v>
      </c>
      <c r="Q76" s="78">
        <v>1.1599999999999999</v>
      </c>
      <c r="R76" s="78">
        <v>139.22999999999999</v>
      </c>
      <c r="S76" s="78">
        <v>535.79999999999995</v>
      </c>
      <c r="T76" s="78">
        <v>2820.1</v>
      </c>
    </row>
    <row r="77" spans="1:20" x14ac:dyDescent="0.3">
      <c r="A77" s="10">
        <v>45485</v>
      </c>
      <c r="B77" s="11" t="s">
        <v>35</v>
      </c>
      <c r="C77" s="12" t="s">
        <v>7</v>
      </c>
      <c r="D77" s="12">
        <v>5</v>
      </c>
      <c r="E77" s="13">
        <v>485</v>
      </c>
      <c r="F77" s="14">
        <f t="shared" si="6"/>
        <v>2425</v>
      </c>
      <c r="K77" t="s">
        <v>124</v>
      </c>
      <c r="L77">
        <v>301</v>
      </c>
      <c r="M77" s="78">
        <v>7.5</v>
      </c>
      <c r="N77" s="78">
        <v>0</v>
      </c>
      <c r="O77" s="78">
        <v>-19.09</v>
      </c>
      <c r="P77" s="78">
        <v>-4.37</v>
      </c>
      <c r="Q77" s="78">
        <v>0</v>
      </c>
      <c r="R77" s="78">
        <v>154.87</v>
      </c>
      <c r="S77" s="78">
        <v>244.59</v>
      </c>
      <c r="T77" s="78">
        <v>1466.89</v>
      </c>
    </row>
    <row r="78" spans="1:20" x14ac:dyDescent="0.3">
      <c r="A78" s="10">
        <v>45489</v>
      </c>
      <c r="B78" s="11" t="s">
        <v>26</v>
      </c>
      <c r="C78" s="12" t="s">
        <v>9</v>
      </c>
      <c r="D78" s="12">
        <v>25</v>
      </c>
      <c r="E78" s="13">
        <v>83.6</v>
      </c>
      <c r="F78" s="14">
        <f t="shared" si="6"/>
        <v>2090</v>
      </c>
      <c r="K78" t="s">
        <v>125</v>
      </c>
      <c r="L78">
        <v>16.600000000000001</v>
      </c>
      <c r="M78" s="78">
        <v>-3.21</v>
      </c>
      <c r="N78" s="78">
        <v>-0.66</v>
      </c>
      <c r="O78" s="78">
        <v>-3.04</v>
      </c>
      <c r="P78" s="78">
        <v>-10.51</v>
      </c>
      <c r="Q78" s="78">
        <v>-0.66</v>
      </c>
      <c r="R78" s="78">
        <v>-16.79</v>
      </c>
      <c r="S78" s="78"/>
      <c r="T78" s="78"/>
    </row>
    <row r="79" spans="1:20" x14ac:dyDescent="0.3">
      <c r="A79" s="10">
        <v>45490</v>
      </c>
      <c r="B79" s="11" t="s">
        <v>52</v>
      </c>
      <c r="C79" s="12" t="s">
        <v>9</v>
      </c>
      <c r="D79" s="12">
        <v>150</v>
      </c>
      <c r="E79" s="13">
        <v>9.17</v>
      </c>
      <c r="F79" s="14">
        <f t="shared" si="6"/>
        <v>1375.5</v>
      </c>
      <c r="K79" t="s">
        <v>126</v>
      </c>
      <c r="L79">
        <v>11.08</v>
      </c>
      <c r="M79" s="78">
        <v>0.36</v>
      </c>
      <c r="N79" s="78">
        <v>-8.81</v>
      </c>
      <c r="O79" s="78">
        <v>-13.37</v>
      </c>
      <c r="P79" s="78">
        <v>-2.38</v>
      </c>
      <c r="Q79" s="78">
        <v>-8.81</v>
      </c>
      <c r="R79" s="78">
        <v>10.47</v>
      </c>
      <c r="S79" s="78">
        <v>256.27</v>
      </c>
      <c r="T79" s="78">
        <v>1267.9000000000001</v>
      </c>
    </row>
    <row r="80" spans="1:20" x14ac:dyDescent="0.3">
      <c r="A80" s="10">
        <v>45491</v>
      </c>
      <c r="B80" s="11" t="s">
        <v>42</v>
      </c>
      <c r="C80" s="12" t="s">
        <v>9</v>
      </c>
      <c r="D80" s="12">
        <v>150</v>
      </c>
      <c r="E80" s="13">
        <v>17.88</v>
      </c>
      <c r="F80" s="14">
        <f t="shared" si="6"/>
        <v>2682</v>
      </c>
      <c r="K80" t="s">
        <v>127</v>
      </c>
      <c r="L80">
        <v>30.1</v>
      </c>
      <c r="M80" s="78">
        <v>-4.26</v>
      </c>
      <c r="N80" s="78">
        <v>4.4400000000000004</v>
      </c>
      <c r="O80" s="78">
        <v>11.07</v>
      </c>
      <c r="P80" s="78">
        <v>4.88</v>
      </c>
      <c r="Q80" s="78">
        <v>4.4400000000000004</v>
      </c>
      <c r="R80" s="78">
        <v>59.51</v>
      </c>
      <c r="S80" s="78">
        <v>203.12</v>
      </c>
      <c r="T80" s="78"/>
    </row>
    <row r="81" spans="1:20" x14ac:dyDescent="0.3">
      <c r="A81" s="5">
        <v>45491</v>
      </c>
      <c r="B81" s="6" t="s">
        <v>36</v>
      </c>
      <c r="C81" s="12" t="s">
        <v>9</v>
      </c>
      <c r="D81" s="7">
        <v>5</v>
      </c>
      <c r="E81" s="8">
        <v>318.25</v>
      </c>
      <c r="F81" s="9">
        <f t="shared" si="6"/>
        <v>1591.25</v>
      </c>
      <c r="K81" t="s">
        <v>128</v>
      </c>
      <c r="L81">
        <v>18.350000000000001</v>
      </c>
      <c r="M81" s="78">
        <v>-5.8</v>
      </c>
      <c r="N81" s="78">
        <v>5.22</v>
      </c>
      <c r="O81" s="78">
        <v>2.69</v>
      </c>
      <c r="P81" s="78">
        <v>-26.83</v>
      </c>
      <c r="Q81" s="78">
        <v>5.22</v>
      </c>
      <c r="R81" s="78">
        <v>-60.59</v>
      </c>
      <c r="S81" s="78">
        <v>469.88</v>
      </c>
      <c r="T81" s="78"/>
    </row>
    <row r="82" spans="1:20" x14ac:dyDescent="0.3">
      <c r="A82" s="10">
        <v>45492</v>
      </c>
      <c r="B82" s="11" t="s">
        <v>35</v>
      </c>
      <c r="C82" s="12" t="s">
        <v>9</v>
      </c>
      <c r="D82" s="12">
        <v>5</v>
      </c>
      <c r="E82" s="13">
        <v>533.5</v>
      </c>
      <c r="F82" s="14">
        <f t="shared" ref="F82:F87" si="7">+E82*D82</f>
        <v>2667.5</v>
      </c>
      <c r="K82" t="s">
        <v>129</v>
      </c>
      <c r="L82">
        <v>8.02</v>
      </c>
      <c r="M82" s="78">
        <v>4.16</v>
      </c>
      <c r="N82" s="78">
        <v>13.12</v>
      </c>
      <c r="O82" s="78">
        <v>135.19</v>
      </c>
      <c r="P82" s="78">
        <v>103.55</v>
      </c>
      <c r="Q82" s="78">
        <v>13.12</v>
      </c>
      <c r="R82" s="78">
        <v>53.35</v>
      </c>
      <c r="S82" s="78"/>
      <c r="T82" s="78"/>
    </row>
    <row r="83" spans="1:20" x14ac:dyDescent="0.3">
      <c r="A83" s="5">
        <v>45492</v>
      </c>
      <c r="B83" s="6" t="s">
        <v>55</v>
      </c>
      <c r="C83" s="7" t="s">
        <v>9</v>
      </c>
      <c r="D83" s="7">
        <v>100</v>
      </c>
      <c r="E83" s="8">
        <v>11.74</v>
      </c>
      <c r="F83" s="9">
        <f t="shared" si="7"/>
        <v>1174</v>
      </c>
      <c r="K83" t="s">
        <v>130</v>
      </c>
      <c r="L83">
        <v>17.09</v>
      </c>
      <c r="M83" s="78">
        <v>9.48</v>
      </c>
      <c r="N83" s="78">
        <v>14.47</v>
      </c>
      <c r="O83" s="78">
        <v>32.380000000000003</v>
      </c>
      <c r="P83" s="78">
        <v>0.28999999999999998</v>
      </c>
      <c r="Q83" s="78">
        <v>14.47</v>
      </c>
      <c r="R83" s="78">
        <v>31.16</v>
      </c>
      <c r="S83" s="78">
        <v>241.12</v>
      </c>
      <c r="T83" s="78">
        <v>683.94</v>
      </c>
    </row>
    <row r="84" spans="1:20" x14ac:dyDescent="0.3">
      <c r="A84" s="10">
        <v>45495</v>
      </c>
      <c r="B84" s="11" t="s">
        <v>46</v>
      </c>
      <c r="C84" s="12" t="s">
        <v>7</v>
      </c>
      <c r="D84" s="12">
        <v>15</v>
      </c>
      <c r="E84" s="13">
        <v>275</v>
      </c>
      <c r="F84" s="14">
        <f t="shared" si="7"/>
        <v>4125</v>
      </c>
      <c r="K84" t="s">
        <v>131</v>
      </c>
      <c r="L84">
        <v>25.74</v>
      </c>
      <c r="M84" s="78">
        <v>-5.71</v>
      </c>
      <c r="N84" s="78">
        <v>-5.71</v>
      </c>
      <c r="O84" s="78">
        <v>16.79</v>
      </c>
      <c r="P84" s="78">
        <v>-8.07</v>
      </c>
      <c r="Q84" s="78">
        <v>-5.71</v>
      </c>
      <c r="R84" s="78">
        <v>23.39</v>
      </c>
      <c r="S84" s="78">
        <v>207.53</v>
      </c>
      <c r="T84" s="78">
        <v>493.09</v>
      </c>
    </row>
    <row r="85" spans="1:20" x14ac:dyDescent="0.3">
      <c r="A85" s="10">
        <v>45496</v>
      </c>
      <c r="B85" s="11" t="s">
        <v>26</v>
      </c>
      <c r="C85" s="12" t="s">
        <v>9</v>
      </c>
      <c r="D85" s="12">
        <v>30</v>
      </c>
      <c r="E85" s="13">
        <v>92</v>
      </c>
      <c r="F85" s="14">
        <f t="shared" si="7"/>
        <v>2760</v>
      </c>
      <c r="K85" t="s">
        <v>132</v>
      </c>
      <c r="L85">
        <v>640</v>
      </c>
      <c r="M85" s="78">
        <v>-1.84</v>
      </c>
      <c r="N85" s="78">
        <v>-5.67</v>
      </c>
      <c r="O85" s="78">
        <v>-20.3</v>
      </c>
      <c r="P85" s="78">
        <v>-21.04</v>
      </c>
      <c r="Q85" s="78">
        <v>-5.67</v>
      </c>
      <c r="R85" s="78">
        <v>-29.3</v>
      </c>
      <c r="S85" s="78">
        <v>551.53</v>
      </c>
      <c r="T85" s="78">
        <v>2614.16</v>
      </c>
    </row>
    <row r="86" spans="1:20" x14ac:dyDescent="0.3">
      <c r="A86" s="5">
        <v>45496</v>
      </c>
      <c r="B86" s="6" t="s">
        <v>15</v>
      </c>
      <c r="C86" s="12" t="s">
        <v>9</v>
      </c>
      <c r="D86" s="7">
        <v>25</v>
      </c>
      <c r="E86" s="8">
        <v>49.84</v>
      </c>
      <c r="F86" s="9">
        <f t="shared" si="7"/>
        <v>1246</v>
      </c>
      <c r="K86" t="s">
        <v>133</v>
      </c>
      <c r="L86">
        <v>30.76</v>
      </c>
      <c r="M86" s="78">
        <v>-6.45</v>
      </c>
      <c r="N86" s="78">
        <v>-5.64</v>
      </c>
      <c r="O86" s="78">
        <v>3.85</v>
      </c>
      <c r="P86" s="78">
        <v>-6.11</v>
      </c>
      <c r="Q86" s="78">
        <v>-5.64</v>
      </c>
      <c r="R86" s="78">
        <v>-33.65</v>
      </c>
      <c r="S86" s="78"/>
      <c r="T86" s="78"/>
    </row>
    <row r="87" spans="1:20" x14ac:dyDescent="0.3">
      <c r="A87" s="10">
        <v>45497</v>
      </c>
      <c r="B87" s="11" t="s">
        <v>20</v>
      </c>
      <c r="C87" s="12" t="s">
        <v>9</v>
      </c>
      <c r="D87" s="12">
        <v>250</v>
      </c>
      <c r="E87" s="13">
        <v>18.399999999999999</v>
      </c>
      <c r="F87" s="14">
        <f t="shared" si="7"/>
        <v>4600</v>
      </c>
      <c r="K87" t="s">
        <v>134</v>
      </c>
      <c r="L87">
        <v>29.08</v>
      </c>
      <c r="M87" s="78">
        <v>2.3199999999999998</v>
      </c>
      <c r="N87" s="78">
        <v>-5.58</v>
      </c>
      <c r="O87" s="78">
        <v>10.99</v>
      </c>
      <c r="P87" s="78">
        <v>-17.149999999999999</v>
      </c>
      <c r="Q87" s="78">
        <v>-5.58</v>
      </c>
      <c r="R87" s="78">
        <v>0.03</v>
      </c>
      <c r="S87" s="78"/>
      <c r="T87" s="78"/>
    </row>
    <row r="88" spans="1:20" x14ac:dyDescent="0.3">
      <c r="A88" s="10">
        <v>45498</v>
      </c>
      <c r="B88" s="11" t="s">
        <v>26</v>
      </c>
      <c r="C88" s="12" t="s">
        <v>9</v>
      </c>
      <c r="D88" s="12">
        <v>25</v>
      </c>
      <c r="E88" s="13">
        <v>101.2</v>
      </c>
      <c r="F88" s="14">
        <f t="shared" ref="F88:F104" si="8">+E88*D88</f>
        <v>2530</v>
      </c>
      <c r="K88" t="s">
        <v>56</v>
      </c>
      <c r="L88">
        <v>550</v>
      </c>
      <c r="M88" s="78">
        <v>7</v>
      </c>
      <c r="N88" s="78">
        <v>4.07</v>
      </c>
      <c r="O88" s="78">
        <v>18.82</v>
      </c>
      <c r="P88" s="78">
        <v>-10.65</v>
      </c>
      <c r="Q88" s="78">
        <v>4.07</v>
      </c>
      <c r="R88" s="78">
        <v>47.2</v>
      </c>
      <c r="S88" s="78">
        <v>739.31</v>
      </c>
      <c r="T88" s="78">
        <v>1234.6300000000001</v>
      </c>
    </row>
    <row r="89" spans="1:20" x14ac:dyDescent="0.3">
      <c r="A89" s="10">
        <v>45502</v>
      </c>
      <c r="B89" s="11" t="s">
        <v>28</v>
      </c>
      <c r="C89" s="12" t="s">
        <v>7</v>
      </c>
      <c r="D89" s="12">
        <v>112</v>
      </c>
      <c r="E89" s="13">
        <v>0</v>
      </c>
      <c r="F89" s="14">
        <f t="shared" si="8"/>
        <v>0</v>
      </c>
      <c r="K89" t="s">
        <v>591</v>
      </c>
      <c r="L89">
        <v>100.6</v>
      </c>
      <c r="M89" s="78">
        <v>-0.89</v>
      </c>
      <c r="N89" s="78">
        <v>8.76</v>
      </c>
      <c r="O89" s="78">
        <v>-7.71</v>
      </c>
      <c r="P89" s="78"/>
      <c r="Q89" s="78">
        <v>8.76</v>
      </c>
      <c r="R89" s="78"/>
      <c r="S89" s="78"/>
      <c r="T89" s="78"/>
    </row>
    <row r="90" spans="1:20" x14ac:dyDescent="0.3">
      <c r="A90" s="5">
        <v>45502</v>
      </c>
      <c r="B90" s="11" t="s">
        <v>28</v>
      </c>
      <c r="C90" s="12" t="s">
        <v>7</v>
      </c>
      <c r="D90" s="7">
        <v>0</v>
      </c>
      <c r="E90" s="8">
        <v>71.900000000000006</v>
      </c>
      <c r="F90" s="9">
        <f t="shared" si="8"/>
        <v>0</v>
      </c>
      <c r="K90" t="s">
        <v>135</v>
      </c>
      <c r="L90">
        <v>278.75</v>
      </c>
      <c r="M90" s="78">
        <v>-3.46</v>
      </c>
      <c r="N90" s="78">
        <v>-11.72</v>
      </c>
      <c r="O90" s="78">
        <v>-11.08</v>
      </c>
      <c r="P90" s="78">
        <v>-33.11</v>
      </c>
      <c r="Q90" s="78">
        <v>-11.72</v>
      </c>
      <c r="R90" s="78">
        <v>-47.9</v>
      </c>
      <c r="S90" s="78"/>
      <c r="T90" s="78"/>
    </row>
    <row r="91" spans="1:20" x14ac:dyDescent="0.3">
      <c r="A91" s="5">
        <v>45502</v>
      </c>
      <c r="B91" s="6" t="s">
        <v>43</v>
      </c>
      <c r="C91" s="7" t="s">
        <v>9</v>
      </c>
      <c r="D91" s="7">
        <v>10</v>
      </c>
      <c r="E91" s="8">
        <v>212.3</v>
      </c>
      <c r="F91" s="9">
        <f t="shared" si="8"/>
        <v>2123</v>
      </c>
      <c r="K91" t="s">
        <v>136</v>
      </c>
      <c r="L91">
        <v>14.65</v>
      </c>
      <c r="M91" s="78">
        <v>-3.87</v>
      </c>
      <c r="N91" s="78">
        <v>-14.03</v>
      </c>
      <c r="O91" s="78">
        <v>-21.19</v>
      </c>
      <c r="P91" s="78">
        <v>-24.48</v>
      </c>
      <c r="Q91" s="78">
        <v>-14.03</v>
      </c>
      <c r="R91" s="78">
        <v>-25.63</v>
      </c>
      <c r="S91" s="78">
        <v>116.4</v>
      </c>
      <c r="T91" s="78"/>
    </row>
    <row r="92" spans="1:20" x14ac:dyDescent="0.3">
      <c r="A92" s="5">
        <v>45502</v>
      </c>
      <c r="B92" s="6" t="s">
        <v>37</v>
      </c>
      <c r="C92" s="7" t="s">
        <v>9</v>
      </c>
      <c r="D92" s="7">
        <v>70</v>
      </c>
      <c r="E92" s="8">
        <v>61.4</v>
      </c>
      <c r="F92" s="9">
        <f t="shared" si="8"/>
        <v>4298</v>
      </c>
      <c r="K92" t="s">
        <v>137</v>
      </c>
      <c r="L92">
        <v>27.58</v>
      </c>
      <c r="M92" s="78">
        <v>-4.96</v>
      </c>
      <c r="N92" s="78">
        <v>-4.9000000000000004</v>
      </c>
      <c r="O92" s="78">
        <v>2</v>
      </c>
      <c r="P92" s="78">
        <v>-28.84</v>
      </c>
      <c r="Q92" s="78">
        <v>-4.9000000000000004</v>
      </c>
      <c r="R92" s="78">
        <v>-35.26</v>
      </c>
      <c r="S92" s="78">
        <v>100.15</v>
      </c>
      <c r="T92" s="78">
        <v>159.69999999999999</v>
      </c>
    </row>
    <row r="93" spans="1:20" x14ac:dyDescent="0.3">
      <c r="A93" s="5">
        <v>45502</v>
      </c>
      <c r="B93" s="6" t="s">
        <v>10</v>
      </c>
      <c r="C93" s="7" t="s">
        <v>7</v>
      </c>
      <c r="D93" s="7">
        <v>50</v>
      </c>
      <c r="E93" s="8">
        <v>56.05</v>
      </c>
      <c r="F93" s="9">
        <f t="shared" si="8"/>
        <v>2802.5</v>
      </c>
      <c r="K93" t="s">
        <v>138</v>
      </c>
      <c r="L93">
        <v>5.15</v>
      </c>
      <c r="M93" s="78">
        <v>8.19</v>
      </c>
      <c r="N93" s="78">
        <v>9.57</v>
      </c>
      <c r="O93" s="78">
        <v>6.4</v>
      </c>
      <c r="P93" s="78">
        <v>-14.45</v>
      </c>
      <c r="Q93" s="78">
        <v>9.57</v>
      </c>
      <c r="R93" s="78">
        <v>-57.79</v>
      </c>
      <c r="S93" s="78">
        <v>485.23</v>
      </c>
      <c r="T93" s="78">
        <v>803.51</v>
      </c>
    </row>
    <row r="94" spans="1:20" x14ac:dyDescent="0.3">
      <c r="A94" s="5">
        <v>45502</v>
      </c>
      <c r="B94" s="6" t="s">
        <v>22</v>
      </c>
      <c r="C94" s="7" t="s">
        <v>9</v>
      </c>
      <c r="D94" s="7">
        <v>30</v>
      </c>
      <c r="E94" s="8">
        <v>70.5</v>
      </c>
      <c r="F94" s="9">
        <f t="shared" si="8"/>
        <v>2115</v>
      </c>
      <c r="K94" t="s">
        <v>139</v>
      </c>
      <c r="L94">
        <v>16.23</v>
      </c>
      <c r="M94" s="78">
        <v>-4.13</v>
      </c>
      <c r="N94" s="78">
        <v>6.29</v>
      </c>
      <c r="O94" s="78">
        <v>-12.41</v>
      </c>
      <c r="P94" s="78">
        <v>-33.479999999999997</v>
      </c>
      <c r="Q94" s="78">
        <v>6.29</v>
      </c>
      <c r="R94" s="78">
        <v>-1.1599999999999999</v>
      </c>
      <c r="S94" s="78">
        <v>34.69</v>
      </c>
      <c r="T94" s="78">
        <v>559.76</v>
      </c>
    </row>
    <row r="95" spans="1:20" x14ac:dyDescent="0.3">
      <c r="A95" s="5">
        <v>45502</v>
      </c>
      <c r="B95" s="6" t="s">
        <v>440</v>
      </c>
      <c r="C95" s="7" t="s">
        <v>7</v>
      </c>
      <c r="D95" s="7">
        <v>60</v>
      </c>
      <c r="E95" s="8">
        <v>15.81</v>
      </c>
      <c r="F95" s="9">
        <f t="shared" si="8"/>
        <v>948.6</v>
      </c>
      <c r="K95" t="s">
        <v>140</v>
      </c>
      <c r="L95">
        <v>31.22</v>
      </c>
      <c r="M95" s="78">
        <v>-0.26</v>
      </c>
      <c r="N95" s="78">
        <v>-9.19</v>
      </c>
      <c r="O95" s="78">
        <v>14.44</v>
      </c>
      <c r="P95" s="78">
        <v>43.34</v>
      </c>
      <c r="Q95" s="78">
        <v>-9.19</v>
      </c>
      <c r="R95" s="78">
        <v>40.76</v>
      </c>
      <c r="S95" s="78">
        <v>317.38</v>
      </c>
      <c r="T95" s="78"/>
    </row>
    <row r="96" spans="1:20" x14ac:dyDescent="0.3">
      <c r="A96" s="5">
        <v>45502</v>
      </c>
      <c r="B96" s="6" t="s">
        <v>26</v>
      </c>
      <c r="C96" s="7" t="s">
        <v>7</v>
      </c>
      <c r="D96" s="7">
        <v>25</v>
      </c>
      <c r="E96" s="8">
        <v>91.5</v>
      </c>
      <c r="F96" s="9">
        <f t="shared" si="8"/>
        <v>2287.5</v>
      </c>
      <c r="K96" t="s">
        <v>141</v>
      </c>
      <c r="L96">
        <v>31.88</v>
      </c>
      <c r="M96" s="78">
        <v>2.84</v>
      </c>
      <c r="N96" s="78">
        <v>10.16</v>
      </c>
      <c r="O96" s="78">
        <v>32.17</v>
      </c>
      <c r="P96" s="78">
        <v>30.92</v>
      </c>
      <c r="Q96" s="78">
        <v>10.16</v>
      </c>
      <c r="R96" s="78">
        <v>72.42</v>
      </c>
      <c r="S96" s="78"/>
      <c r="T96" s="78"/>
    </row>
    <row r="97" spans="1:20" x14ac:dyDescent="0.3">
      <c r="A97" s="5">
        <v>45502</v>
      </c>
      <c r="B97" s="6" t="s">
        <v>33</v>
      </c>
      <c r="C97" s="7" t="s">
        <v>7</v>
      </c>
      <c r="D97" s="7">
        <v>40</v>
      </c>
      <c r="E97" s="8">
        <v>35.24</v>
      </c>
      <c r="F97" s="9">
        <f t="shared" si="8"/>
        <v>1409.6000000000001</v>
      </c>
      <c r="K97" t="s">
        <v>51</v>
      </c>
      <c r="L97">
        <v>11.02</v>
      </c>
      <c r="M97" s="78">
        <v>-3.25</v>
      </c>
      <c r="N97" s="78">
        <v>-8.5500000000000007</v>
      </c>
      <c r="O97" s="78">
        <v>6.68</v>
      </c>
      <c r="P97" s="78">
        <v>-10.62</v>
      </c>
      <c r="Q97" s="78">
        <v>-8.5500000000000007</v>
      </c>
      <c r="R97" s="78">
        <v>36.89</v>
      </c>
      <c r="S97" s="78">
        <v>257.79000000000002</v>
      </c>
      <c r="T97" s="78">
        <v>465.13</v>
      </c>
    </row>
    <row r="98" spans="1:20" x14ac:dyDescent="0.3">
      <c r="A98" s="5">
        <v>45502</v>
      </c>
      <c r="B98" s="6" t="s">
        <v>55</v>
      </c>
      <c r="C98" s="7" t="s">
        <v>7</v>
      </c>
      <c r="D98" s="7">
        <v>150</v>
      </c>
      <c r="E98" s="8">
        <v>10.62</v>
      </c>
      <c r="F98" s="9">
        <f t="shared" si="8"/>
        <v>1592.9999999999998</v>
      </c>
      <c r="K98" t="s">
        <v>142</v>
      </c>
      <c r="L98">
        <v>23.3</v>
      </c>
      <c r="M98" s="78">
        <v>-5.97</v>
      </c>
      <c r="N98" s="78">
        <v>0.52</v>
      </c>
      <c r="O98" s="78">
        <v>20.73</v>
      </c>
      <c r="P98" s="78">
        <v>-15.55</v>
      </c>
      <c r="Q98" s="78">
        <v>0.52</v>
      </c>
      <c r="R98" s="78">
        <v>-34.42</v>
      </c>
      <c r="S98" s="78">
        <v>547.22</v>
      </c>
      <c r="T98" s="78"/>
    </row>
    <row r="99" spans="1:20" x14ac:dyDescent="0.3">
      <c r="A99" s="5">
        <v>45502</v>
      </c>
      <c r="B99" s="6" t="s">
        <v>15</v>
      </c>
      <c r="C99" s="7" t="s">
        <v>9</v>
      </c>
      <c r="D99" s="7">
        <v>25</v>
      </c>
      <c r="E99" s="8">
        <v>52.35</v>
      </c>
      <c r="F99" s="9">
        <f t="shared" si="8"/>
        <v>1308.75</v>
      </c>
      <c r="K99" t="s">
        <v>143</v>
      </c>
      <c r="L99">
        <v>76.5</v>
      </c>
      <c r="M99" s="78">
        <v>4.87</v>
      </c>
      <c r="N99" s="78">
        <v>11.84</v>
      </c>
      <c r="O99" s="78">
        <v>81.02</v>
      </c>
      <c r="P99" s="78">
        <v>100.47</v>
      </c>
      <c r="Q99" s="78">
        <v>11.84</v>
      </c>
      <c r="R99" s="78">
        <v>88.52</v>
      </c>
      <c r="S99" s="78"/>
      <c r="T99" s="78"/>
    </row>
    <row r="100" spans="1:20" x14ac:dyDescent="0.3">
      <c r="A100" s="5">
        <v>45502</v>
      </c>
      <c r="B100" s="6" t="s">
        <v>34</v>
      </c>
      <c r="C100" s="7" t="s">
        <v>9</v>
      </c>
      <c r="D100" s="7">
        <v>30</v>
      </c>
      <c r="E100" s="8">
        <v>53.55</v>
      </c>
      <c r="F100" s="9">
        <f t="shared" si="8"/>
        <v>1606.5</v>
      </c>
      <c r="K100" t="s">
        <v>144</v>
      </c>
      <c r="L100">
        <v>21.48</v>
      </c>
      <c r="M100" s="78">
        <v>-6.61</v>
      </c>
      <c r="N100" s="78">
        <v>-4.53</v>
      </c>
      <c r="O100" s="78">
        <v>-1.51</v>
      </c>
      <c r="P100" s="78">
        <v>-25.21</v>
      </c>
      <c r="Q100" s="78">
        <v>-4.53</v>
      </c>
      <c r="R100" s="78"/>
      <c r="S100" s="78"/>
      <c r="T100" s="78"/>
    </row>
    <row r="101" spans="1:20" x14ac:dyDescent="0.3">
      <c r="A101" s="5">
        <v>45502</v>
      </c>
      <c r="B101" s="6" t="s">
        <v>30</v>
      </c>
      <c r="C101" s="7" t="s">
        <v>9</v>
      </c>
      <c r="D101" s="7">
        <v>25</v>
      </c>
      <c r="E101" s="8">
        <v>75.2</v>
      </c>
      <c r="F101" s="9">
        <f t="shared" si="8"/>
        <v>1880</v>
      </c>
      <c r="K101" t="s">
        <v>145</v>
      </c>
      <c r="L101">
        <v>6.49</v>
      </c>
      <c r="M101" s="78">
        <v>-6.48</v>
      </c>
      <c r="N101" s="78">
        <v>-9.74</v>
      </c>
      <c r="O101" s="78">
        <v>5.87</v>
      </c>
      <c r="P101" s="78">
        <v>-25.74</v>
      </c>
      <c r="Q101" s="78">
        <v>-9.74</v>
      </c>
      <c r="R101" s="78">
        <v>28.01</v>
      </c>
      <c r="S101" s="78">
        <v>303.11</v>
      </c>
      <c r="T101" s="78">
        <v>1482.93</v>
      </c>
    </row>
    <row r="102" spans="1:20" x14ac:dyDescent="0.3">
      <c r="A102" s="5">
        <v>45502</v>
      </c>
      <c r="B102" s="6" t="s">
        <v>35</v>
      </c>
      <c r="C102" s="7" t="s">
        <v>7</v>
      </c>
      <c r="D102" s="7">
        <v>2</v>
      </c>
      <c r="E102" s="8">
        <v>506</v>
      </c>
      <c r="F102" s="9">
        <f t="shared" si="8"/>
        <v>1012</v>
      </c>
      <c r="K102" t="s">
        <v>146</v>
      </c>
      <c r="L102">
        <v>84.3</v>
      </c>
      <c r="M102" s="78">
        <v>-0.94</v>
      </c>
      <c r="N102" s="78">
        <v>-7.11</v>
      </c>
      <c r="O102" s="78">
        <v>1.81</v>
      </c>
      <c r="P102" s="78">
        <v>-22.09</v>
      </c>
      <c r="Q102" s="78">
        <v>-7.11</v>
      </c>
      <c r="R102" s="78">
        <v>-3.64</v>
      </c>
      <c r="S102" s="78">
        <v>261.64999999999998</v>
      </c>
      <c r="T102" s="78">
        <v>979.39</v>
      </c>
    </row>
    <row r="103" spans="1:20" x14ac:dyDescent="0.3">
      <c r="A103" s="5">
        <v>45502</v>
      </c>
      <c r="B103" s="6" t="s">
        <v>26</v>
      </c>
      <c r="C103" s="7" t="s">
        <v>9</v>
      </c>
      <c r="D103" s="7">
        <v>25</v>
      </c>
      <c r="E103" s="8">
        <v>96.1</v>
      </c>
      <c r="F103" s="9">
        <f t="shared" si="8"/>
        <v>2402.5</v>
      </c>
      <c r="K103" t="s">
        <v>147</v>
      </c>
      <c r="L103">
        <v>12.38</v>
      </c>
      <c r="M103" s="78">
        <v>-4.7699999999999996</v>
      </c>
      <c r="N103" s="78">
        <v>2.74</v>
      </c>
      <c r="O103" s="78">
        <v>34.57</v>
      </c>
      <c r="P103" s="78">
        <v>39.89</v>
      </c>
      <c r="Q103" s="78">
        <v>2.74</v>
      </c>
      <c r="R103" s="78">
        <v>190.61</v>
      </c>
      <c r="S103" s="78">
        <v>1245.6500000000001</v>
      </c>
      <c r="T103" s="78">
        <v>3541.18</v>
      </c>
    </row>
    <row r="104" spans="1:20" x14ac:dyDescent="0.3">
      <c r="A104" s="5">
        <v>45502</v>
      </c>
      <c r="B104" s="6" t="s">
        <v>34</v>
      </c>
      <c r="C104" s="7" t="s">
        <v>7</v>
      </c>
      <c r="D104" s="7">
        <v>30</v>
      </c>
      <c r="E104" s="8">
        <v>50.85</v>
      </c>
      <c r="F104" s="9">
        <f t="shared" si="8"/>
        <v>1525.5</v>
      </c>
      <c r="K104" t="s">
        <v>148</v>
      </c>
      <c r="L104">
        <v>24.52</v>
      </c>
      <c r="M104" s="78">
        <v>-6.34</v>
      </c>
      <c r="N104" s="78">
        <v>1.74</v>
      </c>
      <c r="O104" s="78">
        <v>-8.16</v>
      </c>
      <c r="P104" s="78">
        <v>-24.44</v>
      </c>
      <c r="Q104" s="78">
        <v>1.74</v>
      </c>
      <c r="R104" s="78">
        <v>-26.39</v>
      </c>
      <c r="S104" s="78">
        <v>452.25</v>
      </c>
      <c r="T104" s="78">
        <v>1413.58</v>
      </c>
    </row>
    <row r="105" spans="1:20" x14ac:dyDescent="0.3">
      <c r="A105" s="10">
        <v>45503</v>
      </c>
      <c r="B105" s="11" t="s">
        <v>34</v>
      </c>
      <c r="C105" s="12" t="s">
        <v>9</v>
      </c>
      <c r="D105" s="12">
        <v>30</v>
      </c>
      <c r="E105" s="13">
        <v>53.9</v>
      </c>
      <c r="F105" s="14">
        <f t="shared" ref="F105:F115" si="9">+E105*D105</f>
        <v>1617</v>
      </c>
      <c r="K105" t="s">
        <v>149</v>
      </c>
      <c r="L105">
        <v>54.6</v>
      </c>
      <c r="M105" s="78">
        <v>-13.47</v>
      </c>
      <c r="N105" s="78">
        <v>12.48</v>
      </c>
      <c r="O105" s="78">
        <v>8.44</v>
      </c>
      <c r="P105" s="78">
        <v>9.77</v>
      </c>
      <c r="Q105" s="78">
        <v>12.48</v>
      </c>
      <c r="R105" s="78">
        <v>-7.33</v>
      </c>
      <c r="S105" s="78"/>
      <c r="T105" s="78"/>
    </row>
    <row r="106" spans="1:20" x14ac:dyDescent="0.3">
      <c r="A106" s="5">
        <v>45503</v>
      </c>
      <c r="B106" s="6" t="s">
        <v>50</v>
      </c>
      <c r="C106" s="7" t="s">
        <v>7</v>
      </c>
      <c r="D106" s="7">
        <v>100</v>
      </c>
      <c r="E106" s="8">
        <v>22.12</v>
      </c>
      <c r="F106" s="9">
        <f t="shared" si="9"/>
        <v>2212</v>
      </c>
      <c r="K106" t="s">
        <v>13</v>
      </c>
      <c r="L106">
        <v>14.97</v>
      </c>
      <c r="M106" s="78">
        <v>-2.67</v>
      </c>
      <c r="N106" s="78">
        <v>0.2</v>
      </c>
      <c r="O106" s="78">
        <v>-7.54</v>
      </c>
      <c r="P106" s="78">
        <v>-18.64</v>
      </c>
      <c r="Q106" s="78">
        <v>0.2</v>
      </c>
      <c r="R106" s="78">
        <v>-54.44</v>
      </c>
      <c r="S106" s="78">
        <v>231.93</v>
      </c>
      <c r="T106" s="78"/>
    </row>
    <row r="107" spans="1:20" x14ac:dyDescent="0.3">
      <c r="A107" s="5">
        <v>45503</v>
      </c>
      <c r="B107" s="6" t="s">
        <v>43</v>
      </c>
      <c r="C107" s="7" t="s">
        <v>9</v>
      </c>
      <c r="D107" s="7">
        <v>10</v>
      </c>
      <c r="E107" s="8">
        <v>223</v>
      </c>
      <c r="F107" s="9">
        <f t="shared" si="9"/>
        <v>2230</v>
      </c>
      <c r="K107" t="s">
        <v>150</v>
      </c>
      <c r="L107">
        <v>5.08</v>
      </c>
      <c r="M107" s="78">
        <v>-3.97</v>
      </c>
      <c r="N107" s="78">
        <v>-13.16</v>
      </c>
      <c r="O107" s="78">
        <v>6.05</v>
      </c>
      <c r="P107" s="78">
        <v>-18.46</v>
      </c>
      <c r="Q107" s="78">
        <v>-13.16</v>
      </c>
      <c r="R107" s="78">
        <v>12.89</v>
      </c>
      <c r="S107" s="78">
        <v>234.21</v>
      </c>
      <c r="T107" s="78">
        <v>458.24</v>
      </c>
    </row>
    <row r="108" spans="1:20" x14ac:dyDescent="0.3">
      <c r="A108" s="5">
        <v>45503</v>
      </c>
      <c r="B108" s="6" t="s">
        <v>20</v>
      </c>
      <c r="C108" s="7" t="s">
        <v>9</v>
      </c>
      <c r="D108" s="7">
        <v>100</v>
      </c>
      <c r="E108" s="8">
        <v>19.32</v>
      </c>
      <c r="F108" s="9">
        <f t="shared" si="9"/>
        <v>1932</v>
      </c>
      <c r="K108" t="s">
        <v>151</v>
      </c>
      <c r="L108">
        <v>394.25</v>
      </c>
      <c r="M108" s="78">
        <v>-4.13</v>
      </c>
      <c r="N108" s="78">
        <v>-8.5299999999999994</v>
      </c>
      <c r="O108" s="78">
        <v>-18.84</v>
      </c>
      <c r="P108" s="78">
        <v>-6.08</v>
      </c>
      <c r="Q108" s="78">
        <v>-8.5299999999999994</v>
      </c>
      <c r="R108" s="78">
        <v>-35.58</v>
      </c>
      <c r="S108" s="78">
        <v>1438.84</v>
      </c>
      <c r="T108" s="78">
        <v>3014.14</v>
      </c>
    </row>
    <row r="109" spans="1:20" x14ac:dyDescent="0.3">
      <c r="A109" s="5">
        <v>45503</v>
      </c>
      <c r="B109" s="6" t="s">
        <v>33</v>
      </c>
      <c r="C109" s="7" t="s">
        <v>9</v>
      </c>
      <c r="D109" s="7">
        <v>40</v>
      </c>
      <c r="E109" s="8">
        <v>38.619999999999997</v>
      </c>
      <c r="F109" s="9">
        <f t="shared" si="9"/>
        <v>1544.8</v>
      </c>
      <c r="K109" t="s">
        <v>152</v>
      </c>
      <c r="L109">
        <v>1802</v>
      </c>
      <c r="M109" s="78">
        <v>-4.66</v>
      </c>
      <c r="N109" s="78">
        <v>-11.62</v>
      </c>
      <c r="O109" s="78">
        <v>-7.4</v>
      </c>
      <c r="P109" s="78">
        <v>-14.88</v>
      </c>
      <c r="Q109" s="78">
        <v>-11.62</v>
      </c>
      <c r="R109" s="78">
        <v>-30.01</v>
      </c>
      <c r="S109" s="78">
        <v>431.59</v>
      </c>
      <c r="T109" s="78">
        <v>2699.88</v>
      </c>
    </row>
    <row r="110" spans="1:20" x14ac:dyDescent="0.3">
      <c r="A110" s="5">
        <v>45503</v>
      </c>
      <c r="B110" s="11" t="s">
        <v>33</v>
      </c>
      <c r="C110" s="12" t="s">
        <v>9</v>
      </c>
      <c r="D110" s="12">
        <v>40</v>
      </c>
      <c r="E110" s="13">
        <v>40.56</v>
      </c>
      <c r="F110" s="14">
        <f t="shared" si="9"/>
        <v>1622.4</v>
      </c>
      <c r="K110" t="s">
        <v>153</v>
      </c>
      <c r="L110">
        <v>13.27</v>
      </c>
      <c r="M110" s="78">
        <v>3.43</v>
      </c>
      <c r="N110" s="78">
        <v>11.14</v>
      </c>
      <c r="O110" s="78">
        <v>-3</v>
      </c>
      <c r="P110" s="78">
        <v>12.84</v>
      </c>
      <c r="Q110" s="78">
        <v>11.14</v>
      </c>
      <c r="R110" s="78">
        <v>303.33999999999997</v>
      </c>
      <c r="S110" s="78">
        <v>2040.32</v>
      </c>
      <c r="T110" s="78">
        <v>3302.56</v>
      </c>
    </row>
    <row r="111" spans="1:20" x14ac:dyDescent="0.3">
      <c r="A111" s="5">
        <v>45503</v>
      </c>
      <c r="B111" s="11" t="s">
        <v>33</v>
      </c>
      <c r="C111" s="7" t="s">
        <v>7</v>
      </c>
      <c r="D111" s="7">
        <v>40</v>
      </c>
      <c r="E111" s="8">
        <v>36.68</v>
      </c>
      <c r="F111" s="9">
        <f t="shared" si="9"/>
        <v>1467.2</v>
      </c>
      <c r="K111" t="s">
        <v>154</v>
      </c>
      <c r="L111">
        <v>4.37</v>
      </c>
      <c r="M111" s="78">
        <v>-4.17</v>
      </c>
      <c r="N111" s="78">
        <v>-4.17</v>
      </c>
      <c r="O111" s="78">
        <v>-16.28</v>
      </c>
      <c r="P111" s="78">
        <v>-26.68</v>
      </c>
      <c r="Q111" s="78">
        <v>-4.17</v>
      </c>
      <c r="R111" s="78">
        <v>20.39</v>
      </c>
      <c r="S111" s="78">
        <v>871.11</v>
      </c>
      <c r="T111" s="78">
        <v>3541.67</v>
      </c>
    </row>
    <row r="112" spans="1:20" x14ac:dyDescent="0.3">
      <c r="A112" s="5">
        <v>45504</v>
      </c>
      <c r="B112" s="6" t="s">
        <v>34</v>
      </c>
      <c r="C112" s="7" t="s">
        <v>7</v>
      </c>
      <c r="D112" s="7">
        <v>30</v>
      </c>
      <c r="E112" s="8">
        <v>51.2</v>
      </c>
      <c r="F112" s="9">
        <f t="shared" si="9"/>
        <v>1536</v>
      </c>
      <c r="K112" t="s">
        <v>155</v>
      </c>
      <c r="L112">
        <v>8.4499999999999993</v>
      </c>
      <c r="M112" s="78">
        <v>-7.65</v>
      </c>
      <c r="N112" s="78">
        <v>-7.85</v>
      </c>
      <c r="O112" s="78">
        <v>32.24</v>
      </c>
      <c r="P112" s="78">
        <v>4.0599999999999996</v>
      </c>
      <c r="Q112" s="78">
        <v>-7.85</v>
      </c>
      <c r="R112" s="78">
        <v>6.83</v>
      </c>
      <c r="S112" s="78">
        <v>374.72</v>
      </c>
      <c r="T112" s="78">
        <v>818.48</v>
      </c>
    </row>
    <row r="113" spans="1:20" x14ac:dyDescent="0.3">
      <c r="A113" s="5">
        <v>45504</v>
      </c>
      <c r="B113" s="6" t="s">
        <v>33</v>
      </c>
      <c r="C113" s="7" t="s">
        <v>9</v>
      </c>
      <c r="D113" s="7">
        <v>40</v>
      </c>
      <c r="E113" s="8">
        <v>38.520000000000003</v>
      </c>
      <c r="F113" s="9">
        <f t="shared" si="9"/>
        <v>1540.8000000000002</v>
      </c>
      <c r="K113" t="s">
        <v>156</v>
      </c>
      <c r="L113">
        <v>17.43</v>
      </c>
      <c r="M113" s="78">
        <v>-3.33</v>
      </c>
      <c r="N113" s="78">
        <v>-5.99</v>
      </c>
      <c r="O113" s="78">
        <v>-23.42</v>
      </c>
      <c r="P113" s="78">
        <v>-12.68</v>
      </c>
      <c r="Q113" s="78">
        <v>-5.99</v>
      </c>
      <c r="R113" s="78">
        <v>-1.91</v>
      </c>
      <c r="S113" s="78">
        <v>464.08</v>
      </c>
      <c r="T113" s="78">
        <v>2051.85</v>
      </c>
    </row>
    <row r="114" spans="1:20" x14ac:dyDescent="0.3">
      <c r="A114" s="5">
        <v>45504</v>
      </c>
      <c r="B114" s="6" t="s">
        <v>440</v>
      </c>
      <c r="C114" s="7" t="s">
        <v>7</v>
      </c>
      <c r="D114" s="7">
        <v>60</v>
      </c>
      <c r="E114" s="8">
        <v>15.02</v>
      </c>
      <c r="F114" s="9">
        <f t="shared" si="9"/>
        <v>901.19999999999993</v>
      </c>
      <c r="K114" t="s">
        <v>14</v>
      </c>
      <c r="L114">
        <v>105.8</v>
      </c>
      <c r="M114" s="78">
        <v>-2.04</v>
      </c>
      <c r="N114" s="78">
        <v>-4.7699999999999996</v>
      </c>
      <c r="O114" s="78">
        <v>-23.99</v>
      </c>
      <c r="P114" s="78">
        <v>-9.18</v>
      </c>
      <c r="Q114" s="78">
        <v>-4.7699999999999996</v>
      </c>
      <c r="R114" s="78">
        <v>-16.690000000000001</v>
      </c>
      <c r="S114" s="78">
        <v>322.52</v>
      </c>
      <c r="T114" s="78">
        <v>710.73</v>
      </c>
    </row>
    <row r="115" spans="1:20" x14ac:dyDescent="0.3">
      <c r="A115" s="5">
        <v>45504</v>
      </c>
      <c r="B115" s="6" t="s">
        <v>440</v>
      </c>
      <c r="C115" s="7" t="s">
        <v>9</v>
      </c>
      <c r="D115" s="7">
        <v>60</v>
      </c>
      <c r="E115" s="8">
        <v>15.04</v>
      </c>
      <c r="F115" s="9">
        <f t="shared" si="9"/>
        <v>902.4</v>
      </c>
      <c r="K115" t="s">
        <v>157</v>
      </c>
      <c r="L115">
        <v>105.9</v>
      </c>
      <c r="M115" s="78">
        <v>-1.94</v>
      </c>
      <c r="N115" s="78">
        <v>17.86</v>
      </c>
      <c r="O115" s="78">
        <v>27.44</v>
      </c>
      <c r="P115" s="78">
        <v>0.19</v>
      </c>
      <c r="Q115" s="78">
        <v>17.86</v>
      </c>
      <c r="R115" s="78">
        <v>7.06</v>
      </c>
      <c r="S115" s="78"/>
      <c r="T115" s="78"/>
    </row>
    <row r="116" spans="1:20" x14ac:dyDescent="0.3">
      <c r="A116" s="5">
        <v>45504</v>
      </c>
      <c r="B116" s="6" t="s">
        <v>20</v>
      </c>
      <c r="C116" s="7" t="s">
        <v>7</v>
      </c>
      <c r="D116" s="7">
        <v>100</v>
      </c>
      <c r="E116" s="8">
        <v>18.350000000000001</v>
      </c>
      <c r="F116" s="9">
        <f t="shared" ref="F116:F121" si="10">+E116*D116</f>
        <v>1835.0000000000002</v>
      </c>
      <c r="K116" t="s">
        <v>158</v>
      </c>
      <c r="L116">
        <v>23.24</v>
      </c>
      <c r="M116" s="78">
        <v>-5.53</v>
      </c>
      <c r="N116" s="78">
        <v>-9.43</v>
      </c>
      <c r="O116" s="78">
        <v>17.079999999999998</v>
      </c>
      <c r="P116" s="78">
        <v>-12.96</v>
      </c>
      <c r="Q116" s="78">
        <v>-9.43</v>
      </c>
      <c r="R116" s="78">
        <v>-35.520000000000003</v>
      </c>
      <c r="S116" s="78"/>
      <c r="T116" s="78"/>
    </row>
    <row r="117" spans="1:20" x14ac:dyDescent="0.3">
      <c r="A117" s="5">
        <v>45504</v>
      </c>
      <c r="B117" s="11" t="s">
        <v>15</v>
      </c>
      <c r="C117" s="12" t="s">
        <v>9</v>
      </c>
      <c r="D117" s="12">
        <v>25</v>
      </c>
      <c r="E117" s="13">
        <v>55</v>
      </c>
      <c r="F117" s="14">
        <f t="shared" si="10"/>
        <v>1375</v>
      </c>
      <c r="K117" t="s">
        <v>159</v>
      </c>
      <c r="L117">
        <v>1.53</v>
      </c>
      <c r="M117" s="78">
        <v>-4.38</v>
      </c>
      <c r="N117" s="78">
        <v>-7.83</v>
      </c>
      <c r="O117" s="78">
        <v>4.79</v>
      </c>
      <c r="P117" s="78">
        <v>-15.47</v>
      </c>
      <c r="Q117" s="78">
        <v>-7.83</v>
      </c>
      <c r="R117" s="78">
        <v>-36.51</v>
      </c>
      <c r="S117" s="78">
        <v>59.38</v>
      </c>
      <c r="T117" s="78"/>
    </row>
    <row r="118" spans="1:20" x14ac:dyDescent="0.3">
      <c r="A118" s="5">
        <v>45505</v>
      </c>
      <c r="B118" s="6" t="s">
        <v>52</v>
      </c>
      <c r="C118" s="7" t="s">
        <v>7</v>
      </c>
      <c r="D118" s="7">
        <v>150</v>
      </c>
      <c r="E118" s="8">
        <v>8.7100000000000009</v>
      </c>
      <c r="F118" s="9">
        <f t="shared" si="10"/>
        <v>1306.5000000000002</v>
      </c>
      <c r="K118" t="s">
        <v>160</v>
      </c>
      <c r="L118">
        <v>78.099999999999994</v>
      </c>
      <c r="M118" s="78">
        <v>0.19</v>
      </c>
      <c r="N118" s="78">
        <v>-3.52</v>
      </c>
      <c r="O118" s="78">
        <v>-1.33</v>
      </c>
      <c r="P118" s="78">
        <v>-18.309999999999999</v>
      </c>
      <c r="Q118" s="78">
        <v>-3.52</v>
      </c>
      <c r="R118" s="78">
        <v>-18.43</v>
      </c>
      <c r="S118" s="78">
        <v>-29.06</v>
      </c>
      <c r="T118" s="78">
        <v>892.38</v>
      </c>
    </row>
    <row r="119" spans="1:20" x14ac:dyDescent="0.3">
      <c r="A119" s="5">
        <v>45505</v>
      </c>
      <c r="B119" s="6" t="s">
        <v>35</v>
      </c>
      <c r="C119" s="7" t="s">
        <v>9</v>
      </c>
      <c r="D119" s="7">
        <v>2</v>
      </c>
      <c r="E119" s="8">
        <v>531.5</v>
      </c>
      <c r="F119" s="9">
        <f t="shared" si="10"/>
        <v>1063</v>
      </c>
      <c r="K119" t="s">
        <v>15</v>
      </c>
      <c r="L119">
        <v>35</v>
      </c>
      <c r="M119" s="78">
        <v>-6.82</v>
      </c>
      <c r="N119" s="78">
        <v>-8.18</v>
      </c>
      <c r="O119" s="78">
        <v>-2.89</v>
      </c>
      <c r="P119" s="78">
        <v>-35.659999999999997</v>
      </c>
      <c r="Q119" s="78">
        <v>-8.18</v>
      </c>
      <c r="R119" s="78">
        <v>-55.81</v>
      </c>
      <c r="S119" s="78"/>
      <c r="T119" s="78"/>
    </row>
    <row r="120" spans="1:20" x14ac:dyDescent="0.3">
      <c r="A120" s="5">
        <v>45505</v>
      </c>
      <c r="B120" s="6" t="s">
        <v>26</v>
      </c>
      <c r="C120" s="7" t="s">
        <v>7</v>
      </c>
      <c r="D120" s="7">
        <v>25</v>
      </c>
      <c r="E120" s="8">
        <v>93.65</v>
      </c>
      <c r="F120" s="9">
        <f t="shared" si="10"/>
        <v>2341.25</v>
      </c>
      <c r="K120" t="s">
        <v>161</v>
      </c>
      <c r="L120">
        <v>57.05</v>
      </c>
      <c r="M120" s="78">
        <v>-4.76</v>
      </c>
      <c r="N120" s="78">
        <v>-4.84</v>
      </c>
      <c r="O120" s="78">
        <v>12.08</v>
      </c>
      <c r="P120" s="78">
        <v>-25.82</v>
      </c>
      <c r="Q120" s="78">
        <v>-4.84</v>
      </c>
      <c r="R120" s="78">
        <v>18.48</v>
      </c>
      <c r="S120" s="78">
        <v>473.37</v>
      </c>
      <c r="T120" s="78">
        <v>1393.46</v>
      </c>
    </row>
    <row r="121" spans="1:20" x14ac:dyDescent="0.3">
      <c r="A121" s="5">
        <v>45505</v>
      </c>
      <c r="B121" s="6" t="s">
        <v>26</v>
      </c>
      <c r="C121" s="7" t="s">
        <v>9</v>
      </c>
      <c r="D121" s="7">
        <v>25</v>
      </c>
      <c r="E121" s="8">
        <v>98.35</v>
      </c>
      <c r="F121" s="9">
        <f t="shared" si="10"/>
        <v>2458.75</v>
      </c>
      <c r="K121" t="s">
        <v>162</v>
      </c>
      <c r="L121">
        <v>22.06</v>
      </c>
      <c r="M121" s="78">
        <v>-7.54</v>
      </c>
      <c r="N121" s="78">
        <v>4.3499999999999996</v>
      </c>
      <c r="O121" s="78">
        <v>-11.26</v>
      </c>
      <c r="P121" s="78">
        <v>-31.87</v>
      </c>
      <c r="Q121" s="78">
        <v>4.3499999999999996</v>
      </c>
      <c r="R121" s="78">
        <v>-17.32</v>
      </c>
      <c r="S121" s="78">
        <v>420.28</v>
      </c>
      <c r="T121" s="78">
        <v>1146.33</v>
      </c>
    </row>
    <row r="122" spans="1:20" x14ac:dyDescent="0.3">
      <c r="A122" s="5">
        <v>45505</v>
      </c>
      <c r="B122" s="6" t="s">
        <v>19</v>
      </c>
      <c r="C122" s="7" t="s">
        <v>9</v>
      </c>
      <c r="D122" s="7">
        <v>85</v>
      </c>
      <c r="E122" s="8">
        <v>33.5</v>
      </c>
      <c r="F122" s="9">
        <f t="shared" ref="F122:F137" si="11">+E122*D122</f>
        <v>2847.5</v>
      </c>
      <c r="K122" t="s">
        <v>163</v>
      </c>
      <c r="L122">
        <v>2.94</v>
      </c>
      <c r="M122" s="78">
        <v>-5.16</v>
      </c>
      <c r="N122" s="78">
        <v>-8.6999999999999993</v>
      </c>
      <c r="O122" s="78">
        <v>-19.89</v>
      </c>
      <c r="P122" s="78">
        <v>-34.08</v>
      </c>
      <c r="Q122" s="78">
        <v>-8.6999999999999993</v>
      </c>
      <c r="R122" s="78">
        <v>-39.880000000000003</v>
      </c>
      <c r="S122" s="78">
        <v>151.28</v>
      </c>
      <c r="T122" s="78">
        <v>212.77</v>
      </c>
    </row>
    <row r="123" spans="1:20" x14ac:dyDescent="0.3">
      <c r="A123" s="5">
        <v>45505</v>
      </c>
      <c r="B123" s="6" t="s">
        <v>50</v>
      </c>
      <c r="C123" s="7" t="s">
        <v>9</v>
      </c>
      <c r="D123" s="7">
        <v>50</v>
      </c>
      <c r="E123" s="8">
        <v>23.24</v>
      </c>
      <c r="F123" s="9">
        <f t="shared" si="11"/>
        <v>1162</v>
      </c>
      <c r="K123" t="s">
        <v>164</v>
      </c>
      <c r="L123">
        <v>8.98</v>
      </c>
      <c r="M123" s="78">
        <v>-4.67</v>
      </c>
      <c r="N123" s="78">
        <v>-4.57</v>
      </c>
      <c r="O123" s="78">
        <v>10.18</v>
      </c>
      <c r="P123" s="78">
        <v>-15.28</v>
      </c>
      <c r="Q123" s="78">
        <v>-4.57</v>
      </c>
      <c r="R123" s="78">
        <v>-21.23</v>
      </c>
      <c r="S123" s="78">
        <v>168.06</v>
      </c>
      <c r="T123" s="78">
        <v>479.35</v>
      </c>
    </row>
    <row r="124" spans="1:20" x14ac:dyDescent="0.3">
      <c r="A124" s="5">
        <v>45505</v>
      </c>
      <c r="B124" s="6" t="s">
        <v>15</v>
      </c>
      <c r="C124" s="7" t="s">
        <v>9</v>
      </c>
      <c r="D124" s="7">
        <v>25</v>
      </c>
      <c r="E124" s="8">
        <v>57.75</v>
      </c>
      <c r="F124" s="9">
        <f t="shared" si="11"/>
        <v>1443.75</v>
      </c>
      <c r="K124" t="s">
        <v>587</v>
      </c>
      <c r="L124">
        <v>12.18</v>
      </c>
      <c r="M124" s="78">
        <v>1</v>
      </c>
      <c r="N124" s="78">
        <v>-6.67</v>
      </c>
      <c r="O124" s="78">
        <v>19.760000000000002</v>
      </c>
      <c r="P124" s="78"/>
      <c r="Q124" s="78">
        <v>-6.67</v>
      </c>
      <c r="R124" s="78"/>
      <c r="S124" s="78"/>
      <c r="T124" s="78"/>
    </row>
    <row r="125" spans="1:20" x14ac:dyDescent="0.3">
      <c r="A125" s="5">
        <v>45505</v>
      </c>
      <c r="B125" s="6" t="s">
        <v>26</v>
      </c>
      <c r="C125" s="7" t="s">
        <v>9</v>
      </c>
      <c r="D125" s="7">
        <v>25</v>
      </c>
      <c r="E125" s="8">
        <v>102.1</v>
      </c>
      <c r="F125" s="9">
        <f t="shared" si="11"/>
        <v>2552.5</v>
      </c>
      <c r="K125" t="s">
        <v>165</v>
      </c>
      <c r="L125">
        <v>25</v>
      </c>
      <c r="M125" s="78">
        <v>-4.43</v>
      </c>
      <c r="N125" s="78">
        <v>-10.33</v>
      </c>
      <c r="O125" s="78">
        <v>-58.95</v>
      </c>
      <c r="P125" s="78">
        <v>-21.83</v>
      </c>
      <c r="Q125" s="78">
        <v>-10.33</v>
      </c>
      <c r="R125" s="78">
        <v>24.01</v>
      </c>
      <c r="S125" s="78">
        <v>77.81</v>
      </c>
      <c r="T125" s="78">
        <v>714.33</v>
      </c>
    </row>
    <row r="126" spans="1:20" x14ac:dyDescent="0.3">
      <c r="A126" s="10">
        <v>45506</v>
      </c>
      <c r="B126" s="6" t="s">
        <v>26</v>
      </c>
      <c r="C126" s="7" t="s">
        <v>9</v>
      </c>
      <c r="D126" s="7">
        <v>25</v>
      </c>
      <c r="E126" s="13">
        <v>107.3</v>
      </c>
      <c r="F126" s="14">
        <f t="shared" si="11"/>
        <v>2682.5</v>
      </c>
      <c r="K126" t="s">
        <v>602</v>
      </c>
      <c r="L126">
        <v>29.44</v>
      </c>
      <c r="M126" s="78">
        <v>-6</v>
      </c>
      <c r="N126" s="78">
        <v>-18.899999999999999</v>
      </c>
      <c r="O126" s="78"/>
      <c r="P126" s="78"/>
      <c r="Q126" s="78">
        <v>-18.899999999999999</v>
      </c>
      <c r="R126" s="78"/>
      <c r="S126" s="78"/>
      <c r="T126" s="78"/>
    </row>
    <row r="127" spans="1:20" x14ac:dyDescent="0.3">
      <c r="A127" s="5">
        <v>45506</v>
      </c>
      <c r="B127" s="6" t="s">
        <v>22</v>
      </c>
      <c r="C127" s="7" t="s">
        <v>7</v>
      </c>
      <c r="D127" s="7">
        <v>30</v>
      </c>
      <c r="E127" s="8">
        <v>66.95</v>
      </c>
      <c r="F127" s="9">
        <f t="shared" si="11"/>
        <v>2008.5</v>
      </c>
      <c r="K127" t="s">
        <v>166</v>
      </c>
      <c r="L127">
        <v>53.35</v>
      </c>
      <c r="M127" s="78">
        <v>-3.87</v>
      </c>
      <c r="N127" s="78">
        <v>14.48</v>
      </c>
      <c r="O127" s="78">
        <v>53.04</v>
      </c>
      <c r="P127" s="78">
        <v>58.21</v>
      </c>
      <c r="Q127" s="78">
        <v>14.48</v>
      </c>
      <c r="R127" s="78">
        <v>67.56</v>
      </c>
      <c r="S127" s="78">
        <v>1129.26</v>
      </c>
      <c r="T127" s="78">
        <v>4100.79</v>
      </c>
    </row>
    <row r="128" spans="1:20" x14ac:dyDescent="0.3">
      <c r="A128" s="5">
        <v>45506</v>
      </c>
      <c r="B128" s="6" t="s">
        <v>33</v>
      </c>
      <c r="C128" s="7" t="s">
        <v>7</v>
      </c>
      <c r="D128" s="7">
        <v>40</v>
      </c>
      <c r="E128" s="8">
        <v>36.58</v>
      </c>
      <c r="F128" s="9">
        <f t="shared" si="11"/>
        <v>1463.1999999999998</v>
      </c>
      <c r="K128" t="s">
        <v>167</v>
      </c>
      <c r="L128">
        <v>1923</v>
      </c>
      <c r="M128" s="78">
        <v>-1.99</v>
      </c>
      <c r="N128" s="78">
        <v>1.64</v>
      </c>
      <c r="O128" s="78">
        <v>6.3</v>
      </c>
      <c r="P128" s="78">
        <v>-5.18</v>
      </c>
      <c r="Q128" s="78">
        <v>1.64</v>
      </c>
      <c r="R128" s="78">
        <v>97.44</v>
      </c>
      <c r="S128" s="78">
        <v>916.49</v>
      </c>
      <c r="T128" s="78">
        <v>2193.9299999999998</v>
      </c>
    </row>
    <row r="129" spans="1:20" x14ac:dyDescent="0.3">
      <c r="A129" s="5">
        <v>45506</v>
      </c>
      <c r="B129" s="6" t="s">
        <v>26</v>
      </c>
      <c r="C129" s="7" t="s">
        <v>7</v>
      </c>
      <c r="D129" s="7">
        <v>25</v>
      </c>
      <c r="E129" s="8">
        <v>101.9</v>
      </c>
      <c r="F129" s="9">
        <f t="shared" si="11"/>
        <v>2547.5</v>
      </c>
      <c r="K129" t="s">
        <v>168</v>
      </c>
      <c r="L129">
        <v>2453</v>
      </c>
      <c r="M129" s="78">
        <v>-3.61</v>
      </c>
      <c r="N129" s="78">
        <v>-10.47</v>
      </c>
      <c r="O129" s="78">
        <v>3.28</v>
      </c>
      <c r="P129" s="78">
        <v>-9.98</v>
      </c>
      <c r="Q129" s="78">
        <v>-10.47</v>
      </c>
      <c r="R129" s="78">
        <v>5.01</v>
      </c>
      <c r="S129" s="78">
        <v>1065.32</v>
      </c>
      <c r="T129" s="78">
        <v>5001.91</v>
      </c>
    </row>
    <row r="130" spans="1:20" x14ac:dyDescent="0.3">
      <c r="A130" s="5">
        <v>45506</v>
      </c>
      <c r="B130" s="6" t="s">
        <v>440</v>
      </c>
      <c r="C130" s="7" t="s">
        <v>9</v>
      </c>
      <c r="D130" s="7">
        <v>60</v>
      </c>
      <c r="E130" s="8">
        <v>15.79</v>
      </c>
      <c r="F130" s="9">
        <f t="shared" si="11"/>
        <v>947.4</v>
      </c>
      <c r="K130" t="s">
        <v>169</v>
      </c>
      <c r="L130">
        <v>393.25</v>
      </c>
      <c r="M130" s="78">
        <v>-3.08</v>
      </c>
      <c r="N130" s="78">
        <v>-14.18</v>
      </c>
      <c r="O130" s="78">
        <v>5.26</v>
      </c>
      <c r="P130" s="78">
        <v>16.11</v>
      </c>
      <c r="Q130" s="78">
        <v>-14.18</v>
      </c>
      <c r="R130" s="78">
        <v>50.94</v>
      </c>
      <c r="S130" s="78">
        <v>1298.47</v>
      </c>
      <c r="T130" s="78">
        <v>2250.5700000000002</v>
      </c>
    </row>
    <row r="131" spans="1:20" x14ac:dyDescent="0.3">
      <c r="A131" s="5">
        <v>45506</v>
      </c>
      <c r="B131" s="6" t="s">
        <v>37</v>
      </c>
      <c r="C131" s="7" t="s">
        <v>9</v>
      </c>
      <c r="D131" s="7">
        <v>25</v>
      </c>
      <c r="E131" s="8">
        <v>64.5</v>
      </c>
      <c r="F131" s="9">
        <f t="shared" si="11"/>
        <v>1612.5</v>
      </c>
      <c r="K131" t="s">
        <v>170</v>
      </c>
      <c r="L131">
        <v>2.6</v>
      </c>
      <c r="M131" s="78">
        <v>-3.35</v>
      </c>
      <c r="N131" s="78">
        <v>-7.14</v>
      </c>
      <c r="O131" s="78">
        <v>1.56</v>
      </c>
      <c r="P131" s="78">
        <v>-20.25</v>
      </c>
      <c r="Q131" s="78">
        <v>-7.14</v>
      </c>
      <c r="R131" s="78">
        <v>-28.96</v>
      </c>
      <c r="S131" s="78"/>
      <c r="T131" s="78"/>
    </row>
    <row r="132" spans="1:20" x14ac:dyDescent="0.3">
      <c r="A132" s="5">
        <v>45506</v>
      </c>
      <c r="B132" s="6" t="s">
        <v>15</v>
      </c>
      <c r="C132" s="7" t="s">
        <v>7</v>
      </c>
      <c r="D132" s="7">
        <v>25</v>
      </c>
      <c r="E132" s="8">
        <v>54.85</v>
      </c>
      <c r="F132" s="9">
        <f t="shared" si="11"/>
        <v>1371.25</v>
      </c>
      <c r="K132" t="s">
        <v>171</v>
      </c>
      <c r="L132">
        <v>112.2</v>
      </c>
      <c r="M132" s="78">
        <v>-5.56</v>
      </c>
      <c r="N132" s="78">
        <v>-8.0299999999999994</v>
      </c>
      <c r="O132" s="78">
        <v>6.25</v>
      </c>
      <c r="P132" s="78">
        <v>-2.35</v>
      </c>
      <c r="Q132" s="78">
        <v>-8.0299999999999994</v>
      </c>
      <c r="R132" s="78">
        <v>-10.24</v>
      </c>
      <c r="S132" s="78">
        <v>1149.44</v>
      </c>
      <c r="T132" s="78">
        <v>4071</v>
      </c>
    </row>
    <row r="133" spans="1:20" x14ac:dyDescent="0.3">
      <c r="A133" s="5">
        <v>45506</v>
      </c>
      <c r="B133" s="6" t="s">
        <v>10</v>
      </c>
      <c r="C133" s="7" t="s">
        <v>7</v>
      </c>
      <c r="D133" s="7">
        <v>50</v>
      </c>
      <c r="E133" s="8">
        <v>53.25</v>
      </c>
      <c r="F133" s="9">
        <f t="shared" si="11"/>
        <v>2662.5</v>
      </c>
      <c r="K133" t="s">
        <v>172</v>
      </c>
      <c r="L133">
        <v>7.24</v>
      </c>
      <c r="M133" s="78">
        <v>-1.23</v>
      </c>
      <c r="N133" s="78">
        <v>18.11</v>
      </c>
      <c r="O133" s="78">
        <v>16.59</v>
      </c>
      <c r="P133" s="78">
        <v>-2.16</v>
      </c>
      <c r="Q133" s="78">
        <v>18.11</v>
      </c>
      <c r="R133" s="78">
        <v>22.3</v>
      </c>
      <c r="S133" s="78">
        <v>279.06</v>
      </c>
      <c r="T133" s="78">
        <v>283.07</v>
      </c>
    </row>
    <row r="134" spans="1:20" x14ac:dyDescent="0.3">
      <c r="A134" s="5">
        <v>45506</v>
      </c>
      <c r="B134" s="6" t="s">
        <v>35</v>
      </c>
      <c r="C134" s="7" t="s">
        <v>7</v>
      </c>
      <c r="D134" s="7">
        <v>2</v>
      </c>
      <c r="E134" s="8">
        <v>505</v>
      </c>
      <c r="F134" s="9">
        <f t="shared" si="11"/>
        <v>1010</v>
      </c>
      <c r="K134" t="s">
        <v>173</v>
      </c>
      <c r="L134">
        <v>101.4</v>
      </c>
      <c r="M134" s="78">
        <v>-1.55</v>
      </c>
      <c r="N134" s="78">
        <v>-2.97</v>
      </c>
      <c r="O134" s="78">
        <v>-7.06</v>
      </c>
      <c r="P134" s="78">
        <v>-6.72</v>
      </c>
      <c r="Q134" s="78">
        <v>-2.97</v>
      </c>
      <c r="R134" s="78">
        <v>-18.36</v>
      </c>
      <c r="S134" s="78">
        <v>152.36000000000001</v>
      </c>
      <c r="T134" s="78">
        <v>135.43</v>
      </c>
    </row>
    <row r="135" spans="1:20" x14ac:dyDescent="0.3">
      <c r="A135" s="5">
        <v>45506</v>
      </c>
      <c r="B135" s="6" t="s">
        <v>26</v>
      </c>
      <c r="C135" s="7" t="s">
        <v>9</v>
      </c>
      <c r="D135" s="7">
        <v>25</v>
      </c>
      <c r="E135" s="8">
        <v>107</v>
      </c>
      <c r="F135" s="9">
        <f t="shared" si="11"/>
        <v>2675</v>
      </c>
      <c r="K135" t="s">
        <v>174</v>
      </c>
      <c r="L135">
        <v>23.52</v>
      </c>
      <c r="M135" s="78">
        <v>-5.08</v>
      </c>
      <c r="N135" s="78">
        <v>-15.58</v>
      </c>
      <c r="O135" s="78">
        <v>18.850000000000001</v>
      </c>
      <c r="P135" s="78">
        <v>6.14</v>
      </c>
      <c r="Q135" s="78">
        <v>-15.58</v>
      </c>
      <c r="R135" s="78">
        <v>6.52</v>
      </c>
      <c r="S135" s="78">
        <v>174.45</v>
      </c>
      <c r="T135" s="78">
        <v>540.87</v>
      </c>
    </row>
    <row r="136" spans="1:20" x14ac:dyDescent="0.3">
      <c r="A136" s="5">
        <v>45506</v>
      </c>
      <c r="B136" s="6" t="s">
        <v>53</v>
      </c>
      <c r="C136" s="7" t="s">
        <v>7</v>
      </c>
      <c r="D136" s="7">
        <v>200</v>
      </c>
      <c r="E136" s="8">
        <v>8.2200000000000006</v>
      </c>
      <c r="F136" s="9">
        <f t="shared" si="11"/>
        <v>1644.0000000000002</v>
      </c>
      <c r="K136" t="s">
        <v>175</v>
      </c>
      <c r="L136">
        <v>337.75</v>
      </c>
      <c r="M136" s="78">
        <v>3.21</v>
      </c>
      <c r="N136" s="78">
        <v>17.68</v>
      </c>
      <c r="O136" s="78">
        <v>7.91</v>
      </c>
      <c r="P136" s="78">
        <v>-36.869999999999997</v>
      </c>
      <c r="Q136" s="78">
        <v>17.68</v>
      </c>
      <c r="R136" s="78">
        <v>-21.54</v>
      </c>
      <c r="S136" s="78"/>
      <c r="T136" s="78"/>
    </row>
    <row r="137" spans="1:20" x14ac:dyDescent="0.3">
      <c r="A137" s="5">
        <v>45506</v>
      </c>
      <c r="B137" s="6" t="s">
        <v>26</v>
      </c>
      <c r="C137" s="7" t="s">
        <v>7</v>
      </c>
      <c r="D137" s="7">
        <v>25</v>
      </c>
      <c r="E137" s="8">
        <v>101.6</v>
      </c>
      <c r="F137" s="9">
        <f t="shared" si="11"/>
        <v>2540</v>
      </c>
      <c r="K137" t="s">
        <v>16</v>
      </c>
      <c r="L137">
        <v>19.95</v>
      </c>
      <c r="M137" s="78">
        <v>-1.72</v>
      </c>
      <c r="N137" s="78">
        <v>-5.18</v>
      </c>
      <c r="O137" s="78">
        <v>-12.11</v>
      </c>
      <c r="P137" s="78">
        <v>-32</v>
      </c>
      <c r="Q137" s="78">
        <v>-5.18</v>
      </c>
      <c r="R137" s="78">
        <v>-51.26</v>
      </c>
      <c r="S137" s="78"/>
      <c r="T137" s="78"/>
    </row>
    <row r="138" spans="1:20" x14ac:dyDescent="0.3">
      <c r="A138" s="10">
        <v>45506</v>
      </c>
      <c r="B138" s="11" t="s">
        <v>49</v>
      </c>
      <c r="C138" s="7" t="s">
        <v>7</v>
      </c>
      <c r="D138" s="12">
        <v>40</v>
      </c>
      <c r="E138" s="13">
        <v>32.28</v>
      </c>
      <c r="F138" s="14">
        <f t="shared" ref="F138:F159" si="12">+E138*D138</f>
        <v>1291.2</v>
      </c>
      <c r="K138" t="s">
        <v>176</v>
      </c>
      <c r="L138">
        <v>15.63</v>
      </c>
      <c r="M138" s="78">
        <v>0.97</v>
      </c>
      <c r="N138" s="78">
        <v>-0.7</v>
      </c>
      <c r="O138" s="78">
        <v>-13.21</v>
      </c>
      <c r="P138" s="78">
        <v>-7.24</v>
      </c>
      <c r="Q138" s="78">
        <v>-0.7</v>
      </c>
      <c r="R138" s="78">
        <v>12.04</v>
      </c>
      <c r="S138" s="78">
        <v>295.7</v>
      </c>
      <c r="T138" s="78">
        <v>901.92</v>
      </c>
    </row>
    <row r="139" spans="1:20" x14ac:dyDescent="0.3">
      <c r="A139" s="5">
        <v>45506</v>
      </c>
      <c r="B139" s="11" t="s">
        <v>49</v>
      </c>
      <c r="C139" s="7" t="s">
        <v>9</v>
      </c>
      <c r="D139" s="12">
        <v>40</v>
      </c>
      <c r="E139" s="8">
        <v>33.94</v>
      </c>
      <c r="F139" s="9">
        <f t="shared" si="12"/>
        <v>1357.6</v>
      </c>
      <c r="K139" t="s">
        <v>47</v>
      </c>
      <c r="L139">
        <v>15.58</v>
      </c>
      <c r="M139" s="78">
        <v>0.84</v>
      </c>
      <c r="N139" s="78">
        <v>-10.72</v>
      </c>
      <c r="O139" s="78">
        <v>29.83</v>
      </c>
      <c r="P139" s="78">
        <v>74.47</v>
      </c>
      <c r="Q139" s="78">
        <v>-10.72</v>
      </c>
      <c r="R139" s="78">
        <v>102.6</v>
      </c>
      <c r="S139" s="78">
        <v>437.24</v>
      </c>
      <c r="T139" s="78">
        <v>1177.05</v>
      </c>
    </row>
    <row r="140" spans="1:20" x14ac:dyDescent="0.3">
      <c r="A140" s="10">
        <v>45509</v>
      </c>
      <c r="B140" s="11" t="s">
        <v>440</v>
      </c>
      <c r="C140" s="12" t="s">
        <v>7</v>
      </c>
      <c r="D140" s="12">
        <v>60</v>
      </c>
      <c r="E140" s="13">
        <v>14.32</v>
      </c>
      <c r="F140" s="14">
        <f t="shared" si="12"/>
        <v>859.2</v>
      </c>
      <c r="K140" t="s">
        <v>48</v>
      </c>
      <c r="L140">
        <v>7.52</v>
      </c>
      <c r="M140" s="78">
        <v>-3.59</v>
      </c>
      <c r="N140" s="78">
        <v>9.3000000000000007</v>
      </c>
      <c r="O140" s="78">
        <v>66.37</v>
      </c>
      <c r="P140" s="78">
        <v>49.8</v>
      </c>
      <c r="Q140" s="78">
        <v>9.3000000000000007</v>
      </c>
      <c r="R140" s="78">
        <v>62.77</v>
      </c>
      <c r="S140" s="78"/>
      <c r="T140" s="78"/>
    </row>
    <row r="141" spans="1:20" x14ac:dyDescent="0.3">
      <c r="A141" s="5">
        <v>45509</v>
      </c>
      <c r="B141" s="6" t="s">
        <v>25</v>
      </c>
      <c r="C141" s="12" t="s">
        <v>7</v>
      </c>
      <c r="D141" s="7">
        <v>250</v>
      </c>
      <c r="E141" s="8">
        <v>3.6</v>
      </c>
      <c r="F141" s="9">
        <f t="shared" si="12"/>
        <v>900</v>
      </c>
      <c r="K141" t="s">
        <v>177</v>
      </c>
      <c r="L141">
        <v>4.88</v>
      </c>
      <c r="M141" s="78">
        <v>-4.13</v>
      </c>
      <c r="N141" s="78">
        <v>-10.62</v>
      </c>
      <c r="O141" s="78">
        <v>-2.4</v>
      </c>
      <c r="P141" s="78">
        <v>-18.12</v>
      </c>
      <c r="Q141" s="78">
        <v>-10.62</v>
      </c>
      <c r="R141" s="78">
        <v>-31.56</v>
      </c>
      <c r="S141" s="78">
        <v>39.03</v>
      </c>
      <c r="T141" s="78">
        <v>369.23</v>
      </c>
    </row>
    <row r="142" spans="1:20" x14ac:dyDescent="0.3">
      <c r="A142" s="5">
        <v>45509</v>
      </c>
      <c r="B142" s="6" t="s">
        <v>15</v>
      </c>
      <c r="C142" s="12" t="s">
        <v>7</v>
      </c>
      <c r="D142" s="7">
        <v>25</v>
      </c>
      <c r="E142" s="8">
        <v>52.1</v>
      </c>
      <c r="F142" s="9">
        <f t="shared" si="12"/>
        <v>1302.5</v>
      </c>
      <c r="K142" t="s">
        <v>577</v>
      </c>
      <c r="L142">
        <v>37.06</v>
      </c>
      <c r="M142" s="78">
        <v>-10.7</v>
      </c>
      <c r="N142" s="78">
        <v>24.87</v>
      </c>
      <c r="O142" s="78">
        <v>58.51</v>
      </c>
      <c r="P142" s="78">
        <v>140.96</v>
      </c>
      <c r="Q142" s="78">
        <v>24.87</v>
      </c>
      <c r="R142" s="78"/>
      <c r="S142" s="78"/>
      <c r="T142" s="78"/>
    </row>
    <row r="143" spans="1:20" x14ac:dyDescent="0.3">
      <c r="A143" s="5">
        <v>45509</v>
      </c>
      <c r="B143" s="6" t="s">
        <v>53</v>
      </c>
      <c r="C143" s="12" t="s">
        <v>7</v>
      </c>
      <c r="D143" s="7">
        <v>200</v>
      </c>
      <c r="E143" s="8">
        <v>7.81</v>
      </c>
      <c r="F143" s="9">
        <f t="shared" si="12"/>
        <v>1562</v>
      </c>
      <c r="K143" t="s">
        <v>178</v>
      </c>
      <c r="L143">
        <v>3.29</v>
      </c>
      <c r="M143" s="78">
        <v>-5.46</v>
      </c>
      <c r="N143" s="78">
        <v>-3.52</v>
      </c>
      <c r="O143" s="78">
        <v>-1.2</v>
      </c>
      <c r="P143" s="78">
        <v>-48.99</v>
      </c>
      <c r="Q143" s="78">
        <v>-3.52</v>
      </c>
      <c r="R143" s="78">
        <v>23.22</v>
      </c>
      <c r="S143" s="78">
        <v>138.41</v>
      </c>
      <c r="T143" s="78">
        <v>327.27</v>
      </c>
    </row>
    <row r="144" spans="1:20" x14ac:dyDescent="0.3">
      <c r="A144" s="5">
        <v>45509</v>
      </c>
      <c r="B144" s="6" t="s">
        <v>19</v>
      </c>
      <c r="C144" s="12" t="s">
        <v>7</v>
      </c>
      <c r="D144" s="7">
        <v>100</v>
      </c>
      <c r="E144" s="8">
        <v>29.84</v>
      </c>
      <c r="F144" s="9">
        <f t="shared" si="12"/>
        <v>2984</v>
      </c>
      <c r="K144" t="s">
        <v>179</v>
      </c>
      <c r="L144">
        <v>19.25</v>
      </c>
      <c r="M144" s="78">
        <v>5.19</v>
      </c>
      <c r="N144" s="78">
        <v>11.27</v>
      </c>
      <c r="O144" s="78">
        <v>56.25</v>
      </c>
      <c r="P144" s="78">
        <v>63.27</v>
      </c>
      <c r="Q144" s="78">
        <v>11.27</v>
      </c>
      <c r="R144" s="78">
        <v>72.489999999999995</v>
      </c>
      <c r="S144" s="78">
        <v>1768.93</v>
      </c>
      <c r="T144" s="78">
        <v>2164.71</v>
      </c>
    </row>
    <row r="145" spans="1:20" x14ac:dyDescent="0.3">
      <c r="A145" s="5">
        <v>45509</v>
      </c>
      <c r="B145" s="6" t="s">
        <v>48</v>
      </c>
      <c r="C145" s="12" t="s">
        <v>7</v>
      </c>
      <c r="D145" s="7">
        <v>50</v>
      </c>
      <c r="E145" s="8">
        <v>29.6</v>
      </c>
      <c r="F145" s="9">
        <f t="shared" si="12"/>
        <v>1480</v>
      </c>
      <c r="K145" t="s">
        <v>180</v>
      </c>
      <c r="L145">
        <v>35.4</v>
      </c>
      <c r="M145" s="78">
        <v>-9.4600000000000009</v>
      </c>
      <c r="N145" s="78">
        <v>-7.28</v>
      </c>
      <c r="O145" s="78">
        <v>13.61</v>
      </c>
      <c r="P145" s="78">
        <v>-13.15</v>
      </c>
      <c r="Q145" s="78">
        <v>-7.28</v>
      </c>
      <c r="R145" s="78">
        <v>118.92</v>
      </c>
      <c r="S145" s="78">
        <v>727.1</v>
      </c>
      <c r="T145" s="78">
        <v>575.57000000000005</v>
      </c>
    </row>
    <row r="146" spans="1:20" x14ac:dyDescent="0.3">
      <c r="A146" s="5">
        <v>45509</v>
      </c>
      <c r="B146" s="6" t="s">
        <v>20</v>
      </c>
      <c r="C146" s="12" t="s">
        <v>7</v>
      </c>
      <c r="D146" s="7">
        <v>100</v>
      </c>
      <c r="E146" s="8">
        <v>16.13</v>
      </c>
      <c r="F146" s="9">
        <f t="shared" si="12"/>
        <v>1613</v>
      </c>
      <c r="K146" t="s">
        <v>181</v>
      </c>
      <c r="L146">
        <v>9.74</v>
      </c>
      <c r="M146" s="78">
        <v>-3.08</v>
      </c>
      <c r="N146" s="78">
        <v>-8.8000000000000007</v>
      </c>
      <c r="O146" s="78">
        <v>-5.34</v>
      </c>
      <c r="P146" s="78">
        <v>-19.3</v>
      </c>
      <c r="Q146" s="78">
        <v>-8.8000000000000007</v>
      </c>
      <c r="R146" s="78">
        <v>-7.85</v>
      </c>
      <c r="S146" s="78">
        <v>1045.8800000000001</v>
      </c>
      <c r="T146" s="78">
        <v>1972.34</v>
      </c>
    </row>
    <row r="147" spans="1:20" x14ac:dyDescent="0.3">
      <c r="A147" s="5">
        <v>45508</v>
      </c>
      <c r="B147" s="6" t="s">
        <v>22</v>
      </c>
      <c r="C147" s="12" t="s">
        <v>7</v>
      </c>
      <c r="D147" s="7">
        <v>30</v>
      </c>
      <c r="E147" s="8">
        <v>62.25</v>
      </c>
      <c r="F147" s="9">
        <f t="shared" si="12"/>
        <v>1867.5</v>
      </c>
      <c r="K147" t="s">
        <v>182</v>
      </c>
      <c r="L147">
        <v>47.42</v>
      </c>
      <c r="M147" s="78">
        <v>1.85</v>
      </c>
      <c r="N147" s="78">
        <v>3.09</v>
      </c>
      <c r="O147" s="78">
        <v>-2.83</v>
      </c>
      <c r="P147" s="78">
        <v>-6.47</v>
      </c>
      <c r="Q147" s="78">
        <v>3.09</v>
      </c>
      <c r="R147" s="78">
        <v>26.32</v>
      </c>
      <c r="S147" s="78">
        <v>391.4</v>
      </c>
      <c r="T147" s="78">
        <v>714.78</v>
      </c>
    </row>
    <row r="148" spans="1:20" x14ac:dyDescent="0.3">
      <c r="A148" s="5">
        <v>45509</v>
      </c>
      <c r="B148" s="6" t="s">
        <v>6</v>
      </c>
      <c r="C148" s="12" t="s">
        <v>7</v>
      </c>
      <c r="D148" s="7">
        <v>2</v>
      </c>
      <c r="E148" s="8">
        <v>490.25</v>
      </c>
      <c r="F148" s="9">
        <f t="shared" si="12"/>
        <v>980.5</v>
      </c>
      <c r="K148" t="s">
        <v>17</v>
      </c>
      <c r="L148">
        <v>71.400000000000006</v>
      </c>
      <c r="M148" s="78">
        <v>-3.19</v>
      </c>
      <c r="N148" s="78">
        <v>-8.93</v>
      </c>
      <c r="O148" s="78">
        <v>6.89</v>
      </c>
      <c r="P148" s="78">
        <v>1.71</v>
      </c>
      <c r="Q148" s="78">
        <v>-8.93</v>
      </c>
      <c r="R148" s="78">
        <v>-14.75</v>
      </c>
      <c r="S148" s="78">
        <v>132.94999999999999</v>
      </c>
      <c r="T148" s="78">
        <v>550.27</v>
      </c>
    </row>
    <row r="149" spans="1:20" x14ac:dyDescent="0.3">
      <c r="A149" s="5">
        <v>45509</v>
      </c>
      <c r="B149" s="6" t="s">
        <v>10</v>
      </c>
      <c r="C149" s="12" t="s">
        <v>7</v>
      </c>
      <c r="D149" s="7">
        <v>50</v>
      </c>
      <c r="E149" s="8">
        <v>49.7</v>
      </c>
      <c r="F149" s="9">
        <f t="shared" si="12"/>
        <v>2485</v>
      </c>
      <c r="K149" t="s">
        <v>183</v>
      </c>
      <c r="L149">
        <v>55.4</v>
      </c>
      <c r="M149" s="78">
        <v>5.73</v>
      </c>
      <c r="N149" s="78">
        <v>20.170000000000002</v>
      </c>
      <c r="O149" s="78">
        <v>39.549999999999997</v>
      </c>
      <c r="P149" s="78">
        <v>41.83</v>
      </c>
      <c r="Q149" s="78">
        <v>20.170000000000002</v>
      </c>
      <c r="R149" s="78">
        <v>83.81</v>
      </c>
      <c r="S149" s="78">
        <v>365.55</v>
      </c>
      <c r="T149" s="78">
        <v>498.92</v>
      </c>
    </row>
    <row r="150" spans="1:20" x14ac:dyDescent="0.3">
      <c r="A150" s="5">
        <v>45509</v>
      </c>
      <c r="B150" s="6" t="s">
        <v>34</v>
      </c>
      <c r="C150" s="12" t="s">
        <v>7</v>
      </c>
      <c r="D150" s="7">
        <v>30</v>
      </c>
      <c r="E150" s="8">
        <v>45.24</v>
      </c>
      <c r="F150" s="9">
        <f t="shared" si="12"/>
        <v>1357.2</v>
      </c>
      <c r="K150" t="s">
        <v>184</v>
      </c>
      <c r="L150">
        <v>41.92</v>
      </c>
      <c r="M150" s="78">
        <v>-4.7300000000000004</v>
      </c>
      <c r="N150" s="78">
        <v>-8.5500000000000007</v>
      </c>
      <c r="O150" s="78">
        <v>20.32</v>
      </c>
      <c r="P150" s="78">
        <v>36.64</v>
      </c>
      <c r="Q150" s="78">
        <v>-8.5500000000000007</v>
      </c>
      <c r="R150" s="78">
        <v>28.75</v>
      </c>
      <c r="S150" s="78">
        <v>310.58</v>
      </c>
      <c r="T150" s="78">
        <v>581.63</v>
      </c>
    </row>
    <row r="151" spans="1:20" x14ac:dyDescent="0.3">
      <c r="A151" s="5">
        <v>45509</v>
      </c>
      <c r="B151" s="6" t="s">
        <v>33</v>
      </c>
      <c r="C151" s="12" t="s">
        <v>7</v>
      </c>
      <c r="D151" s="7">
        <v>40</v>
      </c>
      <c r="E151" s="8">
        <v>33</v>
      </c>
      <c r="F151" s="9">
        <f t="shared" si="12"/>
        <v>1320</v>
      </c>
      <c r="K151" t="s">
        <v>185</v>
      </c>
      <c r="L151">
        <v>8.32</v>
      </c>
      <c r="M151" s="78">
        <v>-5.24</v>
      </c>
      <c r="N151" s="78">
        <v>-14.67</v>
      </c>
      <c r="O151" s="78">
        <v>-9.27</v>
      </c>
      <c r="P151" s="78">
        <v>-21.66</v>
      </c>
      <c r="Q151" s="78">
        <v>-14.67</v>
      </c>
      <c r="R151" s="78">
        <v>-17.87</v>
      </c>
      <c r="S151" s="78">
        <v>316</v>
      </c>
      <c r="T151" s="78">
        <v>378.16</v>
      </c>
    </row>
    <row r="152" spans="1:20" x14ac:dyDescent="0.3">
      <c r="A152" s="5">
        <v>45509</v>
      </c>
      <c r="B152" s="6" t="s">
        <v>50</v>
      </c>
      <c r="C152" s="7" t="s">
        <v>7</v>
      </c>
      <c r="D152" s="7">
        <v>50</v>
      </c>
      <c r="E152" s="8">
        <v>21.4</v>
      </c>
      <c r="F152" s="9">
        <f t="shared" si="12"/>
        <v>1070</v>
      </c>
      <c r="K152" t="s">
        <v>186</v>
      </c>
      <c r="L152">
        <v>26.4</v>
      </c>
      <c r="M152" s="78">
        <v>4.0199999999999996</v>
      </c>
      <c r="N152" s="78">
        <v>12.34</v>
      </c>
      <c r="O152" s="78">
        <v>8.11</v>
      </c>
      <c r="P152" s="78">
        <v>-46.12</v>
      </c>
      <c r="Q152" s="78">
        <v>12.34</v>
      </c>
      <c r="R152" s="78">
        <v>34.56</v>
      </c>
      <c r="S152" s="78">
        <v>714.81</v>
      </c>
      <c r="T152" s="78">
        <v>3467.57</v>
      </c>
    </row>
    <row r="153" spans="1:20" x14ac:dyDescent="0.3">
      <c r="A153" s="5">
        <v>45509</v>
      </c>
      <c r="B153" s="6" t="s">
        <v>55</v>
      </c>
      <c r="C153" s="7" t="s">
        <v>7</v>
      </c>
      <c r="D153" s="7">
        <v>150</v>
      </c>
      <c r="E153" s="8">
        <v>10.09</v>
      </c>
      <c r="F153" s="9">
        <f t="shared" si="12"/>
        <v>1513.5</v>
      </c>
      <c r="K153" t="s">
        <v>187</v>
      </c>
      <c r="L153">
        <v>14.78</v>
      </c>
      <c r="M153" s="78">
        <v>-6.46</v>
      </c>
      <c r="N153" s="78">
        <v>-7.04</v>
      </c>
      <c r="O153" s="78">
        <v>-9.33</v>
      </c>
      <c r="P153" s="78">
        <v>-40.880000000000003</v>
      </c>
      <c r="Q153" s="78">
        <v>-7.04</v>
      </c>
      <c r="R153" s="78">
        <v>-7.51</v>
      </c>
      <c r="S153" s="78">
        <v>84.06</v>
      </c>
      <c r="T153" s="78">
        <v>1121.49</v>
      </c>
    </row>
    <row r="154" spans="1:20" x14ac:dyDescent="0.3">
      <c r="A154" s="5">
        <v>45509</v>
      </c>
      <c r="B154" s="6" t="s">
        <v>46</v>
      </c>
      <c r="C154" s="7" t="s">
        <v>7</v>
      </c>
      <c r="D154" s="7">
        <v>5</v>
      </c>
      <c r="E154" s="8">
        <v>237.5</v>
      </c>
      <c r="F154" s="9">
        <f t="shared" si="12"/>
        <v>1187.5</v>
      </c>
      <c r="K154" t="s">
        <v>188</v>
      </c>
      <c r="L154">
        <v>12.61</v>
      </c>
      <c r="M154" s="78">
        <v>2.69</v>
      </c>
      <c r="N154" s="78">
        <v>0.88</v>
      </c>
      <c r="O154" s="78">
        <v>12.09</v>
      </c>
      <c r="P154" s="78">
        <v>-14.04</v>
      </c>
      <c r="Q154" s="78">
        <v>0.88</v>
      </c>
      <c r="R154" s="78">
        <v>-21.58</v>
      </c>
      <c r="S154" s="78"/>
      <c r="T154" s="78"/>
    </row>
    <row r="155" spans="1:20" x14ac:dyDescent="0.3">
      <c r="A155" s="5">
        <v>45509</v>
      </c>
      <c r="B155" s="6" t="s">
        <v>35</v>
      </c>
      <c r="C155" s="7" t="s">
        <v>7</v>
      </c>
      <c r="D155" s="7">
        <v>2</v>
      </c>
      <c r="E155" s="8">
        <v>479.75</v>
      </c>
      <c r="F155" s="9">
        <f t="shared" si="12"/>
        <v>959.5</v>
      </c>
      <c r="K155" t="s">
        <v>189</v>
      </c>
      <c r="L155">
        <v>9.5</v>
      </c>
      <c r="M155" s="78">
        <v>2.81</v>
      </c>
      <c r="N155" s="78">
        <v>10.59</v>
      </c>
      <c r="O155" s="78">
        <v>44.38</v>
      </c>
      <c r="P155" s="78">
        <v>69.040000000000006</v>
      </c>
      <c r="Q155" s="78">
        <v>10.59</v>
      </c>
      <c r="R155" s="78">
        <v>96.69</v>
      </c>
      <c r="S155" s="78">
        <v>281.52999999999997</v>
      </c>
      <c r="T155" s="78">
        <v>763.64</v>
      </c>
    </row>
    <row r="156" spans="1:20" x14ac:dyDescent="0.3">
      <c r="A156" s="5">
        <v>45509</v>
      </c>
      <c r="B156" s="6" t="s">
        <v>37</v>
      </c>
      <c r="C156" s="7" t="s">
        <v>7</v>
      </c>
      <c r="D156" s="7">
        <v>25</v>
      </c>
      <c r="E156" s="8">
        <v>58.85</v>
      </c>
      <c r="F156" s="9">
        <f t="shared" si="12"/>
        <v>1471.25</v>
      </c>
      <c r="K156" t="s">
        <v>190</v>
      </c>
      <c r="L156">
        <v>25.94</v>
      </c>
      <c r="M156" s="78">
        <v>-3.57</v>
      </c>
      <c r="N156" s="78">
        <v>-0.08</v>
      </c>
      <c r="O156" s="78">
        <v>35.53</v>
      </c>
      <c r="P156" s="78">
        <v>91.86</v>
      </c>
      <c r="Q156" s="78">
        <v>-0.08</v>
      </c>
      <c r="R156" s="78">
        <v>65.22</v>
      </c>
      <c r="S156" s="78">
        <v>886.31</v>
      </c>
      <c r="T156" s="78"/>
    </row>
    <row r="157" spans="1:20" x14ac:dyDescent="0.3">
      <c r="A157" s="5">
        <v>45509</v>
      </c>
      <c r="B157" s="6" t="s">
        <v>20</v>
      </c>
      <c r="C157" s="7" t="s">
        <v>9</v>
      </c>
      <c r="D157" s="7">
        <v>100</v>
      </c>
      <c r="E157" s="8">
        <v>17</v>
      </c>
      <c r="F157" s="9">
        <f t="shared" si="12"/>
        <v>1700</v>
      </c>
      <c r="K157" t="s">
        <v>18</v>
      </c>
      <c r="L157">
        <v>188.1</v>
      </c>
      <c r="M157" s="78">
        <v>-3.54</v>
      </c>
      <c r="N157" s="78">
        <v>-2.94</v>
      </c>
      <c r="O157" s="78">
        <v>-10.56</v>
      </c>
      <c r="P157" s="78">
        <v>-18.38</v>
      </c>
      <c r="Q157" s="78">
        <v>-2.94</v>
      </c>
      <c r="R157" s="78">
        <v>-19.559999999999999</v>
      </c>
      <c r="S157" s="78">
        <v>484.89</v>
      </c>
      <c r="T157" s="78">
        <v>2469.67</v>
      </c>
    </row>
    <row r="158" spans="1:20" x14ac:dyDescent="0.3">
      <c r="A158" s="5">
        <v>45509</v>
      </c>
      <c r="B158" s="6" t="s">
        <v>49</v>
      </c>
      <c r="C158" s="7" t="s">
        <v>7</v>
      </c>
      <c r="D158" s="7">
        <v>40</v>
      </c>
      <c r="E158" s="8">
        <v>32.28</v>
      </c>
      <c r="F158" s="9">
        <f t="shared" si="12"/>
        <v>1291.2</v>
      </c>
      <c r="K158" t="s">
        <v>191</v>
      </c>
      <c r="L158">
        <v>180.4</v>
      </c>
      <c r="M158" s="78">
        <v>-6.14</v>
      </c>
      <c r="N158" s="78">
        <v>2.44</v>
      </c>
      <c r="O158" s="78">
        <v>-0.82</v>
      </c>
      <c r="P158" s="78">
        <v>-28.13</v>
      </c>
      <c r="Q158" s="78">
        <v>2.44</v>
      </c>
      <c r="R158" s="78">
        <v>129.96</v>
      </c>
      <c r="S158" s="78">
        <v>122.17</v>
      </c>
      <c r="T158" s="78">
        <v>2740.94</v>
      </c>
    </row>
    <row r="159" spans="1:20" x14ac:dyDescent="0.3">
      <c r="A159" s="5">
        <v>45509</v>
      </c>
      <c r="B159" s="6" t="s">
        <v>6</v>
      </c>
      <c r="C159" s="7" t="s">
        <v>9</v>
      </c>
      <c r="D159" s="7">
        <v>2</v>
      </c>
      <c r="E159" s="8">
        <v>515</v>
      </c>
      <c r="F159" s="9">
        <f t="shared" si="12"/>
        <v>1030</v>
      </c>
      <c r="K159" t="s">
        <v>574</v>
      </c>
      <c r="L159">
        <v>7240</v>
      </c>
      <c r="M159" s="78">
        <v>2.15</v>
      </c>
      <c r="N159" s="78">
        <v>10.53</v>
      </c>
      <c r="O159" s="78">
        <v>36.93</v>
      </c>
      <c r="P159" s="78">
        <v>29.34</v>
      </c>
      <c r="Q159" s="78">
        <v>10.53</v>
      </c>
      <c r="R159" s="78">
        <v>71.87</v>
      </c>
      <c r="S159" s="78">
        <v>443.17</v>
      </c>
      <c r="T159" s="78">
        <v>1142.3</v>
      </c>
    </row>
    <row r="160" spans="1:20" x14ac:dyDescent="0.3">
      <c r="A160" s="5">
        <v>45509</v>
      </c>
      <c r="B160" s="6" t="s">
        <v>22</v>
      </c>
      <c r="C160" s="7" t="s">
        <v>9</v>
      </c>
      <c r="D160" s="7">
        <v>30</v>
      </c>
      <c r="E160" s="8">
        <v>66</v>
      </c>
      <c r="F160" s="9">
        <f t="shared" ref="F160:F165" si="13">+E160*D160</f>
        <v>1980</v>
      </c>
      <c r="K160" t="s">
        <v>192</v>
      </c>
      <c r="L160">
        <v>26.68</v>
      </c>
      <c r="M160" s="78">
        <v>-7.62</v>
      </c>
      <c r="N160" s="78">
        <v>-7.75</v>
      </c>
      <c r="O160" s="78">
        <v>-1.77</v>
      </c>
      <c r="P160" s="78">
        <v>-28.28</v>
      </c>
      <c r="Q160" s="78">
        <v>-7.75</v>
      </c>
      <c r="R160" s="78">
        <v>-31.48</v>
      </c>
      <c r="S160" s="78"/>
      <c r="T160" s="78"/>
    </row>
    <row r="161" spans="1:20" x14ac:dyDescent="0.3">
      <c r="A161" s="10">
        <v>45510</v>
      </c>
      <c r="B161" s="11" t="s">
        <v>46</v>
      </c>
      <c r="C161" s="7" t="s">
        <v>9</v>
      </c>
      <c r="D161" s="12">
        <v>5</v>
      </c>
      <c r="E161" s="13">
        <v>257</v>
      </c>
      <c r="F161" s="14">
        <f t="shared" si="13"/>
        <v>1285</v>
      </c>
      <c r="K161" t="s">
        <v>193</v>
      </c>
      <c r="L161">
        <v>17.739999999999998</v>
      </c>
      <c r="M161" s="78">
        <v>-9.9499999999999993</v>
      </c>
      <c r="N161" s="78">
        <v>-11.21</v>
      </c>
      <c r="O161" s="78">
        <v>-18.32</v>
      </c>
      <c r="P161" s="78">
        <v>-33.659999999999997</v>
      </c>
      <c r="Q161" s="78">
        <v>-11.21</v>
      </c>
      <c r="R161" s="78">
        <v>-22.12</v>
      </c>
      <c r="S161" s="78">
        <v>325.42</v>
      </c>
      <c r="T161" s="78">
        <v>765.37</v>
      </c>
    </row>
    <row r="162" spans="1:20" x14ac:dyDescent="0.3">
      <c r="A162" s="5">
        <v>45510</v>
      </c>
      <c r="B162" s="6" t="s">
        <v>48</v>
      </c>
      <c r="C162" s="7" t="s">
        <v>7</v>
      </c>
      <c r="D162" s="7">
        <v>269</v>
      </c>
      <c r="E162" s="8">
        <v>0</v>
      </c>
      <c r="F162" s="9">
        <f t="shared" si="13"/>
        <v>0</v>
      </c>
      <c r="K162" t="s">
        <v>194</v>
      </c>
      <c r="L162">
        <v>13.59</v>
      </c>
      <c r="M162" s="78">
        <v>-5.16</v>
      </c>
      <c r="N162" s="78">
        <v>-6.21</v>
      </c>
      <c r="O162" s="78">
        <v>4.7</v>
      </c>
      <c r="P162" s="78">
        <v>-19.010000000000002</v>
      </c>
      <c r="Q162" s="78">
        <v>-6.21</v>
      </c>
      <c r="R162" s="78">
        <v>3.03</v>
      </c>
      <c r="S162" s="78">
        <v>388.85</v>
      </c>
      <c r="T162" s="78">
        <v>659.22</v>
      </c>
    </row>
    <row r="163" spans="1:20" x14ac:dyDescent="0.3">
      <c r="A163" s="10">
        <v>45510</v>
      </c>
      <c r="B163" s="6" t="s">
        <v>48</v>
      </c>
      <c r="C163" s="7" t="s">
        <v>7</v>
      </c>
      <c r="D163" s="12">
        <v>1</v>
      </c>
      <c r="E163" s="13">
        <v>4.63</v>
      </c>
      <c r="F163" s="14">
        <f t="shared" si="13"/>
        <v>4.63</v>
      </c>
      <c r="K163" t="s">
        <v>19</v>
      </c>
      <c r="L163">
        <v>22.9</v>
      </c>
      <c r="M163" s="78">
        <v>-5.45</v>
      </c>
      <c r="N163" s="78">
        <v>-11.86</v>
      </c>
      <c r="O163" s="78">
        <v>-2.88</v>
      </c>
      <c r="P163" s="78">
        <v>-26.88</v>
      </c>
      <c r="Q163" s="78">
        <v>-11.86</v>
      </c>
      <c r="R163" s="78">
        <v>-32.049999999999997</v>
      </c>
      <c r="S163" s="78">
        <v>112.04</v>
      </c>
      <c r="T163" s="78">
        <v>45.86</v>
      </c>
    </row>
    <row r="164" spans="1:20" x14ac:dyDescent="0.3">
      <c r="A164" s="10">
        <v>45511</v>
      </c>
      <c r="B164" s="11" t="s">
        <v>37</v>
      </c>
      <c r="C164" s="12" t="s">
        <v>9</v>
      </c>
      <c r="D164" s="12">
        <v>50</v>
      </c>
      <c r="E164" s="13">
        <v>62.4</v>
      </c>
      <c r="F164" s="14">
        <f t="shared" si="13"/>
        <v>3120</v>
      </c>
      <c r="K164" t="s">
        <v>195</v>
      </c>
      <c r="L164">
        <v>17.510000000000002</v>
      </c>
      <c r="M164" s="78">
        <v>-7.84</v>
      </c>
      <c r="N164" s="78">
        <v>-15.57</v>
      </c>
      <c r="O164" s="78">
        <v>-11.97</v>
      </c>
      <c r="P164" s="78">
        <v>31.56</v>
      </c>
      <c r="Q164" s="78">
        <v>-15.57</v>
      </c>
      <c r="R164" s="78">
        <v>-3.9</v>
      </c>
      <c r="S164" s="78">
        <v>195.78</v>
      </c>
      <c r="T164" s="78">
        <v>404.61</v>
      </c>
    </row>
    <row r="165" spans="1:20" x14ac:dyDescent="0.3">
      <c r="A165" s="10">
        <v>45511</v>
      </c>
      <c r="B165" s="11" t="s">
        <v>26</v>
      </c>
      <c r="C165" s="12" t="s">
        <v>7</v>
      </c>
      <c r="D165" s="12">
        <v>25</v>
      </c>
      <c r="E165" s="13">
        <v>92.6</v>
      </c>
      <c r="F165" s="14">
        <f t="shared" si="13"/>
        <v>2315</v>
      </c>
      <c r="K165" t="s">
        <v>589</v>
      </c>
      <c r="L165">
        <v>15</v>
      </c>
      <c r="M165" s="78">
        <v>-5.42</v>
      </c>
      <c r="N165" s="78">
        <v>-8.65</v>
      </c>
      <c r="O165" s="78">
        <v>3.59</v>
      </c>
      <c r="P165" s="78"/>
      <c r="Q165" s="78">
        <v>-8.65</v>
      </c>
      <c r="R165" s="78"/>
      <c r="S165" s="78"/>
      <c r="T165" s="78"/>
    </row>
    <row r="166" spans="1:20" x14ac:dyDescent="0.3">
      <c r="A166" s="5">
        <v>45511</v>
      </c>
      <c r="B166" s="6" t="s">
        <v>36</v>
      </c>
      <c r="C166" s="7" t="s">
        <v>9</v>
      </c>
      <c r="D166" s="7">
        <v>5</v>
      </c>
      <c r="E166" s="8">
        <v>293.25</v>
      </c>
      <c r="F166" s="9">
        <f t="shared" ref="F166:F174" si="14">+E166*D166</f>
        <v>1466.25</v>
      </c>
      <c r="K166" t="s">
        <v>196</v>
      </c>
      <c r="L166">
        <v>22.5</v>
      </c>
      <c r="M166" s="78">
        <v>-25.15</v>
      </c>
      <c r="N166" s="78">
        <v>0.09</v>
      </c>
      <c r="O166" s="78">
        <v>9.86</v>
      </c>
      <c r="P166" s="78">
        <v>14.91</v>
      </c>
      <c r="Q166" s="78">
        <v>0.09</v>
      </c>
      <c r="R166" s="78">
        <v>127.04</v>
      </c>
      <c r="S166" s="78">
        <v>667.92</v>
      </c>
      <c r="T166" s="78">
        <v>1013.86</v>
      </c>
    </row>
    <row r="167" spans="1:20" x14ac:dyDescent="0.3">
      <c r="A167" s="10">
        <v>45511</v>
      </c>
      <c r="B167" s="11" t="s">
        <v>440</v>
      </c>
      <c r="C167" s="12" t="s">
        <v>9</v>
      </c>
      <c r="D167" s="12">
        <v>60</v>
      </c>
      <c r="E167" s="13">
        <v>15.18</v>
      </c>
      <c r="F167" s="14">
        <f t="shared" si="14"/>
        <v>910.8</v>
      </c>
      <c r="K167" t="s">
        <v>197</v>
      </c>
      <c r="L167">
        <v>9.09</v>
      </c>
      <c r="M167" s="78">
        <v>-4.62</v>
      </c>
      <c r="N167" s="78">
        <v>-13.51</v>
      </c>
      <c r="O167" s="78">
        <v>-20.61</v>
      </c>
      <c r="P167" s="78">
        <v>73.14</v>
      </c>
      <c r="Q167" s="78">
        <v>-13.51</v>
      </c>
      <c r="R167" s="78">
        <v>67.709999999999994</v>
      </c>
      <c r="S167" s="78">
        <v>180.56</v>
      </c>
      <c r="T167" s="78">
        <v>657.5</v>
      </c>
    </row>
    <row r="168" spans="1:20" x14ac:dyDescent="0.3">
      <c r="A168" s="5">
        <v>45512</v>
      </c>
      <c r="B168" s="6" t="s">
        <v>20</v>
      </c>
      <c r="C168" s="12" t="s">
        <v>9</v>
      </c>
      <c r="D168" s="7">
        <v>100</v>
      </c>
      <c r="E168" s="8">
        <v>18.02</v>
      </c>
      <c r="F168" s="9">
        <f t="shared" si="14"/>
        <v>1802</v>
      </c>
      <c r="K168" t="s">
        <v>198</v>
      </c>
      <c r="L168">
        <v>60.1</v>
      </c>
      <c r="M168" s="78">
        <v>6</v>
      </c>
      <c r="N168" s="78">
        <v>-3.22</v>
      </c>
      <c r="O168" s="78">
        <v>29.97</v>
      </c>
      <c r="P168" s="78">
        <v>35.54</v>
      </c>
      <c r="Q168" s="78">
        <v>-3.22</v>
      </c>
      <c r="R168" s="78">
        <v>-1.83</v>
      </c>
      <c r="S168" s="78"/>
      <c r="T168" s="78"/>
    </row>
    <row r="169" spans="1:20" x14ac:dyDescent="0.3">
      <c r="A169" s="5">
        <v>45512</v>
      </c>
      <c r="B169" s="6" t="s">
        <v>10</v>
      </c>
      <c r="C169" s="12" t="s">
        <v>9</v>
      </c>
      <c r="D169" s="7">
        <v>50</v>
      </c>
      <c r="E169" s="8">
        <v>52.7</v>
      </c>
      <c r="F169" s="9">
        <f t="shared" si="14"/>
        <v>2635</v>
      </c>
      <c r="K169" t="s">
        <v>199</v>
      </c>
      <c r="L169">
        <v>44.8</v>
      </c>
      <c r="M169" s="78">
        <v>-5.88</v>
      </c>
      <c r="N169" s="78">
        <v>-5.88</v>
      </c>
      <c r="O169" s="78">
        <v>12.73</v>
      </c>
      <c r="P169" s="78">
        <v>-17.34</v>
      </c>
      <c r="Q169" s="78">
        <v>-5.88</v>
      </c>
      <c r="R169" s="78">
        <v>-2.86</v>
      </c>
      <c r="S169" s="78">
        <v>438.46</v>
      </c>
      <c r="T169" s="78">
        <v>1104.3</v>
      </c>
    </row>
    <row r="170" spans="1:20" x14ac:dyDescent="0.3">
      <c r="A170" s="5">
        <v>45512</v>
      </c>
      <c r="B170" s="6" t="s">
        <v>440</v>
      </c>
      <c r="C170" s="7" t="s">
        <v>9</v>
      </c>
      <c r="D170" s="7">
        <v>60</v>
      </c>
      <c r="E170" s="8">
        <v>16.09</v>
      </c>
      <c r="F170" s="9">
        <f t="shared" si="14"/>
        <v>965.4</v>
      </c>
      <c r="K170" t="s">
        <v>200</v>
      </c>
      <c r="L170">
        <v>188.8</v>
      </c>
      <c r="M170" s="78">
        <v>-4.3099999999999996</v>
      </c>
      <c r="N170" s="78">
        <v>-4.26</v>
      </c>
      <c r="O170" s="78">
        <v>4.8899999999999997</v>
      </c>
      <c r="P170" s="78">
        <v>-13.51</v>
      </c>
      <c r="Q170" s="78">
        <v>-4.26</v>
      </c>
      <c r="R170" s="78">
        <v>-31.6</v>
      </c>
      <c r="S170" s="78">
        <v>299.92</v>
      </c>
      <c r="T170" s="78">
        <v>1868.72</v>
      </c>
    </row>
    <row r="171" spans="1:20" x14ac:dyDescent="0.3">
      <c r="A171" s="10">
        <v>45513</v>
      </c>
      <c r="B171" s="11" t="s">
        <v>19</v>
      </c>
      <c r="C171" s="7" t="s">
        <v>9</v>
      </c>
      <c r="D171" s="12">
        <v>100</v>
      </c>
      <c r="E171" s="13">
        <v>31.64</v>
      </c>
      <c r="F171" s="14">
        <f t="shared" si="14"/>
        <v>3164</v>
      </c>
      <c r="K171" t="s">
        <v>20</v>
      </c>
      <c r="L171">
        <v>13.12</v>
      </c>
      <c r="M171" s="78">
        <v>-10.99</v>
      </c>
      <c r="N171" s="78">
        <v>3.63</v>
      </c>
      <c r="O171" s="78">
        <v>-6.69</v>
      </c>
      <c r="P171" s="78">
        <v>-28.46</v>
      </c>
      <c r="Q171" s="78">
        <v>3.63</v>
      </c>
      <c r="R171" s="78">
        <v>-31.45</v>
      </c>
      <c r="S171" s="78">
        <v>69.73</v>
      </c>
      <c r="T171" s="78"/>
    </row>
    <row r="172" spans="1:20" x14ac:dyDescent="0.3">
      <c r="A172" s="5">
        <v>45513</v>
      </c>
      <c r="B172" s="6" t="s">
        <v>15</v>
      </c>
      <c r="C172" s="7" t="s">
        <v>7</v>
      </c>
      <c r="D172" s="7">
        <v>25</v>
      </c>
      <c r="E172" s="8">
        <v>48.96</v>
      </c>
      <c r="F172" s="9">
        <f t="shared" si="14"/>
        <v>1224</v>
      </c>
      <c r="K172" t="s">
        <v>21</v>
      </c>
      <c r="L172">
        <v>20.5</v>
      </c>
      <c r="M172" s="78">
        <v>-6.65</v>
      </c>
      <c r="N172" s="78">
        <v>-4.83</v>
      </c>
      <c r="O172" s="78">
        <v>-2.84</v>
      </c>
      <c r="P172" s="78">
        <v>-10.32</v>
      </c>
      <c r="Q172" s="78">
        <v>-4.83</v>
      </c>
      <c r="R172" s="78">
        <v>13.32</v>
      </c>
      <c r="S172" s="78">
        <v>606.9</v>
      </c>
      <c r="T172" s="78">
        <v>1038.8900000000001</v>
      </c>
    </row>
    <row r="173" spans="1:20" x14ac:dyDescent="0.3">
      <c r="A173" s="5">
        <v>45513</v>
      </c>
      <c r="B173" s="6" t="s">
        <v>48</v>
      </c>
      <c r="C173" s="7" t="s">
        <v>9</v>
      </c>
      <c r="D173" s="7">
        <v>320</v>
      </c>
      <c r="E173" s="8">
        <v>4.91</v>
      </c>
      <c r="F173" s="9">
        <f t="shared" si="14"/>
        <v>1571.2</v>
      </c>
      <c r="K173" t="s">
        <v>575</v>
      </c>
      <c r="L173">
        <v>63</v>
      </c>
      <c r="M173" s="78">
        <v>-1.33</v>
      </c>
      <c r="N173" s="78">
        <v>7.6</v>
      </c>
      <c r="O173" s="78">
        <v>62.45</v>
      </c>
      <c r="P173" s="78">
        <v>152.4</v>
      </c>
      <c r="Q173" s="78">
        <v>7.6</v>
      </c>
      <c r="R173" s="78"/>
      <c r="S173" s="78"/>
      <c r="T173" s="78"/>
    </row>
    <row r="174" spans="1:20" x14ac:dyDescent="0.3">
      <c r="A174" s="10">
        <v>45513</v>
      </c>
      <c r="B174" s="11" t="s">
        <v>6</v>
      </c>
      <c r="C174" s="12" t="s">
        <v>9</v>
      </c>
      <c r="D174" s="12">
        <v>2</v>
      </c>
      <c r="E174" s="13">
        <v>546</v>
      </c>
      <c r="F174" s="14">
        <f t="shared" si="14"/>
        <v>1092</v>
      </c>
      <c r="K174" t="s">
        <v>201</v>
      </c>
      <c r="L174">
        <v>9470</v>
      </c>
      <c r="M174" s="78">
        <v>-3.07</v>
      </c>
      <c r="N174" s="78">
        <v>-3.44</v>
      </c>
      <c r="O174" s="78">
        <v>-13.5</v>
      </c>
      <c r="P174" s="78">
        <v>-22.49</v>
      </c>
      <c r="Q174" s="78">
        <v>-3.44</v>
      </c>
      <c r="R174" s="78">
        <v>-12.86</v>
      </c>
      <c r="S174" s="78">
        <v>477.95</v>
      </c>
      <c r="T174" s="78">
        <v>1543.78</v>
      </c>
    </row>
    <row r="175" spans="1:20" x14ac:dyDescent="0.3">
      <c r="A175" s="10">
        <v>45516</v>
      </c>
      <c r="B175" s="11" t="s">
        <v>26</v>
      </c>
      <c r="C175" s="12" t="s">
        <v>7</v>
      </c>
      <c r="D175" s="12">
        <v>25</v>
      </c>
      <c r="E175" s="13">
        <v>87</v>
      </c>
      <c r="F175" s="14">
        <f t="shared" ref="F175:F184" si="15">+E175*D175</f>
        <v>2175</v>
      </c>
      <c r="K175" t="s">
        <v>736</v>
      </c>
      <c r="L175">
        <v>15.03</v>
      </c>
      <c r="M175" s="78">
        <v>0.27</v>
      </c>
      <c r="N175" s="78"/>
      <c r="O175" s="78"/>
      <c r="P175" s="78"/>
      <c r="Q175" s="78"/>
      <c r="R175" s="78"/>
      <c r="S175" s="78"/>
      <c r="T175" s="78"/>
    </row>
    <row r="176" spans="1:20" x14ac:dyDescent="0.3">
      <c r="A176" s="10">
        <v>45516</v>
      </c>
      <c r="B176" s="11" t="s">
        <v>19</v>
      </c>
      <c r="C176" s="12" t="s">
        <v>7</v>
      </c>
      <c r="D176" s="12">
        <v>100</v>
      </c>
      <c r="E176" s="13">
        <v>29.74</v>
      </c>
      <c r="F176" s="14">
        <f t="shared" si="15"/>
        <v>2974</v>
      </c>
      <c r="K176" t="s">
        <v>202</v>
      </c>
      <c r="L176">
        <v>24.4</v>
      </c>
      <c r="M176" s="78">
        <v>-3.94</v>
      </c>
      <c r="N176" s="78">
        <v>2.09</v>
      </c>
      <c r="O176" s="78">
        <v>26.42</v>
      </c>
      <c r="P176" s="78">
        <v>10.210000000000001</v>
      </c>
      <c r="Q176" s="78">
        <v>2.09</v>
      </c>
      <c r="R176" s="78">
        <v>26.69</v>
      </c>
      <c r="S176" s="78">
        <v>235.16</v>
      </c>
      <c r="T176" s="78"/>
    </row>
    <row r="177" spans="1:20" x14ac:dyDescent="0.3">
      <c r="A177" s="10">
        <v>45516</v>
      </c>
      <c r="B177" s="11" t="s">
        <v>53</v>
      </c>
      <c r="C177" s="12" t="s">
        <v>7</v>
      </c>
      <c r="D177" s="12">
        <v>200</v>
      </c>
      <c r="E177" s="13">
        <v>7.34</v>
      </c>
      <c r="F177" s="14">
        <f t="shared" si="15"/>
        <v>1468</v>
      </c>
      <c r="K177" t="s">
        <v>203</v>
      </c>
      <c r="L177">
        <v>68.8</v>
      </c>
      <c r="M177" s="78">
        <v>-8.27</v>
      </c>
      <c r="N177" s="78">
        <v>8.01</v>
      </c>
      <c r="O177" s="78">
        <v>18.62</v>
      </c>
      <c r="P177" s="78">
        <v>23.52</v>
      </c>
      <c r="Q177" s="78">
        <v>8.01</v>
      </c>
      <c r="R177" s="78">
        <v>43.87</v>
      </c>
      <c r="S177" s="78">
        <v>268.7</v>
      </c>
      <c r="T177" s="78">
        <v>1453.05</v>
      </c>
    </row>
    <row r="178" spans="1:20" x14ac:dyDescent="0.3">
      <c r="A178" s="10">
        <v>45516</v>
      </c>
      <c r="B178" s="11" t="s">
        <v>33</v>
      </c>
      <c r="C178" s="12" t="s">
        <v>7</v>
      </c>
      <c r="D178" s="12">
        <v>40</v>
      </c>
      <c r="E178" s="13">
        <v>31</v>
      </c>
      <c r="F178" s="14">
        <f t="shared" si="15"/>
        <v>1240</v>
      </c>
      <c r="K178" t="s">
        <v>204</v>
      </c>
      <c r="L178">
        <v>24.8</v>
      </c>
      <c r="M178" s="78">
        <v>7.45</v>
      </c>
      <c r="N178" s="78">
        <v>3.68</v>
      </c>
      <c r="O178" s="78">
        <v>11.26</v>
      </c>
      <c r="P178" s="78">
        <v>-11.96</v>
      </c>
      <c r="Q178" s="78">
        <v>3.68</v>
      </c>
      <c r="R178" s="78">
        <v>-2.94</v>
      </c>
      <c r="S178" s="78">
        <v>557.82000000000005</v>
      </c>
      <c r="T178" s="78">
        <v>1358.82</v>
      </c>
    </row>
    <row r="179" spans="1:20" x14ac:dyDescent="0.3">
      <c r="A179" s="10">
        <v>45516</v>
      </c>
      <c r="B179" s="11" t="s">
        <v>24</v>
      </c>
      <c r="C179" s="12" t="s">
        <v>9</v>
      </c>
      <c r="D179" s="12">
        <v>30</v>
      </c>
      <c r="E179" s="13">
        <v>76.400000000000006</v>
      </c>
      <c r="F179" s="14">
        <f t="shared" si="15"/>
        <v>2292</v>
      </c>
      <c r="K179" t="s">
        <v>205</v>
      </c>
      <c r="L179">
        <v>3.61</v>
      </c>
      <c r="M179" s="78">
        <v>-4.5</v>
      </c>
      <c r="N179" s="78">
        <v>-0.28000000000000003</v>
      </c>
      <c r="O179" s="78">
        <v>-0.82</v>
      </c>
      <c r="P179" s="78">
        <v>-3.99</v>
      </c>
      <c r="Q179" s="78">
        <v>-0.28000000000000003</v>
      </c>
      <c r="R179" s="78">
        <v>-10.64</v>
      </c>
      <c r="S179" s="78">
        <v>105.11</v>
      </c>
      <c r="T179" s="78">
        <v>581.13</v>
      </c>
    </row>
    <row r="180" spans="1:20" x14ac:dyDescent="0.3">
      <c r="A180" s="10">
        <v>45517</v>
      </c>
      <c r="B180" s="11" t="s">
        <v>6</v>
      </c>
      <c r="C180" s="12" t="s">
        <v>7</v>
      </c>
      <c r="D180" s="12">
        <v>2</v>
      </c>
      <c r="E180" s="13">
        <v>543</v>
      </c>
      <c r="F180" s="14">
        <f t="shared" si="15"/>
        <v>1086</v>
      </c>
      <c r="K180" t="s">
        <v>206</v>
      </c>
      <c r="L180">
        <v>15.27</v>
      </c>
      <c r="M180" s="78">
        <v>4.59</v>
      </c>
      <c r="N180" s="78">
        <v>12.11</v>
      </c>
      <c r="O180" s="78">
        <v>51.64</v>
      </c>
      <c r="P180" s="78">
        <v>31.64</v>
      </c>
      <c r="Q180" s="78">
        <v>12.11</v>
      </c>
      <c r="R180" s="78">
        <v>51.94</v>
      </c>
      <c r="S180" s="78">
        <v>578.66999999999996</v>
      </c>
      <c r="T180" s="78">
        <v>898.04</v>
      </c>
    </row>
    <row r="181" spans="1:20" x14ac:dyDescent="0.3">
      <c r="A181" s="10">
        <v>45517</v>
      </c>
      <c r="B181" s="11" t="s">
        <v>15</v>
      </c>
      <c r="C181" s="12" t="s">
        <v>7</v>
      </c>
      <c r="D181" s="12">
        <v>25</v>
      </c>
      <c r="E181" s="13">
        <v>46</v>
      </c>
      <c r="F181" s="14">
        <f t="shared" si="15"/>
        <v>1150</v>
      </c>
      <c r="K181" t="s">
        <v>207</v>
      </c>
      <c r="L181">
        <v>52.5</v>
      </c>
      <c r="M181" s="78">
        <v>-1.87</v>
      </c>
      <c r="N181" s="78">
        <v>-7.41</v>
      </c>
      <c r="O181" s="78">
        <v>-11.84</v>
      </c>
      <c r="P181" s="78">
        <v>-23.47</v>
      </c>
      <c r="Q181" s="78">
        <v>-7.41</v>
      </c>
      <c r="R181" s="78">
        <v>7.19</v>
      </c>
      <c r="S181" s="78">
        <v>654.30999999999995</v>
      </c>
      <c r="T181" s="78">
        <v>3907.63</v>
      </c>
    </row>
    <row r="182" spans="1:20" x14ac:dyDescent="0.3">
      <c r="A182" s="5">
        <v>45517</v>
      </c>
      <c r="B182" s="6" t="s">
        <v>20</v>
      </c>
      <c r="C182" s="12" t="s">
        <v>7</v>
      </c>
      <c r="D182" s="7">
        <v>100</v>
      </c>
      <c r="E182" s="8">
        <v>16.940000000000001</v>
      </c>
      <c r="F182" s="9">
        <f t="shared" si="15"/>
        <v>1694.0000000000002</v>
      </c>
      <c r="K182" t="s">
        <v>208</v>
      </c>
      <c r="L182">
        <v>24.66</v>
      </c>
      <c r="M182" s="78">
        <v>0</v>
      </c>
      <c r="N182" s="78">
        <v>-2.68</v>
      </c>
      <c r="O182" s="78">
        <v>-6.24</v>
      </c>
      <c r="P182" s="78">
        <v>-31.5</v>
      </c>
      <c r="Q182" s="78">
        <v>-2.68</v>
      </c>
      <c r="R182" s="78">
        <v>-56.24</v>
      </c>
      <c r="S182" s="78"/>
      <c r="T182" s="78"/>
    </row>
    <row r="183" spans="1:20" x14ac:dyDescent="0.3">
      <c r="A183" s="5">
        <v>45517</v>
      </c>
      <c r="B183" s="6" t="s">
        <v>50</v>
      </c>
      <c r="C183" s="12" t="s">
        <v>7</v>
      </c>
      <c r="D183" s="7">
        <v>50</v>
      </c>
      <c r="E183" s="8">
        <v>20.12</v>
      </c>
      <c r="F183" s="9">
        <f t="shared" si="15"/>
        <v>1006</v>
      </c>
      <c r="K183" t="s">
        <v>209</v>
      </c>
      <c r="L183">
        <v>6.29</v>
      </c>
      <c r="M183" s="78">
        <v>-1.56</v>
      </c>
      <c r="N183" s="78">
        <v>-9.6300000000000008</v>
      </c>
      <c r="O183" s="78">
        <v>5.71</v>
      </c>
      <c r="P183" s="78">
        <v>-6.26</v>
      </c>
      <c r="Q183" s="78">
        <v>-9.6300000000000008</v>
      </c>
      <c r="R183" s="78">
        <v>-21.08</v>
      </c>
      <c r="S183" s="78"/>
      <c r="T183" s="78"/>
    </row>
    <row r="184" spans="1:20" x14ac:dyDescent="0.3">
      <c r="A184" s="5">
        <v>45517</v>
      </c>
      <c r="B184" s="6" t="s">
        <v>55</v>
      </c>
      <c r="C184" s="7" t="s">
        <v>9</v>
      </c>
      <c r="D184" s="7">
        <v>150</v>
      </c>
      <c r="E184" s="8">
        <v>10.7</v>
      </c>
      <c r="F184" s="9">
        <f t="shared" si="15"/>
        <v>1605</v>
      </c>
      <c r="K184" t="s">
        <v>210</v>
      </c>
      <c r="L184">
        <v>35.56</v>
      </c>
      <c r="M184" s="78">
        <v>-3.42</v>
      </c>
      <c r="N184" s="78">
        <v>-7.4</v>
      </c>
      <c r="O184" s="78">
        <v>-13.08</v>
      </c>
      <c r="P184" s="78">
        <v>17.63</v>
      </c>
      <c r="Q184" s="78">
        <v>-7.4</v>
      </c>
      <c r="R184" s="78">
        <v>-33.15</v>
      </c>
      <c r="S184" s="78">
        <v>410.19</v>
      </c>
      <c r="T184" s="78"/>
    </row>
    <row r="185" spans="1:20" x14ac:dyDescent="0.3">
      <c r="A185" s="10">
        <v>45518</v>
      </c>
      <c r="B185" s="11" t="s">
        <v>49</v>
      </c>
      <c r="C185" s="12" t="s">
        <v>9</v>
      </c>
      <c r="D185" s="12">
        <v>40</v>
      </c>
      <c r="E185" s="13">
        <v>34.22</v>
      </c>
      <c r="F185" s="14">
        <f t="shared" ref="F185:F190" si="16">+E185*D185</f>
        <v>1368.8</v>
      </c>
      <c r="K185" t="s">
        <v>211</v>
      </c>
      <c r="L185">
        <v>16.739999999999998</v>
      </c>
      <c r="M185" s="78">
        <v>0</v>
      </c>
      <c r="N185" s="78">
        <v>7.51</v>
      </c>
      <c r="O185" s="78">
        <v>38.35</v>
      </c>
      <c r="P185" s="78">
        <v>11.45</v>
      </c>
      <c r="Q185" s="78">
        <v>7.51</v>
      </c>
      <c r="R185" s="78">
        <v>-12.81</v>
      </c>
      <c r="S185" s="78">
        <v>1031.08</v>
      </c>
      <c r="T185" s="78">
        <v>3182.35</v>
      </c>
    </row>
    <row r="186" spans="1:20" x14ac:dyDescent="0.3">
      <c r="A186" s="10">
        <v>45518</v>
      </c>
      <c r="B186" s="11" t="s">
        <v>34</v>
      </c>
      <c r="C186" s="12" t="s">
        <v>7</v>
      </c>
      <c r="D186" s="12">
        <v>30</v>
      </c>
      <c r="E186" s="13">
        <v>42.52</v>
      </c>
      <c r="F186" s="14">
        <f t="shared" si="16"/>
        <v>1275.6000000000001</v>
      </c>
      <c r="K186" t="s">
        <v>212</v>
      </c>
      <c r="L186">
        <v>287</v>
      </c>
      <c r="M186" s="78">
        <v>14.8</v>
      </c>
      <c r="N186" s="78">
        <v>7.89</v>
      </c>
      <c r="O186" s="78">
        <v>-1.03</v>
      </c>
      <c r="P186" s="78">
        <v>-17.05</v>
      </c>
      <c r="Q186" s="78">
        <v>7.89</v>
      </c>
      <c r="R186" s="78">
        <v>165.74</v>
      </c>
      <c r="S186" s="78">
        <v>1181.25</v>
      </c>
      <c r="T186" s="78">
        <v>16586.05</v>
      </c>
    </row>
    <row r="187" spans="1:20" x14ac:dyDescent="0.3">
      <c r="A187" s="10">
        <v>45518</v>
      </c>
      <c r="B187" s="11" t="s">
        <v>46</v>
      </c>
      <c r="C187" s="12" t="s">
        <v>7</v>
      </c>
      <c r="D187" s="12">
        <v>5</v>
      </c>
      <c r="E187" s="13">
        <v>239.5</v>
      </c>
      <c r="F187" s="14">
        <f t="shared" si="16"/>
        <v>1197.5</v>
      </c>
      <c r="K187" t="s">
        <v>213</v>
      </c>
      <c r="L187">
        <v>227.1</v>
      </c>
      <c r="M187" s="78">
        <v>-2.4900000000000002</v>
      </c>
      <c r="N187" s="78">
        <v>-11.55</v>
      </c>
      <c r="O187" s="78">
        <v>-4.58</v>
      </c>
      <c r="P187" s="78">
        <v>21.25</v>
      </c>
      <c r="Q187" s="78">
        <v>-11.55</v>
      </c>
      <c r="R187" s="78">
        <v>58.88</v>
      </c>
      <c r="S187" s="78"/>
      <c r="T187" s="78"/>
    </row>
    <row r="188" spans="1:20" x14ac:dyDescent="0.3">
      <c r="A188" s="10">
        <v>45517</v>
      </c>
      <c r="B188" s="11" t="s">
        <v>444</v>
      </c>
      <c r="C188" s="12" t="s">
        <v>7</v>
      </c>
      <c r="D188" s="12">
        <v>200</v>
      </c>
      <c r="E188" s="13">
        <v>15.1</v>
      </c>
      <c r="F188" s="14">
        <f t="shared" si="16"/>
        <v>3020</v>
      </c>
      <c r="K188" t="s">
        <v>22</v>
      </c>
      <c r="L188">
        <v>61.3</v>
      </c>
      <c r="M188" s="78">
        <v>-2.7</v>
      </c>
      <c r="N188" s="78">
        <v>4.07</v>
      </c>
      <c r="O188" s="78">
        <v>10.95</v>
      </c>
      <c r="P188" s="78">
        <v>-9.25</v>
      </c>
      <c r="Q188" s="78">
        <v>4.07</v>
      </c>
      <c r="R188" s="78">
        <v>14.86</v>
      </c>
      <c r="S188" s="78">
        <v>402.05</v>
      </c>
      <c r="T188" s="78">
        <v>988.81</v>
      </c>
    </row>
    <row r="189" spans="1:20" x14ac:dyDescent="0.3">
      <c r="A189" s="10">
        <v>45518</v>
      </c>
      <c r="B189" s="11" t="s">
        <v>444</v>
      </c>
      <c r="C189" s="12" t="s">
        <v>9</v>
      </c>
      <c r="D189" s="12">
        <v>100</v>
      </c>
      <c r="E189" s="13">
        <v>16.3</v>
      </c>
      <c r="F189" s="14">
        <f t="shared" si="16"/>
        <v>1630</v>
      </c>
      <c r="K189" t="s">
        <v>214</v>
      </c>
      <c r="L189">
        <v>48.7</v>
      </c>
      <c r="M189" s="78">
        <v>-4.42</v>
      </c>
      <c r="N189" s="78">
        <v>0.21</v>
      </c>
      <c r="O189" s="78">
        <v>3.44</v>
      </c>
      <c r="P189" s="78">
        <v>4.46</v>
      </c>
      <c r="Q189" s="78">
        <v>0.21</v>
      </c>
      <c r="R189" s="78">
        <v>34.72</v>
      </c>
      <c r="S189" s="78">
        <v>263.7</v>
      </c>
      <c r="T189" s="78">
        <v>883.84</v>
      </c>
    </row>
    <row r="190" spans="1:20" x14ac:dyDescent="0.3">
      <c r="A190" s="5">
        <v>45517</v>
      </c>
      <c r="B190" s="6" t="s">
        <v>35</v>
      </c>
      <c r="C190" s="7" t="s">
        <v>9</v>
      </c>
      <c r="D190" s="7">
        <v>3</v>
      </c>
      <c r="E190" s="8">
        <v>493.75</v>
      </c>
      <c r="F190" s="9">
        <f t="shared" si="16"/>
        <v>1481.25</v>
      </c>
      <c r="K190" t="s">
        <v>215</v>
      </c>
      <c r="L190">
        <v>18.11</v>
      </c>
      <c r="M190" s="78">
        <v>-3.67</v>
      </c>
      <c r="N190" s="78">
        <v>-3.67</v>
      </c>
      <c r="O190" s="78">
        <v>-11.49</v>
      </c>
      <c r="P190" s="78">
        <v>-8.07</v>
      </c>
      <c r="Q190" s="78">
        <v>-3.67</v>
      </c>
      <c r="R190" s="78">
        <v>-53.66</v>
      </c>
      <c r="S190" s="78"/>
      <c r="T190" s="78"/>
    </row>
    <row r="191" spans="1:20" x14ac:dyDescent="0.3">
      <c r="A191" s="10">
        <v>45518</v>
      </c>
      <c r="B191" s="11" t="s">
        <v>35</v>
      </c>
      <c r="C191" s="12" t="s">
        <v>7</v>
      </c>
      <c r="D191" s="12">
        <v>3</v>
      </c>
      <c r="E191" s="13">
        <v>464</v>
      </c>
      <c r="F191" s="14">
        <f t="shared" ref="F191:F198" si="17">+E191*D191</f>
        <v>1392</v>
      </c>
      <c r="K191" t="s">
        <v>216</v>
      </c>
      <c r="L191">
        <v>7.74</v>
      </c>
      <c r="M191" s="78">
        <v>-4.5599999999999996</v>
      </c>
      <c r="N191" s="78">
        <v>-2.15</v>
      </c>
      <c r="O191" s="78">
        <v>-2.76</v>
      </c>
      <c r="P191" s="78">
        <v>-20.78</v>
      </c>
      <c r="Q191" s="78">
        <v>-2.15</v>
      </c>
      <c r="R191" s="78"/>
      <c r="S191" s="78"/>
      <c r="T191" s="78"/>
    </row>
    <row r="192" spans="1:20" x14ac:dyDescent="0.3">
      <c r="A192" s="10">
        <v>45519</v>
      </c>
      <c r="B192" s="11" t="s">
        <v>49</v>
      </c>
      <c r="C192" s="12" t="s">
        <v>9</v>
      </c>
      <c r="D192" s="12">
        <v>40</v>
      </c>
      <c r="E192" s="13">
        <v>36.28</v>
      </c>
      <c r="F192" s="14">
        <f t="shared" si="17"/>
        <v>1451.2</v>
      </c>
      <c r="K192" t="s">
        <v>217</v>
      </c>
      <c r="L192">
        <v>6.02</v>
      </c>
      <c r="M192" s="78">
        <v>-8.51</v>
      </c>
      <c r="N192" s="78">
        <v>-1.31</v>
      </c>
      <c r="O192" s="78">
        <v>14.67</v>
      </c>
      <c r="P192" s="78">
        <v>-11.99</v>
      </c>
      <c r="Q192" s="78">
        <v>-1.31</v>
      </c>
      <c r="R192" s="78">
        <v>-4.1399999999999997</v>
      </c>
      <c r="S192" s="78">
        <v>87.54</v>
      </c>
      <c r="T192" s="78">
        <v>152.94</v>
      </c>
    </row>
    <row r="193" spans="1:20" x14ac:dyDescent="0.3">
      <c r="A193" s="5">
        <v>45519</v>
      </c>
      <c r="B193" s="6" t="s">
        <v>444</v>
      </c>
      <c r="C193" s="7" t="s">
        <v>7</v>
      </c>
      <c r="D193" s="7">
        <v>100</v>
      </c>
      <c r="E193" s="8">
        <v>15.32</v>
      </c>
      <c r="F193" s="9">
        <f t="shared" si="17"/>
        <v>1532</v>
      </c>
      <c r="K193" t="s">
        <v>218</v>
      </c>
      <c r="L193">
        <v>175.9</v>
      </c>
      <c r="M193" s="78">
        <v>-4.25</v>
      </c>
      <c r="N193" s="78">
        <v>-7.95</v>
      </c>
      <c r="O193" s="78">
        <v>-10.85</v>
      </c>
      <c r="P193" s="78">
        <v>-11.83</v>
      </c>
      <c r="Q193" s="78">
        <v>-7.95</v>
      </c>
      <c r="R193" s="78">
        <v>-18.510000000000002</v>
      </c>
      <c r="S193" s="78">
        <v>54.12</v>
      </c>
      <c r="T193" s="78">
        <v>642.19000000000005</v>
      </c>
    </row>
    <row r="194" spans="1:20" x14ac:dyDescent="0.3">
      <c r="A194" s="5">
        <v>45519</v>
      </c>
      <c r="B194" s="6" t="s">
        <v>20</v>
      </c>
      <c r="C194" s="7" t="s">
        <v>9</v>
      </c>
      <c r="D194" s="7">
        <v>100</v>
      </c>
      <c r="E194" s="8">
        <v>17.96</v>
      </c>
      <c r="F194" s="9">
        <f t="shared" si="17"/>
        <v>1796</v>
      </c>
      <c r="K194" t="s">
        <v>219</v>
      </c>
      <c r="L194">
        <v>88.7</v>
      </c>
      <c r="M194" s="78">
        <v>-4.3099999999999996</v>
      </c>
      <c r="N194" s="78">
        <v>-11.48</v>
      </c>
      <c r="O194" s="78">
        <v>-0.06</v>
      </c>
      <c r="P194" s="78">
        <v>-23.47</v>
      </c>
      <c r="Q194" s="78">
        <v>-11.48</v>
      </c>
      <c r="R194" s="78">
        <v>-36.42</v>
      </c>
      <c r="S194" s="78">
        <v>91.16</v>
      </c>
      <c r="T194" s="78"/>
    </row>
    <row r="195" spans="1:20" x14ac:dyDescent="0.3">
      <c r="A195" s="5">
        <v>45519</v>
      </c>
      <c r="B195" s="6" t="s">
        <v>53</v>
      </c>
      <c r="C195" s="7" t="s">
        <v>9</v>
      </c>
      <c r="D195" s="7">
        <v>200</v>
      </c>
      <c r="E195" s="8">
        <v>7.78</v>
      </c>
      <c r="F195" s="9">
        <f t="shared" si="17"/>
        <v>1556</v>
      </c>
      <c r="K195" t="s">
        <v>220</v>
      </c>
      <c r="L195">
        <v>22.44</v>
      </c>
      <c r="M195" s="78">
        <v>-3.69</v>
      </c>
      <c r="N195" s="78">
        <v>-8.0299999999999994</v>
      </c>
      <c r="O195" s="78">
        <v>-5.71</v>
      </c>
      <c r="P195" s="78">
        <v>-19.940000000000001</v>
      </c>
      <c r="Q195" s="78">
        <v>-8.0299999999999994</v>
      </c>
      <c r="R195" s="78">
        <v>5.3</v>
      </c>
      <c r="S195" s="78">
        <v>89.85</v>
      </c>
      <c r="T195" s="78">
        <v>546.69000000000005</v>
      </c>
    </row>
    <row r="196" spans="1:20" x14ac:dyDescent="0.3">
      <c r="A196" s="5">
        <v>45519</v>
      </c>
      <c r="B196" s="6" t="s">
        <v>50</v>
      </c>
      <c r="C196" s="7" t="s">
        <v>9</v>
      </c>
      <c r="D196" s="7">
        <v>50</v>
      </c>
      <c r="E196" s="8">
        <v>21.34</v>
      </c>
      <c r="F196" s="9">
        <f t="shared" si="17"/>
        <v>1067</v>
      </c>
      <c r="K196" t="s">
        <v>221</v>
      </c>
      <c r="L196">
        <v>16.989999999999998</v>
      </c>
      <c r="M196" s="78">
        <v>-1.28</v>
      </c>
      <c r="N196" s="78">
        <v>-3.58</v>
      </c>
      <c r="O196" s="78">
        <v>-12.51</v>
      </c>
      <c r="P196" s="78">
        <v>1.31</v>
      </c>
      <c r="Q196" s="78">
        <v>-3.58</v>
      </c>
      <c r="R196" s="78">
        <v>-31.55</v>
      </c>
      <c r="S196" s="78">
        <v>137.96</v>
      </c>
      <c r="T196" s="78">
        <v>369.34</v>
      </c>
    </row>
    <row r="197" spans="1:20" x14ac:dyDescent="0.3">
      <c r="A197" s="5">
        <v>45519</v>
      </c>
      <c r="B197" s="6" t="s">
        <v>440</v>
      </c>
      <c r="C197" s="7" t="s">
        <v>7</v>
      </c>
      <c r="D197" s="7">
        <v>60</v>
      </c>
      <c r="E197" s="8">
        <v>15.12</v>
      </c>
      <c r="F197" s="9">
        <f t="shared" si="17"/>
        <v>907.19999999999993</v>
      </c>
      <c r="K197" t="s">
        <v>222</v>
      </c>
      <c r="L197">
        <v>45.3</v>
      </c>
      <c r="M197" s="78">
        <v>-0.44</v>
      </c>
      <c r="N197" s="78">
        <v>-1.74</v>
      </c>
      <c r="O197" s="78">
        <v>20.48</v>
      </c>
      <c r="P197" s="78">
        <v>16.66</v>
      </c>
      <c r="Q197" s="78">
        <v>-1.74</v>
      </c>
      <c r="R197" s="78">
        <v>176.89</v>
      </c>
      <c r="S197" s="78">
        <v>1108</v>
      </c>
      <c r="T197" s="78"/>
    </row>
    <row r="198" spans="1:20" x14ac:dyDescent="0.3">
      <c r="A198" s="5">
        <v>45519</v>
      </c>
      <c r="B198" s="6" t="s">
        <v>29</v>
      </c>
      <c r="C198" s="7" t="s">
        <v>9</v>
      </c>
      <c r="D198" s="7">
        <v>10</v>
      </c>
      <c r="E198" s="8">
        <v>151.19999999999999</v>
      </c>
      <c r="F198" s="9">
        <f t="shared" si="17"/>
        <v>1512</v>
      </c>
      <c r="K198" t="s">
        <v>223</v>
      </c>
      <c r="L198">
        <v>50.75</v>
      </c>
      <c r="M198" s="78">
        <v>-8.56</v>
      </c>
      <c r="N198" s="78">
        <v>-7.05</v>
      </c>
      <c r="O198" s="78">
        <v>-1.93</v>
      </c>
      <c r="P198" s="78">
        <v>-9.3699999999999992</v>
      </c>
      <c r="Q198" s="78">
        <v>-7.05</v>
      </c>
      <c r="R198" s="78">
        <v>-12.58</v>
      </c>
      <c r="S198" s="78">
        <v>609.79</v>
      </c>
      <c r="T198" s="78">
        <v>1745.45</v>
      </c>
    </row>
    <row r="199" spans="1:20" x14ac:dyDescent="0.3">
      <c r="A199" s="10">
        <v>45520</v>
      </c>
      <c r="B199" s="11" t="s">
        <v>29</v>
      </c>
      <c r="C199" s="12" t="s">
        <v>9</v>
      </c>
      <c r="D199" s="12">
        <v>10</v>
      </c>
      <c r="E199" s="13">
        <v>166</v>
      </c>
      <c r="F199" s="14">
        <f t="shared" ref="F199:F205" si="18">+E199*D199</f>
        <v>1660</v>
      </c>
      <c r="K199" t="s">
        <v>224</v>
      </c>
      <c r="L199">
        <v>28.92</v>
      </c>
      <c r="M199" s="78">
        <v>3.58</v>
      </c>
      <c r="N199" s="78">
        <v>23.91</v>
      </c>
      <c r="O199" s="78">
        <v>39.44</v>
      </c>
      <c r="P199" s="78">
        <v>43.31</v>
      </c>
      <c r="Q199" s="78">
        <v>23.91</v>
      </c>
      <c r="R199" s="78">
        <v>54.32</v>
      </c>
      <c r="S199" s="78">
        <v>252.68</v>
      </c>
      <c r="T199" s="78"/>
    </row>
    <row r="200" spans="1:20" x14ac:dyDescent="0.3">
      <c r="A200" s="10">
        <v>45520</v>
      </c>
      <c r="B200" s="11" t="s">
        <v>220</v>
      </c>
      <c r="C200" s="12" t="s">
        <v>7</v>
      </c>
      <c r="D200" s="12">
        <v>100</v>
      </c>
      <c r="E200" s="13">
        <v>50.45</v>
      </c>
      <c r="F200" s="14">
        <f t="shared" si="18"/>
        <v>5045</v>
      </c>
      <c r="K200" t="s">
        <v>225</v>
      </c>
      <c r="L200">
        <v>5.67</v>
      </c>
      <c r="M200" s="78">
        <v>-5.18</v>
      </c>
      <c r="N200" s="78">
        <v>-16.12</v>
      </c>
      <c r="O200" s="78">
        <v>-58.46</v>
      </c>
      <c r="P200" s="78">
        <v>-27.95</v>
      </c>
      <c r="Q200" s="78">
        <v>-16.12</v>
      </c>
      <c r="R200" s="78">
        <v>12.06</v>
      </c>
      <c r="S200" s="78">
        <v>140.25</v>
      </c>
      <c r="T200" s="78">
        <v>1432.43</v>
      </c>
    </row>
    <row r="201" spans="1:20" x14ac:dyDescent="0.3">
      <c r="A201" s="10">
        <v>45520</v>
      </c>
      <c r="B201" s="11" t="s">
        <v>15</v>
      </c>
      <c r="C201" s="12" t="s">
        <v>9</v>
      </c>
      <c r="D201" s="12">
        <v>25</v>
      </c>
      <c r="E201" s="13">
        <v>48.76</v>
      </c>
      <c r="F201" s="14">
        <f t="shared" si="18"/>
        <v>1219</v>
      </c>
      <c r="K201" t="s">
        <v>226</v>
      </c>
      <c r="L201">
        <v>10.92</v>
      </c>
      <c r="M201" s="78">
        <v>-3.53</v>
      </c>
      <c r="N201" s="78">
        <v>-11.51</v>
      </c>
      <c r="O201" s="78">
        <v>-5.13</v>
      </c>
      <c r="P201" s="78">
        <v>-16.45</v>
      </c>
      <c r="Q201" s="78">
        <v>-11.51</v>
      </c>
      <c r="R201" s="78">
        <v>16.05</v>
      </c>
      <c r="S201" s="78">
        <v>219.3</v>
      </c>
      <c r="T201" s="78">
        <v>733.59</v>
      </c>
    </row>
    <row r="202" spans="1:20" x14ac:dyDescent="0.3">
      <c r="A202" s="10">
        <v>45520</v>
      </c>
      <c r="B202" s="11" t="s">
        <v>440</v>
      </c>
      <c r="C202" s="12" t="s">
        <v>9</v>
      </c>
      <c r="D202" s="12">
        <v>60</v>
      </c>
      <c r="E202" s="13">
        <v>16.03</v>
      </c>
      <c r="F202" s="14">
        <f t="shared" si="18"/>
        <v>961.80000000000007</v>
      </c>
      <c r="K202" t="s">
        <v>227</v>
      </c>
      <c r="L202">
        <v>8.1</v>
      </c>
      <c r="M202" s="78">
        <v>-6.9</v>
      </c>
      <c r="N202" s="78">
        <v>-10</v>
      </c>
      <c r="O202" s="78">
        <v>-12.9</v>
      </c>
      <c r="P202" s="78">
        <v>105.06</v>
      </c>
      <c r="Q202" s="78">
        <v>-10</v>
      </c>
      <c r="R202" s="78">
        <v>168.21</v>
      </c>
      <c r="S202" s="78">
        <v>291.3</v>
      </c>
      <c r="T202" s="78">
        <v>831.03</v>
      </c>
    </row>
    <row r="203" spans="1:20" x14ac:dyDescent="0.3">
      <c r="A203" s="10">
        <v>45520</v>
      </c>
      <c r="B203" s="11" t="s">
        <v>31</v>
      </c>
      <c r="C203" s="12" t="s">
        <v>7</v>
      </c>
      <c r="D203" s="12">
        <v>50</v>
      </c>
      <c r="E203" s="13">
        <v>36.06</v>
      </c>
      <c r="F203" s="14">
        <f t="shared" si="18"/>
        <v>1803</v>
      </c>
      <c r="K203" t="s">
        <v>228</v>
      </c>
      <c r="L203">
        <v>13.29</v>
      </c>
      <c r="M203" s="78">
        <v>-9.4700000000000006</v>
      </c>
      <c r="N203" s="78">
        <v>-14.53</v>
      </c>
      <c r="O203" s="78">
        <v>8.2200000000000006</v>
      </c>
      <c r="P203" s="78">
        <v>-21.13</v>
      </c>
      <c r="Q203" s="78">
        <v>-14.53</v>
      </c>
      <c r="R203" s="78">
        <v>-17.71</v>
      </c>
      <c r="S203" s="78">
        <v>196.65</v>
      </c>
      <c r="T203" s="78">
        <v>663.79</v>
      </c>
    </row>
    <row r="204" spans="1:20" x14ac:dyDescent="0.3">
      <c r="A204" s="5">
        <v>45520</v>
      </c>
      <c r="B204" s="6" t="s">
        <v>29</v>
      </c>
      <c r="C204" s="7" t="s">
        <v>9</v>
      </c>
      <c r="D204" s="7">
        <v>10</v>
      </c>
      <c r="E204" s="8">
        <v>180</v>
      </c>
      <c r="F204" s="9">
        <f t="shared" si="18"/>
        <v>1800</v>
      </c>
      <c r="K204" t="s">
        <v>229</v>
      </c>
      <c r="L204">
        <v>37</v>
      </c>
      <c r="M204" s="78">
        <v>11.45</v>
      </c>
      <c r="N204" s="78">
        <v>11.51</v>
      </c>
      <c r="O204" s="78">
        <v>11.04</v>
      </c>
      <c r="P204" s="78">
        <v>12.91</v>
      </c>
      <c r="Q204" s="78">
        <v>11.51</v>
      </c>
      <c r="R204" s="78">
        <v>-38.159999999999997</v>
      </c>
      <c r="S204" s="78"/>
      <c r="T204" s="78"/>
    </row>
    <row r="205" spans="1:20" x14ac:dyDescent="0.3">
      <c r="A205" s="10">
        <v>45520</v>
      </c>
      <c r="B205" s="6" t="s">
        <v>29</v>
      </c>
      <c r="C205" s="7" t="s">
        <v>9</v>
      </c>
      <c r="D205" s="7">
        <v>10</v>
      </c>
      <c r="E205" s="13">
        <v>182.9</v>
      </c>
      <c r="F205" s="14">
        <f t="shared" si="18"/>
        <v>1829</v>
      </c>
      <c r="K205" t="s">
        <v>230</v>
      </c>
      <c r="L205">
        <v>4.2699999999999996</v>
      </c>
      <c r="M205" s="78">
        <v>-4.6900000000000004</v>
      </c>
      <c r="N205" s="78">
        <v>-12.68</v>
      </c>
      <c r="O205" s="78">
        <v>0.71</v>
      </c>
      <c r="P205" s="78">
        <v>-23.75</v>
      </c>
      <c r="Q205" s="78">
        <v>-12.68</v>
      </c>
      <c r="R205" s="78">
        <v>-30</v>
      </c>
      <c r="S205" s="78"/>
      <c r="T205" s="78"/>
    </row>
    <row r="206" spans="1:20" x14ac:dyDescent="0.3">
      <c r="A206" s="5">
        <v>45520</v>
      </c>
      <c r="B206" s="6" t="s">
        <v>31</v>
      </c>
      <c r="C206" s="7" t="s">
        <v>9</v>
      </c>
      <c r="D206" s="7">
        <v>50</v>
      </c>
      <c r="E206" s="8">
        <v>37</v>
      </c>
      <c r="F206" s="9">
        <f t="shared" ref="F206:F215" si="19">+E206*D206</f>
        <v>1850</v>
      </c>
      <c r="K206" t="s">
        <v>231</v>
      </c>
      <c r="L206">
        <v>12.99</v>
      </c>
      <c r="M206" s="78">
        <v>1.01</v>
      </c>
      <c r="N206" s="78">
        <v>-17.260000000000002</v>
      </c>
      <c r="O206" s="78">
        <v>26.36</v>
      </c>
      <c r="P206" s="78">
        <v>4.76</v>
      </c>
      <c r="Q206" s="78">
        <v>-17.260000000000002</v>
      </c>
      <c r="R206" s="78">
        <v>-15.1</v>
      </c>
      <c r="S206" s="78">
        <v>319.02999999999997</v>
      </c>
      <c r="T206" s="78">
        <v>982.5</v>
      </c>
    </row>
    <row r="207" spans="1:20" x14ac:dyDescent="0.3">
      <c r="A207" s="5">
        <v>45523</v>
      </c>
      <c r="B207" s="6" t="s">
        <v>48</v>
      </c>
      <c r="C207" s="7" t="s">
        <v>7</v>
      </c>
      <c r="D207" s="7">
        <v>300</v>
      </c>
      <c r="E207" s="8">
        <v>4.62</v>
      </c>
      <c r="F207" s="9">
        <f t="shared" si="19"/>
        <v>1386</v>
      </c>
      <c r="K207" t="s">
        <v>232</v>
      </c>
      <c r="L207">
        <v>7.36</v>
      </c>
      <c r="M207" s="78">
        <v>-2.9</v>
      </c>
      <c r="N207" s="78">
        <v>-4.54</v>
      </c>
      <c r="O207" s="78">
        <v>2.79</v>
      </c>
      <c r="P207" s="78">
        <v>-24.59</v>
      </c>
      <c r="Q207" s="78">
        <v>-4.54</v>
      </c>
      <c r="R207" s="78">
        <v>-31.34</v>
      </c>
      <c r="S207" s="78"/>
      <c r="T207" s="78"/>
    </row>
    <row r="208" spans="1:20" x14ac:dyDescent="0.3">
      <c r="A208" s="5">
        <v>45523</v>
      </c>
      <c r="B208" s="6" t="s">
        <v>6</v>
      </c>
      <c r="C208" s="7" t="s">
        <v>9</v>
      </c>
      <c r="D208" s="7">
        <v>2</v>
      </c>
      <c r="E208" s="8">
        <v>576</v>
      </c>
      <c r="F208" s="9">
        <f t="shared" si="19"/>
        <v>1152</v>
      </c>
      <c r="K208" t="s">
        <v>233</v>
      </c>
      <c r="L208">
        <v>15.42</v>
      </c>
      <c r="M208" s="78">
        <v>-4.04</v>
      </c>
      <c r="N208" s="78">
        <v>-4.76</v>
      </c>
      <c r="O208" s="78">
        <v>6.27</v>
      </c>
      <c r="P208" s="78">
        <v>0.92</v>
      </c>
      <c r="Q208" s="78">
        <v>-4.76</v>
      </c>
      <c r="R208" s="78">
        <v>-16.920000000000002</v>
      </c>
      <c r="S208" s="78">
        <v>123.15</v>
      </c>
      <c r="T208" s="78"/>
    </row>
    <row r="209" spans="1:20" x14ac:dyDescent="0.3">
      <c r="A209" s="10">
        <v>45523</v>
      </c>
      <c r="B209" s="11" t="s">
        <v>25</v>
      </c>
      <c r="C209" s="12" t="s">
        <v>9</v>
      </c>
      <c r="D209" s="12">
        <v>250</v>
      </c>
      <c r="E209" s="13">
        <v>3.77</v>
      </c>
      <c r="F209" s="14">
        <f t="shared" si="19"/>
        <v>942.5</v>
      </c>
      <c r="K209" t="s">
        <v>234</v>
      </c>
      <c r="L209">
        <v>52.5</v>
      </c>
      <c r="M209" s="78">
        <v>9.74</v>
      </c>
      <c r="N209" s="78">
        <v>11.94</v>
      </c>
      <c r="O209" s="78">
        <v>24.26</v>
      </c>
      <c r="P209" s="78">
        <v>-12.91</v>
      </c>
      <c r="Q209" s="78">
        <v>11.94</v>
      </c>
      <c r="R209" s="78">
        <v>10.130000000000001</v>
      </c>
      <c r="S209" s="78">
        <v>354.94</v>
      </c>
      <c r="T209" s="78">
        <v>612.35</v>
      </c>
    </row>
    <row r="210" spans="1:20" x14ac:dyDescent="0.3">
      <c r="A210" s="10">
        <v>45524</v>
      </c>
      <c r="B210" s="11" t="s">
        <v>219</v>
      </c>
      <c r="C210" s="12" t="s">
        <v>7</v>
      </c>
      <c r="D210" s="12">
        <v>25</v>
      </c>
      <c r="E210" s="13">
        <v>102.7</v>
      </c>
      <c r="F210" s="14">
        <f t="shared" si="19"/>
        <v>2567.5</v>
      </c>
      <c r="K210" t="s">
        <v>235</v>
      </c>
      <c r="L210">
        <v>9.1</v>
      </c>
      <c r="M210" s="78">
        <v>-1.62</v>
      </c>
      <c r="N210" s="78">
        <v>-7.89</v>
      </c>
      <c r="O210" s="78">
        <v>-7.14</v>
      </c>
      <c r="P210" s="78">
        <v>-0.44</v>
      </c>
      <c r="Q210" s="78">
        <v>-7.89</v>
      </c>
      <c r="R210" s="78">
        <v>-15.51</v>
      </c>
      <c r="S210" s="78">
        <v>277.58999999999997</v>
      </c>
      <c r="T210" s="78">
        <v>331.28</v>
      </c>
    </row>
    <row r="211" spans="1:20" x14ac:dyDescent="0.3">
      <c r="A211" s="5">
        <v>45524</v>
      </c>
      <c r="B211" s="6" t="s">
        <v>29</v>
      </c>
      <c r="C211" s="7" t="s">
        <v>9</v>
      </c>
      <c r="D211" s="7">
        <v>10</v>
      </c>
      <c r="E211" s="8">
        <v>187</v>
      </c>
      <c r="F211" s="9">
        <f t="shared" si="19"/>
        <v>1870</v>
      </c>
      <c r="K211" t="s">
        <v>236</v>
      </c>
      <c r="L211">
        <v>306</v>
      </c>
      <c r="M211" s="78">
        <v>-3.92</v>
      </c>
      <c r="N211" s="78">
        <v>-6.13</v>
      </c>
      <c r="O211" s="78">
        <v>-0.65</v>
      </c>
      <c r="P211" s="78">
        <v>-0.49</v>
      </c>
      <c r="Q211" s="78">
        <v>-6.13</v>
      </c>
      <c r="R211" s="78">
        <v>-2.08</v>
      </c>
      <c r="S211" s="78">
        <v>182.37</v>
      </c>
      <c r="T211" s="78">
        <v>492.68</v>
      </c>
    </row>
    <row r="212" spans="1:20" x14ac:dyDescent="0.3">
      <c r="A212" s="5">
        <v>45524</v>
      </c>
      <c r="B212" s="6" t="s">
        <v>319</v>
      </c>
      <c r="C212" s="7" t="s">
        <v>7</v>
      </c>
      <c r="D212" s="7">
        <v>85</v>
      </c>
      <c r="E212" s="8">
        <v>31</v>
      </c>
      <c r="F212" s="9">
        <f t="shared" si="19"/>
        <v>2635</v>
      </c>
      <c r="K212" t="s">
        <v>237</v>
      </c>
      <c r="L212">
        <v>16.399999999999999</v>
      </c>
      <c r="M212" s="78">
        <v>-4.04</v>
      </c>
      <c r="N212" s="78">
        <v>-2.38</v>
      </c>
      <c r="O212" s="78">
        <v>-8.94</v>
      </c>
      <c r="P212" s="78">
        <v>-31.32</v>
      </c>
      <c r="Q212" s="78">
        <v>-2.38</v>
      </c>
      <c r="R212" s="78">
        <v>101.97</v>
      </c>
      <c r="S212" s="78">
        <v>380.94</v>
      </c>
      <c r="T212" s="78">
        <v>530.77</v>
      </c>
    </row>
    <row r="213" spans="1:20" x14ac:dyDescent="0.3">
      <c r="A213" s="5">
        <v>45524</v>
      </c>
      <c r="B213" s="6" t="s">
        <v>10</v>
      </c>
      <c r="C213" s="7" t="s">
        <v>9</v>
      </c>
      <c r="D213" s="7">
        <v>50</v>
      </c>
      <c r="E213" s="8">
        <v>55.9</v>
      </c>
      <c r="F213" s="9">
        <f t="shared" si="19"/>
        <v>2795</v>
      </c>
      <c r="K213" t="s">
        <v>238</v>
      </c>
      <c r="L213">
        <v>5.65</v>
      </c>
      <c r="M213" s="78">
        <v>-23.65</v>
      </c>
      <c r="N213" s="78">
        <v>-28.39</v>
      </c>
      <c r="O213" s="78">
        <v>14.6</v>
      </c>
      <c r="P213" s="78">
        <v>61.43</v>
      </c>
      <c r="Q213" s="78">
        <v>-28.39</v>
      </c>
      <c r="R213" s="78">
        <v>80.510000000000005</v>
      </c>
      <c r="S213" s="78">
        <v>718.84</v>
      </c>
      <c r="T213" s="78">
        <v>556.98</v>
      </c>
    </row>
    <row r="214" spans="1:20" x14ac:dyDescent="0.3">
      <c r="A214" s="5">
        <v>45524</v>
      </c>
      <c r="B214" s="6" t="s">
        <v>25</v>
      </c>
      <c r="C214" s="7" t="s">
        <v>7</v>
      </c>
      <c r="D214" s="7">
        <v>250</v>
      </c>
      <c r="E214" s="8">
        <v>3.54</v>
      </c>
      <c r="F214" s="9">
        <f t="shared" si="19"/>
        <v>885</v>
      </c>
      <c r="K214" t="s">
        <v>239</v>
      </c>
      <c r="L214">
        <v>53.6</v>
      </c>
      <c r="M214" s="78">
        <v>1.9</v>
      </c>
      <c r="N214" s="78">
        <v>2.4900000000000002</v>
      </c>
      <c r="O214" s="78">
        <v>12.13</v>
      </c>
      <c r="P214" s="78">
        <v>-17.36</v>
      </c>
      <c r="Q214" s="78">
        <v>2.4900000000000002</v>
      </c>
      <c r="R214" s="78">
        <v>-35.24</v>
      </c>
      <c r="S214" s="78"/>
      <c r="T214" s="78"/>
    </row>
    <row r="215" spans="1:20" x14ac:dyDescent="0.3">
      <c r="A215" s="5">
        <v>45524</v>
      </c>
      <c r="B215" s="6" t="s">
        <v>48</v>
      </c>
      <c r="C215" s="7" t="s">
        <v>9</v>
      </c>
      <c r="D215" s="7">
        <v>300</v>
      </c>
      <c r="E215" s="8">
        <v>4.9000000000000004</v>
      </c>
      <c r="F215" s="9">
        <f t="shared" si="19"/>
        <v>1470</v>
      </c>
      <c r="K215" t="s">
        <v>240</v>
      </c>
      <c r="L215">
        <v>8.49</v>
      </c>
      <c r="M215" s="78">
        <v>-2.86</v>
      </c>
      <c r="N215" s="78">
        <v>10.26</v>
      </c>
      <c r="O215" s="78">
        <v>8.7100000000000009</v>
      </c>
      <c r="P215" s="78">
        <v>12.3</v>
      </c>
      <c r="Q215" s="78">
        <v>10.26</v>
      </c>
      <c r="R215" s="78">
        <v>7.74</v>
      </c>
      <c r="S215" s="78">
        <v>138.47999999999999</v>
      </c>
      <c r="T215" s="78">
        <v>961.25</v>
      </c>
    </row>
    <row r="216" spans="1:20" x14ac:dyDescent="0.3">
      <c r="A216" s="10">
        <v>45525</v>
      </c>
      <c r="B216" s="11" t="s">
        <v>19</v>
      </c>
      <c r="C216" s="12" t="s">
        <v>7</v>
      </c>
      <c r="D216" s="12">
        <v>100</v>
      </c>
      <c r="E216" s="13">
        <v>27.96</v>
      </c>
      <c r="F216" s="14">
        <f t="shared" ref="F216:F225" si="20">+E216*D216</f>
        <v>2796</v>
      </c>
      <c r="K216" t="s">
        <v>23</v>
      </c>
      <c r="L216">
        <v>929.5</v>
      </c>
      <c r="M216" s="78">
        <v>-0.32</v>
      </c>
      <c r="N216" s="78">
        <v>-0.8</v>
      </c>
      <c r="O216" s="78">
        <v>-3.66</v>
      </c>
      <c r="P216" s="78">
        <v>-5.16</v>
      </c>
      <c r="Q216" s="78">
        <v>-0.8</v>
      </c>
      <c r="R216" s="78">
        <v>10.82</v>
      </c>
      <c r="S216" s="78">
        <v>341.78</v>
      </c>
      <c r="T216" s="78">
        <v>1542.52</v>
      </c>
    </row>
    <row r="217" spans="1:20" x14ac:dyDescent="0.3">
      <c r="A217" s="5">
        <v>45525</v>
      </c>
      <c r="B217" s="6" t="s">
        <v>26</v>
      </c>
      <c r="C217" s="7" t="s">
        <v>7</v>
      </c>
      <c r="D217" s="7">
        <v>25</v>
      </c>
      <c r="E217" s="8">
        <v>81.75</v>
      </c>
      <c r="F217" s="9">
        <f t="shared" si="20"/>
        <v>2043.75</v>
      </c>
      <c r="K217" t="s">
        <v>241</v>
      </c>
      <c r="L217">
        <v>30.8</v>
      </c>
      <c r="M217" s="78">
        <v>-3.75</v>
      </c>
      <c r="N217" s="78">
        <v>13.24</v>
      </c>
      <c r="O217" s="78">
        <v>68.67</v>
      </c>
      <c r="P217" s="78">
        <v>142.71</v>
      </c>
      <c r="Q217" s="78">
        <v>13.24</v>
      </c>
      <c r="R217" s="78">
        <v>110.24</v>
      </c>
      <c r="S217" s="78"/>
      <c r="T217" s="78"/>
    </row>
    <row r="218" spans="1:20" x14ac:dyDescent="0.3">
      <c r="A218" s="5">
        <v>45525</v>
      </c>
      <c r="B218" s="6" t="s">
        <v>319</v>
      </c>
      <c r="C218" s="7" t="s">
        <v>9</v>
      </c>
      <c r="D218" s="7">
        <v>35</v>
      </c>
      <c r="E218" s="8">
        <v>32.86</v>
      </c>
      <c r="F218" s="9">
        <f t="shared" si="20"/>
        <v>1150.0999999999999</v>
      </c>
      <c r="K218" t="s">
        <v>242</v>
      </c>
      <c r="L218">
        <v>127.3</v>
      </c>
      <c r="M218" s="78">
        <v>-3.78</v>
      </c>
      <c r="N218" s="78">
        <v>2.33</v>
      </c>
      <c r="O218" s="78">
        <v>19.079999999999998</v>
      </c>
      <c r="P218" s="78">
        <v>2.83</v>
      </c>
      <c r="Q218" s="78">
        <v>2.33</v>
      </c>
      <c r="R218" s="78">
        <v>109.62</v>
      </c>
      <c r="S218" s="78">
        <v>1128.76</v>
      </c>
      <c r="T218" s="78">
        <v>1155.42</v>
      </c>
    </row>
    <row r="219" spans="1:20" x14ac:dyDescent="0.3">
      <c r="A219" s="10">
        <v>45526</v>
      </c>
      <c r="B219" s="11" t="s">
        <v>10</v>
      </c>
      <c r="C219" s="12" t="s">
        <v>7</v>
      </c>
      <c r="D219" s="12">
        <v>50</v>
      </c>
      <c r="E219" s="13">
        <v>52.55</v>
      </c>
      <c r="F219" s="14">
        <f t="shared" si="20"/>
        <v>2627.5</v>
      </c>
      <c r="K219" t="s">
        <v>243</v>
      </c>
      <c r="L219">
        <v>18.97</v>
      </c>
      <c r="M219" s="78">
        <v>-5.24</v>
      </c>
      <c r="N219" s="78">
        <v>-7.01</v>
      </c>
      <c r="O219" s="78">
        <v>-2.2200000000000002</v>
      </c>
      <c r="P219" s="78">
        <v>-16.36</v>
      </c>
      <c r="Q219" s="78">
        <v>-7.01</v>
      </c>
      <c r="R219" s="78">
        <v>-15.39</v>
      </c>
      <c r="S219" s="78">
        <v>629.62</v>
      </c>
      <c r="T219" s="78">
        <v>1724.04</v>
      </c>
    </row>
    <row r="220" spans="1:20" x14ac:dyDescent="0.3">
      <c r="A220" s="5">
        <v>45526</v>
      </c>
      <c r="B220" s="6" t="s">
        <v>6</v>
      </c>
      <c r="C220" s="7" t="s">
        <v>7</v>
      </c>
      <c r="D220" s="7">
        <v>2</v>
      </c>
      <c r="E220" s="8">
        <v>541</v>
      </c>
      <c r="F220" s="9">
        <f t="shared" si="20"/>
        <v>1082</v>
      </c>
      <c r="K220" t="s">
        <v>244</v>
      </c>
      <c r="L220">
        <v>7.56</v>
      </c>
      <c r="M220" s="78">
        <v>-4.79</v>
      </c>
      <c r="N220" s="78">
        <v>-10.32</v>
      </c>
      <c r="O220" s="78">
        <v>8.15</v>
      </c>
      <c r="P220" s="78">
        <v>3.28</v>
      </c>
      <c r="Q220" s="78">
        <v>-10.32</v>
      </c>
      <c r="R220" s="78">
        <v>20.96</v>
      </c>
      <c r="S220" s="78">
        <v>310.87</v>
      </c>
      <c r="T220" s="78">
        <v>1100</v>
      </c>
    </row>
    <row r="221" spans="1:20" x14ac:dyDescent="0.3">
      <c r="A221" s="5">
        <v>45526</v>
      </c>
      <c r="B221" s="6" t="s">
        <v>20</v>
      </c>
      <c r="C221" s="7" t="s">
        <v>9</v>
      </c>
      <c r="D221" s="7">
        <v>100</v>
      </c>
      <c r="E221" s="8">
        <v>19.04</v>
      </c>
      <c r="F221" s="9">
        <f t="shared" si="20"/>
        <v>1904</v>
      </c>
      <c r="K221" t="s">
        <v>245</v>
      </c>
      <c r="L221">
        <v>35.799999999999997</v>
      </c>
      <c r="M221" s="78">
        <v>4.68</v>
      </c>
      <c r="N221" s="78">
        <v>21.69</v>
      </c>
      <c r="O221" s="78">
        <v>88.32</v>
      </c>
      <c r="P221" s="78">
        <v>60.68</v>
      </c>
      <c r="Q221" s="78">
        <v>21.69</v>
      </c>
      <c r="R221" s="78">
        <v>58.13</v>
      </c>
      <c r="S221" s="78">
        <v>276.45</v>
      </c>
      <c r="T221" s="78">
        <v>1505.38</v>
      </c>
    </row>
    <row r="222" spans="1:20" x14ac:dyDescent="0.3">
      <c r="A222" s="5">
        <v>45526</v>
      </c>
      <c r="B222" s="6" t="s">
        <v>30</v>
      </c>
      <c r="C222" s="7" t="s">
        <v>9</v>
      </c>
      <c r="D222" s="7">
        <v>25</v>
      </c>
      <c r="E222" s="8">
        <v>76.7</v>
      </c>
      <c r="F222" s="9">
        <f t="shared" si="20"/>
        <v>1917.5</v>
      </c>
      <c r="K222" t="s">
        <v>246</v>
      </c>
      <c r="L222">
        <v>117.7</v>
      </c>
      <c r="M222" s="78">
        <v>-0.93</v>
      </c>
      <c r="N222" s="78">
        <v>-1.92</v>
      </c>
      <c r="O222" s="78">
        <v>42.67</v>
      </c>
      <c r="P222" s="78">
        <v>60.29</v>
      </c>
      <c r="Q222" s="78">
        <v>-1.92</v>
      </c>
      <c r="R222" s="78">
        <v>125.39</v>
      </c>
      <c r="S222" s="78">
        <v>609.46</v>
      </c>
      <c r="T222" s="78"/>
    </row>
    <row r="223" spans="1:20" x14ac:dyDescent="0.3">
      <c r="A223" s="5">
        <v>45526</v>
      </c>
      <c r="B223" s="6" t="s">
        <v>319</v>
      </c>
      <c r="C223" s="7" t="s">
        <v>9</v>
      </c>
      <c r="D223" s="7">
        <v>50</v>
      </c>
      <c r="E223" s="8">
        <v>34.840000000000003</v>
      </c>
      <c r="F223" s="9">
        <f t="shared" si="20"/>
        <v>1742.0000000000002</v>
      </c>
      <c r="K223" t="s">
        <v>247</v>
      </c>
      <c r="L223">
        <v>11</v>
      </c>
      <c r="M223" s="78">
        <v>-3.85</v>
      </c>
      <c r="N223" s="78">
        <v>6.59</v>
      </c>
      <c r="O223" s="78">
        <v>43.04</v>
      </c>
      <c r="P223" s="78">
        <v>13.29</v>
      </c>
      <c r="Q223" s="78">
        <v>6.59</v>
      </c>
      <c r="R223" s="78">
        <v>19.57</v>
      </c>
      <c r="S223" s="78">
        <v>340</v>
      </c>
      <c r="T223" s="78">
        <v>787.1</v>
      </c>
    </row>
    <row r="224" spans="1:20" x14ac:dyDescent="0.3">
      <c r="A224" s="5">
        <v>45526</v>
      </c>
      <c r="B224" s="6" t="s">
        <v>55</v>
      </c>
      <c r="C224" s="7" t="s">
        <v>7</v>
      </c>
      <c r="D224" s="7">
        <v>150</v>
      </c>
      <c r="E224" s="8">
        <v>10.06</v>
      </c>
      <c r="F224" s="9">
        <f t="shared" si="20"/>
        <v>1509</v>
      </c>
      <c r="K224" t="s">
        <v>248</v>
      </c>
      <c r="L224">
        <v>8.89</v>
      </c>
      <c r="M224" s="78">
        <v>-6.03</v>
      </c>
      <c r="N224" s="78">
        <v>-11.89</v>
      </c>
      <c r="O224" s="78">
        <v>-12.41</v>
      </c>
      <c r="P224" s="78">
        <v>-18.89</v>
      </c>
      <c r="Q224" s="78">
        <v>-11.89</v>
      </c>
      <c r="R224" s="78">
        <v>16.510000000000002</v>
      </c>
      <c r="S224" s="78">
        <v>500.68</v>
      </c>
      <c r="T224" s="78">
        <v>666.38</v>
      </c>
    </row>
    <row r="225" spans="1:20" x14ac:dyDescent="0.3">
      <c r="A225" s="5">
        <v>45526</v>
      </c>
      <c r="B225" s="6" t="s">
        <v>34</v>
      </c>
      <c r="C225" s="7" t="s">
        <v>9</v>
      </c>
      <c r="D225" s="7">
        <v>30</v>
      </c>
      <c r="E225" s="8">
        <v>46.96</v>
      </c>
      <c r="F225" s="9">
        <f t="shared" si="20"/>
        <v>1408.8</v>
      </c>
      <c r="K225" t="s">
        <v>249</v>
      </c>
      <c r="L225">
        <v>51.25</v>
      </c>
      <c r="M225" s="78">
        <v>5.24</v>
      </c>
      <c r="N225" s="78">
        <v>8.6300000000000008</v>
      </c>
      <c r="O225" s="78">
        <v>17.98</v>
      </c>
      <c r="P225" s="78">
        <v>6.11</v>
      </c>
      <c r="Q225" s="78">
        <v>8.6300000000000008</v>
      </c>
      <c r="R225" s="78">
        <v>-34.130000000000003</v>
      </c>
      <c r="S225" s="78">
        <v>1038.8900000000001</v>
      </c>
      <c r="T225" s="78"/>
    </row>
    <row r="226" spans="1:20" x14ac:dyDescent="0.3">
      <c r="A226" s="10">
        <v>45527</v>
      </c>
      <c r="B226" s="11" t="s">
        <v>34</v>
      </c>
      <c r="C226" s="12" t="s">
        <v>7</v>
      </c>
      <c r="D226" s="12">
        <v>30</v>
      </c>
      <c r="E226" s="13">
        <v>44</v>
      </c>
      <c r="F226" s="14">
        <f t="shared" ref="F226:F232" si="21">+E226*D226</f>
        <v>1320</v>
      </c>
      <c r="K226" t="s">
        <v>250</v>
      </c>
      <c r="L226">
        <v>42.38</v>
      </c>
      <c r="M226" s="78">
        <v>-5.44</v>
      </c>
      <c r="N226" s="78">
        <v>-3.77</v>
      </c>
      <c r="O226" s="78">
        <v>49.23</v>
      </c>
      <c r="P226" s="78">
        <v>24.06</v>
      </c>
      <c r="Q226" s="78">
        <v>-3.77</v>
      </c>
      <c r="R226" s="78">
        <v>19.21</v>
      </c>
      <c r="S226" s="78"/>
      <c r="T226" s="78"/>
    </row>
    <row r="227" spans="1:20" x14ac:dyDescent="0.3">
      <c r="A227" s="5">
        <v>45527</v>
      </c>
      <c r="B227" s="6" t="s">
        <v>50</v>
      </c>
      <c r="C227" s="7" t="s">
        <v>7</v>
      </c>
      <c r="D227" s="7">
        <v>50</v>
      </c>
      <c r="E227" s="8">
        <v>20.059999999999999</v>
      </c>
      <c r="F227" s="9">
        <f t="shared" si="21"/>
        <v>1002.9999999999999</v>
      </c>
      <c r="K227" t="s">
        <v>251</v>
      </c>
      <c r="L227">
        <v>10.49</v>
      </c>
      <c r="M227" s="78">
        <v>-3.94</v>
      </c>
      <c r="N227" s="78">
        <v>-12.58</v>
      </c>
      <c r="O227" s="78">
        <v>-3.23</v>
      </c>
      <c r="P227" s="78">
        <v>-13.88</v>
      </c>
      <c r="Q227" s="78">
        <v>-12.58</v>
      </c>
      <c r="R227" s="78">
        <v>-19.8</v>
      </c>
      <c r="S227" s="78">
        <v>372.52</v>
      </c>
      <c r="T227" s="78">
        <v>1317.57</v>
      </c>
    </row>
    <row r="228" spans="1:20" x14ac:dyDescent="0.3">
      <c r="A228" s="5">
        <v>45527</v>
      </c>
      <c r="B228" s="6" t="s">
        <v>53</v>
      </c>
      <c r="C228" s="7" t="s">
        <v>7</v>
      </c>
      <c r="D228" s="7">
        <v>200</v>
      </c>
      <c r="E228" s="8">
        <v>7.31</v>
      </c>
      <c r="F228" s="9">
        <f t="shared" si="21"/>
        <v>1462</v>
      </c>
      <c r="K228" t="s">
        <v>252</v>
      </c>
      <c r="L228">
        <v>50.1</v>
      </c>
      <c r="M228" s="78">
        <v>-3.65</v>
      </c>
      <c r="N228" s="78">
        <v>9.82</v>
      </c>
      <c r="O228" s="78">
        <v>6.23</v>
      </c>
      <c r="P228" s="78">
        <v>15.01</v>
      </c>
      <c r="Q228" s="78">
        <v>9.82</v>
      </c>
      <c r="R228" s="78">
        <v>36.659999999999997</v>
      </c>
      <c r="S228" s="78">
        <v>361.33</v>
      </c>
      <c r="T228" s="78"/>
    </row>
    <row r="229" spans="1:20" x14ac:dyDescent="0.3">
      <c r="A229" s="5">
        <v>45527</v>
      </c>
      <c r="B229" s="6" t="s">
        <v>15</v>
      </c>
      <c r="C229" s="7" t="s">
        <v>7</v>
      </c>
      <c r="D229" s="7">
        <v>25</v>
      </c>
      <c r="E229" s="8">
        <v>45.82</v>
      </c>
      <c r="F229" s="9">
        <f t="shared" si="21"/>
        <v>1145.5</v>
      </c>
      <c r="K229" t="s">
        <v>735</v>
      </c>
      <c r="L229">
        <v>151.80000000000001</v>
      </c>
      <c r="M229" s="78">
        <v>5.78</v>
      </c>
      <c r="N229" s="78"/>
      <c r="O229" s="78"/>
      <c r="P229" s="78"/>
      <c r="Q229" s="78"/>
      <c r="R229" s="78"/>
      <c r="S229" s="78"/>
      <c r="T229" s="78"/>
    </row>
    <row r="230" spans="1:20" x14ac:dyDescent="0.3">
      <c r="A230" s="5">
        <v>45527</v>
      </c>
      <c r="B230" s="6" t="s">
        <v>219</v>
      </c>
      <c r="C230" s="7" t="s">
        <v>7</v>
      </c>
      <c r="D230" s="7">
        <v>25</v>
      </c>
      <c r="E230" s="8">
        <v>96.5</v>
      </c>
      <c r="F230" s="9">
        <f t="shared" si="21"/>
        <v>2412.5</v>
      </c>
      <c r="K230" t="s">
        <v>253</v>
      </c>
      <c r="L230">
        <v>3.24</v>
      </c>
      <c r="M230" s="78">
        <v>9.09</v>
      </c>
      <c r="N230" s="78">
        <v>5.19</v>
      </c>
      <c r="O230" s="78">
        <v>26.07</v>
      </c>
      <c r="P230" s="78">
        <v>21.8</v>
      </c>
      <c r="Q230" s="78">
        <v>5.19</v>
      </c>
      <c r="R230" s="78">
        <v>16.97</v>
      </c>
      <c r="S230" s="78">
        <v>458.62</v>
      </c>
      <c r="T230" s="78">
        <v>2060</v>
      </c>
    </row>
    <row r="231" spans="1:20" x14ac:dyDescent="0.3">
      <c r="A231" s="5">
        <v>45527</v>
      </c>
      <c r="B231" s="6" t="s">
        <v>20</v>
      </c>
      <c r="C231" s="7" t="s">
        <v>7</v>
      </c>
      <c r="D231" s="7">
        <v>100</v>
      </c>
      <c r="E231" s="8">
        <v>17.899999999999999</v>
      </c>
      <c r="F231" s="9">
        <f t="shared" si="21"/>
        <v>1789.9999999999998</v>
      </c>
      <c r="K231" t="s">
        <v>254</v>
      </c>
      <c r="L231">
        <v>17.600000000000001</v>
      </c>
      <c r="M231" s="78">
        <v>-5.73</v>
      </c>
      <c r="N231" s="78">
        <v>0</v>
      </c>
      <c r="O231" s="78">
        <v>6.86</v>
      </c>
      <c r="P231" s="78">
        <v>8.84</v>
      </c>
      <c r="Q231" s="78">
        <v>0</v>
      </c>
      <c r="R231" s="78">
        <v>55.75</v>
      </c>
      <c r="S231" s="78">
        <v>648.94000000000005</v>
      </c>
      <c r="T231" s="78">
        <v>388.89</v>
      </c>
    </row>
    <row r="232" spans="1:20" x14ac:dyDescent="0.3">
      <c r="A232" s="5">
        <v>45527</v>
      </c>
      <c r="B232" s="6" t="s">
        <v>19</v>
      </c>
      <c r="C232" s="7" t="s">
        <v>7</v>
      </c>
      <c r="D232" s="7">
        <v>100</v>
      </c>
      <c r="E232" s="8">
        <v>26.28</v>
      </c>
      <c r="F232" s="9">
        <f t="shared" si="21"/>
        <v>2628</v>
      </c>
      <c r="K232" t="s">
        <v>255</v>
      </c>
      <c r="L232">
        <v>11.04</v>
      </c>
      <c r="M232" s="78">
        <v>-5.4</v>
      </c>
      <c r="N232" s="78">
        <v>5.04</v>
      </c>
      <c r="O232" s="78">
        <v>19.87</v>
      </c>
      <c r="P232" s="78">
        <v>20.39</v>
      </c>
      <c r="Q232" s="78">
        <v>5.04</v>
      </c>
      <c r="R232" s="78">
        <v>32.69</v>
      </c>
      <c r="S232" s="78">
        <v>433.33</v>
      </c>
      <c r="T232" s="78"/>
    </row>
    <row r="233" spans="1:20" x14ac:dyDescent="0.3">
      <c r="A233" s="10">
        <v>45530</v>
      </c>
      <c r="B233" s="11" t="s">
        <v>444</v>
      </c>
      <c r="C233" s="12" t="s">
        <v>7</v>
      </c>
      <c r="D233" s="12">
        <v>100</v>
      </c>
      <c r="E233" s="13">
        <v>14.44</v>
      </c>
      <c r="F233" s="14">
        <f t="shared" ref="F233:F250" si="22">+E233*D233</f>
        <v>1444</v>
      </c>
      <c r="K233" t="s">
        <v>256</v>
      </c>
      <c r="L233">
        <v>22.4</v>
      </c>
      <c r="M233" s="78">
        <v>0.9</v>
      </c>
      <c r="N233" s="78">
        <v>-5.88</v>
      </c>
      <c r="O233" s="78">
        <v>-9.68</v>
      </c>
      <c r="P233" s="78">
        <v>-28.87</v>
      </c>
      <c r="Q233" s="78">
        <v>-5.88</v>
      </c>
      <c r="R233" s="78">
        <v>-0.97</v>
      </c>
      <c r="S233" s="78"/>
      <c r="T233" s="78"/>
    </row>
    <row r="234" spans="1:20" x14ac:dyDescent="0.3">
      <c r="A234" s="5">
        <v>45530</v>
      </c>
      <c r="B234" s="6" t="s">
        <v>30</v>
      </c>
      <c r="C234" s="7" t="s">
        <v>9</v>
      </c>
      <c r="D234" s="7">
        <v>50</v>
      </c>
      <c r="E234" s="8">
        <v>73.5</v>
      </c>
      <c r="F234" s="9">
        <f t="shared" si="22"/>
        <v>3675</v>
      </c>
      <c r="K234" t="s">
        <v>257</v>
      </c>
      <c r="L234">
        <v>422.5</v>
      </c>
      <c r="M234" s="78">
        <v>-3.15</v>
      </c>
      <c r="N234" s="78">
        <v>0.6</v>
      </c>
      <c r="O234" s="78">
        <v>0.84</v>
      </c>
      <c r="P234" s="78">
        <v>-7.47</v>
      </c>
      <c r="Q234" s="78">
        <v>0.6</v>
      </c>
      <c r="R234" s="78">
        <v>56.64</v>
      </c>
      <c r="S234" s="78">
        <v>1064.55</v>
      </c>
      <c r="T234" s="78">
        <v>2339.38</v>
      </c>
    </row>
    <row r="235" spans="1:20" x14ac:dyDescent="0.3">
      <c r="A235" s="5">
        <v>45530</v>
      </c>
      <c r="B235" s="6" t="s">
        <v>33</v>
      </c>
      <c r="C235" s="7" t="s">
        <v>7</v>
      </c>
      <c r="D235" s="7">
        <v>40</v>
      </c>
      <c r="E235" s="8">
        <v>29.4</v>
      </c>
      <c r="F235" s="9">
        <f t="shared" si="22"/>
        <v>1176</v>
      </c>
      <c r="K235" t="s">
        <v>258</v>
      </c>
      <c r="L235">
        <v>16.61</v>
      </c>
      <c r="M235" s="78">
        <v>-6.05</v>
      </c>
      <c r="N235" s="78">
        <v>-13.04</v>
      </c>
      <c r="O235" s="78">
        <v>5.33</v>
      </c>
      <c r="P235" s="78">
        <v>-14.47</v>
      </c>
      <c r="Q235" s="78">
        <v>-13.04</v>
      </c>
      <c r="R235" s="78">
        <v>-22.16</v>
      </c>
      <c r="S235" s="78">
        <v>79.959999999999994</v>
      </c>
      <c r="T235" s="78">
        <v>266.67</v>
      </c>
    </row>
    <row r="236" spans="1:20" x14ac:dyDescent="0.3">
      <c r="A236" s="5">
        <v>45530</v>
      </c>
      <c r="B236" s="6" t="s">
        <v>8</v>
      </c>
      <c r="C236" s="7" t="s">
        <v>9</v>
      </c>
      <c r="D236" s="7">
        <v>25</v>
      </c>
      <c r="E236" s="8">
        <v>96</v>
      </c>
      <c r="F236" s="9">
        <f t="shared" si="22"/>
        <v>2400</v>
      </c>
      <c r="K236" t="s">
        <v>259</v>
      </c>
      <c r="L236">
        <v>23.42</v>
      </c>
      <c r="M236" s="78">
        <v>-5.03</v>
      </c>
      <c r="N236" s="78">
        <v>-10.47</v>
      </c>
      <c r="O236" s="78">
        <v>-8.3000000000000007</v>
      </c>
      <c r="P236" s="78">
        <v>-7.94</v>
      </c>
      <c r="Q236" s="78">
        <v>-10.47</v>
      </c>
      <c r="R236" s="78">
        <v>-4.41</v>
      </c>
      <c r="S236" s="78">
        <v>166.74</v>
      </c>
      <c r="T236" s="78">
        <v>373.13</v>
      </c>
    </row>
    <row r="237" spans="1:20" x14ac:dyDescent="0.3">
      <c r="A237" s="5">
        <v>45530</v>
      </c>
      <c r="B237" s="6" t="s">
        <v>6</v>
      </c>
      <c r="C237" s="7" t="s">
        <v>9</v>
      </c>
      <c r="D237" s="7">
        <v>2</v>
      </c>
      <c r="E237" s="8">
        <v>545</v>
      </c>
      <c r="F237" s="9">
        <f t="shared" si="22"/>
        <v>1090</v>
      </c>
      <c r="K237" t="s">
        <v>52</v>
      </c>
      <c r="L237">
        <v>9.25</v>
      </c>
      <c r="M237" s="78">
        <v>-0.11</v>
      </c>
      <c r="N237" s="78">
        <v>1.76</v>
      </c>
      <c r="O237" s="78">
        <v>1.98</v>
      </c>
      <c r="P237" s="78">
        <v>5.1100000000000003</v>
      </c>
      <c r="Q237" s="78">
        <v>1.76</v>
      </c>
      <c r="R237" s="78">
        <v>17.829999999999998</v>
      </c>
      <c r="S237" s="78">
        <v>300.43</v>
      </c>
      <c r="T237" s="78">
        <v>551.41</v>
      </c>
    </row>
    <row r="238" spans="1:20" x14ac:dyDescent="0.3">
      <c r="A238" s="5">
        <v>26</v>
      </c>
      <c r="B238" s="6" t="s">
        <v>29</v>
      </c>
      <c r="C238" s="7" t="s">
        <v>9</v>
      </c>
      <c r="D238" s="7">
        <v>10</v>
      </c>
      <c r="E238" s="8">
        <v>184.1</v>
      </c>
      <c r="F238" s="9">
        <f t="shared" si="22"/>
        <v>1841</v>
      </c>
      <c r="K238" t="s">
        <v>260</v>
      </c>
      <c r="L238">
        <v>193.5</v>
      </c>
      <c r="M238" s="78">
        <v>-3.3</v>
      </c>
      <c r="N238" s="78">
        <v>-0.97</v>
      </c>
      <c r="O238" s="78">
        <v>38.61</v>
      </c>
      <c r="P238" s="78">
        <v>46.39</v>
      </c>
      <c r="Q238" s="78">
        <v>-0.97</v>
      </c>
      <c r="R238" s="78">
        <v>160.88999999999999</v>
      </c>
      <c r="S238" s="78"/>
      <c r="T238" s="78"/>
    </row>
    <row r="239" spans="1:20" x14ac:dyDescent="0.3">
      <c r="A239" s="5">
        <v>45530</v>
      </c>
      <c r="B239" s="6" t="s">
        <v>128</v>
      </c>
      <c r="C239" s="7" t="s">
        <v>7</v>
      </c>
      <c r="D239" s="7">
        <v>100</v>
      </c>
      <c r="E239" s="8">
        <v>20.399999999999999</v>
      </c>
      <c r="F239" s="9">
        <f t="shared" si="22"/>
        <v>2039.9999999999998</v>
      </c>
      <c r="K239" t="s">
        <v>594</v>
      </c>
      <c r="L239">
        <v>158.6</v>
      </c>
      <c r="M239" s="78">
        <v>-12.42</v>
      </c>
      <c r="N239" s="78">
        <v>6.09</v>
      </c>
      <c r="O239" s="78">
        <v>28.66</v>
      </c>
      <c r="P239" s="78">
        <v>103.31</v>
      </c>
      <c r="Q239" s="78">
        <v>6.09</v>
      </c>
      <c r="R239" s="78">
        <v>149.88</v>
      </c>
      <c r="S239" s="78"/>
      <c r="T239" s="78"/>
    </row>
    <row r="240" spans="1:20" x14ac:dyDescent="0.3">
      <c r="A240" s="5">
        <v>45530</v>
      </c>
      <c r="B240" s="6" t="s">
        <v>379</v>
      </c>
      <c r="C240" s="7" t="s">
        <v>7</v>
      </c>
      <c r="D240" s="7">
        <v>30</v>
      </c>
      <c r="E240" s="8">
        <v>58</v>
      </c>
      <c r="F240" s="9">
        <f t="shared" si="22"/>
        <v>1740</v>
      </c>
      <c r="K240" t="s">
        <v>261</v>
      </c>
      <c r="M240" s="78"/>
      <c r="N240" s="78"/>
      <c r="O240" s="78"/>
      <c r="P240" s="78"/>
      <c r="Q240" s="78"/>
      <c r="R240" s="78"/>
      <c r="S240" s="78"/>
      <c r="T240" s="78"/>
    </row>
    <row r="241" spans="1:20" x14ac:dyDescent="0.3">
      <c r="A241" s="5">
        <v>45530</v>
      </c>
      <c r="B241" s="6" t="s">
        <v>219</v>
      </c>
      <c r="C241" s="7" t="s">
        <v>7</v>
      </c>
      <c r="D241" s="7">
        <v>20</v>
      </c>
      <c r="E241" s="8">
        <v>95</v>
      </c>
      <c r="F241" s="9">
        <f t="shared" si="22"/>
        <v>1900</v>
      </c>
      <c r="K241" t="s">
        <v>262</v>
      </c>
      <c r="L241">
        <v>8.35</v>
      </c>
      <c r="M241" s="78">
        <v>-3.69</v>
      </c>
      <c r="N241" s="78">
        <v>-7.43</v>
      </c>
      <c r="O241" s="78">
        <v>6.1</v>
      </c>
      <c r="P241" s="78">
        <v>-2.34</v>
      </c>
      <c r="Q241" s="78">
        <v>-7.43</v>
      </c>
      <c r="R241" s="78">
        <v>-7.84</v>
      </c>
      <c r="S241" s="78">
        <v>120.32</v>
      </c>
      <c r="T241" s="78">
        <v>425.16</v>
      </c>
    </row>
    <row r="242" spans="1:20" x14ac:dyDescent="0.3">
      <c r="A242" s="5">
        <v>45530</v>
      </c>
      <c r="B242" s="6" t="s">
        <v>383</v>
      </c>
      <c r="C242" s="7" t="s">
        <v>7</v>
      </c>
      <c r="D242" s="7">
        <v>500</v>
      </c>
      <c r="E242" s="8">
        <v>3.6</v>
      </c>
      <c r="F242" s="9">
        <f t="shared" si="22"/>
        <v>1800</v>
      </c>
      <c r="K242" t="s">
        <v>263</v>
      </c>
      <c r="L242">
        <v>3.62</v>
      </c>
      <c r="M242" s="78">
        <v>-3.21</v>
      </c>
      <c r="N242" s="78">
        <v>-6.22</v>
      </c>
      <c r="O242" s="78">
        <v>2.2599999999999998</v>
      </c>
      <c r="P242" s="78">
        <v>-6.22</v>
      </c>
      <c r="Q242" s="78">
        <v>-6.22</v>
      </c>
      <c r="R242" s="78">
        <v>-12.77</v>
      </c>
      <c r="S242" s="78">
        <v>229.09</v>
      </c>
      <c r="T242" s="78">
        <v>474.6</v>
      </c>
    </row>
    <row r="243" spans="1:20" x14ac:dyDescent="0.3">
      <c r="A243" s="5">
        <v>45530</v>
      </c>
      <c r="B243" s="6" t="s">
        <v>37</v>
      </c>
      <c r="C243" s="7" t="s">
        <v>7</v>
      </c>
      <c r="D243" s="7">
        <v>50</v>
      </c>
      <c r="E243" s="8">
        <v>58.6</v>
      </c>
      <c r="F243" s="9">
        <f t="shared" si="22"/>
        <v>2930</v>
      </c>
      <c r="K243" t="s">
        <v>264</v>
      </c>
      <c r="L243">
        <v>2</v>
      </c>
      <c r="M243" s="78">
        <v>-2.91</v>
      </c>
      <c r="N243" s="78">
        <v>-0.5</v>
      </c>
      <c r="O243" s="78">
        <v>-13.79</v>
      </c>
      <c r="P243" s="78">
        <v>-22.48</v>
      </c>
      <c r="Q243" s="78">
        <v>-0.5</v>
      </c>
      <c r="R243" s="78">
        <v>-14.89</v>
      </c>
      <c r="S243" s="78">
        <v>257.14</v>
      </c>
      <c r="T243" s="78">
        <v>376.19</v>
      </c>
    </row>
    <row r="244" spans="1:20" x14ac:dyDescent="0.3">
      <c r="A244" s="5">
        <v>45530</v>
      </c>
      <c r="B244" s="6" t="s">
        <v>25</v>
      </c>
      <c r="C244" s="7" t="s">
        <v>7</v>
      </c>
      <c r="D244" s="7">
        <v>250</v>
      </c>
      <c r="E244" s="8">
        <v>3.36</v>
      </c>
      <c r="F244" s="9">
        <f t="shared" si="22"/>
        <v>840</v>
      </c>
      <c r="K244" t="s">
        <v>265</v>
      </c>
      <c r="L244">
        <v>266.75</v>
      </c>
      <c r="M244" s="78">
        <v>-4.7300000000000004</v>
      </c>
      <c r="N244" s="78">
        <v>-7.06</v>
      </c>
      <c r="O244" s="78">
        <v>32.119999999999997</v>
      </c>
      <c r="P244" s="78">
        <v>63.95</v>
      </c>
      <c r="Q244" s="78">
        <v>-7.06</v>
      </c>
      <c r="R244" s="78">
        <v>83.21</v>
      </c>
      <c r="S244" s="78">
        <v>236.17</v>
      </c>
      <c r="T244" s="78">
        <v>2502.44</v>
      </c>
    </row>
    <row r="245" spans="1:20" x14ac:dyDescent="0.3">
      <c r="A245" s="5">
        <v>45530</v>
      </c>
      <c r="B245" s="6" t="s">
        <v>15</v>
      </c>
      <c r="C245" s="7" t="s">
        <v>9</v>
      </c>
      <c r="D245" s="7">
        <v>25</v>
      </c>
      <c r="E245" s="8">
        <v>48.58</v>
      </c>
      <c r="F245" s="9">
        <f t="shared" si="22"/>
        <v>1214.5</v>
      </c>
      <c r="K245" t="s">
        <v>580</v>
      </c>
      <c r="L245">
        <v>52.15</v>
      </c>
      <c r="M245" s="78">
        <v>-18.39</v>
      </c>
      <c r="N245" s="78">
        <v>0.77</v>
      </c>
      <c r="O245" s="78">
        <v>10.02</v>
      </c>
      <c r="P245" s="78"/>
      <c r="Q245" s="78">
        <v>0.77</v>
      </c>
      <c r="R245" s="78"/>
      <c r="S245" s="78"/>
      <c r="T245" s="78"/>
    </row>
    <row r="246" spans="1:20" x14ac:dyDescent="0.3">
      <c r="A246" s="5">
        <v>26</v>
      </c>
      <c r="B246" s="6" t="s">
        <v>29</v>
      </c>
      <c r="C246" s="7" t="s">
        <v>9</v>
      </c>
      <c r="D246" s="7">
        <v>10</v>
      </c>
      <c r="E246" s="8">
        <v>191</v>
      </c>
      <c r="F246" s="9">
        <f t="shared" si="22"/>
        <v>1910</v>
      </c>
      <c r="K246" t="s">
        <v>266</v>
      </c>
      <c r="L246">
        <v>28.44</v>
      </c>
      <c r="M246" s="78">
        <v>-9.14</v>
      </c>
      <c r="N246" s="78">
        <v>-15.91</v>
      </c>
      <c r="O246" s="78">
        <v>14.49</v>
      </c>
      <c r="P246" s="78">
        <v>-11.18</v>
      </c>
      <c r="Q246" s="78">
        <v>-15.91</v>
      </c>
      <c r="R246" s="78">
        <v>11.75</v>
      </c>
      <c r="S246" s="78">
        <v>339.57</v>
      </c>
      <c r="T246" s="78"/>
    </row>
    <row r="247" spans="1:20" x14ac:dyDescent="0.3">
      <c r="A247" s="5">
        <v>45530</v>
      </c>
      <c r="B247" s="6" t="s">
        <v>37</v>
      </c>
      <c r="C247" s="7" t="s">
        <v>9</v>
      </c>
      <c r="D247" s="7">
        <v>50</v>
      </c>
      <c r="E247" s="8">
        <v>59</v>
      </c>
      <c r="F247" s="9">
        <f t="shared" si="22"/>
        <v>2950</v>
      </c>
      <c r="K247" t="s">
        <v>267</v>
      </c>
      <c r="L247">
        <v>71.3</v>
      </c>
      <c r="M247" s="78">
        <v>-6.8</v>
      </c>
      <c r="N247" s="78">
        <v>-1.25</v>
      </c>
      <c r="O247" s="78">
        <v>34.270000000000003</v>
      </c>
      <c r="P247" s="78">
        <v>106.67</v>
      </c>
      <c r="Q247" s="78">
        <v>-1.25</v>
      </c>
      <c r="R247" s="78">
        <v>117.38</v>
      </c>
      <c r="S247" s="78"/>
      <c r="T247" s="78"/>
    </row>
    <row r="248" spans="1:20" x14ac:dyDescent="0.3">
      <c r="A248" s="5">
        <v>45530</v>
      </c>
      <c r="B248" s="6" t="s">
        <v>31</v>
      </c>
      <c r="C248" s="7" t="s">
        <v>7</v>
      </c>
      <c r="D248" s="7">
        <v>100</v>
      </c>
      <c r="E248" s="8">
        <v>34.9</v>
      </c>
      <c r="F248" s="9">
        <f t="shared" si="22"/>
        <v>3490</v>
      </c>
      <c r="K248" t="s">
        <v>268</v>
      </c>
      <c r="L248">
        <v>20.38</v>
      </c>
      <c r="M248" s="78">
        <v>11.18</v>
      </c>
      <c r="N248" s="78">
        <v>25.8</v>
      </c>
      <c r="O248" s="78">
        <v>40.549999999999997</v>
      </c>
      <c r="P248" s="78">
        <v>19.670000000000002</v>
      </c>
      <c r="Q248" s="78">
        <v>25.8</v>
      </c>
      <c r="R248" s="78">
        <v>56.41</v>
      </c>
      <c r="S248" s="78">
        <v>315.07</v>
      </c>
      <c r="T248" s="78">
        <v>194.51</v>
      </c>
    </row>
    <row r="249" spans="1:20" x14ac:dyDescent="0.3">
      <c r="A249" s="5">
        <v>45530</v>
      </c>
      <c r="B249" s="6" t="s">
        <v>29</v>
      </c>
      <c r="C249" s="7" t="s">
        <v>9</v>
      </c>
      <c r="D249" s="7">
        <v>30</v>
      </c>
      <c r="E249" s="8">
        <v>196.1</v>
      </c>
      <c r="F249" s="9">
        <f t="shared" si="22"/>
        <v>5883</v>
      </c>
      <c r="K249" t="s">
        <v>269</v>
      </c>
      <c r="L249">
        <v>15.99</v>
      </c>
      <c r="M249" s="78">
        <v>0.95</v>
      </c>
      <c r="N249" s="78">
        <v>32.15</v>
      </c>
      <c r="O249" s="78">
        <v>60.22</v>
      </c>
      <c r="P249" s="78">
        <v>20.23</v>
      </c>
      <c r="Q249" s="78">
        <v>32.15</v>
      </c>
      <c r="R249" s="78">
        <v>21.5</v>
      </c>
      <c r="S249" s="78">
        <v>168.29</v>
      </c>
      <c r="T249" s="78">
        <v>522.17999999999995</v>
      </c>
    </row>
    <row r="250" spans="1:20" x14ac:dyDescent="0.3">
      <c r="A250" s="5">
        <v>45530</v>
      </c>
      <c r="B250" s="6" t="s">
        <v>20</v>
      </c>
      <c r="C250" s="7" t="s">
        <v>7</v>
      </c>
      <c r="D250" s="7">
        <v>100</v>
      </c>
      <c r="E250" s="8">
        <v>17.3</v>
      </c>
      <c r="F250" s="9">
        <f t="shared" si="22"/>
        <v>1730</v>
      </c>
      <c r="K250" t="s">
        <v>270</v>
      </c>
      <c r="L250">
        <v>43.44</v>
      </c>
      <c r="M250" s="78">
        <v>-4.74</v>
      </c>
      <c r="N250" s="78">
        <v>-3.94</v>
      </c>
      <c r="O250" s="78">
        <v>3.63</v>
      </c>
      <c r="P250" s="78">
        <v>-26.12</v>
      </c>
      <c r="Q250" s="78">
        <v>-3.94</v>
      </c>
      <c r="R250" s="78">
        <v>-39.5</v>
      </c>
      <c r="S250" s="78"/>
      <c r="T250" s="78"/>
    </row>
    <row r="251" spans="1:20" x14ac:dyDescent="0.3">
      <c r="A251" s="5">
        <v>45530</v>
      </c>
      <c r="B251" s="6" t="s">
        <v>14</v>
      </c>
      <c r="C251" s="7" t="s">
        <v>7</v>
      </c>
      <c r="D251" s="7">
        <v>25</v>
      </c>
      <c r="E251" s="8">
        <v>97</v>
      </c>
      <c r="F251" s="9">
        <f t="shared" ref="F251:F260" si="23">+E251*D251</f>
        <v>2425</v>
      </c>
      <c r="K251" t="s">
        <v>271</v>
      </c>
      <c r="L251">
        <v>1.54</v>
      </c>
      <c r="M251" s="78">
        <v>-7.23</v>
      </c>
      <c r="N251" s="78">
        <v>0.65</v>
      </c>
      <c r="O251" s="78">
        <v>9.2200000000000006</v>
      </c>
      <c r="P251" s="78">
        <v>-13.48</v>
      </c>
      <c r="Q251" s="78">
        <v>0.65</v>
      </c>
      <c r="R251" s="78">
        <v>-21.03</v>
      </c>
      <c r="S251" s="78">
        <v>25.2</v>
      </c>
      <c r="T251" s="78">
        <v>327.78</v>
      </c>
    </row>
    <row r="252" spans="1:20" x14ac:dyDescent="0.3">
      <c r="A252" s="5">
        <v>45530</v>
      </c>
      <c r="B252" s="6" t="s">
        <v>498</v>
      </c>
      <c r="C252" s="7" t="s">
        <v>7</v>
      </c>
      <c r="D252" s="7">
        <v>50</v>
      </c>
      <c r="E252" s="8">
        <v>63</v>
      </c>
      <c r="F252" s="9">
        <f t="shared" si="23"/>
        <v>3150</v>
      </c>
      <c r="K252" t="s">
        <v>272</v>
      </c>
      <c r="L252">
        <v>4.0999999999999996</v>
      </c>
      <c r="M252" s="78">
        <v>-4.87</v>
      </c>
      <c r="N252" s="78">
        <v>25.77</v>
      </c>
      <c r="O252" s="78">
        <v>34.869999999999997</v>
      </c>
      <c r="P252" s="78">
        <v>-10.09</v>
      </c>
      <c r="Q252" s="78">
        <v>25.77</v>
      </c>
      <c r="R252" s="78">
        <v>-36.340000000000003</v>
      </c>
      <c r="S252" s="78">
        <v>322.68</v>
      </c>
      <c r="T252" s="78"/>
    </row>
    <row r="253" spans="1:20" x14ac:dyDescent="0.3">
      <c r="A253" s="5">
        <v>45530</v>
      </c>
      <c r="B253" s="6" t="s">
        <v>21</v>
      </c>
      <c r="C253" s="7" t="s">
        <v>9</v>
      </c>
      <c r="D253" s="7">
        <v>50</v>
      </c>
      <c r="E253" s="8">
        <v>21.5</v>
      </c>
      <c r="F253" s="9">
        <f t="shared" si="23"/>
        <v>1075</v>
      </c>
      <c r="K253" t="s">
        <v>273</v>
      </c>
      <c r="L253">
        <v>3.61</v>
      </c>
      <c r="M253" s="78">
        <v>-5.5</v>
      </c>
      <c r="N253" s="78">
        <v>-6.72</v>
      </c>
      <c r="O253" s="78">
        <v>1.69</v>
      </c>
      <c r="P253" s="78">
        <v>-17.2</v>
      </c>
      <c r="Q253" s="78">
        <v>-6.72</v>
      </c>
      <c r="R253" s="78">
        <v>-43.68</v>
      </c>
      <c r="S253" s="78">
        <v>100.56</v>
      </c>
      <c r="T253" s="78">
        <v>875.68</v>
      </c>
    </row>
    <row r="254" spans="1:20" x14ac:dyDescent="0.3">
      <c r="A254" s="5">
        <v>45530</v>
      </c>
      <c r="B254" s="6" t="s">
        <v>16</v>
      </c>
      <c r="C254" s="7" t="s">
        <v>9</v>
      </c>
      <c r="D254" s="7">
        <v>5</v>
      </c>
      <c r="E254" s="8">
        <v>215</v>
      </c>
      <c r="F254" s="9">
        <f t="shared" si="23"/>
        <v>1075</v>
      </c>
      <c r="K254" t="s">
        <v>274</v>
      </c>
      <c r="L254">
        <v>17.46</v>
      </c>
      <c r="M254" s="78">
        <v>-9.5299999999999994</v>
      </c>
      <c r="N254" s="78">
        <v>9.67</v>
      </c>
      <c r="O254" s="78">
        <v>7.51</v>
      </c>
      <c r="P254" s="78">
        <v>-14.07</v>
      </c>
      <c r="Q254" s="78">
        <v>9.67</v>
      </c>
      <c r="R254" s="78">
        <v>-14.41</v>
      </c>
      <c r="S254" s="78"/>
      <c r="T254" s="78"/>
    </row>
    <row r="255" spans="1:20" x14ac:dyDescent="0.3">
      <c r="A255" s="10">
        <v>45531</v>
      </c>
      <c r="B255" s="11" t="s">
        <v>440</v>
      </c>
      <c r="C255" s="12" t="s">
        <v>9</v>
      </c>
      <c r="D255" s="12">
        <v>60</v>
      </c>
      <c r="E255" s="13">
        <v>16.7</v>
      </c>
      <c r="F255" s="14">
        <f t="shared" si="23"/>
        <v>1002</v>
      </c>
      <c r="K255" t="s">
        <v>275</v>
      </c>
      <c r="L255">
        <v>2.85</v>
      </c>
      <c r="M255" s="78">
        <v>-0.35</v>
      </c>
      <c r="N255" s="78">
        <v>7.55</v>
      </c>
      <c r="O255" s="78">
        <v>23.91</v>
      </c>
      <c r="P255" s="78">
        <v>15.85</v>
      </c>
      <c r="Q255" s="78">
        <v>7.55</v>
      </c>
      <c r="R255" s="78">
        <v>21.28</v>
      </c>
      <c r="S255" s="78">
        <v>182.18</v>
      </c>
      <c r="T255" s="78">
        <v>427.78</v>
      </c>
    </row>
    <row r="256" spans="1:20" x14ac:dyDescent="0.3">
      <c r="A256" s="5">
        <v>45531</v>
      </c>
      <c r="B256" s="6" t="s">
        <v>379</v>
      </c>
      <c r="C256" s="12" t="s">
        <v>9</v>
      </c>
      <c r="D256" s="7">
        <v>30</v>
      </c>
      <c r="E256" s="8">
        <v>63.7</v>
      </c>
      <c r="F256" s="9">
        <f t="shared" si="23"/>
        <v>1911</v>
      </c>
      <c r="K256" t="s">
        <v>276</v>
      </c>
      <c r="L256">
        <v>70.150000000000006</v>
      </c>
      <c r="M256" s="78">
        <v>11.97</v>
      </c>
      <c r="N256" s="78">
        <v>-6.47</v>
      </c>
      <c r="O256" s="78">
        <v>18.2</v>
      </c>
      <c r="P256" s="78">
        <v>21.47</v>
      </c>
      <c r="Q256" s="78">
        <v>-6.47</v>
      </c>
      <c r="R256" s="78"/>
      <c r="S256" s="78"/>
      <c r="T256" s="78"/>
    </row>
    <row r="257" spans="1:20" x14ac:dyDescent="0.3">
      <c r="A257" s="5">
        <v>45531</v>
      </c>
      <c r="B257" s="6" t="s">
        <v>31</v>
      </c>
      <c r="C257" s="7" t="s">
        <v>7</v>
      </c>
      <c r="D257" s="7">
        <v>75</v>
      </c>
      <c r="E257" s="8">
        <v>34.5</v>
      </c>
      <c r="F257" s="9">
        <f t="shared" si="23"/>
        <v>2587.5</v>
      </c>
      <c r="K257" t="s">
        <v>277</v>
      </c>
      <c r="L257">
        <v>68.5</v>
      </c>
      <c r="M257" s="78">
        <v>-4.93</v>
      </c>
      <c r="N257" s="78">
        <v>-5.32</v>
      </c>
      <c r="O257" s="78">
        <v>-6.16</v>
      </c>
      <c r="P257" s="78">
        <v>-29.31</v>
      </c>
      <c r="Q257" s="78">
        <v>-5.32</v>
      </c>
      <c r="R257" s="78"/>
      <c r="S257" s="78"/>
      <c r="T257" s="78"/>
    </row>
    <row r="258" spans="1:20" x14ac:dyDescent="0.3">
      <c r="A258" s="5">
        <v>45531</v>
      </c>
      <c r="B258" s="6" t="s">
        <v>46</v>
      </c>
      <c r="C258" s="7" t="s">
        <v>9</v>
      </c>
      <c r="D258" s="7">
        <v>5</v>
      </c>
      <c r="E258" s="8">
        <v>235</v>
      </c>
      <c r="F258" s="9">
        <f t="shared" si="23"/>
        <v>1175</v>
      </c>
      <c r="K258" t="s">
        <v>24</v>
      </c>
      <c r="L258">
        <v>41.7</v>
      </c>
      <c r="M258" s="78">
        <v>-4.88</v>
      </c>
      <c r="N258" s="78">
        <v>-19.11</v>
      </c>
      <c r="O258" s="78">
        <v>5.38</v>
      </c>
      <c r="P258" s="78">
        <v>37.31</v>
      </c>
      <c r="Q258" s="78">
        <v>-19.11</v>
      </c>
      <c r="R258" s="78">
        <v>39.56</v>
      </c>
      <c r="S258" s="78"/>
      <c r="T258" s="78"/>
    </row>
    <row r="259" spans="1:20" x14ac:dyDescent="0.3">
      <c r="A259" s="5">
        <v>45531</v>
      </c>
      <c r="B259" s="6" t="s">
        <v>128</v>
      </c>
      <c r="C259" s="7" t="s">
        <v>9</v>
      </c>
      <c r="D259" s="7">
        <v>50</v>
      </c>
      <c r="E259" s="8">
        <v>21.5</v>
      </c>
      <c r="F259" s="9">
        <f t="shared" si="23"/>
        <v>1075</v>
      </c>
      <c r="K259" t="s">
        <v>278</v>
      </c>
      <c r="L259">
        <v>2.0499999999999998</v>
      </c>
      <c r="M259" s="78">
        <v>-6.82</v>
      </c>
      <c r="N259" s="78">
        <v>-14.23</v>
      </c>
      <c r="O259" s="78">
        <v>3.02</v>
      </c>
      <c r="P259" s="78">
        <v>-27.82</v>
      </c>
      <c r="Q259" s="78">
        <v>-14.23</v>
      </c>
      <c r="R259" s="78">
        <v>-20.85</v>
      </c>
      <c r="S259" s="78">
        <v>83.04</v>
      </c>
      <c r="T259" s="78">
        <v>-19.29</v>
      </c>
    </row>
    <row r="260" spans="1:20" x14ac:dyDescent="0.3">
      <c r="A260" s="5">
        <v>45531</v>
      </c>
      <c r="B260" s="6" t="s">
        <v>319</v>
      </c>
      <c r="C260" s="7" t="s">
        <v>7</v>
      </c>
      <c r="D260" s="7">
        <v>50</v>
      </c>
      <c r="E260" s="8">
        <v>31.5</v>
      </c>
      <c r="F260" s="9">
        <f t="shared" si="23"/>
        <v>1575</v>
      </c>
      <c r="K260" t="s">
        <v>25</v>
      </c>
      <c r="L260">
        <v>3.55</v>
      </c>
      <c r="M260" s="78">
        <v>-5.33</v>
      </c>
      <c r="N260" s="78">
        <v>-6.58</v>
      </c>
      <c r="O260" s="78">
        <v>14.89</v>
      </c>
      <c r="P260" s="78">
        <v>-2.74</v>
      </c>
      <c r="Q260" s="78">
        <v>-6.58</v>
      </c>
      <c r="R260" s="78">
        <v>-26.95</v>
      </c>
      <c r="S260" s="78"/>
      <c r="T260" s="78"/>
    </row>
    <row r="261" spans="1:20" x14ac:dyDescent="0.3">
      <c r="A261" s="10">
        <v>45532</v>
      </c>
      <c r="B261" s="11" t="s">
        <v>128</v>
      </c>
      <c r="C261" s="12" t="s">
        <v>7</v>
      </c>
      <c r="D261" s="12">
        <v>200</v>
      </c>
      <c r="E261" s="13">
        <v>19.3</v>
      </c>
      <c r="F261" s="14">
        <f t="shared" ref="F261:F268" si="24">+E261*D261</f>
        <v>3860</v>
      </c>
      <c r="K261" t="s">
        <v>279</v>
      </c>
      <c r="L261">
        <v>4.6399999999999997</v>
      </c>
      <c r="M261" s="78">
        <v>-9.5500000000000007</v>
      </c>
      <c r="N261" s="78">
        <v>-4.13</v>
      </c>
      <c r="O261" s="78">
        <v>16.29</v>
      </c>
      <c r="P261" s="78">
        <v>-7.94</v>
      </c>
      <c r="Q261" s="78">
        <v>-4.13</v>
      </c>
      <c r="R261" s="78">
        <v>3.8</v>
      </c>
      <c r="S261" s="78">
        <v>124.15</v>
      </c>
      <c r="T261" s="78">
        <v>293.22000000000003</v>
      </c>
    </row>
    <row r="262" spans="1:20" x14ac:dyDescent="0.3">
      <c r="A262" s="5">
        <v>45532</v>
      </c>
      <c r="B262" s="6" t="s">
        <v>383</v>
      </c>
      <c r="C262" s="7" t="s">
        <v>7</v>
      </c>
      <c r="D262" s="7">
        <v>500</v>
      </c>
      <c r="E262" s="8">
        <v>2.99</v>
      </c>
      <c r="F262" s="9">
        <f t="shared" si="24"/>
        <v>1495</v>
      </c>
      <c r="K262" t="s">
        <v>280</v>
      </c>
      <c r="L262">
        <v>13.53</v>
      </c>
      <c r="M262" s="78">
        <v>-5.25</v>
      </c>
      <c r="N262" s="78">
        <v>-2.66</v>
      </c>
      <c r="O262" s="78">
        <v>3.84</v>
      </c>
      <c r="P262" s="78">
        <v>-8.58</v>
      </c>
      <c r="Q262" s="78">
        <v>-2.66</v>
      </c>
      <c r="R262" s="78">
        <v>-24.37</v>
      </c>
      <c r="S262" s="78">
        <v>144.22</v>
      </c>
      <c r="T262" s="78">
        <v>139.47</v>
      </c>
    </row>
    <row r="263" spans="1:20" x14ac:dyDescent="0.3">
      <c r="A263" s="5">
        <v>45532</v>
      </c>
      <c r="B263" s="6" t="s">
        <v>30</v>
      </c>
      <c r="C263" s="7" t="s">
        <v>9</v>
      </c>
      <c r="D263" s="7">
        <v>25</v>
      </c>
      <c r="E263" s="8">
        <v>72</v>
      </c>
      <c r="F263" s="9">
        <f t="shared" si="24"/>
        <v>1800</v>
      </c>
      <c r="K263" t="s">
        <v>281</v>
      </c>
      <c r="L263">
        <v>27.36</v>
      </c>
      <c r="M263" s="78">
        <v>-0.44</v>
      </c>
      <c r="N263" s="78">
        <v>4.43</v>
      </c>
      <c r="O263" s="78">
        <v>2.09</v>
      </c>
      <c r="P263" s="78">
        <v>40.31</v>
      </c>
      <c r="Q263" s="78">
        <v>4.43</v>
      </c>
      <c r="R263" s="78">
        <v>72.180000000000007</v>
      </c>
      <c r="S263" s="78">
        <v>1363.1</v>
      </c>
      <c r="T263" s="78">
        <v>1578.53</v>
      </c>
    </row>
    <row r="264" spans="1:20" x14ac:dyDescent="0.3">
      <c r="A264" s="10">
        <v>45533</v>
      </c>
      <c r="B264" s="11" t="s">
        <v>22</v>
      </c>
      <c r="C264" s="12" t="s">
        <v>9</v>
      </c>
      <c r="D264" s="12">
        <v>30</v>
      </c>
      <c r="E264" s="13">
        <v>60</v>
      </c>
      <c r="F264" s="14">
        <f t="shared" si="24"/>
        <v>1800</v>
      </c>
      <c r="K264" t="s">
        <v>282</v>
      </c>
      <c r="L264">
        <v>2.78</v>
      </c>
      <c r="M264" s="78">
        <v>-3.14</v>
      </c>
      <c r="N264" s="78">
        <v>4.91</v>
      </c>
      <c r="O264" s="78">
        <v>-5.76</v>
      </c>
      <c r="P264" s="78">
        <v>4.12</v>
      </c>
      <c r="Q264" s="78">
        <v>4.91</v>
      </c>
      <c r="R264" s="78">
        <v>14.88</v>
      </c>
      <c r="S264" s="78">
        <v>183.67</v>
      </c>
      <c r="T264" s="78">
        <v>424.53</v>
      </c>
    </row>
    <row r="265" spans="1:20" x14ac:dyDescent="0.3">
      <c r="A265" s="5">
        <v>45533</v>
      </c>
      <c r="B265" s="6" t="s">
        <v>379</v>
      </c>
      <c r="C265" s="7" t="s">
        <v>7</v>
      </c>
      <c r="D265" s="7">
        <v>35</v>
      </c>
      <c r="E265" s="8">
        <v>59.8</v>
      </c>
      <c r="F265" s="9">
        <f t="shared" si="24"/>
        <v>2093</v>
      </c>
      <c r="K265" t="s">
        <v>283</v>
      </c>
      <c r="L265">
        <v>8.6999999999999993</v>
      </c>
      <c r="M265" s="78">
        <v>-20.18</v>
      </c>
      <c r="N265" s="78">
        <v>-21.05</v>
      </c>
      <c r="O265" s="78">
        <v>8.07</v>
      </c>
      <c r="P265" s="78">
        <v>9.99</v>
      </c>
      <c r="Q265" s="78">
        <v>-21.05</v>
      </c>
      <c r="R265" s="78">
        <v>52.36</v>
      </c>
      <c r="S265" s="78">
        <v>948.19</v>
      </c>
      <c r="T265" s="78">
        <v>1142.8599999999999</v>
      </c>
    </row>
    <row r="266" spans="1:20" x14ac:dyDescent="0.3">
      <c r="A266" s="10">
        <v>45533</v>
      </c>
      <c r="B266" s="11" t="s">
        <v>52</v>
      </c>
      <c r="C266" s="12" t="s">
        <v>9</v>
      </c>
      <c r="D266" s="12">
        <v>150</v>
      </c>
      <c r="E266" s="13">
        <v>9</v>
      </c>
      <c r="F266" s="14">
        <f t="shared" si="24"/>
        <v>1350</v>
      </c>
      <c r="K266" t="s">
        <v>284</v>
      </c>
      <c r="L266">
        <v>19.100000000000001</v>
      </c>
      <c r="M266" s="78">
        <v>18.41</v>
      </c>
      <c r="N266" s="78">
        <v>11.83</v>
      </c>
      <c r="O266" s="78">
        <v>-0.56999999999999995</v>
      </c>
      <c r="P266" s="78">
        <v>-29.47</v>
      </c>
      <c r="Q266" s="78">
        <v>11.83</v>
      </c>
      <c r="R266" s="78">
        <v>35.17</v>
      </c>
      <c r="S266" s="78">
        <v>306.38</v>
      </c>
      <c r="T266" s="78"/>
    </row>
    <row r="267" spans="1:20" x14ac:dyDescent="0.3">
      <c r="A267" s="5">
        <v>45533</v>
      </c>
      <c r="B267" s="6" t="s">
        <v>383</v>
      </c>
      <c r="C267" s="7" t="s">
        <v>7</v>
      </c>
      <c r="D267" s="7">
        <v>750</v>
      </c>
      <c r="E267" s="8">
        <v>2.7</v>
      </c>
      <c r="F267" s="9">
        <f t="shared" si="24"/>
        <v>2025.0000000000002</v>
      </c>
      <c r="K267" t="s">
        <v>285</v>
      </c>
      <c r="L267">
        <v>2.39</v>
      </c>
      <c r="M267" s="78">
        <v>-4.78</v>
      </c>
      <c r="N267" s="78">
        <v>-10.15</v>
      </c>
      <c r="O267" s="78">
        <v>20.100000000000001</v>
      </c>
      <c r="P267" s="78">
        <v>-11.81</v>
      </c>
      <c r="Q267" s="78">
        <v>-10.15</v>
      </c>
      <c r="R267" s="78">
        <v>-11.81</v>
      </c>
      <c r="S267" s="78">
        <v>123.36</v>
      </c>
      <c r="T267" s="78">
        <v>-15.55</v>
      </c>
    </row>
    <row r="268" spans="1:20" x14ac:dyDescent="0.3">
      <c r="A268" s="5">
        <v>45533</v>
      </c>
      <c r="B268" s="6" t="s">
        <v>128</v>
      </c>
      <c r="C268" s="7" t="s">
        <v>9</v>
      </c>
      <c r="D268" s="7">
        <v>100</v>
      </c>
      <c r="E268" s="8">
        <v>20</v>
      </c>
      <c r="F268" s="9">
        <f t="shared" si="24"/>
        <v>2000</v>
      </c>
      <c r="K268" t="s">
        <v>286</v>
      </c>
      <c r="L268">
        <v>1.39</v>
      </c>
      <c r="M268" s="78">
        <v>-3.47</v>
      </c>
      <c r="N268" s="78">
        <v>-10.9</v>
      </c>
      <c r="O268" s="78">
        <v>20.87</v>
      </c>
      <c r="P268" s="78">
        <v>0.72</v>
      </c>
      <c r="Q268" s="78">
        <v>-10.9</v>
      </c>
      <c r="R268" s="78">
        <v>9.4499999999999993</v>
      </c>
      <c r="S268" s="78">
        <v>95.77</v>
      </c>
      <c r="T268" s="78">
        <v>-22.78</v>
      </c>
    </row>
    <row r="269" spans="1:20" x14ac:dyDescent="0.3">
      <c r="A269" s="10">
        <v>45537</v>
      </c>
      <c r="B269" s="11" t="s">
        <v>444</v>
      </c>
      <c r="C269" s="12" t="s">
        <v>9</v>
      </c>
      <c r="D269" s="12">
        <v>100</v>
      </c>
      <c r="E269" s="13">
        <v>15.71</v>
      </c>
      <c r="F269" s="14">
        <f t="shared" ref="F269:F276" si="25">+E269*D269</f>
        <v>1571</v>
      </c>
      <c r="K269" t="s">
        <v>287</v>
      </c>
      <c r="L269">
        <v>2.91</v>
      </c>
      <c r="M269" s="78">
        <v>-5.83</v>
      </c>
      <c r="N269" s="78">
        <v>-15.9</v>
      </c>
      <c r="O269" s="78">
        <v>196.94</v>
      </c>
      <c r="P269" s="78">
        <v>125.58</v>
      </c>
      <c r="Q269" s="78">
        <v>-15.9</v>
      </c>
      <c r="R269" s="78">
        <v>166.97</v>
      </c>
      <c r="S269" s="78">
        <v>419.64</v>
      </c>
      <c r="T269" s="78">
        <v>277.92</v>
      </c>
    </row>
    <row r="270" spans="1:20" x14ac:dyDescent="0.3">
      <c r="A270" s="5">
        <v>45537</v>
      </c>
      <c r="B270" s="6" t="s">
        <v>42</v>
      </c>
      <c r="C270" s="12" t="s">
        <v>9</v>
      </c>
      <c r="D270" s="7">
        <v>100</v>
      </c>
      <c r="E270" s="8">
        <v>14.25</v>
      </c>
      <c r="F270" s="9">
        <f t="shared" si="25"/>
        <v>1425</v>
      </c>
      <c r="K270" t="s">
        <v>288</v>
      </c>
      <c r="L270">
        <v>1.85</v>
      </c>
      <c r="M270" s="78">
        <v>-7.5</v>
      </c>
      <c r="N270" s="78">
        <v>-12.32</v>
      </c>
      <c r="O270" s="78">
        <v>62.28</v>
      </c>
      <c r="P270" s="78">
        <v>25</v>
      </c>
      <c r="Q270" s="78">
        <v>-12.32</v>
      </c>
      <c r="R270" s="78">
        <v>23.33</v>
      </c>
      <c r="S270" s="78">
        <v>134.18</v>
      </c>
      <c r="T270" s="78">
        <v>88.78</v>
      </c>
    </row>
    <row r="271" spans="1:20" x14ac:dyDescent="0.3">
      <c r="A271" s="5">
        <v>45537</v>
      </c>
      <c r="B271" s="6" t="s">
        <v>6</v>
      </c>
      <c r="C271" s="12" t="s">
        <v>9</v>
      </c>
      <c r="D271" s="7">
        <v>2</v>
      </c>
      <c r="E271" s="8">
        <v>550</v>
      </c>
      <c r="F271" s="9">
        <f t="shared" si="25"/>
        <v>1100</v>
      </c>
      <c r="K271" t="s">
        <v>289</v>
      </c>
      <c r="L271">
        <v>3.24</v>
      </c>
      <c r="M271" s="78">
        <v>-2.11</v>
      </c>
      <c r="N271" s="78">
        <v>-12.43</v>
      </c>
      <c r="O271" s="78">
        <v>-32.78</v>
      </c>
      <c r="P271" s="78">
        <v>-47.57</v>
      </c>
      <c r="Q271" s="78">
        <v>-12.43</v>
      </c>
      <c r="R271" s="78">
        <v>6.58</v>
      </c>
      <c r="S271" s="78">
        <v>383.58</v>
      </c>
      <c r="T271" s="78">
        <v>300</v>
      </c>
    </row>
    <row r="272" spans="1:20" x14ac:dyDescent="0.3">
      <c r="A272" s="5">
        <v>45537</v>
      </c>
      <c r="B272" s="6" t="s">
        <v>17</v>
      </c>
      <c r="C272" s="12" t="s">
        <v>9</v>
      </c>
      <c r="D272" s="7">
        <v>15</v>
      </c>
      <c r="E272" s="8">
        <v>69</v>
      </c>
      <c r="F272" s="9">
        <f t="shared" si="25"/>
        <v>1035</v>
      </c>
      <c r="K272" t="s">
        <v>290</v>
      </c>
      <c r="L272">
        <v>2.75</v>
      </c>
      <c r="M272" s="78">
        <v>-5.82</v>
      </c>
      <c r="N272" s="78">
        <v>-6.78</v>
      </c>
      <c r="O272" s="78">
        <v>15.06</v>
      </c>
      <c r="P272" s="78">
        <v>-10.130000000000001</v>
      </c>
      <c r="Q272" s="78">
        <v>-6.78</v>
      </c>
      <c r="R272" s="78">
        <v>-19.350000000000001</v>
      </c>
      <c r="S272" s="78"/>
      <c r="T272" s="78"/>
    </row>
    <row r="273" spans="1:20" x14ac:dyDescent="0.3">
      <c r="A273" s="5">
        <v>45537</v>
      </c>
      <c r="B273" s="6" t="s">
        <v>35</v>
      </c>
      <c r="C273" s="7" t="s">
        <v>9</v>
      </c>
      <c r="D273" s="7">
        <v>3</v>
      </c>
      <c r="E273" s="8">
        <v>475</v>
      </c>
      <c r="F273" s="9">
        <f t="shared" si="25"/>
        <v>1425</v>
      </c>
      <c r="K273" t="s">
        <v>53</v>
      </c>
      <c r="L273">
        <v>7.68</v>
      </c>
      <c r="M273" s="78">
        <v>-4.71</v>
      </c>
      <c r="N273" s="78">
        <v>0.39</v>
      </c>
      <c r="O273" s="78">
        <v>23.87</v>
      </c>
      <c r="P273" s="78">
        <v>-7.8</v>
      </c>
      <c r="Q273" s="78">
        <v>0.39</v>
      </c>
      <c r="R273" s="78">
        <v>5.21</v>
      </c>
      <c r="S273" s="78">
        <v>233.91</v>
      </c>
      <c r="T273" s="78">
        <v>872.15</v>
      </c>
    </row>
    <row r="274" spans="1:20" x14ac:dyDescent="0.3">
      <c r="A274" s="5">
        <v>45537</v>
      </c>
      <c r="B274" s="6" t="s">
        <v>14</v>
      </c>
      <c r="C274" s="7" t="s">
        <v>9</v>
      </c>
      <c r="D274" s="7">
        <v>10</v>
      </c>
      <c r="E274" s="8">
        <v>105</v>
      </c>
      <c r="F274" s="9">
        <f t="shared" si="25"/>
        <v>1050</v>
      </c>
      <c r="K274" t="s">
        <v>291</v>
      </c>
      <c r="L274">
        <v>2.48</v>
      </c>
      <c r="M274" s="78">
        <v>-6.42</v>
      </c>
      <c r="N274" s="78">
        <v>-6.06</v>
      </c>
      <c r="O274" s="78">
        <v>24.62</v>
      </c>
      <c r="P274" s="78">
        <v>6.44</v>
      </c>
      <c r="Q274" s="78">
        <v>-6.06</v>
      </c>
      <c r="R274" s="78">
        <v>-27.91</v>
      </c>
      <c r="S274" s="78">
        <v>226.32</v>
      </c>
      <c r="T274" s="78">
        <v>1553.33</v>
      </c>
    </row>
    <row r="275" spans="1:20" x14ac:dyDescent="0.3">
      <c r="A275" s="5">
        <v>45537</v>
      </c>
      <c r="B275" s="6" t="s">
        <v>383</v>
      </c>
      <c r="C275" s="7" t="s">
        <v>7</v>
      </c>
      <c r="D275" s="7">
        <v>750</v>
      </c>
      <c r="E275" s="8">
        <v>2.4300000000000002</v>
      </c>
      <c r="F275" s="9">
        <f t="shared" si="25"/>
        <v>1822.5000000000002</v>
      </c>
      <c r="K275" t="s">
        <v>292</v>
      </c>
      <c r="L275">
        <v>417.25</v>
      </c>
      <c r="M275" s="78">
        <v>-4.08</v>
      </c>
      <c r="N275" s="78">
        <v>-4.74</v>
      </c>
      <c r="O275" s="78">
        <v>-3.58</v>
      </c>
      <c r="P275" s="78">
        <v>-20.07</v>
      </c>
      <c r="Q275" s="78">
        <v>-4.74</v>
      </c>
      <c r="R275" s="78">
        <v>-27.94</v>
      </c>
      <c r="S275" s="78">
        <v>620.14</v>
      </c>
      <c r="T275" s="78">
        <v>1659.81</v>
      </c>
    </row>
    <row r="276" spans="1:20" x14ac:dyDescent="0.3">
      <c r="A276" s="5">
        <v>45537</v>
      </c>
      <c r="B276" s="6" t="s">
        <v>46</v>
      </c>
      <c r="C276" s="7" t="s">
        <v>9</v>
      </c>
      <c r="D276" s="7">
        <v>5</v>
      </c>
      <c r="E276" s="8">
        <v>255</v>
      </c>
      <c r="F276" s="9">
        <f t="shared" si="25"/>
        <v>1275</v>
      </c>
      <c r="K276" t="s">
        <v>584</v>
      </c>
      <c r="L276">
        <v>448</v>
      </c>
      <c r="M276" s="78">
        <v>-0.44</v>
      </c>
      <c r="N276" s="78">
        <v>-5.68</v>
      </c>
      <c r="O276" s="78">
        <v>-18.55</v>
      </c>
      <c r="P276" s="78">
        <v>-35.82</v>
      </c>
      <c r="Q276" s="78">
        <v>-5.68</v>
      </c>
      <c r="R276" s="78">
        <v>150.97999999999999</v>
      </c>
      <c r="S276" s="78">
        <v>878.17</v>
      </c>
      <c r="T276" s="78">
        <v>20080.18</v>
      </c>
    </row>
    <row r="277" spans="1:20" x14ac:dyDescent="0.3">
      <c r="A277" s="10">
        <v>45538</v>
      </c>
      <c r="B277" s="11" t="s">
        <v>219</v>
      </c>
      <c r="C277" s="7" t="s">
        <v>9</v>
      </c>
      <c r="D277" s="12">
        <v>10</v>
      </c>
      <c r="E277" s="13">
        <v>100</v>
      </c>
      <c r="F277" s="14">
        <f t="shared" ref="F277:F285" si="26">+E277*D277</f>
        <v>1000</v>
      </c>
      <c r="K277" t="s">
        <v>293</v>
      </c>
      <c r="L277">
        <v>213</v>
      </c>
      <c r="M277" s="78">
        <v>-3.31</v>
      </c>
      <c r="N277" s="78">
        <v>-8.58</v>
      </c>
      <c r="O277" s="78">
        <v>-1.75</v>
      </c>
      <c r="P277" s="78">
        <v>-10.43</v>
      </c>
      <c r="Q277" s="78">
        <v>-8.58</v>
      </c>
      <c r="R277" s="78">
        <v>-12.88</v>
      </c>
      <c r="S277" s="78">
        <v>102.47</v>
      </c>
      <c r="T277" s="78">
        <v>1825.86</v>
      </c>
    </row>
    <row r="278" spans="1:20" x14ac:dyDescent="0.3">
      <c r="A278" s="5">
        <v>45538</v>
      </c>
      <c r="B278" s="11" t="s">
        <v>219</v>
      </c>
      <c r="C278" s="7" t="s">
        <v>9</v>
      </c>
      <c r="D278" s="7">
        <v>20</v>
      </c>
      <c r="E278" s="8">
        <v>105</v>
      </c>
      <c r="F278" s="9">
        <f t="shared" si="26"/>
        <v>2100</v>
      </c>
      <c r="K278" t="s">
        <v>294</v>
      </c>
      <c r="L278">
        <v>7.18</v>
      </c>
      <c r="M278" s="78">
        <v>-2.0499999999999998</v>
      </c>
      <c r="N278" s="78">
        <v>-3.36</v>
      </c>
      <c r="O278" s="78">
        <v>-4.2699999999999996</v>
      </c>
      <c r="P278" s="78">
        <v>-28.91</v>
      </c>
      <c r="Q278" s="78">
        <v>-3.36</v>
      </c>
      <c r="R278" s="78">
        <v>-36.57</v>
      </c>
      <c r="S278" s="78">
        <v>169.92</v>
      </c>
      <c r="T278" s="78">
        <v>1039.68</v>
      </c>
    </row>
    <row r="279" spans="1:20" x14ac:dyDescent="0.3">
      <c r="A279" s="5">
        <v>45538</v>
      </c>
      <c r="B279" s="11" t="s">
        <v>219</v>
      </c>
      <c r="C279" s="7" t="s">
        <v>9</v>
      </c>
      <c r="D279" s="7">
        <v>20</v>
      </c>
      <c r="E279" s="8">
        <v>108.8</v>
      </c>
      <c r="F279" s="9">
        <f t="shared" si="26"/>
        <v>2176</v>
      </c>
      <c r="K279" t="s">
        <v>295</v>
      </c>
      <c r="L279">
        <v>211</v>
      </c>
      <c r="M279" s="78">
        <v>-23.48</v>
      </c>
      <c r="N279" s="78">
        <v>-27.18</v>
      </c>
      <c r="O279" s="78">
        <v>-31.94</v>
      </c>
      <c r="P279" s="78">
        <v>-38.880000000000003</v>
      </c>
      <c r="Q279" s="78">
        <v>-27.18</v>
      </c>
      <c r="R279" s="78">
        <v>-36.68</v>
      </c>
      <c r="S279" s="78"/>
      <c r="T279" s="78"/>
    </row>
    <row r="280" spans="1:20" x14ac:dyDescent="0.3">
      <c r="A280" s="5">
        <v>45538</v>
      </c>
      <c r="B280" s="6" t="s">
        <v>379</v>
      </c>
      <c r="C280" s="7" t="s">
        <v>7</v>
      </c>
      <c r="D280" s="7">
        <v>50</v>
      </c>
      <c r="E280" s="8">
        <v>57.5</v>
      </c>
      <c r="F280" s="9">
        <f t="shared" si="26"/>
        <v>2875</v>
      </c>
      <c r="K280" t="s">
        <v>296</v>
      </c>
      <c r="L280">
        <v>55.55</v>
      </c>
      <c r="M280" s="78">
        <v>-3.73</v>
      </c>
      <c r="N280" s="78">
        <v>6.01</v>
      </c>
      <c r="O280" s="78">
        <v>58.99</v>
      </c>
      <c r="P280" s="78">
        <v>23.61</v>
      </c>
      <c r="Q280" s="78">
        <v>6.01</v>
      </c>
      <c r="R280" s="78">
        <v>52.86</v>
      </c>
      <c r="S280" s="78">
        <v>264.74</v>
      </c>
      <c r="T280" s="78">
        <v>461.11</v>
      </c>
    </row>
    <row r="281" spans="1:20" x14ac:dyDescent="0.3">
      <c r="A281" s="5">
        <v>45538</v>
      </c>
      <c r="B281" s="6" t="s">
        <v>444</v>
      </c>
      <c r="C281" s="7" t="s">
        <v>7</v>
      </c>
      <c r="D281" s="7">
        <v>100</v>
      </c>
      <c r="E281" s="8">
        <v>15.27</v>
      </c>
      <c r="F281" s="9">
        <f t="shared" si="26"/>
        <v>1527</v>
      </c>
      <c r="K281" t="s">
        <v>297</v>
      </c>
      <c r="L281">
        <v>5500000</v>
      </c>
      <c r="M281" s="78">
        <v>0</v>
      </c>
      <c r="N281" s="78">
        <v>0</v>
      </c>
      <c r="O281" s="78">
        <v>0</v>
      </c>
      <c r="P281" s="78">
        <v>-5.3</v>
      </c>
      <c r="Q281" s="78">
        <v>0</v>
      </c>
      <c r="R281" s="78">
        <v>413.65</v>
      </c>
      <c r="S281" s="78">
        <v>1359.75</v>
      </c>
      <c r="T281" s="78">
        <v>2402.4499999999998</v>
      </c>
    </row>
    <row r="282" spans="1:20" x14ac:dyDescent="0.3">
      <c r="A282" s="5">
        <v>45538</v>
      </c>
      <c r="B282" s="6" t="s">
        <v>455</v>
      </c>
      <c r="C282" s="7" t="s">
        <v>7</v>
      </c>
      <c r="D282" s="7">
        <v>1</v>
      </c>
      <c r="E282" s="8">
        <v>7760</v>
      </c>
      <c r="F282" s="9">
        <f t="shared" si="26"/>
        <v>7760</v>
      </c>
      <c r="K282" t="s">
        <v>298</v>
      </c>
      <c r="L282">
        <v>102</v>
      </c>
      <c r="M282" s="78">
        <v>-1.45</v>
      </c>
      <c r="N282" s="78">
        <v>-4.2300000000000004</v>
      </c>
      <c r="O282" s="78">
        <v>-1.92</v>
      </c>
      <c r="P282" s="78">
        <v>-13.41</v>
      </c>
      <c r="Q282" s="78">
        <v>-4.2300000000000004</v>
      </c>
      <c r="R282" s="78">
        <v>8.11</v>
      </c>
      <c r="S282" s="78">
        <v>103.63</v>
      </c>
      <c r="T282" s="78">
        <v>1048.6500000000001</v>
      </c>
    </row>
    <row r="283" spans="1:20" x14ac:dyDescent="0.3">
      <c r="A283" s="5">
        <v>45538</v>
      </c>
      <c r="B283" s="6" t="s">
        <v>128</v>
      </c>
      <c r="C283" s="7" t="s">
        <v>7</v>
      </c>
      <c r="D283" s="7">
        <v>100</v>
      </c>
      <c r="E283" s="8">
        <v>19.25</v>
      </c>
      <c r="F283" s="9">
        <f t="shared" si="26"/>
        <v>1925</v>
      </c>
      <c r="K283" t="s">
        <v>299</v>
      </c>
      <c r="L283">
        <v>512000</v>
      </c>
      <c r="M283" s="78">
        <v>-6.06</v>
      </c>
      <c r="N283" s="78">
        <v>0.39</v>
      </c>
      <c r="O283" s="78">
        <v>-3.76</v>
      </c>
      <c r="P283" s="78">
        <v>-23.01</v>
      </c>
      <c r="Q283" s="78">
        <v>0.39</v>
      </c>
      <c r="R283" s="78">
        <v>2.41</v>
      </c>
      <c r="S283" s="78">
        <v>1037.93</v>
      </c>
      <c r="T283" s="78">
        <v>1053.3</v>
      </c>
    </row>
    <row r="284" spans="1:20" x14ac:dyDescent="0.3">
      <c r="A284" s="5">
        <v>45538</v>
      </c>
      <c r="B284" s="6" t="s">
        <v>128</v>
      </c>
      <c r="C284" s="7" t="s">
        <v>9</v>
      </c>
      <c r="D284" s="7">
        <v>50</v>
      </c>
      <c r="E284" s="8">
        <v>20</v>
      </c>
      <c r="F284" s="9">
        <f t="shared" si="26"/>
        <v>1000</v>
      </c>
      <c r="K284" t="s">
        <v>300</v>
      </c>
      <c r="L284">
        <v>14.16</v>
      </c>
      <c r="M284" s="78">
        <v>-2.34</v>
      </c>
      <c r="N284" s="78">
        <v>4.58</v>
      </c>
      <c r="O284" s="78">
        <v>20.41</v>
      </c>
      <c r="P284" s="78">
        <v>-5.6</v>
      </c>
      <c r="Q284" s="78">
        <v>4.58</v>
      </c>
      <c r="R284" s="78">
        <v>41.6</v>
      </c>
      <c r="S284" s="78">
        <v>980.92</v>
      </c>
      <c r="T284" s="78">
        <v>1175.68</v>
      </c>
    </row>
    <row r="285" spans="1:20" x14ac:dyDescent="0.3">
      <c r="A285" s="5">
        <v>45538</v>
      </c>
      <c r="B285" s="6" t="s">
        <v>128</v>
      </c>
      <c r="C285" s="7" t="s">
        <v>9</v>
      </c>
      <c r="D285" s="7">
        <v>100</v>
      </c>
      <c r="E285" s="8">
        <v>20.5</v>
      </c>
      <c r="F285" s="9">
        <f t="shared" si="26"/>
        <v>2050</v>
      </c>
      <c r="K285" t="s">
        <v>301</v>
      </c>
      <c r="L285">
        <v>37.4</v>
      </c>
      <c r="M285" s="78">
        <v>-4.6900000000000004</v>
      </c>
      <c r="N285" s="78">
        <v>-7.75</v>
      </c>
      <c r="O285" s="78">
        <v>4.88</v>
      </c>
      <c r="P285" s="78">
        <v>-1.58</v>
      </c>
      <c r="Q285" s="78">
        <v>-7.75</v>
      </c>
      <c r="R285" s="78">
        <v>5.03</v>
      </c>
      <c r="S285" s="78">
        <v>89.75</v>
      </c>
      <c r="T285" s="78">
        <v>564.29999999999995</v>
      </c>
    </row>
    <row r="286" spans="1:20" x14ac:dyDescent="0.3">
      <c r="A286" s="10">
        <v>45539</v>
      </c>
      <c r="B286" s="11" t="s">
        <v>219</v>
      </c>
      <c r="C286" s="12" t="s">
        <v>7</v>
      </c>
      <c r="D286" s="12">
        <v>50</v>
      </c>
      <c r="E286" s="13">
        <v>110</v>
      </c>
      <c r="F286" s="14">
        <f t="shared" ref="F286:F295" si="27">+E286*D286</f>
        <v>5500</v>
      </c>
      <c r="K286" t="s">
        <v>302</v>
      </c>
      <c r="L286">
        <v>13.07</v>
      </c>
      <c r="M286" s="78">
        <v>-1.1299999999999999</v>
      </c>
      <c r="N286" s="78">
        <v>-0.61</v>
      </c>
      <c r="O286" s="78">
        <v>17.850000000000001</v>
      </c>
      <c r="P286" s="78">
        <v>-4.8099999999999996</v>
      </c>
      <c r="Q286" s="78">
        <v>-0.61</v>
      </c>
      <c r="R286" s="78">
        <v>3.9</v>
      </c>
      <c r="S286" s="78">
        <v>313.61</v>
      </c>
      <c r="T286" s="78">
        <v>199.77</v>
      </c>
    </row>
    <row r="287" spans="1:20" x14ac:dyDescent="0.3">
      <c r="A287" s="5">
        <v>45539</v>
      </c>
      <c r="B287" s="6" t="s">
        <v>128</v>
      </c>
      <c r="C287" s="7" t="s">
        <v>9</v>
      </c>
      <c r="D287" s="7">
        <v>50</v>
      </c>
      <c r="E287" s="8">
        <v>21.5</v>
      </c>
      <c r="F287" s="9">
        <f t="shared" si="27"/>
        <v>1075</v>
      </c>
      <c r="K287" t="s">
        <v>303</v>
      </c>
      <c r="L287">
        <v>41.72</v>
      </c>
      <c r="M287" s="78">
        <v>-3.83</v>
      </c>
      <c r="N287" s="78">
        <v>3.01</v>
      </c>
      <c r="O287" s="78">
        <v>73.540000000000006</v>
      </c>
      <c r="P287" s="78">
        <v>69.59</v>
      </c>
      <c r="Q287" s="78">
        <v>3.01</v>
      </c>
      <c r="R287" s="78">
        <v>58.99</v>
      </c>
      <c r="S287" s="78">
        <v>404.47</v>
      </c>
      <c r="T287" s="78">
        <v>690.15</v>
      </c>
    </row>
    <row r="288" spans="1:20" x14ac:dyDescent="0.3">
      <c r="A288" s="5">
        <v>45539</v>
      </c>
      <c r="B288" s="6" t="s">
        <v>128</v>
      </c>
      <c r="C288" s="7" t="s">
        <v>9</v>
      </c>
      <c r="D288" s="7">
        <v>50</v>
      </c>
      <c r="E288" s="8">
        <v>22</v>
      </c>
      <c r="F288" s="9">
        <f t="shared" si="27"/>
        <v>1100</v>
      </c>
      <c r="K288" t="s">
        <v>304</v>
      </c>
      <c r="L288">
        <v>19.55</v>
      </c>
      <c r="M288" s="78">
        <v>-0.96</v>
      </c>
      <c r="N288" s="78">
        <v>4.21</v>
      </c>
      <c r="O288" s="78">
        <v>15.14</v>
      </c>
      <c r="P288" s="78">
        <v>20.09</v>
      </c>
      <c r="Q288" s="78">
        <v>4.21</v>
      </c>
      <c r="R288" s="78">
        <v>9.34</v>
      </c>
      <c r="S288" s="78">
        <v>322.25</v>
      </c>
      <c r="T288" s="78">
        <v>939.89</v>
      </c>
    </row>
    <row r="289" spans="1:20" x14ac:dyDescent="0.3">
      <c r="A289" s="5">
        <v>45539</v>
      </c>
      <c r="B289" s="6" t="s">
        <v>379</v>
      </c>
      <c r="C289" s="7" t="s">
        <v>9</v>
      </c>
      <c r="D289" s="7">
        <v>35</v>
      </c>
      <c r="E289" s="8">
        <v>60</v>
      </c>
      <c r="F289" s="9">
        <f t="shared" si="27"/>
        <v>2100</v>
      </c>
      <c r="K289" t="s">
        <v>305</v>
      </c>
      <c r="L289">
        <v>20.100000000000001</v>
      </c>
      <c r="M289" s="78">
        <v>5.79</v>
      </c>
      <c r="N289" s="78">
        <v>5.29</v>
      </c>
      <c r="O289" s="78">
        <v>14.73</v>
      </c>
      <c r="P289" s="78">
        <v>45.65</v>
      </c>
      <c r="Q289" s="78">
        <v>5.29</v>
      </c>
      <c r="R289" s="78">
        <v>142.16999999999999</v>
      </c>
      <c r="S289" s="78">
        <v>338.86</v>
      </c>
      <c r="T289" s="78"/>
    </row>
    <row r="290" spans="1:20" x14ac:dyDescent="0.3">
      <c r="A290" s="10">
        <v>45541</v>
      </c>
      <c r="B290" s="11" t="s">
        <v>219</v>
      </c>
      <c r="C290" s="12" t="s">
        <v>7</v>
      </c>
      <c r="D290" s="12">
        <v>30</v>
      </c>
      <c r="E290" s="13">
        <v>101</v>
      </c>
      <c r="F290" s="14">
        <f t="shared" si="27"/>
        <v>3030</v>
      </c>
      <c r="K290" t="s">
        <v>306</v>
      </c>
      <c r="L290">
        <v>5400000</v>
      </c>
      <c r="M290" s="78">
        <v>0</v>
      </c>
      <c r="N290" s="78">
        <v>-10</v>
      </c>
      <c r="O290" s="78">
        <v>-10</v>
      </c>
      <c r="P290" s="78">
        <v>-10</v>
      </c>
      <c r="Q290" s="78">
        <v>-10</v>
      </c>
      <c r="R290" s="78">
        <v>-32.93</v>
      </c>
      <c r="S290" s="78">
        <v>694.14</v>
      </c>
      <c r="T290" s="78">
        <v>1614.34</v>
      </c>
    </row>
    <row r="291" spans="1:20" x14ac:dyDescent="0.3">
      <c r="A291" s="5">
        <v>45541</v>
      </c>
      <c r="B291" s="6" t="s">
        <v>379</v>
      </c>
      <c r="C291" s="7" t="s">
        <v>9</v>
      </c>
      <c r="D291" s="7">
        <v>20</v>
      </c>
      <c r="E291" s="8">
        <v>60</v>
      </c>
      <c r="F291" s="9">
        <f t="shared" si="27"/>
        <v>1200</v>
      </c>
      <c r="K291" t="s">
        <v>307</v>
      </c>
      <c r="L291">
        <v>44.7</v>
      </c>
      <c r="M291" s="78">
        <v>-4.8899999999999997</v>
      </c>
      <c r="N291" s="78">
        <v>-8.7799999999999994</v>
      </c>
      <c r="O291" s="78">
        <v>39.08</v>
      </c>
      <c r="P291" s="78">
        <v>19.52</v>
      </c>
      <c r="Q291" s="78">
        <v>-8.7799999999999994</v>
      </c>
      <c r="R291" s="78">
        <v>32.520000000000003</v>
      </c>
      <c r="S291" s="78">
        <v>934.72</v>
      </c>
      <c r="T291" s="78">
        <v>5037.93</v>
      </c>
    </row>
    <row r="292" spans="1:20" x14ac:dyDescent="0.3">
      <c r="A292" s="10">
        <v>45541</v>
      </c>
      <c r="B292" s="11" t="s">
        <v>14</v>
      </c>
      <c r="C292" s="12" t="s">
        <v>9</v>
      </c>
      <c r="D292" s="12">
        <v>15</v>
      </c>
      <c r="E292" s="13">
        <v>110</v>
      </c>
      <c r="F292" s="14">
        <f t="shared" si="27"/>
        <v>1650</v>
      </c>
      <c r="K292" t="s">
        <v>308</v>
      </c>
      <c r="L292">
        <v>8.6999999999999993</v>
      </c>
      <c r="M292" s="78">
        <v>-4.8099999999999996</v>
      </c>
      <c r="N292" s="78">
        <v>-4.29</v>
      </c>
      <c r="O292" s="78">
        <v>-2.36</v>
      </c>
      <c r="P292" s="78">
        <v>-30.29</v>
      </c>
      <c r="Q292" s="78">
        <v>-4.29</v>
      </c>
      <c r="R292" s="78">
        <v>-22.94</v>
      </c>
      <c r="S292" s="78">
        <v>77.55</v>
      </c>
      <c r="T292" s="78"/>
    </row>
    <row r="293" spans="1:20" x14ac:dyDescent="0.3">
      <c r="A293" s="10">
        <v>45541</v>
      </c>
      <c r="B293" s="11" t="s">
        <v>383</v>
      </c>
      <c r="C293" s="12" t="s">
        <v>9</v>
      </c>
      <c r="D293" s="12">
        <v>500</v>
      </c>
      <c r="E293" s="13">
        <v>2.69</v>
      </c>
      <c r="F293" s="14">
        <f t="shared" si="27"/>
        <v>1345</v>
      </c>
      <c r="K293" t="s">
        <v>309</v>
      </c>
      <c r="L293">
        <v>7.98</v>
      </c>
      <c r="M293" s="78">
        <v>-5</v>
      </c>
      <c r="N293" s="78">
        <v>-7.1</v>
      </c>
      <c r="O293" s="78">
        <v>1.27</v>
      </c>
      <c r="P293" s="78">
        <v>-17.649999999999999</v>
      </c>
      <c r="Q293" s="78">
        <v>-7.1</v>
      </c>
      <c r="R293" s="78">
        <v>-22.6</v>
      </c>
      <c r="S293" s="78">
        <v>190.18</v>
      </c>
      <c r="T293" s="78">
        <v>454.17</v>
      </c>
    </row>
    <row r="294" spans="1:20" x14ac:dyDescent="0.3">
      <c r="A294" s="10">
        <v>45541</v>
      </c>
      <c r="B294" s="11" t="s">
        <v>35</v>
      </c>
      <c r="C294" s="12" t="s">
        <v>9</v>
      </c>
      <c r="D294" s="12">
        <v>3</v>
      </c>
      <c r="E294" s="13">
        <v>500</v>
      </c>
      <c r="F294" s="14">
        <f t="shared" si="27"/>
        <v>1500</v>
      </c>
      <c r="K294" t="s">
        <v>310</v>
      </c>
      <c r="L294">
        <v>4.4400000000000004</v>
      </c>
      <c r="M294" s="78">
        <v>-2.2000000000000002</v>
      </c>
      <c r="N294" s="78">
        <v>-6.53</v>
      </c>
      <c r="O294" s="78">
        <v>-16.7</v>
      </c>
      <c r="P294" s="78">
        <v>-15.27</v>
      </c>
      <c r="Q294" s="78">
        <v>-6.53</v>
      </c>
      <c r="R294" s="78">
        <v>-45.05</v>
      </c>
      <c r="S294" s="78"/>
      <c r="T294" s="78"/>
    </row>
    <row r="295" spans="1:20" x14ac:dyDescent="0.3">
      <c r="A295" s="10">
        <v>45541</v>
      </c>
      <c r="B295" s="11" t="s">
        <v>50</v>
      </c>
      <c r="C295" s="12" t="s">
        <v>9</v>
      </c>
      <c r="D295" s="12">
        <v>50</v>
      </c>
      <c r="E295" s="13">
        <v>21</v>
      </c>
      <c r="F295" s="14">
        <f t="shared" si="27"/>
        <v>1050</v>
      </c>
      <c r="K295" t="s">
        <v>311</v>
      </c>
      <c r="L295">
        <v>65.05</v>
      </c>
      <c r="M295" s="78">
        <v>-17.809999999999999</v>
      </c>
      <c r="N295" s="78">
        <v>9.51</v>
      </c>
      <c r="O295" s="78">
        <v>12.64</v>
      </c>
      <c r="P295" s="78">
        <v>11.2</v>
      </c>
      <c r="Q295" s="78">
        <v>9.51</v>
      </c>
      <c r="R295" s="78">
        <v>309.63</v>
      </c>
      <c r="S295" s="78">
        <v>2364.02</v>
      </c>
      <c r="T295" s="78">
        <v>8810.9599999999991</v>
      </c>
    </row>
    <row r="296" spans="1:20" x14ac:dyDescent="0.3">
      <c r="A296" s="10">
        <v>45544</v>
      </c>
      <c r="B296" s="11" t="s">
        <v>14</v>
      </c>
      <c r="C296" s="12" t="s">
        <v>9</v>
      </c>
      <c r="D296" s="12">
        <v>10</v>
      </c>
      <c r="E296" s="13">
        <v>125.4</v>
      </c>
      <c r="F296" s="14">
        <f t="shared" ref="F296:F302" si="28">+E296*D296</f>
        <v>1254</v>
      </c>
      <c r="K296" t="s">
        <v>312</v>
      </c>
      <c r="L296">
        <v>41</v>
      </c>
      <c r="M296" s="78">
        <v>-6.73</v>
      </c>
      <c r="N296" s="78">
        <v>-5.22</v>
      </c>
      <c r="O296" s="78">
        <v>-10.95</v>
      </c>
      <c r="P296" s="78">
        <v>-37.020000000000003</v>
      </c>
      <c r="Q296" s="78">
        <v>-5.22</v>
      </c>
      <c r="R296" s="78">
        <v>-0.92</v>
      </c>
      <c r="S296" s="78">
        <v>98.07</v>
      </c>
      <c r="T296" s="78">
        <v>1424.16</v>
      </c>
    </row>
    <row r="297" spans="1:20" x14ac:dyDescent="0.3">
      <c r="A297" s="5">
        <v>45544</v>
      </c>
      <c r="B297" s="6" t="s">
        <v>50</v>
      </c>
      <c r="C297" s="12" t="s">
        <v>9</v>
      </c>
      <c r="D297" s="7">
        <v>50</v>
      </c>
      <c r="E297" s="8">
        <v>20.6</v>
      </c>
      <c r="F297" s="9">
        <f t="shared" si="28"/>
        <v>1030</v>
      </c>
      <c r="K297" t="s">
        <v>313</v>
      </c>
      <c r="L297">
        <v>5.26</v>
      </c>
      <c r="M297" s="78">
        <v>-2.41</v>
      </c>
      <c r="N297" s="78">
        <v>-3.49</v>
      </c>
      <c r="O297" s="78">
        <v>-3.49</v>
      </c>
      <c r="P297" s="78">
        <v>-12.48</v>
      </c>
      <c r="Q297" s="78">
        <v>-3.49</v>
      </c>
      <c r="R297" s="78">
        <v>-15.84</v>
      </c>
      <c r="S297" s="78">
        <v>124.79</v>
      </c>
      <c r="T297" s="78">
        <v>65.41</v>
      </c>
    </row>
    <row r="298" spans="1:20" x14ac:dyDescent="0.3">
      <c r="A298" s="5">
        <v>45544</v>
      </c>
      <c r="B298" s="6" t="s">
        <v>444</v>
      </c>
      <c r="C298" s="12" t="s">
        <v>9</v>
      </c>
      <c r="D298" s="7">
        <v>75</v>
      </c>
      <c r="E298" s="8">
        <v>16</v>
      </c>
      <c r="F298" s="9">
        <f t="shared" si="28"/>
        <v>1200</v>
      </c>
      <c r="K298" t="s">
        <v>314</v>
      </c>
      <c r="L298">
        <v>24.38</v>
      </c>
      <c r="M298" s="78">
        <v>-5.14</v>
      </c>
      <c r="N298" s="78">
        <v>-7.79</v>
      </c>
      <c r="O298" s="78">
        <v>-9.0299999999999994</v>
      </c>
      <c r="P298" s="78">
        <v>-10.7</v>
      </c>
      <c r="Q298" s="78">
        <v>-7.79</v>
      </c>
      <c r="R298" s="78">
        <v>36.81</v>
      </c>
      <c r="S298" s="78">
        <v>225.07</v>
      </c>
      <c r="T298" s="78">
        <v>2947.5</v>
      </c>
    </row>
    <row r="299" spans="1:20" x14ac:dyDescent="0.3">
      <c r="A299" s="5">
        <v>45544</v>
      </c>
      <c r="B299" s="6" t="s">
        <v>449</v>
      </c>
      <c r="C299" s="7" t="s">
        <v>7</v>
      </c>
      <c r="D299" s="7">
        <v>20</v>
      </c>
      <c r="E299" s="8">
        <v>67</v>
      </c>
      <c r="F299" s="9">
        <f t="shared" si="28"/>
        <v>1340</v>
      </c>
      <c r="K299" t="s">
        <v>315</v>
      </c>
      <c r="L299">
        <v>180.9</v>
      </c>
      <c r="M299" s="78">
        <v>3.08</v>
      </c>
      <c r="N299" s="78">
        <v>-3.52</v>
      </c>
      <c r="O299" s="78">
        <v>0.22</v>
      </c>
      <c r="P299" s="78">
        <v>-9.4600000000000009</v>
      </c>
      <c r="Q299" s="78">
        <v>-3.52</v>
      </c>
      <c r="R299" s="78">
        <v>82.18</v>
      </c>
      <c r="S299" s="78">
        <v>229.87</v>
      </c>
      <c r="T299" s="78">
        <v>3177.17</v>
      </c>
    </row>
    <row r="300" spans="1:20" x14ac:dyDescent="0.3">
      <c r="A300" s="5">
        <v>45544</v>
      </c>
      <c r="B300" s="6" t="s">
        <v>33</v>
      </c>
      <c r="C300" s="7" t="s">
        <v>7</v>
      </c>
      <c r="D300" s="7">
        <v>130</v>
      </c>
      <c r="E300" s="8">
        <v>28.2</v>
      </c>
      <c r="F300" s="9">
        <f t="shared" si="28"/>
        <v>3666</v>
      </c>
      <c r="K300" t="s">
        <v>316</v>
      </c>
      <c r="L300">
        <v>9.24</v>
      </c>
      <c r="M300" s="78">
        <v>-9.06</v>
      </c>
      <c r="N300" s="78">
        <v>-9.41</v>
      </c>
      <c r="O300" s="78">
        <v>0.11</v>
      </c>
      <c r="P300" s="78">
        <v>-39.729999999999997</v>
      </c>
      <c r="Q300" s="78">
        <v>-9.41</v>
      </c>
      <c r="R300" s="78">
        <v>-32.85</v>
      </c>
      <c r="S300" s="78">
        <v>169.39</v>
      </c>
      <c r="T300" s="78">
        <v>589.54999999999995</v>
      </c>
    </row>
    <row r="301" spans="1:20" x14ac:dyDescent="0.3">
      <c r="A301" s="5">
        <v>45544</v>
      </c>
      <c r="B301" s="6" t="s">
        <v>33</v>
      </c>
      <c r="C301" s="7" t="s">
        <v>9</v>
      </c>
      <c r="D301" s="7">
        <v>40</v>
      </c>
      <c r="E301" s="8">
        <v>29.2</v>
      </c>
      <c r="F301" s="9">
        <f t="shared" si="28"/>
        <v>1168</v>
      </c>
      <c r="K301" t="s">
        <v>317</v>
      </c>
      <c r="L301">
        <v>12.04</v>
      </c>
      <c r="M301" s="78">
        <v>-0.82</v>
      </c>
      <c r="N301" s="78">
        <v>-0.57999999999999996</v>
      </c>
      <c r="O301" s="78">
        <v>-21.97</v>
      </c>
      <c r="P301" s="78">
        <v>-21.97</v>
      </c>
      <c r="Q301" s="78">
        <v>-0.57999999999999996</v>
      </c>
      <c r="R301" s="78">
        <v>25.29</v>
      </c>
      <c r="S301" s="78">
        <v>216.01</v>
      </c>
      <c r="T301" s="78">
        <v>608.24</v>
      </c>
    </row>
    <row r="302" spans="1:20" x14ac:dyDescent="0.3">
      <c r="A302" s="5">
        <v>45544</v>
      </c>
      <c r="B302" s="6" t="s">
        <v>33</v>
      </c>
      <c r="C302" s="7" t="s">
        <v>9</v>
      </c>
      <c r="D302" s="7">
        <v>50</v>
      </c>
      <c r="E302" s="8">
        <v>30</v>
      </c>
      <c r="F302" s="9">
        <f t="shared" si="28"/>
        <v>1500</v>
      </c>
      <c r="K302" t="s">
        <v>318</v>
      </c>
      <c r="L302">
        <v>117.4</v>
      </c>
      <c r="M302" s="78">
        <v>-5.78</v>
      </c>
      <c r="N302" s="78">
        <v>27.61</v>
      </c>
      <c r="O302" s="78">
        <v>36.43</v>
      </c>
      <c r="P302" s="78">
        <v>13.98</v>
      </c>
      <c r="Q302" s="78">
        <v>27.61</v>
      </c>
      <c r="R302" s="78">
        <v>50.8</v>
      </c>
      <c r="S302" s="78">
        <v>148.15</v>
      </c>
      <c r="T302" s="78">
        <v>649.20000000000005</v>
      </c>
    </row>
    <row r="303" spans="1:20" x14ac:dyDescent="0.3">
      <c r="A303" s="5">
        <v>45544</v>
      </c>
      <c r="B303" s="6" t="s">
        <v>383</v>
      </c>
      <c r="C303" s="7" t="s">
        <v>7</v>
      </c>
      <c r="D303" s="7">
        <v>750</v>
      </c>
      <c r="E303" s="8">
        <v>2.4500000000000002</v>
      </c>
      <c r="F303" s="9">
        <f t="shared" ref="F303:F316" si="29">+E303*D303</f>
        <v>1837.5000000000002</v>
      </c>
      <c r="K303" t="s">
        <v>319</v>
      </c>
      <c r="L303">
        <v>27.42</v>
      </c>
      <c r="M303" s="78">
        <v>-2.42</v>
      </c>
      <c r="N303" s="78">
        <v>-1.79</v>
      </c>
      <c r="O303" s="78">
        <v>4.74</v>
      </c>
      <c r="P303" s="78">
        <v>-4.79</v>
      </c>
      <c r="Q303" s="78">
        <v>-1.79</v>
      </c>
      <c r="R303" s="78">
        <v>-28.44</v>
      </c>
      <c r="S303" s="78">
        <v>38.07</v>
      </c>
      <c r="T303" s="78"/>
    </row>
    <row r="304" spans="1:20" x14ac:dyDescent="0.3">
      <c r="A304" s="5">
        <v>45544</v>
      </c>
      <c r="B304" s="6" t="s">
        <v>379</v>
      </c>
      <c r="C304" s="7" t="s">
        <v>7</v>
      </c>
      <c r="D304" s="7">
        <v>30</v>
      </c>
      <c r="E304" s="8">
        <v>58</v>
      </c>
      <c r="F304" s="9">
        <f t="shared" si="29"/>
        <v>1740</v>
      </c>
      <c r="K304" t="s">
        <v>320</v>
      </c>
      <c r="L304">
        <v>2.0299999999999998</v>
      </c>
      <c r="M304" s="78">
        <v>-3.79</v>
      </c>
      <c r="N304" s="78">
        <v>-7.73</v>
      </c>
      <c r="O304" s="78">
        <v>-8.14</v>
      </c>
      <c r="P304" s="78">
        <v>-45.72</v>
      </c>
      <c r="Q304" s="78">
        <v>-7.73</v>
      </c>
      <c r="R304" s="78">
        <v>-11.74</v>
      </c>
      <c r="S304" s="78">
        <v>81.25</v>
      </c>
      <c r="T304" s="78">
        <v>156.96</v>
      </c>
    </row>
    <row r="305" spans="1:20" x14ac:dyDescent="0.3">
      <c r="A305" s="5">
        <v>45544</v>
      </c>
      <c r="B305" s="6" t="s">
        <v>142</v>
      </c>
      <c r="C305" s="7" t="s">
        <v>7</v>
      </c>
      <c r="D305" s="7">
        <v>75</v>
      </c>
      <c r="E305" s="8">
        <v>20.399999999999999</v>
      </c>
      <c r="F305" s="9">
        <f t="shared" si="29"/>
        <v>1530</v>
      </c>
      <c r="K305" t="s">
        <v>321</v>
      </c>
      <c r="L305">
        <v>18.04</v>
      </c>
      <c r="M305" s="78">
        <v>-4.8</v>
      </c>
      <c r="N305" s="78">
        <v>-8.84</v>
      </c>
      <c r="O305" s="78">
        <v>-4.95</v>
      </c>
      <c r="P305" s="78">
        <v>-30.83</v>
      </c>
      <c r="Q305" s="78">
        <v>-8.84</v>
      </c>
      <c r="R305" s="78">
        <v>-50.49</v>
      </c>
      <c r="S305" s="78"/>
      <c r="T305" s="78"/>
    </row>
    <row r="306" spans="1:20" x14ac:dyDescent="0.3">
      <c r="A306" s="5">
        <v>45544</v>
      </c>
      <c r="B306" s="6" t="s">
        <v>219</v>
      </c>
      <c r="C306" s="7" t="s">
        <v>9</v>
      </c>
      <c r="D306" s="7">
        <v>20</v>
      </c>
      <c r="E306" s="8">
        <v>105</v>
      </c>
      <c r="F306" s="9">
        <f t="shared" si="29"/>
        <v>2100</v>
      </c>
      <c r="K306" t="s">
        <v>26</v>
      </c>
      <c r="L306">
        <v>78.599999999999994</v>
      </c>
      <c r="M306" s="78">
        <v>-3.56</v>
      </c>
      <c r="N306" s="78">
        <v>1.0900000000000001</v>
      </c>
      <c r="O306" s="78">
        <v>-6.98</v>
      </c>
      <c r="P306" s="78">
        <v>-15.39</v>
      </c>
      <c r="Q306" s="78">
        <v>1.0900000000000001</v>
      </c>
      <c r="R306" s="78">
        <v>-47.65</v>
      </c>
      <c r="S306" s="78"/>
      <c r="T306" s="78"/>
    </row>
    <row r="307" spans="1:20" x14ac:dyDescent="0.3">
      <c r="A307" s="5">
        <v>45544</v>
      </c>
      <c r="B307" s="6" t="s">
        <v>219</v>
      </c>
      <c r="C307" s="7" t="s">
        <v>9</v>
      </c>
      <c r="D307" s="7">
        <v>20</v>
      </c>
      <c r="E307" s="8">
        <v>108.4</v>
      </c>
      <c r="F307" s="9">
        <f t="shared" si="29"/>
        <v>2168</v>
      </c>
      <c r="K307" t="s">
        <v>322</v>
      </c>
      <c r="L307">
        <v>12.03</v>
      </c>
      <c r="M307" s="78">
        <v>-6.96</v>
      </c>
      <c r="N307" s="78">
        <v>-13.95</v>
      </c>
      <c r="O307" s="78">
        <v>-7.1</v>
      </c>
      <c r="P307" s="78">
        <v>-22.19</v>
      </c>
      <c r="Q307" s="78">
        <v>-13.95</v>
      </c>
      <c r="R307" s="78">
        <v>-12.13</v>
      </c>
      <c r="S307" s="78"/>
      <c r="T307" s="78"/>
    </row>
    <row r="308" spans="1:20" x14ac:dyDescent="0.3">
      <c r="A308" s="10">
        <v>45545</v>
      </c>
      <c r="B308" s="11" t="s">
        <v>13</v>
      </c>
      <c r="C308" s="12" t="s">
        <v>7</v>
      </c>
      <c r="D308" s="12">
        <v>300</v>
      </c>
      <c r="E308" s="13">
        <v>15.25</v>
      </c>
      <c r="F308" s="14">
        <f t="shared" si="29"/>
        <v>4575</v>
      </c>
      <c r="K308" t="s">
        <v>27</v>
      </c>
      <c r="L308">
        <v>169.8</v>
      </c>
      <c r="M308" s="78">
        <v>-5.14</v>
      </c>
      <c r="N308" s="78">
        <v>-4.93</v>
      </c>
      <c r="O308" s="78">
        <v>0.47</v>
      </c>
      <c r="P308" s="78">
        <v>-21.06</v>
      </c>
      <c r="Q308" s="78">
        <v>-4.93</v>
      </c>
      <c r="R308" s="78">
        <v>9.73</v>
      </c>
      <c r="S308" s="78">
        <v>468.27</v>
      </c>
      <c r="T308" s="78">
        <v>890.09</v>
      </c>
    </row>
    <row r="309" spans="1:20" x14ac:dyDescent="0.3">
      <c r="A309" s="5">
        <v>45545</v>
      </c>
      <c r="B309" s="6" t="s">
        <v>14</v>
      </c>
      <c r="C309" s="12" t="s">
        <v>7</v>
      </c>
      <c r="D309" s="7">
        <v>10</v>
      </c>
      <c r="E309" s="8">
        <v>117.9</v>
      </c>
      <c r="F309" s="9">
        <f t="shared" si="29"/>
        <v>1179</v>
      </c>
      <c r="K309" t="s">
        <v>323</v>
      </c>
      <c r="L309">
        <v>897.5</v>
      </c>
      <c r="M309" s="78">
        <v>-1.37</v>
      </c>
      <c r="N309" s="78">
        <v>-11.75</v>
      </c>
      <c r="O309" s="78">
        <v>12.68</v>
      </c>
      <c r="P309" s="78">
        <v>-18.41</v>
      </c>
      <c r="Q309" s="78">
        <v>-11.75</v>
      </c>
      <c r="R309" s="78">
        <v>79.5</v>
      </c>
      <c r="S309" s="78">
        <v>435.82</v>
      </c>
      <c r="T309" s="78">
        <v>3434.86</v>
      </c>
    </row>
    <row r="310" spans="1:20" x14ac:dyDescent="0.3">
      <c r="A310" s="5">
        <v>45545</v>
      </c>
      <c r="B310" s="6" t="s">
        <v>33</v>
      </c>
      <c r="C310" s="7" t="s">
        <v>9</v>
      </c>
      <c r="D310" s="7">
        <v>50</v>
      </c>
      <c r="E310" s="8">
        <v>32</v>
      </c>
      <c r="F310" s="9">
        <f t="shared" si="29"/>
        <v>1600</v>
      </c>
      <c r="K310" t="s">
        <v>324</v>
      </c>
      <c r="L310">
        <v>2.15</v>
      </c>
      <c r="M310" s="78">
        <v>-3.59</v>
      </c>
      <c r="N310" s="78">
        <v>-2.27</v>
      </c>
      <c r="O310" s="78">
        <v>25.73</v>
      </c>
      <c r="P310" s="78">
        <v>0.47</v>
      </c>
      <c r="Q310" s="78">
        <v>-2.27</v>
      </c>
      <c r="R310" s="78">
        <v>102.83</v>
      </c>
      <c r="S310" s="78">
        <v>190.54</v>
      </c>
      <c r="T310" s="78">
        <v>367.39</v>
      </c>
    </row>
    <row r="311" spans="1:20" x14ac:dyDescent="0.3">
      <c r="A311" s="5">
        <v>45545</v>
      </c>
      <c r="B311" s="6" t="s">
        <v>449</v>
      </c>
      <c r="C311" s="7" t="s">
        <v>9</v>
      </c>
      <c r="D311" s="7">
        <v>20</v>
      </c>
      <c r="E311" s="8">
        <v>69</v>
      </c>
      <c r="F311" s="9">
        <f t="shared" si="29"/>
        <v>1380</v>
      </c>
      <c r="K311" t="s">
        <v>325</v>
      </c>
      <c r="L311">
        <v>12.88</v>
      </c>
      <c r="M311" s="78">
        <v>-4.0199999999999996</v>
      </c>
      <c r="N311" s="78">
        <v>-12.62</v>
      </c>
      <c r="O311" s="78">
        <v>0.94</v>
      </c>
      <c r="P311" s="78">
        <v>-22.5</v>
      </c>
      <c r="Q311" s="78">
        <v>-12.62</v>
      </c>
      <c r="R311" s="78">
        <v>6.45</v>
      </c>
      <c r="S311" s="78">
        <v>189.44</v>
      </c>
      <c r="T311" s="78">
        <v>277.70999999999998</v>
      </c>
    </row>
    <row r="312" spans="1:20" x14ac:dyDescent="0.3">
      <c r="A312" s="5">
        <v>45545</v>
      </c>
      <c r="B312" s="6" t="s">
        <v>219</v>
      </c>
      <c r="C312" s="7" t="s">
        <v>9</v>
      </c>
      <c r="D312" s="7">
        <v>20</v>
      </c>
      <c r="E312" s="8">
        <v>115</v>
      </c>
      <c r="F312" s="9">
        <f t="shared" si="29"/>
        <v>2300</v>
      </c>
      <c r="K312" t="s">
        <v>326</v>
      </c>
      <c r="L312">
        <v>106.9</v>
      </c>
      <c r="M312" s="78">
        <v>-0.47</v>
      </c>
      <c r="N312" s="78">
        <v>22.52</v>
      </c>
      <c r="O312" s="78">
        <v>14.95</v>
      </c>
      <c r="P312" s="78">
        <v>-13.79</v>
      </c>
      <c r="Q312" s="78">
        <v>22.52</v>
      </c>
      <c r="R312" s="78">
        <v>15.52</v>
      </c>
      <c r="S312" s="78">
        <v>490.28</v>
      </c>
      <c r="T312" s="78">
        <v>586.14</v>
      </c>
    </row>
    <row r="313" spans="1:20" x14ac:dyDescent="0.3">
      <c r="A313" s="5">
        <v>45545</v>
      </c>
      <c r="B313" s="6" t="s">
        <v>14</v>
      </c>
      <c r="C313" s="7" t="s">
        <v>9</v>
      </c>
      <c r="D313" s="7">
        <v>10</v>
      </c>
      <c r="E313" s="8">
        <v>130</v>
      </c>
      <c r="F313" s="9">
        <f t="shared" si="29"/>
        <v>1300</v>
      </c>
      <c r="K313" t="s">
        <v>327</v>
      </c>
      <c r="L313">
        <v>42.88</v>
      </c>
      <c r="M313" s="78">
        <v>1.85</v>
      </c>
      <c r="N313" s="78">
        <v>-15.09</v>
      </c>
      <c r="O313" s="78">
        <v>-10.14</v>
      </c>
      <c r="P313" s="78">
        <v>32.1</v>
      </c>
      <c r="Q313" s="78">
        <v>-15.09</v>
      </c>
      <c r="R313" s="78">
        <v>9.7799999999999994</v>
      </c>
      <c r="S313" s="78">
        <v>511.7</v>
      </c>
      <c r="T313" s="78">
        <v>1409.86</v>
      </c>
    </row>
    <row r="314" spans="1:20" x14ac:dyDescent="0.3">
      <c r="A314" s="5">
        <v>45545</v>
      </c>
      <c r="B314" s="6" t="s">
        <v>14</v>
      </c>
      <c r="C314" s="7" t="s">
        <v>7</v>
      </c>
      <c r="D314" s="7">
        <v>10</v>
      </c>
      <c r="E314" s="8">
        <v>118</v>
      </c>
      <c r="F314" s="9">
        <f t="shared" si="29"/>
        <v>1180</v>
      </c>
      <c r="K314" t="s">
        <v>328</v>
      </c>
      <c r="L314">
        <v>10.59</v>
      </c>
      <c r="M314" s="78">
        <v>-1.94</v>
      </c>
      <c r="N314" s="78">
        <v>10.199999999999999</v>
      </c>
      <c r="O314" s="78">
        <v>7.62</v>
      </c>
      <c r="P314" s="78">
        <v>6.01</v>
      </c>
      <c r="Q314" s="78">
        <v>10.199999999999999</v>
      </c>
      <c r="R314" s="78">
        <v>30.1</v>
      </c>
      <c r="S314" s="78">
        <v>215.18</v>
      </c>
      <c r="T314" s="78"/>
    </row>
    <row r="315" spans="1:20" x14ac:dyDescent="0.3">
      <c r="A315" s="5">
        <v>45545</v>
      </c>
      <c r="B315" s="6" t="s">
        <v>49</v>
      </c>
      <c r="C315" s="7" t="s">
        <v>7</v>
      </c>
      <c r="D315" s="7">
        <v>50</v>
      </c>
      <c r="E315" s="8">
        <v>32</v>
      </c>
      <c r="F315" s="9">
        <f t="shared" si="29"/>
        <v>1600</v>
      </c>
      <c r="K315" t="s">
        <v>329</v>
      </c>
      <c r="L315">
        <v>4.8600000000000003</v>
      </c>
      <c r="M315" s="78">
        <v>-6.9</v>
      </c>
      <c r="N315" s="78">
        <v>7.76</v>
      </c>
      <c r="O315" s="78">
        <v>36.520000000000003</v>
      </c>
      <c r="P315" s="78">
        <v>2.75</v>
      </c>
      <c r="Q315" s="78">
        <v>7.76</v>
      </c>
      <c r="R315" s="78">
        <v>48.17</v>
      </c>
      <c r="S315" s="78">
        <v>276.74</v>
      </c>
      <c r="T315" s="78">
        <v>458.62</v>
      </c>
    </row>
    <row r="316" spans="1:20" x14ac:dyDescent="0.3">
      <c r="A316" s="5">
        <v>45545</v>
      </c>
      <c r="B316" s="6" t="s">
        <v>6</v>
      </c>
      <c r="C316" s="7" t="s">
        <v>7</v>
      </c>
      <c r="D316" s="7">
        <v>50</v>
      </c>
      <c r="E316" s="8">
        <v>48.2</v>
      </c>
      <c r="F316" s="9">
        <f t="shared" si="29"/>
        <v>2410</v>
      </c>
      <c r="K316" t="s">
        <v>330</v>
      </c>
      <c r="L316">
        <v>32.06</v>
      </c>
      <c r="M316" s="78">
        <v>-5.98</v>
      </c>
      <c r="N316" s="78">
        <v>2.76</v>
      </c>
      <c r="O316" s="78">
        <v>11.01</v>
      </c>
      <c r="P316" s="78">
        <v>21.44</v>
      </c>
      <c r="Q316" s="78">
        <v>2.76</v>
      </c>
      <c r="R316" s="78">
        <v>26.37</v>
      </c>
      <c r="S316" s="78">
        <v>703.51</v>
      </c>
      <c r="T316" s="78"/>
    </row>
    <row r="317" spans="1:20" x14ac:dyDescent="0.3">
      <c r="A317" s="10">
        <v>45546</v>
      </c>
      <c r="B317" s="11" t="s">
        <v>14</v>
      </c>
      <c r="C317" s="12" t="s">
        <v>9</v>
      </c>
      <c r="D317" s="12">
        <v>10</v>
      </c>
      <c r="E317" s="13">
        <v>127</v>
      </c>
      <c r="F317" s="14">
        <f t="shared" ref="F317:F324" si="30">+E317*D317</f>
        <v>1270</v>
      </c>
      <c r="K317" t="s">
        <v>331</v>
      </c>
      <c r="L317">
        <v>26.96</v>
      </c>
      <c r="M317" s="78">
        <v>-8.86</v>
      </c>
      <c r="N317" s="78">
        <v>-5.67</v>
      </c>
      <c r="O317" s="78">
        <v>9.68</v>
      </c>
      <c r="P317" s="78">
        <v>-5.4</v>
      </c>
      <c r="Q317" s="78">
        <v>-5.67</v>
      </c>
      <c r="R317" s="78">
        <v>-8.8000000000000007</v>
      </c>
      <c r="S317" s="78">
        <v>162</v>
      </c>
      <c r="T317" s="78">
        <v>169.33</v>
      </c>
    </row>
    <row r="318" spans="1:20" x14ac:dyDescent="0.3">
      <c r="A318" s="5">
        <v>45546</v>
      </c>
      <c r="B318" s="6" t="s">
        <v>33</v>
      </c>
      <c r="C318" s="7" t="s">
        <v>7</v>
      </c>
      <c r="D318" s="7">
        <v>100</v>
      </c>
      <c r="E318" s="8">
        <v>29.5</v>
      </c>
      <c r="F318" s="9">
        <f t="shared" si="30"/>
        <v>2950</v>
      </c>
      <c r="K318" t="s">
        <v>332</v>
      </c>
      <c r="L318">
        <v>13.4</v>
      </c>
      <c r="M318" s="78">
        <v>-2.19</v>
      </c>
      <c r="N318" s="78">
        <v>-4.1500000000000004</v>
      </c>
      <c r="O318" s="78">
        <v>-9.58</v>
      </c>
      <c r="P318" s="78">
        <v>-7.59</v>
      </c>
      <c r="Q318" s="78">
        <v>-4.1500000000000004</v>
      </c>
      <c r="R318" s="78">
        <v>-0.3</v>
      </c>
      <c r="S318" s="78">
        <v>115.09</v>
      </c>
      <c r="T318" s="78">
        <v>85.6</v>
      </c>
    </row>
    <row r="319" spans="1:20" x14ac:dyDescent="0.3">
      <c r="A319" s="5">
        <v>45546</v>
      </c>
      <c r="B319" s="6" t="s">
        <v>6</v>
      </c>
      <c r="C319" s="7" t="s">
        <v>7</v>
      </c>
      <c r="D319" s="7">
        <v>50</v>
      </c>
      <c r="E319" s="8">
        <v>46</v>
      </c>
      <c r="F319" s="9">
        <f t="shared" si="30"/>
        <v>2300</v>
      </c>
      <c r="K319" t="s">
        <v>333</v>
      </c>
      <c r="L319">
        <v>29.04</v>
      </c>
      <c r="M319" s="78">
        <v>-4.8499999999999996</v>
      </c>
      <c r="N319" s="78">
        <v>-11.84</v>
      </c>
      <c r="O319" s="78">
        <v>0</v>
      </c>
      <c r="P319" s="78">
        <v>-9.76</v>
      </c>
      <c r="Q319" s="78">
        <v>-11.84</v>
      </c>
      <c r="R319" s="78">
        <v>-23.58</v>
      </c>
      <c r="S319" s="78"/>
      <c r="T319" s="78"/>
    </row>
    <row r="320" spans="1:20" x14ac:dyDescent="0.3">
      <c r="A320" s="10">
        <v>45547</v>
      </c>
      <c r="B320" s="11" t="s">
        <v>128</v>
      </c>
      <c r="C320" s="12" t="s">
        <v>7</v>
      </c>
      <c r="D320" s="12">
        <v>55</v>
      </c>
      <c r="E320" s="13">
        <v>26.92</v>
      </c>
      <c r="F320" s="14">
        <f t="shared" si="30"/>
        <v>1480.6000000000001</v>
      </c>
      <c r="K320" t="s">
        <v>334</v>
      </c>
      <c r="L320">
        <v>34.020000000000003</v>
      </c>
      <c r="M320" s="78">
        <v>-2.63</v>
      </c>
      <c r="N320" s="78">
        <v>-3.68</v>
      </c>
      <c r="O320" s="78">
        <v>-5.03</v>
      </c>
      <c r="P320" s="78">
        <v>-28.08</v>
      </c>
      <c r="Q320" s="78">
        <v>-3.68</v>
      </c>
      <c r="R320" s="78">
        <v>-53.26</v>
      </c>
      <c r="S320" s="78"/>
      <c r="T320" s="78"/>
    </row>
    <row r="321" spans="1:20" x14ac:dyDescent="0.3">
      <c r="A321" s="5">
        <v>45547</v>
      </c>
      <c r="B321" s="6" t="s">
        <v>14</v>
      </c>
      <c r="C321" s="12" t="s">
        <v>7</v>
      </c>
      <c r="D321" s="7">
        <v>10</v>
      </c>
      <c r="E321" s="8">
        <v>112</v>
      </c>
      <c r="F321" s="9">
        <f t="shared" si="30"/>
        <v>1120</v>
      </c>
      <c r="K321" t="s">
        <v>335</v>
      </c>
      <c r="L321">
        <v>5.64</v>
      </c>
      <c r="M321" s="78">
        <v>-3.42</v>
      </c>
      <c r="N321" s="78">
        <v>1.26</v>
      </c>
      <c r="O321" s="78">
        <v>2.73</v>
      </c>
      <c r="P321" s="78">
        <v>9.3000000000000007</v>
      </c>
      <c r="Q321" s="78">
        <v>1.26</v>
      </c>
      <c r="R321" s="78">
        <v>-2.08</v>
      </c>
      <c r="S321" s="78"/>
      <c r="T321" s="78"/>
    </row>
    <row r="322" spans="1:20" x14ac:dyDescent="0.3">
      <c r="A322" s="5">
        <v>45547</v>
      </c>
      <c r="B322" s="6" t="s">
        <v>21</v>
      </c>
      <c r="C322" s="7" t="s">
        <v>9</v>
      </c>
      <c r="D322" s="7">
        <v>50</v>
      </c>
      <c r="E322" s="8">
        <v>19.809999999999999</v>
      </c>
      <c r="F322" s="9">
        <f t="shared" si="30"/>
        <v>990.49999999999989</v>
      </c>
      <c r="K322" t="s">
        <v>336</v>
      </c>
      <c r="L322">
        <v>18.22</v>
      </c>
      <c r="M322" s="78">
        <v>-2.57</v>
      </c>
      <c r="N322" s="78">
        <v>-4.1100000000000003</v>
      </c>
      <c r="O322" s="78">
        <v>6.18</v>
      </c>
      <c r="P322" s="78">
        <v>-31.63</v>
      </c>
      <c r="Q322" s="78">
        <v>-4.1100000000000003</v>
      </c>
      <c r="R322" s="78">
        <v>-44.21</v>
      </c>
      <c r="S322" s="78"/>
      <c r="T322" s="78"/>
    </row>
    <row r="323" spans="1:20" x14ac:dyDescent="0.3">
      <c r="A323" s="5">
        <v>45547</v>
      </c>
      <c r="B323" s="6" t="s">
        <v>55</v>
      </c>
      <c r="C323" s="7" t="s">
        <v>9</v>
      </c>
      <c r="D323" s="7">
        <v>300</v>
      </c>
      <c r="E323" s="8">
        <v>10.78</v>
      </c>
      <c r="F323" s="9">
        <f t="shared" si="30"/>
        <v>3234</v>
      </c>
      <c r="K323" t="s">
        <v>337</v>
      </c>
      <c r="L323">
        <v>12.57</v>
      </c>
      <c r="M323" s="78">
        <v>-7.78</v>
      </c>
      <c r="N323" s="78">
        <v>14.27</v>
      </c>
      <c r="O323" s="78">
        <v>41.08</v>
      </c>
      <c r="P323" s="78">
        <v>23.6</v>
      </c>
      <c r="Q323" s="78">
        <v>14.27</v>
      </c>
      <c r="R323" s="78">
        <v>16.39</v>
      </c>
      <c r="S323" s="78">
        <v>501.44</v>
      </c>
      <c r="T323" s="78">
        <v>1108.6500000000001</v>
      </c>
    </row>
    <row r="324" spans="1:20" x14ac:dyDescent="0.3">
      <c r="A324" s="5">
        <v>45547</v>
      </c>
      <c r="B324" s="6" t="s">
        <v>128</v>
      </c>
      <c r="C324" s="7" t="s">
        <v>7</v>
      </c>
      <c r="D324" s="7">
        <v>60</v>
      </c>
      <c r="E324" s="8">
        <v>27.5</v>
      </c>
      <c r="F324" s="9">
        <f t="shared" si="30"/>
        <v>1650</v>
      </c>
      <c r="K324" t="s">
        <v>338</v>
      </c>
      <c r="L324">
        <v>15.03</v>
      </c>
      <c r="M324" s="78">
        <v>-1.7</v>
      </c>
      <c r="N324" s="78">
        <v>-10.54</v>
      </c>
      <c r="O324" s="78">
        <v>-7.56</v>
      </c>
      <c r="P324" s="78">
        <v>-16.82</v>
      </c>
      <c r="Q324" s="78">
        <v>-10.54</v>
      </c>
      <c r="R324" s="78"/>
      <c r="S324" s="78"/>
      <c r="T324" s="78"/>
    </row>
    <row r="325" spans="1:20" x14ac:dyDescent="0.3">
      <c r="A325" s="5">
        <v>45547</v>
      </c>
      <c r="B325" s="6" t="s">
        <v>379</v>
      </c>
      <c r="C325" s="7" t="s">
        <v>7</v>
      </c>
      <c r="D325" s="7">
        <v>30</v>
      </c>
      <c r="E325" s="8">
        <v>53.8</v>
      </c>
      <c r="F325" s="9">
        <f t="shared" ref="F325:F340" si="31">+E325*D325</f>
        <v>1614</v>
      </c>
      <c r="K325" t="s">
        <v>339</v>
      </c>
      <c r="L325">
        <v>40.22</v>
      </c>
      <c r="M325" s="78">
        <v>1.1100000000000001</v>
      </c>
      <c r="N325" s="78">
        <v>-1.08</v>
      </c>
      <c r="O325" s="78">
        <v>5.68</v>
      </c>
      <c r="P325" s="78">
        <v>-12.83</v>
      </c>
      <c r="Q325" s="78">
        <v>-1.08</v>
      </c>
      <c r="R325" s="78">
        <v>-18.98</v>
      </c>
      <c r="S325" s="78">
        <v>433.42</v>
      </c>
      <c r="T325" s="78"/>
    </row>
    <row r="326" spans="1:20" x14ac:dyDescent="0.3">
      <c r="A326" s="5">
        <v>45547</v>
      </c>
      <c r="B326" s="6" t="s">
        <v>15</v>
      </c>
      <c r="C326" s="7" t="s">
        <v>9</v>
      </c>
      <c r="D326" s="7">
        <v>50</v>
      </c>
      <c r="E326" s="8">
        <v>41</v>
      </c>
      <c r="F326" s="9">
        <f t="shared" si="31"/>
        <v>2050</v>
      </c>
      <c r="K326" t="s">
        <v>28</v>
      </c>
      <c r="L326">
        <v>35.86</v>
      </c>
      <c r="M326" s="78">
        <v>-3.13</v>
      </c>
      <c r="N326" s="78">
        <v>-7.05</v>
      </c>
      <c r="O326" s="78">
        <v>-16.68</v>
      </c>
      <c r="P326" s="78">
        <v>-44.31</v>
      </c>
      <c r="Q326" s="78">
        <v>-7.05</v>
      </c>
      <c r="R326" s="78">
        <v>-52.17</v>
      </c>
      <c r="S326" s="78">
        <v>425.81</v>
      </c>
      <c r="T326" s="78"/>
    </row>
    <row r="327" spans="1:20" x14ac:dyDescent="0.3">
      <c r="A327" s="10">
        <v>45548</v>
      </c>
      <c r="B327" s="11" t="s">
        <v>379</v>
      </c>
      <c r="C327" s="12" t="s">
        <v>9</v>
      </c>
      <c r="D327" s="12">
        <v>30</v>
      </c>
      <c r="E327" s="13">
        <v>56</v>
      </c>
      <c r="F327" s="14">
        <f t="shared" si="31"/>
        <v>1680</v>
      </c>
      <c r="K327" t="s">
        <v>340</v>
      </c>
      <c r="L327">
        <v>6352.5</v>
      </c>
      <c r="M327" s="78">
        <v>-1.7</v>
      </c>
      <c r="N327" s="78">
        <v>-5.19</v>
      </c>
      <c r="O327" s="78">
        <v>-8.23</v>
      </c>
      <c r="P327" s="78">
        <v>-16.96</v>
      </c>
      <c r="Q327" s="78">
        <v>-5.19</v>
      </c>
      <c r="R327" s="78">
        <v>-16.91</v>
      </c>
      <c r="S327" s="78">
        <v>546.55999999999995</v>
      </c>
      <c r="T327" s="78">
        <v>2196.64</v>
      </c>
    </row>
    <row r="328" spans="1:20" x14ac:dyDescent="0.3">
      <c r="A328" s="5">
        <v>45548</v>
      </c>
      <c r="B328" s="6" t="s">
        <v>14</v>
      </c>
      <c r="C328" s="7" t="s">
        <v>9</v>
      </c>
      <c r="D328" s="7">
        <v>10</v>
      </c>
      <c r="E328" s="8">
        <v>119</v>
      </c>
      <c r="F328" s="9">
        <f t="shared" si="31"/>
        <v>1190</v>
      </c>
      <c r="K328" t="s">
        <v>341</v>
      </c>
      <c r="L328">
        <v>6.15</v>
      </c>
      <c r="M328" s="78">
        <v>-4.5</v>
      </c>
      <c r="N328" s="78">
        <v>-4.0599999999999996</v>
      </c>
      <c r="O328" s="78">
        <v>13.26</v>
      </c>
      <c r="P328" s="78">
        <v>-26.08</v>
      </c>
      <c r="Q328" s="78">
        <v>-4.0599999999999996</v>
      </c>
      <c r="R328" s="78">
        <v>-26.87</v>
      </c>
      <c r="S328" s="78"/>
      <c r="T328" s="78"/>
    </row>
    <row r="329" spans="1:20" x14ac:dyDescent="0.3">
      <c r="A329" s="5">
        <v>45548</v>
      </c>
      <c r="B329" s="6" t="s">
        <v>128</v>
      </c>
      <c r="C329" s="7" t="s">
        <v>7</v>
      </c>
      <c r="D329" s="7">
        <v>135</v>
      </c>
      <c r="E329" s="8">
        <v>24.24</v>
      </c>
      <c r="F329" s="9">
        <f t="shared" si="31"/>
        <v>3272.3999999999996</v>
      </c>
      <c r="K329" t="s">
        <v>342</v>
      </c>
      <c r="L329">
        <v>68</v>
      </c>
      <c r="M329" s="78">
        <v>-4.83</v>
      </c>
      <c r="N329" s="78">
        <v>-5.03</v>
      </c>
      <c r="O329" s="78">
        <v>-6.27</v>
      </c>
      <c r="P329" s="78">
        <v>-30.58</v>
      </c>
      <c r="Q329" s="78">
        <v>-5.03</v>
      </c>
      <c r="R329" s="78">
        <v>-18.27</v>
      </c>
      <c r="S329" s="78">
        <v>105.19</v>
      </c>
      <c r="T329" s="78">
        <v>411.28</v>
      </c>
    </row>
    <row r="330" spans="1:20" x14ac:dyDescent="0.3">
      <c r="A330" s="10">
        <v>45551</v>
      </c>
      <c r="B330" s="11" t="s">
        <v>128</v>
      </c>
      <c r="C330" s="12" t="s">
        <v>7</v>
      </c>
      <c r="D330" s="12">
        <v>100</v>
      </c>
      <c r="E330" s="13">
        <v>23</v>
      </c>
      <c r="F330" s="14">
        <f t="shared" si="31"/>
        <v>2300</v>
      </c>
      <c r="K330" t="s">
        <v>343</v>
      </c>
      <c r="L330">
        <v>18.059999999999999</v>
      </c>
      <c r="M330" s="78">
        <v>-6.52</v>
      </c>
      <c r="N330" s="78">
        <v>-8.9700000000000006</v>
      </c>
      <c r="O330" s="78">
        <v>3.26</v>
      </c>
      <c r="P330" s="78">
        <v>-16.23</v>
      </c>
      <c r="Q330" s="78">
        <v>-8.9700000000000006</v>
      </c>
      <c r="R330" s="78"/>
      <c r="S330" s="78"/>
      <c r="T330" s="78"/>
    </row>
    <row r="331" spans="1:20" x14ac:dyDescent="0.3">
      <c r="A331" s="5">
        <v>45551</v>
      </c>
      <c r="B331" s="11" t="s">
        <v>128</v>
      </c>
      <c r="C331" s="12" t="s">
        <v>7</v>
      </c>
      <c r="D331" s="7">
        <v>50</v>
      </c>
      <c r="E331" s="8">
        <v>23.2</v>
      </c>
      <c r="F331" s="9">
        <f t="shared" si="31"/>
        <v>1160</v>
      </c>
      <c r="K331" t="s">
        <v>344</v>
      </c>
      <c r="L331">
        <v>69.5</v>
      </c>
      <c r="M331" s="78">
        <v>-5.89</v>
      </c>
      <c r="N331" s="78">
        <v>-6.4</v>
      </c>
      <c r="O331" s="78">
        <v>13.01</v>
      </c>
      <c r="P331" s="78">
        <v>14.03</v>
      </c>
      <c r="Q331" s="78">
        <v>-6.4</v>
      </c>
      <c r="R331" s="78">
        <v>41.26</v>
      </c>
      <c r="S331" s="78">
        <v>201.39</v>
      </c>
      <c r="T331" s="78">
        <v>556.28</v>
      </c>
    </row>
    <row r="332" spans="1:20" x14ac:dyDescent="0.3">
      <c r="A332" s="5">
        <v>45551</v>
      </c>
      <c r="B332" s="6" t="s">
        <v>33</v>
      </c>
      <c r="C332" s="7" t="s">
        <v>9</v>
      </c>
      <c r="D332" s="7">
        <v>50</v>
      </c>
      <c r="E332" s="8">
        <v>32.5</v>
      </c>
      <c r="F332" s="9">
        <f t="shared" si="31"/>
        <v>1625</v>
      </c>
      <c r="K332" t="s">
        <v>345</v>
      </c>
      <c r="L332">
        <v>22.58</v>
      </c>
      <c r="M332" s="78">
        <v>-7.08</v>
      </c>
      <c r="N332" s="78">
        <v>0</v>
      </c>
      <c r="O332" s="78">
        <v>12.23</v>
      </c>
      <c r="P332" s="78">
        <v>-2.59</v>
      </c>
      <c r="Q332" s="78">
        <v>0</v>
      </c>
      <c r="R332" s="78">
        <v>8.77</v>
      </c>
      <c r="S332" s="78">
        <v>314.31</v>
      </c>
      <c r="T332" s="78">
        <v>562.16999999999996</v>
      </c>
    </row>
    <row r="333" spans="1:20" x14ac:dyDescent="0.3">
      <c r="A333" s="5">
        <v>45551</v>
      </c>
      <c r="B333" s="6" t="s">
        <v>33</v>
      </c>
      <c r="C333" s="7" t="s">
        <v>9</v>
      </c>
      <c r="D333" s="7">
        <v>50</v>
      </c>
      <c r="E333" s="8">
        <v>31.38</v>
      </c>
      <c r="F333" s="9">
        <f t="shared" si="31"/>
        <v>1569</v>
      </c>
      <c r="K333" t="s">
        <v>346</v>
      </c>
      <c r="L333">
        <v>35</v>
      </c>
      <c r="M333" s="78">
        <v>18.239999999999998</v>
      </c>
      <c r="N333" s="78">
        <v>19.13</v>
      </c>
      <c r="O333" s="78">
        <v>72.92</v>
      </c>
      <c r="P333" s="78">
        <v>46.57</v>
      </c>
      <c r="Q333" s="78">
        <v>19.13</v>
      </c>
      <c r="R333" s="78">
        <v>58.51</v>
      </c>
      <c r="S333" s="78">
        <v>272.74</v>
      </c>
      <c r="T333" s="78">
        <v>1267.19</v>
      </c>
    </row>
    <row r="334" spans="1:20" x14ac:dyDescent="0.3">
      <c r="A334" s="5">
        <v>45551</v>
      </c>
      <c r="B334" s="6" t="s">
        <v>14</v>
      </c>
      <c r="C334" s="7" t="s">
        <v>9</v>
      </c>
      <c r="D334" s="7">
        <v>10</v>
      </c>
      <c r="E334" s="8">
        <v>129</v>
      </c>
      <c r="F334" s="9">
        <f t="shared" si="31"/>
        <v>1290</v>
      </c>
      <c r="K334" t="s">
        <v>347</v>
      </c>
      <c r="L334">
        <v>24.5</v>
      </c>
      <c r="M334" s="78">
        <v>1.91</v>
      </c>
      <c r="N334" s="78">
        <v>-1.21</v>
      </c>
      <c r="O334" s="78">
        <v>34.1</v>
      </c>
      <c r="P334" s="78">
        <v>12.8</v>
      </c>
      <c r="Q334" s="78">
        <v>-1.21</v>
      </c>
      <c r="R334" s="78">
        <v>12.9</v>
      </c>
      <c r="S334" s="78">
        <v>161.19</v>
      </c>
      <c r="T334" s="78">
        <v>860.78</v>
      </c>
    </row>
    <row r="335" spans="1:20" x14ac:dyDescent="0.3">
      <c r="A335" s="5">
        <v>45551</v>
      </c>
      <c r="B335" s="6" t="s">
        <v>13</v>
      </c>
      <c r="C335" s="7" t="s">
        <v>7</v>
      </c>
      <c r="D335" s="7">
        <v>70</v>
      </c>
      <c r="E335" s="8">
        <v>14.5</v>
      </c>
      <c r="F335" s="9">
        <f t="shared" si="31"/>
        <v>1015</v>
      </c>
      <c r="K335" t="s">
        <v>348</v>
      </c>
      <c r="L335">
        <v>27.3</v>
      </c>
      <c r="M335" s="78">
        <v>1.19</v>
      </c>
      <c r="N335" s="78">
        <v>0.74</v>
      </c>
      <c r="O335" s="78">
        <v>10.71</v>
      </c>
      <c r="P335" s="78">
        <v>-9.7200000000000006</v>
      </c>
      <c r="Q335" s="78">
        <v>0.74</v>
      </c>
      <c r="R335" s="78">
        <v>1.71</v>
      </c>
      <c r="S335" s="78">
        <v>146.38999999999999</v>
      </c>
      <c r="T335" s="78">
        <v>941.98</v>
      </c>
    </row>
    <row r="336" spans="1:20" x14ac:dyDescent="0.3">
      <c r="A336" s="5">
        <v>45551</v>
      </c>
      <c r="B336" s="6" t="s">
        <v>51</v>
      </c>
      <c r="C336" s="7" t="s">
        <v>7</v>
      </c>
      <c r="D336" s="7">
        <v>200</v>
      </c>
      <c r="E336" s="8">
        <v>11.4</v>
      </c>
      <c r="F336" s="9">
        <f t="shared" si="31"/>
        <v>2280</v>
      </c>
      <c r="K336" t="s">
        <v>349</v>
      </c>
      <c r="L336">
        <v>9.5</v>
      </c>
      <c r="M336" s="78">
        <v>4.8600000000000003</v>
      </c>
      <c r="N336" s="78">
        <v>20.41</v>
      </c>
      <c r="O336" s="78">
        <v>59.13</v>
      </c>
      <c r="P336" s="78">
        <v>57.28</v>
      </c>
      <c r="Q336" s="78">
        <v>20.41</v>
      </c>
      <c r="R336" s="78">
        <v>26.84</v>
      </c>
      <c r="S336" s="78">
        <v>660</v>
      </c>
      <c r="T336" s="78">
        <v>1483.33</v>
      </c>
    </row>
    <row r="337" spans="1:20" x14ac:dyDescent="0.3">
      <c r="A337" s="5">
        <v>45551</v>
      </c>
      <c r="B337" s="6" t="s">
        <v>128</v>
      </c>
      <c r="C337" s="7" t="s">
        <v>7</v>
      </c>
      <c r="D337" s="7">
        <v>50</v>
      </c>
      <c r="E337" s="8">
        <v>23</v>
      </c>
      <c r="F337" s="9">
        <f t="shared" si="31"/>
        <v>1150</v>
      </c>
      <c r="K337" t="s">
        <v>350</v>
      </c>
      <c r="L337">
        <v>22.44</v>
      </c>
      <c r="M337" s="78">
        <v>-1.1499999999999999</v>
      </c>
      <c r="N337" s="78">
        <v>-2.1800000000000002</v>
      </c>
      <c r="O337" s="78">
        <v>7.57</v>
      </c>
      <c r="P337" s="78">
        <v>-1.23</v>
      </c>
      <c r="Q337" s="78">
        <v>-2.1800000000000002</v>
      </c>
      <c r="R337" s="78">
        <v>25.93</v>
      </c>
      <c r="S337" s="78">
        <v>220.11</v>
      </c>
      <c r="T337" s="78">
        <v>621.54</v>
      </c>
    </row>
    <row r="338" spans="1:20" x14ac:dyDescent="0.3">
      <c r="A338" s="5">
        <v>45551</v>
      </c>
      <c r="B338" s="6" t="s">
        <v>33</v>
      </c>
      <c r="C338" s="7" t="s">
        <v>9</v>
      </c>
      <c r="D338" s="7">
        <v>50</v>
      </c>
      <c r="E338" s="8">
        <v>32.700000000000003</v>
      </c>
      <c r="F338" s="9">
        <f t="shared" si="31"/>
        <v>1635.0000000000002</v>
      </c>
      <c r="K338" t="s">
        <v>351</v>
      </c>
      <c r="L338">
        <v>7.13</v>
      </c>
      <c r="M338" s="78">
        <v>-2.33</v>
      </c>
      <c r="N338" s="78">
        <v>-10.09</v>
      </c>
      <c r="O338" s="78">
        <v>4.7</v>
      </c>
      <c r="P338" s="78">
        <v>-12.19</v>
      </c>
      <c r="Q338" s="78">
        <v>-10.09</v>
      </c>
      <c r="R338" s="78">
        <v>-12.19</v>
      </c>
      <c r="S338" s="78"/>
      <c r="T338" s="78"/>
    </row>
    <row r="339" spans="1:20" x14ac:dyDescent="0.3">
      <c r="A339" s="5">
        <v>45551</v>
      </c>
      <c r="B339" s="6" t="s">
        <v>379</v>
      </c>
      <c r="C339" s="7" t="s">
        <v>7</v>
      </c>
      <c r="D339" s="7">
        <v>40</v>
      </c>
      <c r="E339" s="8">
        <v>54</v>
      </c>
      <c r="F339" s="9">
        <f t="shared" si="31"/>
        <v>2160</v>
      </c>
      <c r="K339" t="s">
        <v>352</v>
      </c>
      <c r="L339">
        <v>5.8</v>
      </c>
      <c r="M339" s="78">
        <v>-2.19</v>
      </c>
      <c r="N339" s="78">
        <v>0</v>
      </c>
      <c r="O339" s="78">
        <v>-3.49</v>
      </c>
      <c r="P339" s="78">
        <v>-11.85</v>
      </c>
      <c r="Q339" s="78">
        <v>0</v>
      </c>
      <c r="R339" s="78">
        <v>-47.18</v>
      </c>
      <c r="S339" s="78">
        <v>-4.92</v>
      </c>
      <c r="T339" s="78">
        <v>253.66</v>
      </c>
    </row>
    <row r="340" spans="1:20" x14ac:dyDescent="0.3">
      <c r="A340" s="5">
        <v>45551</v>
      </c>
      <c r="B340" s="6" t="s">
        <v>128</v>
      </c>
      <c r="C340" s="7" t="s">
        <v>7</v>
      </c>
      <c r="D340" s="7">
        <v>50</v>
      </c>
      <c r="E340" s="8">
        <v>22.8</v>
      </c>
      <c r="F340" s="9">
        <f t="shared" si="31"/>
        <v>1140</v>
      </c>
      <c r="K340" t="s">
        <v>353</v>
      </c>
      <c r="L340">
        <v>32</v>
      </c>
      <c r="M340" s="78">
        <v>-13.47</v>
      </c>
      <c r="N340" s="78">
        <v>-19.760000000000002</v>
      </c>
      <c r="O340" s="78">
        <v>12.68</v>
      </c>
      <c r="P340" s="78">
        <v>10.27</v>
      </c>
      <c r="Q340" s="78">
        <v>-19.760000000000002</v>
      </c>
      <c r="R340" s="78">
        <v>-11.11</v>
      </c>
      <c r="S340" s="78">
        <v>233.33</v>
      </c>
      <c r="T340" s="78">
        <v>952.63</v>
      </c>
    </row>
    <row r="341" spans="1:20" x14ac:dyDescent="0.3">
      <c r="A341" s="10">
        <v>45552</v>
      </c>
      <c r="B341" s="11" t="s">
        <v>15</v>
      </c>
      <c r="C341" s="12" t="s">
        <v>9</v>
      </c>
      <c r="D341" s="12">
        <v>25</v>
      </c>
      <c r="E341" s="13">
        <v>43.7</v>
      </c>
      <c r="F341" s="14">
        <f t="shared" ref="F341:F353" si="32">+E341*D341</f>
        <v>1092.5</v>
      </c>
      <c r="K341" t="s">
        <v>354</v>
      </c>
      <c r="L341">
        <v>2.14</v>
      </c>
      <c r="M341" s="78">
        <v>-0.93</v>
      </c>
      <c r="N341" s="78">
        <v>-6.55</v>
      </c>
      <c r="O341" s="78">
        <v>-6.96</v>
      </c>
      <c r="P341" s="78">
        <v>-29.84</v>
      </c>
      <c r="Q341" s="78">
        <v>-6.55</v>
      </c>
      <c r="R341" s="78">
        <v>-18.32</v>
      </c>
      <c r="S341" s="78">
        <v>65.89</v>
      </c>
      <c r="T341" s="78"/>
    </row>
    <row r="342" spans="1:20" x14ac:dyDescent="0.3">
      <c r="A342" s="5">
        <v>45552</v>
      </c>
      <c r="B342" s="6" t="s">
        <v>33</v>
      </c>
      <c r="C342" s="7" t="s">
        <v>7</v>
      </c>
      <c r="D342" s="7">
        <v>50</v>
      </c>
      <c r="E342" s="8">
        <v>32</v>
      </c>
      <c r="F342" s="9">
        <f t="shared" si="32"/>
        <v>1600</v>
      </c>
      <c r="K342" t="s">
        <v>355</v>
      </c>
      <c r="L342">
        <v>2850</v>
      </c>
      <c r="M342" s="78">
        <v>4.01</v>
      </c>
      <c r="N342" s="78">
        <v>1.88</v>
      </c>
      <c r="O342" s="78">
        <v>6.44</v>
      </c>
      <c r="P342" s="78">
        <v>-34.479999999999997</v>
      </c>
      <c r="Q342" s="78">
        <v>1.88</v>
      </c>
      <c r="R342" s="78">
        <v>53.27</v>
      </c>
      <c r="S342" s="78">
        <v>1035.46</v>
      </c>
      <c r="T342" s="78">
        <v>11960.94</v>
      </c>
    </row>
    <row r="343" spans="1:20" x14ac:dyDescent="0.3">
      <c r="A343" s="5">
        <v>45552</v>
      </c>
      <c r="B343" s="6" t="s">
        <v>33</v>
      </c>
      <c r="C343" s="7" t="s">
        <v>7</v>
      </c>
      <c r="D343" s="7">
        <v>50</v>
      </c>
      <c r="E343" s="8">
        <v>33</v>
      </c>
      <c r="F343" s="9">
        <f t="shared" si="32"/>
        <v>1650</v>
      </c>
      <c r="K343" t="s">
        <v>356</v>
      </c>
      <c r="L343">
        <v>59</v>
      </c>
      <c r="M343" s="78">
        <v>7.86</v>
      </c>
      <c r="N343" s="78">
        <v>12.38</v>
      </c>
      <c r="O343" s="78">
        <v>3.51</v>
      </c>
      <c r="P343" s="78">
        <v>36.26</v>
      </c>
      <c r="Q343" s="78">
        <v>12.38</v>
      </c>
      <c r="R343" s="78">
        <v>-40.1</v>
      </c>
      <c r="S343" s="78"/>
      <c r="T343" s="78"/>
    </row>
    <row r="344" spans="1:20" x14ac:dyDescent="0.3">
      <c r="A344" s="5">
        <v>45552</v>
      </c>
      <c r="B344" s="6" t="s">
        <v>383</v>
      </c>
      <c r="C344" s="7" t="s">
        <v>9</v>
      </c>
      <c r="D344" s="7">
        <v>750</v>
      </c>
      <c r="E344" s="8">
        <v>2.6</v>
      </c>
      <c r="F344" s="9">
        <f t="shared" si="32"/>
        <v>1950</v>
      </c>
      <c r="K344" t="s">
        <v>357</v>
      </c>
      <c r="L344">
        <v>58.55</v>
      </c>
      <c r="M344" s="78">
        <v>-4.0999999999999996</v>
      </c>
      <c r="N344" s="78">
        <v>-3.22</v>
      </c>
      <c r="O344" s="78">
        <v>2</v>
      </c>
      <c r="P344" s="78">
        <v>-13.52</v>
      </c>
      <c r="Q344" s="78">
        <v>-3.22</v>
      </c>
      <c r="R344" s="78">
        <v>-16.71</v>
      </c>
      <c r="S344" s="78">
        <v>100.65</v>
      </c>
      <c r="T344" s="78"/>
    </row>
    <row r="345" spans="1:20" x14ac:dyDescent="0.3">
      <c r="A345" s="5">
        <v>45552</v>
      </c>
      <c r="B345" s="6" t="s">
        <v>33</v>
      </c>
      <c r="C345" s="7" t="s">
        <v>9</v>
      </c>
      <c r="D345" s="7">
        <v>50</v>
      </c>
      <c r="E345" s="8">
        <v>35</v>
      </c>
      <c r="F345" s="9">
        <f t="shared" si="32"/>
        <v>1750</v>
      </c>
      <c r="K345" t="s">
        <v>358</v>
      </c>
      <c r="L345">
        <v>79.349999999999994</v>
      </c>
      <c r="M345" s="78">
        <v>-2.7</v>
      </c>
      <c r="N345" s="78">
        <v>3.05</v>
      </c>
      <c r="O345" s="78">
        <v>22.27</v>
      </c>
      <c r="P345" s="78">
        <v>-2.46</v>
      </c>
      <c r="Q345" s="78">
        <v>3.05</v>
      </c>
      <c r="R345" s="78">
        <v>26.86</v>
      </c>
      <c r="S345" s="78">
        <v>26.86</v>
      </c>
      <c r="T345" s="78">
        <v>734.38</v>
      </c>
    </row>
    <row r="346" spans="1:20" x14ac:dyDescent="0.3">
      <c r="A346" s="5">
        <v>45552</v>
      </c>
      <c r="B346" s="6" t="s">
        <v>128</v>
      </c>
      <c r="C346" s="7" t="s">
        <v>9</v>
      </c>
      <c r="D346" s="7">
        <v>50</v>
      </c>
      <c r="E346" s="8">
        <v>24</v>
      </c>
      <c r="F346" s="9">
        <f t="shared" si="32"/>
        <v>1200</v>
      </c>
      <c r="K346" t="s">
        <v>359</v>
      </c>
      <c r="L346">
        <v>50.15</v>
      </c>
      <c r="M346" s="78">
        <v>-8.82</v>
      </c>
      <c r="N346" s="78">
        <v>-24.59</v>
      </c>
      <c r="O346" s="78">
        <v>19.399999999999999</v>
      </c>
      <c r="P346" s="78">
        <v>4.4800000000000004</v>
      </c>
      <c r="Q346" s="78">
        <v>-24.59</v>
      </c>
      <c r="R346" s="78">
        <v>21.96</v>
      </c>
      <c r="S346" s="78">
        <v>267.39999999999998</v>
      </c>
      <c r="T346" s="78">
        <v>3177.78</v>
      </c>
    </row>
    <row r="347" spans="1:20" x14ac:dyDescent="0.3">
      <c r="A347" s="5">
        <v>45552</v>
      </c>
      <c r="B347" s="6" t="s">
        <v>13</v>
      </c>
      <c r="C347" s="7" t="s">
        <v>9</v>
      </c>
      <c r="D347" s="7">
        <v>70</v>
      </c>
      <c r="E347" s="8">
        <v>15</v>
      </c>
      <c r="F347" s="9">
        <f t="shared" si="32"/>
        <v>1050</v>
      </c>
      <c r="K347" t="s">
        <v>360</v>
      </c>
      <c r="L347">
        <v>22.18</v>
      </c>
      <c r="M347" s="78">
        <v>-3.06</v>
      </c>
      <c r="N347" s="78">
        <v>7.15</v>
      </c>
      <c r="O347" s="78">
        <v>25.1</v>
      </c>
      <c r="P347" s="78">
        <v>73.150000000000006</v>
      </c>
      <c r="Q347" s="78">
        <v>7.15</v>
      </c>
      <c r="R347" s="78">
        <v>45.63</v>
      </c>
      <c r="S347" s="78">
        <v>1277.6400000000001</v>
      </c>
      <c r="T347" s="78">
        <v>6621.21</v>
      </c>
    </row>
    <row r="348" spans="1:20" x14ac:dyDescent="0.3">
      <c r="A348" s="5">
        <v>45552</v>
      </c>
      <c r="B348" s="6" t="s">
        <v>128</v>
      </c>
      <c r="C348" s="7" t="s">
        <v>7</v>
      </c>
      <c r="D348" s="7">
        <v>50</v>
      </c>
      <c r="E348" s="8">
        <v>23</v>
      </c>
      <c r="F348" s="9">
        <f t="shared" si="32"/>
        <v>1150</v>
      </c>
      <c r="K348" t="s">
        <v>361</v>
      </c>
      <c r="L348">
        <v>5.2</v>
      </c>
      <c r="M348" s="78">
        <v>-6.47</v>
      </c>
      <c r="N348" s="78">
        <v>-24.42</v>
      </c>
      <c r="O348" s="78">
        <v>-38.53</v>
      </c>
      <c r="P348" s="78">
        <v>-13.62</v>
      </c>
      <c r="Q348" s="78">
        <v>-24.42</v>
      </c>
      <c r="R348" s="78">
        <v>-11.11</v>
      </c>
      <c r="S348" s="78">
        <v>-35.24</v>
      </c>
      <c r="T348" s="78"/>
    </row>
    <row r="349" spans="1:20" x14ac:dyDescent="0.3">
      <c r="A349" s="5">
        <v>45552</v>
      </c>
      <c r="B349" s="6" t="s">
        <v>14</v>
      </c>
      <c r="C349" s="7" t="s">
        <v>9</v>
      </c>
      <c r="D349" s="7">
        <v>10</v>
      </c>
      <c r="E349" s="8">
        <v>136.1</v>
      </c>
      <c r="F349" s="9">
        <f t="shared" si="32"/>
        <v>1361</v>
      </c>
      <c r="K349" t="s">
        <v>362</v>
      </c>
      <c r="L349">
        <v>20.420000000000002</v>
      </c>
      <c r="M349" s="78">
        <v>-2.39</v>
      </c>
      <c r="N349" s="78">
        <v>-7.18</v>
      </c>
      <c r="O349" s="78">
        <v>-11.06</v>
      </c>
      <c r="P349" s="78">
        <v>-0.28999999999999998</v>
      </c>
      <c r="Q349" s="78">
        <v>-7.18</v>
      </c>
      <c r="R349" s="78">
        <v>-23.81</v>
      </c>
      <c r="S349" s="78"/>
      <c r="T349" s="78"/>
    </row>
    <row r="350" spans="1:20" x14ac:dyDescent="0.3">
      <c r="A350" s="5">
        <v>45552</v>
      </c>
      <c r="B350" s="6" t="s">
        <v>12</v>
      </c>
      <c r="C350" s="7" t="s">
        <v>9</v>
      </c>
      <c r="D350" s="7">
        <v>10</v>
      </c>
      <c r="E350" s="8">
        <v>80.599999999999994</v>
      </c>
      <c r="F350" s="9">
        <f t="shared" si="32"/>
        <v>806</v>
      </c>
      <c r="K350" t="s">
        <v>363</v>
      </c>
      <c r="L350">
        <v>154</v>
      </c>
      <c r="M350" s="78">
        <v>5.34</v>
      </c>
      <c r="N350" s="78">
        <v>-6.38</v>
      </c>
      <c r="O350" s="78">
        <v>62.36</v>
      </c>
      <c r="P350" s="78">
        <v>99.51</v>
      </c>
      <c r="Q350" s="78">
        <v>-6.38</v>
      </c>
      <c r="R350" s="78">
        <v>153.87</v>
      </c>
      <c r="S350" s="78"/>
      <c r="T350" s="78"/>
    </row>
    <row r="351" spans="1:20" x14ac:dyDescent="0.3">
      <c r="A351" s="5">
        <v>45552</v>
      </c>
      <c r="B351" s="6" t="s">
        <v>23</v>
      </c>
      <c r="C351" s="7" t="s">
        <v>9</v>
      </c>
      <c r="D351" s="7">
        <v>1</v>
      </c>
      <c r="E351" s="8">
        <v>915</v>
      </c>
      <c r="F351" s="9">
        <f t="shared" si="32"/>
        <v>915</v>
      </c>
      <c r="K351" t="s">
        <v>364</v>
      </c>
      <c r="L351">
        <v>3.09</v>
      </c>
      <c r="M351" s="78">
        <v>0.32</v>
      </c>
      <c r="N351" s="78">
        <v>3.34</v>
      </c>
      <c r="O351" s="78">
        <v>0.98</v>
      </c>
      <c r="P351" s="78">
        <v>-16.03</v>
      </c>
      <c r="Q351" s="78">
        <v>3.34</v>
      </c>
      <c r="R351" s="78">
        <v>-18.899999999999999</v>
      </c>
      <c r="S351" s="78">
        <v>347.83</v>
      </c>
      <c r="T351" s="78">
        <v>713.16</v>
      </c>
    </row>
    <row r="352" spans="1:20" x14ac:dyDescent="0.3">
      <c r="A352" s="5">
        <v>45552</v>
      </c>
      <c r="B352" s="6" t="s">
        <v>20</v>
      </c>
      <c r="C352" s="7" t="s">
        <v>9</v>
      </c>
      <c r="D352" s="7">
        <v>50</v>
      </c>
      <c r="E352" s="8">
        <v>17.8</v>
      </c>
      <c r="F352" s="9">
        <f t="shared" si="32"/>
        <v>890</v>
      </c>
      <c r="K352" t="s">
        <v>365</v>
      </c>
      <c r="L352">
        <v>26.14</v>
      </c>
      <c r="M352" s="78">
        <v>-2.61</v>
      </c>
      <c r="N352" s="78">
        <v>-1.73</v>
      </c>
      <c r="O352" s="78">
        <v>8.4600000000000009</v>
      </c>
      <c r="P352" s="78">
        <v>-2.06</v>
      </c>
      <c r="Q352" s="78">
        <v>-1.73</v>
      </c>
      <c r="R352" s="78"/>
      <c r="S352" s="78"/>
      <c r="T352" s="78"/>
    </row>
    <row r="353" spans="1:20" x14ac:dyDescent="0.3">
      <c r="A353" s="5">
        <v>45552</v>
      </c>
      <c r="B353" s="6" t="s">
        <v>498</v>
      </c>
      <c r="C353" s="7" t="s">
        <v>9</v>
      </c>
      <c r="D353" s="7">
        <v>25</v>
      </c>
      <c r="E353" s="8">
        <v>65</v>
      </c>
      <c r="F353" s="9">
        <f t="shared" si="32"/>
        <v>1625</v>
      </c>
      <c r="K353" t="s">
        <v>366</v>
      </c>
      <c r="L353">
        <v>481.5</v>
      </c>
      <c r="M353" s="78">
        <v>1.69</v>
      </c>
      <c r="N353" s="78">
        <v>-3.12</v>
      </c>
      <c r="O353" s="78">
        <v>-3.6</v>
      </c>
      <c r="P353" s="78">
        <v>-25.12</v>
      </c>
      <c r="Q353" s="78">
        <v>-3.12</v>
      </c>
      <c r="R353" s="78">
        <v>36.89</v>
      </c>
      <c r="S353" s="78">
        <v>1409.88</v>
      </c>
      <c r="T353" s="78">
        <v>4516.49</v>
      </c>
    </row>
    <row r="354" spans="1:20" x14ac:dyDescent="0.3">
      <c r="A354" s="10">
        <v>45553</v>
      </c>
      <c r="B354" s="11" t="s">
        <v>32</v>
      </c>
      <c r="C354" s="7" t="s">
        <v>9</v>
      </c>
      <c r="D354" s="12">
        <v>10</v>
      </c>
      <c r="E354" s="13">
        <v>96.5</v>
      </c>
      <c r="F354" s="14">
        <f t="shared" ref="F354:F364" si="33">+E354*D354</f>
        <v>965</v>
      </c>
      <c r="K354" t="s">
        <v>367</v>
      </c>
      <c r="L354">
        <v>21.5</v>
      </c>
      <c r="M354" s="78">
        <v>-1.56</v>
      </c>
      <c r="N354" s="78">
        <v>19.38</v>
      </c>
      <c r="O354" s="78">
        <v>39.61</v>
      </c>
      <c r="P354" s="78">
        <v>35.82</v>
      </c>
      <c r="Q354" s="78">
        <v>19.38</v>
      </c>
      <c r="R354" s="78">
        <v>146.56</v>
      </c>
      <c r="S354" s="78">
        <v>1055.9100000000001</v>
      </c>
      <c r="T354" s="78">
        <v>3483.33</v>
      </c>
    </row>
    <row r="355" spans="1:20" x14ac:dyDescent="0.3">
      <c r="A355" s="5">
        <v>45553</v>
      </c>
      <c r="B355" s="6" t="s">
        <v>319</v>
      </c>
      <c r="C355" s="7" t="s">
        <v>7</v>
      </c>
      <c r="D355" s="7">
        <v>50</v>
      </c>
      <c r="E355" s="8">
        <v>28</v>
      </c>
      <c r="F355" s="9">
        <f t="shared" si="33"/>
        <v>1400</v>
      </c>
      <c r="K355" t="s">
        <v>368</v>
      </c>
      <c r="L355">
        <v>31.88</v>
      </c>
      <c r="M355" s="78">
        <v>-8.18</v>
      </c>
      <c r="N355" s="78">
        <v>2.5099999999999998</v>
      </c>
      <c r="O355" s="78">
        <v>36.24</v>
      </c>
      <c r="P355" s="78">
        <v>16.95</v>
      </c>
      <c r="Q355" s="78">
        <v>2.5099999999999998</v>
      </c>
      <c r="R355" s="78"/>
      <c r="S355" s="78"/>
      <c r="T355" s="78"/>
    </row>
    <row r="356" spans="1:20" x14ac:dyDescent="0.3">
      <c r="A356" s="5">
        <v>45553</v>
      </c>
      <c r="B356" s="6" t="s">
        <v>6</v>
      </c>
      <c r="C356" s="7" t="s">
        <v>7</v>
      </c>
      <c r="D356" s="7">
        <v>50</v>
      </c>
      <c r="E356" s="8">
        <v>44.8</v>
      </c>
      <c r="F356" s="9">
        <f t="shared" si="33"/>
        <v>2240</v>
      </c>
      <c r="K356" t="s">
        <v>369</v>
      </c>
      <c r="L356">
        <v>120.4</v>
      </c>
      <c r="M356" s="78">
        <v>0.33</v>
      </c>
      <c r="N356" s="78">
        <v>11.58</v>
      </c>
      <c r="O356" s="78">
        <v>7.9</v>
      </c>
      <c r="P356" s="78">
        <v>2.0299999999999998</v>
      </c>
      <c r="Q356" s="78">
        <v>11.58</v>
      </c>
      <c r="R356" s="78">
        <v>34.450000000000003</v>
      </c>
      <c r="S356" s="78">
        <v>210.95</v>
      </c>
      <c r="T356" s="78">
        <v>716.82</v>
      </c>
    </row>
    <row r="357" spans="1:20" x14ac:dyDescent="0.3">
      <c r="A357" s="5">
        <v>45553</v>
      </c>
      <c r="B357" s="6" t="s">
        <v>128</v>
      </c>
      <c r="C357" s="7" t="s">
        <v>7</v>
      </c>
      <c r="D357" s="7">
        <v>50</v>
      </c>
      <c r="E357" s="8">
        <v>22</v>
      </c>
      <c r="F357" s="9">
        <f t="shared" si="33"/>
        <v>1100</v>
      </c>
      <c r="K357" t="s">
        <v>370</v>
      </c>
      <c r="L357">
        <v>2.0699999999999998</v>
      </c>
      <c r="M357" s="78">
        <v>-5.48</v>
      </c>
      <c r="N357" s="78">
        <v>-5.91</v>
      </c>
      <c r="O357" s="78">
        <v>2.48</v>
      </c>
      <c r="P357" s="78">
        <v>-29.83</v>
      </c>
      <c r="Q357" s="78">
        <v>-5.91</v>
      </c>
      <c r="R357" s="78">
        <v>-20.38</v>
      </c>
      <c r="S357" s="78">
        <v>158.75</v>
      </c>
      <c r="T357" s="78">
        <v>187.5</v>
      </c>
    </row>
    <row r="358" spans="1:20" x14ac:dyDescent="0.3">
      <c r="A358" s="5">
        <v>45553</v>
      </c>
      <c r="B358" s="6" t="s">
        <v>33</v>
      </c>
      <c r="C358" s="7" t="s">
        <v>7</v>
      </c>
      <c r="D358" s="7">
        <v>100</v>
      </c>
      <c r="E358" s="8">
        <v>31</v>
      </c>
      <c r="F358" s="9">
        <f t="shared" si="33"/>
        <v>3100</v>
      </c>
      <c r="K358" t="s">
        <v>371</v>
      </c>
      <c r="L358">
        <v>84.65</v>
      </c>
      <c r="M358" s="78">
        <v>-10.52</v>
      </c>
      <c r="N358" s="78">
        <v>-10.99</v>
      </c>
      <c r="O358" s="78">
        <v>6.21</v>
      </c>
      <c r="P358" s="78">
        <v>-17.329999999999998</v>
      </c>
      <c r="Q358" s="78">
        <v>-10.99</v>
      </c>
      <c r="R358" s="78">
        <v>17.649999999999999</v>
      </c>
      <c r="S358" s="78">
        <v>359.31</v>
      </c>
      <c r="T358" s="78">
        <v>2187.84</v>
      </c>
    </row>
    <row r="359" spans="1:20" x14ac:dyDescent="0.3">
      <c r="A359" s="5">
        <v>45553</v>
      </c>
      <c r="B359" s="6" t="s">
        <v>28</v>
      </c>
      <c r="C359" s="7" t="s">
        <v>7</v>
      </c>
      <c r="D359" s="7">
        <v>38</v>
      </c>
      <c r="E359" s="8">
        <v>43.8</v>
      </c>
      <c r="F359" s="9">
        <f t="shared" si="33"/>
        <v>1664.3999999999999</v>
      </c>
      <c r="K359" t="s">
        <v>585</v>
      </c>
      <c r="L359">
        <v>106.6</v>
      </c>
      <c r="M359" s="78">
        <v>1.81</v>
      </c>
      <c r="N359" s="78">
        <v>-6.16</v>
      </c>
      <c r="O359" s="78">
        <v>9.9</v>
      </c>
      <c r="P359" s="78">
        <v>-17.239999999999998</v>
      </c>
      <c r="Q359" s="78">
        <v>-6.16</v>
      </c>
      <c r="R359" s="78">
        <v>25.71</v>
      </c>
      <c r="S359" s="78">
        <v>2954.44</v>
      </c>
      <c r="T359" s="78">
        <v>3804.76</v>
      </c>
    </row>
    <row r="360" spans="1:20" x14ac:dyDescent="0.3">
      <c r="A360" s="5">
        <v>45553</v>
      </c>
      <c r="B360" s="6" t="s">
        <v>128</v>
      </c>
      <c r="C360" s="7" t="s">
        <v>9</v>
      </c>
      <c r="D360" s="7">
        <v>50</v>
      </c>
      <c r="E360" s="8">
        <v>23.5</v>
      </c>
      <c r="F360" s="9">
        <f t="shared" si="33"/>
        <v>1175</v>
      </c>
      <c r="K360" t="s">
        <v>595</v>
      </c>
      <c r="L360">
        <v>10930</v>
      </c>
      <c r="M360" s="78">
        <v>3.16</v>
      </c>
      <c r="N360" s="78">
        <v>-3.27</v>
      </c>
      <c r="O360" s="78">
        <v>13.79</v>
      </c>
      <c r="P360" s="78">
        <v>-26.07</v>
      </c>
      <c r="Q360" s="78">
        <v>-3.27</v>
      </c>
      <c r="R360" s="78">
        <v>35.69</v>
      </c>
      <c r="S360" s="78">
        <v>3217.15</v>
      </c>
      <c r="T360" s="78"/>
    </row>
    <row r="361" spans="1:20" x14ac:dyDescent="0.3">
      <c r="A361" s="5">
        <v>45553</v>
      </c>
      <c r="B361" s="6" t="s">
        <v>498</v>
      </c>
      <c r="C361" s="7" t="s">
        <v>9</v>
      </c>
      <c r="D361" s="7">
        <v>25</v>
      </c>
      <c r="E361" s="8">
        <v>71.8</v>
      </c>
      <c r="F361" s="9">
        <f t="shared" si="33"/>
        <v>1795</v>
      </c>
      <c r="K361" t="s">
        <v>372</v>
      </c>
      <c r="L361">
        <v>777</v>
      </c>
      <c r="M361" s="78">
        <v>-1.46</v>
      </c>
      <c r="N361" s="78">
        <v>-9.6999999999999993</v>
      </c>
      <c r="O361" s="78">
        <v>-9.91</v>
      </c>
      <c r="P361" s="78">
        <v>-10.28</v>
      </c>
      <c r="Q361" s="78">
        <v>-9.6999999999999993</v>
      </c>
      <c r="R361" s="78">
        <v>-27.32</v>
      </c>
      <c r="S361" s="78">
        <v>178.89</v>
      </c>
      <c r="T361" s="78">
        <v>713.61</v>
      </c>
    </row>
    <row r="362" spans="1:20" x14ac:dyDescent="0.3">
      <c r="A362" s="5">
        <v>45553</v>
      </c>
      <c r="B362" s="6" t="s">
        <v>6</v>
      </c>
      <c r="C362" s="7" t="s">
        <v>9</v>
      </c>
      <c r="D362" s="7">
        <v>50</v>
      </c>
      <c r="E362" s="8">
        <v>47.74</v>
      </c>
      <c r="F362" s="9">
        <f t="shared" si="33"/>
        <v>2387</v>
      </c>
      <c r="K362" t="s">
        <v>373</v>
      </c>
      <c r="L362">
        <v>109.1</v>
      </c>
      <c r="M362" s="78">
        <v>-1.18</v>
      </c>
      <c r="N362" s="78">
        <v>1.96</v>
      </c>
      <c r="O362" s="78">
        <v>41.69</v>
      </c>
      <c r="P362" s="78">
        <v>23.65</v>
      </c>
      <c r="Q362" s="78">
        <v>1.96</v>
      </c>
      <c r="R362" s="78">
        <v>45.41</v>
      </c>
      <c r="S362" s="78"/>
      <c r="T362" s="78"/>
    </row>
    <row r="363" spans="1:20" x14ac:dyDescent="0.3">
      <c r="A363" s="5">
        <v>45553</v>
      </c>
      <c r="B363" s="11" t="s">
        <v>379</v>
      </c>
      <c r="C363" s="12" t="s">
        <v>9</v>
      </c>
      <c r="D363" s="12">
        <v>39</v>
      </c>
      <c r="E363" s="13">
        <v>56</v>
      </c>
      <c r="F363" s="14">
        <f t="shared" si="33"/>
        <v>2184</v>
      </c>
      <c r="K363" t="s">
        <v>374</v>
      </c>
      <c r="L363">
        <v>23</v>
      </c>
      <c r="M363" s="78">
        <v>-2.29</v>
      </c>
      <c r="N363" s="78">
        <v>19.48</v>
      </c>
      <c r="O363" s="78">
        <v>12.63</v>
      </c>
      <c r="P363" s="78">
        <v>9.52</v>
      </c>
      <c r="Q363" s="78">
        <v>19.48</v>
      </c>
      <c r="R363" s="78">
        <v>72.28</v>
      </c>
      <c r="S363" s="78">
        <v>570.54999999999995</v>
      </c>
      <c r="T363" s="78"/>
    </row>
    <row r="364" spans="1:20" x14ac:dyDescent="0.3">
      <c r="A364" s="10">
        <v>45553</v>
      </c>
      <c r="B364" s="11" t="s">
        <v>55</v>
      </c>
      <c r="C364" s="12" t="s">
        <v>7</v>
      </c>
      <c r="D364" s="12">
        <v>150</v>
      </c>
      <c r="E364" s="13">
        <v>9.5</v>
      </c>
      <c r="F364" s="14">
        <f t="shared" si="33"/>
        <v>1425</v>
      </c>
      <c r="K364" t="s">
        <v>375</v>
      </c>
      <c r="L364">
        <v>21.46</v>
      </c>
      <c r="M364" s="78">
        <v>-1.83</v>
      </c>
      <c r="N364" s="78">
        <v>-7.82</v>
      </c>
      <c r="O364" s="78">
        <v>-10.210000000000001</v>
      </c>
      <c r="P364" s="78">
        <v>-29.87</v>
      </c>
      <c r="Q364" s="78">
        <v>-7.82</v>
      </c>
      <c r="R364" s="78">
        <v>-18.559999999999999</v>
      </c>
      <c r="S364" s="78"/>
      <c r="T364" s="78"/>
    </row>
    <row r="365" spans="1:20" x14ac:dyDescent="0.3">
      <c r="A365" s="10">
        <v>45554</v>
      </c>
      <c r="B365" s="11" t="s">
        <v>26</v>
      </c>
      <c r="C365" s="12" t="s">
        <v>9</v>
      </c>
      <c r="D365" s="12">
        <v>25</v>
      </c>
      <c r="E365" s="13">
        <v>83</v>
      </c>
      <c r="F365" s="14">
        <f t="shared" ref="F365:F377" si="34">+E365*D365</f>
        <v>2075</v>
      </c>
      <c r="K365" t="s">
        <v>376</v>
      </c>
      <c r="L365">
        <v>6.35</v>
      </c>
      <c r="M365" s="78">
        <v>-5.93</v>
      </c>
      <c r="N365" s="78">
        <v>-10.44</v>
      </c>
      <c r="O365" s="78">
        <v>7.08</v>
      </c>
      <c r="P365" s="78">
        <v>-20.43</v>
      </c>
      <c r="Q365" s="78">
        <v>-10.44</v>
      </c>
      <c r="R365" s="78">
        <v>2.25</v>
      </c>
      <c r="S365" s="78">
        <v>114.53</v>
      </c>
      <c r="T365" s="78">
        <v>199.53</v>
      </c>
    </row>
    <row r="366" spans="1:20" x14ac:dyDescent="0.3">
      <c r="A366" s="5">
        <v>45554</v>
      </c>
      <c r="B366" s="6" t="s">
        <v>379</v>
      </c>
      <c r="C366" s="7" t="s">
        <v>7</v>
      </c>
      <c r="D366" s="7">
        <v>39</v>
      </c>
      <c r="E366" s="8">
        <v>54</v>
      </c>
      <c r="F366" s="9">
        <f t="shared" si="34"/>
        <v>2106</v>
      </c>
      <c r="K366" t="s">
        <v>377</v>
      </c>
      <c r="L366">
        <v>8.7200000000000006</v>
      </c>
      <c r="M366" s="78">
        <v>-2.02</v>
      </c>
      <c r="N366" s="78">
        <v>-2.2400000000000002</v>
      </c>
      <c r="O366" s="78">
        <v>1.51</v>
      </c>
      <c r="P366" s="78">
        <v>20.61</v>
      </c>
      <c r="Q366" s="78">
        <v>-2.2400000000000002</v>
      </c>
      <c r="R366" s="78">
        <v>90.39</v>
      </c>
      <c r="S366" s="78">
        <v>152.75</v>
      </c>
      <c r="T366" s="78"/>
    </row>
    <row r="367" spans="1:20" x14ac:dyDescent="0.3">
      <c r="A367" s="5">
        <v>45554</v>
      </c>
      <c r="B367" s="6" t="s">
        <v>27</v>
      </c>
      <c r="C367" s="7" t="s">
        <v>9</v>
      </c>
      <c r="D367" s="7">
        <v>10</v>
      </c>
      <c r="E367" s="8">
        <v>185</v>
      </c>
      <c r="F367" s="9">
        <f t="shared" si="34"/>
        <v>1850</v>
      </c>
      <c r="K367" t="s">
        <v>378</v>
      </c>
      <c r="L367">
        <v>12.11</v>
      </c>
      <c r="M367" s="78">
        <v>-6.63</v>
      </c>
      <c r="N367" s="78">
        <v>-7.27</v>
      </c>
      <c r="O367" s="78">
        <v>-3.43</v>
      </c>
      <c r="P367" s="78">
        <v>-21.52</v>
      </c>
      <c r="Q367" s="78">
        <v>-7.27</v>
      </c>
      <c r="R367" s="78">
        <v>-33.93</v>
      </c>
      <c r="S367" s="78"/>
      <c r="T367" s="78"/>
    </row>
    <row r="368" spans="1:20" x14ac:dyDescent="0.3">
      <c r="A368" s="5">
        <v>45554</v>
      </c>
      <c r="B368" s="6" t="s">
        <v>49</v>
      </c>
      <c r="C368" s="7" t="s">
        <v>9</v>
      </c>
      <c r="D368" s="7">
        <v>50</v>
      </c>
      <c r="E368" s="8">
        <v>34</v>
      </c>
      <c r="F368" s="9">
        <f t="shared" si="34"/>
        <v>1700</v>
      </c>
      <c r="K368" t="s">
        <v>379</v>
      </c>
      <c r="L368">
        <v>57.2</v>
      </c>
      <c r="M368" s="78">
        <v>21.96</v>
      </c>
      <c r="N368" s="78">
        <v>7.02</v>
      </c>
      <c r="O368" s="78">
        <v>-12</v>
      </c>
      <c r="P368" s="78">
        <v>-25.76</v>
      </c>
      <c r="Q368" s="78">
        <v>7.02</v>
      </c>
      <c r="R368" s="78">
        <v>-4.2699999999999996</v>
      </c>
      <c r="S368" s="78">
        <v>1351.78</v>
      </c>
      <c r="T368" s="78">
        <v>3738.93</v>
      </c>
    </row>
    <row r="369" spans="1:20" x14ac:dyDescent="0.3">
      <c r="A369" s="10">
        <v>45555</v>
      </c>
      <c r="B369" s="11" t="s">
        <v>10</v>
      </c>
      <c r="C369" s="12" t="s">
        <v>9</v>
      </c>
      <c r="D369" s="12">
        <v>50</v>
      </c>
      <c r="E369" s="13">
        <v>56.75</v>
      </c>
      <c r="F369" s="14">
        <f t="shared" si="34"/>
        <v>2837.5</v>
      </c>
      <c r="K369" t="s">
        <v>380</v>
      </c>
      <c r="L369">
        <v>3.13</v>
      </c>
      <c r="M369" s="78">
        <v>-4.8600000000000003</v>
      </c>
      <c r="N369" s="78">
        <v>-9.2799999999999994</v>
      </c>
      <c r="O369" s="78">
        <v>-5.15</v>
      </c>
      <c r="P369" s="78">
        <v>-13.54</v>
      </c>
      <c r="Q369" s="78">
        <v>-9.2799999999999994</v>
      </c>
      <c r="R369" s="78">
        <v>-31.81</v>
      </c>
      <c r="S369" s="78">
        <v>160.83000000000001</v>
      </c>
      <c r="T369" s="78">
        <v>311.83999999999997</v>
      </c>
    </row>
    <row r="370" spans="1:20" x14ac:dyDescent="0.3">
      <c r="A370" s="5">
        <v>45555</v>
      </c>
      <c r="B370" s="6" t="s">
        <v>219</v>
      </c>
      <c r="C370" s="7" t="s">
        <v>7</v>
      </c>
      <c r="D370" s="7">
        <v>20</v>
      </c>
      <c r="E370" s="8">
        <v>98</v>
      </c>
      <c r="F370" s="9">
        <f t="shared" si="34"/>
        <v>1960</v>
      </c>
      <c r="K370" t="s">
        <v>381</v>
      </c>
      <c r="L370">
        <v>71.05</v>
      </c>
      <c r="M370" s="78">
        <v>-2.8</v>
      </c>
      <c r="N370" s="78">
        <v>-18.52</v>
      </c>
      <c r="O370" s="78">
        <v>-6.76</v>
      </c>
      <c r="P370" s="78">
        <v>-36.96</v>
      </c>
      <c r="Q370" s="78">
        <v>-18.52</v>
      </c>
      <c r="R370" s="78">
        <v>1.89</v>
      </c>
      <c r="S370" s="78">
        <v>820.34</v>
      </c>
      <c r="T370" s="78">
        <v>996.45</v>
      </c>
    </row>
    <row r="371" spans="1:20" x14ac:dyDescent="0.3">
      <c r="A371" s="5">
        <v>45555</v>
      </c>
      <c r="B371" s="6" t="s">
        <v>219</v>
      </c>
      <c r="C371" s="7" t="s">
        <v>7</v>
      </c>
      <c r="D371" s="7">
        <v>20</v>
      </c>
      <c r="E371" s="8">
        <v>98</v>
      </c>
      <c r="F371" s="9">
        <f t="shared" si="34"/>
        <v>1960</v>
      </c>
      <c r="K371" t="s">
        <v>382</v>
      </c>
      <c r="L371">
        <v>44.36</v>
      </c>
      <c r="M371" s="78">
        <v>-5.34</v>
      </c>
      <c r="N371" s="78">
        <v>-16.14</v>
      </c>
      <c r="O371" s="78">
        <v>-15.34</v>
      </c>
      <c r="P371" s="78">
        <v>28.65</v>
      </c>
      <c r="Q371" s="78">
        <v>-16.14</v>
      </c>
      <c r="R371" s="78">
        <v>39.67</v>
      </c>
      <c r="S371" s="78">
        <v>329.43</v>
      </c>
      <c r="T371" s="78"/>
    </row>
    <row r="372" spans="1:20" x14ac:dyDescent="0.3">
      <c r="A372" s="5">
        <v>45555</v>
      </c>
      <c r="B372" s="6" t="s">
        <v>219</v>
      </c>
      <c r="C372" s="7" t="s">
        <v>9</v>
      </c>
      <c r="D372" s="7">
        <v>20</v>
      </c>
      <c r="E372" s="8">
        <v>100</v>
      </c>
      <c r="F372" s="9">
        <f t="shared" si="34"/>
        <v>2000</v>
      </c>
      <c r="K372" t="s">
        <v>383</v>
      </c>
      <c r="L372">
        <v>2.7</v>
      </c>
      <c r="M372" s="78">
        <v>-9.4</v>
      </c>
      <c r="N372" s="78">
        <v>-11.76</v>
      </c>
      <c r="O372" s="78">
        <v>12.97</v>
      </c>
      <c r="P372" s="78">
        <v>-62.24</v>
      </c>
      <c r="Q372" s="78">
        <v>-11.76</v>
      </c>
      <c r="R372" s="78">
        <v>-43.16</v>
      </c>
      <c r="S372" s="78">
        <v>83.67</v>
      </c>
      <c r="T372" s="78">
        <v>1073.9100000000001</v>
      </c>
    </row>
    <row r="373" spans="1:20" x14ac:dyDescent="0.3">
      <c r="A373" s="5">
        <v>45555</v>
      </c>
      <c r="B373" s="6" t="s">
        <v>151</v>
      </c>
      <c r="C373" s="7" t="s">
        <v>7</v>
      </c>
      <c r="D373" s="7">
        <v>2</v>
      </c>
      <c r="E373" s="8">
        <v>500</v>
      </c>
      <c r="F373" s="9">
        <f t="shared" si="34"/>
        <v>1000</v>
      </c>
      <c r="K373" t="s">
        <v>384</v>
      </c>
      <c r="L373">
        <v>29.04</v>
      </c>
      <c r="M373" s="78">
        <v>-2.48</v>
      </c>
      <c r="N373" s="78">
        <v>-8.74</v>
      </c>
      <c r="O373" s="78">
        <v>-9.48</v>
      </c>
      <c r="P373" s="78">
        <v>-27</v>
      </c>
      <c r="Q373" s="78">
        <v>-8.74</v>
      </c>
      <c r="R373" s="78">
        <v>-36.840000000000003</v>
      </c>
      <c r="S373" s="78"/>
      <c r="T373" s="78"/>
    </row>
    <row r="374" spans="1:20" x14ac:dyDescent="0.3">
      <c r="A374" s="5">
        <v>45555</v>
      </c>
      <c r="B374" s="6" t="s">
        <v>33</v>
      </c>
      <c r="C374" s="7" t="s">
        <v>7</v>
      </c>
      <c r="D374" s="7">
        <v>150</v>
      </c>
      <c r="E374" s="8">
        <v>30</v>
      </c>
      <c r="F374" s="9">
        <f t="shared" si="34"/>
        <v>4500</v>
      </c>
      <c r="K374" t="s">
        <v>385</v>
      </c>
      <c r="L374">
        <v>42.94</v>
      </c>
      <c r="M374" s="78">
        <v>-2.72</v>
      </c>
      <c r="N374" s="78">
        <v>-6.61</v>
      </c>
      <c r="O374" s="78">
        <v>3.47</v>
      </c>
      <c r="P374" s="78">
        <v>-23.87</v>
      </c>
      <c r="Q374" s="78">
        <v>-6.61</v>
      </c>
      <c r="R374" s="78">
        <v>-45.02</v>
      </c>
      <c r="S374" s="78"/>
      <c r="T374" s="78"/>
    </row>
    <row r="375" spans="1:20" x14ac:dyDescent="0.3">
      <c r="A375" s="5">
        <v>45555</v>
      </c>
      <c r="B375" s="6" t="s">
        <v>34</v>
      </c>
      <c r="C375" s="7" t="s">
        <v>7</v>
      </c>
      <c r="D375" s="7">
        <v>60</v>
      </c>
      <c r="E375" s="8">
        <v>41</v>
      </c>
      <c r="F375" s="9">
        <f t="shared" si="34"/>
        <v>2460</v>
      </c>
      <c r="K375" t="s">
        <v>386</v>
      </c>
      <c r="L375">
        <v>9.25</v>
      </c>
      <c r="M375" s="78">
        <v>-1.91</v>
      </c>
      <c r="N375" s="78">
        <v>2.1</v>
      </c>
      <c r="O375" s="78">
        <v>-5.13</v>
      </c>
      <c r="P375" s="78">
        <v>-11.23</v>
      </c>
      <c r="Q375" s="78">
        <v>2.1</v>
      </c>
      <c r="R375" s="78">
        <v>-1.6</v>
      </c>
      <c r="S375" s="78">
        <v>338.39</v>
      </c>
      <c r="T375" s="78">
        <v>312.95</v>
      </c>
    </row>
    <row r="376" spans="1:20" x14ac:dyDescent="0.3">
      <c r="A376" s="5">
        <v>45555</v>
      </c>
      <c r="B376" s="6" t="s">
        <v>14</v>
      </c>
      <c r="C376" s="7" t="s">
        <v>7</v>
      </c>
      <c r="D376" s="7">
        <v>10</v>
      </c>
      <c r="E376" s="8">
        <v>124</v>
      </c>
      <c r="F376" s="9">
        <f t="shared" si="34"/>
        <v>1240</v>
      </c>
      <c r="K376" t="s">
        <v>387</v>
      </c>
      <c r="L376">
        <v>15.39</v>
      </c>
      <c r="M376" s="78">
        <v>-3.51</v>
      </c>
      <c r="N376" s="78">
        <v>21.76</v>
      </c>
      <c r="O376" s="78">
        <v>6.14</v>
      </c>
      <c r="P376" s="78">
        <v>29.11</v>
      </c>
      <c r="Q376" s="78">
        <v>21.76</v>
      </c>
      <c r="R376" s="78">
        <v>-3.27</v>
      </c>
      <c r="S376" s="78">
        <v>379.44</v>
      </c>
      <c r="T376" s="78"/>
    </row>
    <row r="377" spans="1:20" x14ac:dyDescent="0.3">
      <c r="A377" s="5">
        <v>45555</v>
      </c>
      <c r="B377" s="6" t="s">
        <v>28</v>
      </c>
      <c r="C377" s="7" t="s">
        <v>9</v>
      </c>
      <c r="D377" s="7">
        <v>50</v>
      </c>
      <c r="E377" s="8">
        <v>45</v>
      </c>
      <c r="F377" s="9">
        <f t="shared" si="34"/>
        <v>2250</v>
      </c>
      <c r="K377" t="s">
        <v>388</v>
      </c>
      <c r="L377">
        <v>14.17</v>
      </c>
      <c r="M377" s="78">
        <v>-2.41</v>
      </c>
      <c r="N377" s="78">
        <v>-10.15</v>
      </c>
      <c r="O377" s="78">
        <v>0</v>
      </c>
      <c r="P377" s="78">
        <v>-16.05</v>
      </c>
      <c r="Q377" s="78">
        <v>-10.15</v>
      </c>
      <c r="R377" s="78">
        <v>96.53</v>
      </c>
      <c r="S377" s="78">
        <v>547.03</v>
      </c>
      <c r="T377" s="78">
        <v>5804.17</v>
      </c>
    </row>
    <row r="378" spans="1:20" x14ac:dyDescent="0.3">
      <c r="A378" s="10">
        <v>45558</v>
      </c>
      <c r="B378" s="11" t="s">
        <v>128</v>
      </c>
      <c r="C378" s="12" t="s">
        <v>7</v>
      </c>
      <c r="D378" s="12">
        <v>100</v>
      </c>
      <c r="E378" s="13">
        <v>20.7</v>
      </c>
      <c r="F378" s="14">
        <f t="shared" ref="F378:F383" si="35">+E378*D378</f>
        <v>2070</v>
      </c>
      <c r="K378" t="s">
        <v>389</v>
      </c>
      <c r="L378">
        <v>15.29</v>
      </c>
      <c r="M378" s="78">
        <v>-3.84</v>
      </c>
      <c r="N378" s="78">
        <v>7.3</v>
      </c>
      <c r="O378" s="78">
        <v>7.0000000000000007E-2</v>
      </c>
      <c r="P378" s="78">
        <v>46.32</v>
      </c>
      <c r="Q378" s="78">
        <v>7.3</v>
      </c>
      <c r="R378" s="78">
        <v>44.65</v>
      </c>
      <c r="S378" s="78">
        <v>291.05</v>
      </c>
      <c r="T378" s="78">
        <v>1218.0999999999999</v>
      </c>
    </row>
    <row r="379" spans="1:20" x14ac:dyDescent="0.3">
      <c r="A379" s="5">
        <v>45558</v>
      </c>
      <c r="B379" s="6" t="s">
        <v>10</v>
      </c>
      <c r="C379" s="7" t="s">
        <v>9</v>
      </c>
      <c r="D379" s="7">
        <v>30</v>
      </c>
      <c r="E379" s="8">
        <v>60</v>
      </c>
      <c r="F379" s="9">
        <f t="shared" si="35"/>
        <v>1800</v>
      </c>
      <c r="K379" t="s">
        <v>390</v>
      </c>
      <c r="L379">
        <v>3.05</v>
      </c>
      <c r="M379" s="78">
        <v>9.7100000000000009</v>
      </c>
      <c r="N379" s="78">
        <v>18.22</v>
      </c>
      <c r="O379" s="78">
        <v>42.52</v>
      </c>
      <c r="P379" s="78">
        <v>14.66</v>
      </c>
      <c r="Q379" s="78">
        <v>18.22</v>
      </c>
      <c r="R379" s="78">
        <v>20.55</v>
      </c>
      <c r="S379" s="78">
        <v>156.30000000000001</v>
      </c>
      <c r="T379" s="78">
        <v>134.62</v>
      </c>
    </row>
    <row r="380" spans="1:20" x14ac:dyDescent="0.3">
      <c r="A380" s="5">
        <v>45558</v>
      </c>
      <c r="B380" s="6" t="s">
        <v>33</v>
      </c>
      <c r="C380" s="7" t="s">
        <v>9</v>
      </c>
      <c r="D380" s="7">
        <v>50</v>
      </c>
      <c r="E380" s="8">
        <v>31</v>
      </c>
      <c r="F380" s="9">
        <f t="shared" si="35"/>
        <v>1550</v>
      </c>
      <c r="K380" t="s">
        <v>391</v>
      </c>
      <c r="L380">
        <v>16.5</v>
      </c>
      <c r="M380" s="78">
        <v>-1.96</v>
      </c>
      <c r="N380" s="78">
        <v>-3.96</v>
      </c>
      <c r="O380" s="78">
        <v>1.6</v>
      </c>
      <c r="P380" s="78">
        <v>30.13</v>
      </c>
      <c r="Q380" s="78">
        <v>-3.96</v>
      </c>
      <c r="R380" s="78">
        <v>101.71</v>
      </c>
      <c r="S380" s="78">
        <v>700.97</v>
      </c>
      <c r="T380" s="78">
        <v>4242.1099999999997</v>
      </c>
    </row>
    <row r="381" spans="1:20" x14ac:dyDescent="0.3">
      <c r="A381" s="5">
        <v>45558</v>
      </c>
      <c r="B381" s="6" t="s">
        <v>379</v>
      </c>
      <c r="C381" s="7" t="s">
        <v>9</v>
      </c>
      <c r="D381" s="7">
        <v>25</v>
      </c>
      <c r="E381" s="8">
        <v>57</v>
      </c>
      <c r="F381" s="9">
        <f t="shared" si="35"/>
        <v>1425</v>
      </c>
      <c r="K381" t="s">
        <v>392</v>
      </c>
      <c r="L381">
        <v>585</v>
      </c>
      <c r="M381" s="78">
        <v>4.5599999999999996</v>
      </c>
      <c r="N381" s="78">
        <v>6.95</v>
      </c>
      <c r="O381" s="78">
        <v>44.74</v>
      </c>
      <c r="P381" s="78">
        <v>11.61</v>
      </c>
      <c r="Q381" s="78">
        <v>6.95</v>
      </c>
      <c r="R381" s="78">
        <v>46.29</v>
      </c>
      <c r="S381" s="78">
        <v>1386.28</v>
      </c>
      <c r="T381" s="78">
        <v>2307.41</v>
      </c>
    </row>
    <row r="382" spans="1:20" x14ac:dyDescent="0.3">
      <c r="A382" s="10">
        <v>45558</v>
      </c>
      <c r="B382" s="11" t="s">
        <v>151</v>
      </c>
      <c r="C382" s="12" t="s">
        <v>7</v>
      </c>
      <c r="D382" s="12">
        <v>2</v>
      </c>
      <c r="E382" s="13">
        <v>480</v>
      </c>
      <c r="F382" s="14">
        <f t="shared" si="35"/>
        <v>960</v>
      </c>
      <c r="K382" t="s">
        <v>393</v>
      </c>
      <c r="L382">
        <v>4.5599999999999996</v>
      </c>
      <c r="M382" s="78">
        <v>-6.17</v>
      </c>
      <c r="N382" s="78">
        <v>-7.51</v>
      </c>
      <c r="O382" s="78">
        <v>-0.87</v>
      </c>
      <c r="P382" s="78">
        <v>-3.59</v>
      </c>
      <c r="Q382" s="78">
        <v>-7.51</v>
      </c>
      <c r="R382" s="78">
        <v>-25</v>
      </c>
      <c r="S382" s="78"/>
      <c r="T382" s="78"/>
    </row>
    <row r="383" spans="1:20" x14ac:dyDescent="0.3">
      <c r="A383" s="5">
        <v>45558</v>
      </c>
      <c r="B383" s="6" t="s">
        <v>379</v>
      </c>
      <c r="C383" s="7" t="s">
        <v>7</v>
      </c>
      <c r="D383" s="7">
        <v>50</v>
      </c>
      <c r="E383" s="8">
        <v>55</v>
      </c>
      <c r="F383" s="9">
        <f t="shared" si="35"/>
        <v>2750</v>
      </c>
      <c r="K383" t="s">
        <v>394</v>
      </c>
      <c r="L383">
        <v>37.159999999999997</v>
      </c>
      <c r="M383" s="78">
        <v>-6.4</v>
      </c>
      <c r="N383" s="78">
        <v>-11.82</v>
      </c>
      <c r="O383" s="78">
        <v>-11.78</v>
      </c>
      <c r="P383" s="78">
        <v>-37.49</v>
      </c>
      <c r="Q383" s="78">
        <v>-11.82</v>
      </c>
      <c r="R383" s="78">
        <v>-15.16</v>
      </c>
      <c r="S383" s="78">
        <v>1181.3800000000001</v>
      </c>
      <c r="T383" s="78"/>
    </row>
    <row r="384" spans="1:20" x14ac:dyDescent="0.3">
      <c r="A384" s="10">
        <v>45559</v>
      </c>
      <c r="B384" s="11" t="s">
        <v>33</v>
      </c>
      <c r="C384" s="12" t="s">
        <v>7</v>
      </c>
      <c r="D384" s="12">
        <v>50</v>
      </c>
      <c r="E384" s="13">
        <v>29.3</v>
      </c>
      <c r="F384" s="14">
        <f t="shared" ref="F384:F394" si="36">+E384*D384</f>
        <v>1465</v>
      </c>
      <c r="K384" t="s">
        <v>395</v>
      </c>
      <c r="L384">
        <v>22.7</v>
      </c>
      <c r="M384" s="78">
        <v>-9.7100000000000009</v>
      </c>
      <c r="N384" s="78">
        <v>11.82</v>
      </c>
      <c r="O384" s="78">
        <v>0.35</v>
      </c>
      <c r="P384" s="78">
        <v>-24.33</v>
      </c>
      <c r="Q384" s="78">
        <v>11.82</v>
      </c>
      <c r="R384" s="78">
        <v>46.93</v>
      </c>
      <c r="S384" s="78">
        <v>682.76</v>
      </c>
      <c r="T384" s="78">
        <v>2061.9</v>
      </c>
    </row>
    <row r="385" spans="1:20" x14ac:dyDescent="0.3">
      <c r="A385" s="5">
        <v>45559</v>
      </c>
      <c r="B385" s="6" t="s">
        <v>379</v>
      </c>
      <c r="C385" s="7" t="s">
        <v>7</v>
      </c>
      <c r="D385" s="7">
        <v>50</v>
      </c>
      <c r="E385" s="8">
        <v>55</v>
      </c>
      <c r="F385" s="9">
        <f t="shared" si="36"/>
        <v>2750</v>
      </c>
      <c r="K385" t="s">
        <v>396</v>
      </c>
      <c r="L385">
        <v>10.119999999999999</v>
      </c>
      <c r="M385" s="78">
        <v>-3.53</v>
      </c>
      <c r="N385" s="78">
        <v>3.37</v>
      </c>
      <c r="O385" s="78">
        <v>-12.46</v>
      </c>
      <c r="P385" s="78">
        <v>-16.09</v>
      </c>
      <c r="Q385" s="78">
        <v>3.37</v>
      </c>
      <c r="R385" s="78">
        <v>0.2</v>
      </c>
      <c r="S385" s="78">
        <v>341.92</v>
      </c>
      <c r="T385" s="78">
        <v>597.92999999999995</v>
      </c>
    </row>
    <row r="386" spans="1:20" x14ac:dyDescent="0.3">
      <c r="A386" s="5">
        <v>45559</v>
      </c>
      <c r="B386" s="6" t="s">
        <v>10</v>
      </c>
      <c r="C386" s="7" t="s">
        <v>7</v>
      </c>
      <c r="D386" s="7">
        <v>30</v>
      </c>
      <c r="E386" s="8">
        <v>56</v>
      </c>
      <c r="F386" s="9">
        <f t="shared" si="36"/>
        <v>1680</v>
      </c>
      <c r="K386" t="s">
        <v>397</v>
      </c>
      <c r="L386">
        <v>6.27</v>
      </c>
      <c r="M386" s="78">
        <v>-6</v>
      </c>
      <c r="N386" s="78">
        <v>7.55</v>
      </c>
      <c r="O386" s="78">
        <v>11.96</v>
      </c>
      <c r="P386" s="78">
        <v>-6</v>
      </c>
      <c r="Q386" s="78">
        <v>7.55</v>
      </c>
      <c r="R386" s="78">
        <v>8.2899999999999991</v>
      </c>
      <c r="S386" s="78">
        <v>77.62</v>
      </c>
      <c r="T386" s="78">
        <v>105.57</v>
      </c>
    </row>
    <row r="387" spans="1:20" x14ac:dyDescent="0.3">
      <c r="A387" s="5">
        <v>45559</v>
      </c>
      <c r="B387" s="6" t="s">
        <v>40</v>
      </c>
      <c r="C387" s="7" t="s">
        <v>9</v>
      </c>
      <c r="D387" s="7">
        <v>100</v>
      </c>
      <c r="E387" s="8">
        <v>10.73</v>
      </c>
      <c r="F387" s="9">
        <f t="shared" si="36"/>
        <v>1073</v>
      </c>
      <c r="K387" t="s">
        <v>398</v>
      </c>
      <c r="L387">
        <v>4.1399999999999997</v>
      </c>
      <c r="M387" s="78">
        <v>-5.26</v>
      </c>
      <c r="N387" s="78">
        <v>-1.9</v>
      </c>
      <c r="O387" s="78">
        <v>-0.24</v>
      </c>
      <c r="P387" s="78">
        <v>-20.23</v>
      </c>
      <c r="Q387" s="78">
        <v>-1.9</v>
      </c>
      <c r="R387" s="78">
        <v>-15.68</v>
      </c>
      <c r="S387" s="78">
        <v>157.13999999999999</v>
      </c>
      <c r="T387" s="78"/>
    </row>
    <row r="388" spans="1:20" x14ac:dyDescent="0.3">
      <c r="A388" s="5">
        <v>45559</v>
      </c>
      <c r="B388" s="6" t="s">
        <v>128</v>
      </c>
      <c r="C388" s="7" t="s">
        <v>7</v>
      </c>
      <c r="D388" s="7">
        <v>100</v>
      </c>
      <c r="E388" s="8">
        <v>20</v>
      </c>
      <c r="F388" s="9">
        <f t="shared" si="36"/>
        <v>2000</v>
      </c>
      <c r="K388" t="s">
        <v>399</v>
      </c>
      <c r="L388">
        <v>9.43</v>
      </c>
      <c r="M388" s="78">
        <v>-6.73</v>
      </c>
      <c r="N388" s="78">
        <v>-9.33</v>
      </c>
      <c r="O388" s="78">
        <v>-10.02</v>
      </c>
      <c r="P388" s="78">
        <v>-30.51</v>
      </c>
      <c r="Q388" s="78">
        <v>-9.33</v>
      </c>
      <c r="R388" s="78"/>
      <c r="S388" s="78"/>
      <c r="T388" s="78"/>
    </row>
    <row r="389" spans="1:20" x14ac:dyDescent="0.3">
      <c r="A389" s="5">
        <v>45559</v>
      </c>
      <c r="B389" s="6" t="s">
        <v>31</v>
      </c>
      <c r="C389" s="7" t="s">
        <v>7</v>
      </c>
      <c r="D389" s="7">
        <v>75</v>
      </c>
      <c r="E389" s="8">
        <v>31</v>
      </c>
      <c r="F389" s="9">
        <f t="shared" si="36"/>
        <v>2325</v>
      </c>
      <c r="K389" t="s">
        <v>749</v>
      </c>
      <c r="L389">
        <v>35.200000000000003</v>
      </c>
      <c r="M389" s="78"/>
      <c r="N389" s="78"/>
      <c r="O389" s="78"/>
      <c r="P389" s="78"/>
      <c r="Q389" s="78"/>
      <c r="R389" s="78"/>
      <c r="S389" s="78"/>
      <c r="T389" s="78"/>
    </row>
    <row r="390" spans="1:20" x14ac:dyDescent="0.3">
      <c r="A390" s="5">
        <v>45559</v>
      </c>
      <c r="B390" s="6" t="s">
        <v>128</v>
      </c>
      <c r="C390" s="7" t="s">
        <v>9</v>
      </c>
      <c r="D390" s="7">
        <v>50</v>
      </c>
      <c r="E390" s="8">
        <v>21</v>
      </c>
      <c r="F390" s="9">
        <f t="shared" si="36"/>
        <v>1050</v>
      </c>
      <c r="K390" t="s">
        <v>400</v>
      </c>
      <c r="L390">
        <v>392</v>
      </c>
      <c r="M390" s="78">
        <v>-0.32</v>
      </c>
      <c r="N390" s="78">
        <v>2.62</v>
      </c>
      <c r="O390" s="78">
        <v>12.97</v>
      </c>
      <c r="P390" s="78">
        <v>-2.15</v>
      </c>
      <c r="Q390" s="78">
        <v>2.62</v>
      </c>
      <c r="R390" s="78">
        <v>120.77</v>
      </c>
      <c r="S390" s="78">
        <v>955.18</v>
      </c>
      <c r="T390" s="78">
        <v>1965.33</v>
      </c>
    </row>
    <row r="391" spans="1:20" x14ac:dyDescent="0.3">
      <c r="A391" s="5">
        <v>45559</v>
      </c>
      <c r="B391" s="6" t="s">
        <v>128</v>
      </c>
      <c r="C391" s="7" t="s">
        <v>9</v>
      </c>
      <c r="D391" s="7">
        <v>50</v>
      </c>
      <c r="E391" s="8">
        <v>22</v>
      </c>
      <c r="F391" s="9">
        <f t="shared" si="36"/>
        <v>1100</v>
      </c>
      <c r="K391" t="s">
        <v>401</v>
      </c>
      <c r="L391">
        <v>1.48</v>
      </c>
      <c r="M391" s="78">
        <v>-10.84</v>
      </c>
      <c r="N391" s="78">
        <v>-15.43</v>
      </c>
      <c r="O391" s="78">
        <v>10.45</v>
      </c>
      <c r="P391" s="78">
        <v>-22.92</v>
      </c>
      <c r="Q391" s="78">
        <v>-15.43</v>
      </c>
      <c r="R391" s="78">
        <v>-15.91</v>
      </c>
      <c r="S391" s="78">
        <v>428.57</v>
      </c>
      <c r="T391" s="78">
        <v>214.89</v>
      </c>
    </row>
    <row r="392" spans="1:20" x14ac:dyDescent="0.3">
      <c r="A392" s="5">
        <v>45559</v>
      </c>
      <c r="B392" s="6" t="s">
        <v>14</v>
      </c>
      <c r="C392" s="7" t="s">
        <v>9</v>
      </c>
      <c r="D392" s="7">
        <v>10</v>
      </c>
      <c r="E392" s="8">
        <v>135</v>
      </c>
      <c r="F392" s="9">
        <f t="shared" si="36"/>
        <v>1350</v>
      </c>
      <c r="K392" t="s">
        <v>402</v>
      </c>
      <c r="L392">
        <v>1506</v>
      </c>
      <c r="M392" s="78">
        <v>-2.21</v>
      </c>
      <c r="N392" s="78">
        <v>-3.09</v>
      </c>
      <c r="O392" s="78">
        <v>-5.87</v>
      </c>
      <c r="P392" s="78">
        <v>-17.07</v>
      </c>
      <c r="Q392" s="78">
        <v>-3.09</v>
      </c>
      <c r="R392" s="78">
        <v>-31.61</v>
      </c>
      <c r="S392" s="78">
        <v>551.38</v>
      </c>
      <c r="T392" s="78">
        <v>2942.42</v>
      </c>
    </row>
    <row r="393" spans="1:20" x14ac:dyDescent="0.3">
      <c r="A393" s="5">
        <v>45559</v>
      </c>
      <c r="B393" s="6" t="s">
        <v>379</v>
      </c>
      <c r="C393" s="7" t="s">
        <v>9</v>
      </c>
      <c r="D393" s="7">
        <v>25</v>
      </c>
      <c r="E393" s="8">
        <v>57</v>
      </c>
      <c r="F393" s="9">
        <f t="shared" si="36"/>
        <v>1425</v>
      </c>
      <c r="K393" t="s">
        <v>403</v>
      </c>
      <c r="L393">
        <v>15.13</v>
      </c>
      <c r="M393" s="78">
        <v>-1.37</v>
      </c>
      <c r="N393" s="78">
        <v>6.62</v>
      </c>
      <c r="O393" s="78">
        <v>7.92</v>
      </c>
      <c r="P393" s="78">
        <v>20.65</v>
      </c>
      <c r="Q393" s="78">
        <v>6.62</v>
      </c>
      <c r="R393" s="78">
        <v>7.15</v>
      </c>
      <c r="S393" s="78">
        <v>299.20999999999998</v>
      </c>
      <c r="T393" s="78">
        <v>696.32</v>
      </c>
    </row>
    <row r="394" spans="1:20" x14ac:dyDescent="0.3">
      <c r="A394" s="5">
        <v>45559</v>
      </c>
      <c r="B394" s="6" t="s">
        <v>55</v>
      </c>
      <c r="C394" s="7" t="s">
        <v>9</v>
      </c>
      <c r="D394" s="7">
        <v>150</v>
      </c>
      <c r="E394" s="8">
        <v>10</v>
      </c>
      <c r="F394" s="9">
        <f t="shared" si="36"/>
        <v>1500</v>
      </c>
      <c r="K394" t="s">
        <v>404</v>
      </c>
      <c r="L394">
        <v>20.66</v>
      </c>
      <c r="M394" s="78">
        <v>-8.1</v>
      </c>
      <c r="N394" s="78">
        <v>0</v>
      </c>
      <c r="O394" s="78">
        <v>16.46</v>
      </c>
      <c r="P394" s="78">
        <v>18.53</v>
      </c>
      <c r="Q394" s="78">
        <v>0</v>
      </c>
      <c r="R394" s="78">
        <v>-13.23</v>
      </c>
      <c r="S394" s="78">
        <v>235.93</v>
      </c>
      <c r="T394" s="78"/>
    </row>
    <row r="395" spans="1:20" x14ac:dyDescent="0.3">
      <c r="A395" s="10">
        <v>45560</v>
      </c>
      <c r="B395" s="11" t="s">
        <v>33</v>
      </c>
      <c r="C395" s="12" t="s">
        <v>7</v>
      </c>
      <c r="D395" s="12">
        <v>50</v>
      </c>
      <c r="E395" s="13">
        <v>29</v>
      </c>
      <c r="F395" s="14">
        <f t="shared" ref="F395:F406" si="37">+E395*D395</f>
        <v>1450</v>
      </c>
      <c r="K395" t="s">
        <v>405</v>
      </c>
      <c r="L395">
        <v>7</v>
      </c>
      <c r="M395" s="78">
        <v>-3.98</v>
      </c>
      <c r="N395" s="78">
        <v>-5.15</v>
      </c>
      <c r="O395" s="78">
        <v>-1.69</v>
      </c>
      <c r="P395" s="78">
        <v>-40.270000000000003</v>
      </c>
      <c r="Q395" s="78">
        <v>-5.15</v>
      </c>
      <c r="R395" s="78">
        <v>7.53</v>
      </c>
      <c r="S395" s="78">
        <v>379.45</v>
      </c>
      <c r="T395" s="78">
        <v>102.31</v>
      </c>
    </row>
    <row r="396" spans="1:20" x14ac:dyDescent="0.3">
      <c r="A396" s="5">
        <v>45560</v>
      </c>
      <c r="B396" s="6" t="s">
        <v>53</v>
      </c>
      <c r="C396" s="7" t="s">
        <v>7</v>
      </c>
      <c r="D396" s="7">
        <v>400</v>
      </c>
      <c r="E396" s="8">
        <v>6.9</v>
      </c>
      <c r="F396" s="9">
        <f t="shared" si="37"/>
        <v>2760</v>
      </c>
      <c r="K396" t="s">
        <v>406</v>
      </c>
      <c r="L396">
        <v>6.07</v>
      </c>
      <c r="M396" s="78">
        <v>-2.25</v>
      </c>
      <c r="N396" s="78">
        <v>-7.75</v>
      </c>
      <c r="O396" s="78">
        <v>-9</v>
      </c>
      <c r="P396" s="78">
        <v>-21.27</v>
      </c>
      <c r="Q396" s="78">
        <v>-7.75</v>
      </c>
      <c r="R396" s="78">
        <v>-34.020000000000003</v>
      </c>
      <c r="S396" s="78">
        <v>68.14</v>
      </c>
      <c r="T396" s="78">
        <v>277.02</v>
      </c>
    </row>
    <row r="397" spans="1:20" x14ac:dyDescent="0.3">
      <c r="A397" s="5">
        <v>45560</v>
      </c>
      <c r="B397" s="6" t="s">
        <v>379</v>
      </c>
      <c r="C397" s="7" t="s">
        <v>7</v>
      </c>
      <c r="D397" s="7">
        <v>100</v>
      </c>
      <c r="E397" s="8">
        <v>52.5</v>
      </c>
      <c r="F397" s="9">
        <f t="shared" si="37"/>
        <v>5250</v>
      </c>
      <c r="K397" t="s">
        <v>407</v>
      </c>
      <c r="L397">
        <v>78.599999999999994</v>
      </c>
      <c r="M397" s="78">
        <v>-11.69</v>
      </c>
      <c r="N397" s="78">
        <v>3.69</v>
      </c>
      <c r="O397" s="78">
        <v>48.02</v>
      </c>
      <c r="P397" s="78">
        <v>70.72</v>
      </c>
      <c r="Q397" s="78">
        <v>3.69</v>
      </c>
      <c r="R397" s="78">
        <v>60.8</v>
      </c>
      <c r="S397" s="78">
        <v>663.85</v>
      </c>
      <c r="T397" s="78">
        <v>2030.08</v>
      </c>
    </row>
    <row r="398" spans="1:20" x14ac:dyDescent="0.3">
      <c r="A398" s="10">
        <v>45560</v>
      </c>
      <c r="B398" s="11" t="s">
        <v>89</v>
      </c>
      <c r="C398" s="12" t="s">
        <v>7</v>
      </c>
      <c r="D398" s="12">
        <v>200</v>
      </c>
      <c r="E398" s="13">
        <v>6.5</v>
      </c>
      <c r="F398" s="14">
        <f t="shared" si="37"/>
        <v>1300</v>
      </c>
      <c r="K398" t="s">
        <v>408</v>
      </c>
      <c r="L398">
        <v>62.85</v>
      </c>
      <c r="M398" s="78">
        <v>-5.7</v>
      </c>
      <c r="N398" s="78">
        <v>-4.7699999999999996</v>
      </c>
      <c r="O398" s="78">
        <v>-14.08</v>
      </c>
      <c r="P398" s="78">
        <v>-7.57</v>
      </c>
      <c r="Q398" s="78">
        <v>-4.7699999999999996</v>
      </c>
      <c r="R398" s="78">
        <v>14.69</v>
      </c>
      <c r="S398" s="78">
        <v>247.62</v>
      </c>
      <c r="T398" s="78">
        <v>323.8</v>
      </c>
    </row>
    <row r="399" spans="1:20" x14ac:dyDescent="0.3">
      <c r="A399" s="10">
        <v>45560</v>
      </c>
      <c r="B399" s="11" t="s">
        <v>128</v>
      </c>
      <c r="C399" s="12" t="s">
        <v>7</v>
      </c>
      <c r="D399" s="12">
        <v>200</v>
      </c>
      <c r="E399" s="13">
        <v>19.5</v>
      </c>
      <c r="F399" s="14">
        <f t="shared" si="37"/>
        <v>3900</v>
      </c>
      <c r="K399" t="s">
        <v>409</v>
      </c>
      <c r="L399">
        <v>16.850000000000001</v>
      </c>
      <c r="M399" s="78">
        <v>-2.09</v>
      </c>
      <c r="N399" s="78">
        <v>-5.6</v>
      </c>
      <c r="O399" s="78">
        <v>-12.38</v>
      </c>
      <c r="P399" s="78">
        <v>2</v>
      </c>
      <c r="Q399" s="78">
        <v>-5.6</v>
      </c>
      <c r="R399" s="78">
        <v>-11.08</v>
      </c>
      <c r="S399" s="78">
        <v>39.950000000000003</v>
      </c>
      <c r="T399" s="78">
        <v>185.59</v>
      </c>
    </row>
    <row r="400" spans="1:20" x14ac:dyDescent="0.3">
      <c r="A400" s="10">
        <v>45560</v>
      </c>
      <c r="B400" s="11" t="s">
        <v>128</v>
      </c>
      <c r="C400" s="12" t="s">
        <v>7</v>
      </c>
      <c r="D400" s="12">
        <v>100</v>
      </c>
      <c r="E400" s="13">
        <v>19.899999999999999</v>
      </c>
      <c r="F400" s="14">
        <f t="shared" si="37"/>
        <v>1989.9999999999998</v>
      </c>
      <c r="K400" t="s">
        <v>410</v>
      </c>
      <c r="L400">
        <v>5.67</v>
      </c>
      <c r="M400" s="78">
        <v>-6.44</v>
      </c>
      <c r="N400" s="78">
        <v>-8.99</v>
      </c>
      <c r="O400" s="78">
        <v>27.7</v>
      </c>
      <c r="P400" s="78">
        <v>0.89</v>
      </c>
      <c r="Q400" s="78">
        <v>-8.99</v>
      </c>
      <c r="R400" s="78">
        <v>-3.57</v>
      </c>
      <c r="S400" s="78">
        <v>461.39</v>
      </c>
      <c r="T400" s="78"/>
    </row>
    <row r="401" spans="1:20" x14ac:dyDescent="0.3">
      <c r="A401" s="10">
        <v>45560</v>
      </c>
      <c r="B401" s="11" t="s">
        <v>379</v>
      </c>
      <c r="C401" s="12" t="s">
        <v>7</v>
      </c>
      <c r="D401" s="12">
        <v>50</v>
      </c>
      <c r="E401" s="13">
        <v>53.8</v>
      </c>
      <c r="F401" s="14">
        <f t="shared" si="37"/>
        <v>2690</v>
      </c>
      <c r="K401" t="s">
        <v>411</v>
      </c>
      <c r="L401">
        <v>44.3</v>
      </c>
      <c r="M401" s="78">
        <v>-2.34</v>
      </c>
      <c r="N401" s="78">
        <v>1.89</v>
      </c>
      <c r="O401" s="78">
        <v>-4.71</v>
      </c>
      <c r="P401" s="78">
        <v>15.39</v>
      </c>
      <c r="Q401" s="78">
        <v>1.89</v>
      </c>
      <c r="R401" s="78">
        <v>45.39</v>
      </c>
      <c r="S401" s="78">
        <v>449.63</v>
      </c>
      <c r="T401" s="78">
        <v>1528.68</v>
      </c>
    </row>
    <row r="402" spans="1:20" x14ac:dyDescent="0.3">
      <c r="A402" s="10">
        <v>45560</v>
      </c>
      <c r="B402" s="11" t="s">
        <v>33</v>
      </c>
      <c r="C402" s="12" t="s">
        <v>7</v>
      </c>
      <c r="D402" s="12">
        <v>50</v>
      </c>
      <c r="E402" s="13">
        <v>29</v>
      </c>
      <c r="F402" s="14">
        <f t="shared" si="37"/>
        <v>1450</v>
      </c>
      <c r="K402" t="s">
        <v>412</v>
      </c>
      <c r="L402">
        <v>7.43</v>
      </c>
      <c r="M402" s="78">
        <v>-5.71</v>
      </c>
      <c r="N402" s="78">
        <v>1.23</v>
      </c>
      <c r="O402" s="78">
        <v>5.09</v>
      </c>
      <c r="P402" s="78">
        <v>-16.52</v>
      </c>
      <c r="Q402" s="78">
        <v>1.23</v>
      </c>
      <c r="R402" s="78">
        <v>6.6</v>
      </c>
      <c r="S402" s="78">
        <v>30.58</v>
      </c>
      <c r="T402" s="78">
        <v>72.39</v>
      </c>
    </row>
    <row r="403" spans="1:20" x14ac:dyDescent="0.3">
      <c r="A403" s="10">
        <v>45560</v>
      </c>
      <c r="B403" s="11" t="s">
        <v>33</v>
      </c>
      <c r="C403" s="12" t="s">
        <v>9</v>
      </c>
      <c r="D403" s="12">
        <v>50</v>
      </c>
      <c r="E403" s="13">
        <v>29.3</v>
      </c>
      <c r="F403" s="14">
        <f t="shared" si="37"/>
        <v>1465</v>
      </c>
      <c r="K403" t="s">
        <v>413</v>
      </c>
      <c r="L403">
        <v>276.75</v>
      </c>
      <c r="M403" s="78">
        <v>-6.27</v>
      </c>
      <c r="N403" s="78">
        <v>-6.86</v>
      </c>
      <c r="O403" s="78">
        <v>-2.38</v>
      </c>
      <c r="P403" s="78">
        <v>-8.4600000000000009</v>
      </c>
      <c r="Q403" s="78">
        <v>-6.86</v>
      </c>
      <c r="R403" s="78">
        <v>-10.54</v>
      </c>
      <c r="S403" s="78">
        <v>537.23</v>
      </c>
      <c r="T403" s="78">
        <v>2816.23</v>
      </c>
    </row>
    <row r="404" spans="1:20" x14ac:dyDescent="0.3">
      <c r="A404" s="5">
        <v>45560</v>
      </c>
      <c r="B404" s="6" t="s">
        <v>40</v>
      </c>
      <c r="C404" s="12" t="s">
        <v>9</v>
      </c>
      <c r="D404" s="7">
        <v>100</v>
      </c>
      <c r="E404" s="8">
        <v>11.6</v>
      </c>
      <c r="F404" s="9">
        <f t="shared" si="37"/>
        <v>1160</v>
      </c>
      <c r="K404" t="s">
        <v>414</v>
      </c>
      <c r="L404">
        <v>63.3</v>
      </c>
      <c r="M404" s="78">
        <v>18.54</v>
      </c>
      <c r="N404" s="78">
        <v>12.04</v>
      </c>
      <c r="O404" s="78">
        <v>71.819999999999993</v>
      </c>
      <c r="P404" s="78">
        <v>73.900000000000006</v>
      </c>
      <c r="Q404" s="78">
        <v>12.04</v>
      </c>
      <c r="R404" s="78"/>
      <c r="S404" s="78"/>
      <c r="T404" s="78"/>
    </row>
    <row r="405" spans="1:20" x14ac:dyDescent="0.3">
      <c r="A405" s="10">
        <v>45560</v>
      </c>
      <c r="B405" s="11" t="s">
        <v>33</v>
      </c>
      <c r="C405" s="12" t="s">
        <v>9</v>
      </c>
      <c r="D405" s="7">
        <v>50</v>
      </c>
      <c r="E405" s="13">
        <v>30</v>
      </c>
      <c r="F405" s="14">
        <f t="shared" si="37"/>
        <v>1500</v>
      </c>
      <c r="K405" t="s">
        <v>415</v>
      </c>
      <c r="L405">
        <v>32.119999999999997</v>
      </c>
      <c r="M405" s="78">
        <v>-5.08</v>
      </c>
      <c r="N405" s="78">
        <v>3.28</v>
      </c>
      <c r="O405" s="78">
        <v>6.78</v>
      </c>
      <c r="P405" s="78">
        <v>-20.3</v>
      </c>
      <c r="Q405" s="78">
        <v>3.28</v>
      </c>
      <c r="R405" s="78">
        <v>-23.71</v>
      </c>
      <c r="S405" s="78"/>
      <c r="T405" s="78"/>
    </row>
    <row r="406" spans="1:20" x14ac:dyDescent="0.3">
      <c r="A406" s="10">
        <v>45560</v>
      </c>
      <c r="B406" s="11" t="s">
        <v>31</v>
      </c>
      <c r="C406" s="12" t="s">
        <v>9</v>
      </c>
      <c r="D406" s="12">
        <v>25</v>
      </c>
      <c r="E406" s="13">
        <v>31.5</v>
      </c>
      <c r="F406" s="14">
        <f t="shared" si="37"/>
        <v>787.5</v>
      </c>
      <c r="K406" t="s">
        <v>416</v>
      </c>
      <c r="L406">
        <v>5.65</v>
      </c>
      <c r="M406" s="78">
        <v>-5.36</v>
      </c>
      <c r="N406" s="78">
        <v>-6.3</v>
      </c>
      <c r="O406" s="78">
        <v>-2.92</v>
      </c>
      <c r="P406" s="78">
        <v>-30.07</v>
      </c>
      <c r="Q406" s="78">
        <v>-6.3</v>
      </c>
      <c r="R406" s="78">
        <v>-39.049999999999997</v>
      </c>
      <c r="S406" s="78">
        <v>318.52</v>
      </c>
      <c r="T406" s="78">
        <v>255.35</v>
      </c>
    </row>
    <row r="407" spans="1:20" x14ac:dyDescent="0.3">
      <c r="A407" s="10">
        <v>45561</v>
      </c>
      <c r="B407" s="11" t="s">
        <v>40</v>
      </c>
      <c r="C407" s="12" t="s">
        <v>9</v>
      </c>
      <c r="D407" s="12">
        <v>100</v>
      </c>
      <c r="E407" s="13">
        <v>12.32</v>
      </c>
      <c r="F407" s="14">
        <f t="shared" ref="F407:F419" si="38">+E407*D407</f>
        <v>1232</v>
      </c>
      <c r="K407" t="s">
        <v>417</v>
      </c>
      <c r="L407">
        <v>127.1</v>
      </c>
      <c r="M407" s="78">
        <v>2.5</v>
      </c>
      <c r="N407" s="78">
        <v>-5.01</v>
      </c>
      <c r="O407" s="78">
        <v>53.5</v>
      </c>
      <c r="P407" s="78">
        <v>6.81</v>
      </c>
      <c r="Q407" s="78">
        <v>-5.01</v>
      </c>
      <c r="R407" s="78"/>
      <c r="S407" s="78"/>
      <c r="T407" s="78"/>
    </row>
    <row r="408" spans="1:20" x14ac:dyDescent="0.3">
      <c r="A408" s="5">
        <v>45561</v>
      </c>
      <c r="B408" s="6" t="s">
        <v>220</v>
      </c>
      <c r="C408" s="7" t="s">
        <v>9</v>
      </c>
      <c r="D408" s="7">
        <v>50</v>
      </c>
      <c r="E408" s="8">
        <v>52</v>
      </c>
      <c r="F408" s="9">
        <f t="shared" si="38"/>
        <v>2600</v>
      </c>
      <c r="K408" t="s">
        <v>418</v>
      </c>
      <c r="L408">
        <v>39.799999999999997</v>
      </c>
      <c r="M408" s="78">
        <v>-8.2100000000000009</v>
      </c>
      <c r="N408" s="78">
        <v>-4.5599999999999996</v>
      </c>
      <c r="O408" s="78">
        <v>8.39</v>
      </c>
      <c r="P408" s="78">
        <v>-2.21</v>
      </c>
      <c r="Q408" s="78">
        <v>-4.5599999999999996</v>
      </c>
      <c r="R408" s="78">
        <v>-37.08</v>
      </c>
      <c r="S408" s="78"/>
      <c r="T408" s="78"/>
    </row>
    <row r="409" spans="1:20" x14ac:dyDescent="0.3">
      <c r="A409" s="5">
        <v>45561</v>
      </c>
      <c r="B409" s="6" t="s">
        <v>151</v>
      </c>
      <c r="C409" s="7" t="s">
        <v>9</v>
      </c>
      <c r="D409" s="7">
        <v>2</v>
      </c>
      <c r="E409" s="8">
        <v>500</v>
      </c>
      <c r="F409" s="9">
        <f t="shared" si="38"/>
        <v>1000</v>
      </c>
      <c r="K409" t="s">
        <v>29</v>
      </c>
      <c r="L409">
        <v>107.2</v>
      </c>
      <c r="M409" s="78">
        <v>-5.72</v>
      </c>
      <c r="N409" s="78">
        <v>1.04</v>
      </c>
      <c r="O409" s="78">
        <v>5.3</v>
      </c>
      <c r="P409" s="78">
        <v>-29.84</v>
      </c>
      <c r="Q409" s="78">
        <v>1.04</v>
      </c>
      <c r="R409" s="78">
        <v>-52.1</v>
      </c>
      <c r="S409" s="78"/>
      <c r="T409" s="78"/>
    </row>
    <row r="410" spans="1:20" x14ac:dyDescent="0.3">
      <c r="A410" s="5">
        <v>45561</v>
      </c>
      <c r="B410" s="6" t="s">
        <v>128</v>
      </c>
      <c r="C410" s="7" t="s">
        <v>9</v>
      </c>
      <c r="D410" s="7">
        <v>100</v>
      </c>
      <c r="E410" s="8">
        <v>20</v>
      </c>
      <c r="F410" s="9">
        <f t="shared" si="38"/>
        <v>2000</v>
      </c>
      <c r="K410" t="s">
        <v>419</v>
      </c>
      <c r="L410">
        <v>64.599999999999994</v>
      </c>
      <c r="M410" s="78">
        <v>-6.1</v>
      </c>
      <c r="N410" s="78">
        <v>-18.64</v>
      </c>
      <c r="O410" s="78">
        <v>-22.5</v>
      </c>
      <c r="P410" s="78">
        <v>-41.11</v>
      </c>
      <c r="Q410" s="78">
        <v>-18.64</v>
      </c>
      <c r="R410" s="78"/>
      <c r="S410" s="78"/>
      <c r="T410" s="78"/>
    </row>
    <row r="411" spans="1:20" x14ac:dyDescent="0.3">
      <c r="A411" s="5">
        <v>45561</v>
      </c>
      <c r="B411" s="6" t="s">
        <v>151</v>
      </c>
      <c r="C411" s="7" t="s">
        <v>7</v>
      </c>
      <c r="D411" s="7">
        <v>2</v>
      </c>
      <c r="E411" s="8">
        <v>475</v>
      </c>
      <c r="F411" s="9">
        <f t="shared" si="38"/>
        <v>950</v>
      </c>
      <c r="K411" t="s">
        <v>420</v>
      </c>
      <c r="L411">
        <v>8.75</v>
      </c>
      <c r="M411" s="78">
        <v>-3.31</v>
      </c>
      <c r="N411" s="78">
        <v>-4.79</v>
      </c>
      <c r="O411" s="78">
        <v>-3.63</v>
      </c>
      <c r="P411" s="78">
        <v>-21.94</v>
      </c>
      <c r="Q411" s="78">
        <v>-4.79</v>
      </c>
      <c r="R411" s="78">
        <v>-43.51</v>
      </c>
      <c r="S411" s="78">
        <v>-55.56</v>
      </c>
      <c r="T411" s="78"/>
    </row>
    <row r="412" spans="1:20" x14ac:dyDescent="0.3">
      <c r="A412" s="5">
        <v>45561</v>
      </c>
      <c r="B412" s="6" t="s">
        <v>220</v>
      </c>
      <c r="C412" s="7" t="s">
        <v>7</v>
      </c>
      <c r="D412" s="7">
        <v>50</v>
      </c>
      <c r="E412" s="8">
        <v>51</v>
      </c>
      <c r="F412" s="9">
        <f t="shared" si="38"/>
        <v>2550</v>
      </c>
      <c r="K412" t="s">
        <v>30</v>
      </c>
      <c r="L412">
        <v>84.9</v>
      </c>
      <c r="M412" s="78">
        <v>-4.7699999999999996</v>
      </c>
      <c r="N412" s="78">
        <v>-1.1599999999999999</v>
      </c>
      <c r="O412" s="78">
        <v>31.22</v>
      </c>
      <c r="P412" s="78">
        <v>15.35</v>
      </c>
      <c r="Q412" s="78">
        <v>-1.1599999999999999</v>
      </c>
      <c r="R412" s="78">
        <v>21.29</v>
      </c>
      <c r="S412" s="78">
        <v>1143.05</v>
      </c>
      <c r="T412" s="78">
        <v>2311.9299999999998</v>
      </c>
    </row>
    <row r="413" spans="1:20" x14ac:dyDescent="0.3">
      <c r="A413" s="5">
        <v>45561</v>
      </c>
      <c r="B413" s="6" t="s">
        <v>498</v>
      </c>
      <c r="C413" s="7" t="s">
        <v>7</v>
      </c>
      <c r="D413" s="7">
        <v>20</v>
      </c>
      <c r="E413" s="8">
        <v>69</v>
      </c>
      <c r="F413" s="9">
        <f t="shared" si="38"/>
        <v>1380</v>
      </c>
      <c r="K413" t="s">
        <v>421</v>
      </c>
      <c r="L413">
        <v>188</v>
      </c>
      <c r="M413" s="78">
        <v>-0.57999999999999996</v>
      </c>
      <c r="N413" s="78">
        <v>-2.89</v>
      </c>
      <c r="O413" s="78">
        <v>-8.25</v>
      </c>
      <c r="P413" s="78">
        <v>-14.55</v>
      </c>
      <c r="Q413" s="78">
        <v>-2.89</v>
      </c>
      <c r="R413" s="78">
        <v>12.1</v>
      </c>
      <c r="S413" s="78">
        <v>422.22</v>
      </c>
      <c r="T413" s="78">
        <v>3293.5</v>
      </c>
    </row>
    <row r="414" spans="1:20" x14ac:dyDescent="0.3">
      <c r="A414" s="5">
        <v>45561</v>
      </c>
      <c r="B414" s="6" t="s">
        <v>379</v>
      </c>
      <c r="C414" s="7" t="s">
        <v>7</v>
      </c>
      <c r="D414" s="7">
        <v>100</v>
      </c>
      <c r="E414" s="8">
        <v>50</v>
      </c>
      <c r="F414" s="9">
        <f t="shared" si="38"/>
        <v>5000</v>
      </c>
      <c r="K414" t="s">
        <v>422</v>
      </c>
      <c r="L414">
        <v>9.2100000000000009</v>
      </c>
      <c r="M414" s="78">
        <v>-8.6300000000000008</v>
      </c>
      <c r="N414" s="78">
        <v>-10.93</v>
      </c>
      <c r="O414" s="78">
        <v>12.45</v>
      </c>
      <c r="P414" s="78">
        <v>-23.19</v>
      </c>
      <c r="Q414" s="78">
        <v>-10.93</v>
      </c>
      <c r="R414" s="78">
        <v>-16.579999999999998</v>
      </c>
      <c r="S414" s="78">
        <v>587.30999999999995</v>
      </c>
      <c r="T414" s="78">
        <v>2970</v>
      </c>
    </row>
    <row r="415" spans="1:20" x14ac:dyDescent="0.3">
      <c r="A415" s="5">
        <v>45561</v>
      </c>
      <c r="B415" s="6" t="s">
        <v>6</v>
      </c>
      <c r="C415" s="7" t="s">
        <v>7</v>
      </c>
      <c r="D415" s="7">
        <v>100</v>
      </c>
      <c r="E415" s="8">
        <v>42</v>
      </c>
      <c r="F415" s="9">
        <f t="shared" si="38"/>
        <v>4200</v>
      </c>
      <c r="K415" t="s">
        <v>423</v>
      </c>
      <c r="L415">
        <v>10.3</v>
      </c>
      <c r="M415" s="78">
        <v>2.59</v>
      </c>
      <c r="N415" s="78">
        <v>29.23</v>
      </c>
      <c r="O415" s="78">
        <v>41.87</v>
      </c>
      <c r="P415" s="78">
        <v>51.92</v>
      </c>
      <c r="Q415" s="78">
        <v>29.23</v>
      </c>
      <c r="R415" s="78">
        <v>46.1</v>
      </c>
      <c r="S415" s="78">
        <v>568.83000000000004</v>
      </c>
      <c r="T415" s="78">
        <v>744.26</v>
      </c>
    </row>
    <row r="416" spans="1:20" x14ac:dyDescent="0.3">
      <c r="A416" s="5">
        <v>45561</v>
      </c>
      <c r="B416" s="6" t="s">
        <v>20</v>
      </c>
      <c r="C416" s="7" t="s">
        <v>7</v>
      </c>
      <c r="D416" s="7">
        <v>150</v>
      </c>
      <c r="E416" s="8">
        <v>16.399999999999999</v>
      </c>
      <c r="F416" s="9">
        <f t="shared" si="38"/>
        <v>2460</v>
      </c>
      <c r="K416" t="s">
        <v>424</v>
      </c>
      <c r="L416">
        <v>411.75</v>
      </c>
      <c r="M416" s="78">
        <v>-0.96</v>
      </c>
      <c r="N416" s="78">
        <v>-15.02</v>
      </c>
      <c r="O416" s="78">
        <v>-0.78</v>
      </c>
      <c r="P416" s="78">
        <v>-32.56</v>
      </c>
      <c r="Q416" s="78">
        <v>-15.02</v>
      </c>
      <c r="R416" s="78">
        <v>-14.28</v>
      </c>
      <c r="S416" s="78">
        <v>475.07</v>
      </c>
      <c r="T416" s="78">
        <v>1425.57</v>
      </c>
    </row>
    <row r="417" spans="1:20" x14ac:dyDescent="0.3">
      <c r="A417" s="5">
        <v>45561</v>
      </c>
      <c r="B417" s="6" t="s">
        <v>379</v>
      </c>
      <c r="C417" s="7" t="s">
        <v>7</v>
      </c>
      <c r="D417" s="7">
        <v>50</v>
      </c>
      <c r="E417" s="8">
        <v>51.2</v>
      </c>
      <c r="F417" s="9">
        <f t="shared" si="38"/>
        <v>2560</v>
      </c>
      <c r="K417" t="s">
        <v>425</v>
      </c>
      <c r="L417">
        <v>371.25</v>
      </c>
      <c r="M417" s="78">
        <v>2.91</v>
      </c>
      <c r="N417" s="78">
        <v>-11.61</v>
      </c>
      <c r="O417" s="78">
        <v>-15.62</v>
      </c>
      <c r="P417" s="78">
        <v>23.75</v>
      </c>
      <c r="Q417" s="78">
        <v>-11.61</v>
      </c>
      <c r="R417" s="78">
        <v>14.41</v>
      </c>
      <c r="S417" s="78">
        <v>961.32</v>
      </c>
      <c r="T417" s="78">
        <v>12527.55</v>
      </c>
    </row>
    <row r="418" spans="1:20" x14ac:dyDescent="0.3">
      <c r="A418" s="5">
        <v>45561</v>
      </c>
      <c r="B418" s="6" t="s">
        <v>128</v>
      </c>
      <c r="C418" s="7" t="s">
        <v>7</v>
      </c>
      <c r="D418" s="7">
        <v>100</v>
      </c>
      <c r="E418" s="8">
        <v>19.3</v>
      </c>
      <c r="F418" s="9">
        <f t="shared" si="38"/>
        <v>1930</v>
      </c>
      <c r="K418" t="s">
        <v>426</v>
      </c>
      <c r="L418">
        <v>24.26</v>
      </c>
      <c r="M418" s="78">
        <v>-8.11</v>
      </c>
      <c r="N418" s="78">
        <v>1.08</v>
      </c>
      <c r="O418" s="78">
        <v>65.150000000000006</v>
      </c>
      <c r="P418" s="78">
        <v>19.39</v>
      </c>
      <c r="Q418" s="78">
        <v>1.08</v>
      </c>
      <c r="R418" s="78">
        <v>49.94</v>
      </c>
      <c r="S418" s="78">
        <v>945.69</v>
      </c>
      <c r="T418" s="78">
        <v>1632.86</v>
      </c>
    </row>
    <row r="419" spans="1:20" x14ac:dyDescent="0.3">
      <c r="A419" s="5">
        <v>45561</v>
      </c>
      <c r="B419" s="6" t="s">
        <v>51</v>
      </c>
      <c r="C419" s="7" t="s">
        <v>9</v>
      </c>
      <c r="D419" s="7">
        <v>100</v>
      </c>
      <c r="E419" s="8">
        <v>11.49</v>
      </c>
      <c r="F419" s="9">
        <f t="shared" si="38"/>
        <v>1149</v>
      </c>
      <c r="K419" t="s">
        <v>427</v>
      </c>
      <c r="L419">
        <v>24.78</v>
      </c>
      <c r="M419" s="78">
        <v>-5.78</v>
      </c>
      <c r="N419" s="78">
        <v>-4.32</v>
      </c>
      <c r="O419" s="78">
        <v>-7.19</v>
      </c>
      <c r="P419" s="78">
        <v>-26.9</v>
      </c>
      <c r="Q419" s="78">
        <v>-4.32</v>
      </c>
      <c r="R419" s="78">
        <v>-14.55</v>
      </c>
      <c r="S419" s="78">
        <v>272.07</v>
      </c>
      <c r="T419" s="78">
        <v>950</v>
      </c>
    </row>
    <row r="420" spans="1:20" x14ac:dyDescent="0.3">
      <c r="A420" s="5">
        <v>45562</v>
      </c>
      <c r="B420" s="6" t="s">
        <v>13</v>
      </c>
      <c r="C420" s="7" t="s">
        <v>9</v>
      </c>
      <c r="D420" s="7">
        <v>100</v>
      </c>
      <c r="E420" s="8">
        <v>15.2</v>
      </c>
      <c r="F420" s="9">
        <f t="shared" ref="F420:F452" si="39">+E420*D420</f>
        <v>1520</v>
      </c>
      <c r="K420" t="s">
        <v>428</v>
      </c>
      <c r="L420">
        <v>8.26</v>
      </c>
      <c r="M420" s="78">
        <v>-6.56</v>
      </c>
      <c r="N420" s="78">
        <v>-6.98</v>
      </c>
      <c r="O420" s="78">
        <v>7.97</v>
      </c>
      <c r="P420" s="78">
        <v>-17.73</v>
      </c>
      <c r="Q420" s="78">
        <v>-6.98</v>
      </c>
      <c r="R420" s="78">
        <v>-11.56</v>
      </c>
      <c r="S420" s="78">
        <v>310.95</v>
      </c>
      <c r="T420" s="78">
        <v>409.88</v>
      </c>
    </row>
    <row r="421" spans="1:20" x14ac:dyDescent="0.3">
      <c r="A421" s="5">
        <v>45562</v>
      </c>
      <c r="B421" s="6" t="s">
        <v>13</v>
      </c>
      <c r="C421" s="7" t="s">
        <v>7</v>
      </c>
      <c r="D421" s="7">
        <v>100</v>
      </c>
      <c r="E421" s="8">
        <v>14.94</v>
      </c>
      <c r="F421" s="9">
        <f t="shared" si="39"/>
        <v>1494</v>
      </c>
      <c r="K421" t="s">
        <v>429</v>
      </c>
      <c r="L421">
        <v>33.340000000000003</v>
      </c>
      <c r="M421" s="78">
        <v>-3.36</v>
      </c>
      <c r="N421" s="78">
        <v>-6.3</v>
      </c>
      <c r="O421" s="78">
        <v>-12.31</v>
      </c>
      <c r="P421" s="78">
        <v>-23.43</v>
      </c>
      <c r="Q421" s="78">
        <v>-6.3</v>
      </c>
      <c r="R421" s="78">
        <v>-24.09</v>
      </c>
      <c r="S421" s="78">
        <v>117.2</v>
      </c>
      <c r="T421" s="78"/>
    </row>
    <row r="422" spans="1:20" x14ac:dyDescent="0.3">
      <c r="A422" s="5">
        <v>45562</v>
      </c>
      <c r="B422" s="6" t="s">
        <v>379</v>
      </c>
      <c r="C422" s="7" t="s">
        <v>9</v>
      </c>
      <c r="D422" s="7">
        <v>25</v>
      </c>
      <c r="E422" s="8">
        <v>47</v>
      </c>
      <c r="F422" s="9">
        <f t="shared" si="39"/>
        <v>1175</v>
      </c>
      <c r="K422" t="s">
        <v>586</v>
      </c>
      <c r="L422">
        <v>90.3</v>
      </c>
      <c r="M422" s="78">
        <v>-0.88</v>
      </c>
      <c r="N422" s="78">
        <v>1.4</v>
      </c>
      <c r="O422" s="78">
        <v>15.7</v>
      </c>
      <c r="P422" s="78"/>
      <c r="Q422" s="78">
        <v>1.4</v>
      </c>
      <c r="R422" s="78"/>
      <c r="S422" s="78"/>
      <c r="T422" s="78"/>
    </row>
    <row r="423" spans="1:20" x14ac:dyDescent="0.3">
      <c r="A423" s="5">
        <v>45562</v>
      </c>
      <c r="B423" s="6" t="s">
        <v>379</v>
      </c>
      <c r="C423" s="7" t="s">
        <v>9</v>
      </c>
      <c r="D423" s="7">
        <v>25</v>
      </c>
      <c r="E423" s="8">
        <v>46.5</v>
      </c>
      <c r="F423" s="9">
        <f t="shared" si="39"/>
        <v>1162.5</v>
      </c>
      <c r="K423" t="s">
        <v>430</v>
      </c>
      <c r="L423">
        <v>5.39</v>
      </c>
      <c r="M423" s="78">
        <v>-5.77</v>
      </c>
      <c r="N423" s="78">
        <v>-3.58</v>
      </c>
      <c r="O423" s="78">
        <v>8.89</v>
      </c>
      <c r="P423" s="78">
        <v>-1.64</v>
      </c>
      <c r="Q423" s="78">
        <v>-3.58</v>
      </c>
      <c r="R423" s="78">
        <v>-8.8000000000000007</v>
      </c>
      <c r="S423" s="78">
        <v>194.54</v>
      </c>
      <c r="T423" s="78">
        <v>186.7</v>
      </c>
    </row>
    <row r="424" spans="1:20" x14ac:dyDescent="0.3">
      <c r="A424" s="5">
        <v>45562</v>
      </c>
      <c r="B424" s="6" t="s">
        <v>379</v>
      </c>
      <c r="C424" s="7" t="s">
        <v>9</v>
      </c>
      <c r="D424" s="7">
        <v>25</v>
      </c>
      <c r="E424" s="8">
        <v>46</v>
      </c>
      <c r="F424" s="9">
        <f t="shared" si="39"/>
        <v>1150</v>
      </c>
      <c r="K424" t="s">
        <v>431</v>
      </c>
      <c r="L424">
        <v>11.83</v>
      </c>
      <c r="M424" s="78">
        <v>-4.9000000000000004</v>
      </c>
      <c r="N424" s="78">
        <v>-15.44</v>
      </c>
      <c r="O424" s="78">
        <v>27.2</v>
      </c>
      <c r="P424" s="78">
        <v>6.77</v>
      </c>
      <c r="Q424" s="78">
        <v>-15.44</v>
      </c>
      <c r="R424" s="78">
        <v>31.88</v>
      </c>
      <c r="S424" s="78">
        <v>568.36</v>
      </c>
      <c r="T424" s="78">
        <v>1244.32</v>
      </c>
    </row>
    <row r="425" spans="1:20" x14ac:dyDescent="0.3">
      <c r="A425" s="5">
        <v>45562</v>
      </c>
      <c r="B425" s="6" t="s">
        <v>379</v>
      </c>
      <c r="C425" s="7" t="s">
        <v>9</v>
      </c>
      <c r="D425" s="7">
        <v>25</v>
      </c>
      <c r="E425" s="8">
        <v>45.5</v>
      </c>
      <c r="F425" s="9">
        <f t="shared" si="39"/>
        <v>1137.5</v>
      </c>
      <c r="K425" t="s">
        <v>31</v>
      </c>
      <c r="L425">
        <v>9.5</v>
      </c>
      <c r="M425" s="78">
        <v>-1.76</v>
      </c>
      <c r="N425" s="78">
        <v>7.34</v>
      </c>
      <c r="O425" s="78">
        <v>18.010000000000002</v>
      </c>
      <c r="P425" s="78">
        <v>-26.13</v>
      </c>
      <c r="Q425" s="78">
        <v>7.34</v>
      </c>
      <c r="R425" s="78">
        <v>-44.64</v>
      </c>
      <c r="S425" s="78">
        <v>339.81</v>
      </c>
      <c r="T425" s="78">
        <v>1257.1400000000001</v>
      </c>
    </row>
    <row r="426" spans="1:20" x14ac:dyDescent="0.3">
      <c r="A426" s="5">
        <v>45562</v>
      </c>
      <c r="B426" s="6" t="s">
        <v>379</v>
      </c>
      <c r="C426" s="7" t="s">
        <v>7</v>
      </c>
      <c r="D426" s="7">
        <v>100</v>
      </c>
      <c r="E426" s="8">
        <v>45</v>
      </c>
      <c r="F426" s="9">
        <f t="shared" si="39"/>
        <v>4500</v>
      </c>
      <c r="K426" t="s">
        <v>432</v>
      </c>
      <c r="L426">
        <v>36.74</v>
      </c>
      <c r="M426" s="78">
        <v>5.88</v>
      </c>
      <c r="N426" s="78">
        <v>25.39</v>
      </c>
      <c r="O426" s="78">
        <v>18.36</v>
      </c>
      <c r="P426" s="78">
        <v>-1.08</v>
      </c>
      <c r="Q426" s="78">
        <v>25.39</v>
      </c>
      <c r="R426" s="78">
        <v>30.93</v>
      </c>
      <c r="S426" s="78"/>
      <c r="T426" s="78"/>
    </row>
    <row r="427" spans="1:20" x14ac:dyDescent="0.3">
      <c r="A427" s="5">
        <v>45562</v>
      </c>
      <c r="B427" s="6" t="s">
        <v>26</v>
      </c>
      <c r="C427" s="7" t="s">
        <v>7</v>
      </c>
      <c r="D427" s="7">
        <v>25</v>
      </c>
      <c r="E427" s="8">
        <v>79</v>
      </c>
      <c r="F427" s="9">
        <f t="shared" si="39"/>
        <v>1975</v>
      </c>
      <c r="K427" t="s">
        <v>433</v>
      </c>
      <c r="L427">
        <v>24.2</v>
      </c>
      <c r="M427" s="78">
        <v>-9.77</v>
      </c>
      <c r="N427" s="78">
        <v>-6.92</v>
      </c>
      <c r="O427" s="78">
        <v>-14.55</v>
      </c>
      <c r="P427" s="78">
        <v>-22.34</v>
      </c>
      <c r="Q427" s="78">
        <v>-6.92</v>
      </c>
      <c r="R427" s="78"/>
      <c r="S427" s="78"/>
      <c r="T427" s="78"/>
    </row>
    <row r="428" spans="1:20" x14ac:dyDescent="0.3">
      <c r="A428" s="5">
        <v>45562</v>
      </c>
      <c r="B428" s="6" t="s">
        <v>6</v>
      </c>
      <c r="C428" s="7" t="s">
        <v>7</v>
      </c>
      <c r="D428" s="7">
        <v>50</v>
      </c>
      <c r="E428" s="8">
        <v>40</v>
      </c>
      <c r="F428" s="9">
        <f t="shared" si="39"/>
        <v>2000</v>
      </c>
      <c r="K428" t="s">
        <v>434</v>
      </c>
      <c r="L428">
        <v>62.8</v>
      </c>
      <c r="M428" s="78">
        <v>-0.4</v>
      </c>
      <c r="N428" s="78">
        <v>-1.49</v>
      </c>
      <c r="O428" s="78">
        <v>19.41</v>
      </c>
      <c r="P428" s="78">
        <v>26.21</v>
      </c>
      <c r="Q428" s="78">
        <v>-1.49</v>
      </c>
      <c r="R428" s="78">
        <v>68.27</v>
      </c>
      <c r="S428" s="78">
        <v>609.6</v>
      </c>
      <c r="T428" s="78">
        <v>1227.7</v>
      </c>
    </row>
    <row r="429" spans="1:20" x14ac:dyDescent="0.3">
      <c r="A429" s="5">
        <v>45562</v>
      </c>
      <c r="B429" s="6" t="s">
        <v>10</v>
      </c>
      <c r="C429" s="7" t="s">
        <v>7</v>
      </c>
      <c r="D429" s="7">
        <v>20</v>
      </c>
      <c r="E429" s="8">
        <v>56</v>
      </c>
      <c r="F429" s="9">
        <f t="shared" si="39"/>
        <v>1120</v>
      </c>
      <c r="K429" t="s">
        <v>435</v>
      </c>
      <c r="L429">
        <v>90.95</v>
      </c>
      <c r="M429" s="78">
        <v>-5.0599999999999996</v>
      </c>
      <c r="N429" s="78">
        <v>-6.86</v>
      </c>
      <c r="O429" s="78">
        <v>-2.4700000000000002</v>
      </c>
      <c r="P429" s="78">
        <v>-21.66</v>
      </c>
      <c r="Q429" s="78">
        <v>-6.86</v>
      </c>
      <c r="R429" s="78">
        <v>-30.73</v>
      </c>
      <c r="S429" s="78">
        <v>-13.05</v>
      </c>
      <c r="T429" s="78">
        <v>6172.41</v>
      </c>
    </row>
    <row r="430" spans="1:20" x14ac:dyDescent="0.3">
      <c r="A430" s="5">
        <v>45562</v>
      </c>
      <c r="B430" s="6" t="s">
        <v>51</v>
      </c>
      <c r="C430" s="7" t="s">
        <v>7</v>
      </c>
      <c r="D430" s="7">
        <v>100</v>
      </c>
      <c r="E430" s="8">
        <v>11.5</v>
      </c>
      <c r="F430" s="9">
        <f t="shared" si="39"/>
        <v>1150</v>
      </c>
      <c r="K430" t="s">
        <v>436</v>
      </c>
      <c r="L430">
        <v>12.07</v>
      </c>
      <c r="M430" s="78">
        <v>-8.2100000000000009</v>
      </c>
      <c r="N430" s="78">
        <v>-8.91</v>
      </c>
      <c r="O430" s="78">
        <v>-1.31</v>
      </c>
      <c r="P430" s="78">
        <v>-52.35</v>
      </c>
      <c r="Q430" s="78">
        <v>-8.91</v>
      </c>
      <c r="R430" s="78">
        <v>-21.37</v>
      </c>
      <c r="S430" s="78">
        <v>411.44</v>
      </c>
      <c r="T430" s="78">
        <v>585.79999999999995</v>
      </c>
    </row>
    <row r="431" spans="1:20" x14ac:dyDescent="0.3">
      <c r="A431" s="5">
        <v>45562</v>
      </c>
      <c r="B431" s="6" t="s">
        <v>13</v>
      </c>
      <c r="C431" s="7" t="s">
        <v>9</v>
      </c>
      <c r="D431" s="7">
        <v>75</v>
      </c>
      <c r="E431" s="8">
        <v>14.5</v>
      </c>
      <c r="F431" s="9">
        <f t="shared" si="39"/>
        <v>1087.5</v>
      </c>
      <c r="K431" t="s">
        <v>437</v>
      </c>
      <c r="L431">
        <v>84.85</v>
      </c>
      <c r="M431" s="78">
        <v>-5.35</v>
      </c>
      <c r="N431" s="78">
        <v>-2.58</v>
      </c>
      <c r="O431" s="78">
        <v>1.98</v>
      </c>
      <c r="P431" s="78">
        <v>-25.31</v>
      </c>
      <c r="Q431" s="78">
        <v>-2.58</v>
      </c>
      <c r="R431" s="78">
        <v>-19.420000000000002</v>
      </c>
      <c r="S431" s="78">
        <v>144.81</v>
      </c>
      <c r="T431" s="78">
        <v>378.84</v>
      </c>
    </row>
    <row r="432" spans="1:20" x14ac:dyDescent="0.3">
      <c r="A432" s="5">
        <v>45562</v>
      </c>
      <c r="B432" s="6" t="s">
        <v>13</v>
      </c>
      <c r="C432" s="7" t="s">
        <v>9</v>
      </c>
      <c r="D432" s="7">
        <v>50</v>
      </c>
      <c r="E432" s="8">
        <v>14</v>
      </c>
      <c r="F432" s="9">
        <f t="shared" si="39"/>
        <v>700</v>
      </c>
      <c r="K432" t="s">
        <v>438</v>
      </c>
      <c r="L432">
        <v>31.9</v>
      </c>
      <c r="M432" s="78">
        <v>-12.31</v>
      </c>
      <c r="N432" s="78">
        <v>7.92</v>
      </c>
      <c r="O432" s="78">
        <v>32.92</v>
      </c>
      <c r="P432" s="78">
        <v>59.5</v>
      </c>
      <c r="Q432" s="78">
        <v>7.92</v>
      </c>
      <c r="R432" s="78">
        <v>105.41</v>
      </c>
      <c r="S432" s="78"/>
      <c r="T432" s="78"/>
    </row>
    <row r="433" spans="1:20" x14ac:dyDescent="0.3">
      <c r="A433" s="5">
        <v>45562</v>
      </c>
      <c r="B433" s="6" t="s">
        <v>13</v>
      </c>
      <c r="C433" s="7" t="s">
        <v>9</v>
      </c>
      <c r="D433" s="7">
        <v>100</v>
      </c>
      <c r="E433" s="8">
        <v>15</v>
      </c>
      <c r="F433" s="9">
        <f t="shared" si="39"/>
        <v>1500</v>
      </c>
      <c r="K433" t="s">
        <v>439</v>
      </c>
      <c r="L433">
        <v>93.6</v>
      </c>
      <c r="M433" s="78">
        <v>-3.9</v>
      </c>
      <c r="N433" s="78">
        <v>-0.43</v>
      </c>
      <c r="O433" s="78">
        <v>-8.24</v>
      </c>
      <c r="P433" s="78">
        <v>-14.91</v>
      </c>
      <c r="Q433" s="78">
        <v>-0.43</v>
      </c>
      <c r="R433" s="78"/>
      <c r="S433" s="78"/>
      <c r="T433" s="78"/>
    </row>
    <row r="434" spans="1:20" x14ac:dyDescent="0.3">
      <c r="A434" s="5">
        <v>45562</v>
      </c>
      <c r="B434" s="6" t="s">
        <v>13</v>
      </c>
      <c r="C434" s="7" t="s">
        <v>9</v>
      </c>
      <c r="D434" s="7">
        <v>100</v>
      </c>
      <c r="E434" s="8">
        <v>15.2</v>
      </c>
      <c r="F434" s="9">
        <f t="shared" si="39"/>
        <v>1520</v>
      </c>
      <c r="K434" t="s">
        <v>440</v>
      </c>
      <c r="L434">
        <v>17.64</v>
      </c>
      <c r="M434" s="78">
        <v>0.4</v>
      </c>
      <c r="N434" s="78">
        <v>-3.5</v>
      </c>
      <c r="O434" s="78">
        <v>-6.86</v>
      </c>
      <c r="P434" s="78">
        <v>21.82</v>
      </c>
      <c r="Q434" s="78">
        <v>-3.5</v>
      </c>
      <c r="R434" s="78">
        <v>39.119999999999997</v>
      </c>
      <c r="S434" s="78">
        <v>253.51</v>
      </c>
      <c r="T434" s="78"/>
    </row>
    <row r="435" spans="1:20" x14ac:dyDescent="0.3">
      <c r="A435" s="5">
        <v>45562</v>
      </c>
      <c r="B435" s="6" t="s">
        <v>51</v>
      </c>
      <c r="C435" s="7" t="s">
        <v>9</v>
      </c>
      <c r="D435" s="7">
        <v>50</v>
      </c>
      <c r="E435" s="8">
        <v>12.5</v>
      </c>
      <c r="F435" s="9">
        <f t="shared" si="39"/>
        <v>625</v>
      </c>
      <c r="K435" t="s">
        <v>441</v>
      </c>
      <c r="L435">
        <v>6.69</v>
      </c>
      <c r="M435" s="78">
        <v>4.37</v>
      </c>
      <c r="N435" s="78">
        <v>67.25</v>
      </c>
      <c r="O435" s="78">
        <v>286.70999999999998</v>
      </c>
      <c r="P435" s="78">
        <v>49.33</v>
      </c>
      <c r="Q435" s="78">
        <v>67.25</v>
      </c>
      <c r="R435" s="78">
        <v>90.6</v>
      </c>
      <c r="S435" s="78">
        <v>3835.29</v>
      </c>
      <c r="T435" s="78">
        <v>5046.1499999999996</v>
      </c>
    </row>
    <row r="436" spans="1:20" x14ac:dyDescent="0.3">
      <c r="A436" s="5">
        <v>45562</v>
      </c>
      <c r="B436" s="6" t="s">
        <v>51</v>
      </c>
      <c r="C436" s="7" t="s">
        <v>9</v>
      </c>
      <c r="D436" s="7">
        <v>50</v>
      </c>
      <c r="E436" s="8">
        <v>12.04</v>
      </c>
      <c r="F436" s="9">
        <f t="shared" si="39"/>
        <v>602</v>
      </c>
      <c r="K436" t="s">
        <v>442</v>
      </c>
      <c r="L436">
        <v>1.38</v>
      </c>
      <c r="M436" s="78">
        <v>-4.17</v>
      </c>
      <c r="N436" s="78">
        <v>-7.38</v>
      </c>
      <c r="O436" s="78">
        <v>21.05</v>
      </c>
      <c r="P436" s="78">
        <v>-12.66</v>
      </c>
      <c r="Q436" s="78">
        <v>-7.38</v>
      </c>
      <c r="R436" s="78">
        <v>-84.98</v>
      </c>
      <c r="S436" s="78">
        <v>475</v>
      </c>
      <c r="T436" s="78">
        <v>557.14</v>
      </c>
    </row>
    <row r="437" spans="1:20" x14ac:dyDescent="0.3">
      <c r="A437" s="5">
        <v>45562</v>
      </c>
      <c r="B437" s="6" t="s">
        <v>142</v>
      </c>
      <c r="C437" s="7" t="s">
        <v>9</v>
      </c>
      <c r="D437" s="7">
        <v>25</v>
      </c>
      <c r="E437" s="8">
        <v>21</v>
      </c>
      <c r="F437" s="9">
        <f t="shared" si="39"/>
        <v>525</v>
      </c>
      <c r="K437" t="s">
        <v>443</v>
      </c>
      <c r="L437">
        <v>7.23</v>
      </c>
      <c r="M437" s="78">
        <v>-1.9</v>
      </c>
      <c r="N437" s="78">
        <v>8.23</v>
      </c>
      <c r="O437" s="78">
        <v>19.7</v>
      </c>
      <c r="P437" s="78">
        <v>-3.47</v>
      </c>
      <c r="Q437" s="78">
        <v>8.23</v>
      </c>
      <c r="R437" s="78">
        <v>-0.28000000000000003</v>
      </c>
      <c r="S437" s="78">
        <v>98.08</v>
      </c>
      <c r="T437" s="78">
        <v>372.55</v>
      </c>
    </row>
    <row r="438" spans="1:20" x14ac:dyDescent="0.3">
      <c r="A438" s="5">
        <v>45562</v>
      </c>
      <c r="B438" s="6" t="s">
        <v>128</v>
      </c>
      <c r="C438" s="7" t="s">
        <v>9</v>
      </c>
      <c r="D438" s="7">
        <v>50</v>
      </c>
      <c r="E438" s="8">
        <v>19.5</v>
      </c>
      <c r="F438" s="9">
        <f t="shared" si="39"/>
        <v>975</v>
      </c>
      <c r="K438" t="s">
        <v>444</v>
      </c>
      <c r="L438">
        <v>15.61</v>
      </c>
      <c r="M438" s="78">
        <v>-5.62</v>
      </c>
      <c r="N438" s="78">
        <v>0.45</v>
      </c>
      <c r="O438" s="78">
        <v>10.63</v>
      </c>
      <c r="P438" s="78">
        <v>-2.74</v>
      </c>
      <c r="Q438" s="78">
        <v>0.45</v>
      </c>
      <c r="R438" s="78">
        <v>-19.989999999999998</v>
      </c>
      <c r="S438" s="78">
        <v>-55.94</v>
      </c>
      <c r="T438" s="78"/>
    </row>
    <row r="439" spans="1:20" x14ac:dyDescent="0.3">
      <c r="A439" s="5">
        <v>45562</v>
      </c>
      <c r="B439" s="6" t="s">
        <v>128</v>
      </c>
      <c r="C439" s="7" t="s">
        <v>9</v>
      </c>
      <c r="D439" s="7">
        <v>50</v>
      </c>
      <c r="E439" s="8">
        <v>20</v>
      </c>
      <c r="F439" s="9">
        <f t="shared" si="39"/>
        <v>1000</v>
      </c>
      <c r="K439" t="s">
        <v>445</v>
      </c>
      <c r="L439">
        <v>17.489999999999998</v>
      </c>
      <c r="M439" s="78">
        <v>-3.42</v>
      </c>
      <c r="N439" s="78">
        <v>-3.37</v>
      </c>
      <c r="O439" s="78">
        <v>-5.77</v>
      </c>
      <c r="P439" s="78">
        <v>-27.55</v>
      </c>
      <c r="Q439" s="78">
        <v>-3.37</v>
      </c>
      <c r="R439" s="78">
        <v>-19.48</v>
      </c>
      <c r="S439" s="78">
        <v>102.9</v>
      </c>
      <c r="T439" s="78">
        <v>420.54</v>
      </c>
    </row>
    <row r="440" spans="1:20" x14ac:dyDescent="0.3">
      <c r="A440" s="5">
        <v>45562</v>
      </c>
      <c r="B440" s="6" t="s">
        <v>39</v>
      </c>
      <c r="C440" s="7" t="s">
        <v>9</v>
      </c>
      <c r="D440" s="7">
        <v>1</v>
      </c>
      <c r="E440" s="8">
        <v>725</v>
      </c>
      <c r="F440" s="9">
        <f t="shared" si="39"/>
        <v>725</v>
      </c>
      <c r="K440" t="s">
        <v>446</v>
      </c>
      <c r="L440">
        <v>9.9</v>
      </c>
      <c r="M440" s="78">
        <v>-2.85</v>
      </c>
      <c r="N440" s="78">
        <v>-2.85</v>
      </c>
      <c r="O440" s="78">
        <v>-0.9</v>
      </c>
      <c r="P440" s="78">
        <v>-16.170000000000002</v>
      </c>
      <c r="Q440" s="78">
        <v>-2.85</v>
      </c>
      <c r="R440" s="78">
        <v>-5.71</v>
      </c>
      <c r="S440" s="78">
        <v>300.81</v>
      </c>
      <c r="T440" s="78">
        <v>768.42</v>
      </c>
    </row>
    <row r="441" spans="1:20" x14ac:dyDescent="0.3">
      <c r="A441" s="5">
        <v>45562</v>
      </c>
      <c r="B441" s="6" t="s">
        <v>10</v>
      </c>
      <c r="C441" s="7" t="s">
        <v>9</v>
      </c>
      <c r="D441" s="7">
        <v>20</v>
      </c>
      <c r="E441" s="8">
        <v>58</v>
      </c>
      <c r="F441" s="9">
        <f t="shared" si="39"/>
        <v>1160</v>
      </c>
      <c r="K441" t="s">
        <v>447</v>
      </c>
      <c r="L441">
        <v>234.5</v>
      </c>
      <c r="M441" s="78">
        <v>1.87</v>
      </c>
      <c r="N441" s="78">
        <v>10.09</v>
      </c>
      <c r="O441" s="78">
        <v>1.25</v>
      </c>
      <c r="P441" s="78">
        <v>4.6900000000000004</v>
      </c>
      <c r="Q441" s="78">
        <v>10.09</v>
      </c>
      <c r="R441" s="78">
        <v>52.31</v>
      </c>
      <c r="S441" s="78">
        <v>963.01</v>
      </c>
      <c r="T441" s="78">
        <v>1570.23</v>
      </c>
    </row>
    <row r="442" spans="1:20" x14ac:dyDescent="0.3">
      <c r="A442" s="5">
        <v>45562</v>
      </c>
      <c r="B442" s="6" t="s">
        <v>379</v>
      </c>
      <c r="C442" s="7" t="s">
        <v>9</v>
      </c>
      <c r="D442" s="7">
        <v>50</v>
      </c>
      <c r="E442" s="8">
        <v>51</v>
      </c>
      <c r="F442" s="9">
        <f t="shared" si="39"/>
        <v>2550</v>
      </c>
      <c r="K442" t="s">
        <v>448</v>
      </c>
      <c r="L442">
        <v>6.63</v>
      </c>
      <c r="M442" s="78">
        <v>-1.04</v>
      </c>
      <c r="N442" s="78">
        <v>-0.9</v>
      </c>
      <c r="O442" s="78">
        <v>3.92</v>
      </c>
      <c r="P442" s="78">
        <v>-19.64</v>
      </c>
      <c r="Q442" s="78">
        <v>-0.9</v>
      </c>
      <c r="R442" s="78">
        <v>16.52</v>
      </c>
      <c r="S442" s="78">
        <v>525.47</v>
      </c>
      <c r="T442" s="78">
        <v>1083.93</v>
      </c>
    </row>
    <row r="443" spans="1:20" x14ac:dyDescent="0.3">
      <c r="A443" s="5">
        <v>45562</v>
      </c>
      <c r="B443" s="6" t="s">
        <v>10</v>
      </c>
      <c r="C443" s="7" t="s">
        <v>9</v>
      </c>
      <c r="D443" s="7">
        <v>20</v>
      </c>
      <c r="E443" s="8">
        <v>57</v>
      </c>
      <c r="F443" s="9">
        <f t="shared" si="39"/>
        <v>1140</v>
      </c>
      <c r="K443" t="s">
        <v>449</v>
      </c>
      <c r="L443">
        <v>81.099999999999994</v>
      </c>
      <c r="M443" s="78">
        <v>5.74</v>
      </c>
      <c r="N443" s="78">
        <v>9.59</v>
      </c>
      <c r="O443" s="78">
        <v>30.39</v>
      </c>
      <c r="P443" s="78">
        <v>-3.11</v>
      </c>
      <c r="Q443" s="78">
        <v>9.59</v>
      </c>
      <c r="R443" s="78">
        <v>35.619999999999997</v>
      </c>
      <c r="S443" s="78">
        <v>413.29</v>
      </c>
      <c r="T443" s="78">
        <v>783.44</v>
      </c>
    </row>
    <row r="444" spans="1:20" x14ac:dyDescent="0.3">
      <c r="A444" s="5">
        <v>45562</v>
      </c>
      <c r="B444" s="6" t="s">
        <v>379</v>
      </c>
      <c r="C444" s="7" t="s">
        <v>9</v>
      </c>
      <c r="D444" s="7">
        <v>25</v>
      </c>
      <c r="E444" s="8">
        <v>50.5</v>
      </c>
      <c r="F444" s="9">
        <f t="shared" si="39"/>
        <v>1262.5</v>
      </c>
      <c r="K444" t="s">
        <v>450</v>
      </c>
      <c r="L444">
        <v>237.1</v>
      </c>
      <c r="M444" s="78">
        <v>-5.54</v>
      </c>
      <c r="N444" s="78">
        <v>-8.7200000000000006</v>
      </c>
      <c r="O444" s="78">
        <v>-5.73</v>
      </c>
      <c r="P444" s="78">
        <v>-2.59</v>
      </c>
      <c r="Q444" s="78">
        <v>-8.7200000000000006</v>
      </c>
      <c r="R444" s="78">
        <v>-10.1</v>
      </c>
      <c r="S444" s="78">
        <v>-21.36</v>
      </c>
      <c r="T444" s="78">
        <v>2637.88</v>
      </c>
    </row>
    <row r="445" spans="1:20" x14ac:dyDescent="0.3">
      <c r="A445" s="5">
        <v>45562</v>
      </c>
      <c r="B445" s="6" t="s">
        <v>28</v>
      </c>
      <c r="C445" s="7" t="s">
        <v>9</v>
      </c>
      <c r="D445" s="7">
        <v>25</v>
      </c>
      <c r="E445" s="8">
        <v>44</v>
      </c>
      <c r="F445" s="9">
        <f t="shared" si="39"/>
        <v>1100</v>
      </c>
      <c r="K445" t="s">
        <v>451</v>
      </c>
      <c r="L445">
        <v>32.24</v>
      </c>
      <c r="M445" s="78">
        <v>-2.36</v>
      </c>
      <c r="N445" s="78">
        <v>3.67</v>
      </c>
      <c r="O445" s="78">
        <v>43.67</v>
      </c>
      <c r="P445" s="78">
        <v>29.06</v>
      </c>
      <c r="Q445" s="78">
        <v>3.67</v>
      </c>
      <c r="R445" s="78">
        <v>88.87</v>
      </c>
      <c r="S445" s="78"/>
      <c r="T445" s="78"/>
    </row>
    <row r="446" spans="1:20" x14ac:dyDescent="0.3">
      <c r="A446" s="5">
        <v>45584</v>
      </c>
      <c r="B446" s="6" t="s">
        <v>28</v>
      </c>
      <c r="C446" s="7" t="s">
        <v>9</v>
      </c>
      <c r="D446" s="7">
        <v>25</v>
      </c>
      <c r="E446" s="8">
        <v>45</v>
      </c>
      <c r="F446" s="9">
        <f t="shared" si="39"/>
        <v>1125</v>
      </c>
      <c r="K446" t="s">
        <v>452</v>
      </c>
      <c r="L446">
        <v>46.7</v>
      </c>
      <c r="M446" s="78">
        <v>-1.93</v>
      </c>
      <c r="N446" s="78">
        <v>-6.6</v>
      </c>
      <c r="O446" s="78">
        <v>19.25</v>
      </c>
      <c r="P446" s="78">
        <v>-23.38</v>
      </c>
      <c r="Q446" s="78">
        <v>-6.6</v>
      </c>
      <c r="R446" s="78">
        <v>-43.45</v>
      </c>
      <c r="S446" s="78"/>
      <c r="T446" s="78"/>
    </row>
    <row r="447" spans="1:20" x14ac:dyDescent="0.3">
      <c r="A447" s="5">
        <v>45562</v>
      </c>
      <c r="B447" s="6" t="s">
        <v>220</v>
      </c>
      <c r="C447" s="7" t="s">
        <v>9</v>
      </c>
      <c r="D447" s="7">
        <v>25</v>
      </c>
      <c r="E447" s="8">
        <v>52</v>
      </c>
      <c r="F447" s="9">
        <f t="shared" si="39"/>
        <v>1300</v>
      </c>
      <c r="K447" t="s">
        <v>453</v>
      </c>
      <c r="L447">
        <v>9.7200000000000006</v>
      </c>
      <c r="M447" s="78">
        <v>-3.48</v>
      </c>
      <c r="N447" s="78">
        <v>-2.02</v>
      </c>
      <c r="O447" s="78">
        <v>-1.1200000000000001</v>
      </c>
      <c r="P447" s="78">
        <v>-20.260000000000002</v>
      </c>
      <c r="Q447" s="78">
        <v>-2.02</v>
      </c>
      <c r="R447" s="78">
        <v>-16.28</v>
      </c>
      <c r="S447" s="78">
        <v>311.86</v>
      </c>
      <c r="T447" s="78">
        <v>492.68</v>
      </c>
    </row>
    <row r="448" spans="1:20" x14ac:dyDescent="0.3">
      <c r="A448" s="5">
        <v>45562</v>
      </c>
      <c r="B448" s="6" t="s">
        <v>23</v>
      </c>
      <c r="C448" s="7" t="s">
        <v>9</v>
      </c>
      <c r="D448" s="7">
        <v>1</v>
      </c>
      <c r="E448" s="8">
        <v>935</v>
      </c>
      <c r="F448" s="9">
        <f t="shared" si="39"/>
        <v>935</v>
      </c>
      <c r="K448" t="s">
        <v>454</v>
      </c>
      <c r="L448">
        <v>10.97</v>
      </c>
      <c r="M448" s="78">
        <v>-4.7699999999999996</v>
      </c>
      <c r="N448" s="78">
        <v>-9.41</v>
      </c>
      <c r="O448" s="78">
        <v>7.02</v>
      </c>
      <c r="P448" s="78">
        <v>-15.62</v>
      </c>
      <c r="Q448" s="78">
        <v>-9.41</v>
      </c>
      <c r="R448" s="78">
        <v>-21.47</v>
      </c>
      <c r="S448" s="78">
        <v>287.63</v>
      </c>
      <c r="T448" s="78">
        <v>243.89</v>
      </c>
    </row>
    <row r="449" spans="1:20" x14ac:dyDescent="0.3">
      <c r="A449" s="5">
        <v>45562</v>
      </c>
      <c r="B449" s="6" t="s">
        <v>16</v>
      </c>
      <c r="C449" s="7" t="s">
        <v>9</v>
      </c>
      <c r="D449" s="7">
        <v>5</v>
      </c>
      <c r="E449" s="8">
        <v>177</v>
      </c>
      <c r="F449" s="9">
        <f t="shared" si="39"/>
        <v>885</v>
      </c>
      <c r="K449" t="s">
        <v>455</v>
      </c>
      <c r="L449">
        <v>6780</v>
      </c>
      <c r="M449" s="78">
        <v>-2.73</v>
      </c>
      <c r="N449" s="78">
        <v>-3.21</v>
      </c>
      <c r="O449" s="78">
        <v>4.1900000000000004</v>
      </c>
      <c r="P449" s="78">
        <v>-15.46</v>
      </c>
      <c r="Q449" s="78">
        <v>-3.21</v>
      </c>
      <c r="R449" s="78">
        <v>-66.34</v>
      </c>
      <c r="S449" s="78">
        <v>1424.42</v>
      </c>
      <c r="T449" s="78">
        <v>9231.1299999999992</v>
      </c>
    </row>
    <row r="450" spans="1:20" x14ac:dyDescent="0.3">
      <c r="A450" s="5">
        <v>45562</v>
      </c>
      <c r="B450" s="6" t="s">
        <v>16</v>
      </c>
      <c r="C450" s="7" t="s">
        <v>9</v>
      </c>
      <c r="D450" s="7">
        <v>10</v>
      </c>
      <c r="E450" s="8">
        <v>180</v>
      </c>
      <c r="F450" s="9">
        <f t="shared" si="39"/>
        <v>1800</v>
      </c>
      <c r="K450" t="s">
        <v>456</v>
      </c>
      <c r="L450">
        <v>5.03</v>
      </c>
      <c r="M450" s="78">
        <v>-4.1900000000000004</v>
      </c>
      <c r="N450" s="78">
        <v>-13.72</v>
      </c>
      <c r="O450" s="78">
        <v>1.21</v>
      </c>
      <c r="P450" s="78">
        <v>-21.53</v>
      </c>
      <c r="Q450" s="78">
        <v>-13.72</v>
      </c>
      <c r="R450" s="78">
        <v>-33.82</v>
      </c>
      <c r="S450" s="78"/>
      <c r="T450" s="78"/>
    </row>
    <row r="451" spans="1:20" x14ac:dyDescent="0.3">
      <c r="A451" s="5">
        <v>45562</v>
      </c>
      <c r="B451" s="6" t="s">
        <v>14</v>
      </c>
      <c r="C451" s="7" t="s">
        <v>9</v>
      </c>
      <c r="D451" s="7">
        <v>10</v>
      </c>
      <c r="E451" s="8">
        <v>135</v>
      </c>
      <c r="F451" s="9">
        <f t="shared" si="39"/>
        <v>1350</v>
      </c>
      <c r="K451" t="s">
        <v>49</v>
      </c>
      <c r="L451">
        <v>30.46</v>
      </c>
      <c r="M451" s="78">
        <v>-3.06</v>
      </c>
      <c r="N451" s="78">
        <v>3.11</v>
      </c>
      <c r="O451" s="78">
        <v>-0.2</v>
      </c>
      <c r="P451" s="78">
        <v>-13.66</v>
      </c>
      <c r="Q451" s="78">
        <v>3.11</v>
      </c>
      <c r="R451" s="78">
        <v>-17.59</v>
      </c>
      <c r="S451" s="78">
        <v>-41.97</v>
      </c>
      <c r="T451" s="78">
        <v>677.04</v>
      </c>
    </row>
    <row r="452" spans="1:20" x14ac:dyDescent="0.3">
      <c r="A452" s="5">
        <v>45562</v>
      </c>
      <c r="B452" s="6" t="s">
        <v>14</v>
      </c>
      <c r="C452" s="7" t="s">
        <v>9</v>
      </c>
      <c r="D452" s="7">
        <v>10</v>
      </c>
      <c r="E452" s="8">
        <v>140</v>
      </c>
      <c r="F452" s="9">
        <f t="shared" si="39"/>
        <v>1400</v>
      </c>
      <c r="K452" t="s">
        <v>50</v>
      </c>
      <c r="L452">
        <v>20.5</v>
      </c>
      <c r="M452" s="78">
        <v>-4.21</v>
      </c>
      <c r="N452" s="78">
        <v>-11.64</v>
      </c>
      <c r="O452" s="78">
        <v>20.94</v>
      </c>
      <c r="P452" s="78">
        <v>-6.22</v>
      </c>
      <c r="Q452" s="78">
        <v>-11.64</v>
      </c>
      <c r="R452" s="78">
        <v>-5.83</v>
      </c>
      <c r="S452" s="78">
        <v>255.29</v>
      </c>
      <c r="T452" s="78">
        <v>528.83000000000004</v>
      </c>
    </row>
    <row r="453" spans="1:20" x14ac:dyDescent="0.3">
      <c r="A453" s="10">
        <v>45565</v>
      </c>
      <c r="B453" s="11" t="s">
        <v>444</v>
      </c>
      <c r="C453" s="7" t="s">
        <v>9</v>
      </c>
      <c r="D453" s="12">
        <v>25</v>
      </c>
      <c r="E453" s="13">
        <v>15</v>
      </c>
      <c r="F453" s="14">
        <f t="shared" ref="F453:F471" si="40">+E453*D453</f>
        <v>375</v>
      </c>
      <c r="K453" t="s">
        <v>457</v>
      </c>
      <c r="L453">
        <v>7.21</v>
      </c>
      <c r="M453" s="78">
        <v>4.49</v>
      </c>
      <c r="N453" s="78">
        <v>2.12</v>
      </c>
      <c r="O453" s="78">
        <v>-36.31</v>
      </c>
      <c r="P453" s="78">
        <v>-40.07</v>
      </c>
      <c r="Q453" s="78">
        <v>2.12</v>
      </c>
      <c r="R453" s="78">
        <v>-59.49</v>
      </c>
      <c r="S453" s="78">
        <v>495.87</v>
      </c>
      <c r="T453" s="78">
        <v>347.83</v>
      </c>
    </row>
    <row r="454" spans="1:20" x14ac:dyDescent="0.3">
      <c r="A454" s="5">
        <v>45565</v>
      </c>
      <c r="B454" s="6" t="s">
        <v>10</v>
      </c>
      <c r="C454" s="7" t="s">
        <v>9</v>
      </c>
      <c r="D454" s="7">
        <v>10</v>
      </c>
      <c r="E454" s="8">
        <v>58</v>
      </c>
      <c r="F454" s="9">
        <f t="shared" si="40"/>
        <v>580</v>
      </c>
      <c r="K454" t="s">
        <v>458</v>
      </c>
      <c r="L454">
        <v>77</v>
      </c>
      <c r="M454" s="78">
        <v>-5.7</v>
      </c>
      <c r="N454" s="78">
        <v>-6.95</v>
      </c>
      <c r="O454" s="78">
        <v>-21.03</v>
      </c>
      <c r="P454" s="78">
        <v>-15.48</v>
      </c>
      <c r="Q454" s="78">
        <v>-6.95</v>
      </c>
      <c r="R454" s="78">
        <v>8.4499999999999993</v>
      </c>
      <c r="S454" s="78">
        <v>217.39</v>
      </c>
      <c r="T454" s="78">
        <v>882.14</v>
      </c>
    </row>
    <row r="455" spans="1:20" x14ac:dyDescent="0.3">
      <c r="A455" s="5">
        <v>45565</v>
      </c>
      <c r="B455" s="6" t="s">
        <v>13</v>
      </c>
      <c r="C455" s="7" t="s">
        <v>9</v>
      </c>
      <c r="D455" s="7">
        <v>50</v>
      </c>
      <c r="E455" s="8">
        <v>16</v>
      </c>
      <c r="F455" s="9">
        <f t="shared" si="40"/>
        <v>800</v>
      </c>
      <c r="K455" t="s">
        <v>459</v>
      </c>
      <c r="L455">
        <v>1.44</v>
      </c>
      <c r="M455" s="78">
        <v>-8.2799999999999994</v>
      </c>
      <c r="N455" s="78">
        <v>-7.69</v>
      </c>
      <c r="O455" s="78">
        <v>15.2</v>
      </c>
      <c r="P455" s="78">
        <v>-26.53</v>
      </c>
      <c r="Q455" s="78">
        <v>-7.69</v>
      </c>
      <c r="R455" s="78">
        <v>-29.06</v>
      </c>
      <c r="S455" s="78">
        <v>45.45</v>
      </c>
      <c r="T455" s="78"/>
    </row>
    <row r="456" spans="1:20" x14ac:dyDescent="0.3">
      <c r="A456" s="5">
        <v>45565</v>
      </c>
      <c r="B456" s="6" t="s">
        <v>13</v>
      </c>
      <c r="C456" s="7" t="s">
        <v>9</v>
      </c>
      <c r="D456" s="7">
        <v>25</v>
      </c>
      <c r="E456" s="8">
        <v>15.92</v>
      </c>
      <c r="F456" s="9">
        <f t="shared" si="40"/>
        <v>398</v>
      </c>
      <c r="K456" t="s">
        <v>460</v>
      </c>
      <c r="M456" s="78"/>
      <c r="N456" s="78"/>
      <c r="O456" s="78"/>
      <c r="P456" s="78"/>
      <c r="Q456" s="78"/>
      <c r="R456" s="78"/>
      <c r="S456" s="78"/>
      <c r="T456" s="78"/>
    </row>
    <row r="457" spans="1:20" x14ac:dyDescent="0.3">
      <c r="A457" s="5">
        <v>45565</v>
      </c>
      <c r="B457" s="6" t="s">
        <v>220</v>
      </c>
      <c r="C457" s="7" t="s">
        <v>9</v>
      </c>
      <c r="D457" s="7">
        <v>10</v>
      </c>
      <c r="E457" s="8">
        <v>53</v>
      </c>
      <c r="F457" s="9">
        <f t="shared" si="40"/>
        <v>530</v>
      </c>
      <c r="K457" t="s">
        <v>750</v>
      </c>
      <c r="L457">
        <v>39.18</v>
      </c>
      <c r="M457" s="78">
        <v>-6.67</v>
      </c>
      <c r="N457" s="78">
        <v>-7.77</v>
      </c>
      <c r="O457" s="78">
        <v>-22.42</v>
      </c>
      <c r="P457" s="78">
        <v>-31.53</v>
      </c>
      <c r="Q457" s="78">
        <v>-7.77</v>
      </c>
      <c r="R457" s="78">
        <v>-19.68</v>
      </c>
      <c r="S457" s="78">
        <v>740.77</v>
      </c>
      <c r="T457" s="78">
        <v>435.25</v>
      </c>
    </row>
    <row r="458" spans="1:20" x14ac:dyDescent="0.3">
      <c r="A458" s="5">
        <v>45565</v>
      </c>
      <c r="B458" s="6" t="s">
        <v>220</v>
      </c>
      <c r="C458" s="7" t="s">
        <v>9</v>
      </c>
      <c r="D458" s="7">
        <v>15</v>
      </c>
      <c r="E458" s="8">
        <v>54</v>
      </c>
      <c r="F458" s="9">
        <f t="shared" si="40"/>
        <v>810</v>
      </c>
      <c r="K458" t="s">
        <v>461</v>
      </c>
      <c r="M458" s="78"/>
      <c r="N458" s="78"/>
      <c r="O458" s="78"/>
      <c r="P458" s="78"/>
      <c r="Q458" s="78"/>
      <c r="R458" s="78"/>
      <c r="S458" s="78"/>
      <c r="T458" s="78"/>
    </row>
    <row r="459" spans="1:20" x14ac:dyDescent="0.3">
      <c r="A459" s="5">
        <v>45565</v>
      </c>
      <c r="B459" s="6" t="s">
        <v>14</v>
      </c>
      <c r="C459" s="7" t="s">
        <v>9</v>
      </c>
      <c r="D459" s="7">
        <v>10</v>
      </c>
      <c r="E459" s="8">
        <v>150</v>
      </c>
      <c r="F459" s="9">
        <f t="shared" si="40"/>
        <v>1500</v>
      </c>
      <c r="K459" t="s">
        <v>751</v>
      </c>
      <c r="L459">
        <v>267</v>
      </c>
      <c r="M459" s="78">
        <v>-2.91</v>
      </c>
      <c r="N459" s="78">
        <v>0.56000000000000005</v>
      </c>
      <c r="O459" s="78">
        <v>-7.29</v>
      </c>
      <c r="P459" s="78">
        <v>-9.41</v>
      </c>
      <c r="Q459" s="78">
        <v>0.56000000000000005</v>
      </c>
      <c r="R459" s="78">
        <v>4.71</v>
      </c>
      <c r="S459" s="78">
        <v>589.57000000000005</v>
      </c>
      <c r="T459" s="78">
        <v>440.05</v>
      </c>
    </row>
    <row r="460" spans="1:20" x14ac:dyDescent="0.3">
      <c r="A460" s="5">
        <v>45565</v>
      </c>
      <c r="B460" s="6" t="s">
        <v>128</v>
      </c>
      <c r="C460" s="7" t="s">
        <v>7</v>
      </c>
      <c r="D460" s="7">
        <v>100</v>
      </c>
      <c r="E460" s="8">
        <v>19.3</v>
      </c>
      <c r="F460" s="9">
        <f t="shared" si="40"/>
        <v>1930</v>
      </c>
      <c r="K460" t="s">
        <v>462</v>
      </c>
      <c r="L460">
        <v>3.44</v>
      </c>
      <c r="M460" s="78">
        <v>-2.5499999999999998</v>
      </c>
      <c r="N460" s="78">
        <v>5.85</v>
      </c>
      <c r="O460" s="78">
        <v>30.3</v>
      </c>
      <c r="P460" s="78">
        <v>8.52</v>
      </c>
      <c r="Q460" s="78">
        <v>5.85</v>
      </c>
      <c r="R460" s="78">
        <v>-14.64</v>
      </c>
      <c r="S460" s="78">
        <v>204.42</v>
      </c>
      <c r="T460" s="78"/>
    </row>
    <row r="461" spans="1:20" x14ac:dyDescent="0.3">
      <c r="A461" s="5">
        <v>45565</v>
      </c>
      <c r="B461" s="6" t="s">
        <v>444</v>
      </c>
      <c r="C461" s="7" t="s">
        <v>7</v>
      </c>
      <c r="D461" s="7">
        <v>50</v>
      </c>
      <c r="E461" s="8">
        <v>14.5</v>
      </c>
      <c r="F461" s="9">
        <f t="shared" si="40"/>
        <v>725</v>
      </c>
      <c r="K461" t="s">
        <v>463</v>
      </c>
      <c r="L461">
        <v>402.75</v>
      </c>
      <c r="M461" s="78">
        <v>0.94</v>
      </c>
      <c r="N461" s="78">
        <v>36.76</v>
      </c>
      <c r="O461" s="78">
        <v>53.43</v>
      </c>
      <c r="P461" s="78">
        <v>75.95</v>
      </c>
      <c r="Q461" s="78">
        <v>36.76</v>
      </c>
      <c r="R461" s="78">
        <v>412.08</v>
      </c>
      <c r="S461" s="78">
        <v>5517.15</v>
      </c>
      <c r="T461" s="78">
        <v>16205.67</v>
      </c>
    </row>
    <row r="462" spans="1:20" x14ac:dyDescent="0.3">
      <c r="A462" s="5">
        <v>45565</v>
      </c>
      <c r="B462" s="6" t="s">
        <v>379</v>
      </c>
      <c r="C462" s="7" t="s">
        <v>7</v>
      </c>
      <c r="D462" s="7">
        <v>100</v>
      </c>
      <c r="E462" s="8">
        <v>45.5</v>
      </c>
      <c r="F462" s="9">
        <f t="shared" si="40"/>
        <v>4550</v>
      </c>
      <c r="K462" t="s">
        <v>464</v>
      </c>
      <c r="L462">
        <v>474.75</v>
      </c>
      <c r="M462" s="78">
        <v>-32.369999999999997</v>
      </c>
      <c r="N462" s="78">
        <v>-10.51</v>
      </c>
      <c r="O462" s="78">
        <v>19.43</v>
      </c>
      <c r="P462" s="78">
        <v>-5.14</v>
      </c>
      <c r="Q462" s="78">
        <v>-10.51</v>
      </c>
      <c r="R462" s="78">
        <v>78.48</v>
      </c>
      <c r="S462" s="78">
        <v>3546.31</v>
      </c>
      <c r="T462" s="78">
        <v>10616.7</v>
      </c>
    </row>
    <row r="463" spans="1:20" x14ac:dyDescent="0.3">
      <c r="A463" s="5">
        <v>45565</v>
      </c>
      <c r="B463" s="6" t="s">
        <v>6</v>
      </c>
      <c r="C463" s="7" t="s">
        <v>7</v>
      </c>
      <c r="D463" s="7">
        <v>150</v>
      </c>
      <c r="E463" s="8">
        <v>38.5</v>
      </c>
      <c r="F463" s="9">
        <f t="shared" si="40"/>
        <v>5775</v>
      </c>
      <c r="K463" t="s">
        <v>465</v>
      </c>
      <c r="L463">
        <v>13.55</v>
      </c>
      <c r="M463" s="78">
        <v>-4.58</v>
      </c>
      <c r="N463" s="78">
        <v>-5.57</v>
      </c>
      <c r="O463" s="78">
        <v>-38.69</v>
      </c>
      <c r="P463" s="78">
        <v>-63.81</v>
      </c>
      <c r="Q463" s="78">
        <v>-5.57</v>
      </c>
      <c r="R463" s="78">
        <v>-50.69</v>
      </c>
      <c r="S463" s="78"/>
      <c r="T463" s="78"/>
    </row>
    <row r="464" spans="1:20" x14ac:dyDescent="0.3">
      <c r="A464" s="5">
        <v>45565</v>
      </c>
      <c r="B464" s="6" t="s">
        <v>379</v>
      </c>
      <c r="C464" s="7" t="s">
        <v>9</v>
      </c>
      <c r="D464" s="7">
        <v>25</v>
      </c>
      <c r="E464" s="8">
        <v>45.8</v>
      </c>
      <c r="F464" s="9">
        <f t="shared" si="40"/>
        <v>1145</v>
      </c>
      <c r="K464" t="s">
        <v>466</v>
      </c>
      <c r="L464">
        <v>117</v>
      </c>
      <c r="M464" s="78">
        <v>-6.55</v>
      </c>
      <c r="N464" s="78">
        <v>-11.36</v>
      </c>
      <c r="O464" s="78">
        <v>13.15</v>
      </c>
      <c r="P464" s="78">
        <v>2.63</v>
      </c>
      <c r="Q464" s="78">
        <v>-11.36</v>
      </c>
      <c r="R464" s="78"/>
      <c r="S464" s="78"/>
      <c r="T464" s="78"/>
    </row>
    <row r="465" spans="1:20" x14ac:dyDescent="0.3">
      <c r="A465" s="5">
        <v>45565</v>
      </c>
      <c r="B465" s="6" t="s">
        <v>379</v>
      </c>
      <c r="C465" s="7" t="s">
        <v>9</v>
      </c>
      <c r="D465" s="7">
        <v>25</v>
      </c>
      <c r="E465" s="8">
        <v>46</v>
      </c>
      <c r="F465" s="9">
        <f t="shared" si="40"/>
        <v>1150</v>
      </c>
      <c r="K465" t="s">
        <v>467</v>
      </c>
      <c r="L465">
        <v>25.54</v>
      </c>
      <c r="M465" s="78">
        <v>-2.67</v>
      </c>
      <c r="N465" s="78">
        <v>0.71</v>
      </c>
      <c r="O465" s="78">
        <v>4.76</v>
      </c>
      <c r="P465" s="78">
        <v>-11.07</v>
      </c>
      <c r="Q465" s="78">
        <v>0.71</v>
      </c>
      <c r="R465" s="78">
        <v>-33.94</v>
      </c>
      <c r="S465" s="78">
        <v>85.75</v>
      </c>
      <c r="T465" s="78"/>
    </row>
    <row r="466" spans="1:20" x14ac:dyDescent="0.3">
      <c r="A466" s="5">
        <v>45565</v>
      </c>
      <c r="B466" s="6" t="s">
        <v>379</v>
      </c>
      <c r="C466" s="7" t="s">
        <v>9</v>
      </c>
      <c r="D466" s="7">
        <v>50</v>
      </c>
      <c r="E466" s="8">
        <v>46.5</v>
      </c>
      <c r="F466" s="9">
        <f t="shared" si="40"/>
        <v>2325</v>
      </c>
      <c r="K466" t="s">
        <v>468</v>
      </c>
      <c r="L466">
        <v>18.12</v>
      </c>
      <c r="M466" s="78">
        <v>-7.41</v>
      </c>
      <c r="N466" s="78">
        <v>-8.94</v>
      </c>
      <c r="O466" s="78">
        <v>-19.96</v>
      </c>
      <c r="P466" s="78">
        <v>-36.78</v>
      </c>
      <c r="Q466" s="78">
        <v>-8.94</v>
      </c>
      <c r="R466" s="78">
        <v>18.510000000000002</v>
      </c>
      <c r="S466" s="78">
        <v>262.39999999999998</v>
      </c>
      <c r="T466" s="78">
        <v>3597.96</v>
      </c>
    </row>
    <row r="467" spans="1:20" x14ac:dyDescent="0.3">
      <c r="A467" s="5">
        <v>45565</v>
      </c>
      <c r="B467" s="6" t="s">
        <v>38</v>
      </c>
      <c r="C467" s="7" t="s">
        <v>7</v>
      </c>
      <c r="D467" s="7">
        <v>15</v>
      </c>
      <c r="E467" s="8">
        <v>215</v>
      </c>
      <c r="F467" s="9">
        <f t="shared" si="40"/>
        <v>3225</v>
      </c>
      <c r="K467" t="s">
        <v>469</v>
      </c>
      <c r="L467">
        <v>6.8</v>
      </c>
      <c r="M467" s="78"/>
      <c r="N467" s="78"/>
      <c r="O467" s="78"/>
      <c r="P467" s="78"/>
      <c r="Q467" s="78"/>
      <c r="R467" s="78"/>
      <c r="S467" s="78"/>
      <c r="T467" s="78"/>
    </row>
    <row r="468" spans="1:20" x14ac:dyDescent="0.3">
      <c r="A468" s="5">
        <v>45565</v>
      </c>
      <c r="B468" s="6" t="s">
        <v>426</v>
      </c>
      <c r="C468" s="7" t="s">
        <v>7</v>
      </c>
      <c r="D468" s="7">
        <v>50</v>
      </c>
      <c r="E468" s="8">
        <v>65</v>
      </c>
      <c r="F468" s="9">
        <f t="shared" si="40"/>
        <v>3250</v>
      </c>
      <c r="K468" t="s">
        <v>470</v>
      </c>
      <c r="L468">
        <v>17.440000000000001</v>
      </c>
      <c r="M468" s="78">
        <v>-8.2100000000000009</v>
      </c>
      <c r="N468" s="78">
        <v>20.190000000000001</v>
      </c>
      <c r="O468" s="78">
        <v>3.56</v>
      </c>
      <c r="P468" s="78">
        <v>52.31</v>
      </c>
      <c r="Q468" s="78">
        <v>20.190000000000001</v>
      </c>
      <c r="R468" s="78">
        <v>18.559999999999999</v>
      </c>
      <c r="S468" s="78">
        <v>108.61</v>
      </c>
      <c r="T468" s="78">
        <v>1593.2</v>
      </c>
    </row>
    <row r="469" spans="1:20" x14ac:dyDescent="0.3">
      <c r="A469" s="5">
        <v>45565</v>
      </c>
      <c r="B469" s="6" t="s">
        <v>22</v>
      </c>
      <c r="C469" s="7" t="s">
        <v>7</v>
      </c>
      <c r="D469" s="7">
        <v>50</v>
      </c>
      <c r="E469" s="8">
        <v>59.5</v>
      </c>
      <c r="F469" s="9">
        <f t="shared" si="40"/>
        <v>2975</v>
      </c>
      <c r="K469" t="s">
        <v>471</v>
      </c>
      <c r="L469">
        <v>25.74</v>
      </c>
      <c r="M469" s="78">
        <v>-4.5999999999999996</v>
      </c>
      <c r="N469" s="78">
        <v>-7.94</v>
      </c>
      <c r="O469" s="78">
        <v>-1</v>
      </c>
      <c r="P469" s="78">
        <v>-16.97</v>
      </c>
      <c r="Q469" s="78">
        <v>-7.94</v>
      </c>
      <c r="R469" s="78">
        <v>-3.45</v>
      </c>
      <c r="S469" s="78"/>
      <c r="T469" s="78"/>
    </row>
    <row r="470" spans="1:20" x14ac:dyDescent="0.3">
      <c r="A470" s="5">
        <v>45565</v>
      </c>
      <c r="B470" s="6" t="s">
        <v>22</v>
      </c>
      <c r="C470" s="7" t="s">
        <v>9</v>
      </c>
      <c r="D470" s="7">
        <v>10</v>
      </c>
      <c r="E470" s="8">
        <v>60</v>
      </c>
      <c r="F470" s="9">
        <f t="shared" si="40"/>
        <v>600</v>
      </c>
      <c r="K470" t="s">
        <v>472</v>
      </c>
      <c r="L470">
        <v>15.95</v>
      </c>
      <c r="M470" s="78">
        <v>-10.09</v>
      </c>
      <c r="N470" s="78">
        <v>-6.18</v>
      </c>
      <c r="O470" s="78">
        <v>25.69</v>
      </c>
      <c r="P470" s="78">
        <v>36.79</v>
      </c>
      <c r="Q470" s="78">
        <v>-6.18</v>
      </c>
      <c r="R470" s="78">
        <v>155.19999999999999</v>
      </c>
      <c r="S470" s="78">
        <v>1448.54</v>
      </c>
      <c r="T470" s="78">
        <v>1544.33</v>
      </c>
    </row>
    <row r="471" spans="1:20" x14ac:dyDescent="0.3">
      <c r="A471" s="5">
        <v>45565</v>
      </c>
      <c r="B471" s="6" t="s">
        <v>426</v>
      </c>
      <c r="C471" s="7" t="s">
        <v>9</v>
      </c>
      <c r="D471" s="7">
        <v>10</v>
      </c>
      <c r="E471" s="8">
        <v>66</v>
      </c>
      <c r="F471" s="9">
        <f t="shared" si="40"/>
        <v>660</v>
      </c>
      <c r="K471" t="s">
        <v>473</v>
      </c>
      <c r="L471">
        <v>18.98</v>
      </c>
      <c r="M471" s="78">
        <v>-12.53</v>
      </c>
      <c r="N471" s="78">
        <v>-15.79</v>
      </c>
      <c r="O471" s="78">
        <v>33.57</v>
      </c>
      <c r="P471" s="78">
        <v>56.09</v>
      </c>
      <c r="Q471" s="78">
        <v>-15.79</v>
      </c>
      <c r="R471" s="78">
        <v>143.96</v>
      </c>
      <c r="S471" s="78">
        <v>2912.7</v>
      </c>
      <c r="T471" s="78">
        <v>3621.57</v>
      </c>
    </row>
    <row r="472" spans="1:20" x14ac:dyDescent="0.3">
      <c r="A472" s="10">
        <v>45566</v>
      </c>
      <c r="B472" s="11" t="s">
        <v>128</v>
      </c>
      <c r="C472" s="12" t="s">
        <v>9</v>
      </c>
      <c r="D472" s="12">
        <v>50</v>
      </c>
      <c r="E472" s="13">
        <v>19.7</v>
      </c>
      <c r="F472" s="14">
        <f t="shared" ref="F472:F491" si="41">+E472*D472</f>
        <v>985</v>
      </c>
      <c r="K472" t="s">
        <v>54</v>
      </c>
      <c r="L472">
        <v>59.65</v>
      </c>
      <c r="M472" s="78">
        <v>5.58</v>
      </c>
      <c r="N472" s="78">
        <v>-5.99</v>
      </c>
      <c r="O472" s="78">
        <v>15.27</v>
      </c>
      <c r="P472" s="78">
        <v>4.93</v>
      </c>
      <c r="Q472" s="78">
        <v>-5.99</v>
      </c>
      <c r="R472" s="78">
        <v>42.43</v>
      </c>
      <c r="S472" s="78">
        <v>692.16</v>
      </c>
      <c r="T472" s="78">
        <v>2648.85</v>
      </c>
    </row>
    <row r="473" spans="1:20" x14ac:dyDescent="0.3">
      <c r="A473" s="5">
        <v>45566</v>
      </c>
      <c r="B473" s="11" t="s">
        <v>128</v>
      </c>
      <c r="C473" s="12" t="s">
        <v>9</v>
      </c>
      <c r="D473" s="7">
        <v>75</v>
      </c>
      <c r="E473" s="8">
        <v>20</v>
      </c>
      <c r="F473" s="9">
        <f t="shared" si="41"/>
        <v>1500</v>
      </c>
      <c r="K473" t="s">
        <v>32</v>
      </c>
      <c r="L473">
        <v>99.9</v>
      </c>
      <c r="M473" s="78">
        <v>-2.06</v>
      </c>
      <c r="N473" s="78">
        <v>4.0599999999999996</v>
      </c>
      <c r="O473" s="78">
        <v>20</v>
      </c>
      <c r="P473" s="78">
        <v>0.55000000000000004</v>
      </c>
      <c r="Q473" s="78">
        <v>4.0599999999999996</v>
      </c>
      <c r="R473" s="78">
        <v>42.15</v>
      </c>
      <c r="S473" s="78">
        <v>642.20000000000005</v>
      </c>
      <c r="T473" s="78">
        <v>1156.5999999999999</v>
      </c>
    </row>
    <row r="474" spans="1:20" x14ac:dyDescent="0.3">
      <c r="A474" s="5">
        <v>45566</v>
      </c>
      <c r="B474" s="11" t="s">
        <v>128</v>
      </c>
      <c r="C474" s="12" t="s">
        <v>9</v>
      </c>
      <c r="D474" s="7">
        <v>25</v>
      </c>
      <c r="E474" s="8">
        <v>19.5</v>
      </c>
      <c r="F474" s="9">
        <f t="shared" si="41"/>
        <v>487.5</v>
      </c>
      <c r="K474" t="s">
        <v>474</v>
      </c>
      <c r="L474">
        <v>19.79</v>
      </c>
      <c r="M474" s="78">
        <v>-4.58</v>
      </c>
      <c r="N474" s="78">
        <v>2.2200000000000002</v>
      </c>
      <c r="O474" s="78">
        <v>2.7</v>
      </c>
      <c r="P474" s="78">
        <v>-53.89</v>
      </c>
      <c r="Q474" s="78">
        <v>2.2200000000000002</v>
      </c>
      <c r="R474" s="78">
        <v>-66.11</v>
      </c>
      <c r="S474" s="78">
        <v>320.17</v>
      </c>
      <c r="T474" s="78">
        <v>860.68</v>
      </c>
    </row>
    <row r="475" spans="1:20" x14ac:dyDescent="0.3">
      <c r="A475" s="5">
        <v>45566</v>
      </c>
      <c r="B475" s="6" t="s">
        <v>426</v>
      </c>
      <c r="C475" s="12" t="s">
        <v>9</v>
      </c>
      <c r="D475" s="7">
        <v>10</v>
      </c>
      <c r="E475" s="8">
        <v>67.5</v>
      </c>
      <c r="F475" s="9">
        <f t="shared" si="41"/>
        <v>675</v>
      </c>
      <c r="K475" t="s">
        <v>475</v>
      </c>
      <c r="L475">
        <v>23.98</v>
      </c>
      <c r="M475" s="78">
        <v>-10.52</v>
      </c>
      <c r="N475" s="78">
        <v>1.52</v>
      </c>
      <c r="O475" s="78">
        <v>3.81</v>
      </c>
      <c r="P475" s="78">
        <v>-5.81</v>
      </c>
      <c r="Q475" s="78">
        <v>1.52</v>
      </c>
      <c r="R475" s="78">
        <v>-21.38</v>
      </c>
      <c r="S475" s="78">
        <v>78.959999999999994</v>
      </c>
      <c r="T475" s="78">
        <v>726.9</v>
      </c>
    </row>
    <row r="476" spans="1:20" x14ac:dyDescent="0.3">
      <c r="A476" s="5">
        <v>45566</v>
      </c>
      <c r="B476" s="6" t="s">
        <v>379</v>
      </c>
      <c r="C476" s="12" t="s">
        <v>9</v>
      </c>
      <c r="D476" s="7">
        <v>25</v>
      </c>
      <c r="E476" s="8">
        <v>50.3</v>
      </c>
      <c r="F476" s="9">
        <f t="shared" si="41"/>
        <v>1257.5</v>
      </c>
      <c r="K476" t="s">
        <v>476</v>
      </c>
      <c r="L476">
        <v>53.65</v>
      </c>
      <c r="M476" s="78">
        <v>1.61</v>
      </c>
      <c r="N476" s="78">
        <v>43.76</v>
      </c>
      <c r="O476" s="78">
        <v>69.89</v>
      </c>
      <c r="P476" s="78">
        <v>248.6</v>
      </c>
      <c r="Q476" s="78">
        <v>43.76</v>
      </c>
      <c r="R476" s="78">
        <v>435.96</v>
      </c>
      <c r="S476" s="78">
        <v>1971.43</v>
      </c>
      <c r="T476" s="78">
        <v>11077.08</v>
      </c>
    </row>
    <row r="477" spans="1:20" x14ac:dyDescent="0.3">
      <c r="A477" s="5">
        <v>45566</v>
      </c>
      <c r="B477" s="6" t="s">
        <v>6</v>
      </c>
      <c r="C477" s="12" t="s">
        <v>9</v>
      </c>
      <c r="D477" s="7">
        <v>20</v>
      </c>
      <c r="E477" s="8">
        <v>39</v>
      </c>
      <c r="F477" s="9">
        <f t="shared" si="41"/>
        <v>780</v>
      </c>
      <c r="K477" t="s">
        <v>477</v>
      </c>
      <c r="L477">
        <v>22.86</v>
      </c>
      <c r="M477" s="78">
        <v>-4.91</v>
      </c>
      <c r="N477" s="78">
        <v>-10</v>
      </c>
      <c r="O477" s="78">
        <v>-4.3499999999999996</v>
      </c>
      <c r="P477" s="78">
        <v>-17.59</v>
      </c>
      <c r="Q477" s="78">
        <v>-10</v>
      </c>
      <c r="R477" s="78">
        <v>4.8600000000000003</v>
      </c>
      <c r="S477" s="78">
        <v>305.32</v>
      </c>
      <c r="T477" s="78">
        <v>401.32</v>
      </c>
    </row>
    <row r="478" spans="1:20" x14ac:dyDescent="0.3">
      <c r="A478" s="5">
        <v>45566</v>
      </c>
      <c r="B478" s="6" t="s">
        <v>128</v>
      </c>
      <c r="C478" s="7" t="s">
        <v>7</v>
      </c>
      <c r="D478" s="7">
        <v>25</v>
      </c>
      <c r="E478" s="8">
        <v>19</v>
      </c>
      <c r="F478" s="9">
        <f t="shared" si="41"/>
        <v>475</v>
      </c>
      <c r="K478" t="s">
        <v>478</v>
      </c>
      <c r="L478">
        <v>18.239999999999998</v>
      </c>
      <c r="M478" s="78">
        <v>-3.29</v>
      </c>
      <c r="N478" s="78">
        <v>-3.44</v>
      </c>
      <c r="O478" s="78">
        <v>-14.93</v>
      </c>
      <c r="P478" s="78">
        <v>-34.03</v>
      </c>
      <c r="Q478" s="78">
        <v>-3.44</v>
      </c>
      <c r="R478" s="78">
        <v>-27.1</v>
      </c>
      <c r="S478" s="78">
        <v>107.98</v>
      </c>
      <c r="T478" s="78">
        <v>850</v>
      </c>
    </row>
    <row r="479" spans="1:20" x14ac:dyDescent="0.3">
      <c r="A479" s="5">
        <v>45566</v>
      </c>
      <c r="B479" s="6" t="s">
        <v>6</v>
      </c>
      <c r="C479" s="7" t="s">
        <v>7</v>
      </c>
      <c r="D479" s="7">
        <v>20</v>
      </c>
      <c r="E479" s="8">
        <v>37</v>
      </c>
      <c r="F479" s="9">
        <f t="shared" si="41"/>
        <v>740</v>
      </c>
      <c r="K479" t="s">
        <v>479</v>
      </c>
      <c r="L479">
        <v>3.66</v>
      </c>
      <c r="M479" s="78">
        <v>-4.6900000000000004</v>
      </c>
      <c r="N479" s="78">
        <v>-10.07</v>
      </c>
      <c r="O479" s="78">
        <v>-4.9400000000000004</v>
      </c>
      <c r="P479" s="78">
        <v>-37.01</v>
      </c>
      <c r="Q479" s="78">
        <v>-10.07</v>
      </c>
      <c r="R479" s="78">
        <v>-23.91</v>
      </c>
      <c r="S479" s="78">
        <v>188.19</v>
      </c>
      <c r="T479" s="78">
        <v>2187.5</v>
      </c>
    </row>
    <row r="480" spans="1:20" x14ac:dyDescent="0.3">
      <c r="A480" s="5">
        <v>45566</v>
      </c>
      <c r="B480" s="6" t="s">
        <v>128</v>
      </c>
      <c r="C480" s="7" t="s">
        <v>9</v>
      </c>
      <c r="D480" s="7">
        <v>25</v>
      </c>
      <c r="E480" s="8">
        <v>19.5</v>
      </c>
      <c r="F480" s="9">
        <f t="shared" si="41"/>
        <v>487.5</v>
      </c>
      <c r="K480" t="s">
        <v>480</v>
      </c>
      <c r="L480">
        <v>43.24</v>
      </c>
      <c r="M480" s="78">
        <v>-0.6</v>
      </c>
      <c r="N480" s="78">
        <v>-2.74</v>
      </c>
      <c r="O480" s="78">
        <v>-5.01</v>
      </c>
      <c r="P480" s="78">
        <v>-32.54</v>
      </c>
      <c r="Q480" s="78">
        <v>-2.74</v>
      </c>
      <c r="R480" s="78">
        <v>-54</v>
      </c>
      <c r="S480" s="78">
        <v>261.83999999999997</v>
      </c>
      <c r="T480" s="78">
        <v>5047.62</v>
      </c>
    </row>
    <row r="481" spans="1:20" x14ac:dyDescent="0.3">
      <c r="A481" s="5">
        <v>45566</v>
      </c>
      <c r="B481" s="6" t="s">
        <v>451</v>
      </c>
      <c r="C481" s="7" t="s">
        <v>7</v>
      </c>
      <c r="D481" s="7">
        <v>100</v>
      </c>
      <c r="E481" s="8">
        <v>23.5</v>
      </c>
      <c r="F481" s="9">
        <f t="shared" si="41"/>
        <v>2350</v>
      </c>
      <c r="K481" t="s">
        <v>481</v>
      </c>
      <c r="L481">
        <v>197</v>
      </c>
      <c r="M481" s="78">
        <v>-6.41</v>
      </c>
      <c r="N481" s="78">
        <v>-7.6</v>
      </c>
      <c r="O481" s="78">
        <v>-22.26</v>
      </c>
      <c r="P481" s="78">
        <v>-36.53</v>
      </c>
      <c r="Q481" s="78">
        <v>-7.6</v>
      </c>
      <c r="R481" s="78">
        <v>-46.84</v>
      </c>
      <c r="S481" s="78"/>
      <c r="T481" s="78"/>
    </row>
    <row r="482" spans="1:20" x14ac:dyDescent="0.3">
      <c r="A482" s="5">
        <v>45566</v>
      </c>
      <c r="B482" s="6" t="s">
        <v>13</v>
      </c>
      <c r="C482" s="7" t="s">
        <v>7</v>
      </c>
      <c r="D482" s="7">
        <v>100</v>
      </c>
      <c r="E482" s="8">
        <v>14.4</v>
      </c>
      <c r="F482" s="9">
        <f t="shared" si="41"/>
        <v>1440</v>
      </c>
      <c r="K482" t="s">
        <v>576</v>
      </c>
      <c r="L482">
        <v>21.28</v>
      </c>
      <c r="M482" s="78">
        <v>-2.56</v>
      </c>
      <c r="N482" s="78">
        <v>-3.01</v>
      </c>
      <c r="O482" s="78">
        <v>15.53</v>
      </c>
      <c r="P482" s="78">
        <v>-16.29</v>
      </c>
      <c r="Q482" s="78">
        <v>-3.01</v>
      </c>
      <c r="R482" s="78"/>
      <c r="S482" s="78"/>
      <c r="T482" s="78"/>
    </row>
    <row r="483" spans="1:20" x14ac:dyDescent="0.3">
      <c r="A483" s="5">
        <v>45566</v>
      </c>
      <c r="B483" s="6" t="s">
        <v>53</v>
      </c>
      <c r="C483" s="7" t="s">
        <v>7</v>
      </c>
      <c r="D483" s="7">
        <v>100</v>
      </c>
      <c r="E483" s="8">
        <v>6.7</v>
      </c>
      <c r="F483" s="9">
        <f t="shared" si="41"/>
        <v>670</v>
      </c>
      <c r="K483" t="s">
        <v>482</v>
      </c>
      <c r="L483">
        <v>4.47</v>
      </c>
      <c r="M483" s="78">
        <v>-2.83</v>
      </c>
      <c r="N483" s="78">
        <v>-7.26</v>
      </c>
      <c r="O483" s="78">
        <v>11.19</v>
      </c>
      <c r="P483" s="78">
        <v>-5.0999999999999996</v>
      </c>
      <c r="Q483" s="78">
        <v>-7.26</v>
      </c>
      <c r="R483" s="78">
        <v>-44.12</v>
      </c>
      <c r="S483" s="78"/>
      <c r="T483" s="78"/>
    </row>
    <row r="484" spans="1:20" x14ac:dyDescent="0.3">
      <c r="A484" s="5">
        <v>45566</v>
      </c>
      <c r="B484" s="6" t="s">
        <v>51</v>
      </c>
      <c r="C484" s="7" t="s">
        <v>7</v>
      </c>
      <c r="D484" s="7">
        <v>100</v>
      </c>
      <c r="E484" s="8">
        <v>10</v>
      </c>
      <c r="F484" s="9">
        <f t="shared" si="41"/>
        <v>1000</v>
      </c>
      <c r="K484" t="s">
        <v>483</v>
      </c>
      <c r="L484">
        <v>7.28</v>
      </c>
      <c r="M484" s="78">
        <v>-3.58</v>
      </c>
      <c r="N484" s="78">
        <v>-5.94</v>
      </c>
      <c r="O484" s="78">
        <v>-3.58</v>
      </c>
      <c r="P484" s="78">
        <v>-31.77</v>
      </c>
      <c r="Q484" s="78">
        <v>-5.94</v>
      </c>
      <c r="R484" s="78">
        <v>-15.64</v>
      </c>
      <c r="S484" s="78">
        <v>176.81</v>
      </c>
      <c r="T484" s="78">
        <v>211.11</v>
      </c>
    </row>
    <row r="485" spans="1:20" x14ac:dyDescent="0.3">
      <c r="A485" s="5">
        <v>45566</v>
      </c>
      <c r="B485" s="6" t="s">
        <v>151</v>
      </c>
      <c r="C485" s="7" t="s">
        <v>7</v>
      </c>
      <c r="D485" s="7">
        <v>2</v>
      </c>
      <c r="E485" s="8">
        <v>450</v>
      </c>
      <c r="F485" s="9">
        <f t="shared" si="41"/>
        <v>900</v>
      </c>
      <c r="K485" t="s">
        <v>484</v>
      </c>
      <c r="L485">
        <v>11.77</v>
      </c>
      <c r="M485" s="78">
        <v>-1.92</v>
      </c>
      <c r="N485" s="78">
        <v>-10.43</v>
      </c>
      <c r="O485" s="78">
        <v>-4.7</v>
      </c>
      <c r="P485" s="78">
        <v>-2.3199999999999998</v>
      </c>
      <c r="Q485" s="78">
        <v>-10.43</v>
      </c>
      <c r="R485" s="78">
        <v>18.649999999999999</v>
      </c>
      <c r="S485" s="78">
        <v>99.15</v>
      </c>
      <c r="T485" s="78">
        <v>592.35</v>
      </c>
    </row>
    <row r="486" spans="1:20" x14ac:dyDescent="0.3">
      <c r="A486" s="5">
        <v>45566</v>
      </c>
      <c r="B486" s="6" t="s">
        <v>13</v>
      </c>
      <c r="C486" s="7" t="s">
        <v>7</v>
      </c>
      <c r="D486" s="7">
        <v>100</v>
      </c>
      <c r="E486" s="8">
        <v>14.2</v>
      </c>
      <c r="F486" s="9">
        <f t="shared" si="41"/>
        <v>1420</v>
      </c>
      <c r="K486" t="s">
        <v>485</v>
      </c>
      <c r="L486">
        <v>69.8</v>
      </c>
      <c r="M486" s="78">
        <v>-4.58</v>
      </c>
      <c r="N486" s="78">
        <v>-12.75</v>
      </c>
      <c r="O486" s="78">
        <v>7.97</v>
      </c>
      <c r="P486" s="78">
        <v>20.66</v>
      </c>
      <c r="Q486" s="78">
        <v>-12.75</v>
      </c>
      <c r="R486" s="78">
        <v>14.95</v>
      </c>
      <c r="S486" s="78">
        <v>501.72</v>
      </c>
      <c r="T486" s="78">
        <v>965.65</v>
      </c>
    </row>
    <row r="487" spans="1:20" x14ac:dyDescent="0.3">
      <c r="A487" s="5">
        <v>45566</v>
      </c>
      <c r="B487" s="6" t="s">
        <v>128</v>
      </c>
      <c r="C487" s="7" t="s">
        <v>7</v>
      </c>
      <c r="D487" s="7">
        <v>75</v>
      </c>
      <c r="E487" s="8">
        <v>19.5</v>
      </c>
      <c r="F487" s="9">
        <f t="shared" si="41"/>
        <v>1462.5</v>
      </c>
      <c r="K487" t="s">
        <v>486</v>
      </c>
      <c r="L487">
        <v>48.5</v>
      </c>
      <c r="M487" s="78">
        <v>-2.65</v>
      </c>
      <c r="N487" s="78">
        <v>-2.92</v>
      </c>
      <c r="O487" s="78">
        <v>-1.1000000000000001</v>
      </c>
      <c r="P487" s="78">
        <v>-8.49</v>
      </c>
      <c r="Q487" s="78">
        <v>-2.92</v>
      </c>
      <c r="R487" s="78">
        <v>18.29</v>
      </c>
      <c r="S487" s="78">
        <v>1137.24</v>
      </c>
      <c r="T487" s="78">
        <v>4390.74</v>
      </c>
    </row>
    <row r="488" spans="1:20" x14ac:dyDescent="0.3">
      <c r="A488" s="5">
        <v>45566</v>
      </c>
      <c r="B488" s="6" t="s">
        <v>128</v>
      </c>
      <c r="C488" s="7" t="s">
        <v>7</v>
      </c>
      <c r="D488" s="7">
        <v>50</v>
      </c>
      <c r="E488" s="8">
        <v>19.2</v>
      </c>
      <c r="F488" s="9">
        <f t="shared" si="41"/>
        <v>960</v>
      </c>
      <c r="K488" t="s">
        <v>487</v>
      </c>
      <c r="L488">
        <v>12.51</v>
      </c>
      <c r="M488" s="78">
        <v>-10.64</v>
      </c>
      <c r="N488" s="78">
        <v>16.59</v>
      </c>
      <c r="O488" s="78">
        <v>22.53</v>
      </c>
      <c r="P488" s="78">
        <v>-6.29</v>
      </c>
      <c r="Q488" s="78">
        <v>16.59</v>
      </c>
      <c r="R488" s="78">
        <v>-4.58</v>
      </c>
      <c r="S488" s="78">
        <v>-35.35</v>
      </c>
      <c r="T488" s="78"/>
    </row>
    <row r="489" spans="1:20" x14ac:dyDescent="0.3">
      <c r="A489" s="5">
        <v>45566</v>
      </c>
      <c r="B489" s="6" t="s">
        <v>128</v>
      </c>
      <c r="C489" s="7" t="s">
        <v>7</v>
      </c>
      <c r="D489" s="7">
        <v>25</v>
      </c>
      <c r="E489" s="8">
        <v>19</v>
      </c>
      <c r="F489" s="9">
        <f t="shared" si="41"/>
        <v>475</v>
      </c>
      <c r="K489" t="s">
        <v>488</v>
      </c>
      <c r="L489">
        <v>3.02</v>
      </c>
      <c r="M489" s="78">
        <v>-6.21</v>
      </c>
      <c r="N489" s="78">
        <v>-6.21</v>
      </c>
      <c r="O489" s="78">
        <v>-30.73</v>
      </c>
      <c r="P489" s="78">
        <v>-37.99</v>
      </c>
      <c r="Q489" s="78">
        <v>-6.21</v>
      </c>
      <c r="R489" s="78">
        <v>-15.17</v>
      </c>
      <c r="S489" s="78">
        <v>77.650000000000006</v>
      </c>
      <c r="T489" s="78">
        <v>364.62</v>
      </c>
    </row>
    <row r="490" spans="1:20" x14ac:dyDescent="0.3">
      <c r="A490" s="5">
        <v>45566</v>
      </c>
      <c r="B490" s="6" t="s">
        <v>219</v>
      </c>
      <c r="C490" s="7" t="s">
        <v>7</v>
      </c>
      <c r="D490" s="7">
        <v>20</v>
      </c>
      <c r="E490" s="8">
        <v>89.5</v>
      </c>
      <c r="F490" s="9">
        <f t="shared" si="41"/>
        <v>1790</v>
      </c>
      <c r="K490" t="s">
        <v>489</v>
      </c>
      <c r="L490">
        <v>18.46</v>
      </c>
      <c r="M490" s="78">
        <v>-4.2</v>
      </c>
      <c r="N490" s="78">
        <v>-3.8</v>
      </c>
      <c r="O490" s="78">
        <v>-12.84</v>
      </c>
      <c r="P490" s="78">
        <v>-12.68</v>
      </c>
      <c r="Q490" s="78">
        <v>-3.8</v>
      </c>
      <c r="R490" s="78">
        <v>13.04</v>
      </c>
      <c r="S490" s="78">
        <v>266.27</v>
      </c>
      <c r="T490" s="78">
        <v>493.57</v>
      </c>
    </row>
    <row r="491" spans="1:20" x14ac:dyDescent="0.3">
      <c r="A491" s="5">
        <v>45566</v>
      </c>
      <c r="B491" s="6" t="s">
        <v>31</v>
      </c>
      <c r="C491" s="7" t="s">
        <v>7</v>
      </c>
      <c r="D491" s="7">
        <f>1137-325</f>
        <v>812</v>
      </c>
      <c r="E491" s="8">
        <v>0</v>
      </c>
      <c r="F491" s="9">
        <f t="shared" si="41"/>
        <v>0</v>
      </c>
      <c r="K491" t="s">
        <v>490</v>
      </c>
      <c r="L491">
        <v>38.020000000000003</v>
      </c>
      <c r="M491" s="78">
        <v>-3.4</v>
      </c>
      <c r="N491" s="78">
        <v>-8.43</v>
      </c>
      <c r="O491" s="78">
        <v>-2.86</v>
      </c>
      <c r="P491" s="78">
        <v>-19.18</v>
      </c>
      <c r="Q491" s="78">
        <v>-8.43</v>
      </c>
      <c r="R491" s="78">
        <v>-21.82</v>
      </c>
      <c r="S491" s="78">
        <v>189.57</v>
      </c>
      <c r="T491" s="78">
        <v>655.86</v>
      </c>
    </row>
    <row r="492" spans="1:20" x14ac:dyDescent="0.3">
      <c r="A492" s="10">
        <v>45567</v>
      </c>
      <c r="B492" s="11" t="s">
        <v>13</v>
      </c>
      <c r="C492" s="12" t="s">
        <v>9</v>
      </c>
      <c r="D492" s="12">
        <v>50</v>
      </c>
      <c r="E492" s="13">
        <v>14.5</v>
      </c>
      <c r="F492" s="14">
        <f t="shared" ref="F492:F506" si="42">+E492*D492</f>
        <v>725</v>
      </c>
      <c r="K492" t="s">
        <v>491</v>
      </c>
      <c r="L492">
        <v>4.04</v>
      </c>
      <c r="M492" s="78">
        <v>-5.39</v>
      </c>
      <c r="N492" s="78">
        <v>-14.77</v>
      </c>
      <c r="O492" s="78">
        <v>-1.46</v>
      </c>
      <c r="P492" s="78">
        <v>-5.61</v>
      </c>
      <c r="Q492" s="78">
        <v>-14.77</v>
      </c>
      <c r="R492" s="78">
        <v>5.21</v>
      </c>
      <c r="S492" s="78">
        <v>405</v>
      </c>
      <c r="T492" s="78">
        <v>353.93</v>
      </c>
    </row>
    <row r="493" spans="1:20" x14ac:dyDescent="0.3">
      <c r="A493" s="10">
        <v>45567</v>
      </c>
      <c r="B493" s="11" t="s">
        <v>13</v>
      </c>
      <c r="C493" s="12" t="s">
        <v>7</v>
      </c>
      <c r="D493" s="12">
        <v>50</v>
      </c>
      <c r="E493" s="13">
        <v>14</v>
      </c>
      <c r="F493" s="14">
        <f t="shared" si="42"/>
        <v>700</v>
      </c>
      <c r="K493" t="s">
        <v>492</v>
      </c>
      <c r="L493">
        <v>4.5199999999999996</v>
      </c>
      <c r="M493" s="78">
        <v>-6.22</v>
      </c>
      <c r="N493" s="78">
        <v>-16.14</v>
      </c>
      <c r="O493" s="78">
        <v>-9.0500000000000007</v>
      </c>
      <c r="P493" s="78">
        <v>-16.61</v>
      </c>
      <c r="Q493" s="78">
        <v>-16.14</v>
      </c>
      <c r="R493" s="78">
        <v>-3.42</v>
      </c>
      <c r="S493" s="78">
        <v>124.88</v>
      </c>
      <c r="T493" s="78">
        <v>261.60000000000002</v>
      </c>
    </row>
    <row r="494" spans="1:20" x14ac:dyDescent="0.3">
      <c r="A494" s="10">
        <v>45567</v>
      </c>
      <c r="B494" s="11" t="s">
        <v>19</v>
      </c>
      <c r="C494" s="12" t="s">
        <v>9</v>
      </c>
      <c r="D494" s="12">
        <v>50</v>
      </c>
      <c r="E494" s="13">
        <v>24</v>
      </c>
      <c r="F494" s="14">
        <f t="shared" si="42"/>
        <v>1200</v>
      </c>
      <c r="K494" t="s">
        <v>493</v>
      </c>
      <c r="L494">
        <v>121.8</v>
      </c>
      <c r="M494" s="78">
        <v>-2.0099999999999998</v>
      </c>
      <c r="N494" s="78">
        <v>-10.31</v>
      </c>
      <c r="O494" s="78">
        <v>30.41</v>
      </c>
      <c r="P494" s="78">
        <v>4.82</v>
      </c>
      <c r="Q494" s="78">
        <v>-10.31</v>
      </c>
      <c r="R494" s="78">
        <v>-30.12</v>
      </c>
      <c r="S494" s="78">
        <v>310.10000000000002</v>
      </c>
      <c r="T494" s="78">
        <v>3636.2</v>
      </c>
    </row>
    <row r="495" spans="1:20" x14ac:dyDescent="0.3">
      <c r="A495" s="10">
        <v>45567</v>
      </c>
      <c r="B495" s="11" t="s">
        <v>219</v>
      </c>
      <c r="C495" s="12" t="s">
        <v>9</v>
      </c>
      <c r="D495" s="12">
        <v>10</v>
      </c>
      <c r="E495" s="13">
        <v>92</v>
      </c>
      <c r="F495" s="14">
        <f t="shared" si="42"/>
        <v>920</v>
      </c>
      <c r="K495" t="s">
        <v>494</v>
      </c>
      <c r="L495">
        <v>15</v>
      </c>
      <c r="M495" s="78">
        <v>7.14</v>
      </c>
      <c r="N495" s="78">
        <v>-3.85</v>
      </c>
      <c r="O495" s="78">
        <v>52.75</v>
      </c>
      <c r="P495" s="78">
        <v>32.86</v>
      </c>
      <c r="Q495" s="78">
        <v>-3.85</v>
      </c>
      <c r="R495" s="78">
        <v>36.61</v>
      </c>
      <c r="S495" s="78"/>
      <c r="T495" s="78"/>
    </row>
    <row r="496" spans="1:20" x14ac:dyDescent="0.3">
      <c r="A496" s="5">
        <v>45567</v>
      </c>
      <c r="B496" s="6" t="s">
        <v>219</v>
      </c>
      <c r="C496" s="7" t="s">
        <v>7</v>
      </c>
      <c r="D496" s="7">
        <v>10</v>
      </c>
      <c r="E496" s="8">
        <v>90</v>
      </c>
      <c r="F496" s="9">
        <f t="shared" si="42"/>
        <v>900</v>
      </c>
      <c r="K496" t="s">
        <v>33</v>
      </c>
      <c r="L496">
        <v>32.979999999999997</v>
      </c>
      <c r="M496" s="78">
        <v>0.12</v>
      </c>
      <c r="N496" s="78">
        <v>12.87</v>
      </c>
      <c r="O496" s="78">
        <v>8.1999999999999993</v>
      </c>
      <c r="P496" s="78">
        <v>-10.38</v>
      </c>
      <c r="Q496" s="78">
        <v>12.87</v>
      </c>
      <c r="R496" s="78">
        <v>-13.44</v>
      </c>
      <c r="S496" s="78">
        <v>547.94000000000005</v>
      </c>
      <c r="T496" s="78">
        <v>215.3</v>
      </c>
    </row>
    <row r="497" spans="1:20" x14ac:dyDescent="0.3">
      <c r="A497" s="10">
        <v>45567</v>
      </c>
      <c r="B497" s="11" t="s">
        <v>379</v>
      </c>
      <c r="C497" s="12" t="s">
        <v>9</v>
      </c>
      <c r="D497" s="12">
        <v>20</v>
      </c>
      <c r="E497" s="13">
        <v>51</v>
      </c>
      <c r="F497" s="14">
        <f t="shared" si="42"/>
        <v>1020</v>
      </c>
      <c r="K497" t="s">
        <v>34</v>
      </c>
      <c r="L497">
        <v>44.14</v>
      </c>
      <c r="M497" s="78">
        <v>10.9</v>
      </c>
      <c r="N497" s="78">
        <v>8.61</v>
      </c>
      <c r="O497" s="78">
        <v>12.6</v>
      </c>
      <c r="P497" s="78">
        <v>-11.9</v>
      </c>
      <c r="Q497" s="78">
        <v>8.61</v>
      </c>
      <c r="R497" s="78">
        <v>-29.26</v>
      </c>
      <c r="S497" s="78"/>
      <c r="T497" s="78"/>
    </row>
    <row r="498" spans="1:20" x14ac:dyDescent="0.3">
      <c r="A498" s="10">
        <v>45567</v>
      </c>
      <c r="B498" s="11" t="s">
        <v>379</v>
      </c>
      <c r="C498" s="12" t="s">
        <v>7</v>
      </c>
      <c r="D498" s="12">
        <v>20</v>
      </c>
      <c r="E498" s="13">
        <v>48</v>
      </c>
      <c r="F498" s="14">
        <f t="shared" si="42"/>
        <v>960</v>
      </c>
      <c r="K498" t="s">
        <v>601</v>
      </c>
      <c r="L498">
        <v>27.76</v>
      </c>
      <c r="M498" s="78">
        <v>-1.21</v>
      </c>
      <c r="N498" s="78">
        <v>0.57999999999999996</v>
      </c>
      <c r="O498" s="78"/>
      <c r="P498" s="78"/>
      <c r="Q498" s="78">
        <v>0.57999999999999996</v>
      </c>
      <c r="R498" s="78"/>
      <c r="S498" s="78"/>
      <c r="T498" s="78"/>
    </row>
    <row r="499" spans="1:20" x14ac:dyDescent="0.3">
      <c r="A499" s="10">
        <v>45567</v>
      </c>
      <c r="B499" s="11" t="s">
        <v>128</v>
      </c>
      <c r="C499" s="12" t="s">
        <v>9</v>
      </c>
      <c r="D499" s="12">
        <v>25</v>
      </c>
      <c r="E499" s="13">
        <v>19.5</v>
      </c>
      <c r="F499" s="14">
        <f t="shared" si="42"/>
        <v>487.5</v>
      </c>
      <c r="K499" t="s">
        <v>495</v>
      </c>
      <c r="L499">
        <v>3.04</v>
      </c>
      <c r="M499" s="78">
        <v>-3.49</v>
      </c>
      <c r="N499" s="78">
        <v>-3.18</v>
      </c>
      <c r="O499" s="78">
        <v>9.35</v>
      </c>
      <c r="P499" s="78">
        <v>20.16</v>
      </c>
      <c r="Q499" s="78">
        <v>-3.18</v>
      </c>
      <c r="R499" s="78">
        <v>139.37</v>
      </c>
      <c r="S499" s="78">
        <v>230.43</v>
      </c>
      <c r="T499" s="78">
        <v>880.65</v>
      </c>
    </row>
    <row r="500" spans="1:20" x14ac:dyDescent="0.3">
      <c r="A500" s="10">
        <v>45567</v>
      </c>
      <c r="B500" s="11" t="s">
        <v>128</v>
      </c>
      <c r="C500" s="12" t="s">
        <v>7</v>
      </c>
      <c r="D500" s="12">
        <v>25</v>
      </c>
      <c r="E500" s="13">
        <v>19</v>
      </c>
      <c r="F500" s="14">
        <f t="shared" si="42"/>
        <v>475</v>
      </c>
      <c r="K500" t="s">
        <v>496</v>
      </c>
      <c r="L500">
        <v>5.03</v>
      </c>
      <c r="M500" s="78">
        <v>-4.7300000000000004</v>
      </c>
      <c r="N500" s="78">
        <v>-2.52</v>
      </c>
      <c r="O500" s="78">
        <v>-7.88</v>
      </c>
      <c r="P500" s="78">
        <v>-26.68</v>
      </c>
      <c r="Q500" s="78">
        <v>-2.52</v>
      </c>
      <c r="R500" s="78">
        <v>-38.659999999999997</v>
      </c>
      <c r="S500" s="78"/>
      <c r="T500" s="78"/>
    </row>
    <row r="501" spans="1:20" x14ac:dyDescent="0.3">
      <c r="A501" s="10">
        <v>45567</v>
      </c>
      <c r="B501" s="11" t="s">
        <v>14</v>
      </c>
      <c r="C501" s="12" t="s">
        <v>7</v>
      </c>
      <c r="D501" s="12">
        <v>10</v>
      </c>
      <c r="E501" s="13">
        <v>133</v>
      </c>
      <c r="F501" s="14">
        <f t="shared" si="42"/>
        <v>1330</v>
      </c>
      <c r="K501" t="s">
        <v>497</v>
      </c>
      <c r="L501">
        <v>59.55</v>
      </c>
      <c r="M501" s="78">
        <v>0.08</v>
      </c>
      <c r="N501" s="78">
        <v>14.52</v>
      </c>
      <c r="O501" s="78">
        <v>9.4700000000000006</v>
      </c>
      <c r="P501" s="78">
        <v>-2.38</v>
      </c>
      <c r="Q501" s="78">
        <v>14.52</v>
      </c>
      <c r="R501" s="78">
        <v>86.21</v>
      </c>
      <c r="S501" s="78">
        <v>143.06</v>
      </c>
      <c r="T501" s="78">
        <v>1911.82</v>
      </c>
    </row>
    <row r="502" spans="1:20" x14ac:dyDescent="0.3">
      <c r="A502" s="10">
        <v>45567</v>
      </c>
      <c r="B502" s="11" t="s">
        <v>379</v>
      </c>
      <c r="C502" s="12" t="s">
        <v>7</v>
      </c>
      <c r="D502" s="12">
        <v>30</v>
      </c>
      <c r="E502" s="13">
        <v>47</v>
      </c>
      <c r="F502" s="14">
        <f t="shared" si="42"/>
        <v>1410</v>
      </c>
      <c r="K502" t="s">
        <v>498</v>
      </c>
      <c r="L502">
        <v>58.65</v>
      </c>
      <c r="M502" s="78">
        <v>-1.76</v>
      </c>
      <c r="N502" s="78">
        <v>-6.38</v>
      </c>
      <c r="O502" s="78">
        <v>-5.86</v>
      </c>
      <c r="P502" s="78">
        <v>-19.100000000000001</v>
      </c>
      <c r="Q502" s="78">
        <v>-6.38</v>
      </c>
      <c r="R502" s="78">
        <v>-36.770000000000003</v>
      </c>
      <c r="S502" s="78">
        <v>556.77</v>
      </c>
      <c r="T502" s="78">
        <v>1203.33</v>
      </c>
    </row>
    <row r="503" spans="1:20" x14ac:dyDescent="0.3">
      <c r="A503" s="10">
        <v>45567</v>
      </c>
      <c r="B503" s="11" t="s">
        <v>498</v>
      </c>
      <c r="C503" s="12" t="s">
        <v>7</v>
      </c>
      <c r="D503" s="12">
        <v>20</v>
      </c>
      <c r="E503" s="13">
        <v>63</v>
      </c>
      <c r="F503" s="14">
        <f t="shared" si="42"/>
        <v>1260</v>
      </c>
      <c r="K503" t="s">
        <v>499</v>
      </c>
      <c r="L503">
        <v>99.35</v>
      </c>
      <c r="M503" s="78">
        <v>-4.0999999999999996</v>
      </c>
      <c r="N503" s="78">
        <v>-6.98</v>
      </c>
      <c r="O503" s="78">
        <v>-12.85</v>
      </c>
      <c r="P503" s="78">
        <v>-31.48</v>
      </c>
      <c r="Q503" s="78">
        <v>-6.98</v>
      </c>
      <c r="R503" s="78">
        <v>9.66</v>
      </c>
      <c r="S503" s="78">
        <v>295.19</v>
      </c>
      <c r="T503" s="78">
        <v>1642.98</v>
      </c>
    </row>
    <row r="504" spans="1:20" x14ac:dyDescent="0.3">
      <c r="A504" s="10">
        <v>45567</v>
      </c>
      <c r="B504" s="11" t="s">
        <v>6</v>
      </c>
      <c r="C504" s="12" t="s">
        <v>7</v>
      </c>
      <c r="D504" s="12">
        <v>100</v>
      </c>
      <c r="E504" s="13">
        <v>36</v>
      </c>
      <c r="F504" s="14">
        <f t="shared" si="42"/>
        <v>3600</v>
      </c>
      <c r="K504" t="s">
        <v>500</v>
      </c>
      <c r="L504">
        <v>11.75</v>
      </c>
      <c r="M504" s="78">
        <v>-3.21</v>
      </c>
      <c r="N504" s="78">
        <v>-7.04</v>
      </c>
      <c r="O504" s="78">
        <v>-14.98</v>
      </c>
      <c r="P504" s="78">
        <v>-14.05</v>
      </c>
      <c r="Q504" s="78">
        <v>-7.04</v>
      </c>
      <c r="R504" s="78">
        <v>-43.51</v>
      </c>
      <c r="S504" s="78"/>
      <c r="T504" s="78"/>
    </row>
    <row r="505" spans="1:20" x14ac:dyDescent="0.3">
      <c r="A505" s="10">
        <v>45567</v>
      </c>
      <c r="B505" s="11" t="s">
        <v>19</v>
      </c>
      <c r="C505" s="12" t="s">
        <v>7</v>
      </c>
      <c r="D505" s="12">
        <v>50</v>
      </c>
      <c r="E505" s="13">
        <v>23</v>
      </c>
      <c r="F505" s="14">
        <f t="shared" si="42"/>
        <v>1150</v>
      </c>
      <c r="K505" t="s">
        <v>501</v>
      </c>
      <c r="L505">
        <v>38.9</v>
      </c>
      <c r="M505" s="78">
        <v>-1.1200000000000001</v>
      </c>
      <c r="N505" s="78">
        <v>-5.58</v>
      </c>
      <c r="O505" s="78">
        <v>-1.02</v>
      </c>
      <c r="P505" s="78">
        <v>-33.799999999999997</v>
      </c>
      <c r="Q505" s="78">
        <v>-5.58</v>
      </c>
      <c r="R505" s="78">
        <v>-36.24</v>
      </c>
      <c r="S505" s="78">
        <v>174.72</v>
      </c>
      <c r="T505" s="78">
        <v>272.95999999999998</v>
      </c>
    </row>
    <row r="506" spans="1:20" x14ac:dyDescent="0.3">
      <c r="A506" s="10">
        <v>45567</v>
      </c>
      <c r="B506" s="11" t="s">
        <v>451</v>
      </c>
      <c r="C506" s="12" t="s">
        <v>7</v>
      </c>
      <c r="D506" s="12">
        <v>29</v>
      </c>
      <c r="E506" s="13">
        <v>21</v>
      </c>
      <c r="F506" s="14">
        <f t="shared" si="42"/>
        <v>609</v>
      </c>
      <c r="K506" t="s">
        <v>502</v>
      </c>
      <c r="L506">
        <v>89.25</v>
      </c>
      <c r="M506" s="78">
        <v>-0.94</v>
      </c>
      <c r="N506" s="78">
        <v>0.06</v>
      </c>
      <c r="O506" s="78">
        <v>16.97</v>
      </c>
      <c r="P506" s="78">
        <v>1.1299999999999999</v>
      </c>
      <c r="Q506" s="78">
        <v>0.06</v>
      </c>
      <c r="R506" s="78">
        <v>36.26</v>
      </c>
      <c r="S506" s="78">
        <v>123.24</v>
      </c>
      <c r="T506" s="78">
        <v>1674.35</v>
      </c>
    </row>
    <row r="507" spans="1:20" x14ac:dyDescent="0.3">
      <c r="A507" s="10">
        <v>45568</v>
      </c>
      <c r="B507" s="11" t="s">
        <v>451</v>
      </c>
      <c r="C507" s="12" t="s">
        <v>9</v>
      </c>
      <c r="D507" s="12">
        <v>50</v>
      </c>
      <c r="E507" s="13">
        <v>22</v>
      </c>
      <c r="F507" s="14">
        <f t="shared" ref="F507:F517" si="43">+E507*D507</f>
        <v>1100</v>
      </c>
      <c r="K507" t="s">
        <v>503</v>
      </c>
      <c r="L507">
        <v>235</v>
      </c>
      <c r="M507" s="78">
        <v>-8.2899999999999991</v>
      </c>
      <c r="N507" s="78">
        <v>-16.96</v>
      </c>
      <c r="O507" s="78">
        <v>-14.47</v>
      </c>
      <c r="P507" s="78">
        <v>-31.29</v>
      </c>
      <c r="Q507" s="78">
        <v>-16.96</v>
      </c>
      <c r="R507" s="78">
        <v>-29.85</v>
      </c>
      <c r="S507" s="78">
        <v>124.02</v>
      </c>
      <c r="T507" s="78">
        <v>1710.48</v>
      </c>
    </row>
    <row r="508" spans="1:20" x14ac:dyDescent="0.3">
      <c r="A508" s="5">
        <v>45568</v>
      </c>
      <c r="B508" s="6" t="s">
        <v>33</v>
      </c>
      <c r="C508" s="12" t="s">
        <v>9</v>
      </c>
      <c r="D508" s="7">
        <v>200</v>
      </c>
      <c r="E508" s="8">
        <v>29.28</v>
      </c>
      <c r="F508" s="9">
        <f t="shared" si="43"/>
        <v>5856</v>
      </c>
      <c r="K508" t="s">
        <v>504</v>
      </c>
      <c r="L508">
        <v>315.5</v>
      </c>
      <c r="M508" s="78">
        <v>-6.93</v>
      </c>
      <c r="N508" s="78">
        <v>-4.3899999999999997</v>
      </c>
      <c r="O508" s="78">
        <v>-1.79</v>
      </c>
      <c r="P508" s="78">
        <v>-15.3</v>
      </c>
      <c r="Q508" s="78">
        <v>-4.3899999999999997</v>
      </c>
      <c r="R508" s="78">
        <v>11.09</v>
      </c>
      <c r="S508" s="78">
        <v>293.58999999999997</v>
      </c>
      <c r="T508" s="78">
        <v>2978.05</v>
      </c>
    </row>
    <row r="509" spans="1:20" x14ac:dyDescent="0.3">
      <c r="A509" s="5">
        <v>45568</v>
      </c>
      <c r="B509" s="6" t="s">
        <v>451</v>
      </c>
      <c r="C509" s="12" t="s">
        <v>9</v>
      </c>
      <c r="D509" s="7">
        <v>29</v>
      </c>
      <c r="E509" s="8">
        <v>22.76</v>
      </c>
      <c r="F509" s="9">
        <f t="shared" si="43"/>
        <v>660.04000000000008</v>
      </c>
      <c r="K509" t="s">
        <v>505</v>
      </c>
      <c r="L509">
        <v>36.58</v>
      </c>
      <c r="M509" s="78">
        <v>-7.53</v>
      </c>
      <c r="N509" s="78">
        <v>-3.84</v>
      </c>
      <c r="O509" s="78">
        <v>80.91</v>
      </c>
      <c r="P509" s="78">
        <v>91.62</v>
      </c>
      <c r="Q509" s="78">
        <v>-3.84</v>
      </c>
      <c r="R509" s="78">
        <v>118.91</v>
      </c>
      <c r="S509" s="78"/>
      <c r="T509" s="78"/>
    </row>
    <row r="510" spans="1:20" x14ac:dyDescent="0.3">
      <c r="A510" s="5">
        <v>45568</v>
      </c>
      <c r="B510" s="6" t="s">
        <v>22</v>
      </c>
      <c r="C510" s="7" t="s">
        <v>7</v>
      </c>
      <c r="D510" s="7">
        <v>20</v>
      </c>
      <c r="E510" s="8">
        <v>54.8</v>
      </c>
      <c r="F510" s="9">
        <f t="shared" si="43"/>
        <v>1096</v>
      </c>
      <c r="K510" t="s">
        <v>506</v>
      </c>
      <c r="L510">
        <v>44.54</v>
      </c>
      <c r="M510" s="78">
        <v>-2.2799999999999998</v>
      </c>
      <c r="N510" s="78">
        <v>6.3</v>
      </c>
      <c r="O510" s="78">
        <v>-39.4</v>
      </c>
      <c r="P510" s="78">
        <v>-19.02</v>
      </c>
      <c r="Q510" s="78">
        <v>6.3</v>
      </c>
      <c r="R510" s="78">
        <v>-7.67</v>
      </c>
      <c r="S510" s="78"/>
      <c r="T510" s="78"/>
    </row>
    <row r="511" spans="1:20" x14ac:dyDescent="0.3">
      <c r="A511" s="5">
        <v>45568</v>
      </c>
      <c r="B511" s="6" t="s">
        <v>379</v>
      </c>
      <c r="C511" s="7" t="s">
        <v>7</v>
      </c>
      <c r="D511" s="7">
        <v>100</v>
      </c>
      <c r="E511" s="8">
        <v>45</v>
      </c>
      <c r="F511" s="9">
        <f t="shared" si="43"/>
        <v>4500</v>
      </c>
      <c r="K511" t="s">
        <v>507</v>
      </c>
      <c r="L511">
        <v>21.62</v>
      </c>
      <c r="M511" s="78">
        <v>-8.6199999999999992</v>
      </c>
      <c r="N511" s="78">
        <v>-29.62</v>
      </c>
      <c r="O511" s="78">
        <v>-26.56</v>
      </c>
      <c r="P511" s="78">
        <v>-34.82</v>
      </c>
      <c r="Q511" s="78">
        <v>-29.62</v>
      </c>
      <c r="R511" s="78">
        <v>9.6300000000000008</v>
      </c>
      <c r="S511" s="78"/>
      <c r="T511" s="78"/>
    </row>
    <row r="512" spans="1:20" x14ac:dyDescent="0.3">
      <c r="A512" s="5">
        <v>45568</v>
      </c>
      <c r="B512" s="6" t="s">
        <v>33</v>
      </c>
      <c r="C512" s="7" t="s">
        <v>9</v>
      </c>
      <c r="D512" s="7">
        <v>500</v>
      </c>
      <c r="E512" s="8">
        <v>29.28</v>
      </c>
      <c r="F512" s="9">
        <f t="shared" si="43"/>
        <v>14640</v>
      </c>
      <c r="K512" t="s">
        <v>508</v>
      </c>
      <c r="L512">
        <v>162.19999999999999</v>
      </c>
      <c r="M512" s="78">
        <v>-1.4</v>
      </c>
      <c r="N512" s="78">
        <v>8.2799999999999994</v>
      </c>
      <c r="O512" s="78">
        <v>20.059999999999999</v>
      </c>
      <c r="P512" s="78">
        <v>-13.26</v>
      </c>
      <c r="Q512" s="78">
        <v>8.2799999999999994</v>
      </c>
      <c r="R512" s="78">
        <v>15.53</v>
      </c>
      <c r="S512" s="78"/>
      <c r="T512" s="78"/>
    </row>
    <row r="513" spans="1:20" x14ac:dyDescent="0.3">
      <c r="A513" s="5">
        <v>45568</v>
      </c>
      <c r="B513" s="6" t="s">
        <v>32</v>
      </c>
      <c r="C513" s="7" t="s">
        <v>7</v>
      </c>
      <c r="D513" s="7">
        <v>20</v>
      </c>
      <c r="E513" s="8">
        <v>86.3</v>
      </c>
      <c r="F513" s="9">
        <f t="shared" si="43"/>
        <v>1726</v>
      </c>
      <c r="K513" t="s">
        <v>35</v>
      </c>
      <c r="L513">
        <v>395.25</v>
      </c>
      <c r="M513" s="78">
        <v>-4.47</v>
      </c>
      <c r="N513" s="78">
        <v>-9.5500000000000007</v>
      </c>
      <c r="O513" s="78">
        <v>-2.11</v>
      </c>
      <c r="P513" s="78">
        <v>-20.39</v>
      </c>
      <c r="Q513" s="78">
        <v>-9.5500000000000007</v>
      </c>
      <c r="R513" s="78">
        <v>-50.9</v>
      </c>
      <c r="S513" s="78"/>
      <c r="T513" s="78"/>
    </row>
    <row r="514" spans="1:20" x14ac:dyDescent="0.3">
      <c r="A514" s="5">
        <v>45568</v>
      </c>
      <c r="B514" s="6" t="s">
        <v>220</v>
      </c>
      <c r="C514" s="7" t="s">
        <v>7</v>
      </c>
      <c r="D514" s="7">
        <v>50</v>
      </c>
      <c r="E514" s="8">
        <v>49.9</v>
      </c>
      <c r="F514" s="9">
        <f t="shared" si="43"/>
        <v>2495</v>
      </c>
      <c r="K514" t="s">
        <v>509</v>
      </c>
      <c r="L514">
        <v>43.22</v>
      </c>
      <c r="M514" s="78">
        <v>-8.0399999999999991</v>
      </c>
      <c r="N514" s="78">
        <v>4.4000000000000004</v>
      </c>
      <c r="O514" s="78">
        <v>36.25</v>
      </c>
      <c r="P514" s="78">
        <v>28.94</v>
      </c>
      <c r="Q514" s="78">
        <v>4.4000000000000004</v>
      </c>
      <c r="R514" s="78">
        <v>-1.28</v>
      </c>
      <c r="S514" s="78"/>
      <c r="T514" s="78"/>
    </row>
    <row r="515" spans="1:20" x14ac:dyDescent="0.3">
      <c r="A515" s="5">
        <v>45568</v>
      </c>
      <c r="B515" s="6" t="s">
        <v>22</v>
      </c>
      <c r="C515" s="7" t="s">
        <v>7</v>
      </c>
      <c r="D515" s="7">
        <v>40</v>
      </c>
      <c r="E515" s="8">
        <v>54.35</v>
      </c>
      <c r="F515" s="9">
        <f t="shared" si="43"/>
        <v>2174</v>
      </c>
      <c r="K515" t="s">
        <v>510</v>
      </c>
      <c r="L515">
        <v>12.61</v>
      </c>
      <c r="M515" s="78">
        <v>-3.07</v>
      </c>
      <c r="N515" s="78">
        <v>-5.61</v>
      </c>
      <c r="O515" s="78">
        <v>-11.2</v>
      </c>
      <c r="P515" s="78">
        <v>-16.600000000000001</v>
      </c>
      <c r="Q515" s="78">
        <v>-5.61</v>
      </c>
      <c r="R515" s="78">
        <v>-33.25</v>
      </c>
      <c r="S515" s="78">
        <v>79.12</v>
      </c>
      <c r="T515" s="78">
        <v>228.39</v>
      </c>
    </row>
    <row r="516" spans="1:20" x14ac:dyDescent="0.3">
      <c r="A516" s="5">
        <v>45568</v>
      </c>
      <c r="B516" s="6" t="s">
        <v>206</v>
      </c>
      <c r="C516" s="7" t="s">
        <v>7</v>
      </c>
      <c r="D516" s="7">
        <v>200</v>
      </c>
      <c r="E516" s="8">
        <v>9.9</v>
      </c>
      <c r="F516" s="9">
        <f t="shared" si="43"/>
        <v>1980</v>
      </c>
      <c r="K516" t="s">
        <v>46</v>
      </c>
      <c r="L516">
        <v>277.75</v>
      </c>
      <c r="M516" s="78">
        <v>-2.63</v>
      </c>
      <c r="N516" s="78">
        <v>1.37</v>
      </c>
      <c r="O516" s="78">
        <v>20.6</v>
      </c>
      <c r="P516" s="78">
        <v>7.34</v>
      </c>
      <c r="Q516" s="78">
        <v>1.37</v>
      </c>
      <c r="R516" s="78">
        <v>100.83</v>
      </c>
      <c r="S516" s="78">
        <v>656.4</v>
      </c>
      <c r="T516" s="78">
        <v>995.23</v>
      </c>
    </row>
    <row r="517" spans="1:20" x14ac:dyDescent="0.3">
      <c r="A517" s="5">
        <v>45568</v>
      </c>
      <c r="B517" s="6" t="s">
        <v>379</v>
      </c>
      <c r="C517" s="7" t="s">
        <v>7</v>
      </c>
      <c r="D517" s="7">
        <v>130</v>
      </c>
      <c r="E517" s="8">
        <v>44.5</v>
      </c>
      <c r="F517" s="9">
        <f t="shared" si="43"/>
        <v>5785</v>
      </c>
      <c r="K517" t="s">
        <v>511</v>
      </c>
      <c r="L517">
        <v>131.19999999999999</v>
      </c>
      <c r="M517" s="78">
        <v>-0.3</v>
      </c>
      <c r="N517" s="78">
        <v>-9.4499999999999993</v>
      </c>
      <c r="O517" s="78">
        <v>-4.3</v>
      </c>
      <c r="P517" s="78">
        <v>28.45</v>
      </c>
      <c r="Q517" s="78">
        <v>-9.4499999999999993</v>
      </c>
      <c r="R517" s="78">
        <v>81.040000000000006</v>
      </c>
      <c r="S517" s="78">
        <v>704.91</v>
      </c>
      <c r="T517" s="78">
        <v>863.29</v>
      </c>
    </row>
    <row r="518" spans="1:20" x14ac:dyDescent="0.3">
      <c r="A518" s="10">
        <v>45569</v>
      </c>
      <c r="B518" s="11" t="s">
        <v>22</v>
      </c>
      <c r="C518" s="12" t="s">
        <v>9</v>
      </c>
      <c r="D518" s="12">
        <v>20</v>
      </c>
      <c r="E518" s="13">
        <v>56</v>
      </c>
      <c r="F518" s="14">
        <f t="shared" ref="F518:F555" si="44">+E518*D518</f>
        <v>1120</v>
      </c>
      <c r="K518" t="s">
        <v>512</v>
      </c>
      <c r="L518">
        <v>108.1</v>
      </c>
      <c r="M518" s="78">
        <v>1.6</v>
      </c>
      <c r="N518" s="78">
        <v>16.489999999999998</v>
      </c>
      <c r="O518" s="78">
        <v>31.54</v>
      </c>
      <c r="P518" s="78">
        <v>5.57</v>
      </c>
      <c r="Q518" s="78">
        <v>16.489999999999998</v>
      </c>
      <c r="R518" s="78">
        <v>62.63</v>
      </c>
      <c r="S518" s="78">
        <v>528.12</v>
      </c>
      <c r="T518" s="78">
        <v>820</v>
      </c>
    </row>
    <row r="519" spans="1:20" x14ac:dyDescent="0.3">
      <c r="A519" s="5">
        <v>45569</v>
      </c>
      <c r="B519" s="6" t="s">
        <v>206</v>
      </c>
      <c r="C519" s="12" t="s">
        <v>9</v>
      </c>
      <c r="D519" s="7">
        <v>50</v>
      </c>
      <c r="E519" s="8">
        <v>10</v>
      </c>
      <c r="F519" s="9">
        <f t="shared" si="44"/>
        <v>500</v>
      </c>
      <c r="K519" t="s">
        <v>579</v>
      </c>
      <c r="L519">
        <v>34.700000000000003</v>
      </c>
      <c r="M519" s="78">
        <v>7.1</v>
      </c>
      <c r="N519" s="78">
        <v>10.79</v>
      </c>
      <c r="O519" s="78">
        <v>40.71</v>
      </c>
      <c r="P519" s="78"/>
      <c r="Q519" s="78">
        <v>10.79</v>
      </c>
      <c r="R519" s="78"/>
      <c r="S519" s="78"/>
      <c r="T519" s="78"/>
    </row>
    <row r="520" spans="1:20" x14ac:dyDescent="0.3">
      <c r="A520" s="5">
        <v>45569</v>
      </c>
      <c r="B520" s="6" t="s">
        <v>22</v>
      </c>
      <c r="C520" s="12" t="s">
        <v>9</v>
      </c>
      <c r="D520" s="7">
        <v>20</v>
      </c>
      <c r="E520" s="8">
        <v>55</v>
      </c>
      <c r="F520" s="9">
        <f t="shared" si="44"/>
        <v>1100</v>
      </c>
      <c r="K520" t="s">
        <v>55</v>
      </c>
      <c r="L520">
        <v>15.87</v>
      </c>
      <c r="M520" s="78">
        <v>18.88</v>
      </c>
      <c r="N520" s="78">
        <v>36.340000000000003</v>
      </c>
      <c r="O520" s="78">
        <v>28.81</v>
      </c>
      <c r="P520" s="78">
        <v>48.04</v>
      </c>
      <c r="Q520" s="78">
        <v>36.340000000000003</v>
      </c>
      <c r="R520" s="78">
        <v>77.319999999999993</v>
      </c>
      <c r="S520" s="78">
        <v>462.77</v>
      </c>
      <c r="T520" s="78">
        <v>1268.0999999999999</v>
      </c>
    </row>
    <row r="521" spans="1:20" x14ac:dyDescent="0.3">
      <c r="A521" s="5">
        <v>45569</v>
      </c>
      <c r="B521" s="6" t="s">
        <v>16</v>
      </c>
      <c r="C521" s="7" t="s">
        <v>9</v>
      </c>
      <c r="D521" s="7">
        <v>5</v>
      </c>
      <c r="E521" s="8">
        <v>160</v>
      </c>
      <c r="F521" s="9">
        <f t="shared" si="44"/>
        <v>800</v>
      </c>
      <c r="K521" t="s">
        <v>513</v>
      </c>
      <c r="L521">
        <v>4.18</v>
      </c>
      <c r="M521" s="78">
        <v>-7.32</v>
      </c>
      <c r="N521" s="78">
        <v>-7.11</v>
      </c>
      <c r="O521" s="78">
        <v>-9.1300000000000008</v>
      </c>
      <c r="P521" s="78">
        <v>-22.74</v>
      </c>
      <c r="Q521" s="78">
        <v>-7.11</v>
      </c>
      <c r="R521" s="78">
        <v>18.41</v>
      </c>
      <c r="S521" s="78">
        <v>145.88</v>
      </c>
      <c r="T521" s="78">
        <v>202.9</v>
      </c>
    </row>
    <row r="522" spans="1:20" x14ac:dyDescent="0.3">
      <c r="A522" s="5">
        <v>45569</v>
      </c>
      <c r="B522" s="6" t="s">
        <v>19</v>
      </c>
      <c r="C522" s="7" t="s">
        <v>9</v>
      </c>
      <c r="D522" s="7">
        <v>50</v>
      </c>
      <c r="E522" s="8">
        <v>22</v>
      </c>
      <c r="F522" s="9">
        <f t="shared" si="44"/>
        <v>1100</v>
      </c>
      <c r="K522" t="s">
        <v>514</v>
      </c>
      <c r="L522">
        <v>39.36</v>
      </c>
      <c r="M522" s="78">
        <v>-10.42</v>
      </c>
      <c r="N522" s="78">
        <v>16.8</v>
      </c>
      <c r="O522" s="78">
        <v>50.23</v>
      </c>
      <c r="P522" s="78">
        <v>208.71</v>
      </c>
      <c r="Q522" s="78">
        <v>16.8</v>
      </c>
      <c r="R522" s="78">
        <v>198.86</v>
      </c>
      <c r="S522" s="78"/>
      <c r="T522" s="78"/>
    </row>
    <row r="523" spans="1:20" x14ac:dyDescent="0.3">
      <c r="A523" s="5">
        <v>45569</v>
      </c>
      <c r="B523" s="6" t="s">
        <v>20</v>
      </c>
      <c r="C523" s="7" t="s">
        <v>9</v>
      </c>
      <c r="D523" s="7">
        <v>50</v>
      </c>
      <c r="E523" s="8">
        <v>14</v>
      </c>
      <c r="F523" s="9">
        <f t="shared" si="44"/>
        <v>700</v>
      </c>
      <c r="K523" t="s">
        <v>515</v>
      </c>
      <c r="M523" s="78"/>
      <c r="N523" s="78"/>
      <c r="O523" s="78"/>
      <c r="P523" s="78"/>
      <c r="Q523" s="78"/>
      <c r="R523" s="78"/>
      <c r="S523" s="78"/>
      <c r="T523" s="78"/>
    </row>
    <row r="524" spans="1:20" x14ac:dyDescent="0.3">
      <c r="A524" s="5">
        <v>45569</v>
      </c>
      <c r="B524" s="6" t="s">
        <v>51</v>
      </c>
      <c r="C524" s="7" t="s">
        <v>9</v>
      </c>
      <c r="D524" s="7">
        <v>50</v>
      </c>
      <c r="E524" s="8">
        <v>9.6</v>
      </c>
      <c r="F524" s="9">
        <f t="shared" si="44"/>
        <v>480</v>
      </c>
      <c r="K524" t="s">
        <v>516</v>
      </c>
      <c r="L524">
        <v>17.48</v>
      </c>
      <c r="M524" s="78">
        <v>6.59</v>
      </c>
      <c r="N524" s="78">
        <v>12.41</v>
      </c>
      <c r="O524" s="78">
        <v>17.16</v>
      </c>
      <c r="P524" s="78">
        <v>18.11</v>
      </c>
      <c r="Q524" s="78">
        <v>12.41</v>
      </c>
      <c r="R524" s="78">
        <v>2.7</v>
      </c>
      <c r="S524" s="78">
        <v>478.81</v>
      </c>
      <c r="T524" s="78"/>
    </row>
    <row r="525" spans="1:20" x14ac:dyDescent="0.3">
      <c r="A525" s="5">
        <v>45569</v>
      </c>
      <c r="B525" s="6" t="s">
        <v>142</v>
      </c>
      <c r="C525" s="7" t="s">
        <v>9</v>
      </c>
      <c r="D525" s="7">
        <v>50</v>
      </c>
      <c r="E525" s="8">
        <v>19</v>
      </c>
      <c r="F525" s="9">
        <f t="shared" si="44"/>
        <v>950</v>
      </c>
      <c r="K525" t="s">
        <v>517</v>
      </c>
      <c r="L525">
        <v>58.1</v>
      </c>
      <c r="M525" s="78">
        <v>-6.21</v>
      </c>
      <c r="N525" s="78">
        <v>-6.29</v>
      </c>
      <c r="O525" s="78">
        <v>-2.84</v>
      </c>
      <c r="P525" s="78">
        <v>-15.92</v>
      </c>
      <c r="Q525" s="78">
        <v>-6.29</v>
      </c>
      <c r="R525" s="78">
        <v>81.11</v>
      </c>
      <c r="S525" s="78">
        <v>287.58999999999997</v>
      </c>
      <c r="T525" s="78">
        <v>935.65</v>
      </c>
    </row>
    <row r="526" spans="1:20" x14ac:dyDescent="0.3">
      <c r="A526" s="5">
        <v>45569</v>
      </c>
      <c r="B526" s="6" t="s">
        <v>498</v>
      </c>
      <c r="C526" s="7" t="s">
        <v>9</v>
      </c>
      <c r="D526" s="7">
        <v>40</v>
      </c>
      <c r="E526" s="8">
        <v>62</v>
      </c>
      <c r="F526" s="9">
        <f t="shared" si="44"/>
        <v>2480</v>
      </c>
      <c r="K526" t="s">
        <v>36</v>
      </c>
      <c r="L526">
        <v>317</v>
      </c>
      <c r="M526" s="78">
        <v>2.59</v>
      </c>
      <c r="N526" s="78">
        <v>12.81</v>
      </c>
      <c r="O526" s="78">
        <v>16.329999999999998</v>
      </c>
      <c r="P526" s="78">
        <v>9.59</v>
      </c>
      <c r="Q526" s="78">
        <v>12.81</v>
      </c>
      <c r="R526" s="78">
        <v>16.22</v>
      </c>
      <c r="S526" s="78">
        <v>1003.76</v>
      </c>
      <c r="T526" s="78">
        <v>2217.25</v>
      </c>
    </row>
    <row r="527" spans="1:20" x14ac:dyDescent="0.3">
      <c r="A527" s="5">
        <v>45569</v>
      </c>
      <c r="B527" s="6" t="s">
        <v>451</v>
      </c>
      <c r="C527" s="7" t="s">
        <v>9</v>
      </c>
      <c r="D527" s="7">
        <v>50</v>
      </c>
      <c r="E527" s="8">
        <v>24.5</v>
      </c>
      <c r="F527" s="9">
        <f t="shared" si="44"/>
        <v>1225</v>
      </c>
      <c r="K527" t="s">
        <v>518</v>
      </c>
      <c r="L527">
        <v>63.75</v>
      </c>
      <c r="M527" s="78">
        <v>0</v>
      </c>
      <c r="N527" s="78">
        <v>-11.52</v>
      </c>
      <c r="O527" s="78">
        <v>-15.17</v>
      </c>
      <c r="P527" s="78">
        <v>10.39</v>
      </c>
      <c r="Q527" s="78">
        <v>-11.52</v>
      </c>
      <c r="R527" s="78">
        <v>52.58</v>
      </c>
      <c r="S527" s="78">
        <v>184.73</v>
      </c>
      <c r="T527" s="78">
        <v>303.99</v>
      </c>
    </row>
    <row r="528" spans="1:20" x14ac:dyDescent="0.3">
      <c r="A528" s="5">
        <v>45569</v>
      </c>
      <c r="B528" s="6" t="s">
        <v>32</v>
      </c>
      <c r="C528" s="7" t="s">
        <v>9</v>
      </c>
      <c r="D528" s="7">
        <v>10</v>
      </c>
      <c r="E528" s="8">
        <v>89</v>
      </c>
      <c r="F528" s="9">
        <f t="shared" si="44"/>
        <v>890</v>
      </c>
      <c r="K528" t="s">
        <v>519</v>
      </c>
      <c r="L528">
        <v>28.94</v>
      </c>
      <c r="M528" s="78">
        <v>4.18</v>
      </c>
      <c r="N528" s="78">
        <v>-27.65</v>
      </c>
      <c r="O528" s="78">
        <v>11.05</v>
      </c>
      <c r="P528" s="78">
        <v>-7.18</v>
      </c>
      <c r="Q528" s="78">
        <v>-27.65</v>
      </c>
      <c r="R528" s="78">
        <v>-26.73</v>
      </c>
      <c r="S528" s="78">
        <v>287.42</v>
      </c>
      <c r="T528" s="78">
        <v>405.94</v>
      </c>
    </row>
    <row r="529" spans="1:20" x14ac:dyDescent="0.3">
      <c r="A529" s="5">
        <v>45569</v>
      </c>
      <c r="B529" s="6" t="s">
        <v>33</v>
      </c>
      <c r="C529" s="7" t="s">
        <v>7</v>
      </c>
      <c r="D529" s="7">
        <v>120</v>
      </c>
      <c r="E529" s="8">
        <v>28</v>
      </c>
      <c r="F529" s="9">
        <f t="shared" si="44"/>
        <v>3360</v>
      </c>
      <c r="K529" t="s">
        <v>520</v>
      </c>
      <c r="L529">
        <v>91</v>
      </c>
      <c r="M529" s="78">
        <v>-5.01</v>
      </c>
      <c r="N529" s="78">
        <v>-4.0599999999999996</v>
      </c>
      <c r="O529" s="78">
        <v>0.22</v>
      </c>
      <c r="P529" s="78">
        <v>-11.65</v>
      </c>
      <c r="Q529" s="78">
        <v>-4.0599999999999996</v>
      </c>
      <c r="R529" s="78">
        <v>-1.73</v>
      </c>
      <c r="S529" s="78">
        <v>208.16</v>
      </c>
      <c r="T529" s="78">
        <v>712.5</v>
      </c>
    </row>
    <row r="530" spans="1:20" x14ac:dyDescent="0.3">
      <c r="A530" s="5">
        <v>45569</v>
      </c>
      <c r="B530" s="6" t="s">
        <v>16</v>
      </c>
      <c r="C530" s="7" t="s">
        <v>9</v>
      </c>
      <c r="D530" s="7">
        <v>25</v>
      </c>
      <c r="E530" s="8">
        <v>160.9</v>
      </c>
      <c r="F530" s="9">
        <f t="shared" si="44"/>
        <v>4022.5</v>
      </c>
      <c r="K530" t="s">
        <v>521</v>
      </c>
      <c r="L530">
        <v>86.5</v>
      </c>
      <c r="M530" s="78">
        <v>4.03</v>
      </c>
      <c r="N530" s="78">
        <v>15.72</v>
      </c>
      <c r="O530" s="78">
        <v>30.86</v>
      </c>
      <c r="P530" s="78">
        <v>14.04</v>
      </c>
      <c r="Q530" s="78">
        <v>15.72</v>
      </c>
      <c r="R530" s="78">
        <v>7.45</v>
      </c>
      <c r="S530" s="78">
        <v>481.32</v>
      </c>
      <c r="T530" s="78">
        <v>1339.27</v>
      </c>
    </row>
    <row r="531" spans="1:20" x14ac:dyDescent="0.3">
      <c r="A531" s="5">
        <v>45569</v>
      </c>
      <c r="B531" s="6" t="s">
        <v>11</v>
      </c>
      <c r="C531" s="7" t="s">
        <v>9</v>
      </c>
      <c r="D531" s="7">
        <v>160</v>
      </c>
      <c r="E531" s="8">
        <v>28.12</v>
      </c>
      <c r="F531" s="9">
        <f t="shared" si="44"/>
        <v>4499.2</v>
      </c>
      <c r="K531" t="s">
        <v>522</v>
      </c>
      <c r="L531">
        <v>112</v>
      </c>
      <c r="M531" s="78">
        <v>-4.68</v>
      </c>
      <c r="N531" s="78">
        <v>-5.41</v>
      </c>
      <c r="O531" s="78">
        <v>-7.05</v>
      </c>
      <c r="P531" s="78">
        <v>-13.18</v>
      </c>
      <c r="Q531" s="78">
        <v>-5.41</v>
      </c>
      <c r="R531" s="78">
        <v>18.829999999999998</v>
      </c>
      <c r="S531" s="78">
        <v>527.45000000000005</v>
      </c>
      <c r="T531" s="78">
        <v>1520.84</v>
      </c>
    </row>
    <row r="532" spans="1:20" x14ac:dyDescent="0.3">
      <c r="A532" s="5">
        <v>45569</v>
      </c>
      <c r="B532" s="6" t="s">
        <v>19</v>
      </c>
      <c r="C532" s="7" t="s">
        <v>9</v>
      </c>
      <c r="D532" s="7">
        <v>800</v>
      </c>
      <c r="E532" s="8">
        <v>22.1</v>
      </c>
      <c r="F532" s="9">
        <f t="shared" si="44"/>
        <v>17680</v>
      </c>
      <c r="K532" t="s">
        <v>37</v>
      </c>
      <c r="L532">
        <v>52.05</v>
      </c>
      <c r="M532" s="78">
        <v>-6.05</v>
      </c>
      <c r="N532" s="78">
        <v>-9.8699999999999992</v>
      </c>
      <c r="O532" s="78">
        <v>-9.48</v>
      </c>
      <c r="P532" s="78">
        <v>-13.25</v>
      </c>
      <c r="Q532" s="78">
        <v>-9.8699999999999992</v>
      </c>
      <c r="R532" s="78">
        <v>-26.53</v>
      </c>
      <c r="S532" s="78"/>
      <c r="T532" s="78"/>
    </row>
    <row r="533" spans="1:20" x14ac:dyDescent="0.3">
      <c r="A533" s="5">
        <v>45569</v>
      </c>
      <c r="B533" s="6" t="s">
        <v>19</v>
      </c>
      <c r="C533" s="7" t="s">
        <v>9</v>
      </c>
      <c r="D533" s="7">
        <v>50</v>
      </c>
      <c r="E533" s="8">
        <v>22.04</v>
      </c>
      <c r="F533" s="9">
        <f t="shared" si="44"/>
        <v>1102</v>
      </c>
      <c r="K533" t="s">
        <v>38</v>
      </c>
      <c r="L533">
        <v>222.5</v>
      </c>
      <c r="M533" s="78">
        <v>3.01</v>
      </c>
      <c r="N533" s="78">
        <v>8.48</v>
      </c>
      <c r="O533" s="78">
        <v>18.350000000000001</v>
      </c>
      <c r="P533" s="78">
        <v>-20.54</v>
      </c>
      <c r="Q533" s="78">
        <v>8.48</v>
      </c>
      <c r="R533" s="78">
        <v>-2.62</v>
      </c>
      <c r="S533" s="78">
        <v>238.4</v>
      </c>
      <c r="T533" s="78">
        <v>1191.3499999999999</v>
      </c>
    </row>
    <row r="534" spans="1:20" x14ac:dyDescent="0.3">
      <c r="A534" s="5">
        <v>45569</v>
      </c>
      <c r="B534" s="6" t="s">
        <v>455</v>
      </c>
      <c r="C534" s="7" t="s">
        <v>9</v>
      </c>
      <c r="D534" s="7">
        <v>1</v>
      </c>
      <c r="E534" s="8">
        <v>6410</v>
      </c>
      <c r="F534" s="9">
        <f t="shared" si="44"/>
        <v>6410</v>
      </c>
      <c r="K534" t="s">
        <v>523</v>
      </c>
      <c r="L534">
        <v>29.54</v>
      </c>
      <c r="M534" s="78">
        <v>9.41</v>
      </c>
      <c r="N534" s="78">
        <v>5.65</v>
      </c>
      <c r="O534" s="78">
        <v>31.23</v>
      </c>
      <c r="P534" s="78">
        <v>7.69</v>
      </c>
      <c r="Q534" s="78">
        <v>5.65</v>
      </c>
      <c r="R534" s="78">
        <v>20.03</v>
      </c>
      <c r="S534" s="78">
        <v>638.5</v>
      </c>
      <c r="T534" s="78">
        <v>797.87</v>
      </c>
    </row>
    <row r="535" spans="1:20" x14ac:dyDescent="0.3">
      <c r="A535" s="5">
        <v>45569</v>
      </c>
      <c r="B535" s="6" t="s">
        <v>255</v>
      </c>
      <c r="C535" s="7" t="s">
        <v>7</v>
      </c>
      <c r="D535" s="7">
        <v>500</v>
      </c>
      <c r="E535" s="8">
        <v>10.1</v>
      </c>
      <c r="F535" s="9">
        <f t="shared" si="44"/>
        <v>5050</v>
      </c>
      <c r="K535" t="s">
        <v>524</v>
      </c>
      <c r="L535">
        <v>59.55</v>
      </c>
      <c r="M535" s="78">
        <v>1.88</v>
      </c>
      <c r="N535" s="78">
        <v>-6.59</v>
      </c>
      <c r="O535" s="78">
        <v>25.42</v>
      </c>
      <c r="P535" s="78">
        <v>19.43</v>
      </c>
      <c r="Q535" s="78">
        <v>-6.59</v>
      </c>
      <c r="R535" s="78">
        <v>70.680000000000007</v>
      </c>
      <c r="S535" s="78">
        <v>1247.29</v>
      </c>
      <c r="T535" s="78">
        <v>2026.79</v>
      </c>
    </row>
    <row r="536" spans="1:20" x14ac:dyDescent="0.3">
      <c r="A536" s="5">
        <v>45569</v>
      </c>
      <c r="B536" s="6" t="s">
        <v>51</v>
      </c>
      <c r="C536" s="7" t="s">
        <v>9</v>
      </c>
      <c r="D536" s="7">
        <v>150</v>
      </c>
      <c r="E536" s="8">
        <v>9.59</v>
      </c>
      <c r="F536" s="9">
        <f t="shared" si="44"/>
        <v>1438.5</v>
      </c>
      <c r="K536" t="s">
        <v>525</v>
      </c>
      <c r="L536">
        <v>18.77</v>
      </c>
      <c r="M536" s="78">
        <v>6.65</v>
      </c>
      <c r="N536" s="78">
        <v>12.06</v>
      </c>
      <c r="O536" s="78">
        <v>3.76</v>
      </c>
      <c r="P536" s="78">
        <v>-23.88</v>
      </c>
      <c r="Q536" s="78">
        <v>12.06</v>
      </c>
      <c r="R536" s="78">
        <v>48.5</v>
      </c>
      <c r="S536" s="78">
        <v>68.040000000000006</v>
      </c>
      <c r="T536" s="78"/>
    </row>
    <row r="537" spans="1:20" x14ac:dyDescent="0.3">
      <c r="A537" s="5">
        <v>45569</v>
      </c>
      <c r="B537" s="6" t="s">
        <v>31</v>
      </c>
      <c r="C537" s="7" t="s">
        <v>9</v>
      </c>
      <c r="D537" s="7">
        <v>1100</v>
      </c>
      <c r="E537" s="8">
        <v>7.9</v>
      </c>
      <c r="F537" s="9">
        <f t="shared" si="44"/>
        <v>8690</v>
      </c>
      <c r="K537" t="s">
        <v>526</v>
      </c>
      <c r="L537">
        <v>6.7</v>
      </c>
      <c r="M537" s="78">
        <v>-6.16</v>
      </c>
      <c r="N537" s="78">
        <v>-3.6</v>
      </c>
      <c r="O537" s="78">
        <v>-61.58</v>
      </c>
      <c r="P537" s="78">
        <v>-49.24</v>
      </c>
      <c r="Q537" s="78">
        <v>-3.6</v>
      </c>
      <c r="R537" s="78">
        <v>11.85</v>
      </c>
      <c r="S537" s="78">
        <v>103.03</v>
      </c>
      <c r="T537" s="78">
        <v>556.86</v>
      </c>
    </row>
    <row r="538" spans="1:20" x14ac:dyDescent="0.3">
      <c r="A538" s="5">
        <v>45569</v>
      </c>
      <c r="B538" s="6" t="s">
        <v>220</v>
      </c>
      <c r="C538" s="7" t="s">
        <v>7</v>
      </c>
      <c r="D538" s="7">
        <v>50</v>
      </c>
      <c r="E538" s="8">
        <v>49.6</v>
      </c>
      <c r="F538" s="9">
        <f t="shared" si="44"/>
        <v>2480</v>
      </c>
      <c r="K538" t="s">
        <v>527</v>
      </c>
      <c r="L538">
        <v>13.61</v>
      </c>
      <c r="M538" s="78">
        <v>0.15</v>
      </c>
      <c r="N538" s="78">
        <v>11.37</v>
      </c>
      <c r="O538" s="78">
        <v>12.67</v>
      </c>
      <c r="P538" s="78">
        <v>8.02</v>
      </c>
      <c r="Q538" s="78">
        <v>11.37</v>
      </c>
      <c r="R538" s="78">
        <v>65.98</v>
      </c>
      <c r="S538" s="78">
        <v>795.39</v>
      </c>
      <c r="T538" s="78">
        <v>915.67</v>
      </c>
    </row>
    <row r="539" spans="1:20" x14ac:dyDescent="0.3">
      <c r="A539" s="5">
        <v>45569</v>
      </c>
      <c r="B539" s="6" t="s">
        <v>546</v>
      </c>
      <c r="C539" s="7" t="s">
        <v>7</v>
      </c>
      <c r="D539" s="7">
        <v>100</v>
      </c>
      <c r="E539" s="8">
        <v>24.7</v>
      </c>
      <c r="F539" s="9">
        <f t="shared" si="44"/>
        <v>2470</v>
      </c>
      <c r="K539" t="s">
        <v>528</v>
      </c>
      <c r="L539">
        <v>1.1100000000000001</v>
      </c>
      <c r="M539" s="78">
        <v>-2.63</v>
      </c>
      <c r="N539" s="78">
        <v>11</v>
      </c>
      <c r="O539" s="78">
        <v>15.63</v>
      </c>
      <c r="P539" s="78">
        <v>-32.729999999999997</v>
      </c>
      <c r="Q539" s="78">
        <v>11</v>
      </c>
      <c r="R539" s="78">
        <v>-3.48</v>
      </c>
      <c r="S539" s="78">
        <v>-36.21</v>
      </c>
      <c r="T539" s="78">
        <v>152.27000000000001</v>
      </c>
    </row>
    <row r="540" spans="1:20" x14ac:dyDescent="0.3">
      <c r="A540" s="5">
        <v>45569</v>
      </c>
      <c r="B540" s="6" t="s">
        <v>301</v>
      </c>
      <c r="C540" s="7" t="s">
        <v>7</v>
      </c>
      <c r="D540" s="7">
        <v>100</v>
      </c>
      <c r="E540" s="8">
        <v>35.5</v>
      </c>
      <c r="F540" s="9">
        <f t="shared" si="44"/>
        <v>3550</v>
      </c>
      <c r="K540" t="s">
        <v>529</v>
      </c>
      <c r="L540">
        <v>50.55</v>
      </c>
      <c r="M540" s="78">
        <v>1.71</v>
      </c>
      <c r="N540" s="78">
        <v>16.260000000000002</v>
      </c>
      <c r="O540" s="78">
        <v>7.01</v>
      </c>
      <c r="P540" s="78">
        <v>-1.08</v>
      </c>
      <c r="Q540" s="78">
        <v>16.260000000000002</v>
      </c>
      <c r="R540" s="78">
        <v>54.59</v>
      </c>
      <c r="S540" s="78">
        <v>495.41</v>
      </c>
      <c r="T540" s="78">
        <v>712.7</v>
      </c>
    </row>
    <row r="541" spans="1:20" x14ac:dyDescent="0.3">
      <c r="A541" s="5">
        <v>45569</v>
      </c>
      <c r="B541" s="6" t="s">
        <v>31</v>
      </c>
      <c r="C541" s="7" t="s">
        <v>9</v>
      </c>
      <c r="D541" s="7">
        <v>37</v>
      </c>
      <c r="E541" s="8">
        <v>7.9</v>
      </c>
      <c r="F541" s="9">
        <f t="shared" si="44"/>
        <v>292.3</v>
      </c>
      <c r="K541" t="s">
        <v>39</v>
      </c>
      <c r="L541">
        <v>685</v>
      </c>
      <c r="M541" s="78">
        <v>-0.8</v>
      </c>
      <c r="N541" s="78">
        <v>-8.67</v>
      </c>
      <c r="O541" s="78">
        <v>-1.61</v>
      </c>
      <c r="P541" s="78">
        <v>-8.2799999999999994</v>
      </c>
      <c r="Q541" s="78">
        <v>-8.67</v>
      </c>
      <c r="R541" s="78">
        <v>-6.04</v>
      </c>
      <c r="S541" s="78">
        <v>653</v>
      </c>
      <c r="T541" s="78">
        <v>2985.59</v>
      </c>
    </row>
    <row r="542" spans="1:20" x14ac:dyDescent="0.3">
      <c r="A542" s="5">
        <v>45569</v>
      </c>
      <c r="B542" s="6" t="s">
        <v>444</v>
      </c>
      <c r="C542" s="7" t="s">
        <v>7</v>
      </c>
      <c r="D542" s="7">
        <v>150</v>
      </c>
      <c r="E542" s="8">
        <v>13.28</v>
      </c>
      <c r="F542" s="9">
        <f t="shared" si="44"/>
        <v>1992</v>
      </c>
      <c r="K542" t="s">
        <v>40</v>
      </c>
      <c r="L542">
        <v>10.06</v>
      </c>
      <c r="M542" s="78">
        <v>-2.61</v>
      </c>
      <c r="N542" s="78">
        <v>-1.66</v>
      </c>
      <c r="O542" s="78">
        <v>-8.8800000000000008</v>
      </c>
      <c r="P542" s="78">
        <v>-16.45</v>
      </c>
      <c r="Q542" s="78">
        <v>-1.66</v>
      </c>
      <c r="R542" s="78">
        <v>-25.48</v>
      </c>
      <c r="S542" s="78">
        <v>343.17</v>
      </c>
      <c r="T542" s="78">
        <v>1337.14</v>
      </c>
    </row>
    <row r="543" spans="1:20" x14ac:dyDescent="0.3">
      <c r="A543" s="5">
        <v>45569</v>
      </c>
      <c r="B543" s="6" t="s">
        <v>8</v>
      </c>
      <c r="C543" s="7" t="s">
        <v>9</v>
      </c>
      <c r="D543" s="7">
        <v>75</v>
      </c>
      <c r="E543" s="8">
        <v>84</v>
      </c>
      <c r="F543" s="9">
        <f t="shared" si="44"/>
        <v>6300</v>
      </c>
      <c r="K543" t="s">
        <v>530</v>
      </c>
      <c r="L543">
        <v>6.26</v>
      </c>
      <c r="M543" s="78">
        <v>-6.01</v>
      </c>
      <c r="N543" s="78">
        <v>-10.83</v>
      </c>
      <c r="O543" s="78">
        <v>-5.01</v>
      </c>
      <c r="P543" s="78">
        <v>-28.7</v>
      </c>
      <c r="Q543" s="78">
        <v>-10.83</v>
      </c>
      <c r="R543" s="78">
        <v>-25.39</v>
      </c>
      <c r="S543" s="78">
        <v>317.33</v>
      </c>
      <c r="T543" s="78">
        <v>132.71</v>
      </c>
    </row>
    <row r="544" spans="1:20" x14ac:dyDescent="0.3">
      <c r="A544" s="5">
        <v>45569</v>
      </c>
      <c r="B544" s="6" t="s">
        <v>219</v>
      </c>
      <c r="C544" s="7" t="s">
        <v>9</v>
      </c>
      <c r="D544" s="7">
        <v>20</v>
      </c>
      <c r="E544" s="8">
        <v>89</v>
      </c>
      <c r="F544" s="9">
        <f t="shared" si="44"/>
        <v>1780</v>
      </c>
      <c r="K544" t="s">
        <v>41</v>
      </c>
      <c r="L544">
        <v>141.19999999999999</v>
      </c>
      <c r="M544" s="78">
        <v>-1.4</v>
      </c>
      <c r="N544" s="78">
        <v>-0.49</v>
      </c>
      <c r="O544" s="78">
        <v>-2.35</v>
      </c>
      <c r="P544" s="78">
        <v>-7</v>
      </c>
      <c r="Q544" s="78">
        <v>-0.49</v>
      </c>
      <c r="R544" s="78">
        <v>7.6</v>
      </c>
      <c r="S544" s="78">
        <v>644.73</v>
      </c>
      <c r="T544" s="78">
        <v>1032.32</v>
      </c>
    </row>
    <row r="545" spans="1:20" x14ac:dyDescent="0.3">
      <c r="A545" s="5">
        <v>45569</v>
      </c>
      <c r="B545" s="6" t="s">
        <v>38</v>
      </c>
      <c r="C545" s="7" t="s">
        <v>9</v>
      </c>
      <c r="D545" s="7">
        <v>25</v>
      </c>
      <c r="E545" s="8">
        <v>196</v>
      </c>
      <c r="F545" s="9">
        <f t="shared" si="44"/>
        <v>4900</v>
      </c>
      <c r="K545" t="s">
        <v>531</v>
      </c>
      <c r="L545">
        <v>153</v>
      </c>
      <c r="M545" s="78">
        <v>-8.93</v>
      </c>
      <c r="N545" s="78">
        <v>-7.22</v>
      </c>
      <c r="O545" s="78">
        <v>75.56</v>
      </c>
      <c r="P545" s="78">
        <v>98.96</v>
      </c>
      <c r="Q545" s="78">
        <v>-7.22</v>
      </c>
      <c r="R545" s="78">
        <v>342.96</v>
      </c>
      <c r="S545" s="78">
        <v>1045.21</v>
      </c>
      <c r="T545" s="78"/>
    </row>
    <row r="546" spans="1:20" x14ac:dyDescent="0.3">
      <c r="A546" s="5">
        <v>45569</v>
      </c>
      <c r="B546" s="6" t="s">
        <v>15</v>
      </c>
      <c r="C546" s="7" t="s">
        <v>9</v>
      </c>
      <c r="D546" s="7">
        <v>25</v>
      </c>
      <c r="E546" s="8">
        <v>36.18</v>
      </c>
      <c r="F546" s="9">
        <f t="shared" si="44"/>
        <v>904.5</v>
      </c>
      <c r="K546" t="s">
        <v>532</v>
      </c>
      <c r="L546">
        <v>474.25</v>
      </c>
      <c r="M546" s="78">
        <v>-7.55</v>
      </c>
      <c r="N546" s="78">
        <v>-13.69</v>
      </c>
      <c r="O546" s="78">
        <v>0.96</v>
      </c>
      <c r="P546" s="78">
        <v>-22.89</v>
      </c>
      <c r="Q546" s="78">
        <v>-13.69</v>
      </c>
      <c r="R546" s="78">
        <v>-14.32</v>
      </c>
      <c r="S546" s="78">
        <v>284.94</v>
      </c>
      <c r="T546" s="78">
        <v>999.33</v>
      </c>
    </row>
    <row r="547" spans="1:20" x14ac:dyDescent="0.3">
      <c r="A547" s="5">
        <v>45569</v>
      </c>
      <c r="B547" s="6" t="s">
        <v>20</v>
      </c>
      <c r="C547" s="7" t="s">
        <v>9</v>
      </c>
      <c r="D547" s="7">
        <v>500</v>
      </c>
      <c r="E547" s="8">
        <v>14.52</v>
      </c>
      <c r="F547" s="9">
        <f t="shared" si="44"/>
        <v>7260</v>
      </c>
      <c r="K547" t="s">
        <v>533</v>
      </c>
      <c r="L547">
        <v>17.940000000000001</v>
      </c>
      <c r="M547" s="78">
        <v>6.41</v>
      </c>
      <c r="N547" s="78">
        <v>-2.13</v>
      </c>
      <c r="O547" s="78">
        <v>38.85</v>
      </c>
      <c r="P547" s="78">
        <v>28.51</v>
      </c>
      <c r="Q547" s="78">
        <v>-2.13</v>
      </c>
      <c r="R547" s="78">
        <v>61.33</v>
      </c>
      <c r="S547" s="78">
        <v>1530.91</v>
      </c>
      <c r="T547" s="78">
        <v>3417.65</v>
      </c>
    </row>
    <row r="548" spans="1:20" x14ac:dyDescent="0.3">
      <c r="A548" s="5">
        <v>45569</v>
      </c>
      <c r="B548" s="6" t="s">
        <v>379</v>
      </c>
      <c r="C548" s="7" t="s">
        <v>7</v>
      </c>
      <c r="D548" s="7">
        <v>50</v>
      </c>
      <c r="E548" s="8">
        <v>42.9</v>
      </c>
      <c r="F548" s="9">
        <f t="shared" si="44"/>
        <v>2145</v>
      </c>
      <c r="K548" t="s">
        <v>534</v>
      </c>
      <c r="L548">
        <v>490</v>
      </c>
      <c r="M548" s="78">
        <v>-8.41</v>
      </c>
      <c r="N548" s="78">
        <v>-15.52</v>
      </c>
      <c r="O548" s="78">
        <v>-4.95</v>
      </c>
      <c r="P548" s="78">
        <v>-26.92</v>
      </c>
      <c r="Q548" s="78">
        <v>-15.52</v>
      </c>
      <c r="R548" s="78">
        <v>271.20999999999998</v>
      </c>
      <c r="S548" s="78">
        <v>2449.4299999999998</v>
      </c>
      <c r="T548" s="78">
        <v>10506.06</v>
      </c>
    </row>
    <row r="549" spans="1:20" x14ac:dyDescent="0.3">
      <c r="A549" s="5">
        <v>45569</v>
      </c>
      <c r="B549" s="6" t="s">
        <v>423</v>
      </c>
      <c r="C549" s="7" t="s">
        <v>7</v>
      </c>
      <c r="D549" s="7">
        <v>200</v>
      </c>
      <c r="E549" s="8">
        <v>8.5500000000000007</v>
      </c>
      <c r="F549" s="9">
        <f t="shared" si="44"/>
        <v>1710.0000000000002</v>
      </c>
      <c r="K549" t="s">
        <v>535</v>
      </c>
      <c r="L549">
        <v>29.72</v>
      </c>
      <c r="M549" s="78">
        <v>-5.05</v>
      </c>
      <c r="N549" s="78">
        <v>-7.13</v>
      </c>
      <c r="O549" s="78">
        <v>8.4700000000000006</v>
      </c>
      <c r="P549" s="78">
        <v>33.75</v>
      </c>
      <c r="Q549" s="78">
        <v>-7.13</v>
      </c>
      <c r="R549" s="78">
        <v>13.7</v>
      </c>
      <c r="S549" s="78">
        <v>864.94</v>
      </c>
      <c r="T549" s="78">
        <v>2462.0700000000002</v>
      </c>
    </row>
    <row r="550" spans="1:20" x14ac:dyDescent="0.3">
      <c r="A550" s="5">
        <v>45569</v>
      </c>
      <c r="B550" s="6" t="s">
        <v>89</v>
      </c>
      <c r="C550" s="7" t="s">
        <v>7</v>
      </c>
      <c r="D550" s="7">
        <v>200</v>
      </c>
      <c r="E550" s="8">
        <v>5.75</v>
      </c>
      <c r="F550" s="9">
        <f t="shared" si="44"/>
        <v>1150</v>
      </c>
      <c r="K550" t="s">
        <v>536</v>
      </c>
      <c r="L550">
        <v>120.6</v>
      </c>
      <c r="M550" s="78">
        <v>-0.08</v>
      </c>
      <c r="N550" s="78">
        <v>2.46</v>
      </c>
      <c r="O550" s="78">
        <v>-3.98</v>
      </c>
      <c r="P550" s="78">
        <v>-28.09</v>
      </c>
      <c r="Q550" s="78">
        <v>2.46</v>
      </c>
      <c r="R550" s="78">
        <v>29.05</v>
      </c>
      <c r="S550" s="78">
        <v>601.98</v>
      </c>
      <c r="T550" s="78">
        <v>435.76</v>
      </c>
    </row>
    <row r="551" spans="1:20" x14ac:dyDescent="0.3">
      <c r="A551" s="5">
        <v>45569</v>
      </c>
      <c r="B551" s="6" t="s">
        <v>128</v>
      </c>
      <c r="C551" s="7" t="s">
        <v>7</v>
      </c>
      <c r="D551" s="7">
        <v>100</v>
      </c>
      <c r="E551" s="8">
        <v>18.239999999999998</v>
      </c>
      <c r="F551" s="9">
        <f t="shared" si="44"/>
        <v>1823.9999999999998</v>
      </c>
      <c r="K551" t="s">
        <v>537</v>
      </c>
      <c r="L551">
        <v>17.079999999999998</v>
      </c>
      <c r="M551" s="78">
        <v>-5.69</v>
      </c>
      <c r="N551" s="78">
        <v>6.09</v>
      </c>
      <c r="O551" s="78">
        <v>29.98</v>
      </c>
      <c r="P551" s="78">
        <v>24.04</v>
      </c>
      <c r="Q551" s="78">
        <v>6.09</v>
      </c>
      <c r="R551" s="78">
        <v>82.87</v>
      </c>
      <c r="S551" s="78">
        <v>514.39</v>
      </c>
      <c r="T551" s="78"/>
    </row>
    <row r="552" spans="1:20" x14ac:dyDescent="0.3">
      <c r="A552" s="5">
        <v>45569</v>
      </c>
      <c r="B552" s="6" t="s">
        <v>13</v>
      </c>
      <c r="C552" s="7" t="s">
        <v>7</v>
      </c>
      <c r="D552" s="7">
        <v>200</v>
      </c>
      <c r="E552" s="8">
        <v>13.8</v>
      </c>
      <c r="F552" s="9">
        <f t="shared" si="44"/>
        <v>2760</v>
      </c>
      <c r="K552" t="s">
        <v>538</v>
      </c>
      <c r="L552">
        <v>162.5</v>
      </c>
      <c r="M552" s="78">
        <v>-5.25</v>
      </c>
      <c r="N552" s="78">
        <v>-2.23</v>
      </c>
      <c r="O552" s="78">
        <v>0.62</v>
      </c>
      <c r="P552" s="78">
        <v>-8.4</v>
      </c>
      <c r="Q552" s="78">
        <v>-2.23</v>
      </c>
      <c r="R552" s="78">
        <v>3.5</v>
      </c>
      <c r="S552" s="78">
        <v>144.72999999999999</v>
      </c>
      <c r="T552" s="78">
        <v>401.54</v>
      </c>
    </row>
    <row r="553" spans="1:20" x14ac:dyDescent="0.3">
      <c r="A553" s="5">
        <v>45569</v>
      </c>
      <c r="B553" s="6" t="s">
        <v>157</v>
      </c>
      <c r="C553" s="7" t="s">
        <v>7</v>
      </c>
      <c r="D553" s="7">
        <v>10</v>
      </c>
      <c r="E553" s="8">
        <v>82</v>
      </c>
      <c r="F553" s="9">
        <f t="shared" si="44"/>
        <v>820</v>
      </c>
      <c r="K553" t="s">
        <v>539</v>
      </c>
      <c r="L553">
        <v>5.95</v>
      </c>
      <c r="M553" s="78">
        <v>-6</v>
      </c>
      <c r="N553" s="78">
        <v>-7.18</v>
      </c>
      <c r="O553" s="78">
        <v>-1.1599999999999999</v>
      </c>
      <c r="P553" s="78">
        <v>-15</v>
      </c>
      <c r="Q553" s="78">
        <v>-7.18</v>
      </c>
      <c r="R553" s="78">
        <v>-23.91</v>
      </c>
      <c r="S553" s="78">
        <v>291.45</v>
      </c>
      <c r="T553" s="78">
        <v>1252.27</v>
      </c>
    </row>
    <row r="554" spans="1:20" x14ac:dyDescent="0.3">
      <c r="A554" s="5">
        <v>45569</v>
      </c>
      <c r="B554" s="6" t="s">
        <v>25</v>
      </c>
      <c r="C554" s="7" t="s">
        <v>7</v>
      </c>
      <c r="D554" s="7">
        <v>250</v>
      </c>
      <c r="E554" s="8">
        <v>2.98</v>
      </c>
      <c r="F554" s="9">
        <f t="shared" si="44"/>
        <v>745</v>
      </c>
      <c r="K554" t="s">
        <v>540</v>
      </c>
      <c r="L554">
        <v>9.3000000000000007</v>
      </c>
      <c r="M554" s="78">
        <v>0</v>
      </c>
      <c r="N554" s="78">
        <v>0</v>
      </c>
      <c r="O554" s="78">
        <v>0</v>
      </c>
      <c r="P554" s="78">
        <v>-25.06</v>
      </c>
      <c r="Q554" s="78">
        <v>0</v>
      </c>
      <c r="R554" s="78">
        <v>-2.11</v>
      </c>
      <c r="S554" s="78">
        <v>620.92999999999995</v>
      </c>
      <c r="T554" s="78">
        <v>1288.06</v>
      </c>
    </row>
    <row r="555" spans="1:20" x14ac:dyDescent="0.3">
      <c r="A555" s="5">
        <v>45569</v>
      </c>
      <c r="B555" s="6" t="s">
        <v>529</v>
      </c>
      <c r="C555" s="7" t="s">
        <v>7</v>
      </c>
      <c r="D555" s="7">
        <v>100</v>
      </c>
      <c r="E555" s="8">
        <v>46.5</v>
      </c>
      <c r="F555" s="9">
        <f t="shared" si="44"/>
        <v>4650</v>
      </c>
      <c r="K555" t="s">
        <v>42</v>
      </c>
      <c r="L555">
        <v>14.32</v>
      </c>
      <c r="M555" s="78">
        <v>-4.9800000000000004</v>
      </c>
      <c r="N555" s="78">
        <v>-1.98</v>
      </c>
      <c r="O555" s="78">
        <v>8.48</v>
      </c>
      <c r="P555" s="78">
        <v>-10.67</v>
      </c>
      <c r="Q555" s="78">
        <v>-1.98</v>
      </c>
      <c r="R555" s="78">
        <v>-21.83</v>
      </c>
      <c r="S555" s="78">
        <v>130.97</v>
      </c>
      <c r="T555" s="78"/>
    </row>
    <row r="556" spans="1:20" x14ac:dyDescent="0.3">
      <c r="A556" s="10">
        <v>45572</v>
      </c>
      <c r="B556" s="11" t="s">
        <v>255</v>
      </c>
      <c r="C556" s="12" t="s">
        <v>9</v>
      </c>
      <c r="D556" s="12">
        <v>100</v>
      </c>
      <c r="E556" s="13">
        <v>11</v>
      </c>
      <c r="F556" s="14">
        <f t="shared" ref="F556:F588" si="45">+E556*D556</f>
        <v>1100</v>
      </c>
      <c r="K556" t="s">
        <v>541</v>
      </c>
      <c r="L556">
        <v>13.15</v>
      </c>
      <c r="M556" s="78">
        <v>-10.61</v>
      </c>
      <c r="N556" s="78">
        <v>-1.1299999999999999</v>
      </c>
      <c r="O556" s="78">
        <v>17.73</v>
      </c>
      <c r="P556" s="78">
        <v>-51.8</v>
      </c>
      <c r="Q556" s="78">
        <v>-1.1299999999999999</v>
      </c>
      <c r="R556" s="78">
        <v>12.01</v>
      </c>
      <c r="S556" s="78">
        <v>711.73</v>
      </c>
      <c r="T556" s="78">
        <v>859.85</v>
      </c>
    </row>
    <row r="557" spans="1:20" x14ac:dyDescent="0.3">
      <c r="A557" s="5">
        <v>45572</v>
      </c>
      <c r="B557" s="11" t="s">
        <v>255</v>
      </c>
      <c r="C557" s="12" t="s">
        <v>9</v>
      </c>
      <c r="D557" s="7">
        <v>75</v>
      </c>
      <c r="E557" s="8">
        <v>10.7</v>
      </c>
      <c r="F557" s="9">
        <f t="shared" si="45"/>
        <v>802.5</v>
      </c>
      <c r="K557" t="s">
        <v>590</v>
      </c>
      <c r="M557" s="78"/>
      <c r="N557" s="78"/>
      <c r="O557" s="78"/>
      <c r="P557" s="78"/>
      <c r="Q557" s="78"/>
      <c r="R557" s="78"/>
      <c r="S557" s="78"/>
      <c r="T557" s="78"/>
    </row>
    <row r="558" spans="1:20" x14ac:dyDescent="0.3">
      <c r="A558" s="5">
        <v>45572</v>
      </c>
      <c r="B558" s="11" t="s">
        <v>255</v>
      </c>
      <c r="C558" s="12" t="s">
        <v>9</v>
      </c>
      <c r="D558" s="7">
        <v>50</v>
      </c>
      <c r="E558" s="8">
        <v>10.5</v>
      </c>
      <c r="F558" s="9">
        <f t="shared" si="45"/>
        <v>525</v>
      </c>
      <c r="K558" t="s">
        <v>542</v>
      </c>
      <c r="L558">
        <v>27.46</v>
      </c>
      <c r="M558" s="78">
        <v>5.94</v>
      </c>
      <c r="N558" s="78">
        <v>17.75</v>
      </c>
      <c r="O558" s="78">
        <v>33.56</v>
      </c>
      <c r="P558" s="78">
        <v>34.869999999999997</v>
      </c>
      <c r="Q558" s="78">
        <v>17.75</v>
      </c>
      <c r="R558" s="78">
        <v>93.93</v>
      </c>
      <c r="S558" s="78">
        <v>620.73</v>
      </c>
      <c r="T558" s="78">
        <v>316.06</v>
      </c>
    </row>
    <row r="559" spans="1:20" x14ac:dyDescent="0.3">
      <c r="A559" s="5">
        <v>45572</v>
      </c>
      <c r="B559" s="6" t="s">
        <v>220</v>
      </c>
      <c r="C559" s="12" t="s">
        <v>9</v>
      </c>
      <c r="D559" s="7">
        <v>30</v>
      </c>
      <c r="E559" s="8">
        <v>50.6</v>
      </c>
      <c r="F559" s="9">
        <f t="shared" si="45"/>
        <v>1518</v>
      </c>
      <c r="K559" t="s">
        <v>543</v>
      </c>
      <c r="L559">
        <v>1.98</v>
      </c>
      <c r="M559" s="78">
        <v>-4.8099999999999996</v>
      </c>
      <c r="N559" s="78">
        <v>4.21</v>
      </c>
      <c r="O559" s="78">
        <v>17.86</v>
      </c>
      <c r="P559" s="78">
        <v>17.16</v>
      </c>
      <c r="Q559" s="78">
        <v>4.21</v>
      </c>
      <c r="R559" s="78">
        <v>4.21</v>
      </c>
      <c r="S559" s="78">
        <v>224.59</v>
      </c>
      <c r="T559" s="78">
        <v>1064.71</v>
      </c>
    </row>
    <row r="560" spans="1:20" x14ac:dyDescent="0.3">
      <c r="A560" s="5">
        <v>45572</v>
      </c>
      <c r="B560" s="6" t="s">
        <v>379</v>
      </c>
      <c r="C560" s="7" t="s">
        <v>9</v>
      </c>
      <c r="D560" s="7">
        <v>32</v>
      </c>
      <c r="E560" s="8">
        <v>45</v>
      </c>
      <c r="F560" s="9">
        <f t="shared" si="45"/>
        <v>1440</v>
      </c>
      <c r="K560" t="s">
        <v>544</v>
      </c>
      <c r="L560">
        <v>77.8</v>
      </c>
      <c r="M560" s="78">
        <v>-3.47</v>
      </c>
      <c r="N560" s="78">
        <v>-7.66</v>
      </c>
      <c r="O560" s="78">
        <v>-4.42</v>
      </c>
      <c r="P560" s="78">
        <v>-35.6</v>
      </c>
      <c r="Q560" s="78">
        <v>-7.66</v>
      </c>
      <c r="R560" s="78">
        <v>-7.13</v>
      </c>
      <c r="S560" s="78">
        <v>756.83</v>
      </c>
      <c r="T560" s="78">
        <v>1497.54</v>
      </c>
    </row>
    <row r="561" spans="1:20" x14ac:dyDescent="0.3">
      <c r="A561" s="5">
        <v>45572</v>
      </c>
      <c r="B561" s="6" t="s">
        <v>301</v>
      </c>
      <c r="C561" s="7" t="s">
        <v>9</v>
      </c>
      <c r="D561" s="7">
        <v>30</v>
      </c>
      <c r="E561" s="8">
        <v>36.5</v>
      </c>
      <c r="F561" s="9">
        <f t="shared" si="45"/>
        <v>1095</v>
      </c>
      <c r="K561" t="s">
        <v>545</v>
      </c>
      <c r="L561">
        <v>23.8</v>
      </c>
      <c r="M561" s="78">
        <v>-6.3</v>
      </c>
      <c r="N561" s="78">
        <v>12.8</v>
      </c>
      <c r="O561" s="78">
        <v>28.79</v>
      </c>
      <c r="P561" s="78">
        <v>19</v>
      </c>
      <c r="Q561" s="78">
        <v>12.8</v>
      </c>
      <c r="R561" s="78">
        <v>31.13</v>
      </c>
      <c r="S561" s="78">
        <v>447.13</v>
      </c>
      <c r="T561" s="78">
        <v>1576.06</v>
      </c>
    </row>
    <row r="562" spans="1:20" x14ac:dyDescent="0.3">
      <c r="A562" s="5">
        <v>45572</v>
      </c>
      <c r="B562" s="6" t="s">
        <v>444</v>
      </c>
      <c r="C562" s="7" t="s">
        <v>9</v>
      </c>
      <c r="D562" s="7">
        <v>50</v>
      </c>
      <c r="E562" s="8">
        <v>13.6</v>
      </c>
      <c r="F562" s="9">
        <f t="shared" si="45"/>
        <v>680</v>
      </c>
      <c r="K562" t="s">
        <v>546</v>
      </c>
      <c r="L562">
        <v>25.2</v>
      </c>
      <c r="M562" s="78">
        <v>-2.7</v>
      </c>
      <c r="N562" s="78">
        <v>3.19</v>
      </c>
      <c r="O562" s="78">
        <v>-6.67</v>
      </c>
      <c r="P562" s="78">
        <v>-15.49</v>
      </c>
      <c r="Q562" s="78">
        <v>3.19</v>
      </c>
      <c r="R562" s="78">
        <v>-19.41</v>
      </c>
      <c r="S562" s="78">
        <v>307.11</v>
      </c>
      <c r="T562" s="78"/>
    </row>
    <row r="563" spans="1:20" x14ac:dyDescent="0.3">
      <c r="A563" s="5">
        <v>45572</v>
      </c>
      <c r="B563" s="6" t="s">
        <v>6</v>
      </c>
      <c r="C563" s="7" t="s">
        <v>9</v>
      </c>
      <c r="D563" s="7">
        <v>30</v>
      </c>
      <c r="E563" s="8">
        <v>37.5</v>
      </c>
      <c r="F563" s="9">
        <f t="shared" si="45"/>
        <v>1125</v>
      </c>
      <c r="K563" t="s">
        <v>547</v>
      </c>
      <c r="L563">
        <v>35.299999999999997</v>
      </c>
      <c r="M563" s="78">
        <v>-2.2200000000000002</v>
      </c>
      <c r="N563" s="78">
        <v>-3.87</v>
      </c>
      <c r="O563" s="78">
        <v>-7.88</v>
      </c>
      <c r="P563" s="78">
        <v>-19.899999999999999</v>
      </c>
      <c r="Q563" s="78">
        <v>-3.87</v>
      </c>
      <c r="R563" s="78">
        <v>-20.58</v>
      </c>
      <c r="S563" s="78">
        <v>37.03</v>
      </c>
      <c r="T563" s="78">
        <v>452.43</v>
      </c>
    </row>
    <row r="564" spans="1:20" x14ac:dyDescent="0.3">
      <c r="A564" s="5">
        <v>45572</v>
      </c>
      <c r="B564" s="6" t="s">
        <v>13</v>
      </c>
      <c r="C564" s="7" t="s">
        <v>9</v>
      </c>
      <c r="D564" s="7">
        <v>50</v>
      </c>
      <c r="E564" s="8">
        <v>14.2</v>
      </c>
      <c r="F564" s="9">
        <f t="shared" si="45"/>
        <v>710</v>
      </c>
      <c r="K564" t="s">
        <v>548</v>
      </c>
      <c r="L564">
        <v>235.8</v>
      </c>
      <c r="M564" s="78">
        <v>-11.35</v>
      </c>
      <c r="N564" s="78">
        <v>-19.52</v>
      </c>
      <c r="O564" s="78">
        <v>-17.329999999999998</v>
      </c>
      <c r="P564" s="78">
        <v>-23.93</v>
      </c>
      <c r="Q564" s="78">
        <v>-19.52</v>
      </c>
      <c r="R564" s="78">
        <v>2.62</v>
      </c>
      <c r="S564" s="78">
        <v>397.89</v>
      </c>
      <c r="T564" s="78">
        <v>1039.1300000000001</v>
      </c>
    </row>
    <row r="565" spans="1:20" x14ac:dyDescent="0.3">
      <c r="A565" s="5">
        <v>45572</v>
      </c>
      <c r="B565" s="6" t="s">
        <v>128</v>
      </c>
      <c r="C565" s="7" t="s">
        <v>9</v>
      </c>
      <c r="D565" s="7">
        <v>100</v>
      </c>
      <c r="E565" s="8">
        <v>18.989999999999998</v>
      </c>
      <c r="F565" s="9">
        <f t="shared" si="45"/>
        <v>1898.9999999999998</v>
      </c>
      <c r="K565" t="s">
        <v>549</v>
      </c>
      <c r="L565">
        <v>15.17</v>
      </c>
      <c r="M565" s="78">
        <v>-3.38</v>
      </c>
      <c r="N565" s="78">
        <v>-10.5</v>
      </c>
      <c r="O565" s="78">
        <v>-11.55</v>
      </c>
      <c r="P565" s="78">
        <v>-24.23</v>
      </c>
      <c r="Q565" s="78">
        <v>-10.5</v>
      </c>
      <c r="R565" s="78">
        <v>-9.92</v>
      </c>
      <c r="S565" s="78">
        <v>133.03</v>
      </c>
      <c r="T565" s="78">
        <v>534.73</v>
      </c>
    </row>
    <row r="566" spans="1:20" x14ac:dyDescent="0.3">
      <c r="A566" s="5">
        <v>45572</v>
      </c>
      <c r="B566" s="6" t="s">
        <v>10</v>
      </c>
      <c r="C566" s="7" t="s">
        <v>7</v>
      </c>
      <c r="D566" s="7">
        <v>10</v>
      </c>
      <c r="E566" s="8">
        <v>53</v>
      </c>
      <c r="F566" s="9">
        <f t="shared" si="45"/>
        <v>530</v>
      </c>
      <c r="K566" t="s">
        <v>550</v>
      </c>
      <c r="L566">
        <v>61.35</v>
      </c>
      <c r="M566" s="78">
        <v>-6.76</v>
      </c>
      <c r="N566" s="78">
        <v>-13.96</v>
      </c>
      <c r="O566" s="78">
        <v>7.54</v>
      </c>
      <c r="P566" s="78">
        <v>-13.16</v>
      </c>
      <c r="Q566" s="78">
        <v>-13.96</v>
      </c>
      <c r="R566" s="78">
        <v>-0.16</v>
      </c>
      <c r="S566" s="78">
        <v>153.72</v>
      </c>
      <c r="T566" s="78">
        <v>459.76</v>
      </c>
    </row>
    <row r="567" spans="1:20" x14ac:dyDescent="0.3">
      <c r="A567" s="5">
        <v>45572</v>
      </c>
      <c r="B567" s="6" t="s">
        <v>22</v>
      </c>
      <c r="C567" s="7" t="s">
        <v>9</v>
      </c>
      <c r="D567" s="7">
        <v>60</v>
      </c>
      <c r="E567" s="8">
        <v>57.5</v>
      </c>
      <c r="F567" s="9">
        <f t="shared" si="45"/>
        <v>3450</v>
      </c>
      <c r="K567" t="s">
        <v>551</v>
      </c>
      <c r="L567">
        <v>18.579999999999998</v>
      </c>
      <c r="M567" s="78">
        <v>-10.59</v>
      </c>
      <c r="N567" s="78">
        <v>-2.2599999999999998</v>
      </c>
      <c r="O567" s="78">
        <v>-2.4700000000000002</v>
      </c>
      <c r="P567" s="78">
        <v>-15.39</v>
      </c>
      <c r="Q567" s="78">
        <v>-2.2599999999999998</v>
      </c>
      <c r="R567" s="78">
        <v>-32.58</v>
      </c>
      <c r="S567" s="78">
        <v>209.67</v>
      </c>
      <c r="T567" s="78">
        <v>872.77</v>
      </c>
    </row>
    <row r="568" spans="1:20" x14ac:dyDescent="0.3">
      <c r="A568" s="5">
        <v>45572</v>
      </c>
      <c r="B568" s="6" t="s">
        <v>20</v>
      </c>
      <c r="C568" s="7" t="s">
        <v>9</v>
      </c>
      <c r="D568" s="7">
        <v>50</v>
      </c>
      <c r="E568" s="8">
        <v>14.65</v>
      </c>
      <c r="F568" s="9">
        <f t="shared" si="45"/>
        <v>732.5</v>
      </c>
      <c r="K568" t="s">
        <v>552</v>
      </c>
      <c r="L568">
        <v>2.0499999999999998</v>
      </c>
      <c r="M568" s="78">
        <v>-7.24</v>
      </c>
      <c r="N568" s="78">
        <v>-0.97</v>
      </c>
      <c r="O568" s="78">
        <v>12.64</v>
      </c>
      <c r="P568" s="78">
        <v>19.88</v>
      </c>
      <c r="Q568" s="78">
        <v>-0.97</v>
      </c>
      <c r="R568" s="78">
        <v>17.82</v>
      </c>
      <c r="S568" s="78">
        <v>259.64999999999998</v>
      </c>
      <c r="T568" s="78">
        <v>376.74</v>
      </c>
    </row>
    <row r="569" spans="1:20" x14ac:dyDescent="0.3">
      <c r="A569" s="5">
        <v>45572</v>
      </c>
      <c r="B569" s="6" t="s">
        <v>128</v>
      </c>
      <c r="C569" s="7" t="s">
        <v>7</v>
      </c>
      <c r="D569" s="7">
        <v>50</v>
      </c>
      <c r="E569" s="8">
        <v>18.45</v>
      </c>
      <c r="F569" s="9">
        <f t="shared" si="45"/>
        <v>922.5</v>
      </c>
      <c r="K569" t="s">
        <v>553</v>
      </c>
      <c r="L569">
        <v>29.82</v>
      </c>
      <c r="M569" s="78">
        <v>-0.6</v>
      </c>
      <c r="N569" s="78">
        <v>-11.67</v>
      </c>
      <c r="O569" s="78">
        <v>-5.09</v>
      </c>
      <c r="P569" s="78">
        <v>-38.31</v>
      </c>
      <c r="Q569" s="78">
        <v>-11.67</v>
      </c>
      <c r="R569" s="78">
        <v>2.97</v>
      </c>
      <c r="S569" s="78">
        <v>348.42</v>
      </c>
      <c r="T569" s="78">
        <v>653.03</v>
      </c>
    </row>
    <row r="570" spans="1:20" x14ac:dyDescent="0.3">
      <c r="A570" s="5">
        <v>45572</v>
      </c>
      <c r="B570" s="6" t="s">
        <v>220</v>
      </c>
      <c r="C570" s="7" t="s">
        <v>7</v>
      </c>
      <c r="D570" s="7">
        <v>50</v>
      </c>
      <c r="E570" s="8">
        <v>50</v>
      </c>
      <c r="F570" s="9">
        <f t="shared" si="45"/>
        <v>2500</v>
      </c>
      <c r="K570" t="s">
        <v>554</v>
      </c>
      <c r="L570">
        <v>2.97</v>
      </c>
      <c r="M570" s="78">
        <v>-8.6199999999999992</v>
      </c>
      <c r="N570" s="78">
        <v>-1</v>
      </c>
      <c r="O570" s="78">
        <v>-4.1900000000000004</v>
      </c>
      <c r="P570" s="78">
        <v>-27.38</v>
      </c>
      <c r="Q570" s="78">
        <v>-1</v>
      </c>
      <c r="R570" s="78">
        <v>-68.17</v>
      </c>
      <c r="S570" s="78"/>
      <c r="T570" s="78"/>
    </row>
    <row r="571" spans="1:20" x14ac:dyDescent="0.3">
      <c r="A571" s="5">
        <v>45572</v>
      </c>
      <c r="B571" s="6" t="s">
        <v>255</v>
      </c>
      <c r="C571" s="7" t="s">
        <v>7</v>
      </c>
      <c r="D571" s="7">
        <v>100</v>
      </c>
      <c r="E571" s="8">
        <v>10.4</v>
      </c>
      <c r="F571" s="9">
        <f t="shared" si="45"/>
        <v>1040</v>
      </c>
      <c r="K571" t="s">
        <v>555</v>
      </c>
      <c r="L571">
        <v>805</v>
      </c>
      <c r="M571" s="78">
        <v>-3.82</v>
      </c>
      <c r="N571" s="78">
        <v>23.75</v>
      </c>
      <c r="O571" s="78">
        <v>94.21</v>
      </c>
      <c r="P571" s="78">
        <v>94.44</v>
      </c>
      <c r="Q571" s="78">
        <v>23.75</v>
      </c>
      <c r="R571" s="78">
        <v>176.81</v>
      </c>
      <c r="S571" s="78">
        <v>2605.88</v>
      </c>
      <c r="T571" s="78">
        <v>20701.03</v>
      </c>
    </row>
    <row r="572" spans="1:20" x14ac:dyDescent="0.3">
      <c r="A572" s="5">
        <v>45572</v>
      </c>
      <c r="B572" s="6" t="s">
        <v>301</v>
      </c>
      <c r="C572" s="7" t="s">
        <v>7</v>
      </c>
      <c r="D572" s="7">
        <v>100</v>
      </c>
      <c r="E572" s="8">
        <v>36</v>
      </c>
      <c r="F572" s="9">
        <f t="shared" si="45"/>
        <v>3600</v>
      </c>
      <c r="K572" t="s">
        <v>556</v>
      </c>
      <c r="L572">
        <v>27.46</v>
      </c>
      <c r="M572" s="78">
        <v>4.09</v>
      </c>
      <c r="N572" s="78">
        <v>-0.36</v>
      </c>
      <c r="O572" s="78">
        <v>13.28</v>
      </c>
      <c r="P572" s="78">
        <v>-11.42</v>
      </c>
      <c r="Q572" s="78">
        <v>-0.36</v>
      </c>
      <c r="R572" s="78">
        <v>-16.59</v>
      </c>
      <c r="S572" s="78">
        <v>158.57</v>
      </c>
      <c r="T572" s="78">
        <v>263.23</v>
      </c>
    </row>
    <row r="573" spans="1:20" x14ac:dyDescent="0.3">
      <c r="A573" s="5">
        <v>45572</v>
      </c>
      <c r="B573" s="6" t="s">
        <v>206</v>
      </c>
      <c r="C573" s="7" t="s">
        <v>7</v>
      </c>
      <c r="D573" s="7">
        <v>150</v>
      </c>
      <c r="E573" s="8">
        <v>10</v>
      </c>
      <c r="F573" s="9">
        <f t="shared" si="45"/>
        <v>1500</v>
      </c>
      <c r="K573" t="s">
        <v>557</v>
      </c>
      <c r="L573">
        <v>19.7</v>
      </c>
      <c r="M573" s="78">
        <v>-1.4</v>
      </c>
      <c r="N573" s="78">
        <v>-0.45</v>
      </c>
      <c r="O573" s="78">
        <v>39.72</v>
      </c>
      <c r="P573" s="78">
        <v>9.81</v>
      </c>
      <c r="Q573" s="78">
        <v>-0.45</v>
      </c>
      <c r="R573" s="78">
        <v>76.05</v>
      </c>
      <c r="S573" s="78">
        <v>570.07000000000005</v>
      </c>
      <c r="T573" s="78">
        <v>779.46</v>
      </c>
    </row>
    <row r="574" spans="1:20" x14ac:dyDescent="0.3">
      <c r="A574" s="5">
        <v>45572</v>
      </c>
      <c r="B574" s="6" t="s">
        <v>6</v>
      </c>
      <c r="C574" s="7" t="s">
        <v>7</v>
      </c>
      <c r="D574" s="7">
        <v>30</v>
      </c>
      <c r="E574" s="8">
        <v>37</v>
      </c>
      <c r="F574" s="9">
        <f t="shared" si="45"/>
        <v>1110</v>
      </c>
      <c r="K574" t="s">
        <v>558</v>
      </c>
      <c r="L574">
        <v>122352.5</v>
      </c>
      <c r="M574" s="78">
        <v>-3.64</v>
      </c>
      <c r="N574" s="78">
        <v>-6.89</v>
      </c>
      <c r="O574" s="78">
        <v>11.23</v>
      </c>
      <c r="P574" s="78">
        <v>-17.88</v>
      </c>
      <c r="Q574" s="78">
        <v>-6.89</v>
      </c>
      <c r="R574" s="78">
        <v>-26.32</v>
      </c>
      <c r="S574" s="78">
        <v>488.52</v>
      </c>
      <c r="T574" s="78">
        <v>3191.08</v>
      </c>
    </row>
    <row r="575" spans="1:20" x14ac:dyDescent="0.3">
      <c r="A575" s="5">
        <v>45572</v>
      </c>
      <c r="B575" s="6" t="s">
        <v>379</v>
      </c>
      <c r="C575" s="7" t="s">
        <v>7</v>
      </c>
      <c r="D575" s="7">
        <v>32</v>
      </c>
      <c r="E575" s="8">
        <v>43.5</v>
      </c>
      <c r="F575" s="9">
        <f t="shared" si="45"/>
        <v>1392</v>
      </c>
      <c r="K575" t="s">
        <v>43</v>
      </c>
      <c r="L575">
        <v>54.5</v>
      </c>
      <c r="M575" s="78">
        <v>2.73</v>
      </c>
      <c r="N575" s="78">
        <v>5.42</v>
      </c>
      <c r="O575" s="78">
        <v>6.93</v>
      </c>
      <c r="P575" s="78">
        <v>-7.89</v>
      </c>
      <c r="Q575" s="78">
        <v>5.42</v>
      </c>
      <c r="R575" s="78">
        <v>-8.51</v>
      </c>
      <c r="S575" s="78">
        <v>1276.26</v>
      </c>
      <c r="T575" s="78"/>
    </row>
    <row r="576" spans="1:20" x14ac:dyDescent="0.3">
      <c r="A576" s="5">
        <v>45572</v>
      </c>
      <c r="B576" s="6" t="s">
        <v>379</v>
      </c>
      <c r="C576" s="7" t="s">
        <v>7</v>
      </c>
      <c r="D576" s="7">
        <v>50</v>
      </c>
      <c r="E576" s="8">
        <v>43</v>
      </c>
      <c r="F576" s="9">
        <f t="shared" si="45"/>
        <v>2150</v>
      </c>
      <c r="K576" t="s">
        <v>559</v>
      </c>
      <c r="L576">
        <v>1.83</v>
      </c>
      <c r="M576" s="78">
        <v>-8.0399999999999991</v>
      </c>
      <c r="N576" s="78">
        <v>-7.11</v>
      </c>
      <c r="O576" s="78">
        <v>34.56</v>
      </c>
      <c r="P576" s="78">
        <v>-19.739999999999998</v>
      </c>
      <c r="Q576" s="78">
        <v>-7.11</v>
      </c>
      <c r="R576" s="78">
        <v>-17.940000000000001</v>
      </c>
      <c r="S576" s="78">
        <v>96.77</v>
      </c>
      <c r="T576" s="78">
        <v>662.5</v>
      </c>
    </row>
    <row r="577" spans="1:20" x14ac:dyDescent="0.3">
      <c r="A577" s="5">
        <v>45572</v>
      </c>
      <c r="B577" s="6" t="s">
        <v>529</v>
      </c>
      <c r="C577" s="7" t="s">
        <v>7</v>
      </c>
      <c r="D577" s="7">
        <v>50</v>
      </c>
      <c r="E577" s="8">
        <v>46</v>
      </c>
      <c r="F577" s="9">
        <f t="shared" si="45"/>
        <v>2300</v>
      </c>
      <c r="K577" t="s">
        <v>560</v>
      </c>
      <c r="L577">
        <v>68.95</v>
      </c>
      <c r="M577" s="78">
        <v>4.3099999999999996</v>
      </c>
      <c r="N577" s="78">
        <v>10.67</v>
      </c>
      <c r="O577" s="78">
        <v>30.09</v>
      </c>
      <c r="P577" s="78">
        <v>37.9</v>
      </c>
      <c r="Q577" s="78">
        <v>10.67</v>
      </c>
      <c r="R577" s="78">
        <v>79.040000000000006</v>
      </c>
      <c r="S577" s="78">
        <v>449.84</v>
      </c>
      <c r="T577" s="78">
        <v>965.69</v>
      </c>
    </row>
    <row r="578" spans="1:20" x14ac:dyDescent="0.3">
      <c r="A578" s="5">
        <v>45572</v>
      </c>
      <c r="B578" s="6" t="s">
        <v>529</v>
      </c>
      <c r="C578" s="7" t="s">
        <v>7</v>
      </c>
      <c r="D578" s="7">
        <v>50</v>
      </c>
      <c r="E578" s="8">
        <v>45.5</v>
      </c>
      <c r="F578" s="9">
        <f t="shared" si="45"/>
        <v>2275</v>
      </c>
      <c r="K578" t="s">
        <v>561</v>
      </c>
      <c r="L578">
        <v>8.58</v>
      </c>
      <c r="M578" s="78">
        <v>-9.11</v>
      </c>
      <c r="N578" s="78">
        <v>-10.72</v>
      </c>
      <c r="O578" s="78">
        <v>15.79</v>
      </c>
      <c r="P578" s="78">
        <v>-27.9</v>
      </c>
      <c r="Q578" s="78">
        <v>-10.72</v>
      </c>
      <c r="R578" s="78">
        <v>87.34</v>
      </c>
      <c r="S578" s="78">
        <v>946.34</v>
      </c>
      <c r="T578" s="78">
        <v>1125.71</v>
      </c>
    </row>
    <row r="579" spans="1:20" x14ac:dyDescent="0.3">
      <c r="A579" s="5">
        <v>45572</v>
      </c>
      <c r="B579" s="6" t="s">
        <v>529</v>
      </c>
      <c r="C579" s="7" t="s">
        <v>7</v>
      </c>
      <c r="D579" s="7">
        <v>50</v>
      </c>
      <c r="E579" s="8">
        <v>45</v>
      </c>
      <c r="F579" s="9">
        <f t="shared" si="45"/>
        <v>2250</v>
      </c>
      <c r="K579" t="s">
        <v>562</v>
      </c>
      <c r="L579">
        <v>31.78</v>
      </c>
      <c r="M579" s="78">
        <v>-6.36</v>
      </c>
      <c r="N579" s="78">
        <v>-8.94</v>
      </c>
      <c r="O579" s="78">
        <v>-10.68</v>
      </c>
      <c r="P579" s="78">
        <v>-33.29</v>
      </c>
      <c r="Q579" s="78">
        <v>-8.94</v>
      </c>
      <c r="R579" s="78"/>
      <c r="S579" s="78"/>
      <c r="T579" s="78"/>
    </row>
    <row r="580" spans="1:20" x14ac:dyDescent="0.3">
      <c r="A580" s="5">
        <v>45572</v>
      </c>
      <c r="B580" s="6" t="s">
        <v>379</v>
      </c>
      <c r="C580" s="7" t="s">
        <v>7</v>
      </c>
      <c r="D580" s="7">
        <v>50</v>
      </c>
      <c r="E580" s="8">
        <v>43</v>
      </c>
      <c r="F580" s="9">
        <f t="shared" si="45"/>
        <v>2150</v>
      </c>
      <c r="K580" t="s">
        <v>563</v>
      </c>
      <c r="L580">
        <v>30.72</v>
      </c>
      <c r="M580" s="78">
        <v>-5.36</v>
      </c>
      <c r="N580" s="78">
        <v>0.33</v>
      </c>
      <c r="O580" s="78">
        <v>25.49</v>
      </c>
      <c r="P580" s="78">
        <v>1.72</v>
      </c>
      <c r="Q580" s="78">
        <v>0.33</v>
      </c>
      <c r="R580" s="78">
        <v>46.77</v>
      </c>
      <c r="S580" s="78">
        <v>777.71</v>
      </c>
      <c r="T580" s="78">
        <v>1138.71</v>
      </c>
    </row>
    <row r="581" spans="1:20" x14ac:dyDescent="0.3">
      <c r="A581" s="5">
        <v>45572</v>
      </c>
      <c r="B581" s="6" t="s">
        <v>39</v>
      </c>
      <c r="C581" s="7" t="s">
        <v>7</v>
      </c>
      <c r="D581" s="7">
        <v>4</v>
      </c>
      <c r="E581" s="8">
        <v>690</v>
      </c>
      <c r="F581" s="9">
        <f t="shared" si="45"/>
        <v>2760</v>
      </c>
      <c r="K581" t="s">
        <v>564</v>
      </c>
      <c r="L581">
        <v>7.15</v>
      </c>
      <c r="M581" s="78">
        <v>-6.04</v>
      </c>
      <c r="N581" s="78">
        <v>-9.26</v>
      </c>
      <c r="O581" s="78">
        <v>-4.41</v>
      </c>
      <c r="P581" s="78">
        <v>-27.34</v>
      </c>
      <c r="Q581" s="78">
        <v>-9.26</v>
      </c>
      <c r="R581" s="78">
        <v>-7.14</v>
      </c>
      <c r="S581" s="78">
        <v>132.13999999999999</v>
      </c>
      <c r="T581" s="78">
        <v>445.8</v>
      </c>
    </row>
    <row r="582" spans="1:20" x14ac:dyDescent="0.3">
      <c r="A582" s="5">
        <v>45572</v>
      </c>
      <c r="B582" s="6" t="s">
        <v>550</v>
      </c>
      <c r="C582" s="7" t="s">
        <v>7</v>
      </c>
      <c r="D582" s="7">
        <v>25</v>
      </c>
      <c r="E582" s="8">
        <v>61</v>
      </c>
      <c r="F582" s="9">
        <f t="shared" si="45"/>
        <v>1525</v>
      </c>
      <c r="K582" t="s">
        <v>565</v>
      </c>
      <c r="L582">
        <v>51.7</v>
      </c>
      <c r="M582" s="78">
        <v>-5.66</v>
      </c>
      <c r="N582" s="78">
        <v>-10.86</v>
      </c>
      <c r="O582" s="78">
        <v>-23.29</v>
      </c>
      <c r="P582" s="78">
        <v>-34.01</v>
      </c>
      <c r="Q582" s="78">
        <v>-10.86</v>
      </c>
      <c r="R582" s="78">
        <v>-2.64</v>
      </c>
      <c r="S582" s="78">
        <v>124.1</v>
      </c>
      <c r="T582" s="78">
        <v>563.66999999999996</v>
      </c>
    </row>
    <row r="583" spans="1:20" x14ac:dyDescent="0.3">
      <c r="A583" s="5">
        <v>45572</v>
      </c>
      <c r="B583" s="6" t="s">
        <v>379</v>
      </c>
      <c r="C583" s="7" t="s">
        <v>7</v>
      </c>
      <c r="D583" s="7">
        <v>50</v>
      </c>
      <c r="E583" s="8">
        <v>42.5</v>
      </c>
      <c r="F583" s="9">
        <f t="shared" si="45"/>
        <v>2125</v>
      </c>
      <c r="K583" t="s">
        <v>566</v>
      </c>
      <c r="L583">
        <v>6.09</v>
      </c>
      <c r="M583">
        <v>-4.25</v>
      </c>
      <c r="N583">
        <v>-11.35</v>
      </c>
      <c r="O583">
        <v>-3.64</v>
      </c>
      <c r="P583">
        <v>-34.450000000000003</v>
      </c>
      <c r="Q583">
        <v>-11.35</v>
      </c>
      <c r="R583">
        <v>-35.619999999999997</v>
      </c>
      <c r="S583">
        <v>770</v>
      </c>
      <c r="T583">
        <v>770</v>
      </c>
    </row>
    <row r="584" spans="1:20" x14ac:dyDescent="0.3">
      <c r="A584" s="5">
        <v>45572</v>
      </c>
      <c r="B584" s="6" t="s">
        <v>529</v>
      </c>
      <c r="C584" s="7" t="s">
        <v>7</v>
      </c>
      <c r="D584" s="7">
        <v>100</v>
      </c>
      <c r="E584" s="8">
        <v>44.5</v>
      </c>
      <c r="F584" s="9">
        <f t="shared" si="45"/>
        <v>4450</v>
      </c>
      <c r="K584" t="s">
        <v>567</v>
      </c>
      <c r="L584">
        <v>1.92</v>
      </c>
      <c r="M584">
        <v>-9</v>
      </c>
      <c r="N584">
        <v>-16.52</v>
      </c>
      <c r="O584">
        <v>23.08</v>
      </c>
      <c r="P584">
        <v>-15.79</v>
      </c>
      <c r="Q584">
        <v>-16.52</v>
      </c>
      <c r="R584">
        <v>47.69</v>
      </c>
      <c r="S584">
        <v>448.57</v>
      </c>
      <c r="T584">
        <v>585.71</v>
      </c>
    </row>
    <row r="585" spans="1:20" x14ac:dyDescent="0.3">
      <c r="A585" s="5">
        <v>45572</v>
      </c>
      <c r="B585" s="6" t="s">
        <v>379</v>
      </c>
      <c r="C585" s="7" t="s">
        <v>7</v>
      </c>
      <c r="D585" s="7">
        <v>50</v>
      </c>
      <c r="E585" s="8">
        <v>42</v>
      </c>
      <c r="F585" s="9">
        <f t="shared" si="45"/>
        <v>2100</v>
      </c>
      <c r="K585" t="s">
        <v>568</v>
      </c>
      <c r="L585">
        <v>9.4499999999999993</v>
      </c>
      <c r="M585">
        <v>-3.18</v>
      </c>
      <c r="N585">
        <v>-11.68</v>
      </c>
      <c r="O585">
        <v>-3.47</v>
      </c>
      <c r="P585">
        <v>-20.59</v>
      </c>
      <c r="Q585">
        <v>-11.68</v>
      </c>
      <c r="R585">
        <v>-41.67</v>
      </c>
    </row>
    <row r="586" spans="1:20" x14ac:dyDescent="0.3">
      <c r="A586" s="5">
        <v>45572</v>
      </c>
      <c r="B586" s="6" t="s">
        <v>23</v>
      </c>
      <c r="C586" s="7" t="s">
        <v>9</v>
      </c>
      <c r="D586" s="7">
        <v>1</v>
      </c>
      <c r="E586" s="8">
        <v>920</v>
      </c>
      <c r="F586" s="9">
        <f t="shared" si="45"/>
        <v>920</v>
      </c>
      <c r="K586" t="s">
        <v>569</v>
      </c>
      <c r="L586">
        <v>8.0399999999999991</v>
      </c>
      <c r="M586">
        <v>-4.0599999999999996</v>
      </c>
      <c r="N586">
        <v>-5.63</v>
      </c>
      <c r="O586">
        <v>0.5</v>
      </c>
      <c r="P586">
        <v>-23.79</v>
      </c>
      <c r="Q586">
        <v>-5.63</v>
      </c>
      <c r="R586">
        <v>-33.72</v>
      </c>
      <c r="S586">
        <v>308.12</v>
      </c>
      <c r="T586">
        <v>824.14</v>
      </c>
    </row>
    <row r="587" spans="1:20" x14ac:dyDescent="0.3">
      <c r="A587" s="5">
        <v>45572</v>
      </c>
      <c r="B587" s="6" t="s">
        <v>529</v>
      </c>
      <c r="C587" s="7" t="s">
        <v>7</v>
      </c>
      <c r="D587" s="7">
        <v>100</v>
      </c>
      <c r="E587" s="8">
        <v>44</v>
      </c>
      <c r="F587" s="9">
        <f t="shared" si="45"/>
        <v>4400</v>
      </c>
      <c r="K587" t="s">
        <v>570</v>
      </c>
      <c r="L587">
        <v>4.08</v>
      </c>
      <c r="M587">
        <v>-3.09</v>
      </c>
      <c r="N587">
        <v>-6.42</v>
      </c>
      <c r="O587">
        <v>-1.92</v>
      </c>
      <c r="P587">
        <v>-25.41</v>
      </c>
      <c r="Q587">
        <v>-6.42</v>
      </c>
      <c r="R587">
        <v>-12.45</v>
      </c>
      <c r="S587">
        <v>296.12</v>
      </c>
      <c r="T587">
        <v>343.48</v>
      </c>
    </row>
    <row r="588" spans="1:20" x14ac:dyDescent="0.3">
      <c r="A588" s="5">
        <v>45572</v>
      </c>
      <c r="B588" s="6" t="s">
        <v>206</v>
      </c>
      <c r="C588" s="7" t="s">
        <v>7</v>
      </c>
      <c r="D588" s="7">
        <v>200</v>
      </c>
      <c r="E588" s="8">
        <v>9.85</v>
      </c>
      <c r="F588" s="9">
        <f t="shared" si="45"/>
        <v>1970</v>
      </c>
      <c r="K588" t="s">
        <v>571</v>
      </c>
      <c r="L588">
        <v>14.82</v>
      </c>
      <c r="M588">
        <v>-0.34</v>
      </c>
      <c r="N588">
        <v>9.6199999999999992</v>
      </c>
      <c r="O588">
        <v>29.77</v>
      </c>
      <c r="P588">
        <v>116.67</v>
      </c>
      <c r="Q588">
        <v>9.6199999999999992</v>
      </c>
      <c r="R588">
        <v>114.78</v>
      </c>
      <c r="S588">
        <v>582.95000000000005</v>
      </c>
    </row>
    <row r="589" spans="1:20" x14ac:dyDescent="0.3">
      <c r="A589" s="10">
        <v>45573</v>
      </c>
      <c r="B589" s="11" t="s">
        <v>6</v>
      </c>
      <c r="C589" s="12" t="s">
        <v>9</v>
      </c>
      <c r="D589" s="12">
        <v>50</v>
      </c>
      <c r="E589" s="13">
        <v>37</v>
      </c>
      <c r="F589" s="14">
        <f t="shared" ref="F589:F599" si="46">+E589*D589</f>
        <v>1850</v>
      </c>
    </row>
    <row r="590" spans="1:20" x14ac:dyDescent="0.3">
      <c r="A590" s="5">
        <v>45573</v>
      </c>
      <c r="B590" s="6" t="s">
        <v>379</v>
      </c>
      <c r="C590" s="12" t="s">
        <v>9</v>
      </c>
      <c r="D590" s="7">
        <v>25</v>
      </c>
      <c r="E590" s="8">
        <v>43</v>
      </c>
      <c r="F590" s="9">
        <f t="shared" si="46"/>
        <v>1075</v>
      </c>
    </row>
    <row r="591" spans="1:20" x14ac:dyDescent="0.3">
      <c r="A591" s="5">
        <v>45573</v>
      </c>
      <c r="B591" s="6" t="s">
        <v>128</v>
      </c>
      <c r="C591" s="7" t="s">
        <v>9</v>
      </c>
      <c r="D591" s="7">
        <v>50</v>
      </c>
      <c r="E591" s="8">
        <v>19</v>
      </c>
      <c r="F591" s="9">
        <f t="shared" si="46"/>
        <v>950</v>
      </c>
    </row>
    <row r="592" spans="1:20" x14ac:dyDescent="0.3">
      <c r="A592" s="5">
        <v>45573</v>
      </c>
      <c r="B592" s="6" t="s">
        <v>13</v>
      </c>
      <c r="C592" s="7" t="s">
        <v>9</v>
      </c>
      <c r="D592" s="7">
        <v>50</v>
      </c>
      <c r="E592" s="8">
        <v>14.5</v>
      </c>
      <c r="F592" s="9">
        <f t="shared" si="46"/>
        <v>725</v>
      </c>
    </row>
    <row r="593" spans="1:6" x14ac:dyDescent="0.3">
      <c r="A593" s="5">
        <v>45573</v>
      </c>
      <c r="B593" s="6" t="s">
        <v>529</v>
      </c>
      <c r="C593" s="7" t="s">
        <v>9</v>
      </c>
      <c r="D593" s="7">
        <v>50</v>
      </c>
      <c r="E593" s="8">
        <v>45</v>
      </c>
      <c r="F593" s="9">
        <f t="shared" si="46"/>
        <v>2250</v>
      </c>
    </row>
    <row r="594" spans="1:6" x14ac:dyDescent="0.3">
      <c r="A594" s="5">
        <v>45573</v>
      </c>
      <c r="B594" s="6" t="s">
        <v>220</v>
      </c>
      <c r="C594" s="7" t="s">
        <v>7</v>
      </c>
      <c r="D594" s="7">
        <v>80</v>
      </c>
      <c r="E594" s="8">
        <v>48</v>
      </c>
      <c r="F594" s="9">
        <f t="shared" si="46"/>
        <v>3840</v>
      </c>
    </row>
    <row r="595" spans="1:6" x14ac:dyDescent="0.3">
      <c r="A595" s="5">
        <v>45573</v>
      </c>
      <c r="B595" s="6" t="s">
        <v>529</v>
      </c>
      <c r="C595" s="7" t="s">
        <v>7</v>
      </c>
      <c r="D595" s="7">
        <v>50</v>
      </c>
      <c r="E595" s="8">
        <v>43</v>
      </c>
      <c r="F595" s="9">
        <f t="shared" si="46"/>
        <v>2150</v>
      </c>
    </row>
    <row r="596" spans="1:6" x14ac:dyDescent="0.3">
      <c r="A596" s="5">
        <v>45573</v>
      </c>
      <c r="B596" s="6" t="s">
        <v>265</v>
      </c>
      <c r="C596" s="7" t="s">
        <v>7</v>
      </c>
      <c r="D596" s="7">
        <v>10</v>
      </c>
      <c r="E596" s="8">
        <v>190</v>
      </c>
      <c r="F596" s="9">
        <f t="shared" si="46"/>
        <v>1900</v>
      </c>
    </row>
    <row r="597" spans="1:6" x14ac:dyDescent="0.3">
      <c r="A597" s="5">
        <v>45573</v>
      </c>
      <c r="B597" s="6" t="s">
        <v>549</v>
      </c>
      <c r="C597" s="7" t="s">
        <v>7</v>
      </c>
      <c r="D597" s="7">
        <v>100</v>
      </c>
      <c r="E597" s="8">
        <v>17</v>
      </c>
      <c r="F597" s="9">
        <f t="shared" si="46"/>
        <v>1700</v>
      </c>
    </row>
    <row r="598" spans="1:6" x14ac:dyDescent="0.3">
      <c r="A598" s="5">
        <v>45573</v>
      </c>
      <c r="B598" s="6" t="s">
        <v>529</v>
      </c>
      <c r="C598" s="7" t="s">
        <v>9</v>
      </c>
      <c r="D598" s="7">
        <v>50</v>
      </c>
      <c r="E598" s="8">
        <v>44</v>
      </c>
      <c r="F598" s="9">
        <f t="shared" si="46"/>
        <v>2200</v>
      </c>
    </row>
    <row r="599" spans="1:6" x14ac:dyDescent="0.3">
      <c r="A599" s="5">
        <v>45573</v>
      </c>
      <c r="B599" s="6" t="s">
        <v>37</v>
      </c>
      <c r="C599" s="7" t="s">
        <v>9</v>
      </c>
      <c r="D599" s="7">
        <v>75</v>
      </c>
      <c r="E599" s="8">
        <v>55.8</v>
      </c>
      <c r="F599" s="9">
        <f t="shared" si="46"/>
        <v>4185</v>
      </c>
    </row>
    <row r="600" spans="1:6" x14ac:dyDescent="0.3">
      <c r="A600" s="10">
        <v>45574</v>
      </c>
      <c r="B600" s="11" t="s">
        <v>6</v>
      </c>
      <c r="C600" s="12" t="s">
        <v>9</v>
      </c>
      <c r="D600" s="12">
        <v>25</v>
      </c>
      <c r="E600" s="13">
        <v>38</v>
      </c>
      <c r="F600" s="14">
        <f t="shared" ref="F600:F609" si="47">+E600*D600</f>
        <v>950</v>
      </c>
    </row>
    <row r="601" spans="1:6" x14ac:dyDescent="0.3">
      <c r="A601" s="5">
        <v>45574</v>
      </c>
      <c r="B601" s="6" t="s">
        <v>529</v>
      </c>
      <c r="C601" s="12" t="s">
        <v>9</v>
      </c>
      <c r="D601" s="7">
        <v>50</v>
      </c>
      <c r="E601" s="8">
        <v>45</v>
      </c>
      <c r="F601" s="9">
        <f t="shared" si="47"/>
        <v>2250</v>
      </c>
    </row>
    <row r="602" spans="1:6" x14ac:dyDescent="0.3">
      <c r="A602" s="5">
        <v>45574</v>
      </c>
      <c r="B602" s="6" t="s">
        <v>33</v>
      </c>
      <c r="C602" s="7" t="s">
        <v>7</v>
      </c>
      <c r="D602" s="7">
        <v>80</v>
      </c>
      <c r="E602" s="8">
        <v>27</v>
      </c>
      <c r="F602" s="9">
        <f t="shared" si="47"/>
        <v>2160</v>
      </c>
    </row>
    <row r="603" spans="1:6" x14ac:dyDescent="0.3">
      <c r="A603" s="5">
        <v>45574</v>
      </c>
      <c r="B603" s="6" t="s">
        <v>154</v>
      </c>
      <c r="C603" s="7" t="s">
        <v>7</v>
      </c>
      <c r="D603" s="7">
        <v>10</v>
      </c>
      <c r="E603" s="8">
        <v>160</v>
      </c>
      <c r="F603" s="9">
        <f t="shared" si="47"/>
        <v>1600</v>
      </c>
    </row>
    <row r="604" spans="1:6" x14ac:dyDescent="0.3">
      <c r="A604" s="5">
        <v>45574</v>
      </c>
      <c r="B604" s="6" t="s">
        <v>379</v>
      </c>
      <c r="C604" s="7" t="s">
        <v>7</v>
      </c>
      <c r="D604" s="7">
        <v>75</v>
      </c>
      <c r="E604" s="8">
        <v>41.5</v>
      </c>
      <c r="F604" s="9">
        <f t="shared" si="47"/>
        <v>3112.5</v>
      </c>
    </row>
    <row r="605" spans="1:6" x14ac:dyDescent="0.3">
      <c r="A605" s="5">
        <v>45574</v>
      </c>
      <c r="B605" s="6" t="s">
        <v>255</v>
      </c>
      <c r="C605" s="7" t="s">
        <v>7</v>
      </c>
      <c r="D605" s="7">
        <v>125</v>
      </c>
      <c r="E605" s="8">
        <v>10</v>
      </c>
      <c r="F605" s="9">
        <f t="shared" si="47"/>
        <v>1250</v>
      </c>
    </row>
    <row r="606" spans="1:6" x14ac:dyDescent="0.3">
      <c r="A606" s="5">
        <v>45574</v>
      </c>
      <c r="B606" s="6" t="s">
        <v>12</v>
      </c>
      <c r="C606" s="7" t="s">
        <v>7</v>
      </c>
      <c r="D606" s="7">
        <v>50</v>
      </c>
      <c r="E606" s="8">
        <v>69</v>
      </c>
      <c r="F606" s="9">
        <f t="shared" si="47"/>
        <v>3450</v>
      </c>
    </row>
    <row r="607" spans="1:6" x14ac:dyDescent="0.3">
      <c r="A607" s="5">
        <v>45574</v>
      </c>
      <c r="B607" s="6" t="s">
        <v>529</v>
      </c>
      <c r="C607" s="7" t="s">
        <v>7</v>
      </c>
      <c r="D607" s="7">
        <v>50</v>
      </c>
      <c r="E607" s="8">
        <v>44</v>
      </c>
      <c r="F607" s="9">
        <f t="shared" si="47"/>
        <v>2200</v>
      </c>
    </row>
    <row r="608" spans="1:6" x14ac:dyDescent="0.3">
      <c r="A608" s="5">
        <v>45574</v>
      </c>
      <c r="B608" s="6" t="s">
        <v>379</v>
      </c>
      <c r="C608" s="7" t="s">
        <v>9</v>
      </c>
      <c r="D608" s="7">
        <v>50</v>
      </c>
      <c r="E608" s="8">
        <v>42.5</v>
      </c>
      <c r="F608" s="9">
        <f t="shared" si="47"/>
        <v>2125</v>
      </c>
    </row>
    <row r="609" spans="1:6" x14ac:dyDescent="0.3">
      <c r="A609" s="5">
        <v>45574</v>
      </c>
      <c r="B609" s="6" t="s">
        <v>529</v>
      </c>
      <c r="C609" s="7" t="s">
        <v>9</v>
      </c>
      <c r="D609" s="7">
        <v>50</v>
      </c>
      <c r="E609" s="8">
        <v>45</v>
      </c>
      <c r="F609" s="9">
        <f t="shared" si="47"/>
        <v>2250</v>
      </c>
    </row>
    <row r="610" spans="1:6" x14ac:dyDescent="0.3">
      <c r="A610" s="10">
        <v>45575</v>
      </c>
      <c r="B610" s="11" t="s">
        <v>206</v>
      </c>
      <c r="C610" s="12" t="s">
        <v>9</v>
      </c>
      <c r="D610" s="12">
        <v>100</v>
      </c>
      <c r="E610" s="13">
        <v>10.1</v>
      </c>
      <c r="F610" s="14">
        <f t="shared" ref="F610:F627" si="48">+E610*D610</f>
        <v>1010</v>
      </c>
    </row>
    <row r="611" spans="1:6" x14ac:dyDescent="0.3">
      <c r="A611" s="5">
        <v>45575</v>
      </c>
      <c r="B611" s="6" t="s">
        <v>255</v>
      </c>
      <c r="C611" s="12" t="s">
        <v>9</v>
      </c>
      <c r="D611" s="7">
        <v>50</v>
      </c>
      <c r="E611" s="8">
        <v>10.5</v>
      </c>
      <c r="F611" s="9">
        <f t="shared" si="48"/>
        <v>525</v>
      </c>
    </row>
    <row r="612" spans="1:6" x14ac:dyDescent="0.3">
      <c r="A612" s="5">
        <v>45575</v>
      </c>
      <c r="B612" s="6" t="s">
        <v>12</v>
      </c>
      <c r="C612" s="12" t="s">
        <v>9</v>
      </c>
      <c r="D612" s="7">
        <v>10</v>
      </c>
      <c r="E612" s="8">
        <v>71</v>
      </c>
      <c r="F612" s="9">
        <f t="shared" si="48"/>
        <v>710</v>
      </c>
    </row>
    <row r="613" spans="1:6" x14ac:dyDescent="0.3">
      <c r="A613" s="5">
        <v>45575</v>
      </c>
      <c r="B613" s="6" t="s">
        <v>13</v>
      </c>
      <c r="C613" s="12" t="s">
        <v>9</v>
      </c>
      <c r="D613" s="7">
        <v>100</v>
      </c>
      <c r="E613" s="8">
        <v>14.7</v>
      </c>
      <c r="F613" s="9">
        <f t="shared" si="48"/>
        <v>1470</v>
      </c>
    </row>
    <row r="614" spans="1:6" x14ac:dyDescent="0.3">
      <c r="A614" s="5">
        <v>45575</v>
      </c>
      <c r="B614" s="6" t="s">
        <v>13</v>
      </c>
      <c r="C614" s="12" t="s">
        <v>9</v>
      </c>
      <c r="D614" s="7">
        <v>100</v>
      </c>
      <c r="E614" s="8">
        <v>15</v>
      </c>
      <c r="F614" s="9">
        <f t="shared" si="48"/>
        <v>1500</v>
      </c>
    </row>
    <row r="615" spans="1:6" x14ac:dyDescent="0.3">
      <c r="A615" s="5">
        <v>45584</v>
      </c>
      <c r="B615" s="6" t="s">
        <v>13</v>
      </c>
      <c r="C615" s="12" t="s">
        <v>9</v>
      </c>
      <c r="D615" s="7">
        <v>100</v>
      </c>
      <c r="E615" s="8">
        <v>15.5</v>
      </c>
      <c r="F615" s="9">
        <f t="shared" si="48"/>
        <v>1550</v>
      </c>
    </row>
    <row r="616" spans="1:6" x14ac:dyDescent="0.3">
      <c r="A616" s="5">
        <v>45575</v>
      </c>
      <c r="B616" s="6" t="s">
        <v>379</v>
      </c>
      <c r="C616" s="12" t="s">
        <v>9</v>
      </c>
      <c r="D616" s="7">
        <v>50</v>
      </c>
      <c r="E616" s="8">
        <v>43</v>
      </c>
      <c r="F616" s="9">
        <f t="shared" si="48"/>
        <v>2150</v>
      </c>
    </row>
    <row r="617" spans="1:6" x14ac:dyDescent="0.3">
      <c r="A617" s="5">
        <v>45575</v>
      </c>
      <c r="B617" s="6" t="s">
        <v>379</v>
      </c>
      <c r="C617" s="12" t="s">
        <v>9</v>
      </c>
      <c r="D617" s="7">
        <v>25</v>
      </c>
      <c r="E617" s="8">
        <v>42.5</v>
      </c>
      <c r="F617" s="9">
        <f t="shared" si="48"/>
        <v>1062.5</v>
      </c>
    </row>
    <row r="618" spans="1:6" x14ac:dyDescent="0.3">
      <c r="A618" s="5">
        <v>45575</v>
      </c>
      <c r="B618" s="6" t="s">
        <v>379</v>
      </c>
      <c r="C618" s="12" t="s">
        <v>9</v>
      </c>
      <c r="D618" s="7">
        <v>50</v>
      </c>
      <c r="E618" s="8">
        <v>43.5</v>
      </c>
      <c r="F618" s="9">
        <f t="shared" si="48"/>
        <v>2175</v>
      </c>
    </row>
    <row r="619" spans="1:6" x14ac:dyDescent="0.3">
      <c r="A619" s="5">
        <v>45575</v>
      </c>
      <c r="B619" s="6" t="s">
        <v>18</v>
      </c>
      <c r="C619" s="7" t="s">
        <v>7</v>
      </c>
      <c r="D619" s="7">
        <v>10</v>
      </c>
      <c r="E619" s="8">
        <v>212</v>
      </c>
      <c r="F619" s="9">
        <f t="shared" si="48"/>
        <v>2120</v>
      </c>
    </row>
    <row r="620" spans="1:6" x14ac:dyDescent="0.3">
      <c r="A620" s="5">
        <v>45575</v>
      </c>
      <c r="B620" s="6" t="s">
        <v>12</v>
      </c>
      <c r="C620" s="7" t="s">
        <v>7</v>
      </c>
      <c r="D620" s="7">
        <v>10</v>
      </c>
      <c r="E620" s="8">
        <v>70</v>
      </c>
      <c r="F620" s="9">
        <f t="shared" si="48"/>
        <v>700</v>
      </c>
    </row>
    <row r="621" spans="1:6" x14ac:dyDescent="0.3">
      <c r="A621" s="5">
        <v>45575</v>
      </c>
      <c r="B621" s="6" t="s">
        <v>423</v>
      </c>
      <c r="C621" s="7" t="s">
        <v>7</v>
      </c>
      <c r="D621" s="7">
        <v>200</v>
      </c>
      <c r="E621" s="8">
        <v>7.7</v>
      </c>
      <c r="F621" s="9">
        <f t="shared" si="48"/>
        <v>1540</v>
      </c>
    </row>
    <row r="622" spans="1:6" x14ac:dyDescent="0.3">
      <c r="A622" s="5">
        <v>45575</v>
      </c>
      <c r="B622" s="6" t="s">
        <v>423</v>
      </c>
      <c r="C622" s="7" t="s">
        <v>7</v>
      </c>
      <c r="D622" s="7">
        <v>200</v>
      </c>
      <c r="E622" s="8">
        <v>7.5</v>
      </c>
      <c r="F622" s="9">
        <f t="shared" si="48"/>
        <v>1500</v>
      </c>
    </row>
    <row r="623" spans="1:6" x14ac:dyDescent="0.3">
      <c r="A623" s="5">
        <v>45575</v>
      </c>
      <c r="B623" s="6" t="s">
        <v>13</v>
      </c>
      <c r="C623" s="7" t="s">
        <v>7</v>
      </c>
      <c r="D623" s="7">
        <v>50</v>
      </c>
      <c r="E623" s="8">
        <v>15</v>
      </c>
      <c r="F623" s="9">
        <f t="shared" si="48"/>
        <v>750</v>
      </c>
    </row>
    <row r="624" spans="1:6" x14ac:dyDescent="0.3">
      <c r="A624" s="5">
        <v>45575</v>
      </c>
      <c r="B624" s="6" t="s">
        <v>32</v>
      </c>
      <c r="C624" s="7" t="s">
        <v>7</v>
      </c>
      <c r="D624" s="7">
        <v>10</v>
      </c>
      <c r="E624" s="8">
        <v>89.9</v>
      </c>
      <c r="F624" s="9">
        <f t="shared" si="48"/>
        <v>899</v>
      </c>
    </row>
    <row r="625" spans="1:6" x14ac:dyDescent="0.3">
      <c r="A625" s="5">
        <v>45575</v>
      </c>
      <c r="B625" s="6" t="s">
        <v>550</v>
      </c>
      <c r="C625" s="7" t="s">
        <v>7</v>
      </c>
      <c r="D625" s="7">
        <v>35</v>
      </c>
      <c r="E625" s="8">
        <v>59.5</v>
      </c>
      <c r="F625" s="9">
        <f t="shared" si="48"/>
        <v>2082.5</v>
      </c>
    </row>
    <row r="626" spans="1:6" x14ac:dyDescent="0.3">
      <c r="A626" s="5">
        <v>45575</v>
      </c>
      <c r="B626" s="6" t="s">
        <v>301</v>
      </c>
      <c r="C626" s="7" t="s">
        <v>7</v>
      </c>
      <c r="D626" s="7">
        <v>30</v>
      </c>
      <c r="E626" s="8">
        <v>34.5</v>
      </c>
      <c r="F626" s="9">
        <f t="shared" si="48"/>
        <v>1035</v>
      </c>
    </row>
    <row r="627" spans="1:6" x14ac:dyDescent="0.3">
      <c r="A627" s="5">
        <v>45575</v>
      </c>
      <c r="B627" s="6" t="s">
        <v>41</v>
      </c>
      <c r="C627" s="7" t="s">
        <v>7</v>
      </c>
      <c r="D627" s="7">
        <v>10</v>
      </c>
      <c r="E627" s="8">
        <v>149.80000000000001</v>
      </c>
      <c r="F627" s="9">
        <f t="shared" si="48"/>
        <v>1498</v>
      </c>
    </row>
    <row r="628" spans="1:6" x14ac:dyDescent="0.3">
      <c r="A628" s="10">
        <v>45576</v>
      </c>
      <c r="B628" s="11" t="s">
        <v>379</v>
      </c>
      <c r="C628" s="12" t="s">
        <v>9</v>
      </c>
      <c r="D628" s="12">
        <v>75</v>
      </c>
      <c r="E628" s="13">
        <v>46.74</v>
      </c>
      <c r="F628" s="14">
        <f t="shared" ref="F628:F650" si="49">+E628*D628</f>
        <v>3505.5</v>
      </c>
    </row>
    <row r="629" spans="1:6" x14ac:dyDescent="0.3">
      <c r="A629" s="10">
        <v>45576</v>
      </c>
      <c r="B629" s="6" t="s">
        <v>379</v>
      </c>
      <c r="C629" s="12" t="s">
        <v>9</v>
      </c>
      <c r="D629" s="7">
        <v>50</v>
      </c>
      <c r="E629" s="8">
        <v>46</v>
      </c>
      <c r="F629" s="9">
        <f t="shared" si="49"/>
        <v>2300</v>
      </c>
    </row>
    <row r="630" spans="1:6" x14ac:dyDescent="0.3">
      <c r="A630" s="5">
        <v>45576</v>
      </c>
      <c r="B630" s="6" t="s">
        <v>379</v>
      </c>
      <c r="C630" s="12" t="s">
        <v>9</v>
      </c>
      <c r="D630" s="7">
        <v>25</v>
      </c>
      <c r="E630" s="8">
        <v>45</v>
      </c>
      <c r="F630" s="9">
        <f t="shared" si="49"/>
        <v>1125</v>
      </c>
    </row>
    <row r="631" spans="1:6" x14ac:dyDescent="0.3">
      <c r="A631" s="5">
        <v>45576</v>
      </c>
      <c r="B631" s="6" t="s">
        <v>301</v>
      </c>
      <c r="C631" s="12" t="s">
        <v>9</v>
      </c>
      <c r="D631" s="7">
        <v>30</v>
      </c>
      <c r="E631" s="8">
        <v>36</v>
      </c>
      <c r="F631" s="9">
        <f t="shared" si="49"/>
        <v>1080</v>
      </c>
    </row>
    <row r="632" spans="1:6" x14ac:dyDescent="0.3">
      <c r="A632" s="5">
        <v>45576</v>
      </c>
      <c r="B632" s="6" t="s">
        <v>529</v>
      </c>
      <c r="C632" s="12" t="s">
        <v>9</v>
      </c>
      <c r="D632" s="7">
        <v>50</v>
      </c>
      <c r="E632" s="8">
        <v>46</v>
      </c>
      <c r="F632" s="9">
        <f t="shared" si="49"/>
        <v>2300</v>
      </c>
    </row>
    <row r="633" spans="1:6" x14ac:dyDescent="0.3">
      <c r="A633" s="5">
        <v>45576</v>
      </c>
      <c r="B633" s="6" t="s">
        <v>529</v>
      </c>
      <c r="C633" s="12" t="s">
        <v>9</v>
      </c>
      <c r="D633" s="7">
        <v>25</v>
      </c>
      <c r="E633" s="8">
        <v>45</v>
      </c>
      <c r="F633" s="9">
        <f t="shared" si="49"/>
        <v>1125</v>
      </c>
    </row>
    <row r="634" spans="1:6" x14ac:dyDescent="0.3">
      <c r="A634" s="5">
        <v>45576</v>
      </c>
      <c r="B634" s="6" t="s">
        <v>529</v>
      </c>
      <c r="C634" s="12" t="s">
        <v>9</v>
      </c>
      <c r="D634" s="7">
        <v>75</v>
      </c>
      <c r="E634" s="8">
        <v>47</v>
      </c>
      <c r="F634" s="9">
        <f t="shared" si="49"/>
        <v>3525</v>
      </c>
    </row>
    <row r="635" spans="1:6" x14ac:dyDescent="0.3">
      <c r="A635" s="5">
        <v>45576</v>
      </c>
      <c r="B635" s="6" t="s">
        <v>6</v>
      </c>
      <c r="C635" s="7" t="s">
        <v>7</v>
      </c>
      <c r="D635" s="7">
        <v>25</v>
      </c>
      <c r="E635" s="8">
        <v>37</v>
      </c>
      <c r="F635" s="9">
        <f t="shared" si="49"/>
        <v>925</v>
      </c>
    </row>
    <row r="636" spans="1:6" x14ac:dyDescent="0.3">
      <c r="A636" s="5">
        <v>45576</v>
      </c>
      <c r="B636" s="6" t="s">
        <v>529</v>
      </c>
      <c r="C636" s="7" t="s">
        <v>7</v>
      </c>
      <c r="D636" s="7">
        <v>50</v>
      </c>
      <c r="E636" s="8">
        <v>45</v>
      </c>
      <c r="F636" s="9">
        <f t="shared" si="49"/>
        <v>2250</v>
      </c>
    </row>
    <row r="637" spans="1:6" x14ac:dyDescent="0.3">
      <c r="A637" s="5">
        <v>45576</v>
      </c>
      <c r="B637" s="6" t="s">
        <v>423</v>
      </c>
      <c r="C637" s="7" t="s">
        <v>7</v>
      </c>
      <c r="D637" s="7">
        <v>400</v>
      </c>
      <c r="E637" s="8">
        <v>7</v>
      </c>
      <c r="F637" s="9">
        <f t="shared" si="49"/>
        <v>2800</v>
      </c>
    </row>
    <row r="638" spans="1:6" x14ac:dyDescent="0.3">
      <c r="A638" s="5">
        <v>45576</v>
      </c>
      <c r="B638" s="6" t="s">
        <v>128</v>
      </c>
      <c r="C638" s="7" t="s">
        <v>7</v>
      </c>
      <c r="D638" s="7">
        <v>100</v>
      </c>
      <c r="E638" s="8">
        <v>17.600000000000001</v>
      </c>
      <c r="F638" s="9">
        <f t="shared" si="49"/>
        <v>1760.0000000000002</v>
      </c>
    </row>
    <row r="639" spans="1:6" x14ac:dyDescent="0.3">
      <c r="A639" s="5">
        <v>45576</v>
      </c>
      <c r="B639" s="6" t="s">
        <v>128</v>
      </c>
      <c r="C639" s="7" t="s">
        <v>7</v>
      </c>
      <c r="D639" s="7">
        <v>150</v>
      </c>
      <c r="E639" s="8">
        <v>17.5</v>
      </c>
      <c r="F639" s="9">
        <f t="shared" si="49"/>
        <v>2625</v>
      </c>
    </row>
    <row r="640" spans="1:6" x14ac:dyDescent="0.3">
      <c r="A640" s="5">
        <v>45576</v>
      </c>
      <c r="B640" s="6" t="s">
        <v>546</v>
      </c>
      <c r="C640" s="7" t="s">
        <v>7</v>
      </c>
      <c r="D640" s="7">
        <v>50</v>
      </c>
      <c r="E640" s="8">
        <v>23.5</v>
      </c>
      <c r="F640" s="9">
        <f t="shared" si="49"/>
        <v>1175</v>
      </c>
    </row>
    <row r="641" spans="1:6" x14ac:dyDescent="0.3">
      <c r="A641" s="5">
        <v>45576</v>
      </c>
      <c r="B641" s="6" t="s">
        <v>352</v>
      </c>
      <c r="C641" s="7" t="s">
        <v>7</v>
      </c>
      <c r="D641" s="7">
        <v>200</v>
      </c>
      <c r="E641" s="8">
        <v>5.85</v>
      </c>
      <c r="F641" s="9">
        <f t="shared" si="49"/>
        <v>1170</v>
      </c>
    </row>
    <row r="642" spans="1:6" x14ac:dyDescent="0.3">
      <c r="A642" s="5">
        <v>45576</v>
      </c>
      <c r="B642" s="6" t="s">
        <v>249</v>
      </c>
      <c r="C642" s="7" t="s">
        <v>7</v>
      </c>
      <c r="D642" s="7">
        <v>50</v>
      </c>
      <c r="E642" s="8">
        <v>39</v>
      </c>
      <c r="F642" s="9">
        <f t="shared" si="49"/>
        <v>1950</v>
      </c>
    </row>
    <row r="643" spans="1:6" x14ac:dyDescent="0.3">
      <c r="A643" s="5">
        <v>45576</v>
      </c>
      <c r="B643" s="6" t="s">
        <v>37</v>
      </c>
      <c r="C643" s="7" t="s">
        <v>7</v>
      </c>
      <c r="D643" s="7">
        <v>50</v>
      </c>
      <c r="E643" s="8">
        <v>49.9</v>
      </c>
      <c r="F643" s="9">
        <f t="shared" si="49"/>
        <v>2495</v>
      </c>
    </row>
    <row r="644" spans="1:6" x14ac:dyDescent="0.3">
      <c r="A644" s="5">
        <v>45576</v>
      </c>
      <c r="B644" s="6" t="s">
        <v>383</v>
      </c>
      <c r="C644" s="7" t="s">
        <v>9</v>
      </c>
      <c r="D644" s="7">
        <v>250</v>
      </c>
      <c r="E644" s="8">
        <v>2.4700000000000002</v>
      </c>
      <c r="F644" s="9">
        <f t="shared" si="49"/>
        <v>617.5</v>
      </c>
    </row>
    <row r="645" spans="1:6" x14ac:dyDescent="0.3">
      <c r="A645" s="5">
        <v>45576</v>
      </c>
      <c r="B645" s="6" t="s">
        <v>128</v>
      </c>
      <c r="C645" s="7" t="s">
        <v>7</v>
      </c>
      <c r="D645" s="7">
        <v>200</v>
      </c>
      <c r="E645" s="8">
        <v>17.399999999999999</v>
      </c>
      <c r="F645" s="9">
        <f t="shared" si="49"/>
        <v>3479.9999999999995</v>
      </c>
    </row>
    <row r="646" spans="1:6" x14ac:dyDescent="0.3">
      <c r="A646" s="5">
        <v>45576</v>
      </c>
      <c r="B646" s="6" t="s">
        <v>128</v>
      </c>
      <c r="C646" s="7" t="s">
        <v>9</v>
      </c>
      <c r="D646" s="7">
        <v>50</v>
      </c>
      <c r="E646" s="8">
        <v>17.7</v>
      </c>
      <c r="F646" s="9">
        <f t="shared" si="49"/>
        <v>885</v>
      </c>
    </row>
    <row r="647" spans="1:6" x14ac:dyDescent="0.3">
      <c r="A647" s="5">
        <v>45576</v>
      </c>
      <c r="B647" s="6" t="s">
        <v>301</v>
      </c>
      <c r="C647" s="7" t="s">
        <v>7</v>
      </c>
      <c r="D647" s="7">
        <v>30</v>
      </c>
      <c r="E647" s="8">
        <v>35</v>
      </c>
      <c r="F647" s="9">
        <f t="shared" si="49"/>
        <v>1050</v>
      </c>
    </row>
    <row r="648" spans="1:6" x14ac:dyDescent="0.3">
      <c r="A648" s="5">
        <v>45576</v>
      </c>
      <c r="B648" s="6" t="s">
        <v>529</v>
      </c>
      <c r="C648" s="7" t="s">
        <v>7</v>
      </c>
      <c r="D648" s="7">
        <v>50</v>
      </c>
      <c r="E648" s="8">
        <v>46</v>
      </c>
      <c r="F648" s="9">
        <f t="shared" si="49"/>
        <v>2300</v>
      </c>
    </row>
    <row r="649" spans="1:6" x14ac:dyDescent="0.3">
      <c r="A649" s="5">
        <v>45576</v>
      </c>
      <c r="B649" s="6" t="s">
        <v>128</v>
      </c>
      <c r="C649" s="7" t="s">
        <v>7</v>
      </c>
      <c r="D649" s="7">
        <v>200</v>
      </c>
      <c r="E649" s="8">
        <v>17.3</v>
      </c>
      <c r="F649" s="9">
        <f t="shared" si="49"/>
        <v>3460</v>
      </c>
    </row>
    <row r="650" spans="1:6" x14ac:dyDescent="0.3">
      <c r="A650" s="5">
        <v>45576</v>
      </c>
      <c r="B650" s="6" t="s">
        <v>26</v>
      </c>
      <c r="C650" s="7" t="s">
        <v>7</v>
      </c>
      <c r="D650" s="7">
        <v>50</v>
      </c>
      <c r="E650" s="8">
        <v>68.5</v>
      </c>
      <c r="F650" s="9">
        <f t="shared" si="49"/>
        <v>3425</v>
      </c>
    </row>
    <row r="651" spans="1:6" x14ac:dyDescent="0.3">
      <c r="A651" s="10">
        <v>45579</v>
      </c>
      <c r="B651" s="11" t="s">
        <v>379</v>
      </c>
      <c r="C651" s="12" t="s">
        <v>9</v>
      </c>
      <c r="D651" s="12">
        <v>60</v>
      </c>
      <c r="E651" s="13">
        <v>48</v>
      </c>
      <c r="F651" s="14">
        <f t="shared" ref="F651:F664" si="50">+E651*D651</f>
        <v>2880</v>
      </c>
    </row>
    <row r="652" spans="1:6" x14ac:dyDescent="0.3">
      <c r="A652" s="5">
        <v>45579</v>
      </c>
      <c r="B652" s="11" t="s">
        <v>379</v>
      </c>
      <c r="C652" s="12" t="s">
        <v>9</v>
      </c>
      <c r="D652" s="7">
        <v>100</v>
      </c>
      <c r="E652" s="8">
        <v>49</v>
      </c>
      <c r="F652" s="9">
        <f t="shared" si="50"/>
        <v>4900</v>
      </c>
    </row>
    <row r="653" spans="1:6" x14ac:dyDescent="0.3">
      <c r="A653" s="5">
        <v>45579</v>
      </c>
      <c r="B653" s="11" t="s">
        <v>379</v>
      </c>
      <c r="C653" s="12" t="s">
        <v>9</v>
      </c>
      <c r="D653" s="7">
        <v>45</v>
      </c>
      <c r="E653" s="8">
        <v>47.4</v>
      </c>
      <c r="F653" s="9">
        <f t="shared" si="50"/>
        <v>2133</v>
      </c>
    </row>
    <row r="654" spans="1:6" x14ac:dyDescent="0.3">
      <c r="A654" s="5">
        <v>45579</v>
      </c>
      <c r="B654" s="6" t="s">
        <v>423</v>
      </c>
      <c r="C654" s="12" t="s">
        <v>9</v>
      </c>
      <c r="D654" s="7">
        <v>50</v>
      </c>
      <c r="E654" s="8">
        <v>7.1</v>
      </c>
      <c r="F654" s="9">
        <f t="shared" si="50"/>
        <v>355</v>
      </c>
    </row>
    <row r="655" spans="1:6" x14ac:dyDescent="0.3">
      <c r="A655" s="5">
        <v>45579</v>
      </c>
      <c r="B655" s="6" t="s">
        <v>423</v>
      </c>
      <c r="C655" s="12" t="s">
        <v>9</v>
      </c>
      <c r="D655" s="7">
        <v>75</v>
      </c>
      <c r="E655" s="8">
        <v>7.2</v>
      </c>
      <c r="F655" s="9">
        <f t="shared" si="50"/>
        <v>540</v>
      </c>
    </row>
    <row r="656" spans="1:6" x14ac:dyDescent="0.3">
      <c r="A656" s="5">
        <v>45579</v>
      </c>
      <c r="B656" s="6" t="s">
        <v>423</v>
      </c>
      <c r="C656" s="12" t="s">
        <v>9</v>
      </c>
      <c r="D656" s="7">
        <v>100</v>
      </c>
      <c r="E656" s="8">
        <v>7.3</v>
      </c>
      <c r="F656" s="9">
        <f t="shared" si="50"/>
        <v>730</v>
      </c>
    </row>
    <row r="657" spans="1:6" x14ac:dyDescent="0.3">
      <c r="A657" s="5">
        <v>45579</v>
      </c>
      <c r="B657" s="6" t="s">
        <v>423</v>
      </c>
      <c r="C657" s="12" t="s">
        <v>9</v>
      </c>
      <c r="D657" s="7">
        <v>100</v>
      </c>
      <c r="E657" s="13">
        <v>7.4</v>
      </c>
      <c r="F657" s="14">
        <f t="shared" si="50"/>
        <v>740</v>
      </c>
    </row>
    <row r="658" spans="1:6" x14ac:dyDescent="0.3">
      <c r="A658" s="5">
        <v>45579</v>
      </c>
      <c r="B658" s="6" t="s">
        <v>423</v>
      </c>
      <c r="C658" s="12" t="s">
        <v>9</v>
      </c>
      <c r="D658" s="7">
        <v>100</v>
      </c>
      <c r="E658" s="8">
        <v>7.5</v>
      </c>
      <c r="F658" s="9">
        <f t="shared" si="50"/>
        <v>750</v>
      </c>
    </row>
    <row r="659" spans="1:6" x14ac:dyDescent="0.3">
      <c r="A659" s="5">
        <v>45579</v>
      </c>
      <c r="B659" s="6" t="s">
        <v>423</v>
      </c>
      <c r="C659" s="12" t="s">
        <v>9</v>
      </c>
      <c r="D659" s="7">
        <v>100</v>
      </c>
      <c r="E659" s="8">
        <v>7.74</v>
      </c>
      <c r="F659" s="9">
        <f t="shared" si="50"/>
        <v>774</v>
      </c>
    </row>
    <row r="660" spans="1:6" x14ac:dyDescent="0.3">
      <c r="A660" s="5">
        <v>45579</v>
      </c>
      <c r="B660" s="6" t="s">
        <v>128</v>
      </c>
      <c r="C660" s="12" t="s">
        <v>9</v>
      </c>
      <c r="D660" s="7">
        <v>75</v>
      </c>
      <c r="E660" s="8">
        <v>17.5</v>
      </c>
      <c r="F660" s="9">
        <f t="shared" si="50"/>
        <v>1312.5</v>
      </c>
    </row>
    <row r="661" spans="1:6" x14ac:dyDescent="0.3">
      <c r="A661" s="5">
        <v>45579</v>
      </c>
      <c r="B661" s="6" t="s">
        <v>128</v>
      </c>
      <c r="C661" s="12" t="s">
        <v>9</v>
      </c>
      <c r="D661" s="7">
        <v>50</v>
      </c>
      <c r="E661" s="8">
        <v>17.399999999999999</v>
      </c>
      <c r="F661" s="9">
        <f t="shared" si="50"/>
        <v>869.99999999999989</v>
      </c>
    </row>
    <row r="662" spans="1:6" x14ac:dyDescent="0.3">
      <c r="A662" s="5">
        <v>45579</v>
      </c>
      <c r="B662" s="6" t="s">
        <v>89</v>
      </c>
      <c r="C662" s="12" t="s">
        <v>9</v>
      </c>
      <c r="D662" s="7">
        <v>100</v>
      </c>
      <c r="E662" s="8">
        <v>6</v>
      </c>
      <c r="F662" s="9">
        <f t="shared" si="50"/>
        <v>600</v>
      </c>
    </row>
    <row r="663" spans="1:6" x14ac:dyDescent="0.3">
      <c r="A663" s="5">
        <v>45579</v>
      </c>
      <c r="B663" s="6" t="s">
        <v>89</v>
      </c>
      <c r="C663" s="12" t="s">
        <v>9</v>
      </c>
      <c r="D663" s="7">
        <v>100</v>
      </c>
      <c r="E663" s="8">
        <v>6.2</v>
      </c>
      <c r="F663" s="9">
        <f t="shared" si="50"/>
        <v>620</v>
      </c>
    </row>
    <row r="664" spans="1:6" x14ac:dyDescent="0.3">
      <c r="A664" s="5">
        <v>45579</v>
      </c>
      <c r="B664" s="6" t="s">
        <v>379</v>
      </c>
      <c r="C664" s="12" t="s">
        <v>9</v>
      </c>
      <c r="D664" s="7">
        <v>70</v>
      </c>
      <c r="E664" s="8">
        <v>51.4</v>
      </c>
      <c r="F664" s="9">
        <f t="shared" si="50"/>
        <v>3598</v>
      </c>
    </row>
    <row r="665" spans="1:6" x14ac:dyDescent="0.3">
      <c r="A665" s="5">
        <v>45579</v>
      </c>
      <c r="B665" s="6" t="s">
        <v>10</v>
      </c>
      <c r="C665" s="7" t="s">
        <v>7</v>
      </c>
      <c r="D665" s="7">
        <v>20</v>
      </c>
      <c r="E665" s="8">
        <v>53.5</v>
      </c>
      <c r="F665" s="9">
        <f t="shared" ref="F665:F673" si="51">+E665*D665</f>
        <v>1070</v>
      </c>
    </row>
    <row r="666" spans="1:6" x14ac:dyDescent="0.3">
      <c r="A666" s="5">
        <v>45579</v>
      </c>
      <c r="B666" s="6" t="s">
        <v>255</v>
      </c>
      <c r="C666" s="7" t="s">
        <v>7</v>
      </c>
      <c r="D666" s="7">
        <v>150</v>
      </c>
      <c r="E666" s="8">
        <v>9.6999999999999993</v>
      </c>
      <c r="F666" s="9">
        <f t="shared" si="51"/>
        <v>1455</v>
      </c>
    </row>
    <row r="667" spans="1:6" x14ac:dyDescent="0.3">
      <c r="A667" s="5">
        <v>45579</v>
      </c>
      <c r="B667" s="6" t="s">
        <v>46</v>
      </c>
      <c r="C667" s="7" t="s">
        <v>7</v>
      </c>
      <c r="D667" s="7">
        <v>10</v>
      </c>
      <c r="E667" s="8">
        <v>211.8</v>
      </c>
      <c r="F667" s="9">
        <f t="shared" si="51"/>
        <v>2118</v>
      </c>
    </row>
    <row r="668" spans="1:6" x14ac:dyDescent="0.3">
      <c r="A668" s="5">
        <v>45579</v>
      </c>
      <c r="B668" s="6" t="s">
        <v>6</v>
      </c>
      <c r="C668" s="7" t="s">
        <v>7</v>
      </c>
      <c r="D668" s="7">
        <v>50</v>
      </c>
      <c r="E668" s="8">
        <v>35.5</v>
      </c>
      <c r="F668" s="9">
        <f t="shared" si="51"/>
        <v>1775</v>
      </c>
    </row>
    <row r="669" spans="1:6" x14ac:dyDescent="0.3">
      <c r="A669" s="5">
        <v>45579</v>
      </c>
      <c r="B669" s="6" t="s">
        <v>37</v>
      </c>
      <c r="C669" s="7" t="s">
        <v>7</v>
      </c>
      <c r="D669" s="7">
        <v>75</v>
      </c>
      <c r="E669" s="8">
        <v>48</v>
      </c>
      <c r="F669" s="9">
        <f t="shared" si="51"/>
        <v>3600</v>
      </c>
    </row>
    <row r="670" spans="1:6" x14ac:dyDescent="0.3">
      <c r="A670" s="5">
        <v>45579</v>
      </c>
      <c r="B670" s="6" t="s">
        <v>43</v>
      </c>
      <c r="C670" s="7" t="s">
        <v>7</v>
      </c>
      <c r="D670" s="7">
        <v>10</v>
      </c>
      <c r="E670" s="8">
        <v>150</v>
      </c>
      <c r="F670" s="9">
        <f t="shared" si="51"/>
        <v>1500</v>
      </c>
    </row>
    <row r="671" spans="1:6" x14ac:dyDescent="0.3">
      <c r="A671" s="5">
        <v>45579</v>
      </c>
      <c r="B671" s="6" t="s">
        <v>319</v>
      </c>
      <c r="C671" s="7" t="s">
        <v>7</v>
      </c>
      <c r="D671" s="7">
        <v>100</v>
      </c>
      <c r="E671" s="8">
        <v>23.94</v>
      </c>
      <c r="F671" s="9">
        <f t="shared" si="51"/>
        <v>2394</v>
      </c>
    </row>
    <row r="672" spans="1:6" x14ac:dyDescent="0.3">
      <c r="A672" s="5">
        <v>45579</v>
      </c>
      <c r="B672" s="6" t="s">
        <v>456</v>
      </c>
      <c r="C672" s="7" t="s">
        <v>7</v>
      </c>
      <c r="D672" s="7">
        <v>300</v>
      </c>
      <c r="E672" s="8">
        <v>4.8</v>
      </c>
      <c r="F672" s="9">
        <f t="shared" si="51"/>
        <v>1440</v>
      </c>
    </row>
    <row r="673" spans="1:6" x14ac:dyDescent="0.3">
      <c r="A673" s="10">
        <v>45579</v>
      </c>
      <c r="B673" s="11" t="s">
        <v>265</v>
      </c>
      <c r="C673" s="12" t="s">
        <v>7</v>
      </c>
      <c r="D673" s="12">
        <v>10</v>
      </c>
      <c r="E673" s="13">
        <v>175</v>
      </c>
      <c r="F673" s="14">
        <f t="shared" si="51"/>
        <v>1750</v>
      </c>
    </row>
    <row r="674" spans="1:6" x14ac:dyDescent="0.3">
      <c r="A674" s="10">
        <v>45580</v>
      </c>
      <c r="B674" s="11" t="s">
        <v>379</v>
      </c>
      <c r="C674" s="12" t="s">
        <v>9</v>
      </c>
      <c r="D674" s="12">
        <v>30</v>
      </c>
      <c r="E674" s="13">
        <v>54.95</v>
      </c>
      <c r="F674" s="14">
        <f t="shared" ref="F674:F684" si="52">+E674*D674</f>
        <v>1648.5</v>
      </c>
    </row>
    <row r="675" spans="1:6" x14ac:dyDescent="0.3">
      <c r="A675" s="5">
        <v>45580</v>
      </c>
      <c r="B675" s="11" t="s">
        <v>379</v>
      </c>
      <c r="C675" s="12" t="s">
        <v>9</v>
      </c>
      <c r="D675" s="7">
        <v>20</v>
      </c>
      <c r="E675" s="8">
        <v>54.95</v>
      </c>
      <c r="F675" s="9">
        <f t="shared" si="52"/>
        <v>1099</v>
      </c>
    </row>
    <row r="676" spans="1:6" x14ac:dyDescent="0.3">
      <c r="A676" s="5">
        <v>45580</v>
      </c>
      <c r="B676" s="11" t="s">
        <v>379</v>
      </c>
      <c r="C676" s="12" t="s">
        <v>9</v>
      </c>
      <c r="D676" s="7">
        <v>50</v>
      </c>
      <c r="E676" s="8">
        <v>55</v>
      </c>
      <c r="F676" s="9">
        <f t="shared" si="52"/>
        <v>2750</v>
      </c>
    </row>
    <row r="677" spans="1:6" x14ac:dyDescent="0.3">
      <c r="A677" s="5">
        <v>45580</v>
      </c>
      <c r="B677" s="6" t="s">
        <v>255</v>
      </c>
      <c r="C677" s="7" t="s">
        <v>7</v>
      </c>
      <c r="D677" s="7">
        <v>150</v>
      </c>
      <c r="E677" s="8">
        <v>9.8000000000000007</v>
      </c>
      <c r="F677" s="9">
        <f t="shared" si="52"/>
        <v>1470</v>
      </c>
    </row>
    <row r="678" spans="1:6" x14ac:dyDescent="0.3">
      <c r="A678" s="5">
        <v>45580</v>
      </c>
      <c r="B678" s="6" t="s">
        <v>255</v>
      </c>
      <c r="C678" s="7" t="s">
        <v>9</v>
      </c>
      <c r="D678" s="7">
        <v>150</v>
      </c>
      <c r="E678" s="8">
        <v>10</v>
      </c>
      <c r="F678" s="9">
        <f t="shared" si="52"/>
        <v>1500</v>
      </c>
    </row>
    <row r="679" spans="1:6" x14ac:dyDescent="0.3">
      <c r="A679" s="5">
        <v>45580</v>
      </c>
      <c r="B679" s="6" t="s">
        <v>379</v>
      </c>
      <c r="C679" s="7" t="s">
        <v>9</v>
      </c>
      <c r="D679" s="7">
        <v>50</v>
      </c>
      <c r="E679" s="8">
        <v>56</v>
      </c>
      <c r="F679" s="9">
        <f t="shared" si="52"/>
        <v>2800</v>
      </c>
    </row>
    <row r="680" spans="1:6" x14ac:dyDescent="0.3">
      <c r="A680" s="5">
        <v>45584</v>
      </c>
      <c r="B680" s="6" t="s">
        <v>255</v>
      </c>
      <c r="C680" s="7" t="s">
        <v>9</v>
      </c>
      <c r="D680" s="7">
        <v>150</v>
      </c>
      <c r="E680" s="8">
        <v>10</v>
      </c>
      <c r="F680" s="9">
        <f t="shared" si="52"/>
        <v>1500</v>
      </c>
    </row>
    <row r="681" spans="1:6" x14ac:dyDescent="0.3">
      <c r="A681" s="5">
        <v>45580</v>
      </c>
      <c r="B681" s="6" t="s">
        <v>546</v>
      </c>
      <c r="C681" s="7" t="s">
        <v>9</v>
      </c>
      <c r="D681" s="7">
        <v>50</v>
      </c>
      <c r="E681" s="8">
        <v>25</v>
      </c>
      <c r="F681" s="9">
        <f t="shared" si="52"/>
        <v>1250</v>
      </c>
    </row>
    <row r="682" spans="1:6" x14ac:dyDescent="0.3">
      <c r="A682" s="5">
        <v>45580</v>
      </c>
      <c r="B682" s="6" t="s">
        <v>39</v>
      </c>
      <c r="C682" s="7" t="s">
        <v>9</v>
      </c>
      <c r="D682" s="7">
        <v>1</v>
      </c>
      <c r="E682" s="8">
        <v>725</v>
      </c>
      <c r="F682" s="9">
        <f t="shared" si="52"/>
        <v>725</v>
      </c>
    </row>
    <row r="683" spans="1:6" x14ac:dyDescent="0.3">
      <c r="A683" s="5">
        <v>45580</v>
      </c>
      <c r="B683" s="6" t="s">
        <v>529</v>
      </c>
      <c r="C683" s="7" t="s">
        <v>9</v>
      </c>
      <c r="D683" s="7">
        <v>25</v>
      </c>
      <c r="E683" s="8">
        <v>46.5</v>
      </c>
      <c r="F683" s="9">
        <f t="shared" si="52"/>
        <v>1162.5</v>
      </c>
    </row>
    <row r="684" spans="1:6" x14ac:dyDescent="0.3">
      <c r="A684" s="5">
        <v>45580</v>
      </c>
      <c r="B684" s="6" t="s">
        <v>14</v>
      </c>
      <c r="C684" s="7" t="s">
        <v>9</v>
      </c>
      <c r="D684" s="7">
        <v>10</v>
      </c>
      <c r="E684" s="8">
        <v>151</v>
      </c>
      <c r="F684" s="9">
        <f t="shared" si="52"/>
        <v>1510</v>
      </c>
    </row>
    <row r="685" spans="1:6" x14ac:dyDescent="0.3">
      <c r="A685" s="10">
        <v>45581</v>
      </c>
      <c r="B685" s="11" t="s">
        <v>379</v>
      </c>
      <c r="C685" s="7" t="s">
        <v>9</v>
      </c>
      <c r="D685" s="12">
        <v>25</v>
      </c>
      <c r="E685" s="13">
        <v>61</v>
      </c>
      <c r="F685" s="14">
        <f t="shared" ref="F685:F701" si="53">+E685*D685</f>
        <v>1525</v>
      </c>
    </row>
    <row r="686" spans="1:6" x14ac:dyDescent="0.3">
      <c r="A686" s="5">
        <v>45581</v>
      </c>
      <c r="B686" s="11" t="s">
        <v>379</v>
      </c>
      <c r="C686" s="7" t="s">
        <v>9</v>
      </c>
      <c r="D686" s="12">
        <v>25</v>
      </c>
      <c r="E686" s="8">
        <v>59</v>
      </c>
      <c r="F686" s="9">
        <f t="shared" si="53"/>
        <v>1475</v>
      </c>
    </row>
    <row r="687" spans="1:6" x14ac:dyDescent="0.3">
      <c r="A687" s="5">
        <v>45581</v>
      </c>
      <c r="B687" s="11" t="s">
        <v>379</v>
      </c>
      <c r="C687" s="7" t="s">
        <v>9</v>
      </c>
      <c r="D687" s="12">
        <v>25</v>
      </c>
      <c r="E687" s="8">
        <v>60</v>
      </c>
      <c r="F687" s="9">
        <f t="shared" si="53"/>
        <v>1500</v>
      </c>
    </row>
    <row r="688" spans="1:6" x14ac:dyDescent="0.3">
      <c r="A688" s="5">
        <v>45581</v>
      </c>
      <c r="B688" s="11" t="s">
        <v>379</v>
      </c>
      <c r="C688" s="7" t="s">
        <v>9</v>
      </c>
      <c r="D688" s="12">
        <v>25</v>
      </c>
      <c r="E688" s="8">
        <v>58</v>
      </c>
      <c r="F688" s="9">
        <f t="shared" si="53"/>
        <v>1450</v>
      </c>
    </row>
    <row r="689" spans="1:6" x14ac:dyDescent="0.3">
      <c r="A689" s="5">
        <v>45581</v>
      </c>
      <c r="B689" s="6" t="s">
        <v>301</v>
      </c>
      <c r="C689" s="7" t="s">
        <v>9</v>
      </c>
      <c r="D689" s="7">
        <v>30</v>
      </c>
      <c r="E689" s="8">
        <v>36</v>
      </c>
      <c r="F689" s="9">
        <f t="shared" si="53"/>
        <v>1080</v>
      </c>
    </row>
    <row r="690" spans="1:6" x14ac:dyDescent="0.3">
      <c r="A690" s="5">
        <v>45581</v>
      </c>
      <c r="B690" s="6" t="s">
        <v>456</v>
      </c>
      <c r="C690" s="7" t="s">
        <v>9</v>
      </c>
      <c r="D690" s="7">
        <v>150</v>
      </c>
      <c r="E690" s="8">
        <v>5</v>
      </c>
      <c r="F690" s="9">
        <f t="shared" si="53"/>
        <v>750</v>
      </c>
    </row>
    <row r="691" spans="1:6" x14ac:dyDescent="0.3">
      <c r="A691" s="5">
        <v>45581</v>
      </c>
      <c r="B691" s="6" t="s">
        <v>46</v>
      </c>
      <c r="C691" s="7" t="s">
        <v>9</v>
      </c>
      <c r="D691" s="7">
        <v>5</v>
      </c>
      <c r="E691" s="8">
        <v>220</v>
      </c>
      <c r="F691" s="9">
        <f t="shared" si="53"/>
        <v>1100</v>
      </c>
    </row>
    <row r="692" spans="1:6" x14ac:dyDescent="0.3">
      <c r="A692" s="5">
        <v>45581</v>
      </c>
      <c r="B692" s="6" t="s">
        <v>529</v>
      </c>
      <c r="C692" s="7" t="s">
        <v>9</v>
      </c>
      <c r="D692" s="7">
        <v>25</v>
      </c>
      <c r="E692" s="8">
        <v>47</v>
      </c>
      <c r="F692" s="9">
        <f t="shared" si="53"/>
        <v>1175</v>
      </c>
    </row>
    <row r="693" spans="1:6" x14ac:dyDescent="0.3">
      <c r="A693" s="5">
        <v>45581</v>
      </c>
      <c r="B693" s="6" t="s">
        <v>549</v>
      </c>
      <c r="C693" s="7" t="s">
        <v>9</v>
      </c>
      <c r="D693" s="7">
        <v>100</v>
      </c>
      <c r="E693" s="8">
        <v>18</v>
      </c>
      <c r="F693" s="9">
        <f t="shared" si="53"/>
        <v>1800</v>
      </c>
    </row>
    <row r="694" spans="1:6" x14ac:dyDescent="0.3">
      <c r="A694" s="5">
        <v>45581</v>
      </c>
      <c r="B694" s="6" t="s">
        <v>546</v>
      </c>
      <c r="C694" s="7" t="s">
        <v>9</v>
      </c>
      <c r="D694" s="7">
        <v>50</v>
      </c>
      <c r="E694" s="8">
        <v>27</v>
      </c>
      <c r="F694" s="9">
        <f t="shared" si="53"/>
        <v>1350</v>
      </c>
    </row>
    <row r="695" spans="1:6" x14ac:dyDescent="0.3">
      <c r="A695" s="5">
        <v>45581</v>
      </c>
      <c r="B695" s="6" t="s">
        <v>6</v>
      </c>
      <c r="C695" s="7" t="s">
        <v>9</v>
      </c>
      <c r="D695" s="7">
        <v>25</v>
      </c>
      <c r="E695" s="8">
        <v>36</v>
      </c>
      <c r="F695" s="9">
        <f t="shared" si="53"/>
        <v>900</v>
      </c>
    </row>
    <row r="696" spans="1:6" x14ac:dyDescent="0.3">
      <c r="A696" s="5">
        <v>45581</v>
      </c>
      <c r="B696" s="6" t="s">
        <v>265</v>
      </c>
      <c r="C696" s="7" t="s">
        <v>9</v>
      </c>
      <c r="D696" s="7">
        <v>10</v>
      </c>
      <c r="E696" s="8">
        <v>185</v>
      </c>
      <c r="F696" s="9">
        <f t="shared" si="53"/>
        <v>1850</v>
      </c>
    </row>
    <row r="697" spans="1:6" x14ac:dyDescent="0.3">
      <c r="A697" s="5">
        <v>45581</v>
      </c>
      <c r="B697" s="6" t="s">
        <v>379</v>
      </c>
      <c r="C697" s="7" t="s">
        <v>9</v>
      </c>
      <c r="D697" s="7">
        <v>25</v>
      </c>
      <c r="E697" s="8">
        <v>62.15</v>
      </c>
      <c r="F697" s="9">
        <f t="shared" si="53"/>
        <v>1553.75</v>
      </c>
    </row>
    <row r="698" spans="1:6" x14ac:dyDescent="0.3">
      <c r="A698" s="5">
        <v>45581</v>
      </c>
      <c r="B698" s="6" t="s">
        <v>379</v>
      </c>
      <c r="C698" s="7" t="s">
        <v>7</v>
      </c>
      <c r="D698" s="7">
        <v>90</v>
      </c>
      <c r="E698" s="8">
        <v>60</v>
      </c>
      <c r="F698" s="9">
        <f t="shared" si="53"/>
        <v>5400</v>
      </c>
    </row>
    <row r="699" spans="1:6" x14ac:dyDescent="0.3">
      <c r="A699" s="5">
        <v>45581</v>
      </c>
      <c r="B699" s="6" t="s">
        <v>529</v>
      </c>
      <c r="C699" s="7" t="s">
        <v>7</v>
      </c>
      <c r="D699" s="7">
        <v>25</v>
      </c>
      <c r="E699" s="8">
        <v>46</v>
      </c>
      <c r="F699" s="9">
        <f t="shared" si="53"/>
        <v>1150</v>
      </c>
    </row>
    <row r="700" spans="1:6" x14ac:dyDescent="0.3">
      <c r="A700" s="5">
        <v>45581</v>
      </c>
      <c r="B700" s="6" t="s">
        <v>89</v>
      </c>
      <c r="C700" s="7" t="s">
        <v>7</v>
      </c>
      <c r="D700" s="7">
        <v>100</v>
      </c>
      <c r="E700" s="8">
        <v>6.2</v>
      </c>
      <c r="F700" s="9">
        <f t="shared" si="53"/>
        <v>620</v>
      </c>
    </row>
    <row r="701" spans="1:6" x14ac:dyDescent="0.3">
      <c r="A701" s="5">
        <v>45581</v>
      </c>
      <c r="B701" s="6" t="s">
        <v>423</v>
      </c>
      <c r="C701" s="7" t="s">
        <v>7</v>
      </c>
      <c r="D701" s="7">
        <v>225</v>
      </c>
      <c r="E701" s="8">
        <v>7.25</v>
      </c>
      <c r="F701" s="9">
        <f t="shared" si="53"/>
        <v>1631.25</v>
      </c>
    </row>
    <row r="702" spans="1:6" x14ac:dyDescent="0.3">
      <c r="A702" s="10">
        <v>45582</v>
      </c>
      <c r="B702" s="11" t="s">
        <v>379</v>
      </c>
      <c r="C702" s="12" t="s">
        <v>9</v>
      </c>
      <c r="D702" s="12">
        <v>75</v>
      </c>
      <c r="E702" s="13">
        <v>68.349999999999994</v>
      </c>
      <c r="F702" s="14">
        <f t="shared" ref="F702:F723" si="54">+E702*D702</f>
        <v>5126.25</v>
      </c>
    </row>
    <row r="703" spans="1:6" x14ac:dyDescent="0.3">
      <c r="A703" s="5">
        <v>45582</v>
      </c>
      <c r="B703" s="6" t="s">
        <v>89</v>
      </c>
      <c r="C703" s="12" t="s">
        <v>9</v>
      </c>
      <c r="D703" s="7">
        <v>100</v>
      </c>
      <c r="E703" s="8">
        <v>6.9</v>
      </c>
      <c r="F703" s="9">
        <f t="shared" si="54"/>
        <v>690</v>
      </c>
    </row>
    <row r="704" spans="1:6" x14ac:dyDescent="0.3">
      <c r="A704" s="5">
        <v>45582</v>
      </c>
      <c r="B704" s="6" t="s">
        <v>6</v>
      </c>
      <c r="C704" s="12" t="s">
        <v>9</v>
      </c>
      <c r="D704" s="7">
        <v>25</v>
      </c>
      <c r="E704" s="8">
        <v>37</v>
      </c>
      <c r="F704" s="9">
        <f t="shared" si="54"/>
        <v>925</v>
      </c>
    </row>
    <row r="705" spans="1:6" x14ac:dyDescent="0.3">
      <c r="A705" s="5">
        <v>45582</v>
      </c>
      <c r="B705" s="6" t="s">
        <v>319</v>
      </c>
      <c r="C705" s="12" t="s">
        <v>9</v>
      </c>
      <c r="D705" s="7">
        <v>50</v>
      </c>
      <c r="E705" s="8">
        <v>25</v>
      </c>
      <c r="F705" s="9">
        <f t="shared" si="54"/>
        <v>1250</v>
      </c>
    </row>
    <row r="706" spans="1:6" x14ac:dyDescent="0.3">
      <c r="A706" s="5">
        <v>45582</v>
      </c>
      <c r="B706" s="6" t="s">
        <v>379</v>
      </c>
      <c r="C706" s="7" t="s">
        <v>7</v>
      </c>
      <c r="D706" s="7">
        <v>75</v>
      </c>
      <c r="E706" s="8">
        <v>65.95</v>
      </c>
      <c r="F706" s="9">
        <f t="shared" si="54"/>
        <v>4946.25</v>
      </c>
    </row>
    <row r="707" spans="1:6" x14ac:dyDescent="0.3">
      <c r="A707" s="5">
        <v>45582</v>
      </c>
      <c r="B707" s="6" t="s">
        <v>379</v>
      </c>
      <c r="C707" s="7" t="s">
        <v>7</v>
      </c>
      <c r="D707" s="7">
        <v>75</v>
      </c>
      <c r="E707" s="8">
        <v>65</v>
      </c>
      <c r="F707" s="9">
        <f t="shared" si="54"/>
        <v>4875</v>
      </c>
    </row>
    <row r="708" spans="1:6" x14ac:dyDescent="0.3">
      <c r="A708" s="5">
        <v>45582</v>
      </c>
      <c r="B708" s="6" t="s">
        <v>379</v>
      </c>
      <c r="C708" s="7" t="s">
        <v>9</v>
      </c>
      <c r="D708" s="7">
        <v>50</v>
      </c>
      <c r="E708" s="8">
        <v>67</v>
      </c>
      <c r="F708" s="9">
        <f t="shared" si="54"/>
        <v>3350</v>
      </c>
    </row>
    <row r="709" spans="1:6" x14ac:dyDescent="0.3">
      <c r="A709" s="5">
        <v>45582</v>
      </c>
      <c r="B709" s="6" t="s">
        <v>128</v>
      </c>
      <c r="C709" s="7" t="s">
        <v>9</v>
      </c>
      <c r="D709" s="7">
        <v>25</v>
      </c>
      <c r="E709" s="8">
        <v>17.5</v>
      </c>
      <c r="F709" s="9">
        <f t="shared" si="54"/>
        <v>437.5</v>
      </c>
    </row>
    <row r="710" spans="1:6" x14ac:dyDescent="0.3">
      <c r="A710" s="5">
        <v>45582</v>
      </c>
      <c r="B710" s="6" t="s">
        <v>128</v>
      </c>
      <c r="C710" s="7" t="s">
        <v>9</v>
      </c>
      <c r="D710" s="7">
        <v>50</v>
      </c>
      <c r="E710" s="8">
        <v>17.600000000000001</v>
      </c>
      <c r="F710" s="9">
        <f t="shared" si="54"/>
        <v>880.00000000000011</v>
      </c>
    </row>
    <row r="711" spans="1:6" x14ac:dyDescent="0.3">
      <c r="A711" s="5">
        <v>45582</v>
      </c>
      <c r="B711" s="6" t="s">
        <v>128</v>
      </c>
      <c r="C711" s="7" t="s">
        <v>9</v>
      </c>
      <c r="D711" s="7">
        <v>75</v>
      </c>
      <c r="E711" s="8">
        <v>17.7</v>
      </c>
      <c r="F711" s="9">
        <f t="shared" si="54"/>
        <v>1327.5</v>
      </c>
    </row>
    <row r="712" spans="1:6" x14ac:dyDescent="0.3">
      <c r="A712" s="5">
        <v>45582</v>
      </c>
      <c r="B712" s="6" t="s">
        <v>128</v>
      </c>
      <c r="C712" s="7" t="s">
        <v>9</v>
      </c>
      <c r="D712" s="7">
        <v>75</v>
      </c>
      <c r="E712" s="8">
        <v>17.8</v>
      </c>
      <c r="F712" s="9">
        <f t="shared" si="54"/>
        <v>1335</v>
      </c>
    </row>
    <row r="713" spans="1:6" x14ac:dyDescent="0.3">
      <c r="A713" s="5">
        <v>45582</v>
      </c>
      <c r="B713" s="6" t="s">
        <v>128</v>
      </c>
      <c r="C713" s="7" t="s">
        <v>9</v>
      </c>
      <c r="D713" s="7">
        <v>100</v>
      </c>
      <c r="E713" s="8">
        <v>17.899999999999999</v>
      </c>
      <c r="F713" s="9">
        <f t="shared" si="54"/>
        <v>1789.9999999999998</v>
      </c>
    </row>
    <row r="714" spans="1:6" x14ac:dyDescent="0.3">
      <c r="A714" s="5">
        <v>45582</v>
      </c>
      <c r="B714" s="6" t="s">
        <v>128</v>
      </c>
      <c r="C714" s="7" t="s">
        <v>9</v>
      </c>
      <c r="D714" s="7">
        <v>100</v>
      </c>
      <c r="E714" s="8">
        <v>18</v>
      </c>
      <c r="F714" s="9">
        <f t="shared" si="54"/>
        <v>1800</v>
      </c>
    </row>
    <row r="715" spans="1:6" x14ac:dyDescent="0.3">
      <c r="A715" s="5">
        <v>45584</v>
      </c>
      <c r="B715" s="6" t="s">
        <v>319</v>
      </c>
      <c r="C715" s="7" t="s">
        <v>9</v>
      </c>
      <c r="D715" s="7">
        <v>50</v>
      </c>
      <c r="E715" s="8">
        <v>26</v>
      </c>
      <c r="F715" s="9">
        <f t="shared" si="54"/>
        <v>1300</v>
      </c>
    </row>
    <row r="716" spans="1:6" x14ac:dyDescent="0.3">
      <c r="A716" s="5">
        <v>45582</v>
      </c>
      <c r="B716" s="6" t="s">
        <v>529</v>
      </c>
      <c r="C716" s="7" t="s">
        <v>9</v>
      </c>
      <c r="D716" s="7">
        <v>25</v>
      </c>
      <c r="E716" s="8">
        <v>48</v>
      </c>
      <c r="F716" s="9">
        <f t="shared" si="54"/>
        <v>1200</v>
      </c>
    </row>
    <row r="717" spans="1:6" x14ac:dyDescent="0.3">
      <c r="A717" s="5">
        <v>45582</v>
      </c>
      <c r="B717" s="6" t="s">
        <v>37</v>
      </c>
      <c r="C717" s="7" t="s">
        <v>9</v>
      </c>
      <c r="D717" s="7">
        <v>25</v>
      </c>
      <c r="E717" s="8">
        <v>50.5</v>
      </c>
      <c r="F717" s="9">
        <f t="shared" si="54"/>
        <v>1262.5</v>
      </c>
    </row>
    <row r="718" spans="1:6" x14ac:dyDescent="0.3">
      <c r="A718" s="5">
        <v>45582</v>
      </c>
      <c r="B718" s="6" t="s">
        <v>23</v>
      </c>
      <c r="C718" s="7" t="s">
        <v>9</v>
      </c>
      <c r="D718" s="7">
        <v>1</v>
      </c>
      <c r="E718" s="8">
        <v>950.5</v>
      </c>
      <c r="F718" s="9">
        <f t="shared" si="54"/>
        <v>950.5</v>
      </c>
    </row>
    <row r="719" spans="1:6" x14ac:dyDescent="0.3">
      <c r="A719" s="5">
        <v>45582</v>
      </c>
      <c r="B719" s="6" t="s">
        <v>128</v>
      </c>
      <c r="C719" s="7" t="s">
        <v>7</v>
      </c>
      <c r="D719" s="7">
        <v>100</v>
      </c>
      <c r="E719" s="8">
        <v>17.7</v>
      </c>
      <c r="F719" s="9">
        <f t="shared" si="54"/>
        <v>1770</v>
      </c>
    </row>
    <row r="720" spans="1:6" x14ac:dyDescent="0.3">
      <c r="A720" s="5">
        <v>45582</v>
      </c>
      <c r="B720" s="6" t="s">
        <v>89</v>
      </c>
      <c r="C720" s="7" t="s">
        <v>7</v>
      </c>
      <c r="D720" s="7">
        <v>100</v>
      </c>
      <c r="E720" s="8">
        <v>6.9</v>
      </c>
      <c r="F720" s="9">
        <f>+E720*D720</f>
        <v>690</v>
      </c>
    </row>
    <row r="721" spans="1:6" x14ac:dyDescent="0.3">
      <c r="A721" s="5">
        <v>45582</v>
      </c>
      <c r="B721" s="6" t="s">
        <v>128</v>
      </c>
      <c r="C721" s="7" t="s">
        <v>9</v>
      </c>
      <c r="D721" s="7">
        <v>100</v>
      </c>
      <c r="E721" s="8">
        <v>18.37</v>
      </c>
      <c r="F721" s="9">
        <f t="shared" si="54"/>
        <v>1837</v>
      </c>
    </row>
    <row r="722" spans="1:6" x14ac:dyDescent="0.3">
      <c r="A722" s="5">
        <v>45584</v>
      </c>
      <c r="B722" s="6" t="s">
        <v>23</v>
      </c>
      <c r="C722" s="7" t="s">
        <v>9</v>
      </c>
      <c r="D722" s="7">
        <v>1</v>
      </c>
      <c r="E722" s="8">
        <v>965.5</v>
      </c>
      <c r="F722" s="9">
        <f t="shared" si="54"/>
        <v>965.5</v>
      </c>
    </row>
    <row r="723" spans="1:6" x14ac:dyDescent="0.3">
      <c r="A723" s="5">
        <v>45582</v>
      </c>
      <c r="B723" s="6" t="s">
        <v>89</v>
      </c>
      <c r="C723" s="7" t="s">
        <v>9</v>
      </c>
      <c r="D723" s="7">
        <v>100</v>
      </c>
      <c r="E723" s="8">
        <v>7.1</v>
      </c>
      <c r="F723" s="9">
        <f t="shared" si="54"/>
        <v>710</v>
      </c>
    </row>
    <row r="724" spans="1:6" x14ac:dyDescent="0.3">
      <c r="A724" s="5">
        <v>45583</v>
      </c>
      <c r="B724" s="6" t="s">
        <v>128</v>
      </c>
      <c r="C724" s="7" t="s">
        <v>9</v>
      </c>
      <c r="D724" s="7">
        <v>50</v>
      </c>
      <c r="E724" s="8">
        <v>19</v>
      </c>
      <c r="F724" s="9">
        <f t="shared" ref="F724:F736" si="55">+E724*D724</f>
        <v>950</v>
      </c>
    </row>
    <row r="725" spans="1:6" x14ac:dyDescent="0.3">
      <c r="A725" s="5">
        <v>45583</v>
      </c>
      <c r="B725" s="6" t="s">
        <v>128</v>
      </c>
      <c r="C725" s="7" t="s">
        <v>9</v>
      </c>
      <c r="D725" s="7">
        <v>25</v>
      </c>
      <c r="E725" s="8">
        <v>19.2</v>
      </c>
      <c r="F725" s="9">
        <f t="shared" si="55"/>
        <v>480</v>
      </c>
    </row>
    <row r="726" spans="1:6" x14ac:dyDescent="0.3">
      <c r="A726" s="5">
        <v>45583</v>
      </c>
      <c r="B726" s="6" t="s">
        <v>379</v>
      </c>
      <c r="C726" s="7" t="s">
        <v>9</v>
      </c>
      <c r="D726" s="7">
        <v>25</v>
      </c>
      <c r="E726" s="8">
        <v>70</v>
      </c>
      <c r="F726" s="9">
        <f t="shared" si="55"/>
        <v>1750</v>
      </c>
    </row>
    <row r="727" spans="1:6" x14ac:dyDescent="0.3">
      <c r="A727" s="5">
        <v>45583</v>
      </c>
      <c r="B727" s="6" t="s">
        <v>128</v>
      </c>
      <c r="C727" s="7" t="s">
        <v>9</v>
      </c>
      <c r="D727" s="7">
        <v>50</v>
      </c>
      <c r="E727" s="8">
        <v>19.45</v>
      </c>
      <c r="F727" s="9">
        <f t="shared" si="55"/>
        <v>972.5</v>
      </c>
    </row>
    <row r="728" spans="1:6" x14ac:dyDescent="0.3">
      <c r="A728" s="5">
        <v>45583</v>
      </c>
      <c r="B728" s="6" t="s">
        <v>128</v>
      </c>
      <c r="C728" s="7" t="s">
        <v>9</v>
      </c>
      <c r="D728" s="7">
        <v>50</v>
      </c>
      <c r="E728" s="8">
        <v>19.600000000000001</v>
      </c>
      <c r="F728" s="9">
        <f t="shared" si="55"/>
        <v>980.00000000000011</v>
      </c>
    </row>
    <row r="729" spans="1:6" x14ac:dyDescent="0.3">
      <c r="A729" s="5">
        <v>45583</v>
      </c>
      <c r="B729" s="6" t="s">
        <v>379</v>
      </c>
      <c r="C729" s="7" t="s">
        <v>9</v>
      </c>
      <c r="D729" s="7">
        <v>25</v>
      </c>
      <c r="E729" s="8">
        <v>72</v>
      </c>
      <c r="F729" s="9">
        <f t="shared" si="55"/>
        <v>1800</v>
      </c>
    </row>
    <row r="730" spans="1:6" x14ac:dyDescent="0.3">
      <c r="A730" s="5">
        <v>45583</v>
      </c>
      <c r="B730" s="6" t="s">
        <v>128</v>
      </c>
      <c r="C730" s="7" t="s">
        <v>9</v>
      </c>
      <c r="D730" s="7">
        <v>50</v>
      </c>
      <c r="E730" s="8">
        <v>19.8</v>
      </c>
      <c r="F730" s="9">
        <f t="shared" si="55"/>
        <v>990</v>
      </c>
    </row>
    <row r="731" spans="1:6" x14ac:dyDescent="0.3">
      <c r="A731" s="5">
        <v>45583</v>
      </c>
      <c r="B731" s="6" t="s">
        <v>423</v>
      </c>
      <c r="C731" s="7" t="s">
        <v>9</v>
      </c>
      <c r="D731" s="7">
        <v>100</v>
      </c>
      <c r="E731" s="8">
        <v>7.5</v>
      </c>
      <c r="F731" s="9">
        <f t="shared" si="55"/>
        <v>750</v>
      </c>
    </row>
    <row r="732" spans="1:6" x14ac:dyDescent="0.3">
      <c r="A732" s="5">
        <v>45584</v>
      </c>
      <c r="B732" s="6" t="s">
        <v>128</v>
      </c>
      <c r="C732" s="7" t="s">
        <v>9</v>
      </c>
      <c r="D732" s="7">
        <v>50</v>
      </c>
      <c r="E732" s="8">
        <v>20</v>
      </c>
      <c r="F732" s="9">
        <f t="shared" si="55"/>
        <v>1000</v>
      </c>
    </row>
    <row r="733" spans="1:6" x14ac:dyDescent="0.3">
      <c r="A733" s="5">
        <v>45583</v>
      </c>
      <c r="B733" s="6" t="s">
        <v>151</v>
      </c>
      <c r="C733" s="7" t="s">
        <v>9</v>
      </c>
      <c r="D733" s="7">
        <v>2</v>
      </c>
      <c r="E733" s="8">
        <v>475</v>
      </c>
      <c r="F733" s="9">
        <f t="shared" si="55"/>
        <v>950</v>
      </c>
    </row>
    <row r="734" spans="1:6" x14ac:dyDescent="0.3">
      <c r="A734" s="5">
        <v>45584</v>
      </c>
      <c r="B734" s="6" t="s">
        <v>379</v>
      </c>
      <c r="C734" s="7" t="s">
        <v>9</v>
      </c>
      <c r="D734" s="7">
        <v>25</v>
      </c>
      <c r="E734" s="8">
        <v>74</v>
      </c>
      <c r="F734" s="9">
        <f t="shared" si="55"/>
        <v>1850</v>
      </c>
    </row>
    <row r="735" spans="1:6" x14ac:dyDescent="0.3">
      <c r="A735" s="5">
        <v>45583</v>
      </c>
      <c r="B735" s="6" t="s">
        <v>37</v>
      </c>
      <c r="C735" s="7" t="s">
        <v>9</v>
      </c>
      <c r="D735" s="7">
        <v>25</v>
      </c>
      <c r="E735" s="8">
        <v>53</v>
      </c>
      <c r="F735" s="9">
        <f t="shared" si="55"/>
        <v>1325</v>
      </c>
    </row>
    <row r="736" spans="1:6" x14ac:dyDescent="0.3">
      <c r="A736" s="5">
        <v>45583</v>
      </c>
      <c r="B736" s="6" t="s">
        <v>89</v>
      </c>
      <c r="C736" s="7" t="s">
        <v>9</v>
      </c>
      <c r="D736" s="7">
        <v>100</v>
      </c>
      <c r="E736" s="8">
        <v>7.2</v>
      </c>
      <c r="F736" s="9">
        <f t="shared" si="55"/>
        <v>720</v>
      </c>
    </row>
    <row r="737" spans="1:6" x14ac:dyDescent="0.3">
      <c r="A737" s="5">
        <v>45583</v>
      </c>
      <c r="B737" s="6" t="s">
        <v>379</v>
      </c>
      <c r="C737" s="7" t="s">
        <v>7</v>
      </c>
      <c r="D737" s="7">
        <v>25</v>
      </c>
      <c r="E737" s="8">
        <v>72</v>
      </c>
      <c r="F737" s="9">
        <f t="shared" ref="F737:F738" si="56">+E737*D737</f>
        <v>1800</v>
      </c>
    </row>
    <row r="738" spans="1:6" x14ac:dyDescent="0.3">
      <c r="A738" s="5">
        <v>45583</v>
      </c>
      <c r="B738" s="11" t="s">
        <v>32</v>
      </c>
      <c r="C738" s="7" t="s">
        <v>7</v>
      </c>
      <c r="D738" s="12">
        <v>10</v>
      </c>
      <c r="E738" s="13">
        <v>85</v>
      </c>
      <c r="F738" s="14">
        <f t="shared" si="56"/>
        <v>850</v>
      </c>
    </row>
    <row r="739" spans="1:6" x14ac:dyDescent="0.3">
      <c r="A739" s="5">
        <v>45584</v>
      </c>
      <c r="B739" s="6" t="s">
        <v>89</v>
      </c>
      <c r="C739" s="7" t="s">
        <v>9</v>
      </c>
      <c r="D739" s="7">
        <v>100</v>
      </c>
      <c r="E739" s="8">
        <v>7.5</v>
      </c>
      <c r="F739" s="9">
        <f t="shared" ref="F739:F747" si="57">+E739*D739</f>
        <v>750</v>
      </c>
    </row>
    <row r="740" spans="1:6" x14ac:dyDescent="0.3">
      <c r="A740" s="5">
        <v>45583</v>
      </c>
      <c r="B740" s="6" t="s">
        <v>404</v>
      </c>
      <c r="C740" s="7" t="s">
        <v>7</v>
      </c>
      <c r="D740" s="7">
        <v>50</v>
      </c>
      <c r="E740" s="8">
        <v>44</v>
      </c>
      <c r="F740" s="9">
        <f t="shared" si="57"/>
        <v>2200</v>
      </c>
    </row>
    <row r="741" spans="1:6" x14ac:dyDescent="0.3">
      <c r="A741" s="5">
        <v>45583</v>
      </c>
      <c r="B741" s="6" t="s">
        <v>529</v>
      </c>
      <c r="C741" s="7" t="s">
        <v>7</v>
      </c>
      <c r="D741" s="7">
        <v>50</v>
      </c>
      <c r="E741" s="8">
        <v>46</v>
      </c>
      <c r="F741" s="9">
        <f t="shared" si="57"/>
        <v>2300</v>
      </c>
    </row>
    <row r="742" spans="1:6" x14ac:dyDescent="0.3">
      <c r="A742" s="5">
        <v>45583</v>
      </c>
      <c r="B742" s="6" t="s">
        <v>32</v>
      </c>
      <c r="C742" s="7" t="s">
        <v>7</v>
      </c>
      <c r="D742" s="7">
        <v>20</v>
      </c>
      <c r="E742" s="8">
        <v>82.8</v>
      </c>
      <c r="F742" s="9">
        <f t="shared" si="57"/>
        <v>1656</v>
      </c>
    </row>
    <row r="743" spans="1:6" x14ac:dyDescent="0.3">
      <c r="A743" s="5">
        <v>45583</v>
      </c>
      <c r="B743" s="6" t="s">
        <v>206</v>
      </c>
      <c r="C743" s="7" t="s">
        <v>7</v>
      </c>
      <c r="D743" s="7">
        <v>100</v>
      </c>
      <c r="E743" s="8">
        <v>9.8000000000000007</v>
      </c>
      <c r="F743" s="9">
        <f t="shared" si="57"/>
        <v>980.00000000000011</v>
      </c>
    </row>
    <row r="744" spans="1:6" x14ac:dyDescent="0.3">
      <c r="A744" s="5">
        <v>45583</v>
      </c>
      <c r="B744" s="6" t="s">
        <v>546</v>
      </c>
      <c r="C744" s="7" t="s">
        <v>7</v>
      </c>
      <c r="D744" s="7">
        <v>50</v>
      </c>
      <c r="E744" s="8">
        <v>26.8</v>
      </c>
      <c r="F744" s="9">
        <f t="shared" si="57"/>
        <v>1340</v>
      </c>
    </row>
    <row r="745" spans="1:6" x14ac:dyDescent="0.3">
      <c r="A745" s="5">
        <v>45583</v>
      </c>
      <c r="B745" s="6" t="s">
        <v>6</v>
      </c>
      <c r="C745" s="7" t="s">
        <v>7</v>
      </c>
      <c r="D745" s="7">
        <v>50</v>
      </c>
      <c r="E745" s="8">
        <v>36</v>
      </c>
      <c r="F745" s="9">
        <f t="shared" si="57"/>
        <v>1800</v>
      </c>
    </row>
    <row r="746" spans="1:6" x14ac:dyDescent="0.3">
      <c r="A746" s="5">
        <v>45583</v>
      </c>
      <c r="B746" s="6" t="s">
        <v>32</v>
      </c>
      <c r="C746" s="7" t="s">
        <v>7</v>
      </c>
      <c r="D746" s="7">
        <v>50</v>
      </c>
      <c r="E746" s="8">
        <v>82</v>
      </c>
      <c r="F746" s="9">
        <f t="shared" si="57"/>
        <v>4100</v>
      </c>
    </row>
    <row r="747" spans="1:6" x14ac:dyDescent="0.3">
      <c r="A747" s="5">
        <v>45583</v>
      </c>
      <c r="B747" s="6" t="s">
        <v>529</v>
      </c>
      <c r="C747" s="7" t="s">
        <v>7</v>
      </c>
      <c r="D747" s="7">
        <v>50</v>
      </c>
      <c r="E747" s="8">
        <v>45.8</v>
      </c>
      <c r="F747" s="9">
        <f t="shared" si="57"/>
        <v>2290</v>
      </c>
    </row>
    <row r="748" spans="1:6" x14ac:dyDescent="0.3">
      <c r="A748" s="5">
        <v>45586</v>
      </c>
      <c r="B748" s="6" t="s">
        <v>444</v>
      </c>
      <c r="C748" s="7" t="s">
        <v>7</v>
      </c>
      <c r="D748" s="7">
        <v>75</v>
      </c>
      <c r="E748" s="8">
        <v>13.16</v>
      </c>
      <c r="F748" s="9">
        <f t="shared" ref="F748:F754" si="58">+E748*D748</f>
        <v>987</v>
      </c>
    </row>
    <row r="749" spans="1:6" x14ac:dyDescent="0.3">
      <c r="A749" s="5">
        <v>45586</v>
      </c>
      <c r="B749" s="6" t="s">
        <v>46</v>
      </c>
      <c r="C749" s="7" t="s">
        <v>9</v>
      </c>
      <c r="D749" s="7">
        <v>5</v>
      </c>
      <c r="E749" s="8">
        <v>231</v>
      </c>
      <c r="F749" s="9">
        <f t="shared" si="58"/>
        <v>1155</v>
      </c>
    </row>
    <row r="750" spans="1:6" x14ac:dyDescent="0.3">
      <c r="A750" s="10"/>
      <c r="B750" s="11" t="s">
        <v>37</v>
      </c>
      <c r="C750" s="12" t="s">
        <v>9</v>
      </c>
      <c r="D750" s="12">
        <v>20</v>
      </c>
      <c r="E750" s="13">
        <v>55.65</v>
      </c>
      <c r="F750" s="14">
        <f t="shared" si="58"/>
        <v>1113</v>
      </c>
    </row>
    <row r="751" spans="1:6" x14ac:dyDescent="0.3">
      <c r="A751" s="5">
        <v>45586</v>
      </c>
      <c r="B751" s="6" t="s">
        <v>53</v>
      </c>
      <c r="C751" s="7" t="s">
        <v>7</v>
      </c>
      <c r="D751" s="7">
        <v>250</v>
      </c>
      <c r="E751" s="8">
        <v>6.2</v>
      </c>
      <c r="F751" s="9">
        <f t="shared" si="58"/>
        <v>1550</v>
      </c>
    </row>
    <row r="752" spans="1:6" x14ac:dyDescent="0.3">
      <c r="A752" s="5">
        <v>45586</v>
      </c>
      <c r="B752" s="6" t="s">
        <v>128</v>
      </c>
      <c r="C752" s="7" t="s">
        <v>9</v>
      </c>
      <c r="D752" s="7">
        <v>50</v>
      </c>
      <c r="E752" s="8">
        <v>21</v>
      </c>
      <c r="F752" s="9">
        <f t="shared" si="58"/>
        <v>1050</v>
      </c>
    </row>
    <row r="753" spans="1:6" x14ac:dyDescent="0.3">
      <c r="A753" s="5">
        <v>45586</v>
      </c>
      <c r="B753" s="6" t="s">
        <v>43</v>
      </c>
      <c r="C753" s="7" t="s">
        <v>9</v>
      </c>
      <c r="D753" s="7">
        <v>10</v>
      </c>
      <c r="E753" s="8">
        <v>167.5</v>
      </c>
      <c r="F753" s="9">
        <f t="shared" si="58"/>
        <v>1675</v>
      </c>
    </row>
    <row r="754" spans="1:6" x14ac:dyDescent="0.3">
      <c r="A754" s="5">
        <v>45586</v>
      </c>
      <c r="B754" s="6" t="s">
        <v>37</v>
      </c>
      <c r="C754" s="7" t="s">
        <v>9</v>
      </c>
      <c r="D754" s="7">
        <v>27</v>
      </c>
      <c r="E754" s="8">
        <v>55.3</v>
      </c>
      <c r="F754" s="9">
        <f t="shared" si="58"/>
        <v>1493.1</v>
      </c>
    </row>
    <row r="755" spans="1:6" x14ac:dyDescent="0.3">
      <c r="A755" s="10">
        <v>45586</v>
      </c>
      <c r="B755" s="11" t="s">
        <v>6</v>
      </c>
      <c r="C755" s="12" t="s">
        <v>7</v>
      </c>
      <c r="D755" s="12">
        <v>42</v>
      </c>
      <c r="E755" s="13">
        <v>35.14</v>
      </c>
      <c r="F755" s="14">
        <f t="shared" ref="F755:F772" si="59">+E755*D755</f>
        <v>1475.88</v>
      </c>
    </row>
    <row r="756" spans="1:6" x14ac:dyDescent="0.3">
      <c r="A756" s="5">
        <v>45586</v>
      </c>
      <c r="B756" s="6" t="s">
        <v>32</v>
      </c>
      <c r="C756" s="12" t="s">
        <v>7</v>
      </c>
      <c r="D756" s="7">
        <v>20</v>
      </c>
      <c r="E756" s="8">
        <v>80</v>
      </c>
      <c r="F756" s="9">
        <f t="shared" si="59"/>
        <v>1600</v>
      </c>
    </row>
    <row r="757" spans="1:6" x14ac:dyDescent="0.3">
      <c r="A757" s="5">
        <v>45586</v>
      </c>
      <c r="B757" s="6" t="s">
        <v>53</v>
      </c>
      <c r="C757" s="12" t="s">
        <v>7</v>
      </c>
      <c r="D757" s="7">
        <v>500</v>
      </c>
      <c r="E757" s="8">
        <v>6</v>
      </c>
      <c r="F757" s="9">
        <f t="shared" si="59"/>
        <v>3000</v>
      </c>
    </row>
    <row r="758" spans="1:6" x14ac:dyDescent="0.3">
      <c r="A758" s="5">
        <v>45586</v>
      </c>
      <c r="B758" s="6" t="s">
        <v>206</v>
      </c>
      <c r="C758" s="12" t="s">
        <v>7</v>
      </c>
      <c r="D758" s="7">
        <v>150</v>
      </c>
      <c r="E758" s="8">
        <v>9.5</v>
      </c>
      <c r="F758" s="9">
        <f t="shared" si="59"/>
        <v>1425</v>
      </c>
    </row>
    <row r="759" spans="1:6" x14ac:dyDescent="0.3">
      <c r="A759" s="5">
        <v>45586</v>
      </c>
      <c r="B759" s="6" t="s">
        <v>50</v>
      </c>
      <c r="C759" s="7" t="s">
        <v>7</v>
      </c>
      <c r="D759" s="7">
        <v>50</v>
      </c>
      <c r="E759" s="8">
        <v>16.5</v>
      </c>
      <c r="F759" s="9">
        <f t="shared" si="59"/>
        <v>825</v>
      </c>
    </row>
    <row r="760" spans="1:6" x14ac:dyDescent="0.3">
      <c r="A760" s="10">
        <v>45587</v>
      </c>
      <c r="B760" s="11" t="s">
        <v>379</v>
      </c>
      <c r="C760" s="12" t="s">
        <v>7</v>
      </c>
      <c r="D760" s="12">
        <v>25</v>
      </c>
      <c r="E760" s="13">
        <v>64.7</v>
      </c>
      <c r="F760" s="14">
        <f t="shared" si="59"/>
        <v>1617.5</v>
      </c>
    </row>
    <row r="761" spans="1:6" x14ac:dyDescent="0.3">
      <c r="A761" s="5">
        <v>45587</v>
      </c>
      <c r="B761" s="6" t="s">
        <v>151</v>
      </c>
      <c r="C761" s="7" t="s">
        <v>9</v>
      </c>
      <c r="D761" s="7">
        <v>2</v>
      </c>
      <c r="E761" s="8">
        <v>500</v>
      </c>
      <c r="F761" s="9">
        <f t="shared" si="59"/>
        <v>1000</v>
      </c>
    </row>
    <row r="762" spans="1:6" x14ac:dyDescent="0.3">
      <c r="A762" s="5">
        <v>45587</v>
      </c>
      <c r="B762" s="6" t="s">
        <v>128</v>
      </c>
      <c r="C762" s="7" t="s">
        <v>7</v>
      </c>
      <c r="D762" s="7">
        <v>80</v>
      </c>
      <c r="E762" s="8">
        <v>18.899999999999999</v>
      </c>
      <c r="F762" s="9">
        <f t="shared" si="59"/>
        <v>1512</v>
      </c>
    </row>
    <row r="763" spans="1:6" x14ac:dyDescent="0.3">
      <c r="A763" s="5">
        <v>45587</v>
      </c>
      <c r="B763" s="6" t="s">
        <v>12</v>
      </c>
      <c r="C763" s="7" t="s">
        <v>9</v>
      </c>
      <c r="D763" s="7">
        <v>10</v>
      </c>
      <c r="E763" s="8">
        <v>72</v>
      </c>
      <c r="F763" s="9">
        <f t="shared" si="59"/>
        <v>720</v>
      </c>
    </row>
    <row r="764" spans="1:6" x14ac:dyDescent="0.3">
      <c r="A764" s="5">
        <v>45587</v>
      </c>
      <c r="B764" s="6" t="s">
        <v>43</v>
      </c>
      <c r="C764" s="7" t="s">
        <v>9</v>
      </c>
      <c r="D764" s="7">
        <v>5</v>
      </c>
      <c r="E764" s="8">
        <v>175.9</v>
      </c>
      <c r="F764" s="9">
        <f t="shared" si="59"/>
        <v>879.5</v>
      </c>
    </row>
    <row r="765" spans="1:6" x14ac:dyDescent="0.3">
      <c r="A765" s="5">
        <v>45587</v>
      </c>
      <c r="B765" s="6" t="s">
        <v>13</v>
      </c>
      <c r="C765" s="7" t="s">
        <v>9</v>
      </c>
      <c r="D765" s="7">
        <v>50</v>
      </c>
      <c r="E765" s="8">
        <v>15.98</v>
      </c>
      <c r="F765" s="9">
        <f t="shared" si="59"/>
        <v>799</v>
      </c>
    </row>
    <row r="766" spans="1:6" x14ac:dyDescent="0.3">
      <c r="A766" s="5">
        <v>45587</v>
      </c>
      <c r="B766" s="6" t="s">
        <v>529</v>
      </c>
      <c r="C766" s="7" t="s">
        <v>9</v>
      </c>
      <c r="D766" s="7">
        <v>25</v>
      </c>
      <c r="E766" s="8">
        <v>47</v>
      </c>
      <c r="F766" s="9">
        <f t="shared" si="59"/>
        <v>1175</v>
      </c>
    </row>
    <row r="767" spans="1:6" x14ac:dyDescent="0.3">
      <c r="A767" s="5">
        <v>45587</v>
      </c>
      <c r="B767" s="6" t="s">
        <v>43</v>
      </c>
      <c r="C767" s="7" t="s">
        <v>7</v>
      </c>
      <c r="D767" s="7">
        <v>10</v>
      </c>
      <c r="E767" s="8">
        <v>170</v>
      </c>
      <c r="F767" s="9">
        <f t="shared" si="59"/>
        <v>1700</v>
      </c>
    </row>
    <row r="768" spans="1:6" x14ac:dyDescent="0.3">
      <c r="A768" s="5">
        <v>45587</v>
      </c>
      <c r="B768" s="6" t="s">
        <v>206</v>
      </c>
      <c r="C768" s="7" t="s">
        <v>9</v>
      </c>
      <c r="D768" s="7">
        <v>50</v>
      </c>
      <c r="E768" s="8">
        <v>9.75</v>
      </c>
      <c r="F768" s="9">
        <f t="shared" si="59"/>
        <v>487.5</v>
      </c>
    </row>
    <row r="769" spans="1:6" x14ac:dyDescent="0.3">
      <c r="A769" s="5">
        <v>45587</v>
      </c>
      <c r="B769" s="6" t="s">
        <v>23</v>
      </c>
      <c r="C769" s="7" t="s">
        <v>9</v>
      </c>
      <c r="D769" s="7">
        <v>2</v>
      </c>
      <c r="E769" s="8">
        <v>1014</v>
      </c>
      <c r="F769" s="9">
        <f t="shared" si="59"/>
        <v>2028</v>
      </c>
    </row>
    <row r="770" spans="1:6" x14ac:dyDescent="0.3">
      <c r="A770" s="5">
        <v>45587</v>
      </c>
      <c r="B770" s="6" t="s">
        <v>128</v>
      </c>
      <c r="C770" s="7" t="s">
        <v>9</v>
      </c>
      <c r="D770" s="7">
        <v>50</v>
      </c>
      <c r="E770" s="8">
        <v>19.5</v>
      </c>
      <c r="F770" s="9">
        <f t="shared" si="59"/>
        <v>975</v>
      </c>
    </row>
    <row r="771" spans="1:6" x14ac:dyDescent="0.3">
      <c r="A771" s="5">
        <v>45587</v>
      </c>
      <c r="B771" s="6" t="s">
        <v>249</v>
      </c>
      <c r="C771" s="7" t="s">
        <v>9</v>
      </c>
      <c r="D771" s="7">
        <v>35</v>
      </c>
      <c r="E771" s="8">
        <v>43</v>
      </c>
      <c r="F771" s="9">
        <f t="shared" si="59"/>
        <v>1505</v>
      </c>
    </row>
    <row r="772" spans="1:6" x14ac:dyDescent="0.3">
      <c r="A772" s="5">
        <v>45587</v>
      </c>
      <c r="B772" s="6" t="s">
        <v>53</v>
      </c>
      <c r="C772" s="7" t="s">
        <v>9</v>
      </c>
      <c r="D772" s="7">
        <v>100</v>
      </c>
      <c r="E772" s="8">
        <v>6.2</v>
      </c>
      <c r="F772" s="9">
        <f t="shared" si="59"/>
        <v>620</v>
      </c>
    </row>
    <row r="773" spans="1:6" x14ac:dyDescent="0.3">
      <c r="A773" s="10">
        <v>45588</v>
      </c>
      <c r="B773" s="11" t="s">
        <v>128</v>
      </c>
      <c r="C773" s="12" t="s">
        <v>7</v>
      </c>
      <c r="D773" s="12">
        <v>145</v>
      </c>
      <c r="E773" s="13">
        <v>17.8</v>
      </c>
      <c r="F773" s="14">
        <f t="shared" ref="F773:F781" si="60">+E773*D773</f>
        <v>2581</v>
      </c>
    </row>
    <row r="774" spans="1:6" x14ac:dyDescent="0.3">
      <c r="A774" s="5"/>
      <c r="B774" s="6" t="s">
        <v>32</v>
      </c>
      <c r="C774" s="7" t="s">
        <v>9</v>
      </c>
      <c r="D774" s="7">
        <v>10</v>
      </c>
      <c r="E774" s="8">
        <v>82</v>
      </c>
      <c r="F774" s="9">
        <f t="shared" si="60"/>
        <v>820</v>
      </c>
    </row>
    <row r="775" spans="1:6" x14ac:dyDescent="0.3">
      <c r="A775" s="5">
        <v>45588</v>
      </c>
      <c r="B775" s="6" t="s">
        <v>13</v>
      </c>
      <c r="C775" s="7" t="s">
        <v>7</v>
      </c>
      <c r="D775" s="7">
        <v>100</v>
      </c>
      <c r="E775" s="8">
        <v>16</v>
      </c>
      <c r="F775" s="9">
        <f t="shared" si="60"/>
        <v>1600</v>
      </c>
    </row>
    <row r="776" spans="1:6" x14ac:dyDescent="0.3">
      <c r="A776" s="5">
        <v>45588</v>
      </c>
      <c r="B776" s="6" t="s">
        <v>379</v>
      </c>
      <c r="C776" s="7" t="s">
        <v>9</v>
      </c>
      <c r="D776" s="7">
        <v>15</v>
      </c>
      <c r="E776" s="8">
        <v>67</v>
      </c>
      <c r="F776" s="9">
        <f t="shared" si="60"/>
        <v>1005</v>
      </c>
    </row>
    <row r="777" spans="1:6" x14ac:dyDescent="0.3">
      <c r="A777" s="5">
        <v>45588</v>
      </c>
      <c r="B777" s="6" t="s">
        <v>50</v>
      </c>
      <c r="C777" s="7" t="s">
        <v>7</v>
      </c>
      <c r="D777" s="7">
        <v>100</v>
      </c>
      <c r="E777" s="8">
        <v>16.5</v>
      </c>
      <c r="F777" s="9">
        <f t="shared" si="60"/>
        <v>1650</v>
      </c>
    </row>
    <row r="778" spans="1:6" x14ac:dyDescent="0.3">
      <c r="A778" s="5">
        <v>45588</v>
      </c>
      <c r="B778" s="6" t="s">
        <v>32</v>
      </c>
      <c r="C778" s="7" t="s">
        <v>9</v>
      </c>
      <c r="D778" s="7">
        <v>10</v>
      </c>
      <c r="E778" s="8">
        <v>83</v>
      </c>
      <c r="F778" s="9">
        <f t="shared" si="60"/>
        <v>830</v>
      </c>
    </row>
    <row r="779" spans="1:6" x14ac:dyDescent="0.3">
      <c r="A779" s="5">
        <v>45588</v>
      </c>
      <c r="B779" s="6" t="s">
        <v>32</v>
      </c>
      <c r="C779" s="7" t="s">
        <v>7</v>
      </c>
      <c r="D779" s="7">
        <v>20</v>
      </c>
      <c r="E779" s="8">
        <v>81.099999999999994</v>
      </c>
      <c r="F779" s="9">
        <f t="shared" si="60"/>
        <v>1622</v>
      </c>
    </row>
    <row r="780" spans="1:6" x14ac:dyDescent="0.3">
      <c r="A780" s="5">
        <v>45588</v>
      </c>
      <c r="B780" s="6" t="s">
        <v>13</v>
      </c>
      <c r="C780" s="7" t="s">
        <v>9</v>
      </c>
      <c r="D780" s="7">
        <v>65</v>
      </c>
      <c r="E780" s="8">
        <v>16.78</v>
      </c>
      <c r="F780" s="9">
        <f t="shared" si="60"/>
        <v>1090.7</v>
      </c>
    </row>
    <row r="781" spans="1:6" x14ac:dyDescent="0.3">
      <c r="A781" s="5">
        <v>45588</v>
      </c>
      <c r="B781" s="6" t="s">
        <v>220</v>
      </c>
      <c r="C781" s="7" t="s">
        <v>7</v>
      </c>
      <c r="D781" s="7">
        <v>50</v>
      </c>
      <c r="E781" s="8">
        <v>45.54</v>
      </c>
      <c r="F781" s="9">
        <f t="shared" si="60"/>
        <v>2277</v>
      </c>
    </row>
    <row r="782" spans="1:6" x14ac:dyDescent="0.3">
      <c r="A782" s="10">
        <v>45589</v>
      </c>
      <c r="B782" s="11" t="s">
        <v>26</v>
      </c>
      <c r="C782" s="12" t="s">
        <v>7</v>
      </c>
      <c r="D782" s="12">
        <v>25</v>
      </c>
      <c r="E782" s="13">
        <v>70.599999999999994</v>
      </c>
      <c r="F782" s="14">
        <f t="shared" ref="F782:F790" si="61">+E782*D782</f>
        <v>1764.9999999999998</v>
      </c>
    </row>
    <row r="783" spans="1:6" x14ac:dyDescent="0.3">
      <c r="A783" s="5">
        <v>45589</v>
      </c>
      <c r="B783" s="6" t="s">
        <v>12</v>
      </c>
      <c r="C783" s="7" t="s">
        <v>9</v>
      </c>
      <c r="D783" s="7">
        <v>10</v>
      </c>
      <c r="E783" s="8">
        <v>74</v>
      </c>
      <c r="F783" s="9">
        <f t="shared" si="61"/>
        <v>740</v>
      </c>
    </row>
    <row r="784" spans="1:6" x14ac:dyDescent="0.3">
      <c r="A784" s="5">
        <v>45589</v>
      </c>
      <c r="B784" s="6" t="s">
        <v>206</v>
      </c>
      <c r="C784" s="7" t="s">
        <v>9</v>
      </c>
      <c r="D784" s="7">
        <v>100</v>
      </c>
      <c r="E784" s="8">
        <v>10</v>
      </c>
      <c r="F784" s="9">
        <f t="shared" si="61"/>
        <v>1000</v>
      </c>
    </row>
    <row r="785" spans="1:6" x14ac:dyDescent="0.3">
      <c r="A785" s="5">
        <v>45589</v>
      </c>
      <c r="B785" s="6" t="s">
        <v>379</v>
      </c>
      <c r="C785" s="7" t="s">
        <v>9</v>
      </c>
      <c r="D785" s="7">
        <v>15</v>
      </c>
      <c r="E785" s="8">
        <v>70.5</v>
      </c>
      <c r="F785" s="9">
        <f t="shared" si="61"/>
        <v>1057.5</v>
      </c>
    </row>
    <row r="786" spans="1:6" x14ac:dyDescent="0.3">
      <c r="A786" s="5">
        <v>45589</v>
      </c>
      <c r="B786" s="6" t="s">
        <v>13</v>
      </c>
      <c r="C786" s="7" t="s">
        <v>9</v>
      </c>
      <c r="D786" s="7">
        <v>63</v>
      </c>
      <c r="E786" s="8">
        <v>17</v>
      </c>
      <c r="F786" s="9">
        <f t="shared" si="61"/>
        <v>1071</v>
      </c>
    </row>
    <row r="787" spans="1:6" x14ac:dyDescent="0.3">
      <c r="A787" s="5"/>
      <c r="B787" s="6" t="s">
        <v>128</v>
      </c>
      <c r="C787" s="7" t="s">
        <v>9</v>
      </c>
      <c r="D787" s="7">
        <v>50</v>
      </c>
      <c r="E787" s="8">
        <v>18.5</v>
      </c>
      <c r="F787" s="9">
        <f t="shared" si="61"/>
        <v>925</v>
      </c>
    </row>
    <row r="788" spans="1:6" x14ac:dyDescent="0.3">
      <c r="A788" s="5">
        <v>45589</v>
      </c>
      <c r="B788" s="6" t="s">
        <v>128</v>
      </c>
      <c r="C788" s="7" t="s">
        <v>9</v>
      </c>
      <c r="D788" s="7">
        <v>75</v>
      </c>
      <c r="E788" s="8">
        <v>19</v>
      </c>
      <c r="F788" s="9">
        <f t="shared" si="61"/>
        <v>1425</v>
      </c>
    </row>
    <row r="789" spans="1:6" x14ac:dyDescent="0.3">
      <c r="A789" s="5"/>
      <c r="B789" s="6" t="s">
        <v>26</v>
      </c>
      <c r="C789" s="7" t="s">
        <v>9</v>
      </c>
      <c r="D789" s="7">
        <v>25</v>
      </c>
      <c r="E789" s="8">
        <v>72</v>
      </c>
      <c r="F789" s="9">
        <f t="shared" si="61"/>
        <v>1800</v>
      </c>
    </row>
    <row r="790" spans="1:6" x14ac:dyDescent="0.3">
      <c r="A790" s="5">
        <v>45589</v>
      </c>
      <c r="B790" s="6" t="s">
        <v>26</v>
      </c>
      <c r="C790" s="7" t="s">
        <v>9</v>
      </c>
      <c r="D790" s="7">
        <v>25</v>
      </c>
      <c r="E790" s="8">
        <v>73</v>
      </c>
      <c r="F790" s="9">
        <f t="shared" si="61"/>
        <v>1825</v>
      </c>
    </row>
    <row r="791" spans="1:6" x14ac:dyDescent="0.3">
      <c r="A791" s="10">
        <v>45590</v>
      </c>
      <c r="B791" s="6" t="s">
        <v>255</v>
      </c>
      <c r="C791" s="12" t="s">
        <v>9</v>
      </c>
      <c r="D791" s="12">
        <v>100</v>
      </c>
      <c r="E791" s="13">
        <v>10.5</v>
      </c>
      <c r="F791" s="14">
        <f t="shared" ref="F791:F796" si="62">+E791*D791</f>
        <v>1050</v>
      </c>
    </row>
    <row r="792" spans="1:6" x14ac:dyDescent="0.3">
      <c r="A792" s="5"/>
      <c r="B792" s="6" t="s">
        <v>26</v>
      </c>
      <c r="C792" s="12" t="s">
        <v>9</v>
      </c>
      <c r="D792" s="7">
        <v>15</v>
      </c>
      <c r="E792" s="8">
        <v>76.650000000000006</v>
      </c>
      <c r="F792" s="9">
        <f t="shared" si="62"/>
        <v>1149.75</v>
      </c>
    </row>
    <row r="793" spans="1:6" x14ac:dyDescent="0.3">
      <c r="A793" s="10">
        <v>45590</v>
      </c>
      <c r="B793" s="6" t="s">
        <v>26</v>
      </c>
      <c r="C793" s="12" t="s">
        <v>9</v>
      </c>
      <c r="D793" s="12">
        <v>13</v>
      </c>
      <c r="E793" s="13">
        <v>79.650000000000006</v>
      </c>
      <c r="F793" s="14">
        <f t="shared" si="62"/>
        <v>1035.45</v>
      </c>
    </row>
    <row r="794" spans="1:6" x14ac:dyDescent="0.3">
      <c r="A794" s="5">
        <v>45590</v>
      </c>
      <c r="B794" s="6" t="s">
        <v>444</v>
      </c>
      <c r="C794" s="12" t="s">
        <v>9</v>
      </c>
      <c r="D794" s="7">
        <v>75</v>
      </c>
      <c r="E794" s="8">
        <v>14.28</v>
      </c>
      <c r="F794" s="9">
        <f t="shared" si="62"/>
        <v>1071</v>
      </c>
    </row>
    <row r="795" spans="1:6" x14ac:dyDescent="0.3">
      <c r="A795" s="5">
        <v>45590</v>
      </c>
      <c r="B795" s="6" t="s">
        <v>12</v>
      </c>
      <c r="C795" s="12" t="s">
        <v>9</v>
      </c>
      <c r="D795" s="7">
        <v>15</v>
      </c>
      <c r="E795" s="8">
        <v>77.7</v>
      </c>
      <c r="F795" s="9">
        <f t="shared" si="62"/>
        <v>1165.5</v>
      </c>
    </row>
    <row r="796" spans="1:6" x14ac:dyDescent="0.3">
      <c r="A796" s="5">
        <v>45590</v>
      </c>
      <c r="B796" s="6" t="s">
        <v>14</v>
      </c>
      <c r="C796" s="7" t="s">
        <v>7</v>
      </c>
      <c r="D796" s="7">
        <v>12</v>
      </c>
      <c r="E796" s="8">
        <v>135.9</v>
      </c>
      <c r="F796" s="9">
        <f t="shared" si="62"/>
        <v>1630.8000000000002</v>
      </c>
    </row>
    <row r="797" spans="1:6" x14ac:dyDescent="0.3">
      <c r="A797" s="10">
        <v>45593</v>
      </c>
      <c r="B797" s="11" t="s">
        <v>37</v>
      </c>
      <c r="C797" s="12" t="s">
        <v>9</v>
      </c>
      <c r="D797" s="12">
        <v>18</v>
      </c>
      <c r="E797" s="13">
        <v>58.1</v>
      </c>
      <c r="F797" s="14">
        <f t="shared" ref="F797:F813" si="63">+E797*D797</f>
        <v>1045.8</v>
      </c>
    </row>
    <row r="798" spans="1:6" x14ac:dyDescent="0.3">
      <c r="A798" s="5">
        <v>45593</v>
      </c>
      <c r="B798" s="6" t="s">
        <v>249</v>
      </c>
      <c r="C798" s="12" t="s">
        <v>9</v>
      </c>
      <c r="D798" s="7">
        <v>15</v>
      </c>
      <c r="E798" s="8">
        <v>44.16</v>
      </c>
      <c r="F798" s="9">
        <f t="shared" si="63"/>
        <v>662.4</v>
      </c>
    </row>
    <row r="799" spans="1:6" x14ac:dyDescent="0.3">
      <c r="A799" s="5">
        <v>45593</v>
      </c>
      <c r="B799" s="6" t="s">
        <v>43</v>
      </c>
      <c r="C799" s="12" t="s">
        <v>9</v>
      </c>
      <c r="D799" s="7">
        <v>5</v>
      </c>
      <c r="E799" s="8">
        <v>185</v>
      </c>
      <c r="F799" s="9">
        <f t="shared" si="63"/>
        <v>925</v>
      </c>
    </row>
    <row r="800" spans="1:6" x14ac:dyDescent="0.3">
      <c r="A800" s="10">
        <v>45594</v>
      </c>
      <c r="B800" s="11" t="s">
        <v>83</v>
      </c>
      <c r="C800" s="12" t="s">
        <v>7</v>
      </c>
      <c r="D800" s="12"/>
      <c r="E800" s="13">
        <v>110</v>
      </c>
      <c r="F800" s="14">
        <f t="shared" si="63"/>
        <v>0</v>
      </c>
    </row>
    <row r="801" spans="1:6" x14ac:dyDescent="0.3">
      <c r="A801" s="5">
        <v>45594</v>
      </c>
      <c r="B801" s="6" t="s">
        <v>154</v>
      </c>
      <c r="C801" s="12" t="s">
        <v>9</v>
      </c>
      <c r="D801" s="7"/>
      <c r="E801" s="8">
        <v>160</v>
      </c>
      <c r="F801" s="9">
        <f t="shared" si="63"/>
        <v>0</v>
      </c>
    </row>
    <row r="802" spans="1:6" x14ac:dyDescent="0.3">
      <c r="A802" s="5">
        <v>45594</v>
      </c>
      <c r="B802" s="6" t="s">
        <v>157</v>
      </c>
      <c r="C802" s="7" t="s">
        <v>9</v>
      </c>
      <c r="D802" s="7"/>
      <c r="E802" s="8">
        <v>82</v>
      </c>
      <c r="F802" s="9">
        <f t="shared" si="63"/>
        <v>0</v>
      </c>
    </row>
    <row r="803" spans="1:6" x14ac:dyDescent="0.3">
      <c r="A803" s="5">
        <v>45594</v>
      </c>
      <c r="B803" s="6" t="s">
        <v>166</v>
      </c>
      <c r="C803" s="7" t="s">
        <v>7</v>
      </c>
      <c r="D803" s="7"/>
      <c r="E803" s="8">
        <v>32</v>
      </c>
      <c r="F803" s="9">
        <f t="shared" si="63"/>
        <v>0</v>
      </c>
    </row>
    <row r="804" spans="1:6" x14ac:dyDescent="0.3">
      <c r="A804" s="5">
        <v>45594</v>
      </c>
      <c r="B804" s="6" t="s">
        <v>181</v>
      </c>
      <c r="C804" s="7" t="s">
        <v>7</v>
      </c>
      <c r="D804" s="7"/>
      <c r="E804" s="8">
        <v>20</v>
      </c>
      <c r="F804" s="9">
        <f t="shared" si="63"/>
        <v>0</v>
      </c>
    </row>
    <row r="805" spans="1:6" x14ac:dyDescent="0.3">
      <c r="A805" s="5">
        <v>45594</v>
      </c>
      <c r="B805" s="6" t="s">
        <v>18</v>
      </c>
      <c r="C805" s="7" t="s">
        <v>9</v>
      </c>
      <c r="D805" s="7"/>
      <c r="E805" s="8">
        <v>215</v>
      </c>
      <c r="F805" s="9">
        <f t="shared" si="63"/>
        <v>0</v>
      </c>
    </row>
    <row r="806" spans="1:6" x14ac:dyDescent="0.3">
      <c r="A806" s="5">
        <v>45594</v>
      </c>
      <c r="B806" s="6" t="s">
        <v>202</v>
      </c>
      <c r="C806" s="7" t="s">
        <v>7</v>
      </c>
      <c r="D806" s="7"/>
      <c r="E806" s="8">
        <v>18</v>
      </c>
      <c r="F806" s="9">
        <f t="shared" si="63"/>
        <v>0</v>
      </c>
    </row>
    <row r="807" spans="1:6" x14ac:dyDescent="0.3">
      <c r="A807" s="5">
        <v>45594</v>
      </c>
      <c r="B807" s="6" t="s">
        <v>236</v>
      </c>
      <c r="C807" s="7" t="s">
        <v>9</v>
      </c>
      <c r="D807" s="7"/>
      <c r="E807" s="8">
        <v>315</v>
      </c>
      <c r="F807" s="9">
        <f t="shared" si="63"/>
        <v>0</v>
      </c>
    </row>
    <row r="808" spans="1:6" x14ac:dyDescent="0.3">
      <c r="A808" s="5">
        <v>45594</v>
      </c>
      <c r="B808" s="6" t="s">
        <v>352</v>
      </c>
      <c r="C808" s="7" t="s">
        <v>9</v>
      </c>
      <c r="D808" s="7"/>
      <c r="E808" s="8">
        <v>5.85</v>
      </c>
      <c r="F808" s="9">
        <f t="shared" si="63"/>
        <v>0</v>
      </c>
    </row>
    <row r="809" spans="1:6" x14ac:dyDescent="0.3">
      <c r="A809" s="5">
        <v>45594</v>
      </c>
      <c r="B809" s="6" t="s">
        <v>404</v>
      </c>
      <c r="C809" s="7" t="s">
        <v>9</v>
      </c>
      <c r="D809" s="7"/>
      <c r="E809" s="8">
        <v>44</v>
      </c>
      <c r="F809" s="9">
        <f t="shared" si="63"/>
        <v>0</v>
      </c>
    </row>
    <row r="810" spans="1:6" x14ac:dyDescent="0.3">
      <c r="A810" s="5">
        <v>45594</v>
      </c>
      <c r="B810" s="6" t="s">
        <v>496</v>
      </c>
      <c r="C810" s="7" t="s">
        <v>7</v>
      </c>
      <c r="D810" s="7"/>
      <c r="E810" s="8">
        <v>5.35</v>
      </c>
      <c r="F810" s="9">
        <f t="shared" si="63"/>
        <v>0</v>
      </c>
    </row>
    <row r="811" spans="1:6" x14ac:dyDescent="0.3">
      <c r="A811" s="5">
        <v>45594</v>
      </c>
      <c r="B811" s="6" t="s">
        <v>525</v>
      </c>
      <c r="C811" s="7" t="s">
        <v>9</v>
      </c>
      <c r="D811" s="7"/>
      <c r="E811" s="8">
        <v>18.5</v>
      </c>
      <c r="F811" s="9">
        <f t="shared" si="63"/>
        <v>0</v>
      </c>
    </row>
    <row r="812" spans="1:6" x14ac:dyDescent="0.3">
      <c r="A812" s="5">
        <v>45594</v>
      </c>
      <c r="B812" s="6" t="s">
        <v>41</v>
      </c>
      <c r="C812" s="7" t="s">
        <v>9</v>
      </c>
      <c r="D812" s="7"/>
      <c r="E812" s="8">
        <v>150</v>
      </c>
      <c r="F812" s="9">
        <f t="shared" si="63"/>
        <v>0</v>
      </c>
    </row>
    <row r="813" spans="1:6" x14ac:dyDescent="0.3">
      <c r="A813" s="5">
        <v>45594</v>
      </c>
      <c r="B813" s="6" t="s">
        <v>550</v>
      </c>
      <c r="C813" s="7" t="s">
        <v>9</v>
      </c>
      <c r="D813" s="7"/>
      <c r="E813" s="8">
        <v>60.13</v>
      </c>
      <c r="F813" s="9">
        <f t="shared" si="63"/>
        <v>0</v>
      </c>
    </row>
    <row r="814" spans="1:6" x14ac:dyDescent="0.3">
      <c r="A814" s="10">
        <v>45595</v>
      </c>
      <c r="B814" s="11" t="s">
        <v>525</v>
      </c>
      <c r="C814" s="12" t="s">
        <v>7</v>
      </c>
      <c r="D814" s="12">
        <v>100</v>
      </c>
      <c r="E814" s="13">
        <v>18</v>
      </c>
      <c r="F814" s="14">
        <f t="shared" ref="F814:F821" si="64">+E814*D814</f>
        <v>1800</v>
      </c>
    </row>
    <row r="815" spans="1:6" x14ac:dyDescent="0.3">
      <c r="A815" s="5">
        <v>45595</v>
      </c>
      <c r="B815" s="6" t="s">
        <v>26</v>
      </c>
      <c r="C815" s="7" t="s">
        <v>9</v>
      </c>
      <c r="D815" s="7">
        <v>13</v>
      </c>
      <c r="E815" s="8">
        <v>83.65</v>
      </c>
      <c r="F815" s="9">
        <f t="shared" si="64"/>
        <v>1087.45</v>
      </c>
    </row>
    <row r="816" spans="1:6" x14ac:dyDescent="0.3">
      <c r="A816" s="5">
        <v>45595</v>
      </c>
      <c r="B816" s="6" t="s">
        <v>25</v>
      </c>
      <c r="C816" s="7" t="s">
        <v>9</v>
      </c>
      <c r="D816" s="7">
        <v>250</v>
      </c>
      <c r="E816" s="8">
        <v>3.15</v>
      </c>
      <c r="F816" s="9">
        <f t="shared" si="64"/>
        <v>787.5</v>
      </c>
    </row>
    <row r="817" spans="1:6" x14ac:dyDescent="0.3">
      <c r="A817" s="5">
        <v>45595</v>
      </c>
      <c r="B817" s="6" t="s">
        <v>43</v>
      </c>
      <c r="C817" s="7" t="s">
        <v>9</v>
      </c>
      <c r="D817" s="7">
        <v>5</v>
      </c>
      <c r="E817" s="8">
        <v>194.3</v>
      </c>
      <c r="F817" s="9">
        <f t="shared" si="64"/>
        <v>971.5</v>
      </c>
    </row>
    <row r="818" spans="1:6" x14ac:dyDescent="0.3">
      <c r="A818" s="5">
        <v>45595</v>
      </c>
      <c r="B818" s="6" t="s">
        <v>6</v>
      </c>
      <c r="C818" s="7" t="s">
        <v>9</v>
      </c>
      <c r="D818" s="7">
        <v>27</v>
      </c>
      <c r="E818" s="8">
        <v>38.86</v>
      </c>
      <c r="F818" s="9">
        <f t="shared" si="64"/>
        <v>1049.22</v>
      </c>
    </row>
    <row r="819" spans="1:6" x14ac:dyDescent="0.3">
      <c r="A819" s="5">
        <v>45595</v>
      </c>
      <c r="B819" s="6" t="s">
        <v>529</v>
      </c>
      <c r="C819" s="7" t="s">
        <v>9</v>
      </c>
      <c r="D819" s="7">
        <v>25</v>
      </c>
      <c r="E819" s="8">
        <v>47.7</v>
      </c>
      <c r="F819" s="9">
        <f t="shared" si="64"/>
        <v>1192.5</v>
      </c>
    </row>
    <row r="820" spans="1:6" x14ac:dyDescent="0.3">
      <c r="A820" s="5">
        <v>45595</v>
      </c>
      <c r="B820" s="6" t="s">
        <v>265</v>
      </c>
      <c r="C820" s="7" t="s">
        <v>9</v>
      </c>
      <c r="D820" s="7">
        <v>5</v>
      </c>
      <c r="E820" s="8">
        <v>195</v>
      </c>
      <c r="F820" s="9">
        <f t="shared" si="64"/>
        <v>975</v>
      </c>
    </row>
    <row r="821" spans="1:6" x14ac:dyDescent="0.3">
      <c r="A821" s="5">
        <v>45595</v>
      </c>
      <c r="B821" s="6" t="s">
        <v>352</v>
      </c>
      <c r="C821" s="7" t="s">
        <v>9</v>
      </c>
      <c r="D821" s="7">
        <v>150</v>
      </c>
      <c r="E821" s="8">
        <v>6.15</v>
      </c>
      <c r="F821" s="9">
        <f t="shared" si="64"/>
        <v>922.5</v>
      </c>
    </row>
    <row r="822" spans="1:6" x14ac:dyDescent="0.3">
      <c r="A822" s="10">
        <v>45596</v>
      </c>
      <c r="B822" s="11" t="s">
        <v>26</v>
      </c>
      <c r="C822" s="12" t="s">
        <v>9</v>
      </c>
      <c r="D822" s="12">
        <v>13</v>
      </c>
      <c r="E822" s="13">
        <v>88</v>
      </c>
      <c r="F822" s="14">
        <f t="shared" ref="F822:F837" si="65">+E822*D822</f>
        <v>1144</v>
      </c>
    </row>
    <row r="823" spans="1:6" x14ac:dyDescent="0.3">
      <c r="A823" s="5">
        <v>45596</v>
      </c>
      <c r="B823" s="6" t="s">
        <v>33</v>
      </c>
      <c r="C823" s="12" t="s">
        <v>9</v>
      </c>
      <c r="D823" s="7">
        <v>100</v>
      </c>
      <c r="E823" s="8">
        <v>31</v>
      </c>
      <c r="F823" s="9">
        <f t="shared" si="65"/>
        <v>3100</v>
      </c>
    </row>
    <row r="824" spans="1:6" x14ac:dyDescent="0.3">
      <c r="A824" s="5">
        <v>45596</v>
      </c>
      <c r="B824" s="6" t="s">
        <v>89</v>
      </c>
      <c r="C824" s="7" t="s">
        <v>7</v>
      </c>
      <c r="D824" s="7">
        <v>250</v>
      </c>
      <c r="E824" s="8">
        <v>6.75</v>
      </c>
      <c r="F824" s="9">
        <f t="shared" si="65"/>
        <v>1687.5</v>
      </c>
    </row>
    <row r="825" spans="1:6" x14ac:dyDescent="0.3">
      <c r="A825" s="5">
        <v>45596</v>
      </c>
      <c r="B825" s="6" t="s">
        <v>20</v>
      </c>
      <c r="C825" s="7" t="s">
        <v>7</v>
      </c>
      <c r="D825" s="7">
        <v>100</v>
      </c>
      <c r="E825" s="8">
        <v>14</v>
      </c>
      <c r="F825" s="9">
        <f t="shared" si="65"/>
        <v>1400</v>
      </c>
    </row>
    <row r="826" spans="1:6" x14ac:dyDescent="0.3">
      <c r="A826" s="10">
        <v>45597</v>
      </c>
      <c r="B826" s="11" t="s">
        <v>39</v>
      </c>
      <c r="C826" s="12" t="s">
        <v>9</v>
      </c>
      <c r="D826" s="12">
        <v>4</v>
      </c>
      <c r="E826" s="13">
        <v>725</v>
      </c>
      <c r="F826" s="14">
        <f t="shared" si="65"/>
        <v>2900</v>
      </c>
    </row>
    <row r="827" spans="1:6" x14ac:dyDescent="0.3">
      <c r="A827" s="5">
        <v>45597</v>
      </c>
      <c r="B827" s="6" t="s">
        <v>6</v>
      </c>
      <c r="C827" s="7" t="s">
        <v>9</v>
      </c>
      <c r="D827" s="7">
        <v>26</v>
      </c>
      <c r="E827" s="8">
        <v>41</v>
      </c>
      <c r="F827" s="9">
        <f t="shared" si="65"/>
        <v>1066</v>
      </c>
    </row>
    <row r="828" spans="1:6" x14ac:dyDescent="0.3">
      <c r="A828" s="5">
        <v>45597</v>
      </c>
      <c r="B828" s="6" t="s">
        <v>379</v>
      </c>
      <c r="C828" s="7" t="s">
        <v>9</v>
      </c>
      <c r="D828" s="7">
        <v>15</v>
      </c>
      <c r="E828" s="8">
        <v>67</v>
      </c>
      <c r="F828" s="9">
        <f t="shared" si="65"/>
        <v>1005</v>
      </c>
    </row>
    <row r="829" spans="1:6" x14ac:dyDescent="0.3">
      <c r="A829" s="5">
        <v>45597</v>
      </c>
      <c r="B829" s="6" t="s">
        <v>265</v>
      </c>
      <c r="C829" s="7" t="s">
        <v>9</v>
      </c>
      <c r="D829" s="7">
        <v>5</v>
      </c>
      <c r="E829" s="8">
        <v>205</v>
      </c>
      <c r="F829" s="9">
        <f t="shared" si="65"/>
        <v>1025</v>
      </c>
    </row>
    <row r="830" spans="1:6" x14ac:dyDescent="0.3">
      <c r="A830" s="5">
        <v>45597</v>
      </c>
      <c r="B830" s="6" t="s">
        <v>529</v>
      </c>
      <c r="C830" s="7" t="s">
        <v>9</v>
      </c>
      <c r="D830" s="7">
        <v>25</v>
      </c>
      <c r="E830" s="8">
        <v>48.74</v>
      </c>
      <c r="F830" s="9">
        <f t="shared" si="65"/>
        <v>1218.5</v>
      </c>
    </row>
    <row r="831" spans="1:6" x14ac:dyDescent="0.3">
      <c r="A831" s="5">
        <v>45597</v>
      </c>
      <c r="B831" s="6" t="s">
        <v>13</v>
      </c>
      <c r="C831" s="7" t="s">
        <v>9</v>
      </c>
      <c r="D831" s="7">
        <v>72</v>
      </c>
      <c r="E831" s="8">
        <v>17.8</v>
      </c>
      <c r="F831" s="9">
        <f t="shared" si="65"/>
        <v>1281.6000000000001</v>
      </c>
    </row>
    <row r="832" spans="1:6" x14ac:dyDescent="0.3">
      <c r="A832" s="5">
        <v>45597</v>
      </c>
      <c r="B832" s="6" t="s">
        <v>319</v>
      </c>
      <c r="C832" s="7" t="s">
        <v>9</v>
      </c>
      <c r="D832" s="7">
        <v>40</v>
      </c>
      <c r="E832" s="8">
        <v>27.3</v>
      </c>
      <c r="F832" s="9">
        <f t="shared" si="65"/>
        <v>1092</v>
      </c>
    </row>
    <row r="833" spans="1:6" x14ac:dyDescent="0.3">
      <c r="A833" s="5">
        <v>45597</v>
      </c>
      <c r="B833" s="6" t="s">
        <v>379</v>
      </c>
      <c r="C833" s="7" t="s">
        <v>7</v>
      </c>
      <c r="D833" s="7">
        <v>20</v>
      </c>
      <c r="E833" s="8">
        <v>64</v>
      </c>
      <c r="F833" s="9">
        <f t="shared" si="65"/>
        <v>1280</v>
      </c>
    </row>
    <row r="834" spans="1:6" x14ac:dyDescent="0.3">
      <c r="A834" s="5">
        <v>45597</v>
      </c>
      <c r="B834" s="6" t="s">
        <v>12</v>
      </c>
      <c r="C834" s="7" t="s">
        <v>9</v>
      </c>
      <c r="D834" s="7">
        <v>13</v>
      </c>
      <c r="E834" s="8">
        <v>81.599999999999994</v>
      </c>
      <c r="F834" s="9">
        <f t="shared" si="65"/>
        <v>1060.8</v>
      </c>
    </row>
    <row r="835" spans="1:6" x14ac:dyDescent="0.3">
      <c r="A835" s="5">
        <v>45597</v>
      </c>
      <c r="B835" s="6" t="s">
        <v>14</v>
      </c>
      <c r="C835" s="7" t="s">
        <v>7</v>
      </c>
      <c r="D835" s="7">
        <v>12</v>
      </c>
      <c r="E835" s="8">
        <v>133</v>
      </c>
      <c r="F835" s="9">
        <f t="shared" si="65"/>
        <v>1596</v>
      </c>
    </row>
    <row r="836" spans="1:6" x14ac:dyDescent="0.3">
      <c r="A836" s="5">
        <v>45597</v>
      </c>
      <c r="B836" s="6" t="s">
        <v>157</v>
      </c>
      <c r="C836" s="7" t="s">
        <v>9</v>
      </c>
      <c r="D836" s="7">
        <v>10</v>
      </c>
      <c r="E836" s="8">
        <v>86.1</v>
      </c>
      <c r="F836" s="9">
        <f t="shared" si="65"/>
        <v>861</v>
      </c>
    </row>
    <row r="837" spans="1:6" x14ac:dyDescent="0.3">
      <c r="A837" s="5">
        <v>45597</v>
      </c>
      <c r="B837" s="6" t="s">
        <v>13</v>
      </c>
      <c r="C837" s="7" t="s">
        <v>7</v>
      </c>
      <c r="D837" s="7">
        <v>50</v>
      </c>
      <c r="E837" s="8">
        <v>17</v>
      </c>
      <c r="F837" s="9">
        <f t="shared" si="65"/>
        <v>850</v>
      </c>
    </row>
    <row r="838" spans="1:6" x14ac:dyDescent="0.3">
      <c r="A838" s="10">
        <v>45600</v>
      </c>
      <c r="B838" s="11" t="s">
        <v>33</v>
      </c>
      <c r="C838" s="12" t="s">
        <v>9</v>
      </c>
      <c r="D838" s="12">
        <v>100</v>
      </c>
      <c r="E838" s="13">
        <v>32.14</v>
      </c>
      <c r="F838" s="14">
        <f t="shared" ref="F838:F847" si="66">+E838*D838</f>
        <v>3214</v>
      </c>
    </row>
    <row r="839" spans="1:6" x14ac:dyDescent="0.3">
      <c r="A839" s="10">
        <v>45600</v>
      </c>
      <c r="B839" s="6" t="s">
        <v>89</v>
      </c>
      <c r="C839" s="7" t="s">
        <v>9</v>
      </c>
      <c r="D839" s="7">
        <v>125</v>
      </c>
      <c r="E839" s="8">
        <v>7.88</v>
      </c>
      <c r="F839" s="9">
        <f t="shared" si="66"/>
        <v>985</v>
      </c>
    </row>
    <row r="840" spans="1:6" x14ac:dyDescent="0.3">
      <c r="A840" s="5">
        <v>45600</v>
      </c>
      <c r="B840" s="6" t="s">
        <v>20</v>
      </c>
      <c r="C840" s="7" t="s">
        <v>9</v>
      </c>
      <c r="D840" s="7">
        <v>100</v>
      </c>
      <c r="E840" s="8">
        <v>15.38</v>
      </c>
      <c r="F840" s="9">
        <f t="shared" si="66"/>
        <v>1538</v>
      </c>
    </row>
    <row r="841" spans="1:6" x14ac:dyDescent="0.3">
      <c r="A841" s="5">
        <v>45600</v>
      </c>
      <c r="B841" s="6" t="s">
        <v>6</v>
      </c>
      <c r="C841" s="7" t="s">
        <v>9</v>
      </c>
      <c r="D841" s="7">
        <v>24</v>
      </c>
      <c r="E841" s="8">
        <v>43.06</v>
      </c>
      <c r="F841" s="9">
        <f t="shared" si="66"/>
        <v>1033.44</v>
      </c>
    </row>
    <row r="842" spans="1:6" x14ac:dyDescent="0.3">
      <c r="A842" s="5">
        <v>45600</v>
      </c>
      <c r="B842" s="6" t="s">
        <v>14</v>
      </c>
      <c r="C842" s="7" t="s">
        <v>7</v>
      </c>
      <c r="D842" s="7">
        <v>18</v>
      </c>
      <c r="E842" s="8">
        <v>130</v>
      </c>
      <c r="F842" s="9">
        <f t="shared" si="66"/>
        <v>2340</v>
      </c>
    </row>
    <row r="843" spans="1:6" x14ac:dyDescent="0.3">
      <c r="A843" s="5">
        <v>45600</v>
      </c>
      <c r="B843" s="6" t="s">
        <v>26</v>
      </c>
      <c r="C843" s="7" t="s">
        <v>7</v>
      </c>
      <c r="D843" s="7">
        <v>30</v>
      </c>
      <c r="E843" s="8">
        <v>79.2</v>
      </c>
      <c r="F843" s="9">
        <f t="shared" si="66"/>
        <v>2376</v>
      </c>
    </row>
    <row r="844" spans="1:6" x14ac:dyDescent="0.3">
      <c r="A844" s="5">
        <v>45600</v>
      </c>
      <c r="B844" s="6" t="s">
        <v>206</v>
      </c>
      <c r="C844" s="7" t="s">
        <v>7</v>
      </c>
      <c r="D844" s="7">
        <v>200</v>
      </c>
      <c r="E844" s="8">
        <v>9.5</v>
      </c>
      <c r="F844" s="9">
        <f t="shared" si="66"/>
        <v>1900</v>
      </c>
    </row>
    <row r="845" spans="1:6" x14ac:dyDescent="0.3">
      <c r="A845" s="5">
        <v>45600</v>
      </c>
      <c r="B845" s="6" t="s">
        <v>43</v>
      </c>
      <c r="C845" s="7" t="s">
        <v>7</v>
      </c>
      <c r="D845" s="7">
        <v>15</v>
      </c>
      <c r="E845" s="8">
        <v>174.8</v>
      </c>
      <c r="F845" s="9">
        <f t="shared" si="66"/>
        <v>2622</v>
      </c>
    </row>
    <row r="846" spans="1:6" x14ac:dyDescent="0.3">
      <c r="A846" s="5">
        <v>45600</v>
      </c>
      <c r="B846" s="6" t="s">
        <v>20</v>
      </c>
      <c r="C846" s="7" t="s">
        <v>7</v>
      </c>
      <c r="D846" s="7">
        <v>140</v>
      </c>
      <c r="E846" s="8">
        <v>14.5</v>
      </c>
      <c r="F846" s="9">
        <f t="shared" si="66"/>
        <v>2030</v>
      </c>
    </row>
    <row r="847" spans="1:6" x14ac:dyDescent="0.3">
      <c r="A847" s="5">
        <v>45600</v>
      </c>
      <c r="B847" s="6" t="s">
        <v>456</v>
      </c>
      <c r="C847" s="7" t="s">
        <v>7</v>
      </c>
      <c r="D847" s="7">
        <v>400</v>
      </c>
      <c r="E847" s="8">
        <v>4.8</v>
      </c>
      <c r="F847" s="9">
        <f t="shared" si="66"/>
        <v>1920</v>
      </c>
    </row>
    <row r="848" spans="1:6" x14ac:dyDescent="0.3">
      <c r="A848" s="10">
        <v>45601</v>
      </c>
      <c r="B848" s="11" t="s">
        <v>154</v>
      </c>
      <c r="C848" s="12" t="s">
        <v>7</v>
      </c>
      <c r="D848" s="12">
        <v>15</v>
      </c>
      <c r="E848" s="13">
        <v>144</v>
      </c>
      <c r="F848" s="14">
        <f t="shared" ref="F848:F855" si="67">+E848*D848</f>
        <v>2160</v>
      </c>
    </row>
    <row r="849" spans="1:6" x14ac:dyDescent="0.3">
      <c r="A849" s="5">
        <v>45601</v>
      </c>
      <c r="B849" s="6" t="s">
        <v>20</v>
      </c>
      <c r="C849" s="12" t="s">
        <v>7</v>
      </c>
      <c r="D849" s="7">
        <v>160</v>
      </c>
      <c r="E849" s="8">
        <v>13.84</v>
      </c>
      <c r="F849" s="9">
        <f t="shared" si="67"/>
        <v>2214.4</v>
      </c>
    </row>
    <row r="850" spans="1:6" x14ac:dyDescent="0.3">
      <c r="A850" s="5">
        <v>45601</v>
      </c>
      <c r="B850" s="6" t="s">
        <v>13</v>
      </c>
      <c r="C850" s="12" t="s">
        <v>7</v>
      </c>
      <c r="D850" s="7">
        <v>140</v>
      </c>
      <c r="E850" s="8">
        <v>16.02</v>
      </c>
      <c r="F850" s="9">
        <f t="shared" si="67"/>
        <v>2242.7999999999997</v>
      </c>
    </row>
    <row r="851" spans="1:6" x14ac:dyDescent="0.3">
      <c r="A851" s="5">
        <v>45601</v>
      </c>
      <c r="B851" s="6" t="s">
        <v>28</v>
      </c>
      <c r="C851" s="12" t="s">
        <v>7</v>
      </c>
      <c r="D851" s="7">
        <v>50</v>
      </c>
      <c r="E851" s="8">
        <v>40.5</v>
      </c>
      <c r="F851" s="9">
        <f t="shared" si="67"/>
        <v>2025</v>
      </c>
    </row>
    <row r="852" spans="1:6" x14ac:dyDescent="0.3">
      <c r="A852" s="5">
        <v>45601</v>
      </c>
      <c r="B852" s="6" t="s">
        <v>379</v>
      </c>
      <c r="C852" s="12" t="s">
        <v>7</v>
      </c>
      <c r="D852" s="7">
        <v>30</v>
      </c>
      <c r="E852" s="8">
        <v>60</v>
      </c>
      <c r="F852" s="9">
        <f t="shared" si="67"/>
        <v>1800</v>
      </c>
    </row>
    <row r="853" spans="1:6" x14ac:dyDescent="0.3">
      <c r="A853" s="5">
        <v>45601</v>
      </c>
      <c r="B853" s="6" t="s">
        <v>26</v>
      </c>
      <c r="C853" s="7" t="s">
        <v>9</v>
      </c>
      <c r="D853" s="7">
        <v>21</v>
      </c>
      <c r="E853" s="8">
        <v>84</v>
      </c>
      <c r="F853" s="9">
        <f t="shared" si="67"/>
        <v>1764</v>
      </c>
    </row>
    <row r="854" spans="1:6" x14ac:dyDescent="0.3">
      <c r="A854" s="5">
        <v>45601</v>
      </c>
      <c r="B854" s="6" t="s">
        <v>50</v>
      </c>
      <c r="C854" s="7" t="s">
        <v>9</v>
      </c>
      <c r="D854" s="7">
        <v>50</v>
      </c>
      <c r="E854" s="8">
        <v>17</v>
      </c>
      <c r="F854" s="9">
        <f t="shared" si="67"/>
        <v>850</v>
      </c>
    </row>
    <row r="855" spans="1:6" x14ac:dyDescent="0.3">
      <c r="A855" s="5">
        <v>45601</v>
      </c>
      <c r="B855" s="6" t="s">
        <v>379</v>
      </c>
      <c r="C855" s="7" t="s">
        <v>9</v>
      </c>
      <c r="D855" s="7">
        <v>25</v>
      </c>
      <c r="E855" s="8">
        <v>64</v>
      </c>
      <c r="F855" s="9">
        <f t="shared" si="67"/>
        <v>1600</v>
      </c>
    </row>
    <row r="856" spans="1:6" x14ac:dyDescent="0.3">
      <c r="A856" s="10">
        <v>45602</v>
      </c>
      <c r="B856" s="11" t="s">
        <v>456</v>
      </c>
      <c r="C856" s="12" t="s">
        <v>9</v>
      </c>
      <c r="D856" s="12">
        <v>250</v>
      </c>
      <c r="E856" s="13">
        <v>5.55</v>
      </c>
      <c r="F856" s="14">
        <f t="shared" ref="F856:F866" si="68">+E856*D856</f>
        <v>1387.5</v>
      </c>
    </row>
    <row r="857" spans="1:6" x14ac:dyDescent="0.3">
      <c r="A857" s="5">
        <v>45602</v>
      </c>
      <c r="B857" s="6" t="s">
        <v>39</v>
      </c>
      <c r="C857" s="7" t="s">
        <v>9</v>
      </c>
      <c r="D857" s="7">
        <v>10</v>
      </c>
      <c r="E857" s="8">
        <v>729</v>
      </c>
      <c r="F857" s="9">
        <f t="shared" si="68"/>
        <v>7290</v>
      </c>
    </row>
    <row r="858" spans="1:6" x14ac:dyDescent="0.3">
      <c r="A858" s="5">
        <v>45602</v>
      </c>
      <c r="B858" s="6" t="s">
        <v>379</v>
      </c>
      <c r="C858" s="7" t="s">
        <v>9</v>
      </c>
      <c r="D858" s="7">
        <v>20</v>
      </c>
      <c r="E858" s="8">
        <v>67.2</v>
      </c>
      <c r="F858" s="9">
        <f t="shared" si="68"/>
        <v>1344</v>
      </c>
    </row>
    <row r="859" spans="1:6" x14ac:dyDescent="0.3">
      <c r="A859" s="5">
        <v>45602</v>
      </c>
      <c r="B859" s="6" t="s">
        <v>444</v>
      </c>
      <c r="C859" s="7" t="s">
        <v>9</v>
      </c>
      <c r="D859" s="7">
        <v>100</v>
      </c>
      <c r="E859" s="8">
        <v>14</v>
      </c>
      <c r="F859" s="9">
        <f t="shared" si="68"/>
        <v>1400</v>
      </c>
    </row>
    <row r="860" spans="1:6" x14ac:dyDescent="0.3">
      <c r="A860" s="5">
        <v>45602</v>
      </c>
      <c r="B860" s="6" t="s">
        <v>220</v>
      </c>
      <c r="C860" s="7" t="s">
        <v>9</v>
      </c>
      <c r="D860" s="7">
        <v>25</v>
      </c>
      <c r="E860" s="8">
        <v>47.5</v>
      </c>
      <c r="F860" s="9">
        <f t="shared" si="68"/>
        <v>1187.5</v>
      </c>
    </row>
    <row r="861" spans="1:6" x14ac:dyDescent="0.3">
      <c r="A861" s="5">
        <v>45602</v>
      </c>
      <c r="B861" s="6" t="s">
        <v>32</v>
      </c>
      <c r="C861" s="7" t="s">
        <v>9</v>
      </c>
      <c r="D861" s="7">
        <v>10</v>
      </c>
      <c r="E861" s="8">
        <v>83</v>
      </c>
      <c r="F861" s="9">
        <f t="shared" si="68"/>
        <v>830</v>
      </c>
    </row>
    <row r="862" spans="1:6" x14ac:dyDescent="0.3">
      <c r="A862" s="5">
        <v>45602</v>
      </c>
      <c r="B862" s="6" t="s">
        <v>12</v>
      </c>
      <c r="C862" s="7" t="s">
        <v>9</v>
      </c>
      <c r="D862" s="7">
        <v>20</v>
      </c>
      <c r="E862" s="8">
        <v>85.7</v>
      </c>
      <c r="F862" s="9">
        <f t="shared" si="68"/>
        <v>1714</v>
      </c>
    </row>
    <row r="863" spans="1:6" x14ac:dyDescent="0.3">
      <c r="A863" s="5">
        <v>45602</v>
      </c>
      <c r="B863" s="6" t="s">
        <v>43</v>
      </c>
      <c r="C863" s="7" t="s">
        <v>9</v>
      </c>
      <c r="D863" s="7">
        <v>5</v>
      </c>
      <c r="E863" s="8">
        <v>185</v>
      </c>
      <c r="F863" s="9">
        <f t="shared" si="68"/>
        <v>925</v>
      </c>
    </row>
    <row r="864" spans="1:6" x14ac:dyDescent="0.3">
      <c r="A864" s="5">
        <v>45602</v>
      </c>
      <c r="B864" s="6" t="s">
        <v>379</v>
      </c>
      <c r="C864" s="7" t="s">
        <v>7</v>
      </c>
      <c r="D864" s="7">
        <v>20</v>
      </c>
      <c r="E864" s="8">
        <v>67</v>
      </c>
      <c r="F864" s="9">
        <f t="shared" si="68"/>
        <v>1340</v>
      </c>
    </row>
    <row r="865" spans="1:6" x14ac:dyDescent="0.3">
      <c r="A865" s="5">
        <v>45602</v>
      </c>
      <c r="B865" s="6" t="s">
        <v>28</v>
      </c>
      <c r="C865" s="7" t="s">
        <v>9</v>
      </c>
      <c r="D865" s="7">
        <v>35</v>
      </c>
      <c r="E865" s="8">
        <v>44</v>
      </c>
      <c r="F865" s="9">
        <f t="shared" si="68"/>
        <v>1540</v>
      </c>
    </row>
    <row r="866" spans="1:6" x14ac:dyDescent="0.3">
      <c r="A866" s="5">
        <v>45602</v>
      </c>
      <c r="B866" s="6" t="s">
        <v>379</v>
      </c>
      <c r="C866" s="7" t="s">
        <v>7</v>
      </c>
      <c r="D866" s="7">
        <v>35</v>
      </c>
      <c r="E866" s="8">
        <v>64</v>
      </c>
      <c r="F866" s="9">
        <f t="shared" si="68"/>
        <v>2240</v>
      </c>
    </row>
    <row r="867" spans="1:6" x14ac:dyDescent="0.3">
      <c r="A867" s="10">
        <v>45603</v>
      </c>
      <c r="B867" s="11" t="s">
        <v>444</v>
      </c>
      <c r="C867" s="12" t="s">
        <v>9</v>
      </c>
      <c r="D867" s="12">
        <v>100</v>
      </c>
      <c r="E867" s="13">
        <v>15.37</v>
      </c>
      <c r="F867" s="14">
        <f t="shared" ref="F867:F880" si="69">+E867*D867</f>
        <v>1537</v>
      </c>
    </row>
    <row r="868" spans="1:6" x14ac:dyDescent="0.3">
      <c r="A868" s="5">
        <v>45603</v>
      </c>
      <c r="B868" s="6" t="s">
        <v>32</v>
      </c>
      <c r="C868" s="7" t="s">
        <v>9</v>
      </c>
      <c r="D868" s="7">
        <v>110</v>
      </c>
      <c r="E868" s="8">
        <v>81.400000000000006</v>
      </c>
      <c r="F868" s="9">
        <f t="shared" si="69"/>
        <v>8954</v>
      </c>
    </row>
    <row r="869" spans="1:6" x14ac:dyDescent="0.3">
      <c r="A869" s="5">
        <v>45603</v>
      </c>
      <c r="B869" s="6" t="s">
        <v>525</v>
      </c>
      <c r="C869" s="7" t="s">
        <v>9</v>
      </c>
      <c r="D869" s="7">
        <v>80</v>
      </c>
      <c r="E869" s="8">
        <v>19.100000000000001</v>
      </c>
      <c r="F869" s="9">
        <f t="shared" si="69"/>
        <v>1528</v>
      </c>
    </row>
    <row r="870" spans="1:6" x14ac:dyDescent="0.3">
      <c r="A870" s="5">
        <v>45603</v>
      </c>
      <c r="B870" s="6" t="s">
        <v>28</v>
      </c>
      <c r="C870" s="7" t="s">
        <v>9</v>
      </c>
      <c r="D870" s="7">
        <v>35</v>
      </c>
      <c r="E870" s="8">
        <v>46.2</v>
      </c>
      <c r="F870" s="9">
        <f t="shared" si="69"/>
        <v>1617</v>
      </c>
    </row>
    <row r="871" spans="1:6" x14ac:dyDescent="0.3">
      <c r="A871" s="5">
        <v>45603</v>
      </c>
      <c r="B871" s="6" t="s">
        <v>13</v>
      </c>
      <c r="C871" s="7" t="s">
        <v>7</v>
      </c>
      <c r="D871" s="7">
        <v>125</v>
      </c>
      <c r="E871" s="8">
        <v>15.8</v>
      </c>
      <c r="F871" s="9">
        <f t="shared" si="69"/>
        <v>1975</v>
      </c>
    </row>
    <row r="872" spans="1:6" x14ac:dyDescent="0.3">
      <c r="A872" s="5">
        <v>45603</v>
      </c>
      <c r="B872" s="6" t="s">
        <v>12</v>
      </c>
      <c r="C872" s="7" t="s">
        <v>9</v>
      </c>
      <c r="D872" s="7">
        <v>17</v>
      </c>
      <c r="E872" s="8">
        <v>90</v>
      </c>
      <c r="F872" s="9">
        <f t="shared" si="69"/>
        <v>1530</v>
      </c>
    </row>
    <row r="873" spans="1:6" x14ac:dyDescent="0.3">
      <c r="A873" s="5"/>
      <c r="B873" s="6" t="s">
        <v>379</v>
      </c>
      <c r="C873" s="7" t="s">
        <v>9</v>
      </c>
      <c r="D873" s="7">
        <v>25</v>
      </c>
      <c r="E873" s="8">
        <v>70</v>
      </c>
      <c r="F873" s="9">
        <f t="shared" si="69"/>
        <v>1750</v>
      </c>
    </row>
    <row r="874" spans="1:6" x14ac:dyDescent="0.3">
      <c r="A874" s="5">
        <v>45603</v>
      </c>
      <c r="B874" s="6" t="s">
        <v>154</v>
      </c>
      <c r="C874" s="7" t="s">
        <v>7</v>
      </c>
      <c r="D874" s="7">
        <v>15</v>
      </c>
      <c r="E874" s="8">
        <v>135</v>
      </c>
      <c r="F874" s="9">
        <f t="shared" si="69"/>
        <v>2025</v>
      </c>
    </row>
    <row r="875" spans="1:6" x14ac:dyDescent="0.3">
      <c r="A875" s="5">
        <v>45603</v>
      </c>
      <c r="B875" s="6" t="s">
        <v>379</v>
      </c>
      <c r="C875" s="7" t="s">
        <v>9</v>
      </c>
      <c r="D875" s="7">
        <v>15</v>
      </c>
      <c r="E875" s="8">
        <v>71.3</v>
      </c>
      <c r="F875" s="9">
        <f t="shared" si="69"/>
        <v>1069.5</v>
      </c>
    </row>
    <row r="876" spans="1:6" x14ac:dyDescent="0.3">
      <c r="A876" s="5">
        <v>45603</v>
      </c>
      <c r="B876" s="6" t="s">
        <v>529</v>
      </c>
      <c r="C876" s="7" t="s">
        <v>9</v>
      </c>
      <c r="D876" s="7">
        <v>25</v>
      </c>
      <c r="E876" s="8">
        <v>47.14</v>
      </c>
      <c r="F876" s="9">
        <f t="shared" si="69"/>
        <v>1178.5</v>
      </c>
    </row>
    <row r="877" spans="1:6" x14ac:dyDescent="0.3">
      <c r="A877" s="5">
        <v>45603</v>
      </c>
      <c r="B877" s="6" t="s">
        <v>20</v>
      </c>
      <c r="C877" s="7" t="s">
        <v>7</v>
      </c>
      <c r="D877" s="7">
        <v>150</v>
      </c>
      <c r="E877" s="8">
        <v>13.5</v>
      </c>
      <c r="F877" s="9">
        <f t="shared" si="69"/>
        <v>2025</v>
      </c>
    </row>
    <row r="878" spans="1:6" x14ac:dyDescent="0.3">
      <c r="A878" s="5">
        <v>45603</v>
      </c>
      <c r="B878" s="6" t="s">
        <v>128</v>
      </c>
      <c r="C878" s="7" t="s">
        <v>7</v>
      </c>
      <c r="D878" s="7">
        <v>125</v>
      </c>
      <c r="E878" s="8">
        <v>17.100000000000001</v>
      </c>
      <c r="F878" s="9">
        <f t="shared" si="69"/>
        <v>2137.5</v>
      </c>
    </row>
    <row r="879" spans="1:6" x14ac:dyDescent="0.3">
      <c r="A879" s="5">
        <v>45603</v>
      </c>
      <c r="B879" s="6" t="s">
        <v>352</v>
      </c>
      <c r="C879" s="7" t="s">
        <v>7</v>
      </c>
      <c r="D879" s="7">
        <v>250</v>
      </c>
      <c r="E879" s="8">
        <v>5.54</v>
      </c>
      <c r="F879" s="9">
        <f t="shared" si="69"/>
        <v>1385</v>
      </c>
    </row>
    <row r="880" spans="1:6" x14ac:dyDescent="0.3">
      <c r="A880" s="5">
        <v>45603</v>
      </c>
      <c r="B880" s="6" t="s">
        <v>154</v>
      </c>
      <c r="C880" s="7" t="s">
        <v>7</v>
      </c>
      <c r="D880" s="7">
        <v>15</v>
      </c>
      <c r="E880" s="8">
        <v>129</v>
      </c>
      <c r="F880" s="9">
        <f t="shared" si="69"/>
        <v>1935</v>
      </c>
    </row>
    <row r="881" spans="1:6" x14ac:dyDescent="0.3">
      <c r="A881" s="10">
        <v>45604</v>
      </c>
      <c r="B881" s="11" t="s">
        <v>89</v>
      </c>
      <c r="C881" s="12" t="s">
        <v>9</v>
      </c>
      <c r="D881" s="12">
        <v>125</v>
      </c>
      <c r="E881" s="13">
        <v>7.56</v>
      </c>
      <c r="F881" s="14">
        <f t="shared" ref="F881:F895" si="70">+E881*D881</f>
        <v>945</v>
      </c>
    </row>
    <row r="882" spans="1:6" x14ac:dyDescent="0.3">
      <c r="A882" s="5">
        <v>45604</v>
      </c>
      <c r="B882" s="6" t="s">
        <v>525</v>
      </c>
      <c r="C882" s="12" t="s">
        <v>9</v>
      </c>
      <c r="D882" s="7">
        <v>20</v>
      </c>
      <c r="E882" s="8">
        <v>21</v>
      </c>
      <c r="F882" s="9">
        <f t="shared" si="70"/>
        <v>420</v>
      </c>
    </row>
    <row r="883" spans="1:6" x14ac:dyDescent="0.3">
      <c r="A883" s="5">
        <v>45604</v>
      </c>
      <c r="B883" s="6" t="s">
        <v>6</v>
      </c>
      <c r="C883" s="7" t="s">
        <v>9</v>
      </c>
      <c r="D883" s="7">
        <v>35</v>
      </c>
      <c r="E883" s="8">
        <v>45.22</v>
      </c>
      <c r="F883" s="9">
        <f t="shared" si="70"/>
        <v>1582.7</v>
      </c>
    </row>
    <row r="884" spans="1:6" x14ac:dyDescent="0.3">
      <c r="A884" s="5">
        <v>45604</v>
      </c>
      <c r="B884" s="6" t="s">
        <v>10</v>
      </c>
      <c r="C884" s="7" t="s">
        <v>9</v>
      </c>
      <c r="D884" s="7">
        <v>25</v>
      </c>
      <c r="E884" s="8">
        <v>60.9</v>
      </c>
      <c r="F884" s="9">
        <f t="shared" si="70"/>
        <v>1522.5</v>
      </c>
    </row>
    <row r="885" spans="1:6" x14ac:dyDescent="0.3">
      <c r="A885" s="5">
        <v>45604</v>
      </c>
      <c r="B885" s="6" t="s">
        <v>154</v>
      </c>
      <c r="C885" s="7" t="s">
        <v>9</v>
      </c>
      <c r="D885" s="7">
        <v>10</v>
      </c>
      <c r="E885" s="8">
        <v>135</v>
      </c>
      <c r="F885" s="9">
        <f t="shared" si="70"/>
        <v>1350</v>
      </c>
    </row>
    <row r="886" spans="1:6" x14ac:dyDescent="0.3">
      <c r="A886" s="5"/>
      <c r="B886" s="6" t="s">
        <v>220</v>
      </c>
      <c r="C886" s="7" t="s">
        <v>9</v>
      </c>
      <c r="D886" s="7">
        <v>30</v>
      </c>
      <c r="E886" s="8">
        <v>50</v>
      </c>
      <c r="F886" s="9">
        <f t="shared" si="70"/>
        <v>1500</v>
      </c>
    </row>
    <row r="887" spans="1:6" x14ac:dyDescent="0.3">
      <c r="A887" s="5">
        <v>45604</v>
      </c>
      <c r="B887" s="6" t="s">
        <v>28</v>
      </c>
      <c r="C887" s="7" t="s">
        <v>9</v>
      </c>
      <c r="D887" s="7">
        <v>30</v>
      </c>
      <c r="E887" s="8">
        <v>48.52</v>
      </c>
      <c r="F887" s="9">
        <f t="shared" si="70"/>
        <v>1455.6000000000001</v>
      </c>
    </row>
    <row r="888" spans="1:6" x14ac:dyDescent="0.3">
      <c r="A888" s="5">
        <v>45604</v>
      </c>
      <c r="B888" s="6" t="s">
        <v>404</v>
      </c>
      <c r="C888" s="7" t="s">
        <v>9</v>
      </c>
      <c r="D888" s="7">
        <v>35</v>
      </c>
      <c r="E888" s="8">
        <v>46.2</v>
      </c>
      <c r="F888" s="9">
        <f t="shared" si="70"/>
        <v>1617</v>
      </c>
    </row>
    <row r="889" spans="1:6" x14ac:dyDescent="0.3">
      <c r="A889" s="5">
        <v>45604</v>
      </c>
      <c r="B889" s="6" t="s">
        <v>43</v>
      </c>
      <c r="C889" s="7" t="s">
        <v>9</v>
      </c>
      <c r="D889" s="7">
        <v>8</v>
      </c>
      <c r="E889" s="8">
        <v>194.3</v>
      </c>
      <c r="F889" s="9">
        <f t="shared" si="70"/>
        <v>1554.4</v>
      </c>
    </row>
    <row r="890" spans="1:6" x14ac:dyDescent="0.3">
      <c r="A890" s="5">
        <v>45604</v>
      </c>
      <c r="B890" s="6" t="s">
        <v>220</v>
      </c>
      <c r="C890" s="7" t="s">
        <v>9</v>
      </c>
      <c r="D890" s="7">
        <v>45</v>
      </c>
      <c r="E890" s="8">
        <v>50.6</v>
      </c>
      <c r="F890" s="9">
        <f t="shared" si="70"/>
        <v>2277</v>
      </c>
    </row>
    <row r="891" spans="1:6" x14ac:dyDescent="0.3">
      <c r="A891" s="5">
        <v>45604</v>
      </c>
      <c r="B891" s="6" t="s">
        <v>18</v>
      </c>
      <c r="C891" s="7" t="s">
        <v>9</v>
      </c>
      <c r="D891" s="7">
        <v>5</v>
      </c>
      <c r="E891" s="8">
        <v>215</v>
      </c>
      <c r="F891" s="9">
        <f t="shared" si="70"/>
        <v>1075</v>
      </c>
    </row>
    <row r="892" spans="1:6" x14ac:dyDescent="0.3">
      <c r="A892" s="5">
        <v>45604</v>
      </c>
      <c r="B892" s="6" t="s">
        <v>12</v>
      </c>
      <c r="C892" s="7" t="s">
        <v>9</v>
      </c>
      <c r="D892" s="7">
        <v>25</v>
      </c>
      <c r="E892" s="8">
        <v>91.5</v>
      </c>
      <c r="F892" s="9">
        <f t="shared" si="70"/>
        <v>2287.5</v>
      </c>
    </row>
    <row r="893" spans="1:6" x14ac:dyDescent="0.3">
      <c r="A893" s="5">
        <v>45604</v>
      </c>
      <c r="B893" s="6" t="s">
        <v>13</v>
      </c>
      <c r="C893" s="7" t="s">
        <v>9</v>
      </c>
      <c r="D893" s="7">
        <v>65</v>
      </c>
      <c r="E893" s="8">
        <v>16.2</v>
      </c>
      <c r="F893" s="9">
        <f t="shared" si="70"/>
        <v>1053</v>
      </c>
    </row>
    <row r="894" spans="1:6" x14ac:dyDescent="0.3">
      <c r="A894" s="5">
        <v>45604</v>
      </c>
      <c r="B894" s="6" t="s">
        <v>34</v>
      </c>
      <c r="C894" s="7" t="s">
        <v>9</v>
      </c>
      <c r="D894" s="7">
        <v>50</v>
      </c>
      <c r="E894" s="8">
        <v>39.5</v>
      </c>
      <c r="F894" s="9">
        <f t="shared" si="70"/>
        <v>1975</v>
      </c>
    </row>
    <row r="895" spans="1:6" x14ac:dyDescent="0.3">
      <c r="A895" s="5">
        <v>45604</v>
      </c>
      <c r="B895" s="6" t="s">
        <v>41</v>
      </c>
      <c r="C895" s="7" t="s">
        <v>9</v>
      </c>
      <c r="D895" s="7">
        <v>10</v>
      </c>
      <c r="E895" s="8">
        <v>147</v>
      </c>
      <c r="F895" s="9">
        <f t="shared" si="70"/>
        <v>1470</v>
      </c>
    </row>
    <row r="896" spans="1:6" x14ac:dyDescent="0.3">
      <c r="A896" s="10"/>
      <c r="B896" s="11" t="s">
        <v>20</v>
      </c>
      <c r="C896" s="12" t="s">
        <v>9</v>
      </c>
      <c r="D896" s="12">
        <v>150</v>
      </c>
      <c r="E896" s="13">
        <v>13.74</v>
      </c>
      <c r="F896" s="14">
        <f t="shared" ref="F896:F907" si="71">+E896*D896</f>
        <v>2061</v>
      </c>
    </row>
    <row r="897" spans="1:6" x14ac:dyDescent="0.3">
      <c r="A897" s="5">
        <v>45607</v>
      </c>
      <c r="B897" s="6" t="s">
        <v>23</v>
      </c>
      <c r="C897" s="7" t="s">
        <v>9</v>
      </c>
      <c r="D897" s="7">
        <v>1</v>
      </c>
      <c r="E897" s="8">
        <v>1065</v>
      </c>
      <c r="F897" s="9">
        <f t="shared" si="71"/>
        <v>1065</v>
      </c>
    </row>
    <row r="898" spans="1:6" x14ac:dyDescent="0.3">
      <c r="A898" s="5">
        <v>45607</v>
      </c>
      <c r="B898" s="6" t="s">
        <v>20</v>
      </c>
      <c r="C898" s="7" t="s">
        <v>9</v>
      </c>
      <c r="D898" s="7">
        <v>110</v>
      </c>
      <c r="E898" s="8">
        <v>14</v>
      </c>
      <c r="F898" s="9">
        <f t="shared" si="71"/>
        <v>1540</v>
      </c>
    </row>
    <row r="899" spans="1:6" x14ac:dyDescent="0.3">
      <c r="A899" s="5">
        <v>45607</v>
      </c>
      <c r="B899" s="6" t="s">
        <v>319</v>
      </c>
      <c r="C899" s="7" t="s">
        <v>9</v>
      </c>
      <c r="D899" s="7">
        <v>50</v>
      </c>
      <c r="E899" s="8">
        <v>28.68</v>
      </c>
      <c r="F899" s="9">
        <f t="shared" si="71"/>
        <v>1434</v>
      </c>
    </row>
    <row r="900" spans="1:6" x14ac:dyDescent="0.3">
      <c r="A900" s="5">
        <v>45607</v>
      </c>
      <c r="B900" s="6" t="s">
        <v>206</v>
      </c>
      <c r="C900" s="7" t="s">
        <v>9</v>
      </c>
      <c r="D900" s="7">
        <v>150</v>
      </c>
      <c r="E900" s="8">
        <v>10.5</v>
      </c>
      <c r="F900" s="9">
        <f t="shared" si="71"/>
        <v>1575</v>
      </c>
    </row>
    <row r="901" spans="1:6" x14ac:dyDescent="0.3">
      <c r="A901" s="5">
        <v>45607</v>
      </c>
      <c r="B901" s="6" t="s">
        <v>352</v>
      </c>
      <c r="C901" s="7" t="s">
        <v>9</v>
      </c>
      <c r="D901" s="7">
        <v>250</v>
      </c>
      <c r="E901" s="8">
        <v>6.1</v>
      </c>
      <c r="F901" s="9">
        <f t="shared" si="71"/>
        <v>1525</v>
      </c>
    </row>
    <row r="902" spans="1:6" x14ac:dyDescent="0.3">
      <c r="A902" s="5">
        <v>45607</v>
      </c>
      <c r="B902" s="6" t="s">
        <v>53</v>
      </c>
      <c r="C902" s="7" t="s">
        <v>9</v>
      </c>
      <c r="D902" s="7">
        <v>235</v>
      </c>
      <c r="E902" s="8">
        <v>6.51</v>
      </c>
      <c r="F902" s="9">
        <f t="shared" si="71"/>
        <v>1529.85</v>
      </c>
    </row>
    <row r="903" spans="1:6" x14ac:dyDescent="0.3">
      <c r="A903" s="5">
        <v>45607</v>
      </c>
      <c r="B903" s="6" t="s">
        <v>46</v>
      </c>
      <c r="C903" s="7" t="s">
        <v>9</v>
      </c>
      <c r="D903" s="7">
        <v>5</v>
      </c>
      <c r="E903" s="8">
        <v>245</v>
      </c>
      <c r="F903" s="9">
        <f t="shared" si="71"/>
        <v>1225</v>
      </c>
    </row>
    <row r="904" spans="1:6" x14ac:dyDescent="0.3">
      <c r="A904" s="5">
        <v>45607</v>
      </c>
      <c r="B904" s="6" t="s">
        <v>151</v>
      </c>
      <c r="C904" s="7" t="s">
        <v>9</v>
      </c>
      <c r="D904" s="7">
        <v>2</v>
      </c>
      <c r="E904" s="8">
        <v>500</v>
      </c>
      <c r="F904" s="9">
        <f t="shared" si="71"/>
        <v>1000</v>
      </c>
    </row>
    <row r="905" spans="1:6" x14ac:dyDescent="0.3">
      <c r="A905" s="5">
        <v>45607</v>
      </c>
      <c r="B905" s="6" t="s">
        <v>43</v>
      </c>
      <c r="C905" s="7" t="s">
        <v>9</v>
      </c>
      <c r="D905" s="7">
        <v>7</v>
      </c>
      <c r="E905" s="8">
        <v>204.1</v>
      </c>
      <c r="F905" s="9">
        <f t="shared" si="71"/>
        <v>1428.7</v>
      </c>
    </row>
    <row r="906" spans="1:6" x14ac:dyDescent="0.3">
      <c r="A906" s="5">
        <v>45607</v>
      </c>
      <c r="B906" s="6" t="s">
        <v>415</v>
      </c>
      <c r="C906" s="7" t="s">
        <v>7</v>
      </c>
      <c r="D906" s="7">
        <v>70</v>
      </c>
      <c r="E906" s="8">
        <v>30.7</v>
      </c>
      <c r="F906" s="9">
        <f t="shared" si="71"/>
        <v>2149</v>
      </c>
    </row>
    <row r="907" spans="1:6" x14ac:dyDescent="0.3">
      <c r="A907" s="5">
        <v>45607</v>
      </c>
      <c r="B907" s="6" t="s">
        <v>550</v>
      </c>
      <c r="C907" s="7" t="s">
        <v>7</v>
      </c>
      <c r="D907" s="7">
        <v>35</v>
      </c>
      <c r="E907" s="8">
        <v>58.3</v>
      </c>
      <c r="F907" s="9">
        <f t="shared" si="71"/>
        <v>2040.5</v>
      </c>
    </row>
    <row r="908" spans="1:6" x14ac:dyDescent="0.3">
      <c r="A908" s="10">
        <v>45608</v>
      </c>
      <c r="B908" s="11" t="s">
        <v>18</v>
      </c>
      <c r="C908" s="12" t="s">
        <v>9</v>
      </c>
      <c r="D908" s="12">
        <v>45</v>
      </c>
      <c r="E908" s="13">
        <v>209.5</v>
      </c>
      <c r="F908" s="14">
        <f t="shared" ref="F908:F915" si="72">+E908*D908</f>
        <v>9427.5</v>
      </c>
    </row>
    <row r="909" spans="1:6" x14ac:dyDescent="0.3">
      <c r="A909" s="5">
        <v>45608</v>
      </c>
      <c r="B909" s="6" t="s">
        <v>53</v>
      </c>
      <c r="C909" s="7" t="s">
        <v>9</v>
      </c>
      <c r="D909" s="7">
        <v>225</v>
      </c>
      <c r="E909" s="8">
        <v>6.84</v>
      </c>
      <c r="F909" s="9">
        <f t="shared" si="72"/>
        <v>1539</v>
      </c>
    </row>
    <row r="910" spans="1:6" x14ac:dyDescent="0.3">
      <c r="A910" s="5">
        <v>45608</v>
      </c>
      <c r="B910" s="6" t="s">
        <v>26</v>
      </c>
      <c r="C910" s="7" t="s">
        <v>9</v>
      </c>
      <c r="D910" s="7">
        <v>17</v>
      </c>
      <c r="E910" s="8">
        <v>88.2</v>
      </c>
      <c r="F910" s="9">
        <f t="shared" si="72"/>
        <v>1499.4</v>
      </c>
    </row>
    <row r="911" spans="1:6" x14ac:dyDescent="0.3">
      <c r="A911" s="5">
        <v>45608</v>
      </c>
      <c r="B911" s="6" t="s">
        <v>10</v>
      </c>
      <c r="C911" s="7" t="s">
        <v>7</v>
      </c>
      <c r="D911" s="7">
        <v>35</v>
      </c>
      <c r="E911" s="8">
        <v>55.55</v>
      </c>
      <c r="F911" s="9">
        <f t="shared" si="72"/>
        <v>1944.25</v>
      </c>
    </row>
    <row r="912" spans="1:6" x14ac:dyDescent="0.3">
      <c r="A912" s="5">
        <v>45608</v>
      </c>
      <c r="B912" s="6" t="s">
        <v>379</v>
      </c>
      <c r="C912" s="7" t="s">
        <v>7</v>
      </c>
      <c r="D912" s="7">
        <v>30</v>
      </c>
      <c r="E912" s="8">
        <v>64.2</v>
      </c>
      <c r="F912" s="9">
        <f t="shared" si="72"/>
        <v>1926</v>
      </c>
    </row>
    <row r="913" spans="1:6" x14ac:dyDescent="0.3">
      <c r="A913" s="5">
        <v>45608</v>
      </c>
      <c r="B913" s="6" t="s">
        <v>206</v>
      </c>
      <c r="C913" s="7" t="s">
        <v>9</v>
      </c>
      <c r="D913" s="7">
        <v>140</v>
      </c>
      <c r="E913" s="8">
        <v>11.03</v>
      </c>
      <c r="F913" s="9">
        <f t="shared" si="72"/>
        <v>1544.1999999999998</v>
      </c>
    </row>
    <row r="914" spans="1:6" x14ac:dyDescent="0.3">
      <c r="A914" s="5">
        <v>45608</v>
      </c>
      <c r="B914" s="6" t="s">
        <v>43</v>
      </c>
      <c r="C914" s="7" t="s">
        <v>9</v>
      </c>
      <c r="D914" s="7">
        <v>7</v>
      </c>
      <c r="E914" s="8">
        <v>214.4</v>
      </c>
      <c r="F914" s="9">
        <f t="shared" si="72"/>
        <v>1500.8</v>
      </c>
    </row>
    <row r="915" spans="1:6" x14ac:dyDescent="0.3">
      <c r="A915" s="5">
        <v>45608</v>
      </c>
      <c r="B915" s="6" t="s">
        <v>128</v>
      </c>
      <c r="C915" s="7" t="s">
        <v>7</v>
      </c>
      <c r="D915" s="7">
        <v>120</v>
      </c>
      <c r="E915" s="8">
        <v>17</v>
      </c>
      <c r="F915" s="9">
        <f t="shared" si="72"/>
        <v>2040</v>
      </c>
    </row>
    <row r="916" spans="1:6" x14ac:dyDescent="0.3">
      <c r="A916" s="10">
        <v>45609</v>
      </c>
      <c r="B916" s="11" t="s">
        <v>6</v>
      </c>
      <c r="C916" s="12" t="s">
        <v>7</v>
      </c>
      <c r="D916" s="12">
        <v>50</v>
      </c>
      <c r="E916" s="13">
        <v>40.020000000000003</v>
      </c>
      <c r="F916" s="14">
        <f t="shared" ref="F916:F927" si="73">+E916*D916</f>
        <v>2001.0000000000002</v>
      </c>
    </row>
    <row r="917" spans="1:6" x14ac:dyDescent="0.3">
      <c r="A917" s="5">
        <v>45609</v>
      </c>
      <c r="B917" s="6" t="s">
        <v>10</v>
      </c>
      <c r="C917" s="7" t="s">
        <v>7</v>
      </c>
      <c r="D917" s="7">
        <v>40</v>
      </c>
      <c r="E917" s="8">
        <v>53.5</v>
      </c>
      <c r="F917" s="9">
        <f t="shared" si="73"/>
        <v>2140</v>
      </c>
    </row>
    <row r="918" spans="1:6" x14ac:dyDescent="0.3">
      <c r="A918" s="5">
        <v>45609</v>
      </c>
      <c r="B918" s="6" t="s">
        <v>37</v>
      </c>
      <c r="C918" s="7" t="s">
        <v>9</v>
      </c>
      <c r="D918" s="7">
        <v>25</v>
      </c>
      <c r="E918" s="8">
        <v>61.05</v>
      </c>
      <c r="F918" s="9">
        <f t="shared" si="73"/>
        <v>1526.25</v>
      </c>
    </row>
    <row r="919" spans="1:6" x14ac:dyDescent="0.3">
      <c r="A919" s="5">
        <v>45609</v>
      </c>
      <c r="B919" s="6" t="s">
        <v>319</v>
      </c>
      <c r="C919" s="7" t="s">
        <v>9</v>
      </c>
      <c r="D919" s="7">
        <v>10</v>
      </c>
      <c r="E919" s="8">
        <v>30.12</v>
      </c>
      <c r="F919" s="9">
        <f t="shared" si="73"/>
        <v>301.2</v>
      </c>
    </row>
    <row r="920" spans="1:6" x14ac:dyDescent="0.3">
      <c r="A920" s="5"/>
      <c r="B920" s="6" t="s">
        <v>128</v>
      </c>
      <c r="C920" s="7" t="s">
        <v>9</v>
      </c>
      <c r="D920" s="7">
        <v>90</v>
      </c>
      <c r="E920" s="8">
        <v>17.5</v>
      </c>
      <c r="F920" s="9">
        <f t="shared" si="73"/>
        <v>1575</v>
      </c>
    </row>
    <row r="921" spans="1:6" x14ac:dyDescent="0.3">
      <c r="A921" s="5"/>
      <c r="B921" s="6" t="s">
        <v>128</v>
      </c>
      <c r="C921" s="7" t="s">
        <v>9</v>
      </c>
      <c r="D921" s="7">
        <v>80</v>
      </c>
      <c r="E921" s="8">
        <v>18.2</v>
      </c>
      <c r="F921" s="9">
        <f t="shared" si="73"/>
        <v>1456</v>
      </c>
    </row>
    <row r="922" spans="1:6" x14ac:dyDescent="0.3">
      <c r="A922" s="5">
        <v>45609</v>
      </c>
      <c r="B922" s="6" t="s">
        <v>128</v>
      </c>
      <c r="C922" s="7" t="s">
        <v>9</v>
      </c>
      <c r="D922" s="7">
        <v>85</v>
      </c>
      <c r="E922" s="8">
        <v>18.59</v>
      </c>
      <c r="F922" s="9">
        <f t="shared" si="73"/>
        <v>1580.15</v>
      </c>
    </row>
    <row r="923" spans="1:6" x14ac:dyDescent="0.3">
      <c r="A923" s="5">
        <v>45609</v>
      </c>
      <c r="B923" s="6" t="s">
        <v>206</v>
      </c>
      <c r="C923" s="7" t="s">
        <v>9</v>
      </c>
      <c r="D923" s="7">
        <v>130</v>
      </c>
      <c r="E923" s="8">
        <v>11.58</v>
      </c>
      <c r="F923" s="9">
        <f t="shared" si="73"/>
        <v>1505.4</v>
      </c>
    </row>
    <row r="924" spans="1:6" x14ac:dyDescent="0.3">
      <c r="A924" s="5">
        <v>45609</v>
      </c>
      <c r="B924" s="6" t="s">
        <v>23</v>
      </c>
      <c r="C924" s="7" t="s">
        <v>9</v>
      </c>
      <c r="D924" s="7">
        <v>1</v>
      </c>
      <c r="E924" s="8">
        <v>1119</v>
      </c>
      <c r="F924" s="9">
        <f t="shared" si="73"/>
        <v>1119</v>
      </c>
    </row>
    <row r="925" spans="1:6" x14ac:dyDescent="0.3">
      <c r="A925" s="5">
        <v>45609</v>
      </c>
      <c r="B925" s="6" t="s">
        <v>379</v>
      </c>
      <c r="C925" s="7" t="s">
        <v>7</v>
      </c>
      <c r="D925" s="7">
        <v>32</v>
      </c>
      <c r="E925" s="8">
        <v>63</v>
      </c>
      <c r="F925" s="9">
        <f t="shared" si="73"/>
        <v>2016</v>
      </c>
    </row>
    <row r="926" spans="1:6" x14ac:dyDescent="0.3">
      <c r="A926" s="5">
        <v>45609</v>
      </c>
      <c r="B926" s="6" t="s">
        <v>132</v>
      </c>
      <c r="C926" s="7" t="s">
        <v>9</v>
      </c>
      <c r="D926" s="7"/>
      <c r="E926" s="8">
        <v>775</v>
      </c>
      <c r="F926" s="9">
        <f t="shared" si="73"/>
        <v>0</v>
      </c>
    </row>
    <row r="927" spans="1:6" x14ac:dyDescent="0.3">
      <c r="A927" s="5">
        <v>45609</v>
      </c>
      <c r="B927" s="6" t="s">
        <v>520</v>
      </c>
      <c r="C927" s="7" t="s">
        <v>9</v>
      </c>
      <c r="D927" s="7"/>
      <c r="E927" s="8">
        <v>105</v>
      </c>
      <c r="F927" s="9">
        <f t="shared" si="73"/>
        <v>0</v>
      </c>
    </row>
    <row r="928" spans="1:6" x14ac:dyDescent="0.3">
      <c r="A928" s="10"/>
      <c r="B928" s="11" t="s">
        <v>128</v>
      </c>
      <c r="C928" s="12" t="s">
        <v>9</v>
      </c>
      <c r="D928" s="12">
        <v>80</v>
      </c>
      <c r="E928" s="13">
        <v>19.52</v>
      </c>
      <c r="F928" s="14">
        <f t="shared" ref="F928:F934" si="74">+E928*D928</f>
        <v>1561.6</v>
      </c>
    </row>
    <row r="929" spans="1:6" x14ac:dyDescent="0.3">
      <c r="A929" s="5">
        <v>45610</v>
      </c>
      <c r="B929" s="6" t="s">
        <v>154</v>
      </c>
      <c r="C929" s="7" t="s">
        <v>9</v>
      </c>
      <c r="D929" s="7">
        <v>11</v>
      </c>
      <c r="E929" s="8">
        <v>142</v>
      </c>
      <c r="F929" s="9">
        <f t="shared" si="74"/>
        <v>1562</v>
      </c>
    </row>
    <row r="930" spans="1:6" x14ac:dyDescent="0.3">
      <c r="A930" s="5">
        <v>45610</v>
      </c>
      <c r="B930" s="6" t="s">
        <v>379</v>
      </c>
      <c r="C930" s="7" t="s">
        <v>9</v>
      </c>
      <c r="D930" s="7">
        <v>24</v>
      </c>
      <c r="E930" s="8">
        <v>65</v>
      </c>
      <c r="F930" s="9">
        <f t="shared" si="74"/>
        <v>1560</v>
      </c>
    </row>
    <row r="931" spans="1:6" x14ac:dyDescent="0.3">
      <c r="A931" s="5">
        <v>45610</v>
      </c>
      <c r="B931" s="6" t="s">
        <v>37</v>
      </c>
      <c r="C931" s="7" t="s">
        <v>9</v>
      </c>
      <c r="D931" s="7">
        <v>25</v>
      </c>
      <c r="E931" s="8">
        <v>64.099999999999994</v>
      </c>
      <c r="F931" s="9">
        <f t="shared" si="74"/>
        <v>1602.4999999999998</v>
      </c>
    </row>
    <row r="932" spans="1:6" x14ac:dyDescent="0.3">
      <c r="A932" s="5">
        <v>45610</v>
      </c>
      <c r="B932" s="6" t="s">
        <v>128</v>
      </c>
      <c r="C932" s="7" t="s">
        <v>9</v>
      </c>
      <c r="D932" s="7">
        <v>85</v>
      </c>
      <c r="E932" s="8">
        <v>20.440000000000001</v>
      </c>
      <c r="F932" s="9">
        <f t="shared" si="74"/>
        <v>1737.4</v>
      </c>
    </row>
    <row r="933" spans="1:6" x14ac:dyDescent="0.3">
      <c r="A933" s="5">
        <v>45610</v>
      </c>
      <c r="B933" s="6" t="s">
        <v>12</v>
      </c>
      <c r="C933" s="7" t="s">
        <v>9</v>
      </c>
      <c r="D933" s="7">
        <v>17</v>
      </c>
      <c r="E933" s="8">
        <v>96.1</v>
      </c>
      <c r="F933" s="9">
        <f t="shared" si="74"/>
        <v>1633.6999999999998</v>
      </c>
    </row>
    <row r="934" spans="1:6" x14ac:dyDescent="0.3">
      <c r="A934" s="5">
        <v>45610</v>
      </c>
      <c r="B934" s="6" t="s">
        <v>456</v>
      </c>
      <c r="C934" s="7" t="s">
        <v>9</v>
      </c>
      <c r="D934" s="7">
        <v>300</v>
      </c>
      <c r="E934" s="8">
        <v>5.83</v>
      </c>
      <c r="F934" s="9">
        <f t="shared" si="74"/>
        <v>1749</v>
      </c>
    </row>
    <row r="935" spans="1:6" x14ac:dyDescent="0.3">
      <c r="A935" s="10">
        <v>45611</v>
      </c>
      <c r="B935" s="11" t="s">
        <v>50</v>
      </c>
      <c r="C935" s="12" t="s">
        <v>9</v>
      </c>
      <c r="D935" s="12">
        <v>85</v>
      </c>
      <c r="E935" s="13">
        <v>17.850000000000001</v>
      </c>
      <c r="F935" s="14">
        <f t="shared" ref="F935:F944" si="75">+E935*D935</f>
        <v>1517.2500000000002</v>
      </c>
    </row>
    <row r="936" spans="1:6" x14ac:dyDescent="0.3">
      <c r="A936" s="5">
        <v>45611</v>
      </c>
      <c r="B936" s="6" t="s">
        <v>43</v>
      </c>
      <c r="C936" s="12" t="s">
        <v>9</v>
      </c>
      <c r="D936" s="7">
        <v>7</v>
      </c>
      <c r="E936" s="8">
        <v>225.2</v>
      </c>
      <c r="F936" s="9">
        <f t="shared" si="75"/>
        <v>1576.3999999999999</v>
      </c>
    </row>
    <row r="937" spans="1:6" x14ac:dyDescent="0.3">
      <c r="A937" s="5">
        <v>45611</v>
      </c>
      <c r="B937" s="6" t="s">
        <v>46</v>
      </c>
      <c r="C937" s="7" t="s">
        <v>9</v>
      </c>
      <c r="D937" s="7">
        <v>5</v>
      </c>
      <c r="E937" s="8">
        <v>260</v>
      </c>
      <c r="F937" s="9">
        <f t="shared" si="75"/>
        <v>1300</v>
      </c>
    </row>
    <row r="938" spans="1:6" x14ac:dyDescent="0.3">
      <c r="A938" s="5">
        <v>45611</v>
      </c>
      <c r="B938" s="6" t="s">
        <v>43</v>
      </c>
      <c r="C938" s="7" t="s">
        <v>7</v>
      </c>
      <c r="D938" s="7">
        <v>5</v>
      </c>
      <c r="E938" s="8">
        <v>220</v>
      </c>
      <c r="F938" s="9">
        <f t="shared" si="75"/>
        <v>1100</v>
      </c>
    </row>
    <row r="939" spans="1:6" x14ac:dyDescent="0.3">
      <c r="A939" s="5">
        <v>45611</v>
      </c>
      <c r="B939" s="6" t="s">
        <v>28</v>
      </c>
      <c r="C939" s="7" t="s">
        <v>9</v>
      </c>
      <c r="D939" s="7">
        <v>30</v>
      </c>
      <c r="E939" s="8">
        <v>50.95</v>
      </c>
      <c r="F939" s="9">
        <f t="shared" si="75"/>
        <v>1528.5</v>
      </c>
    </row>
    <row r="940" spans="1:6" x14ac:dyDescent="0.3">
      <c r="A940" s="10">
        <v>45614</v>
      </c>
      <c r="B940" s="11" t="s">
        <v>128</v>
      </c>
      <c r="C940" s="12" t="s">
        <v>7</v>
      </c>
      <c r="D940" s="12">
        <v>110</v>
      </c>
      <c r="E940" s="13">
        <v>17.8</v>
      </c>
      <c r="F940" s="14">
        <f t="shared" si="75"/>
        <v>1958</v>
      </c>
    </row>
    <row r="941" spans="1:6" x14ac:dyDescent="0.3">
      <c r="A941" s="5">
        <v>45614</v>
      </c>
      <c r="B941" s="6" t="s">
        <v>415</v>
      </c>
      <c r="C941" s="7" t="s">
        <v>9</v>
      </c>
      <c r="D941" s="7">
        <v>50</v>
      </c>
      <c r="E941" s="8">
        <v>32.5</v>
      </c>
      <c r="F941" s="9">
        <f t="shared" si="75"/>
        <v>1625</v>
      </c>
    </row>
    <row r="942" spans="1:6" x14ac:dyDescent="0.3">
      <c r="A942" s="5">
        <v>45614</v>
      </c>
      <c r="B942" s="6" t="s">
        <v>383</v>
      </c>
      <c r="C942" s="7" t="s">
        <v>9</v>
      </c>
      <c r="D942" s="7">
        <v>600</v>
      </c>
      <c r="E942" s="8">
        <v>2.59</v>
      </c>
      <c r="F942" s="9">
        <f t="shared" si="75"/>
        <v>1554</v>
      </c>
    </row>
    <row r="943" spans="1:6" x14ac:dyDescent="0.3">
      <c r="A943" s="5">
        <v>45614</v>
      </c>
      <c r="B943" s="6" t="s">
        <v>37</v>
      </c>
      <c r="C943" s="7" t="s">
        <v>9</v>
      </c>
      <c r="D943" s="7">
        <v>23</v>
      </c>
      <c r="E943" s="8">
        <v>67.349999999999994</v>
      </c>
      <c r="F943" s="9">
        <f t="shared" si="75"/>
        <v>1549.05</v>
      </c>
    </row>
    <row r="944" spans="1:6" x14ac:dyDescent="0.3">
      <c r="A944" s="5">
        <v>45614</v>
      </c>
      <c r="B944" s="6" t="s">
        <v>219</v>
      </c>
      <c r="C944" s="7" t="s">
        <v>9</v>
      </c>
      <c r="D944" s="7">
        <v>60</v>
      </c>
      <c r="E944" s="8">
        <v>96.1</v>
      </c>
      <c r="F944" s="9">
        <f t="shared" si="75"/>
        <v>5766</v>
      </c>
    </row>
    <row r="945" spans="1:6" x14ac:dyDescent="0.3">
      <c r="A945" s="10">
        <v>45615</v>
      </c>
      <c r="B945" s="11" t="s">
        <v>301</v>
      </c>
      <c r="C945" s="12" t="s">
        <v>9</v>
      </c>
      <c r="D945" s="12">
        <v>40</v>
      </c>
      <c r="E945" s="13">
        <v>37.92</v>
      </c>
      <c r="F945" s="14">
        <f t="shared" ref="F945:F950" si="76">+E945*D945</f>
        <v>1516.8000000000002</v>
      </c>
    </row>
    <row r="946" spans="1:6" x14ac:dyDescent="0.3">
      <c r="A946" s="5">
        <v>45615</v>
      </c>
      <c r="B946" s="6" t="s">
        <v>426</v>
      </c>
      <c r="C946" s="7" t="s">
        <v>9</v>
      </c>
      <c r="D946" s="7">
        <v>30</v>
      </c>
      <c r="E946" s="8">
        <v>66</v>
      </c>
      <c r="F946" s="9">
        <f t="shared" si="76"/>
        <v>1980</v>
      </c>
    </row>
    <row r="947" spans="1:6" x14ac:dyDescent="0.3">
      <c r="A947" s="5">
        <v>45615</v>
      </c>
      <c r="B947" s="6" t="s">
        <v>520</v>
      </c>
      <c r="C947" s="7" t="s">
        <v>7</v>
      </c>
      <c r="D947" s="7">
        <v>22</v>
      </c>
      <c r="E947" s="8">
        <v>94.5</v>
      </c>
      <c r="F947" s="9">
        <f t="shared" si="76"/>
        <v>2079</v>
      </c>
    </row>
    <row r="948" spans="1:6" x14ac:dyDescent="0.3">
      <c r="A948" s="5">
        <v>45615</v>
      </c>
      <c r="B948" s="6" t="s">
        <v>383</v>
      </c>
      <c r="C948" s="7" t="s">
        <v>9</v>
      </c>
      <c r="D948" s="7">
        <v>550</v>
      </c>
      <c r="E948" s="8">
        <v>2.81</v>
      </c>
      <c r="F948" s="9">
        <f t="shared" si="76"/>
        <v>1545.5</v>
      </c>
    </row>
    <row r="949" spans="1:6" x14ac:dyDescent="0.3">
      <c r="A949" s="5">
        <v>45615</v>
      </c>
      <c r="B949" s="6" t="s">
        <v>43</v>
      </c>
      <c r="C949" s="7" t="s">
        <v>7</v>
      </c>
      <c r="D949" s="7">
        <v>9</v>
      </c>
      <c r="E949" s="8">
        <v>200</v>
      </c>
      <c r="F949" s="9">
        <f t="shared" si="76"/>
        <v>1800</v>
      </c>
    </row>
    <row r="950" spans="1:6" x14ac:dyDescent="0.3">
      <c r="A950" s="5">
        <v>45615</v>
      </c>
      <c r="B950" s="6" t="s">
        <v>6</v>
      </c>
      <c r="C950" s="7" t="s">
        <v>7</v>
      </c>
      <c r="D950" s="7">
        <v>50</v>
      </c>
      <c r="E950" s="8">
        <v>38</v>
      </c>
      <c r="F950" s="9">
        <f t="shared" si="76"/>
        <v>1900</v>
      </c>
    </row>
    <row r="951" spans="1:6" x14ac:dyDescent="0.3">
      <c r="A951" s="10">
        <v>45616</v>
      </c>
      <c r="B951" s="11" t="s">
        <v>383</v>
      </c>
      <c r="C951" s="12" t="s">
        <v>9</v>
      </c>
      <c r="D951" s="12">
        <v>500</v>
      </c>
      <c r="E951" s="13">
        <v>3.22</v>
      </c>
      <c r="F951" s="14">
        <f t="shared" ref="F951:F958" si="77">+E951*D951</f>
        <v>1610</v>
      </c>
    </row>
    <row r="952" spans="1:6" x14ac:dyDescent="0.3">
      <c r="A952" s="5">
        <v>45616</v>
      </c>
      <c r="B952" s="6" t="s">
        <v>415</v>
      </c>
      <c r="C952" s="7" t="s">
        <v>9</v>
      </c>
      <c r="D952" s="7">
        <v>20</v>
      </c>
      <c r="E952" s="8">
        <v>34.200000000000003</v>
      </c>
      <c r="F952" s="9">
        <f t="shared" si="77"/>
        <v>684</v>
      </c>
    </row>
    <row r="953" spans="1:6" x14ac:dyDescent="0.3">
      <c r="A953" s="5">
        <v>45616</v>
      </c>
      <c r="B953" s="6" t="s">
        <v>255</v>
      </c>
      <c r="C953" s="7" t="s">
        <v>9</v>
      </c>
      <c r="D953" s="7">
        <v>350</v>
      </c>
      <c r="E953" s="8">
        <v>10</v>
      </c>
      <c r="F953" s="9">
        <f t="shared" si="77"/>
        <v>3500</v>
      </c>
    </row>
    <row r="954" spans="1:6" x14ac:dyDescent="0.3">
      <c r="A954" s="5">
        <v>45616</v>
      </c>
      <c r="B954" s="6" t="s">
        <v>456</v>
      </c>
      <c r="C954" s="7" t="s">
        <v>7</v>
      </c>
      <c r="D954" s="7">
        <v>350</v>
      </c>
      <c r="E954" s="8">
        <v>5.25</v>
      </c>
      <c r="F954" s="9">
        <f t="shared" si="77"/>
        <v>1837.5</v>
      </c>
    </row>
    <row r="955" spans="1:6" x14ac:dyDescent="0.3">
      <c r="A955" s="5">
        <v>45616</v>
      </c>
      <c r="B955" s="6" t="s">
        <v>23</v>
      </c>
      <c r="C955" s="7" t="s">
        <v>7</v>
      </c>
      <c r="D955" s="7">
        <v>2</v>
      </c>
      <c r="E955" s="8">
        <v>1007</v>
      </c>
      <c r="F955" s="9">
        <f t="shared" si="77"/>
        <v>2014</v>
      </c>
    </row>
    <row r="956" spans="1:6" x14ac:dyDescent="0.3">
      <c r="A956" s="5">
        <v>45616</v>
      </c>
      <c r="B956" s="6" t="s">
        <v>319</v>
      </c>
      <c r="C956" s="7" t="s">
        <v>7</v>
      </c>
      <c r="D956" s="7">
        <v>75</v>
      </c>
      <c r="E956" s="8">
        <v>27.1</v>
      </c>
      <c r="F956" s="9">
        <f t="shared" si="77"/>
        <v>2032.5</v>
      </c>
    </row>
    <row r="957" spans="1:6" x14ac:dyDescent="0.3">
      <c r="A957" s="5">
        <v>45616</v>
      </c>
      <c r="B957" s="6" t="s">
        <v>14</v>
      </c>
      <c r="C957" s="7" t="s">
        <v>7</v>
      </c>
      <c r="D957" s="7">
        <v>13</v>
      </c>
      <c r="E957" s="8">
        <v>119.5</v>
      </c>
      <c r="F957" s="9">
        <f t="shared" si="77"/>
        <v>1553.5</v>
      </c>
    </row>
    <row r="958" spans="1:6" x14ac:dyDescent="0.3">
      <c r="A958" s="5">
        <v>45616</v>
      </c>
      <c r="B958" s="6" t="s">
        <v>10</v>
      </c>
      <c r="C958" s="7" t="s">
        <v>7</v>
      </c>
      <c r="D958" s="7">
        <v>40</v>
      </c>
      <c r="E958" s="8">
        <v>49</v>
      </c>
      <c r="F958" s="9">
        <f t="shared" si="77"/>
        <v>1960</v>
      </c>
    </row>
    <row r="959" spans="1:6" x14ac:dyDescent="0.3">
      <c r="A959" s="10">
        <v>45617</v>
      </c>
      <c r="B959" s="11" t="s">
        <v>128</v>
      </c>
      <c r="C959" s="12" t="s">
        <v>9</v>
      </c>
      <c r="D959" s="12">
        <v>90</v>
      </c>
      <c r="E959" s="13">
        <v>17.670000000000002</v>
      </c>
      <c r="F959" s="14">
        <f t="shared" ref="F959:F967" si="78">+E959*D959</f>
        <v>1590.3000000000002</v>
      </c>
    </row>
    <row r="960" spans="1:6" x14ac:dyDescent="0.3">
      <c r="A960" s="5">
        <v>45617</v>
      </c>
      <c r="B960" s="6" t="s">
        <v>383</v>
      </c>
      <c r="C960" s="7" t="s">
        <v>9</v>
      </c>
      <c r="D960" s="7">
        <v>100</v>
      </c>
      <c r="E960" s="8">
        <v>3.5</v>
      </c>
      <c r="F960" s="9">
        <f t="shared" si="78"/>
        <v>350</v>
      </c>
    </row>
    <row r="961" spans="1:6" x14ac:dyDescent="0.3">
      <c r="A961" s="5">
        <v>45617</v>
      </c>
      <c r="B961" s="6" t="s">
        <v>23</v>
      </c>
      <c r="C961" s="7" t="s">
        <v>7</v>
      </c>
      <c r="D961" s="7">
        <v>2</v>
      </c>
      <c r="E961" s="8">
        <v>990</v>
      </c>
      <c r="F961" s="9">
        <f t="shared" si="78"/>
        <v>1980</v>
      </c>
    </row>
    <row r="962" spans="1:6" x14ac:dyDescent="0.3">
      <c r="A962" s="5">
        <v>45617</v>
      </c>
      <c r="B962" s="6" t="s">
        <v>26</v>
      </c>
      <c r="C962" s="7" t="s">
        <v>7</v>
      </c>
      <c r="D962" s="7">
        <v>19</v>
      </c>
      <c r="E962" s="8">
        <v>79</v>
      </c>
      <c r="F962" s="9">
        <f t="shared" si="78"/>
        <v>1501</v>
      </c>
    </row>
    <row r="963" spans="1:6" x14ac:dyDescent="0.3">
      <c r="A963" s="5">
        <v>45617</v>
      </c>
      <c r="B963" s="6" t="s">
        <v>14</v>
      </c>
      <c r="C963" s="7" t="s">
        <v>9</v>
      </c>
      <c r="D963" s="7">
        <v>12</v>
      </c>
      <c r="E963" s="8">
        <v>125</v>
      </c>
      <c r="F963" s="9">
        <f t="shared" si="78"/>
        <v>1500</v>
      </c>
    </row>
    <row r="964" spans="1:6" x14ac:dyDescent="0.3">
      <c r="A964" s="5">
        <v>45617</v>
      </c>
      <c r="B964" s="6" t="s">
        <v>415</v>
      </c>
      <c r="C964" s="7" t="s">
        <v>7</v>
      </c>
      <c r="D964" s="7">
        <v>50</v>
      </c>
      <c r="E964" s="8">
        <v>30.78</v>
      </c>
      <c r="F964" s="9">
        <f t="shared" si="78"/>
        <v>1539</v>
      </c>
    </row>
    <row r="965" spans="1:6" x14ac:dyDescent="0.3">
      <c r="A965" s="5">
        <v>45617</v>
      </c>
      <c r="B965" s="6" t="s">
        <v>26</v>
      </c>
      <c r="C965" s="7" t="s">
        <v>9</v>
      </c>
      <c r="D965" s="7">
        <v>19</v>
      </c>
      <c r="E965" s="8">
        <v>82</v>
      </c>
      <c r="F965" s="9">
        <f t="shared" si="78"/>
        <v>1558</v>
      </c>
    </row>
    <row r="966" spans="1:6" x14ac:dyDescent="0.3">
      <c r="A966" s="5">
        <v>45617</v>
      </c>
      <c r="B966" s="6" t="s">
        <v>206</v>
      </c>
      <c r="C966" s="7" t="s">
        <v>9</v>
      </c>
      <c r="D966" s="7">
        <v>125</v>
      </c>
      <c r="E966" s="8">
        <v>11.95</v>
      </c>
      <c r="F966" s="9">
        <f t="shared" si="78"/>
        <v>1493.75</v>
      </c>
    </row>
    <row r="967" spans="1:6" x14ac:dyDescent="0.3">
      <c r="A967" s="5">
        <v>45617</v>
      </c>
      <c r="B967" s="6" t="s">
        <v>529</v>
      </c>
      <c r="C967" s="7" t="s">
        <v>9</v>
      </c>
      <c r="D967" s="7">
        <v>35</v>
      </c>
      <c r="E967" s="8">
        <v>46.1</v>
      </c>
      <c r="F967" s="9">
        <f t="shared" si="78"/>
        <v>1613.5</v>
      </c>
    </row>
    <row r="968" spans="1:6" x14ac:dyDescent="0.3">
      <c r="A968" s="10">
        <v>45618</v>
      </c>
      <c r="B968" s="11" t="s">
        <v>456</v>
      </c>
      <c r="C968" s="12" t="s">
        <v>7</v>
      </c>
      <c r="D968" s="12">
        <v>375</v>
      </c>
      <c r="E968" s="13">
        <v>5.25</v>
      </c>
      <c r="F968" s="14">
        <f t="shared" ref="F968:F975" si="79">+E968*D968</f>
        <v>1968.75</v>
      </c>
    </row>
    <row r="969" spans="1:6" x14ac:dyDescent="0.3">
      <c r="A969" s="5">
        <v>45618</v>
      </c>
      <c r="B969" s="6" t="s">
        <v>14</v>
      </c>
      <c r="C969" s="7" t="s">
        <v>9</v>
      </c>
      <c r="D969" s="7">
        <v>12</v>
      </c>
      <c r="E969" s="8">
        <v>131.30000000000001</v>
      </c>
      <c r="F969" s="9">
        <f t="shared" si="79"/>
        <v>1575.6000000000001</v>
      </c>
    </row>
    <row r="970" spans="1:6" x14ac:dyDescent="0.3">
      <c r="A970" s="5">
        <v>45618</v>
      </c>
      <c r="B970" s="6" t="s">
        <v>456</v>
      </c>
      <c r="C970" s="7" t="s">
        <v>9</v>
      </c>
      <c r="D970" s="7">
        <v>300</v>
      </c>
      <c r="E970" s="8">
        <v>5.35</v>
      </c>
      <c r="F970" s="9">
        <f t="shared" si="79"/>
        <v>1605</v>
      </c>
    </row>
    <row r="971" spans="1:6" x14ac:dyDescent="0.3">
      <c r="A971" s="5">
        <v>45618</v>
      </c>
      <c r="B971" s="6" t="s">
        <v>379</v>
      </c>
      <c r="C971" s="7" t="s">
        <v>7</v>
      </c>
      <c r="D971" s="7">
        <v>30</v>
      </c>
      <c r="E971" s="8">
        <v>60</v>
      </c>
      <c r="F971" s="9">
        <f t="shared" si="79"/>
        <v>1800</v>
      </c>
    </row>
    <row r="972" spans="1:6" x14ac:dyDescent="0.3">
      <c r="A972" s="5">
        <v>45618</v>
      </c>
      <c r="B972" s="6" t="s">
        <v>550</v>
      </c>
      <c r="C972" s="7" t="s">
        <v>9</v>
      </c>
      <c r="D972" s="7">
        <v>25</v>
      </c>
      <c r="E972" s="8">
        <v>60.6</v>
      </c>
      <c r="F972" s="9">
        <f t="shared" si="79"/>
        <v>1515</v>
      </c>
    </row>
    <row r="973" spans="1:6" x14ac:dyDescent="0.3">
      <c r="A973" s="10">
        <v>45621</v>
      </c>
      <c r="B973" s="11" t="s">
        <v>525</v>
      </c>
      <c r="C973" s="12" t="s">
        <v>7</v>
      </c>
      <c r="D973" s="12">
        <v>78</v>
      </c>
      <c r="E973" s="13">
        <v>18.899999999999999</v>
      </c>
      <c r="F973" s="14">
        <f t="shared" si="79"/>
        <v>1474.1999999999998</v>
      </c>
    </row>
    <row r="974" spans="1:6" x14ac:dyDescent="0.3">
      <c r="A974" s="10">
        <v>45621</v>
      </c>
      <c r="B974" s="6" t="s">
        <v>550</v>
      </c>
      <c r="C974" s="7" t="s">
        <v>9</v>
      </c>
      <c r="D974" s="7">
        <v>25</v>
      </c>
      <c r="E974" s="8">
        <v>63.65</v>
      </c>
      <c r="F974" s="9">
        <f t="shared" si="79"/>
        <v>1591.25</v>
      </c>
    </row>
    <row r="975" spans="1:6" x14ac:dyDescent="0.3">
      <c r="A975" s="5">
        <v>45621</v>
      </c>
      <c r="B975" s="6" t="s">
        <v>379</v>
      </c>
      <c r="C975" s="7" t="s">
        <v>7</v>
      </c>
      <c r="D975" s="7">
        <v>32</v>
      </c>
      <c r="E975" s="8">
        <v>58</v>
      </c>
      <c r="F975" s="9">
        <f t="shared" si="79"/>
        <v>1856</v>
      </c>
    </row>
    <row r="976" spans="1:6" x14ac:dyDescent="0.3">
      <c r="A976" s="10">
        <v>45622</v>
      </c>
      <c r="B976" s="11" t="s">
        <v>12</v>
      </c>
      <c r="C976" s="12" t="s">
        <v>9</v>
      </c>
      <c r="D976" s="12">
        <v>15</v>
      </c>
      <c r="E976" s="13">
        <v>101</v>
      </c>
      <c r="F976" s="14">
        <f t="shared" ref="F976:F984" si="80">+E976*D976</f>
        <v>1515</v>
      </c>
    </row>
    <row r="977" spans="1:6" x14ac:dyDescent="0.3">
      <c r="A977" s="5">
        <v>45622</v>
      </c>
      <c r="B977" s="6" t="s">
        <v>379</v>
      </c>
      <c r="C977" s="7" t="s">
        <v>7</v>
      </c>
      <c r="D977" s="7">
        <v>35</v>
      </c>
      <c r="E977" s="8">
        <v>54</v>
      </c>
      <c r="F977" s="9">
        <f t="shared" si="80"/>
        <v>1890</v>
      </c>
    </row>
    <row r="978" spans="1:6" x14ac:dyDescent="0.3">
      <c r="A978" s="5">
        <v>45622</v>
      </c>
      <c r="B978" s="6" t="s">
        <v>456</v>
      </c>
      <c r="C978" s="7" t="s">
        <v>9</v>
      </c>
      <c r="D978" s="7">
        <v>275</v>
      </c>
      <c r="E978" s="8">
        <v>5.62</v>
      </c>
      <c r="F978" s="9">
        <f t="shared" si="80"/>
        <v>1545.5</v>
      </c>
    </row>
    <row r="979" spans="1:6" x14ac:dyDescent="0.3">
      <c r="A979" s="10">
        <v>45623</v>
      </c>
      <c r="B979" s="11" t="s">
        <v>379</v>
      </c>
      <c r="C979" s="12" t="s">
        <v>7</v>
      </c>
      <c r="D979" s="12">
        <v>40</v>
      </c>
      <c r="E979" s="13">
        <v>52</v>
      </c>
      <c r="F979" s="14">
        <f t="shared" si="80"/>
        <v>2080</v>
      </c>
    </row>
    <row r="980" spans="1:6" x14ac:dyDescent="0.3">
      <c r="A980" s="5"/>
      <c r="B980" s="11" t="s">
        <v>379</v>
      </c>
      <c r="C980" s="7" t="s">
        <v>9</v>
      </c>
      <c r="D980" s="7">
        <v>30</v>
      </c>
      <c r="E980" s="8">
        <v>55</v>
      </c>
      <c r="F980" s="9">
        <f t="shared" si="80"/>
        <v>1650</v>
      </c>
    </row>
    <row r="981" spans="1:6" x14ac:dyDescent="0.3">
      <c r="A981" s="5">
        <v>45623</v>
      </c>
      <c r="B981" s="11" t="s">
        <v>379</v>
      </c>
      <c r="C981" s="7" t="s">
        <v>9</v>
      </c>
      <c r="D981" s="7">
        <v>27</v>
      </c>
      <c r="E981" s="8">
        <v>57</v>
      </c>
      <c r="F981" s="9">
        <f t="shared" si="80"/>
        <v>1539</v>
      </c>
    </row>
    <row r="982" spans="1:6" x14ac:dyDescent="0.3">
      <c r="A982" s="5">
        <v>45623</v>
      </c>
      <c r="B982" s="6" t="s">
        <v>14</v>
      </c>
      <c r="C982" s="7" t="s">
        <v>9</v>
      </c>
      <c r="D982" s="7">
        <v>8</v>
      </c>
      <c r="E982" s="8">
        <v>128</v>
      </c>
      <c r="F982" s="9">
        <f t="shared" si="80"/>
        <v>1024</v>
      </c>
    </row>
    <row r="983" spans="1:6" x14ac:dyDescent="0.3">
      <c r="A983" s="5">
        <v>45623</v>
      </c>
      <c r="B983" s="6" t="s">
        <v>423</v>
      </c>
      <c r="C983" s="7" t="s">
        <v>9</v>
      </c>
      <c r="D983" s="7">
        <v>200</v>
      </c>
      <c r="E983" s="8">
        <v>7.88</v>
      </c>
      <c r="F983" s="9">
        <f t="shared" si="80"/>
        <v>1576</v>
      </c>
    </row>
    <row r="984" spans="1:6" x14ac:dyDescent="0.3">
      <c r="A984" s="5"/>
      <c r="B984" s="6" t="s">
        <v>220</v>
      </c>
      <c r="C984" s="7" t="s">
        <v>7</v>
      </c>
      <c r="D984" s="7">
        <v>200</v>
      </c>
      <c r="E984" s="8">
        <v>0</v>
      </c>
      <c r="F984" s="9">
        <f t="shared" si="80"/>
        <v>0</v>
      </c>
    </row>
    <row r="985" spans="1:6" x14ac:dyDescent="0.3">
      <c r="A985" s="10">
        <v>45624</v>
      </c>
      <c r="B985" s="11" t="s">
        <v>166</v>
      </c>
      <c r="C985" s="12" t="s">
        <v>7</v>
      </c>
      <c r="D985" s="12">
        <v>10</v>
      </c>
      <c r="E985" s="13">
        <v>39</v>
      </c>
      <c r="F985" s="14">
        <f t="shared" ref="F985:F993" si="81">+E985*D985</f>
        <v>390</v>
      </c>
    </row>
    <row r="986" spans="1:6" x14ac:dyDescent="0.3">
      <c r="A986" s="5">
        <v>45624</v>
      </c>
      <c r="B986" s="6" t="s">
        <v>249</v>
      </c>
      <c r="C986" s="12" t="s">
        <v>7</v>
      </c>
      <c r="D986" s="12">
        <v>10</v>
      </c>
      <c r="E986" s="8">
        <v>48</v>
      </c>
      <c r="F986" s="9">
        <f t="shared" si="81"/>
        <v>480</v>
      </c>
    </row>
    <row r="987" spans="1:6" x14ac:dyDescent="0.3">
      <c r="A987" s="5">
        <v>45624</v>
      </c>
      <c r="B987" s="6" t="s">
        <v>165</v>
      </c>
      <c r="C987" s="12" t="s">
        <v>7</v>
      </c>
      <c r="D987" s="7">
        <v>20</v>
      </c>
      <c r="E987" s="8">
        <v>28.72</v>
      </c>
      <c r="F987" s="9">
        <f t="shared" si="81"/>
        <v>574.4</v>
      </c>
    </row>
    <row r="988" spans="1:6" x14ac:dyDescent="0.3">
      <c r="A988" s="5"/>
      <c r="B988" s="6" t="s">
        <v>220</v>
      </c>
      <c r="C988" s="7" t="s">
        <v>9</v>
      </c>
      <c r="D988" s="7">
        <v>100</v>
      </c>
      <c r="E988" s="8">
        <v>25</v>
      </c>
      <c r="F988" s="9">
        <f t="shared" si="81"/>
        <v>2500</v>
      </c>
    </row>
    <row r="989" spans="1:6" x14ac:dyDescent="0.3">
      <c r="A989" s="5">
        <v>45624</v>
      </c>
      <c r="B989" s="6" t="s">
        <v>14</v>
      </c>
      <c r="C989" s="7" t="s">
        <v>9</v>
      </c>
      <c r="D989" s="7">
        <v>9</v>
      </c>
      <c r="E989" s="8">
        <v>129</v>
      </c>
      <c r="F989" s="9">
        <f t="shared" si="81"/>
        <v>1161</v>
      </c>
    </row>
    <row r="990" spans="1:6" x14ac:dyDescent="0.3">
      <c r="A990" s="5"/>
      <c r="B990" s="6" t="s">
        <v>423</v>
      </c>
      <c r="C990" s="7" t="s">
        <v>9</v>
      </c>
      <c r="D990" s="7">
        <v>100</v>
      </c>
      <c r="E990" s="8">
        <v>8.1</v>
      </c>
      <c r="F990" s="9">
        <f t="shared" si="81"/>
        <v>810</v>
      </c>
    </row>
    <row r="991" spans="1:6" x14ac:dyDescent="0.3">
      <c r="A991" s="5">
        <v>45624</v>
      </c>
      <c r="B991" s="6" t="s">
        <v>546</v>
      </c>
      <c r="C991" s="7" t="s">
        <v>9</v>
      </c>
      <c r="D991" s="7">
        <v>50</v>
      </c>
      <c r="E991" s="8">
        <v>28.06</v>
      </c>
      <c r="F991" s="9">
        <f t="shared" si="81"/>
        <v>1403</v>
      </c>
    </row>
    <row r="992" spans="1:6" x14ac:dyDescent="0.3">
      <c r="A992" s="5">
        <v>45624</v>
      </c>
      <c r="B992" s="6" t="s">
        <v>546</v>
      </c>
      <c r="C992" s="7" t="s">
        <v>7</v>
      </c>
      <c r="D992" s="7">
        <v>75</v>
      </c>
      <c r="E992" s="8">
        <v>26.5</v>
      </c>
      <c r="F992" s="9">
        <f t="shared" si="81"/>
        <v>1987.5</v>
      </c>
    </row>
    <row r="993" spans="1:6" x14ac:dyDescent="0.3">
      <c r="A993" s="5">
        <v>45624</v>
      </c>
      <c r="B993" s="6" t="s">
        <v>181</v>
      </c>
      <c r="C993" s="7" t="s">
        <v>7</v>
      </c>
      <c r="D993" s="7">
        <v>20</v>
      </c>
      <c r="E993" s="8">
        <v>21</v>
      </c>
      <c r="F993" s="9">
        <f t="shared" si="81"/>
        <v>420</v>
      </c>
    </row>
    <row r="994" spans="1:6" x14ac:dyDescent="0.3">
      <c r="A994" s="5">
        <v>45624</v>
      </c>
      <c r="B994" s="6" t="s">
        <v>165</v>
      </c>
      <c r="C994" s="7" t="s">
        <v>7</v>
      </c>
      <c r="D994" s="7">
        <v>40</v>
      </c>
      <c r="E994" s="8">
        <v>28</v>
      </c>
      <c r="F994" s="9">
        <f t="shared" ref="F994:F1008" si="82">+E994*D994</f>
        <v>1120</v>
      </c>
    </row>
    <row r="995" spans="1:6" x14ac:dyDescent="0.3">
      <c r="A995" s="5">
        <v>45624</v>
      </c>
      <c r="B995" s="6" t="s">
        <v>6</v>
      </c>
      <c r="C995" s="7" t="s">
        <v>7</v>
      </c>
      <c r="D995" s="7">
        <v>50</v>
      </c>
      <c r="E995" s="8">
        <v>35.14</v>
      </c>
      <c r="F995" s="9">
        <f t="shared" si="82"/>
        <v>1757</v>
      </c>
    </row>
    <row r="996" spans="1:6" x14ac:dyDescent="0.3">
      <c r="A996" s="5">
        <v>45624</v>
      </c>
      <c r="B996" s="6" t="s">
        <v>26</v>
      </c>
      <c r="C996" s="7" t="s">
        <v>7</v>
      </c>
      <c r="D996" s="7">
        <v>25</v>
      </c>
      <c r="E996" s="8">
        <v>80</v>
      </c>
      <c r="F996" s="9">
        <f t="shared" si="82"/>
        <v>2000</v>
      </c>
    </row>
    <row r="997" spans="1:6" x14ac:dyDescent="0.3">
      <c r="A997" s="5">
        <v>45624</v>
      </c>
      <c r="B997" s="6" t="s">
        <v>383</v>
      </c>
      <c r="C997" s="7" t="s">
        <v>7</v>
      </c>
      <c r="D997" s="7">
        <v>500</v>
      </c>
      <c r="E997" s="8">
        <v>3</v>
      </c>
      <c r="F997" s="9">
        <f t="shared" si="82"/>
        <v>1500</v>
      </c>
    </row>
    <row r="998" spans="1:6" x14ac:dyDescent="0.3">
      <c r="A998" s="5">
        <v>45624</v>
      </c>
      <c r="B998" s="6" t="s">
        <v>28</v>
      </c>
      <c r="C998" s="7" t="s">
        <v>7</v>
      </c>
      <c r="D998" s="7">
        <v>40</v>
      </c>
      <c r="E998" s="8">
        <v>48</v>
      </c>
      <c r="F998" s="9">
        <f t="shared" si="82"/>
        <v>1920</v>
      </c>
    </row>
    <row r="999" spans="1:6" x14ac:dyDescent="0.3">
      <c r="A999" s="5">
        <v>45624</v>
      </c>
      <c r="B999" s="6" t="s">
        <v>220</v>
      </c>
      <c r="C999" s="7" t="s">
        <v>9</v>
      </c>
      <c r="D999" s="7">
        <v>75</v>
      </c>
      <c r="E999" s="8">
        <v>25.2</v>
      </c>
      <c r="F999" s="9">
        <f t="shared" si="82"/>
        <v>1890</v>
      </c>
    </row>
    <row r="1000" spans="1:6" x14ac:dyDescent="0.3">
      <c r="A1000" s="5">
        <v>45624</v>
      </c>
      <c r="B1000" s="6" t="s">
        <v>423</v>
      </c>
      <c r="C1000" s="7" t="s">
        <v>9</v>
      </c>
      <c r="D1000" s="7">
        <v>150</v>
      </c>
      <c r="E1000" s="8">
        <v>8.5</v>
      </c>
      <c r="F1000" s="9">
        <f t="shared" si="82"/>
        <v>1275</v>
      </c>
    </row>
    <row r="1001" spans="1:6" x14ac:dyDescent="0.3">
      <c r="A1001" s="5">
        <v>45624</v>
      </c>
      <c r="B1001" s="6" t="s">
        <v>249</v>
      </c>
      <c r="C1001" s="7" t="s">
        <v>7</v>
      </c>
      <c r="D1001" s="7">
        <v>20</v>
      </c>
      <c r="E1001" s="8">
        <v>46.8</v>
      </c>
      <c r="F1001" s="9">
        <f t="shared" si="82"/>
        <v>936</v>
      </c>
    </row>
    <row r="1002" spans="1:6" x14ac:dyDescent="0.3">
      <c r="A1002" s="5">
        <v>45624</v>
      </c>
      <c r="B1002" s="6" t="s">
        <v>154</v>
      </c>
      <c r="C1002" s="7" t="s">
        <v>9</v>
      </c>
      <c r="D1002" s="7">
        <v>34</v>
      </c>
      <c r="E1002" s="8">
        <v>145</v>
      </c>
      <c r="F1002" s="9">
        <f t="shared" si="82"/>
        <v>4930</v>
      </c>
    </row>
    <row r="1003" spans="1:6" x14ac:dyDescent="0.3">
      <c r="A1003" s="10">
        <v>45625</v>
      </c>
      <c r="B1003" s="11" t="s">
        <v>549</v>
      </c>
      <c r="C1003" s="12" t="s">
        <v>7</v>
      </c>
      <c r="D1003" s="12">
        <v>20</v>
      </c>
      <c r="E1003" s="13">
        <v>16.95</v>
      </c>
      <c r="F1003" s="14">
        <f t="shared" si="82"/>
        <v>339</v>
      </c>
    </row>
    <row r="1004" spans="1:6" x14ac:dyDescent="0.3">
      <c r="A1004" s="5">
        <v>45625</v>
      </c>
      <c r="B1004" s="6" t="s">
        <v>165</v>
      </c>
      <c r="C1004" s="12" t="s">
        <v>7</v>
      </c>
      <c r="D1004" s="7">
        <v>30</v>
      </c>
      <c r="E1004" s="8">
        <v>27.9</v>
      </c>
      <c r="F1004" s="9">
        <f t="shared" si="82"/>
        <v>837</v>
      </c>
    </row>
    <row r="1005" spans="1:6" x14ac:dyDescent="0.3">
      <c r="A1005" s="5">
        <v>45625</v>
      </c>
      <c r="B1005" s="6" t="s">
        <v>444</v>
      </c>
      <c r="C1005" s="7" t="s">
        <v>9</v>
      </c>
      <c r="D1005" s="7">
        <v>75</v>
      </c>
      <c r="E1005" s="8">
        <v>15.1</v>
      </c>
      <c r="F1005" s="9">
        <f t="shared" si="82"/>
        <v>1132.5</v>
      </c>
    </row>
    <row r="1006" spans="1:6" x14ac:dyDescent="0.3">
      <c r="A1006" s="5"/>
      <c r="B1006" s="6" t="s">
        <v>301</v>
      </c>
      <c r="C1006" s="7" t="s">
        <v>9</v>
      </c>
      <c r="D1006" s="7">
        <v>40</v>
      </c>
      <c r="E1006" s="8">
        <v>37.799999999999997</v>
      </c>
      <c r="F1006" s="9">
        <f t="shared" si="82"/>
        <v>1512</v>
      </c>
    </row>
    <row r="1007" spans="1:6" x14ac:dyDescent="0.3">
      <c r="A1007" s="10">
        <v>45625</v>
      </c>
      <c r="B1007" s="6" t="s">
        <v>301</v>
      </c>
      <c r="C1007" s="7" t="s">
        <v>9</v>
      </c>
      <c r="D1007" s="12">
        <v>40</v>
      </c>
      <c r="E1007" s="13">
        <v>38.04</v>
      </c>
      <c r="F1007" s="14">
        <f t="shared" si="82"/>
        <v>1521.6</v>
      </c>
    </row>
    <row r="1008" spans="1:6" x14ac:dyDescent="0.3">
      <c r="A1008" s="5">
        <v>45625</v>
      </c>
      <c r="B1008" s="6" t="s">
        <v>206</v>
      </c>
      <c r="C1008" s="7" t="s">
        <v>9</v>
      </c>
      <c r="D1008" s="7">
        <v>75</v>
      </c>
      <c r="E1008" s="8">
        <v>12.36</v>
      </c>
      <c r="F1008" s="9">
        <f t="shared" si="82"/>
        <v>927</v>
      </c>
    </row>
    <row r="1009" spans="1:6" x14ac:dyDescent="0.3">
      <c r="A1009" s="5">
        <v>45625</v>
      </c>
      <c r="B1009" s="6" t="s">
        <v>46</v>
      </c>
      <c r="C1009" s="7" t="s">
        <v>7</v>
      </c>
      <c r="D1009" s="7">
        <v>1</v>
      </c>
      <c r="E1009" s="8">
        <v>270</v>
      </c>
      <c r="F1009" s="9">
        <f t="shared" ref="F1009:F1018" si="83">+E1009*D1009</f>
        <v>270</v>
      </c>
    </row>
    <row r="1010" spans="1:6" x14ac:dyDescent="0.3">
      <c r="A1010" s="5">
        <v>45625</v>
      </c>
      <c r="B1010" s="6" t="s">
        <v>6</v>
      </c>
      <c r="C1010" s="7" t="s">
        <v>7</v>
      </c>
      <c r="D1010" s="7">
        <v>25</v>
      </c>
      <c r="E1010" s="8">
        <v>34.44</v>
      </c>
      <c r="F1010" s="9">
        <f t="shared" si="83"/>
        <v>861</v>
      </c>
    </row>
    <row r="1011" spans="1:6" x14ac:dyDescent="0.3">
      <c r="A1011" s="10"/>
      <c r="B1011" s="11" t="s">
        <v>404</v>
      </c>
      <c r="C1011" s="12" t="s">
        <v>7</v>
      </c>
      <c r="D1011" s="12">
        <v>22</v>
      </c>
      <c r="E1011" s="13">
        <v>0</v>
      </c>
      <c r="F1011" s="14">
        <f t="shared" si="83"/>
        <v>0</v>
      </c>
    </row>
    <row r="1012" spans="1:6" x14ac:dyDescent="0.3">
      <c r="A1012" s="10"/>
      <c r="B1012" s="11" t="s">
        <v>43</v>
      </c>
      <c r="C1012" s="12" t="s">
        <v>7</v>
      </c>
      <c r="D1012" s="12">
        <v>80</v>
      </c>
      <c r="E1012" s="13">
        <v>0</v>
      </c>
      <c r="F1012" s="14">
        <f t="shared" si="83"/>
        <v>0</v>
      </c>
    </row>
    <row r="1013" spans="1:6" x14ac:dyDescent="0.3">
      <c r="A1013" s="10">
        <v>45625</v>
      </c>
      <c r="B1013" s="11" t="s">
        <v>43</v>
      </c>
      <c r="C1013" s="12" t="s">
        <v>9</v>
      </c>
      <c r="D1013" s="12">
        <v>25</v>
      </c>
      <c r="E1013" s="13">
        <v>56.5</v>
      </c>
      <c r="F1013" s="14">
        <f t="shared" si="83"/>
        <v>1412.5</v>
      </c>
    </row>
    <row r="1014" spans="1:6" x14ac:dyDescent="0.3">
      <c r="A1014" s="5">
        <v>45625</v>
      </c>
      <c r="B1014" s="6" t="s">
        <v>404</v>
      </c>
      <c r="C1014" s="7" t="s">
        <v>7</v>
      </c>
      <c r="D1014" s="7">
        <v>63</v>
      </c>
      <c r="E1014" s="8">
        <v>18.600000000000001</v>
      </c>
      <c r="F1014" s="9">
        <f t="shared" si="83"/>
        <v>1171.8000000000002</v>
      </c>
    </row>
    <row r="1015" spans="1:6" x14ac:dyDescent="0.3">
      <c r="A1015" s="5">
        <v>45625</v>
      </c>
      <c r="B1015" s="6" t="s">
        <v>550</v>
      </c>
      <c r="C1015" s="7" t="s">
        <v>9</v>
      </c>
      <c r="D1015" s="7">
        <v>20</v>
      </c>
      <c r="E1015" s="8">
        <v>63.8</v>
      </c>
      <c r="F1015" s="9">
        <f t="shared" si="83"/>
        <v>1276</v>
      </c>
    </row>
    <row r="1016" spans="1:6" x14ac:dyDescent="0.3">
      <c r="A1016" s="5">
        <v>45625</v>
      </c>
      <c r="B1016" s="6" t="s">
        <v>202</v>
      </c>
      <c r="C1016" s="7" t="s">
        <v>7</v>
      </c>
      <c r="D1016" s="7">
        <v>20</v>
      </c>
      <c r="E1016" s="8">
        <v>23.5</v>
      </c>
      <c r="F1016" s="9">
        <f t="shared" si="83"/>
        <v>470</v>
      </c>
    </row>
    <row r="1017" spans="1:6" x14ac:dyDescent="0.3">
      <c r="A1017" s="5">
        <v>45625</v>
      </c>
      <c r="B1017" s="6" t="s">
        <v>220</v>
      </c>
      <c r="C1017" s="7" t="s">
        <v>9</v>
      </c>
      <c r="D1017" s="7">
        <v>50</v>
      </c>
      <c r="E1017" s="8">
        <v>25.72</v>
      </c>
      <c r="F1017" s="9">
        <f t="shared" si="83"/>
        <v>1286</v>
      </c>
    </row>
    <row r="1018" spans="1:6" x14ac:dyDescent="0.3">
      <c r="A1018" s="5">
        <v>45625</v>
      </c>
      <c r="B1018" s="6" t="s">
        <v>10</v>
      </c>
      <c r="C1018" s="7" t="s">
        <v>9</v>
      </c>
      <c r="D1018" s="7">
        <v>30</v>
      </c>
      <c r="E1018" s="8">
        <v>52</v>
      </c>
      <c r="F1018" s="9">
        <f t="shared" si="83"/>
        <v>1560</v>
      </c>
    </row>
    <row r="1019" spans="1:6" x14ac:dyDescent="0.3">
      <c r="A1019" s="10">
        <v>45628</v>
      </c>
      <c r="B1019" s="11" t="s">
        <v>12</v>
      </c>
      <c r="C1019" s="12" t="s">
        <v>7</v>
      </c>
      <c r="D1019" s="12">
        <v>12</v>
      </c>
      <c r="E1019" s="13">
        <v>94</v>
      </c>
      <c r="F1019" s="14">
        <f t="shared" ref="F1019:F1031" si="84">+E1019*D1019</f>
        <v>1128</v>
      </c>
    </row>
    <row r="1020" spans="1:6" x14ac:dyDescent="0.3">
      <c r="A1020" s="5">
        <v>45628</v>
      </c>
      <c r="B1020" s="6" t="s">
        <v>132</v>
      </c>
      <c r="C1020" s="7" t="s">
        <v>7</v>
      </c>
      <c r="D1020" s="7">
        <v>1</v>
      </c>
      <c r="E1020" s="8">
        <v>708</v>
      </c>
      <c r="F1020" s="9">
        <f t="shared" si="84"/>
        <v>708</v>
      </c>
    </row>
    <row r="1021" spans="1:6" x14ac:dyDescent="0.3">
      <c r="A1021" s="5">
        <v>45628</v>
      </c>
      <c r="B1021" s="6" t="s">
        <v>157</v>
      </c>
      <c r="C1021" s="7" t="s">
        <v>7</v>
      </c>
      <c r="D1021" s="7">
        <v>5</v>
      </c>
      <c r="E1021" s="8">
        <v>91</v>
      </c>
      <c r="F1021" s="9">
        <f t="shared" si="84"/>
        <v>455</v>
      </c>
    </row>
    <row r="1022" spans="1:6" x14ac:dyDescent="0.3">
      <c r="A1022" s="5"/>
      <c r="B1022" s="6" t="s">
        <v>165</v>
      </c>
      <c r="C1022" s="7" t="s">
        <v>9</v>
      </c>
      <c r="D1022" s="7">
        <v>40</v>
      </c>
      <c r="E1022" s="8">
        <v>28.5</v>
      </c>
      <c r="F1022" s="9">
        <f t="shared" si="84"/>
        <v>1140</v>
      </c>
    </row>
    <row r="1023" spans="1:6" x14ac:dyDescent="0.3">
      <c r="A1023" s="10">
        <v>45628</v>
      </c>
      <c r="B1023" s="11" t="s">
        <v>28</v>
      </c>
      <c r="C1023" s="12" t="s">
        <v>7</v>
      </c>
      <c r="D1023" s="12">
        <v>20</v>
      </c>
      <c r="E1023" s="13">
        <v>47</v>
      </c>
      <c r="F1023" s="14">
        <f t="shared" si="84"/>
        <v>940</v>
      </c>
    </row>
    <row r="1024" spans="1:6" x14ac:dyDescent="0.3">
      <c r="A1024" s="5">
        <v>45628</v>
      </c>
      <c r="B1024" s="6" t="s">
        <v>181</v>
      </c>
      <c r="C1024" s="7" t="s">
        <v>7</v>
      </c>
      <c r="D1024" s="7">
        <v>40</v>
      </c>
      <c r="E1024" s="8">
        <v>20.5</v>
      </c>
      <c r="F1024" s="9">
        <f t="shared" si="84"/>
        <v>820</v>
      </c>
    </row>
    <row r="1025" spans="1:6" x14ac:dyDescent="0.3">
      <c r="A1025" s="5"/>
      <c r="B1025" s="6" t="s">
        <v>10</v>
      </c>
      <c r="C1025" s="7" t="s">
        <v>9</v>
      </c>
      <c r="D1025" s="7">
        <v>20</v>
      </c>
      <c r="E1025" s="8">
        <v>54</v>
      </c>
      <c r="F1025" s="9">
        <f t="shared" si="84"/>
        <v>1080</v>
      </c>
    </row>
    <row r="1026" spans="1:6" x14ac:dyDescent="0.3">
      <c r="A1026" s="10">
        <v>45628</v>
      </c>
      <c r="B1026" s="11" t="s">
        <v>18</v>
      </c>
      <c r="C1026" s="12" t="s">
        <v>9</v>
      </c>
      <c r="D1026" s="12">
        <v>5</v>
      </c>
      <c r="E1026" s="13">
        <v>225</v>
      </c>
      <c r="F1026" s="14">
        <f t="shared" si="84"/>
        <v>1125</v>
      </c>
    </row>
    <row r="1027" spans="1:6" x14ac:dyDescent="0.3">
      <c r="A1027" s="5">
        <v>45628</v>
      </c>
      <c r="B1027" s="6" t="s">
        <v>444</v>
      </c>
      <c r="C1027" s="7" t="s">
        <v>9</v>
      </c>
      <c r="D1027" s="7">
        <v>70</v>
      </c>
      <c r="E1027" s="8">
        <v>15.3</v>
      </c>
      <c r="F1027" s="9">
        <f t="shared" si="84"/>
        <v>1071</v>
      </c>
    </row>
    <row r="1028" spans="1:6" x14ac:dyDescent="0.3">
      <c r="A1028" s="5">
        <v>45628</v>
      </c>
      <c r="B1028" s="6" t="s">
        <v>319</v>
      </c>
      <c r="C1028" s="7" t="s">
        <v>9</v>
      </c>
      <c r="D1028" s="7">
        <v>50</v>
      </c>
      <c r="E1028" s="8">
        <v>27.52</v>
      </c>
      <c r="F1028" s="9">
        <f t="shared" si="84"/>
        <v>1376</v>
      </c>
    </row>
    <row r="1029" spans="1:6" x14ac:dyDescent="0.3">
      <c r="A1029" s="5">
        <v>45628</v>
      </c>
      <c r="B1029" s="6" t="s">
        <v>165</v>
      </c>
      <c r="C1029" s="7" t="s">
        <v>9</v>
      </c>
      <c r="D1029" s="7">
        <v>40</v>
      </c>
      <c r="E1029" s="8">
        <v>30</v>
      </c>
      <c r="F1029" s="9">
        <f t="shared" si="84"/>
        <v>1200</v>
      </c>
    </row>
    <row r="1030" spans="1:6" x14ac:dyDescent="0.3">
      <c r="A1030" s="5">
        <v>45628</v>
      </c>
      <c r="B1030" s="6" t="s">
        <v>319</v>
      </c>
      <c r="C1030" s="7" t="s">
        <v>7</v>
      </c>
      <c r="D1030" s="7">
        <v>40</v>
      </c>
      <c r="E1030" s="8">
        <v>27</v>
      </c>
      <c r="F1030" s="9">
        <f t="shared" si="84"/>
        <v>1080</v>
      </c>
    </row>
    <row r="1031" spans="1:6" x14ac:dyDescent="0.3">
      <c r="A1031" s="5">
        <v>45628</v>
      </c>
      <c r="B1031" s="6" t="s">
        <v>10</v>
      </c>
      <c r="C1031" s="7" t="s">
        <v>9</v>
      </c>
      <c r="D1031" s="7">
        <v>20</v>
      </c>
      <c r="E1031" s="8">
        <v>55</v>
      </c>
      <c r="F1031" s="9">
        <f t="shared" si="84"/>
        <v>1100</v>
      </c>
    </row>
    <row r="1032" spans="1:6" x14ac:dyDescent="0.3">
      <c r="A1032" s="10">
        <v>45629</v>
      </c>
      <c r="B1032" s="11" t="s">
        <v>522</v>
      </c>
      <c r="C1032" s="12" t="s">
        <v>7</v>
      </c>
      <c r="D1032" s="12">
        <v>5</v>
      </c>
      <c r="E1032" s="13">
        <v>113.5</v>
      </c>
      <c r="F1032" s="14">
        <f t="shared" ref="F1032:F1039" si="85">+E1032*D1032</f>
        <v>567.5</v>
      </c>
    </row>
    <row r="1033" spans="1:6" x14ac:dyDescent="0.3">
      <c r="A1033" s="5">
        <v>45629</v>
      </c>
      <c r="B1033" s="6" t="s">
        <v>236</v>
      </c>
      <c r="C1033" s="12" t="s">
        <v>7</v>
      </c>
      <c r="D1033" s="7">
        <v>1</v>
      </c>
      <c r="E1033" s="8">
        <v>305</v>
      </c>
      <c r="F1033" s="9">
        <f t="shared" si="85"/>
        <v>305</v>
      </c>
    </row>
    <row r="1034" spans="1:6" x14ac:dyDescent="0.3">
      <c r="A1034" s="5">
        <v>45629</v>
      </c>
      <c r="B1034" s="6" t="s">
        <v>265</v>
      </c>
      <c r="C1034" s="12" t="s">
        <v>7</v>
      </c>
      <c r="D1034" s="7">
        <v>1</v>
      </c>
      <c r="E1034" s="8">
        <v>250</v>
      </c>
      <c r="F1034" s="9">
        <f t="shared" si="85"/>
        <v>250</v>
      </c>
    </row>
    <row r="1035" spans="1:6" x14ac:dyDescent="0.3">
      <c r="A1035" s="5">
        <v>45629</v>
      </c>
      <c r="B1035" s="6" t="s">
        <v>206</v>
      </c>
      <c r="C1035" s="7" t="s">
        <v>9</v>
      </c>
      <c r="D1035" s="7">
        <v>75</v>
      </c>
      <c r="E1035" s="8">
        <v>12.63</v>
      </c>
      <c r="F1035" s="9">
        <f t="shared" si="85"/>
        <v>947.25000000000011</v>
      </c>
    </row>
    <row r="1036" spans="1:6" x14ac:dyDescent="0.3">
      <c r="A1036" s="5">
        <v>45629</v>
      </c>
      <c r="B1036" s="6" t="s">
        <v>423</v>
      </c>
      <c r="C1036" s="7" t="s">
        <v>9</v>
      </c>
      <c r="D1036" s="7">
        <v>145</v>
      </c>
      <c r="E1036" s="8">
        <v>8.3000000000000007</v>
      </c>
      <c r="F1036" s="9">
        <f t="shared" si="85"/>
        <v>1203.5</v>
      </c>
    </row>
    <row r="1037" spans="1:6" x14ac:dyDescent="0.3">
      <c r="A1037" s="5">
        <v>45629</v>
      </c>
      <c r="B1037" s="6" t="s">
        <v>415</v>
      </c>
      <c r="C1037" s="7" t="s">
        <v>9</v>
      </c>
      <c r="D1037" s="7">
        <v>40</v>
      </c>
      <c r="E1037" s="8">
        <v>33.5</v>
      </c>
      <c r="F1037" s="9">
        <f t="shared" si="85"/>
        <v>1340</v>
      </c>
    </row>
    <row r="1038" spans="1:6" x14ac:dyDescent="0.3">
      <c r="A1038" s="5">
        <v>45629</v>
      </c>
      <c r="B1038" s="6" t="s">
        <v>404</v>
      </c>
      <c r="C1038" s="7" t="s">
        <v>9</v>
      </c>
      <c r="D1038" s="7">
        <v>50</v>
      </c>
      <c r="E1038" s="8">
        <v>19.3</v>
      </c>
      <c r="F1038" s="9">
        <f t="shared" si="85"/>
        <v>965</v>
      </c>
    </row>
    <row r="1039" spans="1:6" x14ac:dyDescent="0.3">
      <c r="A1039" s="5">
        <v>45629</v>
      </c>
      <c r="B1039" s="6" t="s">
        <v>10</v>
      </c>
      <c r="C1039" s="7" t="s">
        <v>9</v>
      </c>
      <c r="D1039" s="7">
        <v>20</v>
      </c>
      <c r="E1039" s="8">
        <v>56</v>
      </c>
      <c r="F1039" s="9">
        <f t="shared" si="85"/>
        <v>1120</v>
      </c>
    </row>
    <row r="1040" spans="1:6" x14ac:dyDescent="0.3">
      <c r="A1040" s="5">
        <v>45629</v>
      </c>
      <c r="B1040" s="6" t="s">
        <v>444</v>
      </c>
      <c r="C1040" s="7" t="s">
        <v>7</v>
      </c>
      <c r="D1040" s="7">
        <v>45</v>
      </c>
      <c r="E1040" s="8">
        <v>15.1</v>
      </c>
      <c r="F1040" s="9">
        <f>+E1040*D1040</f>
        <v>679.5</v>
      </c>
    </row>
    <row r="1041" spans="1:6" x14ac:dyDescent="0.3">
      <c r="A1041" s="5">
        <v>45629</v>
      </c>
      <c r="B1041" s="6" t="s">
        <v>550</v>
      </c>
      <c r="C1041" s="7" t="s">
        <v>7</v>
      </c>
      <c r="D1041" s="7">
        <v>15</v>
      </c>
      <c r="E1041" s="8">
        <v>62</v>
      </c>
      <c r="F1041" s="9">
        <f t="shared" ref="F1041:F1042" si="86">+E1041*D1041</f>
        <v>930</v>
      </c>
    </row>
    <row r="1042" spans="1:6" x14ac:dyDescent="0.3">
      <c r="A1042" s="10">
        <v>45629</v>
      </c>
      <c r="B1042" s="11" t="s">
        <v>28</v>
      </c>
      <c r="C1042" s="7" t="s">
        <v>7</v>
      </c>
      <c r="D1042" s="12">
        <v>20</v>
      </c>
      <c r="E1042" s="13">
        <v>46</v>
      </c>
      <c r="F1042" s="14">
        <f t="shared" si="86"/>
        <v>920</v>
      </c>
    </row>
    <row r="1043" spans="1:6" x14ac:dyDescent="0.3">
      <c r="A1043" s="10">
        <v>45630</v>
      </c>
      <c r="B1043" s="11" t="s">
        <v>202</v>
      </c>
      <c r="C1043" s="12" t="s">
        <v>7</v>
      </c>
      <c r="D1043" s="12">
        <v>40</v>
      </c>
      <c r="E1043" s="13">
        <v>23</v>
      </c>
      <c r="F1043" s="14">
        <f t="shared" ref="F1043:F1050" si="87">+E1043*D1043</f>
        <v>920</v>
      </c>
    </row>
    <row r="1044" spans="1:6" x14ac:dyDescent="0.3">
      <c r="A1044" s="5">
        <v>45630</v>
      </c>
      <c r="B1044" s="6" t="s">
        <v>496</v>
      </c>
      <c r="C1044" s="7" t="s">
        <v>7</v>
      </c>
      <c r="D1044" s="7">
        <v>100</v>
      </c>
      <c r="E1044" s="8">
        <v>5.35</v>
      </c>
      <c r="F1044" s="9">
        <f t="shared" si="87"/>
        <v>535</v>
      </c>
    </row>
    <row r="1045" spans="1:6" x14ac:dyDescent="0.3">
      <c r="A1045" s="5">
        <v>45630</v>
      </c>
      <c r="B1045" s="6" t="s">
        <v>83</v>
      </c>
      <c r="C1045" s="7" t="s">
        <v>7</v>
      </c>
      <c r="D1045" s="7">
        <v>1</v>
      </c>
      <c r="E1045" s="8">
        <v>120</v>
      </c>
      <c r="F1045" s="9">
        <f t="shared" si="87"/>
        <v>120</v>
      </c>
    </row>
    <row r="1046" spans="1:6" x14ac:dyDescent="0.3">
      <c r="A1046" s="5">
        <v>45630</v>
      </c>
      <c r="B1046" s="6" t="s">
        <v>38</v>
      </c>
      <c r="C1046" s="7" t="s">
        <v>9</v>
      </c>
      <c r="D1046" s="7">
        <v>5</v>
      </c>
      <c r="E1046" s="8">
        <v>210</v>
      </c>
      <c r="F1046" s="9">
        <f t="shared" si="87"/>
        <v>1050</v>
      </c>
    </row>
    <row r="1047" spans="1:6" x14ac:dyDescent="0.3">
      <c r="A1047" s="5">
        <v>45630</v>
      </c>
      <c r="B1047" s="6" t="s">
        <v>18</v>
      </c>
      <c r="C1047" s="7" t="s">
        <v>9</v>
      </c>
      <c r="D1047" s="7">
        <v>5</v>
      </c>
      <c r="E1047" s="8">
        <v>230</v>
      </c>
      <c r="F1047" s="9">
        <f t="shared" si="87"/>
        <v>1150</v>
      </c>
    </row>
    <row r="1048" spans="1:6" x14ac:dyDescent="0.3">
      <c r="A1048" s="5">
        <v>45630</v>
      </c>
      <c r="B1048" s="6" t="s">
        <v>550</v>
      </c>
      <c r="C1048" s="7" t="s">
        <v>9</v>
      </c>
      <c r="D1048" s="7">
        <v>20</v>
      </c>
      <c r="E1048" s="8">
        <v>65.099999999999994</v>
      </c>
      <c r="F1048" s="9">
        <f t="shared" si="87"/>
        <v>1302</v>
      </c>
    </row>
    <row r="1049" spans="1:6" x14ac:dyDescent="0.3">
      <c r="A1049" s="5">
        <v>45630</v>
      </c>
      <c r="B1049" s="6" t="s">
        <v>53</v>
      </c>
      <c r="C1049" s="7" t="s">
        <v>9</v>
      </c>
      <c r="D1049" s="7">
        <v>190</v>
      </c>
      <c r="E1049" s="8">
        <v>7.15</v>
      </c>
      <c r="F1049" s="9">
        <f t="shared" si="87"/>
        <v>1358.5</v>
      </c>
    </row>
    <row r="1050" spans="1:6" x14ac:dyDescent="0.3">
      <c r="A1050" s="5">
        <v>45630</v>
      </c>
      <c r="B1050" s="6" t="s">
        <v>379</v>
      </c>
      <c r="C1050" s="7" t="s">
        <v>9</v>
      </c>
      <c r="D1050" s="7">
        <v>18</v>
      </c>
      <c r="E1050" s="8">
        <v>56.2</v>
      </c>
      <c r="F1050" s="9">
        <f t="shared" si="87"/>
        <v>1011.6</v>
      </c>
    </row>
    <row r="1051" spans="1:6" x14ac:dyDescent="0.3">
      <c r="A1051" s="10">
        <v>45631</v>
      </c>
      <c r="B1051" s="11" t="s">
        <v>12</v>
      </c>
      <c r="C1051" s="12" t="s">
        <v>7</v>
      </c>
      <c r="D1051" s="12">
        <v>11</v>
      </c>
      <c r="E1051" s="13">
        <v>92</v>
      </c>
      <c r="F1051" s="14">
        <f t="shared" ref="F1051:F1057" si="88">+E1051*D1051</f>
        <v>1012</v>
      </c>
    </row>
    <row r="1052" spans="1:6" x14ac:dyDescent="0.3">
      <c r="A1052" s="5">
        <v>45631</v>
      </c>
      <c r="B1052" s="6" t="s">
        <v>128</v>
      </c>
      <c r="C1052" s="7" t="s">
        <v>9</v>
      </c>
      <c r="D1052" s="7">
        <v>20</v>
      </c>
      <c r="E1052" s="8">
        <v>19.5</v>
      </c>
      <c r="F1052" s="9">
        <f t="shared" si="88"/>
        <v>390</v>
      </c>
    </row>
    <row r="1053" spans="1:6" x14ac:dyDescent="0.3">
      <c r="A1053" s="5">
        <v>45631</v>
      </c>
      <c r="B1053" s="6" t="s">
        <v>6</v>
      </c>
      <c r="C1053" s="7" t="s">
        <v>9</v>
      </c>
      <c r="D1053" s="7">
        <v>25</v>
      </c>
      <c r="E1053" s="8">
        <v>36</v>
      </c>
      <c r="F1053" s="9">
        <f t="shared" si="88"/>
        <v>900</v>
      </c>
    </row>
    <row r="1054" spans="1:6" x14ac:dyDescent="0.3">
      <c r="A1054" s="5">
        <v>45631</v>
      </c>
      <c r="B1054" s="6" t="s">
        <v>522</v>
      </c>
      <c r="C1054" s="7" t="s">
        <v>9</v>
      </c>
      <c r="D1054" s="7">
        <v>5</v>
      </c>
      <c r="E1054" s="8">
        <v>115</v>
      </c>
      <c r="F1054" s="9">
        <f t="shared" si="88"/>
        <v>575</v>
      </c>
    </row>
    <row r="1055" spans="1:6" x14ac:dyDescent="0.3">
      <c r="A1055" s="5">
        <v>45631</v>
      </c>
      <c r="B1055" s="6" t="s">
        <v>529</v>
      </c>
      <c r="C1055" s="7" t="s">
        <v>9</v>
      </c>
      <c r="D1055" s="7">
        <v>45</v>
      </c>
      <c r="E1055" s="8">
        <v>47</v>
      </c>
      <c r="F1055" s="9">
        <f t="shared" si="88"/>
        <v>2115</v>
      </c>
    </row>
    <row r="1056" spans="1:6" x14ac:dyDescent="0.3">
      <c r="A1056" s="5">
        <v>45631</v>
      </c>
      <c r="B1056" s="6" t="s">
        <v>546</v>
      </c>
      <c r="C1056" s="7" t="s">
        <v>9</v>
      </c>
      <c r="D1056" s="7">
        <v>50</v>
      </c>
      <c r="E1056" s="8">
        <v>26.14</v>
      </c>
      <c r="F1056" s="9">
        <f t="shared" si="88"/>
        <v>1307</v>
      </c>
    </row>
    <row r="1057" spans="1:6" x14ac:dyDescent="0.3">
      <c r="A1057" s="5">
        <v>45631</v>
      </c>
      <c r="B1057" s="6" t="s">
        <v>43</v>
      </c>
      <c r="C1057" s="7" t="s">
        <v>9</v>
      </c>
      <c r="D1057" s="7">
        <v>25</v>
      </c>
      <c r="E1057" s="8">
        <v>53.35</v>
      </c>
      <c r="F1057" s="9">
        <f t="shared" si="88"/>
        <v>1333.75</v>
      </c>
    </row>
    <row r="1058" spans="1:6" x14ac:dyDescent="0.3">
      <c r="A1058" s="10">
        <v>45632</v>
      </c>
      <c r="B1058" s="11" t="s">
        <v>128</v>
      </c>
      <c r="C1058" s="12" t="s">
        <v>7</v>
      </c>
      <c r="D1058" s="12">
        <v>60</v>
      </c>
      <c r="E1058" s="13">
        <v>18.3</v>
      </c>
      <c r="F1058" s="14">
        <f t="shared" ref="F1058:F1068" si="89">+E1058*D1058</f>
        <v>1098</v>
      </c>
    </row>
    <row r="1059" spans="1:6" x14ac:dyDescent="0.3">
      <c r="A1059" s="5">
        <v>45632</v>
      </c>
      <c r="B1059" s="6" t="s">
        <v>319</v>
      </c>
      <c r="C1059" s="7" t="s">
        <v>9</v>
      </c>
      <c r="D1059" s="7">
        <v>55</v>
      </c>
      <c r="E1059" s="8">
        <v>27.8</v>
      </c>
      <c r="F1059" s="9">
        <f t="shared" si="89"/>
        <v>1529</v>
      </c>
    </row>
    <row r="1060" spans="1:6" x14ac:dyDescent="0.3">
      <c r="A1060" s="5">
        <v>45632</v>
      </c>
      <c r="B1060" s="6" t="s">
        <v>550</v>
      </c>
      <c r="C1060" s="7" t="s">
        <v>9</v>
      </c>
      <c r="D1060" s="7">
        <v>20</v>
      </c>
      <c r="E1060" s="8">
        <v>71.400000000000006</v>
      </c>
      <c r="F1060" s="9">
        <f t="shared" si="89"/>
        <v>1428</v>
      </c>
    </row>
    <row r="1061" spans="1:6" x14ac:dyDescent="0.3">
      <c r="A1061" s="10">
        <v>45635</v>
      </c>
      <c r="B1061" s="11" t="s">
        <v>220</v>
      </c>
      <c r="C1061" s="12" t="s">
        <v>9</v>
      </c>
      <c r="D1061" s="12">
        <v>55</v>
      </c>
      <c r="E1061" s="13">
        <v>26.56</v>
      </c>
      <c r="F1061" s="14">
        <f t="shared" si="89"/>
        <v>1460.8</v>
      </c>
    </row>
    <row r="1062" spans="1:6" x14ac:dyDescent="0.3">
      <c r="A1062" s="5">
        <v>45635</v>
      </c>
      <c r="B1062" s="6" t="s">
        <v>301</v>
      </c>
      <c r="C1062" s="12" t="s">
        <v>9</v>
      </c>
      <c r="D1062" s="7">
        <v>40</v>
      </c>
      <c r="E1062" s="8">
        <v>41.38</v>
      </c>
      <c r="F1062" s="9">
        <f t="shared" si="89"/>
        <v>1655.2</v>
      </c>
    </row>
    <row r="1063" spans="1:6" x14ac:dyDescent="0.3">
      <c r="A1063" s="5">
        <v>45635</v>
      </c>
      <c r="B1063" s="6" t="s">
        <v>520</v>
      </c>
      <c r="C1063" s="7" t="s">
        <v>9</v>
      </c>
      <c r="D1063" s="7">
        <v>15</v>
      </c>
      <c r="E1063" s="8">
        <v>104</v>
      </c>
      <c r="F1063" s="9">
        <f t="shared" si="89"/>
        <v>1560</v>
      </c>
    </row>
    <row r="1064" spans="1:6" x14ac:dyDescent="0.3">
      <c r="A1064" s="5">
        <v>45635</v>
      </c>
      <c r="B1064" s="6" t="s">
        <v>301</v>
      </c>
      <c r="C1064" s="7" t="s">
        <v>9</v>
      </c>
      <c r="D1064" s="7">
        <v>10</v>
      </c>
      <c r="E1064" s="8">
        <v>42.14</v>
      </c>
      <c r="F1064" s="9">
        <f t="shared" si="89"/>
        <v>421.4</v>
      </c>
    </row>
    <row r="1065" spans="1:6" x14ac:dyDescent="0.3">
      <c r="A1065" s="5">
        <v>45635</v>
      </c>
      <c r="B1065" s="6" t="s">
        <v>13</v>
      </c>
      <c r="C1065" s="7" t="s">
        <v>9</v>
      </c>
      <c r="D1065" s="7">
        <v>95</v>
      </c>
      <c r="E1065" s="8">
        <v>16.3</v>
      </c>
      <c r="F1065" s="9">
        <f t="shared" si="89"/>
        <v>1548.5</v>
      </c>
    </row>
    <row r="1066" spans="1:6" x14ac:dyDescent="0.3">
      <c r="A1066" s="5">
        <v>45635</v>
      </c>
      <c r="B1066" s="6" t="s">
        <v>202</v>
      </c>
      <c r="C1066" s="7" t="s">
        <v>9</v>
      </c>
      <c r="D1066" s="7">
        <v>60</v>
      </c>
      <c r="E1066" s="8">
        <v>25.5</v>
      </c>
      <c r="F1066" s="9">
        <f t="shared" si="89"/>
        <v>1530</v>
      </c>
    </row>
    <row r="1067" spans="1:6" x14ac:dyDescent="0.3">
      <c r="A1067" s="5">
        <v>45635</v>
      </c>
      <c r="B1067" s="6" t="s">
        <v>12</v>
      </c>
      <c r="C1067" s="7" t="s">
        <v>9</v>
      </c>
      <c r="D1067" s="7">
        <v>15</v>
      </c>
      <c r="E1067" s="8">
        <v>100</v>
      </c>
      <c r="F1067" s="9">
        <f t="shared" si="89"/>
        <v>1500</v>
      </c>
    </row>
    <row r="1068" spans="1:6" x14ac:dyDescent="0.3">
      <c r="A1068" s="5">
        <v>45635</v>
      </c>
      <c r="B1068" s="6" t="s">
        <v>166</v>
      </c>
      <c r="C1068" s="7" t="s">
        <v>9</v>
      </c>
      <c r="D1068" s="7">
        <v>10</v>
      </c>
      <c r="E1068" s="8">
        <v>45.1</v>
      </c>
      <c r="F1068" s="9">
        <f t="shared" si="89"/>
        <v>451</v>
      </c>
    </row>
    <row r="1069" spans="1:6" x14ac:dyDescent="0.3">
      <c r="A1069" s="10">
        <v>45636</v>
      </c>
      <c r="B1069" s="11" t="s">
        <v>28</v>
      </c>
      <c r="C1069" s="12" t="s">
        <v>7</v>
      </c>
      <c r="D1069" s="12">
        <v>30</v>
      </c>
      <c r="E1069" s="13">
        <v>46</v>
      </c>
      <c r="F1069" s="14">
        <f t="shared" ref="F1069:F1078" si="90">+E1069*D1069</f>
        <v>1380</v>
      </c>
    </row>
    <row r="1070" spans="1:6" x14ac:dyDescent="0.3">
      <c r="A1070" s="5">
        <v>45636</v>
      </c>
      <c r="B1070" s="6" t="s">
        <v>132</v>
      </c>
      <c r="C1070" s="7" t="s">
        <v>7</v>
      </c>
      <c r="D1070" s="7">
        <v>1</v>
      </c>
      <c r="E1070" s="8">
        <v>700</v>
      </c>
      <c r="F1070" s="9">
        <f t="shared" si="90"/>
        <v>700</v>
      </c>
    </row>
    <row r="1071" spans="1:6" x14ac:dyDescent="0.3">
      <c r="A1071" s="5">
        <v>45636</v>
      </c>
      <c r="B1071" s="6" t="s">
        <v>13</v>
      </c>
      <c r="C1071" s="7" t="s">
        <v>7</v>
      </c>
      <c r="D1071" s="7">
        <v>80</v>
      </c>
      <c r="E1071" s="8">
        <v>15.7</v>
      </c>
      <c r="F1071" s="9">
        <f t="shared" si="90"/>
        <v>1256</v>
      </c>
    </row>
    <row r="1072" spans="1:6" x14ac:dyDescent="0.3">
      <c r="A1072" s="5">
        <v>45636</v>
      </c>
      <c r="B1072" s="6" t="s">
        <v>20</v>
      </c>
      <c r="C1072" s="7" t="s">
        <v>7</v>
      </c>
      <c r="D1072" s="7">
        <v>90</v>
      </c>
      <c r="E1072" s="8">
        <v>14.4</v>
      </c>
      <c r="F1072" s="9">
        <f t="shared" si="90"/>
        <v>1296</v>
      </c>
    </row>
    <row r="1073" spans="1:6" x14ac:dyDescent="0.3">
      <c r="A1073" s="5">
        <v>45636</v>
      </c>
      <c r="B1073" s="6" t="s">
        <v>128</v>
      </c>
      <c r="C1073" s="7" t="s">
        <v>7</v>
      </c>
      <c r="D1073" s="7">
        <v>70</v>
      </c>
      <c r="E1073" s="8">
        <v>18</v>
      </c>
      <c r="F1073" s="9">
        <f t="shared" si="90"/>
        <v>1260</v>
      </c>
    </row>
    <row r="1074" spans="1:6" x14ac:dyDescent="0.3">
      <c r="A1074" s="5">
        <v>45636</v>
      </c>
      <c r="B1074" s="6" t="s">
        <v>6</v>
      </c>
      <c r="C1074" s="7" t="s">
        <v>7</v>
      </c>
      <c r="D1074" s="7">
        <v>35</v>
      </c>
      <c r="E1074" s="8">
        <v>35.5</v>
      </c>
      <c r="F1074" s="9">
        <f t="shared" si="90"/>
        <v>1242.5</v>
      </c>
    </row>
    <row r="1075" spans="1:6" x14ac:dyDescent="0.3">
      <c r="A1075" s="5">
        <v>45636</v>
      </c>
      <c r="B1075" s="6" t="s">
        <v>10</v>
      </c>
      <c r="C1075" s="7" t="s">
        <v>7</v>
      </c>
      <c r="D1075" s="7">
        <v>25</v>
      </c>
      <c r="E1075" s="8">
        <v>53.9</v>
      </c>
      <c r="F1075" s="9">
        <f t="shared" si="90"/>
        <v>1347.5</v>
      </c>
    </row>
    <row r="1076" spans="1:6" x14ac:dyDescent="0.3">
      <c r="A1076" s="5">
        <v>45636</v>
      </c>
      <c r="B1076" s="6" t="s">
        <v>319</v>
      </c>
      <c r="C1076" s="7" t="s">
        <v>7</v>
      </c>
      <c r="D1076" s="7">
        <v>40</v>
      </c>
      <c r="E1076" s="8">
        <v>29</v>
      </c>
      <c r="F1076" s="9">
        <f t="shared" si="90"/>
        <v>1160</v>
      </c>
    </row>
    <row r="1077" spans="1:6" x14ac:dyDescent="0.3">
      <c r="A1077" s="5">
        <v>45636</v>
      </c>
      <c r="B1077" s="6" t="s">
        <v>423</v>
      </c>
      <c r="C1077" s="7" t="s">
        <v>7</v>
      </c>
      <c r="D1077" s="7">
        <v>150</v>
      </c>
      <c r="E1077" s="8">
        <v>8</v>
      </c>
      <c r="F1077" s="9">
        <f t="shared" si="90"/>
        <v>1200</v>
      </c>
    </row>
    <row r="1078" spans="1:6" x14ac:dyDescent="0.3">
      <c r="A1078" s="5">
        <v>45636</v>
      </c>
      <c r="B1078" s="6" t="s">
        <v>13</v>
      </c>
      <c r="C1078" s="7" t="s">
        <v>9</v>
      </c>
      <c r="D1078" s="7">
        <v>80</v>
      </c>
      <c r="E1078" s="8">
        <v>16.2</v>
      </c>
      <c r="F1078" s="9">
        <f t="shared" si="90"/>
        <v>1296</v>
      </c>
    </row>
    <row r="1079" spans="1:6" x14ac:dyDescent="0.3">
      <c r="A1079" s="10">
        <v>45637</v>
      </c>
      <c r="B1079" s="11" t="s">
        <v>20</v>
      </c>
      <c r="C1079" s="12" t="s">
        <v>7</v>
      </c>
      <c r="D1079" s="12">
        <v>85</v>
      </c>
      <c r="E1079" s="13">
        <v>14.54</v>
      </c>
      <c r="F1079" s="14">
        <f t="shared" ref="F1079:F1091" si="91">+E1079*D1079</f>
        <v>1235.8999999999999</v>
      </c>
    </row>
    <row r="1080" spans="1:6" x14ac:dyDescent="0.3">
      <c r="A1080" s="5">
        <v>45637</v>
      </c>
      <c r="B1080" s="6" t="s">
        <v>132</v>
      </c>
      <c r="C1080" s="7" t="s">
        <v>7</v>
      </c>
      <c r="D1080" s="7">
        <v>1</v>
      </c>
      <c r="E1080" s="8">
        <v>690</v>
      </c>
      <c r="F1080" s="9">
        <f t="shared" si="91"/>
        <v>690</v>
      </c>
    </row>
    <row r="1081" spans="1:6" x14ac:dyDescent="0.3">
      <c r="A1081" s="5">
        <v>45637</v>
      </c>
      <c r="B1081" s="6" t="s">
        <v>13</v>
      </c>
      <c r="C1081" s="7" t="s">
        <v>7</v>
      </c>
      <c r="D1081" s="7">
        <v>80</v>
      </c>
      <c r="E1081" s="8">
        <v>15.7</v>
      </c>
      <c r="F1081" s="9">
        <f t="shared" si="91"/>
        <v>1256</v>
      </c>
    </row>
    <row r="1082" spans="1:6" x14ac:dyDescent="0.3">
      <c r="A1082" s="5">
        <v>45637</v>
      </c>
      <c r="B1082" s="6" t="s">
        <v>26</v>
      </c>
      <c r="C1082" s="7" t="s">
        <v>7</v>
      </c>
      <c r="D1082" s="7">
        <v>15</v>
      </c>
      <c r="E1082" s="8">
        <v>80</v>
      </c>
      <c r="F1082" s="9">
        <f t="shared" si="91"/>
        <v>1200</v>
      </c>
    </row>
    <row r="1083" spans="1:6" x14ac:dyDescent="0.3">
      <c r="A1083" s="5">
        <v>45637</v>
      </c>
      <c r="B1083" s="6" t="s">
        <v>20</v>
      </c>
      <c r="C1083" s="7" t="s">
        <v>9</v>
      </c>
      <c r="D1083" s="7">
        <v>85</v>
      </c>
      <c r="E1083" s="8">
        <v>15</v>
      </c>
      <c r="F1083" s="9">
        <f t="shared" si="91"/>
        <v>1275</v>
      </c>
    </row>
    <row r="1084" spans="1:6" x14ac:dyDescent="0.3">
      <c r="A1084" s="10">
        <v>45638</v>
      </c>
      <c r="B1084" s="11" t="s">
        <v>383</v>
      </c>
      <c r="C1084" s="12" t="s">
        <v>7</v>
      </c>
      <c r="D1084" s="12">
        <v>400</v>
      </c>
      <c r="E1084" s="13">
        <v>2.91</v>
      </c>
      <c r="F1084" s="14">
        <f t="shared" si="91"/>
        <v>1164</v>
      </c>
    </row>
    <row r="1085" spans="1:6" x14ac:dyDescent="0.3">
      <c r="A1085" s="5">
        <v>45638</v>
      </c>
      <c r="B1085" s="6" t="s">
        <v>165</v>
      </c>
      <c r="C1085" s="7" t="s">
        <v>7</v>
      </c>
      <c r="D1085" s="7">
        <v>40</v>
      </c>
      <c r="E1085" s="8">
        <v>30</v>
      </c>
      <c r="F1085" s="9">
        <f t="shared" si="91"/>
        <v>1200</v>
      </c>
    </row>
    <row r="1086" spans="1:6" x14ac:dyDescent="0.3">
      <c r="A1086" s="5">
        <v>45638</v>
      </c>
      <c r="B1086" s="6" t="s">
        <v>525</v>
      </c>
      <c r="C1086" s="7" t="s">
        <v>7</v>
      </c>
      <c r="D1086" s="7">
        <v>72</v>
      </c>
      <c r="E1086" s="8">
        <v>16.829999999999998</v>
      </c>
      <c r="F1086" s="9">
        <f t="shared" si="91"/>
        <v>1211.7599999999998</v>
      </c>
    </row>
    <row r="1087" spans="1:6" x14ac:dyDescent="0.3">
      <c r="A1087" s="5">
        <v>45638</v>
      </c>
      <c r="B1087" s="6" t="s">
        <v>181</v>
      </c>
      <c r="C1087" s="7" t="s">
        <v>7</v>
      </c>
      <c r="D1087" s="7">
        <v>60</v>
      </c>
      <c r="E1087" s="8">
        <v>22</v>
      </c>
      <c r="F1087" s="9">
        <f t="shared" si="91"/>
        <v>1320</v>
      </c>
    </row>
    <row r="1088" spans="1:6" x14ac:dyDescent="0.3">
      <c r="A1088" s="5">
        <v>45638</v>
      </c>
      <c r="B1088" s="6" t="s">
        <v>46</v>
      </c>
      <c r="C1088" s="7" t="s">
        <v>7</v>
      </c>
      <c r="D1088" s="7">
        <v>2</v>
      </c>
      <c r="E1088" s="8">
        <v>280</v>
      </c>
      <c r="F1088" s="9">
        <f t="shared" si="91"/>
        <v>560</v>
      </c>
    </row>
    <row r="1089" spans="1:6" x14ac:dyDescent="0.3">
      <c r="A1089" s="5">
        <v>45638</v>
      </c>
      <c r="B1089" s="6" t="s">
        <v>181</v>
      </c>
      <c r="C1089" s="7" t="s">
        <v>9</v>
      </c>
      <c r="D1089" s="7">
        <v>60</v>
      </c>
      <c r="E1089" s="8">
        <v>22.74</v>
      </c>
      <c r="F1089" s="9">
        <f t="shared" si="91"/>
        <v>1364.3999999999999</v>
      </c>
    </row>
    <row r="1090" spans="1:6" x14ac:dyDescent="0.3">
      <c r="A1090" s="5">
        <v>45638</v>
      </c>
      <c r="B1090" s="6" t="s">
        <v>12</v>
      </c>
      <c r="C1090" s="7" t="s">
        <v>9</v>
      </c>
      <c r="D1090" s="7">
        <v>15</v>
      </c>
      <c r="E1090" s="8">
        <v>104</v>
      </c>
      <c r="F1090" s="9">
        <f t="shared" si="91"/>
        <v>1560</v>
      </c>
    </row>
    <row r="1091" spans="1:6" x14ac:dyDescent="0.3">
      <c r="A1091" s="5">
        <v>45638</v>
      </c>
      <c r="B1091" s="6" t="s">
        <v>220</v>
      </c>
      <c r="C1091" s="7" t="s">
        <v>9</v>
      </c>
      <c r="D1091" s="7">
        <v>60</v>
      </c>
      <c r="E1091" s="8">
        <v>26.6</v>
      </c>
      <c r="F1091" s="9">
        <f t="shared" si="91"/>
        <v>1596</v>
      </c>
    </row>
    <row r="1092" spans="1:6" x14ac:dyDescent="0.3">
      <c r="A1092" s="10">
        <v>45639</v>
      </c>
      <c r="B1092" s="11" t="s">
        <v>53</v>
      </c>
      <c r="C1092" s="12" t="s">
        <v>9</v>
      </c>
      <c r="D1092" s="12">
        <v>913</v>
      </c>
      <c r="E1092" s="13">
        <v>7.46</v>
      </c>
      <c r="F1092" s="14">
        <f t="shared" ref="F1092:F1098" si="92">+E1092*D1092</f>
        <v>6810.98</v>
      </c>
    </row>
    <row r="1093" spans="1:6" x14ac:dyDescent="0.3">
      <c r="A1093" s="5">
        <v>45639</v>
      </c>
      <c r="B1093" s="6" t="s">
        <v>529</v>
      </c>
      <c r="C1093" s="7" t="s">
        <v>9</v>
      </c>
      <c r="D1093" s="7">
        <v>148</v>
      </c>
      <c r="E1093" s="8">
        <v>46.8</v>
      </c>
      <c r="F1093" s="9">
        <f t="shared" si="92"/>
        <v>6926.4</v>
      </c>
    </row>
    <row r="1094" spans="1:6" x14ac:dyDescent="0.3">
      <c r="A1094" s="5">
        <v>45639</v>
      </c>
      <c r="B1094" s="6" t="s">
        <v>550</v>
      </c>
      <c r="C1094" s="7" t="s">
        <v>7</v>
      </c>
      <c r="D1094" s="7">
        <v>1</v>
      </c>
      <c r="E1094" s="8">
        <v>70.5</v>
      </c>
      <c r="F1094" s="9">
        <f t="shared" si="92"/>
        <v>70.5</v>
      </c>
    </row>
    <row r="1095" spans="1:6" x14ac:dyDescent="0.3">
      <c r="A1095" s="5">
        <v>45639</v>
      </c>
      <c r="B1095" s="6" t="s">
        <v>43</v>
      </c>
      <c r="C1095" s="7" t="s">
        <v>9</v>
      </c>
      <c r="D1095" s="7">
        <v>48</v>
      </c>
      <c r="E1095" s="8">
        <v>52.1</v>
      </c>
      <c r="F1095" s="9">
        <f t="shared" si="92"/>
        <v>2500.8000000000002</v>
      </c>
    </row>
    <row r="1096" spans="1:6" x14ac:dyDescent="0.3">
      <c r="A1096" s="5">
        <v>45639</v>
      </c>
      <c r="B1096" s="6" t="s">
        <v>12</v>
      </c>
      <c r="C1096" s="7" t="s">
        <v>9</v>
      </c>
      <c r="D1096" s="7">
        <v>120</v>
      </c>
      <c r="E1096" s="8">
        <v>106</v>
      </c>
      <c r="F1096" s="9">
        <f t="shared" si="92"/>
        <v>12720</v>
      </c>
    </row>
    <row r="1097" spans="1:6" x14ac:dyDescent="0.3">
      <c r="A1097" s="5">
        <v>45639</v>
      </c>
      <c r="B1097" s="6" t="s">
        <v>379</v>
      </c>
      <c r="C1097" s="7" t="s">
        <v>9</v>
      </c>
      <c r="D1097" s="7">
        <v>174</v>
      </c>
      <c r="E1097" s="8">
        <v>57.85</v>
      </c>
      <c r="F1097" s="9">
        <f t="shared" si="92"/>
        <v>10065.9</v>
      </c>
    </row>
    <row r="1098" spans="1:6" x14ac:dyDescent="0.3">
      <c r="A1098" s="5">
        <v>45639</v>
      </c>
      <c r="B1098" s="6" t="s">
        <v>41</v>
      </c>
      <c r="C1098" s="7" t="s">
        <v>7</v>
      </c>
      <c r="D1098" s="7">
        <v>13</v>
      </c>
      <c r="E1098" s="8">
        <v>150.6</v>
      </c>
      <c r="F1098" s="9">
        <f t="shared" si="92"/>
        <v>1957.8</v>
      </c>
    </row>
    <row r="1099" spans="1:6" x14ac:dyDescent="0.3">
      <c r="A1099" s="10">
        <v>45642</v>
      </c>
      <c r="B1099" s="11" t="s">
        <v>496</v>
      </c>
      <c r="C1099" s="12" t="s">
        <v>7</v>
      </c>
      <c r="D1099" s="12">
        <v>16</v>
      </c>
      <c r="E1099" s="13">
        <v>5.98</v>
      </c>
      <c r="F1099" s="14">
        <f t="shared" ref="F1099:F1110" si="93">+E1099*D1099</f>
        <v>95.68</v>
      </c>
    </row>
    <row r="1100" spans="1:6" x14ac:dyDescent="0.3">
      <c r="A1100" s="5">
        <v>45642</v>
      </c>
      <c r="B1100" s="6" t="s">
        <v>12</v>
      </c>
      <c r="C1100" s="7" t="s">
        <v>7</v>
      </c>
      <c r="D1100" s="7">
        <v>10</v>
      </c>
      <c r="E1100" s="8">
        <v>108</v>
      </c>
      <c r="F1100" s="9">
        <f t="shared" si="93"/>
        <v>1080</v>
      </c>
    </row>
    <row r="1101" spans="1:6" x14ac:dyDescent="0.3">
      <c r="A1101" s="5">
        <v>45642</v>
      </c>
      <c r="B1101" s="6" t="s">
        <v>12</v>
      </c>
      <c r="C1101" s="7" t="s">
        <v>7</v>
      </c>
      <c r="D1101" s="7">
        <v>15</v>
      </c>
      <c r="E1101" s="8">
        <v>107</v>
      </c>
      <c r="F1101" s="9">
        <f t="shared" si="93"/>
        <v>1605</v>
      </c>
    </row>
    <row r="1102" spans="1:6" x14ac:dyDescent="0.3">
      <c r="A1102" s="5">
        <v>45642</v>
      </c>
      <c r="B1102" s="6" t="s">
        <v>6</v>
      </c>
      <c r="C1102" s="7" t="s">
        <v>7</v>
      </c>
      <c r="D1102" s="7">
        <v>129</v>
      </c>
      <c r="E1102" s="8">
        <v>36.5</v>
      </c>
      <c r="F1102" s="9">
        <f t="shared" si="93"/>
        <v>4708.5</v>
      </c>
    </row>
    <row r="1103" spans="1:6" x14ac:dyDescent="0.3">
      <c r="A1103" s="5">
        <v>45642</v>
      </c>
      <c r="B1103" s="6" t="s">
        <v>379</v>
      </c>
      <c r="C1103" s="7" t="s">
        <v>7</v>
      </c>
      <c r="D1103" s="7">
        <v>25</v>
      </c>
      <c r="E1103" s="8">
        <v>60</v>
      </c>
      <c r="F1103" s="9">
        <f t="shared" si="93"/>
        <v>1500</v>
      </c>
    </row>
    <row r="1104" spans="1:6" x14ac:dyDescent="0.3">
      <c r="A1104" s="5">
        <v>45642</v>
      </c>
      <c r="B1104" s="6" t="s">
        <v>379</v>
      </c>
      <c r="C1104" s="7" t="s">
        <v>7</v>
      </c>
      <c r="D1104" s="7">
        <v>2</v>
      </c>
      <c r="E1104" s="8">
        <v>59</v>
      </c>
      <c r="F1104" s="9">
        <f t="shared" si="93"/>
        <v>118</v>
      </c>
    </row>
    <row r="1105" spans="1:6" x14ac:dyDescent="0.3">
      <c r="A1105" s="5">
        <v>45642</v>
      </c>
      <c r="B1105" s="6" t="s">
        <v>550</v>
      </c>
      <c r="C1105" s="7" t="s">
        <v>7</v>
      </c>
      <c r="D1105" s="7">
        <v>4</v>
      </c>
      <c r="E1105" s="8">
        <v>69.7</v>
      </c>
      <c r="F1105" s="9">
        <f t="shared" si="93"/>
        <v>278.8</v>
      </c>
    </row>
    <row r="1106" spans="1:6" x14ac:dyDescent="0.3">
      <c r="A1106" s="5">
        <v>45642</v>
      </c>
      <c r="B1106" s="6" t="s">
        <v>496</v>
      </c>
      <c r="C1106" s="7" t="s">
        <v>7</v>
      </c>
      <c r="D1106" s="7">
        <v>514</v>
      </c>
      <c r="E1106" s="8">
        <v>5.48</v>
      </c>
      <c r="F1106" s="9">
        <f t="shared" si="93"/>
        <v>2816.7200000000003</v>
      </c>
    </row>
    <row r="1107" spans="1:6" x14ac:dyDescent="0.3">
      <c r="A1107" s="5">
        <v>45642</v>
      </c>
      <c r="B1107" s="6" t="s">
        <v>12</v>
      </c>
      <c r="C1107" s="7" t="s">
        <v>7</v>
      </c>
      <c r="D1107" s="7">
        <v>5</v>
      </c>
      <c r="E1107" s="8">
        <v>105</v>
      </c>
      <c r="F1107" s="9">
        <f t="shared" si="93"/>
        <v>525</v>
      </c>
    </row>
    <row r="1108" spans="1:6" x14ac:dyDescent="0.3">
      <c r="A1108" s="5">
        <v>45642</v>
      </c>
      <c r="B1108" s="6" t="s">
        <v>379</v>
      </c>
      <c r="C1108" s="7" t="s">
        <v>9</v>
      </c>
      <c r="D1108" s="7">
        <v>25</v>
      </c>
      <c r="E1108" s="8">
        <v>61.5</v>
      </c>
      <c r="F1108" s="9">
        <f t="shared" si="93"/>
        <v>1537.5</v>
      </c>
    </row>
    <row r="1109" spans="1:6" x14ac:dyDescent="0.3">
      <c r="A1109" s="5">
        <v>45642</v>
      </c>
      <c r="B1109" s="6" t="s">
        <v>12</v>
      </c>
      <c r="C1109" s="7" t="s">
        <v>9</v>
      </c>
      <c r="D1109" s="7">
        <v>25</v>
      </c>
      <c r="E1109" s="8">
        <v>110</v>
      </c>
      <c r="F1109" s="9">
        <f t="shared" si="93"/>
        <v>2750</v>
      </c>
    </row>
    <row r="1110" spans="1:6" x14ac:dyDescent="0.3">
      <c r="A1110" s="5">
        <v>45642</v>
      </c>
      <c r="B1110" s="6" t="s">
        <v>546</v>
      </c>
      <c r="C1110" s="7" t="s">
        <v>9</v>
      </c>
      <c r="D1110" s="7">
        <v>60</v>
      </c>
      <c r="E1110" s="8">
        <v>26.1</v>
      </c>
      <c r="F1110" s="9">
        <f t="shared" si="93"/>
        <v>1566</v>
      </c>
    </row>
    <row r="1111" spans="1:6" x14ac:dyDescent="0.3">
      <c r="A1111" s="10">
        <v>45643</v>
      </c>
      <c r="B1111" s="11" t="s">
        <v>165</v>
      </c>
      <c r="C1111" s="12" t="s">
        <v>9</v>
      </c>
      <c r="D1111" s="12">
        <v>45</v>
      </c>
      <c r="E1111" s="13">
        <v>33.9</v>
      </c>
      <c r="F1111" s="14">
        <f t="shared" ref="F1111:F1129" si="94">+E1111*D1111</f>
        <v>1525.5</v>
      </c>
    </row>
    <row r="1112" spans="1:6" x14ac:dyDescent="0.3">
      <c r="A1112" s="5">
        <v>45643</v>
      </c>
      <c r="B1112" s="6" t="s">
        <v>525</v>
      </c>
      <c r="C1112" s="12" t="s">
        <v>9</v>
      </c>
      <c r="D1112" s="7">
        <v>90</v>
      </c>
      <c r="E1112" s="8">
        <v>17.27</v>
      </c>
      <c r="F1112" s="9">
        <f t="shared" si="94"/>
        <v>1554.3</v>
      </c>
    </row>
    <row r="1113" spans="1:6" x14ac:dyDescent="0.3">
      <c r="A1113" s="5">
        <v>45643</v>
      </c>
      <c r="B1113" s="6" t="s">
        <v>25</v>
      </c>
      <c r="C1113" s="12" t="s">
        <v>9</v>
      </c>
      <c r="D1113" s="7">
        <v>450</v>
      </c>
      <c r="E1113" s="8">
        <v>3.4</v>
      </c>
      <c r="F1113" s="9">
        <f t="shared" si="94"/>
        <v>1530</v>
      </c>
    </row>
    <row r="1114" spans="1:6" x14ac:dyDescent="0.3">
      <c r="A1114" s="5">
        <v>45643</v>
      </c>
      <c r="B1114" s="6" t="s">
        <v>26</v>
      </c>
      <c r="C1114" s="12" t="s">
        <v>9</v>
      </c>
      <c r="D1114" s="7">
        <v>20</v>
      </c>
      <c r="E1114" s="8">
        <v>82</v>
      </c>
      <c r="F1114" s="9">
        <f t="shared" si="94"/>
        <v>1640</v>
      </c>
    </row>
    <row r="1115" spans="1:6" x14ac:dyDescent="0.3">
      <c r="A1115" s="5">
        <v>45643</v>
      </c>
      <c r="B1115" s="6" t="s">
        <v>496</v>
      </c>
      <c r="C1115" s="7" t="s">
        <v>7</v>
      </c>
      <c r="D1115" s="7">
        <v>73</v>
      </c>
      <c r="E1115" s="8">
        <v>5.35</v>
      </c>
      <c r="F1115" s="9">
        <f t="shared" si="94"/>
        <v>390.54999999999995</v>
      </c>
    </row>
    <row r="1116" spans="1:6" x14ac:dyDescent="0.3">
      <c r="A1116" s="5">
        <v>45643</v>
      </c>
      <c r="B1116" s="6" t="s">
        <v>166</v>
      </c>
      <c r="C1116" s="7" t="s">
        <v>7</v>
      </c>
      <c r="D1116" s="7">
        <v>8</v>
      </c>
      <c r="E1116" s="8">
        <v>42.7</v>
      </c>
      <c r="F1116" s="9">
        <f t="shared" si="94"/>
        <v>341.6</v>
      </c>
    </row>
    <row r="1117" spans="1:6" x14ac:dyDescent="0.3">
      <c r="A1117" s="5">
        <v>45643</v>
      </c>
      <c r="B1117" s="6" t="s">
        <v>319</v>
      </c>
      <c r="C1117" s="7" t="s">
        <v>7</v>
      </c>
      <c r="D1117" s="7">
        <v>12</v>
      </c>
      <c r="E1117" s="8">
        <v>28.8</v>
      </c>
      <c r="F1117" s="9">
        <f t="shared" si="94"/>
        <v>345.6</v>
      </c>
    </row>
    <row r="1118" spans="1:6" x14ac:dyDescent="0.3">
      <c r="A1118" s="5">
        <v>45643</v>
      </c>
      <c r="B1118" s="6" t="s">
        <v>456</v>
      </c>
      <c r="C1118" s="7" t="s">
        <v>7</v>
      </c>
      <c r="D1118" s="7">
        <v>83</v>
      </c>
      <c r="E1118" s="8">
        <v>5.9</v>
      </c>
      <c r="F1118" s="9">
        <f t="shared" si="94"/>
        <v>489.70000000000005</v>
      </c>
    </row>
    <row r="1119" spans="1:6" x14ac:dyDescent="0.3">
      <c r="A1119" s="5">
        <v>45643</v>
      </c>
      <c r="B1119" s="6" t="s">
        <v>157</v>
      </c>
      <c r="C1119" s="7" t="s">
        <v>7</v>
      </c>
      <c r="D1119" s="7">
        <v>4</v>
      </c>
      <c r="E1119" s="8">
        <v>94</v>
      </c>
      <c r="F1119" s="9">
        <f t="shared" si="94"/>
        <v>376</v>
      </c>
    </row>
    <row r="1120" spans="1:6" x14ac:dyDescent="0.3">
      <c r="A1120" s="5">
        <v>45643</v>
      </c>
      <c r="B1120" s="6" t="s">
        <v>249</v>
      </c>
      <c r="C1120" s="7" t="s">
        <v>7</v>
      </c>
      <c r="D1120" s="7">
        <v>10</v>
      </c>
      <c r="E1120" s="8">
        <v>50.3</v>
      </c>
      <c r="F1120" s="9">
        <f t="shared" si="94"/>
        <v>503</v>
      </c>
    </row>
    <row r="1121" spans="1:6" x14ac:dyDescent="0.3">
      <c r="A1121" s="5">
        <v>45643</v>
      </c>
      <c r="B1121" s="6" t="s">
        <v>181</v>
      </c>
      <c r="C1121" s="7" t="s">
        <v>7</v>
      </c>
      <c r="D1121" s="7">
        <v>16</v>
      </c>
      <c r="E1121" s="8">
        <v>21.6</v>
      </c>
      <c r="F1121" s="9">
        <f t="shared" si="94"/>
        <v>345.6</v>
      </c>
    </row>
    <row r="1122" spans="1:6" x14ac:dyDescent="0.3">
      <c r="A1122" s="5">
        <v>45643</v>
      </c>
      <c r="B1122" s="6" t="s">
        <v>25</v>
      </c>
      <c r="C1122" s="7" t="s">
        <v>7</v>
      </c>
      <c r="D1122" s="7">
        <v>1400</v>
      </c>
      <c r="E1122" s="8">
        <v>3.35</v>
      </c>
      <c r="F1122" s="9">
        <f t="shared" si="94"/>
        <v>4690</v>
      </c>
    </row>
    <row r="1123" spans="1:6" x14ac:dyDescent="0.3">
      <c r="A1123" s="5">
        <v>45643</v>
      </c>
      <c r="B1123" s="6" t="s">
        <v>26</v>
      </c>
      <c r="C1123" s="7" t="s">
        <v>7</v>
      </c>
      <c r="D1123" s="7">
        <v>57</v>
      </c>
      <c r="E1123" s="8">
        <v>80.400000000000006</v>
      </c>
      <c r="F1123" s="9">
        <f t="shared" si="94"/>
        <v>4582.8</v>
      </c>
    </row>
    <row r="1124" spans="1:6" x14ac:dyDescent="0.3">
      <c r="A1124" s="5">
        <v>45643</v>
      </c>
      <c r="B1124" s="6" t="s">
        <v>28</v>
      </c>
      <c r="C1124" s="7" t="s">
        <v>7</v>
      </c>
      <c r="D1124" s="7">
        <v>100</v>
      </c>
      <c r="E1124" s="8">
        <v>46</v>
      </c>
      <c r="F1124" s="9">
        <f t="shared" si="94"/>
        <v>4600</v>
      </c>
    </row>
    <row r="1125" spans="1:6" x14ac:dyDescent="0.3">
      <c r="A1125" s="5">
        <v>45643</v>
      </c>
      <c r="B1125" s="6" t="s">
        <v>6</v>
      </c>
      <c r="C1125" s="7" t="s">
        <v>7</v>
      </c>
      <c r="D1125" s="7">
        <v>134</v>
      </c>
      <c r="E1125" s="8">
        <v>35.4</v>
      </c>
      <c r="F1125" s="9">
        <f t="shared" si="94"/>
        <v>4743.5999999999995</v>
      </c>
    </row>
    <row r="1126" spans="1:6" x14ac:dyDescent="0.3">
      <c r="A1126" s="5">
        <v>45643</v>
      </c>
      <c r="B1126" s="6" t="s">
        <v>352</v>
      </c>
      <c r="C1126" s="7" t="s">
        <v>7</v>
      </c>
      <c r="D1126" s="7">
        <v>85</v>
      </c>
      <c r="E1126" s="8">
        <v>5.95</v>
      </c>
      <c r="F1126" s="9">
        <f t="shared" si="94"/>
        <v>505.75</v>
      </c>
    </row>
    <row r="1127" spans="1:6" x14ac:dyDescent="0.3">
      <c r="A1127" s="5">
        <v>45643</v>
      </c>
      <c r="B1127" s="6" t="s">
        <v>379</v>
      </c>
      <c r="C1127" s="7" t="s">
        <v>7</v>
      </c>
      <c r="D1127" s="7">
        <v>3</v>
      </c>
      <c r="E1127" s="8">
        <v>57</v>
      </c>
      <c r="F1127" s="9">
        <f t="shared" si="94"/>
        <v>171</v>
      </c>
    </row>
    <row r="1128" spans="1:6" x14ac:dyDescent="0.3">
      <c r="A1128" s="5">
        <v>45643</v>
      </c>
      <c r="B1128" s="6" t="s">
        <v>37</v>
      </c>
      <c r="C1128" s="7" t="s">
        <v>7</v>
      </c>
      <c r="D1128" s="7">
        <v>70</v>
      </c>
      <c r="E1128" s="8">
        <v>64.75</v>
      </c>
      <c r="F1128" s="9">
        <f t="shared" si="94"/>
        <v>4532.5</v>
      </c>
    </row>
    <row r="1129" spans="1:6" x14ac:dyDescent="0.3">
      <c r="A1129" s="5">
        <v>45643</v>
      </c>
      <c r="B1129" s="6" t="s">
        <v>43</v>
      </c>
      <c r="C1129" s="7" t="s">
        <v>7</v>
      </c>
      <c r="D1129" s="7">
        <v>9</v>
      </c>
      <c r="E1129" s="8">
        <v>52.8</v>
      </c>
      <c r="F1129" s="9">
        <f t="shared" si="94"/>
        <v>475.2</v>
      </c>
    </row>
    <row r="1130" spans="1:6" x14ac:dyDescent="0.3">
      <c r="A1130" s="10">
        <v>45644</v>
      </c>
      <c r="B1130" s="11" t="s">
        <v>379</v>
      </c>
      <c r="C1130" s="12" t="s">
        <v>7</v>
      </c>
      <c r="D1130" s="12">
        <v>2</v>
      </c>
      <c r="E1130" s="13">
        <v>56</v>
      </c>
      <c r="F1130" s="14">
        <f t="shared" ref="F1130:F1154" si="95">+E1130*D1130</f>
        <v>112</v>
      </c>
    </row>
    <row r="1131" spans="1:6" x14ac:dyDescent="0.3">
      <c r="A1131" s="5">
        <v>45644</v>
      </c>
      <c r="B1131" s="6" t="s">
        <v>165</v>
      </c>
      <c r="C1131" s="7" t="s">
        <v>7</v>
      </c>
      <c r="D1131" s="7">
        <v>5</v>
      </c>
      <c r="E1131" s="8">
        <v>33.5</v>
      </c>
      <c r="F1131" s="9">
        <f t="shared" si="95"/>
        <v>167.5</v>
      </c>
    </row>
    <row r="1132" spans="1:6" x14ac:dyDescent="0.3">
      <c r="A1132" s="5">
        <v>45644</v>
      </c>
      <c r="B1132" s="6" t="s">
        <v>549</v>
      </c>
      <c r="C1132" s="7" t="s">
        <v>7</v>
      </c>
      <c r="D1132" s="7">
        <v>20</v>
      </c>
      <c r="E1132" s="8">
        <v>17.5</v>
      </c>
      <c r="F1132" s="9">
        <f t="shared" si="95"/>
        <v>350</v>
      </c>
    </row>
    <row r="1133" spans="1:6" x14ac:dyDescent="0.3">
      <c r="A1133" s="5">
        <v>45644</v>
      </c>
      <c r="B1133" s="6" t="s">
        <v>20</v>
      </c>
      <c r="C1133" s="7" t="s">
        <v>7</v>
      </c>
      <c r="D1133" s="7">
        <v>200</v>
      </c>
      <c r="E1133" s="8">
        <v>14.75</v>
      </c>
      <c r="F1133" s="9">
        <f t="shared" si="95"/>
        <v>2950</v>
      </c>
    </row>
    <row r="1134" spans="1:6" x14ac:dyDescent="0.3">
      <c r="A1134" s="5">
        <v>45644</v>
      </c>
      <c r="B1134" s="6" t="s">
        <v>43</v>
      </c>
      <c r="C1134" s="7" t="s">
        <v>7</v>
      </c>
      <c r="D1134" s="7">
        <v>9</v>
      </c>
      <c r="E1134" s="8">
        <v>52</v>
      </c>
      <c r="F1134" s="9">
        <f t="shared" si="95"/>
        <v>468</v>
      </c>
    </row>
    <row r="1135" spans="1:6" x14ac:dyDescent="0.3">
      <c r="A1135" s="5">
        <v>45644</v>
      </c>
      <c r="B1135" s="6" t="s">
        <v>37</v>
      </c>
      <c r="C1135" s="7" t="s">
        <v>7</v>
      </c>
      <c r="D1135" s="7">
        <v>48</v>
      </c>
      <c r="E1135" s="8">
        <v>62</v>
      </c>
      <c r="F1135" s="9">
        <f t="shared" si="95"/>
        <v>2976</v>
      </c>
    </row>
    <row r="1136" spans="1:6" x14ac:dyDescent="0.3">
      <c r="A1136" s="5">
        <v>45644</v>
      </c>
      <c r="B1136" s="6" t="s">
        <v>404</v>
      </c>
      <c r="C1136" s="7" t="s">
        <v>7</v>
      </c>
      <c r="D1136" s="7">
        <v>10</v>
      </c>
      <c r="E1136" s="8">
        <v>19.7</v>
      </c>
      <c r="F1136" s="9">
        <f t="shared" si="95"/>
        <v>197</v>
      </c>
    </row>
    <row r="1137" spans="1:6" x14ac:dyDescent="0.3">
      <c r="A1137" s="5">
        <v>45644</v>
      </c>
      <c r="B1137" s="6" t="s">
        <v>28</v>
      </c>
      <c r="C1137" s="7" t="s">
        <v>7</v>
      </c>
      <c r="D1137" s="7">
        <v>65</v>
      </c>
      <c r="E1137" s="8">
        <v>45.5</v>
      </c>
      <c r="F1137" s="9">
        <f t="shared" si="95"/>
        <v>2957.5</v>
      </c>
    </row>
    <row r="1138" spans="1:6" x14ac:dyDescent="0.3">
      <c r="A1138" s="5">
        <v>45644</v>
      </c>
      <c r="B1138" s="6" t="s">
        <v>550</v>
      </c>
      <c r="C1138" s="7" t="s">
        <v>7</v>
      </c>
      <c r="D1138" s="7">
        <v>5</v>
      </c>
      <c r="E1138" s="8">
        <v>68</v>
      </c>
      <c r="F1138" s="9">
        <f t="shared" si="95"/>
        <v>340</v>
      </c>
    </row>
    <row r="1139" spans="1:6" x14ac:dyDescent="0.3">
      <c r="A1139" s="5">
        <v>45644</v>
      </c>
      <c r="B1139" s="6" t="s">
        <v>20</v>
      </c>
      <c r="C1139" s="7" t="s">
        <v>7</v>
      </c>
      <c r="D1139" s="7">
        <v>120</v>
      </c>
      <c r="E1139" s="8">
        <v>14.5</v>
      </c>
      <c r="F1139" s="9">
        <f t="shared" si="95"/>
        <v>1740</v>
      </c>
    </row>
    <row r="1140" spans="1:6" x14ac:dyDescent="0.3">
      <c r="A1140" s="5">
        <v>45644</v>
      </c>
      <c r="B1140" s="6" t="s">
        <v>249</v>
      </c>
      <c r="C1140" s="7" t="s">
        <v>7</v>
      </c>
      <c r="D1140" s="7">
        <v>10</v>
      </c>
      <c r="E1140" s="8">
        <v>50.9</v>
      </c>
      <c r="F1140" s="9">
        <f t="shared" si="95"/>
        <v>509</v>
      </c>
    </row>
    <row r="1141" spans="1:6" x14ac:dyDescent="0.3">
      <c r="A1141" s="5">
        <v>45644</v>
      </c>
      <c r="B1141" s="6" t="s">
        <v>444</v>
      </c>
      <c r="C1141" s="7" t="s">
        <v>7</v>
      </c>
      <c r="D1141" s="7">
        <v>20</v>
      </c>
      <c r="E1141" s="8">
        <v>16</v>
      </c>
      <c r="F1141" s="9">
        <f t="shared" si="95"/>
        <v>320</v>
      </c>
    </row>
    <row r="1142" spans="1:6" x14ac:dyDescent="0.3">
      <c r="A1142" s="5">
        <v>45644</v>
      </c>
      <c r="B1142" s="6" t="s">
        <v>26</v>
      </c>
      <c r="C1142" s="7" t="s">
        <v>7</v>
      </c>
      <c r="D1142" s="7">
        <v>34</v>
      </c>
      <c r="E1142" s="8">
        <v>81</v>
      </c>
      <c r="F1142" s="9">
        <f t="shared" si="95"/>
        <v>2754</v>
      </c>
    </row>
    <row r="1143" spans="1:6" x14ac:dyDescent="0.3">
      <c r="A1143" s="5">
        <v>45644</v>
      </c>
      <c r="B1143" s="6" t="s">
        <v>220</v>
      </c>
      <c r="C1143" s="7" t="s">
        <v>7</v>
      </c>
      <c r="D1143" s="7">
        <v>10</v>
      </c>
      <c r="E1143" s="8">
        <v>25.8</v>
      </c>
      <c r="F1143" s="9">
        <f t="shared" si="95"/>
        <v>258</v>
      </c>
    </row>
    <row r="1144" spans="1:6" x14ac:dyDescent="0.3">
      <c r="A1144" s="5">
        <v>45644</v>
      </c>
      <c r="B1144" s="6" t="s">
        <v>157</v>
      </c>
      <c r="C1144" s="7" t="s">
        <v>7</v>
      </c>
      <c r="D1144" s="7">
        <v>2</v>
      </c>
      <c r="E1144" s="8">
        <v>92</v>
      </c>
      <c r="F1144" s="9">
        <f t="shared" si="95"/>
        <v>184</v>
      </c>
    </row>
    <row r="1145" spans="1:6" x14ac:dyDescent="0.3">
      <c r="A1145" s="5">
        <v>45644</v>
      </c>
      <c r="B1145" s="6" t="s">
        <v>181</v>
      </c>
      <c r="C1145" s="7" t="s">
        <v>7</v>
      </c>
      <c r="D1145" s="7">
        <v>10</v>
      </c>
      <c r="E1145" s="8">
        <v>21.3</v>
      </c>
      <c r="F1145" s="9">
        <f t="shared" si="95"/>
        <v>213</v>
      </c>
    </row>
    <row r="1146" spans="1:6" x14ac:dyDescent="0.3">
      <c r="A1146" s="5">
        <v>45644</v>
      </c>
      <c r="B1146" s="6" t="s">
        <v>23</v>
      </c>
      <c r="C1146" s="7" t="s">
        <v>7</v>
      </c>
      <c r="D1146" s="7">
        <v>3</v>
      </c>
      <c r="E1146" s="8">
        <v>960</v>
      </c>
      <c r="F1146" s="9">
        <f t="shared" si="95"/>
        <v>2880</v>
      </c>
    </row>
    <row r="1147" spans="1:6" x14ac:dyDescent="0.3">
      <c r="A1147" s="5">
        <v>45644</v>
      </c>
      <c r="B1147" s="6" t="s">
        <v>352</v>
      </c>
      <c r="C1147" s="7" t="s">
        <v>7</v>
      </c>
      <c r="D1147" s="7">
        <v>50</v>
      </c>
      <c r="E1147" s="8">
        <v>5.91</v>
      </c>
      <c r="F1147" s="9">
        <f t="shared" si="95"/>
        <v>295.5</v>
      </c>
    </row>
    <row r="1148" spans="1:6" x14ac:dyDescent="0.3">
      <c r="A1148" s="5">
        <v>45644</v>
      </c>
      <c r="B1148" s="6" t="s">
        <v>415</v>
      </c>
      <c r="C1148" s="7" t="s">
        <v>7</v>
      </c>
      <c r="D1148" s="7">
        <v>10</v>
      </c>
      <c r="E1148" s="8">
        <v>32.5</v>
      </c>
      <c r="F1148" s="9">
        <f t="shared" si="95"/>
        <v>325</v>
      </c>
    </row>
    <row r="1149" spans="1:6" x14ac:dyDescent="0.3">
      <c r="A1149" s="5">
        <v>45644</v>
      </c>
      <c r="B1149" s="6" t="s">
        <v>20</v>
      </c>
      <c r="C1149" s="7" t="s">
        <v>7</v>
      </c>
      <c r="D1149" s="7">
        <v>200</v>
      </c>
      <c r="E1149" s="8">
        <v>14.1</v>
      </c>
      <c r="F1149" s="9">
        <f t="shared" si="95"/>
        <v>2820</v>
      </c>
    </row>
    <row r="1150" spans="1:6" x14ac:dyDescent="0.3">
      <c r="A1150" s="5">
        <v>45644</v>
      </c>
      <c r="B1150" s="6" t="s">
        <v>53</v>
      </c>
      <c r="C1150" s="7" t="s">
        <v>7</v>
      </c>
      <c r="D1150" s="7">
        <v>30</v>
      </c>
      <c r="E1150" s="8">
        <v>7.2</v>
      </c>
      <c r="F1150" s="9">
        <f t="shared" si="95"/>
        <v>216</v>
      </c>
    </row>
    <row r="1151" spans="1:6" x14ac:dyDescent="0.3">
      <c r="A1151" s="5">
        <v>45644</v>
      </c>
      <c r="B1151" s="6" t="s">
        <v>550</v>
      </c>
      <c r="C1151" s="7" t="s">
        <v>7</v>
      </c>
      <c r="D1151" s="7">
        <v>10</v>
      </c>
      <c r="E1151" s="8">
        <v>67</v>
      </c>
      <c r="F1151" s="9">
        <f t="shared" si="95"/>
        <v>670</v>
      </c>
    </row>
    <row r="1152" spans="1:6" x14ac:dyDescent="0.3">
      <c r="A1152" s="5">
        <v>45644</v>
      </c>
      <c r="B1152" s="6" t="s">
        <v>13</v>
      </c>
      <c r="C1152" s="7" t="s">
        <v>7</v>
      </c>
      <c r="D1152" s="7">
        <v>185</v>
      </c>
      <c r="E1152" s="8">
        <v>15.8</v>
      </c>
      <c r="F1152" s="9">
        <f t="shared" si="95"/>
        <v>2923</v>
      </c>
    </row>
    <row r="1153" spans="1:6" x14ac:dyDescent="0.3">
      <c r="A1153" s="5">
        <v>45644</v>
      </c>
      <c r="B1153" s="6" t="s">
        <v>6</v>
      </c>
      <c r="C1153" s="7" t="s">
        <v>9</v>
      </c>
      <c r="D1153" s="7">
        <v>44</v>
      </c>
      <c r="E1153" s="8">
        <v>36</v>
      </c>
      <c r="F1153" s="9">
        <f t="shared" si="95"/>
        <v>1584</v>
      </c>
    </row>
    <row r="1154" spans="1:6" x14ac:dyDescent="0.3">
      <c r="A1154" s="5">
        <v>45644</v>
      </c>
      <c r="B1154" s="6" t="s">
        <v>319</v>
      </c>
      <c r="C1154" s="7" t="s">
        <v>9</v>
      </c>
      <c r="D1154" s="7">
        <v>52</v>
      </c>
      <c r="E1154" s="8">
        <v>29.24</v>
      </c>
      <c r="F1154" s="9">
        <f t="shared" si="95"/>
        <v>1520.48</v>
      </c>
    </row>
    <row r="1155" spans="1:6" x14ac:dyDescent="0.3">
      <c r="A1155" s="10">
        <v>45645</v>
      </c>
      <c r="B1155" s="11" t="s">
        <v>202</v>
      </c>
      <c r="C1155" s="12" t="s">
        <v>7</v>
      </c>
      <c r="D1155" s="12">
        <v>4</v>
      </c>
      <c r="E1155" s="13">
        <v>26.9</v>
      </c>
      <c r="F1155" s="14">
        <f t="shared" ref="F1155:F1186" si="96">+E1155*D1155</f>
        <v>107.6</v>
      </c>
    </row>
    <row r="1156" spans="1:6" x14ac:dyDescent="0.3">
      <c r="A1156" s="5">
        <v>45645</v>
      </c>
      <c r="B1156" s="6" t="s">
        <v>206</v>
      </c>
      <c r="C1156" s="7" t="s">
        <v>7</v>
      </c>
      <c r="D1156" s="7">
        <v>5</v>
      </c>
      <c r="E1156" s="8">
        <v>13.5</v>
      </c>
      <c r="F1156" s="9">
        <f t="shared" si="96"/>
        <v>67.5</v>
      </c>
    </row>
    <row r="1157" spans="1:6" x14ac:dyDescent="0.3">
      <c r="A1157" s="5">
        <v>45645</v>
      </c>
      <c r="B1157" s="6" t="s">
        <v>10</v>
      </c>
      <c r="C1157" s="7" t="s">
        <v>7</v>
      </c>
      <c r="D1157" s="7">
        <v>35</v>
      </c>
      <c r="E1157" s="8">
        <v>53.5</v>
      </c>
      <c r="F1157" s="9">
        <f t="shared" si="96"/>
        <v>1872.5</v>
      </c>
    </row>
    <row r="1158" spans="1:6" x14ac:dyDescent="0.3">
      <c r="A1158" s="5">
        <v>45645</v>
      </c>
      <c r="B1158" s="6" t="s">
        <v>43</v>
      </c>
      <c r="C1158" s="7" t="s">
        <v>7</v>
      </c>
      <c r="D1158" s="7">
        <v>10</v>
      </c>
      <c r="E1158" s="8">
        <v>50.5</v>
      </c>
      <c r="F1158" s="9">
        <f t="shared" si="96"/>
        <v>505</v>
      </c>
    </row>
    <row r="1159" spans="1:6" x14ac:dyDescent="0.3">
      <c r="A1159" s="5">
        <v>45645</v>
      </c>
      <c r="B1159" s="6" t="s">
        <v>249</v>
      </c>
      <c r="C1159" s="7" t="s">
        <v>7</v>
      </c>
      <c r="D1159" s="7">
        <v>5</v>
      </c>
      <c r="E1159" s="8">
        <v>50</v>
      </c>
      <c r="F1159" s="9">
        <f t="shared" si="96"/>
        <v>250</v>
      </c>
    </row>
    <row r="1160" spans="1:6" x14ac:dyDescent="0.3">
      <c r="A1160" s="5">
        <v>45645</v>
      </c>
      <c r="B1160" s="6" t="s">
        <v>165</v>
      </c>
      <c r="C1160" s="7" t="s">
        <v>7</v>
      </c>
      <c r="D1160" s="7">
        <v>5</v>
      </c>
      <c r="E1160" s="8">
        <v>32</v>
      </c>
      <c r="F1160" s="9">
        <f t="shared" si="96"/>
        <v>160</v>
      </c>
    </row>
    <row r="1161" spans="1:6" x14ac:dyDescent="0.3">
      <c r="A1161" s="5">
        <v>45645</v>
      </c>
      <c r="B1161" s="6" t="s">
        <v>20</v>
      </c>
      <c r="C1161" s="7" t="s">
        <v>7</v>
      </c>
      <c r="D1161" s="7">
        <v>140</v>
      </c>
      <c r="E1161" s="8">
        <v>13.9</v>
      </c>
      <c r="F1161" s="9">
        <f t="shared" si="96"/>
        <v>1946</v>
      </c>
    </row>
    <row r="1162" spans="1:6" x14ac:dyDescent="0.3">
      <c r="A1162" s="5">
        <v>45645</v>
      </c>
      <c r="B1162" s="6" t="s">
        <v>6</v>
      </c>
      <c r="C1162" s="7" t="s">
        <v>7</v>
      </c>
      <c r="D1162" s="7">
        <v>54</v>
      </c>
      <c r="E1162" s="8">
        <v>35.5</v>
      </c>
      <c r="F1162" s="9">
        <f t="shared" si="96"/>
        <v>1917</v>
      </c>
    </row>
    <row r="1163" spans="1:6" x14ac:dyDescent="0.3">
      <c r="A1163" s="5">
        <v>45645</v>
      </c>
      <c r="B1163" s="6" t="s">
        <v>181</v>
      </c>
      <c r="C1163" s="7" t="s">
        <v>7</v>
      </c>
      <c r="D1163" s="7">
        <v>7</v>
      </c>
      <c r="E1163" s="8">
        <v>21</v>
      </c>
      <c r="F1163" s="9">
        <f t="shared" si="96"/>
        <v>147</v>
      </c>
    </row>
    <row r="1164" spans="1:6" x14ac:dyDescent="0.3">
      <c r="A1164" s="5">
        <v>45645</v>
      </c>
      <c r="B1164" s="6" t="s">
        <v>549</v>
      </c>
      <c r="C1164" s="7" t="s">
        <v>7</v>
      </c>
      <c r="D1164" s="7">
        <v>10</v>
      </c>
      <c r="E1164" s="8">
        <v>17</v>
      </c>
      <c r="F1164" s="9">
        <f t="shared" si="96"/>
        <v>170</v>
      </c>
    </row>
    <row r="1165" spans="1:6" x14ac:dyDescent="0.3">
      <c r="A1165" s="5">
        <v>45645</v>
      </c>
      <c r="B1165" s="6" t="s">
        <v>550</v>
      </c>
      <c r="C1165" s="7" t="s">
        <v>7</v>
      </c>
      <c r="D1165" s="7">
        <v>5</v>
      </c>
      <c r="E1165" s="8">
        <v>66</v>
      </c>
      <c r="F1165" s="9">
        <f t="shared" si="96"/>
        <v>330</v>
      </c>
    </row>
    <row r="1166" spans="1:6" x14ac:dyDescent="0.3">
      <c r="A1166" s="5">
        <v>45645</v>
      </c>
      <c r="B1166" s="6" t="s">
        <v>236</v>
      </c>
      <c r="C1166" s="7" t="s">
        <v>7</v>
      </c>
      <c r="D1166" s="7">
        <v>1</v>
      </c>
      <c r="E1166" s="8">
        <v>320</v>
      </c>
      <c r="F1166" s="9">
        <f t="shared" si="96"/>
        <v>320</v>
      </c>
    </row>
    <row r="1167" spans="1:6" x14ac:dyDescent="0.3">
      <c r="A1167" s="5">
        <v>45645</v>
      </c>
      <c r="B1167" s="6" t="s">
        <v>520</v>
      </c>
      <c r="C1167" s="7" t="s">
        <v>7</v>
      </c>
      <c r="D1167" s="7">
        <v>3</v>
      </c>
      <c r="E1167" s="8">
        <v>100</v>
      </c>
      <c r="F1167" s="9">
        <f t="shared" si="96"/>
        <v>300</v>
      </c>
    </row>
    <row r="1168" spans="1:6" x14ac:dyDescent="0.3">
      <c r="A1168" s="5">
        <v>45645</v>
      </c>
      <c r="B1168" s="6" t="s">
        <v>546</v>
      </c>
      <c r="C1168" s="7" t="s">
        <v>7</v>
      </c>
      <c r="D1168" s="7">
        <v>10</v>
      </c>
      <c r="E1168" s="8">
        <v>24.7</v>
      </c>
      <c r="F1168" s="9">
        <f t="shared" si="96"/>
        <v>247</v>
      </c>
    </row>
    <row r="1169" spans="1:6" x14ac:dyDescent="0.3">
      <c r="A1169" s="5">
        <v>45645</v>
      </c>
      <c r="B1169" s="6" t="s">
        <v>383</v>
      </c>
      <c r="C1169" s="7" t="s">
        <v>7</v>
      </c>
      <c r="D1169" s="7">
        <v>100</v>
      </c>
      <c r="E1169" s="8">
        <v>2.88</v>
      </c>
      <c r="F1169" s="9">
        <f t="shared" si="96"/>
        <v>288</v>
      </c>
    </row>
    <row r="1170" spans="1:6" x14ac:dyDescent="0.3">
      <c r="A1170" s="5">
        <v>45645</v>
      </c>
      <c r="B1170" s="6" t="s">
        <v>529</v>
      </c>
      <c r="C1170" s="7" t="s">
        <v>7</v>
      </c>
      <c r="D1170" s="7">
        <v>8</v>
      </c>
      <c r="E1170" s="8">
        <v>46</v>
      </c>
      <c r="F1170" s="9">
        <f t="shared" si="96"/>
        <v>368</v>
      </c>
    </row>
    <row r="1171" spans="1:6" x14ac:dyDescent="0.3">
      <c r="A1171" s="5">
        <v>45645</v>
      </c>
      <c r="B1171" s="6" t="s">
        <v>456</v>
      </c>
      <c r="C1171" s="7" t="s">
        <v>7</v>
      </c>
      <c r="D1171" s="7">
        <v>37</v>
      </c>
      <c r="E1171" s="8">
        <v>5.75</v>
      </c>
      <c r="F1171" s="9">
        <f t="shared" si="96"/>
        <v>212.75</v>
      </c>
    </row>
    <row r="1172" spans="1:6" x14ac:dyDescent="0.3">
      <c r="A1172" s="5">
        <v>45645</v>
      </c>
      <c r="B1172" s="6" t="s">
        <v>37</v>
      </c>
      <c r="C1172" s="7" t="s">
        <v>7</v>
      </c>
      <c r="D1172" s="7">
        <v>35</v>
      </c>
      <c r="E1172" s="8">
        <v>60</v>
      </c>
      <c r="F1172" s="9">
        <f t="shared" si="96"/>
        <v>2100</v>
      </c>
    </row>
    <row r="1173" spans="1:6" x14ac:dyDescent="0.3">
      <c r="A1173" s="5">
        <v>45645</v>
      </c>
      <c r="B1173" s="6" t="s">
        <v>26</v>
      </c>
      <c r="C1173" s="7" t="s">
        <v>7</v>
      </c>
      <c r="D1173" s="7">
        <v>23</v>
      </c>
      <c r="E1173" s="8">
        <v>78.5</v>
      </c>
      <c r="F1173" s="9">
        <f t="shared" si="96"/>
        <v>1805.5</v>
      </c>
    </row>
    <row r="1174" spans="1:6" x14ac:dyDescent="0.3">
      <c r="A1174" s="5">
        <v>45645</v>
      </c>
      <c r="B1174" s="6" t="s">
        <v>404</v>
      </c>
      <c r="C1174" s="7" t="s">
        <v>7</v>
      </c>
      <c r="D1174" s="7">
        <v>5</v>
      </c>
      <c r="E1174" s="8">
        <v>20</v>
      </c>
      <c r="F1174" s="9">
        <f t="shared" si="96"/>
        <v>100</v>
      </c>
    </row>
    <row r="1175" spans="1:6" x14ac:dyDescent="0.3">
      <c r="A1175" s="5">
        <v>45645</v>
      </c>
      <c r="B1175" s="6" t="s">
        <v>20</v>
      </c>
      <c r="C1175" s="7" t="s">
        <v>7</v>
      </c>
      <c r="D1175" s="7">
        <v>160</v>
      </c>
      <c r="E1175" s="8">
        <v>13.5</v>
      </c>
      <c r="F1175" s="9">
        <f t="shared" si="96"/>
        <v>2160</v>
      </c>
    </row>
    <row r="1176" spans="1:6" x14ac:dyDescent="0.3">
      <c r="A1176" s="5">
        <v>45645</v>
      </c>
      <c r="B1176" s="6" t="s">
        <v>50</v>
      </c>
      <c r="C1176" s="7" t="s">
        <v>7</v>
      </c>
      <c r="D1176" s="7">
        <v>10</v>
      </c>
      <c r="E1176" s="8">
        <v>18.5</v>
      </c>
      <c r="F1176" s="9">
        <f t="shared" si="96"/>
        <v>185</v>
      </c>
    </row>
    <row r="1177" spans="1:6" x14ac:dyDescent="0.3">
      <c r="A1177" s="5">
        <v>45645</v>
      </c>
      <c r="B1177" s="6" t="s">
        <v>444</v>
      </c>
      <c r="C1177" s="7" t="s">
        <v>7</v>
      </c>
      <c r="D1177" s="7">
        <v>15</v>
      </c>
      <c r="E1177" s="8">
        <v>15.5</v>
      </c>
      <c r="F1177" s="9">
        <f t="shared" si="96"/>
        <v>232.5</v>
      </c>
    </row>
    <row r="1178" spans="1:6" x14ac:dyDescent="0.3">
      <c r="A1178" s="5">
        <v>45645</v>
      </c>
      <c r="B1178" s="6" t="s">
        <v>415</v>
      </c>
      <c r="C1178" s="7" t="s">
        <v>7</v>
      </c>
      <c r="D1178" s="7">
        <v>10</v>
      </c>
      <c r="E1178" s="8">
        <v>31.9</v>
      </c>
      <c r="F1178" s="9">
        <f t="shared" si="96"/>
        <v>319</v>
      </c>
    </row>
    <row r="1179" spans="1:6" x14ac:dyDescent="0.3">
      <c r="A1179" s="5">
        <v>45645</v>
      </c>
      <c r="B1179" s="6" t="s">
        <v>14</v>
      </c>
      <c r="C1179" s="7" t="s">
        <v>7</v>
      </c>
      <c r="D1179" s="7">
        <v>1</v>
      </c>
      <c r="E1179" s="8">
        <v>110</v>
      </c>
      <c r="F1179" s="9">
        <f t="shared" si="96"/>
        <v>110</v>
      </c>
    </row>
    <row r="1180" spans="1:6" x14ac:dyDescent="0.3">
      <c r="A1180" s="5">
        <v>45645</v>
      </c>
      <c r="B1180" s="6" t="s">
        <v>379</v>
      </c>
      <c r="C1180" s="7" t="s">
        <v>7</v>
      </c>
      <c r="D1180" s="7">
        <v>2</v>
      </c>
      <c r="E1180" s="8">
        <v>57</v>
      </c>
      <c r="F1180" s="9">
        <f t="shared" si="96"/>
        <v>114</v>
      </c>
    </row>
    <row r="1181" spans="1:6" x14ac:dyDescent="0.3">
      <c r="A1181" s="5">
        <v>45645</v>
      </c>
      <c r="B1181" s="6" t="s">
        <v>28</v>
      </c>
      <c r="C1181" s="7" t="s">
        <v>7</v>
      </c>
      <c r="D1181" s="7">
        <v>20</v>
      </c>
      <c r="E1181" s="8">
        <v>41</v>
      </c>
      <c r="F1181" s="9">
        <f t="shared" si="96"/>
        <v>820</v>
      </c>
    </row>
    <row r="1182" spans="1:6" x14ac:dyDescent="0.3">
      <c r="A1182" s="5">
        <v>45645</v>
      </c>
      <c r="B1182" s="6" t="s">
        <v>128</v>
      </c>
      <c r="C1182" s="7" t="s">
        <v>7</v>
      </c>
      <c r="D1182" s="7">
        <v>100</v>
      </c>
      <c r="E1182" s="8">
        <v>17.5</v>
      </c>
      <c r="F1182" s="9">
        <f t="shared" si="96"/>
        <v>1750</v>
      </c>
    </row>
    <row r="1183" spans="1:6" x14ac:dyDescent="0.3">
      <c r="A1183" s="5">
        <v>45645</v>
      </c>
      <c r="B1183" s="6" t="s">
        <v>352</v>
      </c>
      <c r="C1183" s="7" t="s">
        <v>7</v>
      </c>
      <c r="D1183" s="7">
        <v>35</v>
      </c>
      <c r="E1183" s="8">
        <v>5.78</v>
      </c>
      <c r="F1183" s="9">
        <f t="shared" si="96"/>
        <v>202.3</v>
      </c>
    </row>
    <row r="1184" spans="1:6" x14ac:dyDescent="0.3">
      <c r="A1184" s="5">
        <v>45645</v>
      </c>
      <c r="B1184" s="6" t="s">
        <v>13</v>
      </c>
      <c r="C1184" s="7" t="s">
        <v>7</v>
      </c>
      <c r="D1184" s="7">
        <v>120</v>
      </c>
      <c r="E1184" s="8">
        <v>15.3</v>
      </c>
      <c r="F1184" s="9">
        <f t="shared" si="96"/>
        <v>1836</v>
      </c>
    </row>
    <row r="1185" spans="1:6" x14ac:dyDescent="0.3">
      <c r="A1185" s="5">
        <v>45645</v>
      </c>
      <c r="B1185" s="6" t="s">
        <v>220</v>
      </c>
      <c r="C1185" s="7" t="s">
        <v>7</v>
      </c>
      <c r="D1185" s="7">
        <v>5</v>
      </c>
      <c r="E1185" s="8">
        <v>25.3</v>
      </c>
      <c r="F1185" s="9">
        <f t="shared" si="96"/>
        <v>126.5</v>
      </c>
    </row>
    <row r="1186" spans="1:6" x14ac:dyDescent="0.3">
      <c r="A1186" s="5">
        <v>45645</v>
      </c>
      <c r="B1186" s="6" t="s">
        <v>53</v>
      </c>
      <c r="C1186" s="7" t="s">
        <v>9</v>
      </c>
      <c r="D1186" s="7">
        <v>210</v>
      </c>
      <c r="E1186" s="8">
        <v>7.35</v>
      </c>
      <c r="F1186" s="9">
        <f t="shared" si="96"/>
        <v>1543.5</v>
      </c>
    </row>
    <row r="1187" spans="1:6" x14ac:dyDescent="0.3">
      <c r="A1187" s="10">
        <v>45646</v>
      </c>
      <c r="B1187" s="11" t="s">
        <v>165</v>
      </c>
      <c r="C1187" s="12" t="s">
        <v>7</v>
      </c>
      <c r="D1187" s="12">
        <v>10</v>
      </c>
      <c r="E1187" s="13">
        <v>27.12</v>
      </c>
      <c r="F1187" s="14">
        <f t="shared" ref="F1187:F1206" si="97">+E1187*D1187</f>
        <v>271.2</v>
      </c>
    </row>
    <row r="1188" spans="1:6" x14ac:dyDescent="0.3">
      <c r="A1188" s="5">
        <v>45646</v>
      </c>
      <c r="B1188" s="6" t="s">
        <v>28</v>
      </c>
      <c r="C1188" s="7" t="s">
        <v>7</v>
      </c>
      <c r="D1188" s="7">
        <v>25</v>
      </c>
      <c r="E1188" s="8">
        <v>41</v>
      </c>
      <c r="F1188" s="9">
        <f t="shared" si="97"/>
        <v>1025</v>
      </c>
    </row>
    <row r="1189" spans="1:6" x14ac:dyDescent="0.3">
      <c r="A1189" s="5">
        <v>45646</v>
      </c>
      <c r="B1189" s="6" t="s">
        <v>265</v>
      </c>
      <c r="C1189" s="7" t="s">
        <v>7</v>
      </c>
      <c r="D1189" s="7">
        <v>1</v>
      </c>
      <c r="E1189" s="8">
        <v>275</v>
      </c>
      <c r="F1189" s="9">
        <f t="shared" si="97"/>
        <v>275</v>
      </c>
    </row>
    <row r="1190" spans="1:6" x14ac:dyDescent="0.3">
      <c r="A1190" s="5">
        <v>45646</v>
      </c>
      <c r="B1190" s="6" t="s">
        <v>20</v>
      </c>
      <c r="C1190" s="7" t="s">
        <v>7</v>
      </c>
      <c r="D1190" s="7">
        <v>75</v>
      </c>
      <c r="E1190" s="8">
        <v>13.2</v>
      </c>
      <c r="F1190" s="9">
        <f t="shared" si="97"/>
        <v>990</v>
      </c>
    </row>
    <row r="1191" spans="1:6" x14ac:dyDescent="0.3">
      <c r="A1191" s="5">
        <v>45646</v>
      </c>
      <c r="B1191" s="6" t="s">
        <v>37</v>
      </c>
      <c r="C1191" s="7" t="s">
        <v>7</v>
      </c>
      <c r="D1191" s="7">
        <v>15</v>
      </c>
      <c r="E1191" s="8">
        <v>58.75</v>
      </c>
      <c r="F1191" s="9">
        <f t="shared" si="97"/>
        <v>881.25</v>
      </c>
    </row>
    <row r="1192" spans="1:6" x14ac:dyDescent="0.3">
      <c r="A1192" s="5">
        <v>45646</v>
      </c>
      <c r="B1192" s="6" t="s">
        <v>26</v>
      </c>
      <c r="C1192" s="7" t="s">
        <v>7</v>
      </c>
      <c r="D1192" s="7">
        <v>13</v>
      </c>
      <c r="E1192" s="8">
        <v>76.5</v>
      </c>
      <c r="F1192" s="9">
        <f t="shared" si="97"/>
        <v>994.5</v>
      </c>
    </row>
    <row r="1193" spans="1:6" x14ac:dyDescent="0.3">
      <c r="A1193" s="5">
        <v>45646</v>
      </c>
      <c r="B1193" s="6" t="s">
        <v>10</v>
      </c>
      <c r="C1193" s="7" t="s">
        <v>7</v>
      </c>
      <c r="D1193" s="7">
        <v>20</v>
      </c>
      <c r="E1193" s="8">
        <v>52.4</v>
      </c>
      <c r="F1193" s="9">
        <f t="shared" si="97"/>
        <v>1048</v>
      </c>
    </row>
    <row r="1194" spans="1:6" x14ac:dyDescent="0.3">
      <c r="A1194" s="5">
        <v>45646</v>
      </c>
      <c r="B1194" s="6" t="s">
        <v>319</v>
      </c>
      <c r="C1194" s="7" t="s">
        <v>7</v>
      </c>
      <c r="D1194" s="7">
        <v>5</v>
      </c>
      <c r="E1194" s="8">
        <v>28</v>
      </c>
      <c r="F1194" s="9">
        <f t="shared" si="97"/>
        <v>140</v>
      </c>
    </row>
    <row r="1195" spans="1:6" x14ac:dyDescent="0.3">
      <c r="A1195" s="5">
        <v>45646</v>
      </c>
      <c r="B1195" s="6" t="s">
        <v>415</v>
      </c>
      <c r="C1195" s="7" t="s">
        <v>7</v>
      </c>
      <c r="D1195" s="7">
        <v>5</v>
      </c>
      <c r="E1195" s="8">
        <v>31</v>
      </c>
      <c r="F1195" s="9">
        <f t="shared" si="97"/>
        <v>155</v>
      </c>
    </row>
    <row r="1196" spans="1:6" x14ac:dyDescent="0.3">
      <c r="A1196" s="5">
        <v>45646</v>
      </c>
      <c r="B1196" s="6" t="s">
        <v>520</v>
      </c>
      <c r="C1196" s="7" t="s">
        <v>7</v>
      </c>
      <c r="D1196" s="7">
        <v>2</v>
      </c>
      <c r="E1196" s="8">
        <v>96.5</v>
      </c>
      <c r="F1196" s="9">
        <f t="shared" si="97"/>
        <v>193</v>
      </c>
    </row>
    <row r="1197" spans="1:6" x14ac:dyDescent="0.3">
      <c r="A1197" s="5">
        <v>45646</v>
      </c>
      <c r="B1197" s="6" t="s">
        <v>456</v>
      </c>
      <c r="C1197" s="7" t="s">
        <v>7</v>
      </c>
      <c r="D1197" s="7">
        <v>20</v>
      </c>
      <c r="E1197" s="8">
        <v>5.65</v>
      </c>
      <c r="F1197" s="9">
        <f t="shared" si="97"/>
        <v>113</v>
      </c>
    </row>
    <row r="1198" spans="1:6" x14ac:dyDescent="0.3">
      <c r="A1198" s="5">
        <v>45646</v>
      </c>
      <c r="B1198" s="6" t="s">
        <v>249</v>
      </c>
      <c r="C1198" s="7" t="s">
        <v>7</v>
      </c>
      <c r="D1198" s="7">
        <v>5</v>
      </c>
      <c r="E1198" s="8">
        <v>48</v>
      </c>
      <c r="F1198" s="9">
        <f t="shared" si="97"/>
        <v>240</v>
      </c>
    </row>
    <row r="1199" spans="1:6" x14ac:dyDescent="0.3">
      <c r="A1199" s="5">
        <v>45646</v>
      </c>
      <c r="B1199" s="6" t="s">
        <v>249</v>
      </c>
      <c r="C1199" s="7" t="s">
        <v>7</v>
      </c>
      <c r="D1199" s="7">
        <v>10</v>
      </c>
      <c r="E1199" s="8">
        <v>46</v>
      </c>
      <c r="F1199" s="9">
        <f t="shared" si="97"/>
        <v>460</v>
      </c>
    </row>
    <row r="1200" spans="1:6" x14ac:dyDescent="0.3">
      <c r="A1200" s="5">
        <v>45646</v>
      </c>
      <c r="B1200" s="6" t="s">
        <v>28</v>
      </c>
      <c r="C1200" s="7" t="s">
        <v>7</v>
      </c>
      <c r="D1200" s="7">
        <v>15</v>
      </c>
      <c r="E1200" s="8">
        <v>39.9</v>
      </c>
      <c r="F1200" s="9">
        <f t="shared" si="97"/>
        <v>598.5</v>
      </c>
    </row>
    <row r="1201" spans="1:6" x14ac:dyDescent="0.3">
      <c r="A1201" s="5">
        <v>45646</v>
      </c>
      <c r="B1201" s="6" t="s">
        <v>20</v>
      </c>
      <c r="C1201" s="7" t="s">
        <v>7</v>
      </c>
      <c r="D1201" s="7">
        <v>100</v>
      </c>
      <c r="E1201" s="8">
        <v>13.1</v>
      </c>
      <c r="F1201" s="9">
        <f t="shared" si="97"/>
        <v>1310</v>
      </c>
    </row>
    <row r="1202" spans="1:6" x14ac:dyDescent="0.3">
      <c r="A1202" s="5">
        <v>45646</v>
      </c>
      <c r="B1202" s="6" t="s">
        <v>202</v>
      </c>
      <c r="C1202" s="7" t="s">
        <v>7</v>
      </c>
      <c r="D1202" s="7">
        <v>4</v>
      </c>
      <c r="E1202" s="8">
        <v>26.5</v>
      </c>
      <c r="F1202" s="9">
        <f t="shared" si="97"/>
        <v>106</v>
      </c>
    </row>
    <row r="1203" spans="1:6" x14ac:dyDescent="0.3">
      <c r="A1203" s="5">
        <v>45646</v>
      </c>
      <c r="B1203" s="6" t="s">
        <v>206</v>
      </c>
      <c r="C1203" s="7" t="s">
        <v>7</v>
      </c>
      <c r="D1203" s="7">
        <v>10</v>
      </c>
      <c r="E1203" s="8">
        <v>13</v>
      </c>
      <c r="F1203" s="9">
        <f t="shared" si="97"/>
        <v>130</v>
      </c>
    </row>
    <row r="1204" spans="1:6" x14ac:dyDescent="0.3">
      <c r="A1204" s="5">
        <v>45646</v>
      </c>
      <c r="B1204" s="6" t="s">
        <v>383</v>
      </c>
      <c r="C1204" s="7" t="s">
        <v>9</v>
      </c>
      <c r="D1204" s="7">
        <v>500</v>
      </c>
      <c r="E1204" s="8">
        <v>3.27</v>
      </c>
      <c r="F1204" s="9">
        <f t="shared" si="97"/>
        <v>1635</v>
      </c>
    </row>
    <row r="1205" spans="1:6" x14ac:dyDescent="0.3">
      <c r="A1205" s="5">
        <v>45646</v>
      </c>
      <c r="B1205" s="6" t="s">
        <v>20</v>
      </c>
      <c r="C1205" s="7" t="s">
        <v>9</v>
      </c>
      <c r="D1205" s="7">
        <v>75</v>
      </c>
      <c r="E1205" s="8">
        <v>13.5</v>
      </c>
      <c r="F1205" s="9">
        <f t="shared" si="97"/>
        <v>1012.5</v>
      </c>
    </row>
    <row r="1206" spans="1:6" x14ac:dyDescent="0.3">
      <c r="A1206" s="5">
        <v>45646</v>
      </c>
      <c r="B1206" s="6" t="s">
        <v>379</v>
      </c>
      <c r="C1206" s="7" t="s">
        <v>9</v>
      </c>
      <c r="D1206" s="7">
        <v>25</v>
      </c>
      <c r="E1206" s="8">
        <v>60</v>
      </c>
      <c r="F1206" s="9">
        <f t="shared" si="97"/>
        <v>1500</v>
      </c>
    </row>
    <row r="1207" spans="1:6" x14ac:dyDescent="0.3">
      <c r="A1207" s="10">
        <v>45649</v>
      </c>
      <c r="B1207" s="11" t="s">
        <v>404</v>
      </c>
      <c r="C1207" s="12" t="s">
        <v>7</v>
      </c>
      <c r="D1207" s="12">
        <v>5</v>
      </c>
      <c r="E1207" s="13">
        <v>20</v>
      </c>
      <c r="F1207" s="14">
        <f t="shared" ref="F1207:F1228" si="98">+E1207*D1207</f>
        <v>100</v>
      </c>
    </row>
    <row r="1208" spans="1:6" x14ac:dyDescent="0.3">
      <c r="A1208" s="5">
        <v>45649</v>
      </c>
      <c r="B1208" s="6" t="s">
        <v>379</v>
      </c>
      <c r="C1208" s="7" t="s">
        <v>7</v>
      </c>
      <c r="D1208" s="7">
        <v>2</v>
      </c>
      <c r="E1208" s="8">
        <v>54.5</v>
      </c>
      <c r="F1208" s="9">
        <f t="shared" si="98"/>
        <v>109</v>
      </c>
    </row>
    <row r="1209" spans="1:6" x14ac:dyDescent="0.3">
      <c r="A1209" s="5">
        <v>45649</v>
      </c>
      <c r="B1209" s="6" t="s">
        <v>132</v>
      </c>
      <c r="C1209" s="7" t="s">
        <v>7</v>
      </c>
      <c r="D1209" s="7">
        <v>1</v>
      </c>
      <c r="E1209" s="8">
        <v>680</v>
      </c>
      <c r="F1209" s="9">
        <f t="shared" si="98"/>
        <v>680</v>
      </c>
    </row>
    <row r="1210" spans="1:6" x14ac:dyDescent="0.3">
      <c r="A1210" s="5">
        <v>45649</v>
      </c>
      <c r="B1210" s="6" t="s">
        <v>202</v>
      </c>
      <c r="C1210" s="7" t="s">
        <v>7</v>
      </c>
      <c r="D1210" s="7">
        <v>4</v>
      </c>
      <c r="E1210" s="8">
        <v>26</v>
      </c>
      <c r="F1210" s="9">
        <f t="shared" si="98"/>
        <v>104</v>
      </c>
    </row>
    <row r="1211" spans="1:6" x14ac:dyDescent="0.3">
      <c r="A1211" s="5">
        <v>45649</v>
      </c>
      <c r="B1211" s="6" t="s">
        <v>83</v>
      </c>
      <c r="C1211" s="7" t="s">
        <v>7</v>
      </c>
      <c r="D1211" s="7">
        <v>1</v>
      </c>
      <c r="E1211" s="8">
        <v>120</v>
      </c>
      <c r="F1211" s="9">
        <f t="shared" si="98"/>
        <v>120</v>
      </c>
    </row>
    <row r="1212" spans="1:6" x14ac:dyDescent="0.3">
      <c r="A1212" s="5">
        <v>45649</v>
      </c>
      <c r="B1212" s="6" t="s">
        <v>23</v>
      </c>
      <c r="C1212" s="7" t="s">
        <v>7</v>
      </c>
      <c r="D1212" s="7">
        <v>1</v>
      </c>
      <c r="E1212" s="8">
        <v>940</v>
      </c>
      <c r="F1212" s="9">
        <f t="shared" si="98"/>
        <v>940</v>
      </c>
    </row>
    <row r="1213" spans="1:6" x14ac:dyDescent="0.3">
      <c r="A1213" s="5">
        <v>45649</v>
      </c>
      <c r="B1213" s="6" t="s">
        <v>206</v>
      </c>
      <c r="C1213" s="7" t="s">
        <v>7</v>
      </c>
      <c r="D1213" s="7">
        <v>10</v>
      </c>
      <c r="E1213" s="8">
        <v>12.85</v>
      </c>
      <c r="F1213" s="9">
        <f t="shared" si="98"/>
        <v>128.5</v>
      </c>
    </row>
    <row r="1214" spans="1:6" x14ac:dyDescent="0.3">
      <c r="A1214" s="5">
        <v>45649</v>
      </c>
      <c r="B1214" s="6" t="s">
        <v>415</v>
      </c>
      <c r="C1214" s="7" t="s">
        <v>7</v>
      </c>
      <c r="D1214" s="7">
        <v>5</v>
      </c>
      <c r="E1214" s="8">
        <v>30.5</v>
      </c>
      <c r="F1214" s="9">
        <f t="shared" si="98"/>
        <v>152.5</v>
      </c>
    </row>
    <row r="1215" spans="1:6" x14ac:dyDescent="0.3">
      <c r="A1215" s="5">
        <v>45649</v>
      </c>
      <c r="B1215" s="6" t="s">
        <v>157</v>
      </c>
      <c r="C1215" s="7" t="s">
        <v>7</v>
      </c>
      <c r="D1215" s="7">
        <v>2</v>
      </c>
      <c r="E1215" s="8">
        <v>89.5</v>
      </c>
      <c r="F1215" s="9">
        <f t="shared" si="98"/>
        <v>179</v>
      </c>
    </row>
    <row r="1216" spans="1:6" x14ac:dyDescent="0.3">
      <c r="A1216" s="5">
        <v>45649</v>
      </c>
      <c r="B1216" s="6" t="s">
        <v>37</v>
      </c>
      <c r="C1216" s="7" t="s">
        <v>7</v>
      </c>
      <c r="D1216" s="7">
        <v>5</v>
      </c>
      <c r="E1216" s="8">
        <v>57</v>
      </c>
      <c r="F1216" s="9">
        <f t="shared" si="98"/>
        <v>285</v>
      </c>
    </row>
    <row r="1217" spans="1:6" x14ac:dyDescent="0.3">
      <c r="A1217" s="5">
        <v>45649</v>
      </c>
      <c r="B1217" s="6" t="s">
        <v>181</v>
      </c>
      <c r="C1217" s="7" t="s">
        <v>7</v>
      </c>
      <c r="D1217" s="7">
        <v>7</v>
      </c>
      <c r="E1217" s="8">
        <v>20.5</v>
      </c>
      <c r="F1217" s="9">
        <f t="shared" si="98"/>
        <v>143.5</v>
      </c>
    </row>
    <row r="1218" spans="1:6" x14ac:dyDescent="0.3">
      <c r="A1218" s="5">
        <v>45649</v>
      </c>
      <c r="B1218" s="6" t="s">
        <v>13</v>
      </c>
      <c r="C1218" s="7" t="s">
        <v>7</v>
      </c>
      <c r="D1218" s="7">
        <v>100</v>
      </c>
      <c r="E1218" s="8">
        <v>15</v>
      </c>
      <c r="F1218" s="9">
        <f t="shared" si="98"/>
        <v>1500</v>
      </c>
    </row>
    <row r="1219" spans="1:6" x14ac:dyDescent="0.3">
      <c r="A1219" s="5">
        <v>45649</v>
      </c>
      <c r="B1219" s="6" t="s">
        <v>444</v>
      </c>
      <c r="C1219" s="7" t="s">
        <v>7</v>
      </c>
      <c r="D1219" s="7">
        <v>15</v>
      </c>
      <c r="E1219" s="8">
        <v>15</v>
      </c>
      <c r="F1219" s="9">
        <f t="shared" si="98"/>
        <v>225</v>
      </c>
    </row>
    <row r="1220" spans="1:6" x14ac:dyDescent="0.3">
      <c r="A1220" s="5">
        <v>45649</v>
      </c>
      <c r="B1220" s="6" t="s">
        <v>50</v>
      </c>
      <c r="C1220" s="7" t="s">
        <v>7</v>
      </c>
      <c r="D1220" s="7">
        <v>5</v>
      </c>
      <c r="E1220" s="8">
        <v>18</v>
      </c>
      <c r="F1220" s="9">
        <f t="shared" si="98"/>
        <v>90</v>
      </c>
    </row>
    <row r="1221" spans="1:6" x14ac:dyDescent="0.3">
      <c r="A1221" s="5">
        <v>45649</v>
      </c>
      <c r="B1221" s="6" t="s">
        <v>520</v>
      </c>
      <c r="C1221" s="7" t="s">
        <v>7</v>
      </c>
      <c r="D1221" s="7">
        <v>3</v>
      </c>
      <c r="E1221" s="8">
        <v>95</v>
      </c>
      <c r="F1221" s="9">
        <f t="shared" si="98"/>
        <v>285</v>
      </c>
    </row>
    <row r="1222" spans="1:6" x14ac:dyDescent="0.3">
      <c r="A1222" s="5">
        <v>45649</v>
      </c>
      <c r="B1222" s="6" t="s">
        <v>20</v>
      </c>
      <c r="C1222" s="7" t="s">
        <v>7</v>
      </c>
      <c r="D1222" s="7">
        <v>100</v>
      </c>
      <c r="E1222" s="8">
        <v>13.1</v>
      </c>
      <c r="F1222" s="9">
        <f t="shared" si="98"/>
        <v>1310</v>
      </c>
    </row>
    <row r="1223" spans="1:6" x14ac:dyDescent="0.3">
      <c r="A1223" s="5">
        <v>45649</v>
      </c>
      <c r="B1223" s="6" t="s">
        <v>18</v>
      </c>
      <c r="C1223" s="7" t="s">
        <v>7</v>
      </c>
      <c r="D1223" s="7">
        <v>3</v>
      </c>
      <c r="E1223" s="8">
        <v>195</v>
      </c>
      <c r="F1223" s="9">
        <f t="shared" si="98"/>
        <v>585</v>
      </c>
    </row>
    <row r="1224" spans="1:6" x14ac:dyDescent="0.3">
      <c r="A1224" s="5">
        <v>45649</v>
      </c>
      <c r="B1224" s="6" t="s">
        <v>249</v>
      </c>
      <c r="C1224" s="7" t="s">
        <v>7</v>
      </c>
      <c r="D1224" s="7">
        <v>5</v>
      </c>
      <c r="E1224" s="8">
        <v>46</v>
      </c>
      <c r="F1224" s="9">
        <f t="shared" si="98"/>
        <v>230</v>
      </c>
    </row>
    <row r="1225" spans="1:6" x14ac:dyDescent="0.3">
      <c r="A1225" s="5">
        <v>45649</v>
      </c>
      <c r="B1225" s="6" t="s">
        <v>166</v>
      </c>
      <c r="C1225" s="7" t="s">
        <v>9</v>
      </c>
      <c r="D1225" s="7">
        <v>7</v>
      </c>
      <c r="E1225" s="8">
        <v>44.82</v>
      </c>
      <c r="F1225" s="9">
        <f t="shared" si="98"/>
        <v>313.74</v>
      </c>
    </row>
    <row r="1226" spans="1:6" x14ac:dyDescent="0.3">
      <c r="A1226" s="5">
        <v>45649</v>
      </c>
      <c r="B1226" s="6" t="s">
        <v>13</v>
      </c>
      <c r="C1226" s="7" t="s">
        <v>9</v>
      </c>
      <c r="D1226" s="7">
        <v>100</v>
      </c>
      <c r="E1226" s="8">
        <v>15.5</v>
      </c>
      <c r="F1226" s="9">
        <f t="shared" si="98"/>
        <v>1550</v>
      </c>
    </row>
    <row r="1227" spans="1:6" x14ac:dyDescent="0.3">
      <c r="A1227" s="5">
        <v>45649</v>
      </c>
      <c r="B1227" s="6" t="s">
        <v>12</v>
      </c>
      <c r="C1227" s="7" t="s">
        <v>9</v>
      </c>
      <c r="D1227" s="7">
        <v>14</v>
      </c>
      <c r="E1227" s="8">
        <v>110</v>
      </c>
      <c r="F1227" s="9">
        <f t="shared" si="98"/>
        <v>1540</v>
      </c>
    </row>
    <row r="1228" spans="1:6" x14ac:dyDescent="0.3">
      <c r="A1228" s="5">
        <v>45649</v>
      </c>
      <c r="B1228" s="6" t="s">
        <v>20</v>
      </c>
      <c r="C1228" s="7" t="s">
        <v>9</v>
      </c>
      <c r="D1228" s="7">
        <v>100</v>
      </c>
      <c r="E1228" s="8">
        <v>13.5</v>
      </c>
      <c r="F1228" s="9">
        <f t="shared" si="98"/>
        <v>1350</v>
      </c>
    </row>
    <row r="1229" spans="1:6" x14ac:dyDescent="0.3">
      <c r="A1229" s="10">
        <v>45650</v>
      </c>
      <c r="B1229" s="11" t="s">
        <v>379</v>
      </c>
      <c r="C1229" s="12" t="s">
        <v>7</v>
      </c>
      <c r="D1229" s="12">
        <v>3</v>
      </c>
      <c r="E1229" s="13">
        <v>53</v>
      </c>
      <c r="F1229" s="14">
        <f t="shared" ref="F1229:F1235" si="99">+E1229*D1229</f>
        <v>159</v>
      </c>
    </row>
    <row r="1230" spans="1:6" x14ac:dyDescent="0.3">
      <c r="A1230" s="5">
        <v>45650</v>
      </c>
      <c r="B1230" s="6" t="s">
        <v>249</v>
      </c>
      <c r="C1230" s="7" t="s">
        <v>7</v>
      </c>
      <c r="D1230" s="7">
        <v>5</v>
      </c>
      <c r="E1230" s="8">
        <v>45</v>
      </c>
      <c r="F1230" s="9">
        <f t="shared" si="99"/>
        <v>225</v>
      </c>
    </row>
    <row r="1231" spans="1:6" x14ac:dyDescent="0.3">
      <c r="A1231" s="5">
        <v>45650</v>
      </c>
      <c r="B1231" s="6" t="s">
        <v>165</v>
      </c>
      <c r="C1231" s="7" t="s">
        <v>7</v>
      </c>
      <c r="D1231" s="7">
        <v>5</v>
      </c>
      <c r="E1231" s="8">
        <v>29.5</v>
      </c>
      <c r="F1231" s="9">
        <f t="shared" si="99"/>
        <v>147.5</v>
      </c>
    </row>
    <row r="1232" spans="1:6" x14ac:dyDescent="0.3">
      <c r="A1232" s="5">
        <v>45650</v>
      </c>
      <c r="B1232" s="6" t="s">
        <v>319</v>
      </c>
      <c r="C1232" s="7" t="s">
        <v>7</v>
      </c>
      <c r="D1232" s="7">
        <v>5</v>
      </c>
      <c r="E1232" s="8">
        <v>27.5</v>
      </c>
      <c r="F1232" s="9">
        <f t="shared" si="99"/>
        <v>137.5</v>
      </c>
    </row>
    <row r="1233" spans="1:6" x14ac:dyDescent="0.3">
      <c r="A1233" s="5">
        <v>45650</v>
      </c>
      <c r="B1233" s="6" t="s">
        <v>37</v>
      </c>
      <c r="C1233" s="7" t="s">
        <v>7</v>
      </c>
      <c r="D1233" s="7">
        <v>4</v>
      </c>
      <c r="E1233" s="8">
        <v>56</v>
      </c>
      <c r="F1233" s="9">
        <f t="shared" si="99"/>
        <v>224</v>
      </c>
    </row>
    <row r="1234" spans="1:6" x14ac:dyDescent="0.3">
      <c r="A1234" s="5">
        <v>45650</v>
      </c>
      <c r="B1234" s="6" t="s">
        <v>181</v>
      </c>
      <c r="C1234" s="7" t="s">
        <v>7</v>
      </c>
      <c r="D1234" s="7">
        <v>25</v>
      </c>
      <c r="E1234" s="8">
        <v>20</v>
      </c>
      <c r="F1234" s="9">
        <f t="shared" si="99"/>
        <v>500</v>
      </c>
    </row>
    <row r="1235" spans="1:6" x14ac:dyDescent="0.3">
      <c r="A1235" s="5">
        <v>45650</v>
      </c>
      <c r="B1235" s="6" t="s">
        <v>50</v>
      </c>
      <c r="C1235" s="7" t="s">
        <v>9</v>
      </c>
      <c r="D1235" s="7">
        <v>80</v>
      </c>
      <c r="E1235" s="8">
        <v>19.95</v>
      </c>
      <c r="F1235" s="9">
        <f t="shared" si="99"/>
        <v>1596</v>
      </c>
    </row>
    <row r="1236" spans="1:6" x14ac:dyDescent="0.3">
      <c r="A1236" s="10">
        <v>45651</v>
      </c>
      <c r="B1236" s="11" t="s">
        <v>404</v>
      </c>
      <c r="C1236" s="12" t="s">
        <v>9</v>
      </c>
      <c r="D1236" s="12">
        <v>70</v>
      </c>
      <c r="E1236" s="13">
        <v>21</v>
      </c>
      <c r="F1236" s="14">
        <f t="shared" ref="F1236:F1244" si="100">+E1236*D1236</f>
        <v>1470</v>
      </c>
    </row>
    <row r="1237" spans="1:6" x14ac:dyDescent="0.3">
      <c r="A1237" s="5">
        <v>45651</v>
      </c>
      <c r="B1237" s="6" t="s">
        <v>383</v>
      </c>
      <c r="C1237" s="7" t="s">
        <v>9</v>
      </c>
      <c r="D1237" s="7">
        <v>500</v>
      </c>
      <c r="E1237" s="8">
        <v>3.2</v>
      </c>
      <c r="F1237" s="9">
        <f t="shared" si="100"/>
        <v>1600</v>
      </c>
    </row>
    <row r="1238" spans="1:6" x14ac:dyDescent="0.3">
      <c r="A1238" s="5">
        <v>45651</v>
      </c>
      <c r="B1238" s="6" t="s">
        <v>34</v>
      </c>
      <c r="C1238" s="7" t="s">
        <v>9</v>
      </c>
      <c r="D1238" s="7">
        <v>50</v>
      </c>
      <c r="E1238" s="8">
        <v>41</v>
      </c>
      <c r="F1238" s="9">
        <f t="shared" si="100"/>
        <v>2050</v>
      </c>
    </row>
    <row r="1239" spans="1:6" x14ac:dyDescent="0.3">
      <c r="A1239" s="5">
        <v>45651</v>
      </c>
      <c r="B1239" s="6" t="s">
        <v>128</v>
      </c>
      <c r="C1239" s="7" t="s">
        <v>9</v>
      </c>
      <c r="D1239" s="7">
        <v>50</v>
      </c>
      <c r="E1239" s="8">
        <v>18</v>
      </c>
      <c r="F1239" s="9">
        <f t="shared" si="100"/>
        <v>900</v>
      </c>
    </row>
    <row r="1240" spans="1:6" x14ac:dyDescent="0.3">
      <c r="A1240" s="10">
        <v>45652</v>
      </c>
      <c r="B1240" s="11" t="s">
        <v>53</v>
      </c>
      <c r="C1240" s="12" t="s">
        <v>7</v>
      </c>
      <c r="D1240" s="12">
        <v>8</v>
      </c>
      <c r="E1240" s="13">
        <v>7.5</v>
      </c>
      <c r="F1240" s="14">
        <f t="shared" si="100"/>
        <v>60</v>
      </c>
    </row>
    <row r="1241" spans="1:6" x14ac:dyDescent="0.3">
      <c r="A1241" s="5">
        <v>45652</v>
      </c>
      <c r="B1241" s="6" t="s">
        <v>43</v>
      </c>
      <c r="C1241" s="7" t="s">
        <v>7</v>
      </c>
      <c r="D1241" s="7">
        <v>5</v>
      </c>
      <c r="E1241" s="8">
        <v>49</v>
      </c>
      <c r="F1241" s="9">
        <f t="shared" si="100"/>
        <v>245</v>
      </c>
    </row>
    <row r="1242" spans="1:6" x14ac:dyDescent="0.3">
      <c r="A1242" s="5">
        <v>45652</v>
      </c>
      <c r="B1242" s="6" t="s">
        <v>220</v>
      </c>
      <c r="C1242" s="7" t="s">
        <v>7</v>
      </c>
      <c r="D1242" s="7">
        <v>25</v>
      </c>
      <c r="E1242" s="8">
        <v>24.7</v>
      </c>
      <c r="F1242" s="9">
        <f t="shared" si="100"/>
        <v>617.5</v>
      </c>
    </row>
    <row r="1243" spans="1:6" x14ac:dyDescent="0.3">
      <c r="A1243" s="5">
        <v>45652</v>
      </c>
      <c r="B1243" s="6" t="s">
        <v>549</v>
      </c>
      <c r="C1243" s="7" t="s">
        <v>7</v>
      </c>
      <c r="D1243" s="7">
        <v>20</v>
      </c>
      <c r="E1243" s="8">
        <v>17</v>
      </c>
      <c r="F1243" s="9">
        <f t="shared" si="100"/>
        <v>340</v>
      </c>
    </row>
    <row r="1244" spans="1:6" x14ac:dyDescent="0.3">
      <c r="A1244" s="5">
        <v>45652</v>
      </c>
      <c r="B1244" s="6" t="s">
        <v>525</v>
      </c>
      <c r="C1244" s="7" t="s">
        <v>7</v>
      </c>
      <c r="D1244" s="7">
        <v>60</v>
      </c>
      <c r="E1244" s="8">
        <v>16</v>
      </c>
      <c r="F1244" s="9">
        <f t="shared" si="100"/>
        <v>960</v>
      </c>
    </row>
    <row r="1245" spans="1:6" x14ac:dyDescent="0.3">
      <c r="A1245" s="10">
        <v>45653</v>
      </c>
      <c r="B1245" s="11" t="s">
        <v>202</v>
      </c>
      <c r="C1245" s="12" t="s">
        <v>7</v>
      </c>
      <c r="D1245" s="12">
        <v>13</v>
      </c>
      <c r="E1245" s="13">
        <v>24.24</v>
      </c>
      <c r="F1245" s="14">
        <f t="shared" ref="F1245:F1254" si="101">+E1245*D1245</f>
        <v>315.12</v>
      </c>
    </row>
    <row r="1246" spans="1:6" x14ac:dyDescent="0.3">
      <c r="A1246" s="5">
        <v>45653</v>
      </c>
      <c r="B1246" s="6" t="s">
        <v>202</v>
      </c>
      <c r="C1246" s="7" t="s">
        <v>7</v>
      </c>
      <c r="D1246" s="7">
        <v>15</v>
      </c>
      <c r="E1246" s="8">
        <v>23.8</v>
      </c>
      <c r="F1246" s="9">
        <f t="shared" si="101"/>
        <v>357</v>
      </c>
    </row>
    <row r="1247" spans="1:6" x14ac:dyDescent="0.3">
      <c r="A1247" s="5">
        <v>45653</v>
      </c>
      <c r="B1247" s="6" t="s">
        <v>165</v>
      </c>
      <c r="C1247" s="7" t="s">
        <v>7</v>
      </c>
      <c r="D1247" s="7">
        <v>10</v>
      </c>
      <c r="E1247" s="8">
        <v>28.7</v>
      </c>
      <c r="F1247" s="9">
        <f t="shared" si="101"/>
        <v>287</v>
      </c>
    </row>
    <row r="1248" spans="1:6" x14ac:dyDescent="0.3">
      <c r="A1248" s="5">
        <v>45653</v>
      </c>
      <c r="B1248" s="6" t="s">
        <v>165</v>
      </c>
      <c r="C1248" s="7" t="s">
        <v>7</v>
      </c>
      <c r="D1248" s="7">
        <v>10</v>
      </c>
      <c r="E1248" s="8">
        <v>28.5</v>
      </c>
      <c r="F1248" s="9">
        <f t="shared" si="101"/>
        <v>285</v>
      </c>
    </row>
    <row r="1249" spans="1:6" x14ac:dyDescent="0.3">
      <c r="A1249" s="5">
        <v>45653</v>
      </c>
      <c r="B1249" s="6" t="s">
        <v>132</v>
      </c>
      <c r="C1249" s="7" t="s">
        <v>9</v>
      </c>
      <c r="D1249" s="7">
        <v>1</v>
      </c>
      <c r="E1249" s="8">
        <v>700</v>
      </c>
      <c r="F1249" s="9">
        <f t="shared" si="101"/>
        <v>700</v>
      </c>
    </row>
    <row r="1250" spans="1:6" x14ac:dyDescent="0.3">
      <c r="A1250" s="5">
        <v>45653</v>
      </c>
      <c r="B1250" s="6" t="s">
        <v>25</v>
      </c>
      <c r="C1250" s="7" t="s">
        <v>9</v>
      </c>
      <c r="D1250" s="7">
        <v>450</v>
      </c>
      <c r="E1250" s="8">
        <v>3.5</v>
      </c>
      <c r="F1250" s="9">
        <f t="shared" si="101"/>
        <v>1575</v>
      </c>
    </row>
    <row r="1251" spans="1:6" x14ac:dyDescent="0.3">
      <c r="A1251" s="5">
        <v>45653</v>
      </c>
      <c r="B1251" s="6" t="s">
        <v>550</v>
      </c>
      <c r="C1251" s="7" t="s">
        <v>9</v>
      </c>
      <c r="D1251" s="7">
        <v>20</v>
      </c>
      <c r="E1251" s="8">
        <v>70</v>
      </c>
      <c r="F1251" s="9">
        <f t="shared" si="101"/>
        <v>1400</v>
      </c>
    </row>
    <row r="1252" spans="1:6" x14ac:dyDescent="0.3">
      <c r="A1252" s="5">
        <v>45653</v>
      </c>
      <c r="B1252" s="6" t="s">
        <v>26</v>
      </c>
      <c r="C1252" s="7" t="s">
        <v>9</v>
      </c>
      <c r="D1252" s="7">
        <v>13</v>
      </c>
      <c r="E1252" s="8">
        <v>79</v>
      </c>
      <c r="F1252" s="9">
        <f t="shared" si="101"/>
        <v>1027</v>
      </c>
    </row>
    <row r="1253" spans="1:6" x14ac:dyDescent="0.3">
      <c r="A1253" s="5">
        <v>45653</v>
      </c>
      <c r="B1253" s="6" t="s">
        <v>26</v>
      </c>
      <c r="C1253" s="7" t="s">
        <v>9</v>
      </c>
      <c r="D1253" s="7">
        <v>15</v>
      </c>
      <c r="E1253" s="8">
        <v>81</v>
      </c>
      <c r="F1253" s="9">
        <f t="shared" si="101"/>
        <v>1215</v>
      </c>
    </row>
    <row r="1254" spans="1:6" x14ac:dyDescent="0.3">
      <c r="A1254" s="5">
        <v>45653</v>
      </c>
      <c r="B1254" s="6" t="s">
        <v>26</v>
      </c>
      <c r="C1254" s="7" t="s">
        <v>9</v>
      </c>
      <c r="D1254" s="7">
        <v>20</v>
      </c>
      <c r="E1254" s="8">
        <v>83</v>
      </c>
      <c r="F1254" s="9">
        <f t="shared" si="101"/>
        <v>1660</v>
      </c>
    </row>
    <row r="1255" spans="1:6" x14ac:dyDescent="0.3">
      <c r="A1255" s="10">
        <v>45656</v>
      </c>
      <c r="B1255" s="11" t="s">
        <v>165</v>
      </c>
      <c r="C1255" s="12" t="s">
        <v>7</v>
      </c>
      <c r="D1255" s="12">
        <v>10</v>
      </c>
      <c r="E1255" s="13">
        <v>28.4</v>
      </c>
      <c r="F1255" s="14">
        <f t="shared" ref="F1255:F1268" si="102">+E1255*D1255</f>
        <v>284</v>
      </c>
    </row>
    <row r="1256" spans="1:6" x14ac:dyDescent="0.3">
      <c r="A1256" s="10">
        <v>45656</v>
      </c>
      <c r="B1256" s="6" t="s">
        <v>46</v>
      </c>
      <c r="C1256" s="12" t="s">
        <v>7</v>
      </c>
      <c r="D1256" s="7">
        <v>2</v>
      </c>
      <c r="E1256" s="8">
        <v>275</v>
      </c>
      <c r="F1256" s="9">
        <f t="shared" si="102"/>
        <v>550</v>
      </c>
    </row>
    <row r="1257" spans="1:6" x14ac:dyDescent="0.3">
      <c r="A1257" s="5">
        <v>45656</v>
      </c>
      <c r="B1257" s="6" t="s">
        <v>132</v>
      </c>
      <c r="C1257" s="7" t="s">
        <v>7</v>
      </c>
      <c r="D1257" s="7">
        <v>1</v>
      </c>
      <c r="E1257" s="8">
        <v>700</v>
      </c>
      <c r="F1257" s="9">
        <f t="shared" si="102"/>
        <v>700</v>
      </c>
    </row>
    <row r="1258" spans="1:6" x14ac:dyDescent="0.3">
      <c r="A1258" s="5">
        <v>45656</v>
      </c>
      <c r="B1258" s="6" t="s">
        <v>202</v>
      </c>
      <c r="C1258" s="7" t="s">
        <v>7</v>
      </c>
      <c r="D1258" s="7">
        <v>10</v>
      </c>
      <c r="E1258" s="8">
        <v>23.5</v>
      </c>
      <c r="F1258" s="9">
        <f t="shared" si="102"/>
        <v>235</v>
      </c>
    </row>
    <row r="1259" spans="1:6" x14ac:dyDescent="0.3">
      <c r="A1259" s="5">
        <v>45656</v>
      </c>
      <c r="B1259" s="6" t="s">
        <v>529</v>
      </c>
      <c r="C1259" s="7" t="s">
        <v>7</v>
      </c>
      <c r="D1259" s="7">
        <v>10</v>
      </c>
      <c r="E1259" s="8">
        <v>45</v>
      </c>
      <c r="F1259" s="9">
        <f t="shared" si="102"/>
        <v>450</v>
      </c>
    </row>
    <row r="1260" spans="1:6" x14ac:dyDescent="0.3">
      <c r="A1260" s="5">
        <v>45656</v>
      </c>
      <c r="B1260" s="6" t="s">
        <v>181</v>
      </c>
      <c r="C1260" s="7" t="s">
        <v>7</v>
      </c>
      <c r="D1260" s="7">
        <v>45</v>
      </c>
      <c r="E1260" s="8">
        <v>21.5</v>
      </c>
      <c r="F1260" s="9">
        <f t="shared" si="102"/>
        <v>967.5</v>
      </c>
    </row>
    <row r="1261" spans="1:6" x14ac:dyDescent="0.3">
      <c r="A1261" s="5">
        <v>45656</v>
      </c>
      <c r="B1261" s="6" t="s">
        <v>549</v>
      </c>
      <c r="C1261" s="7" t="s">
        <v>7</v>
      </c>
      <c r="D1261" s="7">
        <v>30</v>
      </c>
      <c r="E1261" s="8">
        <v>17</v>
      </c>
      <c r="F1261" s="9">
        <f t="shared" si="102"/>
        <v>510</v>
      </c>
    </row>
    <row r="1262" spans="1:6" x14ac:dyDescent="0.3">
      <c r="A1262" s="5">
        <v>45656</v>
      </c>
      <c r="B1262" s="6" t="s">
        <v>6</v>
      </c>
      <c r="C1262" s="7" t="s">
        <v>7</v>
      </c>
      <c r="D1262" s="7">
        <v>62</v>
      </c>
      <c r="E1262" s="8">
        <v>34.299999999999997</v>
      </c>
      <c r="F1262" s="9">
        <f t="shared" si="102"/>
        <v>2126.6</v>
      </c>
    </row>
    <row r="1263" spans="1:6" x14ac:dyDescent="0.3">
      <c r="A1263" s="5">
        <v>45656</v>
      </c>
      <c r="B1263" s="6" t="s">
        <v>132</v>
      </c>
      <c r="C1263" s="7" t="s">
        <v>9</v>
      </c>
      <c r="D1263" s="7">
        <v>1</v>
      </c>
      <c r="E1263" s="8">
        <v>725</v>
      </c>
      <c r="F1263" s="9">
        <f t="shared" si="102"/>
        <v>725</v>
      </c>
    </row>
    <row r="1264" spans="1:6" x14ac:dyDescent="0.3">
      <c r="A1264" s="5">
        <v>45656</v>
      </c>
      <c r="B1264" s="6" t="s">
        <v>25</v>
      </c>
      <c r="C1264" s="7" t="s">
        <v>9</v>
      </c>
      <c r="D1264" s="7">
        <v>500</v>
      </c>
      <c r="E1264" s="8">
        <v>3.75</v>
      </c>
      <c r="F1264" s="9">
        <f t="shared" si="102"/>
        <v>1875</v>
      </c>
    </row>
    <row r="1265" spans="1:6" x14ac:dyDescent="0.3">
      <c r="A1265" s="5">
        <v>45656</v>
      </c>
      <c r="B1265" s="6" t="s">
        <v>25</v>
      </c>
      <c r="C1265" s="7" t="s">
        <v>9</v>
      </c>
      <c r="D1265" s="7">
        <v>500</v>
      </c>
      <c r="E1265" s="8">
        <v>3.88</v>
      </c>
      <c r="F1265" s="9">
        <f t="shared" si="102"/>
        <v>1940</v>
      </c>
    </row>
    <row r="1266" spans="1:6" x14ac:dyDescent="0.3">
      <c r="A1266" s="5">
        <v>45656</v>
      </c>
      <c r="B1266" s="6" t="s">
        <v>181</v>
      </c>
      <c r="C1266" s="7" t="s">
        <v>9</v>
      </c>
      <c r="D1266" s="7">
        <v>70</v>
      </c>
      <c r="E1266" s="8">
        <v>22</v>
      </c>
      <c r="F1266" s="9">
        <f t="shared" si="102"/>
        <v>1540</v>
      </c>
    </row>
    <row r="1267" spans="1:6" x14ac:dyDescent="0.3">
      <c r="A1267" s="5">
        <v>45656</v>
      </c>
      <c r="B1267" s="6" t="s">
        <v>12</v>
      </c>
      <c r="C1267" s="7" t="s">
        <v>9</v>
      </c>
      <c r="D1267" s="7">
        <v>9</v>
      </c>
      <c r="E1267" s="8">
        <v>116</v>
      </c>
      <c r="F1267" s="9">
        <f t="shared" si="102"/>
        <v>1044</v>
      </c>
    </row>
    <row r="1268" spans="1:6" x14ac:dyDescent="0.3">
      <c r="A1268" s="5">
        <v>45656</v>
      </c>
      <c r="B1268" s="6" t="s">
        <v>10</v>
      </c>
      <c r="C1268" s="7" t="s">
        <v>9</v>
      </c>
      <c r="D1268" s="7">
        <v>20</v>
      </c>
      <c r="E1268" s="8">
        <v>55</v>
      </c>
      <c r="F1268" s="9">
        <f t="shared" si="102"/>
        <v>1100</v>
      </c>
    </row>
    <row r="1269" spans="1:6" x14ac:dyDescent="0.3">
      <c r="A1269" s="10">
        <v>45657</v>
      </c>
      <c r="B1269" s="11" t="s">
        <v>525</v>
      </c>
      <c r="C1269" s="12" t="s">
        <v>7</v>
      </c>
      <c r="D1269" s="12">
        <v>36</v>
      </c>
      <c r="E1269" s="13">
        <v>16.600000000000001</v>
      </c>
      <c r="F1269" s="14">
        <f t="shared" ref="F1269:F1276" si="103">+E1269*D1269</f>
        <v>597.6</v>
      </c>
    </row>
    <row r="1270" spans="1:6" x14ac:dyDescent="0.3">
      <c r="A1270" s="5">
        <v>45657</v>
      </c>
      <c r="B1270" s="6" t="s">
        <v>6</v>
      </c>
      <c r="C1270" s="7" t="s">
        <v>7</v>
      </c>
      <c r="D1270" s="7">
        <v>30</v>
      </c>
      <c r="E1270" s="8">
        <v>33.5</v>
      </c>
      <c r="F1270" s="9">
        <f t="shared" si="103"/>
        <v>1005</v>
      </c>
    </row>
    <row r="1271" spans="1:6" x14ac:dyDescent="0.3">
      <c r="A1271" s="5">
        <v>45657</v>
      </c>
      <c r="B1271" s="6" t="s">
        <v>181</v>
      </c>
      <c r="C1271" s="7" t="s">
        <v>7</v>
      </c>
      <c r="D1271" s="7">
        <v>25</v>
      </c>
      <c r="E1271" s="8">
        <v>21.2</v>
      </c>
      <c r="F1271" s="9">
        <f t="shared" si="103"/>
        <v>530</v>
      </c>
    </row>
    <row r="1272" spans="1:6" x14ac:dyDescent="0.3">
      <c r="A1272" s="5">
        <v>45657</v>
      </c>
      <c r="B1272" s="6" t="s">
        <v>18</v>
      </c>
      <c r="C1272" s="7" t="s">
        <v>7</v>
      </c>
      <c r="D1272" s="7">
        <v>5</v>
      </c>
      <c r="E1272" s="8">
        <v>190</v>
      </c>
      <c r="F1272" s="9">
        <f t="shared" si="103"/>
        <v>950</v>
      </c>
    </row>
    <row r="1273" spans="1:6" x14ac:dyDescent="0.3">
      <c r="A1273" s="5">
        <v>45657</v>
      </c>
      <c r="B1273" s="6" t="s">
        <v>249</v>
      </c>
      <c r="C1273" s="7" t="s">
        <v>7</v>
      </c>
      <c r="D1273" s="7">
        <v>15</v>
      </c>
      <c r="E1273" s="8">
        <v>47</v>
      </c>
      <c r="F1273" s="9">
        <f t="shared" si="103"/>
        <v>705</v>
      </c>
    </row>
    <row r="1274" spans="1:6" x14ac:dyDescent="0.3">
      <c r="A1274" s="5">
        <v>45657</v>
      </c>
      <c r="B1274" s="6" t="s">
        <v>28</v>
      </c>
      <c r="C1274" s="7" t="s">
        <v>7</v>
      </c>
      <c r="D1274" s="7">
        <v>25</v>
      </c>
      <c r="E1274" s="8">
        <v>38.4</v>
      </c>
      <c r="F1274" s="9">
        <f t="shared" si="103"/>
        <v>960</v>
      </c>
    </row>
    <row r="1275" spans="1:6" x14ac:dyDescent="0.3">
      <c r="A1275" s="5">
        <v>45657</v>
      </c>
      <c r="B1275" s="6" t="s">
        <v>50</v>
      </c>
      <c r="C1275" s="7" t="s">
        <v>7</v>
      </c>
      <c r="D1275" s="7">
        <v>5</v>
      </c>
      <c r="E1275" s="8">
        <v>24</v>
      </c>
      <c r="F1275" s="9">
        <f t="shared" si="103"/>
        <v>120</v>
      </c>
    </row>
    <row r="1276" spans="1:6" x14ac:dyDescent="0.3">
      <c r="A1276" s="5">
        <v>45657</v>
      </c>
      <c r="B1276" s="6" t="s">
        <v>383</v>
      </c>
      <c r="C1276" s="7" t="s">
        <v>7</v>
      </c>
      <c r="D1276" s="7">
        <v>100</v>
      </c>
      <c r="E1276" s="8">
        <v>2.71</v>
      </c>
      <c r="F1276" s="9">
        <f t="shared" si="103"/>
        <v>271</v>
      </c>
    </row>
    <row r="1277" spans="1:6" x14ac:dyDescent="0.3">
      <c r="A1277" s="10">
        <v>45659</v>
      </c>
      <c r="B1277" s="11" t="s">
        <v>6</v>
      </c>
      <c r="C1277" s="12" t="s">
        <v>7</v>
      </c>
      <c r="D1277" s="12">
        <v>20</v>
      </c>
      <c r="E1277" s="13">
        <v>32.799999999999997</v>
      </c>
      <c r="F1277" s="14">
        <f t="shared" ref="F1277:F1282" si="104">+E1277*D1277</f>
        <v>656</v>
      </c>
    </row>
    <row r="1278" spans="1:6" x14ac:dyDescent="0.3">
      <c r="A1278" s="5">
        <v>45659</v>
      </c>
      <c r="B1278" s="6" t="s">
        <v>10</v>
      </c>
      <c r="C1278" s="7" t="s">
        <v>7</v>
      </c>
      <c r="D1278" s="7">
        <v>10</v>
      </c>
      <c r="E1278" s="8">
        <v>54.8</v>
      </c>
      <c r="F1278" s="9">
        <f t="shared" si="104"/>
        <v>548</v>
      </c>
    </row>
    <row r="1279" spans="1:6" x14ac:dyDescent="0.3">
      <c r="A1279" s="5">
        <v>45659</v>
      </c>
      <c r="B1279" s="6" t="s">
        <v>28</v>
      </c>
      <c r="C1279" s="7" t="s">
        <v>7</v>
      </c>
      <c r="D1279" s="7">
        <v>20</v>
      </c>
      <c r="E1279" s="8">
        <v>37.799999999999997</v>
      </c>
      <c r="F1279" s="9">
        <f t="shared" si="104"/>
        <v>756</v>
      </c>
    </row>
    <row r="1280" spans="1:6" x14ac:dyDescent="0.3">
      <c r="A1280" s="5">
        <v>45659</v>
      </c>
      <c r="B1280" s="6" t="s">
        <v>352</v>
      </c>
      <c r="C1280" s="7" t="s">
        <v>9</v>
      </c>
      <c r="D1280" s="7">
        <v>220</v>
      </c>
      <c r="E1280" s="8">
        <v>6.35</v>
      </c>
      <c r="F1280" s="9">
        <f t="shared" si="104"/>
        <v>1397</v>
      </c>
    </row>
    <row r="1281" spans="1:6" x14ac:dyDescent="0.3">
      <c r="A1281" s="5">
        <v>45659</v>
      </c>
      <c r="B1281" s="6" t="s">
        <v>28</v>
      </c>
      <c r="C1281" s="7" t="s">
        <v>9</v>
      </c>
      <c r="D1281" s="7">
        <v>20</v>
      </c>
      <c r="E1281" s="8">
        <v>38.5</v>
      </c>
      <c r="F1281" s="9">
        <f t="shared" si="104"/>
        <v>770</v>
      </c>
    </row>
    <row r="1282" spans="1:6" x14ac:dyDescent="0.3">
      <c r="A1282" s="5">
        <v>45659</v>
      </c>
      <c r="B1282" s="6" t="s">
        <v>34</v>
      </c>
      <c r="C1282" s="7" t="s">
        <v>9</v>
      </c>
      <c r="D1282" s="7">
        <v>150</v>
      </c>
      <c r="E1282" s="8">
        <v>43</v>
      </c>
      <c r="F1282" s="9">
        <f t="shared" si="104"/>
        <v>6450</v>
      </c>
    </row>
    <row r="1283" spans="1:6" x14ac:dyDescent="0.3">
      <c r="A1283" s="10">
        <v>45660</v>
      </c>
      <c r="B1283" s="11" t="s">
        <v>43</v>
      </c>
      <c r="C1283" s="12" t="s">
        <v>9</v>
      </c>
      <c r="D1283" s="12">
        <v>30</v>
      </c>
      <c r="E1283" s="13">
        <v>57</v>
      </c>
      <c r="F1283" s="14">
        <f t="shared" ref="F1283:F1290" si="105">+E1283*D1283</f>
        <v>1710</v>
      </c>
    </row>
    <row r="1284" spans="1:6" x14ac:dyDescent="0.3">
      <c r="A1284" s="10">
        <v>45663</v>
      </c>
      <c r="B1284" s="11" t="s">
        <v>101</v>
      </c>
      <c r="C1284" s="12" t="s">
        <v>7</v>
      </c>
      <c r="D1284" s="12">
        <v>2</v>
      </c>
      <c r="E1284" s="13">
        <v>75</v>
      </c>
      <c r="F1284" s="14">
        <f t="shared" si="105"/>
        <v>150</v>
      </c>
    </row>
    <row r="1285" spans="1:6" x14ac:dyDescent="0.3">
      <c r="A1285" s="5">
        <v>45663</v>
      </c>
      <c r="B1285" s="6" t="s">
        <v>166</v>
      </c>
      <c r="C1285" s="7" t="s">
        <v>7</v>
      </c>
      <c r="D1285" s="7">
        <v>4</v>
      </c>
      <c r="E1285" s="8">
        <v>45.4</v>
      </c>
      <c r="F1285" s="9">
        <f t="shared" si="105"/>
        <v>181.6</v>
      </c>
    </row>
    <row r="1286" spans="1:6" x14ac:dyDescent="0.3">
      <c r="A1286" s="5">
        <v>45663</v>
      </c>
      <c r="B1286" s="6" t="s">
        <v>25</v>
      </c>
      <c r="C1286" s="7" t="s">
        <v>9</v>
      </c>
      <c r="D1286" s="7">
        <v>400</v>
      </c>
      <c r="E1286" s="8">
        <v>4</v>
      </c>
      <c r="F1286" s="9">
        <f t="shared" si="105"/>
        <v>1600</v>
      </c>
    </row>
    <row r="1287" spans="1:6" x14ac:dyDescent="0.3">
      <c r="A1287" s="5">
        <v>45663</v>
      </c>
      <c r="B1287" s="6" t="s">
        <v>13</v>
      </c>
      <c r="C1287" s="7" t="s">
        <v>9</v>
      </c>
      <c r="D1287" s="7">
        <v>40</v>
      </c>
      <c r="E1287" s="8">
        <v>15.81</v>
      </c>
      <c r="F1287" s="9">
        <f t="shared" si="105"/>
        <v>632.4</v>
      </c>
    </row>
    <row r="1288" spans="1:6" x14ac:dyDescent="0.3">
      <c r="A1288" s="5">
        <v>45663</v>
      </c>
      <c r="B1288" s="6" t="s">
        <v>13</v>
      </c>
      <c r="C1288" s="7" t="s">
        <v>9</v>
      </c>
      <c r="D1288" s="7">
        <v>100</v>
      </c>
      <c r="E1288" s="8">
        <v>15.9</v>
      </c>
      <c r="F1288" s="9">
        <f t="shared" si="105"/>
        <v>1590</v>
      </c>
    </row>
    <row r="1289" spans="1:6" x14ac:dyDescent="0.3">
      <c r="A1289" s="5">
        <v>45663</v>
      </c>
      <c r="B1289" s="6" t="s">
        <v>13</v>
      </c>
      <c r="C1289" s="7" t="s">
        <v>9</v>
      </c>
      <c r="D1289" s="7">
        <v>100</v>
      </c>
      <c r="E1289" s="8">
        <v>16</v>
      </c>
      <c r="F1289" s="9">
        <f t="shared" si="105"/>
        <v>1600</v>
      </c>
    </row>
    <row r="1290" spans="1:6" x14ac:dyDescent="0.3">
      <c r="A1290" s="5">
        <v>45663</v>
      </c>
      <c r="B1290" s="6" t="s">
        <v>525</v>
      </c>
      <c r="C1290" s="7" t="s">
        <v>9</v>
      </c>
      <c r="D1290" s="7">
        <v>86</v>
      </c>
      <c r="E1290" s="8">
        <v>18.72</v>
      </c>
      <c r="F1290" s="9">
        <f t="shared" si="105"/>
        <v>1609.9199999999998</v>
      </c>
    </row>
    <row r="1291" spans="1:6" x14ac:dyDescent="0.3">
      <c r="A1291" s="10">
        <v>45664</v>
      </c>
      <c r="B1291" s="11" t="s">
        <v>525</v>
      </c>
      <c r="C1291" s="12" t="s">
        <v>7</v>
      </c>
      <c r="D1291" s="12">
        <v>30</v>
      </c>
      <c r="E1291" s="13">
        <v>18</v>
      </c>
      <c r="F1291" s="14">
        <f t="shared" ref="F1291:F1307" si="106">+E1291*D1291</f>
        <v>540</v>
      </c>
    </row>
    <row r="1292" spans="1:6" x14ac:dyDescent="0.3">
      <c r="A1292" s="5">
        <v>45664</v>
      </c>
      <c r="B1292" s="6" t="s">
        <v>319</v>
      </c>
      <c r="C1292" s="7" t="s">
        <v>7</v>
      </c>
      <c r="D1292" s="7">
        <v>10</v>
      </c>
      <c r="E1292" s="8">
        <v>28</v>
      </c>
      <c r="F1292" s="9">
        <f t="shared" si="106"/>
        <v>280</v>
      </c>
    </row>
    <row r="1293" spans="1:6" x14ac:dyDescent="0.3">
      <c r="A1293" s="5">
        <v>45664</v>
      </c>
      <c r="B1293" s="6" t="s">
        <v>12</v>
      </c>
      <c r="C1293" s="7" t="s">
        <v>7</v>
      </c>
      <c r="D1293" s="7">
        <v>5</v>
      </c>
      <c r="E1293" s="8">
        <v>120</v>
      </c>
      <c r="F1293" s="9">
        <f t="shared" si="106"/>
        <v>600</v>
      </c>
    </row>
    <row r="1294" spans="1:6" x14ac:dyDescent="0.3">
      <c r="A1294" s="5">
        <v>45664</v>
      </c>
      <c r="B1294" s="6" t="s">
        <v>128</v>
      </c>
      <c r="C1294" s="7" t="s">
        <v>9</v>
      </c>
      <c r="D1294" s="7">
        <v>80</v>
      </c>
      <c r="E1294" s="8">
        <v>19.2</v>
      </c>
      <c r="F1294" s="9">
        <f t="shared" si="106"/>
        <v>1536</v>
      </c>
    </row>
    <row r="1295" spans="1:6" x14ac:dyDescent="0.3">
      <c r="A1295" s="5">
        <v>45664</v>
      </c>
      <c r="B1295" s="6" t="s">
        <v>128</v>
      </c>
      <c r="C1295" s="7" t="s">
        <v>9</v>
      </c>
      <c r="D1295" s="7">
        <v>100</v>
      </c>
      <c r="E1295" s="8">
        <v>19.52</v>
      </c>
      <c r="F1295" s="9">
        <f t="shared" si="106"/>
        <v>1952</v>
      </c>
    </row>
    <row r="1296" spans="1:6" x14ac:dyDescent="0.3">
      <c r="A1296" s="10">
        <v>45665</v>
      </c>
      <c r="B1296" s="11" t="s">
        <v>28</v>
      </c>
      <c r="C1296" s="12" t="s">
        <v>7</v>
      </c>
      <c r="D1296" s="12">
        <v>35</v>
      </c>
      <c r="E1296" s="13">
        <v>39</v>
      </c>
      <c r="F1296" s="14">
        <f t="shared" si="106"/>
        <v>1365</v>
      </c>
    </row>
    <row r="1297" spans="1:6" x14ac:dyDescent="0.3">
      <c r="A1297" s="10">
        <v>45665</v>
      </c>
      <c r="B1297" s="6" t="s">
        <v>41</v>
      </c>
      <c r="C1297" s="7" t="s">
        <v>7</v>
      </c>
      <c r="D1297" s="7">
        <v>10</v>
      </c>
      <c r="E1297" s="8">
        <v>145</v>
      </c>
      <c r="F1297" s="9">
        <f t="shared" si="106"/>
        <v>1450</v>
      </c>
    </row>
    <row r="1298" spans="1:6" x14ac:dyDescent="0.3">
      <c r="A1298" s="5">
        <v>45665</v>
      </c>
      <c r="B1298" s="6" t="s">
        <v>50</v>
      </c>
      <c r="C1298" s="7" t="s">
        <v>7</v>
      </c>
      <c r="D1298" s="7">
        <v>10</v>
      </c>
      <c r="E1298" s="8">
        <v>22.5</v>
      </c>
      <c r="F1298" s="9">
        <f t="shared" si="106"/>
        <v>225</v>
      </c>
    </row>
    <row r="1299" spans="1:6" x14ac:dyDescent="0.3">
      <c r="A1299" s="5">
        <v>45665</v>
      </c>
      <c r="B1299" s="6" t="s">
        <v>166</v>
      </c>
      <c r="C1299" s="7" t="s">
        <v>7</v>
      </c>
      <c r="D1299" s="7">
        <v>10</v>
      </c>
      <c r="E1299" s="8">
        <v>45</v>
      </c>
      <c r="F1299" s="9">
        <f t="shared" si="106"/>
        <v>450</v>
      </c>
    </row>
    <row r="1300" spans="1:6" x14ac:dyDescent="0.3">
      <c r="A1300" s="5">
        <v>45665</v>
      </c>
      <c r="B1300" s="6" t="s">
        <v>220</v>
      </c>
      <c r="C1300" s="7" t="s">
        <v>7</v>
      </c>
      <c r="D1300" s="7">
        <v>10</v>
      </c>
      <c r="E1300" s="8">
        <v>24</v>
      </c>
      <c r="F1300" s="9">
        <f t="shared" si="106"/>
        <v>240</v>
      </c>
    </row>
    <row r="1301" spans="1:6" x14ac:dyDescent="0.3">
      <c r="A1301" s="5">
        <v>45665</v>
      </c>
      <c r="B1301" s="6" t="s">
        <v>301</v>
      </c>
      <c r="C1301" s="7" t="s">
        <v>7</v>
      </c>
      <c r="D1301" s="7">
        <v>5</v>
      </c>
      <c r="E1301" s="8">
        <v>40</v>
      </c>
      <c r="F1301" s="9">
        <f t="shared" si="106"/>
        <v>200</v>
      </c>
    </row>
    <row r="1302" spans="1:6" x14ac:dyDescent="0.3">
      <c r="A1302" s="5">
        <v>45665</v>
      </c>
      <c r="B1302" s="6" t="s">
        <v>181</v>
      </c>
      <c r="C1302" s="7" t="s">
        <v>7</v>
      </c>
      <c r="D1302" s="7">
        <v>50</v>
      </c>
      <c r="E1302" s="8">
        <v>21</v>
      </c>
      <c r="F1302" s="9">
        <f t="shared" si="106"/>
        <v>1050</v>
      </c>
    </row>
    <row r="1303" spans="1:6" x14ac:dyDescent="0.3">
      <c r="A1303" s="5">
        <v>45665</v>
      </c>
      <c r="B1303" s="6" t="s">
        <v>13</v>
      </c>
      <c r="C1303" s="7" t="s">
        <v>7</v>
      </c>
      <c r="D1303" s="7">
        <v>80</v>
      </c>
      <c r="E1303" s="8">
        <v>15.3</v>
      </c>
      <c r="F1303" s="9">
        <f t="shared" si="106"/>
        <v>1224</v>
      </c>
    </row>
    <row r="1304" spans="1:6" x14ac:dyDescent="0.3">
      <c r="A1304" s="5">
        <v>45665</v>
      </c>
      <c r="B1304" s="6" t="s">
        <v>26</v>
      </c>
      <c r="C1304" s="7" t="s">
        <v>7</v>
      </c>
      <c r="D1304" s="7">
        <v>16</v>
      </c>
      <c r="E1304" s="8">
        <v>78.400000000000006</v>
      </c>
      <c r="F1304" s="9">
        <f t="shared" si="106"/>
        <v>1254.4000000000001</v>
      </c>
    </row>
    <row r="1305" spans="1:6" x14ac:dyDescent="0.3">
      <c r="A1305" s="5">
        <v>45665</v>
      </c>
      <c r="B1305" s="6" t="s">
        <v>128</v>
      </c>
      <c r="C1305" s="7" t="s">
        <v>7</v>
      </c>
      <c r="D1305" s="7">
        <v>60</v>
      </c>
      <c r="E1305" s="8">
        <v>20</v>
      </c>
      <c r="F1305" s="9">
        <f t="shared" si="106"/>
        <v>1200</v>
      </c>
    </row>
    <row r="1306" spans="1:6" x14ac:dyDescent="0.3">
      <c r="A1306" s="5">
        <v>45665</v>
      </c>
      <c r="B1306" s="6" t="s">
        <v>128</v>
      </c>
      <c r="C1306" s="7" t="s">
        <v>9</v>
      </c>
      <c r="D1306" s="7">
        <v>50</v>
      </c>
      <c r="E1306" s="8">
        <v>21</v>
      </c>
      <c r="F1306" s="9">
        <f t="shared" si="106"/>
        <v>1050</v>
      </c>
    </row>
    <row r="1307" spans="1:6" x14ac:dyDescent="0.3">
      <c r="A1307" s="5">
        <v>45665</v>
      </c>
      <c r="B1307" s="6" t="s">
        <v>423</v>
      </c>
      <c r="C1307" s="7" t="s">
        <v>9</v>
      </c>
      <c r="D1307" s="7">
        <v>155</v>
      </c>
      <c r="E1307" s="8">
        <v>9</v>
      </c>
      <c r="F1307" s="9">
        <f t="shared" si="106"/>
        <v>1395</v>
      </c>
    </row>
    <row r="1308" spans="1:6" x14ac:dyDescent="0.3">
      <c r="A1308" s="10">
        <v>45666</v>
      </c>
      <c r="B1308" s="11" t="s">
        <v>404</v>
      </c>
      <c r="C1308" s="12" t="s">
        <v>7</v>
      </c>
      <c r="D1308" s="12">
        <v>10</v>
      </c>
      <c r="E1308" s="13">
        <v>22</v>
      </c>
      <c r="F1308" s="14">
        <f t="shared" ref="F1308:F1320" si="107">+E1308*D1308</f>
        <v>220</v>
      </c>
    </row>
    <row r="1309" spans="1:6" x14ac:dyDescent="0.3">
      <c r="A1309" s="5">
        <v>45666</v>
      </c>
      <c r="B1309" s="6" t="s">
        <v>128</v>
      </c>
      <c r="C1309" s="7" t="s">
        <v>7</v>
      </c>
      <c r="D1309" s="7">
        <v>70</v>
      </c>
      <c r="E1309" s="8">
        <v>19</v>
      </c>
      <c r="F1309" s="9">
        <f t="shared" si="107"/>
        <v>1330</v>
      </c>
    </row>
    <row r="1310" spans="1:6" x14ac:dyDescent="0.3">
      <c r="A1310" s="5">
        <v>45666</v>
      </c>
      <c r="B1310" s="6" t="s">
        <v>423</v>
      </c>
      <c r="C1310" s="7" t="s">
        <v>7</v>
      </c>
      <c r="D1310" s="7">
        <v>25</v>
      </c>
      <c r="E1310" s="8">
        <v>8.8000000000000007</v>
      </c>
      <c r="F1310" s="9">
        <f t="shared" si="107"/>
        <v>220.00000000000003</v>
      </c>
    </row>
    <row r="1311" spans="1:6" x14ac:dyDescent="0.3">
      <c r="A1311" s="5">
        <v>45666</v>
      </c>
      <c r="B1311" s="6" t="s">
        <v>128</v>
      </c>
      <c r="C1311" s="7" t="s">
        <v>7</v>
      </c>
      <c r="D1311" s="7">
        <v>70</v>
      </c>
      <c r="E1311" s="8">
        <v>18.649999999999999</v>
      </c>
      <c r="F1311" s="9">
        <f t="shared" si="107"/>
        <v>1305.5</v>
      </c>
    </row>
    <row r="1312" spans="1:6" x14ac:dyDescent="0.3">
      <c r="A1312" s="5">
        <v>45666</v>
      </c>
      <c r="B1312" s="6" t="s">
        <v>525</v>
      </c>
      <c r="C1312" s="7" t="s">
        <v>7</v>
      </c>
      <c r="D1312" s="7">
        <v>10</v>
      </c>
      <c r="E1312" s="8">
        <v>18</v>
      </c>
      <c r="F1312" s="9">
        <f t="shared" si="107"/>
        <v>180</v>
      </c>
    </row>
    <row r="1313" spans="1:6" x14ac:dyDescent="0.3">
      <c r="A1313" s="5">
        <v>45666</v>
      </c>
      <c r="B1313" s="6" t="s">
        <v>128</v>
      </c>
      <c r="C1313" s="7" t="s">
        <v>7</v>
      </c>
      <c r="D1313" s="7">
        <v>15</v>
      </c>
      <c r="E1313" s="8">
        <v>18.5</v>
      </c>
      <c r="F1313" s="9">
        <f t="shared" si="107"/>
        <v>277.5</v>
      </c>
    </row>
    <row r="1314" spans="1:6" x14ac:dyDescent="0.3">
      <c r="A1314" s="5">
        <v>45666</v>
      </c>
      <c r="B1314" s="6" t="s">
        <v>128</v>
      </c>
      <c r="C1314" s="7" t="s">
        <v>7</v>
      </c>
      <c r="D1314" s="7">
        <v>35</v>
      </c>
      <c r="E1314" s="8">
        <v>18.2</v>
      </c>
      <c r="F1314" s="9">
        <f t="shared" si="107"/>
        <v>637</v>
      </c>
    </row>
    <row r="1315" spans="1:6" x14ac:dyDescent="0.3">
      <c r="A1315" s="5">
        <v>45666</v>
      </c>
      <c r="B1315" s="6" t="s">
        <v>128</v>
      </c>
      <c r="C1315" s="7" t="s">
        <v>7</v>
      </c>
      <c r="D1315" s="7">
        <v>10</v>
      </c>
      <c r="E1315" s="8">
        <v>18.350000000000001</v>
      </c>
      <c r="F1315" s="9">
        <f t="shared" si="107"/>
        <v>183.5</v>
      </c>
    </row>
    <row r="1316" spans="1:6" x14ac:dyDescent="0.3">
      <c r="A1316" s="5">
        <v>45666</v>
      </c>
      <c r="B1316" s="6" t="s">
        <v>128</v>
      </c>
      <c r="C1316" s="7" t="s">
        <v>7</v>
      </c>
      <c r="D1316" s="7">
        <v>20</v>
      </c>
      <c r="E1316" s="8">
        <v>18.3</v>
      </c>
      <c r="F1316" s="9">
        <f t="shared" si="107"/>
        <v>366</v>
      </c>
    </row>
    <row r="1317" spans="1:6" x14ac:dyDescent="0.3">
      <c r="A1317" s="5">
        <v>45666</v>
      </c>
      <c r="B1317" s="6" t="s">
        <v>20</v>
      </c>
      <c r="C1317" s="7" t="s">
        <v>9</v>
      </c>
      <c r="D1317" s="7">
        <v>100</v>
      </c>
      <c r="E1317" s="8">
        <v>14</v>
      </c>
      <c r="F1317" s="9">
        <f t="shared" si="107"/>
        <v>1400</v>
      </c>
    </row>
    <row r="1318" spans="1:6" x14ac:dyDescent="0.3">
      <c r="A1318" s="5">
        <v>45666</v>
      </c>
      <c r="B1318" s="6" t="s">
        <v>20</v>
      </c>
      <c r="C1318" s="7" t="s">
        <v>9</v>
      </c>
      <c r="D1318" s="7">
        <v>160</v>
      </c>
      <c r="E1318" s="8">
        <v>14.45</v>
      </c>
      <c r="F1318" s="9">
        <f t="shared" si="107"/>
        <v>2312</v>
      </c>
    </row>
    <row r="1319" spans="1:6" x14ac:dyDescent="0.3">
      <c r="A1319" s="5">
        <v>45666</v>
      </c>
      <c r="B1319" s="6" t="s">
        <v>25</v>
      </c>
      <c r="C1319" s="7" t="s">
        <v>9</v>
      </c>
      <c r="D1319" s="7">
        <v>100</v>
      </c>
      <c r="E1319" s="8">
        <v>4.1500000000000004</v>
      </c>
      <c r="F1319" s="9">
        <f t="shared" si="107"/>
        <v>415.00000000000006</v>
      </c>
    </row>
    <row r="1320" spans="1:6" x14ac:dyDescent="0.3">
      <c r="A1320" s="5">
        <v>45666</v>
      </c>
      <c r="B1320" s="6" t="s">
        <v>128</v>
      </c>
      <c r="C1320" s="7" t="s">
        <v>9</v>
      </c>
      <c r="D1320" s="7">
        <v>20</v>
      </c>
      <c r="E1320" s="8">
        <v>18.350000000000001</v>
      </c>
      <c r="F1320" s="9">
        <f t="shared" si="107"/>
        <v>367</v>
      </c>
    </row>
    <row r="1321" spans="1:6" x14ac:dyDescent="0.3">
      <c r="A1321" s="10">
        <v>45667</v>
      </c>
      <c r="B1321" s="11" t="s">
        <v>525</v>
      </c>
      <c r="C1321" s="12" t="s">
        <v>7</v>
      </c>
      <c r="D1321" s="12">
        <v>15</v>
      </c>
      <c r="E1321" s="13">
        <v>17.899999999999999</v>
      </c>
      <c r="F1321" s="14">
        <f t="shared" ref="F1321:F1341" si="108">+E1321*D1321</f>
        <v>268.5</v>
      </c>
    </row>
    <row r="1322" spans="1:6" x14ac:dyDescent="0.3">
      <c r="A1322" s="5">
        <v>45667</v>
      </c>
      <c r="B1322" s="6" t="s">
        <v>404</v>
      </c>
      <c r="C1322" s="12" t="s">
        <v>7</v>
      </c>
      <c r="D1322" s="7">
        <v>10</v>
      </c>
      <c r="E1322" s="8">
        <v>22</v>
      </c>
      <c r="F1322" s="9">
        <f t="shared" si="108"/>
        <v>220</v>
      </c>
    </row>
    <row r="1323" spans="1:6" x14ac:dyDescent="0.3">
      <c r="A1323" s="5">
        <v>45667</v>
      </c>
      <c r="B1323" s="6" t="s">
        <v>546</v>
      </c>
      <c r="C1323" s="12" t="s">
        <v>7</v>
      </c>
      <c r="D1323" s="7">
        <v>10</v>
      </c>
      <c r="E1323" s="8">
        <v>25</v>
      </c>
      <c r="F1323" s="9">
        <f t="shared" si="108"/>
        <v>250</v>
      </c>
    </row>
    <row r="1324" spans="1:6" x14ac:dyDescent="0.3">
      <c r="A1324" s="5">
        <v>45667</v>
      </c>
      <c r="B1324" s="6" t="s">
        <v>28</v>
      </c>
      <c r="C1324" s="12" t="s">
        <v>7</v>
      </c>
      <c r="D1324" s="7">
        <v>20</v>
      </c>
      <c r="E1324" s="8">
        <v>39</v>
      </c>
      <c r="F1324" s="9">
        <f t="shared" si="108"/>
        <v>780</v>
      </c>
    </row>
    <row r="1325" spans="1:6" x14ac:dyDescent="0.3">
      <c r="A1325" s="5">
        <v>45667</v>
      </c>
      <c r="B1325" s="6" t="s">
        <v>128</v>
      </c>
      <c r="C1325" s="12" t="s">
        <v>7</v>
      </c>
      <c r="D1325" s="7">
        <v>50</v>
      </c>
      <c r="E1325" s="8">
        <v>18</v>
      </c>
      <c r="F1325" s="9">
        <f t="shared" si="108"/>
        <v>900</v>
      </c>
    </row>
    <row r="1326" spans="1:6" x14ac:dyDescent="0.3">
      <c r="A1326" s="5">
        <v>45667</v>
      </c>
      <c r="B1326" s="6" t="s">
        <v>415</v>
      </c>
      <c r="C1326" s="7" t="s">
        <v>7</v>
      </c>
      <c r="D1326" s="7">
        <v>10</v>
      </c>
      <c r="E1326" s="8">
        <v>33</v>
      </c>
      <c r="F1326" s="9">
        <f t="shared" si="108"/>
        <v>330</v>
      </c>
    </row>
    <row r="1327" spans="1:6" x14ac:dyDescent="0.3">
      <c r="A1327" s="5">
        <v>45667</v>
      </c>
      <c r="B1327" s="6" t="s">
        <v>20</v>
      </c>
      <c r="C1327" s="7" t="s">
        <v>7</v>
      </c>
      <c r="D1327" s="7">
        <v>70</v>
      </c>
      <c r="E1327" s="8">
        <v>13.3</v>
      </c>
      <c r="F1327" s="9">
        <f t="shared" si="108"/>
        <v>931</v>
      </c>
    </row>
    <row r="1328" spans="1:6" x14ac:dyDescent="0.3">
      <c r="A1328" s="5">
        <v>45667</v>
      </c>
      <c r="B1328" s="6" t="s">
        <v>128</v>
      </c>
      <c r="C1328" s="7" t="s">
        <v>7</v>
      </c>
      <c r="D1328" s="7">
        <v>50</v>
      </c>
      <c r="E1328" s="8">
        <v>17.95</v>
      </c>
      <c r="F1328" s="9">
        <f t="shared" si="108"/>
        <v>897.5</v>
      </c>
    </row>
    <row r="1329" spans="1:6" x14ac:dyDescent="0.3">
      <c r="A1329" s="5">
        <v>45667</v>
      </c>
      <c r="B1329" s="6" t="s">
        <v>128</v>
      </c>
      <c r="C1329" s="7" t="s">
        <v>7</v>
      </c>
      <c r="D1329" s="7">
        <v>60</v>
      </c>
      <c r="E1329" s="8">
        <v>17.8</v>
      </c>
      <c r="F1329" s="9">
        <f t="shared" si="108"/>
        <v>1068</v>
      </c>
    </row>
    <row r="1330" spans="1:6" x14ac:dyDescent="0.3">
      <c r="A1330" s="5">
        <v>45667</v>
      </c>
      <c r="B1330" s="6" t="s">
        <v>525</v>
      </c>
      <c r="C1330" s="7" t="s">
        <v>7</v>
      </c>
      <c r="D1330" s="7">
        <v>75</v>
      </c>
      <c r="E1330" s="8">
        <v>17.5</v>
      </c>
      <c r="F1330" s="9">
        <f t="shared" si="108"/>
        <v>1312.5</v>
      </c>
    </row>
    <row r="1331" spans="1:6" x14ac:dyDescent="0.3">
      <c r="A1331" s="5">
        <v>45667</v>
      </c>
      <c r="B1331" s="6" t="s">
        <v>301</v>
      </c>
      <c r="C1331" s="7" t="s">
        <v>7</v>
      </c>
      <c r="D1331" s="7">
        <v>40</v>
      </c>
      <c r="E1331" s="8">
        <v>35</v>
      </c>
      <c r="F1331" s="9">
        <f t="shared" si="108"/>
        <v>1400</v>
      </c>
    </row>
    <row r="1332" spans="1:6" x14ac:dyDescent="0.3">
      <c r="A1332" s="5">
        <v>45667</v>
      </c>
      <c r="B1332" s="6" t="s">
        <v>13</v>
      </c>
      <c r="C1332" s="7" t="s">
        <v>7</v>
      </c>
      <c r="D1332" s="7">
        <v>60</v>
      </c>
      <c r="E1332" s="8">
        <v>15.3</v>
      </c>
      <c r="F1332" s="9">
        <f t="shared" si="108"/>
        <v>918</v>
      </c>
    </row>
    <row r="1333" spans="1:6" x14ac:dyDescent="0.3">
      <c r="A1333" s="5">
        <v>45667</v>
      </c>
      <c r="B1333" s="6" t="s">
        <v>132</v>
      </c>
      <c r="C1333" s="7" t="s">
        <v>7</v>
      </c>
      <c r="D1333" s="7">
        <v>1</v>
      </c>
      <c r="E1333" s="8">
        <v>675</v>
      </c>
      <c r="F1333" s="9">
        <f t="shared" si="108"/>
        <v>675</v>
      </c>
    </row>
    <row r="1334" spans="1:6" x14ac:dyDescent="0.3">
      <c r="A1334" s="5">
        <v>45667</v>
      </c>
      <c r="B1334" s="6" t="s">
        <v>249</v>
      </c>
      <c r="C1334" s="7" t="s">
        <v>7</v>
      </c>
      <c r="D1334" s="7">
        <v>11</v>
      </c>
      <c r="E1334" s="8">
        <v>47.5</v>
      </c>
      <c r="F1334" s="9">
        <f t="shared" si="108"/>
        <v>522.5</v>
      </c>
    </row>
    <row r="1335" spans="1:6" x14ac:dyDescent="0.3">
      <c r="A1335" s="5">
        <v>45667</v>
      </c>
      <c r="B1335" s="6" t="s">
        <v>37</v>
      </c>
      <c r="C1335" s="7" t="s">
        <v>7</v>
      </c>
      <c r="D1335" s="7">
        <v>16</v>
      </c>
      <c r="E1335" s="8">
        <v>58.5</v>
      </c>
      <c r="F1335" s="9">
        <f t="shared" si="108"/>
        <v>936</v>
      </c>
    </row>
    <row r="1336" spans="1:6" x14ac:dyDescent="0.3">
      <c r="A1336" s="5">
        <v>45667</v>
      </c>
      <c r="B1336" s="6" t="s">
        <v>496</v>
      </c>
      <c r="C1336" s="7" t="s">
        <v>7</v>
      </c>
      <c r="D1336" s="7">
        <v>187</v>
      </c>
      <c r="E1336" s="8">
        <v>5.2</v>
      </c>
      <c r="F1336" s="9">
        <f t="shared" si="108"/>
        <v>972.4</v>
      </c>
    </row>
    <row r="1337" spans="1:6" x14ac:dyDescent="0.3">
      <c r="A1337" s="5">
        <v>45667</v>
      </c>
      <c r="B1337" s="6" t="s">
        <v>20</v>
      </c>
      <c r="C1337" s="7" t="s">
        <v>7</v>
      </c>
      <c r="D1337" s="7">
        <v>50</v>
      </c>
      <c r="E1337" s="8">
        <v>13.2</v>
      </c>
      <c r="F1337" s="9">
        <f t="shared" si="108"/>
        <v>660</v>
      </c>
    </row>
    <row r="1338" spans="1:6" x14ac:dyDescent="0.3">
      <c r="A1338" s="5">
        <v>45667</v>
      </c>
      <c r="B1338" s="6" t="s">
        <v>10</v>
      </c>
      <c r="C1338" s="7" t="s">
        <v>7</v>
      </c>
      <c r="D1338" s="7">
        <v>20</v>
      </c>
      <c r="E1338" s="8">
        <v>53</v>
      </c>
      <c r="F1338" s="9">
        <f t="shared" si="108"/>
        <v>1060</v>
      </c>
    </row>
    <row r="1339" spans="1:6" x14ac:dyDescent="0.3">
      <c r="A1339" s="5">
        <v>45667</v>
      </c>
      <c r="B1339" s="6" t="s">
        <v>23</v>
      </c>
      <c r="C1339" s="7" t="s">
        <v>7</v>
      </c>
      <c r="D1339" s="7">
        <v>1</v>
      </c>
      <c r="E1339" s="8">
        <v>925</v>
      </c>
      <c r="F1339" s="9">
        <f t="shared" si="108"/>
        <v>925</v>
      </c>
    </row>
    <row r="1340" spans="1:6" x14ac:dyDescent="0.3">
      <c r="A1340" s="5">
        <v>45667</v>
      </c>
      <c r="B1340" s="6" t="s">
        <v>352</v>
      </c>
      <c r="C1340" s="7" t="s">
        <v>7</v>
      </c>
      <c r="D1340" s="7">
        <v>50</v>
      </c>
      <c r="E1340" s="8">
        <v>6</v>
      </c>
      <c r="F1340" s="9">
        <f t="shared" si="108"/>
        <v>300</v>
      </c>
    </row>
    <row r="1341" spans="1:6" x14ac:dyDescent="0.3">
      <c r="A1341" s="5">
        <v>45667</v>
      </c>
      <c r="B1341" s="6" t="s">
        <v>25</v>
      </c>
      <c r="C1341" s="7" t="s">
        <v>7</v>
      </c>
      <c r="D1341" s="7">
        <v>100</v>
      </c>
      <c r="E1341" s="8">
        <v>4</v>
      </c>
      <c r="F1341" s="9">
        <f t="shared" si="108"/>
        <v>400</v>
      </c>
    </row>
    <row r="1342" spans="1:6" x14ac:dyDescent="0.3">
      <c r="A1342" s="10">
        <v>45670</v>
      </c>
      <c r="B1342" s="11" t="s">
        <v>415</v>
      </c>
      <c r="C1342" s="12" t="s">
        <v>7</v>
      </c>
      <c r="D1342" s="12">
        <v>10</v>
      </c>
      <c r="E1342" s="13">
        <v>32.42</v>
      </c>
      <c r="F1342" s="14">
        <f t="shared" ref="F1342:F1369" si="109">+E1342*D1342</f>
        <v>324.20000000000005</v>
      </c>
    </row>
    <row r="1343" spans="1:6" x14ac:dyDescent="0.3">
      <c r="A1343" s="5">
        <v>45670</v>
      </c>
      <c r="B1343" s="6" t="s">
        <v>20</v>
      </c>
      <c r="C1343" s="12" t="s">
        <v>7</v>
      </c>
      <c r="D1343" s="7">
        <v>50</v>
      </c>
      <c r="E1343" s="8">
        <v>13.1</v>
      </c>
      <c r="F1343" s="9">
        <f t="shared" si="109"/>
        <v>655</v>
      </c>
    </row>
    <row r="1344" spans="1:6" x14ac:dyDescent="0.3">
      <c r="A1344" s="5">
        <v>45670</v>
      </c>
      <c r="B1344" s="6" t="s">
        <v>10</v>
      </c>
      <c r="C1344" s="7" t="s">
        <v>7</v>
      </c>
      <c r="D1344" s="7">
        <v>10</v>
      </c>
      <c r="E1344" s="8">
        <v>52</v>
      </c>
      <c r="F1344" s="9">
        <f t="shared" si="109"/>
        <v>520</v>
      </c>
    </row>
    <row r="1345" spans="1:6" x14ac:dyDescent="0.3">
      <c r="A1345" s="5">
        <v>45670</v>
      </c>
      <c r="B1345" s="6" t="s">
        <v>13</v>
      </c>
      <c r="C1345" s="7" t="s">
        <v>7</v>
      </c>
      <c r="D1345" s="7">
        <v>40</v>
      </c>
      <c r="E1345" s="8">
        <v>15</v>
      </c>
      <c r="F1345" s="9">
        <f t="shared" si="109"/>
        <v>600</v>
      </c>
    </row>
    <row r="1346" spans="1:6" x14ac:dyDescent="0.3">
      <c r="A1346" s="5">
        <v>45670</v>
      </c>
      <c r="B1346" s="6" t="s">
        <v>83</v>
      </c>
      <c r="C1346" s="7" t="s">
        <v>7</v>
      </c>
      <c r="D1346" s="7">
        <v>3</v>
      </c>
      <c r="E1346" s="8">
        <v>120</v>
      </c>
      <c r="F1346" s="9">
        <f t="shared" si="109"/>
        <v>360</v>
      </c>
    </row>
    <row r="1347" spans="1:6" x14ac:dyDescent="0.3">
      <c r="A1347" s="5">
        <v>45670</v>
      </c>
      <c r="B1347" s="6" t="s">
        <v>6</v>
      </c>
      <c r="C1347" s="7" t="s">
        <v>7</v>
      </c>
      <c r="D1347" s="7">
        <v>30</v>
      </c>
      <c r="E1347" s="8">
        <v>34.799999999999997</v>
      </c>
      <c r="F1347" s="9">
        <f t="shared" si="109"/>
        <v>1044</v>
      </c>
    </row>
    <row r="1348" spans="1:6" x14ac:dyDescent="0.3">
      <c r="A1348" s="5">
        <v>45670</v>
      </c>
      <c r="B1348" s="6" t="s">
        <v>53</v>
      </c>
      <c r="C1348" s="7" t="s">
        <v>7</v>
      </c>
      <c r="D1348" s="7">
        <v>30</v>
      </c>
      <c r="E1348" s="8">
        <v>7.5</v>
      </c>
      <c r="F1348" s="9">
        <f t="shared" si="109"/>
        <v>225</v>
      </c>
    </row>
    <row r="1349" spans="1:6" x14ac:dyDescent="0.3">
      <c r="A1349" s="5">
        <v>45670</v>
      </c>
      <c r="B1349" s="6" t="s">
        <v>28</v>
      </c>
      <c r="C1349" s="7" t="s">
        <v>7</v>
      </c>
      <c r="D1349" s="7">
        <v>20</v>
      </c>
      <c r="E1349" s="8">
        <v>38</v>
      </c>
      <c r="F1349" s="9">
        <f t="shared" si="109"/>
        <v>760</v>
      </c>
    </row>
    <row r="1350" spans="1:6" x14ac:dyDescent="0.3">
      <c r="A1350" s="5">
        <v>45670</v>
      </c>
      <c r="B1350" s="6" t="s">
        <v>444</v>
      </c>
      <c r="C1350" s="7" t="s">
        <v>7</v>
      </c>
      <c r="D1350" s="7">
        <v>10</v>
      </c>
      <c r="E1350" s="8">
        <v>16</v>
      </c>
      <c r="F1350" s="9">
        <f t="shared" si="109"/>
        <v>160</v>
      </c>
    </row>
    <row r="1351" spans="1:6" x14ac:dyDescent="0.3">
      <c r="A1351" s="5">
        <v>45670</v>
      </c>
      <c r="B1351" s="6" t="s">
        <v>6</v>
      </c>
      <c r="C1351" s="7" t="s">
        <v>7</v>
      </c>
      <c r="D1351" s="7">
        <v>20</v>
      </c>
      <c r="E1351" s="8">
        <v>34.5</v>
      </c>
      <c r="F1351" s="9">
        <f t="shared" si="109"/>
        <v>690</v>
      </c>
    </row>
    <row r="1352" spans="1:6" x14ac:dyDescent="0.3">
      <c r="A1352" s="5">
        <v>45670</v>
      </c>
      <c r="B1352" s="6" t="s">
        <v>18</v>
      </c>
      <c r="C1352" s="7" t="s">
        <v>7</v>
      </c>
      <c r="D1352" s="7">
        <v>3</v>
      </c>
      <c r="E1352" s="8">
        <v>196</v>
      </c>
      <c r="F1352" s="9">
        <f t="shared" si="109"/>
        <v>588</v>
      </c>
    </row>
    <row r="1353" spans="1:6" x14ac:dyDescent="0.3">
      <c r="A1353" s="5">
        <v>45670</v>
      </c>
      <c r="B1353" s="6" t="s">
        <v>26</v>
      </c>
      <c r="C1353" s="7" t="s">
        <v>7</v>
      </c>
      <c r="D1353" s="7">
        <v>7</v>
      </c>
      <c r="E1353" s="8">
        <v>78</v>
      </c>
      <c r="F1353" s="9">
        <f t="shared" si="109"/>
        <v>546</v>
      </c>
    </row>
    <row r="1354" spans="1:6" x14ac:dyDescent="0.3">
      <c r="A1354" s="5">
        <v>45670</v>
      </c>
      <c r="B1354" s="6" t="s">
        <v>319</v>
      </c>
      <c r="C1354" s="7" t="s">
        <v>7</v>
      </c>
      <c r="D1354" s="7">
        <v>10</v>
      </c>
      <c r="E1354" s="8">
        <v>28</v>
      </c>
      <c r="F1354" s="9">
        <f t="shared" si="109"/>
        <v>280</v>
      </c>
    </row>
    <row r="1355" spans="1:6" x14ac:dyDescent="0.3">
      <c r="A1355" s="5">
        <v>45670</v>
      </c>
      <c r="B1355" s="6" t="s">
        <v>415</v>
      </c>
      <c r="C1355" s="7" t="s">
        <v>7</v>
      </c>
      <c r="D1355" s="7">
        <v>10</v>
      </c>
      <c r="E1355" s="8">
        <v>32.5</v>
      </c>
      <c r="F1355" s="9">
        <f t="shared" si="109"/>
        <v>325</v>
      </c>
    </row>
    <row r="1356" spans="1:6" x14ac:dyDescent="0.3">
      <c r="A1356" s="5">
        <v>45670</v>
      </c>
      <c r="B1356" s="6" t="s">
        <v>220</v>
      </c>
      <c r="C1356" s="7" t="s">
        <v>7</v>
      </c>
      <c r="D1356" s="7">
        <v>10</v>
      </c>
      <c r="E1356" s="8">
        <v>23.5</v>
      </c>
      <c r="F1356" s="9">
        <f t="shared" si="109"/>
        <v>235</v>
      </c>
    </row>
    <row r="1357" spans="1:6" x14ac:dyDescent="0.3">
      <c r="A1357" s="5">
        <v>45670</v>
      </c>
      <c r="B1357" s="6" t="s">
        <v>25</v>
      </c>
      <c r="C1357" s="7" t="s">
        <v>7</v>
      </c>
      <c r="D1357" s="7">
        <v>50</v>
      </c>
      <c r="E1357" s="8">
        <v>3.86</v>
      </c>
      <c r="F1357" s="9">
        <f t="shared" si="109"/>
        <v>193</v>
      </c>
    </row>
    <row r="1358" spans="1:6" x14ac:dyDescent="0.3">
      <c r="A1358" s="5">
        <v>45670</v>
      </c>
      <c r="B1358" s="6" t="s">
        <v>20</v>
      </c>
      <c r="C1358" s="7" t="s">
        <v>7</v>
      </c>
      <c r="D1358" s="7">
        <v>50</v>
      </c>
      <c r="E1358" s="8">
        <v>13</v>
      </c>
      <c r="F1358" s="9">
        <f t="shared" si="109"/>
        <v>650</v>
      </c>
    </row>
    <row r="1359" spans="1:6" x14ac:dyDescent="0.3">
      <c r="A1359" s="5">
        <v>45670</v>
      </c>
      <c r="B1359" s="6" t="s">
        <v>6</v>
      </c>
      <c r="C1359" s="7" t="s">
        <v>7</v>
      </c>
      <c r="D1359" s="7">
        <v>30</v>
      </c>
      <c r="E1359" s="8">
        <v>34.799999999999997</v>
      </c>
      <c r="F1359" s="9">
        <f t="shared" si="109"/>
        <v>1044</v>
      </c>
    </row>
    <row r="1360" spans="1:6" x14ac:dyDescent="0.3">
      <c r="A1360" s="5">
        <v>45670</v>
      </c>
      <c r="B1360" s="6" t="s">
        <v>6</v>
      </c>
      <c r="C1360" s="7" t="s">
        <v>7</v>
      </c>
      <c r="D1360" s="7">
        <v>20</v>
      </c>
      <c r="E1360" s="8">
        <v>34.5</v>
      </c>
      <c r="F1360" s="9">
        <f t="shared" si="109"/>
        <v>690</v>
      </c>
    </row>
    <row r="1361" spans="1:6" x14ac:dyDescent="0.3">
      <c r="A1361" s="5">
        <v>45670</v>
      </c>
      <c r="B1361" s="6" t="s">
        <v>10</v>
      </c>
      <c r="C1361" s="7" t="s">
        <v>7</v>
      </c>
      <c r="D1361" s="7">
        <v>10</v>
      </c>
      <c r="E1361" s="8">
        <v>51</v>
      </c>
      <c r="F1361" s="9">
        <f t="shared" si="109"/>
        <v>510</v>
      </c>
    </row>
    <row r="1362" spans="1:6" x14ac:dyDescent="0.3">
      <c r="A1362" s="5">
        <v>45670</v>
      </c>
      <c r="B1362" s="6" t="s">
        <v>456</v>
      </c>
      <c r="C1362" s="7" t="s">
        <v>7</v>
      </c>
      <c r="D1362" s="7">
        <v>40</v>
      </c>
      <c r="E1362" s="8">
        <v>5.5</v>
      </c>
      <c r="F1362" s="9">
        <f t="shared" si="109"/>
        <v>220</v>
      </c>
    </row>
    <row r="1363" spans="1:6" x14ac:dyDescent="0.3">
      <c r="A1363" s="5">
        <v>45670</v>
      </c>
      <c r="B1363" s="6" t="s">
        <v>50</v>
      </c>
      <c r="C1363" s="7" t="s">
        <v>7</v>
      </c>
      <c r="D1363" s="7">
        <v>10</v>
      </c>
      <c r="E1363" s="8">
        <v>22</v>
      </c>
      <c r="F1363" s="9">
        <f t="shared" si="109"/>
        <v>220</v>
      </c>
    </row>
    <row r="1364" spans="1:6" x14ac:dyDescent="0.3">
      <c r="A1364" s="5">
        <v>45670</v>
      </c>
      <c r="B1364" s="6" t="s">
        <v>496</v>
      </c>
      <c r="C1364" s="7" t="s">
        <v>7</v>
      </c>
      <c r="D1364" s="7">
        <v>110</v>
      </c>
      <c r="E1364" s="8">
        <v>5.09</v>
      </c>
      <c r="F1364" s="9">
        <f t="shared" si="109"/>
        <v>559.9</v>
      </c>
    </row>
    <row r="1365" spans="1:6" x14ac:dyDescent="0.3">
      <c r="A1365" s="5">
        <v>45670</v>
      </c>
      <c r="B1365" s="6" t="s">
        <v>249</v>
      </c>
      <c r="C1365" s="7" t="s">
        <v>7</v>
      </c>
      <c r="D1365" s="7">
        <v>8</v>
      </c>
      <c r="E1365" s="8">
        <v>45</v>
      </c>
      <c r="F1365" s="9">
        <f t="shared" si="109"/>
        <v>360</v>
      </c>
    </row>
    <row r="1366" spans="1:6" x14ac:dyDescent="0.3">
      <c r="A1366" s="5">
        <v>45670</v>
      </c>
      <c r="B1366" s="6" t="s">
        <v>6</v>
      </c>
      <c r="C1366" s="7" t="s">
        <v>9</v>
      </c>
      <c r="D1366" s="7">
        <v>100</v>
      </c>
      <c r="E1366" s="8">
        <v>35</v>
      </c>
      <c r="F1366" s="9">
        <f t="shared" si="109"/>
        <v>3500</v>
      </c>
    </row>
    <row r="1367" spans="1:6" x14ac:dyDescent="0.3">
      <c r="A1367" s="5">
        <v>45670</v>
      </c>
      <c r="B1367" s="6" t="s">
        <v>6</v>
      </c>
      <c r="C1367" s="7" t="s">
        <v>9</v>
      </c>
      <c r="D1367" s="7">
        <v>20</v>
      </c>
      <c r="E1367" s="8">
        <v>34.799999999999997</v>
      </c>
      <c r="F1367" s="9">
        <f t="shared" si="109"/>
        <v>696</v>
      </c>
    </row>
    <row r="1368" spans="1:6" x14ac:dyDescent="0.3">
      <c r="A1368" s="5">
        <v>45670</v>
      </c>
      <c r="B1368" s="6" t="s">
        <v>6</v>
      </c>
      <c r="C1368" s="7" t="s">
        <v>9</v>
      </c>
      <c r="D1368" s="7">
        <v>30</v>
      </c>
      <c r="E1368" s="8">
        <v>35</v>
      </c>
      <c r="F1368" s="9">
        <f t="shared" si="109"/>
        <v>1050</v>
      </c>
    </row>
    <row r="1369" spans="1:6" x14ac:dyDescent="0.3">
      <c r="A1369" s="5">
        <v>45670</v>
      </c>
      <c r="B1369" s="6" t="s">
        <v>415</v>
      </c>
      <c r="C1369" s="7" t="s">
        <v>9</v>
      </c>
      <c r="D1369" s="7">
        <v>20</v>
      </c>
      <c r="E1369" s="8">
        <v>33.5</v>
      </c>
      <c r="F1369" s="9">
        <f t="shared" si="109"/>
        <v>670</v>
      </c>
    </row>
    <row r="1370" spans="1:6" x14ac:dyDescent="0.3">
      <c r="A1370" s="10">
        <v>45671</v>
      </c>
      <c r="B1370" s="11" t="s">
        <v>13</v>
      </c>
      <c r="C1370" s="7" t="s">
        <v>9</v>
      </c>
      <c r="D1370" s="12">
        <v>80</v>
      </c>
      <c r="E1370" s="13">
        <v>16</v>
      </c>
      <c r="F1370" s="14">
        <f t="shared" ref="F1370:F1378" si="110">+E1370*D1370</f>
        <v>1280</v>
      </c>
    </row>
    <row r="1371" spans="1:6" x14ac:dyDescent="0.3">
      <c r="A1371" s="5">
        <v>45671</v>
      </c>
      <c r="B1371" s="6" t="s">
        <v>13</v>
      </c>
      <c r="C1371" s="7" t="s">
        <v>7</v>
      </c>
      <c r="D1371" s="7">
        <v>100</v>
      </c>
      <c r="E1371" s="8">
        <v>15.2</v>
      </c>
      <c r="F1371" s="9">
        <f t="shared" si="110"/>
        <v>1520</v>
      </c>
    </row>
    <row r="1372" spans="1:6" x14ac:dyDescent="0.3">
      <c r="A1372" s="5">
        <v>45671</v>
      </c>
      <c r="B1372" s="6" t="s">
        <v>220</v>
      </c>
      <c r="C1372" s="7" t="s">
        <v>7</v>
      </c>
      <c r="D1372" s="7">
        <v>10</v>
      </c>
      <c r="E1372" s="8">
        <v>23</v>
      </c>
      <c r="F1372" s="9">
        <f t="shared" si="110"/>
        <v>230</v>
      </c>
    </row>
    <row r="1373" spans="1:6" x14ac:dyDescent="0.3">
      <c r="A1373" s="10">
        <v>45671</v>
      </c>
      <c r="B1373" s="11" t="s">
        <v>83</v>
      </c>
      <c r="C1373" s="12" t="s">
        <v>7</v>
      </c>
      <c r="D1373" s="12">
        <v>5</v>
      </c>
      <c r="E1373" s="13">
        <v>115</v>
      </c>
      <c r="F1373" s="14">
        <f t="shared" si="110"/>
        <v>575</v>
      </c>
    </row>
    <row r="1374" spans="1:6" x14ac:dyDescent="0.3">
      <c r="A1374" s="10">
        <v>45672</v>
      </c>
      <c r="B1374" s="11" t="s">
        <v>157</v>
      </c>
      <c r="C1374" s="12" t="s">
        <v>7</v>
      </c>
      <c r="D1374" s="12">
        <v>3</v>
      </c>
      <c r="E1374" s="13">
        <v>92</v>
      </c>
      <c r="F1374" s="14">
        <f t="shared" si="110"/>
        <v>276</v>
      </c>
    </row>
    <row r="1375" spans="1:6" x14ac:dyDescent="0.3">
      <c r="A1375" s="10">
        <v>45672</v>
      </c>
      <c r="B1375" s="6" t="s">
        <v>6</v>
      </c>
      <c r="C1375" s="7" t="s">
        <v>7</v>
      </c>
      <c r="D1375" s="7">
        <v>15</v>
      </c>
      <c r="E1375" s="8">
        <v>33.4</v>
      </c>
      <c r="F1375" s="9">
        <f t="shared" si="110"/>
        <v>501</v>
      </c>
    </row>
    <row r="1376" spans="1:6" x14ac:dyDescent="0.3">
      <c r="A1376" s="5">
        <v>45672</v>
      </c>
      <c r="B1376" s="6" t="s">
        <v>165</v>
      </c>
      <c r="C1376" s="7" t="s">
        <v>7</v>
      </c>
      <c r="D1376" s="7">
        <v>10</v>
      </c>
      <c r="E1376" s="8">
        <v>26</v>
      </c>
      <c r="F1376" s="9">
        <f t="shared" si="110"/>
        <v>260</v>
      </c>
    </row>
    <row r="1377" spans="1:6" x14ac:dyDescent="0.3">
      <c r="A1377" s="5">
        <v>45672</v>
      </c>
      <c r="B1377" s="6" t="s">
        <v>423</v>
      </c>
      <c r="C1377" s="7" t="s">
        <v>9</v>
      </c>
      <c r="D1377" s="7">
        <v>25</v>
      </c>
      <c r="E1377" s="8">
        <v>9.6999999999999993</v>
      </c>
      <c r="F1377" s="9">
        <f t="shared" si="110"/>
        <v>242.49999999999997</v>
      </c>
    </row>
    <row r="1378" spans="1:6" x14ac:dyDescent="0.3">
      <c r="A1378" s="5">
        <v>45672</v>
      </c>
      <c r="B1378" s="6" t="s">
        <v>181</v>
      </c>
      <c r="C1378" s="7" t="s">
        <v>7</v>
      </c>
      <c r="D1378" s="7">
        <v>175</v>
      </c>
      <c r="E1378" s="8">
        <v>0</v>
      </c>
      <c r="F1378" s="9">
        <f t="shared" si="110"/>
        <v>0</v>
      </c>
    </row>
    <row r="1379" spans="1:6" x14ac:dyDescent="0.3">
      <c r="A1379" s="10">
        <v>45673</v>
      </c>
      <c r="B1379" s="11" t="s">
        <v>181</v>
      </c>
      <c r="C1379" s="7" t="s">
        <v>7</v>
      </c>
      <c r="D1379" s="12">
        <v>30</v>
      </c>
      <c r="E1379" s="13">
        <v>11</v>
      </c>
      <c r="F1379" s="14">
        <f t="shared" ref="F1379:F1384" si="111">+E1379*D1379</f>
        <v>330</v>
      </c>
    </row>
    <row r="1380" spans="1:6" x14ac:dyDescent="0.3">
      <c r="A1380" s="5">
        <v>45673</v>
      </c>
      <c r="B1380" s="11" t="s">
        <v>181</v>
      </c>
      <c r="C1380" s="7" t="s">
        <v>7</v>
      </c>
      <c r="D1380" s="7">
        <v>75</v>
      </c>
      <c r="E1380" s="8">
        <v>10.5</v>
      </c>
      <c r="F1380" s="9">
        <f t="shared" si="111"/>
        <v>787.5</v>
      </c>
    </row>
    <row r="1381" spans="1:6" x14ac:dyDescent="0.3">
      <c r="A1381" s="5">
        <v>45673</v>
      </c>
      <c r="B1381" s="6" t="s">
        <v>6</v>
      </c>
      <c r="C1381" s="7" t="s">
        <v>7</v>
      </c>
      <c r="D1381" s="7">
        <v>20</v>
      </c>
      <c r="E1381" s="8">
        <v>34</v>
      </c>
      <c r="F1381" s="9">
        <f t="shared" si="111"/>
        <v>680</v>
      </c>
    </row>
    <row r="1382" spans="1:6" x14ac:dyDescent="0.3">
      <c r="A1382" s="5">
        <v>45673</v>
      </c>
      <c r="B1382" s="6" t="s">
        <v>6</v>
      </c>
      <c r="C1382" s="7" t="s">
        <v>9</v>
      </c>
      <c r="D1382" s="7">
        <v>15</v>
      </c>
      <c r="E1382" s="8">
        <v>34.5</v>
      </c>
      <c r="F1382" s="9">
        <f t="shared" si="111"/>
        <v>517.5</v>
      </c>
    </row>
    <row r="1383" spans="1:6" x14ac:dyDescent="0.3">
      <c r="A1383" s="5">
        <v>45673</v>
      </c>
      <c r="B1383" s="6" t="s">
        <v>181</v>
      </c>
      <c r="C1383" s="7" t="s">
        <v>9</v>
      </c>
      <c r="D1383" s="7">
        <v>140</v>
      </c>
      <c r="E1383" s="8">
        <v>11</v>
      </c>
      <c r="F1383" s="9">
        <f t="shared" si="111"/>
        <v>1540</v>
      </c>
    </row>
    <row r="1384" spans="1:6" x14ac:dyDescent="0.3">
      <c r="A1384" s="5">
        <v>45673</v>
      </c>
      <c r="B1384" s="6" t="s">
        <v>181</v>
      </c>
      <c r="C1384" s="7" t="s">
        <v>9</v>
      </c>
      <c r="D1384" s="7">
        <v>140</v>
      </c>
      <c r="E1384" s="8">
        <v>11.47</v>
      </c>
      <c r="F1384" s="9">
        <f t="shared" si="111"/>
        <v>1605.8000000000002</v>
      </c>
    </row>
    <row r="1385" spans="1:6" x14ac:dyDescent="0.3">
      <c r="A1385" s="10">
        <v>45674</v>
      </c>
      <c r="B1385" s="11" t="s">
        <v>165</v>
      </c>
      <c r="C1385" s="12" t="s">
        <v>7</v>
      </c>
      <c r="D1385" s="12">
        <v>60</v>
      </c>
      <c r="E1385" s="13">
        <v>25.82</v>
      </c>
      <c r="F1385" s="14">
        <f t="shared" ref="F1385:F1391" si="112">+E1385*D1385</f>
        <v>1549.2</v>
      </c>
    </row>
    <row r="1386" spans="1:6" x14ac:dyDescent="0.3">
      <c r="A1386" s="5">
        <v>45674</v>
      </c>
      <c r="B1386" s="6" t="s">
        <v>383</v>
      </c>
      <c r="C1386" s="7" t="s">
        <v>9</v>
      </c>
      <c r="D1386" s="7">
        <v>100</v>
      </c>
      <c r="E1386" s="8">
        <v>3.22</v>
      </c>
      <c r="F1386" s="9">
        <f t="shared" si="112"/>
        <v>322</v>
      </c>
    </row>
    <row r="1387" spans="1:6" x14ac:dyDescent="0.3">
      <c r="A1387" s="5">
        <v>45674</v>
      </c>
      <c r="B1387" s="6" t="s">
        <v>128</v>
      </c>
      <c r="C1387" s="7" t="s">
        <v>9</v>
      </c>
      <c r="D1387" s="7">
        <v>20</v>
      </c>
      <c r="E1387" s="8">
        <v>18.03</v>
      </c>
      <c r="F1387" s="9">
        <f t="shared" si="112"/>
        <v>360.6</v>
      </c>
    </row>
    <row r="1388" spans="1:6" x14ac:dyDescent="0.3">
      <c r="A1388" s="5">
        <v>45674</v>
      </c>
      <c r="B1388" s="6" t="s">
        <v>202</v>
      </c>
      <c r="C1388" s="7" t="s">
        <v>9</v>
      </c>
      <c r="D1388" s="7">
        <v>50</v>
      </c>
      <c r="E1388" s="8">
        <v>26</v>
      </c>
      <c r="F1388" s="9">
        <f t="shared" si="112"/>
        <v>1300</v>
      </c>
    </row>
    <row r="1389" spans="1:6" x14ac:dyDescent="0.3">
      <c r="A1389" s="10">
        <v>45677</v>
      </c>
      <c r="B1389" s="11" t="s">
        <v>166</v>
      </c>
      <c r="C1389" s="12" t="s">
        <v>9</v>
      </c>
      <c r="D1389" s="12">
        <v>15</v>
      </c>
      <c r="E1389" s="13">
        <v>51</v>
      </c>
      <c r="F1389" s="14">
        <f t="shared" si="112"/>
        <v>765</v>
      </c>
    </row>
    <row r="1390" spans="1:6" x14ac:dyDescent="0.3">
      <c r="A1390" s="5">
        <v>45677</v>
      </c>
      <c r="B1390" s="11" t="s">
        <v>166</v>
      </c>
      <c r="C1390" s="7" t="s">
        <v>7</v>
      </c>
      <c r="D1390" s="7">
        <v>5</v>
      </c>
      <c r="E1390" s="8">
        <v>50</v>
      </c>
      <c r="F1390" s="9">
        <f t="shared" si="112"/>
        <v>250</v>
      </c>
    </row>
    <row r="1391" spans="1:6" x14ac:dyDescent="0.3">
      <c r="A1391" s="5">
        <v>45677</v>
      </c>
      <c r="B1391" s="6" t="s">
        <v>550</v>
      </c>
      <c r="C1391" s="7" t="s">
        <v>7</v>
      </c>
      <c r="D1391" s="7">
        <v>8</v>
      </c>
      <c r="E1391" s="8">
        <v>64</v>
      </c>
      <c r="F1391" s="9">
        <f t="shared" si="112"/>
        <v>512</v>
      </c>
    </row>
    <row r="1392" spans="1:6" x14ac:dyDescent="0.3">
      <c r="A1392" s="10">
        <v>45678</v>
      </c>
      <c r="B1392" s="11" t="s">
        <v>28</v>
      </c>
      <c r="C1392" s="12" t="s">
        <v>7</v>
      </c>
      <c r="D1392" s="12">
        <v>10</v>
      </c>
      <c r="E1392" s="13">
        <v>37</v>
      </c>
      <c r="F1392" s="14">
        <f t="shared" ref="F1392:F1400" si="113">+E1392*D1392</f>
        <v>370</v>
      </c>
    </row>
    <row r="1393" spans="1:6" x14ac:dyDescent="0.3">
      <c r="A1393" s="5">
        <v>45678</v>
      </c>
      <c r="B1393" s="6" t="s">
        <v>6</v>
      </c>
      <c r="C1393" s="7" t="s">
        <v>7</v>
      </c>
      <c r="D1393" s="7">
        <v>15</v>
      </c>
      <c r="E1393" s="8">
        <v>33</v>
      </c>
      <c r="F1393" s="9">
        <f t="shared" si="113"/>
        <v>495</v>
      </c>
    </row>
    <row r="1394" spans="1:6" x14ac:dyDescent="0.3">
      <c r="A1394" s="5">
        <v>45678</v>
      </c>
      <c r="B1394" s="6" t="s">
        <v>128</v>
      </c>
      <c r="C1394" s="7" t="s">
        <v>9</v>
      </c>
      <c r="D1394" s="7">
        <v>30</v>
      </c>
      <c r="E1394" s="8">
        <v>19</v>
      </c>
      <c r="F1394" s="9">
        <f t="shared" si="113"/>
        <v>570</v>
      </c>
    </row>
    <row r="1395" spans="1:6" x14ac:dyDescent="0.3">
      <c r="A1395" s="10">
        <v>45679</v>
      </c>
      <c r="B1395" s="11" t="s">
        <v>157</v>
      </c>
      <c r="C1395" s="12" t="s">
        <v>9</v>
      </c>
      <c r="D1395" s="12">
        <v>16</v>
      </c>
      <c r="E1395" s="13">
        <v>104.7</v>
      </c>
      <c r="F1395" s="14">
        <f t="shared" si="113"/>
        <v>1675.2</v>
      </c>
    </row>
    <row r="1396" spans="1:6" x14ac:dyDescent="0.3">
      <c r="A1396" s="5">
        <v>45679</v>
      </c>
      <c r="B1396" s="6" t="s">
        <v>83</v>
      </c>
      <c r="C1396" s="7" t="s">
        <v>9</v>
      </c>
      <c r="D1396" s="7">
        <v>10</v>
      </c>
      <c r="E1396" s="8">
        <v>130</v>
      </c>
      <c r="F1396" s="9">
        <f t="shared" si="113"/>
        <v>1300</v>
      </c>
    </row>
    <row r="1397" spans="1:6" x14ac:dyDescent="0.3">
      <c r="A1397" s="10">
        <v>45680</v>
      </c>
      <c r="B1397" s="11" t="s">
        <v>128</v>
      </c>
      <c r="C1397" s="12" t="s">
        <v>9</v>
      </c>
      <c r="D1397" s="12">
        <v>20</v>
      </c>
      <c r="E1397" s="13">
        <v>20.5</v>
      </c>
      <c r="F1397" s="14">
        <f t="shared" si="113"/>
        <v>410</v>
      </c>
    </row>
    <row r="1398" spans="1:6" x14ac:dyDescent="0.3">
      <c r="A1398" s="5">
        <v>45680</v>
      </c>
      <c r="B1398" s="11" t="s">
        <v>128</v>
      </c>
      <c r="C1398" s="12" t="s">
        <v>9</v>
      </c>
      <c r="D1398" s="7">
        <v>50</v>
      </c>
      <c r="E1398" s="8">
        <v>21</v>
      </c>
      <c r="F1398" s="9">
        <f t="shared" si="113"/>
        <v>1050</v>
      </c>
    </row>
    <row r="1399" spans="1:6" x14ac:dyDescent="0.3">
      <c r="A1399" s="5">
        <v>45680</v>
      </c>
      <c r="B1399" s="11" t="s">
        <v>128</v>
      </c>
      <c r="C1399" s="12" t="s">
        <v>9</v>
      </c>
      <c r="D1399" s="7">
        <v>100</v>
      </c>
      <c r="E1399" s="8">
        <v>21.5</v>
      </c>
      <c r="F1399" s="9">
        <f t="shared" si="113"/>
        <v>2150</v>
      </c>
    </row>
    <row r="1400" spans="1:6" x14ac:dyDescent="0.3">
      <c r="A1400" s="5">
        <v>45680</v>
      </c>
      <c r="B1400" s="6" t="s">
        <v>415</v>
      </c>
      <c r="C1400" s="7" t="s">
        <v>9</v>
      </c>
      <c r="D1400" s="7">
        <v>50</v>
      </c>
      <c r="E1400" s="8">
        <v>33.6</v>
      </c>
      <c r="F1400" s="9">
        <f t="shared" si="113"/>
        <v>1680</v>
      </c>
    </row>
    <row r="1401" spans="1:6" x14ac:dyDescent="0.3">
      <c r="A1401" s="10">
        <v>45681</v>
      </c>
      <c r="B1401" s="11" t="s">
        <v>128</v>
      </c>
      <c r="C1401" s="12" t="s">
        <v>7</v>
      </c>
      <c r="D1401" s="12">
        <v>50</v>
      </c>
      <c r="E1401" s="13">
        <v>20</v>
      </c>
      <c r="F1401" s="14">
        <f t="shared" ref="F1401:F1407" si="114">+E1401*D1401</f>
        <v>1000</v>
      </c>
    </row>
    <row r="1402" spans="1:6" x14ac:dyDescent="0.3">
      <c r="A1402" s="5">
        <v>45681</v>
      </c>
      <c r="B1402" s="6" t="s">
        <v>379</v>
      </c>
      <c r="C1402" s="7" t="s">
        <v>7</v>
      </c>
      <c r="D1402" s="7">
        <v>5</v>
      </c>
      <c r="E1402" s="8">
        <v>47</v>
      </c>
      <c r="F1402" s="9">
        <f t="shared" si="114"/>
        <v>235</v>
      </c>
    </row>
    <row r="1403" spans="1:6" x14ac:dyDescent="0.3">
      <c r="A1403" s="5">
        <v>45681</v>
      </c>
      <c r="B1403" s="6" t="s">
        <v>128</v>
      </c>
      <c r="C1403" s="7" t="s">
        <v>7</v>
      </c>
      <c r="D1403" s="7">
        <v>20</v>
      </c>
      <c r="E1403" s="8">
        <v>19.8</v>
      </c>
      <c r="F1403" s="9">
        <f t="shared" si="114"/>
        <v>396</v>
      </c>
    </row>
    <row r="1404" spans="1:6" x14ac:dyDescent="0.3">
      <c r="A1404" s="5">
        <v>45681</v>
      </c>
      <c r="B1404" s="6" t="s">
        <v>20</v>
      </c>
      <c r="C1404" s="7" t="s">
        <v>9</v>
      </c>
      <c r="D1404" s="7">
        <v>60</v>
      </c>
      <c r="E1404" s="8">
        <v>15.18</v>
      </c>
      <c r="F1404" s="9">
        <f t="shared" si="114"/>
        <v>910.8</v>
      </c>
    </row>
    <row r="1405" spans="1:6" x14ac:dyDescent="0.3">
      <c r="A1405" s="10">
        <v>45684</v>
      </c>
      <c r="B1405" s="6" t="s">
        <v>20</v>
      </c>
      <c r="C1405" s="12" t="s">
        <v>7</v>
      </c>
      <c r="D1405" s="12">
        <v>50</v>
      </c>
      <c r="E1405" s="13">
        <v>14.2</v>
      </c>
      <c r="F1405" s="14">
        <f t="shared" si="114"/>
        <v>710</v>
      </c>
    </row>
    <row r="1406" spans="1:6" x14ac:dyDescent="0.3">
      <c r="A1406" s="5">
        <v>45684</v>
      </c>
      <c r="B1406" s="6" t="s">
        <v>43</v>
      </c>
      <c r="C1406" s="7" t="s">
        <v>7</v>
      </c>
      <c r="D1406" s="7">
        <v>5</v>
      </c>
      <c r="E1406" s="8">
        <v>51</v>
      </c>
      <c r="F1406" s="9">
        <f t="shared" si="114"/>
        <v>255</v>
      </c>
    </row>
    <row r="1407" spans="1:6" x14ac:dyDescent="0.3">
      <c r="A1407" s="5">
        <v>45684</v>
      </c>
      <c r="B1407" s="6" t="s">
        <v>550</v>
      </c>
      <c r="C1407" s="7" t="s">
        <v>7</v>
      </c>
      <c r="D1407" s="7">
        <v>7</v>
      </c>
      <c r="E1407" s="8">
        <v>63.5</v>
      </c>
      <c r="F1407" s="9">
        <f t="shared" si="114"/>
        <v>444.5</v>
      </c>
    </row>
    <row r="1408" spans="1:6" x14ac:dyDescent="0.3">
      <c r="A1408" s="10">
        <v>45687</v>
      </c>
      <c r="B1408" s="11" t="s">
        <v>249</v>
      </c>
      <c r="C1408" s="12" t="s">
        <v>9</v>
      </c>
      <c r="D1408" s="12">
        <v>14</v>
      </c>
      <c r="E1408" s="13">
        <v>53.2</v>
      </c>
      <c r="F1408" s="14">
        <f t="shared" ref="F1408:F1417" si="115">+E1408*D1408</f>
        <v>744.80000000000007</v>
      </c>
    </row>
    <row r="1409" spans="1:6" x14ac:dyDescent="0.3">
      <c r="A1409" s="5">
        <v>45687</v>
      </c>
      <c r="B1409" s="6" t="s">
        <v>43</v>
      </c>
      <c r="C1409" s="12" t="s">
        <v>9</v>
      </c>
      <c r="D1409" s="7">
        <v>20</v>
      </c>
      <c r="E1409" s="8">
        <v>55</v>
      </c>
      <c r="F1409" s="9">
        <f t="shared" si="115"/>
        <v>1100</v>
      </c>
    </row>
    <row r="1410" spans="1:6" x14ac:dyDescent="0.3">
      <c r="A1410" s="5">
        <v>45687</v>
      </c>
      <c r="B1410" s="6" t="s">
        <v>249</v>
      </c>
      <c r="C1410" s="7" t="s">
        <v>9</v>
      </c>
      <c r="D1410" s="7">
        <v>20</v>
      </c>
      <c r="E1410" s="8">
        <v>53.5</v>
      </c>
      <c r="F1410" s="9">
        <f t="shared" si="115"/>
        <v>1070</v>
      </c>
    </row>
    <row r="1411" spans="1:6" x14ac:dyDescent="0.3">
      <c r="A1411" s="5">
        <v>45687</v>
      </c>
      <c r="B1411" s="6" t="s">
        <v>249</v>
      </c>
      <c r="C1411" s="7" t="s">
        <v>9</v>
      </c>
      <c r="D1411" s="7">
        <v>40</v>
      </c>
      <c r="E1411" s="8">
        <v>53.5</v>
      </c>
      <c r="F1411" s="9">
        <f t="shared" si="115"/>
        <v>2140</v>
      </c>
    </row>
    <row r="1412" spans="1:6" x14ac:dyDescent="0.3">
      <c r="A1412" s="5">
        <v>45687</v>
      </c>
      <c r="B1412" s="6" t="s">
        <v>34</v>
      </c>
      <c r="C1412" s="7" t="s">
        <v>9</v>
      </c>
      <c r="D1412" s="7">
        <v>200</v>
      </c>
      <c r="E1412" s="8">
        <v>43.22</v>
      </c>
      <c r="F1412" s="9">
        <f t="shared" si="115"/>
        <v>8644</v>
      </c>
    </row>
    <row r="1413" spans="1:6" x14ac:dyDescent="0.3">
      <c r="A1413" s="5">
        <v>45687</v>
      </c>
      <c r="B1413" s="6" t="s">
        <v>529</v>
      </c>
      <c r="C1413" s="7" t="s">
        <v>9</v>
      </c>
      <c r="D1413" s="7">
        <v>30</v>
      </c>
      <c r="E1413" s="8">
        <v>50.3</v>
      </c>
      <c r="F1413" s="9">
        <f t="shared" si="115"/>
        <v>1509</v>
      </c>
    </row>
    <row r="1414" spans="1:6" x14ac:dyDescent="0.3">
      <c r="A1414" s="5">
        <v>45687</v>
      </c>
      <c r="B1414" s="6" t="s">
        <v>525</v>
      </c>
      <c r="C1414" s="7" t="s">
        <v>9</v>
      </c>
      <c r="D1414" s="7">
        <v>50</v>
      </c>
      <c r="E1414" s="8">
        <v>18.600000000000001</v>
      </c>
      <c r="F1414" s="9">
        <f t="shared" si="115"/>
        <v>930.00000000000011</v>
      </c>
    </row>
    <row r="1415" spans="1:6" x14ac:dyDescent="0.3">
      <c r="A1415" s="5">
        <v>45687</v>
      </c>
      <c r="B1415" s="6" t="s">
        <v>352</v>
      </c>
      <c r="C1415" s="7" t="s">
        <v>9</v>
      </c>
      <c r="D1415" s="7">
        <v>50</v>
      </c>
      <c r="E1415" s="8">
        <v>6.2</v>
      </c>
      <c r="F1415" s="9">
        <f t="shared" si="115"/>
        <v>310</v>
      </c>
    </row>
    <row r="1416" spans="1:6" x14ac:dyDescent="0.3">
      <c r="A1416" s="5">
        <v>45687</v>
      </c>
      <c r="B1416" s="6" t="s">
        <v>206</v>
      </c>
      <c r="C1416" s="7" t="s">
        <v>9</v>
      </c>
      <c r="D1416" s="7">
        <v>30</v>
      </c>
      <c r="E1416" s="8">
        <v>15.08</v>
      </c>
      <c r="F1416" s="9">
        <f t="shared" si="115"/>
        <v>452.4</v>
      </c>
    </row>
    <row r="1417" spans="1:6" x14ac:dyDescent="0.3">
      <c r="A1417" s="5">
        <v>45687</v>
      </c>
      <c r="B1417" s="6" t="s">
        <v>529</v>
      </c>
      <c r="C1417" s="7" t="s">
        <v>9</v>
      </c>
      <c r="D1417" s="7">
        <v>10</v>
      </c>
      <c r="E1417" s="8">
        <v>51</v>
      </c>
      <c r="F1417" s="9">
        <f t="shared" si="115"/>
        <v>510</v>
      </c>
    </row>
  </sheetData>
  <conditionalFormatting sqref="A2:F1417">
    <cfRule type="expression" dxfId="7" priority="1">
      <formula>$C2="SATIŞ"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9CB8E-3D33-4ABE-B2F8-FC97A550583B}">
  <sheetPr filterMode="1"/>
  <dimension ref="B1:Q1351"/>
  <sheetViews>
    <sheetView showGridLines="0" tabSelected="1" topLeftCell="A717" workbookViewId="0">
      <selection activeCell="E716" sqref="E716"/>
    </sheetView>
  </sheetViews>
  <sheetFormatPr defaultRowHeight="14.4" x14ac:dyDescent="0.3"/>
  <cols>
    <col min="2" max="2" width="10.109375" style="44" bestFit="1" customWidth="1"/>
    <col min="4" max="4" width="8.88671875" style="3"/>
    <col min="5" max="5" width="9.44140625" style="45" bestFit="1" customWidth="1"/>
    <col min="6" max="6" width="9.44140625" style="46" bestFit="1" customWidth="1"/>
    <col min="7" max="7" width="16.88671875" style="47" customWidth="1"/>
    <col min="12" max="12" width="9.109375" bestFit="1" customWidth="1"/>
  </cols>
  <sheetData>
    <row r="1" spans="2:17" x14ac:dyDescent="0.3">
      <c r="G1" s="47">
        <f>SUM(G2:G1286)</f>
        <v>27477.630000000008</v>
      </c>
      <c r="K1">
        <f t="shared" ref="K1:K2" si="0">IF(F1=0,1,0)</f>
        <v>1</v>
      </c>
      <c r="L1" s="24">
        <f t="shared" ref="L1:L2" si="1">+D1*E1</f>
        <v>0</v>
      </c>
    </row>
    <row r="2" spans="2:17" x14ac:dyDescent="0.3">
      <c r="B2" s="44" t="s">
        <v>0</v>
      </c>
      <c r="C2" t="s">
        <v>588</v>
      </c>
      <c r="G2" s="47" t="str">
        <f t="shared" ref="G2" si="2">IF(F2="","",(F2-E2)*D2)</f>
        <v/>
      </c>
      <c r="K2">
        <f t="shared" si="0"/>
        <v>1</v>
      </c>
      <c r="L2" s="24">
        <f t="shared" si="1"/>
        <v>0</v>
      </c>
    </row>
    <row r="3" spans="2:17" hidden="1" x14ac:dyDescent="0.3">
      <c r="B3" s="44">
        <v>45583</v>
      </c>
      <c r="C3" t="s">
        <v>379</v>
      </c>
      <c r="D3" s="3">
        <v>25</v>
      </c>
      <c r="E3" s="45">
        <v>72</v>
      </c>
      <c r="F3" s="46">
        <v>57.85</v>
      </c>
      <c r="G3" s="47">
        <f>IF(E3=0,"",IF(F3="","",(F3-E3)*D3))</f>
        <v>-353.74999999999994</v>
      </c>
      <c r="O3" t="s">
        <v>6</v>
      </c>
      <c r="P3">
        <v>20</v>
      </c>
      <c r="Q3">
        <v>39</v>
      </c>
    </row>
    <row r="4" spans="2:17" hidden="1" x14ac:dyDescent="0.3">
      <c r="B4" s="44">
        <v>45602</v>
      </c>
      <c r="C4" t="s">
        <v>379</v>
      </c>
      <c r="D4" s="3">
        <v>35</v>
      </c>
      <c r="E4" s="45">
        <v>64</v>
      </c>
      <c r="F4" s="46">
        <v>57.85</v>
      </c>
      <c r="G4" s="47">
        <f>IF(E4=0,"",IF(F4="","",(F4-E4)*D4))</f>
        <v>-215.24999999999994</v>
      </c>
      <c r="O4" t="s">
        <v>6</v>
      </c>
      <c r="P4">
        <v>30</v>
      </c>
      <c r="Q4">
        <v>40</v>
      </c>
    </row>
    <row r="5" spans="2:17" hidden="1" x14ac:dyDescent="0.3">
      <c r="B5" s="44">
        <v>45608</v>
      </c>
      <c r="C5" t="s">
        <v>379</v>
      </c>
      <c r="D5" s="3">
        <v>30</v>
      </c>
      <c r="E5" s="45">
        <v>64.2</v>
      </c>
      <c r="F5" s="46">
        <v>57.85</v>
      </c>
      <c r="G5" s="47">
        <f>IF(E5=0,"",IF(F5="","",(F5-E5)*D5))</f>
        <v>-190.50000000000006</v>
      </c>
      <c r="O5" t="s">
        <v>6</v>
      </c>
      <c r="P5">
        <v>40</v>
      </c>
      <c r="Q5">
        <v>41</v>
      </c>
    </row>
    <row r="6" spans="2:17" hidden="1" x14ac:dyDescent="0.3">
      <c r="B6" s="44">
        <v>45582</v>
      </c>
      <c r="C6" t="s">
        <v>379</v>
      </c>
      <c r="D6" s="3">
        <v>15</v>
      </c>
      <c r="E6" s="45">
        <v>65.95</v>
      </c>
      <c r="F6" s="46">
        <v>57.85</v>
      </c>
      <c r="G6" s="47">
        <f>IF(E6=0,"",IF(F6="","",(F6-E6)*D6))</f>
        <v>-121.50000000000003</v>
      </c>
      <c r="O6" t="s">
        <v>6</v>
      </c>
      <c r="P6">
        <v>50</v>
      </c>
      <c r="Q6">
        <v>42</v>
      </c>
    </row>
    <row r="7" spans="2:17" hidden="1" x14ac:dyDescent="0.3">
      <c r="B7" s="44">
        <v>45559</v>
      </c>
      <c r="C7" t="s">
        <v>10</v>
      </c>
      <c r="D7" s="3">
        <v>30</v>
      </c>
      <c r="E7" s="45">
        <v>56</v>
      </c>
      <c r="F7" s="46">
        <v>57</v>
      </c>
      <c r="G7" s="47">
        <f>IF(F7="","",(F7-E7)*D7)</f>
        <v>30</v>
      </c>
      <c r="O7" t="s">
        <v>89</v>
      </c>
      <c r="P7">
        <v>50</v>
      </c>
      <c r="Q7">
        <v>6.7</v>
      </c>
    </row>
    <row r="8" spans="2:17" hidden="1" x14ac:dyDescent="0.3">
      <c r="B8" s="44">
        <v>45618</v>
      </c>
      <c r="C8" t="s">
        <v>379</v>
      </c>
      <c r="D8" s="3">
        <v>30</v>
      </c>
      <c r="E8" s="45">
        <v>60</v>
      </c>
      <c r="F8" s="46">
        <v>57.85</v>
      </c>
      <c r="G8" s="47">
        <f>IF(E8=0,"",IF(F8="","",(F8-E8)*D8))</f>
        <v>-64.499999999999957</v>
      </c>
      <c r="O8" t="s">
        <v>89</v>
      </c>
      <c r="P8">
        <v>50</v>
      </c>
      <c r="Q8">
        <v>6.8</v>
      </c>
    </row>
    <row r="9" spans="2:17" hidden="1" x14ac:dyDescent="0.3">
      <c r="B9" s="44">
        <v>45609</v>
      </c>
      <c r="C9" t="s">
        <v>379</v>
      </c>
      <c r="D9" s="3">
        <v>8</v>
      </c>
      <c r="E9" s="45">
        <v>63</v>
      </c>
      <c r="F9" s="46">
        <v>57.85</v>
      </c>
      <c r="G9" s="47">
        <f>IF(E9=0,"",IF(F9="","",(F9-E9)*D9))</f>
        <v>-41.199999999999989</v>
      </c>
      <c r="O9" t="s">
        <v>89</v>
      </c>
      <c r="P9">
        <v>50</v>
      </c>
      <c r="Q9">
        <v>6.9</v>
      </c>
    </row>
    <row r="10" spans="2:17" hidden="1" x14ac:dyDescent="0.3">
      <c r="B10" s="44">
        <v>45545</v>
      </c>
      <c r="C10" t="s">
        <v>14</v>
      </c>
      <c r="D10" s="3">
        <v>10</v>
      </c>
      <c r="E10" s="45">
        <v>117.9</v>
      </c>
      <c r="F10" s="46">
        <v>130</v>
      </c>
      <c r="G10" s="47">
        <f>IF(F10="","",(F10-E10)*D10)</f>
        <v>120.99999999999994</v>
      </c>
    </row>
    <row r="11" spans="2:17" hidden="1" x14ac:dyDescent="0.3">
      <c r="B11" s="44">
        <v>45545</v>
      </c>
      <c r="C11" t="s">
        <v>14</v>
      </c>
      <c r="D11" s="3">
        <v>10</v>
      </c>
      <c r="E11" s="45">
        <v>118</v>
      </c>
      <c r="F11" s="46">
        <v>127</v>
      </c>
      <c r="G11" s="47">
        <f>IF(F11="","",(F11-E11)*D11)</f>
        <v>90</v>
      </c>
    </row>
    <row r="12" spans="2:17" hidden="1" x14ac:dyDescent="0.3">
      <c r="B12" s="44">
        <v>45547</v>
      </c>
      <c r="C12" t="s">
        <v>14</v>
      </c>
      <c r="D12" s="3">
        <v>10</v>
      </c>
      <c r="E12" s="45">
        <v>112</v>
      </c>
      <c r="F12" s="46">
        <v>119</v>
      </c>
      <c r="G12" s="47">
        <f>IF(F12="","",(F12-E12)*D12)</f>
        <v>70</v>
      </c>
    </row>
    <row r="13" spans="2:17" hidden="1" x14ac:dyDescent="0.3">
      <c r="B13" s="44">
        <v>45551</v>
      </c>
      <c r="C13" t="s">
        <v>128</v>
      </c>
      <c r="D13" s="3">
        <v>50</v>
      </c>
      <c r="E13" s="45">
        <v>23</v>
      </c>
      <c r="F13" s="46">
        <v>24</v>
      </c>
      <c r="G13" s="47">
        <f>IF(F13="","",(F13-E13)*D13)</f>
        <v>50</v>
      </c>
    </row>
    <row r="14" spans="2:17" hidden="1" x14ac:dyDescent="0.3">
      <c r="B14" s="44">
        <v>45547</v>
      </c>
      <c r="C14" t="s">
        <v>379</v>
      </c>
      <c r="D14" s="3">
        <v>30</v>
      </c>
      <c r="E14" s="45">
        <v>53.8</v>
      </c>
      <c r="F14" s="46">
        <v>56</v>
      </c>
      <c r="G14" s="47">
        <f>IF(F14="","",(F14-E14)*D14)</f>
        <v>66.000000000000085</v>
      </c>
    </row>
    <row r="15" spans="2:17" hidden="1" x14ac:dyDescent="0.3">
      <c r="B15" s="44">
        <v>45621</v>
      </c>
      <c r="C15" t="s">
        <v>379</v>
      </c>
      <c r="D15" s="3">
        <v>32</v>
      </c>
      <c r="E15" s="45">
        <v>58</v>
      </c>
      <c r="F15" s="46">
        <v>57.85</v>
      </c>
      <c r="G15" s="47">
        <f>IF(E15=0,"",IF(F15="","",(F15-E15)*D15))</f>
        <v>-4.7999999999999545</v>
      </c>
      <c r="O15" t="s">
        <v>89</v>
      </c>
      <c r="P15">
        <v>50</v>
      </c>
      <c r="Q15">
        <v>7</v>
      </c>
    </row>
    <row r="16" spans="2:17" hidden="1" x14ac:dyDescent="0.3">
      <c r="B16" s="44">
        <v>45544</v>
      </c>
      <c r="C16" t="s">
        <v>449</v>
      </c>
      <c r="D16" s="3">
        <v>20</v>
      </c>
      <c r="E16" s="45">
        <v>67</v>
      </c>
      <c r="F16" s="46">
        <v>69</v>
      </c>
      <c r="G16" s="47">
        <f>IF(F16="","",(F16-E16)*D16)</f>
        <v>40</v>
      </c>
    </row>
    <row r="17" spans="2:17" x14ac:dyDescent="0.3">
      <c r="B17" s="44">
        <v>45545</v>
      </c>
      <c r="C17" t="s">
        <v>6</v>
      </c>
      <c r="D17" s="3">
        <v>50</v>
      </c>
      <c r="E17" s="45">
        <v>48.2</v>
      </c>
      <c r="G17" s="47" t="str">
        <f>IF(E17=0,"",IF(F17="","",(F17-E17)*D17))</f>
        <v/>
      </c>
      <c r="I17">
        <f>+E17*1.1</f>
        <v>53.02000000000001</v>
      </c>
      <c r="K17">
        <f>IF(F17=0,1,0)</f>
        <v>1</v>
      </c>
      <c r="L17" s="24">
        <f>+D17*E17</f>
        <v>2410</v>
      </c>
    </row>
    <row r="18" spans="2:17" hidden="1" x14ac:dyDescent="0.3">
      <c r="B18" s="44">
        <v>45544</v>
      </c>
      <c r="C18" t="s">
        <v>33</v>
      </c>
      <c r="D18" s="3">
        <v>40</v>
      </c>
      <c r="E18" s="45">
        <v>28.2</v>
      </c>
      <c r="F18" s="46">
        <v>32</v>
      </c>
      <c r="G18" s="47">
        <f>IF(F18="","",(F18-E18)*D18)</f>
        <v>152.00000000000003</v>
      </c>
    </row>
    <row r="19" spans="2:17" hidden="1" x14ac:dyDescent="0.3">
      <c r="B19" s="44">
        <v>45544</v>
      </c>
      <c r="C19" t="s">
        <v>33</v>
      </c>
      <c r="D19" s="3">
        <v>40</v>
      </c>
      <c r="E19" s="45">
        <v>28.2</v>
      </c>
      <c r="F19" s="46">
        <v>29.2</v>
      </c>
      <c r="G19" s="47">
        <f>IF(F19="","",(F19-E19)*D19)</f>
        <v>40</v>
      </c>
    </row>
    <row r="20" spans="2:17" hidden="1" x14ac:dyDescent="0.3">
      <c r="B20" s="44">
        <v>45544</v>
      </c>
      <c r="C20" t="s">
        <v>33</v>
      </c>
      <c r="D20" s="3">
        <v>50</v>
      </c>
      <c r="E20" s="45">
        <v>28.2</v>
      </c>
      <c r="F20" s="46">
        <v>30</v>
      </c>
      <c r="G20" s="47">
        <f>IF(F20="","",(F20-E20)*D20)</f>
        <v>90.000000000000028</v>
      </c>
    </row>
    <row r="21" spans="2:17" hidden="1" x14ac:dyDescent="0.3">
      <c r="B21" s="44">
        <v>45546</v>
      </c>
      <c r="C21" t="s">
        <v>33</v>
      </c>
      <c r="D21" s="3">
        <v>100</v>
      </c>
      <c r="E21" s="45">
        <v>29.5</v>
      </c>
      <c r="F21" s="46">
        <v>31.94</v>
      </c>
      <c r="G21" s="47">
        <f>IF(F21="","",(F21-E21)*D21)</f>
        <v>244.00000000000011</v>
      </c>
    </row>
    <row r="22" spans="2:17" hidden="1" x14ac:dyDescent="0.3">
      <c r="B22" s="44">
        <v>45579</v>
      </c>
      <c r="C22" t="s">
        <v>6</v>
      </c>
      <c r="D22" s="3">
        <v>25</v>
      </c>
      <c r="E22" s="45">
        <v>35.5</v>
      </c>
      <c r="F22" s="46">
        <v>37</v>
      </c>
      <c r="G22" s="47">
        <f>IF(E22=0,"",IF(F22="","",(F22-E22)*D22))</f>
        <v>37.5</v>
      </c>
      <c r="O22" t="s">
        <v>10</v>
      </c>
      <c r="P22">
        <v>20</v>
      </c>
      <c r="Q22">
        <v>58</v>
      </c>
    </row>
    <row r="23" spans="2:17" hidden="1" x14ac:dyDescent="0.3">
      <c r="B23" s="44">
        <v>45569</v>
      </c>
      <c r="C23" t="s">
        <v>89</v>
      </c>
      <c r="D23" s="3">
        <v>200</v>
      </c>
      <c r="E23" s="45">
        <v>5.75</v>
      </c>
      <c r="F23" s="46">
        <v>6.1</v>
      </c>
      <c r="G23" s="47">
        <f>IF(E23=0,"",IF(F23="","",(F23-E23)*D23))</f>
        <v>69.999999999999929</v>
      </c>
      <c r="O23" t="s">
        <v>10</v>
      </c>
      <c r="P23">
        <v>20</v>
      </c>
      <c r="Q23">
        <v>59</v>
      </c>
    </row>
    <row r="24" spans="2:17" hidden="1" x14ac:dyDescent="0.3">
      <c r="B24" s="44">
        <v>45560</v>
      </c>
      <c r="C24" t="s">
        <v>89</v>
      </c>
      <c r="D24" s="3">
        <v>100</v>
      </c>
      <c r="E24" s="45">
        <v>6.5</v>
      </c>
      <c r="F24" s="46">
        <v>7.5</v>
      </c>
      <c r="G24" s="47">
        <f>IF(E24=0,"",IF(F24="","",(F24-E24)*D24))</f>
        <v>100</v>
      </c>
      <c r="O24" t="s">
        <v>10</v>
      </c>
      <c r="P24">
        <v>20</v>
      </c>
      <c r="Q24">
        <v>60</v>
      </c>
    </row>
    <row r="25" spans="2:17" hidden="1" x14ac:dyDescent="0.3">
      <c r="B25" s="44">
        <v>45581</v>
      </c>
      <c r="C25" t="s">
        <v>89</v>
      </c>
      <c r="D25" s="3">
        <v>100</v>
      </c>
      <c r="E25" s="45">
        <v>6.2</v>
      </c>
      <c r="F25" s="46">
        <v>6.9</v>
      </c>
      <c r="G25" s="47">
        <f>IF(E25=0,"",IF(F25="","",(F25-E25)*D25))</f>
        <v>70.000000000000014</v>
      </c>
      <c r="O25" t="s">
        <v>8</v>
      </c>
      <c r="P25">
        <v>10</v>
      </c>
      <c r="Q25">
        <v>96</v>
      </c>
    </row>
    <row r="26" spans="2:17" hidden="1" x14ac:dyDescent="0.3">
      <c r="B26" s="44">
        <v>45551</v>
      </c>
      <c r="C26" t="s">
        <v>13</v>
      </c>
      <c r="D26" s="3">
        <v>70</v>
      </c>
      <c r="E26" s="45">
        <v>14.5</v>
      </c>
      <c r="F26" s="46">
        <v>15</v>
      </c>
      <c r="G26" s="47">
        <f>IF(F26="","",(F26-E26)*D26)</f>
        <v>35</v>
      </c>
    </row>
    <row r="27" spans="2:17" hidden="1" x14ac:dyDescent="0.3">
      <c r="B27" s="44">
        <v>45582</v>
      </c>
      <c r="C27" t="s">
        <v>89</v>
      </c>
      <c r="D27" s="3">
        <v>100</v>
      </c>
      <c r="E27" s="45">
        <v>6.7</v>
      </c>
      <c r="F27" s="46">
        <v>7.2</v>
      </c>
      <c r="G27" s="47">
        <f>IF(E27=0,"",IF(F27="","",(F27-E27)*D27))</f>
        <v>50</v>
      </c>
      <c r="O27" t="s">
        <v>8</v>
      </c>
      <c r="P27">
        <v>20</v>
      </c>
      <c r="Q27">
        <v>98</v>
      </c>
    </row>
    <row r="28" spans="2:17" hidden="1" x14ac:dyDescent="0.3">
      <c r="B28" s="44">
        <v>45551</v>
      </c>
      <c r="C28" t="s">
        <v>379</v>
      </c>
      <c r="D28" s="3">
        <v>40</v>
      </c>
      <c r="E28" s="45">
        <v>54</v>
      </c>
      <c r="F28" s="46">
        <v>56</v>
      </c>
      <c r="G28" s="47">
        <f t="shared" ref="G28:G35" si="3">IF(F28="","",(F28-E28)*D28)</f>
        <v>80</v>
      </c>
    </row>
    <row r="29" spans="2:17" hidden="1" x14ac:dyDescent="0.3">
      <c r="B29" s="44">
        <v>45544</v>
      </c>
      <c r="C29" t="s">
        <v>383</v>
      </c>
      <c r="D29" s="3">
        <v>750</v>
      </c>
      <c r="E29" s="45">
        <v>2.4500000000000002</v>
      </c>
      <c r="F29" s="46">
        <v>2.6</v>
      </c>
      <c r="G29" s="47">
        <f t="shared" si="3"/>
        <v>112.49999999999993</v>
      </c>
    </row>
    <row r="30" spans="2:17" hidden="1" x14ac:dyDescent="0.3">
      <c r="B30" s="44">
        <v>45553</v>
      </c>
      <c r="C30" t="s">
        <v>28</v>
      </c>
      <c r="D30" s="3">
        <v>50</v>
      </c>
      <c r="E30" s="45">
        <v>43.8</v>
      </c>
      <c r="F30" s="46">
        <v>45</v>
      </c>
      <c r="G30" s="47">
        <f t="shared" si="3"/>
        <v>60.000000000000142</v>
      </c>
    </row>
    <row r="31" spans="2:17" hidden="1" x14ac:dyDescent="0.3">
      <c r="B31" s="44">
        <v>45552</v>
      </c>
      <c r="C31" t="s">
        <v>33</v>
      </c>
      <c r="D31" s="3">
        <v>50</v>
      </c>
      <c r="E31" s="45">
        <v>32</v>
      </c>
      <c r="F31" s="46">
        <v>35</v>
      </c>
      <c r="G31" s="47">
        <f t="shared" si="3"/>
        <v>150</v>
      </c>
    </row>
    <row r="32" spans="2:17" hidden="1" x14ac:dyDescent="0.3">
      <c r="B32" s="44">
        <v>45560</v>
      </c>
      <c r="C32" t="s">
        <v>128</v>
      </c>
      <c r="D32" s="3">
        <v>100</v>
      </c>
      <c r="E32" s="45">
        <v>19.899999999999999</v>
      </c>
      <c r="F32" s="46">
        <v>20</v>
      </c>
      <c r="G32" s="47">
        <f t="shared" si="3"/>
        <v>10.000000000000142</v>
      </c>
    </row>
    <row r="33" spans="2:17" hidden="1" x14ac:dyDescent="0.3">
      <c r="B33" s="44">
        <v>45545</v>
      </c>
      <c r="C33" t="s">
        <v>49</v>
      </c>
      <c r="D33" s="3">
        <v>50</v>
      </c>
      <c r="E33" s="45">
        <v>32</v>
      </c>
      <c r="F33" s="46">
        <v>34</v>
      </c>
      <c r="G33" s="47">
        <f t="shared" si="3"/>
        <v>100</v>
      </c>
    </row>
    <row r="34" spans="2:17" hidden="1" x14ac:dyDescent="0.3">
      <c r="B34" s="44">
        <v>45553</v>
      </c>
      <c r="C34" t="s">
        <v>6</v>
      </c>
      <c r="D34" s="3">
        <v>50</v>
      </c>
      <c r="E34" s="45">
        <v>44.8</v>
      </c>
      <c r="F34" s="46">
        <v>47.74</v>
      </c>
      <c r="G34" s="47">
        <f t="shared" si="3"/>
        <v>147.00000000000023</v>
      </c>
    </row>
    <row r="35" spans="2:17" hidden="1" x14ac:dyDescent="0.3">
      <c r="B35" s="44">
        <v>45553</v>
      </c>
      <c r="C35" t="s">
        <v>128</v>
      </c>
      <c r="D35" s="3">
        <v>50</v>
      </c>
      <c r="E35" s="45">
        <v>22</v>
      </c>
      <c r="F35" s="46">
        <v>23.5</v>
      </c>
      <c r="G35" s="47">
        <f t="shared" si="3"/>
        <v>75</v>
      </c>
    </row>
    <row r="36" spans="2:17" x14ac:dyDescent="0.3">
      <c r="B36" s="44">
        <v>45546</v>
      </c>
      <c r="C36" t="s">
        <v>6</v>
      </c>
      <c r="D36" s="3">
        <v>50</v>
      </c>
      <c r="E36" s="45">
        <v>46</v>
      </c>
      <c r="G36" s="47" t="str">
        <f>IF(E36=0,"",IF(F36="","",(F36-E36)*D36))</f>
        <v/>
      </c>
      <c r="I36">
        <f>+E36*1.1</f>
        <v>50.6</v>
      </c>
      <c r="K36">
        <f>IF(F36=0,1,0)</f>
        <v>1</v>
      </c>
      <c r="L36" s="24">
        <f>+D36*E36</f>
        <v>2300</v>
      </c>
      <c r="O36" t="s">
        <v>8</v>
      </c>
      <c r="P36">
        <v>30</v>
      </c>
      <c r="Q36">
        <v>100</v>
      </c>
    </row>
    <row r="37" spans="2:17" hidden="1" x14ac:dyDescent="0.3">
      <c r="B37" s="44">
        <v>45555</v>
      </c>
      <c r="C37" t="s">
        <v>14</v>
      </c>
      <c r="D37" s="3">
        <v>10</v>
      </c>
      <c r="E37" s="45">
        <v>124</v>
      </c>
      <c r="F37" s="46">
        <v>135</v>
      </c>
      <c r="G37" s="47">
        <f>IF(F37="","",(F37-E37)*D37)</f>
        <v>110</v>
      </c>
    </row>
    <row r="38" spans="2:17" hidden="1" x14ac:dyDescent="0.3">
      <c r="B38" s="44">
        <v>45561</v>
      </c>
      <c r="C38" t="s">
        <v>128</v>
      </c>
      <c r="D38" s="3">
        <v>100</v>
      </c>
      <c r="E38" s="45">
        <v>19.3</v>
      </c>
      <c r="F38" s="46">
        <v>19.75</v>
      </c>
      <c r="G38" s="47">
        <f>IF(F38="","",(F38-E38)*D38)</f>
        <v>44.999999999999929</v>
      </c>
      <c r="O38" t="s">
        <v>11</v>
      </c>
      <c r="P38">
        <v>40</v>
      </c>
      <c r="Q38">
        <v>32</v>
      </c>
    </row>
    <row r="39" spans="2:17" hidden="1" x14ac:dyDescent="0.3">
      <c r="B39" s="44">
        <v>45586</v>
      </c>
      <c r="C39" t="s">
        <v>6</v>
      </c>
      <c r="D39" s="3">
        <v>15</v>
      </c>
      <c r="E39" s="45">
        <v>35.14</v>
      </c>
      <c r="F39" s="46">
        <v>43.06</v>
      </c>
      <c r="G39" s="47">
        <f>IF(E39=0,"",IF(F39="","",(F39-E39)*D39))</f>
        <v>118.80000000000003</v>
      </c>
      <c r="O39" t="s">
        <v>11</v>
      </c>
      <c r="P39">
        <v>40</v>
      </c>
      <c r="Q39">
        <v>32.5</v>
      </c>
    </row>
    <row r="40" spans="2:17" hidden="1" x14ac:dyDescent="0.3">
      <c r="B40" s="44">
        <v>45555</v>
      </c>
      <c r="C40" t="s">
        <v>219</v>
      </c>
      <c r="D40" s="3">
        <v>20</v>
      </c>
      <c r="E40" s="45">
        <v>98</v>
      </c>
      <c r="F40" s="46">
        <v>100</v>
      </c>
      <c r="G40" s="47">
        <f>IF(F40="","",(F40-E40)*D40)</f>
        <v>40</v>
      </c>
    </row>
    <row r="41" spans="2:17" hidden="1" x14ac:dyDescent="0.3">
      <c r="B41" s="44">
        <v>45596</v>
      </c>
      <c r="C41" t="s">
        <v>89</v>
      </c>
      <c r="D41" s="3">
        <v>125</v>
      </c>
      <c r="E41" s="45">
        <v>6.75</v>
      </c>
      <c r="F41" s="46">
        <v>7.56</v>
      </c>
      <c r="G41" s="47">
        <f>IF(E41=0,"",IF(F41="","",(F41-E41)*D41))</f>
        <v>101.24999999999996</v>
      </c>
      <c r="O41" t="s">
        <v>11</v>
      </c>
      <c r="P41">
        <v>40</v>
      </c>
      <c r="Q41">
        <v>33</v>
      </c>
    </row>
    <row r="42" spans="2:17" hidden="1" x14ac:dyDescent="0.3">
      <c r="B42" s="44">
        <v>45558</v>
      </c>
      <c r="C42" t="s">
        <v>151</v>
      </c>
      <c r="D42" s="3">
        <v>2</v>
      </c>
      <c r="E42" s="45">
        <v>480</v>
      </c>
      <c r="F42" s="46">
        <v>500</v>
      </c>
      <c r="G42" s="47">
        <f>IF(F42="","",(F42-E42)*D42)</f>
        <v>40</v>
      </c>
    </row>
    <row r="43" spans="2:17" hidden="1" x14ac:dyDescent="0.3">
      <c r="B43" s="44">
        <v>45545</v>
      </c>
      <c r="C43" t="s">
        <v>13</v>
      </c>
      <c r="D43" s="3">
        <v>75</v>
      </c>
      <c r="E43" s="45">
        <v>15.25</v>
      </c>
      <c r="F43" s="46">
        <v>15</v>
      </c>
      <c r="G43" s="47">
        <f>IF(F43="","",(F43-E43)*D43)</f>
        <v>-18.75</v>
      </c>
      <c r="O43" t="s">
        <v>11</v>
      </c>
      <c r="P43">
        <v>40</v>
      </c>
      <c r="Q43">
        <v>34</v>
      </c>
    </row>
    <row r="44" spans="2:17" hidden="1" x14ac:dyDescent="0.3">
      <c r="B44" s="44">
        <v>45555</v>
      </c>
      <c r="C44" t="s">
        <v>33</v>
      </c>
      <c r="D44" s="3">
        <v>50</v>
      </c>
      <c r="E44" s="45">
        <v>30</v>
      </c>
      <c r="F44" s="46">
        <v>31</v>
      </c>
      <c r="G44" s="47">
        <f>IF(F44="","",(F44-E44)*D44)</f>
        <v>50</v>
      </c>
    </row>
    <row r="45" spans="2:17" hidden="1" x14ac:dyDescent="0.3">
      <c r="B45" s="44">
        <v>45572</v>
      </c>
      <c r="C45" t="s">
        <v>10</v>
      </c>
      <c r="D45" s="3">
        <v>5</v>
      </c>
      <c r="E45" s="45">
        <v>53</v>
      </c>
      <c r="F45" s="46">
        <v>60.9</v>
      </c>
      <c r="G45" s="47">
        <f>IF(E45=0,"",IF(F45="","",(F45-E45)*D45))</f>
        <v>39.499999999999993</v>
      </c>
      <c r="O45" t="s">
        <v>12</v>
      </c>
      <c r="P45">
        <v>10</v>
      </c>
      <c r="Q45">
        <v>80</v>
      </c>
    </row>
    <row r="46" spans="2:17" hidden="1" x14ac:dyDescent="0.3">
      <c r="B46" s="44">
        <v>45565</v>
      </c>
      <c r="C46" t="s">
        <v>128</v>
      </c>
      <c r="D46" s="3">
        <v>50</v>
      </c>
      <c r="E46" s="45">
        <v>19.3</v>
      </c>
      <c r="F46" s="46">
        <v>19.7</v>
      </c>
      <c r="G46" s="47">
        <f>IF(F46="","",(F46-E46)*D46)</f>
        <v>19.999999999999929</v>
      </c>
    </row>
    <row r="47" spans="2:17" hidden="1" x14ac:dyDescent="0.3">
      <c r="B47" s="44">
        <v>45579</v>
      </c>
      <c r="C47" t="s">
        <v>10</v>
      </c>
      <c r="D47" s="3">
        <v>20</v>
      </c>
      <c r="E47" s="45">
        <v>53.5</v>
      </c>
      <c r="F47" s="46">
        <v>60.9</v>
      </c>
      <c r="G47" s="47">
        <f>IF(E47=0,"",IF(F47="","",(F47-E47)*D47))</f>
        <v>147.99999999999997</v>
      </c>
      <c r="O47" t="s">
        <v>12</v>
      </c>
      <c r="P47">
        <v>10</v>
      </c>
      <c r="Q47">
        <v>82</v>
      </c>
    </row>
    <row r="48" spans="2:17" hidden="1" x14ac:dyDescent="0.3">
      <c r="B48" s="44">
        <v>45559</v>
      </c>
      <c r="C48" t="s">
        <v>31</v>
      </c>
      <c r="D48" s="3">
        <v>25</v>
      </c>
      <c r="E48" s="45">
        <v>31</v>
      </c>
      <c r="F48" s="46">
        <v>31.5</v>
      </c>
      <c r="G48" s="47">
        <f>IF(F48="","",(F48-E48)*D48)</f>
        <v>12.5</v>
      </c>
    </row>
    <row r="49" spans="2:17" hidden="1" x14ac:dyDescent="0.3">
      <c r="B49" s="44">
        <v>45554</v>
      </c>
      <c r="C49" t="s">
        <v>379</v>
      </c>
      <c r="D49" s="3">
        <v>25</v>
      </c>
      <c r="E49" s="45">
        <v>54</v>
      </c>
      <c r="F49" s="46">
        <v>57</v>
      </c>
      <c r="G49" s="47">
        <f>IF(F49="","",(F49-E49)*D49)</f>
        <v>75</v>
      </c>
    </row>
    <row r="50" spans="2:17" hidden="1" x14ac:dyDescent="0.3">
      <c r="B50" s="44">
        <v>45574</v>
      </c>
      <c r="C50" t="s">
        <v>12</v>
      </c>
      <c r="D50" s="3">
        <v>10</v>
      </c>
      <c r="E50" s="45">
        <v>69</v>
      </c>
      <c r="F50" s="46">
        <v>72</v>
      </c>
      <c r="G50" s="47">
        <f>IF(E50=0,"",IF(F50="","",(F50-E50)*D50))</f>
        <v>30</v>
      </c>
      <c r="O50" t="s">
        <v>12</v>
      </c>
      <c r="P50">
        <v>10</v>
      </c>
      <c r="Q50">
        <v>84</v>
      </c>
    </row>
    <row r="51" spans="2:17" hidden="1" x14ac:dyDescent="0.3">
      <c r="B51" s="44">
        <v>45553</v>
      </c>
      <c r="C51" t="s">
        <v>55</v>
      </c>
      <c r="D51" s="3">
        <v>150</v>
      </c>
      <c r="E51" s="45">
        <v>9.5</v>
      </c>
      <c r="F51" s="46">
        <v>10</v>
      </c>
      <c r="G51" s="47">
        <f>IF(F51="","",(F51-E51)*D51)</f>
        <v>75</v>
      </c>
    </row>
    <row r="52" spans="2:17" hidden="1" x14ac:dyDescent="0.3">
      <c r="B52" s="44">
        <v>45574</v>
      </c>
      <c r="C52" t="s">
        <v>12</v>
      </c>
      <c r="D52" s="3">
        <v>15</v>
      </c>
      <c r="E52" s="45">
        <v>69</v>
      </c>
      <c r="F52" s="46">
        <v>85.7</v>
      </c>
      <c r="G52" s="47">
        <f>IF(E52=0,"",IF(F52="","",(F52-E52)*D52))</f>
        <v>250.50000000000006</v>
      </c>
      <c r="O52" t="s">
        <v>12</v>
      </c>
      <c r="P52">
        <v>10</v>
      </c>
      <c r="Q52">
        <v>86</v>
      </c>
    </row>
    <row r="53" spans="2:17" hidden="1" x14ac:dyDescent="0.3">
      <c r="B53" s="44">
        <v>45559</v>
      </c>
      <c r="C53" t="s">
        <v>379</v>
      </c>
      <c r="D53" s="3">
        <v>25</v>
      </c>
      <c r="E53" s="45">
        <v>55</v>
      </c>
      <c r="F53" s="46">
        <v>57</v>
      </c>
      <c r="G53" s="47">
        <f>IF(F53="","",(F53-E53)*D53)</f>
        <v>50</v>
      </c>
    </row>
    <row r="54" spans="2:17" x14ac:dyDescent="0.3">
      <c r="B54" s="44">
        <v>45561</v>
      </c>
      <c r="C54" t="s">
        <v>6</v>
      </c>
      <c r="D54" s="3">
        <v>100</v>
      </c>
      <c r="E54" s="45">
        <v>42</v>
      </c>
      <c r="G54" s="47" t="str">
        <f t="shared" ref="G54:G117" si="4">IF(E54=0,"",IF(F54="","",(F54-E54)*D54))</f>
        <v/>
      </c>
      <c r="I54">
        <f>+E54*1.1</f>
        <v>46.2</v>
      </c>
      <c r="K54">
        <f>IF(F54=0,1,0)</f>
        <v>1</v>
      </c>
      <c r="L54" s="24">
        <f>+D54*E54</f>
        <v>4200</v>
      </c>
      <c r="O54" t="s">
        <v>128</v>
      </c>
      <c r="P54">
        <v>50</v>
      </c>
      <c r="Q54">
        <v>20</v>
      </c>
    </row>
    <row r="55" spans="2:17" hidden="1" x14ac:dyDescent="0.3">
      <c r="B55" s="44">
        <v>45559</v>
      </c>
      <c r="C55" t="s">
        <v>128</v>
      </c>
      <c r="D55" s="3">
        <v>100</v>
      </c>
      <c r="E55" s="45">
        <v>20</v>
      </c>
      <c r="F55" s="46">
        <v>21.5</v>
      </c>
      <c r="G55" s="47">
        <f t="shared" si="4"/>
        <v>150</v>
      </c>
    </row>
    <row r="56" spans="2:17" x14ac:dyDescent="0.3">
      <c r="B56" s="44">
        <v>45562</v>
      </c>
      <c r="C56" t="s">
        <v>6</v>
      </c>
      <c r="D56" s="3">
        <v>50</v>
      </c>
      <c r="E56" s="45">
        <v>40</v>
      </c>
      <c r="G56" s="47" t="str">
        <f t="shared" si="4"/>
        <v/>
      </c>
      <c r="I56">
        <f>+E56*1.1</f>
        <v>44</v>
      </c>
      <c r="K56">
        <f>IF(F56=0,1,0)</f>
        <v>1</v>
      </c>
      <c r="L56" s="24">
        <f>+D56*E56</f>
        <v>2000</v>
      </c>
      <c r="O56" t="s">
        <v>128</v>
      </c>
      <c r="P56">
        <v>50</v>
      </c>
      <c r="Q56">
        <v>20.5</v>
      </c>
    </row>
    <row r="57" spans="2:17" hidden="1" x14ac:dyDescent="0.3">
      <c r="B57" s="44">
        <v>45561</v>
      </c>
      <c r="C57" t="s">
        <v>220</v>
      </c>
      <c r="D57" s="3">
        <v>25</v>
      </c>
      <c r="E57" s="45">
        <v>51</v>
      </c>
      <c r="F57" s="46">
        <v>53.5</v>
      </c>
      <c r="G57" s="47">
        <f t="shared" si="4"/>
        <v>62.5</v>
      </c>
      <c r="O57" t="s">
        <v>128</v>
      </c>
      <c r="P57">
        <v>50</v>
      </c>
      <c r="Q57">
        <v>21</v>
      </c>
    </row>
    <row r="58" spans="2:17" hidden="1" x14ac:dyDescent="0.3">
      <c r="B58" s="44">
        <v>45560</v>
      </c>
      <c r="C58" t="s">
        <v>33</v>
      </c>
      <c r="D58" s="3">
        <v>50</v>
      </c>
      <c r="E58" s="45">
        <v>29</v>
      </c>
      <c r="F58" s="46">
        <v>29.3</v>
      </c>
      <c r="G58" s="47">
        <f t="shared" si="4"/>
        <v>15.000000000000036</v>
      </c>
    </row>
    <row r="59" spans="2:17" hidden="1" x14ac:dyDescent="0.3">
      <c r="B59" s="44">
        <v>45551</v>
      </c>
      <c r="C59" t="s">
        <v>51</v>
      </c>
      <c r="D59" s="3">
        <v>100</v>
      </c>
      <c r="E59" s="45">
        <v>11.4</v>
      </c>
      <c r="F59" s="46">
        <v>9.59</v>
      </c>
      <c r="G59" s="47">
        <f t="shared" si="4"/>
        <v>-181.00000000000006</v>
      </c>
      <c r="O59" t="s">
        <v>128</v>
      </c>
      <c r="P59">
        <v>50</v>
      </c>
      <c r="Q59">
        <v>21.5</v>
      </c>
    </row>
    <row r="60" spans="2:17" hidden="1" x14ac:dyDescent="0.3">
      <c r="B60" s="44">
        <v>45566</v>
      </c>
      <c r="C60" t="s">
        <v>51</v>
      </c>
      <c r="D60" s="3">
        <v>50</v>
      </c>
      <c r="E60" s="45">
        <v>10</v>
      </c>
      <c r="F60" s="46">
        <v>9.59</v>
      </c>
      <c r="G60" s="47">
        <f t="shared" si="4"/>
        <v>-20.500000000000007</v>
      </c>
      <c r="O60" t="s">
        <v>51</v>
      </c>
      <c r="P60">
        <v>50</v>
      </c>
      <c r="Q60">
        <v>12</v>
      </c>
    </row>
    <row r="61" spans="2:17" hidden="1" x14ac:dyDescent="0.3">
      <c r="B61" s="44">
        <v>45544</v>
      </c>
      <c r="C61" t="s">
        <v>142</v>
      </c>
      <c r="D61" s="3">
        <v>50</v>
      </c>
      <c r="E61" s="45">
        <v>20.399999999999999</v>
      </c>
      <c r="F61" s="46">
        <v>19</v>
      </c>
      <c r="G61" s="47">
        <f t="shared" si="4"/>
        <v>-69.999999999999929</v>
      </c>
      <c r="O61" t="s">
        <v>51</v>
      </c>
      <c r="P61">
        <v>50</v>
      </c>
      <c r="Q61">
        <v>12.5</v>
      </c>
    </row>
    <row r="62" spans="2:17" x14ac:dyDescent="0.3">
      <c r="B62" s="44">
        <v>45565</v>
      </c>
      <c r="C62" t="s">
        <v>6</v>
      </c>
      <c r="D62" s="3">
        <v>130</v>
      </c>
      <c r="E62" s="45">
        <v>38.5</v>
      </c>
      <c r="G62" s="47" t="str">
        <f t="shared" si="4"/>
        <v/>
      </c>
      <c r="I62">
        <f>+E62*1.1</f>
        <v>42.35</v>
      </c>
      <c r="K62">
        <f>IF(F62=0,1,0)</f>
        <v>1</v>
      </c>
      <c r="L62" s="24">
        <f>+D62*E62</f>
        <v>5005</v>
      </c>
      <c r="O62" t="s">
        <v>142</v>
      </c>
      <c r="P62">
        <v>25</v>
      </c>
      <c r="Q62">
        <v>22</v>
      </c>
    </row>
    <row r="63" spans="2:17" hidden="1" x14ac:dyDescent="0.3">
      <c r="B63" s="44">
        <v>45569</v>
      </c>
      <c r="C63" t="s">
        <v>128</v>
      </c>
      <c r="D63" s="3">
        <v>100</v>
      </c>
      <c r="E63" s="45">
        <v>18.239999999999998</v>
      </c>
      <c r="F63" s="46">
        <v>18.989999999999998</v>
      </c>
      <c r="G63" s="47">
        <f t="shared" si="4"/>
        <v>75</v>
      </c>
      <c r="O63" t="s">
        <v>142</v>
      </c>
      <c r="P63">
        <v>25</v>
      </c>
      <c r="Q63">
        <v>23</v>
      </c>
    </row>
    <row r="64" spans="2:17" hidden="1" x14ac:dyDescent="0.3">
      <c r="B64" s="44">
        <v>45625</v>
      </c>
      <c r="C64" t="s">
        <v>6</v>
      </c>
      <c r="D64" s="3">
        <v>25</v>
      </c>
      <c r="E64" s="45">
        <v>34.44</v>
      </c>
      <c r="F64" s="46">
        <v>36</v>
      </c>
      <c r="G64" s="47">
        <f t="shared" si="4"/>
        <v>39.000000000000057</v>
      </c>
      <c r="O64" t="s">
        <v>142</v>
      </c>
      <c r="P64">
        <v>25</v>
      </c>
      <c r="Q64">
        <v>24</v>
      </c>
    </row>
    <row r="65" spans="2:17" hidden="1" x14ac:dyDescent="0.3">
      <c r="B65" s="44">
        <v>45560</v>
      </c>
      <c r="C65" t="s">
        <v>33</v>
      </c>
      <c r="D65" s="3">
        <v>50</v>
      </c>
      <c r="E65" s="45">
        <v>29</v>
      </c>
      <c r="F65" s="46">
        <v>30</v>
      </c>
      <c r="G65" s="47">
        <f t="shared" si="4"/>
        <v>50</v>
      </c>
    </row>
    <row r="66" spans="2:17" hidden="1" x14ac:dyDescent="0.3">
      <c r="B66" s="44">
        <v>45572</v>
      </c>
      <c r="C66" t="s">
        <v>128</v>
      </c>
      <c r="D66" s="3">
        <v>50</v>
      </c>
      <c r="E66" s="45">
        <v>18.45</v>
      </c>
      <c r="F66" s="46">
        <v>19</v>
      </c>
      <c r="G66" s="47">
        <f t="shared" si="4"/>
        <v>27.500000000000036</v>
      </c>
      <c r="O66" t="s">
        <v>13</v>
      </c>
      <c r="P66">
        <v>50</v>
      </c>
      <c r="Q66">
        <v>15.5</v>
      </c>
    </row>
    <row r="67" spans="2:17" x14ac:dyDescent="0.3">
      <c r="B67" s="44">
        <v>45566</v>
      </c>
      <c r="C67" t="s">
        <v>6</v>
      </c>
      <c r="D67" s="3">
        <v>20</v>
      </c>
      <c r="E67" s="45">
        <v>37</v>
      </c>
      <c r="G67" s="47" t="str">
        <f t="shared" si="4"/>
        <v/>
      </c>
      <c r="I67">
        <f>+E67*1.1</f>
        <v>40.700000000000003</v>
      </c>
      <c r="K67">
        <f>IF(F67=0,1,0)</f>
        <v>1</v>
      </c>
      <c r="L67" s="24">
        <f>+D67*E67</f>
        <v>740</v>
      </c>
      <c r="O67" t="s">
        <v>13</v>
      </c>
      <c r="P67">
        <v>50</v>
      </c>
      <c r="Q67">
        <v>16</v>
      </c>
    </row>
    <row r="68" spans="2:17" hidden="1" x14ac:dyDescent="0.3">
      <c r="B68" s="44">
        <v>45566</v>
      </c>
      <c r="C68" t="s">
        <v>13</v>
      </c>
      <c r="D68" s="3">
        <v>100</v>
      </c>
      <c r="E68" s="45">
        <v>14.4</v>
      </c>
      <c r="F68" s="46">
        <v>14.7</v>
      </c>
      <c r="G68" s="47">
        <f t="shared" si="4"/>
        <v>29.999999999999893</v>
      </c>
      <c r="O68" t="s">
        <v>13</v>
      </c>
      <c r="P68">
        <v>50</v>
      </c>
      <c r="Q68">
        <v>16.5</v>
      </c>
    </row>
    <row r="69" spans="2:17" hidden="1" x14ac:dyDescent="0.3">
      <c r="B69" s="44">
        <v>45561</v>
      </c>
      <c r="C69" t="s">
        <v>20</v>
      </c>
      <c r="D69" s="3">
        <v>150</v>
      </c>
      <c r="E69" s="45">
        <v>16.399999999999999</v>
      </c>
      <c r="F69" s="46">
        <v>14.52</v>
      </c>
      <c r="G69" s="47">
        <f t="shared" si="4"/>
        <v>-281.99999999999983</v>
      </c>
      <c r="O69" t="s">
        <v>13</v>
      </c>
      <c r="P69">
        <v>50</v>
      </c>
      <c r="Q69">
        <v>17</v>
      </c>
    </row>
    <row r="70" spans="2:17" hidden="1" x14ac:dyDescent="0.3">
      <c r="B70" s="44">
        <v>45561</v>
      </c>
      <c r="C70" t="s">
        <v>379</v>
      </c>
      <c r="D70" s="3">
        <v>10</v>
      </c>
      <c r="E70" s="45">
        <v>50</v>
      </c>
      <c r="F70" s="46">
        <v>51.2</v>
      </c>
      <c r="G70" s="47">
        <f t="shared" si="4"/>
        <v>12.000000000000028</v>
      </c>
    </row>
    <row r="71" spans="2:17" hidden="1" x14ac:dyDescent="0.3">
      <c r="B71" s="44">
        <v>45561</v>
      </c>
      <c r="C71" t="s">
        <v>20</v>
      </c>
      <c r="D71" s="3">
        <v>200</v>
      </c>
      <c r="E71" s="45">
        <v>16.05</v>
      </c>
      <c r="F71" s="46">
        <v>14.52</v>
      </c>
      <c r="G71" s="47">
        <f t="shared" si="4"/>
        <v>-306.00000000000023</v>
      </c>
      <c r="O71" t="s">
        <v>151</v>
      </c>
      <c r="P71">
        <v>1</v>
      </c>
      <c r="Q71">
        <v>500</v>
      </c>
    </row>
    <row r="72" spans="2:17" hidden="1" x14ac:dyDescent="0.3">
      <c r="B72" s="44">
        <v>45569</v>
      </c>
      <c r="C72" t="s">
        <v>13</v>
      </c>
      <c r="D72" s="3">
        <v>50</v>
      </c>
      <c r="E72" s="45">
        <v>13.8</v>
      </c>
      <c r="F72" s="46">
        <v>14.5</v>
      </c>
      <c r="G72" s="47">
        <f t="shared" si="4"/>
        <v>34.999999999999964</v>
      </c>
      <c r="O72" t="s">
        <v>151</v>
      </c>
      <c r="P72">
        <v>1</v>
      </c>
      <c r="Q72">
        <v>525</v>
      </c>
    </row>
    <row r="73" spans="2:17" hidden="1" x14ac:dyDescent="0.3">
      <c r="B73" s="44">
        <v>45566</v>
      </c>
      <c r="C73" t="s">
        <v>13</v>
      </c>
      <c r="D73" s="3">
        <v>200</v>
      </c>
      <c r="E73" s="45">
        <v>14.2</v>
      </c>
      <c r="F73" s="46">
        <v>15.25</v>
      </c>
      <c r="G73" s="47">
        <f t="shared" si="4"/>
        <v>210.00000000000014</v>
      </c>
      <c r="O73" t="s">
        <v>151</v>
      </c>
      <c r="P73">
        <v>1</v>
      </c>
      <c r="Q73">
        <v>550</v>
      </c>
    </row>
    <row r="74" spans="2:17" hidden="1" x14ac:dyDescent="0.3">
      <c r="B74" s="44">
        <v>45609</v>
      </c>
      <c r="C74" t="s">
        <v>10</v>
      </c>
      <c r="D74" s="3">
        <v>10</v>
      </c>
      <c r="E74" s="45">
        <v>53.5</v>
      </c>
      <c r="F74" s="46">
        <v>56</v>
      </c>
      <c r="G74" s="47">
        <f t="shared" si="4"/>
        <v>25</v>
      </c>
      <c r="O74" t="s">
        <v>151</v>
      </c>
      <c r="P74">
        <v>1</v>
      </c>
      <c r="Q74">
        <v>575</v>
      </c>
    </row>
    <row r="75" spans="2:17" hidden="1" x14ac:dyDescent="0.3">
      <c r="B75" s="44">
        <v>45551</v>
      </c>
      <c r="C75" t="s">
        <v>51</v>
      </c>
      <c r="D75" s="3">
        <v>100</v>
      </c>
      <c r="E75" s="45">
        <v>11.4</v>
      </c>
      <c r="F75" s="46">
        <v>11.49</v>
      </c>
      <c r="G75" s="47">
        <f t="shared" si="4"/>
        <v>8.9999999999999858</v>
      </c>
    </row>
    <row r="76" spans="2:17" hidden="1" x14ac:dyDescent="0.3">
      <c r="B76" s="44">
        <v>45561</v>
      </c>
      <c r="C76" t="s">
        <v>379</v>
      </c>
      <c r="D76" s="3">
        <v>20</v>
      </c>
      <c r="E76" s="45">
        <v>51.2</v>
      </c>
      <c r="F76" s="46">
        <v>51.3</v>
      </c>
      <c r="G76" s="47">
        <f t="shared" si="4"/>
        <v>1.9999999999998863</v>
      </c>
    </row>
    <row r="77" spans="2:17" hidden="1" x14ac:dyDescent="0.3">
      <c r="B77" s="44">
        <v>45561</v>
      </c>
      <c r="C77" t="s">
        <v>379</v>
      </c>
      <c r="D77" s="3">
        <v>20</v>
      </c>
      <c r="E77" s="45">
        <v>50</v>
      </c>
      <c r="F77" s="46">
        <v>50.95</v>
      </c>
      <c r="G77" s="47">
        <f t="shared" si="4"/>
        <v>19.000000000000057</v>
      </c>
    </row>
    <row r="78" spans="2:17" hidden="1" x14ac:dyDescent="0.3">
      <c r="B78" s="44">
        <v>45568</v>
      </c>
      <c r="C78" t="s">
        <v>22</v>
      </c>
      <c r="D78" s="3">
        <v>40</v>
      </c>
      <c r="E78" s="45">
        <v>54.35</v>
      </c>
      <c r="F78" s="46">
        <v>55.5</v>
      </c>
      <c r="G78" s="47">
        <f t="shared" si="4"/>
        <v>45.999999999999943</v>
      </c>
      <c r="O78" t="s">
        <v>14</v>
      </c>
      <c r="P78">
        <v>10</v>
      </c>
      <c r="Q78">
        <v>150</v>
      </c>
    </row>
    <row r="79" spans="2:17" hidden="1" x14ac:dyDescent="0.3">
      <c r="B79" s="44">
        <v>45561</v>
      </c>
      <c r="C79" t="s">
        <v>379</v>
      </c>
      <c r="D79" s="3">
        <v>20</v>
      </c>
      <c r="E79" s="45">
        <v>51.1</v>
      </c>
      <c r="F79" s="46">
        <v>51.3</v>
      </c>
      <c r="G79" s="47">
        <f t="shared" si="4"/>
        <v>3.9999999999999147</v>
      </c>
    </row>
    <row r="80" spans="2:17" hidden="1" x14ac:dyDescent="0.3">
      <c r="B80" s="44">
        <v>45561</v>
      </c>
      <c r="C80" t="s">
        <v>379</v>
      </c>
      <c r="D80" s="3">
        <v>20</v>
      </c>
      <c r="E80" s="45">
        <v>51.1</v>
      </c>
      <c r="F80" s="46">
        <v>51.15</v>
      </c>
      <c r="G80" s="47">
        <f t="shared" si="4"/>
        <v>0.99999999999994316</v>
      </c>
    </row>
    <row r="81" spans="2:17" hidden="1" x14ac:dyDescent="0.3">
      <c r="B81" s="44">
        <v>45561</v>
      </c>
      <c r="C81" t="s">
        <v>379</v>
      </c>
      <c r="D81" s="3">
        <v>10</v>
      </c>
      <c r="E81" s="45">
        <v>50</v>
      </c>
      <c r="F81" s="46">
        <v>51.1</v>
      </c>
      <c r="G81" s="47">
        <f t="shared" si="4"/>
        <v>11.000000000000014</v>
      </c>
    </row>
    <row r="82" spans="2:17" hidden="1" x14ac:dyDescent="0.3">
      <c r="B82" s="44">
        <v>45561</v>
      </c>
      <c r="C82" t="s">
        <v>379</v>
      </c>
      <c r="D82" s="3">
        <v>25</v>
      </c>
      <c r="E82" s="45">
        <v>50</v>
      </c>
      <c r="F82" s="46">
        <v>50.3</v>
      </c>
      <c r="G82" s="47">
        <f t="shared" si="4"/>
        <v>7.4999999999999289</v>
      </c>
      <c r="O82" t="s">
        <v>14</v>
      </c>
      <c r="P82">
        <v>10</v>
      </c>
      <c r="Q82">
        <v>155</v>
      </c>
    </row>
    <row r="83" spans="2:17" hidden="1" x14ac:dyDescent="0.3">
      <c r="B83" s="44">
        <v>45565</v>
      </c>
      <c r="C83" t="s">
        <v>128</v>
      </c>
      <c r="D83" s="3">
        <v>50</v>
      </c>
      <c r="E83" s="45">
        <v>19.399999999999999</v>
      </c>
      <c r="F83" s="46">
        <v>19.8</v>
      </c>
      <c r="G83" s="47">
        <f t="shared" si="4"/>
        <v>20.000000000000107</v>
      </c>
      <c r="O83" t="s">
        <v>15</v>
      </c>
      <c r="P83">
        <v>10</v>
      </c>
      <c r="Q83">
        <v>42</v>
      </c>
    </row>
    <row r="84" spans="2:17" hidden="1" x14ac:dyDescent="0.3">
      <c r="B84" s="44">
        <v>45566</v>
      </c>
      <c r="C84" t="s">
        <v>219</v>
      </c>
      <c r="D84" s="3">
        <v>20</v>
      </c>
      <c r="E84" s="45">
        <v>89.5</v>
      </c>
      <c r="F84" s="46">
        <v>89</v>
      </c>
      <c r="G84" s="47">
        <f t="shared" si="4"/>
        <v>-10</v>
      </c>
      <c r="O84" t="s">
        <v>15</v>
      </c>
      <c r="P84">
        <v>15</v>
      </c>
      <c r="Q84">
        <v>43</v>
      </c>
    </row>
    <row r="85" spans="2:17" hidden="1" x14ac:dyDescent="0.3">
      <c r="B85" s="44">
        <v>45562</v>
      </c>
      <c r="C85" t="s">
        <v>13</v>
      </c>
      <c r="D85" s="3">
        <v>100</v>
      </c>
      <c r="E85" s="45">
        <v>14.94</v>
      </c>
      <c r="F85" s="46">
        <v>15.2</v>
      </c>
      <c r="G85" s="47">
        <f t="shared" si="4"/>
        <v>25.999999999999979</v>
      </c>
      <c r="O85" t="s">
        <v>16</v>
      </c>
      <c r="P85">
        <v>5</v>
      </c>
      <c r="Q85">
        <v>177</v>
      </c>
    </row>
    <row r="86" spans="2:17" hidden="1" x14ac:dyDescent="0.3">
      <c r="B86" s="44">
        <v>45562</v>
      </c>
      <c r="C86" t="s">
        <v>379</v>
      </c>
      <c r="D86" s="3">
        <v>25</v>
      </c>
      <c r="E86" s="45">
        <v>45</v>
      </c>
      <c r="F86" s="46">
        <v>47</v>
      </c>
      <c r="G86" s="47">
        <f t="shared" si="4"/>
        <v>50</v>
      </c>
      <c r="O86" t="s">
        <v>16</v>
      </c>
      <c r="P86">
        <v>10</v>
      </c>
      <c r="Q86">
        <v>180</v>
      </c>
    </row>
    <row r="87" spans="2:17" hidden="1" x14ac:dyDescent="0.3">
      <c r="B87" s="44">
        <v>45562</v>
      </c>
      <c r="C87" t="s">
        <v>379</v>
      </c>
      <c r="D87" s="3">
        <v>25</v>
      </c>
      <c r="E87" s="45">
        <v>45</v>
      </c>
      <c r="F87" s="46">
        <v>46.5</v>
      </c>
      <c r="G87" s="47">
        <f t="shared" si="4"/>
        <v>37.5</v>
      </c>
      <c r="O87" t="s">
        <v>16</v>
      </c>
      <c r="P87">
        <v>10</v>
      </c>
      <c r="Q87">
        <v>185</v>
      </c>
    </row>
    <row r="88" spans="2:17" hidden="1" x14ac:dyDescent="0.3">
      <c r="B88" s="44">
        <v>45562</v>
      </c>
      <c r="C88" t="s">
        <v>379</v>
      </c>
      <c r="D88" s="3">
        <v>25</v>
      </c>
      <c r="E88" s="45">
        <v>45</v>
      </c>
      <c r="F88" s="46">
        <v>46</v>
      </c>
      <c r="G88" s="47">
        <f t="shared" si="4"/>
        <v>25</v>
      </c>
      <c r="O88" t="s">
        <v>18</v>
      </c>
      <c r="P88">
        <v>10</v>
      </c>
      <c r="Q88">
        <v>225</v>
      </c>
    </row>
    <row r="89" spans="2:17" hidden="1" x14ac:dyDescent="0.3">
      <c r="B89" s="44">
        <v>45562</v>
      </c>
      <c r="C89" t="s">
        <v>379</v>
      </c>
      <c r="D89" s="3">
        <v>25</v>
      </c>
      <c r="E89" s="45">
        <v>45</v>
      </c>
      <c r="F89" s="46">
        <v>45.5</v>
      </c>
      <c r="G89" s="47">
        <f t="shared" si="4"/>
        <v>12.5</v>
      </c>
      <c r="O89" t="s">
        <v>18</v>
      </c>
      <c r="P89">
        <v>10</v>
      </c>
      <c r="Q89">
        <v>230</v>
      </c>
    </row>
    <row r="90" spans="2:17" hidden="1" x14ac:dyDescent="0.3">
      <c r="B90" s="44">
        <v>45566</v>
      </c>
      <c r="C90" t="s">
        <v>128</v>
      </c>
      <c r="D90" s="3">
        <v>50</v>
      </c>
      <c r="E90" s="45">
        <v>19.5</v>
      </c>
      <c r="F90" s="46">
        <v>19.600000000000001</v>
      </c>
      <c r="G90" s="47">
        <f t="shared" si="4"/>
        <v>5.0000000000000711</v>
      </c>
      <c r="O90" t="s">
        <v>16</v>
      </c>
      <c r="P90">
        <v>10</v>
      </c>
      <c r="Q90">
        <v>190</v>
      </c>
    </row>
    <row r="91" spans="2:17" hidden="1" x14ac:dyDescent="0.3">
      <c r="B91" s="44">
        <v>45565</v>
      </c>
      <c r="C91" t="s">
        <v>22</v>
      </c>
      <c r="D91" s="3">
        <v>40</v>
      </c>
      <c r="E91" s="45">
        <v>59.5</v>
      </c>
      <c r="F91" s="46">
        <v>58</v>
      </c>
      <c r="G91" s="47">
        <f t="shared" si="4"/>
        <v>-60</v>
      </c>
      <c r="O91" t="s">
        <v>18</v>
      </c>
      <c r="P91">
        <v>10</v>
      </c>
      <c r="Q91">
        <v>230</v>
      </c>
    </row>
    <row r="92" spans="2:17" hidden="1" x14ac:dyDescent="0.3">
      <c r="B92" s="44">
        <v>45562</v>
      </c>
      <c r="C92" t="s">
        <v>10</v>
      </c>
      <c r="D92" s="3">
        <v>20</v>
      </c>
      <c r="E92" s="45">
        <v>56</v>
      </c>
      <c r="F92" s="46">
        <v>58</v>
      </c>
      <c r="G92" s="47">
        <f t="shared" si="4"/>
        <v>40</v>
      </c>
      <c r="O92" t="s">
        <v>19</v>
      </c>
      <c r="P92">
        <v>50</v>
      </c>
      <c r="Q92">
        <v>24</v>
      </c>
    </row>
    <row r="93" spans="2:17" hidden="1" x14ac:dyDescent="0.3">
      <c r="B93" s="44">
        <v>45562</v>
      </c>
      <c r="C93" t="s">
        <v>51</v>
      </c>
      <c r="D93" s="3">
        <v>50</v>
      </c>
      <c r="E93" s="45">
        <v>11.5</v>
      </c>
      <c r="F93" s="46">
        <v>12.5</v>
      </c>
      <c r="G93" s="47">
        <f t="shared" si="4"/>
        <v>50</v>
      </c>
      <c r="O93" t="s">
        <v>19</v>
      </c>
      <c r="P93">
        <v>50</v>
      </c>
      <c r="Q93">
        <v>24.5</v>
      </c>
    </row>
    <row r="94" spans="2:17" hidden="1" x14ac:dyDescent="0.3">
      <c r="B94" s="44">
        <v>45562</v>
      </c>
      <c r="C94" t="s">
        <v>51</v>
      </c>
      <c r="D94" s="3">
        <v>50</v>
      </c>
      <c r="E94" s="45">
        <v>11.5</v>
      </c>
      <c r="F94" s="46">
        <v>12.04</v>
      </c>
      <c r="G94" s="47">
        <f t="shared" si="4"/>
        <v>26.999999999999957</v>
      </c>
      <c r="O94" t="s">
        <v>19</v>
      </c>
      <c r="P94">
        <v>50</v>
      </c>
      <c r="Q94">
        <v>25</v>
      </c>
    </row>
    <row r="95" spans="2:17" hidden="1" x14ac:dyDescent="0.3">
      <c r="B95" s="44">
        <v>45562</v>
      </c>
      <c r="C95" t="s">
        <v>13</v>
      </c>
      <c r="D95" s="3">
        <v>75</v>
      </c>
      <c r="E95" s="45">
        <v>15.25</v>
      </c>
      <c r="F95" s="46">
        <v>14.5</v>
      </c>
      <c r="G95" s="47">
        <f t="shared" si="4"/>
        <v>-56.25</v>
      </c>
      <c r="O95" t="s">
        <v>19</v>
      </c>
      <c r="P95">
        <v>50</v>
      </c>
      <c r="Q95">
        <v>25.5</v>
      </c>
    </row>
    <row r="96" spans="2:17" hidden="1" x14ac:dyDescent="0.3">
      <c r="B96" s="44">
        <v>45562</v>
      </c>
      <c r="C96" t="s">
        <v>13</v>
      </c>
      <c r="D96" s="3">
        <v>50</v>
      </c>
      <c r="E96" s="45">
        <v>15.25</v>
      </c>
      <c r="F96" s="46">
        <v>14</v>
      </c>
      <c r="G96" s="47">
        <f t="shared" si="4"/>
        <v>-62.5</v>
      </c>
      <c r="O96" t="s">
        <v>20</v>
      </c>
      <c r="P96">
        <v>50</v>
      </c>
      <c r="Q96">
        <v>16.25</v>
      </c>
    </row>
    <row r="97" spans="2:17" hidden="1" x14ac:dyDescent="0.3">
      <c r="B97" s="44">
        <v>45562</v>
      </c>
      <c r="C97" t="s">
        <v>13</v>
      </c>
      <c r="D97" s="3">
        <v>100</v>
      </c>
      <c r="E97" s="45">
        <v>15.25</v>
      </c>
      <c r="F97" s="46">
        <v>15.2</v>
      </c>
      <c r="G97" s="47">
        <f t="shared" si="4"/>
        <v>-5.0000000000000711</v>
      </c>
      <c r="O97" t="s">
        <v>20</v>
      </c>
      <c r="P97">
        <v>50</v>
      </c>
      <c r="Q97">
        <v>16.5</v>
      </c>
    </row>
    <row r="98" spans="2:17" hidden="1" x14ac:dyDescent="0.3">
      <c r="B98" s="44">
        <v>45562</v>
      </c>
      <c r="C98" t="s">
        <v>142</v>
      </c>
      <c r="D98" s="3">
        <v>25</v>
      </c>
      <c r="E98" s="45">
        <v>20.399999999999999</v>
      </c>
      <c r="F98" s="46">
        <v>21</v>
      </c>
      <c r="G98" s="47">
        <f t="shared" si="4"/>
        <v>15.000000000000036</v>
      </c>
      <c r="O98" t="s">
        <v>20</v>
      </c>
      <c r="P98">
        <v>50</v>
      </c>
      <c r="Q98">
        <v>16.75</v>
      </c>
    </row>
    <row r="99" spans="2:17" hidden="1" x14ac:dyDescent="0.3">
      <c r="B99" s="44">
        <v>45562</v>
      </c>
      <c r="C99" t="s">
        <v>379</v>
      </c>
      <c r="D99" s="3">
        <v>50</v>
      </c>
      <c r="E99" s="45">
        <v>50</v>
      </c>
      <c r="F99" s="46">
        <v>51</v>
      </c>
      <c r="G99" s="47">
        <f t="shared" si="4"/>
        <v>50</v>
      </c>
      <c r="O99" t="s">
        <v>20</v>
      </c>
      <c r="P99">
        <v>50</v>
      </c>
      <c r="Q99">
        <v>17</v>
      </c>
    </row>
    <row r="100" spans="2:17" hidden="1" x14ac:dyDescent="0.3">
      <c r="B100" s="44">
        <v>45562</v>
      </c>
      <c r="C100" t="s">
        <v>379</v>
      </c>
      <c r="D100" s="3">
        <v>25</v>
      </c>
      <c r="E100" s="45">
        <v>50</v>
      </c>
      <c r="F100" s="46">
        <v>50.5</v>
      </c>
      <c r="G100" s="47">
        <f t="shared" si="4"/>
        <v>12.5</v>
      </c>
      <c r="O100" t="s">
        <v>219</v>
      </c>
      <c r="P100">
        <v>15</v>
      </c>
      <c r="Q100">
        <v>100</v>
      </c>
    </row>
    <row r="101" spans="2:17" hidden="1" x14ac:dyDescent="0.3">
      <c r="B101" s="44">
        <v>45562</v>
      </c>
      <c r="C101" t="s">
        <v>220</v>
      </c>
      <c r="D101" s="3">
        <v>25</v>
      </c>
      <c r="E101" s="45">
        <v>51</v>
      </c>
      <c r="F101" s="46">
        <v>52</v>
      </c>
      <c r="G101" s="47">
        <f t="shared" si="4"/>
        <v>25</v>
      </c>
      <c r="O101" t="s">
        <v>219</v>
      </c>
      <c r="P101">
        <v>15</v>
      </c>
      <c r="Q101">
        <v>102</v>
      </c>
    </row>
    <row r="102" spans="2:17" hidden="1" x14ac:dyDescent="0.3">
      <c r="B102" s="44">
        <v>45568</v>
      </c>
      <c r="C102" t="s">
        <v>22</v>
      </c>
      <c r="D102" s="3">
        <v>20</v>
      </c>
      <c r="E102" s="45">
        <v>54.8</v>
      </c>
      <c r="F102" s="46">
        <v>57</v>
      </c>
      <c r="G102" s="47">
        <f t="shared" si="4"/>
        <v>44.000000000000057</v>
      </c>
      <c r="O102" t="s">
        <v>18</v>
      </c>
      <c r="P102">
        <v>10</v>
      </c>
      <c r="Q102">
        <v>240</v>
      </c>
    </row>
    <row r="103" spans="2:17" hidden="1" x14ac:dyDescent="0.3">
      <c r="B103" s="44">
        <v>45566</v>
      </c>
      <c r="C103" t="s">
        <v>128</v>
      </c>
      <c r="D103" s="3">
        <v>50</v>
      </c>
      <c r="E103" s="45">
        <v>19.2</v>
      </c>
      <c r="F103" s="46">
        <v>19.45</v>
      </c>
      <c r="G103" s="47">
        <f t="shared" si="4"/>
        <v>12.5</v>
      </c>
      <c r="O103" t="s">
        <v>19</v>
      </c>
      <c r="P103">
        <v>25</v>
      </c>
      <c r="Q103">
        <v>24</v>
      </c>
    </row>
    <row r="104" spans="2:17" hidden="1" x14ac:dyDescent="0.3">
      <c r="B104" s="44">
        <v>45565</v>
      </c>
      <c r="C104" t="s">
        <v>379</v>
      </c>
      <c r="D104" s="3">
        <v>50</v>
      </c>
      <c r="E104" s="45">
        <v>45.5</v>
      </c>
      <c r="F104" s="46">
        <v>45.9</v>
      </c>
      <c r="G104" s="47">
        <f t="shared" si="4"/>
        <v>19.999999999999929</v>
      </c>
      <c r="O104" t="s">
        <v>19</v>
      </c>
      <c r="P104">
        <v>50</v>
      </c>
      <c r="Q104">
        <v>24.5</v>
      </c>
    </row>
    <row r="105" spans="2:17" hidden="1" x14ac:dyDescent="0.3">
      <c r="B105" s="44">
        <v>45568</v>
      </c>
      <c r="C105" t="s">
        <v>220</v>
      </c>
      <c r="D105" s="3">
        <v>50</v>
      </c>
      <c r="E105" s="45">
        <v>49.9</v>
      </c>
      <c r="F105" s="46">
        <v>50.6</v>
      </c>
      <c r="G105" s="47">
        <f t="shared" si="4"/>
        <v>35.000000000000142</v>
      </c>
      <c r="O105" t="s">
        <v>19</v>
      </c>
      <c r="P105">
        <v>75</v>
      </c>
      <c r="Q105">
        <v>25</v>
      </c>
    </row>
    <row r="106" spans="2:17" hidden="1" x14ac:dyDescent="0.3">
      <c r="B106" s="44">
        <v>45565</v>
      </c>
      <c r="C106" t="s">
        <v>379</v>
      </c>
      <c r="D106" s="3">
        <v>50</v>
      </c>
      <c r="E106" s="45">
        <v>45.5</v>
      </c>
      <c r="F106" s="46">
        <v>46.5</v>
      </c>
      <c r="G106" s="47">
        <f t="shared" si="4"/>
        <v>50</v>
      </c>
      <c r="O106" t="s">
        <v>19</v>
      </c>
      <c r="P106">
        <v>100</v>
      </c>
      <c r="Q106">
        <v>25.5</v>
      </c>
    </row>
    <row r="107" spans="2:17" hidden="1" x14ac:dyDescent="0.3">
      <c r="B107" s="44">
        <v>45566</v>
      </c>
      <c r="C107" t="s">
        <v>128</v>
      </c>
      <c r="D107" s="3">
        <v>25</v>
      </c>
      <c r="E107" s="45">
        <v>19</v>
      </c>
      <c r="F107" s="46">
        <v>19.2</v>
      </c>
      <c r="G107" s="47">
        <f t="shared" si="4"/>
        <v>4.9999999999999822</v>
      </c>
      <c r="O107" t="s">
        <v>20</v>
      </c>
      <c r="P107">
        <v>25</v>
      </c>
      <c r="Q107">
        <v>16.5</v>
      </c>
    </row>
    <row r="108" spans="2:17" hidden="1" x14ac:dyDescent="0.3">
      <c r="B108" s="44">
        <v>45565</v>
      </c>
      <c r="C108" t="s">
        <v>426</v>
      </c>
      <c r="D108" s="3">
        <v>10</v>
      </c>
      <c r="E108" s="45">
        <v>65</v>
      </c>
      <c r="F108" s="46">
        <v>66</v>
      </c>
      <c r="G108" s="47">
        <f t="shared" si="4"/>
        <v>10</v>
      </c>
      <c r="O108" t="s">
        <v>20</v>
      </c>
      <c r="P108">
        <v>50</v>
      </c>
      <c r="Q108">
        <v>17</v>
      </c>
    </row>
    <row r="109" spans="2:17" hidden="1" x14ac:dyDescent="0.3">
      <c r="B109" s="44">
        <v>45576</v>
      </c>
      <c r="C109" t="s">
        <v>128</v>
      </c>
      <c r="D109" s="3">
        <v>100</v>
      </c>
      <c r="E109" s="45">
        <v>17.55</v>
      </c>
      <c r="F109" s="46">
        <v>18</v>
      </c>
      <c r="G109" s="47">
        <f t="shared" si="4"/>
        <v>44.999999999999929</v>
      </c>
      <c r="O109" t="s">
        <v>20</v>
      </c>
      <c r="P109">
        <v>75</v>
      </c>
      <c r="Q109">
        <v>17.5</v>
      </c>
    </row>
    <row r="110" spans="2:17" hidden="1" x14ac:dyDescent="0.3">
      <c r="B110" s="44">
        <v>45565</v>
      </c>
      <c r="C110" t="s">
        <v>22</v>
      </c>
      <c r="D110" s="3">
        <v>10</v>
      </c>
      <c r="E110" s="45">
        <v>59.5</v>
      </c>
      <c r="F110" s="46">
        <v>60</v>
      </c>
      <c r="G110" s="47">
        <f t="shared" si="4"/>
        <v>5</v>
      </c>
      <c r="O110" t="s">
        <v>20</v>
      </c>
      <c r="P110">
        <v>100</v>
      </c>
      <c r="Q110">
        <v>18</v>
      </c>
    </row>
    <row r="111" spans="2:17" hidden="1" x14ac:dyDescent="0.3">
      <c r="B111" s="44">
        <v>45576</v>
      </c>
      <c r="C111" t="s">
        <v>128</v>
      </c>
      <c r="D111" s="3">
        <v>75</v>
      </c>
      <c r="E111" s="45">
        <v>17.399999999999999</v>
      </c>
      <c r="F111" s="46">
        <v>17.8</v>
      </c>
      <c r="G111" s="47">
        <f t="shared" si="4"/>
        <v>30.00000000000016</v>
      </c>
      <c r="O111" t="s">
        <v>219</v>
      </c>
      <c r="P111">
        <v>20</v>
      </c>
      <c r="Q111">
        <v>102</v>
      </c>
    </row>
    <row r="112" spans="2:17" hidden="1" x14ac:dyDescent="0.3">
      <c r="B112" s="44">
        <v>45560</v>
      </c>
      <c r="C112" t="s">
        <v>128</v>
      </c>
      <c r="D112" s="3">
        <v>75</v>
      </c>
      <c r="E112" s="45">
        <v>19.5</v>
      </c>
      <c r="F112" s="46">
        <v>20</v>
      </c>
      <c r="G112" s="47">
        <f t="shared" si="4"/>
        <v>37.5</v>
      </c>
      <c r="O112" t="s">
        <v>219</v>
      </c>
      <c r="P112">
        <v>20</v>
      </c>
      <c r="Q112">
        <v>95</v>
      </c>
    </row>
    <row r="113" spans="2:17" hidden="1" x14ac:dyDescent="0.3">
      <c r="B113" s="44">
        <v>45565</v>
      </c>
      <c r="C113" t="s">
        <v>128</v>
      </c>
      <c r="D113" s="3">
        <v>25</v>
      </c>
      <c r="E113" s="45">
        <v>19.3</v>
      </c>
      <c r="F113" s="46">
        <v>19.5</v>
      </c>
      <c r="G113" s="47">
        <f t="shared" si="4"/>
        <v>4.9999999999999822</v>
      </c>
      <c r="O113" t="s">
        <v>220</v>
      </c>
      <c r="P113">
        <v>25</v>
      </c>
      <c r="Q113">
        <v>54</v>
      </c>
    </row>
    <row r="114" spans="2:17" hidden="1" x14ac:dyDescent="0.3">
      <c r="B114" s="44">
        <v>45565</v>
      </c>
      <c r="C114" t="s">
        <v>426</v>
      </c>
      <c r="D114" s="3">
        <v>10</v>
      </c>
      <c r="E114" s="45">
        <v>65</v>
      </c>
      <c r="F114" s="46">
        <v>67.5</v>
      </c>
      <c r="G114" s="47">
        <f t="shared" si="4"/>
        <v>25</v>
      </c>
      <c r="O114" t="s">
        <v>220</v>
      </c>
      <c r="P114">
        <v>25</v>
      </c>
      <c r="Q114">
        <v>55</v>
      </c>
    </row>
    <row r="115" spans="2:17" hidden="1" x14ac:dyDescent="0.3">
      <c r="B115" s="44">
        <v>45565</v>
      </c>
      <c r="C115" t="s">
        <v>6</v>
      </c>
      <c r="D115" s="3">
        <v>20</v>
      </c>
      <c r="E115" s="45">
        <v>38.5</v>
      </c>
      <c r="F115" s="46">
        <v>39</v>
      </c>
      <c r="G115" s="47">
        <f t="shared" si="4"/>
        <v>10</v>
      </c>
      <c r="O115" t="s">
        <v>220</v>
      </c>
      <c r="P115">
        <v>25</v>
      </c>
      <c r="Q115">
        <v>56</v>
      </c>
    </row>
    <row r="116" spans="2:17" hidden="1" x14ac:dyDescent="0.3">
      <c r="B116" s="44">
        <v>45566</v>
      </c>
      <c r="C116" t="s">
        <v>128</v>
      </c>
      <c r="D116" s="3">
        <v>25</v>
      </c>
      <c r="E116" s="45">
        <v>19</v>
      </c>
      <c r="F116" s="46">
        <v>19.5</v>
      </c>
      <c r="G116" s="47">
        <f t="shared" si="4"/>
        <v>12.5</v>
      </c>
      <c r="O116" t="s">
        <v>23</v>
      </c>
      <c r="P116">
        <v>1</v>
      </c>
      <c r="Q116">
        <v>950</v>
      </c>
    </row>
    <row r="117" spans="2:17" hidden="1" x14ac:dyDescent="0.3">
      <c r="B117" s="44">
        <v>45576</v>
      </c>
      <c r="C117" t="s">
        <v>128</v>
      </c>
      <c r="D117" s="3">
        <v>50</v>
      </c>
      <c r="E117" s="45">
        <v>17.3</v>
      </c>
      <c r="F117" s="46">
        <v>17.600000000000001</v>
      </c>
      <c r="G117" s="47">
        <f t="shared" si="4"/>
        <v>15.000000000000036</v>
      </c>
      <c r="O117" t="s">
        <v>23</v>
      </c>
      <c r="P117">
        <v>1</v>
      </c>
      <c r="Q117">
        <v>970</v>
      </c>
    </row>
    <row r="118" spans="2:17" hidden="1" x14ac:dyDescent="0.3">
      <c r="B118" s="44">
        <v>45576</v>
      </c>
      <c r="C118" t="s">
        <v>128</v>
      </c>
      <c r="D118" s="3">
        <v>50</v>
      </c>
      <c r="E118" s="45">
        <v>17.600000000000001</v>
      </c>
      <c r="F118" s="46">
        <v>19</v>
      </c>
      <c r="G118" s="47">
        <f t="shared" ref="G118:G181" si="5">IF(E118=0,"",IF(F118="","",(F118-E118)*D118))</f>
        <v>69.999999999999929</v>
      </c>
      <c r="O118" t="s">
        <v>25</v>
      </c>
      <c r="P118">
        <v>250</v>
      </c>
      <c r="Q118">
        <v>3.5</v>
      </c>
    </row>
    <row r="119" spans="2:17" hidden="1" x14ac:dyDescent="0.3">
      <c r="B119" s="44">
        <v>45616</v>
      </c>
      <c r="C119" t="s">
        <v>10</v>
      </c>
      <c r="D119" s="3">
        <v>10</v>
      </c>
      <c r="E119" s="45">
        <v>49</v>
      </c>
      <c r="F119" s="46">
        <v>54</v>
      </c>
      <c r="G119" s="47">
        <f t="shared" si="5"/>
        <v>50</v>
      </c>
      <c r="O119" t="s">
        <v>53</v>
      </c>
      <c r="P119">
        <v>100</v>
      </c>
      <c r="Q119">
        <v>7.1</v>
      </c>
    </row>
    <row r="120" spans="2:17" x14ac:dyDescent="0.3">
      <c r="B120" s="44">
        <v>45567</v>
      </c>
      <c r="C120" t="s">
        <v>6</v>
      </c>
      <c r="D120" s="3">
        <v>25</v>
      </c>
      <c r="E120" s="45">
        <v>36</v>
      </c>
      <c r="G120" s="47" t="str">
        <f t="shared" si="5"/>
        <v/>
      </c>
      <c r="I120">
        <f>+E120*1.1</f>
        <v>39.6</v>
      </c>
      <c r="K120">
        <f>IF(F120=0,1,0)</f>
        <v>1</v>
      </c>
      <c r="L120" s="24">
        <f>+D120*E120</f>
        <v>900</v>
      </c>
      <c r="O120" t="s">
        <v>53</v>
      </c>
      <c r="P120">
        <v>100</v>
      </c>
      <c r="Q120">
        <v>7.2</v>
      </c>
    </row>
    <row r="121" spans="2:17" hidden="1" x14ac:dyDescent="0.3">
      <c r="B121" s="44">
        <v>45575</v>
      </c>
      <c r="C121" t="s">
        <v>13</v>
      </c>
      <c r="D121" s="3">
        <v>50</v>
      </c>
      <c r="E121" s="45">
        <v>15</v>
      </c>
      <c r="F121" s="46">
        <v>15.98</v>
      </c>
      <c r="G121" s="47">
        <f t="shared" si="5"/>
        <v>49.000000000000021</v>
      </c>
      <c r="O121" t="s">
        <v>53</v>
      </c>
      <c r="P121">
        <v>100</v>
      </c>
      <c r="Q121">
        <v>7.3</v>
      </c>
    </row>
    <row r="122" spans="2:17" hidden="1" x14ac:dyDescent="0.3">
      <c r="B122" s="44">
        <v>45567</v>
      </c>
      <c r="C122" t="s">
        <v>14</v>
      </c>
      <c r="D122" s="3">
        <v>10</v>
      </c>
      <c r="E122" s="45">
        <v>133</v>
      </c>
      <c r="F122" s="46">
        <v>151</v>
      </c>
      <c r="G122" s="47">
        <f t="shared" si="5"/>
        <v>180</v>
      </c>
      <c r="O122" t="s">
        <v>53</v>
      </c>
      <c r="P122">
        <v>100</v>
      </c>
      <c r="Q122">
        <v>7.4</v>
      </c>
    </row>
    <row r="123" spans="2:17" hidden="1" x14ac:dyDescent="0.3">
      <c r="B123" s="44">
        <v>45566</v>
      </c>
      <c r="C123" t="s">
        <v>151</v>
      </c>
      <c r="D123" s="3">
        <v>2</v>
      </c>
      <c r="E123" s="45">
        <v>450</v>
      </c>
      <c r="F123" s="46">
        <v>475</v>
      </c>
      <c r="G123" s="47">
        <f t="shared" si="5"/>
        <v>50</v>
      </c>
      <c r="O123" t="s">
        <v>319</v>
      </c>
      <c r="P123">
        <v>25</v>
      </c>
      <c r="Q123">
        <v>30</v>
      </c>
    </row>
    <row r="124" spans="2:17" hidden="1" x14ac:dyDescent="0.3">
      <c r="B124" s="44">
        <v>45566</v>
      </c>
      <c r="C124" t="s">
        <v>451</v>
      </c>
      <c r="D124" s="3">
        <v>50</v>
      </c>
      <c r="E124" s="45">
        <v>23.5</v>
      </c>
      <c r="F124" s="46">
        <v>22</v>
      </c>
      <c r="G124" s="47">
        <f t="shared" si="5"/>
        <v>-75</v>
      </c>
    </row>
    <row r="125" spans="2:17" hidden="1" x14ac:dyDescent="0.3">
      <c r="B125" s="44">
        <v>45567</v>
      </c>
      <c r="C125" t="s">
        <v>451</v>
      </c>
      <c r="D125" s="3">
        <v>29</v>
      </c>
      <c r="E125" s="45">
        <v>21</v>
      </c>
      <c r="F125" s="46">
        <v>22.76</v>
      </c>
      <c r="G125" s="47">
        <f t="shared" si="5"/>
        <v>51.040000000000049</v>
      </c>
      <c r="O125" t="s">
        <v>319</v>
      </c>
      <c r="P125">
        <v>25</v>
      </c>
      <c r="Q125">
        <v>30.5</v>
      </c>
    </row>
    <row r="126" spans="2:17" hidden="1" x14ac:dyDescent="0.3">
      <c r="B126" s="44">
        <v>45552</v>
      </c>
      <c r="C126" t="s">
        <v>33</v>
      </c>
      <c r="D126" s="3">
        <v>50</v>
      </c>
      <c r="E126" s="45">
        <v>33</v>
      </c>
      <c r="F126" s="46">
        <v>29.28</v>
      </c>
      <c r="G126" s="47">
        <f t="shared" si="5"/>
        <v>-185.99999999999994</v>
      </c>
      <c r="O126" t="s">
        <v>319</v>
      </c>
      <c r="P126">
        <v>25</v>
      </c>
      <c r="Q126">
        <v>31</v>
      </c>
    </row>
    <row r="127" spans="2:17" hidden="1" x14ac:dyDescent="0.3">
      <c r="B127" s="44">
        <v>45553</v>
      </c>
      <c r="C127" t="s">
        <v>33</v>
      </c>
      <c r="D127" s="3">
        <v>100</v>
      </c>
      <c r="E127" s="45">
        <v>31</v>
      </c>
      <c r="F127" s="46">
        <v>29.28</v>
      </c>
      <c r="G127" s="47">
        <f t="shared" si="5"/>
        <v>-171.99999999999989</v>
      </c>
      <c r="O127" t="s">
        <v>319</v>
      </c>
      <c r="P127">
        <v>25</v>
      </c>
      <c r="Q127">
        <v>31.5</v>
      </c>
    </row>
    <row r="128" spans="2:17" hidden="1" x14ac:dyDescent="0.3">
      <c r="B128" s="44">
        <v>45555</v>
      </c>
      <c r="C128" t="s">
        <v>33</v>
      </c>
      <c r="D128" s="3">
        <v>100</v>
      </c>
      <c r="E128" s="45">
        <v>30</v>
      </c>
      <c r="F128" s="46">
        <v>29.28</v>
      </c>
      <c r="G128" s="47">
        <f t="shared" si="5"/>
        <v>-71.999999999999886</v>
      </c>
      <c r="O128" t="s">
        <v>26</v>
      </c>
      <c r="P128">
        <v>25</v>
      </c>
      <c r="Q128">
        <v>82</v>
      </c>
    </row>
    <row r="129" spans="2:17" hidden="1" x14ac:dyDescent="0.3">
      <c r="B129" s="44">
        <v>45567</v>
      </c>
      <c r="C129" t="s">
        <v>13</v>
      </c>
      <c r="D129" s="3">
        <v>50</v>
      </c>
      <c r="E129" s="45">
        <v>14</v>
      </c>
      <c r="F129" s="46">
        <v>14.5</v>
      </c>
      <c r="G129" s="47">
        <f t="shared" si="5"/>
        <v>25</v>
      </c>
      <c r="O129" t="s">
        <v>26</v>
      </c>
      <c r="P129">
        <v>25</v>
      </c>
      <c r="Q129">
        <v>84</v>
      </c>
    </row>
    <row r="130" spans="2:17" hidden="1" x14ac:dyDescent="0.3">
      <c r="B130" s="44">
        <v>45567</v>
      </c>
      <c r="C130" t="s">
        <v>13</v>
      </c>
      <c r="D130" s="3">
        <v>75</v>
      </c>
      <c r="E130" s="45">
        <v>14.5</v>
      </c>
      <c r="F130" s="46">
        <v>15</v>
      </c>
      <c r="G130" s="47">
        <f t="shared" si="5"/>
        <v>37.5</v>
      </c>
      <c r="O130" t="s">
        <v>26</v>
      </c>
      <c r="P130">
        <v>25</v>
      </c>
      <c r="Q130">
        <v>86</v>
      </c>
    </row>
    <row r="131" spans="2:17" hidden="1" x14ac:dyDescent="0.3">
      <c r="B131" s="44">
        <v>45567</v>
      </c>
      <c r="C131" t="s">
        <v>219</v>
      </c>
      <c r="D131" s="3">
        <v>10</v>
      </c>
      <c r="E131" s="45">
        <v>90</v>
      </c>
      <c r="F131" s="46">
        <v>92</v>
      </c>
      <c r="G131" s="47">
        <f t="shared" si="5"/>
        <v>20</v>
      </c>
      <c r="O131" t="s">
        <v>26</v>
      </c>
      <c r="P131">
        <v>25</v>
      </c>
      <c r="Q131">
        <v>88</v>
      </c>
    </row>
    <row r="132" spans="2:17" hidden="1" x14ac:dyDescent="0.3">
      <c r="B132" s="44">
        <v>45567</v>
      </c>
      <c r="C132" t="s">
        <v>379</v>
      </c>
      <c r="D132" s="3">
        <v>20</v>
      </c>
      <c r="E132" s="45">
        <v>48</v>
      </c>
      <c r="F132" s="46">
        <v>51</v>
      </c>
      <c r="G132" s="47">
        <f t="shared" si="5"/>
        <v>60</v>
      </c>
      <c r="O132" t="s">
        <v>28</v>
      </c>
      <c r="P132">
        <v>10</v>
      </c>
      <c r="Q132">
        <v>46</v>
      </c>
    </row>
    <row r="133" spans="2:17" hidden="1" x14ac:dyDescent="0.3">
      <c r="B133" s="44">
        <v>45567</v>
      </c>
      <c r="C133" t="s">
        <v>128</v>
      </c>
      <c r="D133" s="3">
        <v>25</v>
      </c>
      <c r="E133" s="45">
        <v>19</v>
      </c>
      <c r="F133" s="46">
        <v>19.5</v>
      </c>
      <c r="G133" s="47">
        <f t="shared" si="5"/>
        <v>12.5</v>
      </c>
      <c r="O133" t="s">
        <v>28</v>
      </c>
      <c r="P133">
        <v>20</v>
      </c>
      <c r="Q133">
        <v>47</v>
      </c>
    </row>
    <row r="134" spans="2:17" hidden="1" x14ac:dyDescent="0.3">
      <c r="B134" s="44">
        <v>45567</v>
      </c>
      <c r="C134" t="s">
        <v>19</v>
      </c>
      <c r="D134" s="3">
        <v>50</v>
      </c>
      <c r="E134" s="45">
        <v>23</v>
      </c>
      <c r="F134" s="46">
        <v>24</v>
      </c>
      <c r="G134" s="47">
        <f t="shared" si="5"/>
        <v>50</v>
      </c>
      <c r="O134" t="s">
        <v>28</v>
      </c>
      <c r="P134">
        <v>30</v>
      </c>
      <c r="Q134">
        <v>48</v>
      </c>
    </row>
    <row r="135" spans="2:17" hidden="1" x14ac:dyDescent="0.3">
      <c r="B135" s="44">
        <v>45559</v>
      </c>
      <c r="C135" t="s">
        <v>33</v>
      </c>
      <c r="D135" s="3">
        <v>50</v>
      </c>
      <c r="E135" s="45">
        <v>29.3</v>
      </c>
      <c r="F135" s="46">
        <v>24</v>
      </c>
      <c r="G135" s="47">
        <f t="shared" si="5"/>
        <v>-265.00000000000006</v>
      </c>
      <c r="O135" t="s">
        <v>28</v>
      </c>
      <c r="P135">
        <v>30</v>
      </c>
      <c r="Q135">
        <v>49</v>
      </c>
    </row>
    <row r="136" spans="2:17" x14ac:dyDescent="0.3">
      <c r="B136" s="44">
        <v>45576</v>
      </c>
      <c r="C136" t="s">
        <v>6</v>
      </c>
      <c r="D136" s="3">
        <v>25</v>
      </c>
      <c r="E136" s="45">
        <v>37</v>
      </c>
      <c r="G136" s="47" t="str">
        <f t="shared" si="5"/>
        <v/>
      </c>
      <c r="I136">
        <f>+E136*1.1</f>
        <v>40.700000000000003</v>
      </c>
      <c r="K136">
        <f>IF(F136=0,1,0)</f>
        <v>1</v>
      </c>
      <c r="L136" s="24">
        <f>+D136*E136</f>
        <v>925</v>
      </c>
      <c r="O136" t="s">
        <v>379</v>
      </c>
      <c r="P136">
        <v>25</v>
      </c>
      <c r="Q136">
        <v>51</v>
      </c>
    </row>
    <row r="137" spans="2:17" hidden="1" x14ac:dyDescent="0.3">
      <c r="B137" s="44">
        <v>45561</v>
      </c>
      <c r="C137" t="s">
        <v>151</v>
      </c>
      <c r="D137" s="3">
        <v>2</v>
      </c>
      <c r="E137" s="45">
        <v>475</v>
      </c>
      <c r="F137" s="46">
        <v>500</v>
      </c>
      <c r="G137" s="47">
        <f t="shared" si="5"/>
        <v>50</v>
      </c>
      <c r="O137" t="s">
        <v>379</v>
      </c>
      <c r="P137">
        <v>50</v>
      </c>
      <c r="Q137">
        <v>51.5</v>
      </c>
    </row>
    <row r="138" spans="2:17" hidden="1" x14ac:dyDescent="0.3">
      <c r="B138" s="44">
        <v>45631</v>
      </c>
      <c r="C138" t="s">
        <v>12</v>
      </c>
      <c r="D138" s="3">
        <v>11</v>
      </c>
      <c r="E138" s="45">
        <v>92</v>
      </c>
      <c r="F138" s="46">
        <v>100</v>
      </c>
      <c r="G138" s="47">
        <f t="shared" si="5"/>
        <v>88</v>
      </c>
      <c r="O138" t="s">
        <v>379</v>
      </c>
      <c r="P138">
        <v>75</v>
      </c>
      <c r="Q138">
        <v>52</v>
      </c>
    </row>
    <row r="139" spans="2:17" hidden="1" x14ac:dyDescent="0.3">
      <c r="B139" s="44">
        <v>45559</v>
      </c>
      <c r="C139" t="s">
        <v>31</v>
      </c>
      <c r="D139" s="3">
        <v>175</v>
      </c>
      <c r="E139" s="45">
        <v>8.86</v>
      </c>
      <c r="F139" s="46">
        <v>7.9</v>
      </c>
      <c r="G139" s="47">
        <f t="shared" si="5"/>
        <v>-167.99999999999983</v>
      </c>
      <c r="O139" t="s">
        <v>379</v>
      </c>
      <c r="P139">
        <v>100</v>
      </c>
      <c r="Q139">
        <v>52.5</v>
      </c>
    </row>
    <row r="140" spans="2:17" x14ac:dyDescent="0.3">
      <c r="B140" s="44">
        <v>45583</v>
      </c>
      <c r="C140" t="s">
        <v>6</v>
      </c>
      <c r="D140" s="3">
        <v>6</v>
      </c>
      <c r="E140" s="45">
        <v>36</v>
      </c>
      <c r="G140" s="47" t="str">
        <f t="shared" si="5"/>
        <v/>
      </c>
      <c r="I140">
        <f>+E140*1.1</f>
        <v>39.6</v>
      </c>
      <c r="K140">
        <f>IF(F140=0,1,0)</f>
        <v>1</v>
      </c>
      <c r="L140" s="24">
        <f>+D140*E140</f>
        <v>216</v>
      </c>
      <c r="O140" t="s">
        <v>383</v>
      </c>
      <c r="P140">
        <v>250</v>
      </c>
      <c r="Q140">
        <v>2.7</v>
      </c>
    </row>
    <row r="141" spans="2:17" hidden="1" x14ac:dyDescent="0.3">
      <c r="B141" s="44">
        <v>45566</v>
      </c>
      <c r="C141" t="s">
        <v>451</v>
      </c>
      <c r="D141" s="3">
        <v>50</v>
      </c>
      <c r="E141" s="45">
        <v>23.5</v>
      </c>
      <c r="F141" s="46">
        <v>24.5</v>
      </c>
      <c r="G141" s="47">
        <f t="shared" si="5"/>
        <v>50</v>
      </c>
      <c r="O141" t="s">
        <v>383</v>
      </c>
      <c r="P141">
        <v>500</v>
      </c>
      <c r="Q141">
        <v>2.9</v>
      </c>
    </row>
    <row r="142" spans="2:17" hidden="1" x14ac:dyDescent="0.3">
      <c r="B142" s="44">
        <v>45588</v>
      </c>
      <c r="C142" t="s">
        <v>13</v>
      </c>
      <c r="D142" s="3">
        <v>35</v>
      </c>
      <c r="E142" s="45">
        <v>16</v>
      </c>
      <c r="F142" s="46">
        <v>17</v>
      </c>
      <c r="G142" s="47">
        <f t="shared" si="5"/>
        <v>35</v>
      </c>
      <c r="O142" t="s">
        <v>383</v>
      </c>
      <c r="P142">
        <v>750</v>
      </c>
      <c r="Q142">
        <v>3.1</v>
      </c>
    </row>
    <row r="143" spans="2:17" hidden="1" x14ac:dyDescent="0.3">
      <c r="B143" s="44">
        <v>45558</v>
      </c>
      <c r="C143" t="s">
        <v>128</v>
      </c>
      <c r="D143" s="3">
        <v>85</v>
      </c>
      <c r="E143" s="45">
        <v>20.7</v>
      </c>
      <c r="F143" s="46">
        <v>20.440000000000001</v>
      </c>
      <c r="G143" s="47">
        <f t="shared" si="5"/>
        <v>-22.099999999999831</v>
      </c>
      <c r="O143" t="s">
        <v>31</v>
      </c>
      <c r="P143">
        <v>25</v>
      </c>
      <c r="Q143">
        <v>32</v>
      </c>
    </row>
    <row r="144" spans="2:17" hidden="1" x14ac:dyDescent="0.3">
      <c r="B144" s="44">
        <v>45560</v>
      </c>
      <c r="C144" t="s">
        <v>128</v>
      </c>
      <c r="D144" s="3">
        <v>25</v>
      </c>
      <c r="E144" s="45">
        <v>19.5</v>
      </c>
      <c r="F144" s="46">
        <v>19.52</v>
      </c>
      <c r="G144" s="47">
        <f t="shared" si="5"/>
        <v>0.49999999999998934</v>
      </c>
      <c r="O144" t="s">
        <v>31</v>
      </c>
      <c r="P144">
        <v>50</v>
      </c>
      <c r="Q144">
        <v>32.5</v>
      </c>
    </row>
    <row r="145" spans="2:17" hidden="1" x14ac:dyDescent="0.3">
      <c r="B145" s="44">
        <v>45561</v>
      </c>
      <c r="C145" t="s">
        <v>498</v>
      </c>
      <c r="D145" s="3">
        <v>20</v>
      </c>
      <c r="E145" s="45">
        <v>69</v>
      </c>
      <c r="F145" s="46">
        <v>62</v>
      </c>
      <c r="G145" s="47">
        <f t="shared" si="5"/>
        <v>-140</v>
      </c>
      <c r="O145" t="s">
        <v>31</v>
      </c>
      <c r="P145">
        <v>75</v>
      </c>
      <c r="Q145">
        <v>33</v>
      </c>
    </row>
    <row r="146" spans="2:17" hidden="1" x14ac:dyDescent="0.3">
      <c r="B146" s="44">
        <v>45567</v>
      </c>
      <c r="C146" t="s">
        <v>498</v>
      </c>
      <c r="D146" s="3">
        <v>20</v>
      </c>
      <c r="E146" s="45">
        <v>63</v>
      </c>
      <c r="F146" s="46">
        <v>62</v>
      </c>
      <c r="G146" s="47">
        <f t="shared" si="5"/>
        <v>-20</v>
      </c>
      <c r="O146" t="s">
        <v>31</v>
      </c>
      <c r="P146">
        <v>100</v>
      </c>
      <c r="Q146">
        <v>34</v>
      </c>
    </row>
    <row r="147" spans="2:17" hidden="1" x14ac:dyDescent="0.3">
      <c r="B147" s="44">
        <v>45565</v>
      </c>
      <c r="C147" t="s">
        <v>38</v>
      </c>
      <c r="D147" s="3">
        <v>15</v>
      </c>
      <c r="E147" s="45">
        <v>215</v>
      </c>
      <c r="F147" s="46">
        <v>196</v>
      </c>
      <c r="G147" s="47">
        <f t="shared" si="5"/>
        <v>-285</v>
      </c>
      <c r="O147" t="s">
        <v>444</v>
      </c>
      <c r="P147">
        <v>25</v>
      </c>
      <c r="Q147">
        <v>15</v>
      </c>
    </row>
    <row r="148" spans="2:17" hidden="1" x14ac:dyDescent="0.3">
      <c r="B148" s="44">
        <v>45568</v>
      </c>
      <c r="C148" t="s">
        <v>206</v>
      </c>
      <c r="D148" s="3">
        <v>50</v>
      </c>
      <c r="E148" s="45">
        <v>9.9</v>
      </c>
      <c r="F148" s="46">
        <v>10</v>
      </c>
      <c r="G148" s="47">
        <f t="shared" si="5"/>
        <v>4.9999999999999822</v>
      </c>
      <c r="O148" t="s">
        <v>444</v>
      </c>
      <c r="P148">
        <v>50</v>
      </c>
      <c r="Q148">
        <v>15.5</v>
      </c>
    </row>
    <row r="149" spans="2:17" hidden="1" x14ac:dyDescent="0.3">
      <c r="B149" s="44">
        <v>45566</v>
      </c>
      <c r="C149" t="s">
        <v>51</v>
      </c>
      <c r="D149" s="3">
        <v>50</v>
      </c>
      <c r="E149" s="45">
        <v>10</v>
      </c>
      <c r="F149" s="46">
        <v>9.6</v>
      </c>
      <c r="G149" s="47">
        <f t="shared" si="5"/>
        <v>-20.000000000000018</v>
      </c>
      <c r="O149" t="s">
        <v>444</v>
      </c>
      <c r="P149">
        <v>50</v>
      </c>
      <c r="Q149">
        <v>16</v>
      </c>
    </row>
    <row r="150" spans="2:17" hidden="1" x14ac:dyDescent="0.3">
      <c r="B150" s="44">
        <v>45568</v>
      </c>
      <c r="C150" t="s">
        <v>32</v>
      </c>
      <c r="D150" s="3">
        <v>10</v>
      </c>
      <c r="E150" s="45">
        <v>86.3</v>
      </c>
      <c r="F150" s="46">
        <v>89</v>
      </c>
      <c r="G150" s="47">
        <f t="shared" si="5"/>
        <v>27.000000000000028</v>
      </c>
      <c r="O150" t="s">
        <v>444</v>
      </c>
      <c r="P150">
        <v>75</v>
      </c>
      <c r="Q150">
        <v>16.5</v>
      </c>
    </row>
    <row r="151" spans="2:17" hidden="1" x14ac:dyDescent="0.3">
      <c r="B151" s="44">
        <v>45569</v>
      </c>
      <c r="C151" t="s">
        <v>33</v>
      </c>
      <c r="D151" s="3">
        <v>120</v>
      </c>
      <c r="E151" s="45">
        <v>28</v>
      </c>
      <c r="F151" s="46">
        <v>29.28</v>
      </c>
      <c r="G151" s="47">
        <f t="shared" si="5"/>
        <v>153.60000000000014</v>
      </c>
      <c r="O151" t="s">
        <v>50</v>
      </c>
      <c r="P151">
        <v>50</v>
      </c>
      <c r="Q151">
        <v>21</v>
      </c>
    </row>
    <row r="152" spans="2:17" hidden="1" x14ac:dyDescent="0.3">
      <c r="B152" s="44">
        <v>45603</v>
      </c>
      <c r="C152" t="s">
        <v>128</v>
      </c>
      <c r="D152" s="3">
        <v>75</v>
      </c>
      <c r="E152" s="45">
        <v>17.100000000000001</v>
      </c>
      <c r="F152" s="46">
        <v>18.59</v>
      </c>
      <c r="G152" s="47">
        <f t="shared" si="5"/>
        <v>111.74999999999989</v>
      </c>
      <c r="O152" t="s">
        <v>33</v>
      </c>
      <c r="P152">
        <v>25</v>
      </c>
      <c r="Q152">
        <v>30</v>
      </c>
    </row>
    <row r="153" spans="2:17" hidden="1" x14ac:dyDescent="0.3">
      <c r="B153" s="44">
        <v>45608</v>
      </c>
      <c r="C153" t="s">
        <v>128</v>
      </c>
      <c r="D153" s="3">
        <v>30</v>
      </c>
      <c r="E153" s="45">
        <v>17</v>
      </c>
      <c r="F153" s="46">
        <v>18.2</v>
      </c>
      <c r="G153" s="47">
        <f t="shared" si="5"/>
        <v>35.999999999999979</v>
      </c>
      <c r="O153" t="s">
        <v>33</v>
      </c>
      <c r="P153">
        <v>50</v>
      </c>
      <c r="Q153">
        <v>30.5</v>
      </c>
    </row>
    <row r="154" spans="2:17" hidden="1" x14ac:dyDescent="0.3">
      <c r="B154" s="44">
        <v>45555</v>
      </c>
      <c r="C154" t="s">
        <v>151</v>
      </c>
      <c r="D154" s="3">
        <v>2</v>
      </c>
      <c r="E154" s="45">
        <v>500</v>
      </c>
      <c r="F154" s="46">
        <v>501</v>
      </c>
      <c r="G154" s="47">
        <f t="shared" si="5"/>
        <v>2</v>
      </c>
      <c r="O154" t="s">
        <v>33</v>
      </c>
      <c r="P154">
        <v>75</v>
      </c>
      <c r="Q154">
        <v>31</v>
      </c>
    </row>
    <row r="155" spans="2:17" hidden="1" x14ac:dyDescent="0.3">
      <c r="B155" s="44">
        <v>45587</v>
      </c>
      <c r="C155" t="s">
        <v>128</v>
      </c>
      <c r="D155" s="3">
        <v>30</v>
      </c>
      <c r="E155" s="45">
        <v>18.899999999999999</v>
      </c>
      <c r="F155" s="46">
        <v>19.52</v>
      </c>
      <c r="G155" s="47">
        <f t="shared" si="5"/>
        <v>18.60000000000003</v>
      </c>
      <c r="O155" t="s">
        <v>33</v>
      </c>
      <c r="P155">
        <v>100</v>
      </c>
      <c r="Q155">
        <v>31.5</v>
      </c>
    </row>
    <row r="156" spans="2:17" hidden="1" x14ac:dyDescent="0.3">
      <c r="B156" s="44">
        <v>45575</v>
      </c>
      <c r="C156" t="s">
        <v>301</v>
      </c>
      <c r="D156" s="3">
        <v>30</v>
      </c>
      <c r="E156" s="45">
        <v>34.5</v>
      </c>
      <c r="F156" s="46">
        <v>36</v>
      </c>
      <c r="G156" s="47">
        <f t="shared" si="5"/>
        <v>45</v>
      </c>
      <c r="O156" t="s">
        <v>34</v>
      </c>
      <c r="P156">
        <v>20</v>
      </c>
      <c r="Q156">
        <v>42</v>
      </c>
    </row>
    <row r="157" spans="2:17" hidden="1" x14ac:dyDescent="0.3">
      <c r="B157" s="44">
        <v>45596</v>
      </c>
      <c r="C157" t="s">
        <v>20</v>
      </c>
      <c r="D157" s="3">
        <v>100</v>
      </c>
      <c r="E157" s="45">
        <v>14</v>
      </c>
      <c r="F157" s="46">
        <v>15.38</v>
      </c>
      <c r="G157" s="47">
        <f t="shared" si="5"/>
        <v>138.00000000000009</v>
      </c>
      <c r="O157" t="s">
        <v>34</v>
      </c>
      <c r="P157">
        <v>20</v>
      </c>
      <c r="Q157">
        <v>42.5</v>
      </c>
    </row>
    <row r="158" spans="2:17" hidden="1" x14ac:dyDescent="0.3">
      <c r="B158" s="44">
        <v>45588</v>
      </c>
      <c r="C158" t="s">
        <v>128</v>
      </c>
      <c r="D158" s="3">
        <v>10</v>
      </c>
      <c r="E158" s="45">
        <v>17.8</v>
      </c>
      <c r="F158" s="46">
        <v>19.52</v>
      </c>
      <c r="G158" s="47">
        <f t="shared" si="5"/>
        <v>17.199999999999989</v>
      </c>
      <c r="O158" t="s">
        <v>498</v>
      </c>
      <c r="P158">
        <v>10</v>
      </c>
      <c r="Q158">
        <v>72</v>
      </c>
    </row>
    <row r="159" spans="2:17" hidden="1" x14ac:dyDescent="0.3">
      <c r="B159" s="44">
        <v>45579</v>
      </c>
      <c r="C159" t="s">
        <v>255</v>
      </c>
      <c r="D159" s="3">
        <v>150</v>
      </c>
      <c r="E159" s="45">
        <v>9.6999999999999993</v>
      </c>
      <c r="F159" s="46">
        <v>10</v>
      </c>
      <c r="G159" s="47">
        <f t="shared" si="5"/>
        <v>45.000000000000107</v>
      </c>
      <c r="O159" t="s">
        <v>498</v>
      </c>
      <c r="P159">
        <v>10</v>
      </c>
      <c r="Q159">
        <v>74</v>
      </c>
    </row>
    <row r="160" spans="2:17" hidden="1" x14ac:dyDescent="0.3">
      <c r="B160" s="44">
        <v>45586</v>
      </c>
      <c r="C160" t="s">
        <v>206</v>
      </c>
      <c r="D160" s="3">
        <v>100</v>
      </c>
      <c r="E160" s="45">
        <v>9.5</v>
      </c>
      <c r="F160" s="46">
        <v>10</v>
      </c>
      <c r="G160" s="47">
        <f t="shared" si="5"/>
        <v>50</v>
      </c>
      <c r="O160" t="s">
        <v>46</v>
      </c>
      <c r="P160">
        <v>260</v>
      </c>
      <c r="Q160">
        <v>5</v>
      </c>
    </row>
    <row r="161" spans="2:17" hidden="1" x14ac:dyDescent="0.3">
      <c r="B161" s="44">
        <v>45579</v>
      </c>
      <c r="C161" t="s">
        <v>265</v>
      </c>
      <c r="D161" s="3">
        <v>10</v>
      </c>
      <c r="E161" s="45">
        <v>175</v>
      </c>
      <c r="F161" s="46">
        <v>185</v>
      </c>
      <c r="G161" s="47">
        <f t="shared" si="5"/>
        <v>100</v>
      </c>
      <c r="O161" t="s">
        <v>46</v>
      </c>
      <c r="P161">
        <v>270</v>
      </c>
      <c r="Q161">
        <v>5</v>
      </c>
    </row>
    <row r="162" spans="2:17" hidden="1" x14ac:dyDescent="0.3">
      <c r="B162" s="44">
        <v>45628</v>
      </c>
      <c r="C162" t="s">
        <v>12</v>
      </c>
      <c r="D162" s="3">
        <v>8</v>
      </c>
      <c r="E162" s="45">
        <v>94</v>
      </c>
      <c r="F162" s="46">
        <v>104</v>
      </c>
      <c r="G162" s="47">
        <f t="shared" si="5"/>
        <v>80</v>
      </c>
      <c r="O162" t="s">
        <v>37</v>
      </c>
      <c r="P162">
        <v>25</v>
      </c>
      <c r="Q162">
        <v>58</v>
      </c>
    </row>
    <row r="163" spans="2:17" x14ac:dyDescent="0.3">
      <c r="B163" s="44">
        <v>45609</v>
      </c>
      <c r="C163" t="s">
        <v>6</v>
      </c>
      <c r="D163" s="3">
        <v>50</v>
      </c>
      <c r="E163" s="45">
        <v>40.020000000000003</v>
      </c>
      <c r="G163" s="47" t="str">
        <f t="shared" si="5"/>
        <v/>
      </c>
      <c r="I163">
        <f t="shared" ref="I163:I164" si="6">+E163*1.1</f>
        <v>44.022000000000006</v>
      </c>
      <c r="K163">
        <f t="shared" ref="K163:K164" si="7">IF(F163=0,1,0)</f>
        <v>1</v>
      </c>
      <c r="L163" s="24">
        <f t="shared" ref="L163:L164" si="8">+D163*E163</f>
        <v>2001.0000000000002</v>
      </c>
      <c r="O163" t="s">
        <v>37</v>
      </c>
      <c r="P163">
        <v>25</v>
      </c>
      <c r="Q163">
        <v>60</v>
      </c>
    </row>
    <row r="164" spans="2:17" x14ac:dyDescent="0.3">
      <c r="B164" s="44">
        <v>45615</v>
      </c>
      <c r="C164" t="s">
        <v>6</v>
      </c>
      <c r="D164" s="3">
        <v>50</v>
      </c>
      <c r="E164" s="45">
        <v>38</v>
      </c>
      <c r="G164" s="47" t="str">
        <f t="shared" si="5"/>
        <v/>
      </c>
      <c r="I164">
        <f t="shared" si="6"/>
        <v>41.800000000000004</v>
      </c>
      <c r="K164">
        <f t="shared" si="7"/>
        <v>1</v>
      </c>
      <c r="L164" s="24">
        <f t="shared" si="8"/>
        <v>1900</v>
      </c>
      <c r="O164" t="s">
        <v>37</v>
      </c>
      <c r="P164">
        <v>25</v>
      </c>
      <c r="Q164">
        <v>62</v>
      </c>
    </row>
    <row r="165" spans="2:17" hidden="1" x14ac:dyDescent="0.3">
      <c r="B165" s="44">
        <v>45569</v>
      </c>
      <c r="C165" t="s">
        <v>255</v>
      </c>
      <c r="D165" s="3">
        <v>100</v>
      </c>
      <c r="E165" s="45">
        <v>10.1</v>
      </c>
      <c r="F165" s="46">
        <v>11</v>
      </c>
      <c r="G165" s="47">
        <f t="shared" si="5"/>
        <v>90.000000000000028</v>
      </c>
      <c r="O165" t="s">
        <v>37</v>
      </c>
      <c r="P165">
        <v>25</v>
      </c>
      <c r="Q165">
        <v>64</v>
      </c>
    </row>
    <row r="166" spans="2:17" hidden="1" x14ac:dyDescent="0.3">
      <c r="B166" s="44">
        <v>45569</v>
      </c>
      <c r="C166" t="s">
        <v>255</v>
      </c>
      <c r="D166" s="3">
        <v>75</v>
      </c>
      <c r="E166" s="45">
        <v>10.1</v>
      </c>
      <c r="F166" s="46">
        <v>10.7</v>
      </c>
      <c r="G166" s="47">
        <f t="shared" si="5"/>
        <v>44.999999999999972</v>
      </c>
      <c r="O166" t="s">
        <v>38</v>
      </c>
      <c r="P166">
        <v>5</v>
      </c>
      <c r="Q166">
        <v>225</v>
      </c>
    </row>
    <row r="167" spans="2:17" hidden="1" x14ac:dyDescent="0.3">
      <c r="B167" s="44">
        <v>45569</v>
      </c>
      <c r="C167" t="s">
        <v>255</v>
      </c>
      <c r="D167" s="3">
        <v>50</v>
      </c>
      <c r="E167" s="45">
        <v>10.1</v>
      </c>
      <c r="F167" s="46">
        <v>10.5</v>
      </c>
      <c r="G167" s="47">
        <f t="shared" si="5"/>
        <v>20.000000000000018</v>
      </c>
      <c r="O167" t="s">
        <v>38</v>
      </c>
      <c r="P167">
        <v>5</v>
      </c>
      <c r="Q167">
        <v>230</v>
      </c>
    </row>
    <row r="168" spans="2:17" hidden="1" x14ac:dyDescent="0.3">
      <c r="B168" s="44">
        <v>45569</v>
      </c>
      <c r="C168" t="s">
        <v>379</v>
      </c>
      <c r="D168" s="3">
        <v>32</v>
      </c>
      <c r="E168" s="45">
        <v>42.9</v>
      </c>
      <c r="F168" s="46">
        <v>45</v>
      </c>
      <c r="G168" s="47">
        <f t="shared" si="5"/>
        <v>67.200000000000045</v>
      </c>
      <c r="O168" t="s">
        <v>38</v>
      </c>
      <c r="P168">
        <v>5</v>
      </c>
      <c r="Q168">
        <v>235</v>
      </c>
    </row>
    <row r="169" spans="2:17" hidden="1" x14ac:dyDescent="0.3">
      <c r="B169" s="44">
        <v>45569</v>
      </c>
      <c r="C169" t="s">
        <v>301</v>
      </c>
      <c r="D169" s="3">
        <v>30</v>
      </c>
      <c r="E169" s="45">
        <v>35.5</v>
      </c>
      <c r="F169" s="46">
        <v>36.5</v>
      </c>
      <c r="G169" s="47">
        <f t="shared" si="5"/>
        <v>30</v>
      </c>
      <c r="O169" t="s">
        <v>39</v>
      </c>
      <c r="P169">
        <v>1</v>
      </c>
      <c r="Q169">
        <v>735</v>
      </c>
    </row>
    <row r="170" spans="2:17" hidden="1" x14ac:dyDescent="0.3">
      <c r="B170" s="44">
        <v>45569</v>
      </c>
      <c r="C170" t="s">
        <v>444</v>
      </c>
      <c r="D170" s="3">
        <v>50</v>
      </c>
      <c r="E170" s="45">
        <v>13.28</v>
      </c>
      <c r="F170" s="46">
        <v>13.6</v>
      </c>
      <c r="G170" s="47">
        <f t="shared" si="5"/>
        <v>16.000000000000014</v>
      </c>
      <c r="O170" t="s">
        <v>39</v>
      </c>
      <c r="P170">
        <v>2</v>
      </c>
      <c r="Q170">
        <v>745</v>
      </c>
    </row>
    <row r="171" spans="2:17" hidden="1" x14ac:dyDescent="0.3">
      <c r="B171" s="44">
        <v>45572</v>
      </c>
      <c r="C171" t="s">
        <v>6</v>
      </c>
      <c r="D171" s="3">
        <v>30</v>
      </c>
      <c r="E171" s="45">
        <v>37</v>
      </c>
      <c r="F171" s="46">
        <v>37.4</v>
      </c>
      <c r="G171" s="47">
        <f t="shared" si="5"/>
        <v>11.999999999999957</v>
      </c>
      <c r="O171" t="s">
        <v>39</v>
      </c>
      <c r="P171">
        <v>3</v>
      </c>
      <c r="Q171">
        <v>755</v>
      </c>
    </row>
    <row r="172" spans="2:17" hidden="1" x14ac:dyDescent="0.3">
      <c r="B172" s="44">
        <v>45569</v>
      </c>
      <c r="C172" t="s">
        <v>13</v>
      </c>
      <c r="D172" s="3">
        <v>50</v>
      </c>
      <c r="E172" s="45">
        <v>13.8</v>
      </c>
      <c r="F172" s="46">
        <v>14.2</v>
      </c>
      <c r="G172" s="47">
        <f t="shared" si="5"/>
        <v>19.999999999999929</v>
      </c>
      <c r="O172" t="s">
        <v>39</v>
      </c>
      <c r="P172">
        <v>4</v>
      </c>
      <c r="Q172">
        <v>765</v>
      </c>
    </row>
    <row r="173" spans="2:17" x14ac:dyDescent="0.3">
      <c r="B173" s="44">
        <v>45624</v>
      </c>
      <c r="C173" t="s">
        <v>6</v>
      </c>
      <c r="D173" s="3">
        <v>50</v>
      </c>
      <c r="E173" s="45">
        <v>35.14</v>
      </c>
      <c r="G173" s="47" t="str">
        <f t="shared" si="5"/>
        <v/>
      </c>
      <c r="I173">
        <f>+E173*1.1</f>
        <v>38.654000000000003</v>
      </c>
      <c r="K173">
        <f>IF(F173=0,1,0)</f>
        <v>1</v>
      </c>
      <c r="L173" s="24">
        <f>+D173*E173</f>
        <v>1757</v>
      </c>
      <c r="O173" t="s">
        <v>41</v>
      </c>
      <c r="P173">
        <v>5</v>
      </c>
      <c r="Q173">
        <v>165</v>
      </c>
    </row>
    <row r="174" spans="2:17" hidden="1" x14ac:dyDescent="0.3">
      <c r="B174" s="44">
        <v>45569</v>
      </c>
      <c r="C174" t="s">
        <v>13</v>
      </c>
      <c r="D174" s="3">
        <v>100</v>
      </c>
      <c r="E174" s="45">
        <v>13.8</v>
      </c>
      <c r="F174" s="46">
        <v>14.5</v>
      </c>
      <c r="G174" s="47">
        <f t="shared" si="5"/>
        <v>69.999999999999929</v>
      </c>
      <c r="O174" t="s">
        <v>41</v>
      </c>
      <c r="P174">
        <v>10</v>
      </c>
      <c r="Q174">
        <v>170</v>
      </c>
    </row>
    <row r="175" spans="2:17" x14ac:dyDescent="0.3">
      <c r="B175" s="44">
        <v>45636</v>
      </c>
      <c r="C175" t="s">
        <v>6</v>
      </c>
      <c r="D175" s="3">
        <v>35</v>
      </c>
      <c r="E175" s="45">
        <v>35.5</v>
      </c>
      <c r="G175" s="47" t="str">
        <f t="shared" si="5"/>
        <v/>
      </c>
      <c r="I175">
        <f>+E175*1.1</f>
        <v>39.050000000000004</v>
      </c>
      <c r="K175">
        <f>IF(F175=0,1,0)</f>
        <v>1</v>
      </c>
      <c r="L175" s="24">
        <f>+D175*E175</f>
        <v>1242.5</v>
      </c>
      <c r="O175" t="s">
        <v>41</v>
      </c>
      <c r="P175">
        <v>15</v>
      </c>
      <c r="Q175">
        <v>175</v>
      </c>
    </row>
    <row r="176" spans="2:17" hidden="1" x14ac:dyDescent="0.3">
      <c r="B176" s="44">
        <v>45576</v>
      </c>
      <c r="C176" t="s">
        <v>301</v>
      </c>
      <c r="D176" s="3">
        <v>30</v>
      </c>
      <c r="E176" s="45">
        <v>35</v>
      </c>
      <c r="F176" s="46">
        <v>36</v>
      </c>
      <c r="G176" s="47">
        <f t="shared" si="5"/>
        <v>30</v>
      </c>
      <c r="O176" t="s">
        <v>41</v>
      </c>
      <c r="P176">
        <v>20</v>
      </c>
      <c r="Q176">
        <v>180</v>
      </c>
    </row>
    <row r="177" spans="2:17" hidden="1" x14ac:dyDescent="0.3">
      <c r="B177" s="44">
        <v>45575</v>
      </c>
      <c r="C177" t="s">
        <v>18</v>
      </c>
      <c r="D177" s="3">
        <v>5</v>
      </c>
      <c r="E177" s="45">
        <v>212</v>
      </c>
      <c r="F177" s="46">
        <v>209.5</v>
      </c>
      <c r="G177" s="47">
        <f t="shared" si="5"/>
        <v>-12.5</v>
      </c>
      <c r="O177" t="s">
        <v>43</v>
      </c>
      <c r="P177">
        <v>5</v>
      </c>
      <c r="Q177">
        <v>170</v>
      </c>
    </row>
    <row r="178" spans="2:17" hidden="1" x14ac:dyDescent="0.3">
      <c r="B178" s="44">
        <v>45603</v>
      </c>
      <c r="C178" t="s">
        <v>154</v>
      </c>
      <c r="D178" s="3">
        <v>5</v>
      </c>
      <c r="E178" s="45">
        <v>129</v>
      </c>
      <c r="F178" s="46">
        <v>142</v>
      </c>
      <c r="G178" s="47">
        <f t="shared" si="5"/>
        <v>65</v>
      </c>
      <c r="O178" t="s">
        <v>43</v>
      </c>
      <c r="P178">
        <v>10</v>
      </c>
      <c r="Q178">
        <v>175</v>
      </c>
    </row>
    <row r="179" spans="2:17" hidden="1" x14ac:dyDescent="0.3">
      <c r="B179" s="44">
        <v>45579</v>
      </c>
      <c r="C179" t="s">
        <v>319</v>
      </c>
      <c r="D179" s="3">
        <v>50</v>
      </c>
      <c r="E179" s="45">
        <v>23.94</v>
      </c>
      <c r="F179" s="46">
        <v>26</v>
      </c>
      <c r="G179" s="47">
        <f t="shared" si="5"/>
        <v>102.99999999999994</v>
      </c>
      <c r="O179" t="s">
        <v>43</v>
      </c>
      <c r="P179">
        <v>10</v>
      </c>
      <c r="Q179">
        <v>180</v>
      </c>
    </row>
    <row r="180" spans="2:17" hidden="1" x14ac:dyDescent="0.3">
      <c r="B180" s="44">
        <v>45569</v>
      </c>
      <c r="C180" t="s">
        <v>379</v>
      </c>
      <c r="D180" s="3">
        <v>18</v>
      </c>
      <c r="E180" s="45">
        <v>42.9</v>
      </c>
      <c r="F180" s="46">
        <v>46.74</v>
      </c>
      <c r="G180" s="47">
        <f t="shared" si="5"/>
        <v>69.120000000000061</v>
      </c>
      <c r="O180" t="s">
        <v>43</v>
      </c>
      <c r="P180">
        <v>15</v>
      </c>
      <c r="Q180">
        <v>185</v>
      </c>
    </row>
    <row r="181" spans="2:17" hidden="1" x14ac:dyDescent="0.3">
      <c r="B181" s="44">
        <v>45572</v>
      </c>
      <c r="C181" t="s">
        <v>379</v>
      </c>
      <c r="D181" s="3">
        <v>50</v>
      </c>
      <c r="E181" s="45">
        <v>42.5</v>
      </c>
      <c r="F181" s="46">
        <v>43.5</v>
      </c>
      <c r="G181" s="47">
        <f t="shared" si="5"/>
        <v>50</v>
      </c>
    </row>
    <row r="182" spans="2:17" hidden="1" x14ac:dyDescent="0.3">
      <c r="B182" s="44">
        <v>45572</v>
      </c>
      <c r="C182" t="s">
        <v>379</v>
      </c>
      <c r="D182" s="3">
        <v>50</v>
      </c>
      <c r="E182" s="45">
        <v>42.5</v>
      </c>
      <c r="F182" s="46">
        <v>43</v>
      </c>
      <c r="G182" s="47">
        <f t="shared" ref="G182:G245" si="9">IF(E182=0,"",IF(F182="","",(F182-E182)*D182))</f>
        <v>25</v>
      </c>
    </row>
    <row r="183" spans="2:17" hidden="1" x14ac:dyDescent="0.3">
      <c r="B183" s="44">
        <v>45574</v>
      </c>
      <c r="C183" t="s">
        <v>379</v>
      </c>
      <c r="D183" s="3">
        <v>25</v>
      </c>
      <c r="E183" s="45">
        <v>41.5</v>
      </c>
      <c r="F183" s="46">
        <v>42.5</v>
      </c>
      <c r="G183" s="47">
        <f t="shared" si="9"/>
        <v>25</v>
      </c>
    </row>
    <row r="184" spans="2:17" hidden="1" x14ac:dyDescent="0.3">
      <c r="B184" s="44">
        <v>45572</v>
      </c>
      <c r="C184" t="s">
        <v>379</v>
      </c>
      <c r="D184" s="3">
        <v>32</v>
      </c>
      <c r="E184" s="45">
        <v>43.5</v>
      </c>
      <c r="F184" s="46">
        <v>46.74</v>
      </c>
      <c r="G184" s="47">
        <f t="shared" si="9"/>
        <v>103.68000000000006</v>
      </c>
    </row>
    <row r="185" spans="2:17" hidden="1" x14ac:dyDescent="0.3">
      <c r="B185" s="44">
        <v>45572</v>
      </c>
      <c r="C185" t="s">
        <v>379</v>
      </c>
      <c r="D185" s="3">
        <v>50</v>
      </c>
      <c r="E185" s="45">
        <v>43</v>
      </c>
      <c r="F185" s="46">
        <v>46</v>
      </c>
      <c r="G185" s="47">
        <f t="shared" si="9"/>
        <v>150</v>
      </c>
    </row>
    <row r="186" spans="2:17" hidden="1" x14ac:dyDescent="0.3">
      <c r="B186" s="44">
        <v>45572</v>
      </c>
      <c r="C186" t="s">
        <v>379</v>
      </c>
      <c r="D186" s="3">
        <v>25</v>
      </c>
      <c r="E186" s="45">
        <v>43</v>
      </c>
      <c r="F186" s="46">
        <v>45</v>
      </c>
      <c r="G186" s="47">
        <f t="shared" si="9"/>
        <v>50</v>
      </c>
    </row>
    <row r="187" spans="2:17" hidden="1" x14ac:dyDescent="0.3">
      <c r="B187" s="44">
        <v>45574</v>
      </c>
      <c r="C187" t="s">
        <v>154</v>
      </c>
      <c r="D187" s="3">
        <v>10</v>
      </c>
      <c r="E187" s="45">
        <v>160</v>
      </c>
      <c r="F187" s="46">
        <v>145</v>
      </c>
      <c r="G187" s="47">
        <f t="shared" si="9"/>
        <v>-150</v>
      </c>
    </row>
    <row r="188" spans="2:17" hidden="1" x14ac:dyDescent="0.3">
      <c r="B188" s="44">
        <v>45603</v>
      </c>
      <c r="C188" t="s">
        <v>20</v>
      </c>
      <c r="D188" s="3">
        <v>150</v>
      </c>
      <c r="E188" s="45">
        <v>13.5</v>
      </c>
      <c r="F188" s="46">
        <v>13.74</v>
      </c>
      <c r="G188" s="47">
        <f t="shared" si="9"/>
        <v>36.000000000000028</v>
      </c>
    </row>
    <row r="189" spans="2:17" hidden="1" x14ac:dyDescent="0.3">
      <c r="B189" s="44">
        <v>45601</v>
      </c>
      <c r="C189" t="s">
        <v>154</v>
      </c>
      <c r="D189" s="3">
        <v>15</v>
      </c>
      <c r="E189" s="45">
        <v>144</v>
      </c>
      <c r="F189" s="46">
        <v>145</v>
      </c>
      <c r="G189" s="47">
        <f t="shared" si="9"/>
        <v>15</v>
      </c>
    </row>
    <row r="190" spans="2:17" hidden="1" x14ac:dyDescent="0.3">
      <c r="B190" s="44">
        <v>45576</v>
      </c>
      <c r="C190" t="s">
        <v>249</v>
      </c>
      <c r="D190" s="3">
        <v>15</v>
      </c>
      <c r="E190" s="45">
        <v>39</v>
      </c>
      <c r="F190" s="46">
        <v>44.16</v>
      </c>
      <c r="G190" s="47">
        <f t="shared" si="9"/>
        <v>77.399999999999949</v>
      </c>
    </row>
    <row r="191" spans="2:17" hidden="1" x14ac:dyDescent="0.3">
      <c r="B191" s="44">
        <v>45554</v>
      </c>
      <c r="C191" t="s">
        <v>379</v>
      </c>
      <c r="D191" s="3">
        <v>25</v>
      </c>
      <c r="E191" s="45">
        <v>54</v>
      </c>
      <c r="F191" s="46">
        <v>67</v>
      </c>
      <c r="G191" s="47">
        <f t="shared" si="9"/>
        <v>325</v>
      </c>
    </row>
    <row r="192" spans="2:17" hidden="1" x14ac:dyDescent="0.3">
      <c r="B192" s="44">
        <v>45558</v>
      </c>
      <c r="C192" t="s">
        <v>379</v>
      </c>
      <c r="D192" s="3">
        <v>50</v>
      </c>
      <c r="E192" s="45">
        <v>55</v>
      </c>
      <c r="F192" s="46">
        <v>68.349999999999994</v>
      </c>
      <c r="G192" s="47">
        <f t="shared" si="9"/>
        <v>667.49999999999977</v>
      </c>
    </row>
    <row r="193" spans="2:15" hidden="1" x14ac:dyDescent="0.3">
      <c r="B193" s="44">
        <v>45572</v>
      </c>
      <c r="C193" t="s">
        <v>529</v>
      </c>
      <c r="D193" s="3">
        <v>50</v>
      </c>
      <c r="E193" s="45">
        <v>44</v>
      </c>
      <c r="F193" s="46">
        <v>45</v>
      </c>
      <c r="G193" s="47">
        <f t="shared" si="9"/>
        <v>50</v>
      </c>
    </row>
    <row r="194" spans="2:15" hidden="1" x14ac:dyDescent="0.3">
      <c r="B194" s="44">
        <v>45567</v>
      </c>
      <c r="C194" t="s">
        <v>6</v>
      </c>
      <c r="D194" s="3">
        <v>50</v>
      </c>
      <c r="E194" s="45">
        <v>36</v>
      </c>
      <c r="F194" s="46">
        <v>37</v>
      </c>
      <c r="G194" s="47">
        <f t="shared" si="9"/>
        <v>50</v>
      </c>
    </row>
    <row r="195" spans="2:15" hidden="1" x14ac:dyDescent="0.3">
      <c r="B195" s="44">
        <v>45572</v>
      </c>
      <c r="C195" t="s">
        <v>379</v>
      </c>
      <c r="D195" s="3">
        <v>25</v>
      </c>
      <c r="E195" s="45">
        <v>42</v>
      </c>
      <c r="F195" s="46">
        <v>43</v>
      </c>
      <c r="G195" s="47">
        <f t="shared" si="9"/>
        <v>25</v>
      </c>
    </row>
    <row r="196" spans="2:15" hidden="1" x14ac:dyDescent="0.3">
      <c r="B196" s="44">
        <v>45572</v>
      </c>
      <c r="C196" t="s">
        <v>529</v>
      </c>
      <c r="D196" s="3">
        <v>50</v>
      </c>
      <c r="E196" s="45">
        <v>44</v>
      </c>
      <c r="F196" s="46">
        <v>45</v>
      </c>
      <c r="G196" s="47">
        <f t="shared" si="9"/>
        <v>50</v>
      </c>
    </row>
    <row r="197" spans="2:15" hidden="1" x14ac:dyDescent="0.3">
      <c r="B197" s="44">
        <v>45567</v>
      </c>
      <c r="C197" t="s">
        <v>379</v>
      </c>
      <c r="D197" s="3">
        <v>30</v>
      </c>
      <c r="E197" s="45">
        <v>47</v>
      </c>
      <c r="F197" s="46">
        <v>51.4</v>
      </c>
      <c r="G197" s="47">
        <f t="shared" si="9"/>
        <v>131.99999999999994</v>
      </c>
    </row>
    <row r="198" spans="2:15" hidden="1" x14ac:dyDescent="0.3">
      <c r="B198" s="44">
        <v>45573</v>
      </c>
      <c r="C198" t="s">
        <v>529</v>
      </c>
      <c r="D198" s="3">
        <v>50</v>
      </c>
      <c r="E198" s="45">
        <v>43</v>
      </c>
      <c r="F198" s="46">
        <v>44</v>
      </c>
      <c r="G198" s="47">
        <f t="shared" si="9"/>
        <v>50</v>
      </c>
    </row>
    <row r="199" spans="2:15" hidden="1" x14ac:dyDescent="0.3">
      <c r="B199" s="44">
        <v>45568</v>
      </c>
      <c r="C199" t="s">
        <v>379</v>
      </c>
      <c r="D199" s="3">
        <v>100</v>
      </c>
      <c r="E199" s="45">
        <v>45</v>
      </c>
      <c r="F199" s="46">
        <v>49</v>
      </c>
      <c r="G199" s="47">
        <f t="shared" si="9"/>
        <v>400</v>
      </c>
    </row>
    <row r="200" spans="2:15" hidden="1" x14ac:dyDescent="0.3">
      <c r="B200" s="44">
        <v>45568</v>
      </c>
      <c r="C200" t="s">
        <v>379</v>
      </c>
      <c r="D200" s="3">
        <v>105</v>
      </c>
      <c r="E200" s="45">
        <v>44.5</v>
      </c>
      <c r="F200" s="46">
        <v>47.74285714285714</v>
      </c>
      <c r="G200" s="47">
        <f t="shared" si="9"/>
        <v>340.49999999999972</v>
      </c>
    </row>
    <row r="201" spans="2:15" hidden="1" x14ac:dyDescent="0.3">
      <c r="B201" s="44">
        <v>45560</v>
      </c>
      <c r="C201" t="s">
        <v>379</v>
      </c>
      <c r="D201" s="3">
        <v>100</v>
      </c>
      <c r="E201" s="45">
        <v>52.5</v>
      </c>
      <c r="F201" s="46">
        <v>59.5</v>
      </c>
      <c r="G201" s="47">
        <f t="shared" si="9"/>
        <v>700</v>
      </c>
      <c r="O201">
        <f>25*58+25*60+25*59+25*61</f>
        <v>5950</v>
      </c>
    </row>
    <row r="202" spans="2:15" hidden="1" x14ac:dyDescent="0.3">
      <c r="B202" s="44">
        <v>45567</v>
      </c>
      <c r="C202" t="s">
        <v>6</v>
      </c>
      <c r="D202" s="3">
        <v>25</v>
      </c>
      <c r="E202" s="45">
        <v>36</v>
      </c>
      <c r="F202" s="46">
        <v>38</v>
      </c>
      <c r="G202" s="47">
        <f t="shared" si="9"/>
        <v>50</v>
      </c>
    </row>
    <row r="203" spans="2:15" hidden="1" x14ac:dyDescent="0.3">
      <c r="B203" s="44">
        <v>45568</v>
      </c>
      <c r="C203" t="s">
        <v>33</v>
      </c>
      <c r="D203" s="3">
        <v>80</v>
      </c>
      <c r="E203" s="45">
        <v>27</v>
      </c>
      <c r="F203" s="46">
        <v>29.28</v>
      </c>
      <c r="G203" s="47">
        <f t="shared" si="9"/>
        <v>182.40000000000009</v>
      </c>
    </row>
    <row r="204" spans="2:15" hidden="1" x14ac:dyDescent="0.3">
      <c r="B204" s="44">
        <v>45560</v>
      </c>
      <c r="C204" t="s">
        <v>379</v>
      </c>
      <c r="D204" s="3">
        <v>50</v>
      </c>
      <c r="E204" s="45">
        <v>53.8</v>
      </c>
      <c r="F204" s="46">
        <v>56</v>
      </c>
      <c r="G204" s="47">
        <f t="shared" si="9"/>
        <v>110.00000000000014</v>
      </c>
    </row>
    <row r="205" spans="2:15" hidden="1" x14ac:dyDescent="0.3">
      <c r="B205" s="44">
        <v>45561</v>
      </c>
      <c r="C205" t="s">
        <v>379</v>
      </c>
      <c r="D205" s="3">
        <v>30</v>
      </c>
      <c r="E205" s="45">
        <v>51.2</v>
      </c>
      <c r="F205" s="46">
        <v>54.95</v>
      </c>
      <c r="G205" s="47">
        <f t="shared" si="9"/>
        <v>112.5</v>
      </c>
      <c r="O205">
        <f>60*48+45*47.4</f>
        <v>5013</v>
      </c>
    </row>
    <row r="206" spans="2:15" hidden="1" x14ac:dyDescent="0.3">
      <c r="B206" s="44">
        <v>45574</v>
      </c>
      <c r="C206" t="s">
        <v>379</v>
      </c>
      <c r="D206" s="3">
        <v>50</v>
      </c>
      <c r="E206" s="45">
        <v>41.5</v>
      </c>
      <c r="F206" s="46">
        <v>42.5</v>
      </c>
      <c r="G206" s="47">
        <f t="shared" si="9"/>
        <v>50</v>
      </c>
    </row>
    <row r="207" spans="2:15" hidden="1" x14ac:dyDescent="0.3">
      <c r="B207" s="44">
        <v>45561</v>
      </c>
      <c r="C207" t="s">
        <v>379</v>
      </c>
      <c r="D207" s="3">
        <v>50</v>
      </c>
      <c r="E207" s="45">
        <v>51</v>
      </c>
      <c r="F207" s="46">
        <v>55</v>
      </c>
      <c r="G207" s="47">
        <f t="shared" si="9"/>
        <v>200</v>
      </c>
      <c r="O207">
        <f>+O205/105</f>
        <v>47.74285714285714</v>
      </c>
    </row>
    <row r="208" spans="2:15" hidden="1" x14ac:dyDescent="0.3">
      <c r="B208" s="44">
        <v>45576</v>
      </c>
      <c r="C208" t="s">
        <v>423</v>
      </c>
      <c r="D208" s="3">
        <v>75</v>
      </c>
      <c r="E208" s="45">
        <v>7</v>
      </c>
      <c r="F208" s="46">
        <v>7.5</v>
      </c>
      <c r="G208" s="47">
        <f t="shared" si="9"/>
        <v>37.5</v>
      </c>
    </row>
    <row r="209" spans="2:15" hidden="1" x14ac:dyDescent="0.3">
      <c r="B209" s="44">
        <v>45574</v>
      </c>
      <c r="C209" t="s">
        <v>529</v>
      </c>
      <c r="D209" s="3">
        <v>50</v>
      </c>
      <c r="E209" s="45">
        <v>44</v>
      </c>
      <c r="F209" s="46">
        <v>45</v>
      </c>
      <c r="G209" s="47">
        <f t="shared" si="9"/>
        <v>50</v>
      </c>
    </row>
    <row r="210" spans="2:15" hidden="1" x14ac:dyDescent="0.3">
      <c r="B210" s="44">
        <v>45572</v>
      </c>
      <c r="C210" t="s">
        <v>206</v>
      </c>
      <c r="D210" s="3">
        <v>100</v>
      </c>
      <c r="E210" s="45">
        <v>9.85</v>
      </c>
      <c r="F210" s="46">
        <v>10.1</v>
      </c>
      <c r="G210" s="47">
        <f t="shared" si="9"/>
        <v>25</v>
      </c>
    </row>
    <row r="211" spans="2:15" hidden="1" x14ac:dyDescent="0.3">
      <c r="B211" s="44">
        <v>45574</v>
      </c>
      <c r="C211" t="s">
        <v>255</v>
      </c>
      <c r="D211" s="3">
        <v>50</v>
      </c>
      <c r="E211" s="45">
        <v>10</v>
      </c>
      <c r="F211" s="46">
        <v>10.5</v>
      </c>
      <c r="G211" s="47">
        <f t="shared" si="9"/>
        <v>25</v>
      </c>
    </row>
    <row r="212" spans="2:15" hidden="1" x14ac:dyDescent="0.3">
      <c r="B212" s="44">
        <v>45575</v>
      </c>
      <c r="C212" t="s">
        <v>12</v>
      </c>
      <c r="D212" s="3">
        <v>10</v>
      </c>
      <c r="E212" s="45">
        <v>70</v>
      </c>
      <c r="F212" s="46">
        <v>71</v>
      </c>
      <c r="G212" s="47">
        <f t="shared" si="9"/>
        <v>10</v>
      </c>
    </row>
    <row r="213" spans="2:15" hidden="1" x14ac:dyDescent="0.3">
      <c r="B213" s="44">
        <v>45572</v>
      </c>
      <c r="C213" t="s">
        <v>529</v>
      </c>
      <c r="D213" s="3">
        <v>50</v>
      </c>
      <c r="E213" s="45">
        <v>45</v>
      </c>
      <c r="F213" s="46">
        <v>46</v>
      </c>
      <c r="G213" s="47">
        <f t="shared" si="9"/>
        <v>50</v>
      </c>
    </row>
    <row r="214" spans="2:15" hidden="1" x14ac:dyDescent="0.3">
      <c r="B214" s="44">
        <v>45572</v>
      </c>
      <c r="C214" t="s">
        <v>529</v>
      </c>
      <c r="D214" s="3">
        <v>100</v>
      </c>
      <c r="E214" s="45">
        <v>44.5</v>
      </c>
      <c r="F214" s="46">
        <v>46.5</v>
      </c>
      <c r="G214" s="47">
        <f t="shared" si="9"/>
        <v>200</v>
      </c>
    </row>
    <row r="215" spans="2:15" hidden="1" x14ac:dyDescent="0.3">
      <c r="B215" s="44">
        <v>45561</v>
      </c>
      <c r="C215" t="s">
        <v>379</v>
      </c>
      <c r="D215" s="3">
        <v>20</v>
      </c>
      <c r="E215" s="45">
        <v>50</v>
      </c>
      <c r="F215" s="46">
        <v>54.95</v>
      </c>
      <c r="G215" s="47">
        <f t="shared" si="9"/>
        <v>99.000000000000057</v>
      </c>
    </row>
    <row r="216" spans="2:15" hidden="1" x14ac:dyDescent="0.3">
      <c r="B216" s="44">
        <v>45559</v>
      </c>
      <c r="C216" t="s">
        <v>379</v>
      </c>
      <c r="D216" s="3">
        <v>25</v>
      </c>
      <c r="E216" s="45">
        <v>55</v>
      </c>
      <c r="F216" s="46">
        <v>68.349999999999994</v>
      </c>
      <c r="G216" s="47">
        <f t="shared" si="9"/>
        <v>333.74999999999989</v>
      </c>
      <c r="O216">
        <f>+O201/100</f>
        <v>59.5</v>
      </c>
    </row>
    <row r="217" spans="2:15" hidden="1" x14ac:dyDescent="0.3">
      <c r="B217" s="44">
        <v>45603</v>
      </c>
      <c r="C217" t="s">
        <v>154</v>
      </c>
      <c r="D217" s="3">
        <v>9</v>
      </c>
      <c r="E217" s="45">
        <v>135</v>
      </c>
      <c r="F217" s="46">
        <v>145</v>
      </c>
      <c r="G217" s="47">
        <f t="shared" si="9"/>
        <v>90</v>
      </c>
    </row>
    <row r="218" spans="2:15" hidden="1" x14ac:dyDescent="0.3">
      <c r="B218" s="44">
        <v>45574</v>
      </c>
      <c r="C218" t="s">
        <v>255</v>
      </c>
      <c r="D218" s="3">
        <v>100</v>
      </c>
      <c r="E218" s="45">
        <v>10</v>
      </c>
      <c r="F218" s="46">
        <v>10.5</v>
      </c>
      <c r="G218" s="47">
        <f t="shared" si="9"/>
        <v>50</v>
      </c>
    </row>
    <row r="219" spans="2:15" x14ac:dyDescent="0.3">
      <c r="B219" s="44">
        <v>45642</v>
      </c>
      <c r="C219" t="s">
        <v>6</v>
      </c>
      <c r="D219" s="3">
        <v>129</v>
      </c>
      <c r="E219" s="45">
        <v>36.5</v>
      </c>
      <c r="G219" s="47" t="str">
        <f t="shared" si="9"/>
        <v/>
      </c>
      <c r="I219">
        <f>+E219*1.1</f>
        <v>40.150000000000006</v>
      </c>
      <c r="K219">
        <f>IF(F219=0,1,0)</f>
        <v>1</v>
      </c>
      <c r="L219" s="24">
        <f>+D219*E219</f>
        <v>4708.5</v>
      </c>
    </row>
    <row r="220" spans="2:15" hidden="1" x14ac:dyDescent="0.3">
      <c r="B220" s="44">
        <v>45600</v>
      </c>
      <c r="C220" t="s">
        <v>14</v>
      </c>
      <c r="D220" s="3">
        <v>8</v>
      </c>
      <c r="E220" s="45">
        <v>130</v>
      </c>
      <c r="F220" s="46">
        <v>128</v>
      </c>
      <c r="G220" s="47">
        <f t="shared" si="9"/>
        <v>-16</v>
      </c>
    </row>
    <row r="221" spans="2:15" hidden="1" x14ac:dyDescent="0.3">
      <c r="B221" s="44">
        <v>45568</v>
      </c>
      <c r="C221" t="s">
        <v>379</v>
      </c>
      <c r="D221" s="3">
        <v>25</v>
      </c>
      <c r="E221" s="45">
        <v>44.5</v>
      </c>
      <c r="F221" s="46">
        <v>46.74</v>
      </c>
      <c r="G221" s="47">
        <f t="shared" si="9"/>
        <v>56.00000000000005</v>
      </c>
    </row>
    <row r="222" spans="2:15" hidden="1" x14ac:dyDescent="0.3">
      <c r="B222" s="44">
        <v>45582</v>
      </c>
      <c r="C222" t="s">
        <v>379</v>
      </c>
      <c r="D222" s="3">
        <v>25</v>
      </c>
      <c r="E222" s="45">
        <v>65</v>
      </c>
      <c r="F222" s="46">
        <v>72</v>
      </c>
      <c r="G222" s="47">
        <f t="shared" si="9"/>
        <v>175</v>
      </c>
    </row>
    <row r="223" spans="2:15" hidden="1" x14ac:dyDescent="0.3">
      <c r="B223" s="44">
        <v>45569</v>
      </c>
      <c r="C223" t="s">
        <v>25</v>
      </c>
      <c r="D223" s="3">
        <v>250</v>
      </c>
      <c r="E223" s="45">
        <v>2.98</v>
      </c>
      <c r="F223" s="46">
        <v>3.15</v>
      </c>
      <c r="G223" s="47">
        <f t="shared" si="9"/>
        <v>42.499999999999986</v>
      </c>
    </row>
    <row r="224" spans="2:15" hidden="1" x14ac:dyDescent="0.3">
      <c r="B224" s="44">
        <v>45600</v>
      </c>
      <c r="C224" t="s">
        <v>206</v>
      </c>
      <c r="D224" s="3">
        <v>50</v>
      </c>
      <c r="E224" s="45">
        <v>9.5</v>
      </c>
      <c r="F224" s="46">
        <v>11.03</v>
      </c>
      <c r="G224" s="47">
        <f t="shared" si="9"/>
        <v>76.499999999999972</v>
      </c>
    </row>
    <row r="225" spans="2:7" hidden="1" x14ac:dyDescent="0.3">
      <c r="B225" s="44">
        <v>45572</v>
      </c>
      <c r="C225" t="s">
        <v>206</v>
      </c>
      <c r="D225" s="3">
        <v>100</v>
      </c>
      <c r="E225" s="45">
        <v>9.85</v>
      </c>
      <c r="F225" s="46">
        <v>11.58</v>
      </c>
      <c r="G225" s="47">
        <f t="shared" si="9"/>
        <v>173.00000000000006</v>
      </c>
    </row>
    <row r="226" spans="2:7" hidden="1" x14ac:dyDescent="0.3">
      <c r="B226" s="44">
        <v>45569</v>
      </c>
      <c r="C226" t="s">
        <v>220</v>
      </c>
      <c r="D226" s="3">
        <v>45</v>
      </c>
      <c r="E226" s="45">
        <v>49.6</v>
      </c>
      <c r="F226" s="46">
        <v>50.6</v>
      </c>
      <c r="G226" s="47">
        <f t="shared" si="9"/>
        <v>45</v>
      </c>
    </row>
    <row r="227" spans="2:7" hidden="1" x14ac:dyDescent="0.3">
      <c r="B227" s="44">
        <v>45583</v>
      </c>
      <c r="C227" t="s">
        <v>206</v>
      </c>
      <c r="D227" s="3">
        <v>10</v>
      </c>
      <c r="E227" s="45">
        <v>9.8000000000000007</v>
      </c>
      <c r="F227" s="46">
        <v>11.58</v>
      </c>
      <c r="G227" s="47">
        <f t="shared" si="9"/>
        <v>17.799999999999994</v>
      </c>
    </row>
    <row r="228" spans="2:7" hidden="1" x14ac:dyDescent="0.3">
      <c r="B228" s="44">
        <v>45616</v>
      </c>
      <c r="C228" t="s">
        <v>14</v>
      </c>
      <c r="D228" s="3">
        <v>1</v>
      </c>
      <c r="E228" s="45">
        <v>119.5</v>
      </c>
      <c r="F228" s="46">
        <v>131.30000000000001</v>
      </c>
      <c r="G228" s="47">
        <f t="shared" si="9"/>
        <v>11.800000000000011</v>
      </c>
    </row>
    <row r="229" spans="2:7" hidden="1" x14ac:dyDescent="0.3">
      <c r="B229" s="44">
        <v>45588</v>
      </c>
      <c r="C229" t="s">
        <v>220</v>
      </c>
      <c r="D229" s="3">
        <v>30</v>
      </c>
      <c r="E229" s="45">
        <v>45.54</v>
      </c>
      <c r="F229" s="46">
        <v>50</v>
      </c>
      <c r="G229" s="47">
        <f t="shared" si="9"/>
        <v>133.80000000000001</v>
      </c>
    </row>
    <row r="230" spans="2:7" hidden="1" x14ac:dyDescent="0.3">
      <c r="B230" s="44">
        <v>45573</v>
      </c>
      <c r="C230" t="s">
        <v>37</v>
      </c>
      <c r="D230" s="3">
        <v>25</v>
      </c>
      <c r="E230" s="45">
        <v>49.9</v>
      </c>
      <c r="F230" s="46">
        <v>55.8</v>
      </c>
      <c r="G230" s="47">
        <f t="shared" si="9"/>
        <v>147.49999999999997</v>
      </c>
    </row>
    <row r="231" spans="2:7" hidden="1" x14ac:dyDescent="0.3">
      <c r="B231" s="44">
        <v>45573</v>
      </c>
      <c r="C231" t="s">
        <v>37</v>
      </c>
      <c r="D231" s="3">
        <v>50</v>
      </c>
      <c r="E231" s="45">
        <v>48</v>
      </c>
      <c r="F231" s="46">
        <v>55.8</v>
      </c>
      <c r="G231" s="47">
        <f t="shared" si="9"/>
        <v>389.99999999999989</v>
      </c>
    </row>
    <row r="232" spans="2:7" hidden="1" x14ac:dyDescent="0.3">
      <c r="B232" s="44">
        <v>45572</v>
      </c>
      <c r="C232" t="s">
        <v>23</v>
      </c>
      <c r="D232" s="3">
        <v>1</v>
      </c>
      <c r="E232" s="45">
        <v>900</v>
      </c>
      <c r="F232" s="46">
        <v>920</v>
      </c>
      <c r="G232" s="47">
        <f t="shared" si="9"/>
        <v>20</v>
      </c>
    </row>
    <row r="233" spans="2:7" hidden="1" x14ac:dyDescent="0.3">
      <c r="B233" s="44">
        <v>45576</v>
      </c>
      <c r="C233" t="s">
        <v>128</v>
      </c>
      <c r="D233" s="3">
        <v>50</v>
      </c>
      <c r="E233" s="45">
        <v>17.399999999999999</v>
      </c>
      <c r="F233" s="46">
        <v>17.7</v>
      </c>
      <c r="G233" s="47">
        <f t="shared" si="9"/>
        <v>15.000000000000036</v>
      </c>
    </row>
    <row r="234" spans="2:7" hidden="1" x14ac:dyDescent="0.3">
      <c r="B234" s="44">
        <v>45576</v>
      </c>
      <c r="C234" t="s">
        <v>26</v>
      </c>
      <c r="D234" s="3">
        <v>10</v>
      </c>
      <c r="E234" s="45">
        <v>68.5</v>
      </c>
      <c r="F234" s="46">
        <v>79.650000000000006</v>
      </c>
      <c r="G234" s="47">
        <f t="shared" si="9"/>
        <v>111.50000000000006</v>
      </c>
    </row>
    <row r="235" spans="2:7" hidden="1" x14ac:dyDescent="0.3">
      <c r="B235" s="44">
        <v>45579</v>
      </c>
      <c r="C235" t="s">
        <v>37</v>
      </c>
      <c r="D235" s="3">
        <v>25</v>
      </c>
      <c r="E235" s="45">
        <v>48</v>
      </c>
      <c r="F235" s="46">
        <v>50.5</v>
      </c>
      <c r="G235" s="47">
        <f t="shared" si="9"/>
        <v>62.5</v>
      </c>
    </row>
    <row r="236" spans="2:7" hidden="1" x14ac:dyDescent="0.3">
      <c r="B236" s="44">
        <v>45562</v>
      </c>
      <c r="C236" t="s">
        <v>26</v>
      </c>
      <c r="D236" s="3">
        <v>9</v>
      </c>
      <c r="E236" s="45">
        <v>79</v>
      </c>
      <c r="F236" s="46">
        <v>88</v>
      </c>
      <c r="G236" s="47">
        <f t="shared" si="9"/>
        <v>81</v>
      </c>
    </row>
    <row r="237" spans="2:7" hidden="1" x14ac:dyDescent="0.3">
      <c r="B237" s="44">
        <v>45576</v>
      </c>
      <c r="C237" t="s">
        <v>529</v>
      </c>
      <c r="D237" s="3">
        <v>25</v>
      </c>
      <c r="E237" s="45">
        <v>45</v>
      </c>
      <c r="F237" s="46">
        <v>47</v>
      </c>
      <c r="G237" s="47">
        <f t="shared" si="9"/>
        <v>50</v>
      </c>
    </row>
    <row r="238" spans="2:7" hidden="1" x14ac:dyDescent="0.3">
      <c r="B238" s="44">
        <v>45576</v>
      </c>
      <c r="C238" t="s">
        <v>423</v>
      </c>
      <c r="D238" s="3">
        <v>50</v>
      </c>
      <c r="E238" s="45">
        <v>7</v>
      </c>
      <c r="F238" s="46">
        <v>7.1</v>
      </c>
      <c r="G238" s="47">
        <f t="shared" si="9"/>
        <v>4.9999999999999822</v>
      </c>
    </row>
    <row r="239" spans="2:7" hidden="1" x14ac:dyDescent="0.3">
      <c r="B239" s="44">
        <v>45576</v>
      </c>
      <c r="C239" t="s">
        <v>423</v>
      </c>
      <c r="D239" s="3">
        <v>75</v>
      </c>
      <c r="E239" s="45">
        <v>7</v>
      </c>
      <c r="F239" s="46">
        <v>7.2</v>
      </c>
      <c r="G239" s="47">
        <f t="shared" si="9"/>
        <v>15.000000000000014</v>
      </c>
    </row>
    <row r="240" spans="2:7" hidden="1" x14ac:dyDescent="0.3">
      <c r="B240" s="44">
        <v>45576</v>
      </c>
      <c r="C240" t="s">
        <v>423</v>
      </c>
      <c r="D240" s="3">
        <v>100</v>
      </c>
      <c r="E240" s="45">
        <v>7</v>
      </c>
      <c r="F240" s="46">
        <v>7.3</v>
      </c>
      <c r="G240" s="47">
        <f t="shared" si="9"/>
        <v>29.999999999999982</v>
      </c>
    </row>
    <row r="241" spans="2:7" hidden="1" x14ac:dyDescent="0.3">
      <c r="B241" s="44">
        <v>45576</v>
      </c>
      <c r="C241" t="s">
        <v>423</v>
      </c>
      <c r="D241" s="3">
        <v>100</v>
      </c>
      <c r="E241" s="45">
        <v>7</v>
      </c>
      <c r="F241" s="46">
        <v>7.4</v>
      </c>
      <c r="G241" s="47">
        <f t="shared" si="9"/>
        <v>40.000000000000036</v>
      </c>
    </row>
    <row r="242" spans="2:7" hidden="1" x14ac:dyDescent="0.3">
      <c r="B242" s="44">
        <v>45575</v>
      </c>
      <c r="C242" t="s">
        <v>423</v>
      </c>
      <c r="D242" s="3">
        <v>25</v>
      </c>
      <c r="E242" s="45">
        <v>7.5</v>
      </c>
      <c r="F242" s="46">
        <v>7.5</v>
      </c>
      <c r="G242" s="47">
        <f t="shared" si="9"/>
        <v>0</v>
      </c>
    </row>
    <row r="243" spans="2:7" hidden="1" x14ac:dyDescent="0.3">
      <c r="B243" s="44">
        <v>45575</v>
      </c>
      <c r="C243" t="s">
        <v>423</v>
      </c>
      <c r="D243" s="3">
        <v>100</v>
      </c>
      <c r="E243" s="45">
        <v>7.5</v>
      </c>
      <c r="F243" s="46">
        <v>7.74</v>
      </c>
      <c r="G243" s="47">
        <f t="shared" si="9"/>
        <v>24.000000000000021</v>
      </c>
    </row>
    <row r="244" spans="2:7" hidden="1" x14ac:dyDescent="0.3">
      <c r="B244" s="44">
        <v>45576</v>
      </c>
      <c r="C244" t="s">
        <v>128</v>
      </c>
      <c r="D244" s="3">
        <v>75</v>
      </c>
      <c r="E244" s="45">
        <v>17.3</v>
      </c>
      <c r="F244" s="46">
        <v>17.5</v>
      </c>
      <c r="G244" s="47">
        <f t="shared" si="9"/>
        <v>14.999999999999947</v>
      </c>
    </row>
    <row r="245" spans="2:7" hidden="1" x14ac:dyDescent="0.3">
      <c r="B245" s="44">
        <v>45576</v>
      </c>
      <c r="C245" t="s">
        <v>128</v>
      </c>
      <c r="D245" s="3">
        <v>50</v>
      </c>
      <c r="E245" s="45">
        <v>17.3</v>
      </c>
      <c r="F245" s="46">
        <v>17.399999999999999</v>
      </c>
      <c r="G245" s="47">
        <f t="shared" si="9"/>
        <v>4.9999999999998934</v>
      </c>
    </row>
    <row r="246" spans="2:7" hidden="1" x14ac:dyDescent="0.3">
      <c r="B246" s="44">
        <v>45561</v>
      </c>
      <c r="C246" t="s">
        <v>379</v>
      </c>
      <c r="D246" s="3">
        <v>20</v>
      </c>
      <c r="E246" s="45">
        <v>50</v>
      </c>
      <c r="F246" s="46">
        <v>51.4</v>
      </c>
      <c r="G246" s="47">
        <f t="shared" ref="G246:G309" si="10">IF(E246=0,"",IF(F246="","",(F246-E246)*D246))</f>
        <v>27.999999999999972</v>
      </c>
    </row>
    <row r="247" spans="2:7" hidden="1" x14ac:dyDescent="0.3">
      <c r="B247" s="44">
        <v>45544</v>
      </c>
      <c r="C247" t="s">
        <v>379</v>
      </c>
      <c r="D247" s="3">
        <v>15</v>
      </c>
      <c r="E247" s="45">
        <v>58</v>
      </c>
      <c r="F247" s="46">
        <v>70.5</v>
      </c>
      <c r="G247" s="47">
        <f t="shared" si="10"/>
        <v>187.5</v>
      </c>
    </row>
    <row r="248" spans="2:7" hidden="1" x14ac:dyDescent="0.3">
      <c r="B248" s="44">
        <v>45582</v>
      </c>
      <c r="C248" t="s">
        <v>23</v>
      </c>
      <c r="D248" s="3">
        <v>1</v>
      </c>
      <c r="E248" s="45">
        <v>900</v>
      </c>
      <c r="F248" s="46">
        <v>950.5</v>
      </c>
      <c r="G248" s="47">
        <f t="shared" si="10"/>
        <v>50.5</v>
      </c>
    </row>
    <row r="249" spans="2:7" hidden="1" x14ac:dyDescent="0.3">
      <c r="B249" s="44">
        <v>45582</v>
      </c>
      <c r="C249" t="s">
        <v>23</v>
      </c>
      <c r="D249" s="3">
        <v>1</v>
      </c>
      <c r="E249" s="45">
        <v>900</v>
      </c>
      <c r="F249" s="46">
        <v>965.5</v>
      </c>
      <c r="G249" s="47">
        <f t="shared" si="10"/>
        <v>65.5</v>
      </c>
    </row>
    <row r="250" spans="2:7" hidden="1" x14ac:dyDescent="0.3">
      <c r="B250" s="44">
        <v>45569</v>
      </c>
      <c r="C250" t="s">
        <v>546</v>
      </c>
      <c r="D250" s="3">
        <v>50</v>
      </c>
      <c r="E250" s="45">
        <v>24.7</v>
      </c>
      <c r="F250" s="46">
        <v>27</v>
      </c>
      <c r="G250" s="47">
        <f t="shared" si="10"/>
        <v>115.00000000000003</v>
      </c>
    </row>
    <row r="251" spans="2:7" hidden="1" x14ac:dyDescent="0.3">
      <c r="B251" s="44">
        <v>45576</v>
      </c>
      <c r="C251" t="s">
        <v>546</v>
      </c>
      <c r="D251" s="3">
        <v>50</v>
      </c>
      <c r="E251" s="45">
        <v>23.5</v>
      </c>
      <c r="F251" s="46">
        <v>25</v>
      </c>
      <c r="G251" s="47">
        <f t="shared" si="10"/>
        <v>75</v>
      </c>
    </row>
    <row r="252" spans="2:7" hidden="1" x14ac:dyDescent="0.3">
      <c r="B252" s="44">
        <v>45573</v>
      </c>
      <c r="C252" t="s">
        <v>549</v>
      </c>
      <c r="D252" s="3">
        <v>100</v>
      </c>
      <c r="E252" s="45">
        <v>17</v>
      </c>
      <c r="F252" s="46">
        <v>18</v>
      </c>
      <c r="G252" s="47">
        <f t="shared" si="10"/>
        <v>100</v>
      </c>
    </row>
    <row r="253" spans="2:7" hidden="1" x14ac:dyDescent="0.3">
      <c r="B253" s="44">
        <v>45581</v>
      </c>
      <c r="C253" t="s">
        <v>529</v>
      </c>
      <c r="D253" s="3">
        <v>25</v>
      </c>
      <c r="E253" s="45">
        <v>46</v>
      </c>
      <c r="F253" s="46">
        <v>48</v>
      </c>
      <c r="G253" s="47">
        <f t="shared" si="10"/>
        <v>50</v>
      </c>
    </row>
    <row r="254" spans="2:7" hidden="1" x14ac:dyDescent="0.3">
      <c r="B254" s="44">
        <v>45586</v>
      </c>
      <c r="C254" t="s">
        <v>23</v>
      </c>
      <c r="D254" s="3">
        <v>2</v>
      </c>
      <c r="E254" s="45">
        <v>900</v>
      </c>
      <c r="F254" s="46">
        <v>1014</v>
      </c>
      <c r="G254" s="47">
        <f t="shared" si="10"/>
        <v>228</v>
      </c>
    </row>
    <row r="255" spans="2:7" hidden="1" x14ac:dyDescent="0.3">
      <c r="B255" s="44">
        <v>45614</v>
      </c>
      <c r="C255" t="s">
        <v>128</v>
      </c>
      <c r="D255" s="3">
        <v>20</v>
      </c>
      <c r="E255" s="45">
        <v>17.8</v>
      </c>
      <c r="F255" s="46">
        <v>19.5</v>
      </c>
      <c r="G255" s="47">
        <f t="shared" si="10"/>
        <v>33.999999999999986</v>
      </c>
    </row>
    <row r="256" spans="2:7" hidden="1" x14ac:dyDescent="0.3">
      <c r="B256" s="44">
        <v>45580</v>
      </c>
      <c r="C256" t="s">
        <v>255</v>
      </c>
      <c r="D256" s="3">
        <v>150</v>
      </c>
      <c r="E256" s="45">
        <v>9.8000000000000007</v>
      </c>
      <c r="F256" s="46">
        <v>10</v>
      </c>
      <c r="G256" s="47">
        <f t="shared" si="10"/>
        <v>29.999999999999893</v>
      </c>
    </row>
    <row r="257" spans="2:12" hidden="1" x14ac:dyDescent="0.3">
      <c r="B257" s="44">
        <v>45572</v>
      </c>
      <c r="C257" t="s">
        <v>39</v>
      </c>
      <c r="D257" s="3">
        <v>1</v>
      </c>
      <c r="E257" s="45">
        <v>690</v>
      </c>
      <c r="F257" s="46">
        <v>725</v>
      </c>
      <c r="G257" s="47">
        <f t="shared" si="10"/>
        <v>35</v>
      </c>
    </row>
    <row r="258" spans="2:12" hidden="1" x14ac:dyDescent="0.3">
      <c r="B258" s="44">
        <v>45576</v>
      </c>
      <c r="C258" t="s">
        <v>529</v>
      </c>
      <c r="D258" s="3">
        <v>25</v>
      </c>
      <c r="E258" s="45">
        <v>45</v>
      </c>
      <c r="F258" s="46">
        <v>46.5</v>
      </c>
      <c r="G258" s="47">
        <f t="shared" si="10"/>
        <v>37.5</v>
      </c>
    </row>
    <row r="259" spans="2:12" hidden="1" x14ac:dyDescent="0.3">
      <c r="B259" s="44">
        <v>45569</v>
      </c>
      <c r="C259" t="s">
        <v>546</v>
      </c>
      <c r="D259" s="3">
        <v>50</v>
      </c>
      <c r="E259" s="45">
        <v>24.7</v>
      </c>
      <c r="F259" s="46">
        <v>25.32</v>
      </c>
      <c r="G259" s="47">
        <f t="shared" si="10"/>
        <v>31.00000000000005</v>
      </c>
    </row>
    <row r="260" spans="2:12" hidden="1" x14ac:dyDescent="0.3">
      <c r="B260" s="44">
        <v>45579</v>
      </c>
      <c r="C260" t="s">
        <v>456</v>
      </c>
      <c r="D260" s="3">
        <v>150</v>
      </c>
      <c r="E260" s="45">
        <v>4.8</v>
      </c>
      <c r="F260" s="46">
        <v>5</v>
      </c>
      <c r="G260" s="47">
        <f t="shared" si="10"/>
        <v>30.000000000000028</v>
      </c>
    </row>
    <row r="261" spans="2:12" hidden="1" x14ac:dyDescent="0.3">
      <c r="B261" s="44">
        <v>45579</v>
      </c>
      <c r="C261" t="s">
        <v>46</v>
      </c>
      <c r="D261" s="3">
        <v>5</v>
      </c>
      <c r="E261" s="45">
        <v>211.8</v>
      </c>
      <c r="F261" s="46">
        <v>220</v>
      </c>
      <c r="G261" s="47">
        <f t="shared" si="10"/>
        <v>40.999999999999943</v>
      </c>
    </row>
    <row r="262" spans="2:12" hidden="1" x14ac:dyDescent="0.3">
      <c r="B262" s="44">
        <v>45579</v>
      </c>
      <c r="C262" t="s">
        <v>6</v>
      </c>
      <c r="D262" s="3">
        <v>25</v>
      </c>
      <c r="E262" s="45">
        <v>35.5</v>
      </c>
      <c r="F262" s="46">
        <v>36</v>
      </c>
      <c r="G262" s="47">
        <f t="shared" si="10"/>
        <v>12.5</v>
      </c>
    </row>
    <row r="263" spans="2:12" hidden="1" x14ac:dyDescent="0.3">
      <c r="B263" s="44">
        <v>45581</v>
      </c>
      <c r="C263" t="s">
        <v>379</v>
      </c>
      <c r="D263" s="3">
        <v>25</v>
      </c>
      <c r="E263" s="45">
        <v>60</v>
      </c>
      <c r="F263" s="46">
        <v>62.15</v>
      </c>
      <c r="G263" s="47">
        <f t="shared" si="10"/>
        <v>53.749999999999964</v>
      </c>
    </row>
    <row r="264" spans="2:12" hidden="1" x14ac:dyDescent="0.3">
      <c r="B264" s="44">
        <v>45555</v>
      </c>
      <c r="C264" t="s">
        <v>219</v>
      </c>
      <c r="D264" s="3">
        <v>20</v>
      </c>
      <c r="E264" s="45">
        <v>98</v>
      </c>
      <c r="F264" s="46">
        <v>96.1</v>
      </c>
      <c r="G264" s="47">
        <f t="shared" si="10"/>
        <v>-38.000000000000114</v>
      </c>
    </row>
    <row r="265" spans="2:12" x14ac:dyDescent="0.3">
      <c r="B265" s="44">
        <v>45643</v>
      </c>
      <c r="C265" t="s">
        <v>6</v>
      </c>
      <c r="D265" s="3">
        <v>90</v>
      </c>
      <c r="E265" s="45">
        <v>35.4</v>
      </c>
      <c r="G265" s="47" t="str">
        <f t="shared" si="10"/>
        <v/>
      </c>
      <c r="I265">
        <f t="shared" ref="I265:I266" si="11">+E265*1.1</f>
        <v>38.940000000000005</v>
      </c>
      <c r="K265">
        <f t="shared" ref="K265:K266" si="12">IF(F265=0,1,0)</f>
        <v>1</v>
      </c>
      <c r="L265" s="24">
        <f t="shared" ref="L265:L266" si="13">+D265*E265</f>
        <v>3186</v>
      </c>
    </row>
    <row r="266" spans="2:12" x14ac:dyDescent="0.3">
      <c r="B266" s="44">
        <v>45645</v>
      </c>
      <c r="C266" t="s">
        <v>6</v>
      </c>
      <c r="D266" s="3">
        <v>54</v>
      </c>
      <c r="E266" s="45">
        <v>35.5</v>
      </c>
      <c r="G266" s="47" t="str">
        <f t="shared" si="10"/>
        <v/>
      </c>
      <c r="I266">
        <f t="shared" si="11"/>
        <v>39.050000000000004</v>
      </c>
      <c r="K266">
        <f t="shared" si="12"/>
        <v>1</v>
      </c>
      <c r="L266" s="24">
        <f t="shared" si="13"/>
        <v>1917</v>
      </c>
    </row>
    <row r="267" spans="2:12" hidden="1" x14ac:dyDescent="0.3">
      <c r="B267" s="44">
        <v>45579</v>
      </c>
      <c r="C267" t="s">
        <v>319</v>
      </c>
      <c r="D267" s="3">
        <v>50</v>
      </c>
      <c r="E267" s="45">
        <v>23.94</v>
      </c>
      <c r="F267" s="46">
        <v>25</v>
      </c>
      <c r="G267" s="47">
        <f t="shared" si="10"/>
        <v>52.999999999999936</v>
      </c>
    </row>
    <row r="268" spans="2:12" x14ac:dyDescent="0.3">
      <c r="B268" s="44">
        <v>45656</v>
      </c>
      <c r="C268" t="s">
        <v>6</v>
      </c>
      <c r="D268" s="3">
        <v>32</v>
      </c>
      <c r="E268" s="45">
        <v>34.299999999999997</v>
      </c>
      <c r="G268" s="47" t="str">
        <f t="shared" si="10"/>
        <v/>
      </c>
      <c r="I268">
        <f>+E268*1.1</f>
        <v>37.729999999999997</v>
      </c>
      <c r="K268">
        <f>IF(F268=0,1,0)</f>
        <v>1</v>
      </c>
      <c r="L268" s="24">
        <f>+D268*E268</f>
        <v>1097.5999999999999</v>
      </c>
    </row>
    <row r="269" spans="2:12" hidden="1" x14ac:dyDescent="0.3">
      <c r="B269" s="44">
        <v>45624</v>
      </c>
      <c r="C269" t="s">
        <v>165</v>
      </c>
      <c r="D269" s="3">
        <v>40</v>
      </c>
      <c r="E269" s="45">
        <v>28</v>
      </c>
      <c r="F269" s="46">
        <v>28.5</v>
      </c>
      <c r="G269" s="47">
        <f t="shared" si="10"/>
        <v>20</v>
      </c>
    </row>
    <row r="270" spans="2:12" hidden="1" x14ac:dyDescent="0.3">
      <c r="B270" s="44">
        <v>45579</v>
      </c>
      <c r="C270" t="s">
        <v>46</v>
      </c>
      <c r="D270" s="3">
        <v>5</v>
      </c>
      <c r="E270" s="45">
        <v>211.8</v>
      </c>
      <c r="F270" s="46">
        <v>231</v>
      </c>
      <c r="G270" s="47">
        <f t="shared" si="10"/>
        <v>95.999999999999943</v>
      </c>
    </row>
    <row r="271" spans="2:12" hidden="1" x14ac:dyDescent="0.3">
      <c r="B271" s="44">
        <v>45576</v>
      </c>
      <c r="C271" t="s">
        <v>128</v>
      </c>
      <c r="D271" s="3">
        <v>25</v>
      </c>
      <c r="E271" s="45">
        <v>17.3</v>
      </c>
      <c r="F271" s="46">
        <v>17.5</v>
      </c>
      <c r="G271" s="47">
        <f t="shared" si="10"/>
        <v>4.9999999999999822</v>
      </c>
    </row>
    <row r="272" spans="2:12" hidden="1" x14ac:dyDescent="0.3">
      <c r="B272" s="44">
        <v>45576</v>
      </c>
      <c r="C272" t="s">
        <v>128</v>
      </c>
      <c r="D272" s="3">
        <v>75</v>
      </c>
      <c r="E272" s="45">
        <v>17.399999999999999</v>
      </c>
      <c r="F272" s="46">
        <v>17.7</v>
      </c>
      <c r="G272" s="47">
        <f t="shared" si="10"/>
        <v>22.500000000000053</v>
      </c>
    </row>
    <row r="273" spans="2:7" hidden="1" x14ac:dyDescent="0.3">
      <c r="B273" s="44">
        <v>45576</v>
      </c>
      <c r="C273" t="s">
        <v>128</v>
      </c>
      <c r="D273" s="3">
        <v>100</v>
      </c>
      <c r="E273" s="45">
        <v>17.5</v>
      </c>
      <c r="F273" s="46">
        <v>17.899999999999999</v>
      </c>
      <c r="G273" s="47">
        <f t="shared" si="10"/>
        <v>39.999999999999858</v>
      </c>
    </row>
    <row r="274" spans="2:7" hidden="1" x14ac:dyDescent="0.3">
      <c r="B274" s="44">
        <v>45601</v>
      </c>
      <c r="C274" t="s">
        <v>28</v>
      </c>
      <c r="D274" s="3">
        <v>15</v>
      </c>
      <c r="E274" s="45">
        <v>40.5</v>
      </c>
      <c r="F274" s="46">
        <v>46.2</v>
      </c>
      <c r="G274" s="47">
        <f t="shared" si="10"/>
        <v>85.500000000000043</v>
      </c>
    </row>
    <row r="275" spans="2:7" hidden="1" x14ac:dyDescent="0.3">
      <c r="B275" s="44">
        <v>45582</v>
      </c>
      <c r="C275" t="s">
        <v>128</v>
      </c>
      <c r="D275" s="3">
        <v>100</v>
      </c>
      <c r="E275" s="45">
        <v>17.7</v>
      </c>
      <c r="F275" s="46">
        <v>18.37</v>
      </c>
      <c r="G275" s="47">
        <f t="shared" si="10"/>
        <v>67.000000000000171</v>
      </c>
    </row>
    <row r="276" spans="2:7" hidden="1" x14ac:dyDescent="0.3">
      <c r="B276" s="44">
        <v>45586</v>
      </c>
      <c r="C276" t="s">
        <v>53</v>
      </c>
      <c r="D276" s="3">
        <v>165</v>
      </c>
      <c r="E276" s="45">
        <v>6</v>
      </c>
      <c r="F276" s="46">
        <v>6.84</v>
      </c>
      <c r="G276" s="47">
        <f t="shared" si="10"/>
        <v>138.59999999999997</v>
      </c>
    </row>
    <row r="277" spans="2:7" hidden="1" x14ac:dyDescent="0.3">
      <c r="B277" s="44">
        <v>45560</v>
      </c>
      <c r="C277" t="s">
        <v>89</v>
      </c>
      <c r="D277" s="3">
        <v>100</v>
      </c>
      <c r="E277" s="45">
        <v>6.5</v>
      </c>
      <c r="F277" s="46">
        <v>7.1</v>
      </c>
      <c r="G277" s="47">
        <f t="shared" si="10"/>
        <v>59.999999999999964</v>
      </c>
    </row>
    <row r="278" spans="2:7" hidden="1" x14ac:dyDescent="0.3">
      <c r="B278" s="44">
        <v>45582</v>
      </c>
      <c r="C278" t="s">
        <v>379</v>
      </c>
      <c r="D278" s="3">
        <v>25</v>
      </c>
      <c r="E278" s="45">
        <v>65</v>
      </c>
      <c r="F278" s="46">
        <v>70</v>
      </c>
      <c r="G278" s="47">
        <f t="shared" si="10"/>
        <v>125</v>
      </c>
    </row>
    <row r="279" spans="2:7" hidden="1" x14ac:dyDescent="0.3">
      <c r="B279" s="44">
        <v>45581</v>
      </c>
      <c r="C279" t="s">
        <v>423</v>
      </c>
      <c r="D279" s="3">
        <v>100</v>
      </c>
      <c r="E279" s="45">
        <v>7.25</v>
      </c>
      <c r="F279" s="46">
        <v>7.5</v>
      </c>
      <c r="G279" s="47">
        <f t="shared" si="10"/>
        <v>25</v>
      </c>
    </row>
    <row r="280" spans="2:7" hidden="1" x14ac:dyDescent="0.3">
      <c r="B280" s="44">
        <v>45560</v>
      </c>
      <c r="C280" t="s">
        <v>128</v>
      </c>
      <c r="D280" s="3">
        <v>50</v>
      </c>
      <c r="E280" s="45">
        <v>19.5</v>
      </c>
      <c r="F280" s="46">
        <v>20</v>
      </c>
      <c r="G280" s="47">
        <f t="shared" si="10"/>
        <v>25</v>
      </c>
    </row>
    <row r="281" spans="2:7" hidden="1" x14ac:dyDescent="0.3">
      <c r="B281" s="44">
        <v>45582</v>
      </c>
      <c r="C281" t="s">
        <v>379</v>
      </c>
      <c r="D281" s="3">
        <v>25</v>
      </c>
      <c r="E281" s="45">
        <v>65.95</v>
      </c>
      <c r="F281" s="46">
        <v>74</v>
      </c>
      <c r="G281" s="47">
        <f t="shared" si="10"/>
        <v>201.24999999999994</v>
      </c>
    </row>
    <row r="282" spans="2:7" hidden="1" x14ac:dyDescent="0.3">
      <c r="B282" s="44">
        <v>45569</v>
      </c>
      <c r="C282" t="s">
        <v>255</v>
      </c>
      <c r="D282" s="3">
        <v>250</v>
      </c>
      <c r="E282" s="45">
        <v>10.1</v>
      </c>
      <c r="F282" s="46">
        <v>10</v>
      </c>
      <c r="G282" s="47">
        <f t="shared" si="10"/>
        <v>-24.999999999999911</v>
      </c>
    </row>
    <row r="283" spans="2:7" hidden="1" x14ac:dyDescent="0.3">
      <c r="B283" s="44">
        <v>45586</v>
      </c>
      <c r="C283" t="s">
        <v>444</v>
      </c>
      <c r="D283" s="3">
        <v>75</v>
      </c>
      <c r="E283" s="45">
        <v>13.16</v>
      </c>
      <c r="F283" s="46">
        <v>14.28</v>
      </c>
      <c r="G283" s="47">
        <f t="shared" si="10"/>
        <v>83.999999999999943</v>
      </c>
    </row>
    <row r="284" spans="2:7" hidden="1" x14ac:dyDescent="0.3">
      <c r="B284" s="44">
        <v>45572</v>
      </c>
      <c r="C284" t="s">
        <v>255</v>
      </c>
      <c r="D284" s="3">
        <v>100</v>
      </c>
      <c r="E284" s="45">
        <v>10.4</v>
      </c>
      <c r="F284" s="46">
        <v>10</v>
      </c>
      <c r="G284" s="47">
        <f t="shared" si="10"/>
        <v>-40.000000000000036</v>
      </c>
    </row>
    <row r="285" spans="2:7" hidden="1" x14ac:dyDescent="0.3">
      <c r="B285" s="44">
        <v>45587</v>
      </c>
      <c r="C285" t="s">
        <v>379</v>
      </c>
      <c r="D285" s="3">
        <v>25</v>
      </c>
      <c r="E285" s="45">
        <v>64.7</v>
      </c>
      <c r="F285" s="46">
        <v>70</v>
      </c>
      <c r="G285" s="47">
        <f t="shared" si="10"/>
        <v>132.49999999999994</v>
      </c>
    </row>
    <row r="286" spans="2:7" hidden="1" x14ac:dyDescent="0.3">
      <c r="B286" s="44">
        <v>45601</v>
      </c>
      <c r="C286" t="s">
        <v>379</v>
      </c>
      <c r="D286" s="3">
        <v>5</v>
      </c>
      <c r="E286" s="45">
        <v>60</v>
      </c>
      <c r="F286" s="46">
        <v>71.3</v>
      </c>
      <c r="G286" s="47">
        <f t="shared" si="10"/>
        <v>56.499999999999986</v>
      </c>
    </row>
    <row r="287" spans="2:7" hidden="1" x14ac:dyDescent="0.3">
      <c r="B287" s="44">
        <v>45553</v>
      </c>
      <c r="C287" t="s">
        <v>319</v>
      </c>
      <c r="D287" s="3">
        <v>50</v>
      </c>
      <c r="E287" s="45">
        <v>28</v>
      </c>
      <c r="F287" s="46">
        <v>28.68</v>
      </c>
      <c r="G287" s="47">
        <f t="shared" si="10"/>
        <v>33.999999999999986</v>
      </c>
    </row>
    <row r="288" spans="2:7" hidden="1" x14ac:dyDescent="0.3">
      <c r="B288" s="44">
        <v>45600</v>
      </c>
      <c r="C288" t="s">
        <v>26</v>
      </c>
      <c r="D288" s="3">
        <v>9</v>
      </c>
      <c r="E288" s="45">
        <v>79.2</v>
      </c>
      <c r="F288" s="46">
        <v>88.2</v>
      </c>
      <c r="G288" s="47">
        <f t="shared" si="10"/>
        <v>81</v>
      </c>
    </row>
    <row r="289" spans="2:12" hidden="1" x14ac:dyDescent="0.3">
      <c r="B289" s="44">
        <v>45572</v>
      </c>
      <c r="C289" t="s">
        <v>220</v>
      </c>
      <c r="D289" s="3">
        <v>30</v>
      </c>
      <c r="E289" s="45">
        <v>25</v>
      </c>
      <c r="F289" s="46">
        <v>25.2</v>
      </c>
      <c r="G289" s="47">
        <f t="shared" si="10"/>
        <v>5.9999999999999787</v>
      </c>
    </row>
    <row r="290" spans="2:12" hidden="1" x14ac:dyDescent="0.3">
      <c r="B290" s="44">
        <v>45603</v>
      </c>
      <c r="C290" t="s">
        <v>352</v>
      </c>
      <c r="D290" s="3">
        <v>250</v>
      </c>
      <c r="E290" s="45">
        <v>5.54</v>
      </c>
      <c r="F290" s="46">
        <v>6.1</v>
      </c>
      <c r="G290" s="47">
        <f t="shared" si="10"/>
        <v>139.99999999999991</v>
      </c>
    </row>
    <row r="291" spans="2:12" hidden="1" x14ac:dyDescent="0.3">
      <c r="B291" s="44">
        <v>45573</v>
      </c>
      <c r="C291" t="s">
        <v>220</v>
      </c>
      <c r="D291" s="3">
        <v>80</v>
      </c>
      <c r="E291" s="45">
        <v>24</v>
      </c>
      <c r="F291" s="46">
        <v>25</v>
      </c>
      <c r="G291" s="47">
        <f t="shared" si="10"/>
        <v>80</v>
      </c>
    </row>
    <row r="292" spans="2:12" hidden="1" x14ac:dyDescent="0.3">
      <c r="B292" s="44">
        <v>45579</v>
      </c>
      <c r="C292" t="s">
        <v>43</v>
      </c>
      <c r="D292" s="3">
        <v>10</v>
      </c>
      <c r="E292" s="45">
        <v>150</v>
      </c>
      <c r="F292" s="46">
        <v>167.5</v>
      </c>
      <c r="G292" s="47">
        <f t="shared" si="10"/>
        <v>175</v>
      </c>
    </row>
    <row r="293" spans="2:12" hidden="1" x14ac:dyDescent="0.3">
      <c r="B293" s="44">
        <v>45625</v>
      </c>
      <c r="C293" t="s">
        <v>165</v>
      </c>
      <c r="D293" s="3">
        <v>30</v>
      </c>
      <c r="E293" s="45">
        <v>27.9</v>
      </c>
      <c r="F293" s="46">
        <v>30</v>
      </c>
      <c r="G293" s="47">
        <f t="shared" si="10"/>
        <v>63.000000000000043</v>
      </c>
    </row>
    <row r="294" spans="2:12" hidden="1" x14ac:dyDescent="0.3">
      <c r="B294" s="44">
        <v>45586</v>
      </c>
      <c r="C294" t="s">
        <v>50</v>
      </c>
      <c r="D294" s="3">
        <v>50</v>
      </c>
      <c r="E294" s="45">
        <v>16.5</v>
      </c>
      <c r="F294" s="46">
        <v>17</v>
      </c>
      <c r="G294" s="47">
        <f t="shared" si="10"/>
        <v>25</v>
      </c>
    </row>
    <row r="295" spans="2:12" hidden="1" x14ac:dyDescent="0.3">
      <c r="B295" s="44">
        <v>45568</v>
      </c>
      <c r="C295" t="s">
        <v>33</v>
      </c>
      <c r="D295" s="3">
        <v>200</v>
      </c>
      <c r="E295" s="45">
        <v>29</v>
      </c>
      <c r="F295" s="46">
        <v>29.28</v>
      </c>
      <c r="G295" s="47">
        <f t="shared" si="10"/>
        <v>56.000000000000227</v>
      </c>
    </row>
    <row r="296" spans="2:12" hidden="1" x14ac:dyDescent="0.3">
      <c r="B296" s="44">
        <v>45560</v>
      </c>
      <c r="C296" t="s">
        <v>128</v>
      </c>
      <c r="D296" s="3">
        <v>50</v>
      </c>
      <c r="E296" s="45">
        <v>19.5</v>
      </c>
      <c r="F296" s="46">
        <v>21</v>
      </c>
      <c r="G296" s="47">
        <f t="shared" si="10"/>
        <v>75</v>
      </c>
    </row>
    <row r="297" spans="2:12" hidden="1" x14ac:dyDescent="0.3">
      <c r="B297" s="44">
        <v>45569</v>
      </c>
      <c r="C297" t="s">
        <v>157</v>
      </c>
      <c r="D297" s="3">
        <v>10</v>
      </c>
      <c r="E297" s="45">
        <v>82</v>
      </c>
      <c r="F297" s="46">
        <v>83</v>
      </c>
      <c r="G297" s="47">
        <f t="shared" si="10"/>
        <v>10</v>
      </c>
    </row>
    <row r="298" spans="2:12" hidden="1" x14ac:dyDescent="0.3">
      <c r="B298" s="44">
        <v>45576</v>
      </c>
      <c r="C298" t="s">
        <v>383</v>
      </c>
      <c r="D298" s="3">
        <v>250</v>
      </c>
      <c r="E298" s="45">
        <v>2.2999999999999998</v>
      </c>
      <c r="F298" s="46">
        <v>2.4700000000000002</v>
      </c>
      <c r="G298" s="47">
        <f t="shared" si="10"/>
        <v>42.500000000000092</v>
      </c>
    </row>
    <row r="299" spans="2:12" hidden="1" x14ac:dyDescent="0.3">
      <c r="B299" s="44">
        <v>45569</v>
      </c>
      <c r="C299" t="s">
        <v>444</v>
      </c>
      <c r="D299" s="3">
        <v>100</v>
      </c>
      <c r="E299" s="45">
        <v>13.28</v>
      </c>
      <c r="F299" s="46">
        <v>14</v>
      </c>
      <c r="G299" s="47">
        <f t="shared" si="10"/>
        <v>72.000000000000057</v>
      </c>
    </row>
    <row r="300" spans="2:12" hidden="1" x14ac:dyDescent="0.3">
      <c r="B300" s="44">
        <v>45579</v>
      </c>
      <c r="C300" t="s">
        <v>456</v>
      </c>
      <c r="D300" s="3">
        <v>250</v>
      </c>
      <c r="E300" s="45">
        <v>4.8</v>
      </c>
      <c r="F300" s="46">
        <v>5.55</v>
      </c>
      <c r="G300" s="47">
        <f t="shared" si="10"/>
        <v>187.5</v>
      </c>
    </row>
    <row r="301" spans="2:12" hidden="1" x14ac:dyDescent="0.3">
      <c r="B301" s="44">
        <v>45565</v>
      </c>
      <c r="C301" t="s">
        <v>444</v>
      </c>
      <c r="D301" s="3">
        <v>50</v>
      </c>
      <c r="E301" s="45">
        <v>14.5</v>
      </c>
      <c r="F301" s="46">
        <v>15.37</v>
      </c>
      <c r="G301" s="47">
        <f t="shared" si="10"/>
        <v>43.499999999999957</v>
      </c>
    </row>
    <row r="302" spans="2:12" hidden="1" x14ac:dyDescent="0.3">
      <c r="B302" s="44">
        <v>45659</v>
      </c>
      <c r="C302" t="s">
        <v>6</v>
      </c>
      <c r="D302" s="3">
        <v>20</v>
      </c>
      <c r="E302" s="45">
        <v>32.799999999999997</v>
      </c>
      <c r="F302" s="46">
        <v>34.799999999999997</v>
      </c>
      <c r="G302" s="47">
        <f t="shared" si="10"/>
        <v>40</v>
      </c>
      <c r="I302">
        <f>+E302*1.1</f>
        <v>36.08</v>
      </c>
      <c r="K302">
        <f>IF(F302=0,1,0)</f>
        <v>0</v>
      </c>
      <c r="L302" s="24">
        <f>+D302*E302</f>
        <v>656</v>
      </c>
    </row>
    <row r="303" spans="2:12" hidden="1" x14ac:dyDescent="0.3">
      <c r="B303" s="44">
        <v>45587</v>
      </c>
      <c r="C303" t="s">
        <v>128</v>
      </c>
      <c r="D303" s="3">
        <v>50</v>
      </c>
      <c r="E303" s="45">
        <v>18.899999999999999</v>
      </c>
      <c r="F303" s="46">
        <v>19.5</v>
      </c>
      <c r="G303" s="47">
        <f t="shared" si="10"/>
        <v>30.000000000000071</v>
      </c>
    </row>
    <row r="304" spans="2:12" hidden="1" x14ac:dyDescent="0.3">
      <c r="B304" s="44">
        <v>45603</v>
      </c>
      <c r="C304" t="s">
        <v>13</v>
      </c>
      <c r="D304" s="3">
        <v>60</v>
      </c>
      <c r="E304" s="45">
        <v>15.8</v>
      </c>
      <c r="F304" s="46">
        <v>16.3</v>
      </c>
      <c r="G304" s="47">
        <f t="shared" si="10"/>
        <v>30</v>
      </c>
    </row>
    <row r="305" spans="2:7" hidden="1" x14ac:dyDescent="0.3">
      <c r="B305" s="44">
        <v>45587</v>
      </c>
      <c r="C305" t="s">
        <v>43</v>
      </c>
      <c r="D305" s="3">
        <v>5</v>
      </c>
      <c r="E305" s="45">
        <v>170</v>
      </c>
      <c r="F305" s="46">
        <v>175.9</v>
      </c>
      <c r="G305" s="47">
        <f t="shared" si="10"/>
        <v>29.500000000000028</v>
      </c>
    </row>
    <row r="306" spans="2:7" hidden="1" x14ac:dyDescent="0.3">
      <c r="B306" s="44">
        <v>45583</v>
      </c>
      <c r="C306" t="s">
        <v>529</v>
      </c>
      <c r="D306" s="3">
        <v>25</v>
      </c>
      <c r="E306" s="45">
        <v>45.8</v>
      </c>
      <c r="F306" s="46">
        <v>47</v>
      </c>
      <c r="G306" s="47">
        <f t="shared" si="10"/>
        <v>30.000000000000071</v>
      </c>
    </row>
    <row r="307" spans="2:7" hidden="1" x14ac:dyDescent="0.3">
      <c r="B307" s="44">
        <v>45568</v>
      </c>
      <c r="C307" t="s">
        <v>32</v>
      </c>
      <c r="D307" s="3">
        <v>10</v>
      </c>
      <c r="E307" s="45">
        <v>86.3</v>
      </c>
      <c r="F307" s="46">
        <v>81.400000000000006</v>
      </c>
      <c r="G307" s="47">
        <f t="shared" si="10"/>
        <v>-48.999999999999915</v>
      </c>
    </row>
    <row r="308" spans="2:7" hidden="1" x14ac:dyDescent="0.3">
      <c r="B308" s="44">
        <v>45586</v>
      </c>
      <c r="C308" t="s">
        <v>206</v>
      </c>
      <c r="D308" s="3">
        <v>50</v>
      </c>
      <c r="E308" s="45">
        <v>9.5</v>
      </c>
      <c r="F308" s="46">
        <v>9.75</v>
      </c>
      <c r="G308" s="47">
        <f t="shared" si="10"/>
        <v>12.5</v>
      </c>
    </row>
    <row r="309" spans="2:7" hidden="1" x14ac:dyDescent="0.3">
      <c r="B309" s="44">
        <v>45583</v>
      </c>
      <c r="C309" t="s">
        <v>529</v>
      </c>
      <c r="D309" s="3">
        <v>25</v>
      </c>
      <c r="E309" s="45">
        <v>45.8</v>
      </c>
      <c r="F309" s="46">
        <v>47.7</v>
      </c>
      <c r="G309" s="47">
        <f t="shared" si="10"/>
        <v>47.500000000000142</v>
      </c>
    </row>
    <row r="310" spans="2:7" hidden="1" x14ac:dyDescent="0.3">
      <c r="B310" s="44">
        <v>45575</v>
      </c>
      <c r="C310" t="s">
        <v>32</v>
      </c>
      <c r="D310" s="3">
        <v>10</v>
      </c>
      <c r="E310" s="45">
        <v>89.9</v>
      </c>
      <c r="F310" s="46">
        <v>81.400000000000006</v>
      </c>
      <c r="G310" s="47">
        <f t="shared" ref="G310:G373" si="14">IF(E310=0,"",IF(F310="","",(F310-E310)*D310))</f>
        <v>-85</v>
      </c>
    </row>
    <row r="311" spans="2:7" hidden="1" x14ac:dyDescent="0.3">
      <c r="B311" s="44">
        <v>45576</v>
      </c>
      <c r="C311" t="s">
        <v>249</v>
      </c>
      <c r="D311" s="3">
        <v>35</v>
      </c>
      <c r="E311" s="45">
        <v>39</v>
      </c>
      <c r="F311" s="46">
        <v>43</v>
      </c>
      <c r="G311" s="47">
        <f t="shared" si="14"/>
        <v>140</v>
      </c>
    </row>
    <row r="312" spans="2:7" hidden="1" x14ac:dyDescent="0.3">
      <c r="B312" s="44">
        <v>45586</v>
      </c>
      <c r="C312" t="s">
        <v>53</v>
      </c>
      <c r="D312" s="3">
        <v>100</v>
      </c>
      <c r="E312" s="45">
        <v>6</v>
      </c>
      <c r="F312" s="46">
        <v>6.2</v>
      </c>
      <c r="G312" s="47">
        <f t="shared" si="14"/>
        <v>20.000000000000018</v>
      </c>
    </row>
    <row r="313" spans="2:7" hidden="1" x14ac:dyDescent="0.3">
      <c r="B313" s="44">
        <v>45583</v>
      </c>
      <c r="C313" t="s">
        <v>32</v>
      </c>
      <c r="D313" s="3">
        <v>10</v>
      </c>
      <c r="E313" s="45">
        <v>85</v>
      </c>
      <c r="F313" s="46">
        <v>81.400000000000006</v>
      </c>
      <c r="G313" s="47">
        <f t="shared" si="14"/>
        <v>-35.999999999999943</v>
      </c>
    </row>
    <row r="314" spans="2:7" hidden="1" x14ac:dyDescent="0.3">
      <c r="B314" s="44">
        <v>45588</v>
      </c>
      <c r="C314" t="s">
        <v>32</v>
      </c>
      <c r="D314" s="3">
        <v>10</v>
      </c>
      <c r="E314" s="45">
        <v>80.099999999999994</v>
      </c>
      <c r="F314" s="46">
        <v>82</v>
      </c>
      <c r="G314" s="47">
        <f t="shared" si="14"/>
        <v>19.000000000000057</v>
      </c>
    </row>
    <row r="315" spans="2:7" hidden="1" x14ac:dyDescent="0.3">
      <c r="B315" s="44">
        <v>45588</v>
      </c>
      <c r="C315" t="s">
        <v>13</v>
      </c>
      <c r="D315" s="3">
        <v>65</v>
      </c>
      <c r="E315" s="45">
        <v>16</v>
      </c>
      <c r="F315" s="46">
        <v>16.78</v>
      </c>
      <c r="G315" s="47">
        <f t="shared" si="14"/>
        <v>50.700000000000074</v>
      </c>
    </row>
    <row r="316" spans="2:7" hidden="1" x14ac:dyDescent="0.3">
      <c r="B316" s="44">
        <v>45544</v>
      </c>
      <c r="C316" t="s">
        <v>379</v>
      </c>
      <c r="D316" s="3">
        <v>15</v>
      </c>
      <c r="E316" s="45">
        <v>58</v>
      </c>
      <c r="F316" s="46">
        <v>67</v>
      </c>
      <c r="G316" s="47">
        <f t="shared" si="14"/>
        <v>135</v>
      </c>
    </row>
    <row r="317" spans="2:7" hidden="1" x14ac:dyDescent="0.3">
      <c r="B317" s="44">
        <v>45583</v>
      </c>
      <c r="C317" t="s">
        <v>32</v>
      </c>
      <c r="D317" s="3">
        <v>20</v>
      </c>
      <c r="E317" s="45">
        <v>82.8</v>
      </c>
      <c r="F317" s="46">
        <v>81.400000000000006</v>
      </c>
      <c r="G317" s="47">
        <f t="shared" si="14"/>
        <v>-27.999999999999829</v>
      </c>
    </row>
    <row r="318" spans="2:7" hidden="1" x14ac:dyDescent="0.3">
      <c r="B318" s="44">
        <v>45588</v>
      </c>
      <c r="C318" t="s">
        <v>32</v>
      </c>
      <c r="D318" s="3">
        <v>10</v>
      </c>
      <c r="E318" s="45">
        <v>80.099999999999994</v>
      </c>
      <c r="F318" s="46">
        <v>83</v>
      </c>
      <c r="G318" s="47">
        <f t="shared" si="14"/>
        <v>29.000000000000057</v>
      </c>
    </row>
    <row r="319" spans="2:7" hidden="1" x14ac:dyDescent="0.3">
      <c r="B319" s="44">
        <v>45583</v>
      </c>
      <c r="C319" t="s">
        <v>32</v>
      </c>
      <c r="D319" s="3">
        <v>50</v>
      </c>
      <c r="E319" s="45">
        <v>82</v>
      </c>
      <c r="F319" s="46">
        <v>81.400000000000006</v>
      </c>
      <c r="G319" s="47">
        <f t="shared" si="14"/>
        <v>-29.999999999999716</v>
      </c>
    </row>
    <row r="320" spans="2:7" hidden="1" x14ac:dyDescent="0.3">
      <c r="B320" s="44">
        <v>45586</v>
      </c>
      <c r="C320" t="s">
        <v>32</v>
      </c>
      <c r="D320" s="3">
        <v>10</v>
      </c>
      <c r="E320" s="45">
        <v>80</v>
      </c>
      <c r="F320" s="46">
        <v>81.400000000000006</v>
      </c>
      <c r="G320" s="47">
        <f t="shared" si="14"/>
        <v>14.000000000000057</v>
      </c>
    </row>
    <row r="321" spans="2:12" hidden="1" x14ac:dyDescent="0.3">
      <c r="B321" s="44">
        <v>45589</v>
      </c>
      <c r="C321" t="s">
        <v>26</v>
      </c>
      <c r="D321" s="3">
        <v>25</v>
      </c>
      <c r="E321" s="45">
        <v>70.599999999999994</v>
      </c>
      <c r="F321" s="46">
        <v>72</v>
      </c>
      <c r="G321" s="47">
        <f t="shared" si="14"/>
        <v>35.000000000000142</v>
      </c>
    </row>
    <row r="322" spans="2:12" hidden="1" x14ac:dyDescent="0.3">
      <c r="B322" s="44">
        <v>45574</v>
      </c>
      <c r="C322" t="s">
        <v>12</v>
      </c>
      <c r="D322" s="3">
        <v>10</v>
      </c>
      <c r="E322" s="45">
        <v>69</v>
      </c>
      <c r="F322" s="46">
        <v>74</v>
      </c>
      <c r="G322" s="47">
        <f t="shared" si="14"/>
        <v>50</v>
      </c>
    </row>
    <row r="323" spans="2:12" hidden="1" x14ac:dyDescent="0.3">
      <c r="B323" s="44">
        <v>45588</v>
      </c>
      <c r="C323" t="s">
        <v>128</v>
      </c>
      <c r="D323" s="3">
        <v>50</v>
      </c>
      <c r="E323" s="45">
        <v>17.8</v>
      </c>
      <c r="F323" s="46">
        <v>18.5</v>
      </c>
      <c r="G323" s="47">
        <f t="shared" si="14"/>
        <v>34.999999999999964</v>
      </c>
    </row>
    <row r="324" spans="2:12" hidden="1" x14ac:dyDescent="0.3">
      <c r="B324" s="44">
        <v>45588</v>
      </c>
      <c r="C324" t="s">
        <v>128</v>
      </c>
      <c r="D324" s="3">
        <v>75</v>
      </c>
      <c r="E324" s="45">
        <v>17.8</v>
      </c>
      <c r="F324" s="46">
        <v>19</v>
      </c>
      <c r="G324" s="47">
        <f t="shared" si="14"/>
        <v>89.999999999999943</v>
      </c>
    </row>
    <row r="325" spans="2:12" hidden="1" x14ac:dyDescent="0.3">
      <c r="B325" s="44">
        <v>45576</v>
      </c>
      <c r="C325" t="s">
        <v>26</v>
      </c>
      <c r="D325" s="3">
        <v>25</v>
      </c>
      <c r="E325" s="45">
        <v>68.5</v>
      </c>
      <c r="F325" s="46">
        <v>73</v>
      </c>
      <c r="G325" s="47">
        <f t="shared" si="14"/>
        <v>112.5</v>
      </c>
    </row>
    <row r="326" spans="2:12" hidden="1" x14ac:dyDescent="0.3">
      <c r="B326" s="44">
        <v>45576</v>
      </c>
      <c r="C326" t="s">
        <v>26</v>
      </c>
      <c r="D326" s="3">
        <v>15</v>
      </c>
      <c r="E326" s="45">
        <v>68.5</v>
      </c>
      <c r="F326" s="46">
        <v>76.650000000000006</v>
      </c>
      <c r="G326" s="47">
        <f t="shared" si="14"/>
        <v>122.25000000000009</v>
      </c>
    </row>
    <row r="327" spans="2:12" hidden="1" x14ac:dyDescent="0.3">
      <c r="B327" s="44">
        <v>45562</v>
      </c>
      <c r="C327" t="s">
        <v>26</v>
      </c>
      <c r="D327" s="3">
        <v>3</v>
      </c>
      <c r="E327" s="45">
        <v>79</v>
      </c>
      <c r="F327" s="46">
        <v>79.650000000000006</v>
      </c>
      <c r="G327" s="47">
        <f t="shared" si="14"/>
        <v>1.9500000000000171</v>
      </c>
    </row>
    <row r="328" spans="2:12" hidden="1" x14ac:dyDescent="0.3">
      <c r="B328" s="44">
        <v>45574</v>
      </c>
      <c r="C328" t="s">
        <v>12</v>
      </c>
      <c r="D328" s="3">
        <v>15</v>
      </c>
      <c r="E328" s="45">
        <v>69</v>
      </c>
      <c r="F328" s="46">
        <v>77.7</v>
      </c>
      <c r="G328" s="47">
        <f t="shared" si="14"/>
        <v>130.50000000000006</v>
      </c>
    </row>
    <row r="329" spans="2:12" hidden="1" x14ac:dyDescent="0.3">
      <c r="B329" s="44">
        <v>45587</v>
      </c>
      <c r="C329" t="s">
        <v>43</v>
      </c>
      <c r="D329" s="3">
        <v>5</v>
      </c>
      <c r="E329" s="45">
        <v>170</v>
      </c>
      <c r="F329" s="46">
        <v>185</v>
      </c>
      <c r="G329" s="47">
        <f t="shared" si="14"/>
        <v>75</v>
      </c>
    </row>
    <row r="330" spans="2:12" hidden="1" x14ac:dyDescent="0.3">
      <c r="B330" s="44">
        <v>45572</v>
      </c>
      <c r="C330" t="s">
        <v>301</v>
      </c>
      <c r="D330" s="3">
        <v>40</v>
      </c>
      <c r="E330" s="45">
        <v>36</v>
      </c>
      <c r="F330" s="46">
        <v>37.92</v>
      </c>
      <c r="G330" s="47">
        <f t="shared" si="14"/>
        <v>76.800000000000068</v>
      </c>
    </row>
    <row r="331" spans="2:12" hidden="1" x14ac:dyDescent="0.3">
      <c r="B331" s="44">
        <v>45562</v>
      </c>
      <c r="C331" t="s">
        <v>26</v>
      </c>
      <c r="D331" s="3">
        <v>13</v>
      </c>
      <c r="E331" s="45">
        <v>79</v>
      </c>
      <c r="F331" s="46">
        <v>83.65</v>
      </c>
      <c r="G331" s="47">
        <f t="shared" si="14"/>
        <v>60.450000000000074</v>
      </c>
    </row>
    <row r="332" spans="2:12" hidden="1" x14ac:dyDescent="0.3">
      <c r="B332" s="44">
        <v>45586</v>
      </c>
      <c r="C332" t="s">
        <v>6</v>
      </c>
      <c r="D332" s="3">
        <v>27</v>
      </c>
      <c r="E332" s="45">
        <v>35.14</v>
      </c>
      <c r="F332" s="46">
        <v>38.86</v>
      </c>
      <c r="G332" s="47">
        <f t="shared" si="14"/>
        <v>100.43999999999997</v>
      </c>
    </row>
    <row r="333" spans="2:12" hidden="1" x14ac:dyDescent="0.3">
      <c r="B333" s="44">
        <v>45573</v>
      </c>
      <c r="C333" t="s">
        <v>265</v>
      </c>
      <c r="D333" s="3">
        <v>5</v>
      </c>
      <c r="E333" s="45">
        <v>190</v>
      </c>
      <c r="F333" s="46">
        <v>195</v>
      </c>
      <c r="G333" s="47">
        <f t="shared" si="14"/>
        <v>25</v>
      </c>
    </row>
    <row r="334" spans="2:12" hidden="1" x14ac:dyDescent="0.3">
      <c r="B334" s="44">
        <v>45576</v>
      </c>
      <c r="C334" t="s">
        <v>352</v>
      </c>
      <c r="D334" s="3">
        <v>150</v>
      </c>
      <c r="E334" s="45">
        <v>5.85</v>
      </c>
      <c r="F334" s="46">
        <v>6.15</v>
      </c>
      <c r="G334" s="47">
        <f t="shared" si="14"/>
        <v>45.000000000000107</v>
      </c>
    </row>
    <row r="335" spans="2:12" hidden="1" x14ac:dyDescent="0.3">
      <c r="B335" s="44">
        <v>45670</v>
      </c>
      <c r="C335" t="s">
        <v>6</v>
      </c>
      <c r="D335" s="3">
        <v>30</v>
      </c>
      <c r="E335" s="45">
        <v>34.799999999999997</v>
      </c>
      <c r="F335" s="46">
        <v>35</v>
      </c>
      <c r="G335" s="47">
        <f t="shared" si="14"/>
        <v>6.0000000000000853</v>
      </c>
      <c r="I335">
        <f t="shared" ref="I335:I336" si="15">+E335*1.1</f>
        <v>38.28</v>
      </c>
      <c r="K335">
        <f t="shared" ref="K335:K336" si="16">IF(F335=0,1,0)</f>
        <v>0</v>
      </c>
      <c r="L335" s="24">
        <f t="shared" ref="L335:L336" si="17">+D335*E335</f>
        <v>1044</v>
      </c>
    </row>
    <row r="336" spans="2:12" hidden="1" x14ac:dyDescent="0.3">
      <c r="B336" s="44">
        <v>45670</v>
      </c>
      <c r="C336" t="s">
        <v>6</v>
      </c>
      <c r="D336" s="3">
        <v>20</v>
      </c>
      <c r="E336" s="45">
        <v>34.5</v>
      </c>
      <c r="F336" s="46">
        <v>35</v>
      </c>
      <c r="G336" s="47">
        <f t="shared" si="14"/>
        <v>10</v>
      </c>
      <c r="I336">
        <f t="shared" si="15"/>
        <v>37.950000000000003</v>
      </c>
      <c r="K336">
        <f t="shared" si="16"/>
        <v>0</v>
      </c>
      <c r="L336" s="24">
        <f t="shared" si="17"/>
        <v>690</v>
      </c>
    </row>
    <row r="337" spans="2:12" hidden="1" x14ac:dyDescent="0.3">
      <c r="B337" s="44">
        <v>45596</v>
      </c>
      <c r="C337" t="s">
        <v>89</v>
      </c>
      <c r="D337" s="3">
        <v>125</v>
      </c>
      <c r="E337" s="45">
        <v>6.75</v>
      </c>
      <c r="F337" s="46">
        <v>7.88</v>
      </c>
      <c r="G337" s="47">
        <f t="shared" si="14"/>
        <v>141.25</v>
      </c>
    </row>
    <row r="338" spans="2:12" hidden="1" x14ac:dyDescent="0.3">
      <c r="B338" s="44">
        <v>45583</v>
      </c>
      <c r="C338" t="s">
        <v>6</v>
      </c>
      <c r="D338" s="3">
        <v>9</v>
      </c>
      <c r="E338" s="45">
        <v>36</v>
      </c>
      <c r="F338" s="46">
        <v>43.06</v>
      </c>
      <c r="G338" s="47">
        <f t="shared" si="14"/>
        <v>63.54000000000002</v>
      </c>
    </row>
    <row r="339" spans="2:12" hidden="1" x14ac:dyDescent="0.3">
      <c r="B339" s="44">
        <v>45568</v>
      </c>
      <c r="C339" t="s">
        <v>206</v>
      </c>
      <c r="D339" s="3">
        <v>25</v>
      </c>
      <c r="E339" s="45">
        <v>9.9</v>
      </c>
      <c r="F339" s="46">
        <v>12</v>
      </c>
      <c r="G339" s="47">
        <f t="shared" si="14"/>
        <v>52.499999999999993</v>
      </c>
    </row>
    <row r="340" spans="2:12" hidden="1" x14ac:dyDescent="0.3">
      <c r="B340" s="44">
        <v>45670</v>
      </c>
      <c r="C340" t="s">
        <v>6</v>
      </c>
      <c r="D340" s="3">
        <v>30</v>
      </c>
      <c r="E340" s="45">
        <v>34.799999999999997</v>
      </c>
      <c r="F340" s="46">
        <v>35</v>
      </c>
      <c r="G340" s="47">
        <f t="shared" si="14"/>
        <v>6.0000000000000853</v>
      </c>
      <c r="I340">
        <f>+E340*1.1</f>
        <v>38.28</v>
      </c>
      <c r="K340">
        <f>IF(F340=0,1,0)</f>
        <v>0</v>
      </c>
      <c r="L340" s="24">
        <f>+D340*E340</f>
        <v>1044</v>
      </c>
    </row>
    <row r="341" spans="2:12" hidden="1" x14ac:dyDescent="0.3">
      <c r="B341" s="44">
        <v>45624</v>
      </c>
      <c r="C341" t="s">
        <v>166</v>
      </c>
      <c r="D341" s="3">
        <v>10</v>
      </c>
      <c r="E341" s="45">
        <v>39</v>
      </c>
      <c r="F341" s="46">
        <v>45.1</v>
      </c>
      <c r="G341" s="47">
        <f t="shared" si="14"/>
        <v>61.000000000000014</v>
      </c>
    </row>
    <row r="342" spans="2:12" hidden="1" x14ac:dyDescent="0.3">
      <c r="B342" s="44">
        <v>45555</v>
      </c>
      <c r="C342" t="s">
        <v>34</v>
      </c>
      <c r="D342" s="3">
        <v>60</v>
      </c>
      <c r="E342" s="45">
        <v>41</v>
      </c>
      <c r="F342" s="46">
        <v>39.5</v>
      </c>
      <c r="G342" s="47">
        <f t="shared" si="14"/>
        <v>-90</v>
      </c>
    </row>
    <row r="343" spans="2:12" hidden="1" x14ac:dyDescent="0.3">
      <c r="B343" s="44">
        <v>45583</v>
      </c>
      <c r="C343" t="s">
        <v>37</v>
      </c>
      <c r="D343" s="3">
        <v>25</v>
      </c>
      <c r="E343" s="45">
        <v>50</v>
      </c>
      <c r="F343" s="46">
        <v>53</v>
      </c>
      <c r="G343" s="47">
        <f t="shared" si="14"/>
        <v>75</v>
      </c>
    </row>
    <row r="344" spans="2:12" hidden="1" x14ac:dyDescent="0.3">
      <c r="B344" s="44">
        <v>45572</v>
      </c>
      <c r="C344" t="s">
        <v>39</v>
      </c>
      <c r="D344" s="3">
        <v>3</v>
      </c>
      <c r="E344" s="45">
        <v>690</v>
      </c>
      <c r="F344" s="46">
        <v>729</v>
      </c>
      <c r="G344" s="47">
        <f t="shared" si="14"/>
        <v>117</v>
      </c>
    </row>
    <row r="345" spans="2:12" hidden="1" x14ac:dyDescent="0.3">
      <c r="B345" s="44">
        <v>45586</v>
      </c>
      <c r="C345" t="s">
        <v>37</v>
      </c>
      <c r="D345" s="3">
        <v>20</v>
      </c>
      <c r="E345" s="45">
        <v>50</v>
      </c>
      <c r="F345" s="46">
        <v>55.65</v>
      </c>
      <c r="G345" s="47">
        <f t="shared" si="14"/>
        <v>112.99999999999997</v>
      </c>
    </row>
    <row r="346" spans="2:12" hidden="1" x14ac:dyDescent="0.3">
      <c r="B346" s="44">
        <v>45595</v>
      </c>
      <c r="C346" t="s">
        <v>525</v>
      </c>
      <c r="D346" s="3">
        <v>20</v>
      </c>
      <c r="E346" s="45">
        <v>18</v>
      </c>
      <c r="F346" s="46">
        <v>21</v>
      </c>
      <c r="G346" s="47">
        <f t="shared" si="14"/>
        <v>60</v>
      </c>
    </row>
    <row r="347" spans="2:12" hidden="1" x14ac:dyDescent="0.3">
      <c r="B347" s="44">
        <v>45642</v>
      </c>
      <c r="C347" t="s">
        <v>12</v>
      </c>
      <c r="D347" s="3">
        <v>5</v>
      </c>
      <c r="E347" s="45">
        <v>105</v>
      </c>
      <c r="F347" s="46">
        <v>110</v>
      </c>
      <c r="G347" s="47">
        <f t="shared" si="14"/>
        <v>25</v>
      </c>
    </row>
    <row r="348" spans="2:12" hidden="1" x14ac:dyDescent="0.3">
      <c r="B348" s="44">
        <v>45670</v>
      </c>
      <c r="C348" t="s">
        <v>6</v>
      </c>
      <c r="D348" s="3">
        <v>20</v>
      </c>
      <c r="E348" s="45">
        <v>34.5</v>
      </c>
      <c r="F348" s="46">
        <v>35</v>
      </c>
      <c r="G348" s="47">
        <f t="shared" si="14"/>
        <v>10</v>
      </c>
      <c r="I348">
        <f>+E348*1.1</f>
        <v>37.950000000000003</v>
      </c>
      <c r="K348">
        <f>IF(F348=0,1,0)</f>
        <v>0</v>
      </c>
      <c r="L348" s="24">
        <f>+D348*E348</f>
        <v>690</v>
      </c>
    </row>
    <row r="349" spans="2:12" hidden="1" x14ac:dyDescent="0.3">
      <c r="B349" s="44">
        <v>45601</v>
      </c>
      <c r="C349" t="s">
        <v>379</v>
      </c>
      <c r="D349" s="3">
        <v>25</v>
      </c>
      <c r="E349" s="45">
        <v>60</v>
      </c>
      <c r="F349" s="46">
        <v>64</v>
      </c>
      <c r="G349" s="47">
        <f t="shared" si="14"/>
        <v>100</v>
      </c>
    </row>
    <row r="350" spans="2:12" hidden="1" x14ac:dyDescent="0.3">
      <c r="B350" s="44">
        <v>45607</v>
      </c>
      <c r="C350" t="s">
        <v>415</v>
      </c>
      <c r="D350" s="3">
        <v>20</v>
      </c>
      <c r="E350" s="45">
        <v>30.7</v>
      </c>
      <c r="F350" s="46">
        <v>34.200000000000003</v>
      </c>
      <c r="G350" s="47">
        <f t="shared" si="14"/>
        <v>70.000000000000071</v>
      </c>
    </row>
    <row r="351" spans="2:12" hidden="1" x14ac:dyDescent="0.3">
      <c r="B351" s="44">
        <v>45600</v>
      </c>
      <c r="C351" t="s">
        <v>26</v>
      </c>
      <c r="D351" s="3">
        <v>21</v>
      </c>
      <c r="E351" s="45">
        <v>79.2</v>
      </c>
      <c r="F351" s="46">
        <v>84</v>
      </c>
      <c r="G351" s="47">
        <f t="shared" si="14"/>
        <v>100.79999999999994</v>
      </c>
    </row>
    <row r="352" spans="2:12" hidden="1" x14ac:dyDescent="0.3">
      <c r="B352" s="44">
        <v>45602</v>
      </c>
      <c r="C352" t="s">
        <v>379</v>
      </c>
      <c r="D352" s="3">
        <v>20</v>
      </c>
      <c r="E352" s="45">
        <v>67</v>
      </c>
      <c r="F352" s="46">
        <v>67.2</v>
      </c>
      <c r="G352" s="47">
        <f t="shared" si="14"/>
        <v>4.0000000000000568</v>
      </c>
    </row>
    <row r="353" spans="2:12" hidden="1" x14ac:dyDescent="0.3">
      <c r="B353" s="44">
        <v>45588</v>
      </c>
      <c r="C353" t="s">
        <v>220</v>
      </c>
      <c r="D353" s="3">
        <v>25</v>
      </c>
      <c r="E353" s="45">
        <v>45.54</v>
      </c>
      <c r="F353" s="46">
        <v>47.5</v>
      </c>
      <c r="G353" s="47">
        <f t="shared" si="14"/>
        <v>49.000000000000021</v>
      </c>
    </row>
    <row r="354" spans="2:12" hidden="1" x14ac:dyDescent="0.3">
      <c r="B354" s="44">
        <v>45586</v>
      </c>
      <c r="C354" t="s">
        <v>32</v>
      </c>
      <c r="D354" s="3">
        <v>10</v>
      </c>
      <c r="E354" s="45">
        <v>80</v>
      </c>
      <c r="F354" s="46">
        <v>83</v>
      </c>
      <c r="G354" s="47">
        <f t="shared" si="14"/>
        <v>30</v>
      </c>
    </row>
    <row r="355" spans="2:12" hidden="1" x14ac:dyDescent="0.3">
      <c r="B355" s="44">
        <v>45600</v>
      </c>
      <c r="C355" t="s">
        <v>43</v>
      </c>
      <c r="D355" s="3">
        <v>5</v>
      </c>
      <c r="E355" s="45">
        <v>174.8</v>
      </c>
      <c r="F355" s="46">
        <v>185</v>
      </c>
      <c r="G355" s="47">
        <f t="shared" si="14"/>
        <v>50.999999999999943</v>
      </c>
    </row>
    <row r="356" spans="2:12" hidden="1" x14ac:dyDescent="0.3">
      <c r="B356" s="44">
        <v>45601</v>
      </c>
      <c r="C356" t="s">
        <v>28</v>
      </c>
      <c r="D356" s="3">
        <v>35</v>
      </c>
      <c r="E356" s="45">
        <v>40.5</v>
      </c>
      <c r="F356" s="46">
        <v>44</v>
      </c>
      <c r="G356" s="47">
        <f t="shared" si="14"/>
        <v>122.5</v>
      </c>
    </row>
    <row r="357" spans="2:12" hidden="1" x14ac:dyDescent="0.3">
      <c r="B357" s="44">
        <v>45646</v>
      </c>
      <c r="C357" t="s">
        <v>10</v>
      </c>
      <c r="D357" s="3">
        <v>20</v>
      </c>
      <c r="E357" s="45">
        <v>52.4</v>
      </c>
      <c r="F357" s="46">
        <v>55</v>
      </c>
      <c r="G357" s="47">
        <f t="shared" si="14"/>
        <v>52.000000000000028</v>
      </c>
      <c r="I357">
        <f>+E357*1.1</f>
        <v>57.64</v>
      </c>
      <c r="K357">
        <f>IF(F357=0,1,0)</f>
        <v>0</v>
      </c>
      <c r="L357" s="24">
        <f>+D357*E357</f>
        <v>1048</v>
      </c>
    </row>
    <row r="358" spans="2:12" hidden="1" x14ac:dyDescent="0.3">
      <c r="B358" s="44">
        <v>45595</v>
      </c>
      <c r="C358" t="s">
        <v>525</v>
      </c>
      <c r="D358" s="3">
        <v>80</v>
      </c>
      <c r="E358" s="45">
        <v>18</v>
      </c>
      <c r="F358" s="46">
        <v>19.100000000000001</v>
      </c>
      <c r="G358" s="47">
        <f t="shared" si="14"/>
        <v>88.000000000000114</v>
      </c>
    </row>
    <row r="359" spans="2:12" x14ac:dyDescent="0.3">
      <c r="B359" s="44">
        <v>45672</v>
      </c>
      <c r="C359" t="s">
        <v>6</v>
      </c>
      <c r="D359" s="3">
        <v>15</v>
      </c>
      <c r="E359" s="45">
        <v>33.4</v>
      </c>
      <c r="G359" s="47" t="str">
        <f t="shared" si="14"/>
        <v/>
      </c>
      <c r="I359">
        <f>+E359*1.1</f>
        <v>36.74</v>
      </c>
      <c r="K359">
        <f>IF(F359=0,1,0)</f>
        <v>1</v>
      </c>
      <c r="L359" s="24">
        <f>+D359*E359</f>
        <v>501</v>
      </c>
    </row>
    <row r="360" spans="2:12" hidden="1" x14ac:dyDescent="0.3">
      <c r="B360" s="44">
        <v>45575</v>
      </c>
      <c r="C360" t="s">
        <v>41</v>
      </c>
      <c r="D360" s="3">
        <v>10</v>
      </c>
      <c r="E360" s="45">
        <v>149.80000000000001</v>
      </c>
      <c r="F360" s="46">
        <v>147</v>
      </c>
      <c r="G360" s="47">
        <f t="shared" si="14"/>
        <v>-28.000000000000114</v>
      </c>
    </row>
    <row r="361" spans="2:12" hidden="1" x14ac:dyDescent="0.3">
      <c r="B361" s="44">
        <v>45582</v>
      </c>
      <c r="C361" t="s">
        <v>379</v>
      </c>
      <c r="D361" s="3">
        <v>15</v>
      </c>
      <c r="E361" s="45">
        <v>65.95</v>
      </c>
      <c r="F361" s="46">
        <v>71.3</v>
      </c>
      <c r="G361" s="47">
        <f t="shared" si="14"/>
        <v>80.249999999999915</v>
      </c>
    </row>
    <row r="362" spans="2:12" hidden="1" x14ac:dyDescent="0.3">
      <c r="B362" s="44">
        <v>45572</v>
      </c>
      <c r="C362" t="s">
        <v>529</v>
      </c>
      <c r="D362" s="3">
        <v>25</v>
      </c>
      <c r="E362" s="45">
        <v>45.5</v>
      </c>
      <c r="F362" s="46">
        <v>47.14</v>
      </c>
      <c r="G362" s="47">
        <f t="shared" si="14"/>
        <v>41.000000000000014</v>
      </c>
    </row>
    <row r="363" spans="2:12" hidden="1" x14ac:dyDescent="0.3">
      <c r="B363" s="44">
        <v>45600</v>
      </c>
      <c r="C363" t="s">
        <v>456</v>
      </c>
      <c r="D363" s="3">
        <v>300</v>
      </c>
      <c r="E363" s="45">
        <v>4.8</v>
      </c>
      <c r="F363" s="46">
        <v>5.83</v>
      </c>
      <c r="G363" s="47">
        <f t="shared" si="14"/>
        <v>309.00000000000006</v>
      </c>
    </row>
    <row r="364" spans="2:12" hidden="1" x14ac:dyDescent="0.3">
      <c r="B364" s="44">
        <v>45569</v>
      </c>
      <c r="C364" t="s">
        <v>301</v>
      </c>
      <c r="D364" s="3">
        <v>30</v>
      </c>
      <c r="E364" s="45">
        <v>35.5</v>
      </c>
      <c r="F364" s="46">
        <v>38.04</v>
      </c>
      <c r="G364" s="47">
        <f t="shared" si="14"/>
        <v>76.199999999999974</v>
      </c>
    </row>
    <row r="365" spans="2:12" hidden="1" x14ac:dyDescent="0.3">
      <c r="B365" s="44">
        <v>45625</v>
      </c>
      <c r="C365" t="s">
        <v>202</v>
      </c>
      <c r="D365" s="3">
        <v>20</v>
      </c>
      <c r="E365" s="45">
        <v>23.5</v>
      </c>
      <c r="F365" s="46">
        <v>25.5</v>
      </c>
      <c r="G365" s="47">
        <f t="shared" si="14"/>
        <v>40</v>
      </c>
    </row>
    <row r="366" spans="2:12" hidden="1" x14ac:dyDescent="0.3">
      <c r="B366" s="44">
        <v>45600</v>
      </c>
      <c r="C366" t="s">
        <v>43</v>
      </c>
      <c r="D366" s="3">
        <v>10</v>
      </c>
      <c r="E366" s="45">
        <v>174.8</v>
      </c>
      <c r="F366" s="46">
        <v>194.3</v>
      </c>
      <c r="G366" s="47">
        <f t="shared" si="14"/>
        <v>195</v>
      </c>
    </row>
    <row r="367" spans="2:12" hidden="1" x14ac:dyDescent="0.3">
      <c r="B367" s="44">
        <v>45583</v>
      </c>
      <c r="C367" t="s">
        <v>6</v>
      </c>
      <c r="D367" s="3">
        <v>35</v>
      </c>
      <c r="E367" s="45">
        <v>36</v>
      </c>
      <c r="F367" s="46">
        <v>45.222000000000001</v>
      </c>
      <c r="G367" s="47">
        <f t="shared" si="14"/>
        <v>322.77000000000004</v>
      </c>
    </row>
    <row r="368" spans="2:12" hidden="1" x14ac:dyDescent="0.3">
      <c r="B368" s="44">
        <v>45603</v>
      </c>
      <c r="C368" t="s">
        <v>154</v>
      </c>
      <c r="D368" s="3">
        <v>10</v>
      </c>
      <c r="E368" s="45">
        <v>129</v>
      </c>
      <c r="F368" s="46">
        <v>135</v>
      </c>
      <c r="G368" s="47">
        <f t="shared" si="14"/>
        <v>60</v>
      </c>
    </row>
    <row r="369" spans="2:12" hidden="1" x14ac:dyDescent="0.3">
      <c r="B369" s="44">
        <v>45583</v>
      </c>
      <c r="C369" t="s">
        <v>404</v>
      </c>
      <c r="D369" s="3">
        <v>35</v>
      </c>
      <c r="E369" s="45">
        <v>44</v>
      </c>
      <c r="F369" s="46">
        <v>46.2</v>
      </c>
      <c r="G369" s="47">
        <f t="shared" si="14"/>
        <v>77.000000000000099</v>
      </c>
    </row>
    <row r="370" spans="2:12" hidden="1" x14ac:dyDescent="0.3">
      <c r="B370" s="44">
        <v>45575</v>
      </c>
      <c r="C370" t="s">
        <v>18</v>
      </c>
      <c r="D370" s="3">
        <v>5</v>
      </c>
      <c r="E370" s="45">
        <v>212</v>
      </c>
      <c r="F370" s="46">
        <v>215</v>
      </c>
      <c r="G370" s="47">
        <f t="shared" si="14"/>
        <v>15</v>
      </c>
    </row>
    <row r="371" spans="2:12" hidden="1" x14ac:dyDescent="0.3">
      <c r="B371" s="44">
        <v>45603</v>
      </c>
      <c r="C371" t="s">
        <v>13</v>
      </c>
      <c r="D371" s="3">
        <v>65</v>
      </c>
      <c r="E371" s="45">
        <v>15.8</v>
      </c>
      <c r="F371" s="46">
        <v>16.2</v>
      </c>
      <c r="G371" s="47">
        <f t="shared" si="14"/>
        <v>25.999999999999908</v>
      </c>
    </row>
    <row r="372" spans="2:12" hidden="1" x14ac:dyDescent="0.3">
      <c r="B372" s="44">
        <v>45601</v>
      </c>
      <c r="C372" t="s">
        <v>20</v>
      </c>
      <c r="D372" s="3">
        <v>110</v>
      </c>
      <c r="E372" s="45">
        <v>13.64</v>
      </c>
      <c r="F372" s="46">
        <v>14</v>
      </c>
      <c r="G372" s="47">
        <f t="shared" si="14"/>
        <v>39.599999999999937</v>
      </c>
    </row>
    <row r="373" spans="2:12" hidden="1" x14ac:dyDescent="0.3">
      <c r="B373" s="44">
        <v>45600</v>
      </c>
      <c r="C373" t="s">
        <v>206</v>
      </c>
      <c r="D373" s="3">
        <v>150</v>
      </c>
      <c r="E373" s="45">
        <v>9.5</v>
      </c>
      <c r="F373" s="46">
        <v>10.5</v>
      </c>
      <c r="G373" s="47">
        <f t="shared" si="14"/>
        <v>150</v>
      </c>
    </row>
    <row r="374" spans="2:12" hidden="1" x14ac:dyDescent="0.3">
      <c r="B374" s="44">
        <v>45586</v>
      </c>
      <c r="C374" t="s">
        <v>53</v>
      </c>
      <c r="D374" s="3">
        <v>235</v>
      </c>
      <c r="E374" s="45">
        <v>6</v>
      </c>
      <c r="F374" s="46">
        <v>6.51</v>
      </c>
      <c r="G374" s="47">
        <f t="shared" ref="G374:G437" si="18">IF(E374=0,"",IF(F374="","",(F374-E374)*D374))</f>
        <v>119.84999999999995</v>
      </c>
    </row>
    <row r="375" spans="2:12" hidden="1" x14ac:dyDescent="0.3">
      <c r="B375" s="44">
        <v>45565</v>
      </c>
      <c r="C375" t="s">
        <v>426</v>
      </c>
      <c r="D375" s="3">
        <v>30</v>
      </c>
      <c r="E375" s="45">
        <v>65</v>
      </c>
      <c r="F375" s="46">
        <v>66</v>
      </c>
      <c r="G375" s="47">
        <f t="shared" si="18"/>
        <v>30</v>
      </c>
    </row>
    <row r="376" spans="2:12" hidden="1" x14ac:dyDescent="0.3">
      <c r="B376" s="44">
        <v>45630</v>
      </c>
      <c r="C376" t="s">
        <v>202</v>
      </c>
      <c r="D376" s="3">
        <v>40</v>
      </c>
      <c r="E376" s="45">
        <v>23</v>
      </c>
      <c r="F376" s="46">
        <v>25.5</v>
      </c>
      <c r="G376" s="47">
        <f t="shared" si="18"/>
        <v>100</v>
      </c>
    </row>
    <row r="377" spans="2:12" hidden="1" x14ac:dyDescent="0.3">
      <c r="B377" s="44">
        <v>45586</v>
      </c>
      <c r="C377" t="s">
        <v>53</v>
      </c>
      <c r="D377" s="3">
        <v>60</v>
      </c>
      <c r="E377" s="45">
        <v>6.2</v>
      </c>
      <c r="F377" s="46">
        <v>6.84</v>
      </c>
      <c r="G377" s="47">
        <f t="shared" si="18"/>
        <v>38.399999999999977</v>
      </c>
    </row>
    <row r="378" spans="2:12" hidden="1" x14ac:dyDescent="0.3">
      <c r="B378" s="44">
        <v>45673</v>
      </c>
      <c r="C378" t="s">
        <v>6</v>
      </c>
      <c r="D378" s="3">
        <v>15</v>
      </c>
      <c r="E378" s="45">
        <v>34</v>
      </c>
      <c r="F378" s="46">
        <v>34.5</v>
      </c>
      <c r="G378" s="47">
        <f t="shared" si="18"/>
        <v>7.5</v>
      </c>
      <c r="I378">
        <f t="shared" ref="I378:I379" si="19">+E378*1.1</f>
        <v>37.400000000000006</v>
      </c>
      <c r="K378">
        <f t="shared" ref="K378:K379" si="20">IF(F378=0,1,0)</f>
        <v>0</v>
      </c>
      <c r="L378" s="24">
        <f t="shared" ref="L378:L379" si="21">+D378*E378</f>
        <v>510</v>
      </c>
    </row>
    <row r="379" spans="2:12" x14ac:dyDescent="0.3">
      <c r="B379" s="44">
        <v>45673</v>
      </c>
      <c r="C379" t="s">
        <v>6</v>
      </c>
      <c r="D379" s="3">
        <v>5</v>
      </c>
      <c r="E379" s="45">
        <v>34</v>
      </c>
      <c r="G379" s="47" t="str">
        <f t="shared" si="18"/>
        <v/>
      </c>
      <c r="I379">
        <f t="shared" si="19"/>
        <v>37.400000000000006</v>
      </c>
      <c r="K379">
        <f t="shared" si="20"/>
        <v>1</v>
      </c>
      <c r="L379" s="24">
        <f t="shared" si="21"/>
        <v>170</v>
      </c>
    </row>
    <row r="380" spans="2:12" hidden="1" x14ac:dyDescent="0.3">
      <c r="B380" s="44">
        <v>45583</v>
      </c>
      <c r="C380" t="s">
        <v>206</v>
      </c>
      <c r="D380" s="3">
        <v>90</v>
      </c>
      <c r="E380" s="45">
        <v>9.8000000000000007</v>
      </c>
      <c r="F380" s="46">
        <v>11.03</v>
      </c>
      <c r="G380" s="47">
        <f t="shared" si="18"/>
        <v>110.69999999999987</v>
      </c>
    </row>
    <row r="381" spans="2:12" x14ac:dyDescent="0.3">
      <c r="B381" s="44">
        <v>45678</v>
      </c>
      <c r="C381" t="s">
        <v>6</v>
      </c>
      <c r="D381" s="3">
        <v>15</v>
      </c>
      <c r="E381" s="45">
        <v>33</v>
      </c>
      <c r="G381" s="47" t="str">
        <f t="shared" si="18"/>
        <v/>
      </c>
      <c r="I381">
        <f t="shared" ref="I381:I382" si="22">+E381*1.1</f>
        <v>36.300000000000004</v>
      </c>
      <c r="K381">
        <f t="shared" ref="K381:K382" si="23">IF(F381=0,1,0)</f>
        <v>1</v>
      </c>
      <c r="L381" s="24">
        <f t="shared" ref="L381:L382" si="24">+D381*E381</f>
        <v>495</v>
      </c>
    </row>
    <row r="382" spans="2:12" hidden="1" x14ac:dyDescent="0.3">
      <c r="B382" s="44">
        <v>45630</v>
      </c>
      <c r="C382" t="s">
        <v>83</v>
      </c>
      <c r="D382" s="3">
        <v>1</v>
      </c>
      <c r="E382" s="45">
        <v>120</v>
      </c>
      <c r="F382" s="46">
        <v>130</v>
      </c>
      <c r="G382" s="47">
        <f t="shared" si="18"/>
        <v>10</v>
      </c>
      <c r="I382">
        <f t="shared" si="22"/>
        <v>132</v>
      </c>
      <c r="K382">
        <f t="shared" si="23"/>
        <v>0</v>
      </c>
      <c r="L382" s="24">
        <f t="shared" si="24"/>
        <v>120</v>
      </c>
    </row>
    <row r="383" spans="2:12" hidden="1" x14ac:dyDescent="0.3">
      <c r="B383" s="44">
        <v>45573</v>
      </c>
      <c r="C383" t="s">
        <v>265</v>
      </c>
      <c r="D383" s="3">
        <v>5</v>
      </c>
      <c r="E383" s="45">
        <v>190</v>
      </c>
      <c r="F383" s="46">
        <v>191</v>
      </c>
      <c r="G383" s="47">
        <f t="shared" si="18"/>
        <v>5</v>
      </c>
    </row>
    <row r="384" spans="2:12" hidden="1" x14ac:dyDescent="0.3">
      <c r="B384" s="44">
        <v>45608</v>
      </c>
      <c r="C384" t="s">
        <v>128</v>
      </c>
      <c r="D384" s="3">
        <v>90</v>
      </c>
      <c r="E384" s="45">
        <v>17</v>
      </c>
      <c r="F384" s="46">
        <v>17.5</v>
      </c>
      <c r="G384" s="47">
        <f t="shared" si="18"/>
        <v>45</v>
      </c>
    </row>
    <row r="385" spans="2:12" hidden="1" x14ac:dyDescent="0.3">
      <c r="B385" s="44">
        <v>45603</v>
      </c>
      <c r="C385" t="s">
        <v>128</v>
      </c>
      <c r="D385" s="3">
        <v>50</v>
      </c>
      <c r="E385" s="45">
        <v>17.100000000000001</v>
      </c>
      <c r="F385" s="46">
        <v>18.2</v>
      </c>
      <c r="G385" s="47">
        <f t="shared" si="18"/>
        <v>54.999999999999893</v>
      </c>
    </row>
    <row r="386" spans="2:12" hidden="1" x14ac:dyDescent="0.3">
      <c r="B386" s="44">
        <v>45588</v>
      </c>
      <c r="C386" t="s">
        <v>128</v>
      </c>
      <c r="D386" s="3">
        <v>10</v>
      </c>
      <c r="E386" s="45">
        <v>17.8</v>
      </c>
      <c r="F386" s="46">
        <v>18.59</v>
      </c>
      <c r="G386" s="47">
        <f t="shared" si="18"/>
        <v>7.8999999999999915</v>
      </c>
    </row>
    <row r="387" spans="2:12" hidden="1" x14ac:dyDescent="0.3">
      <c r="B387" s="44">
        <v>45572</v>
      </c>
      <c r="C387" t="s">
        <v>206</v>
      </c>
      <c r="D387" s="3">
        <v>20</v>
      </c>
      <c r="E387" s="45">
        <v>10</v>
      </c>
      <c r="F387" s="46">
        <v>11.58</v>
      </c>
      <c r="G387" s="47">
        <f t="shared" si="18"/>
        <v>31.6</v>
      </c>
    </row>
    <row r="388" spans="2:12" hidden="1" x14ac:dyDescent="0.3">
      <c r="B388" s="44">
        <v>45575</v>
      </c>
      <c r="C388" t="s">
        <v>423</v>
      </c>
      <c r="D388" s="3">
        <v>100</v>
      </c>
      <c r="E388" s="45">
        <v>7.7</v>
      </c>
      <c r="F388" s="46">
        <v>8.5</v>
      </c>
      <c r="G388" s="47">
        <f t="shared" si="18"/>
        <v>79.999999999999986</v>
      </c>
    </row>
    <row r="389" spans="2:12" hidden="1" x14ac:dyDescent="0.3">
      <c r="B389" s="44">
        <v>45558</v>
      </c>
      <c r="C389" t="s">
        <v>128</v>
      </c>
      <c r="D389" s="3">
        <v>15</v>
      </c>
      <c r="E389" s="45">
        <v>20.7</v>
      </c>
      <c r="F389" s="46">
        <v>19.52</v>
      </c>
      <c r="G389" s="47">
        <f t="shared" si="18"/>
        <v>-17.699999999999996</v>
      </c>
    </row>
    <row r="390" spans="2:12" hidden="1" x14ac:dyDescent="0.3">
      <c r="B390" s="44">
        <v>45603</v>
      </c>
      <c r="C390" t="s">
        <v>154</v>
      </c>
      <c r="D390" s="3">
        <v>9</v>
      </c>
      <c r="E390" s="45">
        <v>135</v>
      </c>
      <c r="F390" s="46">
        <v>142</v>
      </c>
      <c r="G390" s="47">
        <f t="shared" si="18"/>
        <v>63</v>
      </c>
    </row>
    <row r="391" spans="2:12" hidden="1" x14ac:dyDescent="0.3">
      <c r="B391" s="44">
        <v>45609</v>
      </c>
      <c r="C391" t="s">
        <v>379</v>
      </c>
      <c r="D391" s="3">
        <v>24</v>
      </c>
      <c r="E391" s="45">
        <v>63</v>
      </c>
      <c r="F391" s="46">
        <v>65</v>
      </c>
      <c r="G391" s="47">
        <f t="shared" si="18"/>
        <v>48</v>
      </c>
    </row>
    <row r="392" spans="2:12" hidden="1" x14ac:dyDescent="0.3">
      <c r="B392" s="44">
        <v>45588</v>
      </c>
      <c r="C392" t="s">
        <v>50</v>
      </c>
      <c r="D392" s="3">
        <v>85</v>
      </c>
      <c r="E392" s="45">
        <v>16.5</v>
      </c>
      <c r="F392" s="46">
        <v>17.850000000000001</v>
      </c>
      <c r="G392" s="47">
        <f t="shared" si="18"/>
        <v>114.75000000000011</v>
      </c>
    </row>
    <row r="393" spans="2:12" hidden="1" x14ac:dyDescent="0.3">
      <c r="B393" s="44">
        <v>45611</v>
      </c>
      <c r="C393" t="s">
        <v>43</v>
      </c>
      <c r="D393" s="3">
        <v>5</v>
      </c>
      <c r="E393" s="45">
        <v>220</v>
      </c>
      <c r="F393" s="46">
        <v>225.2</v>
      </c>
      <c r="G393" s="47">
        <f t="shared" si="18"/>
        <v>25.999999999999943</v>
      </c>
    </row>
    <row r="394" spans="2:12" hidden="1" x14ac:dyDescent="0.3">
      <c r="B394" s="44">
        <v>45575</v>
      </c>
      <c r="C394" t="s">
        <v>423</v>
      </c>
      <c r="D394" s="3">
        <v>75</v>
      </c>
      <c r="E394" s="45">
        <v>7.5</v>
      </c>
      <c r="F394" s="46">
        <v>7.88</v>
      </c>
      <c r="G394" s="47">
        <f t="shared" si="18"/>
        <v>28.499999999999993</v>
      </c>
    </row>
    <row r="395" spans="2:12" hidden="1" x14ac:dyDescent="0.3">
      <c r="B395" s="44">
        <v>45607</v>
      </c>
      <c r="C395" t="s">
        <v>415</v>
      </c>
      <c r="D395" s="3">
        <v>50</v>
      </c>
      <c r="E395" s="45">
        <v>30.7</v>
      </c>
      <c r="F395" s="46">
        <v>32.5</v>
      </c>
      <c r="G395" s="47">
        <f t="shared" si="18"/>
        <v>90.000000000000028</v>
      </c>
    </row>
    <row r="396" spans="2:12" hidden="1" x14ac:dyDescent="0.3">
      <c r="B396" s="44">
        <v>45581</v>
      </c>
      <c r="C396" t="s">
        <v>423</v>
      </c>
      <c r="D396" s="3">
        <v>125</v>
      </c>
      <c r="E396" s="45">
        <v>7.25</v>
      </c>
      <c r="F396" s="46">
        <v>7.88</v>
      </c>
      <c r="G396" s="47">
        <f t="shared" si="18"/>
        <v>78.749999999999986</v>
      </c>
    </row>
    <row r="397" spans="2:12" hidden="1" x14ac:dyDescent="0.3">
      <c r="B397" s="44">
        <v>45572</v>
      </c>
      <c r="C397" t="s">
        <v>529</v>
      </c>
      <c r="D397" s="3">
        <v>25</v>
      </c>
      <c r="E397" s="45">
        <v>45.5</v>
      </c>
      <c r="F397" s="46">
        <v>46.1</v>
      </c>
      <c r="G397" s="47">
        <f t="shared" si="18"/>
        <v>15.000000000000036</v>
      </c>
    </row>
    <row r="398" spans="2:12" hidden="1" x14ac:dyDescent="0.3">
      <c r="B398" s="44">
        <v>45649</v>
      </c>
      <c r="C398" t="s">
        <v>83</v>
      </c>
      <c r="D398" s="3">
        <v>1</v>
      </c>
      <c r="E398" s="45">
        <v>120</v>
      </c>
      <c r="F398" s="46">
        <v>130</v>
      </c>
      <c r="G398" s="47">
        <f t="shared" si="18"/>
        <v>10</v>
      </c>
      <c r="I398">
        <f>+E398*1.1</f>
        <v>132</v>
      </c>
      <c r="K398">
        <f>IF(F398=0,1,0)</f>
        <v>0</v>
      </c>
      <c r="L398" s="24">
        <f>+D398*E398</f>
        <v>120</v>
      </c>
    </row>
    <row r="399" spans="2:12" hidden="1" x14ac:dyDescent="0.3">
      <c r="B399" s="44">
        <v>45583</v>
      </c>
      <c r="C399" t="s">
        <v>529</v>
      </c>
      <c r="D399" s="3">
        <v>10</v>
      </c>
      <c r="E399" s="45">
        <v>46</v>
      </c>
      <c r="F399" s="46">
        <v>46.1</v>
      </c>
      <c r="G399" s="47">
        <f t="shared" si="18"/>
        <v>1.0000000000000142</v>
      </c>
    </row>
    <row r="400" spans="2:12" hidden="1" x14ac:dyDescent="0.3">
      <c r="B400" s="44">
        <v>45586</v>
      </c>
      <c r="C400" t="s">
        <v>53</v>
      </c>
      <c r="D400" s="3">
        <v>190</v>
      </c>
      <c r="E400" s="45">
        <v>6.2</v>
      </c>
      <c r="F400" s="46">
        <v>7.15</v>
      </c>
      <c r="G400" s="47">
        <f t="shared" si="18"/>
        <v>180.50000000000003</v>
      </c>
    </row>
    <row r="401" spans="2:12" hidden="1" x14ac:dyDescent="0.3">
      <c r="B401" s="44">
        <v>45670</v>
      </c>
      <c r="C401" t="s">
        <v>83</v>
      </c>
      <c r="D401" s="3">
        <v>3</v>
      </c>
      <c r="E401" s="45">
        <v>120</v>
      </c>
      <c r="F401" s="46">
        <v>130</v>
      </c>
      <c r="G401" s="47">
        <f t="shared" si="18"/>
        <v>30</v>
      </c>
      <c r="I401">
        <f t="shared" ref="I401:I404" si="25">+E401*1.1</f>
        <v>132</v>
      </c>
      <c r="K401">
        <f t="shared" ref="K401:K404" si="26">IF(F401=0,1,0)</f>
        <v>0</v>
      </c>
      <c r="L401" s="24">
        <f t="shared" ref="L401:L404" si="27">+D401*E401</f>
        <v>360</v>
      </c>
    </row>
    <row r="402" spans="2:12" hidden="1" x14ac:dyDescent="0.3">
      <c r="B402" s="44">
        <v>45671</v>
      </c>
      <c r="C402" t="s">
        <v>83</v>
      </c>
      <c r="D402" s="3">
        <v>5</v>
      </c>
      <c r="E402" s="45">
        <v>115</v>
      </c>
      <c r="F402" s="46">
        <v>130</v>
      </c>
      <c r="G402" s="47">
        <f t="shared" si="18"/>
        <v>75</v>
      </c>
      <c r="I402">
        <f t="shared" si="25"/>
        <v>126.50000000000001</v>
      </c>
      <c r="K402">
        <f t="shared" si="26"/>
        <v>0</v>
      </c>
      <c r="L402" s="24">
        <f t="shared" si="27"/>
        <v>575</v>
      </c>
    </row>
    <row r="403" spans="2:12" x14ac:dyDescent="0.3">
      <c r="B403" s="44">
        <v>45608</v>
      </c>
      <c r="C403" t="s">
        <v>10</v>
      </c>
      <c r="D403" s="3">
        <v>25</v>
      </c>
      <c r="E403" s="45">
        <v>55.55</v>
      </c>
      <c r="G403" s="47" t="str">
        <f t="shared" si="18"/>
        <v/>
      </c>
      <c r="I403">
        <f t="shared" si="25"/>
        <v>61.105000000000004</v>
      </c>
      <c r="K403">
        <f t="shared" si="26"/>
        <v>1</v>
      </c>
      <c r="L403" s="24">
        <f t="shared" si="27"/>
        <v>1388.75</v>
      </c>
    </row>
    <row r="404" spans="2:12" x14ac:dyDescent="0.3">
      <c r="B404" s="44">
        <v>45636</v>
      </c>
      <c r="C404" t="s">
        <v>10</v>
      </c>
      <c r="D404" s="3">
        <v>25</v>
      </c>
      <c r="E404" s="45">
        <v>53.9</v>
      </c>
      <c r="G404" s="47" t="str">
        <f t="shared" si="18"/>
        <v/>
      </c>
      <c r="I404">
        <f t="shared" si="25"/>
        <v>59.290000000000006</v>
      </c>
      <c r="K404">
        <f t="shared" si="26"/>
        <v>1</v>
      </c>
      <c r="L404" s="24">
        <f t="shared" si="27"/>
        <v>1347.5</v>
      </c>
    </row>
    <row r="405" spans="2:12" hidden="1" x14ac:dyDescent="0.3">
      <c r="B405" s="44">
        <v>45614</v>
      </c>
      <c r="C405" t="s">
        <v>128</v>
      </c>
      <c r="D405" s="3">
        <v>90</v>
      </c>
      <c r="E405" s="45">
        <v>17.8</v>
      </c>
      <c r="F405" s="46">
        <v>17.670000000000002</v>
      </c>
      <c r="G405" s="47">
        <f t="shared" si="18"/>
        <v>-11.69999999999991</v>
      </c>
    </row>
    <row r="406" spans="2:12" hidden="1" x14ac:dyDescent="0.3">
      <c r="B406" s="44">
        <v>45572</v>
      </c>
      <c r="C406" t="s">
        <v>301</v>
      </c>
      <c r="D406" s="3">
        <v>10</v>
      </c>
      <c r="E406" s="45">
        <v>36</v>
      </c>
      <c r="F406" s="46">
        <v>42.14</v>
      </c>
      <c r="G406" s="47">
        <f t="shared" si="18"/>
        <v>61.400000000000006</v>
      </c>
    </row>
    <row r="407" spans="2:12" hidden="1" x14ac:dyDescent="0.3">
      <c r="B407" s="44">
        <v>45617</v>
      </c>
      <c r="C407" t="s">
        <v>26</v>
      </c>
      <c r="D407" s="3">
        <v>19</v>
      </c>
      <c r="E407" s="45">
        <v>79</v>
      </c>
      <c r="F407" s="46">
        <v>82</v>
      </c>
      <c r="G407" s="47">
        <f t="shared" si="18"/>
        <v>57</v>
      </c>
    </row>
    <row r="408" spans="2:12" hidden="1" x14ac:dyDescent="0.3">
      <c r="B408" s="44">
        <v>45616</v>
      </c>
      <c r="C408" t="s">
        <v>14</v>
      </c>
      <c r="D408" s="3">
        <v>12</v>
      </c>
      <c r="E408" s="45">
        <v>119.5</v>
      </c>
      <c r="F408" s="46">
        <v>125</v>
      </c>
      <c r="G408" s="47">
        <f t="shared" si="18"/>
        <v>66</v>
      </c>
    </row>
    <row r="409" spans="2:12" x14ac:dyDescent="0.3">
      <c r="B409" s="44">
        <v>45645</v>
      </c>
      <c r="C409" t="s">
        <v>10</v>
      </c>
      <c r="D409" s="3">
        <v>35</v>
      </c>
      <c r="E409" s="45">
        <v>53.5</v>
      </c>
      <c r="G409" s="47" t="str">
        <f t="shared" si="18"/>
        <v/>
      </c>
      <c r="I409">
        <f>+E409*1.1</f>
        <v>58.85</v>
      </c>
      <c r="K409">
        <f>IF(F409=0,1,0)</f>
        <v>1</v>
      </c>
      <c r="L409" s="24">
        <f>+D409*E409</f>
        <v>1872.5</v>
      </c>
    </row>
    <row r="410" spans="2:12" hidden="1" x14ac:dyDescent="0.3">
      <c r="B410" s="44">
        <v>45568</v>
      </c>
      <c r="C410" t="s">
        <v>206</v>
      </c>
      <c r="D410" s="3">
        <v>125</v>
      </c>
      <c r="E410" s="45">
        <v>9.9</v>
      </c>
      <c r="F410" s="46">
        <v>11.95</v>
      </c>
      <c r="G410" s="47">
        <f t="shared" si="18"/>
        <v>256.24999999999989</v>
      </c>
    </row>
    <row r="411" spans="2:12" hidden="1" x14ac:dyDescent="0.3">
      <c r="B411" s="44">
        <v>45607</v>
      </c>
      <c r="C411" t="s">
        <v>550</v>
      </c>
      <c r="D411" s="3">
        <v>10</v>
      </c>
      <c r="E411" s="45">
        <v>58.3</v>
      </c>
      <c r="F411" s="46">
        <v>63.65</v>
      </c>
      <c r="G411" s="47">
        <f t="shared" si="18"/>
        <v>53.500000000000014</v>
      </c>
    </row>
    <row r="412" spans="2:12" hidden="1" x14ac:dyDescent="0.3">
      <c r="B412" s="44">
        <v>45618</v>
      </c>
      <c r="C412" t="s">
        <v>456</v>
      </c>
      <c r="D412" s="3">
        <v>300</v>
      </c>
      <c r="E412" s="45">
        <v>5.25</v>
      </c>
      <c r="F412" s="46">
        <v>5.35</v>
      </c>
      <c r="G412" s="47">
        <f t="shared" si="18"/>
        <v>29.999999999999893</v>
      </c>
    </row>
    <row r="413" spans="2:12" hidden="1" x14ac:dyDescent="0.3">
      <c r="B413" s="44">
        <v>45600</v>
      </c>
      <c r="C413" t="s">
        <v>14</v>
      </c>
      <c r="D413" s="3">
        <v>11</v>
      </c>
      <c r="E413" s="45">
        <v>130</v>
      </c>
      <c r="F413" s="46">
        <v>131.30000000000001</v>
      </c>
      <c r="G413" s="47">
        <f t="shared" si="18"/>
        <v>14.300000000000125</v>
      </c>
    </row>
    <row r="414" spans="2:12" hidden="1" x14ac:dyDescent="0.3">
      <c r="B414" s="44">
        <v>45632</v>
      </c>
      <c r="C414" t="s">
        <v>128</v>
      </c>
      <c r="D414" s="3">
        <v>50</v>
      </c>
      <c r="E414" s="45">
        <v>18.3</v>
      </c>
      <c r="F414" s="46">
        <v>19.52</v>
      </c>
      <c r="G414" s="47">
        <f t="shared" si="18"/>
        <v>60.999999999999943</v>
      </c>
      <c r="I414">
        <f>+E414*1.1</f>
        <v>20.130000000000003</v>
      </c>
      <c r="K414">
        <f>IF(F414=0,1,0)</f>
        <v>0</v>
      </c>
      <c r="L414" s="24">
        <f>+D414*E414</f>
        <v>915</v>
      </c>
    </row>
    <row r="415" spans="2:12" hidden="1" x14ac:dyDescent="0.3">
      <c r="B415" s="44">
        <v>45607</v>
      </c>
      <c r="C415" t="s">
        <v>550</v>
      </c>
      <c r="D415" s="3">
        <v>25</v>
      </c>
      <c r="E415" s="45">
        <v>58.3</v>
      </c>
      <c r="F415" s="46">
        <v>60.6</v>
      </c>
      <c r="G415" s="47">
        <f t="shared" si="18"/>
        <v>57.500000000000107</v>
      </c>
    </row>
    <row r="416" spans="2:12" hidden="1" x14ac:dyDescent="0.3">
      <c r="B416" s="44">
        <v>45638</v>
      </c>
      <c r="C416" t="s">
        <v>165</v>
      </c>
      <c r="D416" s="3">
        <v>40</v>
      </c>
      <c r="E416" s="45">
        <v>30</v>
      </c>
      <c r="F416" s="46">
        <v>33.9</v>
      </c>
      <c r="G416" s="47">
        <f t="shared" si="18"/>
        <v>155.99999999999994</v>
      </c>
    </row>
    <row r="417" spans="2:12" hidden="1" x14ac:dyDescent="0.3">
      <c r="B417" s="44">
        <v>45636</v>
      </c>
      <c r="C417" t="s">
        <v>128</v>
      </c>
      <c r="D417" s="3">
        <v>80</v>
      </c>
      <c r="E417" s="45">
        <v>18</v>
      </c>
      <c r="F417" s="46">
        <v>19.2</v>
      </c>
      <c r="G417" s="47">
        <f t="shared" si="18"/>
        <v>95.999999999999943</v>
      </c>
      <c r="I417">
        <f>+E417*1.1</f>
        <v>19.8</v>
      </c>
      <c r="K417">
        <f>IF(F417=0,1,0)</f>
        <v>0</v>
      </c>
      <c r="L417" s="24">
        <f>+D417*E417</f>
        <v>1440</v>
      </c>
    </row>
    <row r="418" spans="2:12" hidden="1" x14ac:dyDescent="0.3">
      <c r="B418" s="44">
        <v>45575</v>
      </c>
      <c r="C418" t="s">
        <v>550</v>
      </c>
      <c r="D418" s="3">
        <v>15</v>
      </c>
      <c r="E418" s="45">
        <v>59.5</v>
      </c>
      <c r="F418" s="46">
        <v>63.65</v>
      </c>
      <c r="G418" s="47">
        <f t="shared" si="18"/>
        <v>62.249999999999979</v>
      </c>
    </row>
    <row r="419" spans="2:12" hidden="1" x14ac:dyDescent="0.3">
      <c r="B419" s="44">
        <v>45616</v>
      </c>
      <c r="C419" t="s">
        <v>456</v>
      </c>
      <c r="D419" s="3">
        <v>275</v>
      </c>
      <c r="E419" s="45">
        <v>5.25</v>
      </c>
      <c r="F419" s="46">
        <v>5.62</v>
      </c>
      <c r="G419" s="47">
        <f t="shared" si="18"/>
        <v>101.75000000000003</v>
      </c>
    </row>
    <row r="420" spans="2:12" hidden="1" x14ac:dyDescent="0.3">
      <c r="B420" s="44">
        <v>45649</v>
      </c>
      <c r="C420" t="s">
        <v>132</v>
      </c>
      <c r="D420" s="3">
        <v>1</v>
      </c>
      <c r="E420" s="45">
        <v>680</v>
      </c>
      <c r="F420" s="46">
        <v>700</v>
      </c>
      <c r="G420" s="47">
        <f t="shared" si="18"/>
        <v>20</v>
      </c>
      <c r="I420">
        <f>+E420*1.1</f>
        <v>748.00000000000011</v>
      </c>
    </row>
    <row r="421" spans="2:12" hidden="1" x14ac:dyDescent="0.3">
      <c r="B421" s="44">
        <v>45623</v>
      </c>
      <c r="C421" t="s">
        <v>379</v>
      </c>
      <c r="D421" s="3">
        <v>30</v>
      </c>
      <c r="E421" s="45">
        <v>52</v>
      </c>
      <c r="F421" s="46">
        <v>55</v>
      </c>
      <c r="G421" s="47">
        <f t="shared" si="18"/>
        <v>90</v>
      </c>
    </row>
    <row r="422" spans="2:12" hidden="1" x14ac:dyDescent="0.3">
      <c r="B422" s="44">
        <v>45623</v>
      </c>
      <c r="C422" t="s">
        <v>379</v>
      </c>
      <c r="D422" s="3">
        <v>10</v>
      </c>
      <c r="E422" s="45">
        <v>52</v>
      </c>
      <c r="F422" s="46">
        <v>57</v>
      </c>
      <c r="G422" s="47">
        <f t="shared" si="18"/>
        <v>50</v>
      </c>
    </row>
    <row r="423" spans="2:12" hidden="1" x14ac:dyDescent="0.3">
      <c r="B423" s="44">
        <v>45622</v>
      </c>
      <c r="C423" t="s">
        <v>379</v>
      </c>
      <c r="D423" s="3">
        <v>17</v>
      </c>
      <c r="E423" s="45">
        <v>54</v>
      </c>
      <c r="F423" s="46">
        <v>57</v>
      </c>
      <c r="G423" s="47">
        <f t="shared" si="18"/>
        <v>51</v>
      </c>
    </row>
    <row r="424" spans="2:12" hidden="1" x14ac:dyDescent="0.3">
      <c r="B424" s="44">
        <v>45560</v>
      </c>
      <c r="C424" t="s">
        <v>53</v>
      </c>
      <c r="D424" s="3">
        <v>400</v>
      </c>
      <c r="E424" s="45">
        <v>6.9</v>
      </c>
      <c r="F424" s="46">
        <v>7.46</v>
      </c>
      <c r="G424" s="47">
        <f t="shared" si="18"/>
        <v>223.99999999999983</v>
      </c>
    </row>
    <row r="425" spans="2:12" hidden="1" x14ac:dyDescent="0.3">
      <c r="B425" s="44">
        <v>45566</v>
      </c>
      <c r="C425" t="s">
        <v>53</v>
      </c>
      <c r="D425" s="3">
        <v>100</v>
      </c>
      <c r="E425" s="45">
        <v>6.7</v>
      </c>
      <c r="F425" s="46">
        <v>7.46</v>
      </c>
      <c r="G425" s="47">
        <f t="shared" si="18"/>
        <v>75.999999999999972</v>
      </c>
    </row>
    <row r="426" spans="2:12" hidden="1" x14ac:dyDescent="0.3">
      <c r="B426" s="44">
        <v>45637</v>
      </c>
      <c r="C426" t="s">
        <v>132</v>
      </c>
      <c r="D426" s="3">
        <v>1</v>
      </c>
      <c r="E426" s="45">
        <v>690</v>
      </c>
      <c r="F426" s="46">
        <v>725</v>
      </c>
      <c r="G426" s="47">
        <f t="shared" si="18"/>
        <v>35</v>
      </c>
      <c r="I426">
        <f>+E426*1.1</f>
        <v>759.00000000000011</v>
      </c>
      <c r="K426">
        <f>IF(F426=0,1,0)</f>
        <v>0</v>
      </c>
      <c r="L426" s="24">
        <f>+D426*E426</f>
        <v>690</v>
      </c>
    </row>
    <row r="427" spans="2:12" hidden="1" x14ac:dyDescent="0.3">
      <c r="B427" s="44">
        <v>45572</v>
      </c>
      <c r="C427" t="s">
        <v>220</v>
      </c>
      <c r="D427" s="3">
        <v>20</v>
      </c>
      <c r="E427" s="45">
        <v>25</v>
      </c>
      <c r="F427" s="46">
        <v>25</v>
      </c>
      <c r="G427" s="47">
        <f t="shared" si="18"/>
        <v>0</v>
      </c>
    </row>
    <row r="428" spans="2:12" hidden="1" x14ac:dyDescent="0.3">
      <c r="B428" s="44">
        <v>45590</v>
      </c>
      <c r="C428" t="s">
        <v>14</v>
      </c>
      <c r="D428" s="3">
        <v>9</v>
      </c>
      <c r="E428" s="45">
        <v>135.9</v>
      </c>
      <c r="F428" s="46">
        <v>129</v>
      </c>
      <c r="G428" s="47">
        <f t="shared" si="18"/>
        <v>-62.100000000000051</v>
      </c>
    </row>
    <row r="429" spans="2:12" hidden="1" x14ac:dyDescent="0.3">
      <c r="B429" s="44">
        <v>45575</v>
      </c>
      <c r="C429" t="s">
        <v>423</v>
      </c>
      <c r="D429" s="3">
        <v>100</v>
      </c>
      <c r="E429" s="45">
        <v>7.7</v>
      </c>
      <c r="F429" s="46">
        <v>8.1</v>
      </c>
      <c r="G429" s="47">
        <f t="shared" si="18"/>
        <v>39.999999999999943</v>
      </c>
    </row>
    <row r="430" spans="2:12" hidden="1" x14ac:dyDescent="0.3">
      <c r="B430" s="44">
        <v>45583</v>
      </c>
      <c r="C430" t="s">
        <v>546</v>
      </c>
      <c r="D430" s="3">
        <v>50</v>
      </c>
      <c r="E430" s="45">
        <v>26.8</v>
      </c>
      <c r="F430" s="46">
        <v>28.06</v>
      </c>
      <c r="G430" s="47">
        <f t="shared" si="18"/>
        <v>62.999999999999901</v>
      </c>
    </row>
    <row r="431" spans="2:12" hidden="1" x14ac:dyDescent="0.3">
      <c r="B431" s="44">
        <v>45645</v>
      </c>
      <c r="C431" t="s">
        <v>128</v>
      </c>
      <c r="D431" s="3">
        <v>50</v>
      </c>
      <c r="E431" s="45">
        <v>17.5</v>
      </c>
      <c r="F431" s="46">
        <v>19.52</v>
      </c>
      <c r="G431" s="47">
        <f t="shared" si="18"/>
        <v>100.99999999999997</v>
      </c>
      <c r="I431">
        <f>+E431*1.1</f>
        <v>19.25</v>
      </c>
      <c r="K431">
        <f>IF(F431=0,1,0)</f>
        <v>0</v>
      </c>
      <c r="L431" s="24">
        <f>+D431*E431</f>
        <v>875</v>
      </c>
    </row>
    <row r="432" spans="2:12" hidden="1" x14ac:dyDescent="0.3">
      <c r="B432" s="44">
        <v>45622</v>
      </c>
      <c r="C432" t="s">
        <v>379</v>
      </c>
      <c r="D432" s="3">
        <v>18</v>
      </c>
      <c r="E432" s="45">
        <v>54</v>
      </c>
      <c r="F432" s="46">
        <v>56.2</v>
      </c>
      <c r="G432" s="47">
        <f t="shared" si="18"/>
        <v>39.600000000000051</v>
      </c>
    </row>
    <row r="433" spans="2:12" x14ac:dyDescent="0.3">
      <c r="B433" s="44">
        <v>45659</v>
      </c>
      <c r="C433" t="s">
        <v>10</v>
      </c>
      <c r="D433" s="3">
        <v>10</v>
      </c>
      <c r="E433" s="45">
        <v>54.8</v>
      </c>
      <c r="G433" s="47" t="str">
        <f t="shared" si="18"/>
        <v/>
      </c>
      <c r="I433">
        <f t="shared" ref="I433:I435" si="28">+E433*1.1</f>
        <v>60.28</v>
      </c>
      <c r="K433">
        <f t="shared" ref="K433:K435" si="29">IF(F433=0,1,0)</f>
        <v>1</v>
      </c>
      <c r="L433" s="24">
        <f t="shared" ref="L433:L435" si="30">+D433*E433</f>
        <v>548</v>
      </c>
    </row>
    <row r="434" spans="2:12" x14ac:dyDescent="0.3">
      <c r="B434" s="44">
        <v>45667</v>
      </c>
      <c r="C434" t="s">
        <v>10</v>
      </c>
      <c r="D434" s="3">
        <v>20</v>
      </c>
      <c r="E434" s="45">
        <v>53</v>
      </c>
      <c r="G434" s="47" t="str">
        <f t="shared" si="18"/>
        <v/>
      </c>
      <c r="I434">
        <f t="shared" si="28"/>
        <v>58.300000000000004</v>
      </c>
      <c r="K434">
        <f t="shared" si="29"/>
        <v>1</v>
      </c>
      <c r="L434" s="24">
        <f t="shared" si="30"/>
        <v>1060</v>
      </c>
    </row>
    <row r="435" spans="2:12" x14ac:dyDescent="0.3">
      <c r="B435" s="44">
        <v>45670</v>
      </c>
      <c r="C435" t="s">
        <v>10</v>
      </c>
      <c r="D435" s="3">
        <v>10</v>
      </c>
      <c r="E435" s="45">
        <v>52</v>
      </c>
      <c r="G435" s="47" t="str">
        <f t="shared" si="18"/>
        <v/>
      </c>
      <c r="I435">
        <f t="shared" si="28"/>
        <v>57.2</v>
      </c>
      <c r="K435">
        <f t="shared" si="29"/>
        <v>1</v>
      </c>
      <c r="L435" s="24">
        <f t="shared" si="30"/>
        <v>520</v>
      </c>
    </row>
    <row r="436" spans="2:12" hidden="1" x14ac:dyDescent="0.3">
      <c r="B436" s="44">
        <v>45575</v>
      </c>
      <c r="C436" t="s">
        <v>550</v>
      </c>
      <c r="D436" s="3">
        <v>20</v>
      </c>
      <c r="E436" s="45">
        <v>59.5</v>
      </c>
      <c r="F436" s="46">
        <v>63.8</v>
      </c>
      <c r="G436" s="47">
        <f t="shared" si="18"/>
        <v>85.999999999999943</v>
      </c>
    </row>
    <row r="437" spans="2:12" hidden="1" x14ac:dyDescent="0.3">
      <c r="B437" s="44">
        <v>45569</v>
      </c>
      <c r="C437" t="s">
        <v>423</v>
      </c>
      <c r="D437" s="3">
        <v>150</v>
      </c>
      <c r="E437" s="45">
        <v>8.5500000000000007</v>
      </c>
      <c r="F437" s="46">
        <v>8.5</v>
      </c>
      <c r="G437" s="47">
        <f t="shared" si="18"/>
        <v>-7.5000000000001066</v>
      </c>
    </row>
    <row r="438" spans="2:12" hidden="1" x14ac:dyDescent="0.3">
      <c r="B438" s="44">
        <v>45615</v>
      </c>
      <c r="C438" t="s">
        <v>43</v>
      </c>
      <c r="D438" s="3">
        <v>9</v>
      </c>
      <c r="E438" s="45">
        <v>200</v>
      </c>
      <c r="F438" s="46">
        <v>210</v>
      </c>
      <c r="G438" s="47">
        <f t="shared" ref="G438:G501" si="31">IF(E438=0,"",IF(F438="","",(F438-E438)*D438))</f>
        <v>90</v>
      </c>
    </row>
    <row r="439" spans="2:12" hidden="1" x14ac:dyDescent="0.3">
      <c r="B439" s="44">
        <v>45637</v>
      </c>
      <c r="C439" t="s">
        <v>13</v>
      </c>
      <c r="D439" s="3">
        <v>40</v>
      </c>
      <c r="E439" s="45">
        <v>15.7</v>
      </c>
      <c r="F439" s="46">
        <v>16</v>
      </c>
      <c r="G439" s="47">
        <f t="shared" si="31"/>
        <v>12.000000000000028</v>
      </c>
      <c r="I439">
        <f t="shared" ref="I439:I440" si="32">+E439*1.1</f>
        <v>17.27</v>
      </c>
      <c r="K439">
        <f t="shared" ref="K439:K440" si="33">IF(F439=0,1,0)</f>
        <v>0</v>
      </c>
      <c r="L439" s="24">
        <f t="shared" ref="L439:L440" si="34">+D439*E439</f>
        <v>628</v>
      </c>
    </row>
    <row r="440" spans="2:12" x14ac:dyDescent="0.3">
      <c r="B440" s="44">
        <v>45670</v>
      </c>
      <c r="C440" t="s">
        <v>10</v>
      </c>
      <c r="D440" s="3">
        <v>10</v>
      </c>
      <c r="E440" s="45">
        <v>51</v>
      </c>
      <c r="G440" s="47" t="str">
        <f t="shared" si="31"/>
        <v/>
      </c>
      <c r="I440">
        <f t="shared" si="32"/>
        <v>56.1</v>
      </c>
      <c r="K440">
        <f t="shared" si="33"/>
        <v>1</v>
      </c>
      <c r="L440" s="24">
        <f t="shared" si="34"/>
        <v>510</v>
      </c>
    </row>
    <row r="441" spans="2:12" hidden="1" x14ac:dyDescent="0.3">
      <c r="B441" s="44">
        <v>45569</v>
      </c>
      <c r="C441" t="s">
        <v>301</v>
      </c>
      <c r="D441" s="3">
        <v>40</v>
      </c>
      <c r="E441" s="45">
        <v>35.5</v>
      </c>
      <c r="F441" s="46">
        <v>37.799999999999997</v>
      </c>
      <c r="G441" s="47">
        <f t="shared" si="31"/>
        <v>91.999999999999886</v>
      </c>
    </row>
    <row r="442" spans="2:12" hidden="1" x14ac:dyDescent="0.3">
      <c r="B442" s="44">
        <v>45572</v>
      </c>
      <c r="C442" t="s">
        <v>301</v>
      </c>
      <c r="D442" s="3">
        <v>10</v>
      </c>
      <c r="E442" s="45">
        <v>36</v>
      </c>
      <c r="F442" s="46">
        <v>38.04</v>
      </c>
      <c r="G442" s="47">
        <f t="shared" si="31"/>
        <v>20.399999999999991</v>
      </c>
    </row>
    <row r="443" spans="2:12" hidden="1" x14ac:dyDescent="0.3">
      <c r="B443" s="44">
        <v>45645</v>
      </c>
      <c r="C443" t="s">
        <v>13</v>
      </c>
      <c r="D443" s="3">
        <v>20</v>
      </c>
      <c r="E443" s="45">
        <v>15.3</v>
      </c>
      <c r="F443" s="46">
        <v>16</v>
      </c>
      <c r="G443" s="47">
        <f t="shared" si="31"/>
        <v>13.999999999999986</v>
      </c>
      <c r="I443">
        <f t="shared" ref="I443:I446" si="35">+E443*1.1</f>
        <v>16.830000000000002</v>
      </c>
      <c r="K443">
        <f t="shared" ref="K443:K446" si="36">IF(F443=0,1,0)</f>
        <v>0</v>
      </c>
      <c r="L443" s="24">
        <f t="shared" ref="L443:L446" si="37">+D443*E443</f>
        <v>306</v>
      </c>
    </row>
    <row r="444" spans="2:12" x14ac:dyDescent="0.3">
      <c r="B444" s="44">
        <v>45663</v>
      </c>
      <c r="C444" t="s">
        <v>101</v>
      </c>
      <c r="D444" s="3">
        <v>2</v>
      </c>
      <c r="E444" s="45">
        <v>75</v>
      </c>
      <c r="G444" s="47" t="str">
        <f t="shared" si="31"/>
        <v/>
      </c>
      <c r="I444">
        <f t="shared" si="35"/>
        <v>82.5</v>
      </c>
      <c r="K444">
        <f t="shared" si="36"/>
        <v>1</v>
      </c>
      <c r="L444" s="24">
        <f t="shared" si="37"/>
        <v>150</v>
      </c>
    </row>
    <row r="445" spans="2:12" x14ac:dyDescent="0.3">
      <c r="B445" s="44">
        <v>45664</v>
      </c>
      <c r="C445" t="s">
        <v>12</v>
      </c>
      <c r="D445" s="3">
        <v>5</v>
      </c>
      <c r="E445" s="45">
        <v>120</v>
      </c>
      <c r="G445" s="47" t="str">
        <f t="shared" si="31"/>
        <v/>
      </c>
      <c r="I445">
        <f t="shared" si="35"/>
        <v>132</v>
      </c>
      <c r="K445">
        <f t="shared" si="36"/>
        <v>1</v>
      </c>
      <c r="L445" s="24">
        <f t="shared" si="37"/>
        <v>600</v>
      </c>
    </row>
    <row r="446" spans="2:12" x14ac:dyDescent="0.3">
      <c r="B446" s="44">
        <v>45547</v>
      </c>
      <c r="C446" t="s">
        <v>128</v>
      </c>
      <c r="D446" s="3">
        <v>55</v>
      </c>
      <c r="E446" s="45">
        <v>26.92</v>
      </c>
      <c r="G446" s="47" t="str">
        <f t="shared" si="31"/>
        <v/>
      </c>
      <c r="I446">
        <f t="shared" si="35"/>
        <v>29.612000000000005</v>
      </c>
      <c r="K446">
        <f t="shared" si="36"/>
        <v>1</v>
      </c>
      <c r="L446" s="24">
        <f t="shared" si="37"/>
        <v>1480.6000000000001</v>
      </c>
    </row>
    <row r="447" spans="2:12" hidden="1" x14ac:dyDescent="0.3">
      <c r="B447" s="44">
        <v>45616</v>
      </c>
      <c r="C447" t="s">
        <v>10</v>
      </c>
      <c r="D447" s="3">
        <v>30</v>
      </c>
      <c r="E447" s="45">
        <v>49</v>
      </c>
      <c r="F447" s="46">
        <v>52</v>
      </c>
      <c r="G447" s="47">
        <f t="shared" si="31"/>
        <v>90</v>
      </c>
    </row>
    <row r="448" spans="2:12" x14ac:dyDescent="0.3">
      <c r="B448" s="44">
        <v>45547</v>
      </c>
      <c r="C448" t="s">
        <v>128</v>
      </c>
      <c r="D448" s="3">
        <v>60</v>
      </c>
      <c r="E448" s="45">
        <v>27.5</v>
      </c>
      <c r="G448" s="47" t="str">
        <f t="shared" si="31"/>
        <v/>
      </c>
      <c r="I448">
        <f t="shared" ref="I448:I451" si="38">+E448*1.1</f>
        <v>30.250000000000004</v>
      </c>
      <c r="K448">
        <f t="shared" ref="K448:K451" si="39">IF(F448=0,1,0)</f>
        <v>1</v>
      </c>
      <c r="L448" s="24">
        <f t="shared" ref="L448:L451" si="40">+D448*E448</f>
        <v>1650</v>
      </c>
    </row>
    <row r="449" spans="2:12" x14ac:dyDescent="0.3">
      <c r="B449" s="44">
        <v>45548</v>
      </c>
      <c r="C449" t="s">
        <v>128</v>
      </c>
      <c r="D449" s="3">
        <v>135</v>
      </c>
      <c r="E449" s="45">
        <v>24.24</v>
      </c>
      <c r="G449" s="47" t="str">
        <f t="shared" si="31"/>
        <v/>
      </c>
      <c r="I449">
        <f t="shared" si="38"/>
        <v>26.664000000000001</v>
      </c>
      <c r="K449">
        <f t="shared" si="39"/>
        <v>1</v>
      </c>
      <c r="L449" s="24">
        <f t="shared" si="40"/>
        <v>3272.3999999999996</v>
      </c>
    </row>
    <row r="450" spans="2:12" x14ac:dyDescent="0.3">
      <c r="B450" s="44">
        <v>45551</v>
      </c>
      <c r="C450" t="s">
        <v>128</v>
      </c>
      <c r="D450" s="3">
        <v>100</v>
      </c>
      <c r="E450" s="45">
        <v>23</v>
      </c>
      <c r="G450" s="47" t="str">
        <f t="shared" si="31"/>
        <v/>
      </c>
      <c r="I450">
        <f t="shared" si="38"/>
        <v>25.3</v>
      </c>
      <c r="K450">
        <f t="shared" si="39"/>
        <v>1</v>
      </c>
      <c r="L450" s="24">
        <f t="shared" si="40"/>
        <v>2300</v>
      </c>
    </row>
    <row r="451" spans="2:12" x14ac:dyDescent="0.3">
      <c r="B451" s="44">
        <v>45551</v>
      </c>
      <c r="C451" t="s">
        <v>128</v>
      </c>
      <c r="D451" s="3">
        <v>50</v>
      </c>
      <c r="E451" s="45">
        <v>23.2</v>
      </c>
      <c r="G451" s="47" t="str">
        <f t="shared" si="31"/>
        <v/>
      </c>
      <c r="I451">
        <f t="shared" si="38"/>
        <v>25.52</v>
      </c>
      <c r="K451">
        <f t="shared" si="39"/>
        <v>1</v>
      </c>
      <c r="L451" s="24">
        <f t="shared" si="40"/>
        <v>1160</v>
      </c>
    </row>
    <row r="452" spans="2:12" hidden="1" x14ac:dyDescent="0.3">
      <c r="B452" s="44">
        <v>45629</v>
      </c>
      <c r="C452" t="s">
        <v>522</v>
      </c>
      <c r="D452" s="3">
        <v>5</v>
      </c>
      <c r="E452" s="45">
        <v>113.5</v>
      </c>
      <c r="F452" s="46">
        <v>115</v>
      </c>
      <c r="G452" s="47">
        <f t="shared" si="31"/>
        <v>7.5</v>
      </c>
    </row>
    <row r="453" spans="2:12" hidden="1" x14ac:dyDescent="0.3">
      <c r="B453" s="44">
        <v>45609</v>
      </c>
      <c r="C453" t="s">
        <v>10</v>
      </c>
      <c r="D453" s="3">
        <v>10</v>
      </c>
      <c r="E453" s="45">
        <v>53.5</v>
      </c>
      <c r="F453" s="46">
        <v>54</v>
      </c>
      <c r="G453" s="47">
        <f t="shared" si="31"/>
        <v>5</v>
      </c>
    </row>
    <row r="454" spans="2:12" hidden="1" x14ac:dyDescent="0.3">
      <c r="B454" s="44">
        <v>45628</v>
      </c>
      <c r="C454" t="s">
        <v>319</v>
      </c>
      <c r="D454" s="3">
        <v>40</v>
      </c>
      <c r="E454" s="45">
        <v>27</v>
      </c>
      <c r="F454" s="46">
        <v>27.52</v>
      </c>
      <c r="G454" s="47">
        <f t="shared" si="31"/>
        <v>20.799999999999983</v>
      </c>
    </row>
    <row r="455" spans="2:12" hidden="1" x14ac:dyDescent="0.3">
      <c r="B455" s="44">
        <v>45616</v>
      </c>
      <c r="C455" t="s">
        <v>319</v>
      </c>
      <c r="D455" s="3">
        <v>10</v>
      </c>
      <c r="E455" s="45">
        <v>27.1</v>
      </c>
      <c r="F455" s="46">
        <v>27.52</v>
      </c>
      <c r="G455" s="47">
        <f t="shared" si="31"/>
        <v>4.1999999999999815</v>
      </c>
    </row>
    <row r="456" spans="2:12" hidden="1" x14ac:dyDescent="0.3">
      <c r="B456" s="44">
        <v>45624</v>
      </c>
      <c r="C456" t="s">
        <v>165</v>
      </c>
      <c r="D456" s="3">
        <v>10</v>
      </c>
      <c r="E456" s="45">
        <v>28.72</v>
      </c>
      <c r="F456" s="46">
        <v>30</v>
      </c>
      <c r="G456" s="47">
        <f t="shared" si="31"/>
        <v>12.800000000000011</v>
      </c>
    </row>
    <row r="457" spans="2:12" hidden="1" x14ac:dyDescent="0.3">
      <c r="B457" s="44">
        <v>45609</v>
      </c>
      <c r="C457" t="s">
        <v>10</v>
      </c>
      <c r="D457" s="3">
        <v>20</v>
      </c>
      <c r="E457" s="45">
        <v>53.5</v>
      </c>
      <c r="F457" s="46">
        <v>55</v>
      </c>
      <c r="G457" s="47">
        <f t="shared" si="31"/>
        <v>30</v>
      </c>
    </row>
    <row r="458" spans="2:12" x14ac:dyDescent="0.3">
      <c r="B458" s="44">
        <v>45551</v>
      </c>
      <c r="C458" t="s">
        <v>128</v>
      </c>
      <c r="D458" s="3">
        <v>50</v>
      </c>
      <c r="E458" s="45">
        <v>22.8</v>
      </c>
      <c r="G458" s="47" t="str">
        <f t="shared" si="31"/>
        <v/>
      </c>
      <c r="I458">
        <f t="shared" ref="I458:I459" si="41">+E458*1.1</f>
        <v>25.080000000000002</v>
      </c>
      <c r="K458">
        <f t="shared" ref="K458:K459" si="42">IF(F458=0,1,0)</f>
        <v>1</v>
      </c>
      <c r="L458" s="24">
        <f t="shared" ref="L458:L459" si="43">+D458*E458</f>
        <v>1140</v>
      </c>
    </row>
    <row r="459" spans="2:12" x14ac:dyDescent="0.3">
      <c r="B459" s="44">
        <v>45551</v>
      </c>
      <c r="C459" t="s">
        <v>128</v>
      </c>
      <c r="D459" s="3">
        <v>50</v>
      </c>
      <c r="E459" s="45">
        <v>23</v>
      </c>
      <c r="G459" s="47" t="str">
        <f t="shared" si="31"/>
        <v/>
      </c>
      <c r="I459">
        <f t="shared" si="41"/>
        <v>25.3</v>
      </c>
      <c r="K459">
        <f t="shared" si="42"/>
        <v>1</v>
      </c>
      <c r="L459" s="24">
        <f t="shared" si="43"/>
        <v>1150</v>
      </c>
    </row>
    <row r="460" spans="2:12" hidden="1" x14ac:dyDescent="0.3">
      <c r="B460" s="44">
        <v>45636</v>
      </c>
      <c r="C460" t="s">
        <v>319</v>
      </c>
      <c r="D460" s="3">
        <v>40</v>
      </c>
      <c r="E460" s="45">
        <v>29</v>
      </c>
      <c r="F460" s="46">
        <v>29.24</v>
      </c>
      <c r="G460" s="47">
        <f t="shared" si="31"/>
        <v>9.5999999999999375</v>
      </c>
    </row>
    <row r="461" spans="2:12" hidden="1" x14ac:dyDescent="0.3">
      <c r="B461" s="44">
        <v>45572</v>
      </c>
      <c r="C461" t="s">
        <v>206</v>
      </c>
      <c r="D461" s="3">
        <v>75</v>
      </c>
      <c r="E461" s="45">
        <v>10</v>
      </c>
      <c r="F461" s="46">
        <v>12.63</v>
      </c>
      <c r="G461" s="47">
        <f t="shared" si="31"/>
        <v>197.25000000000006</v>
      </c>
    </row>
    <row r="462" spans="2:12" hidden="1" x14ac:dyDescent="0.3">
      <c r="B462" s="44">
        <v>45569</v>
      </c>
      <c r="C462" t="s">
        <v>423</v>
      </c>
      <c r="D462" s="3">
        <v>145</v>
      </c>
      <c r="E462" s="45">
        <v>8.5500000000000007</v>
      </c>
      <c r="F462" s="46">
        <v>8.3000000000000007</v>
      </c>
      <c r="G462" s="47">
        <f t="shared" si="31"/>
        <v>-36.25</v>
      </c>
    </row>
    <row r="463" spans="2:12" hidden="1" x14ac:dyDescent="0.3">
      <c r="B463" s="44">
        <v>45617</v>
      </c>
      <c r="C463" t="s">
        <v>415</v>
      </c>
      <c r="D463" s="3">
        <v>40</v>
      </c>
      <c r="E463" s="45">
        <v>30.78</v>
      </c>
      <c r="F463" s="46">
        <v>33.5</v>
      </c>
      <c r="G463" s="47">
        <f t="shared" si="31"/>
        <v>108.79999999999995</v>
      </c>
    </row>
    <row r="464" spans="2:12" hidden="1" x14ac:dyDescent="0.3">
      <c r="B464" s="44">
        <v>45625</v>
      </c>
      <c r="C464" t="s">
        <v>404</v>
      </c>
      <c r="D464" s="3">
        <v>50</v>
      </c>
      <c r="E464" s="45">
        <v>18.600000000000001</v>
      </c>
      <c r="F464" s="46">
        <v>19.3</v>
      </c>
      <c r="G464" s="47">
        <f t="shared" si="31"/>
        <v>34.999999999999964</v>
      </c>
    </row>
    <row r="465" spans="2:12" hidden="1" x14ac:dyDescent="0.3">
      <c r="B465" s="44">
        <v>45608</v>
      </c>
      <c r="C465" t="s">
        <v>10</v>
      </c>
      <c r="D465" s="3">
        <v>10</v>
      </c>
      <c r="E465" s="45">
        <v>55.55</v>
      </c>
      <c r="F465" s="46">
        <v>56</v>
      </c>
      <c r="G465" s="47">
        <f t="shared" si="31"/>
        <v>4.5000000000000284</v>
      </c>
    </row>
    <row r="466" spans="2:12" hidden="1" x14ac:dyDescent="0.3">
      <c r="B466" s="44">
        <v>45643</v>
      </c>
      <c r="C466" t="s">
        <v>319</v>
      </c>
      <c r="D466" s="3">
        <v>12</v>
      </c>
      <c r="E466" s="45">
        <v>28.8</v>
      </c>
      <c r="F466" s="46">
        <v>29.24</v>
      </c>
      <c r="G466" s="47">
        <f t="shared" si="31"/>
        <v>5.2799999999999727</v>
      </c>
    </row>
    <row r="467" spans="2:12" hidden="1" x14ac:dyDescent="0.3">
      <c r="B467" s="44">
        <v>45572</v>
      </c>
      <c r="C467" t="s">
        <v>550</v>
      </c>
      <c r="D467" s="3">
        <v>20</v>
      </c>
      <c r="E467" s="45">
        <v>61</v>
      </c>
      <c r="F467" s="46">
        <v>65.099999999999994</v>
      </c>
      <c r="G467" s="47">
        <f t="shared" si="31"/>
        <v>81.999999999999886</v>
      </c>
    </row>
    <row r="468" spans="2:12" hidden="1" x14ac:dyDescent="0.3">
      <c r="B468" s="44">
        <v>45583</v>
      </c>
      <c r="C468" t="s">
        <v>546</v>
      </c>
      <c r="D468" s="3">
        <v>50</v>
      </c>
      <c r="E468" s="45">
        <v>26.8</v>
      </c>
      <c r="F468" s="46">
        <v>26.14</v>
      </c>
      <c r="G468" s="47">
        <f t="shared" si="31"/>
        <v>-33.000000000000007</v>
      </c>
    </row>
    <row r="469" spans="2:12" x14ac:dyDescent="0.3">
      <c r="B469" s="44">
        <v>45552</v>
      </c>
      <c r="C469" t="s">
        <v>128</v>
      </c>
      <c r="D469" s="3">
        <v>50</v>
      </c>
      <c r="E469" s="45">
        <v>23</v>
      </c>
      <c r="G469" s="47" t="str">
        <f t="shared" si="31"/>
        <v/>
      </c>
      <c r="I469">
        <f t="shared" ref="I469:I471" si="44">+E469*1.1</f>
        <v>25.3</v>
      </c>
      <c r="K469">
        <f t="shared" ref="K469:K471" si="45">IF(F469=0,1,0)</f>
        <v>1</v>
      </c>
      <c r="L469" s="24">
        <f t="shared" ref="L469:L471" si="46">+D469*E469</f>
        <v>1150</v>
      </c>
    </row>
    <row r="470" spans="2:12" x14ac:dyDescent="0.3">
      <c r="B470" s="44">
        <v>45665</v>
      </c>
      <c r="C470" t="s">
        <v>128</v>
      </c>
      <c r="D470" s="3">
        <v>10</v>
      </c>
      <c r="E470" s="45">
        <v>20</v>
      </c>
      <c r="G470" s="47" t="str">
        <f t="shared" si="31"/>
        <v/>
      </c>
      <c r="I470">
        <f t="shared" si="44"/>
        <v>22</v>
      </c>
      <c r="K470">
        <f t="shared" si="45"/>
        <v>1</v>
      </c>
      <c r="L470" s="24">
        <f t="shared" si="46"/>
        <v>200</v>
      </c>
    </row>
    <row r="471" spans="2:12" x14ac:dyDescent="0.3">
      <c r="B471" s="44">
        <v>45666</v>
      </c>
      <c r="C471" t="s">
        <v>128</v>
      </c>
      <c r="D471" s="3">
        <v>70</v>
      </c>
      <c r="E471" s="45">
        <v>19</v>
      </c>
      <c r="G471" s="47" t="str">
        <f t="shared" si="31"/>
        <v/>
      </c>
      <c r="I471">
        <f t="shared" si="44"/>
        <v>20.900000000000002</v>
      </c>
      <c r="K471">
        <f t="shared" si="45"/>
        <v>1</v>
      </c>
      <c r="L471" s="24">
        <f t="shared" si="46"/>
        <v>1330</v>
      </c>
    </row>
    <row r="472" spans="2:12" hidden="1" x14ac:dyDescent="0.3">
      <c r="B472" s="44">
        <v>45629</v>
      </c>
      <c r="C472" t="s">
        <v>550</v>
      </c>
      <c r="D472" s="3">
        <v>20</v>
      </c>
      <c r="E472" s="45">
        <v>62</v>
      </c>
      <c r="F472" s="46">
        <v>71.400000000000006</v>
      </c>
      <c r="G472" s="47">
        <f t="shared" si="31"/>
        <v>188.00000000000011</v>
      </c>
    </row>
    <row r="473" spans="2:12" hidden="1" x14ac:dyDescent="0.3">
      <c r="B473" s="44">
        <v>45576</v>
      </c>
      <c r="C473" t="s">
        <v>529</v>
      </c>
      <c r="D473" s="3">
        <v>45</v>
      </c>
      <c r="E473" s="45">
        <v>46</v>
      </c>
      <c r="F473" s="46">
        <v>47</v>
      </c>
      <c r="G473" s="47">
        <f t="shared" si="31"/>
        <v>45</v>
      </c>
    </row>
    <row r="474" spans="2:12" x14ac:dyDescent="0.3">
      <c r="B474" s="44">
        <v>45666</v>
      </c>
      <c r="C474" t="s">
        <v>128</v>
      </c>
      <c r="D474" s="3">
        <v>70</v>
      </c>
      <c r="E474" s="45">
        <v>18.649999999999999</v>
      </c>
      <c r="G474" s="47" t="str">
        <f t="shared" si="31"/>
        <v/>
      </c>
      <c r="I474">
        <f>+E474*1.1</f>
        <v>20.515000000000001</v>
      </c>
      <c r="K474">
        <f>IF(F474=0,1,0)</f>
        <v>1</v>
      </c>
      <c r="L474" s="24">
        <f>+D474*E474</f>
        <v>1305.5</v>
      </c>
    </row>
    <row r="475" spans="2:12" hidden="1" x14ac:dyDescent="0.3">
      <c r="B475" s="44">
        <v>45616</v>
      </c>
      <c r="C475" t="s">
        <v>319</v>
      </c>
      <c r="D475" s="3">
        <v>55</v>
      </c>
      <c r="E475" s="45">
        <v>27.1</v>
      </c>
      <c r="F475" s="46">
        <v>27.8</v>
      </c>
      <c r="G475" s="47">
        <f t="shared" si="31"/>
        <v>38.499999999999957</v>
      </c>
    </row>
    <row r="476" spans="2:12" hidden="1" x14ac:dyDescent="0.3">
      <c r="B476" s="44">
        <v>45572</v>
      </c>
      <c r="C476" t="s">
        <v>301</v>
      </c>
      <c r="D476" s="3">
        <v>40</v>
      </c>
      <c r="E476" s="45">
        <v>36</v>
      </c>
      <c r="F476" s="46">
        <v>41.38</v>
      </c>
      <c r="G476" s="47">
        <f t="shared" si="31"/>
        <v>215.2000000000001</v>
      </c>
    </row>
    <row r="477" spans="2:12" hidden="1" x14ac:dyDescent="0.3">
      <c r="B477" s="44">
        <v>45615</v>
      </c>
      <c r="C477" t="s">
        <v>520</v>
      </c>
      <c r="D477" s="3">
        <v>15</v>
      </c>
      <c r="E477" s="45">
        <v>94.5</v>
      </c>
      <c r="F477" s="46">
        <v>104</v>
      </c>
      <c r="G477" s="47">
        <f t="shared" si="31"/>
        <v>142.5</v>
      </c>
    </row>
    <row r="478" spans="2:12" hidden="1" x14ac:dyDescent="0.3">
      <c r="B478" s="44">
        <v>45601</v>
      </c>
      <c r="C478" t="s">
        <v>13</v>
      </c>
      <c r="D478" s="3">
        <v>35</v>
      </c>
      <c r="E478" s="45">
        <v>16.02</v>
      </c>
      <c r="F478" s="46">
        <v>16.3</v>
      </c>
      <c r="G478" s="47">
        <f t="shared" si="31"/>
        <v>9.8000000000000398</v>
      </c>
    </row>
    <row r="479" spans="2:12" hidden="1" x14ac:dyDescent="0.3">
      <c r="B479" s="44">
        <v>45628</v>
      </c>
      <c r="C479" t="s">
        <v>12</v>
      </c>
      <c r="D479" s="3">
        <v>4</v>
      </c>
      <c r="E479" s="45">
        <v>94</v>
      </c>
      <c r="F479" s="46">
        <v>100</v>
      </c>
      <c r="G479" s="47">
        <f t="shared" si="31"/>
        <v>24</v>
      </c>
    </row>
    <row r="480" spans="2:12" hidden="1" x14ac:dyDescent="0.3">
      <c r="B480" s="44">
        <v>45666</v>
      </c>
      <c r="C480" t="s">
        <v>128</v>
      </c>
      <c r="D480" s="3">
        <v>15</v>
      </c>
      <c r="E480" s="45">
        <v>18.5</v>
      </c>
      <c r="F480" s="46">
        <v>21.5</v>
      </c>
      <c r="G480" s="47">
        <f t="shared" si="31"/>
        <v>45</v>
      </c>
      <c r="I480">
        <f t="shared" ref="I480:I481" si="47">+E480*1.1</f>
        <v>20.350000000000001</v>
      </c>
      <c r="K480">
        <f t="shared" ref="K480:K481" si="48">IF(F480=0,1,0)</f>
        <v>0</v>
      </c>
      <c r="L480" s="24">
        <f t="shared" ref="L480:L481" si="49">+D480*E480</f>
        <v>277.5</v>
      </c>
    </row>
    <row r="481" spans="2:12" hidden="1" x14ac:dyDescent="0.3">
      <c r="B481" s="44">
        <v>45628</v>
      </c>
      <c r="C481" t="s">
        <v>181</v>
      </c>
      <c r="D481" s="3">
        <v>40</v>
      </c>
      <c r="E481" s="45">
        <v>20.5</v>
      </c>
      <c r="F481" s="46">
        <v>22</v>
      </c>
      <c r="G481" s="47">
        <f t="shared" si="31"/>
        <v>60</v>
      </c>
      <c r="I481">
        <f t="shared" si="47"/>
        <v>22.55</v>
      </c>
      <c r="K481">
        <f t="shared" si="48"/>
        <v>0</v>
      </c>
      <c r="L481" s="24">
        <f t="shared" si="49"/>
        <v>820</v>
      </c>
    </row>
    <row r="482" spans="2:12" hidden="1" x14ac:dyDescent="0.3">
      <c r="B482" s="44">
        <v>45636</v>
      </c>
      <c r="C482" t="s">
        <v>13</v>
      </c>
      <c r="D482" s="3">
        <v>80</v>
      </c>
      <c r="E482" s="45">
        <v>15.7</v>
      </c>
      <c r="F482" s="46">
        <v>16.2</v>
      </c>
      <c r="G482" s="47">
        <f t="shared" si="31"/>
        <v>40</v>
      </c>
    </row>
    <row r="483" spans="2:12" hidden="1" x14ac:dyDescent="0.3">
      <c r="B483" s="44">
        <v>45666</v>
      </c>
      <c r="C483" t="s">
        <v>128</v>
      </c>
      <c r="D483" s="3">
        <v>35</v>
      </c>
      <c r="E483" s="45">
        <v>18.2</v>
      </c>
      <c r="F483" s="46">
        <v>21.5</v>
      </c>
      <c r="G483" s="47">
        <f t="shared" si="31"/>
        <v>115.50000000000003</v>
      </c>
      <c r="I483">
        <f t="shared" ref="I483:I486" si="50">+E483*1.1</f>
        <v>20.02</v>
      </c>
      <c r="K483">
        <f t="shared" ref="K483:K486" si="51">IF(F483=0,1,0)</f>
        <v>0</v>
      </c>
      <c r="L483" s="24">
        <f t="shared" ref="L483:L486" si="52">+D483*E483</f>
        <v>637</v>
      </c>
    </row>
    <row r="484" spans="2:12" hidden="1" x14ac:dyDescent="0.3">
      <c r="B484" s="44">
        <v>45666</v>
      </c>
      <c r="C484" t="s">
        <v>128</v>
      </c>
      <c r="D484" s="3">
        <v>10</v>
      </c>
      <c r="E484" s="45">
        <v>18.350000000000001</v>
      </c>
      <c r="F484" s="46">
        <v>20.5</v>
      </c>
      <c r="G484" s="47">
        <f t="shared" si="31"/>
        <v>21.499999999999986</v>
      </c>
      <c r="I484">
        <f t="shared" si="50"/>
        <v>20.185000000000002</v>
      </c>
      <c r="K484">
        <f t="shared" si="51"/>
        <v>0</v>
      </c>
      <c r="L484" s="24">
        <f t="shared" si="52"/>
        <v>183.5</v>
      </c>
    </row>
    <row r="485" spans="2:12" hidden="1" x14ac:dyDescent="0.3">
      <c r="B485" s="44">
        <v>45645</v>
      </c>
      <c r="C485" t="s">
        <v>181</v>
      </c>
      <c r="D485" s="3">
        <v>5</v>
      </c>
      <c r="E485" s="45">
        <v>21</v>
      </c>
      <c r="F485" s="46">
        <v>22</v>
      </c>
      <c r="G485" s="47">
        <f t="shared" si="31"/>
        <v>5</v>
      </c>
      <c r="I485">
        <f t="shared" si="50"/>
        <v>23.1</v>
      </c>
      <c r="K485">
        <f t="shared" si="51"/>
        <v>0</v>
      </c>
      <c r="L485" s="24">
        <f t="shared" si="52"/>
        <v>105</v>
      </c>
    </row>
    <row r="486" spans="2:12" hidden="1" x14ac:dyDescent="0.3">
      <c r="B486" s="44">
        <v>45667</v>
      </c>
      <c r="C486" t="s">
        <v>128</v>
      </c>
      <c r="D486" s="3">
        <v>50</v>
      </c>
      <c r="E486" s="45">
        <v>18</v>
      </c>
      <c r="F486" s="46">
        <v>21.5</v>
      </c>
      <c r="G486" s="47">
        <f t="shared" si="31"/>
        <v>175</v>
      </c>
      <c r="I486">
        <f t="shared" si="50"/>
        <v>19.8</v>
      </c>
      <c r="K486">
        <f t="shared" si="51"/>
        <v>0</v>
      </c>
      <c r="L486" s="24">
        <f t="shared" si="52"/>
        <v>900</v>
      </c>
    </row>
    <row r="487" spans="2:12" hidden="1" x14ac:dyDescent="0.3">
      <c r="B487" s="44">
        <v>45569</v>
      </c>
      <c r="C487" t="s">
        <v>529</v>
      </c>
      <c r="D487" s="3">
        <v>100</v>
      </c>
      <c r="E487" s="45">
        <v>46.5</v>
      </c>
      <c r="F487" s="46">
        <v>46.8</v>
      </c>
      <c r="G487" s="47">
        <f t="shared" si="31"/>
        <v>29.999999999999716</v>
      </c>
    </row>
    <row r="488" spans="2:12" hidden="1" x14ac:dyDescent="0.3">
      <c r="B488" s="44">
        <v>45572</v>
      </c>
      <c r="C488" t="s">
        <v>529</v>
      </c>
      <c r="D488" s="3">
        <v>50</v>
      </c>
      <c r="E488" s="45">
        <v>46</v>
      </c>
      <c r="F488" s="46">
        <v>46.8</v>
      </c>
      <c r="G488" s="47">
        <f t="shared" si="31"/>
        <v>39.999999999999858</v>
      </c>
    </row>
    <row r="489" spans="2:12" hidden="1" x14ac:dyDescent="0.3">
      <c r="B489" s="44">
        <v>45637</v>
      </c>
      <c r="C489" t="s">
        <v>20</v>
      </c>
      <c r="D489" s="3">
        <v>85</v>
      </c>
      <c r="E489" s="45">
        <v>14.54</v>
      </c>
      <c r="F489" s="46">
        <v>15</v>
      </c>
      <c r="G489" s="47">
        <f t="shared" si="31"/>
        <v>39.100000000000072</v>
      </c>
    </row>
    <row r="490" spans="2:12" hidden="1" x14ac:dyDescent="0.3">
      <c r="B490" s="44">
        <v>45650</v>
      </c>
      <c r="C490" t="s">
        <v>181</v>
      </c>
      <c r="D490" s="3">
        <v>25</v>
      </c>
      <c r="E490" s="45">
        <v>20</v>
      </c>
      <c r="F490" s="46">
        <v>22</v>
      </c>
      <c r="G490" s="47">
        <f t="shared" si="31"/>
        <v>50</v>
      </c>
      <c r="I490">
        <f t="shared" ref="I490:I495" si="53">+E490*1.1</f>
        <v>22</v>
      </c>
      <c r="K490">
        <f t="shared" ref="K490:K495" si="54">IF(F490=0,1,0)</f>
        <v>0</v>
      </c>
      <c r="L490" s="24">
        <f t="shared" ref="L490:L495" si="55">+D490*E490</f>
        <v>500</v>
      </c>
    </row>
    <row r="491" spans="2:12" hidden="1" x14ac:dyDescent="0.3">
      <c r="B491" s="44">
        <v>45667</v>
      </c>
      <c r="C491" t="s">
        <v>128</v>
      </c>
      <c r="D491" s="3">
        <v>50</v>
      </c>
      <c r="E491" s="45">
        <v>17.95</v>
      </c>
      <c r="F491" s="46">
        <v>21</v>
      </c>
      <c r="G491" s="47">
        <f t="shared" si="31"/>
        <v>152.50000000000003</v>
      </c>
      <c r="I491">
        <f t="shared" si="53"/>
        <v>19.745000000000001</v>
      </c>
      <c r="K491">
        <f t="shared" si="54"/>
        <v>0</v>
      </c>
      <c r="L491" s="24">
        <f t="shared" si="55"/>
        <v>897.5</v>
      </c>
    </row>
    <row r="492" spans="2:12" hidden="1" x14ac:dyDescent="0.3">
      <c r="B492" s="44">
        <v>45667</v>
      </c>
      <c r="C492" t="s">
        <v>128</v>
      </c>
      <c r="D492" s="3">
        <v>10</v>
      </c>
      <c r="E492" s="45">
        <v>17.8</v>
      </c>
      <c r="F492" s="46">
        <v>20.5</v>
      </c>
      <c r="G492" s="47">
        <f t="shared" si="31"/>
        <v>26.999999999999993</v>
      </c>
      <c r="I492">
        <f t="shared" si="53"/>
        <v>19.580000000000002</v>
      </c>
      <c r="K492">
        <f t="shared" si="54"/>
        <v>0</v>
      </c>
      <c r="L492" s="24">
        <f t="shared" si="55"/>
        <v>178</v>
      </c>
    </row>
    <row r="493" spans="2:12" x14ac:dyDescent="0.3">
      <c r="B493" s="44">
        <v>45681</v>
      </c>
      <c r="C493" t="s">
        <v>128</v>
      </c>
      <c r="D493" s="3">
        <v>50</v>
      </c>
      <c r="E493" s="45">
        <v>20</v>
      </c>
      <c r="G493" s="47" t="str">
        <f t="shared" si="31"/>
        <v/>
      </c>
      <c r="I493">
        <f t="shared" si="53"/>
        <v>22</v>
      </c>
      <c r="K493">
        <f t="shared" si="54"/>
        <v>1</v>
      </c>
      <c r="L493" s="24">
        <f t="shared" si="55"/>
        <v>1000</v>
      </c>
    </row>
    <row r="494" spans="2:12" x14ac:dyDescent="0.3">
      <c r="B494" s="44">
        <v>45681</v>
      </c>
      <c r="C494" t="s">
        <v>128</v>
      </c>
      <c r="D494" s="3">
        <v>20</v>
      </c>
      <c r="E494" s="45">
        <v>19.8</v>
      </c>
      <c r="G494" s="47" t="str">
        <f t="shared" si="31"/>
        <v/>
      </c>
      <c r="I494">
        <f t="shared" si="53"/>
        <v>21.78</v>
      </c>
      <c r="K494">
        <f t="shared" si="54"/>
        <v>1</v>
      </c>
      <c r="L494" s="24">
        <f t="shared" si="55"/>
        <v>396</v>
      </c>
    </row>
    <row r="495" spans="2:12" x14ac:dyDescent="0.3">
      <c r="B495" s="44">
        <v>45628</v>
      </c>
      <c r="C495" t="s">
        <v>132</v>
      </c>
      <c r="D495" s="3">
        <v>1</v>
      </c>
      <c r="E495" s="45">
        <v>708</v>
      </c>
      <c r="G495" s="47" t="str">
        <f t="shared" si="31"/>
        <v/>
      </c>
      <c r="I495">
        <f t="shared" si="53"/>
        <v>778.80000000000007</v>
      </c>
      <c r="K495">
        <f t="shared" si="54"/>
        <v>1</v>
      </c>
      <c r="L495" s="24">
        <f t="shared" si="55"/>
        <v>708</v>
      </c>
    </row>
    <row r="496" spans="2:12" hidden="1" x14ac:dyDescent="0.3">
      <c r="B496" s="44">
        <v>45638</v>
      </c>
      <c r="C496" t="s">
        <v>181</v>
      </c>
      <c r="D496" s="3">
        <v>60</v>
      </c>
      <c r="E496" s="45">
        <v>22</v>
      </c>
      <c r="F496" s="46">
        <v>22.74</v>
      </c>
      <c r="G496" s="47">
        <f t="shared" si="31"/>
        <v>44.399999999999906</v>
      </c>
    </row>
    <row r="497" spans="2:12" x14ac:dyDescent="0.3">
      <c r="B497" s="44">
        <v>45636</v>
      </c>
      <c r="C497" t="s">
        <v>132</v>
      </c>
      <c r="D497" s="3">
        <v>1</v>
      </c>
      <c r="E497" s="45">
        <v>700</v>
      </c>
      <c r="G497" s="47" t="str">
        <f t="shared" si="31"/>
        <v/>
      </c>
      <c r="I497">
        <f t="shared" ref="I497:I498" si="56">+E497*1.1</f>
        <v>770.00000000000011</v>
      </c>
      <c r="K497">
        <f t="shared" ref="K497:K498" si="57">IF(F497=0,1,0)</f>
        <v>1</v>
      </c>
      <c r="L497" s="24">
        <f t="shared" ref="L497:L498" si="58">+D497*E497</f>
        <v>700</v>
      </c>
    </row>
    <row r="498" spans="2:12" x14ac:dyDescent="0.3">
      <c r="B498" s="44">
        <v>45656</v>
      </c>
      <c r="C498" t="s">
        <v>132</v>
      </c>
      <c r="D498" s="3">
        <v>1</v>
      </c>
      <c r="E498" s="45">
        <v>700</v>
      </c>
      <c r="G498" s="47" t="str">
        <f t="shared" si="31"/>
        <v/>
      </c>
      <c r="I498">
        <f t="shared" si="56"/>
        <v>770.00000000000011</v>
      </c>
      <c r="K498">
        <f t="shared" si="57"/>
        <v>1</v>
      </c>
      <c r="L498" s="24">
        <f t="shared" si="58"/>
        <v>700</v>
      </c>
    </row>
    <row r="499" spans="2:12" hidden="1" x14ac:dyDescent="0.3">
      <c r="B499" s="44">
        <v>45638</v>
      </c>
      <c r="C499" t="s">
        <v>525</v>
      </c>
      <c r="D499" s="3">
        <v>72</v>
      </c>
      <c r="E499" s="45">
        <v>16.829999999999998</v>
      </c>
      <c r="F499" s="46">
        <v>17.27</v>
      </c>
      <c r="G499" s="47">
        <f t="shared" si="31"/>
        <v>31.680000000000092</v>
      </c>
    </row>
    <row r="500" spans="2:12" x14ac:dyDescent="0.3">
      <c r="B500" s="44">
        <v>45667</v>
      </c>
      <c r="C500" t="s">
        <v>132</v>
      </c>
      <c r="D500" s="3">
        <v>1</v>
      </c>
      <c r="E500" s="45">
        <v>675</v>
      </c>
      <c r="G500" s="47" t="str">
        <f t="shared" si="31"/>
        <v/>
      </c>
      <c r="I500">
        <f>+E500*1.1</f>
        <v>742.50000000000011</v>
      </c>
      <c r="K500">
        <f>IF(F500=0,1,0)</f>
        <v>1</v>
      </c>
      <c r="L500" s="24">
        <f>+D500*E500</f>
        <v>675</v>
      </c>
    </row>
    <row r="501" spans="2:12" hidden="1" x14ac:dyDescent="0.3">
      <c r="B501" s="44">
        <v>45642</v>
      </c>
      <c r="C501" t="s">
        <v>12</v>
      </c>
      <c r="D501" s="3">
        <v>10</v>
      </c>
      <c r="E501" s="45">
        <v>108</v>
      </c>
      <c r="F501" s="46">
        <v>110</v>
      </c>
      <c r="G501" s="47">
        <f t="shared" si="31"/>
        <v>20</v>
      </c>
    </row>
    <row r="502" spans="2:12" hidden="1" x14ac:dyDescent="0.3">
      <c r="B502" s="44">
        <v>45642</v>
      </c>
      <c r="C502" t="s">
        <v>12</v>
      </c>
      <c r="D502" s="3">
        <v>15</v>
      </c>
      <c r="E502" s="45">
        <v>107</v>
      </c>
      <c r="F502" s="46">
        <v>110</v>
      </c>
      <c r="G502" s="47">
        <f t="shared" ref="G502:G565" si="59">IF(E502=0,"",IF(F502="","",(F502-E502)*D502))</f>
        <v>45</v>
      </c>
    </row>
    <row r="503" spans="2:12" x14ac:dyDescent="0.3">
      <c r="B503" s="44">
        <v>45601</v>
      </c>
      <c r="C503" t="s">
        <v>13</v>
      </c>
      <c r="D503" s="3">
        <v>105</v>
      </c>
      <c r="E503" s="45">
        <v>16.02</v>
      </c>
      <c r="G503" s="47" t="str">
        <f t="shared" si="59"/>
        <v/>
      </c>
      <c r="I503">
        <f>+E503*1.1</f>
        <v>17.622</v>
      </c>
      <c r="K503">
        <f>IF(F503=0,1,0)</f>
        <v>1</v>
      </c>
      <c r="L503" s="24">
        <f>+D503*E503</f>
        <v>1682.1</v>
      </c>
    </row>
    <row r="504" spans="2:12" hidden="1" x14ac:dyDescent="0.3">
      <c r="B504" s="44">
        <v>45642</v>
      </c>
      <c r="C504" t="s">
        <v>379</v>
      </c>
      <c r="D504" s="3">
        <v>25</v>
      </c>
      <c r="E504" s="45">
        <v>60</v>
      </c>
      <c r="F504" s="46">
        <v>61.5</v>
      </c>
      <c r="G504" s="47">
        <f t="shared" si="59"/>
        <v>37.5</v>
      </c>
    </row>
    <row r="505" spans="2:12" x14ac:dyDescent="0.3">
      <c r="B505" s="44">
        <v>45644</v>
      </c>
      <c r="C505" t="s">
        <v>13</v>
      </c>
      <c r="D505" s="3">
        <v>145</v>
      </c>
      <c r="E505" s="45">
        <v>15.8</v>
      </c>
      <c r="G505" s="47" t="str">
        <f t="shared" si="59"/>
        <v/>
      </c>
      <c r="I505">
        <f t="shared" ref="I505:I507" si="60">+E505*1.1</f>
        <v>17.380000000000003</v>
      </c>
      <c r="K505">
        <f t="shared" ref="K505:K507" si="61">IF(F505=0,1,0)</f>
        <v>1</v>
      </c>
      <c r="L505" s="24">
        <f t="shared" ref="L505:L507" si="62">+D505*E505</f>
        <v>2291</v>
      </c>
    </row>
    <row r="506" spans="2:12" x14ac:dyDescent="0.3">
      <c r="B506" s="44">
        <v>45665</v>
      </c>
      <c r="C506" t="s">
        <v>13</v>
      </c>
      <c r="D506" s="3">
        <v>80</v>
      </c>
      <c r="E506" s="45">
        <v>15.3</v>
      </c>
      <c r="G506" s="47" t="str">
        <f t="shared" si="59"/>
        <v/>
      </c>
      <c r="I506">
        <f t="shared" si="60"/>
        <v>16.830000000000002</v>
      </c>
      <c r="K506">
        <f t="shared" si="61"/>
        <v>1</v>
      </c>
      <c r="L506" s="24">
        <f t="shared" si="62"/>
        <v>1224</v>
      </c>
    </row>
    <row r="507" spans="2:12" x14ac:dyDescent="0.3">
      <c r="B507" s="44">
        <v>45667</v>
      </c>
      <c r="C507" t="s">
        <v>13</v>
      </c>
      <c r="D507" s="3">
        <v>60</v>
      </c>
      <c r="E507" s="45">
        <v>15.3</v>
      </c>
      <c r="G507" s="47" t="str">
        <f t="shared" si="59"/>
        <v/>
      </c>
      <c r="I507">
        <f t="shared" si="60"/>
        <v>16.830000000000002</v>
      </c>
      <c r="K507">
        <f t="shared" si="61"/>
        <v>1</v>
      </c>
      <c r="L507" s="24">
        <f t="shared" si="62"/>
        <v>918</v>
      </c>
    </row>
    <row r="508" spans="2:12" hidden="1" x14ac:dyDescent="0.3">
      <c r="B508" s="44">
        <v>45644</v>
      </c>
      <c r="C508" t="s">
        <v>53</v>
      </c>
      <c r="D508" s="3">
        <v>30</v>
      </c>
      <c r="E508" s="45">
        <v>7.2</v>
      </c>
      <c r="F508" s="46">
        <v>7.35</v>
      </c>
      <c r="G508" s="47">
        <f t="shared" si="59"/>
        <v>4.499999999999984</v>
      </c>
    </row>
    <row r="509" spans="2:12" hidden="1" x14ac:dyDescent="0.3">
      <c r="B509" s="44">
        <v>45624</v>
      </c>
      <c r="C509" t="s">
        <v>546</v>
      </c>
      <c r="D509" s="3">
        <v>60</v>
      </c>
      <c r="E509" s="45">
        <v>26.5</v>
      </c>
      <c r="F509" s="46">
        <v>26.1</v>
      </c>
      <c r="G509" s="47">
        <f t="shared" si="59"/>
        <v>-23.999999999999915</v>
      </c>
    </row>
    <row r="510" spans="2:12" x14ac:dyDescent="0.3">
      <c r="B510" s="44">
        <v>45670</v>
      </c>
      <c r="C510" t="s">
        <v>13</v>
      </c>
      <c r="D510" s="3">
        <v>40</v>
      </c>
      <c r="E510" s="45">
        <v>15</v>
      </c>
      <c r="G510" s="47" t="str">
        <f t="shared" si="59"/>
        <v/>
      </c>
      <c r="I510">
        <f t="shared" ref="I510:I517" si="63">+E510*1.1</f>
        <v>16.5</v>
      </c>
      <c r="K510">
        <f t="shared" ref="K510:K517" si="64">IF(F510=0,1,0)</f>
        <v>1</v>
      </c>
      <c r="L510" s="24">
        <f t="shared" ref="L510:L517" si="65">+D510*E510</f>
        <v>600</v>
      </c>
    </row>
    <row r="511" spans="2:12" x14ac:dyDescent="0.3">
      <c r="B511" s="44">
        <v>45671</v>
      </c>
      <c r="C511" t="s">
        <v>13</v>
      </c>
      <c r="D511" s="3">
        <v>20</v>
      </c>
      <c r="E511" s="45">
        <v>15.2</v>
      </c>
      <c r="G511" s="47" t="str">
        <f t="shared" si="59"/>
        <v/>
      </c>
      <c r="I511">
        <f t="shared" si="63"/>
        <v>16.72</v>
      </c>
      <c r="K511">
        <f t="shared" si="64"/>
        <v>1</v>
      </c>
      <c r="L511" s="24">
        <f t="shared" si="65"/>
        <v>304</v>
      </c>
    </row>
    <row r="512" spans="2:12" hidden="1" x14ac:dyDescent="0.3">
      <c r="B512" s="44">
        <v>45628</v>
      </c>
      <c r="C512" t="s">
        <v>157</v>
      </c>
      <c r="D512" s="3">
        <v>5</v>
      </c>
      <c r="E512" s="45">
        <v>91</v>
      </c>
      <c r="F512" s="46">
        <v>104.7</v>
      </c>
      <c r="G512" s="47">
        <f t="shared" si="59"/>
        <v>68.500000000000014</v>
      </c>
      <c r="I512">
        <f t="shared" si="63"/>
        <v>100.10000000000001</v>
      </c>
      <c r="K512">
        <f t="shared" si="64"/>
        <v>0</v>
      </c>
      <c r="L512" s="24">
        <f t="shared" si="65"/>
        <v>455</v>
      </c>
    </row>
    <row r="513" spans="2:12" hidden="1" x14ac:dyDescent="0.3">
      <c r="B513" s="44">
        <v>45643</v>
      </c>
      <c r="C513" t="s">
        <v>157</v>
      </c>
      <c r="D513" s="3">
        <v>4</v>
      </c>
      <c r="E513" s="45">
        <v>94</v>
      </c>
      <c r="F513" s="46">
        <v>104.7</v>
      </c>
      <c r="G513" s="47">
        <f t="shared" si="59"/>
        <v>42.800000000000011</v>
      </c>
      <c r="I513">
        <f t="shared" si="63"/>
        <v>103.4</v>
      </c>
      <c r="K513">
        <f t="shared" si="64"/>
        <v>0</v>
      </c>
      <c r="L513" s="24">
        <f t="shared" si="65"/>
        <v>376</v>
      </c>
    </row>
    <row r="514" spans="2:12" hidden="1" x14ac:dyDescent="0.3">
      <c r="B514" s="44">
        <v>45644</v>
      </c>
      <c r="C514" t="s">
        <v>157</v>
      </c>
      <c r="D514" s="3">
        <v>2</v>
      </c>
      <c r="E514" s="45">
        <v>92</v>
      </c>
      <c r="F514" s="46">
        <v>104.7</v>
      </c>
      <c r="G514" s="47">
        <f t="shared" si="59"/>
        <v>25.400000000000006</v>
      </c>
      <c r="I514">
        <f t="shared" si="63"/>
        <v>101.2</v>
      </c>
      <c r="K514">
        <f t="shared" si="64"/>
        <v>0</v>
      </c>
      <c r="L514" s="24">
        <f t="shared" si="65"/>
        <v>184</v>
      </c>
    </row>
    <row r="515" spans="2:12" hidden="1" x14ac:dyDescent="0.3">
      <c r="B515" s="44">
        <v>45649</v>
      </c>
      <c r="C515" t="s">
        <v>157</v>
      </c>
      <c r="D515" s="3">
        <v>2</v>
      </c>
      <c r="E515" s="45">
        <v>89.5</v>
      </c>
      <c r="F515" s="46">
        <v>104.7</v>
      </c>
      <c r="G515" s="47">
        <f t="shared" si="59"/>
        <v>30.400000000000006</v>
      </c>
      <c r="I515">
        <f t="shared" si="63"/>
        <v>98.45</v>
      </c>
      <c r="K515">
        <f t="shared" si="64"/>
        <v>0</v>
      </c>
      <c r="L515" s="24">
        <f t="shared" si="65"/>
        <v>179</v>
      </c>
    </row>
    <row r="516" spans="2:12" hidden="1" x14ac:dyDescent="0.3">
      <c r="B516" s="44">
        <v>45645</v>
      </c>
      <c r="C516" t="s">
        <v>20</v>
      </c>
      <c r="D516" s="3">
        <v>160</v>
      </c>
      <c r="E516" s="45">
        <v>13.5</v>
      </c>
      <c r="F516" s="46">
        <v>14.45</v>
      </c>
      <c r="G516" s="47">
        <f t="shared" si="59"/>
        <v>151.99999999999989</v>
      </c>
      <c r="I516">
        <f t="shared" si="63"/>
        <v>14.850000000000001</v>
      </c>
      <c r="K516">
        <f t="shared" si="64"/>
        <v>0</v>
      </c>
      <c r="L516" s="24">
        <f t="shared" si="65"/>
        <v>2160</v>
      </c>
    </row>
    <row r="517" spans="2:12" hidden="1" x14ac:dyDescent="0.3">
      <c r="B517" s="44">
        <v>45646</v>
      </c>
      <c r="C517" t="s">
        <v>20</v>
      </c>
      <c r="D517" s="3">
        <v>100</v>
      </c>
      <c r="E517" s="45">
        <v>13.1</v>
      </c>
      <c r="F517" s="46">
        <v>14</v>
      </c>
      <c r="G517" s="47">
        <f t="shared" si="59"/>
        <v>90.000000000000028</v>
      </c>
      <c r="I517">
        <f t="shared" si="63"/>
        <v>14.41</v>
      </c>
      <c r="K517">
        <f t="shared" si="64"/>
        <v>0</v>
      </c>
      <c r="L517" s="24">
        <f t="shared" si="65"/>
        <v>1310</v>
      </c>
    </row>
    <row r="518" spans="2:12" hidden="1" x14ac:dyDescent="0.3">
      <c r="B518" s="44">
        <v>45643</v>
      </c>
      <c r="C518" t="s">
        <v>25</v>
      </c>
      <c r="D518" s="3">
        <v>450</v>
      </c>
      <c r="E518" s="45">
        <v>3.35</v>
      </c>
      <c r="F518" s="46">
        <v>3.4</v>
      </c>
      <c r="G518" s="47">
        <f t="shared" si="59"/>
        <v>22.499999999999922</v>
      </c>
    </row>
    <row r="519" spans="2:12" hidden="1" x14ac:dyDescent="0.3">
      <c r="B519" s="44">
        <v>45672</v>
      </c>
      <c r="C519" t="s">
        <v>157</v>
      </c>
      <c r="D519" s="3">
        <v>3</v>
      </c>
      <c r="E519" s="45">
        <v>92</v>
      </c>
      <c r="F519" s="46">
        <v>104.7</v>
      </c>
      <c r="G519" s="47">
        <f t="shared" si="59"/>
        <v>38.100000000000009</v>
      </c>
      <c r="I519">
        <f>+E519*1.1</f>
        <v>101.2</v>
      </c>
      <c r="K519">
        <f>IF(F519=0,1,0)</f>
        <v>0</v>
      </c>
      <c r="L519" s="24">
        <f>+D519*E519</f>
        <v>276</v>
      </c>
    </row>
    <row r="520" spans="2:12" hidden="1" x14ac:dyDescent="0.3">
      <c r="B520" s="44">
        <v>45643</v>
      </c>
      <c r="C520" t="s">
        <v>26</v>
      </c>
      <c r="D520" s="3">
        <v>20</v>
      </c>
      <c r="E520" s="45">
        <v>80.400000000000006</v>
      </c>
      <c r="F520" s="46">
        <v>82</v>
      </c>
      <c r="G520" s="47">
        <f t="shared" si="59"/>
        <v>31.999999999999886</v>
      </c>
    </row>
    <row r="521" spans="2:12" x14ac:dyDescent="0.3">
      <c r="B521" s="44">
        <v>45590</v>
      </c>
      <c r="C521" t="s">
        <v>14</v>
      </c>
      <c r="D521" s="3">
        <v>2</v>
      </c>
      <c r="E521" s="45">
        <v>135.9</v>
      </c>
      <c r="G521" s="47" t="str">
        <f t="shared" si="59"/>
        <v/>
      </c>
      <c r="I521">
        <f t="shared" ref="I521:I526" si="66">+E521*1.1</f>
        <v>149.49</v>
      </c>
      <c r="K521">
        <f t="shared" ref="K521:K526" si="67">IF(F521=0,1,0)</f>
        <v>1</v>
      </c>
      <c r="L521" s="24">
        <f t="shared" ref="L521:L526" si="68">+D521*E521</f>
        <v>271.8</v>
      </c>
    </row>
    <row r="522" spans="2:12" x14ac:dyDescent="0.3">
      <c r="B522" s="44">
        <v>45645</v>
      </c>
      <c r="C522" t="s">
        <v>14</v>
      </c>
      <c r="D522" s="3">
        <v>1</v>
      </c>
      <c r="E522" s="45">
        <v>110</v>
      </c>
      <c r="G522" s="47" t="str">
        <f t="shared" si="59"/>
        <v/>
      </c>
      <c r="I522">
        <f t="shared" si="66"/>
        <v>121.00000000000001</v>
      </c>
      <c r="K522">
        <f t="shared" si="67"/>
        <v>1</v>
      </c>
      <c r="L522" s="24">
        <f t="shared" si="68"/>
        <v>110</v>
      </c>
    </row>
    <row r="523" spans="2:12" x14ac:dyDescent="0.3">
      <c r="B523" s="44">
        <v>45624</v>
      </c>
      <c r="C523" t="s">
        <v>165</v>
      </c>
      <c r="D523" s="3">
        <v>5</v>
      </c>
      <c r="E523" s="45">
        <v>28.72</v>
      </c>
      <c r="G523" s="47" t="str">
        <f t="shared" si="59"/>
        <v/>
      </c>
      <c r="I523">
        <f t="shared" si="66"/>
        <v>31.592000000000002</v>
      </c>
      <c r="K523">
        <f t="shared" si="67"/>
        <v>1</v>
      </c>
      <c r="L523" s="24">
        <f t="shared" si="68"/>
        <v>143.6</v>
      </c>
    </row>
    <row r="524" spans="2:12" x14ac:dyDescent="0.3">
      <c r="B524" s="44">
        <v>45644</v>
      </c>
      <c r="C524" t="s">
        <v>165</v>
      </c>
      <c r="D524" s="3">
        <v>5</v>
      </c>
      <c r="E524" s="45">
        <v>33.5</v>
      </c>
      <c r="G524" s="47" t="str">
        <f t="shared" si="59"/>
        <v/>
      </c>
      <c r="I524">
        <f t="shared" si="66"/>
        <v>36.85</v>
      </c>
      <c r="K524">
        <f t="shared" si="67"/>
        <v>1</v>
      </c>
      <c r="L524" s="24">
        <f t="shared" si="68"/>
        <v>167.5</v>
      </c>
    </row>
    <row r="525" spans="2:12" x14ac:dyDescent="0.3">
      <c r="B525" s="44">
        <v>45645</v>
      </c>
      <c r="C525" t="s">
        <v>165</v>
      </c>
      <c r="D525" s="3">
        <v>5</v>
      </c>
      <c r="E525" s="45">
        <v>32</v>
      </c>
      <c r="G525" s="47" t="str">
        <f t="shared" si="59"/>
        <v/>
      </c>
      <c r="I525">
        <f t="shared" si="66"/>
        <v>35.200000000000003</v>
      </c>
      <c r="K525">
        <f t="shared" si="67"/>
        <v>1</v>
      </c>
      <c r="L525" s="24">
        <f t="shared" si="68"/>
        <v>160</v>
      </c>
    </row>
    <row r="526" spans="2:12" x14ac:dyDescent="0.3">
      <c r="B526" s="44">
        <v>45646</v>
      </c>
      <c r="C526" t="s">
        <v>165</v>
      </c>
      <c r="D526" s="3">
        <v>10</v>
      </c>
      <c r="E526" s="45">
        <v>27.12</v>
      </c>
      <c r="G526" s="47" t="str">
        <f t="shared" si="59"/>
        <v/>
      </c>
      <c r="I526">
        <f t="shared" si="66"/>
        <v>29.832000000000004</v>
      </c>
      <c r="K526">
        <f t="shared" si="67"/>
        <v>1</v>
      </c>
      <c r="L526" s="24">
        <f t="shared" si="68"/>
        <v>271.2</v>
      </c>
    </row>
    <row r="527" spans="2:12" hidden="1" x14ac:dyDescent="0.3">
      <c r="B527" s="44">
        <v>45624</v>
      </c>
      <c r="C527" t="s">
        <v>165</v>
      </c>
      <c r="D527" s="3">
        <v>5</v>
      </c>
      <c r="E527" s="45">
        <v>28.72</v>
      </c>
      <c r="F527" s="46">
        <v>33.9</v>
      </c>
      <c r="G527" s="47">
        <f t="shared" si="59"/>
        <v>25.9</v>
      </c>
    </row>
    <row r="528" spans="2:12" hidden="1" x14ac:dyDescent="0.3">
      <c r="B528" s="44">
        <v>45621</v>
      </c>
      <c r="C528" t="s">
        <v>525</v>
      </c>
      <c r="D528" s="3">
        <v>18</v>
      </c>
      <c r="E528" s="45">
        <v>18.899999999999999</v>
      </c>
      <c r="F528" s="46">
        <v>17.27</v>
      </c>
      <c r="G528" s="47">
        <f t="shared" si="59"/>
        <v>-29.339999999999982</v>
      </c>
    </row>
    <row r="529" spans="2:12" x14ac:dyDescent="0.3">
      <c r="B529" s="44">
        <v>45650</v>
      </c>
      <c r="C529" t="s">
        <v>165</v>
      </c>
      <c r="D529" s="3">
        <v>5</v>
      </c>
      <c r="E529" s="45">
        <v>29.5</v>
      </c>
      <c r="G529" s="47" t="str">
        <f t="shared" si="59"/>
        <v/>
      </c>
      <c r="I529">
        <f t="shared" ref="I529:I530" si="69">+E529*1.1</f>
        <v>32.450000000000003</v>
      </c>
      <c r="K529">
        <f t="shared" ref="K529:K530" si="70">IF(F529=0,1,0)</f>
        <v>1</v>
      </c>
      <c r="L529" s="24">
        <f t="shared" ref="L529:L530" si="71">+D529*E529</f>
        <v>147.5</v>
      </c>
    </row>
    <row r="530" spans="2:12" x14ac:dyDescent="0.3">
      <c r="B530" s="44">
        <v>45653</v>
      </c>
      <c r="C530" t="s">
        <v>165</v>
      </c>
      <c r="D530" s="3">
        <v>10</v>
      </c>
      <c r="E530" s="45">
        <v>28.7</v>
      </c>
      <c r="G530" s="47" t="str">
        <f t="shared" si="59"/>
        <v/>
      </c>
      <c r="I530">
        <f t="shared" si="69"/>
        <v>31.57</v>
      </c>
      <c r="K530">
        <f t="shared" si="70"/>
        <v>1</v>
      </c>
      <c r="L530" s="24">
        <f t="shared" si="71"/>
        <v>287</v>
      </c>
    </row>
    <row r="531" spans="2:12" hidden="1" x14ac:dyDescent="0.3">
      <c r="B531" s="44">
        <v>45642</v>
      </c>
      <c r="C531" t="s">
        <v>379</v>
      </c>
      <c r="D531" s="3">
        <v>2</v>
      </c>
      <c r="E531" s="45">
        <v>59</v>
      </c>
      <c r="F531" s="46">
        <v>60</v>
      </c>
      <c r="G531" s="47">
        <f t="shared" si="59"/>
        <v>2</v>
      </c>
    </row>
    <row r="532" spans="2:12" hidden="1" x14ac:dyDescent="0.3">
      <c r="B532" s="44">
        <v>45643</v>
      </c>
      <c r="C532" t="s">
        <v>379</v>
      </c>
      <c r="D532" s="3">
        <v>3</v>
      </c>
      <c r="E532" s="45">
        <v>57</v>
      </c>
      <c r="F532" s="46">
        <v>60</v>
      </c>
      <c r="G532" s="47">
        <f t="shared" si="59"/>
        <v>9</v>
      </c>
    </row>
    <row r="533" spans="2:12" hidden="1" x14ac:dyDescent="0.3">
      <c r="B533" s="44">
        <v>45644</v>
      </c>
      <c r="C533" t="s">
        <v>379</v>
      </c>
      <c r="D533" s="3">
        <v>2</v>
      </c>
      <c r="E533" s="45">
        <v>56</v>
      </c>
      <c r="F533" s="46">
        <v>60</v>
      </c>
      <c r="G533" s="47">
        <f t="shared" si="59"/>
        <v>8</v>
      </c>
    </row>
    <row r="534" spans="2:12" hidden="1" x14ac:dyDescent="0.3">
      <c r="B534" s="44">
        <v>45645</v>
      </c>
      <c r="C534" t="s">
        <v>379</v>
      </c>
      <c r="D534" s="3">
        <v>2</v>
      </c>
      <c r="E534" s="45">
        <v>57</v>
      </c>
      <c r="F534" s="46">
        <v>60</v>
      </c>
      <c r="G534" s="47">
        <f t="shared" si="59"/>
        <v>6</v>
      </c>
    </row>
    <row r="535" spans="2:12" x14ac:dyDescent="0.3">
      <c r="B535" s="44">
        <v>45653</v>
      </c>
      <c r="C535" t="s">
        <v>165</v>
      </c>
      <c r="D535" s="3">
        <v>10</v>
      </c>
      <c r="E535" s="45">
        <v>28.5</v>
      </c>
      <c r="G535" s="47" t="str">
        <f t="shared" si="59"/>
        <v/>
      </c>
      <c r="I535">
        <f>+E535*1.1</f>
        <v>31.35</v>
      </c>
      <c r="K535">
        <f>IF(F535=0,1,0)</f>
        <v>1</v>
      </c>
      <c r="L535" s="24">
        <f>+D535*E535</f>
        <v>285</v>
      </c>
    </row>
    <row r="536" spans="2:12" hidden="1" x14ac:dyDescent="0.3">
      <c r="B536" s="44">
        <v>45638</v>
      </c>
      <c r="C536" t="s">
        <v>383</v>
      </c>
      <c r="D536" s="3">
        <v>400</v>
      </c>
      <c r="E536" s="45">
        <v>2.91</v>
      </c>
      <c r="F536" s="46">
        <v>3.27</v>
      </c>
      <c r="G536" s="47">
        <f t="shared" si="59"/>
        <v>143.99999999999994</v>
      </c>
    </row>
    <row r="537" spans="2:12" hidden="1" x14ac:dyDescent="0.3">
      <c r="B537" s="44">
        <v>45645</v>
      </c>
      <c r="C537" t="s">
        <v>383</v>
      </c>
      <c r="D537" s="3">
        <v>100</v>
      </c>
      <c r="E537" s="45">
        <v>2.88</v>
      </c>
      <c r="F537" s="46">
        <v>3.27</v>
      </c>
      <c r="G537" s="47">
        <f t="shared" si="59"/>
        <v>39.000000000000014</v>
      </c>
    </row>
    <row r="538" spans="2:12" hidden="1" x14ac:dyDescent="0.3">
      <c r="B538" s="44">
        <v>45643</v>
      </c>
      <c r="C538" t="s">
        <v>166</v>
      </c>
      <c r="D538" s="3">
        <v>1</v>
      </c>
      <c r="E538" s="45">
        <v>42.7</v>
      </c>
      <c r="F538" s="46">
        <v>51</v>
      </c>
      <c r="G538" s="47">
        <f t="shared" si="59"/>
        <v>8.2999999999999972</v>
      </c>
      <c r="I538">
        <f t="shared" ref="I538:I551" si="72">+E538*1.1</f>
        <v>46.970000000000006</v>
      </c>
      <c r="K538">
        <f t="shared" ref="K538:K545" si="73">IF(F538=0,1,0)</f>
        <v>0</v>
      </c>
      <c r="L538" s="24">
        <f t="shared" ref="L538:L545" si="74">+D538*E538</f>
        <v>42.7</v>
      </c>
    </row>
    <row r="539" spans="2:12" hidden="1" x14ac:dyDescent="0.3">
      <c r="B539" s="44">
        <v>45663</v>
      </c>
      <c r="C539" t="s">
        <v>166</v>
      </c>
      <c r="D539" s="3">
        <v>4</v>
      </c>
      <c r="E539" s="45">
        <v>45.4</v>
      </c>
      <c r="F539" s="46">
        <v>51</v>
      </c>
      <c r="G539" s="47">
        <f t="shared" si="59"/>
        <v>22.400000000000006</v>
      </c>
      <c r="I539">
        <f t="shared" si="72"/>
        <v>49.940000000000005</v>
      </c>
      <c r="K539">
        <f t="shared" si="73"/>
        <v>0</v>
      </c>
      <c r="L539" s="24">
        <f t="shared" si="74"/>
        <v>181.6</v>
      </c>
    </row>
    <row r="540" spans="2:12" hidden="1" x14ac:dyDescent="0.3">
      <c r="B540" s="44">
        <v>45624</v>
      </c>
      <c r="C540" t="s">
        <v>181</v>
      </c>
      <c r="D540" s="85">
        <v>44</v>
      </c>
      <c r="E540" s="45">
        <v>10.5</v>
      </c>
      <c r="F540" s="46">
        <v>11.47</v>
      </c>
      <c r="G540" s="47">
        <f t="shared" si="59"/>
        <v>42.680000000000028</v>
      </c>
      <c r="I540">
        <f t="shared" si="72"/>
        <v>11.55</v>
      </c>
      <c r="K540">
        <f t="shared" si="73"/>
        <v>0</v>
      </c>
      <c r="L540" s="24">
        <f t="shared" si="74"/>
        <v>462</v>
      </c>
    </row>
    <row r="541" spans="2:12" hidden="1" x14ac:dyDescent="0.3">
      <c r="B541" s="44">
        <v>45643</v>
      </c>
      <c r="C541" t="s">
        <v>181</v>
      </c>
      <c r="D541" s="85">
        <v>32</v>
      </c>
      <c r="E541" s="45">
        <v>10.8</v>
      </c>
      <c r="F541" s="46">
        <v>11.47</v>
      </c>
      <c r="G541" s="47">
        <f t="shared" si="59"/>
        <v>21.439999999999998</v>
      </c>
      <c r="I541">
        <f t="shared" si="72"/>
        <v>11.880000000000003</v>
      </c>
      <c r="K541">
        <f t="shared" si="73"/>
        <v>0</v>
      </c>
      <c r="L541" s="24">
        <f t="shared" si="74"/>
        <v>345.6</v>
      </c>
    </row>
    <row r="542" spans="2:12" hidden="1" x14ac:dyDescent="0.3">
      <c r="B542" s="44">
        <v>45644</v>
      </c>
      <c r="C542" t="s">
        <v>181</v>
      </c>
      <c r="D542" s="85">
        <v>20</v>
      </c>
      <c r="E542" s="45">
        <v>10.65</v>
      </c>
      <c r="F542" s="46">
        <v>11.47</v>
      </c>
      <c r="G542" s="47">
        <f t="shared" si="59"/>
        <v>16.400000000000006</v>
      </c>
      <c r="I542">
        <f t="shared" si="72"/>
        <v>11.715000000000002</v>
      </c>
      <c r="K542">
        <f t="shared" si="73"/>
        <v>0</v>
      </c>
      <c r="L542" s="24">
        <f t="shared" si="74"/>
        <v>213</v>
      </c>
    </row>
    <row r="543" spans="2:12" hidden="1" x14ac:dyDescent="0.3">
      <c r="B543" s="44">
        <v>45649</v>
      </c>
      <c r="C543" t="s">
        <v>181</v>
      </c>
      <c r="D543" s="85">
        <v>14</v>
      </c>
      <c r="E543" s="45">
        <v>10.25</v>
      </c>
      <c r="F543" s="46">
        <v>11.47</v>
      </c>
      <c r="G543" s="47">
        <f t="shared" si="59"/>
        <v>17.080000000000009</v>
      </c>
      <c r="I543">
        <f t="shared" si="72"/>
        <v>11.275</v>
      </c>
      <c r="K543">
        <f t="shared" si="73"/>
        <v>0</v>
      </c>
      <c r="L543" s="24">
        <f t="shared" si="74"/>
        <v>143.5</v>
      </c>
    </row>
    <row r="544" spans="2:12" hidden="1" x14ac:dyDescent="0.3">
      <c r="B544" s="44">
        <v>45665</v>
      </c>
      <c r="C544" t="s">
        <v>166</v>
      </c>
      <c r="D544" s="3">
        <v>10</v>
      </c>
      <c r="E544" s="45">
        <v>45</v>
      </c>
      <c r="F544" s="46">
        <v>51</v>
      </c>
      <c r="G544" s="47">
        <f t="shared" si="59"/>
        <v>60</v>
      </c>
      <c r="I544">
        <f t="shared" si="72"/>
        <v>49.500000000000007</v>
      </c>
      <c r="K544">
        <f t="shared" si="73"/>
        <v>0</v>
      </c>
      <c r="L544" s="24">
        <f t="shared" si="74"/>
        <v>450</v>
      </c>
    </row>
    <row r="545" spans="2:12" hidden="1" x14ac:dyDescent="0.3">
      <c r="B545" s="44">
        <v>45665</v>
      </c>
      <c r="C545" t="s">
        <v>181</v>
      </c>
      <c r="D545" s="3">
        <v>140</v>
      </c>
      <c r="E545" s="45">
        <v>10.5</v>
      </c>
      <c r="F545" s="46">
        <v>11</v>
      </c>
      <c r="G545" s="47">
        <f t="shared" si="59"/>
        <v>70</v>
      </c>
      <c r="I545">
        <f t="shared" si="72"/>
        <v>11.55</v>
      </c>
      <c r="K545">
        <f t="shared" si="73"/>
        <v>0</v>
      </c>
      <c r="L545" s="24">
        <f t="shared" si="74"/>
        <v>1470</v>
      </c>
    </row>
    <row r="546" spans="2:12" hidden="1" x14ac:dyDescent="0.3">
      <c r="B546" s="44">
        <v>45637</v>
      </c>
      <c r="C546" t="s">
        <v>26</v>
      </c>
      <c r="D546" s="3">
        <v>12</v>
      </c>
      <c r="E546" s="45">
        <v>80</v>
      </c>
      <c r="F546" s="46">
        <v>83</v>
      </c>
      <c r="G546" s="47">
        <f t="shared" si="59"/>
        <v>36</v>
      </c>
      <c r="I546">
        <f t="shared" si="72"/>
        <v>88</v>
      </c>
    </row>
    <row r="547" spans="2:12" hidden="1" x14ac:dyDescent="0.3">
      <c r="B547" s="44">
        <v>45673</v>
      </c>
      <c r="C547" t="s">
        <v>181</v>
      </c>
      <c r="D547" s="85">
        <v>30</v>
      </c>
      <c r="E547" s="45">
        <v>11</v>
      </c>
      <c r="F547" s="46">
        <v>11.47</v>
      </c>
      <c r="G547" s="47">
        <f t="shared" si="59"/>
        <v>14.100000000000019</v>
      </c>
      <c r="I547">
        <f t="shared" si="72"/>
        <v>12.100000000000001</v>
      </c>
      <c r="K547">
        <f t="shared" ref="K547:K548" si="75">IF(F547=0,1,0)</f>
        <v>0</v>
      </c>
      <c r="L547" s="24">
        <f t="shared" ref="L547:L548" si="76">+D547*E547</f>
        <v>330</v>
      </c>
    </row>
    <row r="548" spans="2:12" x14ac:dyDescent="0.3">
      <c r="B548" s="44">
        <v>45656</v>
      </c>
      <c r="C548" t="s">
        <v>165</v>
      </c>
      <c r="D548" s="3">
        <v>10</v>
      </c>
      <c r="E548" s="45">
        <v>28.4</v>
      </c>
      <c r="G548" s="47" t="str">
        <f t="shared" si="59"/>
        <v/>
      </c>
      <c r="I548">
        <f t="shared" si="72"/>
        <v>31.240000000000002</v>
      </c>
      <c r="K548">
        <f t="shared" si="75"/>
        <v>1</v>
      </c>
      <c r="L548" s="24">
        <f t="shared" si="76"/>
        <v>284</v>
      </c>
    </row>
    <row r="549" spans="2:12" hidden="1" x14ac:dyDescent="0.3">
      <c r="B549" s="44">
        <v>45645</v>
      </c>
      <c r="C549" t="s">
        <v>26</v>
      </c>
      <c r="D549" s="3">
        <v>8</v>
      </c>
      <c r="E549" s="45">
        <v>78.5</v>
      </c>
      <c r="F549" s="46">
        <v>83</v>
      </c>
      <c r="G549" s="47">
        <f t="shared" si="59"/>
        <v>36</v>
      </c>
      <c r="I549">
        <f t="shared" si="72"/>
        <v>86.350000000000009</v>
      </c>
    </row>
    <row r="550" spans="2:12" hidden="1" x14ac:dyDescent="0.3">
      <c r="B550" s="44">
        <v>45646</v>
      </c>
      <c r="C550" t="s">
        <v>26</v>
      </c>
      <c r="D550" s="3">
        <v>13</v>
      </c>
      <c r="E550" s="45">
        <v>76.5</v>
      </c>
      <c r="F550" s="46">
        <v>79</v>
      </c>
      <c r="G550" s="47">
        <f t="shared" si="59"/>
        <v>32.5</v>
      </c>
      <c r="I550">
        <f t="shared" si="72"/>
        <v>84.15</v>
      </c>
    </row>
    <row r="551" spans="2:12" x14ac:dyDescent="0.3">
      <c r="B551" s="44">
        <v>45672</v>
      </c>
      <c r="C551" t="s">
        <v>165</v>
      </c>
      <c r="D551" s="3">
        <v>10</v>
      </c>
      <c r="E551" s="45">
        <v>26</v>
      </c>
      <c r="G551" s="47" t="str">
        <f t="shared" si="59"/>
        <v/>
      </c>
      <c r="I551">
        <f t="shared" si="72"/>
        <v>28.6</v>
      </c>
      <c r="K551">
        <f>IF(F551=0,1,0)</f>
        <v>1</v>
      </c>
      <c r="L551" s="24">
        <f>+D551*E551</f>
        <v>260</v>
      </c>
    </row>
    <row r="552" spans="2:12" hidden="1" x14ac:dyDescent="0.3">
      <c r="B552" s="44">
        <v>45643</v>
      </c>
      <c r="C552" t="s">
        <v>6</v>
      </c>
      <c r="D552" s="3">
        <v>44</v>
      </c>
      <c r="E552" s="45">
        <v>35.4</v>
      </c>
      <c r="F552" s="46">
        <v>36</v>
      </c>
      <c r="G552" s="47">
        <f t="shared" si="59"/>
        <v>26.400000000000063</v>
      </c>
    </row>
    <row r="553" spans="2:12" hidden="1" x14ac:dyDescent="0.3">
      <c r="B553" s="44">
        <v>45643</v>
      </c>
      <c r="C553" t="s">
        <v>25</v>
      </c>
      <c r="D553" s="3">
        <v>500</v>
      </c>
      <c r="E553" s="45">
        <v>3.35</v>
      </c>
      <c r="F553" s="46">
        <v>3.88</v>
      </c>
      <c r="G553" s="47">
        <f t="shared" si="59"/>
        <v>264.99999999999989</v>
      </c>
      <c r="I553">
        <f t="shared" ref="I553:I586" si="77">+E553*1.1</f>
        <v>3.6850000000000005</v>
      </c>
      <c r="K553">
        <f t="shared" ref="K553:K564" si="78">IF(F553=0,1,0)</f>
        <v>0</v>
      </c>
      <c r="L553" s="24">
        <f t="shared" ref="L553:L564" si="79">+D553*E553</f>
        <v>1675</v>
      </c>
    </row>
    <row r="554" spans="2:12" x14ac:dyDescent="0.3">
      <c r="B554" s="44">
        <v>45674</v>
      </c>
      <c r="C554" t="s">
        <v>165</v>
      </c>
      <c r="D554" s="3">
        <v>60</v>
      </c>
      <c r="E554" s="45">
        <v>25.82</v>
      </c>
      <c r="G554" s="47" t="str">
        <f t="shared" si="59"/>
        <v/>
      </c>
      <c r="I554">
        <f t="shared" si="77"/>
        <v>28.402000000000001</v>
      </c>
      <c r="K554">
        <f t="shared" si="78"/>
        <v>1</v>
      </c>
      <c r="L554" s="24">
        <f t="shared" si="79"/>
        <v>1549.2</v>
      </c>
    </row>
    <row r="555" spans="2:12" x14ac:dyDescent="0.3">
      <c r="B555" s="44">
        <v>45677</v>
      </c>
      <c r="C555" t="s">
        <v>166</v>
      </c>
      <c r="D555" s="3">
        <v>5</v>
      </c>
      <c r="E555" s="45">
        <v>50</v>
      </c>
      <c r="G555" s="47" t="str">
        <f t="shared" si="59"/>
        <v/>
      </c>
      <c r="I555">
        <f t="shared" si="77"/>
        <v>55.000000000000007</v>
      </c>
      <c r="K555">
        <f t="shared" si="78"/>
        <v>1</v>
      </c>
      <c r="L555" s="24">
        <f t="shared" si="79"/>
        <v>250</v>
      </c>
    </row>
    <row r="556" spans="2:12" x14ac:dyDescent="0.3">
      <c r="B556" s="44">
        <v>45656</v>
      </c>
      <c r="C556" t="s">
        <v>181</v>
      </c>
      <c r="D556" s="3">
        <v>90</v>
      </c>
      <c r="E556" s="45">
        <v>10.75</v>
      </c>
      <c r="G556" s="47" t="str">
        <f t="shared" si="59"/>
        <v/>
      </c>
      <c r="I556">
        <f t="shared" si="77"/>
        <v>11.825000000000001</v>
      </c>
      <c r="K556">
        <f t="shared" si="78"/>
        <v>1</v>
      </c>
      <c r="L556" s="24">
        <f t="shared" si="79"/>
        <v>967.5</v>
      </c>
    </row>
    <row r="557" spans="2:12" x14ac:dyDescent="0.3">
      <c r="B557" s="44">
        <v>45673</v>
      </c>
      <c r="C557" t="s">
        <v>181</v>
      </c>
      <c r="D557" s="3">
        <v>75</v>
      </c>
      <c r="E557" s="45">
        <v>10.5</v>
      </c>
      <c r="G557" s="47" t="str">
        <f t="shared" si="59"/>
        <v/>
      </c>
      <c r="I557">
        <f t="shared" si="77"/>
        <v>11.55</v>
      </c>
      <c r="K557">
        <f t="shared" si="78"/>
        <v>1</v>
      </c>
      <c r="L557" s="24">
        <f t="shared" si="79"/>
        <v>787.5</v>
      </c>
    </row>
    <row r="558" spans="2:12" x14ac:dyDescent="0.3">
      <c r="B558" s="44">
        <v>45665</v>
      </c>
      <c r="C558" t="s">
        <v>181</v>
      </c>
      <c r="D558" s="3">
        <v>10</v>
      </c>
      <c r="E558" s="45">
        <v>10.5</v>
      </c>
      <c r="G558" s="47" t="str">
        <f t="shared" si="59"/>
        <v/>
      </c>
      <c r="I558">
        <f t="shared" si="77"/>
        <v>11.55</v>
      </c>
      <c r="K558">
        <f t="shared" si="78"/>
        <v>1</v>
      </c>
      <c r="L558" s="24">
        <f t="shared" si="79"/>
        <v>105</v>
      </c>
    </row>
    <row r="559" spans="2:12" x14ac:dyDescent="0.3">
      <c r="B559" s="44">
        <v>45649</v>
      </c>
      <c r="C559" t="s">
        <v>18</v>
      </c>
      <c r="D559" s="3">
        <v>3</v>
      </c>
      <c r="E559" s="45">
        <v>195</v>
      </c>
      <c r="G559" s="47" t="str">
        <f t="shared" si="59"/>
        <v/>
      </c>
      <c r="I559">
        <f t="shared" si="77"/>
        <v>214.50000000000003</v>
      </c>
      <c r="K559">
        <f t="shared" si="78"/>
        <v>1</v>
      </c>
      <c r="L559" s="24">
        <f t="shared" si="79"/>
        <v>585</v>
      </c>
    </row>
    <row r="560" spans="2:12" x14ac:dyDescent="0.3">
      <c r="B560" s="44">
        <v>45670</v>
      </c>
      <c r="C560" t="s">
        <v>18</v>
      </c>
      <c r="D560" s="3">
        <v>3</v>
      </c>
      <c r="E560" s="45">
        <v>196</v>
      </c>
      <c r="G560" s="47" t="str">
        <f t="shared" si="59"/>
        <v/>
      </c>
      <c r="I560">
        <f t="shared" si="77"/>
        <v>215.60000000000002</v>
      </c>
      <c r="K560">
        <f t="shared" si="78"/>
        <v>1</v>
      </c>
      <c r="L560" s="24">
        <f t="shared" si="79"/>
        <v>588</v>
      </c>
    </row>
    <row r="561" spans="2:12" x14ac:dyDescent="0.3">
      <c r="B561" s="44">
        <v>45600</v>
      </c>
      <c r="C561" t="s">
        <v>20</v>
      </c>
      <c r="D561" s="3">
        <v>140</v>
      </c>
      <c r="E561" s="45">
        <v>14.5</v>
      </c>
      <c r="G561" s="47" t="str">
        <f t="shared" si="59"/>
        <v/>
      </c>
      <c r="I561">
        <f t="shared" si="77"/>
        <v>15.950000000000001</v>
      </c>
      <c r="K561">
        <f t="shared" si="78"/>
        <v>1</v>
      </c>
      <c r="L561" s="24">
        <f t="shared" si="79"/>
        <v>2030</v>
      </c>
    </row>
    <row r="562" spans="2:12" x14ac:dyDescent="0.3">
      <c r="B562" s="44">
        <v>45601</v>
      </c>
      <c r="C562" t="s">
        <v>20</v>
      </c>
      <c r="D562" s="3">
        <v>50</v>
      </c>
      <c r="E562" s="45">
        <v>13.64</v>
      </c>
      <c r="G562" s="47" t="str">
        <f t="shared" si="59"/>
        <v/>
      </c>
      <c r="I562">
        <f t="shared" si="77"/>
        <v>15.004000000000001</v>
      </c>
      <c r="K562">
        <f t="shared" si="78"/>
        <v>1</v>
      </c>
      <c r="L562" s="24">
        <f t="shared" si="79"/>
        <v>682</v>
      </c>
    </row>
    <row r="563" spans="2:12" x14ac:dyDescent="0.3">
      <c r="B563" s="44">
        <v>45636</v>
      </c>
      <c r="C563" t="s">
        <v>20</v>
      </c>
      <c r="D563" s="3">
        <v>90</v>
      </c>
      <c r="E563" s="45">
        <v>14.4</v>
      </c>
      <c r="G563" s="47" t="str">
        <f t="shared" si="59"/>
        <v/>
      </c>
      <c r="I563">
        <f t="shared" si="77"/>
        <v>15.840000000000002</v>
      </c>
      <c r="K563">
        <f t="shared" si="78"/>
        <v>1</v>
      </c>
      <c r="L563" s="24">
        <f t="shared" si="79"/>
        <v>1296</v>
      </c>
    </row>
    <row r="564" spans="2:12" x14ac:dyDescent="0.3">
      <c r="B564" s="44">
        <v>45644</v>
      </c>
      <c r="C564" t="s">
        <v>20</v>
      </c>
      <c r="D564" s="3">
        <v>200</v>
      </c>
      <c r="E564" s="45">
        <v>14.75</v>
      </c>
      <c r="G564" s="47" t="str">
        <f t="shared" si="59"/>
        <v/>
      </c>
      <c r="I564">
        <f t="shared" si="77"/>
        <v>16.225000000000001</v>
      </c>
      <c r="K564">
        <f t="shared" si="78"/>
        <v>1</v>
      </c>
      <c r="L564" s="24">
        <f t="shared" si="79"/>
        <v>2950</v>
      </c>
    </row>
    <row r="565" spans="2:12" hidden="1" x14ac:dyDescent="0.3">
      <c r="B565" s="44">
        <v>45624</v>
      </c>
      <c r="C565" t="s">
        <v>383</v>
      </c>
      <c r="D565" s="3">
        <v>500</v>
      </c>
      <c r="E565" s="45">
        <v>3</v>
      </c>
      <c r="F565" s="46">
        <v>3.2</v>
      </c>
      <c r="G565" s="47">
        <f t="shared" si="59"/>
        <v>100.00000000000009</v>
      </c>
      <c r="I565">
        <f t="shared" si="77"/>
        <v>3.3000000000000003</v>
      </c>
    </row>
    <row r="566" spans="2:12" hidden="1" x14ac:dyDescent="0.3">
      <c r="B566" s="44">
        <v>45625</v>
      </c>
      <c r="C566" t="s">
        <v>404</v>
      </c>
      <c r="D566" s="3">
        <v>13</v>
      </c>
      <c r="E566" s="45">
        <v>18.600000000000001</v>
      </c>
      <c r="F566" s="46">
        <v>21</v>
      </c>
      <c r="G566" s="47">
        <f t="shared" ref="G566:G629" si="80">IF(E566=0,"",IF(F566="","",(F566-E566)*D566))</f>
        <v>31.199999999999982</v>
      </c>
      <c r="I566">
        <f t="shared" si="77"/>
        <v>20.460000000000004</v>
      </c>
    </row>
    <row r="567" spans="2:12" hidden="1" x14ac:dyDescent="0.3">
      <c r="B567" s="44">
        <v>45644</v>
      </c>
      <c r="C567" t="s">
        <v>404</v>
      </c>
      <c r="D567" s="3">
        <v>10</v>
      </c>
      <c r="E567" s="45">
        <v>19.7</v>
      </c>
      <c r="F567" s="46">
        <v>21</v>
      </c>
      <c r="G567" s="47">
        <f t="shared" si="80"/>
        <v>13.000000000000007</v>
      </c>
      <c r="I567">
        <f t="shared" si="77"/>
        <v>21.67</v>
      </c>
    </row>
    <row r="568" spans="2:12" hidden="1" x14ac:dyDescent="0.3">
      <c r="B568" s="44">
        <v>45645</v>
      </c>
      <c r="C568" t="s">
        <v>404</v>
      </c>
      <c r="D568" s="3">
        <v>5</v>
      </c>
      <c r="E568" s="45">
        <v>20</v>
      </c>
      <c r="F568" s="46">
        <v>21</v>
      </c>
      <c r="G568" s="47">
        <f t="shared" si="80"/>
        <v>5</v>
      </c>
      <c r="I568">
        <f t="shared" si="77"/>
        <v>22</v>
      </c>
    </row>
    <row r="569" spans="2:12" hidden="1" x14ac:dyDescent="0.3">
      <c r="B569" s="44">
        <v>45649</v>
      </c>
      <c r="C569" t="s">
        <v>404</v>
      </c>
      <c r="D569" s="3">
        <v>5</v>
      </c>
      <c r="E569" s="45">
        <v>20</v>
      </c>
      <c r="F569" s="46">
        <v>21</v>
      </c>
      <c r="G569" s="47">
        <f t="shared" si="80"/>
        <v>5</v>
      </c>
      <c r="I569">
        <f t="shared" si="77"/>
        <v>22</v>
      </c>
    </row>
    <row r="570" spans="2:12" x14ac:dyDescent="0.3">
      <c r="B570" s="44">
        <v>45644</v>
      </c>
      <c r="C570" t="s">
        <v>20</v>
      </c>
      <c r="D570" s="3">
        <v>120</v>
      </c>
      <c r="E570" s="45">
        <v>14.5</v>
      </c>
      <c r="G570" s="47" t="str">
        <f t="shared" si="80"/>
        <v/>
      </c>
      <c r="I570">
        <f t="shared" si="77"/>
        <v>15.950000000000001</v>
      </c>
      <c r="K570">
        <f t="shared" ref="K570:K580" si="81">IF(F570=0,1,0)</f>
        <v>1</v>
      </c>
      <c r="L570" s="24">
        <f t="shared" ref="L570:L580" si="82">+D570*E570</f>
        <v>1740</v>
      </c>
    </row>
    <row r="571" spans="2:12" x14ac:dyDescent="0.3">
      <c r="B571" s="44">
        <v>45644</v>
      </c>
      <c r="C571" t="s">
        <v>20</v>
      </c>
      <c r="D571" s="3">
        <v>200</v>
      </c>
      <c r="E571" s="45">
        <v>14.1</v>
      </c>
      <c r="G571" s="47" t="str">
        <f t="shared" si="80"/>
        <v/>
      </c>
      <c r="I571">
        <f t="shared" si="77"/>
        <v>15.510000000000002</v>
      </c>
      <c r="K571">
        <f t="shared" si="81"/>
        <v>1</v>
      </c>
      <c r="L571" s="24">
        <f t="shared" si="82"/>
        <v>2820</v>
      </c>
    </row>
    <row r="572" spans="2:12" hidden="1" x14ac:dyDescent="0.3">
      <c r="B572" s="44">
        <v>45645</v>
      </c>
      <c r="C572" t="s">
        <v>202</v>
      </c>
      <c r="D572" s="3">
        <v>4</v>
      </c>
      <c r="E572" s="45">
        <v>26.9</v>
      </c>
      <c r="F572" s="46">
        <v>26</v>
      </c>
      <c r="G572" s="47">
        <f t="shared" si="80"/>
        <v>-3.5999999999999943</v>
      </c>
      <c r="I572">
        <f t="shared" si="77"/>
        <v>29.59</v>
      </c>
      <c r="K572">
        <f t="shared" si="81"/>
        <v>0</v>
      </c>
      <c r="L572" s="24">
        <f t="shared" si="82"/>
        <v>107.6</v>
      </c>
    </row>
    <row r="573" spans="2:12" hidden="1" x14ac:dyDescent="0.3">
      <c r="B573" s="44">
        <v>45646</v>
      </c>
      <c r="C573" t="s">
        <v>202</v>
      </c>
      <c r="D573" s="3">
        <v>4</v>
      </c>
      <c r="E573" s="45">
        <v>26.5</v>
      </c>
      <c r="F573" s="46">
        <v>26</v>
      </c>
      <c r="G573" s="47">
        <f t="shared" si="80"/>
        <v>-2</v>
      </c>
      <c r="I573">
        <f t="shared" si="77"/>
        <v>29.150000000000002</v>
      </c>
      <c r="K573">
        <f t="shared" si="81"/>
        <v>0</v>
      </c>
      <c r="L573" s="24">
        <f t="shared" si="82"/>
        <v>106</v>
      </c>
    </row>
    <row r="574" spans="2:12" hidden="1" x14ac:dyDescent="0.3">
      <c r="B574" s="44">
        <v>45649</v>
      </c>
      <c r="C574" t="s">
        <v>202</v>
      </c>
      <c r="D574" s="3">
        <v>4</v>
      </c>
      <c r="E574" s="45">
        <v>26</v>
      </c>
      <c r="F574" s="46">
        <v>26</v>
      </c>
      <c r="G574" s="47">
        <f t="shared" si="80"/>
        <v>0</v>
      </c>
      <c r="I574">
        <f t="shared" si="77"/>
        <v>28.6</v>
      </c>
      <c r="K574">
        <f t="shared" si="81"/>
        <v>0</v>
      </c>
      <c r="L574" s="24">
        <f t="shared" si="82"/>
        <v>104</v>
      </c>
    </row>
    <row r="575" spans="2:12" hidden="1" x14ac:dyDescent="0.3">
      <c r="B575" s="44">
        <v>45576</v>
      </c>
      <c r="C575" t="s">
        <v>352</v>
      </c>
      <c r="D575" s="3">
        <v>50</v>
      </c>
      <c r="E575" s="45">
        <v>5.85</v>
      </c>
      <c r="F575" s="46">
        <v>6.35</v>
      </c>
      <c r="G575" s="47">
        <f t="shared" si="80"/>
        <v>25</v>
      </c>
      <c r="I575">
        <f t="shared" si="77"/>
        <v>6.4350000000000005</v>
      </c>
      <c r="K575">
        <f t="shared" si="81"/>
        <v>0</v>
      </c>
      <c r="L575" s="24">
        <f t="shared" si="82"/>
        <v>292.5</v>
      </c>
    </row>
    <row r="576" spans="2:12" hidden="1" x14ac:dyDescent="0.3">
      <c r="B576" s="44">
        <v>45643</v>
      </c>
      <c r="C576" t="s">
        <v>352</v>
      </c>
      <c r="D576" s="3">
        <v>85</v>
      </c>
      <c r="E576" s="45">
        <v>5.95</v>
      </c>
      <c r="F576" s="46">
        <v>6.35</v>
      </c>
      <c r="G576" s="47">
        <f t="shared" si="80"/>
        <v>33.999999999999957</v>
      </c>
      <c r="I576">
        <f t="shared" si="77"/>
        <v>6.5450000000000008</v>
      </c>
      <c r="K576">
        <f t="shared" si="81"/>
        <v>0</v>
      </c>
      <c r="L576" s="24">
        <f t="shared" si="82"/>
        <v>505.75</v>
      </c>
    </row>
    <row r="577" spans="2:12" hidden="1" x14ac:dyDescent="0.3">
      <c r="B577" s="44">
        <v>45644</v>
      </c>
      <c r="C577" t="s">
        <v>352</v>
      </c>
      <c r="D577" s="3">
        <v>50</v>
      </c>
      <c r="E577" s="45">
        <v>5.91</v>
      </c>
      <c r="F577" s="46">
        <v>6.35</v>
      </c>
      <c r="G577" s="47">
        <f t="shared" si="80"/>
        <v>21.999999999999975</v>
      </c>
      <c r="I577">
        <f t="shared" si="77"/>
        <v>6.5010000000000003</v>
      </c>
      <c r="K577">
        <f t="shared" si="81"/>
        <v>0</v>
      </c>
      <c r="L577" s="24">
        <f t="shared" si="82"/>
        <v>295.5</v>
      </c>
    </row>
    <row r="578" spans="2:12" hidden="1" x14ac:dyDescent="0.3">
      <c r="B578" s="44">
        <v>45645</v>
      </c>
      <c r="C578" t="s">
        <v>352</v>
      </c>
      <c r="D578" s="3">
        <v>35</v>
      </c>
      <c r="E578" s="45">
        <v>5.78</v>
      </c>
      <c r="F578" s="46">
        <v>6.35</v>
      </c>
      <c r="G578" s="47">
        <f t="shared" si="80"/>
        <v>19.949999999999978</v>
      </c>
      <c r="I578">
        <f t="shared" si="77"/>
        <v>6.3580000000000005</v>
      </c>
      <c r="K578">
        <f t="shared" si="81"/>
        <v>0</v>
      </c>
      <c r="L578" s="24">
        <f t="shared" si="82"/>
        <v>202.3</v>
      </c>
    </row>
    <row r="579" spans="2:12" hidden="1" x14ac:dyDescent="0.3">
      <c r="B579" s="44">
        <v>45653</v>
      </c>
      <c r="C579" t="s">
        <v>202</v>
      </c>
      <c r="D579" s="3">
        <v>13</v>
      </c>
      <c r="E579" s="45">
        <v>24.24</v>
      </c>
      <c r="F579" s="46">
        <v>26</v>
      </c>
      <c r="G579" s="47">
        <f t="shared" si="80"/>
        <v>22.88000000000002</v>
      </c>
      <c r="I579">
        <f t="shared" si="77"/>
        <v>26.664000000000001</v>
      </c>
      <c r="K579">
        <f t="shared" si="81"/>
        <v>0</v>
      </c>
      <c r="L579" s="24">
        <f t="shared" si="82"/>
        <v>315.12</v>
      </c>
    </row>
    <row r="580" spans="2:12" hidden="1" x14ac:dyDescent="0.3">
      <c r="B580" s="44">
        <v>45653</v>
      </c>
      <c r="C580" t="s">
        <v>202</v>
      </c>
      <c r="D580" s="3">
        <v>15</v>
      </c>
      <c r="E580" s="45">
        <v>23.8</v>
      </c>
      <c r="F580" s="46">
        <v>26</v>
      </c>
      <c r="G580" s="47">
        <f t="shared" si="80"/>
        <v>32.999999999999986</v>
      </c>
      <c r="I580">
        <f t="shared" si="77"/>
        <v>26.180000000000003</v>
      </c>
      <c r="K580">
        <f t="shared" si="81"/>
        <v>0</v>
      </c>
      <c r="L580" s="24">
        <f t="shared" si="82"/>
        <v>357</v>
      </c>
    </row>
    <row r="581" spans="2:12" hidden="1" x14ac:dyDescent="0.3">
      <c r="B581" s="44">
        <v>45588</v>
      </c>
      <c r="C581" t="s">
        <v>50</v>
      </c>
      <c r="D581" s="3">
        <v>15</v>
      </c>
      <c r="E581" s="45">
        <v>16.5</v>
      </c>
      <c r="F581" s="46">
        <v>19.95</v>
      </c>
      <c r="G581" s="47">
        <f t="shared" si="80"/>
        <v>51.749999999999986</v>
      </c>
      <c r="I581">
        <f t="shared" si="77"/>
        <v>18.150000000000002</v>
      </c>
    </row>
    <row r="582" spans="2:12" hidden="1" x14ac:dyDescent="0.3">
      <c r="B582" s="44">
        <v>45645</v>
      </c>
      <c r="C582" t="s">
        <v>50</v>
      </c>
      <c r="D582" s="3">
        <v>10</v>
      </c>
      <c r="E582" s="45">
        <v>18.5</v>
      </c>
      <c r="F582" s="46">
        <v>19.95</v>
      </c>
      <c r="G582" s="47">
        <f t="shared" si="80"/>
        <v>14.499999999999993</v>
      </c>
      <c r="I582">
        <f t="shared" si="77"/>
        <v>20.350000000000001</v>
      </c>
    </row>
    <row r="583" spans="2:12" hidden="1" x14ac:dyDescent="0.3">
      <c r="B583" s="44">
        <v>45649</v>
      </c>
      <c r="C583" t="s">
        <v>50</v>
      </c>
      <c r="D583" s="3">
        <v>5</v>
      </c>
      <c r="E583" s="45">
        <v>18</v>
      </c>
      <c r="F583" s="46">
        <v>19.95</v>
      </c>
      <c r="G583" s="47">
        <f t="shared" si="80"/>
        <v>9.7499999999999964</v>
      </c>
      <c r="I583">
        <f t="shared" si="77"/>
        <v>19.8</v>
      </c>
    </row>
    <row r="584" spans="2:12" hidden="1" x14ac:dyDescent="0.3">
      <c r="B584" s="44">
        <v>45656</v>
      </c>
      <c r="C584" t="s">
        <v>202</v>
      </c>
      <c r="D584" s="3">
        <v>10</v>
      </c>
      <c r="E584" s="45">
        <v>23.5</v>
      </c>
      <c r="F584" s="46">
        <v>26</v>
      </c>
      <c r="G584" s="47">
        <f t="shared" si="80"/>
        <v>25</v>
      </c>
      <c r="I584">
        <f t="shared" si="77"/>
        <v>25.85</v>
      </c>
      <c r="K584">
        <f t="shared" ref="K584:K586" si="83">IF(F584=0,1,0)</f>
        <v>0</v>
      </c>
      <c r="L584" s="24">
        <f t="shared" ref="L584:L586" si="84">+D584*E584</f>
        <v>235</v>
      </c>
    </row>
    <row r="585" spans="2:12" x14ac:dyDescent="0.3">
      <c r="B585" s="44">
        <v>45645</v>
      </c>
      <c r="C585" t="s">
        <v>20</v>
      </c>
      <c r="D585" s="3">
        <v>140</v>
      </c>
      <c r="E585" s="45">
        <v>13.9</v>
      </c>
      <c r="G585" s="47" t="str">
        <f t="shared" si="80"/>
        <v/>
      </c>
      <c r="I585">
        <f t="shared" si="77"/>
        <v>15.290000000000001</v>
      </c>
      <c r="K585">
        <f t="shared" si="83"/>
        <v>1</v>
      </c>
      <c r="L585" s="24">
        <f t="shared" si="84"/>
        <v>1946</v>
      </c>
    </row>
    <row r="586" spans="2:12" x14ac:dyDescent="0.3">
      <c r="B586" s="44">
        <v>45667</v>
      </c>
      <c r="C586" t="s">
        <v>20</v>
      </c>
      <c r="D586" s="3">
        <v>70</v>
      </c>
      <c r="E586" s="45">
        <v>13.3</v>
      </c>
      <c r="G586" s="47" t="str">
        <f t="shared" si="80"/>
        <v/>
      </c>
      <c r="I586">
        <f t="shared" si="77"/>
        <v>14.630000000000003</v>
      </c>
      <c r="K586">
        <f t="shared" si="83"/>
        <v>1</v>
      </c>
      <c r="L586" s="24">
        <f t="shared" si="84"/>
        <v>931</v>
      </c>
    </row>
    <row r="587" spans="2:12" hidden="1" x14ac:dyDescent="0.3">
      <c r="B587" s="44">
        <v>45646</v>
      </c>
      <c r="C587" t="s">
        <v>20</v>
      </c>
      <c r="D587" s="3">
        <v>75</v>
      </c>
      <c r="E587" s="45">
        <v>13.2</v>
      </c>
      <c r="F587" s="46">
        <v>13.5</v>
      </c>
      <c r="G587" s="47">
        <f t="shared" si="80"/>
        <v>22.500000000000053</v>
      </c>
    </row>
    <row r="588" spans="2:12" hidden="1" x14ac:dyDescent="0.3">
      <c r="B588" s="44">
        <v>45670</v>
      </c>
      <c r="C588" t="s">
        <v>20</v>
      </c>
      <c r="D588" s="3">
        <v>60</v>
      </c>
      <c r="E588" s="45">
        <v>13</v>
      </c>
      <c r="F588" s="46">
        <v>15.18</v>
      </c>
      <c r="G588" s="47">
        <f t="shared" si="80"/>
        <v>130.79999999999998</v>
      </c>
      <c r="I588">
        <f t="shared" ref="I588:I611" si="85">+E588*1.1</f>
        <v>14.3</v>
      </c>
      <c r="K588">
        <f t="shared" ref="K588:K611" si="86">IF(F588=0,1,0)</f>
        <v>0</v>
      </c>
      <c r="L588" s="24">
        <f t="shared" ref="L588:L611" si="87">+D588*E588</f>
        <v>780</v>
      </c>
    </row>
    <row r="589" spans="2:12" x14ac:dyDescent="0.3">
      <c r="B589" s="44">
        <v>45667</v>
      </c>
      <c r="C589" t="s">
        <v>20</v>
      </c>
      <c r="D589" s="3">
        <v>50</v>
      </c>
      <c r="E589" s="45">
        <v>13.2</v>
      </c>
      <c r="G589" s="47" t="str">
        <f t="shared" si="80"/>
        <v/>
      </c>
      <c r="I589">
        <f t="shared" si="85"/>
        <v>14.52</v>
      </c>
      <c r="K589">
        <f t="shared" si="86"/>
        <v>1</v>
      </c>
      <c r="L589" s="24">
        <f t="shared" si="87"/>
        <v>660</v>
      </c>
    </row>
    <row r="590" spans="2:12" x14ac:dyDescent="0.3">
      <c r="B590" s="44">
        <v>45670</v>
      </c>
      <c r="C590" t="s">
        <v>20</v>
      </c>
      <c r="D590" s="3">
        <v>40</v>
      </c>
      <c r="E590" s="45">
        <v>13.1</v>
      </c>
      <c r="G590" s="47" t="str">
        <f t="shared" si="80"/>
        <v/>
      </c>
      <c r="I590">
        <f t="shared" si="85"/>
        <v>14.41</v>
      </c>
      <c r="K590">
        <f t="shared" si="86"/>
        <v>1</v>
      </c>
      <c r="L590" s="24">
        <f t="shared" si="87"/>
        <v>524</v>
      </c>
    </row>
    <row r="591" spans="2:12" x14ac:dyDescent="0.3">
      <c r="B591" s="44">
        <v>45684</v>
      </c>
      <c r="C591" t="s">
        <v>20</v>
      </c>
      <c r="D591" s="3">
        <v>50</v>
      </c>
      <c r="E591" s="45">
        <v>14.2</v>
      </c>
      <c r="G591" s="47" t="str">
        <f t="shared" si="80"/>
        <v/>
      </c>
      <c r="I591">
        <f t="shared" si="85"/>
        <v>15.620000000000001</v>
      </c>
      <c r="K591">
        <f t="shared" si="86"/>
        <v>1</v>
      </c>
      <c r="L591" s="24">
        <f t="shared" si="87"/>
        <v>710</v>
      </c>
    </row>
    <row r="592" spans="2:12" hidden="1" x14ac:dyDescent="0.3">
      <c r="B592" s="44">
        <v>45572</v>
      </c>
      <c r="C592" t="s">
        <v>206</v>
      </c>
      <c r="D592" s="3">
        <v>5</v>
      </c>
      <c r="E592" s="45">
        <v>10</v>
      </c>
      <c r="F592" s="46">
        <v>15.08</v>
      </c>
      <c r="G592" s="47">
        <f t="shared" si="80"/>
        <v>25.4</v>
      </c>
      <c r="I592">
        <f t="shared" si="85"/>
        <v>11</v>
      </c>
      <c r="K592">
        <f t="shared" si="86"/>
        <v>0</v>
      </c>
      <c r="L592" s="24">
        <f t="shared" si="87"/>
        <v>50</v>
      </c>
    </row>
    <row r="593" spans="2:12" hidden="1" x14ac:dyDescent="0.3">
      <c r="B593" s="44">
        <v>45645</v>
      </c>
      <c r="C593" t="s">
        <v>206</v>
      </c>
      <c r="D593" s="3">
        <v>5</v>
      </c>
      <c r="E593" s="45">
        <v>13.5</v>
      </c>
      <c r="F593" s="46">
        <v>15.08</v>
      </c>
      <c r="G593" s="47">
        <f t="shared" si="80"/>
        <v>7.9</v>
      </c>
      <c r="I593">
        <f t="shared" si="85"/>
        <v>14.850000000000001</v>
      </c>
      <c r="K593">
        <f t="shared" si="86"/>
        <v>0</v>
      </c>
      <c r="L593" s="24">
        <f t="shared" si="87"/>
        <v>67.5</v>
      </c>
    </row>
    <row r="594" spans="2:12" hidden="1" x14ac:dyDescent="0.3">
      <c r="B594" s="44">
        <v>45646</v>
      </c>
      <c r="C594" t="s">
        <v>206</v>
      </c>
      <c r="D594" s="3">
        <v>10</v>
      </c>
      <c r="E594" s="45">
        <v>13</v>
      </c>
      <c r="F594" s="46">
        <v>15.08</v>
      </c>
      <c r="G594" s="47">
        <f t="shared" si="80"/>
        <v>20.8</v>
      </c>
      <c r="I594">
        <f t="shared" si="85"/>
        <v>14.3</v>
      </c>
      <c r="K594">
        <f t="shared" si="86"/>
        <v>0</v>
      </c>
      <c r="L594" s="24">
        <f t="shared" si="87"/>
        <v>130</v>
      </c>
    </row>
    <row r="595" spans="2:12" hidden="1" x14ac:dyDescent="0.3">
      <c r="B595" s="44">
        <v>45649</v>
      </c>
      <c r="C595" t="s">
        <v>206</v>
      </c>
      <c r="D595" s="3">
        <v>10</v>
      </c>
      <c r="E595" s="45">
        <v>12.85</v>
      </c>
      <c r="F595" s="46">
        <v>15.08</v>
      </c>
      <c r="G595" s="47">
        <f t="shared" si="80"/>
        <v>22.300000000000004</v>
      </c>
      <c r="I595">
        <f t="shared" si="85"/>
        <v>14.135000000000002</v>
      </c>
      <c r="K595">
        <f t="shared" si="86"/>
        <v>0</v>
      </c>
      <c r="L595" s="24">
        <f t="shared" si="87"/>
        <v>128.5</v>
      </c>
    </row>
    <row r="596" spans="2:12" hidden="1" x14ac:dyDescent="0.3">
      <c r="B596" s="44">
        <v>45569</v>
      </c>
      <c r="C596" t="s">
        <v>423</v>
      </c>
      <c r="D596" s="3">
        <v>5</v>
      </c>
      <c r="E596" s="45">
        <v>8.5500000000000007</v>
      </c>
      <c r="F596" s="46">
        <v>9</v>
      </c>
      <c r="G596" s="47">
        <f t="shared" si="80"/>
        <v>2.2499999999999964</v>
      </c>
      <c r="I596">
        <f t="shared" si="85"/>
        <v>9.4050000000000011</v>
      </c>
      <c r="K596">
        <f t="shared" si="86"/>
        <v>0</v>
      </c>
      <c r="L596" s="24">
        <f t="shared" si="87"/>
        <v>42.75</v>
      </c>
    </row>
    <row r="597" spans="2:12" hidden="1" x14ac:dyDescent="0.3">
      <c r="B597" s="44">
        <v>45636</v>
      </c>
      <c r="C597" t="s">
        <v>423</v>
      </c>
      <c r="D597" s="3">
        <v>150</v>
      </c>
      <c r="E597" s="45">
        <v>8</v>
      </c>
      <c r="F597" s="46">
        <v>9</v>
      </c>
      <c r="G597" s="47">
        <f t="shared" si="80"/>
        <v>150</v>
      </c>
      <c r="I597">
        <f t="shared" si="85"/>
        <v>8.8000000000000007</v>
      </c>
      <c r="K597">
        <f t="shared" si="86"/>
        <v>0</v>
      </c>
      <c r="L597" s="24">
        <f t="shared" si="87"/>
        <v>1200</v>
      </c>
    </row>
    <row r="598" spans="2:12" x14ac:dyDescent="0.3">
      <c r="B598" s="44">
        <v>45644</v>
      </c>
      <c r="C598" t="s">
        <v>220</v>
      </c>
      <c r="D598" s="3">
        <v>10</v>
      </c>
      <c r="E598" s="45">
        <v>25.8</v>
      </c>
      <c r="G598" s="47" t="str">
        <f t="shared" si="80"/>
        <v/>
      </c>
      <c r="I598">
        <f t="shared" si="85"/>
        <v>28.380000000000003</v>
      </c>
      <c r="K598">
        <f t="shared" si="86"/>
        <v>1</v>
      </c>
      <c r="L598" s="24">
        <f t="shared" si="87"/>
        <v>258</v>
      </c>
    </row>
    <row r="599" spans="2:12" x14ac:dyDescent="0.3">
      <c r="B599" s="44">
        <v>45645</v>
      </c>
      <c r="C599" t="s">
        <v>220</v>
      </c>
      <c r="D599" s="3">
        <v>5</v>
      </c>
      <c r="E599" s="45">
        <v>25.3</v>
      </c>
      <c r="G599" s="47" t="str">
        <f t="shared" si="80"/>
        <v/>
      </c>
      <c r="I599">
        <f t="shared" si="85"/>
        <v>27.830000000000002</v>
      </c>
      <c r="K599">
        <f t="shared" si="86"/>
        <v>1</v>
      </c>
      <c r="L599" s="24">
        <f t="shared" si="87"/>
        <v>126.5</v>
      </c>
    </row>
    <row r="600" spans="2:12" x14ac:dyDescent="0.3">
      <c r="B600" s="44">
        <v>45652</v>
      </c>
      <c r="C600" t="s">
        <v>220</v>
      </c>
      <c r="D600" s="3">
        <v>25</v>
      </c>
      <c r="E600" s="45">
        <v>24.7</v>
      </c>
      <c r="G600" s="47" t="str">
        <f t="shared" si="80"/>
        <v/>
      </c>
      <c r="I600">
        <f t="shared" si="85"/>
        <v>27.17</v>
      </c>
      <c r="K600">
        <f t="shared" si="86"/>
        <v>1</v>
      </c>
      <c r="L600" s="24">
        <f t="shared" si="87"/>
        <v>617.5</v>
      </c>
    </row>
    <row r="601" spans="2:12" x14ac:dyDescent="0.3">
      <c r="B601" s="44">
        <v>45665</v>
      </c>
      <c r="C601" t="s">
        <v>220</v>
      </c>
      <c r="D601" s="3">
        <v>10</v>
      </c>
      <c r="E601" s="45">
        <v>24</v>
      </c>
      <c r="G601" s="47" t="str">
        <f t="shared" si="80"/>
        <v/>
      </c>
      <c r="I601">
        <f t="shared" si="85"/>
        <v>26.400000000000002</v>
      </c>
      <c r="K601">
        <f t="shared" si="86"/>
        <v>1</v>
      </c>
      <c r="L601" s="24">
        <f t="shared" si="87"/>
        <v>240</v>
      </c>
    </row>
    <row r="602" spans="2:12" x14ac:dyDescent="0.3">
      <c r="B602" s="44">
        <v>45670</v>
      </c>
      <c r="C602" t="s">
        <v>220</v>
      </c>
      <c r="D602" s="3">
        <v>10</v>
      </c>
      <c r="E602" s="45">
        <v>23.5</v>
      </c>
      <c r="G602" s="47" t="str">
        <f t="shared" si="80"/>
        <v/>
      </c>
      <c r="I602">
        <f t="shared" si="85"/>
        <v>25.85</v>
      </c>
      <c r="K602">
        <f t="shared" si="86"/>
        <v>1</v>
      </c>
      <c r="L602" s="24">
        <f t="shared" si="87"/>
        <v>235</v>
      </c>
    </row>
    <row r="603" spans="2:12" x14ac:dyDescent="0.3">
      <c r="B603" s="44">
        <v>45671</v>
      </c>
      <c r="C603" t="s">
        <v>220</v>
      </c>
      <c r="D603" s="3">
        <v>10</v>
      </c>
      <c r="E603" s="45">
        <v>23</v>
      </c>
      <c r="G603" s="47" t="str">
        <f t="shared" si="80"/>
        <v/>
      </c>
      <c r="I603">
        <f t="shared" si="85"/>
        <v>25.3</v>
      </c>
      <c r="K603">
        <f t="shared" si="86"/>
        <v>1</v>
      </c>
      <c r="L603" s="24">
        <f t="shared" si="87"/>
        <v>230</v>
      </c>
    </row>
    <row r="604" spans="2:12" x14ac:dyDescent="0.3">
      <c r="B604" s="44">
        <v>45629</v>
      </c>
      <c r="C604" t="s">
        <v>236</v>
      </c>
      <c r="D604" s="3">
        <v>1</v>
      </c>
      <c r="E604" s="45">
        <v>305</v>
      </c>
      <c r="G604" s="47" t="str">
        <f t="shared" si="80"/>
        <v/>
      </c>
      <c r="I604">
        <f t="shared" si="85"/>
        <v>335.5</v>
      </c>
      <c r="K604">
        <f t="shared" si="86"/>
        <v>1</v>
      </c>
      <c r="L604" s="24">
        <f t="shared" si="87"/>
        <v>305</v>
      </c>
    </row>
    <row r="605" spans="2:12" x14ac:dyDescent="0.3">
      <c r="B605" s="44">
        <v>45645</v>
      </c>
      <c r="C605" t="s">
        <v>236</v>
      </c>
      <c r="D605" s="3">
        <v>1</v>
      </c>
      <c r="E605" s="45">
        <v>320</v>
      </c>
      <c r="G605" s="47" t="str">
        <f t="shared" si="80"/>
        <v/>
      </c>
      <c r="I605">
        <f t="shared" si="85"/>
        <v>352</v>
      </c>
      <c r="K605">
        <f t="shared" si="86"/>
        <v>1</v>
      </c>
      <c r="L605" s="24">
        <f t="shared" si="87"/>
        <v>320</v>
      </c>
    </row>
    <row r="606" spans="2:12" x14ac:dyDescent="0.3">
      <c r="B606" s="44">
        <v>45616</v>
      </c>
      <c r="C606" t="s">
        <v>23</v>
      </c>
      <c r="D606" s="3">
        <v>2</v>
      </c>
      <c r="E606" s="45">
        <v>1007</v>
      </c>
      <c r="G606" s="47" t="str">
        <f t="shared" si="80"/>
        <v/>
      </c>
      <c r="I606">
        <f t="shared" si="85"/>
        <v>1107.7</v>
      </c>
      <c r="K606">
        <f t="shared" si="86"/>
        <v>1</v>
      </c>
      <c r="L606" s="24">
        <f t="shared" si="87"/>
        <v>2014</v>
      </c>
    </row>
    <row r="607" spans="2:12" x14ac:dyDescent="0.3">
      <c r="B607" s="44">
        <v>45617</v>
      </c>
      <c r="C607" t="s">
        <v>23</v>
      </c>
      <c r="D607" s="3">
        <v>2</v>
      </c>
      <c r="E607" s="45">
        <v>990</v>
      </c>
      <c r="G607" s="47" t="str">
        <f t="shared" si="80"/>
        <v/>
      </c>
      <c r="I607">
        <f t="shared" si="85"/>
        <v>1089</v>
      </c>
      <c r="K607">
        <f t="shared" si="86"/>
        <v>1</v>
      </c>
      <c r="L607" s="24">
        <f t="shared" si="87"/>
        <v>1980</v>
      </c>
    </row>
    <row r="608" spans="2:12" x14ac:dyDescent="0.3">
      <c r="B608" s="44">
        <v>45644</v>
      </c>
      <c r="C608" t="s">
        <v>23</v>
      </c>
      <c r="D608" s="3">
        <v>3</v>
      </c>
      <c r="E608" s="45">
        <v>960</v>
      </c>
      <c r="G608" s="47" t="str">
        <f t="shared" si="80"/>
        <v/>
      </c>
      <c r="I608">
        <f t="shared" si="85"/>
        <v>1056</v>
      </c>
      <c r="K608">
        <f t="shared" si="86"/>
        <v>1</v>
      </c>
      <c r="L608" s="24">
        <f t="shared" si="87"/>
        <v>2880</v>
      </c>
    </row>
    <row r="609" spans="2:12" x14ac:dyDescent="0.3">
      <c r="B609" s="44">
        <v>45649</v>
      </c>
      <c r="C609" t="s">
        <v>23</v>
      </c>
      <c r="D609" s="3">
        <v>1</v>
      </c>
      <c r="E609" s="45">
        <v>940</v>
      </c>
      <c r="G609" s="47" t="str">
        <f t="shared" si="80"/>
        <v/>
      </c>
      <c r="I609">
        <f t="shared" si="85"/>
        <v>1034</v>
      </c>
      <c r="K609">
        <f t="shared" si="86"/>
        <v>1</v>
      </c>
      <c r="L609" s="24">
        <f t="shared" si="87"/>
        <v>940</v>
      </c>
    </row>
    <row r="610" spans="2:12" x14ac:dyDescent="0.3">
      <c r="B610" s="44">
        <v>45667</v>
      </c>
      <c r="C610" t="s">
        <v>23</v>
      </c>
      <c r="D610" s="3">
        <v>1</v>
      </c>
      <c r="E610" s="45">
        <v>925</v>
      </c>
      <c r="G610" s="47" t="str">
        <f t="shared" si="80"/>
        <v/>
      </c>
      <c r="I610">
        <f t="shared" si="85"/>
        <v>1017.5000000000001</v>
      </c>
      <c r="K610">
        <f t="shared" si="86"/>
        <v>1</v>
      </c>
      <c r="L610" s="24">
        <f t="shared" si="87"/>
        <v>925</v>
      </c>
    </row>
    <row r="611" spans="2:12" hidden="1" x14ac:dyDescent="0.3">
      <c r="B611" s="44">
        <v>45624</v>
      </c>
      <c r="C611" t="s">
        <v>249</v>
      </c>
      <c r="D611" s="3">
        <v>10</v>
      </c>
      <c r="E611" s="45">
        <v>48</v>
      </c>
      <c r="F611" s="46">
        <v>53.5</v>
      </c>
      <c r="G611" s="47">
        <f t="shared" si="80"/>
        <v>55</v>
      </c>
      <c r="I611">
        <f t="shared" si="85"/>
        <v>52.800000000000004</v>
      </c>
      <c r="K611">
        <f t="shared" si="86"/>
        <v>0</v>
      </c>
      <c r="L611" s="24">
        <f t="shared" si="87"/>
        <v>480</v>
      </c>
    </row>
    <row r="612" spans="2:12" hidden="1" x14ac:dyDescent="0.3">
      <c r="B612" s="44">
        <v>45649</v>
      </c>
      <c r="C612" t="s">
        <v>13</v>
      </c>
      <c r="D612" s="3">
        <v>100</v>
      </c>
      <c r="E612" s="45">
        <v>15</v>
      </c>
      <c r="F612" s="46">
        <v>15.5</v>
      </c>
      <c r="G612" s="47">
        <f t="shared" si="80"/>
        <v>50</v>
      </c>
    </row>
    <row r="613" spans="2:12" hidden="1" x14ac:dyDescent="0.3">
      <c r="B613" s="44">
        <v>45624</v>
      </c>
      <c r="C613" t="s">
        <v>249</v>
      </c>
      <c r="D613" s="3">
        <v>20</v>
      </c>
      <c r="E613" s="45">
        <v>46.8</v>
      </c>
      <c r="F613" s="46">
        <v>53.5</v>
      </c>
      <c r="G613" s="47">
        <f t="shared" si="80"/>
        <v>134.00000000000006</v>
      </c>
      <c r="I613">
        <f t="shared" ref="I613:I615" si="88">+E613*1.1</f>
        <v>51.480000000000004</v>
      </c>
      <c r="K613">
        <f t="shared" ref="K613:K615" si="89">IF(F613=0,1,0)</f>
        <v>0</v>
      </c>
      <c r="L613" s="24">
        <f t="shared" ref="L613:L615" si="90">+D613*E613</f>
        <v>936</v>
      </c>
    </row>
    <row r="614" spans="2:12" hidden="1" x14ac:dyDescent="0.3">
      <c r="B614" s="44">
        <v>45643</v>
      </c>
      <c r="C614" t="s">
        <v>249</v>
      </c>
      <c r="D614" s="3">
        <v>10</v>
      </c>
      <c r="E614" s="45">
        <v>50.3</v>
      </c>
      <c r="F614" s="46">
        <v>53.5</v>
      </c>
      <c r="G614" s="47">
        <f t="shared" si="80"/>
        <v>32.000000000000028</v>
      </c>
      <c r="I614">
        <f t="shared" si="88"/>
        <v>55.33</v>
      </c>
      <c r="K614">
        <f t="shared" si="89"/>
        <v>0</v>
      </c>
      <c r="L614" s="24">
        <f t="shared" si="90"/>
        <v>503</v>
      </c>
    </row>
    <row r="615" spans="2:12" hidden="1" x14ac:dyDescent="0.3">
      <c r="B615" s="44">
        <v>45644</v>
      </c>
      <c r="C615" t="s">
        <v>249</v>
      </c>
      <c r="D615" s="3">
        <v>10</v>
      </c>
      <c r="E615" s="45">
        <v>50.9</v>
      </c>
      <c r="F615" s="46">
        <v>53.5</v>
      </c>
      <c r="G615" s="47">
        <f t="shared" si="80"/>
        <v>26.000000000000014</v>
      </c>
      <c r="I615">
        <f t="shared" si="88"/>
        <v>55.99</v>
      </c>
      <c r="K615">
        <f t="shared" si="89"/>
        <v>0</v>
      </c>
      <c r="L615" s="24">
        <f t="shared" si="90"/>
        <v>509</v>
      </c>
    </row>
    <row r="616" spans="2:12" hidden="1" x14ac:dyDescent="0.3">
      <c r="B616" s="44">
        <v>45649</v>
      </c>
      <c r="C616" t="s">
        <v>20</v>
      </c>
      <c r="D616" s="3">
        <v>100</v>
      </c>
      <c r="E616" s="45">
        <v>13.1</v>
      </c>
      <c r="F616" s="46">
        <v>13.5</v>
      </c>
      <c r="G616" s="47">
        <f t="shared" si="80"/>
        <v>40.000000000000036</v>
      </c>
    </row>
    <row r="617" spans="2:12" x14ac:dyDescent="0.3">
      <c r="B617" s="44">
        <v>45645</v>
      </c>
      <c r="C617" t="s">
        <v>249</v>
      </c>
      <c r="D617" s="3">
        <v>40</v>
      </c>
      <c r="E617" s="45">
        <v>50</v>
      </c>
      <c r="G617" s="47" t="str">
        <f t="shared" si="80"/>
        <v/>
      </c>
      <c r="I617">
        <f t="shared" ref="I617:I618" si="91">+E617*1.1</f>
        <v>55.000000000000007</v>
      </c>
      <c r="K617">
        <f t="shared" ref="K617:K618" si="92">IF(F617=0,1,0)</f>
        <v>1</v>
      </c>
      <c r="L617" s="24">
        <f t="shared" ref="L617:L618" si="93">+D617*E617</f>
        <v>2000</v>
      </c>
    </row>
    <row r="618" spans="2:12" hidden="1" x14ac:dyDescent="0.3">
      <c r="B618" s="44">
        <v>45646</v>
      </c>
      <c r="C618" t="s">
        <v>249</v>
      </c>
      <c r="D618" s="3">
        <v>5</v>
      </c>
      <c r="E618" s="45">
        <v>48</v>
      </c>
      <c r="F618" s="46">
        <v>53.5</v>
      </c>
      <c r="G618" s="47">
        <f t="shared" si="80"/>
        <v>27.5</v>
      </c>
      <c r="I618">
        <f t="shared" si="91"/>
        <v>52.800000000000004</v>
      </c>
      <c r="K618">
        <f t="shared" si="92"/>
        <v>0</v>
      </c>
      <c r="L618" s="24">
        <f t="shared" si="93"/>
        <v>240</v>
      </c>
    </row>
    <row r="619" spans="2:12" hidden="1" x14ac:dyDescent="0.3">
      <c r="B619" s="44">
        <v>45643</v>
      </c>
      <c r="C619" t="s">
        <v>166</v>
      </c>
      <c r="D619" s="3">
        <v>7</v>
      </c>
      <c r="E619" s="45">
        <v>42.7</v>
      </c>
      <c r="F619" s="46">
        <v>44.82</v>
      </c>
      <c r="G619" s="47">
        <f t="shared" si="80"/>
        <v>14.839999999999982</v>
      </c>
    </row>
    <row r="620" spans="2:12" hidden="1" x14ac:dyDescent="0.3">
      <c r="B620" s="44">
        <v>45646</v>
      </c>
      <c r="C620" t="s">
        <v>249</v>
      </c>
      <c r="D620" s="3">
        <v>10</v>
      </c>
      <c r="E620" s="45">
        <v>46</v>
      </c>
      <c r="F620" s="46">
        <v>55</v>
      </c>
      <c r="G620" s="47">
        <f t="shared" si="80"/>
        <v>90</v>
      </c>
      <c r="I620">
        <f t="shared" ref="I620:I683" si="94">+E620*1.1</f>
        <v>50.6</v>
      </c>
      <c r="K620">
        <f t="shared" ref="K620:K623" si="95">IF(F620=0,1,0)</f>
        <v>0</v>
      </c>
      <c r="L620" s="24">
        <f t="shared" ref="L620:L623" si="96">+D620*E620</f>
        <v>460</v>
      </c>
    </row>
    <row r="621" spans="2:12" hidden="1" x14ac:dyDescent="0.3">
      <c r="B621" s="44">
        <v>45649</v>
      </c>
      <c r="C621" t="s">
        <v>249</v>
      </c>
      <c r="D621" s="3">
        <v>5</v>
      </c>
      <c r="E621" s="45">
        <v>46</v>
      </c>
      <c r="F621" s="46">
        <v>53.5</v>
      </c>
      <c r="G621" s="47">
        <f t="shared" si="80"/>
        <v>37.5</v>
      </c>
      <c r="I621">
        <f t="shared" si="94"/>
        <v>50.6</v>
      </c>
      <c r="K621">
        <f t="shared" si="95"/>
        <v>0</v>
      </c>
      <c r="L621" s="24">
        <f t="shared" si="96"/>
        <v>230</v>
      </c>
    </row>
    <row r="622" spans="2:12" hidden="1" x14ac:dyDescent="0.3">
      <c r="B622" s="44">
        <v>45650</v>
      </c>
      <c r="C622" t="s">
        <v>249</v>
      </c>
      <c r="D622" s="3">
        <v>5</v>
      </c>
      <c r="E622" s="45">
        <v>45</v>
      </c>
      <c r="F622" s="46">
        <v>53.2</v>
      </c>
      <c r="G622" s="47">
        <f t="shared" si="80"/>
        <v>41.000000000000014</v>
      </c>
      <c r="I622">
        <f t="shared" si="94"/>
        <v>49.500000000000007</v>
      </c>
      <c r="K622">
        <f t="shared" si="95"/>
        <v>0</v>
      </c>
      <c r="L622" s="24">
        <f t="shared" si="96"/>
        <v>225</v>
      </c>
    </row>
    <row r="623" spans="2:12" hidden="1" x14ac:dyDescent="0.3">
      <c r="B623" s="44">
        <v>45667</v>
      </c>
      <c r="C623" t="s">
        <v>249</v>
      </c>
      <c r="D623" s="3">
        <v>11</v>
      </c>
      <c r="E623" s="45">
        <v>47.5</v>
      </c>
      <c r="F623" s="46">
        <v>55</v>
      </c>
      <c r="G623" s="47">
        <f t="shared" si="80"/>
        <v>82.5</v>
      </c>
      <c r="I623">
        <f t="shared" si="94"/>
        <v>52.250000000000007</v>
      </c>
      <c r="K623">
        <f t="shared" si="95"/>
        <v>0</v>
      </c>
      <c r="L623" s="24">
        <f t="shared" si="96"/>
        <v>522.5</v>
      </c>
    </row>
    <row r="624" spans="2:12" hidden="1" x14ac:dyDescent="0.3">
      <c r="B624" s="44">
        <v>45644</v>
      </c>
      <c r="C624" t="s">
        <v>550</v>
      </c>
      <c r="D624" s="3">
        <v>5</v>
      </c>
      <c r="E624" s="45">
        <v>68</v>
      </c>
      <c r="F624" s="46">
        <v>70</v>
      </c>
      <c r="G624" s="47">
        <f t="shared" si="80"/>
        <v>10</v>
      </c>
      <c r="I624">
        <f t="shared" si="94"/>
        <v>74.800000000000011</v>
      </c>
    </row>
    <row r="625" spans="2:12" hidden="1" x14ac:dyDescent="0.3">
      <c r="B625" s="44">
        <v>45644</v>
      </c>
      <c r="C625" t="s">
        <v>550</v>
      </c>
      <c r="D625" s="3">
        <v>10</v>
      </c>
      <c r="E625" s="45">
        <v>67</v>
      </c>
      <c r="F625" s="46">
        <v>70</v>
      </c>
      <c r="G625" s="47">
        <f t="shared" si="80"/>
        <v>30</v>
      </c>
      <c r="I625">
        <f t="shared" si="94"/>
        <v>73.7</v>
      </c>
    </row>
    <row r="626" spans="2:12" hidden="1" x14ac:dyDescent="0.3">
      <c r="B626" s="44">
        <v>45645</v>
      </c>
      <c r="C626" t="s">
        <v>128</v>
      </c>
      <c r="D626" s="3">
        <v>50</v>
      </c>
      <c r="E626" s="45">
        <v>17.5</v>
      </c>
      <c r="F626" s="46">
        <v>18</v>
      </c>
      <c r="G626" s="47">
        <f t="shared" si="80"/>
        <v>25</v>
      </c>
      <c r="I626">
        <f t="shared" si="94"/>
        <v>19.25</v>
      </c>
    </row>
    <row r="627" spans="2:12" hidden="1" x14ac:dyDescent="0.3">
      <c r="B627" s="44">
        <v>45645</v>
      </c>
      <c r="C627" t="s">
        <v>550</v>
      </c>
      <c r="D627" s="3">
        <v>5</v>
      </c>
      <c r="E627" s="45">
        <v>66</v>
      </c>
      <c r="F627" s="46">
        <v>70</v>
      </c>
      <c r="G627" s="47">
        <f t="shared" si="80"/>
        <v>20</v>
      </c>
      <c r="I627">
        <f t="shared" si="94"/>
        <v>72.600000000000009</v>
      </c>
    </row>
    <row r="628" spans="2:12" hidden="1" x14ac:dyDescent="0.3">
      <c r="B628" s="44">
        <v>45652</v>
      </c>
      <c r="C628" t="s">
        <v>525</v>
      </c>
      <c r="D628" s="3">
        <v>60</v>
      </c>
      <c r="E628" s="45">
        <v>16</v>
      </c>
      <c r="F628" s="46">
        <v>18.72</v>
      </c>
      <c r="G628" s="47">
        <f t="shared" si="80"/>
        <v>163.19999999999993</v>
      </c>
      <c r="I628">
        <f t="shared" si="94"/>
        <v>17.600000000000001</v>
      </c>
      <c r="K628">
        <f t="shared" ref="K628:K635" si="97">IF(F628=0,1,0)</f>
        <v>0</v>
      </c>
      <c r="L628" s="24">
        <f t="shared" ref="L628:L635" si="98">+D628*E628</f>
        <v>960</v>
      </c>
    </row>
    <row r="629" spans="2:12" hidden="1" x14ac:dyDescent="0.3">
      <c r="B629" s="44">
        <v>45670</v>
      </c>
      <c r="C629" t="s">
        <v>249</v>
      </c>
      <c r="D629" s="3">
        <v>8</v>
      </c>
      <c r="E629" s="45">
        <v>45</v>
      </c>
      <c r="F629" s="46">
        <v>53.2</v>
      </c>
      <c r="G629" s="47">
        <f t="shared" si="80"/>
        <v>65.600000000000023</v>
      </c>
      <c r="I629">
        <f t="shared" si="94"/>
        <v>49.500000000000007</v>
      </c>
      <c r="K629">
        <f t="shared" si="97"/>
        <v>0</v>
      </c>
      <c r="L629" s="24">
        <f t="shared" si="98"/>
        <v>360</v>
      </c>
    </row>
    <row r="630" spans="2:12" x14ac:dyDescent="0.3">
      <c r="B630" s="44">
        <v>45629</v>
      </c>
      <c r="C630" t="s">
        <v>265</v>
      </c>
      <c r="D630" s="3">
        <v>1</v>
      </c>
      <c r="E630" s="45">
        <v>250</v>
      </c>
      <c r="G630" s="47" t="str">
        <f t="shared" ref="G630:G693" si="99">IF(E630=0,"",IF(F630="","",(F630-E630)*D630))</f>
        <v/>
      </c>
      <c r="I630">
        <f t="shared" si="94"/>
        <v>275</v>
      </c>
      <c r="K630">
        <f t="shared" si="97"/>
        <v>1</v>
      </c>
      <c r="L630" s="24">
        <f t="shared" si="98"/>
        <v>250</v>
      </c>
    </row>
    <row r="631" spans="2:12" x14ac:dyDescent="0.3">
      <c r="B631" s="44">
        <v>45646</v>
      </c>
      <c r="C631" t="s">
        <v>265</v>
      </c>
      <c r="D631" s="3">
        <v>1</v>
      </c>
      <c r="E631" s="45">
        <v>275</v>
      </c>
      <c r="G631" s="47" t="str">
        <f t="shared" si="99"/>
        <v/>
      </c>
      <c r="I631">
        <f t="shared" si="94"/>
        <v>302.5</v>
      </c>
      <c r="K631">
        <f t="shared" si="97"/>
        <v>1</v>
      </c>
      <c r="L631" s="24">
        <f t="shared" si="98"/>
        <v>275</v>
      </c>
    </row>
    <row r="632" spans="2:12" x14ac:dyDescent="0.3">
      <c r="B632" s="44">
        <v>45667</v>
      </c>
      <c r="C632" t="s">
        <v>25</v>
      </c>
      <c r="D632" s="3">
        <v>100</v>
      </c>
      <c r="E632" s="45">
        <v>4</v>
      </c>
      <c r="G632" s="47" t="str">
        <f t="shared" si="99"/>
        <v/>
      </c>
      <c r="I632">
        <f t="shared" si="94"/>
        <v>4.4000000000000004</v>
      </c>
      <c r="K632">
        <f t="shared" si="97"/>
        <v>1</v>
      </c>
      <c r="L632" s="24">
        <f t="shared" si="98"/>
        <v>400</v>
      </c>
    </row>
    <row r="633" spans="2:12" x14ac:dyDescent="0.3">
      <c r="B633" s="44">
        <v>45670</v>
      </c>
      <c r="C633" t="s">
        <v>25</v>
      </c>
      <c r="D633" s="3">
        <v>50</v>
      </c>
      <c r="E633" s="45">
        <v>3.86</v>
      </c>
      <c r="G633" s="47" t="str">
        <f t="shared" si="99"/>
        <v/>
      </c>
      <c r="I633">
        <f t="shared" si="94"/>
        <v>4.2460000000000004</v>
      </c>
      <c r="K633">
        <f t="shared" si="97"/>
        <v>1</v>
      </c>
      <c r="L633" s="24">
        <f t="shared" si="98"/>
        <v>193</v>
      </c>
    </row>
    <row r="634" spans="2:12" x14ac:dyDescent="0.3">
      <c r="B634" s="44">
        <v>45652</v>
      </c>
      <c r="C634" t="s">
        <v>53</v>
      </c>
      <c r="D634" s="3">
        <v>8</v>
      </c>
      <c r="E634" s="45">
        <v>7.5</v>
      </c>
      <c r="G634" s="47" t="str">
        <f t="shared" si="99"/>
        <v/>
      </c>
      <c r="I634">
        <f t="shared" si="94"/>
        <v>8.25</v>
      </c>
      <c r="K634">
        <f t="shared" si="97"/>
        <v>1</v>
      </c>
      <c r="L634" s="24">
        <f t="shared" si="98"/>
        <v>60</v>
      </c>
    </row>
    <row r="635" spans="2:12" x14ac:dyDescent="0.3">
      <c r="B635" s="44">
        <v>45670</v>
      </c>
      <c r="C635" t="s">
        <v>53</v>
      </c>
      <c r="D635" s="3">
        <v>30</v>
      </c>
      <c r="E635" s="45">
        <v>7.5</v>
      </c>
      <c r="G635" s="47" t="str">
        <f t="shared" si="99"/>
        <v/>
      </c>
      <c r="I635">
        <f t="shared" si="94"/>
        <v>8.25</v>
      </c>
      <c r="K635">
        <f t="shared" si="97"/>
        <v>1</v>
      </c>
      <c r="L635" s="24">
        <f t="shared" si="98"/>
        <v>225</v>
      </c>
    </row>
    <row r="636" spans="2:12" hidden="1" x14ac:dyDescent="0.3">
      <c r="B636" s="44">
        <v>45643</v>
      </c>
      <c r="C636" t="s">
        <v>25</v>
      </c>
      <c r="D636" s="3">
        <v>450</v>
      </c>
      <c r="E636" s="45">
        <v>3.35</v>
      </c>
      <c r="F636" s="46">
        <v>3.5</v>
      </c>
      <c r="G636" s="47">
        <f t="shared" si="99"/>
        <v>67.499999999999957</v>
      </c>
      <c r="I636">
        <f t="shared" si="94"/>
        <v>3.6850000000000005</v>
      </c>
    </row>
    <row r="637" spans="2:12" hidden="1" x14ac:dyDescent="0.3">
      <c r="B637" s="44">
        <v>45645</v>
      </c>
      <c r="C637" t="s">
        <v>26</v>
      </c>
      <c r="D637" s="3">
        <v>15</v>
      </c>
      <c r="E637" s="45">
        <v>78.5</v>
      </c>
      <c r="F637" s="46">
        <v>81</v>
      </c>
      <c r="G637" s="47">
        <f t="shared" si="99"/>
        <v>37.5</v>
      </c>
      <c r="I637">
        <f t="shared" si="94"/>
        <v>86.350000000000009</v>
      </c>
    </row>
    <row r="638" spans="2:12" x14ac:dyDescent="0.3">
      <c r="B638" s="44">
        <v>45665</v>
      </c>
      <c r="C638" t="s">
        <v>301</v>
      </c>
      <c r="D638" s="3">
        <v>5</v>
      </c>
      <c r="E638" s="45">
        <v>40</v>
      </c>
      <c r="G638" s="47" t="str">
        <f t="shared" si="99"/>
        <v/>
      </c>
      <c r="I638">
        <f t="shared" si="94"/>
        <v>44</v>
      </c>
      <c r="K638">
        <f t="shared" ref="K638:K700" si="100">IF(F638=0,1,0)</f>
        <v>1</v>
      </c>
      <c r="L638" s="24">
        <f t="shared" ref="L638:L700" si="101">+D638*E638</f>
        <v>200</v>
      </c>
    </row>
    <row r="639" spans="2:12" x14ac:dyDescent="0.3">
      <c r="B639" s="44">
        <v>45667</v>
      </c>
      <c r="C639" t="s">
        <v>301</v>
      </c>
      <c r="D639" s="3">
        <v>40</v>
      </c>
      <c r="E639" s="45">
        <v>35</v>
      </c>
      <c r="G639" s="47" t="str">
        <f t="shared" si="99"/>
        <v/>
      </c>
      <c r="I639">
        <f t="shared" si="94"/>
        <v>38.5</v>
      </c>
      <c r="K639">
        <f t="shared" si="100"/>
        <v>1</v>
      </c>
      <c r="L639" s="24">
        <f t="shared" si="101"/>
        <v>1400</v>
      </c>
    </row>
    <row r="640" spans="2:12" x14ac:dyDescent="0.3">
      <c r="B640" s="44">
        <v>45616</v>
      </c>
      <c r="C640" t="s">
        <v>319</v>
      </c>
      <c r="D640" s="3">
        <v>10</v>
      </c>
      <c r="E640" s="45">
        <v>27.1</v>
      </c>
      <c r="G640" s="47" t="str">
        <f t="shared" si="99"/>
        <v/>
      </c>
      <c r="I640">
        <f t="shared" si="94"/>
        <v>29.810000000000002</v>
      </c>
      <c r="K640">
        <f t="shared" si="100"/>
        <v>1</v>
      </c>
      <c r="L640" s="24">
        <f t="shared" si="101"/>
        <v>271</v>
      </c>
    </row>
    <row r="641" spans="2:12" x14ac:dyDescent="0.3">
      <c r="B641" s="44">
        <v>45646</v>
      </c>
      <c r="C641" t="s">
        <v>319</v>
      </c>
      <c r="D641" s="3">
        <v>5</v>
      </c>
      <c r="E641" s="45">
        <v>28</v>
      </c>
      <c r="G641" s="47" t="str">
        <f t="shared" si="99"/>
        <v/>
      </c>
      <c r="I641">
        <f t="shared" si="94"/>
        <v>30.800000000000004</v>
      </c>
      <c r="K641">
        <f t="shared" si="100"/>
        <v>1</v>
      </c>
      <c r="L641" s="24">
        <f t="shared" si="101"/>
        <v>140</v>
      </c>
    </row>
    <row r="642" spans="2:12" x14ac:dyDescent="0.3">
      <c r="B642" s="44">
        <v>45650</v>
      </c>
      <c r="C642" t="s">
        <v>319</v>
      </c>
      <c r="D642" s="3">
        <v>5</v>
      </c>
      <c r="E642" s="45">
        <v>27.5</v>
      </c>
      <c r="G642" s="47" t="str">
        <f t="shared" si="99"/>
        <v/>
      </c>
      <c r="I642">
        <f t="shared" si="94"/>
        <v>30.250000000000004</v>
      </c>
      <c r="K642">
        <f t="shared" si="100"/>
        <v>1</v>
      </c>
      <c r="L642" s="24">
        <f t="shared" si="101"/>
        <v>137.5</v>
      </c>
    </row>
    <row r="643" spans="2:12" x14ac:dyDescent="0.3">
      <c r="B643" s="44">
        <v>45664</v>
      </c>
      <c r="C643" t="s">
        <v>319</v>
      </c>
      <c r="D643" s="3">
        <v>10</v>
      </c>
      <c r="E643" s="45">
        <v>28</v>
      </c>
      <c r="G643" s="47" t="str">
        <f t="shared" si="99"/>
        <v/>
      </c>
      <c r="I643">
        <f t="shared" si="94"/>
        <v>30.800000000000004</v>
      </c>
      <c r="K643">
        <f t="shared" si="100"/>
        <v>1</v>
      </c>
      <c r="L643" s="24">
        <f t="shared" si="101"/>
        <v>280</v>
      </c>
    </row>
    <row r="644" spans="2:12" x14ac:dyDescent="0.3">
      <c r="B644" s="44">
        <v>45670</v>
      </c>
      <c r="C644" t="s">
        <v>319</v>
      </c>
      <c r="D644" s="3">
        <v>10</v>
      </c>
      <c r="E644" s="45">
        <v>28</v>
      </c>
      <c r="G644" s="47" t="str">
        <f t="shared" si="99"/>
        <v/>
      </c>
      <c r="I644">
        <f t="shared" si="94"/>
        <v>30.800000000000004</v>
      </c>
      <c r="K644">
        <f t="shared" si="100"/>
        <v>1</v>
      </c>
      <c r="L644" s="24">
        <f t="shared" si="101"/>
        <v>280</v>
      </c>
    </row>
    <row r="645" spans="2:12" hidden="1" x14ac:dyDescent="0.3">
      <c r="B645" s="44">
        <v>45644</v>
      </c>
      <c r="C645" t="s">
        <v>43</v>
      </c>
      <c r="D645" s="3">
        <v>9</v>
      </c>
      <c r="E645" s="45">
        <v>52</v>
      </c>
      <c r="F645" s="46">
        <v>57</v>
      </c>
      <c r="G645" s="47">
        <f t="shared" si="99"/>
        <v>45</v>
      </c>
      <c r="I645">
        <f t="shared" si="94"/>
        <v>57.2</v>
      </c>
      <c r="K645">
        <f t="shared" si="100"/>
        <v>0</v>
      </c>
      <c r="L645" s="24">
        <f t="shared" si="101"/>
        <v>468</v>
      </c>
    </row>
    <row r="646" spans="2:12" hidden="1" x14ac:dyDescent="0.3">
      <c r="B646" s="44">
        <v>45645</v>
      </c>
      <c r="C646" t="s">
        <v>43</v>
      </c>
      <c r="D646" s="3">
        <v>10</v>
      </c>
      <c r="E646" s="45">
        <v>50.5</v>
      </c>
      <c r="F646" s="46">
        <v>57</v>
      </c>
      <c r="G646" s="47">
        <f t="shared" si="99"/>
        <v>65</v>
      </c>
      <c r="I646">
        <f t="shared" si="94"/>
        <v>55.550000000000004</v>
      </c>
      <c r="K646">
        <f t="shared" si="100"/>
        <v>0</v>
      </c>
      <c r="L646" s="24">
        <f t="shared" si="101"/>
        <v>505</v>
      </c>
    </row>
    <row r="647" spans="2:12" hidden="1" x14ac:dyDescent="0.3">
      <c r="B647" s="44">
        <v>45652</v>
      </c>
      <c r="C647" t="s">
        <v>43</v>
      </c>
      <c r="D647" s="3">
        <v>5</v>
      </c>
      <c r="E647" s="45">
        <v>49</v>
      </c>
      <c r="F647" s="46">
        <v>57</v>
      </c>
      <c r="G647" s="47">
        <f t="shared" si="99"/>
        <v>40</v>
      </c>
      <c r="I647">
        <f t="shared" si="94"/>
        <v>53.900000000000006</v>
      </c>
      <c r="K647">
        <f t="shared" si="100"/>
        <v>0</v>
      </c>
      <c r="L647" s="24">
        <f t="shared" si="101"/>
        <v>245</v>
      </c>
    </row>
    <row r="648" spans="2:12" hidden="1" x14ac:dyDescent="0.3">
      <c r="B648" s="44">
        <v>45659</v>
      </c>
      <c r="C648" t="s">
        <v>28</v>
      </c>
      <c r="D648" s="3">
        <v>20</v>
      </c>
      <c r="E648" s="45">
        <v>37.799999999999997</v>
      </c>
      <c r="F648" s="46">
        <v>38.5</v>
      </c>
      <c r="G648" s="47">
        <f t="shared" si="99"/>
        <v>14.000000000000057</v>
      </c>
      <c r="I648">
        <f t="shared" si="94"/>
        <v>41.58</v>
      </c>
      <c r="K648">
        <f t="shared" si="100"/>
        <v>0</v>
      </c>
      <c r="L648" s="24">
        <f t="shared" si="101"/>
        <v>756</v>
      </c>
    </row>
    <row r="649" spans="2:12" hidden="1" x14ac:dyDescent="0.3">
      <c r="B649" s="44">
        <v>45643</v>
      </c>
      <c r="C649" t="s">
        <v>43</v>
      </c>
      <c r="D649" s="3">
        <v>6</v>
      </c>
      <c r="E649" s="45">
        <v>52.8</v>
      </c>
      <c r="F649" s="46">
        <v>57</v>
      </c>
      <c r="G649" s="47">
        <f t="shared" si="99"/>
        <v>25.200000000000017</v>
      </c>
      <c r="I649">
        <f t="shared" si="94"/>
        <v>58.08</v>
      </c>
      <c r="K649">
        <f t="shared" si="100"/>
        <v>0</v>
      </c>
      <c r="L649" s="24">
        <f t="shared" si="101"/>
        <v>316.79999999999995</v>
      </c>
    </row>
    <row r="650" spans="2:12" x14ac:dyDescent="0.3">
      <c r="B650" s="44">
        <v>45624</v>
      </c>
      <c r="C650" t="s">
        <v>26</v>
      </c>
      <c r="D650" s="3">
        <v>28</v>
      </c>
      <c r="E650" s="45">
        <v>80</v>
      </c>
      <c r="G650" s="47" t="str">
        <f t="shared" si="99"/>
        <v/>
      </c>
      <c r="I650">
        <f t="shared" si="94"/>
        <v>88</v>
      </c>
      <c r="K650">
        <f t="shared" si="100"/>
        <v>1</v>
      </c>
      <c r="L650" s="24">
        <f t="shared" si="101"/>
        <v>2240</v>
      </c>
    </row>
    <row r="651" spans="2:12" x14ac:dyDescent="0.3">
      <c r="B651" s="44">
        <v>45643</v>
      </c>
      <c r="C651" t="s">
        <v>26</v>
      </c>
      <c r="D651" s="3">
        <v>37</v>
      </c>
      <c r="E651" s="45">
        <v>80.400000000000006</v>
      </c>
      <c r="G651" s="47" t="str">
        <f t="shared" si="99"/>
        <v/>
      </c>
      <c r="I651">
        <f t="shared" si="94"/>
        <v>88.440000000000012</v>
      </c>
      <c r="K651">
        <f t="shared" si="100"/>
        <v>1</v>
      </c>
      <c r="L651" s="24">
        <f t="shared" si="101"/>
        <v>2974.8</v>
      </c>
    </row>
    <row r="652" spans="2:12" hidden="1" x14ac:dyDescent="0.3">
      <c r="B652" s="44">
        <v>45637</v>
      </c>
      <c r="C652" t="s">
        <v>13</v>
      </c>
      <c r="D652" s="3">
        <v>40</v>
      </c>
      <c r="E652" s="45">
        <v>15.7</v>
      </c>
      <c r="F652" s="46">
        <v>15.81</v>
      </c>
      <c r="G652" s="47">
        <f t="shared" si="99"/>
        <v>4.4000000000000483</v>
      </c>
      <c r="I652">
        <f t="shared" si="94"/>
        <v>17.27</v>
      </c>
      <c r="K652">
        <f t="shared" si="100"/>
        <v>0</v>
      </c>
      <c r="L652" s="24">
        <f t="shared" si="101"/>
        <v>628</v>
      </c>
    </row>
    <row r="653" spans="2:12" hidden="1" x14ac:dyDescent="0.3">
      <c r="B653" s="44">
        <v>45645</v>
      </c>
      <c r="C653" t="s">
        <v>13</v>
      </c>
      <c r="D653" s="3">
        <v>100</v>
      </c>
      <c r="E653" s="45">
        <v>15.3</v>
      </c>
      <c r="F653" s="46">
        <v>15.9</v>
      </c>
      <c r="G653" s="47">
        <f t="shared" si="99"/>
        <v>59.999999999999964</v>
      </c>
      <c r="I653">
        <f t="shared" si="94"/>
        <v>16.830000000000002</v>
      </c>
      <c r="K653">
        <f t="shared" si="100"/>
        <v>0</v>
      </c>
      <c r="L653" s="24">
        <f t="shared" si="101"/>
        <v>1530</v>
      </c>
    </row>
    <row r="654" spans="2:12" hidden="1" x14ac:dyDescent="0.3">
      <c r="B654" s="44">
        <v>45644</v>
      </c>
      <c r="C654" t="s">
        <v>13</v>
      </c>
      <c r="D654" s="3">
        <v>40</v>
      </c>
      <c r="E654" s="45">
        <v>15.8</v>
      </c>
      <c r="F654" s="46">
        <v>16</v>
      </c>
      <c r="G654" s="47">
        <f t="shared" si="99"/>
        <v>7.9999999999999716</v>
      </c>
      <c r="I654">
        <f t="shared" si="94"/>
        <v>17.380000000000003</v>
      </c>
      <c r="K654">
        <f t="shared" si="100"/>
        <v>0</v>
      </c>
      <c r="L654" s="24">
        <f t="shared" si="101"/>
        <v>632</v>
      </c>
    </row>
    <row r="655" spans="2:12" x14ac:dyDescent="0.3">
      <c r="B655" s="44">
        <v>45644</v>
      </c>
      <c r="C655" t="s">
        <v>26</v>
      </c>
      <c r="D655" s="3">
        <v>34</v>
      </c>
      <c r="E655" s="45">
        <v>81</v>
      </c>
      <c r="G655" s="47" t="str">
        <f t="shared" si="99"/>
        <v/>
      </c>
      <c r="I655">
        <f t="shared" si="94"/>
        <v>89.100000000000009</v>
      </c>
      <c r="K655">
        <f t="shared" si="100"/>
        <v>1</v>
      </c>
      <c r="L655" s="24">
        <f t="shared" si="101"/>
        <v>2754</v>
      </c>
    </row>
    <row r="656" spans="2:12" x14ac:dyDescent="0.3">
      <c r="B656" s="44">
        <v>45665</v>
      </c>
      <c r="C656" t="s">
        <v>26</v>
      </c>
      <c r="D656" s="3">
        <v>16</v>
      </c>
      <c r="E656" s="45">
        <v>78.400000000000006</v>
      </c>
      <c r="G656" s="47" t="str">
        <f t="shared" si="99"/>
        <v/>
      </c>
      <c r="I656">
        <f t="shared" si="94"/>
        <v>86.240000000000009</v>
      </c>
      <c r="K656">
        <f t="shared" si="100"/>
        <v>1</v>
      </c>
      <c r="L656" s="24">
        <f t="shared" si="101"/>
        <v>1254.4000000000001</v>
      </c>
    </row>
    <row r="657" spans="2:12" x14ac:dyDescent="0.3">
      <c r="B657" s="44">
        <v>45670</v>
      </c>
      <c r="C657" t="s">
        <v>26</v>
      </c>
      <c r="D657" s="3">
        <v>7</v>
      </c>
      <c r="E657" s="45">
        <v>78</v>
      </c>
      <c r="G657" s="47" t="str">
        <f t="shared" si="99"/>
        <v/>
      </c>
      <c r="I657">
        <f t="shared" si="94"/>
        <v>85.800000000000011</v>
      </c>
      <c r="K657">
        <f t="shared" si="100"/>
        <v>1</v>
      </c>
      <c r="L657" s="24">
        <f t="shared" si="101"/>
        <v>546</v>
      </c>
    </row>
    <row r="658" spans="2:12" hidden="1" x14ac:dyDescent="0.3">
      <c r="B658" s="44">
        <v>45617</v>
      </c>
      <c r="C658" t="s">
        <v>415</v>
      </c>
      <c r="D658" s="3">
        <v>10</v>
      </c>
      <c r="E658" s="45">
        <v>30.78</v>
      </c>
      <c r="F658" s="46">
        <v>33.5</v>
      </c>
      <c r="G658" s="47">
        <f t="shared" si="99"/>
        <v>27.199999999999989</v>
      </c>
      <c r="I658">
        <f t="shared" si="94"/>
        <v>33.858000000000004</v>
      </c>
      <c r="K658">
        <f t="shared" si="100"/>
        <v>0</v>
      </c>
      <c r="L658" s="24">
        <f t="shared" si="101"/>
        <v>307.8</v>
      </c>
    </row>
    <row r="659" spans="2:12" x14ac:dyDescent="0.3">
      <c r="B659" s="44">
        <v>45624</v>
      </c>
      <c r="C659" t="s">
        <v>28</v>
      </c>
      <c r="D659" s="3">
        <v>40</v>
      </c>
      <c r="E659" s="45">
        <v>48</v>
      </c>
      <c r="G659" s="47" t="str">
        <f t="shared" si="99"/>
        <v/>
      </c>
      <c r="I659">
        <f t="shared" si="94"/>
        <v>52.800000000000004</v>
      </c>
      <c r="K659">
        <f t="shared" si="100"/>
        <v>1</v>
      </c>
      <c r="L659" s="24">
        <f t="shared" si="101"/>
        <v>1920</v>
      </c>
    </row>
    <row r="660" spans="2:12" x14ac:dyDescent="0.3">
      <c r="B660" s="44">
        <v>45628</v>
      </c>
      <c r="C660" t="s">
        <v>28</v>
      </c>
      <c r="D660" s="3">
        <v>20</v>
      </c>
      <c r="E660" s="45">
        <v>47</v>
      </c>
      <c r="G660" s="47" t="str">
        <f t="shared" si="99"/>
        <v/>
      </c>
      <c r="I660">
        <f t="shared" si="94"/>
        <v>51.7</v>
      </c>
      <c r="K660">
        <f t="shared" si="100"/>
        <v>1</v>
      </c>
      <c r="L660" s="24">
        <f t="shared" si="101"/>
        <v>940</v>
      </c>
    </row>
    <row r="661" spans="2:12" hidden="1" x14ac:dyDescent="0.3">
      <c r="B661" s="44">
        <v>45646</v>
      </c>
      <c r="C661" t="s">
        <v>415</v>
      </c>
      <c r="D661" s="3">
        <v>5</v>
      </c>
      <c r="E661" s="45">
        <v>31</v>
      </c>
      <c r="F661" s="46">
        <v>33.5</v>
      </c>
      <c r="G661" s="47">
        <f t="shared" si="99"/>
        <v>12.5</v>
      </c>
      <c r="I661">
        <f t="shared" si="94"/>
        <v>34.1</v>
      </c>
      <c r="K661">
        <f t="shared" si="100"/>
        <v>0</v>
      </c>
      <c r="L661" s="24">
        <f t="shared" si="101"/>
        <v>155</v>
      </c>
    </row>
    <row r="662" spans="2:12" hidden="1" x14ac:dyDescent="0.3">
      <c r="B662" s="44">
        <v>45649</v>
      </c>
      <c r="C662" t="s">
        <v>415</v>
      </c>
      <c r="D662" s="3">
        <v>5</v>
      </c>
      <c r="E662" s="45">
        <v>30.5</v>
      </c>
      <c r="F662" s="46">
        <v>33.5</v>
      </c>
      <c r="G662" s="47">
        <f t="shared" si="99"/>
        <v>15</v>
      </c>
      <c r="I662">
        <f t="shared" si="94"/>
        <v>33.550000000000004</v>
      </c>
      <c r="K662">
        <f t="shared" si="100"/>
        <v>0</v>
      </c>
      <c r="L662" s="24">
        <f t="shared" si="101"/>
        <v>152.5</v>
      </c>
    </row>
    <row r="663" spans="2:12" x14ac:dyDescent="0.3">
      <c r="B663" s="44">
        <v>45629</v>
      </c>
      <c r="C663" t="s">
        <v>28</v>
      </c>
      <c r="D663" s="3">
        <v>20</v>
      </c>
      <c r="E663" s="45">
        <v>46</v>
      </c>
      <c r="G663" s="47" t="str">
        <f t="shared" si="99"/>
        <v/>
      </c>
      <c r="I663">
        <f t="shared" si="94"/>
        <v>50.6</v>
      </c>
      <c r="K663">
        <f t="shared" si="100"/>
        <v>1</v>
      </c>
      <c r="L663" s="24">
        <f t="shared" si="101"/>
        <v>920</v>
      </c>
    </row>
    <row r="664" spans="2:12" x14ac:dyDescent="0.3">
      <c r="B664" s="44">
        <v>45636</v>
      </c>
      <c r="C664" t="s">
        <v>28</v>
      </c>
      <c r="D664" s="3">
        <v>30</v>
      </c>
      <c r="E664" s="45">
        <v>46</v>
      </c>
      <c r="G664" s="47" t="str">
        <f t="shared" si="99"/>
        <v/>
      </c>
      <c r="I664">
        <f t="shared" si="94"/>
        <v>50.6</v>
      </c>
      <c r="K664">
        <f t="shared" si="100"/>
        <v>1</v>
      </c>
      <c r="L664" s="24">
        <f t="shared" si="101"/>
        <v>1380</v>
      </c>
    </row>
    <row r="665" spans="2:12" x14ac:dyDescent="0.3">
      <c r="B665" s="44">
        <v>45643</v>
      </c>
      <c r="C665" t="s">
        <v>28</v>
      </c>
      <c r="D665" s="3">
        <v>100</v>
      </c>
      <c r="E665" s="45">
        <v>46</v>
      </c>
      <c r="G665" s="47" t="str">
        <f t="shared" si="99"/>
        <v/>
      </c>
      <c r="I665">
        <f t="shared" si="94"/>
        <v>50.6</v>
      </c>
      <c r="K665">
        <f t="shared" si="100"/>
        <v>1</v>
      </c>
      <c r="L665" s="24">
        <f t="shared" si="101"/>
        <v>4600</v>
      </c>
    </row>
    <row r="666" spans="2:12" x14ac:dyDescent="0.3">
      <c r="B666" s="44">
        <v>45644</v>
      </c>
      <c r="C666" t="s">
        <v>28</v>
      </c>
      <c r="D666" s="3">
        <v>65</v>
      </c>
      <c r="E666" s="45">
        <v>45.5</v>
      </c>
      <c r="G666" s="47" t="str">
        <f t="shared" si="99"/>
        <v/>
      </c>
      <c r="I666">
        <f t="shared" si="94"/>
        <v>50.050000000000004</v>
      </c>
      <c r="K666">
        <f t="shared" si="100"/>
        <v>1</v>
      </c>
      <c r="L666" s="24">
        <f t="shared" si="101"/>
        <v>2957.5</v>
      </c>
    </row>
    <row r="667" spans="2:12" hidden="1" x14ac:dyDescent="0.3">
      <c r="B667" s="44">
        <v>45665</v>
      </c>
      <c r="C667" t="s">
        <v>128</v>
      </c>
      <c r="D667" s="3">
        <v>50</v>
      </c>
      <c r="E667" s="45">
        <v>20</v>
      </c>
      <c r="F667" s="46">
        <v>21</v>
      </c>
      <c r="G667" s="47">
        <f t="shared" si="99"/>
        <v>50</v>
      </c>
      <c r="I667">
        <f t="shared" si="94"/>
        <v>22</v>
      </c>
      <c r="K667">
        <f t="shared" si="100"/>
        <v>0</v>
      </c>
      <c r="L667" s="24">
        <f t="shared" si="101"/>
        <v>1000</v>
      </c>
    </row>
    <row r="668" spans="2:12" x14ac:dyDescent="0.3">
      <c r="B668" s="44">
        <v>45645</v>
      </c>
      <c r="C668" t="s">
        <v>28</v>
      </c>
      <c r="D668" s="3">
        <v>20</v>
      </c>
      <c r="E668" s="45">
        <v>41</v>
      </c>
      <c r="G668" s="47" t="str">
        <f t="shared" si="99"/>
        <v/>
      </c>
      <c r="I668">
        <f t="shared" si="94"/>
        <v>45.1</v>
      </c>
      <c r="K668">
        <f t="shared" si="100"/>
        <v>1</v>
      </c>
      <c r="L668" s="24">
        <f t="shared" si="101"/>
        <v>820</v>
      </c>
    </row>
    <row r="669" spans="2:12" x14ac:dyDescent="0.3">
      <c r="B669" s="44">
        <v>45646</v>
      </c>
      <c r="C669" t="s">
        <v>28</v>
      </c>
      <c r="D669" s="3">
        <v>25</v>
      </c>
      <c r="E669" s="45">
        <v>41</v>
      </c>
      <c r="G669" s="47" t="str">
        <f t="shared" si="99"/>
        <v/>
      </c>
      <c r="I669">
        <f t="shared" si="94"/>
        <v>45.1</v>
      </c>
      <c r="K669">
        <f t="shared" si="100"/>
        <v>1</v>
      </c>
      <c r="L669" s="24">
        <f t="shared" si="101"/>
        <v>1025</v>
      </c>
    </row>
    <row r="670" spans="2:12" hidden="1" x14ac:dyDescent="0.3">
      <c r="B670" s="44">
        <v>45666</v>
      </c>
      <c r="C670" t="s">
        <v>423</v>
      </c>
      <c r="D670" s="3">
        <v>25</v>
      </c>
      <c r="E670" s="45">
        <v>8.8000000000000007</v>
      </c>
      <c r="F670" s="46">
        <v>9.6999999999999993</v>
      </c>
      <c r="G670" s="47">
        <f t="shared" si="99"/>
        <v>22.499999999999964</v>
      </c>
      <c r="I670">
        <f t="shared" si="94"/>
        <v>9.6800000000000015</v>
      </c>
      <c r="K670">
        <f t="shared" si="100"/>
        <v>0</v>
      </c>
      <c r="L670" s="24">
        <f t="shared" si="101"/>
        <v>220.00000000000003</v>
      </c>
    </row>
    <row r="671" spans="2:12" x14ac:dyDescent="0.3">
      <c r="B671" s="44">
        <v>45646</v>
      </c>
      <c r="C671" t="s">
        <v>28</v>
      </c>
      <c r="D671" s="3">
        <v>15</v>
      </c>
      <c r="E671" s="45">
        <v>39.9</v>
      </c>
      <c r="G671" s="47" t="str">
        <f t="shared" si="99"/>
        <v/>
      </c>
      <c r="I671">
        <f t="shared" si="94"/>
        <v>43.89</v>
      </c>
      <c r="K671">
        <f t="shared" si="100"/>
        <v>1</v>
      </c>
      <c r="L671" s="24">
        <f t="shared" si="101"/>
        <v>598.5</v>
      </c>
    </row>
    <row r="672" spans="2:12" x14ac:dyDescent="0.3">
      <c r="B672" s="44">
        <v>45665</v>
      </c>
      <c r="C672" t="s">
        <v>28</v>
      </c>
      <c r="D672" s="3">
        <v>35</v>
      </c>
      <c r="E672" s="45">
        <v>39</v>
      </c>
      <c r="G672" s="47" t="str">
        <f t="shared" si="99"/>
        <v/>
      </c>
      <c r="I672">
        <f t="shared" si="94"/>
        <v>42.900000000000006</v>
      </c>
      <c r="K672">
        <f t="shared" si="100"/>
        <v>1</v>
      </c>
      <c r="L672" s="24">
        <f t="shared" si="101"/>
        <v>1365</v>
      </c>
    </row>
    <row r="673" spans="2:12" x14ac:dyDescent="0.3">
      <c r="B673" s="44">
        <v>45667</v>
      </c>
      <c r="C673" t="s">
        <v>28</v>
      </c>
      <c r="D673" s="3">
        <v>20</v>
      </c>
      <c r="E673" s="45">
        <v>39</v>
      </c>
      <c r="G673" s="47" t="str">
        <f t="shared" si="99"/>
        <v/>
      </c>
      <c r="I673">
        <f t="shared" si="94"/>
        <v>42.900000000000006</v>
      </c>
      <c r="K673">
        <f t="shared" si="100"/>
        <v>1</v>
      </c>
      <c r="L673" s="24">
        <f t="shared" si="101"/>
        <v>780</v>
      </c>
    </row>
    <row r="674" spans="2:12" x14ac:dyDescent="0.3">
      <c r="B674" s="44">
        <v>45670</v>
      </c>
      <c r="C674" t="s">
        <v>28</v>
      </c>
      <c r="D674" s="3">
        <v>20</v>
      </c>
      <c r="E674" s="45">
        <v>38</v>
      </c>
      <c r="G674" s="47" t="str">
        <f t="shared" si="99"/>
        <v/>
      </c>
      <c r="I674">
        <f t="shared" si="94"/>
        <v>41.800000000000004</v>
      </c>
      <c r="K674">
        <f t="shared" si="100"/>
        <v>1</v>
      </c>
      <c r="L674" s="24">
        <f t="shared" si="101"/>
        <v>760</v>
      </c>
    </row>
    <row r="675" spans="2:12" x14ac:dyDescent="0.3">
      <c r="B675" s="44">
        <v>45678</v>
      </c>
      <c r="C675" t="s">
        <v>28</v>
      </c>
      <c r="D675" s="3">
        <v>10</v>
      </c>
      <c r="E675" s="45">
        <v>37</v>
      </c>
      <c r="G675" s="47" t="str">
        <f t="shared" si="99"/>
        <v/>
      </c>
      <c r="I675">
        <f t="shared" si="94"/>
        <v>40.700000000000003</v>
      </c>
      <c r="K675">
        <f t="shared" si="100"/>
        <v>1</v>
      </c>
      <c r="L675" s="24">
        <f t="shared" si="101"/>
        <v>370</v>
      </c>
    </row>
    <row r="676" spans="2:12" hidden="1" x14ac:dyDescent="0.3">
      <c r="B676" s="44">
        <v>45667</v>
      </c>
      <c r="C676" t="s">
        <v>352</v>
      </c>
      <c r="D676" s="3">
        <v>50</v>
      </c>
      <c r="E676" s="45">
        <v>6</v>
      </c>
      <c r="F676" s="46">
        <v>6.2</v>
      </c>
      <c r="G676" s="47">
        <f t="shared" si="99"/>
        <v>10.000000000000009</v>
      </c>
      <c r="I676">
        <f t="shared" si="94"/>
        <v>6.6000000000000005</v>
      </c>
      <c r="K676">
        <f t="shared" si="100"/>
        <v>0</v>
      </c>
      <c r="L676" s="24">
        <f t="shared" si="101"/>
        <v>300</v>
      </c>
    </row>
    <row r="677" spans="2:12" hidden="1" x14ac:dyDescent="0.3">
      <c r="B677" s="44">
        <v>45666</v>
      </c>
      <c r="C677" t="s">
        <v>128</v>
      </c>
      <c r="D677" s="3">
        <v>20</v>
      </c>
      <c r="E677" s="45">
        <v>18.3</v>
      </c>
      <c r="F677" s="46">
        <v>18.350000000000001</v>
      </c>
      <c r="G677" s="47">
        <f t="shared" si="99"/>
        <v>1.0000000000000142</v>
      </c>
      <c r="I677">
        <f t="shared" si="94"/>
        <v>20.130000000000003</v>
      </c>
      <c r="K677">
        <f t="shared" si="100"/>
        <v>0</v>
      </c>
      <c r="L677" s="24">
        <f t="shared" si="101"/>
        <v>366</v>
      </c>
    </row>
    <row r="678" spans="2:12" x14ac:dyDescent="0.3">
      <c r="B678" s="44">
        <v>45649</v>
      </c>
      <c r="C678" t="s">
        <v>379</v>
      </c>
      <c r="D678" s="3">
        <v>2</v>
      </c>
      <c r="E678" s="45">
        <v>54.5</v>
      </c>
      <c r="G678" s="47" t="str">
        <f t="shared" si="99"/>
        <v/>
      </c>
      <c r="I678">
        <f t="shared" si="94"/>
        <v>59.95</v>
      </c>
      <c r="K678">
        <f t="shared" si="100"/>
        <v>1</v>
      </c>
      <c r="L678" s="24">
        <f t="shared" si="101"/>
        <v>109</v>
      </c>
    </row>
    <row r="679" spans="2:12" hidden="1" x14ac:dyDescent="0.3">
      <c r="B679" s="44">
        <v>45644</v>
      </c>
      <c r="C679" t="s">
        <v>415</v>
      </c>
      <c r="D679" s="3">
        <v>10</v>
      </c>
      <c r="E679" s="45">
        <v>32.5</v>
      </c>
      <c r="F679" s="46">
        <v>33.6</v>
      </c>
      <c r="G679" s="47">
        <f t="shared" si="99"/>
        <v>11.000000000000014</v>
      </c>
      <c r="I679">
        <f t="shared" si="94"/>
        <v>35.75</v>
      </c>
      <c r="K679">
        <f t="shared" si="100"/>
        <v>0</v>
      </c>
      <c r="L679" s="24">
        <f t="shared" si="101"/>
        <v>325</v>
      </c>
    </row>
    <row r="680" spans="2:12" hidden="1" x14ac:dyDescent="0.3">
      <c r="B680" s="44">
        <v>45645</v>
      </c>
      <c r="C680" t="s">
        <v>415</v>
      </c>
      <c r="D680" s="3">
        <v>10</v>
      </c>
      <c r="E680" s="45">
        <v>31.9</v>
      </c>
      <c r="F680" s="46">
        <v>33.6</v>
      </c>
      <c r="G680" s="47">
        <f t="shared" si="99"/>
        <v>17.000000000000028</v>
      </c>
      <c r="I680">
        <f t="shared" si="94"/>
        <v>35.090000000000003</v>
      </c>
      <c r="K680">
        <f t="shared" si="100"/>
        <v>0</v>
      </c>
      <c r="L680" s="24">
        <f t="shared" si="101"/>
        <v>319</v>
      </c>
    </row>
    <row r="681" spans="2:12" hidden="1" x14ac:dyDescent="0.3">
      <c r="B681" s="44">
        <v>45667</v>
      </c>
      <c r="C681" t="s">
        <v>415</v>
      </c>
      <c r="D681" s="3">
        <v>10</v>
      </c>
      <c r="E681" s="45">
        <v>33</v>
      </c>
      <c r="F681" s="46">
        <v>33.6</v>
      </c>
      <c r="G681" s="47">
        <f t="shared" si="99"/>
        <v>6.0000000000000142</v>
      </c>
      <c r="I681">
        <f t="shared" si="94"/>
        <v>36.300000000000004</v>
      </c>
      <c r="K681">
        <f t="shared" si="100"/>
        <v>0</v>
      </c>
      <c r="L681" s="24">
        <f t="shared" si="101"/>
        <v>330</v>
      </c>
    </row>
    <row r="682" spans="2:12" hidden="1" x14ac:dyDescent="0.3">
      <c r="B682" s="44">
        <v>45670</v>
      </c>
      <c r="C682" t="s">
        <v>415</v>
      </c>
      <c r="D682" s="3">
        <v>10</v>
      </c>
      <c r="E682" s="45">
        <v>32.42</v>
      </c>
      <c r="F682" s="46">
        <v>33.6</v>
      </c>
      <c r="G682" s="47">
        <f t="shared" si="99"/>
        <v>11.799999999999997</v>
      </c>
      <c r="I682">
        <f t="shared" si="94"/>
        <v>35.662000000000006</v>
      </c>
      <c r="K682">
        <f t="shared" si="100"/>
        <v>0</v>
      </c>
      <c r="L682" s="24">
        <f t="shared" si="101"/>
        <v>324.20000000000005</v>
      </c>
    </row>
    <row r="683" spans="2:12" hidden="1" x14ac:dyDescent="0.3">
      <c r="B683" s="44">
        <v>45670</v>
      </c>
      <c r="C683" t="s">
        <v>415</v>
      </c>
      <c r="D683" s="3">
        <v>10</v>
      </c>
      <c r="E683" s="45">
        <v>32.5</v>
      </c>
      <c r="F683" s="46">
        <v>33.6</v>
      </c>
      <c r="G683" s="47">
        <f t="shared" si="99"/>
        <v>11.000000000000014</v>
      </c>
      <c r="I683">
        <f t="shared" si="94"/>
        <v>35.75</v>
      </c>
      <c r="K683">
        <f t="shared" si="100"/>
        <v>0</v>
      </c>
      <c r="L683" s="24">
        <f t="shared" si="101"/>
        <v>325</v>
      </c>
    </row>
    <row r="684" spans="2:12" x14ac:dyDescent="0.3">
      <c r="B684" s="44">
        <v>45650</v>
      </c>
      <c r="C684" t="s">
        <v>379</v>
      </c>
      <c r="D684" s="3">
        <v>3</v>
      </c>
      <c r="E684" s="45">
        <v>53</v>
      </c>
      <c r="G684" s="47" t="str">
        <f t="shared" si="99"/>
        <v/>
      </c>
      <c r="I684">
        <f t="shared" ref="I684:I700" si="102">+E684*1.1</f>
        <v>58.300000000000004</v>
      </c>
      <c r="K684">
        <f t="shared" si="100"/>
        <v>1</v>
      </c>
      <c r="L684" s="24">
        <f t="shared" si="101"/>
        <v>159</v>
      </c>
    </row>
    <row r="685" spans="2:12" x14ac:dyDescent="0.3">
      <c r="B685" s="44">
        <v>45681</v>
      </c>
      <c r="C685" t="s">
        <v>379</v>
      </c>
      <c r="D685" s="3">
        <v>5</v>
      </c>
      <c r="E685" s="45">
        <v>47</v>
      </c>
      <c r="G685" s="47" t="str">
        <f t="shared" si="99"/>
        <v/>
      </c>
      <c r="I685">
        <f t="shared" si="102"/>
        <v>51.7</v>
      </c>
      <c r="K685">
        <f t="shared" si="100"/>
        <v>1</v>
      </c>
      <c r="L685" s="24">
        <f t="shared" si="101"/>
        <v>235</v>
      </c>
    </row>
    <row r="686" spans="2:12" x14ac:dyDescent="0.3">
      <c r="B686" s="44">
        <v>45666</v>
      </c>
      <c r="C686" t="s">
        <v>404</v>
      </c>
      <c r="D686" s="3">
        <v>10</v>
      </c>
      <c r="E686" s="45">
        <v>22</v>
      </c>
      <c r="G686" s="47" t="str">
        <f t="shared" si="99"/>
        <v/>
      </c>
      <c r="I686">
        <f t="shared" si="102"/>
        <v>24.200000000000003</v>
      </c>
      <c r="K686">
        <f t="shared" si="100"/>
        <v>1</v>
      </c>
      <c r="L686" s="24">
        <f t="shared" si="101"/>
        <v>220</v>
      </c>
    </row>
    <row r="687" spans="2:12" x14ac:dyDescent="0.3">
      <c r="B687" s="44">
        <v>45667</v>
      </c>
      <c r="C687" t="s">
        <v>404</v>
      </c>
      <c r="D687" s="3">
        <v>10</v>
      </c>
      <c r="E687" s="45">
        <v>22</v>
      </c>
      <c r="G687" s="47" t="str">
        <f t="shared" si="99"/>
        <v/>
      </c>
      <c r="I687">
        <f t="shared" si="102"/>
        <v>24.200000000000003</v>
      </c>
      <c r="K687">
        <f t="shared" si="100"/>
        <v>1</v>
      </c>
      <c r="L687" s="24">
        <f t="shared" si="101"/>
        <v>220</v>
      </c>
    </row>
    <row r="688" spans="2:12" x14ac:dyDescent="0.3">
      <c r="B688" s="44">
        <v>45629</v>
      </c>
      <c r="C688" t="s">
        <v>444</v>
      </c>
      <c r="D688" s="3">
        <v>45</v>
      </c>
      <c r="E688" s="45">
        <v>15.1</v>
      </c>
      <c r="G688" s="47" t="str">
        <f t="shared" si="99"/>
        <v/>
      </c>
      <c r="I688">
        <f t="shared" si="102"/>
        <v>16.61</v>
      </c>
      <c r="K688">
        <f t="shared" si="100"/>
        <v>1</v>
      </c>
      <c r="L688" s="24">
        <f t="shared" si="101"/>
        <v>679.5</v>
      </c>
    </row>
    <row r="689" spans="2:12" x14ac:dyDescent="0.3">
      <c r="B689" s="44">
        <v>45644</v>
      </c>
      <c r="C689" t="s">
        <v>444</v>
      </c>
      <c r="D689" s="3">
        <v>20</v>
      </c>
      <c r="E689" s="45">
        <v>16</v>
      </c>
      <c r="G689" s="47" t="str">
        <f t="shared" si="99"/>
        <v/>
      </c>
      <c r="I689">
        <f t="shared" si="102"/>
        <v>17.600000000000001</v>
      </c>
      <c r="K689">
        <f t="shared" si="100"/>
        <v>1</v>
      </c>
      <c r="L689" s="24">
        <f t="shared" si="101"/>
        <v>320</v>
      </c>
    </row>
    <row r="690" spans="2:12" x14ac:dyDescent="0.3">
      <c r="B690" s="44">
        <v>45645</v>
      </c>
      <c r="C690" t="s">
        <v>444</v>
      </c>
      <c r="D690" s="3">
        <v>15</v>
      </c>
      <c r="E690" s="45">
        <v>15.5</v>
      </c>
      <c r="G690" s="47" t="str">
        <f t="shared" si="99"/>
        <v/>
      </c>
      <c r="I690">
        <f t="shared" si="102"/>
        <v>17.05</v>
      </c>
      <c r="K690">
        <f t="shared" si="100"/>
        <v>1</v>
      </c>
      <c r="L690" s="24">
        <f t="shared" si="101"/>
        <v>232.5</v>
      </c>
    </row>
    <row r="691" spans="2:12" x14ac:dyDescent="0.3">
      <c r="B691" s="44">
        <v>45649</v>
      </c>
      <c r="C691" t="s">
        <v>444</v>
      </c>
      <c r="D691" s="3">
        <v>15</v>
      </c>
      <c r="E691" s="45">
        <v>15</v>
      </c>
      <c r="G691" s="47" t="str">
        <f t="shared" si="99"/>
        <v/>
      </c>
      <c r="I691">
        <f t="shared" si="102"/>
        <v>16.5</v>
      </c>
      <c r="K691">
        <f t="shared" si="100"/>
        <v>1</v>
      </c>
      <c r="L691" s="24">
        <f t="shared" si="101"/>
        <v>225</v>
      </c>
    </row>
    <row r="692" spans="2:12" x14ac:dyDescent="0.3">
      <c r="B692" s="44">
        <v>45670</v>
      </c>
      <c r="C692" t="s">
        <v>444</v>
      </c>
      <c r="D692" s="3">
        <v>10</v>
      </c>
      <c r="E692" s="45">
        <v>16</v>
      </c>
      <c r="G692" s="47" t="str">
        <f t="shared" si="99"/>
        <v/>
      </c>
      <c r="I692">
        <f t="shared" si="102"/>
        <v>17.600000000000001</v>
      </c>
      <c r="K692">
        <f t="shared" si="100"/>
        <v>1</v>
      </c>
      <c r="L692" s="24">
        <f t="shared" si="101"/>
        <v>160</v>
      </c>
    </row>
    <row r="693" spans="2:12" x14ac:dyDescent="0.3">
      <c r="B693" s="44">
        <v>45616</v>
      </c>
      <c r="C693" t="s">
        <v>456</v>
      </c>
      <c r="D693" s="3">
        <v>75</v>
      </c>
      <c r="E693" s="45">
        <v>5.25</v>
      </c>
      <c r="G693" s="47" t="str">
        <f t="shared" si="99"/>
        <v/>
      </c>
      <c r="I693">
        <f t="shared" si="102"/>
        <v>5.7750000000000004</v>
      </c>
      <c r="K693">
        <f t="shared" si="100"/>
        <v>1</v>
      </c>
      <c r="L693" s="24">
        <f t="shared" si="101"/>
        <v>393.75</v>
      </c>
    </row>
    <row r="694" spans="2:12" x14ac:dyDescent="0.3">
      <c r="B694" s="44">
        <v>45618</v>
      </c>
      <c r="C694" t="s">
        <v>456</v>
      </c>
      <c r="D694" s="3">
        <v>75</v>
      </c>
      <c r="E694" s="45">
        <v>5.25</v>
      </c>
      <c r="G694" s="47" t="str">
        <f t="shared" ref="G694:G757" si="103">IF(E694=0,"",IF(F694="","",(F694-E694)*D694))</f>
        <v/>
      </c>
      <c r="I694">
        <f t="shared" si="102"/>
        <v>5.7750000000000004</v>
      </c>
      <c r="K694">
        <f t="shared" si="100"/>
        <v>1</v>
      </c>
      <c r="L694" s="24">
        <f t="shared" si="101"/>
        <v>393.75</v>
      </c>
    </row>
    <row r="695" spans="2:12" x14ac:dyDescent="0.3">
      <c r="B695" s="44">
        <v>45643</v>
      </c>
      <c r="C695" t="s">
        <v>456</v>
      </c>
      <c r="D695" s="3">
        <v>83</v>
      </c>
      <c r="E695" s="45">
        <v>5.9</v>
      </c>
      <c r="G695" s="47" t="str">
        <f t="shared" si="103"/>
        <v/>
      </c>
      <c r="I695">
        <f t="shared" si="102"/>
        <v>6.4900000000000011</v>
      </c>
      <c r="K695">
        <f t="shared" si="100"/>
        <v>1</v>
      </c>
      <c r="L695" s="24">
        <f t="shared" si="101"/>
        <v>489.70000000000005</v>
      </c>
    </row>
    <row r="696" spans="2:12" x14ac:dyDescent="0.3">
      <c r="B696" s="44">
        <v>45645</v>
      </c>
      <c r="C696" t="s">
        <v>456</v>
      </c>
      <c r="D696" s="3">
        <v>37</v>
      </c>
      <c r="E696" s="45">
        <v>5.75</v>
      </c>
      <c r="G696" s="47" t="str">
        <f t="shared" si="103"/>
        <v/>
      </c>
      <c r="I696">
        <f t="shared" si="102"/>
        <v>6.3250000000000002</v>
      </c>
      <c r="K696">
        <f t="shared" si="100"/>
        <v>1</v>
      </c>
      <c r="L696" s="24">
        <f t="shared" si="101"/>
        <v>212.75</v>
      </c>
    </row>
    <row r="697" spans="2:12" x14ac:dyDescent="0.3">
      <c r="B697" s="44">
        <v>45646</v>
      </c>
      <c r="C697" t="s">
        <v>456</v>
      </c>
      <c r="D697" s="3">
        <v>20</v>
      </c>
      <c r="E697" s="45">
        <v>5.65</v>
      </c>
      <c r="G697" s="47" t="str">
        <f t="shared" si="103"/>
        <v/>
      </c>
      <c r="I697">
        <f t="shared" si="102"/>
        <v>6.2150000000000007</v>
      </c>
      <c r="K697">
        <f t="shared" si="100"/>
        <v>1</v>
      </c>
      <c r="L697" s="24">
        <f t="shared" si="101"/>
        <v>113</v>
      </c>
    </row>
    <row r="698" spans="2:12" x14ac:dyDescent="0.3">
      <c r="B698" s="44">
        <v>45670</v>
      </c>
      <c r="C698" t="s">
        <v>456</v>
      </c>
      <c r="D698" s="3">
        <v>40</v>
      </c>
      <c r="E698" s="45">
        <v>5.5</v>
      </c>
      <c r="G698" s="47" t="str">
        <f t="shared" si="103"/>
        <v/>
      </c>
      <c r="I698">
        <f t="shared" si="102"/>
        <v>6.0500000000000007</v>
      </c>
      <c r="K698">
        <f t="shared" si="100"/>
        <v>1</v>
      </c>
      <c r="L698" s="24">
        <f t="shared" si="101"/>
        <v>220</v>
      </c>
    </row>
    <row r="699" spans="2:12" x14ac:dyDescent="0.3">
      <c r="B699" s="44">
        <v>45665</v>
      </c>
      <c r="C699" t="s">
        <v>50</v>
      </c>
      <c r="D699" s="3">
        <v>10</v>
      </c>
      <c r="E699" s="45">
        <v>22.5</v>
      </c>
      <c r="G699" s="47" t="str">
        <f t="shared" si="103"/>
        <v/>
      </c>
      <c r="I699">
        <f t="shared" si="102"/>
        <v>24.750000000000004</v>
      </c>
      <c r="K699">
        <f t="shared" si="100"/>
        <v>1</v>
      </c>
      <c r="L699" s="24">
        <f t="shared" si="101"/>
        <v>225</v>
      </c>
    </row>
    <row r="700" spans="2:12" x14ac:dyDescent="0.3">
      <c r="B700" s="44">
        <v>45670</v>
      </c>
      <c r="C700" t="s">
        <v>50</v>
      </c>
      <c r="D700" s="3">
        <v>10</v>
      </c>
      <c r="E700" s="45">
        <v>22</v>
      </c>
      <c r="G700" s="47" t="str">
        <f t="shared" si="103"/>
        <v/>
      </c>
      <c r="I700">
        <f t="shared" si="102"/>
        <v>24.200000000000003</v>
      </c>
      <c r="K700">
        <f t="shared" si="100"/>
        <v>1</v>
      </c>
      <c r="L700" s="24">
        <f t="shared" si="101"/>
        <v>220</v>
      </c>
    </row>
    <row r="701" spans="2:12" x14ac:dyDescent="0.3">
      <c r="B701" s="44">
        <v>45630</v>
      </c>
      <c r="C701" t="s">
        <v>496</v>
      </c>
      <c r="D701" s="3">
        <v>100</v>
      </c>
      <c r="E701" s="45">
        <v>5.35</v>
      </c>
      <c r="G701" s="47" t="str">
        <f t="shared" si="103"/>
        <v/>
      </c>
      <c r="I701">
        <f t="shared" ref="I701:I764" si="104">+E701*1.1</f>
        <v>5.8849999999999998</v>
      </c>
      <c r="K701">
        <f t="shared" ref="K701:K764" si="105">IF(F701=0,1,0)</f>
        <v>1</v>
      </c>
      <c r="L701" s="24">
        <f t="shared" ref="L701:L764" si="106">+D701*E701</f>
        <v>535</v>
      </c>
    </row>
    <row r="702" spans="2:12" x14ac:dyDescent="0.3">
      <c r="B702" s="44">
        <v>45642</v>
      </c>
      <c r="C702" t="s">
        <v>496</v>
      </c>
      <c r="D702" s="3">
        <v>16</v>
      </c>
      <c r="E702" s="45">
        <v>5.98</v>
      </c>
      <c r="G702" s="47" t="str">
        <f t="shared" si="103"/>
        <v/>
      </c>
      <c r="I702">
        <f t="shared" si="104"/>
        <v>6.5780000000000012</v>
      </c>
      <c r="K702">
        <f t="shared" si="105"/>
        <v>1</v>
      </c>
      <c r="L702" s="24">
        <f t="shared" si="106"/>
        <v>95.68</v>
      </c>
    </row>
    <row r="703" spans="2:12" x14ac:dyDescent="0.3">
      <c r="B703" s="44">
        <v>45642</v>
      </c>
      <c r="C703" t="s">
        <v>496</v>
      </c>
      <c r="D703" s="3">
        <v>514</v>
      </c>
      <c r="E703" s="45">
        <v>5.48</v>
      </c>
      <c r="G703" s="47" t="str">
        <f t="shared" si="103"/>
        <v/>
      </c>
      <c r="I703">
        <f t="shared" si="104"/>
        <v>6.0280000000000014</v>
      </c>
      <c r="K703">
        <f t="shared" si="105"/>
        <v>1</v>
      </c>
      <c r="L703" s="24">
        <f t="shared" si="106"/>
        <v>2816.7200000000003</v>
      </c>
    </row>
    <row r="704" spans="2:12" x14ac:dyDescent="0.3">
      <c r="B704" s="44">
        <v>45643</v>
      </c>
      <c r="C704" t="s">
        <v>496</v>
      </c>
      <c r="D704" s="3">
        <v>73</v>
      </c>
      <c r="E704" s="45">
        <v>5.35</v>
      </c>
      <c r="G704" s="47" t="str">
        <f t="shared" si="103"/>
        <v/>
      </c>
      <c r="I704">
        <f t="shared" si="104"/>
        <v>5.8849999999999998</v>
      </c>
      <c r="K704">
        <f t="shared" si="105"/>
        <v>1</v>
      </c>
      <c r="L704" s="24">
        <f t="shared" si="106"/>
        <v>390.54999999999995</v>
      </c>
    </row>
    <row r="705" spans="2:12" x14ac:dyDescent="0.3">
      <c r="B705" s="44">
        <v>45667</v>
      </c>
      <c r="C705" t="s">
        <v>496</v>
      </c>
      <c r="D705" s="3">
        <v>187</v>
      </c>
      <c r="E705" s="45">
        <v>5.2</v>
      </c>
      <c r="G705" s="47" t="str">
        <f t="shared" si="103"/>
        <v/>
      </c>
      <c r="I705">
        <f t="shared" si="104"/>
        <v>5.7200000000000006</v>
      </c>
      <c r="K705">
        <f t="shared" si="105"/>
        <v>1</v>
      </c>
      <c r="L705" s="24">
        <f t="shared" si="106"/>
        <v>972.4</v>
      </c>
    </row>
    <row r="706" spans="2:12" x14ac:dyDescent="0.3">
      <c r="B706" s="44">
        <v>45670</v>
      </c>
      <c r="C706" t="s">
        <v>496</v>
      </c>
      <c r="D706" s="3">
        <v>110</v>
      </c>
      <c r="E706" s="45">
        <v>5.09</v>
      </c>
      <c r="G706" s="47" t="str">
        <f t="shared" si="103"/>
        <v/>
      </c>
      <c r="I706">
        <f t="shared" si="104"/>
        <v>5.5990000000000002</v>
      </c>
      <c r="K706">
        <f t="shared" si="105"/>
        <v>1</v>
      </c>
      <c r="L706" s="24">
        <f t="shared" si="106"/>
        <v>559.9</v>
      </c>
    </row>
    <row r="707" spans="2:12" x14ac:dyDescent="0.3">
      <c r="B707" s="44">
        <v>45625</v>
      </c>
      <c r="C707" t="s">
        <v>46</v>
      </c>
      <c r="D707" s="3">
        <v>1</v>
      </c>
      <c r="E707" s="45">
        <v>270</v>
      </c>
      <c r="G707" s="47" t="str">
        <f t="shared" si="103"/>
        <v/>
      </c>
      <c r="I707">
        <f t="shared" si="104"/>
        <v>297</v>
      </c>
      <c r="K707">
        <f t="shared" si="105"/>
        <v>1</v>
      </c>
      <c r="L707" s="24">
        <f t="shared" si="106"/>
        <v>270</v>
      </c>
    </row>
    <row r="708" spans="2:12" x14ac:dyDescent="0.3">
      <c r="B708" s="44">
        <v>45638</v>
      </c>
      <c r="C708" t="s">
        <v>46</v>
      </c>
      <c r="D708" s="3">
        <v>2</v>
      </c>
      <c r="E708" s="45">
        <v>280</v>
      </c>
      <c r="G708" s="47" t="str">
        <f t="shared" si="103"/>
        <v/>
      </c>
      <c r="I708">
        <f t="shared" si="104"/>
        <v>308</v>
      </c>
      <c r="K708">
        <f t="shared" si="105"/>
        <v>1</v>
      </c>
      <c r="L708" s="24">
        <f t="shared" si="106"/>
        <v>560</v>
      </c>
    </row>
    <row r="709" spans="2:12" x14ac:dyDescent="0.3">
      <c r="B709" s="44">
        <v>45656</v>
      </c>
      <c r="C709" t="s">
        <v>46</v>
      </c>
      <c r="D709" s="3">
        <v>2</v>
      </c>
      <c r="E709" s="45">
        <v>275</v>
      </c>
      <c r="G709" s="47" t="str">
        <f t="shared" si="103"/>
        <v/>
      </c>
      <c r="I709">
        <f t="shared" si="104"/>
        <v>302.5</v>
      </c>
      <c r="K709">
        <f t="shared" si="105"/>
        <v>1</v>
      </c>
      <c r="L709" s="24">
        <f t="shared" si="106"/>
        <v>550</v>
      </c>
    </row>
    <row r="710" spans="2:12" x14ac:dyDescent="0.3">
      <c r="B710" s="44">
        <v>45615</v>
      </c>
      <c r="C710" t="s">
        <v>520</v>
      </c>
      <c r="D710" s="3">
        <v>7</v>
      </c>
      <c r="E710" s="45">
        <v>94.5</v>
      </c>
      <c r="G710" s="47" t="str">
        <f t="shared" si="103"/>
        <v/>
      </c>
      <c r="I710">
        <f t="shared" si="104"/>
        <v>103.95</v>
      </c>
      <c r="K710">
        <f t="shared" si="105"/>
        <v>1</v>
      </c>
      <c r="L710" s="24">
        <f t="shared" si="106"/>
        <v>661.5</v>
      </c>
    </row>
    <row r="711" spans="2:12" x14ac:dyDescent="0.3">
      <c r="B711" s="44">
        <v>45645</v>
      </c>
      <c r="C711" t="s">
        <v>520</v>
      </c>
      <c r="D711" s="3">
        <v>3</v>
      </c>
      <c r="E711" s="45">
        <v>100</v>
      </c>
      <c r="G711" s="47" t="str">
        <f t="shared" si="103"/>
        <v/>
      </c>
      <c r="I711">
        <f t="shared" si="104"/>
        <v>110.00000000000001</v>
      </c>
      <c r="K711">
        <f t="shared" si="105"/>
        <v>1</v>
      </c>
      <c r="L711" s="24">
        <f t="shared" si="106"/>
        <v>300</v>
      </c>
    </row>
    <row r="712" spans="2:12" x14ac:dyDescent="0.3">
      <c r="B712" s="44">
        <v>45646</v>
      </c>
      <c r="C712" t="s">
        <v>520</v>
      </c>
      <c r="D712" s="3">
        <v>2</v>
      </c>
      <c r="E712" s="45">
        <v>96.5</v>
      </c>
      <c r="G712" s="47" t="str">
        <f t="shared" si="103"/>
        <v/>
      </c>
      <c r="I712">
        <f t="shared" si="104"/>
        <v>106.15</v>
      </c>
      <c r="K712">
        <f t="shared" si="105"/>
        <v>1</v>
      </c>
      <c r="L712" s="24">
        <f t="shared" si="106"/>
        <v>193</v>
      </c>
    </row>
    <row r="713" spans="2:12" x14ac:dyDescent="0.3">
      <c r="B713" s="44">
        <v>45649</v>
      </c>
      <c r="C713" t="s">
        <v>520</v>
      </c>
      <c r="D713" s="3">
        <v>3</v>
      </c>
      <c r="E713" s="45">
        <v>95</v>
      </c>
      <c r="G713" s="47" t="str">
        <f t="shared" si="103"/>
        <v/>
      </c>
      <c r="I713">
        <f t="shared" si="104"/>
        <v>104.50000000000001</v>
      </c>
      <c r="K713">
        <f t="shared" si="105"/>
        <v>1</v>
      </c>
      <c r="L713" s="24">
        <f t="shared" si="106"/>
        <v>285</v>
      </c>
    </row>
    <row r="714" spans="2:12" x14ac:dyDescent="0.3">
      <c r="B714" s="44">
        <v>45643</v>
      </c>
      <c r="C714" t="s">
        <v>37</v>
      </c>
      <c r="D714" s="3">
        <v>70</v>
      </c>
      <c r="E714" s="45">
        <v>64.75</v>
      </c>
      <c r="G714" s="47" t="str">
        <f t="shared" si="103"/>
        <v/>
      </c>
      <c r="I714">
        <f t="shared" si="104"/>
        <v>71.225000000000009</v>
      </c>
      <c r="K714">
        <f t="shared" si="105"/>
        <v>1</v>
      </c>
      <c r="L714" s="24">
        <f t="shared" si="106"/>
        <v>4532.5</v>
      </c>
    </row>
    <row r="715" spans="2:12" x14ac:dyDescent="0.3">
      <c r="B715" s="44">
        <v>45644</v>
      </c>
      <c r="C715" t="s">
        <v>37</v>
      </c>
      <c r="D715" s="3">
        <v>48</v>
      </c>
      <c r="E715" s="45">
        <v>62</v>
      </c>
      <c r="G715" s="47" t="str">
        <f t="shared" si="103"/>
        <v/>
      </c>
      <c r="I715">
        <f t="shared" si="104"/>
        <v>68.2</v>
      </c>
      <c r="K715">
        <f t="shared" si="105"/>
        <v>1</v>
      </c>
      <c r="L715" s="24">
        <f t="shared" si="106"/>
        <v>2976</v>
      </c>
    </row>
    <row r="716" spans="2:12" x14ac:dyDescent="0.3">
      <c r="B716" s="44">
        <v>45645</v>
      </c>
      <c r="C716" t="s">
        <v>37</v>
      </c>
      <c r="D716" s="3">
        <v>35</v>
      </c>
      <c r="E716" s="45">
        <v>60</v>
      </c>
      <c r="G716" s="47" t="str">
        <f t="shared" si="103"/>
        <v/>
      </c>
      <c r="I716">
        <f t="shared" si="104"/>
        <v>66</v>
      </c>
      <c r="K716">
        <f t="shared" si="105"/>
        <v>1</v>
      </c>
      <c r="L716" s="24">
        <f t="shared" si="106"/>
        <v>2100</v>
      </c>
    </row>
    <row r="717" spans="2:12" x14ac:dyDescent="0.3">
      <c r="B717" s="44">
        <v>45646</v>
      </c>
      <c r="C717" t="s">
        <v>37</v>
      </c>
      <c r="D717" s="3">
        <v>15</v>
      </c>
      <c r="E717" s="45">
        <v>58.75</v>
      </c>
      <c r="G717" s="47" t="str">
        <f t="shared" si="103"/>
        <v/>
      </c>
      <c r="I717">
        <f t="shared" si="104"/>
        <v>64.625</v>
      </c>
      <c r="K717">
        <f t="shared" si="105"/>
        <v>1</v>
      </c>
      <c r="L717" s="24">
        <f t="shared" si="106"/>
        <v>881.25</v>
      </c>
    </row>
    <row r="718" spans="2:12" x14ac:dyDescent="0.3">
      <c r="B718" s="44">
        <v>45649</v>
      </c>
      <c r="C718" t="s">
        <v>37</v>
      </c>
      <c r="D718" s="3">
        <v>5</v>
      </c>
      <c r="E718" s="45">
        <v>57</v>
      </c>
      <c r="G718" s="47" t="str">
        <f t="shared" si="103"/>
        <v/>
      </c>
      <c r="I718">
        <f t="shared" si="104"/>
        <v>62.7</v>
      </c>
      <c r="K718">
        <f t="shared" si="105"/>
        <v>1</v>
      </c>
      <c r="L718" s="24">
        <f t="shared" si="106"/>
        <v>285</v>
      </c>
    </row>
    <row r="719" spans="2:12" x14ac:dyDescent="0.3">
      <c r="B719" s="44">
        <v>45650</v>
      </c>
      <c r="C719" t="s">
        <v>37</v>
      </c>
      <c r="D719" s="3">
        <v>4</v>
      </c>
      <c r="E719" s="45">
        <v>56</v>
      </c>
      <c r="G719" s="47" t="str">
        <f t="shared" si="103"/>
        <v/>
      </c>
      <c r="I719">
        <f t="shared" si="104"/>
        <v>61.600000000000009</v>
      </c>
      <c r="K719">
        <f t="shared" si="105"/>
        <v>1</v>
      </c>
      <c r="L719" s="24">
        <f t="shared" si="106"/>
        <v>224</v>
      </c>
    </row>
    <row r="720" spans="2:12" x14ac:dyDescent="0.3">
      <c r="B720" s="44">
        <v>45667</v>
      </c>
      <c r="C720" t="s">
        <v>37</v>
      </c>
      <c r="D720" s="3">
        <v>16</v>
      </c>
      <c r="E720" s="45">
        <v>58.5</v>
      </c>
      <c r="G720" s="47" t="str">
        <f t="shared" si="103"/>
        <v/>
      </c>
      <c r="I720">
        <f t="shared" si="104"/>
        <v>64.350000000000009</v>
      </c>
      <c r="K720">
        <f t="shared" si="105"/>
        <v>1</v>
      </c>
      <c r="L720" s="24">
        <f t="shared" si="106"/>
        <v>936</v>
      </c>
    </row>
    <row r="721" spans="2:12" x14ac:dyDescent="0.3">
      <c r="B721" s="44">
        <v>45621</v>
      </c>
      <c r="C721" t="s">
        <v>525</v>
      </c>
      <c r="D721" s="3">
        <v>60</v>
      </c>
      <c r="E721" s="45">
        <v>18.899999999999999</v>
      </c>
      <c r="G721" s="47" t="str">
        <f t="shared" si="103"/>
        <v/>
      </c>
      <c r="I721">
        <f t="shared" si="104"/>
        <v>20.79</v>
      </c>
      <c r="K721">
        <f t="shared" si="105"/>
        <v>1</v>
      </c>
      <c r="L721" s="24">
        <f t="shared" si="106"/>
        <v>1134</v>
      </c>
    </row>
    <row r="722" spans="2:12" x14ac:dyDescent="0.3">
      <c r="B722" s="44">
        <v>45664</v>
      </c>
      <c r="C722" t="s">
        <v>525</v>
      </c>
      <c r="D722" s="3">
        <v>30</v>
      </c>
      <c r="E722" s="45">
        <v>18</v>
      </c>
      <c r="G722" s="47" t="str">
        <f t="shared" si="103"/>
        <v/>
      </c>
      <c r="I722">
        <f t="shared" si="104"/>
        <v>19.8</v>
      </c>
      <c r="K722">
        <f t="shared" si="105"/>
        <v>1</v>
      </c>
      <c r="L722" s="24">
        <f t="shared" si="106"/>
        <v>540</v>
      </c>
    </row>
    <row r="723" spans="2:12" hidden="1" x14ac:dyDescent="0.3">
      <c r="B723" s="44">
        <v>45656</v>
      </c>
      <c r="C723" t="s">
        <v>6</v>
      </c>
      <c r="D723" s="3">
        <v>30</v>
      </c>
      <c r="E723" s="45">
        <v>34.299999999999997</v>
      </c>
      <c r="F723" s="46">
        <v>35</v>
      </c>
      <c r="G723" s="47">
        <f t="shared" si="103"/>
        <v>21.000000000000085</v>
      </c>
      <c r="I723">
        <f t="shared" si="104"/>
        <v>37.729999999999997</v>
      </c>
      <c r="K723">
        <f t="shared" si="105"/>
        <v>0</v>
      </c>
      <c r="L723" s="24">
        <f t="shared" si="106"/>
        <v>1029</v>
      </c>
    </row>
    <row r="724" spans="2:12" x14ac:dyDescent="0.3">
      <c r="B724" s="44">
        <v>45666</v>
      </c>
      <c r="C724" t="s">
        <v>525</v>
      </c>
      <c r="D724" s="3">
        <v>10</v>
      </c>
      <c r="E724" s="45">
        <v>18</v>
      </c>
      <c r="G724" s="47" t="str">
        <f t="shared" si="103"/>
        <v/>
      </c>
      <c r="I724">
        <f t="shared" si="104"/>
        <v>19.8</v>
      </c>
      <c r="K724">
        <f t="shared" si="105"/>
        <v>1</v>
      </c>
      <c r="L724" s="24">
        <f t="shared" si="106"/>
        <v>180</v>
      </c>
    </row>
    <row r="725" spans="2:12" x14ac:dyDescent="0.3">
      <c r="B725" s="44">
        <v>45667</v>
      </c>
      <c r="C725" t="s">
        <v>525</v>
      </c>
      <c r="D725" s="3">
        <v>15</v>
      </c>
      <c r="E725" s="45">
        <v>17.899999999999999</v>
      </c>
      <c r="G725" s="47" t="str">
        <f t="shared" si="103"/>
        <v/>
      </c>
      <c r="I725">
        <f t="shared" si="104"/>
        <v>19.690000000000001</v>
      </c>
      <c r="K725">
        <f t="shared" si="105"/>
        <v>1</v>
      </c>
      <c r="L725" s="24">
        <f t="shared" si="106"/>
        <v>268.5</v>
      </c>
    </row>
    <row r="726" spans="2:12" x14ac:dyDescent="0.3">
      <c r="B726" s="44">
        <v>45667</v>
      </c>
      <c r="C726" t="s">
        <v>525</v>
      </c>
      <c r="D726" s="3">
        <v>25</v>
      </c>
      <c r="E726" s="45">
        <v>17.5</v>
      </c>
      <c r="G726" s="47" t="str">
        <f t="shared" si="103"/>
        <v/>
      </c>
      <c r="I726">
        <f t="shared" si="104"/>
        <v>19.25</v>
      </c>
      <c r="K726">
        <f t="shared" si="105"/>
        <v>1</v>
      </c>
      <c r="L726" s="24">
        <f t="shared" si="106"/>
        <v>437.5</v>
      </c>
    </row>
    <row r="727" spans="2:12" hidden="1" x14ac:dyDescent="0.3">
      <c r="B727" s="44">
        <v>45671</v>
      </c>
      <c r="C727" t="s">
        <v>13</v>
      </c>
      <c r="D727" s="3">
        <v>80</v>
      </c>
      <c r="E727" s="45">
        <v>15.2</v>
      </c>
      <c r="F727" s="46">
        <v>16</v>
      </c>
      <c r="G727" s="47">
        <f t="shared" si="103"/>
        <v>64.000000000000057</v>
      </c>
      <c r="I727">
        <f t="shared" si="104"/>
        <v>16.72</v>
      </c>
      <c r="K727">
        <f t="shared" si="105"/>
        <v>0</v>
      </c>
      <c r="L727" s="24">
        <f t="shared" si="106"/>
        <v>1216</v>
      </c>
    </row>
    <row r="728" spans="2:12" x14ac:dyDescent="0.3">
      <c r="B728" s="44">
        <v>45576</v>
      </c>
      <c r="C728" t="s">
        <v>529</v>
      </c>
      <c r="D728" s="3">
        <v>10</v>
      </c>
      <c r="E728" s="45">
        <v>46</v>
      </c>
      <c r="G728" s="47" t="str">
        <f t="shared" si="103"/>
        <v/>
      </c>
      <c r="I728">
        <f t="shared" si="104"/>
        <v>50.6</v>
      </c>
      <c r="K728">
        <f t="shared" si="105"/>
        <v>1</v>
      </c>
      <c r="L728" s="24">
        <f t="shared" si="106"/>
        <v>460</v>
      </c>
    </row>
    <row r="729" spans="2:12" hidden="1" x14ac:dyDescent="0.3">
      <c r="B729" s="44">
        <v>45645</v>
      </c>
      <c r="C729" t="s">
        <v>529</v>
      </c>
      <c r="D729" s="3">
        <v>10</v>
      </c>
      <c r="E729" s="45">
        <v>46</v>
      </c>
      <c r="F729" s="46">
        <v>50.3</v>
      </c>
      <c r="G729" s="47">
        <f t="shared" si="103"/>
        <v>42.999999999999972</v>
      </c>
      <c r="I729">
        <f t="shared" si="104"/>
        <v>50.6</v>
      </c>
      <c r="K729">
        <f t="shared" si="105"/>
        <v>0</v>
      </c>
      <c r="L729" s="24">
        <f t="shared" si="106"/>
        <v>460</v>
      </c>
    </row>
    <row r="730" spans="2:12" hidden="1" x14ac:dyDescent="0.3">
      <c r="B730" s="44">
        <v>45656</v>
      </c>
      <c r="C730" t="s">
        <v>529</v>
      </c>
      <c r="D730" s="3">
        <v>10</v>
      </c>
      <c r="E730" s="45">
        <v>45</v>
      </c>
      <c r="F730" s="46">
        <v>50.3</v>
      </c>
      <c r="G730" s="47">
        <f t="shared" si="103"/>
        <v>52.999999999999972</v>
      </c>
      <c r="I730">
        <f t="shared" si="104"/>
        <v>49.500000000000007</v>
      </c>
      <c r="K730">
        <f t="shared" si="105"/>
        <v>0</v>
      </c>
      <c r="L730" s="24">
        <f t="shared" si="106"/>
        <v>450</v>
      </c>
    </row>
    <row r="731" spans="2:12" x14ac:dyDescent="0.3">
      <c r="B731" s="44">
        <v>45639</v>
      </c>
      <c r="C731" t="s">
        <v>41</v>
      </c>
      <c r="D731" s="3">
        <v>13</v>
      </c>
      <c r="E731" s="45">
        <v>150.6</v>
      </c>
      <c r="G731" s="47" t="str">
        <f t="shared" si="103"/>
        <v/>
      </c>
      <c r="I731">
        <f t="shared" si="104"/>
        <v>165.66</v>
      </c>
      <c r="K731">
        <f t="shared" si="105"/>
        <v>1</v>
      </c>
      <c r="L731" s="24">
        <f t="shared" si="106"/>
        <v>1957.8</v>
      </c>
    </row>
    <row r="732" spans="2:12" x14ac:dyDescent="0.3">
      <c r="B732" s="44">
        <v>45665</v>
      </c>
      <c r="C732" t="s">
        <v>41</v>
      </c>
      <c r="D732" s="3">
        <v>10</v>
      </c>
      <c r="E732" s="45">
        <v>145</v>
      </c>
      <c r="G732" s="47" t="str">
        <f t="shared" si="103"/>
        <v/>
      </c>
      <c r="I732">
        <f t="shared" si="104"/>
        <v>159.5</v>
      </c>
      <c r="K732">
        <f t="shared" si="105"/>
        <v>1</v>
      </c>
      <c r="L732" s="24">
        <f t="shared" si="106"/>
        <v>1450</v>
      </c>
    </row>
    <row r="733" spans="2:12" x14ac:dyDescent="0.3">
      <c r="B733" s="44">
        <v>45624</v>
      </c>
      <c r="C733" t="s">
        <v>546</v>
      </c>
      <c r="D733" s="3">
        <v>15</v>
      </c>
      <c r="E733" s="45">
        <v>26.5</v>
      </c>
      <c r="G733" s="47" t="str">
        <f t="shared" si="103"/>
        <v/>
      </c>
      <c r="I733">
        <f t="shared" si="104"/>
        <v>29.150000000000002</v>
      </c>
      <c r="K733">
        <f t="shared" si="105"/>
        <v>1</v>
      </c>
      <c r="L733" s="24">
        <f t="shared" si="106"/>
        <v>397.5</v>
      </c>
    </row>
    <row r="734" spans="2:12" x14ac:dyDescent="0.3">
      <c r="B734" s="44">
        <v>45645</v>
      </c>
      <c r="C734" t="s">
        <v>546</v>
      </c>
      <c r="D734" s="3">
        <v>10</v>
      </c>
      <c r="E734" s="45">
        <v>24.7</v>
      </c>
      <c r="G734" s="47" t="str">
        <f t="shared" si="103"/>
        <v/>
      </c>
      <c r="I734">
        <f t="shared" si="104"/>
        <v>27.17</v>
      </c>
      <c r="K734">
        <f t="shared" si="105"/>
        <v>1</v>
      </c>
      <c r="L734" s="24">
        <f t="shared" si="106"/>
        <v>247</v>
      </c>
    </row>
    <row r="735" spans="2:12" x14ac:dyDescent="0.3">
      <c r="B735" s="44">
        <v>45667</v>
      </c>
      <c r="C735" t="s">
        <v>546</v>
      </c>
      <c r="D735" s="3">
        <v>10</v>
      </c>
      <c r="E735" s="45">
        <v>25</v>
      </c>
      <c r="G735" s="47" t="str">
        <f t="shared" si="103"/>
        <v/>
      </c>
      <c r="I735">
        <f t="shared" si="104"/>
        <v>27.500000000000004</v>
      </c>
      <c r="K735">
        <f t="shared" si="105"/>
        <v>1</v>
      </c>
      <c r="L735" s="24">
        <f t="shared" si="106"/>
        <v>250</v>
      </c>
    </row>
    <row r="736" spans="2:12" x14ac:dyDescent="0.3">
      <c r="B736" s="44">
        <v>45625</v>
      </c>
      <c r="C736" t="s">
        <v>549</v>
      </c>
      <c r="D736" s="3">
        <v>20</v>
      </c>
      <c r="E736" s="45">
        <v>16.95</v>
      </c>
      <c r="G736" s="47" t="str">
        <f t="shared" si="103"/>
        <v/>
      </c>
      <c r="I736">
        <f t="shared" si="104"/>
        <v>18.645</v>
      </c>
      <c r="K736">
        <f t="shared" si="105"/>
        <v>1</v>
      </c>
      <c r="L736" s="24">
        <f t="shared" si="106"/>
        <v>339</v>
      </c>
    </row>
    <row r="737" spans="2:12" hidden="1" x14ac:dyDescent="0.3">
      <c r="B737" s="44">
        <v>45667</v>
      </c>
      <c r="C737" t="s">
        <v>128</v>
      </c>
      <c r="D737" s="3">
        <v>20</v>
      </c>
      <c r="E737" s="45">
        <v>17.8</v>
      </c>
      <c r="F737" s="46">
        <v>18.03</v>
      </c>
      <c r="G737" s="47">
        <f t="shared" si="103"/>
        <v>4.6000000000000085</v>
      </c>
      <c r="I737">
        <f t="shared" si="104"/>
        <v>19.580000000000002</v>
      </c>
      <c r="K737">
        <f t="shared" si="105"/>
        <v>0</v>
      </c>
      <c r="L737" s="24">
        <f t="shared" si="106"/>
        <v>356</v>
      </c>
    </row>
    <row r="738" spans="2:12" x14ac:dyDescent="0.3">
      <c r="B738" s="44">
        <v>45644</v>
      </c>
      <c r="C738" t="s">
        <v>549</v>
      </c>
      <c r="D738" s="3">
        <v>20</v>
      </c>
      <c r="E738" s="45">
        <v>17.5</v>
      </c>
      <c r="G738" s="47" t="str">
        <f t="shared" si="103"/>
        <v/>
      </c>
      <c r="I738">
        <f t="shared" si="104"/>
        <v>19.25</v>
      </c>
      <c r="K738">
        <f t="shared" si="105"/>
        <v>1</v>
      </c>
      <c r="L738" s="24">
        <f t="shared" si="106"/>
        <v>350</v>
      </c>
    </row>
    <row r="739" spans="2:12" x14ac:dyDescent="0.3">
      <c r="B739" s="44">
        <v>45645</v>
      </c>
      <c r="C739" t="s">
        <v>549</v>
      </c>
      <c r="D739" s="3">
        <v>10</v>
      </c>
      <c r="E739" s="45">
        <v>17</v>
      </c>
      <c r="G739" s="47" t="str">
        <f t="shared" si="103"/>
        <v/>
      </c>
      <c r="I739">
        <f t="shared" si="104"/>
        <v>18.700000000000003</v>
      </c>
      <c r="K739">
        <f t="shared" si="105"/>
        <v>1</v>
      </c>
      <c r="L739" s="24">
        <f t="shared" si="106"/>
        <v>170</v>
      </c>
    </row>
    <row r="740" spans="2:12" x14ac:dyDescent="0.3">
      <c r="B740" s="44">
        <v>45652</v>
      </c>
      <c r="C740" t="s">
        <v>549</v>
      </c>
      <c r="D740" s="3">
        <v>20</v>
      </c>
      <c r="E740" s="45">
        <v>17</v>
      </c>
      <c r="G740" s="47" t="str">
        <f t="shared" si="103"/>
        <v/>
      </c>
      <c r="I740">
        <f t="shared" si="104"/>
        <v>18.700000000000003</v>
      </c>
      <c r="K740">
        <f t="shared" si="105"/>
        <v>1</v>
      </c>
      <c r="L740" s="24">
        <f t="shared" si="106"/>
        <v>340</v>
      </c>
    </row>
    <row r="741" spans="2:12" x14ac:dyDescent="0.3">
      <c r="B741" s="44">
        <v>45656</v>
      </c>
      <c r="C741" t="s">
        <v>549</v>
      </c>
      <c r="D741" s="3">
        <v>30</v>
      </c>
      <c r="E741" s="45">
        <v>17</v>
      </c>
      <c r="G741" s="47" t="str">
        <f t="shared" si="103"/>
        <v/>
      </c>
      <c r="I741">
        <f t="shared" si="104"/>
        <v>18.700000000000003</v>
      </c>
      <c r="K741">
        <f t="shared" si="105"/>
        <v>1</v>
      </c>
      <c r="L741" s="24">
        <f t="shared" si="106"/>
        <v>510</v>
      </c>
    </row>
    <row r="742" spans="2:12" hidden="1" x14ac:dyDescent="0.3">
      <c r="B742" s="44">
        <v>45667</v>
      </c>
      <c r="C742" t="s">
        <v>128</v>
      </c>
      <c r="D742" s="3">
        <v>30</v>
      </c>
      <c r="E742" s="45">
        <v>17.8</v>
      </c>
      <c r="F742" s="46">
        <v>19</v>
      </c>
      <c r="G742" s="47">
        <f t="shared" si="103"/>
        <v>35.999999999999979</v>
      </c>
      <c r="I742">
        <f t="shared" si="104"/>
        <v>19.580000000000002</v>
      </c>
      <c r="K742">
        <f t="shared" si="105"/>
        <v>0</v>
      </c>
      <c r="L742" s="24">
        <f t="shared" si="106"/>
        <v>534</v>
      </c>
    </row>
    <row r="743" spans="2:12" x14ac:dyDescent="0.3">
      <c r="B743" s="44">
        <v>45639</v>
      </c>
      <c r="C743" t="s">
        <v>550</v>
      </c>
      <c r="D743" s="3">
        <v>1</v>
      </c>
      <c r="E743" s="45">
        <v>70.5</v>
      </c>
      <c r="G743" s="47" t="str">
        <f t="shared" si="103"/>
        <v/>
      </c>
      <c r="I743">
        <f t="shared" si="104"/>
        <v>77.550000000000011</v>
      </c>
      <c r="K743">
        <f t="shared" si="105"/>
        <v>1</v>
      </c>
      <c r="L743" s="24">
        <f t="shared" si="106"/>
        <v>70.5</v>
      </c>
    </row>
    <row r="744" spans="2:12" x14ac:dyDescent="0.3">
      <c r="B744" s="44">
        <v>45642</v>
      </c>
      <c r="C744" t="s">
        <v>550</v>
      </c>
      <c r="D744" s="3">
        <v>4</v>
      </c>
      <c r="E744" s="45">
        <v>69.7</v>
      </c>
      <c r="G744" s="47" t="str">
        <f t="shared" si="103"/>
        <v/>
      </c>
      <c r="I744">
        <f t="shared" si="104"/>
        <v>76.670000000000016</v>
      </c>
      <c r="K744">
        <f t="shared" si="105"/>
        <v>1</v>
      </c>
      <c r="L744" s="24">
        <f t="shared" si="106"/>
        <v>278.8</v>
      </c>
    </row>
    <row r="745" spans="2:12" x14ac:dyDescent="0.3">
      <c r="B745" s="44">
        <v>45677</v>
      </c>
      <c r="C745" t="s">
        <v>550</v>
      </c>
      <c r="D745" s="3">
        <v>8</v>
      </c>
      <c r="E745" s="45">
        <v>64</v>
      </c>
      <c r="G745" s="47" t="str">
        <f t="shared" si="103"/>
        <v/>
      </c>
      <c r="I745">
        <f t="shared" si="104"/>
        <v>70.400000000000006</v>
      </c>
      <c r="K745">
        <f t="shared" si="105"/>
        <v>1</v>
      </c>
      <c r="L745" s="24">
        <f t="shared" si="106"/>
        <v>512</v>
      </c>
    </row>
    <row r="746" spans="2:12" x14ac:dyDescent="0.3">
      <c r="B746" s="44">
        <v>45684</v>
      </c>
      <c r="C746" t="s">
        <v>550</v>
      </c>
      <c r="D746" s="3">
        <v>7</v>
      </c>
      <c r="E746" s="45">
        <v>63.5</v>
      </c>
      <c r="G746" s="47" t="str">
        <f t="shared" si="103"/>
        <v/>
      </c>
      <c r="I746">
        <f t="shared" si="104"/>
        <v>69.850000000000009</v>
      </c>
      <c r="K746">
        <f t="shared" si="105"/>
        <v>1</v>
      </c>
      <c r="L746" s="24">
        <f t="shared" si="106"/>
        <v>444.5</v>
      </c>
    </row>
    <row r="747" spans="2:12" hidden="1" x14ac:dyDescent="0.3">
      <c r="B747" s="44">
        <v>45643</v>
      </c>
      <c r="C747" t="s">
        <v>43</v>
      </c>
      <c r="D747" s="3">
        <v>3</v>
      </c>
      <c r="E747" s="45">
        <v>52.8</v>
      </c>
      <c r="F747" s="46">
        <v>55</v>
      </c>
      <c r="G747" s="47">
        <f t="shared" si="103"/>
        <v>6.6000000000000085</v>
      </c>
      <c r="I747">
        <f t="shared" si="104"/>
        <v>58.08</v>
      </c>
      <c r="K747">
        <f t="shared" si="105"/>
        <v>0</v>
      </c>
      <c r="L747" s="24">
        <f t="shared" si="106"/>
        <v>158.39999999999998</v>
      </c>
    </row>
    <row r="748" spans="2:12" hidden="1" x14ac:dyDescent="0.3">
      <c r="B748" s="44">
        <v>45684</v>
      </c>
      <c r="C748" t="s">
        <v>43</v>
      </c>
      <c r="D748" s="3">
        <v>5</v>
      </c>
      <c r="E748" s="45">
        <v>51</v>
      </c>
      <c r="F748" s="46">
        <v>55</v>
      </c>
      <c r="G748" s="47">
        <f t="shared" si="103"/>
        <v>20</v>
      </c>
      <c r="I748">
        <f t="shared" si="104"/>
        <v>56.1</v>
      </c>
      <c r="K748">
        <f t="shared" si="105"/>
        <v>0</v>
      </c>
      <c r="L748" s="24">
        <f t="shared" si="106"/>
        <v>255</v>
      </c>
    </row>
    <row r="749" spans="2:12" hidden="1" x14ac:dyDescent="0.3">
      <c r="B749" s="44">
        <v>45667</v>
      </c>
      <c r="C749" t="s">
        <v>525</v>
      </c>
      <c r="D749" s="3">
        <v>50</v>
      </c>
      <c r="E749" s="45">
        <v>17.5</v>
      </c>
      <c r="F749" s="46">
        <v>18.600000000000001</v>
      </c>
      <c r="G749" s="47">
        <f t="shared" si="103"/>
        <v>55.000000000000071</v>
      </c>
      <c r="I749">
        <f t="shared" si="104"/>
        <v>19.25</v>
      </c>
      <c r="K749">
        <f t="shared" si="105"/>
        <v>0</v>
      </c>
      <c r="L749" s="24">
        <f t="shared" si="106"/>
        <v>875</v>
      </c>
    </row>
    <row r="750" spans="2:12" hidden="1" x14ac:dyDescent="0.3">
      <c r="B750" s="44">
        <v>45576</v>
      </c>
      <c r="C750" t="s">
        <v>529</v>
      </c>
      <c r="D750" s="3">
        <v>10</v>
      </c>
      <c r="E750" s="45">
        <v>46</v>
      </c>
      <c r="F750" s="46">
        <v>51</v>
      </c>
      <c r="G750" s="47">
        <f t="shared" si="103"/>
        <v>50</v>
      </c>
      <c r="I750">
        <f t="shared" si="104"/>
        <v>50.6</v>
      </c>
      <c r="K750">
        <f t="shared" si="105"/>
        <v>0</v>
      </c>
      <c r="L750" s="24">
        <f t="shared" si="106"/>
        <v>460</v>
      </c>
    </row>
    <row r="751" spans="2:12" x14ac:dyDescent="0.3">
      <c r="G751" s="47" t="str">
        <f t="shared" si="103"/>
        <v/>
      </c>
      <c r="I751">
        <f t="shared" si="104"/>
        <v>0</v>
      </c>
      <c r="K751">
        <f t="shared" si="105"/>
        <v>1</v>
      </c>
      <c r="L751" s="24">
        <f t="shared" si="106"/>
        <v>0</v>
      </c>
    </row>
    <row r="752" spans="2:12" x14ac:dyDescent="0.3">
      <c r="G752" s="47" t="str">
        <f t="shared" si="103"/>
        <v/>
      </c>
      <c r="I752">
        <f t="shared" si="104"/>
        <v>0</v>
      </c>
      <c r="K752">
        <f t="shared" si="105"/>
        <v>1</v>
      </c>
      <c r="L752" s="24">
        <f t="shared" si="106"/>
        <v>0</v>
      </c>
    </row>
    <row r="753" spans="7:12" x14ac:dyDescent="0.3">
      <c r="G753" s="47" t="str">
        <f t="shared" si="103"/>
        <v/>
      </c>
      <c r="I753">
        <f t="shared" si="104"/>
        <v>0</v>
      </c>
      <c r="K753">
        <f t="shared" si="105"/>
        <v>1</v>
      </c>
      <c r="L753" s="24">
        <f t="shared" si="106"/>
        <v>0</v>
      </c>
    </row>
    <row r="754" spans="7:12" x14ac:dyDescent="0.3">
      <c r="G754" s="47" t="str">
        <f t="shared" si="103"/>
        <v/>
      </c>
      <c r="I754">
        <f t="shared" si="104"/>
        <v>0</v>
      </c>
      <c r="K754">
        <f t="shared" si="105"/>
        <v>1</v>
      </c>
      <c r="L754" s="24">
        <f t="shared" si="106"/>
        <v>0</v>
      </c>
    </row>
    <row r="755" spans="7:12" x14ac:dyDescent="0.3">
      <c r="G755" s="47" t="str">
        <f t="shared" si="103"/>
        <v/>
      </c>
      <c r="I755">
        <f t="shared" si="104"/>
        <v>0</v>
      </c>
      <c r="K755">
        <f t="shared" si="105"/>
        <v>1</v>
      </c>
      <c r="L755" s="24">
        <f t="shared" si="106"/>
        <v>0</v>
      </c>
    </row>
    <row r="756" spans="7:12" x14ac:dyDescent="0.3">
      <c r="G756" s="47" t="str">
        <f t="shared" si="103"/>
        <v/>
      </c>
      <c r="I756">
        <f t="shared" si="104"/>
        <v>0</v>
      </c>
      <c r="K756">
        <f t="shared" si="105"/>
        <v>1</v>
      </c>
      <c r="L756" s="24">
        <f t="shared" si="106"/>
        <v>0</v>
      </c>
    </row>
    <row r="757" spans="7:12" x14ac:dyDescent="0.3">
      <c r="G757" s="47" t="str">
        <f t="shared" si="103"/>
        <v/>
      </c>
      <c r="I757">
        <f t="shared" si="104"/>
        <v>0</v>
      </c>
      <c r="K757">
        <f t="shared" si="105"/>
        <v>1</v>
      </c>
      <c r="L757" s="24">
        <f t="shared" si="106"/>
        <v>0</v>
      </c>
    </row>
    <row r="758" spans="7:12" x14ac:dyDescent="0.3">
      <c r="G758" s="47" t="str">
        <f t="shared" ref="G758:G821" si="107">IF(E758=0,"",IF(F758="","",(F758-E758)*D758))</f>
        <v/>
      </c>
      <c r="I758">
        <f t="shared" si="104"/>
        <v>0</v>
      </c>
      <c r="K758">
        <f t="shared" si="105"/>
        <v>1</v>
      </c>
      <c r="L758" s="24">
        <f t="shared" si="106"/>
        <v>0</v>
      </c>
    </row>
    <row r="759" spans="7:12" x14ac:dyDescent="0.3">
      <c r="G759" s="47" t="str">
        <f t="shared" si="107"/>
        <v/>
      </c>
      <c r="I759">
        <f t="shared" si="104"/>
        <v>0</v>
      </c>
      <c r="K759">
        <f t="shared" si="105"/>
        <v>1</v>
      </c>
      <c r="L759" s="24">
        <f t="shared" si="106"/>
        <v>0</v>
      </c>
    </row>
    <row r="760" spans="7:12" x14ac:dyDescent="0.3">
      <c r="G760" s="47" t="str">
        <f t="shared" si="107"/>
        <v/>
      </c>
      <c r="I760">
        <f t="shared" si="104"/>
        <v>0</v>
      </c>
      <c r="K760">
        <f t="shared" si="105"/>
        <v>1</v>
      </c>
      <c r="L760" s="24">
        <f t="shared" si="106"/>
        <v>0</v>
      </c>
    </row>
    <row r="761" spans="7:12" x14ac:dyDescent="0.3">
      <c r="G761" s="47" t="str">
        <f t="shared" si="107"/>
        <v/>
      </c>
      <c r="I761">
        <f t="shared" si="104"/>
        <v>0</v>
      </c>
      <c r="K761">
        <f t="shared" si="105"/>
        <v>1</v>
      </c>
      <c r="L761" s="24">
        <f t="shared" si="106"/>
        <v>0</v>
      </c>
    </row>
    <row r="762" spans="7:12" x14ac:dyDescent="0.3">
      <c r="G762" s="47" t="str">
        <f t="shared" si="107"/>
        <v/>
      </c>
      <c r="I762">
        <f t="shared" si="104"/>
        <v>0</v>
      </c>
      <c r="K762">
        <f t="shared" si="105"/>
        <v>1</v>
      </c>
      <c r="L762" s="24">
        <f t="shared" si="106"/>
        <v>0</v>
      </c>
    </row>
    <row r="763" spans="7:12" x14ac:dyDescent="0.3">
      <c r="G763" s="47" t="str">
        <f t="shared" si="107"/>
        <v/>
      </c>
      <c r="I763">
        <f t="shared" si="104"/>
        <v>0</v>
      </c>
      <c r="K763">
        <f t="shared" si="105"/>
        <v>1</v>
      </c>
      <c r="L763" s="24">
        <f t="shared" si="106"/>
        <v>0</v>
      </c>
    </row>
    <row r="764" spans="7:12" x14ac:dyDescent="0.3">
      <c r="G764" s="47" t="str">
        <f t="shared" si="107"/>
        <v/>
      </c>
      <c r="I764">
        <f t="shared" si="104"/>
        <v>0</v>
      </c>
      <c r="K764">
        <f t="shared" si="105"/>
        <v>1</v>
      </c>
      <c r="L764" s="24">
        <f t="shared" si="106"/>
        <v>0</v>
      </c>
    </row>
    <row r="765" spans="7:12" x14ac:dyDescent="0.3">
      <c r="G765" s="47" t="str">
        <f t="shared" si="107"/>
        <v/>
      </c>
      <c r="I765">
        <f t="shared" ref="I765:I828" si="108">+E765*1.1</f>
        <v>0</v>
      </c>
      <c r="K765">
        <f t="shared" ref="K765:K828" si="109">IF(F765=0,1,0)</f>
        <v>1</v>
      </c>
      <c r="L765" s="24">
        <f t="shared" ref="L765:L828" si="110">+D765*E765</f>
        <v>0</v>
      </c>
    </row>
    <row r="766" spans="7:12" x14ac:dyDescent="0.3">
      <c r="G766" s="47" t="str">
        <f t="shared" si="107"/>
        <v/>
      </c>
      <c r="I766">
        <f t="shared" si="108"/>
        <v>0</v>
      </c>
      <c r="K766">
        <f t="shared" si="109"/>
        <v>1</v>
      </c>
      <c r="L766" s="24">
        <f t="shared" si="110"/>
        <v>0</v>
      </c>
    </row>
    <row r="767" spans="7:12" x14ac:dyDescent="0.3">
      <c r="G767" s="47" t="str">
        <f t="shared" si="107"/>
        <v/>
      </c>
      <c r="I767">
        <f t="shared" si="108"/>
        <v>0</v>
      </c>
      <c r="K767">
        <f t="shared" si="109"/>
        <v>1</v>
      </c>
      <c r="L767" s="24">
        <f t="shared" si="110"/>
        <v>0</v>
      </c>
    </row>
    <row r="768" spans="7:12" x14ac:dyDescent="0.3">
      <c r="G768" s="47" t="str">
        <f t="shared" si="107"/>
        <v/>
      </c>
      <c r="I768">
        <f t="shared" si="108"/>
        <v>0</v>
      </c>
      <c r="K768">
        <f t="shared" si="109"/>
        <v>1</v>
      </c>
      <c r="L768" s="24">
        <f t="shared" si="110"/>
        <v>0</v>
      </c>
    </row>
    <row r="769" spans="7:12" x14ac:dyDescent="0.3">
      <c r="G769" s="47" t="str">
        <f t="shared" si="107"/>
        <v/>
      </c>
      <c r="I769">
        <f t="shared" si="108"/>
        <v>0</v>
      </c>
      <c r="K769">
        <f t="shared" si="109"/>
        <v>1</v>
      </c>
      <c r="L769" s="24">
        <f t="shared" si="110"/>
        <v>0</v>
      </c>
    </row>
    <row r="770" spans="7:12" x14ac:dyDescent="0.3">
      <c r="G770" s="47" t="str">
        <f t="shared" si="107"/>
        <v/>
      </c>
      <c r="I770">
        <f t="shared" si="108"/>
        <v>0</v>
      </c>
      <c r="K770">
        <f t="shared" si="109"/>
        <v>1</v>
      </c>
      <c r="L770" s="24">
        <f t="shared" si="110"/>
        <v>0</v>
      </c>
    </row>
    <row r="771" spans="7:12" x14ac:dyDescent="0.3">
      <c r="G771" s="47" t="str">
        <f t="shared" si="107"/>
        <v/>
      </c>
      <c r="I771">
        <f t="shared" si="108"/>
        <v>0</v>
      </c>
      <c r="K771">
        <f t="shared" si="109"/>
        <v>1</v>
      </c>
      <c r="L771" s="24">
        <f t="shared" si="110"/>
        <v>0</v>
      </c>
    </row>
    <row r="772" spans="7:12" x14ac:dyDescent="0.3">
      <c r="G772" s="47" t="str">
        <f t="shared" si="107"/>
        <v/>
      </c>
      <c r="I772">
        <f t="shared" si="108"/>
        <v>0</v>
      </c>
      <c r="K772">
        <f t="shared" si="109"/>
        <v>1</v>
      </c>
      <c r="L772" s="24">
        <f t="shared" si="110"/>
        <v>0</v>
      </c>
    </row>
    <row r="773" spans="7:12" x14ac:dyDescent="0.3">
      <c r="G773" s="47" t="str">
        <f t="shared" si="107"/>
        <v/>
      </c>
      <c r="I773">
        <f t="shared" si="108"/>
        <v>0</v>
      </c>
      <c r="K773">
        <f t="shared" si="109"/>
        <v>1</v>
      </c>
      <c r="L773" s="24">
        <f t="shared" si="110"/>
        <v>0</v>
      </c>
    </row>
    <row r="774" spans="7:12" x14ac:dyDescent="0.3">
      <c r="G774" s="47" t="str">
        <f t="shared" si="107"/>
        <v/>
      </c>
      <c r="I774">
        <f t="shared" si="108"/>
        <v>0</v>
      </c>
      <c r="K774">
        <f t="shared" si="109"/>
        <v>1</v>
      </c>
      <c r="L774" s="24">
        <f t="shared" si="110"/>
        <v>0</v>
      </c>
    </row>
    <row r="775" spans="7:12" x14ac:dyDescent="0.3">
      <c r="G775" s="47" t="str">
        <f t="shared" si="107"/>
        <v/>
      </c>
      <c r="I775">
        <f t="shared" si="108"/>
        <v>0</v>
      </c>
      <c r="K775">
        <f t="shared" si="109"/>
        <v>1</v>
      </c>
      <c r="L775" s="24">
        <f t="shared" si="110"/>
        <v>0</v>
      </c>
    </row>
    <row r="776" spans="7:12" x14ac:dyDescent="0.3">
      <c r="G776" s="47" t="str">
        <f t="shared" si="107"/>
        <v/>
      </c>
      <c r="I776">
        <f t="shared" si="108"/>
        <v>0</v>
      </c>
      <c r="K776">
        <f t="shared" si="109"/>
        <v>1</v>
      </c>
      <c r="L776" s="24">
        <f t="shared" si="110"/>
        <v>0</v>
      </c>
    </row>
    <row r="777" spans="7:12" x14ac:dyDescent="0.3">
      <c r="G777" s="47" t="str">
        <f t="shared" si="107"/>
        <v/>
      </c>
      <c r="I777">
        <f t="shared" si="108"/>
        <v>0</v>
      </c>
      <c r="K777">
        <f t="shared" si="109"/>
        <v>1</v>
      </c>
      <c r="L777" s="24">
        <f t="shared" si="110"/>
        <v>0</v>
      </c>
    </row>
    <row r="778" spans="7:12" x14ac:dyDescent="0.3">
      <c r="G778" s="47" t="str">
        <f t="shared" si="107"/>
        <v/>
      </c>
      <c r="I778">
        <f t="shared" si="108"/>
        <v>0</v>
      </c>
      <c r="K778">
        <f t="shared" si="109"/>
        <v>1</v>
      </c>
      <c r="L778" s="24">
        <f t="shared" si="110"/>
        <v>0</v>
      </c>
    </row>
    <row r="779" spans="7:12" x14ac:dyDescent="0.3">
      <c r="G779" s="47" t="str">
        <f t="shared" si="107"/>
        <v/>
      </c>
      <c r="I779">
        <f t="shared" si="108"/>
        <v>0</v>
      </c>
      <c r="K779">
        <f t="shared" si="109"/>
        <v>1</v>
      </c>
      <c r="L779" s="24">
        <f t="shared" si="110"/>
        <v>0</v>
      </c>
    </row>
    <row r="780" spans="7:12" x14ac:dyDescent="0.3">
      <c r="G780" s="47" t="str">
        <f t="shared" si="107"/>
        <v/>
      </c>
      <c r="I780">
        <f t="shared" si="108"/>
        <v>0</v>
      </c>
      <c r="K780">
        <f t="shared" si="109"/>
        <v>1</v>
      </c>
      <c r="L780" s="24">
        <f t="shared" si="110"/>
        <v>0</v>
      </c>
    </row>
    <row r="781" spans="7:12" x14ac:dyDescent="0.3">
      <c r="G781" s="47" t="str">
        <f t="shared" si="107"/>
        <v/>
      </c>
      <c r="I781">
        <f t="shared" si="108"/>
        <v>0</v>
      </c>
      <c r="K781">
        <f t="shared" si="109"/>
        <v>1</v>
      </c>
      <c r="L781" s="24">
        <f t="shared" si="110"/>
        <v>0</v>
      </c>
    </row>
    <row r="782" spans="7:12" x14ac:dyDescent="0.3">
      <c r="G782" s="47" t="str">
        <f t="shared" si="107"/>
        <v/>
      </c>
      <c r="I782">
        <f t="shared" si="108"/>
        <v>0</v>
      </c>
      <c r="K782">
        <f t="shared" si="109"/>
        <v>1</v>
      </c>
      <c r="L782" s="24">
        <f t="shared" si="110"/>
        <v>0</v>
      </c>
    </row>
    <row r="783" spans="7:12" x14ac:dyDescent="0.3">
      <c r="G783" s="47" t="str">
        <f t="shared" si="107"/>
        <v/>
      </c>
      <c r="I783">
        <f t="shared" si="108"/>
        <v>0</v>
      </c>
      <c r="K783">
        <f t="shared" si="109"/>
        <v>1</v>
      </c>
      <c r="L783" s="24">
        <f t="shared" si="110"/>
        <v>0</v>
      </c>
    </row>
    <row r="784" spans="7:12" x14ac:dyDescent="0.3">
      <c r="G784" s="47" t="str">
        <f t="shared" si="107"/>
        <v/>
      </c>
      <c r="I784">
        <f t="shared" si="108"/>
        <v>0</v>
      </c>
      <c r="K784">
        <f t="shared" si="109"/>
        <v>1</v>
      </c>
      <c r="L784" s="24">
        <f t="shared" si="110"/>
        <v>0</v>
      </c>
    </row>
    <row r="785" spans="7:12" x14ac:dyDescent="0.3">
      <c r="G785" s="47" t="str">
        <f t="shared" si="107"/>
        <v/>
      </c>
      <c r="I785">
        <f t="shared" si="108"/>
        <v>0</v>
      </c>
      <c r="K785">
        <f t="shared" si="109"/>
        <v>1</v>
      </c>
      <c r="L785" s="24">
        <f t="shared" si="110"/>
        <v>0</v>
      </c>
    </row>
    <row r="786" spans="7:12" x14ac:dyDescent="0.3">
      <c r="G786" s="47" t="str">
        <f t="shared" si="107"/>
        <v/>
      </c>
      <c r="I786">
        <f t="shared" si="108"/>
        <v>0</v>
      </c>
      <c r="K786">
        <f t="shared" si="109"/>
        <v>1</v>
      </c>
      <c r="L786" s="24">
        <f t="shared" si="110"/>
        <v>0</v>
      </c>
    </row>
    <row r="787" spans="7:12" x14ac:dyDescent="0.3">
      <c r="G787" s="47" t="str">
        <f t="shared" si="107"/>
        <v/>
      </c>
      <c r="I787">
        <f t="shared" si="108"/>
        <v>0</v>
      </c>
      <c r="K787">
        <f t="shared" si="109"/>
        <v>1</v>
      </c>
      <c r="L787" s="24">
        <f t="shared" si="110"/>
        <v>0</v>
      </c>
    </row>
    <row r="788" spans="7:12" x14ac:dyDescent="0.3">
      <c r="G788" s="47" t="str">
        <f t="shared" si="107"/>
        <v/>
      </c>
      <c r="I788">
        <f t="shared" si="108"/>
        <v>0</v>
      </c>
      <c r="K788">
        <f t="shared" si="109"/>
        <v>1</v>
      </c>
      <c r="L788" s="24">
        <f t="shared" si="110"/>
        <v>0</v>
      </c>
    </row>
    <row r="789" spans="7:12" x14ac:dyDescent="0.3">
      <c r="G789" s="47" t="str">
        <f t="shared" si="107"/>
        <v/>
      </c>
      <c r="I789">
        <f t="shared" si="108"/>
        <v>0</v>
      </c>
      <c r="K789">
        <f t="shared" si="109"/>
        <v>1</v>
      </c>
      <c r="L789" s="24">
        <f t="shared" si="110"/>
        <v>0</v>
      </c>
    </row>
    <row r="790" spans="7:12" x14ac:dyDescent="0.3">
      <c r="G790" s="47" t="str">
        <f t="shared" si="107"/>
        <v/>
      </c>
      <c r="I790">
        <f t="shared" si="108"/>
        <v>0</v>
      </c>
      <c r="K790">
        <f t="shared" si="109"/>
        <v>1</v>
      </c>
      <c r="L790" s="24">
        <f t="shared" si="110"/>
        <v>0</v>
      </c>
    </row>
    <row r="791" spans="7:12" x14ac:dyDescent="0.3">
      <c r="G791" s="47" t="str">
        <f t="shared" si="107"/>
        <v/>
      </c>
      <c r="I791">
        <f t="shared" si="108"/>
        <v>0</v>
      </c>
      <c r="K791">
        <f t="shared" si="109"/>
        <v>1</v>
      </c>
      <c r="L791" s="24">
        <f t="shared" si="110"/>
        <v>0</v>
      </c>
    </row>
    <row r="792" spans="7:12" x14ac:dyDescent="0.3">
      <c r="G792" s="47" t="str">
        <f t="shared" si="107"/>
        <v/>
      </c>
      <c r="I792">
        <f t="shared" si="108"/>
        <v>0</v>
      </c>
      <c r="K792">
        <f t="shared" si="109"/>
        <v>1</v>
      </c>
      <c r="L792" s="24">
        <f t="shared" si="110"/>
        <v>0</v>
      </c>
    </row>
    <row r="793" spans="7:12" x14ac:dyDescent="0.3">
      <c r="G793" s="47" t="str">
        <f t="shared" si="107"/>
        <v/>
      </c>
      <c r="I793">
        <f t="shared" si="108"/>
        <v>0</v>
      </c>
      <c r="K793">
        <f t="shared" si="109"/>
        <v>1</v>
      </c>
      <c r="L793" s="24">
        <f t="shared" si="110"/>
        <v>0</v>
      </c>
    </row>
    <row r="794" spans="7:12" x14ac:dyDescent="0.3">
      <c r="G794" s="47" t="str">
        <f t="shared" si="107"/>
        <v/>
      </c>
      <c r="I794">
        <f t="shared" si="108"/>
        <v>0</v>
      </c>
      <c r="K794">
        <f t="shared" si="109"/>
        <v>1</v>
      </c>
      <c r="L794" s="24">
        <f t="shared" si="110"/>
        <v>0</v>
      </c>
    </row>
    <row r="795" spans="7:12" x14ac:dyDescent="0.3">
      <c r="G795" s="47" t="str">
        <f t="shared" si="107"/>
        <v/>
      </c>
      <c r="I795">
        <f t="shared" si="108"/>
        <v>0</v>
      </c>
      <c r="K795">
        <f t="shared" si="109"/>
        <v>1</v>
      </c>
      <c r="L795" s="24">
        <f t="shared" si="110"/>
        <v>0</v>
      </c>
    </row>
    <row r="796" spans="7:12" x14ac:dyDescent="0.3">
      <c r="G796" s="47" t="str">
        <f t="shared" si="107"/>
        <v/>
      </c>
      <c r="I796">
        <f t="shared" si="108"/>
        <v>0</v>
      </c>
      <c r="K796">
        <f t="shared" si="109"/>
        <v>1</v>
      </c>
      <c r="L796" s="24">
        <f t="shared" si="110"/>
        <v>0</v>
      </c>
    </row>
    <row r="797" spans="7:12" x14ac:dyDescent="0.3">
      <c r="G797" s="47" t="str">
        <f t="shared" si="107"/>
        <v/>
      </c>
      <c r="I797">
        <f t="shared" si="108"/>
        <v>0</v>
      </c>
      <c r="K797">
        <f t="shared" si="109"/>
        <v>1</v>
      </c>
      <c r="L797" s="24">
        <f t="shared" si="110"/>
        <v>0</v>
      </c>
    </row>
    <row r="798" spans="7:12" x14ac:dyDescent="0.3">
      <c r="G798" s="47" t="str">
        <f t="shared" si="107"/>
        <v/>
      </c>
      <c r="I798">
        <f t="shared" si="108"/>
        <v>0</v>
      </c>
      <c r="K798">
        <f t="shared" si="109"/>
        <v>1</v>
      </c>
      <c r="L798" s="24">
        <f t="shared" si="110"/>
        <v>0</v>
      </c>
    </row>
    <row r="799" spans="7:12" x14ac:dyDescent="0.3">
      <c r="G799" s="47" t="str">
        <f t="shared" si="107"/>
        <v/>
      </c>
      <c r="I799">
        <f t="shared" si="108"/>
        <v>0</v>
      </c>
      <c r="K799">
        <f t="shared" si="109"/>
        <v>1</v>
      </c>
      <c r="L799" s="24">
        <f t="shared" si="110"/>
        <v>0</v>
      </c>
    </row>
    <row r="800" spans="7:12" x14ac:dyDescent="0.3">
      <c r="G800" s="47" t="str">
        <f t="shared" si="107"/>
        <v/>
      </c>
      <c r="I800">
        <f t="shared" si="108"/>
        <v>0</v>
      </c>
      <c r="K800">
        <f t="shared" si="109"/>
        <v>1</v>
      </c>
      <c r="L800" s="24">
        <f t="shared" si="110"/>
        <v>0</v>
      </c>
    </row>
    <row r="801" spans="7:12" x14ac:dyDescent="0.3">
      <c r="G801" s="47" t="str">
        <f t="shared" si="107"/>
        <v/>
      </c>
      <c r="I801">
        <f t="shared" si="108"/>
        <v>0</v>
      </c>
      <c r="K801">
        <f t="shared" si="109"/>
        <v>1</v>
      </c>
      <c r="L801" s="24">
        <f t="shared" si="110"/>
        <v>0</v>
      </c>
    </row>
    <row r="802" spans="7:12" x14ac:dyDescent="0.3">
      <c r="G802" s="47" t="str">
        <f t="shared" si="107"/>
        <v/>
      </c>
      <c r="I802">
        <f t="shared" si="108"/>
        <v>0</v>
      </c>
      <c r="K802">
        <f t="shared" si="109"/>
        <v>1</v>
      </c>
      <c r="L802" s="24">
        <f t="shared" si="110"/>
        <v>0</v>
      </c>
    </row>
    <row r="803" spans="7:12" x14ac:dyDescent="0.3">
      <c r="G803" s="47" t="str">
        <f t="shared" si="107"/>
        <v/>
      </c>
      <c r="I803">
        <f t="shared" si="108"/>
        <v>0</v>
      </c>
      <c r="K803">
        <f t="shared" si="109"/>
        <v>1</v>
      </c>
      <c r="L803" s="24">
        <f t="shared" si="110"/>
        <v>0</v>
      </c>
    </row>
    <row r="804" spans="7:12" x14ac:dyDescent="0.3">
      <c r="G804" s="47" t="str">
        <f t="shared" si="107"/>
        <v/>
      </c>
      <c r="I804">
        <f t="shared" si="108"/>
        <v>0</v>
      </c>
      <c r="K804">
        <f t="shared" si="109"/>
        <v>1</v>
      </c>
      <c r="L804" s="24">
        <f t="shared" si="110"/>
        <v>0</v>
      </c>
    </row>
    <row r="805" spans="7:12" x14ac:dyDescent="0.3">
      <c r="G805" s="47" t="str">
        <f t="shared" si="107"/>
        <v/>
      </c>
      <c r="I805">
        <f t="shared" si="108"/>
        <v>0</v>
      </c>
      <c r="K805">
        <f t="shared" si="109"/>
        <v>1</v>
      </c>
      <c r="L805" s="24">
        <f t="shared" si="110"/>
        <v>0</v>
      </c>
    </row>
    <row r="806" spans="7:12" x14ac:dyDescent="0.3">
      <c r="G806" s="47" t="str">
        <f t="shared" si="107"/>
        <v/>
      </c>
      <c r="I806">
        <f t="shared" si="108"/>
        <v>0</v>
      </c>
      <c r="K806">
        <f t="shared" si="109"/>
        <v>1</v>
      </c>
      <c r="L806" s="24">
        <f t="shared" si="110"/>
        <v>0</v>
      </c>
    </row>
    <row r="807" spans="7:12" x14ac:dyDescent="0.3">
      <c r="G807" s="47" t="str">
        <f t="shared" si="107"/>
        <v/>
      </c>
      <c r="I807">
        <f t="shared" si="108"/>
        <v>0</v>
      </c>
      <c r="K807">
        <f t="shared" si="109"/>
        <v>1</v>
      </c>
      <c r="L807" s="24">
        <f t="shared" si="110"/>
        <v>0</v>
      </c>
    </row>
    <row r="808" spans="7:12" x14ac:dyDescent="0.3">
      <c r="G808" s="47" t="str">
        <f t="shared" si="107"/>
        <v/>
      </c>
      <c r="I808">
        <f t="shared" si="108"/>
        <v>0</v>
      </c>
      <c r="K808">
        <f t="shared" si="109"/>
        <v>1</v>
      </c>
      <c r="L808" s="24">
        <f t="shared" si="110"/>
        <v>0</v>
      </c>
    </row>
    <row r="809" spans="7:12" x14ac:dyDescent="0.3">
      <c r="G809" s="47" t="str">
        <f t="shared" si="107"/>
        <v/>
      </c>
      <c r="I809">
        <f t="shared" si="108"/>
        <v>0</v>
      </c>
      <c r="K809">
        <f t="shared" si="109"/>
        <v>1</v>
      </c>
      <c r="L809" s="24">
        <f t="shared" si="110"/>
        <v>0</v>
      </c>
    </row>
    <row r="810" spans="7:12" x14ac:dyDescent="0.3">
      <c r="G810" s="47" t="str">
        <f t="shared" si="107"/>
        <v/>
      </c>
      <c r="I810">
        <f t="shared" si="108"/>
        <v>0</v>
      </c>
      <c r="K810">
        <f t="shared" si="109"/>
        <v>1</v>
      </c>
      <c r="L810" s="24">
        <f t="shared" si="110"/>
        <v>0</v>
      </c>
    </row>
    <row r="811" spans="7:12" x14ac:dyDescent="0.3">
      <c r="G811" s="47" t="str">
        <f t="shared" si="107"/>
        <v/>
      </c>
      <c r="I811">
        <f t="shared" si="108"/>
        <v>0</v>
      </c>
      <c r="K811">
        <f t="shared" si="109"/>
        <v>1</v>
      </c>
      <c r="L811" s="24">
        <f t="shared" si="110"/>
        <v>0</v>
      </c>
    </row>
    <row r="812" spans="7:12" x14ac:dyDescent="0.3">
      <c r="G812" s="47" t="str">
        <f t="shared" si="107"/>
        <v/>
      </c>
      <c r="I812">
        <f t="shared" si="108"/>
        <v>0</v>
      </c>
      <c r="K812">
        <f t="shared" si="109"/>
        <v>1</v>
      </c>
      <c r="L812" s="24">
        <f t="shared" si="110"/>
        <v>0</v>
      </c>
    </row>
    <row r="813" spans="7:12" x14ac:dyDescent="0.3">
      <c r="G813" s="47" t="str">
        <f t="shared" si="107"/>
        <v/>
      </c>
      <c r="I813">
        <f t="shared" si="108"/>
        <v>0</v>
      </c>
      <c r="K813">
        <f t="shared" si="109"/>
        <v>1</v>
      </c>
      <c r="L813" s="24">
        <f t="shared" si="110"/>
        <v>0</v>
      </c>
    </row>
    <row r="814" spans="7:12" x14ac:dyDescent="0.3">
      <c r="G814" s="47" t="str">
        <f t="shared" si="107"/>
        <v/>
      </c>
      <c r="I814">
        <f t="shared" si="108"/>
        <v>0</v>
      </c>
      <c r="K814">
        <f t="shared" si="109"/>
        <v>1</v>
      </c>
      <c r="L814" s="24">
        <f t="shared" si="110"/>
        <v>0</v>
      </c>
    </row>
    <row r="815" spans="7:12" x14ac:dyDescent="0.3">
      <c r="G815" s="47" t="str">
        <f t="shared" si="107"/>
        <v/>
      </c>
      <c r="I815">
        <f t="shared" si="108"/>
        <v>0</v>
      </c>
      <c r="K815">
        <f t="shared" si="109"/>
        <v>1</v>
      </c>
      <c r="L815" s="24">
        <f t="shared" si="110"/>
        <v>0</v>
      </c>
    </row>
    <row r="816" spans="7:12" x14ac:dyDescent="0.3">
      <c r="G816" s="47" t="str">
        <f t="shared" si="107"/>
        <v/>
      </c>
      <c r="I816">
        <f t="shared" si="108"/>
        <v>0</v>
      </c>
      <c r="K816">
        <f t="shared" si="109"/>
        <v>1</v>
      </c>
      <c r="L816" s="24">
        <f t="shared" si="110"/>
        <v>0</v>
      </c>
    </row>
    <row r="817" spans="7:12" x14ac:dyDescent="0.3">
      <c r="G817" s="47" t="str">
        <f t="shared" si="107"/>
        <v/>
      </c>
      <c r="I817">
        <f t="shared" si="108"/>
        <v>0</v>
      </c>
      <c r="K817">
        <f t="shared" si="109"/>
        <v>1</v>
      </c>
      <c r="L817" s="24">
        <f t="shared" si="110"/>
        <v>0</v>
      </c>
    </row>
    <row r="818" spans="7:12" x14ac:dyDescent="0.3">
      <c r="G818" s="47" t="str">
        <f t="shared" si="107"/>
        <v/>
      </c>
      <c r="I818">
        <f t="shared" si="108"/>
        <v>0</v>
      </c>
      <c r="K818">
        <f t="shared" si="109"/>
        <v>1</v>
      </c>
      <c r="L818" s="24">
        <f t="shared" si="110"/>
        <v>0</v>
      </c>
    </row>
    <row r="819" spans="7:12" x14ac:dyDescent="0.3">
      <c r="G819" s="47" t="str">
        <f t="shared" si="107"/>
        <v/>
      </c>
      <c r="I819">
        <f t="shared" si="108"/>
        <v>0</v>
      </c>
      <c r="K819">
        <f t="shared" si="109"/>
        <v>1</v>
      </c>
      <c r="L819" s="24">
        <f t="shared" si="110"/>
        <v>0</v>
      </c>
    </row>
    <row r="820" spans="7:12" x14ac:dyDescent="0.3">
      <c r="G820" s="47" t="str">
        <f t="shared" si="107"/>
        <v/>
      </c>
      <c r="I820">
        <f t="shared" si="108"/>
        <v>0</v>
      </c>
      <c r="K820">
        <f t="shared" si="109"/>
        <v>1</v>
      </c>
      <c r="L820" s="24">
        <f t="shared" si="110"/>
        <v>0</v>
      </c>
    </row>
    <row r="821" spans="7:12" x14ac:dyDescent="0.3">
      <c r="G821" s="47" t="str">
        <f t="shared" si="107"/>
        <v/>
      </c>
      <c r="I821">
        <f t="shared" si="108"/>
        <v>0</v>
      </c>
      <c r="K821">
        <f t="shared" si="109"/>
        <v>1</v>
      </c>
      <c r="L821" s="24">
        <f t="shared" si="110"/>
        <v>0</v>
      </c>
    </row>
    <row r="822" spans="7:12" x14ac:dyDescent="0.3">
      <c r="G822" s="47" t="str">
        <f t="shared" ref="G822:G885" si="111">IF(E822=0,"",IF(F822="","",(F822-E822)*D822))</f>
        <v/>
      </c>
      <c r="I822">
        <f t="shared" si="108"/>
        <v>0</v>
      </c>
      <c r="K822">
        <f t="shared" si="109"/>
        <v>1</v>
      </c>
      <c r="L822" s="24">
        <f t="shared" si="110"/>
        <v>0</v>
      </c>
    </row>
    <row r="823" spans="7:12" x14ac:dyDescent="0.3">
      <c r="G823" s="47" t="str">
        <f t="shared" si="111"/>
        <v/>
      </c>
      <c r="I823">
        <f t="shared" si="108"/>
        <v>0</v>
      </c>
      <c r="K823">
        <f t="shared" si="109"/>
        <v>1</v>
      </c>
      <c r="L823" s="24">
        <f t="shared" si="110"/>
        <v>0</v>
      </c>
    </row>
    <row r="824" spans="7:12" x14ac:dyDescent="0.3">
      <c r="G824" s="47" t="str">
        <f t="shared" si="111"/>
        <v/>
      </c>
      <c r="I824">
        <f t="shared" si="108"/>
        <v>0</v>
      </c>
      <c r="K824">
        <f t="shared" si="109"/>
        <v>1</v>
      </c>
      <c r="L824" s="24">
        <f t="shared" si="110"/>
        <v>0</v>
      </c>
    </row>
    <row r="825" spans="7:12" x14ac:dyDescent="0.3">
      <c r="G825" s="47" t="str">
        <f t="shared" si="111"/>
        <v/>
      </c>
      <c r="I825">
        <f t="shared" si="108"/>
        <v>0</v>
      </c>
      <c r="K825">
        <f t="shared" si="109"/>
        <v>1</v>
      </c>
      <c r="L825" s="24">
        <f t="shared" si="110"/>
        <v>0</v>
      </c>
    </row>
    <row r="826" spans="7:12" x14ac:dyDescent="0.3">
      <c r="G826" s="47" t="str">
        <f t="shared" si="111"/>
        <v/>
      </c>
      <c r="I826">
        <f t="shared" si="108"/>
        <v>0</v>
      </c>
      <c r="K826">
        <f t="shared" si="109"/>
        <v>1</v>
      </c>
      <c r="L826" s="24">
        <f t="shared" si="110"/>
        <v>0</v>
      </c>
    </row>
    <row r="827" spans="7:12" x14ac:dyDescent="0.3">
      <c r="G827" s="47" t="str">
        <f t="shared" si="111"/>
        <v/>
      </c>
      <c r="I827">
        <f t="shared" si="108"/>
        <v>0</v>
      </c>
      <c r="K827">
        <f t="shared" si="109"/>
        <v>1</v>
      </c>
      <c r="L827" s="24">
        <f t="shared" si="110"/>
        <v>0</v>
      </c>
    </row>
    <row r="828" spans="7:12" x14ac:dyDescent="0.3">
      <c r="G828" s="47" t="str">
        <f t="shared" si="111"/>
        <v/>
      </c>
      <c r="I828">
        <f t="shared" si="108"/>
        <v>0</v>
      </c>
      <c r="K828">
        <f t="shared" si="109"/>
        <v>1</v>
      </c>
      <c r="L828" s="24">
        <f t="shared" si="110"/>
        <v>0</v>
      </c>
    </row>
    <row r="829" spans="7:12" x14ac:dyDescent="0.3">
      <c r="G829" s="47" t="str">
        <f t="shared" si="111"/>
        <v/>
      </c>
      <c r="I829">
        <f t="shared" ref="I829:I892" si="112">+E829*1.1</f>
        <v>0</v>
      </c>
      <c r="K829">
        <f t="shared" ref="K829:K892" si="113">IF(F829=0,1,0)</f>
        <v>1</v>
      </c>
      <c r="L829" s="24">
        <f t="shared" ref="L829:L892" si="114">+D829*E829</f>
        <v>0</v>
      </c>
    </row>
    <row r="830" spans="7:12" x14ac:dyDescent="0.3">
      <c r="G830" s="47" t="str">
        <f t="shared" si="111"/>
        <v/>
      </c>
      <c r="I830">
        <f t="shared" si="112"/>
        <v>0</v>
      </c>
      <c r="K830">
        <f t="shared" si="113"/>
        <v>1</v>
      </c>
      <c r="L830" s="24">
        <f t="shared" si="114"/>
        <v>0</v>
      </c>
    </row>
    <row r="831" spans="7:12" x14ac:dyDescent="0.3">
      <c r="G831" s="47" t="str">
        <f t="shared" si="111"/>
        <v/>
      </c>
      <c r="I831">
        <f t="shared" si="112"/>
        <v>0</v>
      </c>
      <c r="K831">
        <f t="shared" si="113"/>
        <v>1</v>
      </c>
      <c r="L831" s="24">
        <f t="shared" si="114"/>
        <v>0</v>
      </c>
    </row>
    <row r="832" spans="7:12" x14ac:dyDescent="0.3">
      <c r="G832" s="47" t="str">
        <f t="shared" si="111"/>
        <v/>
      </c>
      <c r="I832">
        <f t="shared" si="112"/>
        <v>0</v>
      </c>
      <c r="K832">
        <f t="shared" si="113"/>
        <v>1</v>
      </c>
      <c r="L832" s="24">
        <f t="shared" si="114"/>
        <v>0</v>
      </c>
    </row>
    <row r="833" spans="7:12" x14ac:dyDescent="0.3">
      <c r="G833" s="47" t="str">
        <f t="shared" si="111"/>
        <v/>
      </c>
      <c r="I833">
        <f t="shared" si="112"/>
        <v>0</v>
      </c>
      <c r="K833">
        <f t="shared" si="113"/>
        <v>1</v>
      </c>
      <c r="L833" s="24">
        <f t="shared" si="114"/>
        <v>0</v>
      </c>
    </row>
    <row r="834" spans="7:12" x14ac:dyDescent="0.3">
      <c r="G834" s="47" t="str">
        <f t="shared" si="111"/>
        <v/>
      </c>
      <c r="I834">
        <f t="shared" si="112"/>
        <v>0</v>
      </c>
      <c r="K834">
        <f t="shared" si="113"/>
        <v>1</v>
      </c>
      <c r="L834" s="24">
        <f t="shared" si="114"/>
        <v>0</v>
      </c>
    </row>
    <row r="835" spans="7:12" x14ac:dyDescent="0.3">
      <c r="G835" s="47" t="str">
        <f t="shared" si="111"/>
        <v/>
      </c>
      <c r="I835">
        <f t="shared" si="112"/>
        <v>0</v>
      </c>
      <c r="K835">
        <f t="shared" si="113"/>
        <v>1</v>
      </c>
      <c r="L835" s="24">
        <f t="shared" si="114"/>
        <v>0</v>
      </c>
    </row>
    <row r="836" spans="7:12" x14ac:dyDescent="0.3">
      <c r="G836" s="47" t="str">
        <f t="shared" si="111"/>
        <v/>
      </c>
      <c r="I836">
        <f t="shared" si="112"/>
        <v>0</v>
      </c>
      <c r="K836">
        <f t="shared" si="113"/>
        <v>1</v>
      </c>
      <c r="L836" s="24">
        <f t="shared" si="114"/>
        <v>0</v>
      </c>
    </row>
    <row r="837" spans="7:12" x14ac:dyDescent="0.3">
      <c r="G837" s="47" t="str">
        <f t="shared" si="111"/>
        <v/>
      </c>
      <c r="I837">
        <f t="shared" si="112"/>
        <v>0</v>
      </c>
      <c r="K837">
        <f t="shared" si="113"/>
        <v>1</v>
      </c>
      <c r="L837" s="24">
        <f t="shared" si="114"/>
        <v>0</v>
      </c>
    </row>
    <row r="838" spans="7:12" x14ac:dyDescent="0.3">
      <c r="G838" s="47" t="str">
        <f t="shared" si="111"/>
        <v/>
      </c>
      <c r="I838">
        <f t="shared" si="112"/>
        <v>0</v>
      </c>
      <c r="K838">
        <f t="shared" si="113"/>
        <v>1</v>
      </c>
      <c r="L838" s="24">
        <f t="shared" si="114"/>
        <v>0</v>
      </c>
    </row>
    <row r="839" spans="7:12" x14ac:dyDescent="0.3">
      <c r="G839" s="47" t="str">
        <f t="shared" si="111"/>
        <v/>
      </c>
      <c r="I839">
        <f t="shared" si="112"/>
        <v>0</v>
      </c>
      <c r="K839">
        <f t="shared" si="113"/>
        <v>1</v>
      </c>
      <c r="L839" s="24">
        <f t="shared" si="114"/>
        <v>0</v>
      </c>
    </row>
    <row r="840" spans="7:12" x14ac:dyDescent="0.3">
      <c r="G840" s="47" t="str">
        <f t="shared" si="111"/>
        <v/>
      </c>
      <c r="I840">
        <f t="shared" si="112"/>
        <v>0</v>
      </c>
      <c r="K840">
        <f t="shared" si="113"/>
        <v>1</v>
      </c>
      <c r="L840" s="24">
        <f t="shared" si="114"/>
        <v>0</v>
      </c>
    </row>
    <row r="841" spans="7:12" x14ac:dyDescent="0.3">
      <c r="G841" s="47" t="str">
        <f t="shared" si="111"/>
        <v/>
      </c>
      <c r="I841">
        <f t="shared" si="112"/>
        <v>0</v>
      </c>
      <c r="K841">
        <f t="shared" si="113"/>
        <v>1</v>
      </c>
      <c r="L841" s="24">
        <f t="shared" si="114"/>
        <v>0</v>
      </c>
    </row>
    <row r="842" spans="7:12" x14ac:dyDescent="0.3">
      <c r="G842" s="47" t="str">
        <f t="shared" si="111"/>
        <v/>
      </c>
      <c r="I842">
        <f t="shared" si="112"/>
        <v>0</v>
      </c>
      <c r="K842">
        <f t="shared" si="113"/>
        <v>1</v>
      </c>
      <c r="L842" s="24">
        <f t="shared" si="114"/>
        <v>0</v>
      </c>
    </row>
    <row r="843" spans="7:12" x14ac:dyDescent="0.3">
      <c r="G843" s="47" t="str">
        <f t="shared" si="111"/>
        <v/>
      </c>
      <c r="I843">
        <f t="shared" si="112"/>
        <v>0</v>
      </c>
      <c r="K843">
        <f t="shared" si="113"/>
        <v>1</v>
      </c>
      <c r="L843" s="24">
        <f t="shared" si="114"/>
        <v>0</v>
      </c>
    </row>
    <row r="844" spans="7:12" x14ac:dyDescent="0.3">
      <c r="G844" s="47" t="str">
        <f t="shared" si="111"/>
        <v/>
      </c>
      <c r="I844">
        <f t="shared" si="112"/>
        <v>0</v>
      </c>
      <c r="K844">
        <f t="shared" si="113"/>
        <v>1</v>
      </c>
      <c r="L844" s="24">
        <f t="shared" si="114"/>
        <v>0</v>
      </c>
    </row>
    <row r="845" spans="7:12" x14ac:dyDescent="0.3">
      <c r="G845" s="47" t="str">
        <f t="shared" si="111"/>
        <v/>
      </c>
      <c r="I845">
        <f t="shared" si="112"/>
        <v>0</v>
      </c>
      <c r="K845">
        <f t="shared" si="113"/>
        <v>1</v>
      </c>
      <c r="L845" s="24">
        <f t="shared" si="114"/>
        <v>0</v>
      </c>
    </row>
    <row r="846" spans="7:12" x14ac:dyDescent="0.3">
      <c r="G846" s="47" t="str">
        <f t="shared" si="111"/>
        <v/>
      </c>
      <c r="I846">
        <f t="shared" si="112"/>
        <v>0</v>
      </c>
      <c r="K846">
        <f t="shared" si="113"/>
        <v>1</v>
      </c>
      <c r="L846" s="24">
        <f t="shared" si="114"/>
        <v>0</v>
      </c>
    </row>
    <row r="847" spans="7:12" x14ac:dyDescent="0.3">
      <c r="G847" s="47" t="str">
        <f t="shared" si="111"/>
        <v/>
      </c>
      <c r="I847">
        <f t="shared" si="112"/>
        <v>0</v>
      </c>
      <c r="K847">
        <f t="shared" si="113"/>
        <v>1</v>
      </c>
      <c r="L847" s="24">
        <f t="shared" si="114"/>
        <v>0</v>
      </c>
    </row>
    <row r="848" spans="7:12" x14ac:dyDescent="0.3">
      <c r="G848" s="47" t="str">
        <f t="shared" si="111"/>
        <v/>
      </c>
      <c r="I848">
        <f t="shared" si="112"/>
        <v>0</v>
      </c>
      <c r="K848">
        <f t="shared" si="113"/>
        <v>1</v>
      </c>
      <c r="L848" s="24">
        <f t="shared" si="114"/>
        <v>0</v>
      </c>
    </row>
    <row r="849" spans="7:12" x14ac:dyDescent="0.3">
      <c r="G849" s="47" t="str">
        <f t="shared" si="111"/>
        <v/>
      </c>
      <c r="I849">
        <f t="shared" si="112"/>
        <v>0</v>
      </c>
      <c r="K849">
        <f t="shared" si="113"/>
        <v>1</v>
      </c>
      <c r="L849" s="24">
        <f t="shared" si="114"/>
        <v>0</v>
      </c>
    </row>
    <row r="850" spans="7:12" x14ac:dyDescent="0.3">
      <c r="G850" s="47" t="str">
        <f t="shared" si="111"/>
        <v/>
      </c>
      <c r="I850">
        <f t="shared" si="112"/>
        <v>0</v>
      </c>
      <c r="K850">
        <f t="shared" si="113"/>
        <v>1</v>
      </c>
      <c r="L850" s="24">
        <f t="shared" si="114"/>
        <v>0</v>
      </c>
    </row>
    <row r="851" spans="7:12" x14ac:dyDescent="0.3">
      <c r="G851" s="47" t="str">
        <f t="shared" si="111"/>
        <v/>
      </c>
      <c r="I851">
        <f t="shared" si="112"/>
        <v>0</v>
      </c>
      <c r="K851">
        <f t="shared" si="113"/>
        <v>1</v>
      </c>
      <c r="L851" s="24">
        <f t="shared" si="114"/>
        <v>0</v>
      </c>
    </row>
    <row r="852" spans="7:12" x14ac:dyDescent="0.3">
      <c r="G852" s="47" t="str">
        <f t="shared" si="111"/>
        <v/>
      </c>
      <c r="I852">
        <f t="shared" si="112"/>
        <v>0</v>
      </c>
      <c r="K852">
        <f t="shared" si="113"/>
        <v>1</v>
      </c>
      <c r="L852" s="24">
        <f t="shared" si="114"/>
        <v>0</v>
      </c>
    </row>
    <row r="853" spans="7:12" x14ac:dyDescent="0.3">
      <c r="G853" s="47" t="str">
        <f t="shared" si="111"/>
        <v/>
      </c>
      <c r="I853">
        <f t="shared" si="112"/>
        <v>0</v>
      </c>
      <c r="K853">
        <f t="shared" si="113"/>
        <v>1</v>
      </c>
      <c r="L853" s="24">
        <f t="shared" si="114"/>
        <v>0</v>
      </c>
    </row>
    <row r="854" spans="7:12" x14ac:dyDescent="0.3">
      <c r="G854" s="47" t="str">
        <f t="shared" si="111"/>
        <v/>
      </c>
      <c r="I854">
        <f t="shared" si="112"/>
        <v>0</v>
      </c>
      <c r="K854">
        <f t="shared" si="113"/>
        <v>1</v>
      </c>
      <c r="L854" s="24">
        <f t="shared" si="114"/>
        <v>0</v>
      </c>
    </row>
    <row r="855" spans="7:12" x14ac:dyDescent="0.3">
      <c r="G855" s="47" t="str">
        <f t="shared" si="111"/>
        <v/>
      </c>
      <c r="I855">
        <f t="shared" si="112"/>
        <v>0</v>
      </c>
      <c r="K855">
        <f t="shared" si="113"/>
        <v>1</v>
      </c>
      <c r="L855" s="24">
        <f t="shared" si="114"/>
        <v>0</v>
      </c>
    </row>
    <row r="856" spans="7:12" x14ac:dyDescent="0.3">
      <c r="G856" s="47" t="str">
        <f t="shared" si="111"/>
        <v/>
      </c>
      <c r="I856">
        <f t="shared" si="112"/>
        <v>0</v>
      </c>
      <c r="K856">
        <f t="shared" si="113"/>
        <v>1</v>
      </c>
      <c r="L856" s="24">
        <f t="shared" si="114"/>
        <v>0</v>
      </c>
    </row>
    <row r="857" spans="7:12" x14ac:dyDescent="0.3">
      <c r="G857" s="47" t="str">
        <f t="shared" si="111"/>
        <v/>
      </c>
      <c r="I857">
        <f t="shared" si="112"/>
        <v>0</v>
      </c>
      <c r="K857">
        <f t="shared" si="113"/>
        <v>1</v>
      </c>
      <c r="L857" s="24">
        <f t="shared" si="114"/>
        <v>0</v>
      </c>
    </row>
    <row r="858" spans="7:12" x14ac:dyDescent="0.3">
      <c r="G858" s="47" t="str">
        <f t="shared" si="111"/>
        <v/>
      </c>
      <c r="I858">
        <f t="shared" si="112"/>
        <v>0</v>
      </c>
      <c r="K858">
        <f t="shared" si="113"/>
        <v>1</v>
      </c>
      <c r="L858" s="24">
        <f t="shared" si="114"/>
        <v>0</v>
      </c>
    </row>
    <row r="859" spans="7:12" x14ac:dyDescent="0.3">
      <c r="G859" s="47" t="str">
        <f t="shared" si="111"/>
        <v/>
      </c>
      <c r="I859">
        <f t="shared" si="112"/>
        <v>0</v>
      </c>
      <c r="K859">
        <f t="shared" si="113"/>
        <v>1</v>
      </c>
      <c r="L859" s="24">
        <f t="shared" si="114"/>
        <v>0</v>
      </c>
    </row>
    <row r="860" spans="7:12" x14ac:dyDescent="0.3">
      <c r="G860" s="47" t="str">
        <f t="shared" si="111"/>
        <v/>
      </c>
      <c r="I860">
        <f t="shared" si="112"/>
        <v>0</v>
      </c>
      <c r="K860">
        <f t="shared" si="113"/>
        <v>1</v>
      </c>
      <c r="L860" s="24">
        <f t="shared" si="114"/>
        <v>0</v>
      </c>
    </row>
    <row r="861" spans="7:12" x14ac:dyDescent="0.3">
      <c r="G861" s="47" t="str">
        <f t="shared" si="111"/>
        <v/>
      </c>
      <c r="I861">
        <f t="shared" si="112"/>
        <v>0</v>
      </c>
      <c r="K861">
        <f t="shared" si="113"/>
        <v>1</v>
      </c>
      <c r="L861" s="24">
        <f t="shared" si="114"/>
        <v>0</v>
      </c>
    </row>
    <row r="862" spans="7:12" x14ac:dyDescent="0.3">
      <c r="G862" s="47" t="str">
        <f t="shared" si="111"/>
        <v/>
      </c>
      <c r="I862">
        <f t="shared" si="112"/>
        <v>0</v>
      </c>
      <c r="K862">
        <f t="shared" si="113"/>
        <v>1</v>
      </c>
      <c r="L862" s="24">
        <f t="shared" si="114"/>
        <v>0</v>
      </c>
    </row>
    <row r="863" spans="7:12" x14ac:dyDescent="0.3">
      <c r="G863" s="47" t="str">
        <f t="shared" si="111"/>
        <v/>
      </c>
      <c r="I863">
        <f t="shared" si="112"/>
        <v>0</v>
      </c>
      <c r="K863">
        <f t="shared" si="113"/>
        <v>1</v>
      </c>
      <c r="L863" s="24">
        <f t="shared" si="114"/>
        <v>0</v>
      </c>
    </row>
    <row r="864" spans="7:12" x14ac:dyDescent="0.3">
      <c r="G864" s="47" t="str">
        <f t="shared" si="111"/>
        <v/>
      </c>
      <c r="I864">
        <f t="shared" si="112"/>
        <v>0</v>
      </c>
      <c r="K864">
        <f t="shared" si="113"/>
        <v>1</v>
      </c>
      <c r="L864" s="24">
        <f t="shared" si="114"/>
        <v>0</v>
      </c>
    </row>
    <row r="865" spans="7:12" x14ac:dyDescent="0.3">
      <c r="G865" s="47" t="str">
        <f t="shared" si="111"/>
        <v/>
      </c>
      <c r="I865">
        <f t="shared" si="112"/>
        <v>0</v>
      </c>
      <c r="K865">
        <f t="shared" si="113"/>
        <v>1</v>
      </c>
      <c r="L865" s="24">
        <f t="shared" si="114"/>
        <v>0</v>
      </c>
    </row>
    <row r="866" spans="7:12" x14ac:dyDescent="0.3">
      <c r="G866" s="47" t="str">
        <f t="shared" si="111"/>
        <v/>
      </c>
      <c r="I866">
        <f t="shared" si="112"/>
        <v>0</v>
      </c>
      <c r="K866">
        <f t="shared" si="113"/>
        <v>1</v>
      </c>
      <c r="L866" s="24">
        <f t="shared" si="114"/>
        <v>0</v>
      </c>
    </row>
    <row r="867" spans="7:12" x14ac:dyDescent="0.3">
      <c r="G867" s="47" t="str">
        <f t="shared" si="111"/>
        <v/>
      </c>
      <c r="I867">
        <f t="shared" si="112"/>
        <v>0</v>
      </c>
      <c r="K867">
        <f t="shared" si="113"/>
        <v>1</v>
      </c>
      <c r="L867" s="24">
        <f t="shared" si="114"/>
        <v>0</v>
      </c>
    </row>
    <row r="868" spans="7:12" x14ac:dyDescent="0.3">
      <c r="G868" s="47" t="str">
        <f t="shared" si="111"/>
        <v/>
      </c>
      <c r="I868">
        <f t="shared" si="112"/>
        <v>0</v>
      </c>
      <c r="K868">
        <f t="shared" si="113"/>
        <v>1</v>
      </c>
      <c r="L868" s="24">
        <f t="shared" si="114"/>
        <v>0</v>
      </c>
    </row>
    <row r="869" spans="7:12" x14ac:dyDescent="0.3">
      <c r="G869" s="47" t="str">
        <f t="shared" si="111"/>
        <v/>
      </c>
      <c r="I869">
        <f t="shared" si="112"/>
        <v>0</v>
      </c>
      <c r="K869">
        <f t="shared" si="113"/>
        <v>1</v>
      </c>
      <c r="L869" s="24">
        <f t="shared" si="114"/>
        <v>0</v>
      </c>
    </row>
    <row r="870" spans="7:12" x14ac:dyDescent="0.3">
      <c r="G870" s="47" t="str">
        <f t="shared" si="111"/>
        <v/>
      </c>
      <c r="I870">
        <f t="shared" si="112"/>
        <v>0</v>
      </c>
      <c r="K870">
        <f t="shared" si="113"/>
        <v>1</v>
      </c>
      <c r="L870" s="24">
        <f t="shared" si="114"/>
        <v>0</v>
      </c>
    </row>
    <row r="871" spans="7:12" x14ac:dyDescent="0.3">
      <c r="G871" s="47" t="str">
        <f t="shared" si="111"/>
        <v/>
      </c>
      <c r="I871">
        <f t="shared" si="112"/>
        <v>0</v>
      </c>
      <c r="K871">
        <f t="shared" si="113"/>
        <v>1</v>
      </c>
      <c r="L871" s="24">
        <f t="shared" si="114"/>
        <v>0</v>
      </c>
    </row>
    <row r="872" spans="7:12" x14ac:dyDescent="0.3">
      <c r="G872" s="47" t="str">
        <f t="shared" si="111"/>
        <v/>
      </c>
      <c r="I872">
        <f t="shared" si="112"/>
        <v>0</v>
      </c>
      <c r="K872">
        <f t="shared" si="113"/>
        <v>1</v>
      </c>
      <c r="L872" s="24">
        <f t="shared" si="114"/>
        <v>0</v>
      </c>
    </row>
    <row r="873" spans="7:12" x14ac:dyDescent="0.3">
      <c r="G873" s="47" t="str">
        <f t="shared" si="111"/>
        <v/>
      </c>
      <c r="I873">
        <f t="shared" si="112"/>
        <v>0</v>
      </c>
      <c r="K873">
        <f t="shared" si="113"/>
        <v>1</v>
      </c>
      <c r="L873" s="24">
        <f t="shared" si="114"/>
        <v>0</v>
      </c>
    </row>
    <row r="874" spans="7:12" x14ac:dyDescent="0.3">
      <c r="G874" s="47" t="str">
        <f t="shared" si="111"/>
        <v/>
      </c>
      <c r="I874">
        <f t="shared" si="112"/>
        <v>0</v>
      </c>
      <c r="K874">
        <f t="shared" si="113"/>
        <v>1</v>
      </c>
      <c r="L874" s="24">
        <f t="shared" si="114"/>
        <v>0</v>
      </c>
    </row>
    <row r="875" spans="7:12" x14ac:dyDescent="0.3">
      <c r="G875" s="47" t="str">
        <f t="shared" si="111"/>
        <v/>
      </c>
      <c r="I875">
        <f t="shared" si="112"/>
        <v>0</v>
      </c>
      <c r="K875">
        <f t="shared" si="113"/>
        <v>1</v>
      </c>
      <c r="L875" s="24">
        <f t="shared" si="114"/>
        <v>0</v>
      </c>
    </row>
    <row r="876" spans="7:12" x14ac:dyDescent="0.3">
      <c r="G876" s="47" t="str">
        <f t="shared" si="111"/>
        <v/>
      </c>
      <c r="I876">
        <f t="shared" si="112"/>
        <v>0</v>
      </c>
      <c r="K876">
        <f t="shared" si="113"/>
        <v>1</v>
      </c>
      <c r="L876" s="24">
        <f t="shared" si="114"/>
        <v>0</v>
      </c>
    </row>
    <row r="877" spans="7:12" x14ac:dyDescent="0.3">
      <c r="G877" s="47" t="str">
        <f t="shared" si="111"/>
        <v/>
      </c>
      <c r="I877">
        <f t="shared" si="112"/>
        <v>0</v>
      </c>
      <c r="K877">
        <f t="shared" si="113"/>
        <v>1</v>
      </c>
      <c r="L877" s="24">
        <f t="shared" si="114"/>
        <v>0</v>
      </c>
    </row>
    <row r="878" spans="7:12" x14ac:dyDescent="0.3">
      <c r="G878" s="47" t="str">
        <f t="shared" si="111"/>
        <v/>
      </c>
      <c r="I878">
        <f t="shared" si="112"/>
        <v>0</v>
      </c>
      <c r="K878">
        <f t="shared" si="113"/>
        <v>1</v>
      </c>
      <c r="L878" s="24">
        <f t="shared" si="114"/>
        <v>0</v>
      </c>
    </row>
    <row r="879" spans="7:12" x14ac:dyDescent="0.3">
      <c r="G879" s="47" t="str">
        <f t="shared" si="111"/>
        <v/>
      </c>
      <c r="I879">
        <f t="shared" si="112"/>
        <v>0</v>
      </c>
      <c r="K879">
        <f t="shared" si="113"/>
        <v>1</v>
      </c>
      <c r="L879" s="24">
        <f t="shared" si="114"/>
        <v>0</v>
      </c>
    </row>
    <row r="880" spans="7:12" x14ac:dyDescent="0.3">
      <c r="G880" s="47" t="str">
        <f t="shared" si="111"/>
        <v/>
      </c>
      <c r="I880">
        <f t="shared" si="112"/>
        <v>0</v>
      </c>
      <c r="K880">
        <f t="shared" si="113"/>
        <v>1</v>
      </c>
      <c r="L880" s="24">
        <f t="shared" si="114"/>
        <v>0</v>
      </c>
    </row>
    <row r="881" spans="7:12" x14ac:dyDescent="0.3">
      <c r="G881" s="47" t="str">
        <f t="shared" si="111"/>
        <v/>
      </c>
      <c r="I881">
        <f t="shared" si="112"/>
        <v>0</v>
      </c>
      <c r="K881">
        <f t="shared" si="113"/>
        <v>1</v>
      </c>
      <c r="L881" s="24">
        <f t="shared" si="114"/>
        <v>0</v>
      </c>
    </row>
    <row r="882" spans="7:12" x14ac:dyDescent="0.3">
      <c r="G882" s="47" t="str">
        <f t="shared" si="111"/>
        <v/>
      </c>
      <c r="I882">
        <f t="shared" si="112"/>
        <v>0</v>
      </c>
      <c r="K882">
        <f t="shared" si="113"/>
        <v>1</v>
      </c>
      <c r="L882" s="24">
        <f t="shared" si="114"/>
        <v>0</v>
      </c>
    </row>
    <row r="883" spans="7:12" x14ac:dyDescent="0.3">
      <c r="G883" s="47" t="str">
        <f t="shared" si="111"/>
        <v/>
      </c>
      <c r="I883">
        <f t="shared" si="112"/>
        <v>0</v>
      </c>
      <c r="K883">
        <f t="shared" si="113"/>
        <v>1</v>
      </c>
      <c r="L883" s="24">
        <f t="shared" si="114"/>
        <v>0</v>
      </c>
    </row>
    <row r="884" spans="7:12" x14ac:dyDescent="0.3">
      <c r="G884" s="47" t="str">
        <f t="shared" si="111"/>
        <v/>
      </c>
      <c r="I884">
        <f t="shared" si="112"/>
        <v>0</v>
      </c>
      <c r="K884">
        <f t="shared" si="113"/>
        <v>1</v>
      </c>
      <c r="L884" s="24">
        <f t="shared" si="114"/>
        <v>0</v>
      </c>
    </row>
    <row r="885" spans="7:12" x14ac:dyDescent="0.3">
      <c r="G885" s="47" t="str">
        <f t="shared" si="111"/>
        <v/>
      </c>
      <c r="I885">
        <f t="shared" si="112"/>
        <v>0</v>
      </c>
      <c r="K885">
        <f t="shared" si="113"/>
        <v>1</v>
      </c>
      <c r="L885" s="24">
        <f t="shared" si="114"/>
        <v>0</v>
      </c>
    </row>
    <row r="886" spans="7:12" x14ac:dyDescent="0.3">
      <c r="G886" s="47" t="str">
        <f t="shared" ref="G886:G949" si="115">IF(E886=0,"",IF(F886="","",(F886-E886)*D886))</f>
        <v/>
      </c>
      <c r="I886">
        <f t="shared" si="112"/>
        <v>0</v>
      </c>
      <c r="K886">
        <f t="shared" si="113"/>
        <v>1</v>
      </c>
      <c r="L886" s="24">
        <f t="shared" si="114"/>
        <v>0</v>
      </c>
    </row>
    <row r="887" spans="7:12" x14ac:dyDescent="0.3">
      <c r="G887" s="47" t="str">
        <f t="shared" si="115"/>
        <v/>
      </c>
      <c r="I887">
        <f t="shared" si="112"/>
        <v>0</v>
      </c>
      <c r="K887">
        <f t="shared" si="113"/>
        <v>1</v>
      </c>
      <c r="L887" s="24">
        <f t="shared" si="114"/>
        <v>0</v>
      </c>
    </row>
    <row r="888" spans="7:12" x14ac:dyDescent="0.3">
      <c r="G888" s="47" t="str">
        <f t="shared" si="115"/>
        <v/>
      </c>
      <c r="I888">
        <f t="shared" si="112"/>
        <v>0</v>
      </c>
      <c r="K888">
        <f t="shared" si="113"/>
        <v>1</v>
      </c>
      <c r="L888" s="24">
        <f t="shared" si="114"/>
        <v>0</v>
      </c>
    </row>
    <row r="889" spans="7:12" x14ac:dyDescent="0.3">
      <c r="G889" s="47" t="str">
        <f t="shared" si="115"/>
        <v/>
      </c>
      <c r="I889">
        <f t="shared" si="112"/>
        <v>0</v>
      </c>
      <c r="K889">
        <f t="shared" si="113"/>
        <v>1</v>
      </c>
      <c r="L889" s="24">
        <f t="shared" si="114"/>
        <v>0</v>
      </c>
    </row>
    <row r="890" spans="7:12" x14ac:dyDescent="0.3">
      <c r="G890" s="47" t="str">
        <f t="shared" si="115"/>
        <v/>
      </c>
      <c r="I890">
        <f t="shared" si="112"/>
        <v>0</v>
      </c>
      <c r="K890">
        <f t="shared" si="113"/>
        <v>1</v>
      </c>
      <c r="L890" s="24">
        <f t="shared" si="114"/>
        <v>0</v>
      </c>
    </row>
    <row r="891" spans="7:12" x14ac:dyDescent="0.3">
      <c r="G891" s="47" t="str">
        <f t="shared" si="115"/>
        <v/>
      </c>
      <c r="I891">
        <f t="shared" si="112"/>
        <v>0</v>
      </c>
      <c r="K891">
        <f t="shared" si="113"/>
        <v>1</v>
      </c>
      <c r="L891" s="24">
        <f t="shared" si="114"/>
        <v>0</v>
      </c>
    </row>
    <row r="892" spans="7:12" x14ac:dyDescent="0.3">
      <c r="G892" s="47" t="str">
        <f t="shared" si="115"/>
        <v/>
      </c>
      <c r="I892">
        <f t="shared" si="112"/>
        <v>0</v>
      </c>
      <c r="K892">
        <f t="shared" si="113"/>
        <v>1</v>
      </c>
      <c r="L892" s="24">
        <f t="shared" si="114"/>
        <v>0</v>
      </c>
    </row>
    <row r="893" spans="7:12" x14ac:dyDescent="0.3">
      <c r="G893" s="47" t="str">
        <f t="shared" si="115"/>
        <v/>
      </c>
      <c r="I893">
        <f t="shared" ref="I893:I956" si="116">+E893*1.1</f>
        <v>0</v>
      </c>
      <c r="K893">
        <f t="shared" ref="K893:K956" si="117">IF(F893=0,1,0)</f>
        <v>1</v>
      </c>
      <c r="L893" s="24">
        <f t="shared" ref="L893:L956" si="118">+D893*E893</f>
        <v>0</v>
      </c>
    </row>
    <row r="894" spans="7:12" x14ac:dyDescent="0.3">
      <c r="G894" s="47" t="str">
        <f t="shared" si="115"/>
        <v/>
      </c>
      <c r="I894">
        <f t="shared" si="116"/>
        <v>0</v>
      </c>
      <c r="K894">
        <f t="shared" si="117"/>
        <v>1</v>
      </c>
      <c r="L894" s="24">
        <f t="shared" si="118"/>
        <v>0</v>
      </c>
    </row>
    <row r="895" spans="7:12" x14ac:dyDescent="0.3">
      <c r="G895" s="47" t="str">
        <f t="shared" si="115"/>
        <v/>
      </c>
      <c r="I895">
        <f t="shared" si="116"/>
        <v>0</v>
      </c>
      <c r="K895">
        <f t="shared" si="117"/>
        <v>1</v>
      </c>
      <c r="L895" s="24">
        <f t="shared" si="118"/>
        <v>0</v>
      </c>
    </row>
    <row r="896" spans="7:12" x14ac:dyDescent="0.3">
      <c r="G896" s="47" t="str">
        <f t="shared" si="115"/>
        <v/>
      </c>
      <c r="I896">
        <f t="shared" si="116"/>
        <v>0</v>
      </c>
      <c r="K896">
        <f t="shared" si="117"/>
        <v>1</v>
      </c>
      <c r="L896" s="24">
        <f t="shared" si="118"/>
        <v>0</v>
      </c>
    </row>
    <row r="897" spans="7:12" x14ac:dyDescent="0.3">
      <c r="G897" s="47" t="str">
        <f t="shared" si="115"/>
        <v/>
      </c>
      <c r="I897">
        <f t="shared" si="116"/>
        <v>0</v>
      </c>
      <c r="K897">
        <f t="shared" si="117"/>
        <v>1</v>
      </c>
      <c r="L897" s="24">
        <f t="shared" si="118"/>
        <v>0</v>
      </c>
    </row>
    <row r="898" spans="7:12" x14ac:dyDescent="0.3">
      <c r="G898" s="47" t="str">
        <f t="shared" si="115"/>
        <v/>
      </c>
      <c r="I898">
        <f t="shared" si="116"/>
        <v>0</v>
      </c>
      <c r="K898">
        <f t="shared" si="117"/>
        <v>1</v>
      </c>
      <c r="L898" s="24">
        <f t="shared" si="118"/>
        <v>0</v>
      </c>
    </row>
    <row r="899" spans="7:12" x14ac:dyDescent="0.3">
      <c r="G899" s="47" t="str">
        <f t="shared" si="115"/>
        <v/>
      </c>
      <c r="I899">
        <f t="shared" si="116"/>
        <v>0</v>
      </c>
      <c r="K899">
        <f t="shared" si="117"/>
        <v>1</v>
      </c>
      <c r="L899" s="24">
        <f t="shared" si="118"/>
        <v>0</v>
      </c>
    </row>
    <row r="900" spans="7:12" x14ac:dyDescent="0.3">
      <c r="G900" s="47" t="str">
        <f t="shared" si="115"/>
        <v/>
      </c>
      <c r="I900">
        <f t="shared" si="116"/>
        <v>0</v>
      </c>
      <c r="K900">
        <f t="shared" si="117"/>
        <v>1</v>
      </c>
      <c r="L900" s="24">
        <f t="shared" si="118"/>
        <v>0</v>
      </c>
    </row>
    <row r="901" spans="7:12" x14ac:dyDescent="0.3">
      <c r="G901" s="47" t="str">
        <f t="shared" si="115"/>
        <v/>
      </c>
      <c r="I901">
        <f t="shared" si="116"/>
        <v>0</v>
      </c>
      <c r="K901">
        <f t="shared" si="117"/>
        <v>1</v>
      </c>
      <c r="L901" s="24">
        <f t="shared" si="118"/>
        <v>0</v>
      </c>
    </row>
    <row r="902" spans="7:12" x14ac:dyDescent="0.3">
      <c r="G902" s="47" t="str">
        <f t="shared" si="115"/>
        <v/>
      </c>
      <c r="I902">
        <f t="shared" si="116"/>
        <v>0</v>
      </c>
      <c r="K902">
        <f t="shared" si="117"/>
        <v>1</v>
      </c>
      <c r="L902" s="24">
        <f t="shared" si="118"/>
        <v>0</v>
      </c>
    </row>
    <row r="903" spans="7:12" x14ac:dyDescent="0.3">
      <c r="G903" s="47" t="str">
        <f t="shared" si="115"/>
        <v/>
      </c>
      <c r="I903">
        <f t="shared" si="116"/>
        <v>0</v>
      </c>
      <c r="K903">
        <f t="shared" si="117"/>
        <v>1</v>
      </c>
      <c r="L903" s="24">
        <f t="shared" si="118"/>
        <v>0</v>
      </c>
    </row>
    <row r="904" spans="7:12" x14ac:dyDescent="0.3">
      <c r="G904" s="47" t="str">
        <f t="shared" si="115"/>
        <v/>
      </c>
      <c r="I904">
        <f t="shared" si="116"/>
        <v>0</v>
      </c>
      <c r="K904">
        <f t="shared" si="117"/>
        <v>1</v>
      </c>
      <c r="L904" s="24">
        <f t="shared" si="118"/>
        <v>0</v>
      </c>
    </row>
    <row r="905" spans="7:12" x14ac:dyDescent="0.3">
      <c r="G905" s="47" t="str">
        <f t="shared" si="115"/>
        <v/>
      </c>
      <c r="I905">
        <f t="shared" si="116"/>
        <v>0</v>
      </c>
      <c r="K905">
        <f t="shared" si="117"/>
        <v>1</v>
      </c>
      <c r="L905" s="24">
        <f t="shared" si="118"/>
        <v>0</v>
      </c>
    </row>
    <row r="906" spans="7:12" x14ac:dyDescent="0.3">
      <c r="G906" s="47" t="str">
        <f t="shared" si="115"/>
        <v/>
      </c>
      <c r="I906">
        <f t="shared" si="116"/>
        <v>0</v>
      </c>
      <c r="K906">
        <f t="shared" si="117"/>
        <v>1</v>
      </c>
      <c r="L906" s="24">
        <f t="shared" si="118"/>
        <v>0</v>
      </c>
    </row>
    <row r="907" spans="7:12" x14ac:dyDescent="0.3">
      <c r="G907" s="47" t="str">
        <f t="shared" si="115"/>
        <v/>
      </c>
      <c r="I907">
        <f t="shared" si="116"/>
        <v>0</v>
      </c>
      <c r="K907">
        <f t="shared" si="117"/>
        <v>1</v>
      </c>
      <c r="L907" s="24">
        <f t="shared" si="118"/>
        <v>0</v>
      </c>
    </row>
    <row r="908" spans="7:12" x14ac:dyDescent="0.3">
      <c r="G908" s="47" t="str">
        <f t="shared" si="115"/>
        <v/>
      </c>
      <c r="I908">
        <f t="shared" si="116"/>
        <v>0</v>
      </c>
      <c r="K908">
        <f t="shared" si="117"/>
        <v>1</v>
      </c>
      <c r="L908" s="24">
        <f t="shared" si="118"/>
        <v>0</v>
      </c>
    </row>
    <row r="909" spans="7:12" x14ac:dyDescent="0.3">
      <c r="G909" s="47" t="str">
        <f t="shared" si="115"/>
        <v/>
      </c>
      <c r="I909">
        <f t="shared" si="116"/>
        <v>0</v>
      </c>
      <c r="K909">
        <f t="shared" si="117"/>
        <v>1</v>
      </c>
      <c r="L909" s="24">
        <f t="shared" si="118"/>
        <v>0</v>
      </c>
    </row>
    <row r="910" spans="7:12" x14ac:dyDescent="0.3">
      <c r="G910" s="47" t="str">
        <f t="shared" si="115"/>
        <v/>
      </c>
      <c r="I910">
        <f t="shared" si="116"/>
        <v>0</v>
      </c>
      <c r="K910">
        <f t="shared" si="117"/>
        <v>1</v>
      </c>
      <c r="L910" s="24">
        <f t="shared" si="118"/>
        <v>0</v>
      </c>
    </row>
    <row r="911" spans="7:12" x14ac:dyDescent="0.3">
      <c r="G911" s="47" t="str">
        <f t="shared" si="115"/>
        <v/>
      </c>
      <c r="I911">
        <f t="shared" si="116"/>
        <v>0</v>
      </c>
      <c r="K911">
        <f t="shared" si="117"/>
        <v>1</v>
      </c>
      <c r="L911" s="24">
        <f t="shared" si="118"/>
        <v>0</v>
      </c>
    </row>
    <row r="912" spans="7:12" x14ac:dyDescent="0.3">
      <c r="G912" s="47" t="str">
        <f t="shared" si="115"/>
        <v/>
      </c>
      <c r="I912">
        <f t="shared" si="116"/>
        <v>0</v>
      </c>
      <c r="K912">
        <f t="shared" si="117"/>
        <v>1</v>
      </c>
      <c r="L912" s="24">
        <f t="shared" si="118"/>
        <v>0</v>
      </c>
    </row>
    <row r="913" spans="7:12" x14ac:dyDescent="0.3">
      <c r="G913" s="47" t="str">
        <f t="shared" si="115"/>
        <v/>
      </c>
      <c r="I913">
        <f t="shared" si="116"/>
        <v>0</v>
      </c>
      <c r="K913">
        <f t="shared" si="117"/>
        <v>1</v>
      </c>
      <c r="L913" s="24">
        <f t="shared" si="118"/>
        <v>0</v>
      </c>
    </row>
    <row r="914" spans="7:12" x14ac:dyDescent="0.3">
      <c r="G914" s="47" t="str">
        <f t="shared" si="115"/>
        <v/>
      </c>
      <c r="I914">
        <f t="shared" si="116"/>
        <v>0</v>
      </c>
      <c r="K914">
        <f t="shared" si="117"/>
        <v>1</v>
      </c>
      <c r="L914" s="24">
        <f t="shared" si="118"/>
        <v>0</v>
      </c>
    </row>
    <row r="915" spans="7:12" x14ac:dyDescent="0.3">
      <c r="G915" s="47" t="str">
        <f t="shared" si="115"/>
        <v/>
      </c>
      <c r="I915">
        <f t="shared" si="116"/>
        <v>0</v>
      </c>
      <c r="K915">
        <f t="shared" si="117"/>
        <v>1</v>
      </c>
      <c r="L915" s="24">
        <f t="shared" si="118"/>
        <v>0</v>
      </c>
    </row>
    <row r="916" spans="7:12" x14ac:dyDescent="0.3">
      <c r="G916" s="47" t="str">
        <f t="shared" si="115"/>
        <v/>
      </c>
      <c r="I916">
        <f t="shared" si="116"/>
        <v>0</v>
      </c>
      <c r="K916">
        <f t="shared" si="117"/>
        <v>1</v>
      </c>
      <c r="L916" s="24">
        <f t="shared" si="118"/>
        <v>0</v>
      </c>
    </row>
    <row r="917" spans="7:12" x14ac:dyDescent="0.3">
      <c r="G917" s="47" t="str">
        <f t="shared" si="115"/>
        <v/>
      </c>
      <c r="I917">
        <f t="shared" si="116"/>
        <v>0</v>
      </c>
      <c r="K917">
        <f t="shared" si="117"/>
        <v>1</v>
      </c>
      <c r="L917" s="24">
        <f t="shared" si="118"/>
        <v>0</v>
      </c>
    </row>
    <row r="918" spans="7:12" x14ac:dyDescent="0.3">
      <c r="G918" s="47" t="str">
        <f t="shared" si="115"/>
        <v/>
      </c>
      <c r="I918">
        <f t="shared" si="116"/>
        <v>0</v>
      </c>
      <c r="K918">
        <f t="shared" si="117"/>
        <v>1</v>
      </c>
      <c r="L918" s="24">
        <f t="shared" si="118"/>
        <v>0</v>
      </c>
    </row>
    <row r="919" spans="7:12" x14ac:dyDescent="0.3">
      <c r="G919" s="47" t="str">
        <f t="shared" si="115"/>
        <v/>
      </c>
      <c r="I919">
        <f t="shared" si="116"/>
        <v>0</v>
      </c>
      <c r="K919">
        <f t="shared" si="117"/>
        <v>1</v>
      </c>
      <c r="L919" s="24">
        <f t="shared" si="118"/>
        <v>0</v>
      </c>
    </row>
    <row r="920" spans="7:12" x14ac:dyDescent="0.3">
      <c r="G920" s="47" t="str">
        <f t="shared" si="115"/>
        <v/>
      </c>
      <c r="I920">
        <f t="shared" si="116"/>
        <v>0</v>
      </c>
      <c r="K920">
        <f t="shared" si="117"/>
        <v>1</v>
      </c>
      <c r="L920" s="24">
        <f t="shared" si="118"/>
        <v>0</v>
      </c>
    </row>
    <row r="921" spans="7:12" x14ac:dyDescent="0.3">
      <c r="G921" s="47" t="str">
        <f t="shared" si="115"/>
        <v/>
      </c>
      <c r="I921">
        <f t="shared" si="116"/>
        <v>0</v>
      </c>
      <c r="K921">
        <f t="shared" si="117"/>
        <v>1</v>
      </c>
      <c r="L921" s="24">
        <f t="shared" si="118"/>
        <v>0</v>
      </c>
    </row>
    <row r="922" spans="7:12" x14ac:dyDescent="0.3">
      <c r="G922" s="47" t="str">
        <f t="shared" si="115"/>
        <v/>
      </c>
      <c r="I922">
        <f t="shared" si="116"/>
        <v>0</v>
      </c>
      <c r="K922">
        <f t="shared" si="117"/>
        <v>1</v>
      </c>
      <c r="L922" s="24">
        <f t="shared" si="118"/>
        <v>0</v>
      </c>
    </row>
    <row r="923" spans="7:12" x14ac:dyDescent="0.3">
      <c r="G923" s="47" t="str">
        <f t="shared" si="115"/>
        <v/>
      </c>
      <c r="I923">
        <f t="shared" si="116"/>
        <v>0</v>
      </c>
      <c r="K923">
        <f t="shared" si="117"/>
        <v>1</v>
      </c>
      <c r="L923" s="24">
        <f t="shared" si="118"/>
        <v>0</v>
      </c>
    </row>
    <row r="924" spans="7:12" x14ac:dyDescent="0.3">
      <c r="G924" s="47" t="str">
        <f t="shared" si="115"/>
        <v/>
      </c>
      <c r="I924">
        <f t="shared" si="116"/>
        <v>0</v>
      </c>
      <c r="K924">
        <f t="shared" si="117"/>
        <v>1</v>
      </c>
      <c r="L924" s="24">
        <f t="shared" si="118"/>
        <v>0</v>
      </c>
    </row>
    <row r="925" spans="7:12" x14ac:dyDescent="0.3">
      <c r="G925" s="47" t="str">
        <f t="shared" si="115"/>
        <v/>
      </c>
      <c r="I925">
        <f t="shared" si="116"/>
        <v>0</v>
      </c>
      <c r="K925">
        <f t="shared" si="117"/>
        <v>1</v>
      </c>
      <c r="L925" s="24">
        <f t="shared" si="118"/>
        <v>0</v>
      </c>
    </row>
    <row r="926" spans="7:12" x14ac:dyDescent="0.3">
      <c r="G926" s="47" t="str">
        <f t="shared" si="115"/>
        <v/>
      </c>
      <c r="I926">
        <f t="shared" si="116"/>
        <v>0</v>
      </c>
      <c r="K926">
        <f t="shared" si="117"/>
        <v>1</v>
      </c>
      <c r="L926" s="24">
        <f t="shared" si="118"/>
        <v>0</v>
      </c>
    </row>
    <row r="927" spans="7:12" x14ac:dyDescent="0.3">
      <c r="G927" s="47" t="str">
        <f t="shared" si="115"/>
        <v/>
      </c>
      <c r="I927">
        <f t="shared" si="116"/>
        <v>0</v>
      </c>
      <c r="K927">
        <f t="shared" si="117"/>
        <v>1</v>
      </c>
      <c r="L927" s="24">
        <f t="shared" si="118"/>
        <v>0</v>
      </c>
    </row>
    <row r="928" spans="7:12" x14ac:dyDescent="0.3">
      <c r="G928" s="47" t="str">
        <f t="shared" si="115"/>
        <v/>
      </c>
      <c r="I928">
        <f t="shared" si="116"/>
        <v>0</v>
      </c>
      <c r="K928">
        <f t="shared" si="117"/>
        <v>1</v>
      </c>
      <c r="L928" s="24">
        <f t="shared" si="118"/>
        <v>0</v>
      </c>
    </row>
    <row r="929" spans="7:12" x14ac:dyDescent="0.3">
      <c r="G929" s="47" t="str">
        <f t="shared" si="115"/>
        <v/>
      </c>
      <c r="I929">
        <f t="shared" si="116"/>
        <v>0</v>
      </c>
      <c r="K929">
        <f t="shared" si="117"/>
        <v>1</v>
      </c>
      <c r="L929" s="24">
        <f t="shared" si="118"/>
        <v>0</v>
      </c>
    </row>
    <row r="930" spans="7:12" x14ac:dyDescent="0.3">
      <c r="G930" s="47" t="str">
        <f t="shared" si="115"/>
        <v/>
      </c>
      <c r="I930">
        <f t="shared" si="116"/>
        <v>0</v>
      </c>
      <c r="K930">
        <f t="shared" si="117"/>
        <v>1</v>
      </c>
      <c r="L930" s="24">
        <f t="shared" si="118"/>
        <v>0</v>
      </c>
    </row>
    <row r="931" spans="7:12" x14ac:dyDescent="0.3">
      <c r="G931" s="47" t="str">
        <f t="shared" si="115"/>
        <v/>
      </c>
      <c r="I931">
        <f t="shared" si="116"/>
        <v>0</v>
      </c>
      <c r="K931">
        <f t="shared" si="117"/>
        <v>1</v>
      </c>
      <c r="L931" s="24">
        <f t="shared" si="118"/>
        <v>0</v>
      </c>
    </row>
    <row r="932" spans="7:12" x14ac:dyDescent="0.3">
      <c r="G932" s="47" t="str">
        <f t="shared" si="115"/>
        <v/>
      </c>
      <c r="I932">
        <f t="shared" si="116"/>
        <v>0</v>
      </c>
      <c r="K932">
        <f t="shared" si="117"/>
        <v>1</v>
      </c>
      <c r="L932" s="24">
        <f t="shared" si="118"/>
        <v>0</v>
      </c>
    </row>
    <row r="933" spans="7:12" x14ac:dyDescent="0.3">
      <c r="G933" s="47" t="str">
        <f t="shared" si="115"/>
        <v/>
      </c>
      <c r="I933">
        <f t="shared" si="116"/>
        <v>0</v>
      </c>
      <c r="K933">
        <f t="shared" si="117"/>
        <v>1</v>
      </c>
      <c r="L933" s="24">
        <f t="shared" si="118"/>
        <v>0</v>
      </c>
    </row>
    <row r="934" spans="7:12" x14ac:dyDescent="0.3">
      <c r="G934" s="47" t="str">
        <f t="shared" si="115"/>
        <v/>
      </c>
      <c r="I934">
        <f t="shared" si="116"/>
        <v>0</v>
      </c>
      <c r="K934">
        <f t="shared" si="117"/>
        <v>1</v>
      </c>
      <c r="L934" s="24">
        <f t="shared" si="118"/>
        <v>0</v>
      </c>
    </row>
    <row r="935" spans="7:12" x14ac:dyDescent="0.3">
      <c r="G935" s="47" t="str">
        <f t="shared" si="115"/>
        <v/>
      </c>
      <c r="I935">
        <f t="shared" si="116"/>
        <v>0</v>
      </c>
      <c r="K935">
        <f t="shared" si="117"/>
        <v>1</v>
      </c>
      <c r="L935" s="24">
        <f t="shared" si="118"/>
        <v>0</v>
      </c>
    </row>
    <row r="936" spans="7:12" x14ac:dyDescent="0.3">
      <c r="G936" s="47" t="str">
        <f t="shared" si="115"/>
        <v/>
      </c>
      <c r="I936">
        <f t="shared" si="116"/>
        <v>0</v>
      </c>
      <c r="K936">
        <f t="shared" si="117"/>
        <v>1</v>
      </c>
      <c r="L936" s="24">
        <f t="shared" si="118"/>
        <v>0</v>
      </c>
    </row>
    <row r="937" spans="7:12" x14ac:dyDescent="0.3">
      <c r="G937" s="47" t="str">
        <f t="shared" si="115"/>
        <v/>
      </c>
      <c r="I937">
        <f t="shared" si="116"/>
        <v>0</v>
      </c>
      <c r="K937">
        <f t="shared" si="117"/>
        <v>1</v>
      </c>
      <c r="L937" s="24">
        <f t="shared" si="118"/>
        <v>0</v>
      </c>
    </row>
    <row r="938" spans="7:12" x14ac:dyDescent="0.3">
      <c r="G938" s="47" t="str">
        <f t="shared" si="115"/>
        <v/>
      </c>
      <c r="I938">
        <f t="shared" si="116"/>
        <v>0</v>
      </c>
      <c r="K938">
        <f t="shared" si="117"/>
        <v>1</v>
      </c>
      <c r="L938" s="24">
        <f t="shared" si="118"/>
        <v>0</v>
      </c>
    </row>
    <row r="939" spans="7:12" x14ac:dyDescent="0.3">
      <c r="G939" s="47" t="str">
        <f t="shared" si="115"/>
        <v/>
      </c>
      <c r="I939">
        <f t="shared" si="116"/>
        <v>0</v>
      </c>
      <c r="K939">
        <f t="shared" si="117"/>
        <v>1</v>
      </c>
      <c r="L939" s="24">
        <f t="shared" si="118"/>
        <v>0</v>
      </c>
    </row>
    <row r="940" spans="7:12" x14ac:dyDescent="0.3">
      <c r="G940" s="47" t="str">
        <f t="shared" si="115"/>
        <v/>
      </c>
      <c r="I940">
        <f t="shared" si="116"/>
        <v>0</v>
      </c>
      <c r="K940">
        <f t="shared" si="117"/>
        <v>1</v>
      </c>
      <c r="L940" s="24">
        <f t="shared" si="118"/>
        <v>0</v>
      </c>
    </row>
    <row r="941" spans="7:12" x14ac:dyDescent="0.3">
      <c r="G941" s="47" t="str">
        <f t="shared" si="115"/>
        <v/>
      </c>
      <c r="I941">
        <f t="shared" si="116"/>
        <v>0</v>
      </c>
      <c r="K941">
        <f t="shared" si="117"/>
        <v>1</v>
      </c>
      <c r="L941" s="24">
        <f t="shared" si="118"/>
        <v>0</v>
      </c>
    </row>
    <row r="942" spans="7:12" x14ac:dyDescent="0.3">
      <c r="G942" s="47" t="str">
        <f t="shared" si="115"/>
        <v/>
      </c>
      <c r="I942">
        <f t="shared" si="116"/>
        <v>0</v>
      </c>
      <c r="K942">
        <f t="shared" si="117"/>
        <v>1</v>
      </c>
      <c r="L942" s="24">
        <f t="shared" si="118"/>
        <v>0</v>
      </c>
    </row>
    <row r="943" spans="7:12" x14ac:dyDescent="0.3">
      <c r="G943" s="47" t="str">
        <f t="shared" si="115"/>
        <v/>
      </c>
      <c r="I943">
        <f t="shared" si="116"/>
        <v>0</v>
      </c>
      <c r="K943">
        <f t="shared" si="117"/>
        <v>1</v>
      </c>
      <c r="L943" s="24">
        <f t="shared" si="118"/>
        <v>0</v>
      </c>
    </row>
    <row r="944" spans="7:12" x14ac:dyDescent="0.3">
      <c r="G944" s="47" t="str">
        <f t="shared" si="115"/>
        <v/>
      </c>
      <c r="I944">
        <f t="shared" si="116"/>
        <v>0</v>
      </c>
      <c r="K944">
        <f t="shared" si="117"/>
        <v>1</v>
      </c>
      <c r="L944" s="24">
        <f t="shared" si="118"/>
        <v>0</v>
      </c>
    </row>
    <row r="945" spans="7:12" x14ac:dyDescent="0.3">
      <c r="G945" s="47" t="str">
        <f t="shared" si="115"/>
        <v/>
      </c>
      <c r="I945">
        <f t="shared" si="116"/>
        <v>0</v>
      </c>
      <c r="K945">
        <f t="shared" si="117"/>
        <v>1</v>
      </c>
      <c r="L945" s="24">
        <f t="shared" si="118"/>
        <v>0</v>
      </c>
    </row>
    <row r="946" spans="7:12" x14ac:dyDescent="0.3">
      <c r="G946" s="47" t="str">
        <f t="shared" si="115"/>
        <v/>
      </c>
      <c r="I946">
        <f t="shared" si="116"/>
        <v>0</v>
      </c>
      <c r="K946">
        <f t="shared" si="117"/>
        <v>1</v>
      </c>
      <c r="L946" s="24">
        <f t="shared" si="118"/>
        <v>0</v>
      </c>
    </row>
    <row r="947" spans="7:12" x14ac:dyDescent="0.3">
      <c r="G947" s="47" t="str">
        <f t="shared" si="115"/>
        <v/>
      </c>
      <c r="I947">
        <f t="shared" si="116"/>
        <v>0</v>
      </c>
      <c r="K947">
        <f t="shared" si="117"/>
        <v>1</v>
      </c>
      <c r="L947" s="24">
        <f t="shared" si="118"/>
        <v>0</v>
      </c>
    </row>
    <row r="948" spans="7:12" x14ac:dyDescent="0.3">
      <c r="G948" s="47" t="str">
        <f t="shared" si="115"/>
        <v/>
      </c>
      <c r="I948">
        <f t="shared" si="116"/>
        <v>0</v>
      </c>
      <c r="K948">
        <f t="shared" si="117"/>
        <v>1</v>
      </c>
      <c r="L948" s="24">
        <f t="shared" si="118"/>
        <v>0</v>
      </c>
    </row>
    <row r="949" spans="7:12" x14ac:dyDescent="0.3">
      <c r="G949" s="47" t="str">
        <f t="shared" si="115"/>
        <v/>
      </c>
      <c r="I949">
        <f t="shared" si="116"/>
        <v>0</v>
      </c>
      <c r="K949">
        <f t="shared" si="117"/>
        <v>1</v>
      </c>
      <c r="L949" s="24">
        <f t="shared" si="118"/>
        <v>0</v>
      </c>
    </row>
    <row r="950" spans="7:12" x14ac:dyDescent="0.3">
      <c r="G950" s="47" t="str">
        <f t="shared" ref="G950:G1013" si="119">IF(E950=0,"",IF(F950="","",(F950-E950)*D950))</f>
        <v/>
      </c>
      <c r="I950">
        <f t="shared" si="116"/>
        <v>0</v>
      </c>
      <c r="K950">
        <f t="shared" si="117"/>
        <v>1</v>
      </c>
      <c r="L950" s="24">
        <f t="shared" si="118"/>
        <v>0</v>
      </c>
    </row>
    <row r="951" spans="7:12" x14ac:dyDescent="0.3">
      <c r="G951" s="47" t="str">
        <f t="shared" si="119"/>
        <v/>
      </c>
      <c r="I951">
        <f t="shared" si="116"/>
        <v>0</v>
      </c>
      <c r="K951">
        <f t="shared" si="117"/>
        <v>1</v>
      </c>
      <c r="L951" s="24">
        <f t="shared" si="118"/>
        <v>0</v>
      </c>
    </row>
    <row r="952" spans="7:12" x14ac:dyDescent="0.3">
      <c r="G952" s="47" t="str">
        <f t="shared" si="119"/>
        <v/>
      </c>
      <c r="I952">
        <f t="shared" si="116"/>
        <v>0</v>
      </c>
      <c r="K952">
        <f t="shared" si="117"/>
        <v>1</v>
      </c>
      <c r="L952" s="24">
        <f t="shared" si="118"/>
        <v>0</v>
      </c>
    </row>
    <row r="953" spans="7:12" x14ac:dyDescent="0.3">
      <c r="G953" s="47" t="str">
        <f t="shared" si="119"/>
        <v/>
      </c>
      <c r="I953">
        <f t="shared" si="116"/>
        <v>0</v>
      </c>
      <c r="K953">
        <f t="shared" si="117"/>
        <v>1</v>
      </c>
      <c r="L953" s="24">
        <f t="shared" si="118"/>
        <v>0</v>
      </c>
    </row>
    <row r="954" spans="7:12" x14ac:dyDescent="0.3">
      <c r="G954" s="47" t="str">
        <f t="shared" si="119"/>
        <v/>
      </c>
      <c r="I954">
        <f t="shared" si="116"/>
        <v>0</v>
      </c>
      <c r="K954">
        <f t="shared" si="117"/>
        <v>1</v>
      </c>
      <c r="L954" s="24">
        <f t="shared" si="118"/>
        <v>0</v>
      </c>
    </row>
    <row r="955" spans="7:12" x14ac:dyDescent="0.3">
      <c r="G955" s="47" t="str">
        <f t="shared" si="119"/>
        <v/>
      </c>
      <c r="I955">
        <f t="shared" si="116"/>
        <v>0</v>
      </c>
      <c r="K955">
        <f t="shared" si="117"/>
        <v>1</v>
      </c>
      <c r="L955" s="24">
        <f t="shared" si="118"/>
        <v>0</v>
      </c>
    </row>
    <row r="956" spans="7:12" x14ac:dyDescent="0.3">
      <c r="G956" s="47" t="str">
        <f t="shared" si="119"/>
        <v/>
      </c>
      <c r="I956">
        <f t="shared" si="116"/>
        <v>0</v>
      </c>
      <c r="K956">
        <f t="shared" si="117"/>
        <v>1</v>
      </c>
      <c r="L956" s="24">
        <f t="shared" si="118"/>
        <v>0</v>
      </c>
    </row>
    <row r="957" spans="7:12" x14ac:dyDescent="0.3">
      <c r="G957" s="47" t="str">
        <f t="shared" si="119"/>
        <v/>
      </c>
      <c r="I957">
        <f t="shared" ref="I957:I1020" si="120">+E957*1.1</f>
        <v>0</v>
      </c>
      <c r="K957">
        <f t="shared" ref="K957:K1020" si="121">IF(F957=0,1,0)</f>
        <v>1</v>
      </c>
      <c r="L957" s="24">
        <f t="shared" ref="L957:L1020" si="122">+D957*E957</f>
        <v>0</v>
      </c>
    </row>
    <row r="958" spans="7:12" x14ac:dyDescent="0.3">
      <c r="G958" s="47" t="str">
        <f t="shared" si="119"/>
        <v/>
      </c>
      <c r="I958">
        <f t="shared" si="120"/>
        <v>0</v>
      </c>
      <c r="K958">
        <f t="shared" si="121"/>
        <v>1</v>
      </c>
      <c r="L958" s="24">
        <f t="shared" si="122"/>
        <v>0</v>
      </c>
    </row>
    <row r="959" spans="7:12" x14ac:dyDescent="0.3">
      <c r="G959" s="47" t="str">
        <f t="shared" si="119"/>
        <v/>
      </c>
      <c r="I959">
        <f t="shared" si="120"/>
        <v>0</v>
      </c>
      <c r="K959">
        <f t="shared" si="121"/>
        <v>1</v>
      </c>
      <c r="L959" s="24">
        <f t="shared" si="122"/>
        <v>0</v>
      </c>
    </row>
    <row r="960" spans="7:12" x14ac:dyDescent="0.3">
      <c r="G960" s="47" t="str">
        <f t="shared" si="119"/>
        <v/>
      </c>
      <c r="I960">
        <f t="shared" si="120"/>
        <v>0</v>
      </c>
      <c r="K960">
        <f t="shared" si="121"/>
        <v>1</v>
      </c>
      <c r="L960" s="24">
        <f t="shared" si="122"/>
        <v>0</v>
      </c>
    </row>
    <row r="961" spans="7:12" x14ac:dyDescent="0.3">
      <c r="G961" s="47" t="str">
        <f t="shared" si="119"/>
        <v/>
      </c>
      <c r="I961">
        <f t="shared" si="120"/>
        <v>0</v>
      </c>
      <c r="K961">
        <f t="shared" si="121"/>
        <v>1</v>
      </c>
      <c r="L961" s="24">
        <f t="shared" si="122"/>
        <v>0</v>
      </c>
    </row>
    <row r="962" spans="7:12" x14ac:dyDescent="0.3">
      <c r="G962" s="47" t="str">
        <f t="shared" si="119"/>
        <v/>
      </c>
      <c r="I962">
        <f t="shared" si="120"/>
        <v>0</v>
      </c>
      <c r="K962">
        <f t="shared" si="121"/>
        <v>1</v>
      </c>
      <c r="L962" s="24">
        <f t="shared" si="122"/>
        <v>0</v>
      </c>
    </row>
    <row r="963" spans="7:12" x14ac:dyDescent="0.3">
      <c r="G963" s="47" t="str">
        <f t="shared" si="119"/>
        <v/>
      </c>
      <c r="I963">
        <f t="shared" si="120"/>
        <v>0</v>
      </c>
      <c r="K963">
        <f t="shared" si="121"/>
        <v>1</v>
      </c>
      <c r="L963" s="24">
        <f t="shared" si="122"/>
        <v>0</v>
      </c>
    </row>
    <row r="964" spans="7:12" x14ac:dyDescent="0.3">
      <c r="G964" s="47" t="str">
        <f t="shared" si="119"/>
        <v/>
      </c>
      <c r="I964">
        <f t="shared" si="120"/>
        <v>0</v>
      </c>
      <c r="K964">
        <f t="shared" si="121"/>
        <v>1</v>
      </c>
      <c r="L964" s="24">
        <f t="shared" si="122"/>
        <v>0</v>
      </c>
    </row>
    <row r="965" spans="7:12" x14ac:dyDescent="0.3">
      <c r="G965" s="47" t="str">
        <f t="shared" si="119"/>
        <v/>
      </c>
      <c r="I965">
        <f t="shared" si="120"/>
        <v>0</v>
      </c>
      <c r="K965">
        <f t="shared" si="121"/>
        <v>1</v>
      </c>
      <c r="L965" s="24">
        <f t="shared" si="122"/>
        <v>0</v>
      </c>
    </row>
    <row r="966" spans="7:12" x14ac:dyDescent="0.3">
      <c r="G966" s="47" t="str">
        <f t="shared" si="119"/>
        <v/>
      </c>
      <c r="I966">
        <f t="shared" si="120"/>
        <v>0</v>
      </c>
      <c r="K966">
        <f t="shared" si="121"/>
        <v>1</v>
      </c>
      <c r="L966" s="24">
        <f t="shared" si="122"/>
        <v>0</v>
      </c>
    </row>
    <row r="967" spans="7:12" x14ac:dyDescent="0.3">
      <c r="G967" s="47" t="str">
        <f t="shared" si="119"/>
        <v/>
      </c>
      <c r="I967">
        <f t="shared" si="120"/>
        <v>0</v>
      </c>
      <c r="K967">
        <f t="shared" si="121"/>
        <v>1</v>
      </c>
      <c r="L967" s="24">
        <f t="shared" si="122"/>
        <v>0</v>
      </c>
    </row>
    <row r="968" spans="7:12" x14ac:dyDescent="0.3">
      <c r="G968" s="47" t="str">
        <f t="shared" si="119"/>
        <v/>
      </c>
      <c r="I968">
        <f t="shared" si="120"/>
        <v>0</v>
      </c>
      <c r="K968">
        <f t="shared" si="121"/>
        <v>1</v>
      </c>
      <c r="L968" s="24">
        <f t="shared" si="122"/>
        <v>0</v>
      </c>
    </row>
    <row r="969" spans="7:12" x14ac:dyDescent="0.3">
      <c r="G969" s="47" t="str">
        <f t="shared" si="119"/>
        <v/>
      </c>
      <c r="I969">
        <f t="shared" si="120"/>
        <v>0</v>
      </c>
      <c r="K969">
        <f t="shared" si="121"/>
        <v>1</v>
      </c>
      <c r="L969" s="24">
        <f t="shared" si="122"/>
        <v>0</v>
      </c>
    </row>
    <row r="970" spans="7:12" x14ac:dyDescent="0.3">
      <c r="G970" s="47" t="str">
        <f t="shared" si="119"/>
        <v/>
      </c>
      <c r="I970">
        <f t="shared" si="120"/>
        <v>0</v>
      </c>
      <c r="K970">
        <f t="shared" si="121"/>
        <v>1</v>
      </c>
      <c r="L970" s="24">
        <f t="shared" si="122"/>
        <v>0</v>
      </c>
    </row>
    <row r="971" spans="7:12" x14ac:dyDescent="0.3">
      <c r="G971" s="47" t="str">
        <f t="shared" si="119"/>
        <v/>
      </c>
      <c r="I971">
        <f t="shared" si="120"/>
        <v>0</v>
      </c>
      <c r="K971">
        <f t="shared" si="121"/>
        <v>1</v>
      </c>
      <c r="L971" s="24">
        <f t="shared" si="122"/>
        <v>0</v>
      </c>
    </row>
    <row r="972" spans="7:12" x14ac:dyDescent="0.3">
      <c r="G972" s="47" t="str">
        <f t="shared" si="119"/>
        <v/>
      </c>
      <c r="I972">
        <f t="shared" si="120"/>
        <v>0</v>
      </c>
      <c r="K972">
        <f t="shared" si="121"/>
        <v>1</v>
      </c>
      <c r="L972" s="24">
        <f t="shared" si="122"/>
        <v>0</v>
      </c>
    </row>
    <row r="973" spans="7:12" x14ac:dyDescent="0.3">
      <c r="G973" s="47" t="str">
        <f t="shared" si="119"/>
        <v/>
      </c>
      <c r="I973">
        <f t="shared" si="120"/>
        <v>0</v>
      </c>
      <c r="K973">
        <f t="shared" si="121"/>
        <v>1</v>
      </c>
      <c r="L973" s="24">
        <f t="shared" si="122"/>
        <v>0</v>
      </c>
    </row>
    <row r="974" spans="7:12" x14ac:dyDescent="0.3">
      <c r="G974" s="47" t="str">
        <f t="shared" si="119"/>
        <v/>
      </c>
      <c r="I974">
        <f t="shared" si="120"/>
        <v>0</v>
      </c>
      <c r="K974">
        <f t="shared" si="121"/>
        <v>1</v>
      </c>
      <c r="L974" s="24">
        <f t="shared" si="122"/>
        <v>0</v>
      </c>
    </row>
    <row r="975" spans="7:12" x14ac:dyDescent="0.3">
      <c r="G975" s="47" t="str">
        <f t="shared" si="119"/>
        <v/>
      </c>
      <c r="I975">
        <f t="shared" si="120"/>
        <v>0</v>
      </c>
      <c r="K975">
        <f t="shared" si="121"/>
        <v>1</v>
      </c>
      <c r="L975" s="24">
        <f t="shared" si="122"/>
        <v>0</v>
      </c>
    </row>
    <row r="976" spans="7:12" x14ac:dyDescent="0.3">
      <c r="G976" s="47" t="str">
        <f t="shared" si="119"/>
        <v/>
      </c>
      <c r="I976">
        <f t="shared" si="120"/>
        <v>0</v>
      </c>
      <c r="K976">
        <f t="shared" si="121"/>
        <v>1</v>
      </c>
      <c r="L976" s="24">
        <f t="shared" si="122"/>
        <v>0</v>
      </c>
    </row>
    <row r="977" spans="7:12" x14ac:dyDescent="0.3">
      <c r="G977" s="47" t="str">
        <f t="shared" si="119"/>
        <v/>
      </c>
      <c r="I977">
        <f t="shared" si="120"/>
        <v>0</v>
      </c>
      <c r="K977">
        <f t="shared" si="121"/>
        <v>1</v>
      </c>
      <c r="L977" s="24">
        <f t="shared" si="122"/>
        <v>0</v>
      </c>
    </row>
    <row r="978" spans="7:12" x14ac:dyDescent="0.3">
      <c r="G978" s="47" t="str">
        <f t="shared" si="119"/>
        <v/>
      </c>
      <c r="I978">
        <f t="shared" si="120"/>
        <v>0</v>
      </c>
      <c r="K978">
        <f t="shared" si="121"/>
        <v>1</v>
      </c>
      <c r="L978" s="24">
        <f t="shared" si="122"/>
        <v>0</v>
      </c>
    </row>
    <row r="979" spans="7:12" x14ac:dyDescent="0.3">
      <c r="G979" s="47" t="str">
        <f t="shared" si="119"/>
        <v/>
      </c>
      <c r="I979">
        <f t="shared" si="120"/>
        <v>0</v>
      </c>
      <c r="K979">
        <f t="shared" si="121"/>
        <v>1</v>
      </c>
      <c r="L979" s="24">
        <f t="shared" si="122"/>
        <v>0</v>
      </c>
    </row>
    <row r="980" spans="7:12" x14ac:dyDescent="0.3">
      <c r="G980" s="47" t="str">
        <f t="shared" si="119"/>
        <v/>
      </c>
      <c r="I980">
        <f t="shared" si="120"/>
        <v>0</v>
      </c>
      <c r="K980">
        <f t="shared" si="121"/>
        <v>1</v>
      </c>
      <c r="L980" s="24">
        <f t="shared" si="122"/>
        <v>0</v>
      </c>
    </row>
    <row r="981" spans="7:12" x14ac:dyDescent="0.3">
      <c r="G981" s="47" t="str">
        <f t="shared" si="119"/>
        <v/>
      </c>
      <c r="I981">
        <f t="shared" si="120"/>
        <v>0</v>
      </c>
      <c r="K981">
        <f t="shared" si="121"/>
        <v>1</v>
      </c>
      <c r="L981" s="24">
        <f t="shared" si="122"/>
        <v>0</v>
      </c>
    </row>
    <row r="982" spans="7:12" x14ac:dyDescent="0.3">
      <c r="G982" s="47" t="str">
        <f t="shared" si="119"/>
        <v/>
      </c>
      <c r="I982">
        <f t="shared" si="120"/>
        <v>0</v>
      </c>
      <c r="K982">
        <f t="shared" si="121"/>
        <v>1</v>
      </c>
      <c r="L982" s="24">
        <f t="shared" si="122"/>
        <v>0</v>
      </c>
    </row>
    <row r="983" spans="7:12" x14ac:dyDescent="0.3">
      <c r="G983" s="47" t="str">
        <f t="shared" si="119"/>
        <v/>
      </c>
      <c r="I983">
        <f t="shared" si="120"/>
        <v>0</v>
      </c>
      <c r="K983">
        <f t="shared" si="121"/>
        <v>1</v>
      </c>
      <c r="L983" s="24">
        <f t="shared" si="122"/>
        <v>0</v>
      </c>
    </row>
    <row r="984" spans="7:12" x14ac:dyDescent="0.3">
      <c r="G984" s="47" t="str">
        <f t="shared" si="119"/>
        <v/>
      </c>
      <c r="I984">
        <f t="shared" si="120"/>
        <v>0</v>
      </c>
      <c r="K984">
        <f t="shared" si="121"/>
        <v>1</v>
      </c>
      <c r="L984" s="24">
        <f t="shared" si="122"/>
        <v>0</v>
      </c>
    </row>
    <row r="985" spans="7:12" x14ac:dyDescent="0.3">
      <c r="G985" s="47" t="str">
        <f t="shared" si="119"/>
        <v/>
      </c>
      <c r="I985">
        <f t="shared" si="120"/>
        <v>0</v>
      </c>
      <c r="K985">
        <f t="shared" si="121"/>
        <v>1</v>
      </c>
      <c r="L985" s="24">
        <f t="shared" si="122"/>
        <v>0</v>
      </c>
    </row>
    <row r="986" spans="7:12" x14ac:dyDescent="0.3">
      <c r="G986" s="47" t="str">
        <f t="shared" si="119"/>
        <v/>
      </c>
      <c r="I986">
        <f t="shared" si="120"/>
        <v>0</v>
      </c>
      <c r="K986">
        <f t="shared" si="121"/>
        <v>1</v>
      </c>
      <c r="L986" s="24">
        <f t="shared" si="122"/>
        <v>0</v>
      </c>
    </row>
    <row r="987" spans="7:12" x14ac:dyDescent="0.3">
      <c r="G987" s="47" t="str">
        <f t="shared" si="119"/>
        <v/>
      </c>
      <c r="I987">
        <f t="shared" si="120"/>
        <v>0</v>
      </c>
      <c r="K987">
        <f t="shared" si="121"/>
        <v>1</v>
      </c>
      <c r="L987" s="24">
        <f t="shared" si="122"/>
        <v>0</v>
      </c>
    </row>
    <row r="988" spans="7:12" x14ac:dyDescent="0.3">
      <c r="G988" s="47" t="str">
        <f t="shared" si="119"/>
        <v/>
      </c>
      <c r="I988">
        <f t="shared" si="120"/>
        <v>0</v>
      </c>
      <c r="K988">
        <f t="shared" si="121"/>
        <v>1</v>
      </c>
      <c r="L988" s="24">
        <f t="shared" si="122"/>
        <v>0</v>
      </c>
    </row>
    <row r="989" spans="7:12" x14ac:dyDescent="0.3">
      <c r="G989" s="47" t="str">
        <f t="shared" si="119"/>
        <v/>
      </c>
      <c r="I989">
        <f t="shared" si="120"/>
        <v>0</v>
      </c>
      <c r="K989">
        <f t="shared" si="121"/>
        <v>1</v>
      </c>
      <c r="L989" s="24">
        <f t="shared" si="122"/>
        <v>0</v>
      </c>
    </row>
    <row r="990" spans="7:12" x14ac:dyDescent="0.3">
      <c r="G990" s="47" t="str">
        <f t="shared" si="119"/>
        <v/>
      </c>
      <c r="I990">
        <f t="shared" si="120"/>
        <v>0</v>
      </c>
      <c r="K990">
        <f t="shared" si="121"/>
        <v>1</v>
      </c>
      <c r="L990" s="24">
        <f t="shared" si="122"/>
        <v>0</v>
      </c>
    </row>
    <row r="991" spans="7:12" x14ac:dyDescent="0.3">
      <c r="G991" s="47" t="str">
        <f t="shared" si="119"/>
        <v/>
      </c>
      <c r="I991">
        <f t="shared" si="120"/>
        <v>0</v>
      </c>
      <c r="K991">
        <f t="shared" si="121"/>
        <v>1</v>
      </c>
      <c r="L991" s="24">
        <f t="shared" si="122"/>
        <v>0</v>
      </c>
    </row>
    <row r="992" spans="7:12" x14ac:dyDescent="0.3">
      <c r="G992" s="47" t="str">
        <f t="shared" si="119"/>
        <v/>
      </c>
      <c r="I992">
        <f t="shared" si="120"/>
        <v>0</v>
      </c>
      <c r="K992">
        <f t="shared" si="121"/>
        <v>1</v>
      </c>
      <c r="L992" s="24">
        <f t="shared" si="122"/>
        <v>0</v>
      </c>
    </row>
    <row r="993" spans="7:12" x14ac:dyDescent="0.3">
      <c r="G993" s="47" t="str">
        <f t="shared" si="119"/>
        <v/>
      </c>
      <c r="I993">
        <f t="shared" si="120"/>
        <v>0</v>
      </c>
      <c r="K993">
        <f t="shared" si="121"/>
        <v>1</v>
      </c>
      <c r="L993" s="24">
        <f t="shared" si="122"/>
        <v>0</v>
      </c>
    </row>
    <row r="994" spans="7:12" x14ac:dyDescent="0.3">
      <c r="G994" s="47" t="str">
        <f t="shared" si="119"/>
        <v/>
      </c>
      <c r="I994">
        <f t="shared" si="120"/>
        <v>0</v>
      </c>
      <c r="K994">
        <f t="shared" si="121"/>
        <v>1</v>
      </c>
      <c r="L994" s="24">
        <f t="shared" si="122"/>
        <v>0</v>
      </c>
    </row>
    <row r="995" spans="7:12" x14ac:dyDescent="0.3">
      <c r="G995" s="47" t="str">
        <f t="shared" si="119"/>
        <v/>
      </c>
      <c r="I995">
        <f t="shared" si="120"/>
        <v>0</v>
      </c>
      <c r="K995">
        <f t="shared" si="121"/>
        <v>1</v>
      </c>
      <c r="L995" s="24">
        <f t="shared" si="122"/>
        <v>0</v>
      </c>
    </row>
    <row r="996" spans="7:12" x14ac:dyDescent="0.3">
      <c r="G996" s="47" t="str">
        <f t="shared" si="119"/>
        <v/>
      </c>
      <c r="I996">
        <f t="shared" si="120"/>
        <v>0</v>
      </c>
      <c r="K996">
        <f t="shared" si="121"/>
        <v>1</v>
      </c>
      <c r="L996" s="24">
        <f t="shared" si="122"/>
        <v>0</v>
      </c>
    </row>
    <row r="997" spans="7:12" x14ac:dyDescent="0.3">
      <c r="G997" s="47" t="str">
        <f t="shared" si="119"/>
        <v/>
      </c>
      <c r="I997">
        <f t="shared" si="120"/>
        <v>0</v>
      </c>
      <c r="K997">
        <f t="shared" si="121"/>
        <v>1</v>
      </c>
      <c r="L997" s="24">
        <f t="shared" si="122"/>
        <v>0</v>
      </c>
    </row>
    <row r="998" spans="7:12" x14ac:dyDescent="0.3">
      <c r="G998" s="47" t="str">
        <f t="shared" si="119"/>
        <v/>
      </c>
      <c r="I998">
        <f t="shared" si="120"/>
        <v>0</v>
      </c>
      <c r="K998">
        <f t="shared" si="121"/>
        <v>1</v>
      </c>
      <c r="L998" s="24">
        <f t="shared" si="122"/>
        <v>0</v>
      </c>
    </row>
    <row r="999" spans="7:12" x14ac:dyDescent="0.3">
      <c r="G999" s="47" t="str">
        <f t="shared" si="119"/>
        <v/>
      </c>
      <c r="I999">
        <f t="shared" si="120"/>
        <v>0</v>
      </c>
      <c r="K999">
        <f t="shared" si="121"/>
        <v>1</v>
      </c>
      <c r="L999" s="24">
        <f t="shared" si="122"/>
        <v>0</v>
      </c>
    </row>
    <row r="1000" spans="7:12" x14ac:dyDescent="0.3">
      <c r="G1000" s="47" t="str">
        <f t="shared" si="119"/>
        <v/>
      </c>
      <c r="I1000">
        <f t="shared" si="120"/>
        <v>0</v>
      </c>
      <c r="K1000">
        <f t="shared" si="121"/>
        <v>1</v>
      </c>
      <c r="L1000" s="24">
        <f t="shared" si="122"/>
        <v>0</v>
      </c>
    </row>
    <row r="1001" spans="7:12" x14ac:dyDescent="0.3">
      <c r="G1001" s="47" t="str">
        <f t="shared" si="119"/>
        <v/>
      </c>
      <c r="I1001">
        <f t="shared" si="120"/>
        <v>0</v>
      </c>
      <c r="K1001">
        <f t="shared" si="121"/>
        <v>1</v>
      </c>
      <c r="L1001" s="24">
        <f t="shared" si="122"/>
        <v>0</v>
      </c>
    </row>
    <row r="1002" spans="7:12" x14ac:dyDescent="0.3">
      <c r="G1002" s="47" t="str">
        <f t="shared" si="119"/>
        <v/>
      </c>
      <c r="I1002">
        <f t="shared" si="120"/>
        <v>0</v>
      </c>
      <c r="K1002">
        <f t="shared" si="121"/>
        <v>1</v>
      </c>
      <c r="L1002" s="24">
        <f t="shared" si="122"/>
        <v>0</v>
      </c>
    </row>
    <row r="1003" spans="7:12" x14ac:dyDescent="0.3">
      <c r="G1003" s="47" t="str">
        <f t="shared" si="119"/>
        <v/>
      </c>
      <c r="I1003">
        <f t="shared" si="120"/>
        <v>0</v>
      </c>
      <c r="K1003">
        <f t="shared" si="121"/>
        <v>1</v>
      </c>
      <c r="L1003" s="24">
        <f t="shared" si="122"/>
        <v>0</v>
      </c>
    </row>
    <row r="1004" spans="7:12" x14ac:dyDescent="0.3">
      <c r="G1004" s="47" t="str">
        <f t="shared" si="119"/>
        <v/>
      </c>
      <c r="I1004">
        <f t="shared" si="120"/>
        <v>0</v>
      </c>
      <c r="K1004">
        <f t="shared" si="121"/>
        <v>1</v>
      </c>
      <c r="L1004" s="24">
        <f t="shared" si="122"/>
        <v>0</v>
      </c>
    </row>
    <row r="1005" spans="7:12" x14ac:dyDescent="0.3">
      <c r="G1005" s="47" t="str">
        <f t="shared" si="119"/>
        <v/>
      </c>
      <c r="I1005">
        <f t="shared" si="120"/>
        <v>0</v>
      </c>
      <c r="K1005">
        <f t="shared" si="121"/>
        <v>1</v>
      </c>
      <c r="L1005" s="24">
        <f t="shared" si="122"/>
        <v>0</v>
      </c>
    </row>
    <row r="1006" spans="7:12" x14ac:dyDescent="0.3">
      <c r="G1006" s="47" t="str">
        <f t="shared" si="119"/>
        <v/>
      </c>
      <c r="I1006">
        <f t="shared" si="120"/>
        <v>0</v>
      </c>
      <c r="K1006">
        <f t="shared" si="121"/>
        <v>1</v>
      </c>
      <c r="L1006" s="24">
        <f t="shared" si="122"/>
        <v>0</v>
      </c>
    </row>
    <row r="1007" spans="7:12" x14ac:dyDescent="0.3">
      <c r="G1007" s="47" t="str">
        <f t="shared" si="119"/>
        <v/>
      </c>
      <c r="I1007">
        <f t="shared" si="120"/>
        <v>0</v>
      </c>
      <c r="K1007">
        <f t="shared" si="121"/>
        <v>1</v>
      </c>
      <c r="L1007" s="24">
        <f t="shared" si="122"/>
        <v>0</v>
      </c>
    </row>
    <row r="1008" spans="7:12" x14ac:dyDescent="0.3">
      <c r="G1008" s="47" t="str">
        <f t="shared" si="119"/>
        <v/>
      </c>
      <c r="I1008">
        <f t="shared" si="120"/>
        <v>0</v>
      </c>
      <c r="K1008">
        <f t="shared" si="121"/>
        <v>1</v>
      </c>
      <c r="L1008" s="24">
        <f t="shared" si="122"/>
        <v>0</v>
      </c>
    </row>
    <row r="1009" spans="7:12" x14ac:dyDescent="0.3">
      <c r="G1009" s="47" t="str">
        <f t="shared" si="119"/>
        <v/>
      </c>
      <c r="I1009">
        <f t="shared" si="120"/>
        <v>0</v>
      </c>
      <c r="K1009">
        <f t="shared" si="121"/>
        <v>1</v>
      </c>
      <c r="L1009" s="24">
        <f t="shared" si="122"/>
        <v>0</v>
      </c>
    </row>
    <row r="1010" spans="7:12" x14ac:dyDescent="0.3">
      <c r="G1010" s="47" t="str">
        <f t="shared" si="119"/>
        <v/>
      </c>
      <c r="I1010">
        <f t="shared" si="120"/>
        <v>0</v>
      </c>
      <c r="K1010">
        <f t="shared" si="121"/>
        <v>1</v>
      </c>
      <c r="L1010" s="24">
        <f t="shared" si="122"/>
        <v>0</v>
      </c>
    </row>
    <row r="1011" spans="7:12" x14ac:dyDescent="0.3">
      <c r="G1011" s="47" t="str">
        <f t="shared" si="119"/>
        <v/>
      </c>
      <c r="I1011">
        <f t="shared" si="120"/>
        <v>0</v>
      </c>
      <c r="K1011">
        <f t="shared" si="121"/>
        <v>1</v>
      </c>
      <c r="L1011" s="24">
        <f t="shared" si="122"/>
        <v>0</v>
      </c>
    </row>
    <row r="1012" spans="7:12" x14ac:dyDescent="0.3">
      <c r="G1012" s="47" t="str">
        <f t="shared" si="119"/>
        <v/>
      </c>
      <c r="I1012">
        <f t="shared" si="120"/>
        <v>0</v>
      </c>
      <c r="K1012">
        <f t="shared" si="121"/>
        <v>1</v>
      </c>
      <c r="L1012" s="24">
        <f t="shared" si="122"/>
        <v>0</v>
      </c>
    </row>
    <row r="1013" spans="7:12" x14ac:dyDescent="0.3">
      <c r="G1013" s="47" t="str">
        <f t="shared" si="119"/>
        <v/>
      </c>
      <c r="I1013">
        <f t="shared" si="120"/>
        <v>0</v>
      </c>
      <c r="K1013">
        <f t="shared" si="121"/>
        <v>1</v>
      </c>
      <c r="L1013" s="24">
        <f t="shared" si="122"/>
        <v>0</v>
      </c>
    </row>
    <row r="1014" spans="7:12" x14ac:dyDescent="0.3">
      <c r="G1014" s="47" t="str">
        <f t="shared" ref="G1014:G1077" si="123">IF(E1014=0,"",IF(F1014="","",(F1014-E1014)*D1014))</f>
        <v/>
      </c>
      <c r="I1014">
        <f t="shared" si="120"/>
        <v>0</v>
      </c>
      <c r="K1014">
        <f t="shared" si="121"/>
        <v>1</v>
      </c>
      <c r="L1014" s="24">
        <f t="shared" si="122"/>
        <v>0</v>
      </c>
    </row>
    <row r="1015" spans="7:12" x14ac:dyDescent="0.3">
      <c r="G1015" s="47" t="str">
        <f t="shared" si="123"/>
        <v/>
      </c>
      <c r="I1015">
        <f t="shared" si="120"/>
        <v>0</v>
      </c>
      <c r="K1015">
        <f t="shared" si="121"/>
        <v>1</v>
      </c>
      <c r="L1015" s="24">
        <f t="shared" si="122"/>
        <v>0</v>
      </c>
    </row>
    <row r="1016" spans="7:12" x14ac:dyDescent="0.3">
      <c r="G1016" s="47" t="str">
        <f t="shared" si="123"/>
        <v/>
      </c>
      <c r="I1016">
        <f t="shared" si="120"/>
        <v>0</v>
      </c>
      <c r="K1016">
        <f t="shared" si="121"/>
        <v>1</v>
      </c>
      <c r="L1016" s="24">
        <f t="shared" si="122"/>
        <v>0</v>
      </c>
    </row>
    <row r="1017" spans="7:12" x14ac:dyDescent="0.3">
      <c r="G1017" s="47" t="str">
        <f t="shared" si="123"/>
        <v/>
      </c>
      <c r="I1017">
        <f t="shared" si="120"/>
        <v>0</v>
      </c>
      <c r="K1017">
        <f t="shared" si="121"/>
        <v>1</v>
      </c>
      <c r="L1017" s="24">
        <f t="shared" si="122"/>
        <v>0</v>
      </c>
    </row>
    <row r="1018" spans="7:12" x14ac:dyDescent="0.3">
      <c r="G1018" s="47" t="str">
        <f t="shared" si="123"/>
        <v/>
      </c>
      <c r="I1018">
        <f t="shared" si="120"/>
        <v>0</v>
      </c>
      <c r="K1018">
        <f t="shared" si="121"/>
        <v>1</v>
      </c>
      <c r="L1018" s="24">
        <f t="shared" si="122"/>
        <v>0</v>
      </c>
    </row>
    <row r="1019" spans="7:12" x14ac:dyDescent="0.3">
      <c r="G1019" s="47" t="str">
        <f t="shared" si="123"/>
        <v/>
      </c>
      <c r="I1019">
        <f t="shared" si="120"/>
        <v>0</v>
      </c>
      <c r="K1019">
        <f t="shared" si="121"/>
        <v>1</v>
      </c>
      <c r="L1019" s="24">
        <f t="shared" si="122"/>
        <v>0</v>
      </c>
    </row>
    <row r="1020" spans="7:12" x14ac:dyDescent="0.3">
      <c r="G1020" s="47" t="str">
        <f t="shared" si="123"/>
        <v/>
      </c>
      <c r="I1020">
        <f t="shared" si="120"/>
        <v>0</v>
      </c>
      <c r="K1020">
        <f t="shared" si="121"/>
        <v>1</v>
      </c>
      <c r="L1020" s="24">
        <f t="shared" si="122"/>
        <v>0</v>
      </c>
    </row>
    <row r="1021" spans="7:12" x14ac:dyDescent="0.3">
      <c r="G1021" s="47" t="str">
        <f t="shared" si="123"/>
        <v/>
      </c>
      <c r="I1021">
        <f t="shared" ref="I1021:I1084" si="124">+E1021*1.1</f>
        <v>0</v>
      </c>
      <c r="K1021">
        <f t="shared" ref="K1021:K1084" si="125">IF(F1021=0,1,0)</f>
        <v>1</v>
      </c>
      <c r="L1021" s="24">
        <f t="shared" ref="L1021:L1084" si="126">+D1021*E1021</f>
        <v>0</v>
      </c>
    </row>
    <row r="1022" spans="7:12" x14ac:dyDescent="0.3">
      <c r="G1022" s="47" t="str">
        <f t="shared" si="123"/>
        <v/>
      </c>
      <c r="I1022">
        <f t="shared" si="124"/>
        <v>0</v>
      </c>
      <c r="K1022">
        <f t="shared" si="125"/>
        <v>1</v>
      </c>
      <c r="L1022" s="24">
        <f t="shared" si="126"/>
        <v>0</v>
      </c>
    </row>
    <row r="1023" spans="7:12" x14ac:dyDescent="0.3">
      <c r="G1023" s="47" t="str">
        <f t="shared" si="123"/>
        <v/>
      </c>
      <c r="I1023">
        <f t="shared" si="124"/>
        <v>0</v>
      </c>
      <c r="K1023">
        <f t="shared" si="125"/>
        <v>1</v>
      </c>
      <c r="L1023" s="24">
        <f t="shared" si="126"/>
        <v>0</v>
      </c>
    </row>
    <row r="1024" spans="7:12" x14ac:dyDescent="0.3">
      <c r="G1024" s="47" t="str">
        <f t="shared" si="123"/>
        <v/>
      </c>
      <c r="I1024">
        <f t="shared" si="124"/>
        <v>0</v>
      </c>
      <c r="K1024">
        <f t="shared" si="125"/>
        <v>1</v>
      </c>
      <c r="L1024" s="24">
        <f t="shared" si="126"/>
        <v>0</v>
      </c>
    </row>
    <row r="1025" spans="7:12" x14ac:dyDescent="0.3">
      <c r="G1025" s="47" t="str">
        <f t="shared" si="123"/>
        <v/>
      </c>
      <c r="I1025">
        <f t="shared" si="124"/>
        <v>0</v>
      </c>
      <c r="K1025">
        <f t="shared" si="125"/>
        <v>1</v>
      </c>
      <c r="L1025" s="24">
        <f t="shared" si="126"/>
        <v>0</v>
      </c>
    </row>
    <row r="1026" spans="7:12" x14ac:dyDescent="0.3">
      <c r="G1026" s="47" t="str">
        <f t="shared" si="123"/>
        <v/>
      </c>
      <c r="I1026">
        <f t="shared" si="124"/>
        <v>0</v>
      </c>
      <c r="K1026">
        <f t="shared" si="125"/>
        <v>1</v>
      </c>
      <c r="L1026" s="24">
        <f t="shared" si="126"/>
        <v>0</v>
      </c>
    </row>
    <row r="1027" spans="7:12" x14ac:dyDescent="0.3">
      <c r="G1027" s="47" t="str">
        <f t="shared" si="123"/>
        <v/>
      </c>
      <c r="I1027">
        <f t="shared" si="124"/>
        <v>0</v>
      </c>
      <c r="K1027">
        <f t="shared" si="125"/>
        <v>1</v>
      </c>
      <c r="L1027" s="24">
        <f t="shared" si="126"/>
        <v>0</v>
      </c>
    </row>
    <row r="1028" spans="7:12" x14ac:dyDescent="0.3">
      <c r="G1028" s="47" t="str">
        <f t="shared" si="123"/>
        <v/>
      </c>
      <c r="I1028">
        <f t="shared" si="124"/>
        <v>0</v>
      </c>
      <c r="K1028">
        <f t="shared" si="125"/>
        <v>1</v>
      </c>
      <c r="L1028" s="24">
        <f t="shared" si="126"/>
        <v>0</v>
      </c>
    </row>
    <row r="1029" spans="7:12" x14ac:dyDescent="0.3">
      <c r="G1029" s="47" t="str">
        <f t="shared" si="123"/>
        <v/>
      </c>
      <c r="I1029">
        <f t="shared" si="124"/>
        <v>0</v>
      </c>
      <c r="K1029">
        <f t="shared" si="125"/>
        <v>1</v>
      </c>
      <c r="L1029" s="24">
        <f t="shared" si="126"/>
        <v>0</v>
      </c>
    </row>
    <row r="1030" spans="7:12" x14ac:dyDescent="0.3">
      <c r="G1030" s="47" t="str">
        <f t="shared" si="123"/>
        <v/>
      </c>
      <c r="I1030">
        <f t="shared" si="124"/>
        <v>0</v>
      </c>
      <c r="K1030">
        <f t="shared" si="125"/>
        <v>1</v>
      </c>
      <c r="L1030" s="24">
        <f t="shared" si="126"/>
        <v>0</v>
      </c>
    </row>
    <row r="1031" spans="7:12" x14ac:dyDescent="0.3">
      <c r="G1031" s="47" t="str">
        <f t="shared" si="123"/>
        <v/>
      </c>
      <c r="I1031">
        <f t="shared" si="124"/>
        <v>0</v>
      </c>
      <c r="K1031">
        <f t="shared" si="125"/>
        <v>1</v>
      </c>
      <c r="L1031" s="24">
        <f t="shared" si="126"/>
        <v>0</v>
      </c>
    </row>
    <row r="1032" spans="7:12" x14ac:dyDescent="0.3">
      <c r="G1032" s="47" t="str">
        <f t="shared" si="123"/>
        <v/>
      </c>
      <c r="I1032">
        <f t="shared" si="124"/>
        <v>0</v>
      </c>
      <c r="K1032">
        <f t="shared" si="125"/>
        <v>1</v>
      </c>
      <c r="L1032" s="24">
        <f t="shared" si="126"/>
        <v>0</v>
      </c>
    </row>
    <row r="1033" spans="7:12" x14ac:dyDescent="0.3">
      <c r="G1033" s="47" t="str">
        <f t="shared" si="123"/>
        <v/>
      </c>
      <c r="I1033">
        <f t="shared" si="124"/>
        <v>0</v>
      </c>
      <c r="K1033">
        <f t="shared" si="125"/>
        <v>1</v>
      </c>
      <c r="L1033" s="24">
        <f t="shared" si="126"/>
        <v>0</v>
      </c>
    </row>
    <row r="1034" spans="7:12" x14ac:dyDescent="0.3">
      <c r="G1034" s="47" t="str">
        <f t="shared" si="123"/>
        <v/>
      </c>
      <c r="I1034">
        <f t="shared" si="124"/>
        <v>0</v>
      </c>
      <c r="K1034">
        <f t="shared" si="125"/>
        <v>1</v>
      </c>
      <c r="L1034" s="24">
        <f t="shared" si="126"/>
        <v>0</v>
      </c>
    </row>
    <row r="1035" spans="7:12" x14ac:dyDescent="0.3">
      <c r="G1035" s="47" t="str">
        <f t="shared" si="123"/>
        <v/>
      </c>
      <c r="I1035">
        <f t="shared" si="124"/>
        <v>0</v>
      </c>
      <c r="K1035">
        <f t="shared" si="125"/>
        <v>1</v>
      </c>
      <c r="L1035" s="24">
        <f t="shared" si="126"/>
        <v>0</v>
      </c>
    </row>
    <row r="1036" spans="7:12" x14ac:dyDescent="0.3">
      <c r="G1036" s="47" t="str">
        <f t="shared" si="123"/>
        <v/>
      </c>
      <c r="I1036">
        <f t="shared" si="124"/>
        <v>0</v>
      </c>
      <c r="K1036">
        <f t="shared" si="125"/>
        <v>1</v>
      </c>
      <c r="L1036" s="24">
        <f t="shared" si="126"/>
        <v>0</v>
      </c>
    </row>
    <row r="1037" spans="7:12" x14ac:dyDescent="0.3">
      <c r="G1037" s="47" t="str">
        <f t="shared" si="123"/>
        <v/>
      </c>
      <c r="I1037">
        <f t="shared" si="124"/>
        <v>0</v>
      </c>
      <c r="K1037">
        <f t="shared" si="125"/>
        <v>1</v>
      </c>
      <c r="L1037" s="24">
        <f t="shared" si="126"/>
        <v>0</v>
      </c>
    </row>
    <row r="1038" spans="7:12" x14ac:dyDescent="0.3">
      <c r="G1038" s="47" t="str">
        <f t="shared" si="123"/>
        <v/>
      </c>
      <c r="I1038">
        <f t="shared" si="124"/>
        <v>0</v>
      </c>
      <c r="K1038">
        <f t="shared" si="125"/>
        <v>1</v>
      </c>
      <c r="L1038" s="24">
        <f t="shared" si="126"/>
        <v>0</v>
      </c>
    </row>
    <row r="1039" spans="7:12" x14ac:dyDescent="0.3">
      <c r="G1039" s="47" t="str">
        <f t="shared" si="123"/>
        <v/>
      </c>
      <c r="I1039">
        <f t="shared" si="124"/>
        <v>0</v>
      </c>
      <c r="K1039">
        <f t="shared" si="125"/>
        <v>1</v>
      </c>
      <c r="L1039" s="24">
        <f t="shared" si="126"/>
        <v>0</v>
      </c>
    </row>
    <row r="1040" spans="7:12" x14ac:dyDescent="0.3">
      <c r="G1040" s="47" t="str">
        <f t="shared" si="123"/>
        <v/>
      </c>
      <c r="I1040">
        <f t="shared" si="124"/>
        <v>0</v>
      </c>
      <c r="K1040">
        <f t="shared" si="125"/>
        <v>1</v>
      </c>
      <c r="L1040" s="24">
        <f t="shared" si="126"/>
        <v>0</v>
      </c>
    </row>
    <row r="1041" spans="7:12" x14ac:dyDescent="0.3">
      <c r="G1041" s="47" t="str">
        <f t="shared" si="123"/>
        <v/>
      </c>
      <c r="I1041">
        <f t="shared" si="124"/>
        <v>0</v>
      </c>
      <c r="K1041">
        <f t="shared" si="125"/>
        <v>1</v>
      </c>
      <c r="L1041" s="24">
        <f t="shared" si="126"/>
        <v>0</v>
      </c>
    </row>
    <row r="1042" spans="7:12" x14ac:dyDescent="0.3">
      <c r="G1042" s="47" t="str">
        <f t="shared" si="123"/>
        <v/>
      </c>
      <c r="I1042">
        <f t="shared" si="124"/>
        <v>0</v>
      </c>
      <c r="K1042">
        <f t="shared" si="125"/>
        <v>1</v>
      </c>
      <c r="L1042" s="24">
        <f t="shared" si="126"/>
        <v>0</v>
      </c>
    </row>
    <row r="1043" spans="7:12" x14ac:dyDescent="0.3">
      <c r="G1043" s="47" t="str">
        <f t="shared" si="123"/>
        <v/>
      </c>
      <c r="I1043">
        <f t="shared" si="124"/>
        <v>0</v>
      </c>
      <c r="K1043">
        <f t="shared" si="125"/>
        <v>1</v>
      </c>
      <c r="L1043" s="24">
        <f t="shared" si="126"/>
        <v>0</v>
      </c>
    </row>
    <row r="1044" spans="7:12" x14ac:dyDescent="0.3">
      <c r="G1044" s="47" t="str">
        <f t="shared" si="123"/>
        <v/>
      </c>
      <c r="I1044">
        <f t="shared" si="124"/>
        <v>0</v>
      </c>
      <c r="K1044">
        <f t="shared" si="125"/>
        <v>1</v>
      </c>
      <c r="L1044" s="24">
        <f t="shared" si="126"/>
        <v>0</v>
      </c>
    </row>
    <row r="1045" spans="7:12" x14ac:dyDescent="0.3">
      <c r="G1045" s="47" t="str">
        <f t="shared" si="123"/>
        <v/>
      </c>
      <c r="I1045">
        <f t="shared" si="124"/>
        <v>0</v>
      </c>
      <c r="K1045">
        <f t="shared" si="125"/>
        <v>1</v>
      </c>
      <c r="L1045" s="24">
        <f t="shared" si="126"/>
        <v>0</v>
      </c>
    </row>
    <row r="1046" spans="7:12" x14ac:dyDescent="0.3">
      <c r="G1046" s="47" t="str">
        <f t="shared" si="123"/>
        <v/>
      </c>
      <c r="I1046">
        <f t="shared" si="124"/>
        <v>0</v>
      </c>
      <c r="K1046">
        <f t="shared" si="125"/>
        <v>1</v>
      </c>
      <c r="L1046" s="24">
        <f t="shared" si="126"/>
        <v>0</v>
      </c>
    </row>
    <row r="1047" spans="7:12" x14ac:dyDescent="0.3">
      <c r="G1047" s="47" t="str">
        <f t="shared" si="123"/>
        <v/>
      </c>
      <c r="I1047">
        <f t="shared" si="124"/>
        <v>0</v>
      </c>
      <c r="K1047">
        <f t="shared" si="125"/>
        <v>1</v>
      </c>
      <c r="L1047" s="24">
        <f t="shared" si="126"/>
        <v>0</v>
      </c>
    </row>
    <row r="1048" spans="7:12" x14ac:dyDescent="0.3">
      <c r="G1048" s="47" t="str">
        <f t="shared" si="123"/>
        <v/>
      </c>
      <c r="I1048">
        <f t="shared" si="124"/>
        <v>0</v>
      </c>
      <c r="K1048">
        <f t="shared" si="125"/>
        <v>1</v>
      </c>
      <c r="L1048" s="24">
        <f t="shared" si="126"/>
        <v>0</v>
      </c>
    </row>
    <row r="1049" spans="7:12" x14ac:dyDescent="0.3">
      <c r="G1049" s="47" t="str">
        <f t="shared" si="123"/>
        <v/>
      </c>
      <c r="I1049">
        <f t="shared" si="124"/>
        <v>0</v>
      </c>
      <c r="K1049">
        <f t="shared" si="125"/>
        <v>1</v>
      </c>
      <c r="L1049" s="24">
        <f t="shared" si="126"/>
        <v>0</v>
      </c>
    </row>
    <row r="1050" spans="7:12" x14ac:dyDescent="0.3">
      <c r="G1050" s="47" t="str">
        <f t="shared" si="123"/>
        <v/>
      </c>
      <c r="I1050">
        <f t="shared" si="124"/>
        <v>0</v>
      </c>
      <c r="K1050">
        <f t="shared" si="125"/>
        <v>1</v>
      </c>
      <c r="L1050" s="24">
        <f t="shared" si="126"/>
        <v>0</v>
      </c>
    </row>
    <row r="1051" spans="7:12" x14ac:dyDescent="0.3">
      <c r="G1051" s="47" t="str">
        <f t="shared" si="123"/>
        <v/>
      </c>
      <c r="I1051">
        <f t="shared" si="124"/>
        <v>0</v>
      </c>
      <c r="K1051">
        <f t="shared" si="125"/>
        <v>1</v>
      </c>
      <c r="L1051" s="24">
        <f t="shared" si="126"/>
        <v>0</v>
      </c>
    </row>
    <row r="1052" spans="7:12" x14ac:dyDescent="0.3">
      <c r="G1052" s="47" t="str">
        <f t="shared" si="123"/>
        <v/>
      </c>
      <c r="I1052">
        <f t="shared" si="124"/>
        <v>0</v>
      </c>
      <c r="K1052">
        <f t="shared" si="125"/>
        <v>1</v>
      </c>
      <c r="L1052" s="24">
        <f t="shared" si="126"/>
        <v>0</v>
      </c>
    </row>
    <row r="1053" spans="7:12" x14ac:dyDescent="0.3">
      <c r="G1053" s="47" t="str">
        <f t="shared" si="123"/>
        <v/>
      </c>
      <c r="I1053">
        <f t="shared" si="124"/>
        <v>0</v>
      </c>
      <c r="K1053">
        <f t="shared" si="125"/>
        <v>1</v>
      </c>
      <c r="L1053" s="24">
        <f t="shared" si="126"/>
        <v>0</v>
      </c>
    </row>
    <row r="1054" spans="7:12" x14ac:dyDescent="0.3">
      <c r="G1054" s="47" t="str">
        <f t="shared" si="123"/>
        <v/>
      </c>
      <c r="I1054">
        <f t="shared" si="124"/>
        <v>0</v>
      </c>
      <c r="K1054">
        <f t="shared" si="125"/>
        <v>1</v>
      </c>
      <c r="L1054" s="24">
        <f t="shared" si="126"/>
        <v>0</v>
      </c>
    </row>
    <row r="1055" spans="7:12" x14ac:dyDescent="0.3">
      <c r="G1055" s="47" t="str">
        <f t="shared" si="123"/>
        <v/>
      </c>
      <c r="I1055">
        <f t="shared" si="124"/>
        <v>0</v>
      </c>
      <c r="K1055">
        <f t="shared" si="125"/>
        <v>1</v>
      </c>
      <c r="L1055" s="24">
        <f t="shared" si="126"/>
        <v>0</v>
      </c>
    </row>
    <row r="1056" spans="7:12" x14ac:dyDescent="0.3">
      <c r="G1056" s="47" t="str">
        <f t="shared" si="123"/>
        <v/>
      </c>
      <c r="I1056">
        <f t="shared" si="124"/>
        <v>0</v>
      </c>
      <c r="K1056">
        <f t="shared" si="125"/>
        <v>1</v>
      </c>
      <c r="L1056" s="24">
        <f t="shared" si="126"/>
        <v>0</v>
      </c>
    </row>
    <row r="1057" spans="7:12" x14ac:dyDescent="0.3">
      <c r="G1057" s="47" t="str">
        <f t="shared" si="123"/>
        <v/>
      </c>
      <c r="I1057">
        <f t="shared" si="124"/>
        <v>0</v>
      </c>
      <c r="K1057">
        <f t="shared" si="125"/>
        <v>1</v>
      </c>
      <c r="L1057" s="24">
        <f t="shared" si="126"/>
        <v>0</v>
      </c>
    </row>
    <row r="1058" spans="7:12" x14ac:dyDescent="0.3">
      <c r="G1058" s="47" t="str">
        <f t="shared" si="123"/>
        <v/>
      </c>
      <c r="I1058">
        <f t="shared" si="124"/>
        <v>0</v>
      </c>
      <c r="K1058">
        <f t="shared" si="125"/>
        <v>1</v>
      </c>
      <c r="L1058" s="24">
        <f t="shared" si="126"/>
        <v>0</v>
      </c>
    </row>
    <row r="1059" spans="7:12" x14ac:dyDescent="0.3">
      <c r="G1059" s="47" t="str">
        <f t="shared" si="123"/>
        <v/>
      </c>
      <c r="I1059">
        <f t="shared" si="124"/>
        <v>0</v>
      </c>
      <c r="K1059">
        <f t="shared" si="125"/>
        <v>1</v>
      </c>
      <c r="L1059" s="24">
        <f t="shared" si="126"/>
        <v>0</v>
      </c>
    </row>
    <row r="1060" spans="7:12" x14ac:dyDescent="0.3">
      <c r="G1060" s="47" t="str">
        <f t="shared" si="123"/>
        <v/>
      </c>
      <c r="I1060">
        <f t="shared" si="124"/>
        <v>0</v>
      </c>
      <c r="K1060">
        <f t="shared" si="125"/>
        <v>1</v>
      </c>
      <c r="L1060" s="24">
        <f t="shared" si="126"/>
        <v>0</v>
      </c>
    </row>
    <row r="1061" spans="7:12" x14ac:dyDescent="0.3">
      <c r="G1061" s="47" t="str">
        <f t="shared" si="123"/>
        <v/>
      </c>
      <c r="I1061">
        <f t="shared" si="124"/>
        <v>0</v>
      </c>
      <c r="K1061">
        <f t="shared" si="125"/>
        <v>1</v>
      </c>
      <c r="L1061" s="24">
        <f t="shared" si="126"/>
        <v>0</v>
      </c>
    </row>
    <row r="1062" spans="7:12" x14ac:dyDescent="0.3">
      <c r="G1062" s="47" t="str">
        <f t="shared" si="123"/>
        <v/>
      </c>
      <c r="I1062">
        <f t="shared" si="124"/>
        <v>0</v>
      </c>
      <c r="K1062">
        <f t="shared" si="125"/>
        <v>1</v>
      </c>
      <c r="L1062" s="24">
        <f t="shared" si="126"/>
        <v>0</v>
      </c>
    </row>
    <row r="1063" spans="7:12" x14ac:dyDescent="0.3">
      <c r="G1063" s="47" t="str">
        <f t="shared" si="123"/>
        <v/>
      </c>
      <c r="I1063">
        <f t="shared" si="124"/>
        <v>0</v>
      </c>
      <c r="K1063">
        <f t="shared" si="125"/>
        <v>1</v>
      </c>
      <c r="L1063" s="24">
        <f t="shared" si="126"/>
        <v>0</v>
      </c>
    </row>
    <row r="1064" spans="7:12" x14ac:dyDescent="0.3">
      <c r="G1064" s="47" t="str">
        <f t="shared" si="123"/>
        <v/>
      </c>
      <c r="I1064">
        <f t="shared" si="124"/>
        <v>0</v>
      </c>
      <c r="K1064">
        <f t="shared" si="125"/>
        <v>1</v>
      </c>
      <c r="L1064" s="24">
        <f t="shared" si="126"/>
        <v>0</v>
      </c>
    </row>
    <row r="1065" spans="7:12" x14ac:dyDescent="0.3">
      <c r="G1065" s="47" t="str">
        <f t="shared" si="123"/>
        <v/>
      </c>
      <c r="I1065">
        <f t="shared" si="124"/>
        <v>0</v>
      </c>
      <c r="K1065">
        <f t="shared" si="125"/>
        <v>1</v>
      </c>
      <c r="L1065" s="24">
        <f t="shared" si="126"/>
        <v>0</v>
      </c>
    </row>
    <row r="1066" spans="7:12" x14ac:dyDescent="0.3">
      <c r="G1066" s="47" t="str">
        <f t="shared" si="123"/>
        <v/>
      </c>
      <c r="I1066">
        <f t="shared" si="124"/>
        <v>0</v>
      </c>
      <c r="K1066">
        <f t="shared" si="125"/>
        <v>1</v>
      </c>
      <c r="L1066" s="24">
        <f t="shared" si="126"/>
        <v>0</v>
      </c>
    </row>
    <row r="1067" spans="7:12" x14ac:dyDescent="0.3">
      <c r="G1067" s="47" t="str">
        <f t="shared" si="123"/>
        <v/>
      </c>
      <c r="I1067">
        <f t="shared" si="124"/>
        <v>0</v>
      </c>
      <c r="K1067">
        <f t="shared" si="125"/>
        <v>1</v>
      </c>
      <c r="L1067" s="24">
        <f t="shared" si="126"/>
        <v>0</v>
      </c>
    </row>
    <row r="1068" spans="7:12" x14ac:dyDescent="0.3">
      <c r="G1068" s="47" t="str">
        <f t="shared" si="123"/>
        <v/>
      </c>
      <c r="I1068">
        <f t="shared" si="124"/>
        <v>0</v>
      </c>
      <c r="K1068">
        <f t="shared" si="125"/>
        <v>1</v>
      </c>
      <c r="L1068" s="24">
        <f t="shared" si="126"/>
        <v>0</v>
      </c>
    </row>
    <row r="1069" spans="7:12" x14ac:dyDescent="0.3">
      <c r="G1069" s="47" t="str">
        <f t="shared" si="123"/>
        <v/>
      </c>
      <c r="I1069">
        <f t="shared" si="124"/>
        <v>0</v>
      </c>
      <c r="K1069">
        <f t="shared" si="125"/>
        <v>1</v>
      </c>
      <c r="L1069" s="24">
        <f t="shared" si="126"/>
        <v>0</v>
      </c>
    </row>
    <row r="1070" spans="7:12" x14ac:dyDescent="0.3">
      <c r="G1070" s="47" t="str">
        <f t="shared" si="123"/>
        <v/>
      </c>
      <c r="I1070">
        <f t="shared" si="124"/>
        <v>0</v>
      </c>
      <c r="K1070">
        <f t="shared" si="125"/>
        <v>1</v>
      </c>
      <c r="L1070" s="24">
        <f t="shared" si="126"/>
        <v>0</v>
      </c>
    </row>
    <row r="1071" spans="7:12" x14ac:dyDescent="0.3">
      <c r="G1071" s="47" t="str">
        <f t="shared" si="123"/>
        <v/>
      </c>
      <c r="I1071">
        <f t="shared" si="124"/>
        <v>0</v>
      </c>
      <c r="K1071">
        <f t="shared" si="125"/>
        <v>1</v>
      </c>
      <c r="L1071" s="24">
        <f t="shared" si="126"/>
        <v>0</v>
      </c>
    </row>
    <row r="1072" spans="7:12" x14ac:dyDescent="0.3">
      <c r="G1072" s="47" t="str">
        <f t="shared" si="123"/>
        <v/>
      </c>
      <c r="I1072">
        <f t="shared" si="124"/>
        <v>0</v>
      </c>
      <c r="K1072">
        <f t="shared" si="125"/>
        <v>1</v>
      </c>
      <c r="L1072" s="24">
        <f t="shared" si="126"/>
        <v>0</v>
      </c>
    </row>
    <row r="1073" spans="7:12" x14ac:dyDescent="0.3">
      <c r="G1073" s="47" t="str">
        <f t="shared" si="123"/>
        <v/>
      </c>
      <c r="I1073">
        <f t="shared" si="124"/>
        <v>0</v>
      </c>
      <c r="K1073">
        <f t="shared" si="125"/>
        <v>1</v>
      </c>
      <c r="L1073" s="24">
        <f t="shared" si="126"/>
        <v>0</v>
      </c>
    </row>
    <row r="1074" spans="7:12" x14ac:dyDescent="0.3">
      <c r="G1074" s="47" t="str">
        <f t="shared" si="123"/>
        <v/>
      </c>
      <c r="I1074">
        <f t="shared" si="124"/>
        <v>0</v>
      </c>
      <c r="K1074">
        <f t="shared" si="125"/>
        <v>1</v>
      </c>
      <c r="L1074" s="24">
        <f t="shared" si="126"/>
        <v>0</v>
      </c>
    </row>
    <row r="1075" spans="7:12" x14ac:dyDescent="0.3">
      <c r="G1075" s="47" t="str">
        <f t="shared" si="123"/>
        <v/>
      </c>
      <c r="I1075">
        <f t="shared" si="124"/>
        <v>0</v>
      </c>
      <c r="K1075">
        <f t="shared" si="125"/>
        <v>1</v>
      </c>
      <c r="L1075" s="24">
        <f t="shared" si="126"/>
        <v>0</v>
      </c>
    </row>
    <row r="1076" spans="7:12" x14ac:dyDescent="0.3">
      <c r="G1076" s="47" t="str">
        <f t="shared" si="123"/>
        <v/>
      </c>
      <c r="I1076">
        <f t="shared" si="124"/>
        <v>0</v>
      </c>
      <c r="K1076">
        <f t="shared" si="125"/>
        <v>1</v>
      </c>
      <c r="L1076" s="24">
        <f t="shared" si="126"/>
        <v>0</v>
      </c>
    </row>
    <row r="1077" spans="7:12" x14ac:dyDescent="0.3">
      <c r="G1077" s="47" t="str">
        <f t="shared" si="123"/>
        <v/>
      </c>
      <c r="I1077">
        <f t="shared" si="124"/>
        <v>0</v>
      </c>
      <c r="K1077">
        <f t="shared" si="125"/>
        <v>1</v>
      </c>
      <c r="L1077" s="24">
        <f t="shared" si="126"/>
        <v>0</v>
      </c>
    </row>
    <row r="1078" spans="7:12" x14ac:dyDescent="0.3">
      <c r="G1078" s="47" t="str">
        <f t="shared" ref="G1078:G1141" si="127">IF(E1078=0,"",IF(F1078="","",(F1078-E1078)*D1078))</f>
        <v/>
      </c>
      <c r="I1078">
        <f t="shared" si="124"/>
        <v>0</v>
      </c>
      <c r="K1078">
        <f t="shared" si="125"/>
        <v>1</v>
      </c>
      <c r="L1078" s="24">
        <f t="shared" si="126"/>
        <v>0</v>
      </c>
    </row>
    <row r="1079" spans="7:12" x14ac:dyDescent="0.3">
      <c r="G1079" s="47" t="str">
        <f t="shared" si="127"/>
        <v/>
      </c>
      <c r="I1079">
        <f t="shared" si="124"/>
        <v>0</v>
      </c>
      <c r="K1079">
        <f t="shared" si="125"/>
        <v>1</v>
      </c>
      <c r="L1079" s="24">
        <f t="shared" si="126"/>
        <v>0</v>
      </c>
    </row>
    <row r="1080" spans="7:12" x14ac:dyDescent="0.3">
      <c r="G1080" s="47" t="str">
        <f t="shared" si="127"/>
        <v/>
      </c>
      <c r="I1080">
        <f t="shared" si="124"/>
        <v>0</v>
      </c>
      <c r="K1080">
        <f t="shared" si="125"/>
        <v>1</v>
      </c>
      <c r="L1080" s="24">
        <f t="shared" si="126"/>
        <v>0</v>
      </c>
    </row>
    <row r="1081" spans="7:12" x14ac:dyDescent="0.3">
      <c r="G1081" s="47" t="str">
        <f t="shared" si="127"/>
        <v/>
      </c>
      <c r="I1081">
        <f t="shared" si="124"/>
        <v>0</v>
      </c>
      <c r="K1081">
        <f t="shared" si="125"/>
        <v>1</v>
      </c>
      <c r="L1081" s="24">
        <f t="shared" si="126"/>
        <v>0</v>
      </c>
    </row>
    <row r="1082" spans="7:12" x14ac:dyDescent="0.3">
      <c r="G1082" s="47" t="str">
        <f t="shared" si="127"/>
        <v/>
      </c>
      <c r="I1082">
        <f t="shared" si="124"/>
        <v>0</v>
      </c>
      <c r="K1082">
        <f t="shared" si="125"/>
        <v>1</v>
      </c>
      <c r="L1082" s="24">
        <f t="shared" si="126"/>
        <v>0</v>
      </c>
    </row>
    <row r="1083" spans="7:12" x14ac:dyDescent="0.3">
      <c r="G1083" s="47" t="str">
        <f t="shared" si="127"/>
        <v/>
      </c>
      <c r="I1083">
        <f t="shared" si="124"/>
        <v>0</v>
      </c>
      <c r="K1083">
        <f t="shared" si="125"/>
        <v>1</v>
      </c>
      <c r="L1083" s="24">
        <f t="shared" si="126"/>
        <v>0</v>
      </c>
    </row>
    <row r="1084" spans="7:12" x14ac:dyDescent="0.3">
      <c r="G1084" s="47" t="str">
        <f t="shared" si="127"/>
        <v/>
      </c>
      <c r="I1084">
        <f t="shared" si="124"/>
        <v>0</v>
      </c>
      <c r="K1084">
        <f t="shared" si="125"/>
        <v>1</v>
      </c>
      <c r="L1084" s="24">
        <f t="shared" si="126"/>
        <v>0</v>
      </c>
    </row>
    <row r="1085" spans="7:12" x14ac:dyDescent="0.3">
      <c r="G1085" s="47" t="str">
        <f t="shared" si="127"/>
        <v/>
      </c>
      <c r="I1085">
        <f t="shared" ref="I1085:I1148" si="128">+E1085*1.1</f>
        <v>0</v>
      </c>
      <c r="K1085">
        <f t="shared" ref="K1085:K1148" si="129">IF(F1085=0,1,0)</f>
        <v>1</v>
      </c>
      <c r="L1085" s="24">
        <f t="shared" ref="L1085:L1148" si="130">+D1085*E1085</f>
        <v>0</v>
      </c>
    </row>
    <row r="1086" spans="7:12" x14ac:dyDescent="0.3">
      <c r="G1086" s="47" t="str">
        <f t="shared" si="127"/>
        <v/>
      </c>
      <c r="I1086">
        <f t="shared" si="128"/>
        <v>0</v>
      </c>
      <c r="K1086">
        <f t="shared" si="129"/>
        <v>1</v>
      </c>
      <c r="L1086" s="24">
        <f t="shared" si="130"/>
        <v>0</v>
      </c>
    </row>
    <row r="1087" spans="7:12" x14ac:dyDescent="0.3">
      <c r="G1087" s="47" t="str">
        <f t="shared" si="127"/>
        <v/>
      </c>
      <c r="I1087">
        <f t="shared" si="128"/>
        <v>0</v>
      </c>
      <c r="K1087">
        <f t="shared" si="129"/>
        <v>1</v>
      </c>
      <c r="L1087" s="24">
        <f t="shared" si="130"/>
        <v>0</v>
      </c>
    </row>
    <row r="1088" spans="7:12" x14ac:dyDescent="0.3">
      <c r="G1088" s="47" t="str">
        <f t="shared" si="127"/>
        <v/>
      </c>
      <c r="I1088">
        <f t="shared" si="128"/>
        <v>0</v>
      </c>
      <c r="K1088">
        <f t="shared" si="129"/>
        <v>1</v>
      </c>
      <c r="L1088" s="24">
        <f t="shared" si="130"/>
        <v>0</v>
      </c>
    </row>
    <row r="1089" spans="7:12" x14ac:dyDescent="0.3">
      <c r="G1089" s="47" t="str">
        <f t="shared" si="127"/>
        <v/>
      </c>
      <c r="I1089">
        <f t="shared" si="128"/>
        <v>0</v>
      </c>
      <c r="K1089">
        <f t="shared" si="129"/>
        <v>1</v>
      </c>
      <c r="L1089" s="24">
        <f t="shared" si="130"/>
        <v>0</v>
      </c>
    </row>
    <row r="1090" spans="7:12" x14ac:dyDescent="0.3">
      <c r="G1090" s="47" t="str">
        <f t="shared" si="127"/>
        <v/>
      </c>
      <c r="I1090">
        <f t="shared" si="128"/>
        <v>0</v>
      </c>
      <c r="K1090">
        <f t="shared" si="129"/>
        <v>1</v>
      </c>
      <c r="L1090" s="24">
        <f t="shared" si="130"/>
        <v>0</v>
      </c>
    </row>
    <row r="1091" spans="7:12" x14ac:dyDescent="0.3">
      <c r="G1091" s="47" t="str">
        <f t="shared" si="127"/>
        <v/>
      </c>
      <c r="I1091">
        <f t="shared" si="128"/>
        <v>0</v>
      </c>
      <c r="K1091">
        <f t="shared" si="129"/>
        <v>1</v>
      </c>
      <c r="L1091" s="24">
        <f t="shared" si="130"/>
        <v>0</v>
      </c>
    </row>
    <row r="1092" spans="7:12" x14ac:dyDescent="0.3">
      <c r="G1092" s="47" t="str">
        <f t="shared" si="127"/>
        <v/>
      </c>
      <c r="I1092">
        <f t="shared" si="128"/>
        <v>0</v>
      </c>
      <c r="K1092">
        <f t="shared" si="129"/>
        <v>1</v>
      </c>
      <c r="L1092" s="24">
        <f t="shared" si="130"/>
        <v>0</v>
      </c>
    </row>
    <row r="1093" spans="7:12" x14ac:dyDescent="0.3">
      <c r="G1093" s="47" t="str">
        <f t="shared" si="127"/>
        <v/>
      </c>
      <c r="I1093">
        <f t="shared" si="128"/>
        <v>0</v>
      </c>
      <c r="K1093">
        <f t="shared" si="129"/>
        <v>1</v>
      </c>
      <c r="L1093" s="24">
        <f t="shared" si="130"/>
        <v>0</v>
      </c>
    </row>
    <row r="1094" spans="7:12" x14ac:dyDescent="0.3">
      <c r="G1094" s="47" t="str">
        <f t="shared" si="127"/>
        <v/>
      </c>
      <c r="I1094">
        <f t="shared" si="128"/>
        <v>0</v>
      </c>
      <c r="K1094">
        <f t="shared" si="129"/>
        <v>1</v>
      </c>
      <c r="L1094" s="24">
        <f t="shared" si="130"/>
        <v>0</v>
      </c>
    </row>
    <row r="1095" spans="7:12" x14ac:dyDescent="0.3">
      <c r="G1095" s="47" t="str">
        <f t="shared" si="127"/>
        <v/>
      </c>
      <c r="I1095">
        <f t="shared" si="128"/>
        <v>0</v>
      </c>
      <c r="K1095">
        <f t="shared" si="129"/>
        <v>1</v>
      </c>
      <c r="L1095" s="24">
        <f t="shared" si="130"/>
        <v>0</v>
      </c>
    </row>
    <row r="1096" spans="7:12" x14ac:dyDescent="0.3">
      <c r="G1096" s="47" t="str">
        <f t="shared" si="127"/>
        <v/>
      </c>
      <c r="I1096">
        <f t="shared" si="128"/>
        <v>0</v>
      </c>
      <c r="K1096">
        <f t="shared" si="129"/>
        <v>1</v>
      </c>
      <c r="L1096" s="24">
        <f t="shared" si="130"/>
        <v>0</v>
      </c>
    </row>
    <row r="1097" spans="7:12" x14ac:dyDescent="0.3">
      <c r="G1097" s="47" t="str">
        <f t="shared" si="127"/>
        <v/>
      </c>
      <c r="I1097">
        <f t="shared" si="128"/>
        <v>0</v>
      </c>
      <c r="K1097">
        <f t="shared" si="129"/>
        <v>1</v>
      </c>
      <c r="L1097" s="24">
        <f t="shared" si="130"/>
        <v>0</v>
      </c>
    </row>
    <row r="1098" spans="7:12" x14ac:dyDescent="0.3">
      <c r="G1098" s="47" t="str">
        <f t="shared" si="127"/>
        <v/>
      </c>
      <c r="I1098">
        <f t="shared" si="128"/>
        <v>0</v>
      </c>
      <c r="K1098">
        <f t="shared" si="129"/>
        <v>1</v>
      </c>
      <c r="L1098" s="24">
        <f t="shared" si="130"/>
        <v>0</v>
      </c>
    </row>
    <row r="1099" spans="7:12" x14ac:dyDescent="0.3">
      <c r="G1099" s="47" t="str">
        <f t="shared" si="127"/>
        <v/>
      </c>
      <c r="I1099">
        <f t="shared" si="128"/>
        <v>0</v>
      </c>
      <c r="K1099">
        <f t="shared" si="129"/>
        <v>1</v>
      </c>
      <c r="L1099" s="24">
        <f t="shared" si="130"/>
        <v>0</v>
      </c>
    </row>
    <row r="1100" spans="7:12" x14ac:dyDescent="0.3">
      <c r="G1100" s="47" t="str">
        <f t="shared" si="127"/>
        <v/>
      </c>
      <c r="I1100">
        <f t="shared" si="128"/>
        <v>0</v>
      </c>
      <c r="K1100">
        <f t="shared" si="129"/>
        <v>1</v>
      </c>
      <c r="L1100" s="24">
        <f t="shared" si="130"/>
        <v>0</v>
      </c>
    </row>
    <row r="1101" spans="7:12" x14ac:dyDescent="0.3">
      <c r="G1101" s="47" t="str">
        <f t="shared" si="127"/>
        <v/>
      </c>
      <c r="I1101">
        <f t="shared" si="128"/>
        <v>0</v>
      </c>
      <c r="K1101">
        <f t="shared" si="129"/>
        <v>1</v>
      </c>
      <c r="L1101" s="24">
        <f t="shared" si="130"/>
        <v>0</v>
      </c>
    </row>
    <row r="1102" spans="7:12" x14ac:dyDescent="0.3">
      <c r="G1102" s="47" t="str">
        <f t="shared" si="127"/>
        <v/>
      </c>
      <c r="I1102">
        <f t="shared" si="128"/>
        <v>0</v>
      </c>
      <c r="K1102">
        <f t="shared" si="129"/>
        <v>1</v>
      </c>
      <c r="L1102" s="24">
        <f t="shared" si="130"/>
        <v>0</v>
      </c>
    </row>
    <row r="1103" spans="7:12" x14ac:dyDescent="0.3">
      <c r="G1103" s="47" t="str">
        <f t="shared" si="127"/>
        <v/>
      </c>
      <c r="I1103">
        <f t="shared" si="128"/>
        <v>0</v>
      </c>
      <c r="K1103">
        <f t="shared" si="129"/>
        <v>1</v>
      </c>
      <c r="L1103" s="24">
        <f t="shared" si="130"/>
        <v>0</v>
      </c>
    </row>
    <row r="1104" spans="7:12" x14ac:dyDescent="0.3">
      <c r="G1104" s="47" t="str">
        <f t="shared" si="127"/>
        <v/>
      </c>
      <c r="I1104">
        <f t="shared" si="128"/>
        <v>0</v>
      </c>
      <c r="K1104">
        <f t="shared" si="129"/>
        <v>1</v>
      </c>
      <c r="L1104" s="24">
        <f t="shared" si="130"/>
        <v>0</v>
      </c>
    </row>
    <row r="1105" spans="7:12" x14ac:dyDescent="0.3">
      <c r="G1105" s="47" t="str">
        <f t="shared" si="127"/>
        <v/>
      </c>
      <c r="I1105">
        <f t="shared" si="128"/>
        <v>0</v>
      </c>
      <c r="K1105">
        <f t="shared" si="129"/>
        <v>1</v>
      </c>
      <c r="L1105" s="24">
        <f t="shared" si="130"/>
        <v>0</v>
      </c>
    </row>
    <row r="1106" spans="7:12" x14ac:dyDescent="0.3">
      <c r="G1106" s="47" t="str">
        <f t="shared" si="127"/>
        <v/>
      </c>
      <c r="I1106">
        <f t="shared" si="128"/>
        <v>0</v>
      </c>
      <c r="K1106">
        <f t="shared" si="129"/>
        <v>1</v>
      </c>
      <c r="L1106" s="24">
        <f t="shared" si="130"/>
        <v>0</v>
      </c>
    </row>
    <row r="1107" spans="7:12" x14ac:dyDescent="0.3">
      <c r="G1107" s="47" t="str">
        <f t="shared" si="127"/>
        <v/>
      </c>
      <c r="I1107">
        <f t="shared" si="128"/>
        <v>0</v>
      </c>
      <c r="K1107">
        <f t="shared" si="129"/>
        <v>1</v>
      </c>
      <c r="L1107" s="24">
        <f t="shared" si="130"/>
        <v>0</v>
      </c>
    </row>
    <row r="1108" spans="7:12" x14ac:dyDescent="0.3">
      <c r="G1108" s="47" t="str">
        <f t="shared" si="127"/>
        <v/>
      </c>
      <c r="I1108">
        <f t="shared" si="128"/>
        <v>0</v>
      </c>
      <c r="K1108">
        <f t="shared" si="129"/>
        <v>1</v>
      </c>
      <c r="L1108" s="24">
        <f t="shared" si="130"/>
        <v>0</v>
      </c>
    </row>
    <row r="1109" spans="7:12" x14ac:dyDescent="0.3">
      <c r="G1109" s="47" t="str">
        <f t="shared" si="127"/>
        <v/>
      </c>
      <c r="I1109">
        <f t="shared" si="128"/>
        <v>0</v>
      </c>
      <c r="K1109">
        <f t="shared" si="129"/>
        <v>1</v>
      </c>
      <c r="L1109" s="24">
        <f t="shared" si="130"/>
        <v>0</v>
      </c>
    </row>
    <row r="1110" spans="7:12" x14ac:dyDescent="0.3">
      <c r="G1110" s="47" t="str">
        <f t="shared" si="127"/>
        <v/>
      </c>
      <c r="I1110">
        <f t="shared" si="128"/>
        <v>0</v>
      </c>
      <c r="K1110">
        <f t="shared" si="129"/>
        <v>1</v>
      </c>
      <c r="L1110" s="24">
        <f t="shared" si="130"/>
        <v>0</v>
      </c>
    </row>
    <row r="1111" spans="7:12" x14ac:dyDescent="0.3">
      <c r="G1111" s="47" t="str">
        <f t="shared" si="127"/>
        <v/>
      </c>
      <c r="I1111">
        <f t="shared" si="128"/>
        <v>0</v>
      </c>
      <c r="K1111">
        <f t="shared" si="129"/>
        <v>1</v>
      </c>
      <c r="L1111" s="24">
        <f t="shared" si="130"/>
        <v>0</v>
      </c>
    </row>
    <row r="1112" spans="7:12" x14ac:dyDescent="0.3">
      <c r="G1112" s="47" t="str">
        <f t="shared" si="127"/>
        <v/>
      </c>
      <c r="I1112">
        <f t="shared" si="128"/>
        <v>0</v>
      </c>
      <c r="K1112">
        <f t="shared" si="129"/>
        <v>1</v>
      </c>
      <c r="L1112" s="24">
        <f t="shared" si="130"/>
        <v>0</v>
      </c>
    </row>
    <row r="1113" spans="7:12" x14ac:dyDescent="0.3">
      <c r="G1113" s="47" t="str">
        <f t="shared" si="127"/>
        <v/>
      </c>
      <c r="I1113">
        <f t="shared" si="128"/>
        <v>0</v>
      </c>
      <c r="K1113">
        <f t="shared" si="129"/>
        <v>1</v>
      </c>
      <c r="L1113" s="24">
        <f t="shared" si="130"/>
        <v>0</v>
      </c>
    </row>
    <row r="1114" spans="7:12" x14ac:dyDescent="0.3">
      <c r="G1114" s="47" t="str">
        <f t="shared" si="127"/>
        <v/>
      </c>
      <c r="I1114">
        <f t="shared" si="128"/>
        <v>0</v>
      </c>
      <c r="K1114">
        <f t="shared" si="129"/>
        <v>1</v>
      </c>
      <c r="L1114" s="24">
        <f t="shared" si="130"/>
        <v>0</v>
      </c>
    </row>
    <row r="1115" spans="7:12" x14ac:dyDescent="0.3">
      <c r="G1115" s="47" t="str">
        <f t="shared" si="127"/>
        <v/>
      </c>
      <c r="I1115">
        <f t="shared" si="128"/>
        <v>0</v>
      </c>
      <c r="K1115">
        <f t="shared" si="129"/>
        <v>1</v>
      </c>
      <c r="L1115" s="24">
        <f t="shared" si="130"/>
        <v>0</v>
      </c>
    </row>
    <row r="1116" spans="7:12" x14ac:dyDescent="0.3">
      <c r="G1116" s="47" t="str">
        <f t="shared" si="127"/>
        <v/>
      </c>
      <c r="I1116">
        <f t="shared" si="128"/>
        <v>0</v>
      </c>
      <c r="K1116">
        <f t="shared" si="129"/>
        <v>1</v>
      </c>
      <c r="L1116" s="24">
        <f t="shared" si="130"/>
        <v>0</v>
      </c>
    </row>
    <row r="1117" spans="7:12" x14ac:dyDescent="0.3">
      <c r="G1117" s="47" t="str">
        <f t="shared" si="127"/>
        <v/>
      </c>
      <c r="I1117">
        <f t="shared" si="128"/>
        <v>0</v>
      </c>
      <c r="K1117">
        <f t="shared" si="129"/>
        <v>1</v>
      </c>
      <c r="L1117" s="24">
        <f t="shared" si="130"/>
        <v>0</v>
      </c>
    </row>
    <row r="1118" spans="7:12" x14ac:dyDescent="0.3">
      <c r="G1118" s="47" t="str">
        <f t="shared" si="127"/>
        <v/>
      </c>
      <c r="I1118">
        <f t="shared" si="128"/>
        <v>0</v>
      </c>
      <c r="K1118">
        <f t="shared" si="129"/>
        <v>1</v>
      </c>
      <c r="L1118" s="24">
        <f t="shared" si="130"/>
        <v>0</v>
      </c>
    </row>
    <row r="1119" spans="7:12" x14ac:dyDescent="0.3">
      <c r="G1119" s="47" t="str">
        <f t="shared" si="127"/>
        <v/>
      </c>
      <c r="I1119">
        <f t="shared" si="128"/>
        <v>0</v>
      </c>
      <c r="K1119">
        <f t="shared" si="129"/>
        <v>1</v>
      </c>
      <c r="L1119" s="24">
        <f t="shared" si="130"/>
        <v>0</v>
      </c>
    </row>
    <row r="1120" spans="7:12" x14ac:dyDescent="0.3">
      <c r="G1120" s="47" t="str">
        <f t="shared" si="127"/>
        <v/>
      </c>
      <c r="I1120">
        <f t="shared" si="128"/>
        <v>0</v>
      </c>
      <c r="K1120">
        <f t="shared" si="129"/>
        <v>1</v>
      </c>
      <c r="L1120" s="24">
        <f t="shared" si="130"/>
        <v>0</v>
      </c>
    </row>
    <row r="1121" spans="7:12" x14ac:dyDescent="0.3">
      <c r="G1121" s="47" t="str">
        <f t="shared" si="127"/>
        <v/>
      </c>
      <c r="I1121">
        <f t="shared" si="128"/>
        <v>0</v>
      </c>
      <c r="K1121">
        <f t="shared" si="129"/>
        <v>1</v>
      </c>
      <c r="L1121" s="24">
        <f t="shared" si="130"/>
        <v>0</v>
      </c>
    </row>
    <row r="1122" spans="7:12" x14ac:dyDescent="0.3">
      <c r="G1122" s="47" t="str">
        <f t="shared" si="127"/>
        <v/>
      </c>
      <c r="I1122">
        <f t="shared" si="128"/>
        <v>0</v>
      </c>
      <c r="K1122">
        <f t="shared" si="129"/>
        <v>1</v>
      </c>
      <c r="L1122" s="24">
        <f t="shared" si="130"/>
        <v>0</v>
      </c>
    </row>
    <row r="1123" spans="7:12" x14ac:dyDescent="0.3">
      <c r="G1123" s="47" t="str">
        <f t="shared" si="127"/>
        <v/>
      </c>
      <c r="I1123">
        <f t="shared" si="128"/>
        <v>0</v>
      </c>
      <c r="K1123">
        <f t="shared" si="129"/>
        <v>1</v>
      </c>
      <c r="L1123" s="24">
        <f t="shared" si="130"/>
        <v>0</v>
      </c>
    </row>
    <row r="1124" spans="7:12" x14ac:dyDescent="0.3">
      <c r="G1124" s="47" t="str">
        <f t="shared" si="127"/>
        <v/>
      </c>
      <c r="I1124">
        <f t="shared" si="128"/>
        <v>0</v>
      </c>
      <c r="K1124">
        <f t="shared" si="129"/>
        <v>1</v>
      </c>
      <c r="L1124" s="24">
        <f t="shared" si="130"/>
        <v>0</v>
      </c>
    </row>
    <row r="1125" spans="7:12" x14ac:dyDescent="0.3">
      <c r="G1125" s="47" t="str">
        <f t="shared" si="127"/>
        <v/>
      </c>
      <c r="I1125">
        <f t="shared" si="128"/>
        <v>0</v>
      </c>
      <c r="K1125">
        <f t="shared" si="129"/>
        <v>1</v>
      </c>
      <c r="L1125" s="24">
        <f t="shared" si="130"/>
        <v>0</v>
      </c>
    </row>
    <row r="1126" spans="7:12" x14ac:dyDescent="0.3">
      <c r="G1126" s="47" t="str">
        <f t="shared" si="127"/>
        <v/>
      </c>
      <c r="I1126">
        <f t="shared" si="128"/>
        <v>0</v>
      </c>
      <c r="K1126">
        <f t="shared" si="129"/>
        <v>1</v>
      </c>
      <c r="L1126" s="24">
        <f t="shared" si="130"/>
        <v>0</v>
      </c>
    </row>
    <row r="1127" spans="7:12" x14ac:dyDescent="0.3">
      <c r="G1127" s="47" t="str">
        <f t="shared" si="127"/>
        <v/>
      </c>
      <c r="I1127">
        <f t="shared" si="128"/>
        <v>0</v>
      </c>
      <c r="K1127">
        <f t="shared" si="129"/>
        <v>1</v>
      </c>
      <c r="L1127" s="24">
        <f t="shared" si="130"/>
        <v>0</v>
      </c>
    </row>
    <row r="1128" spans="7:12" x14ac:dyDescent="0.3">
      <c r="G1128" s="47" t="str">
        <f t="shared" si="127"/>
        <v/>
      </c>
      <c r="I1128">
        <f t="shared" si="128"/>
        <v>0</v>
      </c>
      <c r="K1128">
        <f t="shared" si="129"/>
        <v>1</v>
      </c>
      <c r="L1128" s="24">
        <f t="shared" si="130"/>
        <v>0</v>
      </c>
    </row>
    <row r="1129" spans="7:12" x14ac:dyDescent="0.3">
      <c r="G1129" s="47" t="str">
        <f t="shared" si="127"/>
        <v/>
      </c>
      <c r="I1129">
        <f t="shared" si="128"/>
        <v>0</v>
      </c>
      <c r="K1129">
        <f t="shared" si="129"/>
        <v>1</v>
      </c>
      <c r="L1129" s="24">
        <f t="shared" si="130"/>
        <v>0</v>
      </c>
    </row>
    <row r="1130" spans="7:12" x14ac:dyDescent="0.3">
      <c r="G1130" s="47" t="str">
        <f t="shared" si="127"/>
        <v/>
      </c>
      <c r="I1130">
        <f t="shared" si="128"/>
        <v>0</v>
      </c>
      <c r="K1130">
        <f t="shared" si="129"/>
        <v>1</v>
      </c>
      <c r="L1130" s="24">
        <f t="shared" si="130"/>
        <v>0</v>
      </c>
    </row>
    <row r="1131" spans="7:12" x14ac:dyDescent="0.3">
      <c r="G1131" s="47" t="str">
        <f t="shared" si="127"/>
        <v/>
      </c>
      <c r="I1131">
        <f t="shared" si="128"/>
        <v>0</v>
      </c>
      <c r="K1131">
        <f t="shared" si="129"/>
        <v>1</v>
      </c>
      <c r="L1131" s="24">
        <f t="shared" si="130"/>
        <v>0</v>
      </c>
    </row>
    <row r="1132" spans="7:12" x14ac:dyDescent="0.3">
      <c r="G1132" s="47" t="str">
        <f t="shared" si="127"/>
        <v/>
      </c>
      <c r="I1132">
        <f t="shared" si="128"/>
        <v>0</v>
      </c>
      <c r="K1132">
        <f t="shared" si="129"/>
        <v>1</v>
      </c>
      <c r="L1132" s="24">
        <f t="shared" si="130"/>
        <v>0</v>
      </c>
    </row>
    <row r="1133" spans="7:12" x14ac:dyDescent="0.3">
      <c r="G1133" s="47" t="str">
        <f t="shared" si="127"/>
        <v/>
      </c>
      <c r="I1133">
        <f t="shared" si="128"/>
        <v>0</v>
      </c>
      <c r="K1133">
        <f t="shared" si="129"/>
        <v>1</v>
      </c>
      <c r="L1133" s="24">
        <f t="shared" si="130"/>
        <v>0</v>
      </c>
    </row>
    <row r="1134" spans="7:12" x14ac:dyDescent="0.3">
      <c r="G1134" s="47" t="str">
        <f t="shared" si="127"/>
        <v/>
      </c>
      <c r="I1134">
        <f t="shared" si="128"/>
        <v>0</v>
      </c>
      <c r="K1134">
        <f t="shared" si="129"/>
        <v>1</v>
      </c>
      <c r="L1134" s="24">
        <f t="shared" si="130"/>
        <v>0</v>
      </c>
    </row>
    <row r="1135" spans="7:12" x14ac:dyDescent="0.3">
      <c r="G1135" s="47" t="str">
        <f t="shared" si="127"/>
        <v/>
      </c>
      <c r="I1135">
        <f t="shared" si="128"/>
        <v>0</v>
      </c>
      <c r="K1135">
        <f t="shared" si="129"/>
        <v>1</v>
      </c>
      <c r="L1135" s="24">
        <f t="shared" si="130"/>
        <v>0</v>
      </c>
    </row>
    <row r="1136" spans="7:12" x14ac:dyDescent="0.3">
      <c r="G1136" s="47" t="str">
        <f t="shared" si="127"/>
        <v/>
      </c>
      <c r="I1136">
        <f t="shared" si="128"/>
        <v>0</v>
      </c>
      <c r="K1136">
        <f t="shared" si="129"/>
        <v>1</v>
      </c>
      <c r="L1136" s="24">
        <f t="shared" si="130"/>
        <v>0</v>
      </c>
    </row>
    <row r="1137" spans="7:12" x14ac:dyDescent="0.3">
      <c r="G1137" s="47" t="str">
        <f t="shared" si="127"/>
        <v/>
      </c>
      <c r="I1137">
        <f t="shared" si="128"/>
        <v>0</v>
      </c>
      <c r="K1137">
        <f t="shared" si="129"/>
        <v>1</v>
      </c>
      <c r="L1137" s="24">
        <f t="shared" si="130"/>
        <v>0</v>
      </c>
    </row>
    <row r="1138" spans="7:12" x14ac:dyDescent="0.3">
      <c r="G1138" s="47" t="str">
        <f t="shared" si="127"/>
        <v/>
      </c>
      <c r="I1138">
        <f t="shared" si="128"/>
        <v>0</v>
      </c>
      <c r="K1138">
        <f t="shared" si="129"/>
        <v>1</v>
      </c>
      <c r="L1138" s="24">
        <f t="shared" si="130"/>
        <v>0</v>
      </c>
    </row>
    <row r="1139" spans="7:12" x14ac:dyDescent="0.3">
      <c r="G1139" s="47" t="str">
        <f t="shared" si="127"/>
        <v/>
      </c>
      <c r="I1139">
        <f t="shared" si="128"/>
        <v>0</v>
      </c>
      <c r="K1139">
        <f t="shared" si="129"/>
        <v>1</v>
      </c>
      <c r="L1139" s="24">
        <f t="shared" si="130"/>
        <v>0</v>
      </c>
    </row>
    <row r="1140" spans="7:12" x14ac:dyDescent="0.3">
      <c r="G1140" s="47" t="str">
        <f t="shared" si="127"/>
        <v/>
      </c>
      <c r="I1140">
        <f t="shared" si="128"/>
        <v>0</v>
      </c>
      <c r="K1140">
        <f t="shared" si="129"/>
        <v>1</v>
      </c>
      <c r="L1140" s="24">
        <f t="shared" si="130"/>
        <v>0</v>
      </c>
    </row>
    <row r="1141" spans="7:12" x14ac:dyDescent="0.3">
      <c r="G1141" s="47" t="str">
        <f t="shared" si="127"/>
        <v/>
      </c>
      <c r="I1141">
        <f t="shared" si="128"/>
        <v>0</v>
      </c>
      <c r="K1141">
        <f t="shared" si="129"/>
        <v>1</v>
      </c>
      <c r="L1141" s="24">
        <f t="shared" si="130"/>
        <v>0</v>
      </c>
    </row>
    <row r="1142" spans="7:12" x14ac:dyDescent="0.3">
      <c r="G1142" s="47" t="str">
        <f t="shared" ref="G1142:G1205" si="131">IF(E1142=0,"",IF(F1142="","",(F1142-E1142)*D1142))</f>
        <v/>
      </c>
      <c r="I1142">
        <f t="shared" si="128"/>
        <v>0</v>
      </c>
      <c r="K1142">
        <f t="shared" si="129"/>
        <v>1</v>
      </c>
      <c r="L1142" s="24">
        <f t="shared" si="130"/>
        <v>0</v>
      </c>
    </row>
    <row r="1143" spans="7:12" x14ac:dyDescent="0.3">
      <c r="G1143" s="47" t="str">
        <f t="shared" si="131"/>
        <v/>
      </c>
      <c r="I1143">
        <f t="shared" si="128"/>
        <v>0</v>
      </c>
      <c r="K1143">
        <f t="shared" si="129"/>
        <v>1</v>
      </c>
      <c r="L1143" s="24">
        <f t="shared" si="130"/>
        <v>0</v>
      </c>
    </row>
    <row r="1144" spans="7:12" x14ac:dyDescent="0.3">
      <c r="G1144" s="47" t="str">
        <f t="shared" si="131"/>
        <v/>
      </c>
      <c r="I1144">
        <f t="shared" si="128"/>
        <v>0</v>
      </c>
      <c r="K1144">
        <f t="shared" si="129"/>
        <v>1</v>
      </c>
      <c r="L1144" s="24">
        <f t="shared" si="130"/>
        <v>0</v>
      </c>
    </row>
    <row r="1145" spans="7:12" x14ac:dyDescent="0.3">
      <c r="G1145" s="47" t="str">
        <f t="shared" si="131"/>
        <v/>
      </c>
      <c r="I1145">
        <f t="shared" si="128"/>
        <v>0</v>
      </c>
      <c r="K1145">
        <f t="shared" si="129"/>
        <v>1</v>
      </c>
      <c r="L1145" s="24">
        <f t="shared" si="130"/>
        <v>0</v>
      </c>
    </row>
    <row r="1146" spans="7:12" x14ac:dyDescent="0.3">
      <c r="G1146" s="47" t="str">
        <f t="shared" si="131"/>
        <v/>
      </c>
      <c r="I1146">
        <f t="shared" si="128"/>
        <v>0</v>
      </c>
      <c r="K1146">
        <f t="shared" si="129"/>
        <v>1</v>
      </c>
      <c r="L1146" s="24">
        <f t="shared" si="130"/>
        <v>0</v>
      </c>
    </row>
    <row r="1147" spans="7:12" x14ac:dyDescent="0.3">
      <c r="G1147" s="47" t="str">
        <f t="shared" si="131"/>
        <v/>
      </c>
      <c r="I1147">
        <f t="shared" si="128"/>
        <v>0</v>
      </c>
      <c r="K1147">
        <f t="shared" si="129"/>
        <v>1</v>
      </c>
      <c r="L1147" s="24">
        <f t="shared" si="130"/>
        <v>0</v>
      </c>
    </row>
    <row r="1148" spans="7:12" x14ac:dyDescent="0.3">
      <c r="G1148" s="47" t="str">
        <f t="shared" si="131"/>
        <v/>
      </c>
      <c r="I1148">
        <f t="shared" si="128"/>
        <v>0</v>
      </c>
      <c r="K1148">
        <f t="shared" si="129"/>
        <v>1</v>
      </c>
      <c r="L1148" s="24">
        <f t="shared" si="130"/>
        <v>0</v>
      </c>
    </row>
    <row r="1149" spans="7:12" x14ac:dyDescent="0.3">
      <c r="G1149" s="47" t="str">
        <f t="shared" si="131"/>
        <v/>
      </c>
      <c r="I1149">
        <f t="shared" ref="I1149:I1212" si="132">+E1149*1.1</f>
        <v>0</v>
      </c>
      <c r="K1149">
        <f t="shared" ref="K1149:K1212" si="133">IF(F1149=0,1,0)</f>
        <v>1</v>
      </c>
      <c r="L1149" s="24">
        <f t="shared" ref="L1149:L1212" si="134">+D1149*E1149</f>
        <v>0</v>
      </c>
    </row>
    <row r="1150" spans="7:12" x14ac:dyDescent="0.3">
      <c r="G1150" s="47" t="str">
        <f t="shared" si="131"/>
        <v/>
      </c>
      <c r="I1150">
        <f t="shared" si="132"/>
        <v>0</v>
      </c>
      <c r="K1150">
        <f t="shared" si="133"/>
        <v>1</v>
      </c>
      <c r="L1150" s="24">
        <f t="shared" si="134"/>
        <v>0</v>
      </c>
    </row>
    <row r="1151" spans="7:12" x14ac:dyDescent="0.3">
      <c r="G1151" s="47" t="str">
        <f t="shared" si="131"/>
        <v/>
      </c>
      <c r="I1151">
        <f t="shared" si="132"/>
        <v>0</v>
      </c>
      <c r="K1151">
        <f t="shared" si="133"/>
        <v>1</v>
      </c>
      <c r="L1151" s="24">
        <f t="shared" si="134"/>
        <v>0</v>
      </c>
    </row>
    <row r="1152" spans="7:12" x14ac:dyDescent="0.3">
      <c r="G1152" s="47" t="str">
        <f t="shared" si="131"/>
        <v/>
      </c>
      <c r="I1152">
        <f t="shared" si="132"/>
        <v>0</v>
      </c>
      <c r="K1152">
        <f t="shared" si="133"/>
        <v>1</v>
      </c>
      <c r="L1152" s="24">
        <f t="shared" si="134"/>
        <v>0</v>
      </c>
    </row>
    <row r="1153" spans="7:12" x14ac:dyDescent="0.3">
      <c r="G1153" s="47" t="str">
        <f t="shared" si="131"/>
        <v/>
      </c>
      <c r="I1153">
        <f t="shared" si="132"/>
        <v>0</v>
      </c>
      <c r="K1153">
        <f t="shared" si="133"/>
        <v>1</v>
      </c>
      <c r="L1153" s="24">
        <f t="shared" si="134"/>
        <v>0</v>
      </c>
    </row>
    <row r="1154" spans="7:12" x14ac:dyDescent="0.3">
      <c r="G1154" s="47" t="str">
        <f t="shared" si="131"/>
        <v/>
      </c>
      <c r="I1154">
        <f t="shared" si="132"/>
        <v>0</v>
      </c>
      <c r="K1154">
        <f t="shared" si="133"/>
        <v>1</v>
      </c>
      <c r="L1154" s="24">
        <f t="shared" si="134"/>
        <v>0</v>
      </c>
    </row>
    <row r="1155" spans="7:12" x14ac:dyDescent="0.3">
      <c r="G1155" s="47" t="str">
        <f t="shared" si="131"/>
        <v/>
      </c>
      <c r="I1155">
        <f t="shared" si="132"/>
        <v>0</v>
      </c>
      <c r="K1155">
        <f t="shared" si="133"/>
        <v>1</v>
      </c>
      <c r="L1155" s="24">
        <f t="shared" si="134"/>
        <v>0</v>
      </c>
    </row>
    <row r="1156" spans="7:12" x14ac:dyDescent="0.3">
      <c r="G1156" s="47" t="str">
        <f t="shared" si="131"/>
        <v/>
      </c>
      <c r="I1156">
        <f t="shared" si="132"/>
        <v>0</v>
      </c>
      <c r="K1156">
        <f t="shared" si="133"/>
        <v>1</v>
      </c>
      <c r="L1156" s="24">
        <f t="shared" si="134"/>
        <v>0</v>
      </c>
    </row>
    <row r="1157" spans="7:12" x14ac:dyDescent="0.3">
      <c r="G1157" s="47" t="str">
        <f t="shared" si="131"/>
        <v/>
      </c>
      <c r="I1157">
        <f t="shared" si="132"/>
        <v>0</v>
      </c>
      <c r="K1157">
        <f t="shared" si="133"/>
        <v>1</v>
      </c>
      <c r="L1157" s="24">
        <f t="shared" si="134"/>
        <v>0</v>
      </c>
    </row>
    <row r="1158" spans="7:12" x14ac:dyDescent="0.3">
      <c r="G1158" s="47" t="str">
        <f t="shared" si="131"/>
        <v/>
      </c>
      <c r="I1158">
        <f t="shared" si="132"/>
        <v>0</v>
      </c>
      <c r="K1158">
        <f t="shared" si="133"/>
        <v>1</v>
      </c>
      <c r="L1158" s="24">
        <f t="shared" si="134"/>
        <v>0</v>
      </c>
    </row>
    <row r="1159" spans="7:12" x14ac:dyDescent="0.3">
      <c r="G1159" s="47" t="str">
        <f t="shared" si="131"/>
        <v/>
      </c>
      <c r="I1159">
        <f t="shared" si="132"/>
        <v>0</v>
      </c>
      <c r="K1159">
        <f t="shared" si="133"/>
        <v>1</v>
      </c>
      <c r="L1159" s="24">
        <f t="shared" si="134"/>
        <v>0</v>
      </c>
    </row>
    <row r="1160" spans="7:12" x14ac:dyDescent="0.3">
      <c r="G1160" s="47" t="str">
        <f t="shared" si="131"/>
        <v/>
      </c>
      <c r="I1160">
        <f t="shared" si="132"/>
        <v>0</v>
      </c>
      <c r="K1160">
        <f t="shared" si="133"/>
        <v>1</v>
      </c>
      <c r="L1160" s="24">
        <f t="shared" si="134"/>
        <v>0</v>
      </c>
    </row>
    <row r="1161" spans="7:12" x14ac:dyDescent="0.3">
      <c r="G1161" s="47" t="str">
        <f t="shared" si="131"/>
        <v/>
      </c>
      <c r="I1161">
        <f t="shared" si="132"/>
        <v>0</v>
      </c>
      <c r="K1161">
        <f t="shared" si="133"/>
        <v>1</v>
      </c>
      <c r="L1161" s="24">
        <f t="shared" si="134"/>
        <v>0</v>
      </c>
    </row>
    <row r="1162" spans="7:12" x14ac:dyDescent="0.3">
      <c r="G1162" s="47" t="str">
        <f t="shared" si="131"/>
        <v/>
      </c>
      <c r="I1162">
        <f t="shared" si="132"/>
        <v>0</v>
      </c>
      <c r="K1162">
        <f t="shared" si="133"/>
        <v>1</v>
      </c>
      <c r="L1162" s="24">
        <f t="shared" si="134"/>
        <v>0</v>
      </c>
    </row>
    <row r="1163" spans="7:12" x14ac:dyDescent="0.3">
      <c r="G1163" s="47" t="str">
        <f t="shared" si="131"/>
        <v/>
      </c>
      <c r="I1163">
        <f t="shared" si="132"/>
        <v>0</v>
      </c>
      <c r="K1163">
        <f t="shared" si="133"/>
        <v>1</v>
      </c>
      <c r="L1163" s="24">
        <f t="shared" si="134"/>
        <v>0</v>
      </c>
    </row>
    <row r="1164" spans="7:12" x14ac:dyDescent="0.3">
      <c r="G1164" s="47" t="str">
        <f t="shared" si="131"/>
        <v/>
      </c>
      <c r="I1164">
        <f t="shared" si="132"/>
        <v>0</v>
      </c>
      <c r="K1164">
        <f t="shared" si="133"/>
        <v>1</v>
      </c>
      <c r="L1164" s="24">
        <f t="shared" si="134"/>
        <v>0</v>
      </c>
    </row>
    <row r="1165" spans="7:12" x14ac:dyDescent="0.3">
      <c r="G1165" s="47" t="str">
        <f t="shared" si="131"/>
        <v/>
      </c>
      <c r="I1165">
        <f t="shared" si="132"/>
        <v>0</v>
      </c>
      <c r="K1165">
        <f t="shared" si="133"/>
        <v>1</v>
      </c>
      <c r="L1165" s="24">
        <f t="shared" si="134"/>
        <v>0</v>
      </c>
    </row>
    <row r="1166" spans="7:12" x14ac:dyDescent="0.3">
      <c r="G1166" s="47" t="str">
        <f t="shared" si="131"/>
        <v/>
      </c>
      <c r="I1166">
        <f t="shared" si="132"/>
        <v>0</v>
      </c>
      <c r="K1166">
        <f t="shared" si="133"/>
        <v>1</v>
      </c>
      <c r="L1166" s="24">
        <f t="shared" si="134"/>
        <v>0</v>
      </c>
    </row>
    <row r="1167" spans="7:12" x14ac:dyDescent="0.3">
      <c r="G1167" s="47" t="str">
        <f t="shared" si="131"/>
        <v/>
      </c>
      <c r="I1167">
        <f t="shared" si="132"/>
        <v>0</v>
      </c>
      <c r="K1167">
        <f t="shared" si="133"/>
        <v>1</v>
      </c>
      <c r="L1167" s="24">
        <f t="shared" si="134"/>
        <v>0</v>
      </c>
    </row>
    <row r="1168" spans="7:12" x14ac:dyDescent="0.3">
      <c r="G1168" s="47" t="str">
        <f t="shared" si="131"/>
        <v/>
      </c>
      <c r="I1168">
        <f t="shared" si="132"/>
        <v>0</v>
      </c>
      <c r="K1168">
        <f t="shared" si="133"/>
        <v>1</v>
      </c>
      <c r="L1168" s="24">
        <f t="shared" si="134"/>
        <v>0</v>
      </c>
    </row>
    <row r="1169" spans="7:12" x14ac:dyDescent="0.3">
      <c r="G1169" s="47" t="str">
        <f t="shared" si="131"/>
        <v/>
      </c>
      <c r="I1169">
        <f t="shared" si="132"/>
        <v>0</v>
      </c>
      <c r="K1169">
        <f t="shared" si="133"/>
        <v>1</v>
      </c>
      <c r="L1169" s="24">
        <f t="shared" si="134"/>
        <v>0</v>
      </c>
    </row>
    <row r="1170" spans="7:12" x14ac:dyDescent="0.3">
      <c r="G1170" s="47" t="str">
        <f t="shared" si="131"/>
        <v/>
      </c>
      <c r="I1170">
        <f t="shared" si="132"/>
        <v>0</v>
      </c>
      <c r="K1170">
        <f t="shared" si="133"/>
        <v>1</v>
      </c>
      <c r="L1170" s="24">
        <f t="shared" si="134"/>
        <v>0</v>
      </c>
    </row>
    <row r="1171" spans="7:12" x14ac:dyDescent="0.3">
      <c r="G1171" s="47" t="str">
        <f t="shared" si="131"/>
        <v/>
      </c>
      <c r="I1171">
        <f t="shared" si="132"/>
        <v>0</v>
      </c>
      <c r="K1171">
        <f t="shared" si="133"/>
        <v>1</v>
      </c>
      <c r="L1171" s="24">
        <f t="shared" si="134"/>
        <v>0</v>
      </c>
    </row>
    <row r="1172" spans="7:12" x14ac:dyDescent="0.3">
      <c r="G1172" s="47" t="str">
        <f t="shared" si="131"/>
        <v/>
      </c>
      <c r="I1172">
        <f t="shared" si="132"/>
        <v>0</v>
      </c>
      <c r="K1172">
        <f t="shared" si="133"/>
        <v>1</v>
      </c>
      <c r="L1172" s="24">
        <f t="shared" si="134"/>
        <v>0</v>
      </c>
    </row>
    <row r="1173" spans="7:12" x14ac:dyDescent="0.3">
      <c r="G1173" s="47" t="str">
        <f t="shared" si="131"/>
        <v/>
      </c>
      <c r="I1173">
        <f t="shared" si="132"/>
        <v>0</v>
      </c>
      <c r="K1173">
        <f t="shared" si="133"/>
        <v>1</v>
      </c>
      <c r="L1173" s="24">
        <f t="shared" si="134"/>
        <v>0</v>
      </c>
    </row>
    <row r="1174" spans="7:12" x14ac:dyDescent="0.3">
      <c r="G1174" s="47" t="str">
        <f t="shared" si="131"/>
        <v/>
      </c>
      <c r="I1174">
        <f t="shared" si="132"/>
        <v>0</v>
      </c>
      <c r="K1174">
        <f t="shared" si="133"/>
        <v>1</v>
      </c>
      <c r="L1174" s="24">
        <f t="shared" si="134"/>
        <v>0</v>
      </c>
    </row>
    <row r="1175" spans="7:12" x14ac:dyDescent="0.3">
      <c r="G1175" s="47" t="str">
        <f t="shared" si="131"/>
        <v/>
      </c>
      <c r="I1175">
        <f t="shared" si="132"/>
        <v>0</v>
      </c>
      <c r="K1175">
        <f t="shared" si="133"/>
        <v>1</v>
      </c>
      <c r="L1175" s="24">
        <f t="shared" si="134"/>
        <v>0</v>
      </c>
    </row>
    <row r="1176" spans="7:12" x14ac:dyDescent="0.3">
      <c r="G1176" s="47" t="str">
        <f t="shared" si="131"/>
        <v/>
      </c>
      <c r="I1176">
        <f t="shared" si="132"/>
        <v>0</v>
      </c>
      <c r="K1176">
        <f t="shared" si="133"/>
        <v>1</v>
      </c>
      <c r="L1176" s="24">
        <f t="shared" si="134"/>
        <v>0</v>
      </c>
    </row>
    <row r="1177" spans="7:12" x14ac:dyDescent="0.3">
      <c r="G1177" s="47" t="str">
        <f t="shared" si="131"/>
        <v/>
      </c>
      <c r="I1177">
        <f t="shared" si="132"/>
        <v>0</v>
      </c>
      <c r="K1177">
        <f t="shared" si="133"/>
        <v>1</v>
      </c>
      <c r="L1177" s="24">
        <f t="shared" si="134"/>
        <v>0</v>
      </c>
    </row>
    <row r="1178" spans="7:12" x14ac:dyDescent="0.3">
      <c r="G1178" s="47" t="str">
        <f t="shared" si="131"/>
        <v/>
      </c>
      <c r="I1178">
        <f t="shared" si="132"/>
        <v>0</v>
      </c>
      <c r="K1178">
        <f t="shared" si="133"/>
        <v>1</v>
      </c>
      <c r="L1178" s="24">
        <f t="shared" si="134"/>
        <v>0</v>
      </c>
    </row>
    <row r="1179" spans="7:12" x14ac:dyDescent="0.3">
      <c r="G1179" s="47" t="str">
        <f t="shared" si="131"/>
        <v/>
      </c>
      <c r="I1179">
        <f t="shared" si="132"/>
        <v>0</v>
      </c>
      <c r="K1179">
        <f t="shared" si="133"/>
        <v>1</v>
      </c>
      <c r="L1179" s="24">
        <f t="shared" si="134"/>
        <v>0</v>
      </c>
    </row>
    <row r="1180" spans="7:12" x14ac:dyDescent="0.3">
      <c r="G1180" s="47" t="str">
        <f t="shared" si="131"/>
        <v/>
      </c>
      <c r="I1180">
        <f t="shared" si="132"/>
        <v>0</v>
      </c>
      <c r="K1180">
        <f t="shared" si="133"/>
        <v>1</v>
      </c>
      <c r="L1180" s="24">
        <f t="shared" si="134"/>
        <v>0</v>
      </c>
    </row>
    <row r="1181" spans="7:12" x14ac:dyDescent="0.3">
      <c r="G1181" s="47" t="str">
        <f t="shared" si="131"/>
        <v/>
      </c>
      <c r="I1181">
        <f t="shared" si="132"/>
        <v>0</v>
      </c>
      <c r="K1181">
        <f t="shared" si="133"/>
        <v>1</v>
      </c>
      <c r="L1181" s="24">
        <f t="shared" si="134"/>
        <v>0</v>
      </c>
    </row>
    <row r="1182" spans="7:12" x14ac:dyDescent="0.3">
      <c r="G1182" s="47" t="str">
        <f t="shared" si="131"/>
        <v/>
      </c>
      <c r="I1182">
        <f t="shared" si="132"/>
        <v>0</v>
      </c>
      <c r="K1182">
        <f t="shared" si="133"/>
        <v>1</v>
      </c>
      <c r="L1182" s="24">
        <f t="shared" si="134"/>
        <v>0</v>
      </c>
    </row>
    <row r="1183" spans="7:12" x14ac:dyDescent="0.3">
      <c r="G1183" s="47" t="str">
        <f t="shared" si="131"/>
        <v/>
      </c>
      <c r="I1183">
        <f t="shared" si="132"/>
        <v>0</v>
      </c>
      <c r="K1183">
        <f t="shared" si="133"/>
        <v>1</v>
      </c>
      <c r="L1183" s="24">
        <f t="shared" si="134"/>
        <v>0</v>
      </c>
    </row>
    <row r="1184" spans="7:12" x14ac:dyDescent="0.3">
      <c r="G1184" s="47" t="str">
        <f t="shared" si="131"/>
        <v/>
      </c>
      <c r="I1184">
        <f t="shared" si="132"/>
        <v>0</v>
      </c>
      <c r="K1184">
        <f t="shared" si="133"/>
        <v>1</v>
      </c>
      <c r="L1184" s="24">
        <f t="shared" si="134"/>
        <v>0</v>
      </c>
    </row>
    <row r="1185" spans="7:12" x14ac:dyDescent="0.3">
      <c r="G1185" s="47" t="str">
        <f t="shared" si="131"/>
        <v/>
      </c>
      <c r="I1185">
        <f t="shared" si="132"/>
        <v>0</v>
      </c>
      <c r="K1185">
        <f t="shared" si="133"/>
        <v>1</v>
      </c>
      <c r="L1185" s="24">
        <f t="shared" si="134"/>
        <v>0</v>
      </c>
    </row>
    <row r="1186" spans="7:12" x14ac:dyDescent="0.3">
      <c r="G1186" s="47" t="str">
        <f t="shared" si="131"/>
        <v/>
      </c>
      <c r="I1186">
        <f t="shared" si="132"/>
        <v>0</v>
      </c>
      <c r="K1186">
        <f t="shared" si="133"/>
        <v>1</v>
      </c>
      <c r="L1186" s="24">
        <f t="shared" si="134"/>
        <v>0</v>
      </c>
    </row>
    <row r="1187" spans="7:12" x14ac:dyDescent="0.3">
      <c r="G1187" s="47" t="str">
        <f t="shared" si="131"/>
        <v/>
      </c>
      <c r="I1187">
        <f t="shared" si="132"/>
        <v>0</v>
      </c>
      <c r="K1187">
        <f t="shared" si="133"/>
        <v>1</v>
      </c>
      <c r="L1187" s="24">
        <f t="shared" si="134"/>
        <v>0</v>
      </c>
    </row>
    <row r="1188" spans="7:12" x14ac:dyDescent="0.3">
      <c r="G1188" s="47" t="str">
        <f t="shared" si="131"/>
        <v/>
      </c>
      <c r="I1188">
        <f t="shared" si="132"/>
        <v>0</v>
      </c>
      <c r="K1188">
        <f t="shared" si="133"/>
        <v>1</v>
      </c>
      <c r="L1188" s="24">
        <f t="shared" si="134"/>
        <v>0</v>
      </c>
    </row>
    <row r="1189" spans="7:12" x14ac:dyDescent="0.3">
      <c r="G1189" s="47" t="str">
        <f t="shared" si="131"/>
        <v/>
      </c>
      <c r="I1189">
        <f t="shared" si="132"/>
        <v>0</v>
      </c>
      <c r="K1189">
        <f t="shared" si="133"/>
        <v>1</v>
      </c>
      <c r="L1189" s="24">
        <f t="shared" si="134"/>
        <v>0</v>
      </c>
    </row>
    <row r="1190" spans="7:12" x14ac:dyDescent="0.3">
      <c r="G1190" s="47" t="str">
        <f t="shared" si="131"/>
        <v/>
      </c>
      <c r="I1190">
        <f t="shared" si="132"/>
        <v>0</v>
      </c>
      <c r="K1190">
        <f t="shared" si="133"/>
        <v>1</v>
      </c>
      <c r="L1190" s="24">
        <f t="shared" si="134"/>
        <v>0</v>
      </c>
    </row>
    <row r="1191" spans="7:12" x14ac:dyDescent="0.3">
      <c r="G1191" s="47" t="str">
        <f t="shared" si="131"/>
        <v/>
      </c>
      <c r="I1191">
        <f t="shared" si="132"/>
        <v>0</v>
      </c>
      <c r="K1191">
        <f t="shared" si="133"/>
        <v>1</v>
      </c>
      <c r="L1191" s="24">
        <f t="shared" si="134"/>
        <v>0</v>
      </c>
    </row>
    <row r="1192" spans="7:12" x14ac:dyDescent="0.3">
      <c r="G1192" s="47" t="str">
        <f t="shared" si="131"/>
        <v/>
      </c>
      <c r="I1192">
        <f t="shared" si="132"/>
        <v>0</v>
      </c>
      <c r="K1192">
        <f t="shared" si="133"/>
        <v>1</v>
      </c>
      <c r="L1192" s="24">
        <f t="shared" si="134"/>
        <v>0</v>
      </c>
    </row>
    <row r="1193" spans="7:12" x14ac:dyDescent="0.3">
      <c r="G1193" s="47" t="str">
        <f t="shared" si="131"/>
        <v/>
      </c>
      <c r="I1193">
        <f t="shared" si="132"/>
        <v>0</v>
      </c>
      <c r="K1193">
        <f t="shared" si="133"/>
        <v>1</v>
      </c>
      <c r="L1193" s="24">
        <f t="shared" si="134"/>
        <v>0</v>
      </c>
    </row>
    <row r="1194" spans="7:12" x14ac:dyDescent="0.3">
      <c r="G1194" s="47" t="str">
        <f t="shared" si="131"/>
        <v/>
      </c>
      <c r="I1194">
        <f t="shared" si="132"/>
        <v>0</v>
      </c>
      <c r="K1194">
        <f t="shared" si="133"/>
        <v>1</v>
      </c>
      <c r="L1194" s="24">
        <f t="shared" si="134"/>
        <v>0</v>
      </c>
    </row>
    <row r="1195" spans="7:12" x14ac:dyDescent="0.3">
      <c r="G1195" s="47" t="str">
        <f t="shared" si="131"/>
        <v/>
      </c>
      <c r="I1195">
        <f t="shared" si="132"/>
        <v>0</v>
      </c>
      <c r="K1195">
        <f t="shared" si="133"/>
        <v>1</v>
      </c>
      <c r="L1195" s="24">
        <f t="shared" si="134"/>
        <v>0</v>
      </c>
    </row>
    <row r="1196" spans="7:12" x14ac:dyDescent="0.3">
      <c r="G1196" s="47" t="str">
        <f t="shared" si="131"/>
        <v/>
      </c>
      <c r="I1196">
        <f t="shared" si="132"/>
        <v>0</v>
      </c>
      <c r="K1196">
        <f t="shared" si="133"/>
        <v>1</v>
      </c>
      <c r="L1196" s="24">
        <f t="shared" si="134"/>
        <v>0</v>
      </c>
    </row>
    <row r="1197" spans="7:12" x14ac:dyDescent="0.3">
      <c r="G1197" s="47" t="str">
        <f t="shared" si="131"/>
        <v/>
      </c>
      <c r="I1197">
        <f t="shared" si="132"/>
        <v>0</v>
      </c>
      <c r="K1197">
        <f t="shared" si="133"/>
        <v>1</v>
      </c>
      <c r="L1197" s="24">
        <f t="shared" si="134"/>
        <v>0</v>
      </c>
    </row>
    <row r="1198" spans="7:12" x14ac:dyDescent="0.3">
      <c r="G1198" s="47" t="str">
        <f t="shared" si="131"/>
        <v/>
      </c>
      <c r="I1198">
        <f t="shared" si="132"/>
        <v>0</v>
      </c>
      <c r="K1198">
        <f t="shared" si="133"/>
        <v>1</v>
      </c>
      <c r="L1198" s="24">
        <f t="shared" si="134"/>
        <v>0</v>
      </c>
    </row>
    <row r="1199" spans="7:12" x14ac:dyDescent="0.3">
      <c r="G1199" s="47" t="str">
        <f t="shared" si="131"/>
        <v/>
      </c>
      <c r="I1199">
        <f t="shared" si="132"/>
        <v>0</v>
      </c>
      <c r="K1199">
        <f t="shared" si="133"/>
        <v>1</v>
      </c>
      <c r="L1199" s="24">
        <f t="shared" si="134"/>
        <v>0</v>
      </c>
    </row>
    <row r="1200" spans="7:12" x14ac:dyDescent="0.3">
      <c r="G1200" s="47" t="str">
        <f t="shared" si="131"/>
        <v/>
      </c>
      <c r="I1200">
        <f t="shared" si="132"/>
        <v>0</v>
      </c>
      <c r="K1200">
        <f t="shared" si="133"/>
        <v>1</v>
      </c>
      <c r="L1200" s="24">
        <f t="shared" si="134"/>
        <v>0</v>
      </c>
    </row>
    <row r="1201" spans="7:12" x14ac:dyDescent="0.3">
      <c r="G1201" s="47" t="str">
        <f t="shared" si="131"/>
        <v/>
      </c>
      <c r="I1201">
        <f t="shared" si="132"/>
        <v>0</v>
      </c>
      <c r="K1201">
        <f t="shared" si="133"/>
        <v>1</v>
      </c>
      <c r="L1201" s="24">
        <f t="shared" si="134"/>
        <v>0</v>
      </c>
    </row>
    <row r="1202" spans="7:12" x14ac:dyDescent="0.3">
      <c r="G1202" s="47" t="str">
        <f t="shared" si="131"/>
        <v/>
      </c>
      <c r="I1202">
        <f t="shared" si="132"/>
        <v>0</v>
      </c>
      <c r="K1202">
        <f t="shared" si="133"/>
        <v>1</v>
      </c>
      <c r="L1202" s="24">
        <f t="shared" si="134"/>
        <v>0</v>
      </c>
    </row>
    <row r="1203" spans="7:12" x14ac:dyDescent="0.3">
      <c r="G1203" s="47" t="str">
        <f t="shared" si="131"/>
        <v/>
      </c>
      <c r="I1203">
        <f t="shared" si="132"/>
        <v>0</v>
      </c>
      <c r="K1203">
        <f t="shared" si="133"/>
        <v>1</v>
      </c>
      <c r="L1203" s="24">
        <f t="shared" si="134"/>
        <v>0</v>
      </c>
    </row>
    <row r="1204" spans="7:12" x14ac:dyDescent="0.3">
      <c r="G1204" s="47" t="str">
        <f t="shared" si="131"/>
        <v/>
      </c>
      <c r="I1204">
        <f t="shared" si="132"/>
        <v>0</v>
      </c>
      <c r="K1204">
        <f t="shared" si="133"/>
        <v>1</v>
      </c>
      <c r="L1204" s="24">
        <f t="shared" si="134"/>
        <v>0</v>
      </c>
    </row>
    <row r="1205" spans="7:12" x14ac:dyDescent="0.3">
      <c r="G1205" s="47" t="str">
        <f t="shared" si="131"/>
        <v/>
      </c>
      <c r="I1205">
        <f t="shared" si="132"/>
        <v>0</v>
      </c>
      <c r="K1205">
        <f t="shared" si="133"/>
        <v>1</v>
      </c>
      <c r="L1205" s="24">
        <f t="shared" si="134"/>
        <v>0</v>
      </c>
    </row>
    <row r="1206" spans="7:12" x14ac:dyDescent="0.3">
      <c r="G1206" s="47" t="str">
        <f t="shared" ref="G1206:G1269" si="135">IF(E1206=0,"",IF(F1206="","",(F1206-E1206)*D1206))</f>
        <v/>
      </c>
      <c r="I1206">
        <f t="shared" si="132"/>
        <v>0</v>
      </c>
      <c r="K1206">
        <f t="shared" si="133"/>
        <v>1</v>
      </c>
      <c r="L1206" s="24">
        <f t="shared" si="134"/>
        <v>0</v>
      </c>
    </row>
    <row r="1207" spans="7:12" x14ac:dyDescent="0.3">
      <c r="G1207" s="47" t="str">
        <f t="shared" si="135"/>
        <v/>
      </c>
      <c r="I1207">
        <f t="shared" si="132"/>
        <v>0</v>
      </c>
      <c r="K1207">
        <f t="shared" si="133"/>
        <v>1</v>
      </c>
      <c r="L1207" s="24">
        <f t="shared" si="134"/>
        <v>0</v>
      </c>
    </row>
    <row r="1208" spans="7:12" x14ac:dyDescent="0.3">
      <c r="G1208" s="47" t="str">
        <f t="shared" si="135"/>
        <v/>
      </c>
      <c r="I1208">
        <f t="shared" si="132"/>
        <v>0</v>
      </c>
      <c r="K1208">
        <f t="shared" si="133"/>
        <v>1</v>
      </c>
      <c r="L1208" s="24">
        <f t="shared" si="134"/>
        <v>0</v>
      </c>
    </row>
    <row r="1209" spans="7:12" x14ac:dyDescent="0.3">
      <c r="G1209" s="47" t="str">
        <f t="shared" si="135"/>
        <v/>
      </c>
      <c r="I1209">
        <f t="shared" si="132"/>
        <v>0</v>
      </c>
      <c r="K1209">
        <f t="shared" si="133"/>
        <v>1</v>
      </c>
      <c r="L1209" s="24">
        <f t="shared" si="134"/>
        <v>0</v>
      </c>
    </row>
    <row r="1210" spans="7:12" x14ac:dyDescent="0.3">
      <c r="G1210" s="47" t="str">
        <f t="shared" si="135"/>
        <v/>
      </c>
      <c r="I1210">
        <f t="shared" si="132"/>
        <v>0</v>
      </c>
      <c r="K1210">
        <f t="shared" si="133"/>
        <v>1</v>
      </c>
      <c r="L1210" s="24">
        <f t="shared" si="134"/>
        <v>0</v>
      </c>
    </row>
    <row r="1211" spans="7:12" x14ac:dyDescent="0.3">
      <c r="G1211" s="47" t="str">
        <f t="shared" si="135"/>
        <v/>
      </c>
      <c r="I1211">
        <f t="shared" si="132"/>
        <v>0</v>
      </c>
      <c r="K1211">
        <f t="shared" si="133"/>
        <v>1</v>
      </c>
      <c r="L1211" s="24">
        <f t="shared" si="134"/>
        <v>0</v>
      </c>
    </row>
    <row r="1212" spans="7:12" x14ac:dyDescent="0.3">
      <c r="G1212" s="47" t="str">
        <f t="shared" si="135"/>
        <v/>
      </c>
      <c r="I1212">
        <f t="shared" si="132"/>
        <v>0</v>
      </c>
      <c r="K1212">
        <f t="shared" si="133"/>
        <v>1</v>
      </c>
      <c r="L1212" s="24">
        <f t="shared" si="134"/>
        <v>0</v>
      </c>
    </row>
    <row r="1213" spans="7:12" x14ac:dyDescent="0.3">
      <c r="G1213" s="47" t="str">
        <f t="shared" si="135"/>
        <v/>
      </c>
      <c r="I1213">
        <f t="shared" ref="I1213:I1276" si="136">+E1213*1.1</f>
        <v>0</v>
      </c>
      <c r="K1213">
        <f t="shared" ref="K1213:K1276" si="137">IF(F1213=0,1,0)</f>
        <v>1</v>
      </c>
      <c r="L1213" s="24">
        <f t="shared" ref="L1213:L1276" si="138">+D1213*E1213</f>
        <v>0</v>
      </c>
    </row>
    <row r="1214" spans="7:12" x14ac:dyDescent="0.3">
      <c r="G1214" s="47" t="str">
        <f t="shared" si="135"/>
        <v/>
      </c>
      <c r="I1214">
        <f t="shared" si="136"/>
        <v>0</v>
      </c>
      <c r="K1214">
        <f t="shared" si="137"/>
        <v>1</v>
      </c>
      <c r="L1214" s="24">
        <f t="shared" si="138"/>
        <v>0</v>
      </c>
    </row>
    <row r="1215" spans="7:12" x14ac:dyDescent="0.3">
      <c r="G1215" s="47" t="str">
        <f t="shared" si="135"/>
        <v/>
      </c>
      <c r="I1215">
        <f t="shared" si="136"/>
        <v>0</v>
      </c>
      <c r="K1215">
        <f t="shared" si="137"/>
        <v>1</v>
      </c>
      <c r="L1215" s="24">
        <f t="shared" si="138"/>
        <v>0</v>
      </c>
    </row>
    <row r="1216" spans="7:12" x14ac:dyDescent="0.3">
      <c r="G1216" s="47" t="str">
        <f t="shared" si="135"/>
        <v/>
      </c>
      <c r="I1216">
        <f t="shared" si="136"/>
        <v>0</v>
      </c>
      <c r="K1216">
        <f t="shared" si="137"/>
        <v>1</v>
      </c>
      <c r="L1216" s="24">
        <f t="shared" si="138"/>
        <v>0</v>
      </c>
    </row>
    <row r="1217" spans="7:12" x14ac:dyDescent="0.3">
      <c r="G1217" s="47" t="str">
        <f t="shared" si="135"/>
        <v/>
      </c>
      <c r="I1217">
        <f t="shared" si="136"/>
        <v>0</v>
      </c>
      <c r="K1217">
        <f t="shared" si="137"/>
        <v>1</v>
      </c>
      <c r="L1217" s="24">
        <f t="shared" si="138"/>
        <v>0</v>
      </c>
    </row>
    <row r="1218" spans="7:12" x14ac:dyDescent="0.3">
      <c r="G1218" s="47" t="str">
        <f t="shared" si="135"/>
        <v/>
      </c>
      <c r="I1218">
        <f t="shared" si="136"/>
        <v>0</v>
      </c>
      <c r="K1218">
        <f t="shared" si="137"/>
        <v>1</v>
      </c>
      <c r="L1218" s="24">
        <f t="shared" si="138"/>
        <v>0</v>
      </c>
    </row>
    <row r="1219" spans="7:12" x14ac:dyDescent="0.3">
      <c r="G1219" s="47" t="str">
        <f t="shared" si="135"/>
        <v/>
      </c>
      <c r="I1219">
        <f t="shared" si="136"/>
        <v>0</v>
      </c>
      <c r="K1219">
        <f t="shared" si="137"/>
        <v>1</v>
      </c>
      <c r="L1219" s="24">
        <f t="shared" si="138"/>
        <v>0</v>
      </c>
    </row>
    <row r="1220" spans="7:12" x14ac:dyDescent="0.3">
      <c r="G1220" s="47" t="str">
        <f t="shared" si="135"/>
        <v/>
      </c>
      <c r="I1220">
        <f t="shared" si="136"/>
        <v>0</v>
      </c>
      <c r="K1220">
        <f t="shared" si="137"/>
        <v>1</v>
      </c>
      <c r="L1220" s="24">
        <f t="shared" si="138"/>
        <v>0</v>
      </c>
    </row>
    <row r="1221" spans="7:12" x14ac:dyDescent="0.3">
      <c r="G1221" s="47" t="str">
        <f t="shared" si="135"/>
        <v/>
      </c>
      <c r="I1221">
        <f t="shared" si="136"/>
        <v>0</v>
      </c>
      <c r="K1221">
        <f t="shared" si="137"/>
        <v>1</v>
      </c>
      <c r="L1221" s="24">
        <f t="shared" si="138"/>
        <v>0</v>
      </c>
    </row>
    <row r="1222" spans="7:12" x14ac:dyDescent="0.3">
      <c r="G1222" s="47" t="str">
        <f t="shared" si="135"/>
        <v/>
      </c>
      <c r="I1222">
        <f t="shared" si="136"/>
        <v>0</v>
      </c>
      <c r="K1222">
        <f t="shared" si="137"/>
        <v>1</v>
      </c>
      <c r="L1222" s="24">
        <f t="shared" si="138"/>
        <v>0</v>
      </c>
    </row>
    <row r="1223" spans="7:12" x14ac:dyDescent="0.3">
      <c r="G1223" s="47" t="str">
        <f t="shared" si="135"/>
        <v/>
      </c>
      <c r="I1223">
        <f t="shared" si="136"/>
        <v>0</v>
      </c>
      <c r="K1223">
        <f t="shared" si="137"/>
        <v>1</v>
      </c>
      <c r="L1223" s="24">
        <f t="shared" si="138"/>
        <v>0</v>
      </c>
    </row>
    <row r="1224" spans="7:12" x14ac:dyDescent="0.3">
      <c r="G1224" s="47" t="str">
        <f t="shared" si="135"/>
        <v/>
      </c>
      <c r="I1224">
        <f t="shared" si="136"/>
        <v>0</v>
      </c>
      <c r="K1224">
        <f t="shared" si="137"/>
        <v>1</v>
      </c>
      <c r="L1224" s="24">
        <f t="shared" si="138"/>
        <v>0</v>
      </c>
    </row>
    <row r="1225" spans="7:12" x14ac:dyDescent="0.3">
      <c r="G1225" s="47" t="str">
        <f t="shared" si="135"/>
        <v/>
      </c>
      <c r="I1225">
        <f t="shared" si="136"/>
        <v>0</v>
      </c>
      <c r="K1225">
        <f t="shared" si="137"/>
        <v>1</v>
      </c>
      <c r="L1225" s="24">
        <f t="shared" si="138"/>
        <v>0</v>
      </c>
    </row>
    <row r="1226" spans="7:12" x14ac:dyDescent="0.3">
      <c r="G1226" s="47" t="str">
        <f t="shared" si="135"/>
        <v/>
      </c>
      <c r="I1226">
        <f t="shared" si="136"/>
        <v>0</v>
      </c>
      <c r="K1226">
        <f t="shared" si="137"/>
        <v>1</v>
      </c>
      <c r="L1226" s="24">
        <f t="shared" si="138"/>
        <v>0</v>
      </c>
    </row>
    <row r="1227" spans="7:12" x14ac:dyDescent="0.3">
      <c r="G1227" s="47" t="str">
        <f t="shared" si="135"/>
        <v/>
      </c>
      <c r="I1227">
        <f t="shared" si="136"/>
        <v>0</v>
      </c>
      <c r="K1227">
        <f t="shared" si="137"/>
        <v>1</v>
      </c>
      <c r="L1227" s="24">
        <f t="shared" si="138"/>
        <v>0</v>
      </c>
    </row>
    <row r="1228" spans="7:12" x14ac:dyDescent="0.3">
      <c r="G1228" s="47" t="str">
        <f t="shared" si="135"/>
        <v/>
      </c>
      <c r="I1228">
        <f t="shared" si="136"/>
        <v>0</v>
      </c>
      <c r="K1228">
        <f t="shared" si="137"/>
        <v>1</v>
      </c>
      <c r="L1228" s="24">
        <f t="shared" si="138"/>
        <v>0</v>
      </c>
    </row>
    <row r="1229" spans="7:12" x14ac:dyDescent="0.3">
      <c r="G1229" s="47" t="str">
        <f t="shared" si="135"/>
        <v/>
      </c>
      <c r="I1229">
        <f t="shared" si="136"/>
        <v>0</v>
      </c>
      <c r="K1229">
        <f t="shared" si="137"/>
        <v>1</v>
      </c>
      <c r="L1229" s="24">
        <f t="shared" si="138"/>
        <v>0</v>
      </c>
    </row>
    <row r="1230" spans="7:12" x14ac:dyDescent="0.3">
      <c r="G1230" s="47" t="str">
        <f t="shared" si="135"/>
        <v/>
      </c>
      <c r="I1230">
        <f t="shared" si="136"/>
        <v>0</v>
      </c>
      <c r="K1230">
        <f t="shared" si="137"/>
        <v>1</v>
      </c>
      <c r="L1230" s="24">
        <f t="shared" si="138"/>
        <v>0</v>
      </c>
    </row>
    <row r="1231" spans="7:12" x14ac:dyDescent="0.3">
      <c r="G1231" s="47" t="str">
        <f t="shared" si="135"/>
        <v/>
      </c>
      <c r="I1231">
        <f t="shared" si="136"/>
        <v>0</v>
      </c>
      <c r="K1231">
        <f t="shared" si="137"/>
        <v>1</v>
      </c>
      <c r="L1231" s="24">
        <f t="shared" si="138"/>
        <v>0</v>
      </c>
    </row>
    <row r="1232" spans="7:12" x14ac:dyDescent="0.3">
      <c r="G1232" s="47" t="str">
        <f t="shared" si="135"/>
        <v/>
      </c>
      <c r="I1232">
        <f t="shared" si="136"/>
        <v>0</v>
      </c>
      <c r="K1232">
        <f t="shared" si="137"/>
        <v>1</v>
      </c>
      <c r="L1232" s="24">
        <f t="shared" si="138"/>
        <v>0</v>
      </c>
    </row>
    <row r="1233" spans="7:12" x14ac:dyDescent="0.3">
      <c r="G1233" s="47" t="str">
        <f t="shared" si="135"/>
        <v/>
      </c>
      <c r="I1233">
        <f t="shared" si="136"/>
        <v>0</v>
      </c>
      <c r="K1233">
        <f t="shared" si="137"/>
        <v>1</v>
      </c>
      <c r="L1233" s="24">
        <f t="shared" si="138"/>
        <v>0</v>
      </c>
    </row>
    <row r="1234" spans="7:12" x14ac:dyDescent="0.3">
      <c r="G1234" s="47" t="str">
        <f t="shared" si="135"/>
        <v/>
      </c>
      <c r="I1234">
        <f t="shared" si="136"/>
        <v>0</v>
      </c>
      <c r="K1234">
        <f t="shared" si="137"/>
        <v>1</v>
      </c>
      <c r="L1234" s="24">
        <f t="shared" si="138"/>
        <v>0</v>
      </c>
    </row>
    <row r="1235" spans="7:12" x14ac:dyDescent="0.3">
      <c r="G1235" s="47" t="str">
        <f t="shared" si="135"/>
        <v/>
      </c>
      <c r="I1235">
        <f t="shared" si="136"/>
        <v>0</v>
      </c>
      <c r="K1235">
        <f t="shared" si="137"/>
        <v>1</v>
      </c>
      <c r="L1235" s="24">
        <f t="shared" si="138"/>
        <v>0</v>
      </c>
    </row>
    <row r="1236" spans="7:12" x14ac:dyDescent="0.3">
      <c r="G1236" s="47" t="str">
        <f t="shared" si="135"/>
        <v/>
      </c>
      <c r="I1236">
        <f t="shared" si="136"/>
        <v>0</v>
      </c>
      <c r="K1236">
        <f t="shared" si="137"/>
        <v>1</v>
      </c>
      <c r="L1236" s="24">
        <f t="shared" si="138"/>
        <v>0</v>
      </c>
    </row>
    <row r="1237" spans="7:12" x14ac:dyDescent="0.3">
      <c r="G1237" s="47" t="str">
        <f t="shared" si="135"/>
        <v/>
      </c>
      <c r="I1237">
        <f t="shared" si="136"/>
        <v>0</v>
      </c>
      <c r="K1237">
        <f t="shared" si="137"/>
        <v>1</v>
      </c>
      <c r="L1237" s="24">
        <f t="shared" si="138"/>
        <v>0</v>
      </c>
    </row>
    <row r="1238" spans="7:12" x14ac:dyDescent="0.3">
      <c r="G1238" s="47" t="str">
        <f t="shared" si="135"/>
        <v/>
      </c>
      <c r="I1238">
        <f t="shared" si="136"/>
        <v>0</v>
      </c>
      <c r="K1238">
        <f t="shared" si="137"/>
        <v>1</v>
      </c>
      <c r="L1238" s="24">
        <f t="shared" si="138"/>
        <v>0</v>
      </c>
    </row>
    <row r="1239" spans="7:12" x14ac:dyDescent="0.3">
      <c r="G1239" s="47" t="str">
        <f t="shared" si="135"/>
        <v/>
      </c>
      <c r="I1239">
        <f t="shared" si="136"/>
        <v>0</v>
      </c>
      <c r="K1239">
        <f t="shared" si="137"/>
        <v>1</v>
      </c>
      <c r="L1239" s="24">
        <f t="shared" si="138"/>
        <v>0</v>
      </c>
    </row>
    <row r="1240" spans="7:12" x14ac:dyDescent="0.3">
      <c r="G1240" s="47" t="str">
        <f t="shared" si="135"/>
        <v/>
      </c>
      <c r="I1240">
        <f t="shared" si="136"/>
        <v>0</v>
      </c>
      <c r="K1240">
        <f t="shared" si="137"/>
        <v>1</v>
      </c>
      <c r="L1240" s="24">
        <f t="shared" si="138"/>
        <v>0</v>
      </c>
    </row>
    <row r="1241" spans="7:12" x14ac:dyDescent="0.3">
      <c r="G1241" s="47" t="str">
        <f t="shared" si="135"/>
        <v/>
      </c>
      <c r="I1241">
        <f t="shared" si="136"/>
        <v>0</v>
      </c>
      <c r="K1241">
        <f t="shared" si="137"/>
        <v>1</v>
      </c>
      <c r="L1241" s="24">
        <f t="shared" si="138"/>
        <v>0</v>
      </c>
    </row>
    <row r="1242" spans="7:12" x14ac:dyDescent="0.3">
      <c r="G1242" s="47" t="str">
        <f t="shared" si="135"/>
        <v/>
      </c>
      <c r="I1242">
        <f t="shared" si="136"/>
        <v>0</v>
      </c>
      <c r="K1242">
        <f t="shared" si="137"/>
        <v>1</v>
      </c>
      <c r="L1242" s="24">
        <f t="shared" si="138"/>
        <v>0</v>
      </c>
    </row>
    <row r="1243" spans="7:12" x14ac:dyDescent="0.3">
      <c r="G1243" s="47" t="str">
        <f t="shared" si="135"/>
        <v/>
      </c>
      <c r="I1243">
        <f t="shared" si="136"/>
        <v>0</v>
      </c>
      <c r="K1243">
        <f t="shared" si="137"/>
        <v>1</v>
      </c>
      <c r="L1243" s="24">
        <f t="shared" si="138"/>
        <v>0</v>
      </c>
    </row>
    <row r="1244" spans="7:12" x14ac:dyDescent="0.3">
      <c r="G1244" s="47" t="str">
        <f t="shared" si="135"/>
        <v/>
      </c>
      <c r="I1244">
        <f t="shared" si="136"/>
        <v>0</v>
      </c>
      <c r="K1244">
        <f t="shared" si="137"/>
        <v>1</v>
      </c>
      <c r="L1244" s="24">
        <f t="shared" si="138"/>
        <v>0</v>
      </c>
    </row>
    <row r="1245" spans="7:12" x14ac:dyDescent="0.3">
      <c r="G1245" s="47" t="str">
        <f t="shared" si="135"/>
        <v/>
      </c>
      <c r="I1245">
        <f t="shared" si="136"/>
        <v>0</v>
      </c>
      <c r="K1245">
        <f t="shared" si="137"/>
        <v>1</v>
      </c>
      <c r="L1245" s="24">
        <f t="shared" si="138"/>
        <v>0</v>
      </c>
    </row>
    <row r="1246" spans="7:12" x14ac:dyDescent="0.3">
      <c r="G1246" s="47" t="str">
        <f t="shared" si="135"/>
        <v/>
      </c>
      <c r="I1246">
        <f t="shared" si="136"/>
        <v>0</v>
      </c>
      <c r="K1246">
        <f t="shared" si="137"/>
        <v>1</v>
      </c>
      <c r="L1246" s="24">
        <f t="shared" si="138"/>
        <v>0</v>
      </c>
    </row>
    <row r="1247" spans="7:12" x14ac:dyDescent="0.3">
      <c r="G1247" s="47" t="str">
        <f t="shared" si="135"/>
        <v/>
      </c>
      <c r="I1247">
        <f t="shared" si="136"/>
        <v>0</v>
      </c>
      <c r="K1247">
        <f t="shared" si="137"/>
        <v>1</v>
      </c>
      <c r="L1247" s="24">
        <f t="shared" si="138"/>
        <v>0</v>
      </c>
    </row>
    <row r="1248" spans="7:12" x14ac:dyDescent="0.3">
      <c r="G1248" s="47" t="str">
        <f t="shared" si="135"/>
        <v/>
      </c>
      <c r="I1248">
        <f t="shared" si="136"/>
        <v>0</v>
      </c>
      <c r="K1248">
        <f t="shared" si="137"/>
        <v>1</v>
      </c>
      <c r="L1248" s="24">
        <f t="shared" si="138"/>
        <v>0</v>
      </c>
    </row>
    <row r="1249" spans="7:12" x14ac:dyDescent="0.3">
      <c r="G1249" s="47" t="str">
        <f t="shared" si="135"/>
        <v/>
      </c>
      <c r="I1249">
        <f t="shared" si="136"/>
        <v>0</v>
      </c>
      <c r="K1249">
        <f t="shared" si="137"/>
        <v>1</v>
      </c>
      <c r="L1249" s="24">
        <f t="shared" si="138"/>
        <v>0</v>
      </c>
    </row>
    <row r="1250" spans="7:12" x14ac:dyDescent="0.3">
      <c r="G1250" s="47" t="str">
        <f t="shared" si="135"/>
        <v/>
      </c>
      <c r="I1250">
        <f t="shared" si="136"/>
        <v>0</v>
      </c>
      <c r="K1250">
        <f t="shared" si="137"/>
        <v>1</v>
      </c>
      <c r="L1250" s="24">
        <f t="shared" si="138"/>
        <v>0</v>
      </c>
    </row>
    <row r="1251" spans="7:12" x14ac:dyDescent="0.3">
      <c r="G1251" s="47" t="str">
        <f t="shared" si="135"/>
        <v/>
      </c>
      <c r="I1251">
        <f t="shared" si="136"/>
        <v>0</v>
      </c>
      <c r="K1251">
        <f t="shared" si="137"/>
        <v>1</v>
      </c>
      <c r="L1251" s="24">
        <f t="shared" si="138"/>
        <v>0</v>
      </c>
    </row>
    <row r="1252" spans="7:12" x14ac:dyDescent="0.3">
      <c r="G1252" s="47" t="str">
        <f t="shared" si="135"/>
        <v/>
      </c>
      <c r="I1252">
        <f t="shared" si="136"/>
        <v>0</v>
      </c>
      <c r="K1252">
        <f t="shared" si="137"/>
        <v>1</v>
      </c>
      <c r="L1252" s="24">
        <f t="shared" si="138"/>
        <v>0</v>
      </c>
    </row>
    <row r="1253" spans="7:12" x14ac:dyDescent="0.3">
      <c r="G1253" s="47" t="str">
        <f t="shared" si="135"/>
        <v/>
      </c>
      <c r="I1253">
        <f t="shared" si="136"/>
        <v>0</v>
      </c>
      <c r="K1253">
        <f t="shared" si="137"/>
        <v>1</v>
      </c>
      <c r="L1253" s="24">
        <f t="shared" si="138"/>
        <v>0</v>
      </c>
    </row>
    <row r="1254" spans="7:12" x14ac:dyDescent="0.3">
      <c r="G1254" s="47" t="str">
        <f t="shared" si="135"/>
        <v/>
      </c>
      <c r="I1254">
        <f t="shared" si="136"/>
        <v>0</v>
      </c>
      <c r="K1254">
        <f t="shared" si="137"/>
        <v>1</v>
      </c>
      <c r="L1254" s="24">
        <f t="shared" si="138"/>
        <v>0</v>
      </c>
    </row>
    <row r="1255" spans="7:12" x14ac:dyDescent="0.3">
      <c r="G1255" s="47" t="str">
        <f t="shared" si="135"/>
        <v/>
      </c>
      <c r="I1255">
        <f t="shared" si="136"/>
        <v>0</v>
      </c>
      <c r="K1255">
        <f t="shared" si="137"/>
        <v>1</v>
      </c>
      <c r="L1255" s="24">
        <f t="shared" si="138"/>
        <v>0</v>
      </c>
    </row>
    <row r="1256" spans="7:12" x14ac:dyDescent="0.3">
      <c r="G1256" s="47" t="str">
        <f t="shared" si="135"/>
        <v/>
      </c>
      <c r="I1256">
        <f t="shared" si="136"/>
        <v>0</v>
      </c>
      <c r="K1256">
        <f t="shared" si="137"/>
        <v>1</v>
      </c>
      <c r="L1256" s="24">
        <f t="shared" si="138"/>
        <v>0</v>
      </c>
    </row>
    <row r="1257" spans="7:12" x14ac:dyDescent="0.3">
      <c r="G1257" s="47" t="str">
        <f t="shared" si="135"/>
        <v/>
      </c>
      <c r="I1257">
        <f t="shared" si="136"/>
        <v>0</v>
      </c>
      <c r="K1257">
        <f t="shared" si="137"/>
        <v>1</v>
      </c>
      <c r="L1257" s="24">
        <f t="shared" si="138"/>
        <v>0</v>
      </c>
    </row>
    <row r="1258" spans="7:12" x14ac:dyDescent="0.3">
      <c r="G1258" s="47" t="str">
        <f t="shared" si="135"/>
        <v/>
      </c>
      <c r="I1258">
        <f t="shared" si="136"/>
        <v>0</v>
      </c>
      <c r="K1258">
        <f t="shared" si="137"/>
        <v>1</v>
      </c>
      <c r="L1258" s="24">
        <f t="shared" si="138"/>
        <v>0</v>
      </c>
    </row>
    <row r="1259" spans="7:12" x14ac:dyDescent="0.3">
      <c r="G1259" s="47" t="str">
        <f t="shared" si="135"/>
        <v/>
      </c>
      <c r="I1259">
        <f t="shared" si="136"/>
        <v>0</v>
      </c>
      <c r="K1259">
        <f t="shared" si="137"/>
        <v>1</v>
      </c>
      <c r="L1259" s="24">
        <f t="shared" si="138"/>
        <v>0</v>
      </c>
    </row>
    <row r="1260" spans="7:12" x14ac:dyDescent="0.3">
      <c r="G1260" s="47" t="str">
        <f t="shared" si="135"/>
        <v/>
      </c>
      <c r="I1260">
        <f t="shared" si="136"/>
        <v>0</v>
      </c>
      <c r="K1260">
        <f t="shared" si="137"/>
        <v>1</v>
      </c>
      <c r="L1260" s="24">
        <f t="shared" si="138"/>
        <v>0</v>
      </c>
    </row>
    <row r="1261" spans="7:12" x14ac:dyDescent="0.3">
      <c r="G1261" s="47" t="str">
        <f t="shared" si="135"/>
        <v/>
      </c>
      <c r="I1261">
        <f t="shared" si="136"/>
        <v>0</v>
      </c>
      <c r="K1261">
        <f t="shared" si="137"/>
        <v>1</v>
      </c>
      <c r="L1261" s="24">
        <f t="shared" si="138"/>
        <v>0</v>
      </c>
    </row>
    <row r="1262" spans="7:12" x14ac:dyDescent="0.3">
      <c r="G1262" s="47" t="str">
        <f t="shared" si="135"/>
        <v/>
      </c>
      <c r="I1262">
        <f t="shared" si="136"/>
        <v>0</v>
      </c>
      <c r="K1262">
        <f t="shared" si="137"/>
        <v>1</v>
      </c>
      <c r="L1262" s="24">
        <f t="shared" si="138"/>
        <v>0</v>
      </c>
    </row>
    <row r="1263" spans="7:12" x14ac:dyDescent="0.3">
      <c r="G1263" s="47" t="str">
        <f t="shared" si="135"/>
        <v/>
      </c>
      <c r="I1263">
        <f t="shared" si="136"/>
        <v>0</v>
      </c>
      <c r="K1263">
        <f t="shared" si="137"/>
        <v>1</v>
      </c>
      <c r="L1263" s="24">
        <f t="shared" si="138"/>
        <v>0</v>
      </c>
    </row>
    <row r="1264" spans="7:12" x14ac:dyDescent="0.3">
      <c r="G1264" s="47" t="str">
        <f t="shared" si="135"/>
        <v/>
      </c>
      <c r="I1264">
        <f t="shared" si="136"/>
        <v>0</v>
      </c>
      <c r="K1264">
        <f t="shared" si="137"/>
        <v>1</v>
      </c>
      <c r="L1264" s="24">
        <f t="shared" si="138"/>
        <v>0</v>
      </c>
    </row>
    <row r="1265" spans="7:12" x14ac:dyDescent="0.3">
      <c r="G1265" s="47" t="str">
        <f t="shared" si="135"/>
        <v/>
      </c>
      <c r="I1265">
        <f t="shared" si="136"/>
        <v>0</v>
      </c>
      <c r="K1265">
        <f t="shared" si="137"/>
        <v>1</v>
      </c>
      <c r="L1265" s="24">
        <f t="shared" si="138"/>
        <v>0</v>
      </c>
    </row>
    <row r="1266" spans="7:12" x14ac:dyDescent="0.3">
      <c r="G1266" s="47" t="str">
        <f t="shared" si="135"/>
        <v/>
      </c>
      <c r="I1266">
        <f t="shared" si="136"/>
        <v>0</v>
      </c>
      <c r="K1266">
        <f t="shared" si="137"/>
        <v>1</v>
      </c>
      <c r="L1266" s="24">
        <f t="shared" si="138"/>
        <v>0</v>
      </c>
    </row>
    <row r="1267" spans="7:12" x14ac:dyDescent="0.3">
      <c r="G1267" s="47" t="str">
        <f t="shared" si="135"/>
        <v/>
      </c>
      <c r="I1267">
        <f t="shared" si="136"/>
        <v>0</v>
      </c>
      <c r="K1267">
        <f t="shared" si="137"/>
        <v>1</v>
      </c>
      <c r="L1267" s="24">
        <f t="shared" si="138"/>
        <v>0</v>
      </c>
    </row>
    <row r="1268" spans="7:12" x14ac:dyDescent="0.3">
      <c r="G1268" s="47" t="str">
        <f t="shared" si="135"/>
        <v/>
      </c>
      <c r="I1268">
        <f t="shared" si="136"/>
        <v>0</v>
      </c>
      <c r="K1268">
        <f t="shared" si="137"/>
        <v>1</v>
      </c>
      <c r="L1268" s="24">
        <f t="shared" si="138"/>
        <v>0</v>
      </c>
    </row>
    <row r="1269" spans="7:12" x14ac:dyDescent="0.3">
      <c r="G1269" s="47" t="str">
        <f t="shared" si="135"/>
        <v/>
      </c>
      <c r="I1269">
        <f t="shared" si="136"/>
        <v>0</v>
      </c>
      <c r="K1269">
        <f t="shared" si="137"/>
        <v>1</v>
      </c>
      <c r="L1269" s="24">
        <f t="shared" si="138"/>
        <v>0</v>
      </c>
    </row>
    <row r="1270" spans="7:12" x14ac:dyDescent="0.3">
      <c r="G1270" s="47" t="str">
        <f t="shared" ref="G1270:G1333" si="139">IF(E1270=0,"",IF(F1270="","",(F1270-E1270)*D1270))</f>
        <v/>
      </c>
      <c r="I1270">
        <f t="shared" si="136"/>
        <v>0</v>
      </c>
      <c r="K1270">
        <f t="shared" si="137"/>
        <v>1</v>
      </c>
      <c r="L1270" s="24">
        <f t="shared" si="138"/>
        <v>0</v>
      </c>
    </row>
    <row r="1271" spans="7:12" x14ac:dyDescent="0.3">
      <c r="G1271" s="47" t="str">
        <f t="shared" si="139"/>
        <v/>
      </c>
      <c r="I1271">
        <f t="shared" si="136"/>
        <v>0</v>
      </c>
      <c r="K1271">
        <f t="shared" si="137"/>
        <v>1</v>
      </c>
      <c r="L1271" s="24">
        <f t="shared" si="138"/>
        <v>0</v>
      </c>
    </row>
    <row r="1272" spans="7:12" x14ac:dyDescent="0.3">
      <c r="G1272" s="47" t="str">
        <f t="shared" si="139"/>
        <v/>
      </c>
      <c r="I1272">
        <f t="shared" si="136"/>
        <v>0</v>
      </c>
      <c r="K1272">
        <f t="shared" si="137"/>
        <v>1</v>
      </c>
      <c r="L1272" s="24">
        <f t="shared" si="138"/>
        <v>0</v>
      </c>
    </row>
    <row r="1273" spans="7:12" x14ac:dyDescent="0.3">
      <c r="G1273" s="47" t="str">
        <f t="shared" si="139"/>
        <v/>
      </c>
      <c r="I1273">
        <f t="shared" si="136"/>
        <v>0</v>
      </c>
      <c r="K1273">
        <f t="shared" si="137"/>
        <v>1</v>
      </c>
      <c r="L1273" s="24">
        <f t="shared" si="138"/>
        <v>0</v>
      </c>
    </row>
    <row r="1274" spans="7:12" x14ac:dyDescent="0.3">
      <c r="G1274" s="47" t="str">
        <f t="shared" si="139"/>
        <v/>
      </c>
      <c r="I1274">
        <f t="shared" si="136"/>
        <v>0</v>
      </c>
      <c r="K1274">
        <f t="shared" si="137"/>
        <v>1</v>
      </c>
      <c r="L1274" s="24">
        <f t="shared" si="138"/>
        <v>0</v>
      </c>
    </row>
    <row r="1275" spans="7:12" x14ac:dyDescent="0.3">
      <c r="G1275" s="47" t="str">
        <f t="shared" si="139"/>
        <v/>
      </c>
      <c r="I1275">
        <f t="shared" si="136"/>
        <v>0</v>
      </c>
      <c r="K1275">
        <f t="shared" si="137"/>
        <v>1</v>
      </c>
      <c r="L1275" s="24">
        <f t="shared" si="138"/>
        <v>0</v>
      </c>
    </row>
    <row r="1276" spans="7:12" x14ac:dyDescent="0.3">
      <c r="G1276" s="47" t="str">
        <f t="shared" si="139"/>
        <v/>
      </c>
      <c r="I1276">
        <f t="shared" si="136"/>
        <v>0</v>
      </c>
      <c r="K1276">
        <f t="shared" si="137"/>
        <v>1</v>
      </c>
      <c r="L1276" s="24">
        <f t="shared" si="138"/>
        <v>0</v>
      </c>
    </row>
    <row r="1277" spans="7:12" x14ac:dyDescent="0.3">
      <c r="G1277" s="47" t="str">
        <f t="shared" si="139"/>
        <v/>
      </c>
      <c r="I1277">
        <f t="shared" ref="I1277:I1340" si="140">+E1277*1.1</f>
        <v>0</v>
      </c>
      <c r="K1277">
        <f t="shared" ref="K1277:K1340" si="141">IF(F1277=0,1,0)</f>
        <v>1</v>
      </c>
      <c r="L1277" s="24">
        <f t="shared" ref="L1277:L1340" si="142">+D1277*E1277</f>
        <v>0</v>
      </c>
    </row>
    <row r="1278" spans="7:12" x14ac:dyDescent="0.3">
      <c r="G1278" s="47" t="str">
        <f t="shared" si="139"/>
        <v/>
      </c>
      <c r="I1278">
        <f t="shared" si="140"/>
        <v>0</v>
      </c>
      <c r="K1278">
        <f t="shared" si="141"/>
        <v>1</v>
      </c>
      <c r="L1278" s="24">
        <f t="shared" si="142"/>
        <v>0</v>
      </c>
    </row>
    <row r="1279" spans="7:12" x14ac:dyDescent="0.3">
      <c r="G1279" s="47" t="str">
        <f t="shared" si="139"/>
        <v/>
      </c>
      <c r="I1279">
        <f t="shared" si="140"/>
        <v>0</v>
      </c>
      <c r="K1279">
        <f t="shared" si="141"/>
        <v>1</v>
      </c>
      <c r="L1279" s="24">
        <f t="shared" si="142"/>
        <v>0</v>
      </c>
    </row>
    <row r="1280" spans="7:12" x14ac:dyDescent="0.3">
      <c r="G1280" s="47" t="str">
        <f t="shared" si="139"/>
        <v/>
      </c>
      <c r="I1280">
        <f t="shared" si="140"/>
        <v>0</v>
      </c>
      <c r="K1280">
        <f t="shared" si="141"/>
        <v>1</v>
      </c>
      <c r="L1280" s="24">
        <f t="shared" si="142"/>
        <v>0</v>
      </c>
    </row>
    <row r="1281" spans="7:12" x14ac:dyDescent="0.3">
      <c r="G1281" s="47" t="str">
        <f t="shared" si="139"/>
        <v/>
      </c>
      <c r="I1281">
        <f t="shared" si="140"/>
        <v>0</v>
      </c>
      <c r="K1281">
        <f t="shared" si="141"/>
        <v>1</v>
      </c>
      <c r="L1281" s="24">
        <f t="shared" si="142"/>
        <v>0</v>
      </c>
    </row>
    <row r="1282" spans="7:12" x14ac:dyDescent="0.3">
      <c r="G1282" s="47" t="str">
        <f t="shared" si="139"/>
        <v/>
      </c>
      <c r="I1282">
        <f t="shared" si="140"/>
        <v>0</v>
      </c>
      <c r="K1282">
        <f t="shared" si="141"/>
        <v>1</v>
      </c>
      <c r="L1282" s="24">
        <f t="shared" si="142"/>
        <v>0</v>
      </c>
    </row>
    <row r="1283" spans="7:12" x14ac:dyDescent="0.3">
      <c r="G1283" s="47" t="str">
        <f t="shared" si="139"/>
        <v/>
      </c>
      <c r="I1283">
        <f t="shared" si="140"/>
        <v>0</v>
      </c>
      <c r="K1283">
        <f t="shared" si="141"/>
        <v>1</v>
      </c>
      <c r="L1283" s="24">
        <f t="shared" si="142"/>
        <v>0</v>
      </c>
    </row>
    <row r="1284" spans="7:12" x14ac:dyDescent="0.3">
      <c r="G1284" s="47" t="str">
        <f t="shared" si="139"/>
        <v/>
      </c>
      <c r="I1284">
        <f t="shared" si="140"/>
        <v>0</v>
      </c>
      <c r="K1284">
        <f t="shared" si="141"/>
        <v>1</v>
      </c>
      <c r="L1284" s="24">
        <f t="shared" si="142"/>
        <v>0</v>
      </c>
    </row>
    <row r="1285" spans="7:12" x14ac:dyDescent="0.3">
      <c r="G1285" s="47" t="str">
        <f t="shared" si="139"/>
        <v/>
      </c>
      <c r="I1285">
        <f t="shared" si="140"/>
        <v>0</v>
      </c>
      <c r="K1285">
        <f t="shared" si="141"/>
        <v>1</v>
      </c>
      <c r="L1285" s="24">
        <f t="shared" si="142"/>
        <v>0</v>
      </c>
    </row>
    <row r="1286" spans="7:12" x14ac:dyDescent="0.3">
      <c r="G1286" s="47" t="str">
        <f t="shared" si="139"/>
        <v/>
      </c>
      <c r="I1286">
        <f t="shared" si="140"/>
        <v>0</v>
      </c>
      <c r="K1286">
        <f t="shared" si="141"/>
        <v>1</v>
      </c>
      <c r="L1286" s="24">
        <f t="shared" si="142"/>
        <v>0</v>
      </c>
    </row>
    <row r="1287" spans="7:12" x14ac:dyDescent="0.3">
      <c r="G1287" s="47" t="str">
        <f t="shared" si="139"/>
        <v/>
      </c>
      <c r="I1287">
        <f t="shared" si="140"/>
        <v>0</v>
      </c>
      <c r="K1287">
        <f t="shared" si="141"/>
        <v>1</v>
      </c>
      <c r="L1287" s="24">
        <f t="shared" si="142"/>
        <v>0</v>
      </c>
    </row>
    <row r="1288" spans="7:12" x14ac:dyDescent="0.3">
      <c r="G1288" s="47" t="str">
        <f t="shared" si="139"/>
        <v/>
      </c>
      <c r="I1288">
        <f t="shared" si="140"/>
        <v>0</v>
      </c>
      <c r="K1288">
        <f t="shared" si="141"/>
        <v>1</v>
      </c>
      <c r="L1288" s="24">
        <f t="shared" si="142"/>
        <v>0</v>
      </c>
    </row>
    <row r="1289" spans="7:12" x14ac:dyDescent="0.3">
      <c r="G1289" s="47" t="str">
        <f t="shared" si="139"/>
        <v/>
      </c>
      <c r="I1289">
        <f t="shared" si="140"/>
        <v>0</v>
      </c>
      <c r="K1289">
        <f t="shared" si="141"/>
        <v>1</v>
      </c>
      <c r="L1289" s="24">
        <f t="shared" si="142"/>
        <v>0</v>
      </c>
    </row>
    <row r="1290" spans="7:12" x14ac:dyDescent="0.3">
      <c r="G1290" s="47" t="str">
        <f t="shared" si="139"/>
        <v/>
      </c>
      <c r="I1290">
        <f t="shared" si="140"/>
        <v>0</v>
      </c>
      <c r="K1290">
        <f t="shared" si="141"/>
        <v>1</v>
      </c>
      <c r="L1290" s="24">
        <f t="shared" si="142"/>
        <v>0</v>
      </c>
    </row>
    <row r="1291" spans="7:12" x14ac:dyDescent="0.3">
      <c r="G1291" s="47" t="str">
        <f t="shared" si="139"/>
        <v/>
      </c>
      <c r="I1291">
        <f t="shared" si="140"/>
        <v>0</v>
      </c>
      <c r="K1291">
        <f t="shared" si="141"/>
        <v>1</v>
      </c>
      <c r="L1291" s="24">
        <f t="shared" si="142"/>
        <v>0</v>
      </c>
    </row>
    <row r="1292" spans="7:12" x14ac:dyDescent="0.3">
      <c r="G1292" s="47" t="str">
        <f t="shared" si="139"/>
        <v/>
      </c>
      <c r="I1292">
        <f t="shared" si="140"/>
        <v>0</v>
      </c>
      <c r="K1292">
        <f t="shared" si="141"/>
        <v>1</v>
      </c>
      <c r="L1292" s="24">
        <f t="shared" si="142"/>
        <v>0</v>
      </c>
    </row>
    <row r="1293" spans="7:12" x14ac:dyDescent="0.3">
      <c r="G1293" s="47" t="str">
        <f t="shared" si="139"/>
        <v/>
      </c>
      <c r="I1293">
        <f t="shared" si="140"/>
        <v>0</v>
      </c>
      <c r="K1293">
        <f t="shared" si="141"/>
        <v>1</v>
      </c>
      <c r="L1293" s="24">
        <f t="shared" si="142"/>
        <v>0</v>
      </c>
    </row>
    <row r="1294" spans="7:12" x14ac:dyDescent="0.3">
      <c r="G1294" s="47" t="str">
        <f t="shared" si="139"/>
        <v/>
      </c>
      <c r="I1294">
        <f t="shared" si="140"/>
        <v>0</v>
      </c>
      <c r="K1294">
        <f t="shared" si="141"/>
        <v>1</v>
      </c>
      <c r="L1294" s="24">
        <f t="shared" si="142"/>
        <v>0</v>
      </c>
    </row>
    <row r="1295" spans="7:12" x14ac:dyDescent="0.3">
      <c r="G1295" s="47" t="str">
        <f t="shared" si="139"/>
        <v/>
      </c>
      <c r="I1295">
        <f t="shared" si="140"/>
        <v>0</v>
      </c>
      <c r="K1295">
        <f t="shared" si="141"/>
        <v>1</v>
      </c>
      <c r="L1295" s="24">
        <f t="shared" si="142"/>
        <v>0</v>
      </c>
    </row>
    <row r="1296" spans="7:12" x14ac:dyDescent="0.3">
      <c r="G1296" s="47" t="str">
        <f t="shared" si="139"/>
        <v/>
      </c>
      <c r="I1296">
        <f t="shared" si="140"/>
        <v>0</v>
      </c>
      <c r="K1296">
        <f t="shared" si="141"/>
        <v>1</v>
      </c>
      <c r="L1296" s="24">
        <f t="shared" si="142"/>
        <v>0</v>
      </c>
    </row>
    <row r="1297" spans="7:12" x14ac:dyDescent="0.3">
      <c r="G1297" s="47" t="str">
        <f t="shared" si="139"/>
        <v/>
      </c>
      <c r="I1297">
        <f t="shared" si="140"/>
        <v>0</v>
      </c>
      <c r="K1297">
        <f t="shared" si="141"/>
        <v>1</v>
      </c>
      <c r="L1297" s="24">
        <f t="shared" si="142"/>
        <v>0</v>
      </c>
    </row>
    <row r="1298" spans="7:12" x14ac:dyDescent="0.3">
      <c r="G1298" s="47" t="str">
        <f t="shared" si="139"/>
        <v/>
      </c>
      <c r="I1298">
        <f t="shared" si="140"/>
        <v>0</v>
      </c>
      <c r="K1298">
        <f t="shared" si="141"/>
        <v>1</v>
      </c>
      <c r="L1298" s="24">
        <f t="shared" si="142"/>
        <v>0</v>
      </c>
    </row>
    <row r="1299" spans="7:12" x14ac:dyDescent="0.3">
      <c r="G1299" s="47" t="str">
        <f t="shared" si="139"/>
        <v/>
      </c>
      <c r="I1299">
        <f t="shared" si="140"/>
        <v>0</v>
      </c>
      <c r="K1299">
        <f t="shared" si="141"/>
        <v>1</v>
      </c>
      <c r="L1299" s="24">
        <f t="shared" si="142"/>
        <v>0</v>
      </c>
    </row>
    <row r="1300" spans="7:12" x14ac:dyDescent="0.3">
      <c r="G1300" s="47" t="str">
        <f t="shared" si="139"/>
        <v/>
      </c>
      <c r="I1300">
        <f t="shared" si="140"/>
        <v>0</v>
      </c>
      <c r="K1300">
        <f t="shared" si="141"/>
        <v>1</v>
      </c>
      <c r="L1300" s="24">
        <f t="shared" si="142"/>
        <v>0</v>
      </c>
    </row>
    <row r="1301" spans="7:12" x14ac:dyDescent="0.3">
      <c r="G1301" s="47" t="str">
        <f t="shared" si="139"/>
        <v/>
      </c>
      <c r="I1301">
        <f t="shared" si="140"/>
        <v>0</v>
      </c>
      <c r="K1301">
        <f t="shared" si="141"/>
        <v>1</v>
      </c>
      <c r="L1301" s="24">
        <f t="shared" si="142"/>
        <v>0</v>
      </c>
    </row>
    <row r="1302" spans="7:12" x14ac:dyDescent="0.3">
      <c r="G1302" s="47" t="str">
        <f t="shared" si="139"/>
        <v/>
      </c>
      <c r="I1302">
        <f t="shared" si="140"/>
        <v>0</v>
      </c>
      <c r="K1302">
        <f t="shared" si="141"/>
        <v>1</v>
      </c>
      <c r="L1302" s="24">
        <f t="shared" si="142"/>
        <v>0</v>
      </c>
    </row>
    <row r="1303" spans="7:12" x14ac:dyDescent="0.3">
      <c r="G1303" s="47" t="str">
        <f t="shared" si="139"/>
        <v/>
      </c>
      <c r="I1303">
        <f t="shared" si="140"/>
        <v>0</v>
      </c>
      <c r="K1303">
        <f t="shared" si="141"/>
        <v>1</v>
      </c>
      <c r="L1303" s="24">
        <f t="shared" si="142"/>
        <v>0</v>
      </c>
    </row>
    <row r="1304" spans="7:12" x14ac:dyDescent="0.3">
      <c r="G1304" s="47" t="str">
        <f t="shared" si="139"/>
        <v/>
      </c>
      <c r="I1304">
        <f t="shared" si="140"/>
        <v>0</v>
      </c>
      <c r="K1304">
        <f t="shared" si="141"/>
        <v>1</v>
      </c>
      <c r="L1304" s="24">
        <f t="shared" si="142"/>
        <v>0</v>
      </c>
    </row>
    <row r="1305" spans="7:12" x14ac:dyDescent="0.3">
      <c r="G1305" s="47" t="str">
        <f t="shared" si="139"/>
        <v/>
      </c>
      <c r="I1305">
        <f t="shared" si="140"/>
        <v>0</v>
      </c>
      <c r="K1305">
        <f t="shared" si="141"/>
        <v>1</v>
      </c>
      <c r="L1305" s="24">
        <f t="shared" si="142"/>
        <v>0</v>
      </c>
    </row>
    <row r="1306" spans="7:12" x14ac:dyDescent="0.3">
      <c r="G1306" s="47" t="str">
        <f t="shared" si="139"/>
        <v/>
      </c>
      <c r="I1306">
        <f t="shared" si="140"/>
        <v>0</v>
      </c>
      <c r="K1306">
        <f t="shared" si="141"/>
        <v>1</v>
      </c>
      <c r="L1306" s="24">
        <f t="shared" si="142"/>
        <v>0</v>
      </c>
    </row>
    <row r="1307" spans="7:12" x14ac:dyDescent="0.3">
      <c r="G1307" s="47" t="str">
        <f t="shared" si="139"/>
        <v/>
      </c>
      <c r="I1307">
        <f t="shared" si="140"/>
        <v>0</v>
      </c>
      <c r="K1307">
        <f t="shared" si="141"/>
        <v>1</v>
      </c>
      <c r="L1307" s="24">
        <f t="shared" si="142"/>
        <v>0</v>
      </c>
    </row>
    <row r="1308" spans="7:12" x14ac:dyDescent="0.3">
      <c r="G1308" s="47" t="str">
        <f t="shared" si="139"/>
        <v/>
      </c>
      <c r="I1308">
        <f t="shared" si="140"/>
        <v>0</v>
      </c>
      <c r="K1308">
        <f t="shared" si="141"/>
        <v>1</v>
      </c>
      <c r="L1308" s="24">
        <f t="shared" si="142"/>
        <v>0</v>
      </c>
    </row>
    <row r="1309" spans="7:12" x14ac:dyDescent="0.3">
      <c r="G1309" s="47" t="str">
        <f t="shared" si="139"/>
        <v/>
      </c>
      <c r="I1309">
        <f t="shared" si="140"/>
        <v>0</v>
      </c>
      <c r="K1309">
        <f t="shared" si="141"/>
        <v>1</v>
      </c>
      <c r="L1309" s="24">
        <f t="shared" si="142"/>
        <v>0</v>
      </c>
    </row>
    <row r="1310" spans="7:12" x14ac:dyDescent="0.3">
      <c r="G1310" s="47" t="str">
        <f t="shared" si="139"/>
        <v/>
      </c>
      <c r="I1310">
        <f t="shared" si="140"/>
        <v>0</v>
      </c>
      <c r="K1310">
        <f t="shared" si="141"/>
        <v>1</v>
      </c>
      <c r="L1310" s="24">
        <f t="shared" si="142"/>
        <v>0</v>
      </c>
    </row>
    <row r="1311" spans="7:12" x14ac:dyDescent="0.3">
      <c r="G1311" s="47" t="str">
        <f t="shared" si="139"/>
        <v/>
      </c>
      <c r="I1311">
        <f t="shared" si="140"/>
        <v>0</v>
      </c>
      <c r="K1311">
        <f t="shared" si="141"/>
        <v>1</v>
      </c>
      <c r="L1311" s="24">
        <f t="shared" si="142"/>
        <v>0</v>
      </c>
    </row>
    <row r="1312" spans="7:12" x14ac:dyDescent="0.3">
      <c r="G1312" s="47" t="str">
        <f t="shared" si="139"/>
        <v/>
      </c>
      <c r="I1312">
        <f t="shared" si="140"/>
        <v>0</v>
      </c>
      <c r="K1312">
        <f t="shared" si="141"/>
        <v>1</v>
      </c>
      <c r="L1312" s="24">
        <f t="shared" si="142"/>
        <v>0</v>
      </c>
    </row>
    <row r="1313" spans="7:12" x14ac:dyDescent="0.3">
      <c r="G1313" s="47" t="str">
        <f t="shared" si="139"/>
        <v/>
      </c>
      <c r="I1313">
        <f t="shared" si="140"/>
        <v>0</v>
      </c>
      <c r="K1313">
        <f t="shared" si="141"/>
        <v>1</v>
      </c>
      <c r="L1313" s="24">
        <f t="shared" si="142"/>
        <v>0</v>
      </c>
    </row>
    <row r="1314" spans="7:12" x14ac:dyDescent="0.3">
      <c r="G1314" s="47" t="str">
        <f t="shared" si="139"/>
        <v/>
      </c>
      <c r="I1314">
        <f t="shared" si="140"/>
        <v>0</v>
      </c>
      <c r="K1314">
        <f t="shared" si="141"/>
        <v>1</v>
      </c>
      <c r="L1314" s="24">
        <f t="shared" si="142"/>
        <v>0</v>
      </c>
    </row>
    <row r="1315" spans="7:12" x14ac:dyDescent="0.3">
      <c r="G1315" s="47" t="str">
        <f t="shared" si="139"/>
        <v/>
      </c>
      <c r="I1315">
        <f t="shared" si="140"/>
        <v>0</v>
      </c>
      <c r="K1315">
        <f t="shared" si="141"/>
        <v>1</v>
      </c>
      <c r="L1315" s="24">
        <f t="shared" si="142"/>
        <v>0</v>
      </c>
    </row>
    <row r="1316" spans="7:12" x14ac:dyDescent="0.3">
      <c r="G1316" s="47" t="str">
        <f t="shared" si="139"/>
        <v/>
      </c>
      <c r="I1316">
        <f t="shared" si="140"/>
        <v>0</v>
      </c>
      <c r="K1316">
        <f t="shared" si="141"/>
        <v>1</v>
      </c>
      <c r="L1316" s="24">
        <f t="shared" si="142"/>
        <v>0</v>
      </c>
    </row>
    <row r="1317" spans="7:12" x14ac:dyDescent="0.3">
      <c r="G1317" s="47" t="str">
        <f t="shared" si="139"/>
        <v/>
      </c>
      <c r="I1317">
        <f t="shared" si="140"/>
        <v>0</v>
      </c>
      <c r="K1317">
        <f t="shared" si="141"/>
        <v>1</v>
      </c>
      <c r="L1317" s="24">
        <f t="shared" si="142"/>
        <v>0</v>
      </c>
    </row>
    <row r="1318" spans="7:12" x14ac:dyDescent="0.3">
      <c r="G1318" s="47" t="str">
        <f t="shared" si="139"/>
        <v/>
      </c>
      <c r="I1318">
        <f t="shared" si="140"/>
        <v>0</v>
      </c>
      <c r="K1318">
        <f t="shared" si="141"/>
        <v>1</v>
      </c>
      <c r="L1318" s="24">
        <f t="shared" si="142"/>
        <v>0</v>
      </c>
    </row>
    <row r="1319" spans="7:12" x14ac:dyDescent="0.3">
      <c r="G1319" s="47" t="str">
        <f t="shared" si="139"/>
        <v/>
      </c>
      <c r="I1319">
        <f t="shared" si="140"/>
        <v>0</v>
      </c>
      <c r="K1319">
        <f t="shared" si="141"/>
        <v>1</v>
      </c>
      <c r="L1319" s="24">
        <f t="shared" si="142"/>
        <v>0</v>
      </c>
    </row>
    <row r="1320" spans="7:12" x14ac:dyDescent="0.3">
      <c r="G1320" s="47" t="str">
        <f t="shared" si="139"/>
        <v/>
      </c>
      <c r="I1320">
        <f t="shared" si="140"/>
        <v>0</v>
      </c>
      <c r="K1320">
        <f t="shared" si="141"/>
        <v>1</v>
      </c>
      <c r="L1320" s="24">
        <f t="shared" si="142"/>
        <v>0</v>
      </c>
    </row>
    <row r="1321" spans="7:12" x14ac:dyDescent="0.3">
      <c r="G1321" s="47" t="str">
        <f t="shared" si="139"/>
        <v/>
      </c>
      <c r="I1321">
        <f t="shared" si="140"/>
        <v>0</v>
      </c>
      <c r="K1321">
        <f t="shared" si="141"/>
        <v>1</v>
      </c>
      <c r="L1321" s="24">
        <f t="shared" si="142"/>
        <v>0</v>
      </c>
    </row>
    <row r="1322" spans="7:12" x14ac:dyDescent="0.3">
      <c r="G1322" s="47" t="str">
        <f t="shared" si="139"/>
        <v/>
      </c>
      <c r="I1322">
        <f t="shared" si="140"/>
        <v>0</v>
      </c>
      <c r="K1322">
        <f t="shared" si="141"/>
        <v>1</v>
      </c>
      <c r="L1322" s="24">
        <f t="shared" si="142"/>
        <v>0</v>
      </c>
    </row>
    <row r="1323" spans="7:12" x14ac:dyDescent="0.3">
      <c r="G1323" s="47" t="str">
        <f t="shared" si="139"/>
        <v/>
      </c>
      <c r="I1323">
        <f t="shared" si="140"/>
        <v>0</v>
      </c>
      <c r="K1323">
        <f t="shared" si="141"/>
        <v>1</v>
      </c>
      <c r="L1323" s="24">
        <f t="shared" si="142"/>
        <v>0</v>
      </c>
    </row>
    <row r="1324" spans="7:12" x14ac:dyDescent="0.3">
      <c r="G1324" s="47" t="str">
        <f t="shared" si="139"/>
        <v/>
      </c>
      <c r="I1324">
        <f t="shared" si="140"/>
        <v>0</v>
      </c>
      <c r="K1324">
        <f t="shared" si="141"/>
        <v>1</v>
      </c>
      <c r="L1324" s="24">
        <f t="shared" si="142"/>
        <v>0</v>
      </c>
    </row>
    <row r="1325" spans="7:12" x14ac:dyDescent="0.3">
      <c r="G1325" s="47" t="str">
        <f t="shared" si="139"/>
        <v/>
      </c>
      <c r="I1325">
        <f t="shared" si="140"/>
        <v>0</v>
      </c>
      <c r="K1325">
        <f t="shared" si="141"/>
        <v>1</v>
      </c>
      <c r="L1325" s="24">
        <f t="shared" si="142"/>
        <v>0</v>
      </c>
    </row>
    <row r="1326" spans="7:12" x14ac:dyDescent="0.3">
      <c r="G1326" s="47" t="str">
        <f t="shared" si="139"/>
        <v/>
      </c>
      <c r="I1326">
        <f t="shared" si="140"/>
        <v>0</v>
      </c>
      <c r="K1326">
        <f t="shared" si="141"/>
        <v>1</v>
      </c>
      <c r="L1326" s="24">
        <f t="shared" si="142"/>
        <v>0</v>
      </c>
    </row>
    <row r="1327" spans="7:12" x14ac:dyDescent="0.3">
      <c r="G1327" s="47" t="str">
        <f t="shared" si="139"/>
        <v/>
      </c>
      <c r="I1327">
        <f t="shared" si="140"/>
        <v>0</v>
      </c>
      <c r="K1327">
        <f t="shared" si="141"/>
        <v>1</v>
      </c>
      <c r="L1327" s="24">
        <f t="shared" si="142"/>
        <v>0</v>
      </c>
    </row>
    <row r="1328" spans="7:12" x14ac:dyDescent="0.3">
      <c r="G1328" s="47" t="str">
        <f t="shared" si="139"/>
        <v/>
      </c>
      <c r="I1328">
        <f t="shared" si="140"/>
        <v>0</v>
      </c>
      <c r="K1328">
        <f t="shared" si="141"/>
        <v>1</v>
      </c>
      <c r="L1328" s="24">
        <f t="shared" si="142"/>
        <v>0</v>
      </c>
    </row>
    <row r="1329" spans="7:12" x14ac:dyDescent="0.3">
      <c r="G1329" s="47" t="str">
        <f t="shared" si="139"/>
        <v/>
      </c>
      <c r="I1329">
        <f t="shared" si="140"/>
        <v>0</v>
      </c>
      <c r="K1329">
        <f t="shared" si="141"/>
        <v>1</v>
      </c>
      <c r="L1329" s="24">
        <f t="shared" si="142"/>
        <v>0</v>
      </c>
    </row>
    <row r="1330" spans="7:12" x14ac:dyDescent="0.3">
      <c r="G1330" s="47" t="str">
        <f t="shared" si="139"/>
        <v/>
      </c>
      <c r="I1330">
        <f t="shared" si="140"/>
        <v>0</v>
      </c>
      <c r="K1330">
        <f t="shared" si="141"/>
        <v>1</v>
      </c>
      <c r="L1330" s="24">
        <f t="shared" si="142"/>
        <v>0</v>
      </c>
    </row>
    <row r="1331" spans="7:12" x14ac:dyDescent="0.3">
      <c r="G1331" s="47" t="str">
        <f t="shared" si="139"/>
        <v/>
      </c>
      <c r="I1331">
        <f t="shared" si="140"/>
        <v>0</v>
      </c>
      <c r="K1331">
        <f t="shared" si="141"/>
        <v>1</v>
      </c>
      <c r="L1331" s="24">
        <f t="shared" si="142"/>
        <v>0</v>
      </c>
    </row>
    <row r="1332" spans="7:12" x14ac:dyDescent="0.3">
      <c r="G1332" s="47" t="str">
        <f t="shared" si="139"/>
        <v/>
      </c>
      <c r="I1332">
        <f t="shared" si="140"/>
        <v>0</v>
      </c>
      <c r="K1332">
        <f t="shared" si="141"/>
        <v>1</v>
      </c>
      <c r="L1332" s="24">
        <f t="shared" si="142"/>
        <v>0</v>
      </c>
    </row>
    <row r="1333" spans="7:12" x14ac:dyDescent="0.3">
      <c r="G1333" s="47" t="str">
        <f t="shared" si="139"/>
        <v/>
      </c>
      <c r="I1333">
        <f t="shared" si="140"/>
        <v>0</v>
      </c>
      <c r="K1333">
        <f t="shared" si="141"/>
        <v>1</v>
      </c>
      <c r="L1333" s="24">
        <f t="shared" si="142"/>
        <v>0</v>
      </c>
    </row>
    <row r="1334" spans="7:12" x14ac:dyDescent="0.3">
      <c r="G1334" s="47" t="str">
        <f t="shared" ref="G1334:G1351" si="143">IF(E1334=0,"",IF(F1334="","",(F1334-E1334)*D1334))</f>
        <v/>
      </c>
      <c r="I1334">
        <f t="shared" si="140"/>
        <v>0</v>
      </c>
      <c r="K1334">
        <f t="shared" si="141"/>
        <v>1</v>
      </c>
      <c r="L1334" s="24">
        <f t="shared" si="142"/>
        <v>0</v>
      </c>
    </row>
    <row r="1335" spans="7:12" x14ac:dyDescent="0.3">
      <c r="G1335" s="47" t="str">
        <f t="shared" si="143"/>
        <v/>
      </c>
      <c r="I1335">
        <f t="shared" si="140"/>
        <v>0</v>
      </c>
      <c r="K1335">
        <f t="shared" si="141"/>
        <v>1</v>
      </c>
      <c r="L1335" s="24">
        <f t="shared" si="142"/>
        <v>0</v>
      </c>
    </row>
    <row r="1336" spans="7:12" x14ac:dyDescent="0.3">
      <c r="G1336" s="47" t="str">
        <f t="shared" si="143"/>
        <v/>
      </c>
      <c r="I1336">
        <f t="shared" si="140"/>
        <v>0</v>
      </c>
      <c r="K1336">
        <f t="shared" si="141"/>
        <v>1</v>
      </c>
      <c r="L1336" s="24">
        <f t="shared" si="142"/>
        <v>0</v>
      </c>
    </row>
    <row r="1337" spans="7:12" x14ac:dyDescent="0.3">
      <c r="G1337" s="47" t="str">
        <f t="shared" si="143"/>
        <v/>
      </c>
      <c r="I1337">
        <f t="shared" si="140"/>
        <v>0</v>
      </c>
      <c r="K1337">
        <f t="shared" si="141"/>
        <v>1</v>
      </c>
      <c r="L1337" s="24">
        <f t="shared" si="142"/>
        <v>0</v>
      </c>
    </row>
    <row r="1338" spans="7:12" x14ac:dyDescent="0.3">
      <c r="G1338" s="47" t="str">
        <f t="shared" si="143"/>
        <v/>
      </c>
      <c r="I1338">
        <f t="shared" si="140"/>
        <v>0</v>
      </c>
      <c r="K1338">
        <f t="shared" si="141"/>
        <v>1</v>
      </c>
      <c r="L1338" s="24">
        <f t="shared" si="142"/>
        <v>0</v>
      </c>
    </row>
    <row r="1339" spans="7:12" x14ac:dyDescent="0.3">
      <c r="G1339" s="47" t="str">
        <f t="shared" si="143"/>
        <v/>
      </c>
      <c r="I1339">
        <f t="shared" si="140"/>
        <v>0</v>
      </c>
      <c r="K1339">
        <f t="shared" si="141"/>
        <v>1</v>
      </c>
      <c r="L1339" s="24">
        <f t="shared" si="142"/>
        <v>0</v>
      </c>
    </row>
    <row r="1340" spans="7:12" x14ac:dyDescent="0.3">
      <c r="G1340" s="47" t="str">
        <f t="shared" si="143"/>
        <v/>
      </c>
      <c r="I1340">
        <f t="shared" si="140"/>
        <v>0</v>
      </c>
      <c r="K1340">
        <f t="shared" si="141"/>
        <v>1</v>
      </c>
      <c r="L1340" s="24">
        <f t="shared" si="142"/>
        <v>0</v>
      </c>
    </row>
    <row r="1341" spans="7:12" x14ac:dyDescent="0.3">
      <c r="G1341" s="47" t="str">
        <f t="shared" si="143"/>
        <v/>
      </c>
      <c r="I1341">
        <f t="shared" ref="I1341:I1345" si="144">+E1341*1.1</f>
        <v>0</v>
      </c>
      <c r="K1341">
        <f t="shared" ref="K1341:K1345" si="145">IF(F1341=0,1,0)</f>
        <v>1</v>
      </c>
      <c r="L1341" s="24">
        <f t="shared" ref="L1341:L1345" si="146">+D1341*E1341</f>
        <v>0</v>
      </c>
    </row>
    <row r="1342" spans="7:12" x14ac:dyDescent="0.3">
      <c r="G1342" s="47" t="str">
        <f t="shared" si="143"/>
        <v/>
      </c>
      <c r="I1342">
        <f t="shared" si="144"/>
        <v>0</v>
      </c>
      <c r="K1342">
        <f t="shared" si="145"/>
        <v>1</v>
      </c>
      <c r="L1342" s="24">
        <f t="shared" si="146"/>
        <v>0</v>
      </c>
    </row>
    <row r="1343" spans="7:12" x14ac:dyDescent="0.3">
      <c r="G1343" s="47" t="str">
        <f t="shared" si="143"/>
        <v/>
      </c>
      <c r="I1343">
        <f t="shared" si="144"/>
        <v>0</v>
      </c>
      <c r="K1343">
        <f t="shared" si="145"/>
        <v>1</v>
      </c>
      <c r="L1343" s="24">
        <f t="shared" si="146"/>
        <v>0</v>
      </c>
    </row>
    <row r="1344" spans="7:12" x14ac:dyDescent="0.3">
      <c r="G1344" s="47" t="str">
        <f t="shared" si="143"/>
        <v/>
      </c>
      <c r="I1344">
        <f t="shared" si="144"/>
        <v>0</v>
      </c>
      <c r="K1344">
        <f t="shared" si="145"/>
        <v>1</v>
      </c>
      <c r="L1344" s="24">
        <f t="shared" si="146"/>
        <v>0</v>
      </c>
    </row>
    <row r="1345" spans="7:12" x14ac:dyDescent="0.3">
      <c r="G1345" s="47" t="str">
        <f t="shared" si="143"/>
        <v/>
      </c>
      <c r="I1345">
        <f t="shared" si="144"/>
        <v>0</v>
      </c>
      <c r="K1345">
        <f t="shared" si="145"/>
        <v>1</v>
      </c>
      <c r="L1345" s="24">
        <f t="shared" si="146"/>
        <v>0</v>
      </c>
    </row>
    <row r="1346" spans="7:12" x14ac:dyDescent="0.3">
      <c r="G1346" s="47" t="str">
        <f t="shared" si="143"/>
        <v/>
      </c>
    </row>
    <row r="1347" spans="7:12" x14ac:dyDescent="0.3">
      <c r="G1347" s="47" t="str">
        <f t="shared" si="143"/>
        <v/>
      </c>
    </row>
    <row r="1348" spans="7:12" x14ac:dyDescent="0.3">
      <c r="G1348" s="47" t="str">
        <f t="shared" si="143"/>
        <v/>
      </c>
    </row>
    <row r="1349" spans="7:12" x14ac:dyDescent="0.3">
      <c r="G1349" s="47" t="str">
        <f t="shared" si="143"/>
        <v/>
      </c>
    </row>
    <row r="1350" spans="7:12" x14ac:dyDescent="0.3">
      <c r="G1350" s="47" t="str">
        <f t="shared" si="143"/>
        <v/>
      </c>
    </row>
    <row r="1351" spans="7:12" x14ac:dyDescent="0.3">
      <c r="G1351" s="47" t="str">
        <f t="shared" si="143"/>
        <v/>
      </c>
    </row>
  </sheetData>
  <autoFilter ref="B2:G1351" xr:uid="{6E79CB8E-3D33-4ABE-B2F8-FC97A550583B}">
    <filterColumn colId="5">
      <filters blank="1"/>
    </filterColumn>
    <sortState xmlns:xlrd2="http://schemas.microsoft.com/office/spreadsheetml/2017/richdata2" ref="B17:G1351">
      <sortCondition ref="C2:C1351"/>
    </sortState>
  </autoFilter>
  <conditionalFormatting sqref="G1:G1048576">
    <cfRule type="cellIs" dxfId="6" priority="1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C9EBF-0EC9-4043-AD29-CB96B921DB85}">
  <dimension ref="A1:AB136"/>
  <sheetViews>
    <sheetView topLeftCell="A19" workbookViewId="0">
      <selection activeCell="B26" sqref="B26"/>
    </sheetView>
  </sheetViews>
  <sheetFormatPr defaultRowHeight="14.4" x14ac:dyDescent="0.3"/>
  <cols>
    <col min="2" max="2" width="9.44140625" style="48" bestFit="1" customWidth="1"/>
    <col min="3" max="3" width="9.109375" style="3"/>
    <col min="4" max="4" width="11.109375" style="3" customWidth="1"/>
    <col min="5" max="5" width="9.109375" style="3"/>
    <col min="6" max="6" width="9.6640625" style="3" bestFit="1" customWidth="1"/>
    <col min="7" max="7" width="9.109375" style="24" bestFit="1" customWidth="1"/>
    <col min="8" max="9" width="9.109375" style="3"/>
    <col min="10" max="10" width="11" style="3" bestFit="1" customWidth="1"/>
    <col min="11" max="11" width="9.6640625" style="3" bestFit="1" customWidth="1"/>
    <col min="12" max="12" width="10.109375" style="3" bestFit="1" customWidth="1"/>
    <col min="13" max="14" width="10.109375" style="3" customWidth="1"/>
    <col min="15" max="15" width="9.44140625" style="3" bestFit="1" customWidth="1"/>
    <col min="16" max="17" width="9.44140625" style="3" customWidth="1"/>
    <col min="18" max="18" width="10.44140625" style="3" bestFit="1" customWidth="1"/>
    <col min="19" max="19" width="3.88671875" style="3" customWidth="1"/>
    <col min="20" max="21" width="10.44140625" style="3" customWidth="1"/>
    <col min="23" max="24" width="9.109375" style="3"/>
  </cols>
  <sheetData>
    <row r="1" spans="1:28" x14ac:dyDescent="0.3">
      <c r="C1" s="3">
        <v>1500</v>
      </c>
      <c r="E1" s="3">
        <v>1000</v>
      </c>
      <c r="R1" s="3">
        <v>36</v>
      </c>
    </row>
    <row r="2" spans="1:28" s="40" customFormat="1" x14ac:dyDescent="0.3">
      <c r="A2" s="42"/>
      <c r="B2" s="43"/>
      <c r="C2" s="88" t="s">
        <v>9</v>
      </c>
      <c r="D2" s="88"/>
      <c r="E2" s="88" t="s">
        <v>7</v>
      </c>
      <c r="F2" s="88"/>
      <c r="G2" s="24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W2" s="41"/>
      <c r="X2" s="41"/>
    </row>
    <row r="3" spans="1:28" s="40" customFormat="1" x14ac:dyDescent="0.3">
      <c r="A3" s="42"/>
      <c r="B3" s="43"/>
      <c r="C3" s="43" t="s">
        <v>582</v>
      </c>
      <c r="D3" s="43" t="s">
        <v>583</v>
      </c>
      <c r="E3" s="43" t="s">
        <v>582</v>
      </c>
      <c r="F3" s="43" t="s">
        <v>583</v>
      </c>
      <c r="G3" s="24"/>
      <c r="H3" s="41" t="s">
        <v>582</v>
      </c>
      <c r="I3" s="41" t="s">
        <v>628</v>
      </c>
      <c r="J3" s="41" t="s">
        <v>629</v>
      </c>
      <c r="K3" s="41" t="s">
        <v>630</v>
      </c>
      <c r="L3" s="41" t="s">
        <v>631</v>
      </c>
      <c r="M3" s="41" t="s">
        <v>696</v>
      </c>
      <c r="N3" s="41" t="s">
        <v>697</v>
      </c>
      <c r="O3" s="41" t="s">
        <v>632</v>
      </c>
      <c r="P3" s="41" t="s">
        <v>633</v>
      </c>
      <c r="Q3" s="41" t="s">
        <v>694</v>
      </c>
      <c r="R3" s="41" t="s">
        <v>695</v>
      </c>
      <c r="S3" s="41"/>
      <c r="T3" s="41" t="s">
        <v>682</v>
      </c>
      <c r="U3" s="41" t="s">
        <v>683</v>
      </c>
      <c r="W3" s="41" t="s">
        <v>592</v>
      </c>
      <c r="X3" s="41" t="s">
        <v>593</v>
      </c>
      <c r="AB3" s="40" t="s">
        <v>698</v>
      </c>
    </row>
    <row r="4" spans="1:28" x14ac:dyDescent="0.3">
      <c r="A4" s="50" t="s">
        <v>6</v>
      </c>
      <c r="B4" s="51">
        <f>SUMIFS(Tablo2[Son Fiyat],Tablo2[Şirket],A4)</f>
        <v>32</v>
      </c>
      <c r="C4" s="52">
        <f>H4/4</f>
        <v>246.25</v>
      </c>
      <c r="D4" s="51">
        <f>IFERROR(Z4*1.1,"")</f>
        <v>42.241345565749235</v>
      </c>
      <c r="E4" s="52">
        <f t="shared" ref="E4:E51" si="0">IF(U4&lt;0.4,0,IFERROR($E$1/F4,0)*U4)</f>
        <v>31.25</v>
      </c>
      <c r="F4" s="51">
        <f t="shared" ref="F4:F51" si="1">IF(U4&lt;0.5,B4*0.95,B4*0.98)</f>
        <v>31.36</v>
      </c>
      <c r="G4" s="24">
        <f>+F4*E4</f>
        <v>980</v>
      </c>
      <c r="H4" s="3">
        <f>SUMIFS(Portföy!$C$2:$C$93,Portföy!$A$2:$A$93,ALSAT!A4)</f>
        <v>985</v>
      </c>
      <c r="I4" s="3">
        <f>SUMIFS(Portföy!$H$2:$H$93,Portföy!$A$2:$A$93,ALSAT!A4)</f>
        <v>-4868.739999999998</v>
      </c>
      <c r="J4" s="76">
        <f>IF(SUMIFS(Portföy!$D$2:$D$93,Portföy!$A$2:$A$93,ALSAT!A4)&lt;0,0,SUMIFS(Portföy!$D$2:$D$93,Portföy!$A$2:$A$93,ALSAT!A4))</f>
        <v>36.942883248730965</v>
      </c>
      <c r="K4" s="75">
        <f>VLOOKUP($A4,Tablo2[],3,FALSE)/100</f>
        <v>-3.32E-2</v>
      </c>
      <c r="L4" s="75">
        <f>VLOOKUP($A4,Tablo2[],4,FALSE)/100</f>
        <v>-4.4199999999999996E-2</v>
      </c>
      <c r="M4" s="75">
        <f>VLOOKUP($A4,Tablo2[],5,FALSE)/100</f>
        <v>-0.21840000000000001</v>
      </c>
      <c r="N4" s="75">
        <f>VLOOKUP($A4,Tablo2[],6,FALSE)/100</f>
        <v>-0.33990000000000004</v>
      </c>
      <c r="O4" s="75">
        <f>VLOOKUP($A4,Tablo2[],7,FALSE)/100</f>
        <v>-4.4199999999999996E-2</v>
      </c>
      <c r="P4" s="75">
        <f>VLOOKUP($A4,Tablo2[],8,FALSE)/100</f>
        <v>-0.21379999999999999</v>
      </c>
      <c r="Q4" s="75">
        <f>VLOOKUP($A4,Tablo2[],9,FALSE)/100</f>
        <v>11.2605</v>
      </c>
      <c r="R4" s="75">
        <f>VLOOKUP($A4,Tablo2[],10,FALSE)/100</f>
        <v>20.052599999999998</v>
      </c>
      <c r="S4" s="3">
        <f>IF(K4&lt;0,8,4)+IF(L4&lt;0,7,3)+IF(M4&lt;0,6,3)+IF(N4&lt;0,5,2)+IF(O4&lt;0,4,2)+IF(P4&lt;0.5,3,1)+IF(Q4&lt;1,2,1)+IF(R4&lt;2,1,0)</f>
        <v>34</v>
      </c>
      <c r="T4" s="75">
        <f t="shared" ref="T4:T51" si="2">(IF(J4&lt;B4,32,0)+IF(B4&gt;J4*1.1,32,0)+(36-S4))/100</f>
        <v>0.02</v>
      </c>
      <c r="U4" s="75">
        <f>1-T4</f>
        <v>0.98</v>
      </c>
      <c r="W4" s="3">
        <f>+B4*0.9</f>
        <v>28.8</v>
      </c>
      <c r="X4" s="3">
        <f>+B4*1.1</f>
        <v>35.200000000000003</v>
      </c>
      <c r="Z4">
        <f>SUMIFS(Sayfa4!$L$3:$L$3000,Sayfa4!$C$3:$C$3000,ALSAT!A4,Sayfa4!$K$3:$K$3000,"1")/SUMIFS(Sayfa4!$D$3:$D$3000,Sayfa4!$C$3:$C$3000,ALSAT!A4,Sayfa4!$K$3:$K$3000,"1")</f>
        <v>38.401223241590209</v>
      </c>
    </row>
    <row r="5" spans="1:28" x14ac:dyDescent="0.3">
      <c r="A5" s="50" t="s">
        <v>83</v>
      </c>
      <c r="B5" s="51">
        <f>SUMIFS(Tablo2[Son Fiyat],Tablo2[Şirket],A5)</f>
        <v>137.69999999999999</v>
      </c>
      <c r="C5" s="52">
        <f t="shared" ref="C5:C51" si="3">H5/4</f>
        <v>0</v>
      </c>
      <c r="D5" s="51" t="str">
        <f t="shared" ref="D5:D51" si="4">IFERROR(Z5*1.1,"")</f>
        <v/>
      </c>
      <c r="E5" s="52">
        <f t="shared" si="0"/>
        <v>0</v>
      </c>
      <c r="F5" s="51">
        <f t="shared" si="1"/>
        <v>130.81499999999997</v>
      </c>
      <c r="G5" s="24">
        <f t="shared" ref="G5:G51" si="5">+F5*E5</f>
        <v>0</v>
      </c>
      <c r="H5" s="3">
        <f>SUMIFS(Portföy!$C$2:$C$93,Portföy!$A$2:$A$93,ALSAT!A5)</f>
        <v>0</v>
      </c>
      <c r="I5" s="3">
        <f>SUMIFS(Portföy!$H$2:$H$93,Portföy!$A$2:$A$93,ALSAT!A5)</f>
        <v>125</v>
      </c>
      <c r="J5" s="76">
        <f>IF(SUMIFS(Portföy!$D$2:$D$93,Portföy!$A$2:$A$93,ALSAT!A5)&lt;0,0,SUMIFS(Portföy!$D$2:$D$93,Portföy!$A$2:$A$93,ALSAT!A5))</f>
        <v>0</v>
      </c>
      <c r="K5" s="75">
        <f>VLOOKUP($A5,Tablo2[],3,FALSE)/100</f>
        <v>6.6E-3</v>
      </c>
      <c r="L5" s="75">
        <f>VLOOKUP($A5,Tablo2[],4,FALSE)/100</f>
        <v>0.14849999999999999</v>
      </c>
      <c r="M5" s="75">
        <f>VLOOKUP($A5,Tablo2[],5,FALSE)/100</f>
        <v>0.14849999999999999</v>
      </c>
      <c r="N5" s="75">
        <f>VLOOKUP($A5,Tablo2[],6,FALSE)/100</f>
        <v>0.42920000000000003</v>
      </c>
      <c r="O5" s="75">
        <f>VLOOKUP($A5,Tablo2[],7,FALSE)/100</f>
        <v>0.14849999999999999</v>
      </c>
      <c r="P5" s="75">
        <f>VLOOKUP($A5,Tablo2[],8,FALSE)/100</f>
        <v>0.29780000000000001</v>
      </c>
      <c r="Q5" s="75">
        <f>VLOOKUP($A5,Tablo2[],9,FALSE)/100</f>
        <v>3.9531999999999998</v>
      </c>
      <c r="R5" s="75">
        <f>VLOOKUP($A5,Tablo2[],10,FALSE)/100</f>
        <v>7.8383000000000003</v>
      </c>
      <c r="S5" s="3">
        <f t="shared" ref="S5:S51" si="6">IF(K5&lt;0,8,4)+IF(L5&lt;0,7,3)+IF(M5&lt;0,6,3)+IF(N5&lt;0,5,2)+IF(O5&lt;0,4,2)+IF(P5&lt;0.5,3,1)+IF(Q5&lt;1,2,1)+IF(R5&lt;2,1,0)</f>
        <v>18</v>
      </c>
      <c r="T5" s="75">
        <f t="shared" si="2"/>
        <v>0.82</v>
      </c>
      <c r="U5" s="75">
        <f t="shared" ref="U5:U51" si="7">1-T5</f>
        <v>0.18000000000000005</v>
      </c>
      <c r="W5" s="3">
        <f>+B5*0.9</f>
        <v>123.92999999999999</v>
      </c>
      <c r="X5" s="3">
        <f>+B5*1.1</f>
        <v>151.47</v>
      </c>
      <c r="Z5" t="e">
        <f>SUMIFS(Sayfa4!$L$3:$L$3000,Sayfa4!$C$3:$C$3000,ALSAT!A5,Sayfa4!$K$3:$K$3000,"1")/SUMIFS(Sayfa4!$D$3:$D$3000,Sayfa4!$C$3:$C$3000,ALSAT!A5,Sayfa4!$K$3:$K$3000,"1")</f>
        <v>#DIV/0!</v>
      </c>
    </row>
    <row r="6" spans="1:28" x14ac:dyDescent="0.3">
      <c r="A6" s="50" t="s">
        <v>10</v>
      </c>
      <c r="B6" s="51">
        <f>SUMIFS(Tablo2[Son Fiyat],Tablo2[Şirket],A6)</f>
        <v>49.72</v>
      </c>
      <c r="C6" s="52">
        <f t="shared" si="3"/>
        <v>102.5</v>
      </c>
      <c r="D6" s="51">
        <f t="shared" si="4"/>
        <v>59.047592592592601</v>
      </c>
      <c r="E6" s="52">
        <f t="shared" si="0"/>
        <v>20.31786165793751</v>
      </c>
      <c r="F6" s="51">
        <f t="shared" si="1"/>
        <v>48.7256</v>
      </c>
      <c r="G6" s="24">
        <f t="shared" si="5"/>
        <v>989.99999999999989</v>
      </c>
      <c r="H6" s="3">
        <f>SUMIFS(Portföy!$C$2:$C$93,Portföy!$A$2:$A$93,ALSAT!A6)</f>
        <v>410</v>
      </c>
      <c r="I6" s="3">
        <f>SUMIFS(Portföy!$H$2:$H$93,Portföy!$A$2:$A$93,ALSAT!A6)</f>
        <v>-3544.5499999999993</v>
      </c>
      <c r="J6" s="76">
        <f>IF(SUMIFS(Portföy!$D$2:$D$93,Portföy!$A$2:$A$93,ALSAT!A6)&lt;0,0,SUMIFS(Portföy!$D$2:$D$93,Portföy!$A$2:$A$93,ALSAT!A6))</f>
        <v>58.365243902439026</v>
      </c>
      <c r="K6" s="75">
        <f>VLOOKUP($A6,Tablo2[],3,FALSE)/100</f>
        <v>-2.1299999999999999E-2</v>
      </c>
      <c r="L6" s="75">
        <f>VLOOKUP($A6,Tablo2[],4,FALSE)/100</f>
        <v>-0.11210000000000001</v>
      </c>
      <c r="M6" s="75">
        <f>VLOOKUP($A6,Tablo2[],5,FALSE)/100</f>
        <v>-0.12920000000000001</v>
      </c>
      <c r="N6" s="75">
        <f>VLOOKUP($A6,Tablo2[],6,FALSE)/100</f>
        <v>-5.8200000000000002E-2</v>
      </c>
      <c r="O6" s="75">
        <f>VLOOKUP($A6,Tablo2[],7,FALSE)/100</f>
        <v>-0.11210000000000001</v>
      </c>
      <c r="P6" s="75">
        <f>VLOOKUP($A6,Tablo2[],8,FALSE)/100</f>
        <v>-0.21530000000000002</v>
      </c>
      <c r="Q6" s="75">
        <f>VLOOKUP($A6,Tablo2[],9,FALSE)/100</f>
        <v>1.1256999999999999</v>
      </c>
      <c r="R6" s="75">
        <f>VLOOKUP($A6,Tablo2[],10,FALSE)/100</f>
        <v>0</v>
      </c>
      <c r="S6" s="3">
        <f t="shared" si="6"/>
        <v>35</v>
      </c>
      <c r="T6" s="75">
        <f t="shared" si="2"/>
        <v>0.01</v>
      </c>
      <c r="U6" s="75">
        <f t="shared" si="7"/>
        <v>0.99</v>
      </c>
      <c r="W6" s="3">
        <f t="shared" ref="W6:W51" si="8">+B6*0.9</f>
        <v>44.747999999999998</v>
      </c>
      <c r="X6" s="3">
        <f t="shared" ref="X6:X51" si="9">+B6*1.1</f>
        <v>54.692</v>
      </c>
      <c r="Z6">
        <f>SUMIFS(Sayfa4!$L$3:$L$3000,Sayfa4!$C$3:$C$3000,ALSAT!A6,Sayfa4!$K$3:$K$3000,"1")/SUMIFS(Sayfa4!$D$3:$D$3000,Sayfa4!$C$3:$C$3000,ALSAT!A6,Sayfa4!$K$3:$K$3000,"1")</f>
        <v>53.67962962962963</v>
      </c>
    </row>
    <row r="7" spans="1:28" x14ac:dyDescent="0.3">
      <c r="A7" s="50" t="s">
        <v>101</v>
      </c>
      <c r="B7" s="51">
        <f>SUMIFS(Tablo2[Son Fiyat],Tablo2[Şirket],A7)</f>
        <v>88.7</v>
      </c>
      <c r="C7" s="52">
        <f t="shared" ref="C7" si="10">H7/4</f>
        <v>0.5</v>
      </c>
      <c r="D7" s="51">
        <f t="shared" ref="D7" si="11">IFERROR(Z7*1.1,"")</f>
        <v>82.5</v>
      </c>
      <c r="E7" s="52">
        <f t="shared" ref="E7" si="12">IF(U7&lt;0.4,0,IFERROR($E$1/F7,0)*U7)</f>
        <v>0</v>
      </c>
      <c r="F7" s="51">
        <f t="shared" ref="F7" si="13">IF(U7&lt;0.5,B7*0.95,B7*0.98)</f>
        <v>84.265000000000001</v>
      </c>
      <c r="G7" s="24">
        <f t="shared" ref="G7" si="14">+F7*E7</f>
        <v>0</v>
      </c>
      <c r="H7" s="3">
        <f>SUMIFS(Portföy!$C$2:$C$93,Portföy!$A$2:$A$93,ALSAT!A7)</f>
        <v>2</v>
      </c>
      <c r="I7" s="3">
        <f>SUMIFS(Portföy!$H$2:$H$93,Portföy!$A$2:$A$93,ALSAT!A7)</f>
        <v>27.400000000000006</v>
      </c>
      <c r="J7" s="76">
        <f>IF(SUMIFS(Portföy!$D$2:$D$93,Portföy!$A$2:$A$93,ALSAT!A7)&lt;0,0,SUMIFS(Portföy!$D$2:$D$93,Portföy!$A$2:$A$93,ALSAT!A7))</f>
        <v>75</v>
      </c>
      <c r="K7" s="75">
        <f>VLOOKUP($A7,Tablo2[],3,FALSE)/100</f>
        <v>4.1700000000000001E-2</v>
      </c>
      <c r="L7" s="75">
        <f>VLOOKUP($A7,Tablo2[],4,FALSE)/100</f>
        <v>0.22339999999999999</v>
      </c>
      <c r="M7" s="75">
        <f>VLOOKUP($A7,Tablo2[],5,FALSE)/100</f>
        <v>0.46009999999999995</v>
      </c>
      <c r="N7" s="75">
        <f>VLOOKUP($A7,Tablo2[],6,FALSE)/100</f>
        <v>0.42149999999999999</v>
      </c>
      <c r="O7" s="75">
        <f>VLOOKUP($A7,Tablo2[],7,FALSE)/100</f>
        <v>0.22339999999999999</v>
      </c>
      <c r="P7" s="75">
        <f>VLOOKUP($A7,Tablo2[],8,FALSE)/100</f>
        <v>0.75569999999999993</v>
      </c>
      <c r="Q7" s="75">
        <f>VLOOKUP($A7,Tablo2[],9,FALSE)/100</f>
        <v>7.282</v>
      </c>
      <c r="R7" s="75">
        <f>VLOOKUP($A7,Tablo2[],10,FALSE)/100</f>
        <v>14.5342</v>
      </c>
      <c r="S7" s="3">
        <f t="shared" ref="S7" si="15">IF(K7&lt;0,8,4)+IF(L7&lt;0,7,3)+IF(M7&lt;0,6,3)+IF(N7&lt;0,5,2)+IF(O7&lt;0,4,2)+IF(P7&lt;0.5,3,1)+IF(Q7&lt;1,2,1)+IF(R7&lt;2,1,0)</f>
        <v>16</v>
      </c>
      <c r="T7" s="75">
        <f t="shared" ref="T7" si="16">(IF(J7&lt;B7,32,0)+IF(B7&gt;J7*1.1,32,0)+(36-S7))/100</f>
        <v>0.84</v>
      </c>
      <c r="U7" s="75">
        <f t="shared" ref="U7" si="17">1-T7</f>
        <v>0.16000000000000003</v>
      </c>
      <c r="W7" s="3">
        <f t="shared" ref="W7" si="18">+B7*0.9</f>
        <v>79.83</v>
      </c>
      <c r="X7" s="3">
        <f t="shared" ref="X7" si="19">+B7*1.1</f>
        <v>97.570000000000007</v>
      </c>
      <c r="Z7">
        <f>SUMIFS(Sayfa4!$L$3:$L$3000,Sayfa4!$C$3:$C$3000,ALSAT!A7,Sayfa4!$K$3:$K$3000,"1")/SUMIFS(Sayfa4!$D$3:$D$3000,Sayfa4!$C$3:$C$3000,ALSAT!A7,Sayfa4!$K$3:$K$3000,"1")</f>
        <v>75</v>
      </c>
    </row>
    <row r="8" spans="1:28" x14ac:dyDescent="0.3">
      <c r="A8" s="50" t="s">
        <v>12</v>
      </c>
      <c r="B8" s="51">
        <f>SUMIFS(Tablo2[Son Fiyat],Tablo2[Şirket],A8)</f>
        <v>117.6</v>
      </c>
      <c r="C8" s="52">
        <f t="shared" si="3"/>
        <v>4.5</v>
      </c>
      <c r="D8" s="51">
        <f t="shared" si="4"/>
        <v>132</v>
      </c>
      <c r="E8" s="52">
        <f t="shared" si="0"/>
        <v>0</v>
      </c>
      <c r="F8" s="51">
        <f t="shared" si="1"/>
        <v>111.71999999999998</v>
      </c>
      <c r="G8" s="24">
        <f t="shared" si="5"/>
        <v>0</v>
      </c>
      <c r="H8" s="3">
        <f>SUMIFS(Portföy!$C$2:$C$93,Portföy!$A$2:$A$93,ALSAT!A8)</f>
        <v>18</v>
      </c>
      <c r="I8" s="3">
        <f>SUMIFS(Portföy!$H$2:$H$93,Portföy!$A$2:$A$93,ALSAT!A8)</f>
        <v>2280.8999999999983</v>
      </c>
      <c r="J8" s="76">
        <f>IF(SUMIFS(Portföy!$D$2:$D$93,Portföy!$A$2:$A$93,ALSAT!A8)&lt;0,0,SUMIFS(Portföy!$D$2:$D$93,Portföy!$A$2:$A$93,ALSAT!A8))</f>
        <v>0</v>
      </c>
      <c r="K8" s="75">
        <f>VLOOKUP($A8,Tablo2[],3,FALSE)/100</f>
        <v>-8.1300000000000011E-2</v>
      </c>
      <c r="L8" s="75">
        <f>VLOOKUP($A8,Tablo2[],4,FALSE)/100</f>
        <v>3.2500000000000001E-2</v>
      </c>
      <c r="M8" s="75">
        <f>VLOOKUP($A8,Tablo2[],5,FALSE)/100</f>
        <v>0.50770000000000004</v>
      </c>
      <c r="N8" s="75">
        <f>VLOOKUP($A8,Tablo2[],6,FALSE)/100</f>
        <v>0.2666</v>
      </c>
      <c r="O8" s="75">
        <f>VLOOKUP($A8,Tablo2[],7,FALSE)/100</f>
        <v>3.2500000000000001E-2</v>
      </c>
      <c r="P8" s="75">
        <f>VLOOKUP($A8,Tablo2[],8,FALSE)/100</f>
        <v>1.1200000000000002E-2</v>
      </c>
      <c r="Q8" s="75">
        <f>VLOOKUP($A8,Tablo2[],9,FALSE)/100</f>
        <v>0</v>
      </c>
      <c r="R8" s="75">
        <f>VLOOKUP($A8,Tablo2[],10,FALSE)/100</f>
        <v>0</v>
      </c>
      <c r="S8" s="3">
        <f t="shared" si="6"/>
        <v>24</v>
      </c>
      <c r="T8" s="75">
        <f t="shared" si="2"/>
        <v>0.76</v>
      </c>
      <c r="U8" s="75">
        <f t="shared" si="7"/>
        <v>0.24</v>
      </c>
      <c r="W8" s="3">
        <f t="shared" si="8"/>
        <v>105.84</v>
      </c>
      <c r="X8" s="3">
        <f t="shared" si="9"/>
        <v>129.36000000000001</v>
      </c>
      <c r="Z8">
        <f>SUMIFS(Sayfa4!$L$3:$L$3000,Sayfa4!$C$3:$C$3000,ALSAT!A8,Sayfa4!$K$3:$K$3000,"1")/SUMIFS(Sayfa4!$D$3:$D$3000,Sayfa4!$C$3:$C$3000,ALSAT!A8,Sayfa4!$K$3:$K$3000,"1")</f>
        <v>120</v>
      </c>
    </row>
    <row r="9" spans="1:28" x14ac:dyDescent="0.3">
      <c r="A9" s="50" t="s">
        <v>128</v>
      </c>
      <c r="B9" s="51">
        <f>SUMIFS(Tablo2[Son Fiyat],Tablo2[Şirket],A9)</f>
        <v>18.350000000000001</v>
      </c>
      <c r="C9" s="52">
        <f t="shared" si="3"/>
        <v>180</v>
      </c>
      <c r="D9" s="51">
        <f t="shared" si="4"/>
        <v>25.049285714285716</v>
      </c>
      <c r="E9" s="52">
        <f t="shared" si="0"/>
        <v>50.047266863148529</v>
      </c>
      <c r="F9" s="51">
        <f t="shared" si="1"/>
        <v>17.983000000000001</v>
      </c>
      <c r="G9" s="24">
        <f t="shared" si="5"/>
        <v>900</v>
      </c>
      <c r="H9" s="3">
        <f>SUMIFS(Portföy!$C$2:$C$93,Portföy!$A$2:$A$93,ALSAT!A9)</f>
        <v>720</v>
      </c>
      <c r="I9" s="3">
        <f>SUMIFS(Portföy!$H$2:$H$93,Portföy!$A$2:$A$93,ALSAT!A9)</f>
        <v>-367.94999999999527</v>
      </c>
      <c r="J9" s="76">
        <f>IF(SUMIFS(Portföy!$D$2:$D$93,Portföy!$A$2:$A$93,ALSAT!A9)&lt;0,0,SUMIFS(Portföy!$D$2:$D$93,Portföy!$A$2:$A$93,ALSAT!A9))</f>
        <v>18.861041666666662</v>
      </c>
      <c r="K9" s="75">
        <f>VLOOKUP($A9,Tablo2[],3,FALSE)/100</f>
        <v>-5.7999999999999996E-2</v>
      </c>
      <c r="L9" s="75">
        <f>VLOOKUP($A9,Tablo2[],4,FALSE)/100</f>
        <v>5.2199999999999996E-2</v>
      </c>
      <c r="M9" s="75">
        <f>VLOOKUP($A9,Tablo2[],5,FALSE)/100</f>
        <v>2.69E-2</v>
      </c>
      <c r="N9" s="75">
        <f>VLOOKUP($A9,Tablo2[],6,FALSE)/100</f>
        <v>-0.26829999999999998</v>
      </c>
      <c r="O9" s="75">
        <f>VLOOKUP($A9,Tablo2[],7,FALSE)/100</f>
        <v>5.2199999999999996E-2</v>
      </c>
      <c r="P9" s="75">
        <f>VLOOKUP($A9,Tablo2[],8,FALSE)/100</f>
        <v>-0.60589999999999999</v>
      </c>
      <c r="Q9" s="75">
        <f>VLOOKUP($A9,Tablo2[],9,FALSE)/100</f>
        <v>4.6988000000000003</v>
      </c>
      <c r="R9" s="75">
        <f>VLOOKUP($A9,Tablo2[],10,FALSE)/100</f>
        <v>0</v>
      </c>
      <c r="S9" s="3">
        <f t="shared" si="6"/>
        <v>26</v>
      </c>
      <c r="T9" s="75">
        <f t="shared" si="2"/>
        <v>0.1</v>
      </c>
      <c r="U9" s="75">
        <f t="shared" si="7"/>
        <v>0.9</v>
      </c>
      <c r="W9" s="3">
        <f t="shared" si="8"/>
        <v>16.515000000000001</v>
      </c>
      <c r="X9" s="3">
        <f t="shared" si="9"/>
        <v>20.185000000000002</v>
      </c>
      <c r="Z9">
        <f>SUMIFS(Sayfa4!$L$3:$L$3000,Sayfa4!$C$3:$C$3000,ALSAT!A9,Sayfa4!$K$3:$K$3000,"1")/SUMIFS(Sayfa4!$D$3:$D$3000,Sayfa4!$C$3:$C$3000,ALSAT!A9,Sayfa4!$K$3:$K$3000,"1")</f>
        <v>22.772077922077923</v>
      </c>
    </row>
    <row r="10" spans="1:28" x14ac:dyDescent="0.3">
      <c r="A10" s="50" t="s">
        <v>132</v>
      </c>
      <c r="B10" s="51">
        <f>SUMIFS(Tablo2[Son Fiyat],Tablo2[Şirket],A10)</f>
        <v>640</v>
      </c>
      <c r="C10" s="52">
        <f t="shared" si="3"/>
        <v>1</v>
      </c>
      <c r="D10" s="51">
        <f t="shared" si="4"/>
        <v>765.32500000000005</v>
      </c>
      <c r="E10" s="52">
        <f t="shared" si="0"/>
        <v>1.5624999999999998</v>
      </c>
      <c r="F10" s="51">
        <f t="shared" si="1"/>
        <v>627.20000000000005</v>
      </c>
      <c r="G10" s="24">
        <f t="shared" si="5"/>
        <v>979.99999999999989</v>
      </c>
      <c r="H10" s="3">
        <f>SUMIFS(Portföy!$C$2:$C$93,Portföy!$A$2:$A$93,ALSAT!A10)</f>
        <v>4</v>
      </c>
      <c r="I10" s="3">
        <f>SUMIFS(Portföy!$H$2:$H$93,Portföy!$A$2:$A$93,ALSAT!A10)</f>
        <v>-168</v>
      </c>
      <c r="J10" s="76">
        <f>IF(SUMIFS(Portföy!$D$2:$D$93,Portföy!$A$2:$A$93,ALSAT!A10)&lt;0,0,SUMIFS(Portföy!$D$2:$D$93,Portföy!$A$2:$A$93,ALSAT!A10))</f>
        <v>682</v>
      </c>
      <c r="K10" s="75">
        <f>VLOOKUP($A10,Tablo2[],3,FALSE)/100</f>
        <v>-1.84E-2</v>
      </c>
      <c r="L10" s="75">
        <f>VLOOKUP($A10,Tablo2[],4,FALSE)/100</f>
        <v>-5.67E-2</v>
      </c>
      <c r="M10" s="75">
        <f>VLOOKUP($A10,Tablo2[],5,FALSE)/100</f>
        <v>-0.20300000000000001</v>
      </c>
      <c r="N10" s="75">
        <f>VLOOKUP($A10,Tablo2[],6,FALSE)/100</f>
        <v>-0.2104</v>
      </c>
      <c r="O10" s="75">
        <f>VLOOKUP($A10,Tablo2[],7,FALSE)/100</f>
        <v>-5.67E-2</v>
      </c>
      <c r="P10" s="75">
        <f>VLOOKUP($A10,Tablo2[],8,FALSE)/100</f>
        <v>-0.29299999999999998</v>
      </c>
      <c r="Q10" s="75">
        <f>VLOOKUP($A10,Tablo2[],9,FALSE)/100</f>
        <v>5.5152999999999999</v>
      </c>
      <c r="R10" s="75">
        <f>VLOOKUP($A10,Tablo2[],10,FALSE)/100</f>
        <v>26.141599999999997</v>
      </c>
      <c r="S10" s="3">
        <f t="shared" si="6"/>
        <v>34</v>
      </c>
      <c r="T10" s="75">
        <f t="shared" si="2"/>
        <v>0.02</v>
      </c>
      <c r="U10" s="75">
        <f t="shared" si="7"/>
        <v>0.98</v>
      </c>
      <c r="W10" s="3">
        <f t="shared" si="8"/>
        <v>576</v>
      </c>
      <c r="X10" s="3">
        <f t="shared" si="9"/>
        <v>704</v>
      </c>
      <c r="Z10">
        <f>SUMIFS(Sayfa4!$L$3:$L$3000,Sayfa4!$C$3:$C$3000,ALSAT!A10,Sayfa4!$K$3:$K$3000,"1")/SUMIFS(Sayfa4!$D$3:$D$3000,Sayfa4!$C$3:$C$3000,ALSAT!A10,Sayfa4!$K$3:$K$3000,"1")</f>
        <v>695.75</v>
      </c>
    </row>
    <row r="11" spans="1:28" x14ac:dyDescent="0.3">
      <c r="A11" s="50" t="s">
        <v>13</v>
      </c>
      <c r="B11" s="51">
        <f>SUMIFS(Tablo2[Son Fiyat],Tablo2[Şirket],A11)</f>
        <v>14.97</v>
      </c>
      <c r="C11" s="52">
        <f t="shared" si="3"/>
        <v>475</v>
      </c>
      <c r="D11" s="51">
        <f t="shared" si="4"/>
        <v>17.157800000000002</v>
      </c>
      <c r="E11" s="52">
        <f t="shared" si="0"/>
        <v>63.392090303055078</v>
      </c>
      <c r="F11" s="51">
        <f t="shared" si="1"/>
        <v>14.6706</v>
      </c>
      <c r="G11" s="24">
        <f t="shared" si="5"/>
        <v>929.99999999999989</v>
      </c>
      <c r="H11" s="3">
        <f>SUMIFS(Portföy!$C$2:$C$93,Portföy!$A$2:$A$93,ALSAT!A11)</f>
        <v>1900</v>
      </c>
      <c r="I11" s="3">
        <f>SUMIFS(Portföy!$H$2:$H$93,Portföy!$A$2:$A$93,ALSAT!A11)</f>
        <v>-13860.100000000006</v>
      </c>
      <c r="J11" s="76">
        <f>IF(SUMIFS(Portföy!$D$2:$D$93,Portföy!$A$2:$A$93,ALSAT!A11)&lt;0,0,SUMIFS(Portföy!$D$2:$D$93,Portföy!$A$2:$A$93,ALSAT!A11))</f>
        <v>22.264789473684214</v>
      </c>
      <c r="K11" s="75">
        <f>VLOOKUP($A11,Tablo2[],3,FALSE)/100</f>
        <v>-2.6699999999999998E-2</v>
      </c>
      <c r="L11" s="75">
        <f>VLOOKUP($A11,Tablo2[],4,FALSE)/100</f>
        <v>2E-3</v>
      </c>
      <c r="M11" s="75">
        <f>VLOOKUP($A11,Tablo2[],5,FALSE)/100</f>
        <v>-7.5399999999999995E-2</v>
      </c>
      <c r="N11" s="75">
        <f>VLOOKUP($A11,Tablo2[],6,FALSE)/100</f>
        <v>-0.18640000000000001</v>
      </c>
      <c r="O11" s="75">
        <f>VLOOKUP($A11,Tablo2[],7,FALSE)/100</f>
        <v>2E-3</v>
      </c>
      <c r="P11" s="75">
        <f>VLOOKUP($A11,Tablo2[],8,FALSE)/100</f>
        <v>-0.5444</v>
      </c>
      <c r="Q11" s="75">
        <f>VLOOKUP($A11,Tablo2[],9,FALSE)/100</f>
        <v>2.3193000000000001</v>
      </c>
      <c r="R11" s="75">
        <f>VLOOKUP($A11,Tablo2[],10,FALSE)/100</f>
        <v>0</v>
      </c>
      <c r="S11" s="3">
        <f t="shared" si="6"/>
        <v>29</v>
      </c>
      <c r="T11" s="75">
        <f t="shared" si="2"/>
        <v>7.0000000000000007E-2</v>
      </c>
      <c r="U11" s="75">
        <f t="shared" si="7"/>
        <v>0.92999999999999994</v>
      </c>
      <c r="W11" s="3">
        <f t="shared" si="8"/>
        <v>13.473000000000001</v>
      </c>
      <c r="X11" s="3">
        <f t="shared" si="9"/>
        <v>16.467000000000002</v>
      </c>
      <c r="Z11">
        <f>SUMIFS(Sayfa4!$L$3:$L$3000,Sayfa4!$C$3:$C$3000,ALSAT!A11,Sayfa4!$K$3:$K$3000,"1")/SUMIFS(Sayfa4!$D$3:$D$3000,Sayfa4!$C$3:$C$3000,ALSAT!A11,Sayfa4!$K$3:$K$3000,"1")</f>
        <v>15.598000000000001</v>
      </c>
    </row>
    <row r="12" spans="1:28" x14ac:dyDescent="0.3">
      <c r="A12" s="50" t="s">
        <v>14</v>
      </c>
      <c r="B12" s="51">
        <f>SUMIFS(Tablo2[Son Fiyat],Tablo2[Şirket],A12)</f>
        <v>105.8</v>
      </c>
      <c r="C12" s="52">
        <f t="shared" si="3"/>
        <v>3.75</v>
      </c>
      <c r="D12" s="51">
        <f t="shared" si="4"/>
        <v>139.99333333333334</v>
      </c>
      <c r="E12" s="52">
        <f t="shared" si="0"/>
        <v>0</v>
      </c>
      <c r="F12" s="51">
        <f t="shared" si="1"/>
        <v>100.50999999999999</v>
      </c>
      <c r="G12" s="24">
        <f t="shared" si="5"/>
        <v>0</v>
      </c>
      <c r="H12" s="3">
        <f>SUMIFS(Portföy!$C$2:$C$93,Portföy!$A$2:$A$93,ALSAT!A12)</f>
        <v>15</v>
      </c>
      <c r="I12" s="3">
        <f>SUMIFS(Portföy!$H$2:$H$93,Portföy!$A$2:$A$93,ALSAT!A12)</f>
        <v>506.29999999999927</v>
      </c>
      <c r="J12" s="76">
        <f>IF(SUMIFS(Portföy!$D$2:$D$93,Portföy!$A$2:$A$93,ALSAT!A12)&lt;0,0,SUMIFS(Portföy!$D$2:$D$93,Portföy!$A$2:$A$93,ALSAT!A12))</f>
        <v>72.046666666666709</v>
      </c>
      <c r="K12" s="75">
        <f>VLOOKUP($A12,Tablo2[],3,FALSE)/100</f>
        <v>-2.0400000000000001E-2</v>
      </c>
      <c r="L12" s="75">
        <f>VLOOKUP($A12,Tablo2[],4,FALSE)/100</f>
        <v>-4.7699999999999992E-2</v>
      </c>
      <c r="M12" s="75">
        <f>VLOOKUP($A12,Tablo2[],5,FALSE)/100</f>
        <v>-0.23989999999999997</v>
      </c>
      <c r="N12" s="75">
        <f>VLOOKUP($A12,Tablo2[],6,FALSE)/100</f>
        <v>-9.1799999999999993E-2</v>
      </c>
      <c r="O12" s="75">
        <f>VLOOKUP($A12,Tablo2[],7,FALSE)/100</f>
        <v>-4.7699999999999992E-2</v>
      </c>
      <c r="P12" s="75">
        <f>VLOOKUP($A12,Tablo2[],8,FALSE)/100</f>
        <v>-0.16690000000000002</v>
      </c>
      <c r="Q12" s="75">
        <f>VLOOKUP($A12,Tablo2[],9,FALSE)/100</f>
        <v>3.2251999999999996</v>
      </c>
      <c r="R12" s="75">
        <f>VLOOKUP($A12,Tablo2[],10,FALSE)/100</f>
        <v>7.1073000000000004</v>
      </c>
      <c r="S12" s="3">
        <f t="shared" si="6"/>
        <v>34</v>
      </c>
      <c r="T12" s="75">
        <f t="shared" si="2"/>
        <v>0.66</v>
      </c>
      <c r="U12" s="75">
        <f t="shared" si="7"/>
        <v>0.33999999999999997</v>
      </c>
      <c r="W12" s="3">
        <f t="shared" si="8"/>
        <v>95.22</v>
      </c>
      <c r="X12" s="3">
        <f t="shared" si="9"/>
        <v>116.38000000000001</v>
      </c>
      <c r="Z12">
        <f>SUMIFS(Sayfa4!$L$3:$L$3000,Sayfa4!$C$3:$C$3000,ALSAT!A12,Sayfa4!$K$3:$K$3000,"1")/SUMIFS(Sayfa4!$D$3:$D$3000,Sayfa4!$C$3:$C$3000,ALSAT!A12,Sayfa4!$K$3:$K$3000,"1")</f>
        <v>127.26666666666667</v>
      </c>
    </row>
    <row r="13" spans="1:28" x14ac:dyDescent="0.3">
      <c r="A13" s="50" t="s">
        <v>157</v>
      </c>
      <c r="B13" s="51">
        <f>SUMIFS(Tablo2[Son Fiyat],Tablo2[Şirket],A13)</f>
        <v>105.9</v>
      </c>
      <c r="C13" s="52">
        <f t="shared" si="3"/>
        <v>0</v>
      </c>
      <c r="D13" s="51" t="str">
        <f t="shared" si="4"/>
        <v/>
      </c>
      <c r="E13" s="52">
        <f t="shared" si="0"/>
        <v>0</v>
      </c>
      <c r="F13" s="51">
        <f t="shared" si="1"/>
        <v>100.605</v>
      </c>
      <c r="G13" s="24">
        <f t="shared" si="5"/>
        <v>0</v>
      </c>
      <c r="H13" s="3">
        <f>SUMIFS(Portföy!$C$2:$C$93,Portföy!$A$2:$A$93,ALSAT!A13)</f>
        <v>0</v>
      </c>
      <c r="I13" s="3">
        <f>SUMIFS(Portföy!$H$2:$H$93,Portföy!$A$2:$A$93,ALSAT!A13)</f>
        <v>246.19999999999982</v>
      </c>
      <c r="J13" s="76">
        <f>IF(SUMIFS(Portföy!$D$2:$D$93,Portföy!$A$2:$A$93,ALSAT!A13)&lt;0,0,SUMIFS(Portföy!$D$2:$D$93,Portföy!$A$2:$A$93,ALSAT!A13))</f>
        <v>0</v>
      </c>
      <c r="K13" s="75">
        <f>VLOOKUP($A13,Tablo2[],3,FALSE)/100</f>
        <v>-1.9400000000000001E-2</v>
      </c>
      <c r="L13" s="75">
        <f>VLOOKUP($A13,Tablo2[],4,FALSE)/100</f>
        <v>0.17859999999999998</v>
      </c>
      <c r="M13" s="75">
        <f>VLOOKUP($A13,Tablo2[],5,FALSE)/100</f>
        <v>0.27440000000000003</v>
      </c>
      <c r="N13" s="75">
        <f>VLOOKUP($A13,Tablo2[],6,FALSE)/100</f>
        <v>1.9E-3</v>
      </c>
      <c r="O13" s="75">
        <f>VLOOKUP($A13,Tablo2[],7,FALSE)/100</f>
        <v>0.17859999999999998</v>
      </c>
      <c r="P13" s="75">
        <f>VLOOKUP($A13,Tablo2[],8,FALSE)/100</f>
        <v>7.0599999999999996E-2</v>
      </c>
      <c r="Q13" s="75">
        <f>VLOOKUP($A13,Tablo2[],9,FALSE)/100</f>
        <v>0</v>
      </c>
      <c r="R13" s="75">
        <f>VLOOKUP($A13,Tablo2[],10,FALSE)/100</f>
        <v>0</v>
      </c>
      <c r="S13" s="3">
        <f t="shared" si="6"/>
        <v>24</v>
      </c>
      <c r="T13" s="75">
        <f t="shared" si="2"/>
        <v>0.76</v>
      </c>
      <c r="U13" s="75">
        <f t="shared" si="7"/>
        <v>0.24</v>
      </c>
      <c r="W13" s="3">
        <f t="shared" si="8"/>
        <v>95.31</v>
      </c>
      <c r="X13" s="3">
        <f t="shared" si="9"/>
        <v>116.49000000000001</v>
      </c>
      <c r="Z13" t="e">
        <f>SUMIFS(Sayfa4!$L$3:$L$3000,Sayfa4!$C$3:$C$3000,ALSAT!A13,Sayfa4!$K$3:$K$3000,"1")/SUMIFS(Sayfa4!$D$3:$D$3000,Sayfa4!$C$3:$C$3000,ALSAT!A13,Sayfa4!$K$3:$K$3000,"1")</f>
        <v>#DIV/0!</v>
      </c>
    </row>
    <row r="14" spans="1:28" x14ac:dyDescent="0.3">
      <c r="A14" s="50" t="s">
        <v>165</v>
      </c>
      <c r="B14" s="51">
        <f>SUMIFS(Tablo2[Son Fiyat],Tablo2[Şirket],A14)</f>
        <v>25</v>
      </c>
      <c r="C14" s="52">
        <f t="shared" si="3"/>
        <v>32.5</v>
      </c>
      <c r="D14" s="51">
        <f t="shared" si="4"/>
        <v>30.080769230769235</v>
      </c>
      <c r="E14" s="52">
        <f t="shared" si="0"/>
        <v>40.408163265306122</v>
      </c>
      <c r="F14" s="51">
        <f t="shared" si="1"/>
        <v>24.5</v>
      </c>
      <c r="G14" s="24">
        <f t="shared" si="5"/>
        <v>990</v>
      </c>
      <c r="H14" s="3">
        <f>SUMIFS(Portföy!$C$2:$C$93,Portföy!$A$2:$A$93,ALSAT!A14)</f>
        <v>130</v>
      </c>
      <c r="I14" s="3">
        <f>SUMIFS(Portföy!$H$2:$H$93,Portföy!$A$2:$A$93,ALSAT!A14)</f>
        <v>-27.300000000000182</v>
      </c>
      <c r="J14" s="76">
        <f>IF(SUMIFS(Portföy!$D$2:$D$93,Portföy!$A$2:$A$93,ALSAT!A14)&lt;0,0,SUMIFS(Portföy!$D$2:$D$93,Portföy!$A$2:$A$93,ALSAT!A14))</f>
        <v>25.21</v>
      </c>
      <c r="K14" s="75">
        <f>VLOOKUP($A14,Tablo2[],3,FALSE)/100</f>
        <v>-4.4299999999999999E-2</v>
      </c>
      <c r="L14" s="75">
        <f>VLOOKUP($A14,Tablo2[],4,FALSE)/100</f>
        <v>-0.1033</v>
      </c>
      <c r="M14" s="75">
        <f>VLOOKUP($A14,Tablo2[],5,FALSE)/100</f>
        <v>-0.58950000000000002</v>
      </c>
      <c r="N14" s="75">
        <f>VLOOKUP($A14,Tablo2[],6,FALSE)/100</f>
        <v>-0.21829999999999999</v>
      </c>
      <c r="O14" s="75">
        <f>VLOOKUP($A14,Tablo2[],7,FALSE)/100</f>
        <v>-0.1033</v>
      </c>
      <c r="P14" s="75">
        <f>VLOOKUP($A14,Tablo2[],8,FALSE)/100</f>
        <v>0.24010000000000001</v>
      </c>
      <c r="Q14" s="75">
        <f>VLOOKUP($A14,Tablo2[],9,FALSE)/100</f>
        <v>0.77810000000000001</v>
      </c>
      <c r="R14" s="75">
        <f>VLOOKUP($A14,Tablo2[],10,FALSE)/100</f>
        <v>7.1433</v>
      </c>
      <c r="S14" s="3">
        <f t="shared" si="6"/>
        <v>35</v>
      </c>
      <c r="T14" s="75">
        <f t="shared" si="2"/>
        <v>0.01</v>
      </c>
      <c r="U14" s="75">
        <f t="shared" si="7"/>
        <v>0.99</v>
      </c>
      <c r="W14" s="3">
        <f t="shared" si="8"/>
        <v>22.5</v>
      </c>
      <c r="X14" s="3">
        <f t="shared" si="9"/>
        <v>27.500000000000004</v>
      </c>
      <c r="Z14">
        <f>SUMIFS(Sayfa4!$L$3:$L$3000,Sayfa4!$C$3:$C$3000,ALSAT!A14,Sayfa4!$K$3:$K$3000,"1")/SUMIFS(Sayfa4!$D$3:$D$3000,Sayfa4!$C$3:$C$3000,ALSAT!A14,Sayfa4!$K$3:$K$3000,"1")</f>
        <v>27.346153846153847</v>
      </c>
    </row>
    <row r="15" spans="1:28" x14ac:dyDescent="0.3">
      <c r="A15" s="50" t="s">
        <v>166</v>
      </c>
      <c r="B15" s="51">
        <f>SUMIFS(Tablo2[Son Fiyat],Tablo2[Şirket],A15)</f>
        <v>53.35</v>
      </c>
      <c r="C15" s="52">
        <f t="shared" si="3"/>
        <v>1.25</v>
      </c>
      <c r="D15" s="51">
        <f t="shared" si="4"/>
        <v>55.000000000000007</v>
      </c>
      <c r="E15" s="52">
        <f t="shared" si="0"/>
        <v>0</v>
      </c>
      <c r="F15" s="51">
        <f t="shared" si="1"/>
        <v>50.682499999999997</v>
      </c>
      <c r="G15" s="24">
        <f t="shared" si="5"/>
        <v>0</v>
      </c>
      <c r="H15" s="3">
        <f>SUMIFS(Portföy!$C$2:$C$93,Portföy!$A$2:$A$93,ALSAT!A15)</f>
        <v>5</v>
      </c>
      <c r="I15" s="3">
        <f>SUMIFS(Portföy!$H$2:$H$93,Portföy!$A$2:$A$93,ALSAT!A15)</f>
        <v>183.28999999999996</v>
      </c>
      <c r="J15" s="76">
        <f>IF(SUMIFS(Portföy!$D$2:$D$93,Portföy!$A$2:$A$93,ALSAT!A15)&lt;0,0,SUMIFS(Portföy!$D$2:$D$93,Portföy!$A$2:$A$93,ALSAT!A15))</f>
        <v>16.692000000000007</v>
      </c>
      <c r="K15" s="75">
        <f>VLOOKUP($A15,Tablo2[],3,FALSE)/100</f>
        <v>-3.8699999999999998E-2</v>
      </c>
      <c r="L15" s="75">
        <f>VLOOKUP($A15,Tablo2[],4,FALSE)/100</f>
        <v>0.14480000000000001</v>
      </c>
      <c r="M15" s="75">
        <f>VLOOKUP($A15,Tablo2[],5,FALSE)/100</f>
        <v>0.53039999999999998</v>
      </c>
      <c r="N15" s="75">
        <f>VLOOKUP($A15,Tablo2[],6,FALSE)/100</f>
        <v>0.58210000000000006</v>
      </c>
      <c r="O15" s="75">
        <f>VLOOKUP($A15,Tablo2[],7,FALSE)/100</f>
        <v>0.14480000000000001</v>
      </c>
      <c r="P15" s="75">
        <f>VLOOKUP($A15,Tablo2[],8,FALSE)/100</f>
        <v>0.67559999999999998</v>
      </c>
      <c r="Q15" s="75">
        <f>VLOOKUP($A15,Tablo2[],9,FALSE)/100</f>
        <v>11.2926</v>
      </c>
      <c r="R15" s="75">
        <f>VLOOKUP($A15,Tablo2[],10,FALSE)/100</f>
        <v>41.007899999999999</v>
      </c>
      <c r="S15" s="3">
        <f t="shared" si="6"/>
        <v>20</v>
      </c>
      <c r="T15" s="75">
        <f t="shared" si="2"/>
        <v>0.8</v>
      </c>
      <c r="U15" s="75">
        <f t="shared" si="7"/>
        <v>0.19999999999999996</v>
      </c>
      <c r="W15" s="3">
        <f t="shared" si="8"/>
        <v>48.015000000000001</v>
      </c>
      <c r="X15" s="3">
        <f t="shared" si="9"/>
        <v>58.685000000000009</v>
      </c>
      <c r="Z15">
        <f>SUMIFS(Sayfa4!$L$3:$L$3000,Sayfa4!$C$3:$C$3000,ALSAT!A15,Sayfa4!$K$3:$K$3000,"1")/SUMIFS(Sayfa4!$D$3:$D$3000,Sayfa4!$C$3:$C$3000,ALSAT!A15,Sayfa4!$K$3:$K$3000,"1")</f>
        <v>50</v>
      </c>
    </row>
    <row r="16" spans="1:28" x14ac:dyDescent="0.3">
      <c r="A16" s="50" t="s">
        <v>181</v>
      </c>
      <c r="B16" s="51">
        <f>SUMIFS(Tablo2[Son Fiyat],Tablo2[Şirket],A16)</f>
        <v>9.74</v>
      </c>
      <c r="C16" s="52">
        <f t="shared" si="3"/>
        <v>43.75</v>
      </c>
      <c r="D16" s="51">
        <f t="shared" si="4"/>
        <v>11.691428571428572</v>
      </c>
      <c r="E16" s="52">
        <f t="shared" si="0"/>
        <v>0</v>
      </c>
      <c r="F16" s="51">
        <f t="shared" si="1"/>
        <v>9.2530000000000001</v>
      </c>
      <c r="G16" s="24">
        <f t="shared" si="5"/>
        <v>0</v>
      </c>
      <c r="H16" s="3">
        <f>SUMIFS(Portföy!$C$2:$C$93,Portföy!$A$2:$A$93,ALSAT!A16)</f>
        <v>175</v>
      </c>
      <c r="I16" s="3">
        <f>SUMIFS(Portföy!$H$2:$H$93,Portföy!$A$2:$A$93,ALSAT!A16)</f>
        <v>180.59999999999945</v>
      </c>
      <c r="J16" s="76">
        <f>IF(SUMIFS(Portföy!$D$2:$D$93,Portföy!$A$2:$A$93,ALSAT!A16)&lt;0,0,SUMIFS(Portföy!$D$2:$D$93,Portföy!$A$2:$A$93,ALSAT!A16))</f>
        <v>8.7080000000000037</v>
      </c>
      <c r="K16" s="75">
        <f>VLOOKUP($A16,Tablo2[],3,FALSE)/100</f>
        <v>-3.0800000000000001E-2</v>
      </c>
      <c r="L16" s="75">
        <f>VLOOKUP($A16,Tablo2[],4,FALSE)/100</f>
        <v>-8.8000000000000009E-2</v>
      </c>
      <c r="M16" s="75">
        <f>VLOOKUP($A16,Tablo2[],5,FALSE)/100</f>
        <v>-5.3399999999999996E-2</v>
      </c>
      <c r="N16" s="75">
        <f>VLOOKUP($A16,Tablo2[],6,FALSE)/100</f>
        <v>-0.193</v>
      </c>
      <c r="O16" s="75">
        <f>VLOOKUP($A16,Tablo2[],7,FALSE)/100</f>
        <v>-8.8000000000000009E-2</v>
      </c>
      <c r="P16" s="75">
        <f>VLOOKUP($A16,Tablo2[],8,FALSE)/100</f>
        <v>-7.85E-2</v>
      </c>
      <c r="Q16" s="75">
        <f>VLOOKUP($A16,Tablo2[],9,FALSE)/100</f>
        <v>10.458800000000002</v>
      </c>
      <c r="R16" s="75">
        <f>VLOOKUP($A16,Tablo2[],10,FALSE)/100</f>
        <v>19.723399999999998</v>
      </c>
      <c r="S16" s="3">
        <f t="shared" si="6"/>
        <v>34</v>
      </c>
      <c r="T16" s="75">
        <f t="shared" si="2"/>
        <v>0.66</v>
      </c>
      <c r="U16" s="75">
        <f t="shared" si="7"/>
        <v>0.33999999999999997</v>
      </c>
      <c r="W16" s="3">
        <f t="shared" si="8"/>
        <v>8.766</v>
      </c>
      <c r="X16" s="3">
        <f t="shared" si="9"/>
        <v>10.714</v>
      </c>
      <c r="Z16">
        <f>SUMIFS(Sayfa4!$L$3:$L$3000,Sayfa4!$C$3:$C$3000,ALSAT!A16,Sayfa4!$K$3:$K$3000,"1")/SUMIFS(Sayfa4!$D$3:$D$3000,Sayfa4!$C$3:$C$3000,ALSAT!A16,Sayfa4!$K$3:$K$3000,"1")</f>
        <v>10.628571428571428</v>
      </c>
    </row>
    <row r="17" spans="1:26" x14ac:dyDescent="0.3">
      <c r="A17" s="50" t="s">
        <v>18</v>
      </c>
      <c r="B17" s="51">
        <f>SUMIFS(Tablo2[Son Fiyat],Tablo2[Şirket],A17)</f>
        <v>188.1</v>
      </c>
      <c r="C17" s="52">
        <f t="shared" si="3"/>
        <v>25.25</v>
      </c>
      <c r="D17" s="51">
        <f t="shared" si="4"/>
        <v>215.05</v>
      </c>
      <c r="E17" s="52">
        <f t="shared" si="0"/>
        <v>5.3163211057947901</v>
      </c>
      <c r="F17" s="51">
        <f t="shared" si="1"/>
        <v>184.33799999999999</v>
      </c>
      <c r="G17" s="24">
        <f t="shared" si="5"/>
        <v>980</v>
      </c>
      <c r="H17" s="3">
        <f>SUMIFS(Portföy!$C$2:$C$93,Portföy!$A$2:$A$93,ALSAT!A17)</f>
        <v>101</v>
      </c>
      <c r="I17" s="3">
        <f>SUMIFS(Portföy!$H$2:$H$93,Portföy!$A$2:$A$93,ALSAT!A17)</f>
        <v>-18751.400000000001</v>
      </c>
      <c r="J17" s="76">
        <f>IF(SUMIFS(Portföy!$D$2:$D$93,Portföy!$A$2:$A$93,ALSAT!A17)&lt;0,0,SUMIFS(Portföy!$D$2:$D$93,Portföy!$A$2:$A$93,ALSAT!A17))</f>
        <v>373.75742574257424</v>
      </c>
      <c r="K17" s="75">
        <f>VLOOKUP($A17,Tablo2[],3,FALSE)/100</f>
        <v>-3.5400000000000001E-2</v>
      </c>
      <c r="L17" s="75">
        <f>VLOOKUP($A17,Tablo2[],4,FALSE)/100</f>
        <v>-2.9399999999999999E-2</v>
      </c>
      <c r="M17" s="75">
        <f>VLOOKUP($A17,Tablo2[],5,FALSE)/100</f>
        <v>-0.1056</v>
      </c>
      <c r="N17" s="75">
        <f>VLOOKUP($A17,Tablo2[],6,FALSE)/100</f>
        <v>-0.18379999999999999</v>
      </c>
      <c r="O17" s="75">
        <f>VLOOKUP($A17,Tablo2[],7,FALSE)/100</f>
        <v>-2.9399999999999999E-2</v>
      </c>
      <c r="P17" s="75">
        <f>VLOOKUP($A17,Tablo2[],8,FALSE)/100</f>
        <v>-0.1956</v>
      </c>
      <c r="Q17" s="75">
        <f>VLOOKUP($A17,Tablo2[],9,FALSE)/100</f>
        <v>4.8488999999999995</v>
      </c>
      <c r="R17" s="75">
        <f>VLOOKUP($A17,Tablo2[],10,FALSE)/100</f>
        <v>24.6967</v>
      </c>
      <c r="S17" s="3">
        <f t="shared" si="6"/>
        <v>34</v>
      </c>
      <c r="T17" s="75">
        <f t="shared" si="2"/>
        <v>0.02</v>
      </c>
      <c r="U17" s="75">
        <f t="shared" si="7"/>
        <v>0.98</v>
      </c>
      <c r="W17" s="3">
        <f t="shared" si="8"/>
        <v>169.29</v>
      </c>
      <c r="X17" s="3">
        <f t="shared" si="9"/>
        <v>206.91</v>
      </c>
      <c r="Z17">
        <f>SUMIFS(Sayfa4!$L$3:$L$3000,Sayfa4!$C$3:$C$3000,ALSAT!A17,Sayfa4!$K$3:$K$3000,"1")/SUMIFS(Sayfa4!$D$3:$D$3000,Sayfa4!$C$3:$C$3000,ALSAT!A17,Sayfa4!$K$3:$K$3000,"1")</f>
        <v>195.5</v>
      </c>
    </row>
    <row r="18" spans="1:26" x14ac:dyDescent="0.3">
      <c r="A18" s="50" t="s">
        <v>20</v>
      </c>
      <c r="B18" s="51">
        <f>SUMIFS(Tablo2[Son Fiyat],Tablo2[Şirket],A18)</f>
        <v>13.12</v>
      </c>
      <c r="C18" s="52">
        <f t="shared" si="3"/>
        <v>287.5</v>
      </c>
      <c r="D18" s="51">
        <f t="shared" si="4"/>
        <v>15.580782608695653</v>
      </c>
      <c r="E18" s="52">
        <f t="shared" si="0"/>
        <v>73.108511697361863</v>
      </c>
      <c r="F18" s="51">
        <f t="shared" si="1"/>
        <v>12.8576</v>
      </c>
      <c r="G18" s="24">
        <f t="shared" si="5"/>
        <v>939.99999999999989</v>
      </c>
      <c r="H18" s="3">
        <f>SUMIFS(Portföy!$C$2:$C$93,Portföy!$A$2:$A$93,ALSAT!A18)</f>
        <v>1150</v>
      </c>
      <c r="I18" s="3">
        <f>SUMIFS(Portföy!$H$2:$H$93,Portföy!$A$2:$A$93,ALSAT!A18)</f>
        <v>-4617</v>
      </c>
      <c r="J18" s="77">
        <f>IF(SUMIFS(Portföy!$D$2:$D$93,Portföy!$A$2:$A$93,ALSAT!A18)&lt;0,0,SUMIFS(Portföy!$D$2:$D$93,Portföy!$A$2:$A$93,ALSAT!A18))</f>
        <v>17.134782608695652</v>
      </c>
      <c r="K18" s="75">
        <f>VLOOKUP($A18,Tablo2[],3,FALSE)/100</f>
        <v>-0.1099</v>
      </c>
      <c r="L18" s="75">
        <f>VLOOKUP($A18,Tablo2[],4,FALSE)/100</f>
        <v>3.6299999999999999E-2</v>
      </c>
      <c r="M18" s="75">
        <f>VLOOKUP($A18,Tablo2[],5,FALSE)/100</f>
        <v>-6.6900000000000001E-2</v>
      </c>
      <c r="N18" s="75">
        <f>VLOOKUP($A18,Tablo2[],6,FALSE)/100</f>
        <v>-0.28460000000000002</v>
      </c>
      <c r="O18" s="75">
        <f>VLOOKUP($A18,Tablo2[],7,FALSE)/100</f>
        <v>3.6299999999999999E-2</v>
      </c>
      <c r="P18" s="75">
        <f>VLOOKUP($A18,Tablo2[],8,FALSE)/100</f>
        <v>-0.3145</v>
      </c>
      <c r="Q18" s="75">
        <f>VLOOKUP($A18,Tablo2[],9,FALSE)/100</f>
        <v>0.69730000000000003</v>
      </c>
      <c r="R18" s="75">
        <f>VLOOKUP($A18,Tablo2[],10,FALSE)/100</f>
        <v>0</v>
      </c>
      <c r="S18" s="3">
        <f t="shared" si="6"/>
        <v>30</v>
      </c>
      <c r="T18" s="75">
        <f t="shared" si="2"/>
        <v>0.06</v>
      </c>
      <c r="U18" s="75">
        <f t="shared" si="7"/>
        <v>0.94</v>
      </c>
      <c r="W18" s="3">
        <f t="shared" si="8"/>
        <v>11.808</v>
      </c>
      <c r="X18" s="3">
        <f t="shared" si="9"/>
        <v>14.432</v>
      </c>
      <c r="Z18">
        <f>SUMIFS(Sayfa4!$L$3:$L$3000,Sayfa4!$C$3:$C$3000,ALSAT!A18,Sayfa4!$K$3:$K$3000,"1")/SUMIFS(Sayfa4!$D$3:$D$3000,Sayfa4!$C$3:$C$3000,ALSAT!A18,Sayfa4!$K$3:$K$3000,"1")</f>
        <v>14.164347826086956</v>
      </c>
    </row>
    <row r="19" spans="1:26" x14ac:dyDescent="0.3">
      <c r="A19" s="50" t="s">
        <v>202</v>
      </c>
      <c r="B19" s="51">
        <f>SUMIFS(Tablo2[Son Fiyat],Tablo2[Şirket],A19)</f>
        <v>24.4</v>
      </c>
      <c r="C19" s="52">
        <f t="shared" si="3"/>
        <v>0</v>
      </c>
      <c r="D19" s="51" t="str">
        <f t="shared" si="4"/>
        <v/>
      </c>
      <c r="E19" s="52">
        <f t="shared" si="0"/>
        <v>0</v>
      </c>
      <c r="F19" s="51">
        <f t="shared" si="1"/>
        <v>23.179999999999996</v>
      </c>
      <c r="G19" s="24">
        <f t="shared" si="5"/>
        <v>0</v>
      </c>
      <c r="H19" s="3">
        <f>SUMIFS(Portföy!$C$2:$C$93,Portföy!$A$2:$A$93,ALSAT!A19)</f>
        <v>0</v>
      </c>
      <c r="I19" s="3">
        <f>SUMIFS(Portföy!$H$2:$H$93,Portföy!$A$2:$A$93,ALSAT!A19)</f>
        <v>215.2800000000002</v>
      </c>
      <c r="J19" s="76">
        <f>IF(SUMIFS(Portföy!$D$2:$D$93,Portföy!$A$2:$A$93,ALSAT!A19)&lt;0,0,SUMIFS(Portföy!$D$2:$D$93,Portföy!$A$2:$A$93,ALSAT!A19))</f>
        <v>0</v>
      </c>
      <c r="K19" s="75">
        <f>VLOOKUP($A19,Tablo2[],3,FALSE)/100</f>
        <v>-3.9399999999999998E-2</v>
      </c>
      <c r="L19" s="75">
        <f>VLOOKUP($A19,Tablo2[],4,FALSE)/100</f>
        <v>2.0899999999999998E-2</v>
      </c>
      <c r="M19" s="75">
        <f>VLOOKUP($A19,Tablo2[],5,FALSE)/100</f>
        <v>0.26419999999999999</v>
      </c>
      <c r="N19" s="75">
        <f>VLOOKUP($A19,Tablo2[],6,FALSE)/100</f>
        <v>0.10210000000000001</v>
      </c>
      <c r="O19" s="75">
        <f>VLOOKUP($A19,Tablo2[],7,FALSE)/100</f>
        <v>2.0899999999999998E-2</v>
      </c>
      <c r="P19" s="75">
        <f>VLOOKUP($A19,Tablo2[],8,FALSE)/100</f>
        <v>0.26690000000000003</v>
      </c>
      <c r="Q19" s="75">
        <f>VLOOKUP($A19,Tablo2[],9,FALSE)/100</f>
        <v>2.3515999999999999</v>
      </c>
      <c r="R19" s="75">
        <f>VLOOKUP($A19,Tablo2[],10,FALSE)/100</f>
        <v>0</v>
      </c>
      <c r="S19" s="3">
        <f t="shared" si="6"/>
        <v>23</v>
      </c>
      <c r="T19" s="75">
        <f t="shared" si="2"/>
        <v>0.77</v>
      </c>
      <c r="U19" s="75">
        <f t="shared" si="7"/>
        <v>0.22999999999999998</v>
      </c>
      <c r="W19" s="3">
        <f t="shared" si="8"/>
        <v>21.96</v>
      </c>
      <c r="X19" s="3">
        <f t="shared" si="9"/>
        <v>26.84</v>
      </c>
      <c r="Z19" t="e">
        <f>SUMIFS(Sayfa4!$L$3:$L$3000,Sayfa4!$C$3:$C$3000,ALSAT!A19,Sayfa4!$K$3:$K$3000,"1")/SUMIFS(Sayfa4!$D$3:$D$3000,Sayfa4!$C$3:$C$3000,ALSAT!A19,Sayfa4!$K$3:$K$3000,"1")</f>
        <v>#DIV/0!</v>
      </c>
    </row>
    <row r="20" spans="1:26" x14ac:dyDescent="0.3">
      <c r="A20" s="50" t="s">
        <v>206</v>
      </c>
      <c r="B20" s="51">
        <f>SUMIFS(Tablo2[Son Fiyat],Tablo2[Şirket],A20)</f>
        <v>15.27</v>
      </c>
      <c r="C20" s="52">
        <f t="shared" si="3"/>
        <v>0</v>
      </c>
      <c r="D20" s="51" t="str">
        <f t="shared" si="4"/>
        <v/>
      </c>
      <c r="E20" s="52">
        <f t="shared" si="0"/>
        <v>0</v>
      </c>
      <c r="F20" s="51">
        <f t="shared" si="1"/>
        <v>14.506499999999999</v>
      </c>
      <c r="G20" s="24">
        <f t="shared" si="5"/>
        <v>0</v>
      </c>
      <c r="H20" s="3">
        <f>SUMIFS(Portföy!$C$2:$C$93,Portföy!$A$2:$A$93,ALSAT!A20)</f>
        <v>0</v>
      </c>
      <c r="I20" s="3">
        <f>SUMIFS(Portföy!$H$2:$H$93,Portföy!$A$2:$A$93,ALSAT!A20)</f>
        <v>1361.5</v>
      </c>
      <c r="J20" s="76">
        <f>IF(SUMIFS(Portföy!$D$2:$D$93,Portföy!$A$2:$A$93,ALSAT!A20)&lt;0,0,SUMIFS(Portföy!$D$2:$D$93,Portföy!$A$2:$A$93,ALSAT!A20))</f>
        <v>0</v>
      </c>
      <c r="K20" s="75">
        <f>VLOOKUP($A20,Tablo2[],3,FALSE)/100</f>
        <v>4.5899999999999996E-2</v>
      </c>
      <c r="L20" s="75">
        <f>VLOOKUP($A20,Tablo2[],4,FALSE)/100</f>
        <v>0.1211</v>
      </c>
      <c r="M20" s="75">
        <f>VLOOKUP($A20,Tablo2[],5,FALSE)/100</f>
        <v>0.51639999999999997</v>
      </c>
      <c r="N20" s="75">
        <f>VLOOKUP($A20,Tablo2[],6,FALSE)/100</f>
        <v>0.31640000000000001</v>
      </c>
      <c r="O20" s="75">
        <f>VLOOKUP($A20,Tablo2[],7,FALSE)/100</f>
        <v>0.1211</v>
      </c>
      <c r="P20" s="75">
        <f>VLOOKUP($A20,Tablo2[],8,FALSE)/100</f>
        <v>0.51939999999999997</v>
      </c>
      <c r="Q20" s="75">
        <f>VLOOKUP($A20,Tablo2[],9,FALSE)/100</f>
        <v>5.7866999999999997</v>
      </c>
      <c r="R20" s="75">
        <f>VLOOKUP($A20,Tablo2[],10,FALSE)/100</f>
        <v>8.9803999999999995</v>
      </c>
      <c r="S20" s="3">
        <f t="shared" si="6"/>
        <v>16</v>
      </c>
      <c r="T20" s="75">
        <f t="shared" si="2"/>
        <v>0.84</v>
      </c>
      <c r="U20" s="75">
        <f t="shared" si="7"/>
        <v>0.16000000000000003</v>
      </c>
      <c r="W20" s="3">
        <f t="shared" si="8"/>
        <v>13.743</v>
      </c>
      <c r="X20" s="3">
        <f t="shared" si="9"/>
        <v>16.797000000000001</v>
      </c>
      <c r="Z20" t="e">
        <f>SUMIFS(Sayfa4!$L$3:$L$3000,Sayfa4!$C$3:$C$3000,ALSAT!A20,Sayfa4!$K$3:$K$3000,"1")/SUMIFS(Sayfa4!$D$3:$D$3000,Sayfa4!$C$3:$C$3000,ALSAT!A20,Sayfa4!$K$3:$K$3000,"1")</f>
        <v>#DIV/0!</v>
      </c>
    </row>
    <row r="21" spans="1:26" x14ac:dyDescent="0.3">
      <c r="A21" s="50" t="s">
        <v>220</v>
      </c>
      <c r="B21" s="51">
        <f>SUMIFS(Tablo2[Son Fiyat],Tablo2[Şirket],A21)</f>
        <v>22.44</v>
      </c>
      <c r="C21" s="52">
        <f t="shared" si="3"/>
        <v>32.5</v>
      </c>
      <c r="D21" s="51">
        <f t="shared" si="4"/>
        <v>26.824285714285718</v>
      </c>
      <c r="E21" s="52">
        <f t="shared" si="0"/>
        <v>0</v>
      </c>
      <c r="F21" s="51">
        <f t="shared" si="1"/>
        <v>21.318000000000001</v>
      </c>
      <c r="G21" s="24">
        <f t="shared" si="5"/>
        <v>0</v>
      </c>
      <c r="H21" s="3">
        <f>SUMIFS(Portföy!$C$2:$C$93,Portföy!$A$2:$A$93,ALSAT!A21)</f>
        <v>130</v>
      </c>
      <c r="I21" s="3">
        <f>SUMIFS(Portföy!$H$2:$H$93,Portföy!$A$2:$A$93,ALSAT!A21)</f>
        <v>478.49999999999955</v>
      </c>
      <c r="J21" s="76">
        <f>IF(SUMIFS(Portföy!$D$2:$D$93,Portföy!$A$2:$A$93,ALSAT!A21)&lt;0,0,SUMIFS(Portföy!$D$2:$D$93,Portföy!$A$2:$A$93,ALSAT!A21))</f>
        <v>18.759230769230776</v>
      </c>
      <c r="K21" s="75">
        <f>VLOOKUP($A21,Tablo2[],3,FALSE)/100</f>
        <v>-3.6900000000000002E-2</v>
      </c>
      <c r="L21" s="75">
        <f>VLOOKUP($A21,Tablo2[],4,FALSE)/100</f>
        <v>-8.0299999999999996E-2</v>
      </c>
      <c r="M21" s="75">
        <f>VLOOKUP($A21,Tablo2[],5,FALSE)/100</f>
        <v>-5.7099999999999998E-2</v>
      </c>
      <c r="N21" s="75">
        <f>VLOOKUP($A21,Tablo2[],6,FALSE)/100</f>
        <v>-0.19940000000000002</v>
      </c>
      <c r="O21" s="75">
        <f>VLOOKUP($A21,Tablo2[],7,FALSE)/100</f>
        <v>-8.0299999999999996E-2</v>
      </c>
      <c r="P21" s="75">
        <f>VLOOKUP($A21,Tablo2[],8,FALSE)/100</f>
        <v>5.2999999999999999E-2</v>
      </c>
      <c r="Q21" s="75">
        <f>VLOOKUP($A21,Tablo2[],9,FALSE)/100</f>
        <v>0.89849999999999997</v>
      </c>
      <c r="R21" s="75">
        <f>VLOOKUP($A21,Tablo2[],10,FALSE)/100</f>
        <v>5.4669000000000008</v>
      </c>
      <c r="S21" s="3">
        <f t="shared" si="6"/>
        <v>35</v>
      </c>
      <c r="T21" s="75">
        <f t="shared" si="2"/>
        <v>0.65</v>
      </c>
      <c r="U21" s="75">
        <f t="shared" si="7"/>
        <v>0.35</v>
      </c>
      <c r="W21" s="3">
        <f t="shared" si="8"/>
        <v>20.196000000000002</v>
      </c>
      <c r="X21" s="3">
        <f t="shared" si="9"/>
        <v>24.684000000000005</v>
      </c>
      <c r="Z21">
        <f>SUMIFS(Sayfa4!$L$3:$L$3000,Sayfa4!$C$3:$C$3000,ALSAT!A21,Sayfa4!$K$3:$K$3000,"1")/SUMIFS(Sayfa4!$D$3:$D$3000,Sayfa4!$C$3:$C$3000,ALSAT!A21,Sayfa4!$K$3:$K$3000,"1")</f>
        <v>24.385714285714286</v>
      </c>
    </row>
    <row r="22" spans="1:26" x14ac:dyDescent="0.3">
      <c r="A22" s="50" t="s">
        <v>236</v>
      </c>
      <c r="B22" s="51">
        <f>SUMIFS(Tablo2[Son Fiyat],Tablo2[Şirket],A22)</f>
        <v>306</v>
      </c>
      <c r="C22" s="52">
        <f t="shared" si="3"/>
        <v>0.5</v>
      </c>
      <c r="D22" s="51">
        <f t="shared" si="4"/>
        <v>343.75</v>
      </c>
      <c r="E22" s="52">
        <f t="shared" si="0"/>
        <v>3.2679738562091503</v>
      </c>
      <c r="F22" s="51">
        <f t="shared" si="1"/>
        <v>299.88</v>
      </c>
      <c r="G22" s="24">
        <f t="shared" si="5"/>
        <v>980</v>
      </c>
      <c r="H22" s="3">
        <f>SUMIFS(Portföy!$C$2:$C$93,Portföy!$A$2:$A$93,ALSAT!A22)</f>
        <v>2</v>
      </c>
      <c r="I22" s="3">
        <f>SUMIFS(Portföy!$H$2:$H$93,Portföy!$A$2:$A$93,ALSAT!A22)</f>
        <v>-13</v>
      </c>
      <c r="J22" s="76">
        <f>IF(SUMIFS(Portföy!$D$2:$D$93,Portföy!$A$2:$A$93,ALSAT!A22)&lt;0,0,SUMIFS(Portföy!$D$2:$D$93,Portföy!$A$2:$A$93,ALSAT!A22))</f>
        <v>312.5</v>
      </c>
      <c r="K22" s="75">
        <f>VLOOKUP($A22,Tablo2[],3,FALSE)/100</f>
        <v>-3.9199999999999999E-2</v>
      </c>
      <c r="L22" s="75">
        <f>VLOOKUP($A22,Tablo2[],4,FALSE)/100</f>
        <v>-6.13E-2</v>
      </c>
      <c r="M22" s="75">
        <f>VLOOKUP($A22,Tablo2[],5,FALSE)/100</f>
        <v>-6.5000000000000006E-3</v>
      </c>
      <c r="N22" s="75">
        <f>VLOOKUP($A22,Tablo2[],6,FALSE)/100</f>
        <v>-4.8999999999999998E-3</v>
      </c>
      <c r="O22" s="75">
        <f>VLOOKUP($A22,Tablo2[],7,FALSE)/100</f>
        <v>-6.13E-2</v>
      </c>
      <c r="P22" s="75">
        <f>VLOOKUP($A22,Tablo2[],8,FALSE)/100</f>
        <v>-2.0799999999999999E-2</v>
      </c>
      <c r="Q22" s="75">
        <f>VLOOKUP($A22,Tablo2[],9,FALSE)/100</f>
        <v>1.8237000000000001</v>
      </c>
      <c r="R22" s="75">
        <f>VLOOKUP($A22,Tablo2[],10,FALSE)/100</f>
        <v>4.9268000000000001</v>
      </c>
      <c r="S22" s="3">
        <f t="shared" si="6"/>
        <v>34</v>
      </c>
      <c r="T22" s="75">
        <f t="shared" si="2"/>
        <v>0.02</v>
      </c>
      <c r="U22" s="75">
        <f t="shared" si="7"/>
        <v>0.98</v>
      </c>
      <c r="W22" s="3">
        <f t="shared" si="8"/>
        <v>275.40000000000003</v>
      </c>
      <c r="X22" s="3">
        <f t="shared" si="9"/>
        <v>336.6</v>
      </c>
      <c r="Z22">
        <f>SUMIFS(Sayfa4!$L$3:$L$3000,Sayfa4!$C$3:$C$3000,ALSAT!A22,Sayfa4!$K$3:$K$3000,"1")/SUMIFS(Sayfa4!$D$3:$D$3000,Sayfa4!$C$3:$C$3000,ALSAT!A22,Sayfa4!$K$3:$K$3000,"1")</f>
        <v>312.5</v>
      </c>
    </row>
    <row r="23" spans="1:26" x14ac:dyDescent="0.3">
      <c r="A23" s="50" t="s">
        <v>23</v>
      </c>
      <c r="B23" s="51">
        <f>SUMIFS(Tablo2[Son Fiyat],Tablo2[Şirket],A23)</f>
        <v>929.5</v>
      </c>
      <c r="C23" s="52">
        <f t="shared" si="3"/>
        <v>2.75</v>
      </c>
      <c r="D23" s="51">
        <f t="shared" si="4"/>
        <v>1068.1000000000001</v>
      </c>
      <c r="E23" s="52">
        <f t="shared" si="0"/>
        <v>1.0758472296933836</v>
      </c>
      <c r="F23" s="51">
        <f t="shared" si="1"/>
        <v>910.91</v>
      </c>
      <c r="G23" s="24">
        <f t="shared" si="5"/>
        <v>980.00000000000011</v>
      </c>
      <c r="H23" s="3">
        <f>SUMIFS(Portföy!$C$2:$C$93,Portföy!$A$2:$A$93,ALSAT!A23)</f>
        <v>11</v>
      </c>
      <c r="I23" s="3">
        <f>SUMIFS(Portföy!$H$2:$H$93,Portföy!$A$2:$A$93,ALSAT!A23)</f>
        <v>-1850.9199999999983</v>
      </c>
      <c r="J23" s="76">
        <f>IF(SUMIFS(Portföy!$D$2:$D$93,Portföy!$A$2:$A$93,ALSAT!A23)&lt;0,0,SUMIFS(Portföy!$D$2:$D$93,Portföy!$A$2:$A$93,ALSAT!A23))</f>
        <v>1097.7654545454543</v>
      </c>
      <c r="K23" s="75">
        <f>VLOOKUP($A23,Tablo2[],3,FALSE)/100</f>
        <v>-3.2000000000000002E-3</v>
      </c>
      <c r="L23" s="75">
        <f>VLOOKUP($A23,Tablo2[],4,FALSE)/100</f>
        <v>-8.0000000000000002E-3</v>
      </c>
      <c r="M23" s="75">
        <f>VLOOKUP($A23,Tablo2[],5,FALSE)/100</f>
        <v>-3.6600000000000001E-2</v>
      </c>
      <c r="N23" s="75">
        <f>VLOOKUP($A23,Tablo2[],6,FALSE)/100</f>
        <v>-5.16E-2</v>
      </c>
      <c r="O23" s="75">
        <f>VLOOKUP($A23,Tablo2[],7,FALSE)/100</f>
        <v>-8.0000000000000002E-3</v>
      </c>
      <c r="P23" s="75">
        <f>VLOOKUP($A23,Tablo2[],8,FALSE)/100</f>
        <v>0.1082</v>
      </c>
      <c r="Q23" s="75">
        <f>VLOOKUP($A23,Tablo2[],9,FALSE)/100</f>
        <v>3.4177999999999997</v>
      </c>
      <c r="R23" s="75">
        <f>VLOOKUP($A23,Tablo2[],10,FALSE)/100</f>
        <v>15.4252</v>
      </c>
      <c r="S23" s="3">
        <f t="shared" si="6"/>
        <v>34</v>
      </c>
      <c r="T23" s="75">
        <f t="shared" si="2"/>
        <v>0.02</v>
      </c>
      <c r="U23" s="75">
        <f t="shared" si="7"/>
        <v>0.98</v>
      </c>
      <c r="W23" s="3">
        <f t="shared" si="8"/>
        <v>836.55000000000007</v>
      </c>
      <c r="X23" s="3">
        <f t="shared" si="9"/>
        <v>1022.45</v>
      </c>
      <c r="Z23">
        <f>SUMIFS(Sayfa4!$L$3:$L$3000,Sayfa4!$C$3:$C$3000,ALSAT!A23,Sayfa4!$K$3:$K$3000,"1")/SUMIFS(Sayfa4!$D$3:$D$3000,Sayfa4!$C$3:$C$3000,ALSAT!A23,Sayfa4!$K$3:$K$3000,"1")</f>
        <v>971</v>
      </c>
    </row>
    <row r="24" spans="1:26" x14ac:dyDescent="0.3">
      <c r="A24" s="50" t="s">
        <v>249</v>
      </c>
      <c r="B24" s="51">
        <f>SUMIFS(Tablo2[Son Fiyat],Tablo2[Şirket],A24)</f>
        <v>51.25</v>
      </c>
      <c r="C24" s="52">
        <f t="shared" si="3"/>
        <v>10</v>
      </c>
      <c r="D24" s="51">
        <f t="shared" si="4"/>
        <v>55.000000000000007</v>
      </c>
      <c r="E24" s="52">
        <f t="shared" si="0"/>
        <v>0</v>
      </c>
      <c r="F24" s="51">
        <f t="shared" si="1"/>
        <v>48.6875</v>
      </c>
      <c r="G24" s="24">
        <f t="shared" si="5"/>
        <v>0</v>
      </c>
      <c r="H24" s="3">
        <f>SUMIFS(Portföy!$C$2:$C$93,Portföy!$A$2:$A$93,ALSAT!A24)</f>
        <v>40</v>
      </c>
      <c r="I24" s="3">
        <f>SUMIFS(Portföy!$H$2:$H$93,Portföy!$A$2:$A$93,ALSAT!A24)</f>
        <v>801.70000000000073</v>
      </c>
      <c r="J24" s="77">
        <f>IF(SUMIFS(Portföy!$D$2:$D$93,Portföy!$A$2:$A$93,ALSAT!A24)&lt;0,0,SUMIFS(Portföy!$D$2:$D$93,Portföy!$A$2:$A$93,ALSAT!A24))</f>
        <v>31.207499999999982</v>
      </c>
      <c r="K24" s="75">
        <f>VLOOKUP($A24,Tablo2[],3,FALSE)/100</f>
        <v>5.2400000000000002E-2</v>
      </c>
      <c r="L24" s="75">
        <f>VLOOKUP($A24,Tablo2[],4,FALSE)/100</f>
        <v>8.6300000000000002E-2</v>
      </c>
      <c r="M24" s="75">
        <f>VLOOKUP($A24,Tablo2[],5,FALSE)/100</f>
        <v>0.17980000000000002</v>
      </c>
      <c r="N24" s="75">
        <f>VLOOKUP($A24,Tablo2[],6,FALSE)/100</f>
        <v>6.1100000000000002E-2</v>
      </c>
      <c r="O24" s="75">
        <f>VLOOKUP($A24,Tablo2[],7,FALSE)/100</f>
        <v>8.6300000000000002E-2</v>
      </c>
      <c r="P24" s="75">
        <f>VLOOKUP($A24,Tablo2[],8,FALSE)/100</f>
        <v>-0.34130000000000005</v>
      </c>
      <c r="Q24" s="75">
        <f>VLOOKUP($A24,Tablo2[],9,FALSE)/100</f>
        <v>10.388900000000001</v>
      </c>
      <c r="R24" s="75">
        <f>VLOOKUP($A24,Tablo2[],10,FALSE)/100</f>
        <v>0</v>
      </c>
      <c r="S24" s="3">
        <f t="shared" si="6"/>
        <v>19</v>
      </c>
      <c r="T24" s="75">
        <f t="shared" si="2"/>
        <v>0.81</v>
      </c>
      <c r="U24" s="75">
        <f t="shared" si="7"/>
        <v>0.18999999999999995</v>
      </c>
      <c r="W24" s="3">
        <f t="shared" si="8"/>
        <v>46.125</v>
      </c>
      <c r="X24" s="3">
        <f t="shared" si="9"/>
        <v>56.375000000000007</v>
      </c>
      <c r="Z24">
        <f>SUMIFS(Sayfa4!$L$3:$L$3000,Sayfa4!$C$3:$C$3000,ALSAT!A24,Sayfa4!$K$3:$K$3000,"1")/SUMIFS(Sayfa4!$D$3:$D$3000,Sayfa4!$C$3:$C$3000,ALSAT!A24,Sayfa4!$K$3:$K$3000,"1")</f>
        <v>50</v>
      </c>
    </row>
    <row r="25" spans="1:26" x14ac:dyDescent="0.3">
      <c r="A25" s="50" t="s">
        <v>265</v>
      </c>
      <c r="B25" s="51">
        <f>SUMIFS(Tablo2[Son Fiyat],Tablo2[Şirket],A25)</f>
        <v>266.75</v>
      </c>
      <c r="C25" s="52">
        <f t="shared" si="3"/>
        <v>0.5</v>
      </c>
      <c r="D25" s="51">
        <f t="shared" si="4"/>
        <v>288.75</v>
      </c>
      <c r="E25" s="52">
        <f t="shared" si="0"/>
        <v>0</v>
      </c>
      <c r="F25" s="51">
        <f t="shared" si="1"/>
        <v>253.41249999999999</v>
      </c>
      <c r="G25" s="24">
        <f t="shared" si="5"/>
        <v>0</v>
      </c>
      <c r="H25" s="3">
        <f>SUMIFS(Portföy!$C$2:$C$93,Portföy!$A$2:$A$93,ALSAT!A25)</f>
        <v>2</v>
      </c>
      <c r="I25" s="3">
        <f>SUMIFS(Portföy!$H$2:$H$93,Portföy!$A$2:$A$93,ALSAT!A25)</f>
        <v>208.5</v>
      </c>
      <c r="J25" s="76">
        <f>IF(SUMIFS(Portföy!$D$2:$D$93,Portföy!$A$2:$A$93,ALSAT!A25)&lt;0,0,SUMIFS(Portföy!$D$2:$D$93,Portföy!$A$2:$A$93,ALSAT!A25))</f>
        <v>162.5</v>
      </c>
      <c r="K25" s="75">
        <f>VLOOKUP($A25,Tablo2[],3,FALSE)/100</f>
        <v>-4.7300000000000002E-2</v>
      </c>
      <c r="L25" s="75">
        <f>VLOOKUP($A25,Tablo2[],4,FALSE)/100</f>
        <v>-7.0599999999999996E-2</v>
      </c>
      <c r="M25" s="75">
        <f>VLOOKUP($A25,Tablo2[],5,FALSE)/100</f>
        <v>0.32119999999999999</v>
      </c>
      <c r="N25" s="75">
        <f>VLOOKUP($A25,Tablo2[],6,FALSE)/100</f>
        <v>0.63950000000000007</v>
      </c>
      <c r="O25" s="75">
        <f>VLOOKUP($A25,Tablo2[],7,FALSE)/100</f>
        <v>-7.0599999999999996E-2</v>
      </c>
      <c r="P25" s="75">
        <f>VLOOKUP($A25,Tablo2[],8,FALSE)/100</f>
        <v>0.83209999999999995</v>
      </c>
      <c r="Q25" s="75">
        <f>VLOOKUP($A25,Tablo2[],9,FALSE)/100</f>
        <v>2.3616999999999999</v>
      </c>
      <c r="R25" s="75">
        <f>VLOOKUP($A25,Tablo2[],10,FALSE)/100</f>
        <v>25.0244</v>
      </c>
      <c r="S25" s="3">
        <f t="shared" si="6"/>
        <v>26</v>
      </c>
      <c r="T25" s="75">
        <f t="shared" si="2"/>
        <v>0.74</v>
      </c>
      <c r="U25" s="75">
        <f t="shared" si="7"/>
        <v>0.26</v>
      </c>
      <c r="W25" s="3">
        <f t="shared" si="8"/>
        <v>240.07500000000002</v>
      </c>
      <c r="X25" s="3">
        <f t="shared" si="9"/>
        <v>293.42500000000001</v>
      </c>
      <c r="Z25">
        <f>SUMIFS(Sayfa4!$L$3:$L$3000,Sayfa4!$C$3:$C$3000,ALSAT!A25,Sayfa4!$K$3:$K$3000,"1")/SUMIFS(Sayfa4!$D$3:$D$3000,Sayfa4!$C$3:$C$3000,ALSAT!A25,Sayfa4!$K$3:$K$3000,"1")</f>
        <v>262.5</v>
      </c>
    </row>
    <row r="26" spans="1:26" x14ac:dyDescent="0.3">
      <c r="A26" s="50" t="s">
        <v>25</v>
      </c>
      <c r="B26" s="51">
        <f>SUMIFS(Tablo2[Son Fiyat],Tablo2[Şirket],A26)</f>
        <v>3.55</v>
      </c>
      <c r="C26" s="52">
        <f t="shared" si="3"/>
        <v>37.5</v>
      </c>
      <c r="D26" s="51">
        <f t="shared" si="4"/>
        <v>4.3486666666666665</v>
      </c>
      <c r="E26" s="52">
        <f t="shared" si="0"/>
        <v>0</v>
      </c>
      <c r="F26" s="51">
        <f t="shared" si="1"/>
        <v>3.3724999999999996</v>
      </c>
      <c r="G26" s="24">
        <f t="shared" si="5"/>
        <v>0</v>
      </c>
      <c r="H26" s="3">
        <f>SUMIFS(Portföy!$C$2:$C$93,Portföy!$A$2:$A$93,ALSAT!A26)</f>
        <v>150</v>
      </c>
      <c r="I26" s="3">
        <f>SUMIFS(Portföy!$H$2:$H$93,Portföy!$A$2:$A$93,ALSAT!A26)</f>
        <v>502</v>
      </c>
      <c r="J26" s="76">
        <f>IF(SUMIFS(Portföy!$D$2:$D$93,Portföy!$A$2:$A$93,ALSAT!A26)&lt;0,0,SUMIFS(Portföy!$D$2:$D$93,Portföy!$A$2:$A$93,ALSAT!A26))</f>
        <v>0.20333333333333334</v>
      </c>
      <c r="K26" s="75">
        <f>VLOOKUP($A26,Tablo2[],3,FALSE)/100</f>
        <v>-5.33E-2</v>
      </c>
      <c r="L26" s="75">
        <f>VLOOKUP($A26,Tablo2[],4,FALSE)/100</f>
        <v>-6.5799999999999997E-2</v>
      </c>
      <c r="M26" s="75">
        <f>VLOOKUP($A26,Tablo2[],5,FALSE)/100</f>
        <v>0.1489</v>
      </c>
      <c r="N26" s="75">
        <f>VLOOKUP($A26,Tablo2[],6,FALSE)/100</f>
        <v>-2.7400000000000001E-2</v>
      </c>
      <c r="O26" s="75">
        <f>VLOOKUP($A26,Tablo2[],7,FALSE)/100</f>
        <v>-6.5799999999999997E-2</v>
      </c>
      <c r="P26" s="75">
        <f>VLOOKUP($A26,Tablo2[],8,FALSE)/100</f>
        <v>-0.26950000000000002</v>
      </c>
      <c r="Q26" s="75">
        <f>VLOOKUP($A26,Tablo2[],9,FALSE)/100</f>
        <v>0</v>
      </c>
      <c r="R26" s="75">
        <f>VLOOKUP($A26,Tablo2[],10,FALSE)/100</f>
        <v>0</v>
      </c>
      <c r="S26" s="3">
        <f t="shared" si="6"/>
        <v>33</v>
      </c>
      <c r="T26" s="75">
        <f t="shared" si="2"/>
        <v>0.67</v>
      </c>
      <c r="U26" s="75">
        <f t="shared" si="7"/>
        <v>0.32999999999999996</v>
      </c>
      <c r="W26" s="3">
        <f t="shared" si="8"/>
        <v>3.1949999999999998</v>
      </c>
      <c r="X26" s="3">
        <f t="shared" si="9"/>
        <v>3.9050000000000002</v>
      </c>
      <c r="Z26">
        <f>SUMIFS(Sayfa4!$L$3:$L$3000,Sayfa4!$C$3:$C$3000,ALSAT!A26,Sayfa4!$K$3:$K$3000,"1")/SUMIFS(Sayfa4!$D$3:$D$3000,Sayfa4!$C$3:$C$3000,ALSAT!A26,Sayfa4!$K$3:$K$3000,"1")</f>
        <v>3.9533333333333331</v>
      </c>
    </row>
    <row r="27" spans="1:26" x14ac:dyDescent="0.3">
      <c r="A27" s="50" t="s">
        <v>53</v>
      </c>
      <c r="B27" s="51">
        <f>SUMIFS(Tablo2[Son Fiyat],Tablo2[Şirket],A27)</f>
        <v>7.68</v>
      </c>
      <c r="C27" s="52">
        <f t="shared" si="3"/>
        <v>11.25</v>
      </c>
      <c r="D27" s="51">
        <f t="shared" si="4"/>
        <v>8.25</v>
      </c>
      <c r="E27" s="52">
        <f t="shared" si="0"/>
        <v>0</v>
      </c>
      <c r="F27" s="51">
        <f t="shared" si="1"/>
        <v>7.2959999999999994</v>
      </c>
      <c r="G27" s="24">
        <f t="shared" si="5"/>
        <v>0</v>
      </c>
      <c r="H27" s="3">
        <f>SUMIFS(Portföy!$C$2:$C$93,Portföy!$A$2:$A$93,ALSAT!A27)</f>
        <v>45</v>
      </c>
      <c r="I27" s="3">
        <f>SUMIFS(Portföy!$H$2:$H$93,Portföy!$A$2:$A$93,ALSAT!A27)</f>
        <v>686.42999999999984</v>
      </c>
      <c r="J27" s="76">
        <f>IF(SUMIFS(Portföy!$D$2:$D$93,Portföy!$A$2:$A$93,ALSAT!A27)&lt;0,0,SUMIFS(Portföy!$D$2:$D$93,Portföy!$A$2:$A$93,ALSAT!A27))</f>
        <v>0</v>
      </c>
      <c r="K27" s="75">
        <f>VLOOKUP($A27,Tablo2[],3,FALSE)/100</f>
        <v>-4.7100000000000003E-2</v>
      </c>
      <c r="L27" s="75">
        <f>VLOOKUP($A27,Tablo2[],4,FALSE)/100</f>
        <v>3.9000000000000003E-3</v>
      </c>
      <c r="M27" s="75">
        <f>VLOOKUP($A27,Tablo2[],5,FALSE)/100</f>
        <v>0.23870000000000002</v>
      </c>
      <c r="N27" s="75">
        <f>VLOOKUP($A27,Tablo2[],6,FALSE)/100</f>
        <v>-7.8E-2</v>
      </c>
      <c r="O27" s="75">
        <f>VLOOKUP($A27,Tablo2[],7,FALSE)/100</f>
        <v>3.9000000000000003E-3</v>
      </c>
      <c r="P27" s="75">
        <f>VLOOKUP($A27,Tablo2[],8,FALSE)/100</f>
        <v>5.21E-2</v>
      </c>
      <c r="Q27" s="75">
        <f>VLOOKUP($A27,Tablo2[],9,FALSE)/100</f>
        <v>2.3391000000000002</v>
      </c>
      <c r="R27" s="75">
        <f>VLOOKUP($A27,Tablo2[],10,FALSE)/100</f>
        <v>8.7214999999999989</v>
      </c>
      <c r="S27" s="3">
        <f t="shared" si="6"/>
        <v>25</v>
      </c>
      <c r="T27" s="75">
        <f t="shared" si="2"/>
        <v>0.75</v>
      </c>
      <c r="U27" s="75">
        <f t="shared" si="7"/>
        <v>0.25</v>
      </c>
      <c r="W27" s="3">
        <f t="shared" si="8"/>
        <v>6.9119999999999999</v>
      </c>
      <c r="X27" s="3">
        <f t="shared" si="9"/>
        <v>8.4480000000000004</v>
      </c>
      <c r="Z27">
        <f>SUMIFS(Sayfa4!$L$3:$L$3000,Sayfa4!$C$3:$C$3000,ALSAT!A27,Sayfa4!$K$3:$K$3000,"1")/SUMIFS(Sayfa4!$D$3:$D$3000,Sayfa4!$C$3:$C$3000,ALSAT!A27,Sayfa4!$K$3:$K$3000,"1")</f>
        <v>7.5</v>
      </c>
    </row>
    <row r="28" spans="1:26" x14ac:dyDescent="0.3">
      <c r="A28" s="50" t="s">
        <v>301</v>
      </c>
      <c r="B28" s="51">
        <f>SUMIFS(Tablo2[Son Fiyat],Tablo2[Şirket],A28)</f>
        <v>37.4</v>
      </c>
      <c r="C28" s="52">
        <f t="shared" si="3"/>
        <v>11.25</v>
      </c>
      <c r="D28" s="51">
        <f t="shared" si="4"/>
        <v>39.111111111111114</v>
      </c>
      <c r="E28" s="52">
        <f t="shared" si="0"/>
        <v>0</v>
      </c>
      <c r="F28" s="51">
        <f t="shared" si="1"/>
        <v>35.529999999999994</v>
      </c>
      <c r="G28" s="24">
        <f t="shared" si="5"/>
        <v>0</v>
      </c>
      <c r="H28" s="3">
        <f>SUMIFS(Portföy!$C$2:$C$93,Portföy!$A$2:$A$93,ALSAT!A28)</f>
        <v>45</v>
      </c>
      <c r="I28" s="3">
        <f>SUMIFS(Portföy!$H$2:$H$93,Portföy!$A$2:$A$93,ALSAT!A28)</f>
        <v>730</v>
      </c>
      <c r="J28" s="76">
        <f>IF(SUMIFS(Portföy!$D$2:$D$93,Portföy!$A$2:$A$93,ALSAT!A28)&lt;0,0,SUMIFS(Portföy!$D$2:$D$93,Portföy!$A$2:$A$93,ALSAT!A28))</f>
        <v>21.177777777777777</v>
      </c>
      <c r="K28" s="75">
        <f>VLOOKUP($A28,Tablo2[],3,FALSE)/100</f>
        <v>-4.6900000000000004E-2</v>
      </c>
      <c r="L28" s="75">
        <f>VLOOKUP($A28,Tablo2[],4,FALSE)/100</f>
        <v>-7.7499999999999999E-2</v>
      </c>
      <c r="M28" s="75">
        <f>VLOOKUP($A28,Tablo2[],5,FALSE)/100</f>
        <v>4.8799999999999996E-2</v>
      </c>
      <c r="N28" s="75">
        <f>VLOOKUP($A28,Tablo2[],6,FALSE)/100</f>
        <v>-1.5800000000000002E-2</v>
      </c>
      <c r="O28" s="75">
        <f>VLOOKUP($A28,Tablo2[],7,FALSE)/100</f>
        <v>-7.7499999999999999E-2</v>
      </c>
      <c r="P28" s="75">
        <f>VLOOKUP($A28,Tablo2[],8,FALSE)/100</f>
        <v>5.0300000000000004E-2</v>
      </c>
      <c r="Q28" s="75">
        <f>VLOOKUP($A28,Tablo2[],9,FALSE)/100</f>
        <v>0.89749999999999996</v>
      </c>
      <c r="R28" s="75">
        <f>VLOOKUP($A28,Tablo2[],10,FALSE)/100</f>
        <v>5.6429999999999998</v>
      </c>
      <c r="S28" s="3">
        <f t="shared" si="6"/>
        <v>32</v>
      </c>
      <c r="T28" s="75">
        <f t="shared" si="2"/>
        <v>0.68</v>
      </c>
      <c r="U28" s="75">
        <f t="shared" si="7"/>
        <v>0.31999999999999995</v>
      </c>
      <c r="W28" s="3">
        <f t="shared" si="8"/>
        <v>33.659999999999997</v>
      </c>
      <c r="X28" s="3">
        <f t="shared" si="9"/>
        <v>41.14</v>
      </c>
      <c r="Z28">
        <f>SUMIFS(Sayfa4!$L$3:$L$3000,Sayfa4!$C$3:$C$3000,ALSAT!A28,Sayfa4!$K$3:$K$3000,"1")/SUMIFS(Sayfa4!$D$3:$D$3000,Sayfa4!$C$3:$C$3000,ALSAT!A28,Sayfa4!$K$3:$K$3000,"1")</f>
        <v>35.555555555555557</v>
      </c>
    </row>
    <row r="29" spans="1:26" x14ac:dyDescent="0.3">
      <c r="A29" s="50" t="s">
        <v>319</v>
      </c>
      <c r="B29" s="51">
        <f>SUMIFS(Tablo2[Son Fiyat],Tablo2[Şirket],A29)</f>
        <v>27.42</v>
      </c>
      <c r="C29" s="52">
        <f t="shared" si="3"/>
        <v>10</v>
      </c>
      <c r="D29" s="51">
        <f t="shared" si="4"/>
        <v>30.483750000000001</v>
      </c>
      <c r="E29" s="52">
        <f t="shared" si="0"/>
        <v>0</v>
      </c>
      <c r="F29" s="51">
        <f t="shared" si="1"/>
        <v>26.048999999999999</v>
      </c>
      <c r="G29" s="24">
        <f t="shared" si="5"/>
        <v>0</v>
      </c>
      <c r="H29" s="3">
        <f>SUMIFS(Portföy!$C$2:$C$93,Portföy!$A$2:$A$93,ALSAT!A29)</f>
        <v>40</v>
      </c>
      <c r="I29" s="3">
        <f>SUMIFS(Portföy!$H$2:$H$93,Portföy!$A$2:$A$93,ALSAT!A29)</f>
        <v>331.98000000000047</v>
      </c>
      <c r="J29" s="76">
        <f>IF(SUMIFS(Portföy!$D$2:$D$93,Portföy!$A$2:$A$93,ALSAT!A29)&lt;0,0,SUMIFS(Portföy!$D$2:$D$93,Portföy!$A$2:$A$93,ALSAT!A29))</f>
        <v>19.120499999999993</v>
      </c>
      <c r="K29" s="75">
        <f>VLOOKUP($A29,Tablo2[],3,FALSE)/100</f>
        <v>-2.4199999999999999E-2</v>
      </c>
      <c r="L29" s="75">
        <f>VLOOKUP($A29,Tablo2[],4,FALSE)/100</f>
        <v>-1.7899999999999999E-2</v>
      </c>
      <c r="M29" s="75">
        <f>VLOOKUP($A29,Tablo2[],5,FALSE)/100</f>
        <v>4.7400000000000005E-2</v>
      </c>
      <c r="N29" s="75">
        <f>VLOOKUP($A29,Tablo2[],6,FALSE)/100</f>
        <v>-4.7899999999999998E-2</v>
      </c>
      <c r="O29" s="75">
        <f>VLOOKUP($A29,Tablo2[],7,FALSE)/100</f>
        <v>-1.7899999999999999E-2</v>
      </c>
      <c r="P29" s="75">
        <f>VLOOKUP($A29,Tablo2[],8,FALSE)/100</f>
        <v>-0.28439999999999999</v>
      </c>
      <c r="Q29" s="75">
        <f>VLOOKUP($A29,Tablo2[],9,FALSE)/100</f>
        <v>0.38069999999999998</v>
      </c>
      <c r="R29" s="75">
        <f>VLOOKUP($A29,Tablo2[],10,FALSE)/100</f>
        <v>0</v>
      </c>
      <c r="S29" s="3">
        <f t="shared" si="6"/>
        <v>33</v>
      </c>
      <c r="T29" s="75">
        <f t="shared" si="2"/>
        <v>0.67</v>
      </c>
      <c r="U29" s="75">
        <f t="shared" si="7"/>
        <v>0.32999999999999996</v>
      </c>
      <c r="W29" s="3">
        <f t="shared" si="8"/>
        <v>24.678000000000001</v>
      </c>
      <c r="X29" s="3">
        <f t="shared" si="9"/>
        <v>30.162000000000003</v>
      </c>
      <c r="Z29">
        <f>SUMIFS(Sayfa4!$L$3:$L$3000,Sayfa4!$C$3:$C$3000,ALSAT!A29,Sayfa4!$K$3:$K$3000,"1")/SUMIFS(Sayfa4!$D$3:$D$3000,Sayfa4!$C$3:$C$3000,ALSAT!A29,Sayfa4!$K$3:$K$3000,"1")</f>
        <v>27.712499999999999</v>
      </c>
    </row>
    <row r="30" spans="1:26" x14ac:dyDescent="0.3">
      <c r="A30" s="50" t="s">
        <v>26</v>
      </c>
      <c r="B30" s="51">
        <f>SUMIFS(Tablo2[Son Fiyat],Tablo2[Şirket],A30)</f>
        <v>78.599999999999994</v>
      </c>
      <c r="C30" s="52">
        <f t="shared" si="3"/>
        <v>46.25</v>
      </c>
      <c r="D30" s="51">
        <f t="shared" si="4"/>
        <v>88.082950819672135</v>
      </c>
      <c r="E30" s="52">
        <f t="shared" si="0"/>
        <v>12.203354624292466</v>
      </c>
      <c r="F30" s="51">
        <f t="shared" si="1"/>
        <v>77.027999999999992</v>
      </c>
      <c r="G30" s="24">
        <f t="shared" si="5"/>
        <v>940</v>
      </c>
      <c r="H30" s="3">
        <f>SUMIFS(Portföy!$C$2:$C$93,Portföy!$A$2:$A$93,ALSAT!A30)</f>
        <v>185</v>
      </c>
      <c r="I30" s="3">
        <f>SUMIFS(Portföy!$H$2:$H$93,Portföy!$A$2:$A$93,ALSAT!A30)</f>
        <v>-869.90000000000509</v>
      </c>
      <c r="J30" s="76">
        <f>IF(SUMIFS(Portföy!$D$2:$D$93,Portföy!$A$2:$A$93,ALSAT!A30)&lt;0,0,SUMIFS(Portföy!$D$2:$D$93,Portföy!$A$2:$A$93,ALSAT!A30))</f>
        <v>83.302162162162176</v>
      </c>
      <c r="K30" s="75">
        <f>VLOOKUP($A30,Tablo2[],3,FALSE)/100</f>
        <v>-3.56E-2</v>
      </c>
      <c r="L30" s="75">
        <f>VLOOKUP($A30,Tablo2[],4,FALSE)/100</f>
        <v>1.09E-2</v>
      </c>
      <c r="M30" s="75">
        <f>VLOOKUP($A30,Tablo2[],5,FALSE)/100</f>
        <v>-6.9800000000000001E-2</v>
      </c>
      <c r="N30" s="75">
        <f>VLOOKUP($A30,Tablo2[],6,FALSE)/100</f>
        <v>-0.15390000000000001</v>
      </c>
      <c r="O30" s="75">
        <f>VLOOKUP($A30,Tablo2[],7,FALSE)/100</f>
        <v>1.09E-2</v>
      </c>
      <c r="P30" s="75">
        <f>VLOOKUP($A30,Tablo2[],8,FALSE)/100</f>
        <v>-0.47649999999999998</v>
      </c>
      <c r="Q30" s="75">
        <f>VLOOKUP($A30,Tablo2[],9,FALSE)/100</f>
        <v>0</v>
      </c>
      <c r="R30" s="75">
        <f>VLOOKUP($A30,Tablo2[],10,FALSE)/100</f>
        <v>0</v>
      </c>
      <c r="S30" s="3">
        <f t="shared" si="6"/>
        <v>30</v>
      </c>
      <c r="T30" s="75">
        <f t="shared" si="2"/>
        <v>0.06</v>
      </c>
      <c r="U30" s="75">
        <f t="shared" si="7"/>
        <v>0.94</v>
      </c>
      <c r="W30" s="3">
        <f t="shared" si="8"/>
        <v>70.739999999999995</v>
      </c>
      <c r="X30" s="3">
        <f t="shared" si="9"/>
        <v>86.46</v>
      </c>
      <c r="Z30">
        <f>SUMIFS(Sayfa4!$L$3:$L$3000,Sayfa4!$C$3:$C$3000,ALSAT!A30,Sayfa4!$K$3:$K$3000,"1")/SUMIFS(Sayfa4!$D$3:$D$3000,Sayfa4!$C$3:$C$3000,ALSAT!A30,Sayfa4!$K$3:$K$3000,"1")</f>
        <v>80.075409836065575</v>
      </c>
    </row>
    <row r="31" spans="1:26" x14ac:dyDescent="0.3">
      <c r="A31" s="50" t="s">
        <v>28</v>
      </c>
      <c r="B31" s="51">
        <f>SUMIFS(Tablo2[Son Fiyat],Tablo2[Şirket],A31)</f>
        <v>35.86</v>
      </c>
      <c r="C31" s="52">
        <f t="shared" si="3"/>
        <v>116.25</v>
      </c>
      <c r="D31" s="51">
        <f t="shared" si="4"/>
        <v>48.284761904761908</v>
      </c>
      <c r="E31" s="52">
        <f t="shared" si="0"/>
        <v>28.17077751345937</v>
      </c>
      <c r="F31" s="51">
        <f t="shared" si="1"/>
        <v>35.142800000000001</v>
      </c>
      <c r="G31" s="24">
        <f t="shared" si="5"/>
        <v>990</v>
      </c>
      <c r="H31" s="3">
        <f>SUMIFS(Portföy!$C$2:$C$93,Portföy!$A$2:$A$93,ALSAT!A31)</f>
        <v>465</v>
      </c>
      <c r="I31" s="3">
        <f>SUMIFS(Portföy!$H$2:$H$93,Portföy!$A$2:$A$93,ALSAT!A31)</f>
        <v>-7428.9000000000015</v>
      </c>
      <c r="J31" s="77">
        <f>IF(SUMIFS(Portföy!$D$2:$D$93,Portföy!$A$2:$A$93,ALSAT!A31)&lt;0,0,SUMIFS(Portföy!$D$2:$D$93,Portföy!$A$2:$A$93,ALSAT!A31))</f>
        <v>51.836129032258071</v>
      </c>
      <c r="K31" s="75">
        <f>VLOOKUP($A31,Tablo2[],3,FALSE)/100</f>
        <v>-3.1300000000000001E-2</v>
      </c>
      <c r="L31" s="75">
        <f>VLOOKUP($A31,Tablo2[],4,FALSE)/100</f>
        <v>-7.0499999999999993E-2</v>
      </c>
      <c r="M31" s="75">
        <f>VLOOKUP($A31,Tablo2[],5,FALSE)/100</f>
        <v>-0.1668</v>
      </c>
      <c r="N31" s="75">
        <f>VLOOKUP($A31,Tablo2[],6,FALSE)/100</f>
        <v>-0.44310000000000005</v>
      </c>
      <c r="O31" s="75">
        <f>VLOOKUP($A31,Tablo2[],7,FALSE)/100</f>
        <v>-7.0499999999999993E-2</v>
      </c>
      <c r="P31" s="75">
        <f>VLOOKUP($A31,Tablo2[],8,FALSE)/100</f>
        <v>-0.52170000000000005</v>
      </c>
      <c r="Q31" s="75">
        <f>VLOOKUP($A31,Tablo2[],9,FALSE)/100</f>
        <v>4.2580999999999998</v>
      </c>
      <c r="R31" s="75">
        <f>VLOOKUP($A31,Tablo2[],10,FALSE)/100</f>
        <v>0</v>
      </c>
      <c r="S31" s="3">
        <f t="shared" si="6"/>
        <v>35</v>
      </c>
      <c r="T31" s="75">
        <f t="shared" si="2"/>
        <v>0.01</v>
      </c>
      <c r="U31" s="75">
        <f t="shared" si="7"/>
        <v>0.99</v>
      </c>
      <c r="W31" s="3">
        <f t="shared" si="8"/>
        <v>32.274000000000001</v>
      </c>
      <c r="X31" s="3">
        <f t="shared" si="9"/>
        <v>39.446000000000005</v>
      </c>
      <c r="Z31">
        <f>SUMIFS(Sayfa4!$L$3:$L$3000,Sayfa4!$C$3:$C$3000,ALSAT!A31,Sayfa4!$K$3:$K$3000,"1")/SUMIFS(Sayfa4!$D$3:$D$3000,Sayfa4!$C$3:$C$3000,ALSAT!A31,Sayfa4!$K$3:$K$3000,"1")</f>
        <v>43.895238095238092</v>
      </c>
    </row>
    <row r="32" spans="1:26" x14ac:dyDescent="0.3">
      <c r="A32" s="50" t="s">
        <v>352</v>
      </c>
      <c r="B32" s="51">
        <f>SUMIFS(Tablo2[Son Fiyat],Tablo2[Şirket],A32)</f>
        <v>5.8</v>
      </c>
      <c r="C32" s="52">
        <f t="shared" si="3"/>
        <v>0</v>
      </c>
      <c r="D32" s="51" t="str">
        <f t="shared" si="4"/>
        <v/>
      </c>
      <c r="E32" s="52">
        <f t="shared" si="0"/>
        <v>0</v>
      </c>
      <c r="F32" s="51">
        <f t="shared" si="1"/>
        <v>5.51</v>
      </c>
      <c r="G32" s="24">
        <f t="shared" si="5"/>
        <v>0</v>
      </c>
      <c r="H32" s="3">
        <f>SUMIFS(Portföy!$C$2:$C$93,Portföy!$A$2:$A$93,ALSAT!A32)</f>
        <v>0</v>
      </c>
      <c r="I32" s="3">
        <f>SUMIFS(Portföy!$H$2:$H$93,Portföy!$A$2:$A$93,ALSAT!A32)</f>
        <v>295.94999999999982</v>
      </c>
      <c r="J32" s="77">
        <f>IF(SUMIFS(Portföy!$D$2:$D$93,Portföy!$A$2:$A$93,ALSAT!A32)&lt;0,0,SUMIFS(Portföy!$D$2:$D$93,Portföy!$A$2:$A$93,ALSAT!A32))</f>
        <v>0</v>
      </c>
      <c r="K32" s="75">
        <f>VLOOKUP($A32,Tablo2[],3,FALSE)/100</f>
        <v>-2.1899999999999999E-2</v>
      </c>
      <c r="L32" s="75">
        <f>VLOOKUP($A32,Tablo2[],4,FALSE)/100</f>
        <v>0</v>
      </c>
      <c r="M32" s="75">
        <f>VLOOKUP($A32,Tablo2[],5,FALSE)/100</f>
        <v>-3.49E-2</v>
      </c>
      <c r="N32" s="75">
        <f>VLOOKUP($A32,Tablo2[],6,FALSE)/100</f>
        <v>-0.11849999999999999</v>
      </c>
      <c r="O32" s="75">
        <f>VLOOKUP($A32,Tablo2[],7,FALSE)/100</f>
        <v>0</v>
      </c>
      <c r="P32" s="75">
        <f>VLOOKUP($A32,Tablo2[],8,FALSE)/100</f>
        <v>-0.4718</v>
      </c>
      <c r="Q32" s="75">
        <f>VLOOKUP($A32,Tablo2[],9,FALSE)/100</f>
        <v>-4.9200000000000001E-2</v>
      </c>
      <c r="R32" s="75">
        <f>VLOOKUP($A32,Tablo2[],10,FALSE)/100</f>
        <v>2.5366</v>
      </c>
      <c r="S32" s="3">
        <f t="shared" si="6"/>
        <v>29</v>
      </c>
      <c r="T32" s="75">
        <f t="shared" si="2"/>
        <v>0.71</v>
      </c>
      <c r="U32" s="75">
        <f t="shared" si="7"/>
        <v>0.29000000000000004</v>
      </c>
      <c r="W32" s="3">
        <f t="shared" si="8"/>
        <v>5.22</v>
      </c>
      <c r="X32" s="3">
        <f t="shared" si="9"/>
        <v>6.38</v>
      </c>
      <c r="Z32" t="e">
        <f>SUMIFS(Sayfa4!$L$3:$L$3000,Sayfa4!$C$3:$C$3000,ALSAT!A32,Sayfa4!$K$3:$K$3000,"1")/SUMIFS(Sayfa4!$D$3:$D$3000,Sayfa4!$C$3:$C$3000,ALSAT!A32,Sayfa4!$K$3:$K$3000,"1")</f>
        <v>#DIV/0!</v>
      </c>
    </row>
    <row r="33" spans="1:26" x14ac:dyDescent="0.3">
      <c r="A33" s="50" t="s">
        <v>379</v>
      </c>
      <c r="B33" s="51">
        <f>SUMIFS(Tablo2[Son Fiyat],Tablo2[Şirket],A33)</f>
        <v>57.2</v>
      </c>
      <c r="C33" s="52">
        <f t="shared" si="3"/>
        <v>5</v>
      </c>
      <c r="D33" s="51">
        <f t="shared" si="4"/>
        <v>55.33</v>
      </c>
      <c r="E33" s="52">
        <f t="shared" si="0"/>
        <v>0</v>
      </c>
      <c r="F33" s="51">
        <f t="shared" si="1"/>
        <v>54.34</v>
      </c>
      <c r="G33" s="24">
        <f t="shared" si="5"/>
        <v>0</v>
      </c>
      <c r="H33" s="3">
        <f>SUMIFS(Portföy!$C$2:$C$93,Portföy!$A$2:$A$93,ALSAT!A33)</f>
        <v>20</v>
      </c>
      <c r="I33" s="3">
        <f>SUMIFS(Portföy!$H$2:$H$93,Portföy!$A$2:$A$93,ALSAT!A33)</f>
        <v>4653.25</v>
      </c>
      <c r="J33" s="76">
        <f>IF(SUMIFS(Portföy!$D$2:$D$93,Portföy!$A$2:$A$93,ALSAT!A33)&lt;0,0,SUMIFS(Portföy!$D$2:$D$93,Portföy!$A$2:$A$93,ALSAT!A33))</f>
        <v>0</v>
      </c>
      <c r="K33" s="75">
        <f>VLOOKUP($A33,Tablo2[],3,FALSE)/100</f>
        <v>0.21960000000000002</v>
      </c>
      <c r="L33" s="75">
        <f>VLOOKUP($A33,Tablo2[],4,FALSE)/100</f>
        <v>7.0199999999999999E-2</v>
      </c>
      <c r="M33" s="75">
        <f>VLOOKUP($A33,Tablo2[],5,FALSE)/100</f>
        <v>-0.12</v>
      </c>
      <c r="N33" s="75">
        <f>VLOOKUP($A33,Tablo2[],6,FALSE)/100</f>
        <v>-0.2576</v>
      </c>
      <c r="O33" s="75">
        <f>VLOOKUP($A33,Tablo2[],7,FALSE)/100</f>
        <v>7.0199999999999999E-2</v>
      </c>
      <c r="P33" s="75">
        <f>VLOOKUP($A33,Tablo2[],8,FALSE)/100</f>
        <v>-4.2699999999999995E-2</v>
      </c>
      <c r="Q33" s="75">
        <f>VLOOKUP($A33,Tablo2[],9,FALSE)/100</f>
        <v>13.517799999999999</v>
      </c>
      <c r="R33" s="75">
        <f>VLOOKUP($A33,Tablo2[],10,FALSE)/100</f>
        <v>37.389299999999999</v>
      </c>
      <c r="S33" s="3">
        <f t="shared" si="6"/>
        <v>24</v>
      </c>
      <c r="T33" s="75">
        <f t="shared" si="2"/>
        <v>0.76</v>
      </c>
      <c r="U33" s="75">
        <f t="shared" si="7"/>
        <v>0.24</v>
      </c>
      <c r="W33" s="3">
        <f t="shared" si="8"/>
        <v>51.480000000000004</v>
      </c>
      <c r="X33" s="3">
        <f t="shared" si="9"/>
        <v>62.920000000000009</v>
      </c>
      <c r="Z33">
        <f>SUMIFS(Sayfa4!$L$3:$L$3000,Sayfa4!$C$3:$C$3000,ALSAT!A33,Sayfa4!$K$3:$K$3000,"1")/SUMIFS(Sayfa4!$D$3:$D$3000,Sayfa4!$C$3:$C$3000,ALSAT!A33,Sayfa4!$K$3:$K$3000,"1")</f>
        <v>50.3</v>
      </c>
    </row>
    <row r="34" spans="1:26" x14ac:dyDescent="0.3">
      <c r="A34" s="50" t="s">
        <v>383</v>
      </c>
      <c r="B34" s="51">
        <f>SUMIFS(Tablo2[Son Fiyat],Tablo2[Şirket],A34)</f>
        <v>2.7</v>
      </c>
      <c r="C34" s="52">
        <f t="shared" si="3"/>
        <v>0</v>
      </c>
      <c r="D34" s="51" t="str">
        <f t="shared" si="4"/>
        <v/>
      </c>
      <c r="E34" s="52">
        <f t="shared" si="0"/>
        <v>0</v>
      </c>
      <c r="F34" s="51">
        <f t="shared" si="1"/>
        <v>2.5649999999999999</v>
      </c>
      <c r="G34" s="24">
        <f t="shared" si="5"/>
        <v>0</v>
      </c>
      <c r="H34" s="3">
        <f>SUMIFS(Portföy!$C$2:$C$93,Portföy!$A$2:$A$93,ALSAT!A34)</f>
        <v>0</v>
      </c>
      <c r="I34" s="3">
        <f>SUMIFS(Portföy!$H$2:$H$93,Portföy!$A$2:$A$93,ALSAT!A34)</f>
        <v>326</v>
      </c>
      <c r="J34" s="76">
        <f>IF(SUMIFS(Portföy!$D$2:$D$93,Portföy!$A$2:$A$93,ALSAT!A34)&lt;0,0,SUMIFS(Portföy!$D$2:$D$93,Portföy!$A$2:$A$93,ALSAT!A34))</f>
        <v>0</v>
      </c>
      <c r="K34" s="75">
        <f>VLOOKUP($A34,Tablo2[],3,FALSE)/100</f>
        <v>-9.4E-2</v>
      </c>
      <c r="L34" s="75">
        <f>VLOOKUP($A34,Tablo2[],4,FALSE)/100</f>
        <v>-0.1176</v>
      </c>
      <c r="M34" s="75">
        <f>VLOOKUP($A34,Tablo2[],5,FALSE)/100</f>
        <v>0.12970000000000001</v>
      </c>
      <c r="N34" s="75">
        <f>VLOOKUP($A34,Tablo2[],6,FALSE)/100</f>
        <v>-0.62240000000000006</v>
      </c>
      <c r="O34" s="75">
        <f>VLOOKUP($A34,Tablo2[],7,FALSE)/100</f>
        <v>-0.1176</v>
      </c>
      <c r="P34" s="75">
        <f>VLOOKUP($A34,Tablo2[],8,FALSE)/100</f>
        <v>-0.43159999999999998</v>
      </c>
      <c r="Q34" s="75">
        <f>VLOOKUP($A34,Tablo2[],9,FALSE)/100</f>
        <v>0.8367</v>
      </c>
      <c r="R34" s="75">
        <f>VLOOKUP($A34,Tablo2[],10,FALSE)/100</f>
        <v>10.739100000000001</v>
      </c>
      <c r="S34" s="3">
        <f t="shared" si="6"/>
        <v>32</v>
      </c>
      <c r="T34" s="75">
        <f t="shared" si="2"/>
        <v>0.68</v>
      </c>
      <c r="U34" s="75">
        <f t="shared" si="7"/>
        <v>0.31999999999999995</v>
      </c>
      <c r="W34" s="3">
        <f t="shared" si="8"/>
        <v>2.4300000000000002</v>
      </c>
      <c r="X34" s="3">
        <f t="shared" si="9"/>
        <v>2.9700000000000006</v>
      </c>
      <c r="Z34" t="e">
        <f>SUMIFS(Sayfa4!$L$3:$L$3000,Sayfa4!$C$3:$C$3000,ALSAT!A34,Sayfa4!$K$3:$K$3000,"1")/SUMIFS(Sayfa4!$D$3:$D$3000,Sayfa4!$C$3:$C$3000,ALSAT!A34,Sayfa4!$K$3:$K$3000,"1")</f>
        <v>#DIV/0!</v>
      </c>
    </row>
    <row r="35" spans="1:26" x14ac:dyDescent="0.3">
      <c r="A35" s="50" t="s">
        <v>404</v>
      </c>
      <c r="B35" s="51">
        <f>SUMIFS(Tablo2[Son Fiyat],Tablo2[Şirket],A35)</f>
        <v>20.66</v>
      </c>
      <c r="C35" s="52">
        <f t="shared" si="3"/>
        <v>5</v>
      </c>
      <c r="D35" s="51">
        <f t="shared" si="4"/>
        <v>24.200000000000003</v>
      </c>
      <c r="E35" s="52">
        <f t="shared" si="0"/>
        <v>0</v>
      </c>
      <c r="F35" s="51">
        <f t="shared" si="1"/>
        <v>19.626999999999999</v>
      </c>
      <c r="G35" s="24">
        <f t="shared" si="5"/>
        <v>0</v>
      </c>
      <c r="H35" s="3">
        <f>SUMIFS(Portföy!$C$2:$C$93,Portföy!$A$2:$A$93,ALSAT!A35)</f>
        <v>20</v>
      </c>
      <c r="I35" s="3">
        <f>SUMIFS(Portföy!$H$2:$H$93,Portföy!$A$2:$A$93,ALSAT!A35)</f>
        <v>256.39999999999981</v>
      </c>
      <c r="J35" s="76">
        <f>IF(SUMIFS(Portföy!$D$2:$D$93,Portföy!$A$2:$A$93,ALSAT!A35)&lt;0,0,SUMIFS(Portföy!$D$2:$D$93,Portföy!$A$2:$A$93,ALSAT!A35))</f>
        <v>7.8400000000000087</v>
      </c>
      <c r="K35" s="75">
        <f>VLOOKUP($A35,Tablo2[],3,FALSE)/100</f>
        <v>-8.1000000000000003E-2</v>
      </c>
      <c r="L35" s="75">
        <f>VLOOKUP($A35,Tablo2[],4,FALSE)/100</f>
        <v>0</v>
      </c>
      <c r="M35" s="75">
        <f>VLOOKUP($A35,Tablo2[],5,FALSE)/100</f>
        <v>0.1646</v>
      </c>
      <c r="N35" s="75">
        <f>VLOOKUP($A35,Tablo2[],6,FALSE)/100</f>
        <v>0.18530000000000002</v>
      </c>
      <c r="O35" s="75">
        <f>VLOOKUP($A35,Tablo2[],7,FALSE)/100</f>
        <v>0</v>
      </c>
      <c r="P35" s="75">
        <f>VLOOKUP($A35,Tablo2[],8,FALSE)/100</f>
        <v>-0.1323</v>
      </c>
      <c r="Q35" s="75">
        <f>VLOOKUP($A35,Tablo2[],9,FALSE)/100</f>
        <v>2.3593000000000002</v>
      </c>
      <c r="R35" s="75">
        <f>VLOOKUP($A35,Tablo2[],10,FALSE)/100</f>
        <v>0</v>
      </c>
      <c r="S35" s="3">
        <f t="shared" si="6"/>
        <v>23</v>
      </c>
      <c r="T35" s="75">
        <f t="shared" si="2"/>
        <v>0.77</v>
      </c>
      <c r="U35" s="75">
        <f t="shared" si="7"/>
        <v>0.22999999999999998</v>
      </c>
      <c r="W35" s="3">
        <f t="shared" si="8"/>
        <v>18.594000000000001</v>
      </c>
      <c r="X35" s="3">
        <f t="shared" si="9"/>
        <v>22.726000000000003</v>
      </c>
      <c r="Z35">
        <f>SUMIFS(Sayfa4!$L$3:$L$3000,Sayfa4!$C$3:$C$3000,ALSAT!A35,Sayfa4!$K$3:$K$3000,"1")/SUMIFS(Sayfa4!$D$3:$D$3000,Sayfa4!$C$3:$C$3000,ALSAT!A35,Sayfa4!$K$3:$K$3000,"1")</f>
        <v>22</v>
      </c>
    </row>
    <row r="36" spans="1:26" x14ac:dyDescent="0.3">
      <c r="A36" s="50" t="s">
        <v>415</v>
      </c>
      <c r="B36" s="51">
        <f>SUMIFS(Tablo2[Son Fiyat],Tablo2[Şirket],A36)</f>
        <v>32.119999999999997</v>
      </c>
      <c r="C36" s="52">
        <f t="shared" si="3"/>
        <v>0</v>
      </c>
      <c r="D36" s="51" t="str">
        <f t="shared" si="4"/>
        <v/>
      </c>
      <c r="E36" s="52">
        <f t="shared" si="0"/>
        <v>0</v>
      </c>
      <c r="F36" s="51">
        <f t="shared" si="1"/>
        <v>30.513999999999996</v>
      </c>
      <c r="G36" s="24">
        <f t="shared" si="5"/>
        <v>0</v>
      </c>
      <c r="H36" s="3">
        <f>SUMIFS(Portföy!$C$2:$C$93,Portföy!$A$2:$A$93,ALSAT!A36)</f>
        <v>0</v>
      </c>
      <c r="I36" s="3">
        <f>SUMIFS(Portföy!$H$2:$H$93,Portföy!$A$2:$A$93,ALSAT!A36)</f>
        <v>380.30000000000018</v>
      </c>
      <c r="J36" s="76">
        <f>IF(SUMIFS(Portföy!$D$2:$D$93,Portföy!$A$2:$A$93,ALSAT!A36)&lt;0,0,SUMIFS(Portföy!$D$2:$D$93,Portföy!$A$2:$A$93,ALSAT!A36))</f>
        <v>0</v>
      </c>
      <c r="K36" s="75">
        <f>VLOOKUP($A36,Tablo2[],3,FALSE)/100</f>
        <v>-5.0799999999999998E-2</v>
      </c>
      <c r="L36" s="75">
        <f>VLOOKUP($A36,Tablo2[],4,FALSE)/100</f>
        <v>3.2799999999999996E-2</v>
      </c>
      <c r="M36" s="75">
        <f>VLOOKUP($A36,Tablo2[],5,FALSE)/100</f>
        <v>6.7799999999999999E-2</v>
      </c>
      <c r="N36" s="75">
        <f>VLOOKUP($A36,Tablo2[],6,FALSE)/100</f>
        <v>-0.20300000000000001</v>
      </c>
      <c r="O36" s="75">
        <f>VLOOKUP($A36,Tablo2[],7,FALSE)/100</f>
        <v>3.2799999999999996E-2</v>
      </c>
      <c r="P36" s="75">
        <f>VLOOKUP($A36,Tablo2[],8,FALSE)/100</f>
        <v>-0.23710000000000001</v>
      </c>
      <c r="Q36" s="75">
        <f>VLOOKUP($A36,Tablo2[],9,FALSE)/100</f>
        <v>0</v>
      </c>
      <c r="R36" s="75">
        <f>VLOOKUP($A36,Tablo2[],10,FALSE)/100</f>
        <v>0</v>
      </c>
      <c r="S36" s="3">
        <f t="shared" si="6"/>
        <v>27</v>
      </c>
      <c r="T36" s="75">
        <f t="shared" si="2"/>
        <v>0.73</v>
      </c>
      <c r="U36" s="75">
        <f t="shared" si="7"/>
        <v>0.27</v>
      </c>
      <c r="W36" s="3">
        <f t="shared" si="8"/>
        <v>28.907999999999998</v>
      </c>
      <c r="X36" s="3">
        <f t="shared" si="9"/>
        <v>35.332000000000001</v>
      </c>
      <c r="Z36" t="e">
        <f>SUMIFS(Sayfa4!$L$3:$L$3000,Sayfa4!$C$3:$C$3000,ALSAT!A36,Sayfa4!$K$3:$K$3000,"1")/SUMIFS(Sayfa4!$D$3:$D$3000,Sayfa4!$C$3:$C$3000,ALSAT!A36,Sayfa4!$K$3:$K$3000,"1")</f>
        <v>#DIV/0!</v>
      </c>
    </row>
    <row r="37" spans="1:26" x14ac:dyDescent="0.3">
      <c r="A37" s="50" t="s">
        <v>423</v>
      </c>
      <c r="B37" s="51">
        <f>SUMIFS(Tablo2[Son Fiyat],Tablo2[Şirket],A37)</f>
        <v>10.3</v>
      </c>
      <c r="C37" s="52">
        <f t="shared" si="3"/>
        <v>0</v>
      </c>
      <c r="D37" s="51" t="str">
        <f t="shared" si="4"/>
        <v/>
      </c>
      <c r="E37" s="52">
        <f t="shared" si="0"/>
        <v>0</v>
      </c>
      <c r="F37" s="51">
        <f t="shared" si="1"/>
        <v>9.7850000000000001</v>
      </c>
      <c r="G37" s="24">
        <f t="shared" si="5"/>
        <v>0</v>
      </c>
      <c r="H37" s="3">
        <f>SUMIFS(Portföy!$C$2:$C$93,Portföy!$A$2:$A$93,ALSAT!A37)</f>
        <v>0</v>
      </c>
      <c r="I37" s="3">
        <f>SUMIFS(Portföy!$H$2:$H$93,Portföy!$A$2:$A$93,ALSAT!A37)</f>
        <v>539.75</v>
      </c>
      <c r="J37" s="76">
        <f>IF(SUMIFS(Portföy!$D$2:$D$93,Portföy!$A$2:$A$93,ALSAT!A37)&lt;0,0,SUMIFS(Portföy!$D$2:$D$93,Portföy!$A$2:$A$93,ALSAT!A37))</f>
        <v>0</v>
      </c>
      <c r="K37" s="75">
        <f>VLOOKUP($A37,Tablo2[],3,FALSE)/100</f>
        <v>2.5899999999999999E-2</v>
      </c>
      <c r="L37" s="75">
        <f>VLOOKUP($A37,Tablo2[],4,FALSE)/100</f>
        <v>0.2923</v>
      </c>
      <c r="M37" s="75">
        <f>VLOOKUP($A37,Tablo2[],5,FALSE)/100</f>
        <v>0.41869999999999996</v>
      </c>
      <c r="N37" s="75">
        <f>VLOOKUP($A37,Tablo2[],6,FALSE)/100</f>
        <v>0.51919999999999999</v>
      </c>
      <c r="O37" s="75">
        <f>VLOOKUP($A37,Tablo2[],7,FALSE)/100</f>
        <v>0.2923</v>
      </c>
      <c r="P37" s="75">
        <f>VLOOKUP($A37,Tablo2[],8,FALSE)/100</f>
        <v>0.46100000000000002</v>
      </c>
      <c r="Q37" s="75">
        <f>VLOOKUP($A37,Tablo2[],9,FALSE)/100</f>
        <v>5.6883000000000008</v>
      </c>
      <c r="R37" s="75">
        <f>VLOOKUP($A37,Tablo2[],10,FALSE)/100</f>
        <v>7.4425999999999997</v>
      </c>
      <c r="S37" s="3">
        <f t="shared" si="6"/>
        <v>18</v>
      </c>
      <c r="T37" s="75">
        <f t="shared" si="2"/>
        <v>0.82</v>
      </c>
      <c r="U37" s="75">
        <f t="shared" si="7"/>
        <v>0.18000000000000005</v>
      </c>
      <c r="W37" s="3">
        <f t="shared" si="8"/>
        <v>9.2700000000000014</v>
      </c>
      <c r="X37" s="3">
        <f t="shared" si="9"/>
        <v>11.330000000000002</v>
      </c>
      <c r="Z37" t="e">
        <f>SUMIFS(Sayfa4!$L$3:$L$3000,Sayfa4!$C$3:$C$3000,ALSAT!A37,Sayfa4!$K$3:$K$3000,"1")/SUMIFS(Sayfa4!$D$3:$D$3000,Sayfa4!$C$3:$C$3000,ALSAT!A37,Sayfa4!$K$3:$K$3000,"1")</f>
        <v>#DIV/0!</v>
      </c>
    </row>
    <row r="38" spans="1:26" x14ac:dyDescent="0.3">
      <c r="A38" s="50" t="s">
        <v>444</v>
      </c>
      <c r="B38" s="51">
        <f>SUMIFS(Tablo2[Son Fiyat],Tablo2[Şirket],A38)</f>
        <v>15.61</v>
      </c>
      <c r="C38" s="52">
        <f t="shared" si="3"/>
        <v>27.5</v>
      </c>
      <c r="D38" s="51">
        <f t="shared" si="4"/>
        <v>16.940000000000001</v>
      </c>
      <c r="E38" s="52">
        <f t="shared" si="0"/>
        <v>0</v>
      </c>
      <c r="F38" s="51">
        <f t="shared" si="1"/>
        <v>14.829499999999999</v>
      </c>
      <c r="G38" s="24">
        <f t="shared" si="5"/>
        <v>0</v>
      </c>
      <c r="H38" s="3">
        <f>SUMIFS(Portföy!$C$2:$C$93,Portföy!$A$2:$A$93,ALSAT!A38)</f>
        <v>110</v>
      </c>
      <c r="I38" s="3">
        <f>SUMIFS(Portföy!$H$2:$H$93,Portföy!$A$2:$A$93,ALSAT!A38)</f>
        <v>540.59999999999991</v>
      </c>
      <c r="J38" s="76">
        <f>IF(SUMIFS(Portföy!$D$2:$D$93,Portföy!$A$2:$A$93,ALSAT!A38)&lt;0,0,SUMIFS(Portföy!$D$2:$D$93,Portföy!$A$2:$A$93,ALSAT!A38))</f>
        <v>10.695454545454545</v>
      </c>
      <c r="K38" s="75">
        <f>VLOOKUP($A38,Tablo2[],3,FALSE)/100</f>
        <v>-5.62E-2</v>
      </c>
      <c r="L38" s="75">
        <f>VLOOKUP($A38,Tablo2[],4,FALSE)/100</f>
        <v>4.5000000000000005E-3</v>
      </c>
      <c r="M38" s="75">
        <f>VLOOKUP($A38,Tablo2[],5,FALSE)/100</f>
        <v>0.10630000000000001</v>
      </c>
      <c r="N38" s="75">
        <f>VLOOKUP($A38,Tablo2[],6,FALSE)/100</f>
        <v>-2.7400000000000001E-2</v>
      </c>
      <c r="O38" s="75">
        <f>VLOOKUP($A38,Tablo2[],7,FALSE)/100</f>
        <v>4.5000000000000005E-3</v>
      </c>
      <c r="P38" s="75">
        <f>VLOOKUP($A38,Tablo2[],8,FALSE)/100</f>
        <v>-0.19989999999999999</v>
      </c>
      <c r="Q38" s="75">
        <f>VLOOKUP($A38,Tablo2[],9,FALSE)/100</f>
        <v>-0.55940000000000001</v>
      </c>
      <c r="R38" s="75">
        <f>VLOOKUP($A38,Tablo2[],10,FALSE)/100</f>
        <v>0</v>
      </c>
      <c r="S38" s="3">
        <f t="shared" si="6"/>
        <v>27</v>
      </c>
      <c r="T38" s="75">
        <f t="shared" si="2"/>
        <v>0.73</v>
      </c>
      <c r="U38" s="75">
        <f t="shared" si="7"/>
        <v>0.27</v>
      </c>
      <c r="W38" s="3">
        <f t="shared" si="8"/>
        <v>14.048999999999999</v>
      </c>
      <c r="X38" s="3">
        <f t="shared" si="9"/>
        <v>17.170999999999999</v>
      </c>
      <c r="Z38">
        <f>SUMIFS(Sayfa4!$L$3:$L$3000,Sayfa4!$C$3:$C$3000,ALSAT!A38,Sayfa4!$K$3:$K$3000,"1")/SUMIFS(Sayfa4!$D$3:$D$3000,Sayfa4!$C$3:$C$3000,ALSAT!A38,Sayfa4!$K$3:$K$3000,"1")</f>
        <v>15.4</v>
      </c>
    </row>
    <row r="39" spans="1:26" x14ac:dyDescent="0.3">
      <c r="A39" s="50" t="s">
        <v>456</v>
      </c>
      <c r="B39" s="51">
        <f>SUMIFS(Tablo2[Son Fiyat],Tablo2[Şirket],A39)</f>
        <v>5.03</v>
      </c>
      <c r="C39" s="52">
        <f t="shared" si="3"/>
        <v>82.5</v>
      </c>
      <c r="D39" s="51">
        <f t="shared" si="4"/>
        <v>6.0765000000000011</v>
      </c>
      <c r="E39" s="52">
        <f t="shared" si="0"/>
        <v>0</v>
      </c>
      <c r="F39" s="51">
        <f t="shared" si="1"/>
        <v>4.7785000000000002</v>
      </c>
      <c r="G39" s="24">
        <f t="shared" si="5"/>
        <v>0</v>
      </c>
      <c r="H39" s="3">
        <f>SUMIFS(Portföy!$C$2:$C$93,Portföy!$A$2:$A$93,ALSAT!A39)</f>
        <v>330</v>
      </c>
      <c r="I39" s="3">
        <f>SUMIFS(Portföy!$H$2:$H$93,Portföy!$A$2:$A$93,ALSAT!A39)</f>
        <v>495.19999999999936</v>
      </c>
      <c r="J39" s="76">
        <f>IF(SUMIFS(Portföy!$D$2:$D$93,Portföy!$A$2:$A$93,ALSAT!A39)&lt;0,0,SUMIFS(Portföy!$D$2:$D$93,Portföy!$A$2:$A$93,ALSAT!A39))</f>
        <v>3.5293939393939415</v>
      </c>
      <c r="K39" s="75">
        <f>VLOOKUP($A39,Tablo2[],3,FALSE)/100</f>
        <v>-4.1900000000000007E-2</v>
      </c>
      <c r="L39" s="75">
        <f>VLOOKUP($A39,Tablo2[],4,FALSE)/100</f>
        <v>-0.13720000000000002</v>
      </c>
      <c r="M39" s="75">
        <f>VLOOKUP($A39,Tablo2[],5,FALSE)/100</f>
        <v>1.21E-2</v>
      </c>
      <c r="N39" s="75">
        <f>VLOOKUP($A39,Tablo2[],6,FALSE)/100</f>
        <v>-0.21530000000000002</v>
      </c>
      <c r="O39" s="75">
        <f>VLOOKUP($A39,Tablo2[],7,FALSE)/100</f>
        <v>-0.13720000000000002</v>
      </c>
      <c r="P39" s="75">
        <f>VLOOKUP($A39,Tablo2[],8,FALSE)/100</f>
        <v>-0.3382</v>
      </c>
      <c r="Q39" s="75">
        <f>VLOOKUP($A39,Tablo2[],9,FALSE)/100</f>
        <v>0</v>
      </c>
      <c r="R39" s="75">
        <f>VLOOKUP($A39,Tablo2[],10,FALSE)/100</f>
        <v>0</v>
      </c>
      <c r="S39" s="3">
        <f t="shared" si="6"/>
        <v>33</v>
      </c>
      <c r="T39" s="75">
        <f t="shared" si="2"/>
        <v>0.67</v>
      </c>
      <c r="U39" s="75">
        <f t="shared" si="7"/>
        <v>0.32999999999999996</v>
      </c>
      <c r="W39" s="3">
        <f t="shared" si="8"/>
        <v>4.5270000000000001</v>
      </c>
      <c r="X39" s="3">
        <f t="shared" si="9"/>
        <v>5.5330000000000004</v>
      </c>
      <c r="Z39">
        <f>SUMIFS(Sayfa4!$L$3:$L$3000,Sayfa4!$C$3:$C$3000,ALSAT!A39,Sayfa4!$K$3:$K$3000,"1")/SUMIFS(Sayfa4!$D$3:$D$3000,Sayfa4!$C$3:$C$3000,ALSAT!A39,Sayfa4!$K$3:$K$3000,"1")</f>
        <v>5.5240909090909094</v>
      </c>
    </row>
    <row r="40" spans="1:26" x14ac:dyDescent="0.3">
      <c r="A40" s="50" t="s">
        <v>50</v>
      </c>
      <c r="B40" s="51">
        <f>SUMIFS(Tablo2[Son Fiyat],Tablo2[Şirket],A40)</f>
        <v>20.5</v>
      </c>
      <c r="C40" s="52">
        <f t="shared" si="3"/>
        <v>6.25</v>
      </c>
      <c r="D40" s="51">
        <f t="shared" si="4"/>
        <v>24.475000000000001</v>
      </c>
      <c r="E40" s="52">
        <f t="shared" si="0"/>
        <v>0</v>
      </c>
      <c r="F40" s="51">
        <f t="shared" si="1"/>
        <v>19.474999999999998</v>
      </c>
      <c r="G40" s="24">
        <f t="shared" si="5"/>
        <v>0</v>
      </c>
      <c r="H40" s="3">
        <f>SUMIFS(Portföy!$C$2:$C$93,Portföy!$A$2:$A$93,ALSAT!A40)</f>
        <v>25</v>
      </c>
      <c r="I40" s="3">
        <f>SUMIFS(Portföy!$H$2:$H$93,Portföy!$A$2:$A$93,ALSAT!A40)</f>
        <v>178.75</v>
      </c>
      <c r="J40" s="76">
        <f>IF(SUMIFS(Portföy!$D$2:$D$93,Portföy!$A$2:$A$93,ALSAT!A40)&lt;0,0,SUMIFS(Portföy!$D$2:$D$93,Portföy!$A$2:$A$93,ALSAT!A40))</f>
        <v>13.35</v>
      </c>
      <c r="K40" s="75">
        <f>VLOOKUP($A40,Tablo2[],3,FALSE)/100</f>
        <v>-4.2099999999999999E-2</v>
      </c>
      <c r="L40" s="75">
        <f>VLOOKUP($A40,Tablo2[],4,FALSE)/100</f>
        <v>-0.1164</v>
      </c>
      <c r="M40" s="75">
        <f>VLOOKUP($A40,Tablo2[],5,FALSE)/100</f>
        <v>0.2094</v>
      </c>
      <c r="N40" s="75">
        <f>VLOOKUP($A40,Tablo2[],6,FALSE)/100</f>
        <v>-6.2199999999999998E-2</v>
      </c>
      <c r="O40" s="75">
        <f>VLOOKUP($A40,Tablo2[],7,FALSE)/100</f>
        <v>-0.1164</v>
      </c>
      <c r="P40" s="75">
        <f>VLOOKUP($A40,Tablo2[],8,FALSE)/100</f>
        <v>-5.8299999999999998E-2</v>
      </c>
      <c r="Q40" s="75">
        <f>VLOOKUP($A40,Tablo2[],9,FALSE)/100</f>
        <v>2.5528999999999997</v>
      </c>
      <c r="R40" s="75">
        <f>VLOOKUP($A40,Tablo2[],10,FALSE)/100</f>
        <v>5.2883000000000004</v>
      </c>
      <c r="S40" s="3">
        <f t="shared" si="6"/>
        <v>31</v>
      </c>
      <c r="T40" s="75">
        <f t="shared" si="2"/>
        <v>0.69</v>
      </c>
      <c r="U40" s="75">
        <f t="shared" si="7"/>
        <v>0.31000000000000005</v>
      </c>
      <c r="W40" s="3">
        <f t="shared" si="8"/>
        <v>18.45</v>
      </c>
      <c r="X40" s="3">
        <f t="shared" si="9"/>
        <v>22.55</v>
      </c>
      <c r="Z40">
        <f>SUMIFS(Sayfa4!$L$3:$L$3000,Sayfa4!$C$3:$C$3000,ALSAT!A40,Sayfa4!$K$3:$K$3000,"1")/SUMIFS(Sayfa4!$D$3:$D$3000,Sayfa4!$C$3:$C$3000,ALSAT!A40,Sayfa4!$K$3:$K$3000,"1")</f>
        <v>22.25</v>
      </c>
    </row>
    <row r="41" spans="1:26" x14ac:dyDescent="0.3">
      <c r="A41" s="50" t="s">
        <v>496</v>
      </c>
      <c r="B41" s="51">
        <f>SUMIFS(Tablo2[Son Fiyat],Tablo2[Şirket],A41)</f>
        <v>5.03</v>
      </c>
      <c r="C41" s="52">
        <f t="shared" si="3"/>
        <v>250</v>
      </c>
      <c r="D41" s="51">
        <f t="shared" si="4"/>
        <v>5.9072750000000012</v>
      </c>
      <c r="E41" s="52">
        <f t="shared" si="0"/>
        <v>202.86444597719802</v>
      </c>
      <c r="F41" s="51">
        <f t="shared" si="1"/>
        <v>4.9294000000000002</v>
      </c>
      <c r="G41" s="24">
        <f t="shared" si="5"/>
        <v>1000</v>
      </c>
      <c r="H41" s="3">
        <f>SUMIFS(Portföy!$C$2:$C$93,Portföy!$A$2:$A$93,ALSAT!A41)</f>
        <v>1000</v>
      </c>
      <c r="I41" s="3">
        <f>SUMIFS(Portföy!$H$2:$H$93,Portföy!$A$2:$A$93,ALSAT!A41)</f>
        <v>-340.25</v>
      </c>
      <c r="J41" s="76">
        <f>IF(SUMIFS(Portföy!$D$2:$D$93,Portföy!$A$2:$A$93,ALSAT!A41)&lt;0,0,SUMIFS(Portföy!$D$2:$D$93,Portföy!$A$2:$A$93,ALSAT!A41))</f>
        <v>5.3702500000000004</v>
      </c>
      <c r="K41" s="75">
        <f>VLOOKUP($A41,Tablo2[],3,FALSE)/100</f>
        <v>-4.7300000000000002E-2</v>
      </c>
      <c r="L41" s="75">
        <f>VLOOKUP($A41,Tablo2[],4,FALSE)/100</f>
        <v>-2.52E-2</v>
      </c>
      <c r="M41" s="75">
        <f>VLOOKUP($A41,Tablo2[],5,FALSE)/100</f>
        <v>-7.8799999999999995E-2</v>
      </c>
      <c r="N41" s="75">
        <f>VLOOKUP($A41,Tablo2[],6,FALSE)/100</f>
        <v>-0.26679999999999998</v>
      </c>
      <c r="O41" s="75">
        <f>VLOOKUP($A41,Tablo2[],7,FALSE)/100</f>
        <v>-2.52E-2</v>
      </c>
      <c r="P41" s="75">
        <f>VLOOKUP($A41,Tablo2[],8,FALSE)/100</f>
        <v>-0.38659999999999994</v>
      </c>
      <c r="Q41" s="75">
        <f>VLOOKUP($A41,Tablo2[],9,FALSE)/100</f>
        <v>0</v>
      </c>
      <c r="R41" s="75">
        <f>VLOOKUP($A41,Tablo2[],10,FALSE)/100</f>
        <v>0</v>
      </c>
      <c r="S41" s="3">
        <f t="shared" si="6"/>
        <v>36</v>
      </c>
      <c r="T41" s="75">
        <f t="shared" si="2"/>
        <v>0</v>
      </c>
      <c r="U41" s="75">
        <f t="shared" si="7"/>
        <v>1</v>
      </c>
      <c r="W41" s="3">
        <f t="shared" si="8"/>
        <v>4.5270000000000001</v>
      </c>
      <c r="X41" s="3">
        <f t="shared" si="9"/>
        <v>5.5330000000000004</v>
      </c>
      <c r="Z41">
        <f>SUMIFS(Sayfa4!$L$3:$L$3000,Sayfa4!$C$3:$C$3000,ALSAT!A41,Sayfa4!$K$3:$K$3000,"1")/SUMIFS(Sayfa4!$D$3:$D$3000,Sayfa4!$C$3:$C$3000,ALSAT!A41,Sayfa4!$K$3:$K$3000,"1")</f>
        <v>5.3702500000000004</v>
      </c>
    </row>
    <row r="42" spans="1:26" x14ac:dyDescent="0.3">
      <c r="A42" s="50" t="s">
        <v>46</v>
      </c>
      <c r="B42" s="51">
        <f>SUMIFS(Tablo2[Son Fiyat],Tablo2[Şirket],A42)</f>
        <v>277.75</v>
      </c>
      <c r="C42" s="52">
        <f t="shared" si="3"/>
        <v>1.25</v>
      </c>
      <c r="D42" s="51">
        <f t="shared" si="4"/>
        <v>303.60000000000002</v>
      </c>
      <c r="E42" s="52">
        <f t="shared" si="0"/>
        <v>3.086022888003086</v>
      </c>
      <c r="F42" s="51">
        <f t="shared" si="1"/>
        <v>272.19499999999999</v>
      </c>
      <c r="G42" s="24">
        <f t="shared" si="5"/>
        <v>840</v>
      </c>
      <c r="H42" s="3">
        <f>SUMIFS(Portföy!$C$2:$C$93,Portföy!$A$2:$A$93,ALSAT!A42)</f>
        <v>5</v>
      </c>
      <c r="I42" s="3">
        <f>SUMIFS(Portföy!$H$2:$H$93,Portföy!$A$2:$A$93,ALSAT!A42)</f>
        <v>-104.25</v>
      </c>
      <c r="J42" s="76">
        <f>IF(SUMIFS(Portföy!$D$2:$D$93,Portföy!$A$2:$A$93,ALSAT!A42)&lt;0,0,SUMIFS(Portföy!$D$2:$D$93,Portföy!$A$2:$A$93,ALSAT!A42))</f>
        <v>298.60000000000002</v>
      </c>
      <c r="K42" s="75">
        <f>VLOOKUP($A42,Tablo2[],3,FALSE)/100</f>
        <v>-2.63E-2</v>
      </c>
      <c r="L42" s="75">
        <f>VLOOKUP($A42,Tablo2[],4,FALSE)/100</f>
        <v>1.37E-2</v>
      </c>
      <c r="M42" s="75">
        <f>VLOOKUP($A42,Tablo2[],5,FALSE)/100</f>
        <v>0.20600000000000002</v>
      </c>
      <c r="N42" s="75">
        <f>VLOOKUP($A42,Tablo2[],6,FALSE)/100</f>
        <v>7.3399999999999993E-2</v>
      </c>
      <c r="O42" s="75">
        <f>VLOOKUP($A42,Tablo2[],7,FALSE)/100</f>
        <v>1.37E-2</v>
      </c>
      <c r="P42" s="75">
        <f>VLOOKUP($A42,Tablo2[],8,FALSE)/100</f>
        <v>1.0083</v>
      </c>
      <c r="Q42" s="75">
        <f>VLOOKUP($A42,Tablo2[],9,FALSE)/100</f>
        <v>6.5640000000000001</v>
      </c>
      <c r="R42" s="75">
        <f>VLOOKUP($A42,Tablo2[],10,FALSE)/100</f>
        <v>9.952300000000001</v>
      </c>
      <c r="S42" s="3">
        <f t="shared" si="6"/>
        <v>20</v>
      </c>
      <c r="T42" s="75">
        <f t="shared" si="2"/>
        <v>0.16</v>
      </c>
      <c r="U42" s="75">
        <f t="shared" si="7"/>
        <v>0.84</v>
      </c>
      <c r="W42" s="3">
        <f t="shared" si="8"/>
        <v>249.97499999999999</v>
      </c>
      <c r="X42" s="3">
        <f t="shared" si="9"/>
        <v>305.52500000000003</v>
      </c>
      <c r="Z42">
        <f>SUMIFS(Sayfa4!$L$3:$L$3000,Sayfa4!$C$3:$C$3000,ALSAT!A42,Sayfa4!$K$3:$K$3000,"1")/SUMIFS(Sayfa4!$D$3:$D$3000,Sayfa4!$C$3:$C$3000,ALSAT!A42,Sayfa4!$K$3:$K$3000,"1")</f>
        <v>276</v>
      </c>
    </row>
    <row r="43" spans="1:26" x14ac:dyDescent="0.3">
      <c r="A43" s="50" t="s">
        <v>520</v>
      </c>
      <c r="B43" s="51">
        <f>SUMIFS(Tablo2[Son Fiyat],Tablo2[Şirket],A43)</f>
        <v>91</v>
      </c>
      <c r="C43" s="52">
        <f t="shared" si="3"/>
        <v>3.75</v>
      </c>
      <c r="D43" s="51">
        <f t="shared" si="4"/>
        <v>105.56333333333335</v>
      </c>
      <c r="E43" s="52">
        <f t="shared" si="0"/>
        <v>7.0643642072213506</v>
      </c>
      <c r="F43" s="51">
        <f t="shared" si="1"/>
        <v>89.179999999999993</v>
      </c>
      <c r="G43" s="24">
        <f t="shared" si="5"/>
        <v>630</v>
      </c>
      <c r="H43" s="3">
        <f>SUMIFS(Portföy!$C$2:$C$93,Portföy!$A$2:$A$93,ALSAT!A43)</f>
        <v>15</v>
      </c>
      <c r="I43" s="3">
        <f>SUMIFS(Portföy!$H$2:$H$93,Portföy!$A$2:$A$93,ALSAT!A43)</f>
        <v>68</v>
      </c>
      <c r="J43" s="76">
        <f>IF(SUMIFS(Portföy!$D$2:$D$93,Portföy!$A$2:$A$93,ALSAT!A43)&lt;0,0,SUMIFS(Portföy!$D$2:$D$93,Portföy!$A$2:$A$93,ALSAT!A43))</f>
        <v>86.466666666666669</v>
      </c>
      <c r="K43" s="75">
        <f>VLOOKUP($A43,Tablo2[],3,FALSE)/100</f>
        <v>-5.0099999999999999E-2</v>
      </c>
      <c r="L43" s="75">
        <f>VLOOKUP($A43,Tablo2[],4,FALSE)/100</f>
        <v>-4.0599999999999997E-2</v>
      </c>
      <c r="M43" s="75">
        <f>VLOOKUP($A43,Tablo2[],5,FALSE)/100</f>
        <v>2.2000000000000001E-3</v>
      </c>
      <c r="N43" s="75">
        <f>VLOOKUP($A43,Tablo2[],6,FALSE)/100</f>
        <v>-0.11650000000000001</v>
      </c>
      <c r="O43" s="75">
        <f>VLOOKUP($A43,Tablo2[],7,FALSE)/100</f>
        <v>-4.0599999999999997E-2</v>
      </c>
      <c r="P43" s="75">
        <f>VLOOKUP($A43,Tablo2[],8,FALSE)/100</f>
        <v>-1.7299999999999999E-2</v>
      </c>
      <c r="Q43" s="75">
        <f>VLOOKUP($A43,Tablo2[],9,FALSE)/100</f>
        <v>2.0815999999999999</v>
      </c>
      <c r="R43" s="75">
        <f>VLOOKUP($A43,Tablo2[],10,FALSE)/100</f>
        <v>7.125</v>
      </c>
      <c r="S43" s="3">
        <f t="shared" si="6"/>
        <v>31</v>
      </c>
      <c r="T43" s="75">
        <f t="shared" si="2"/>
        <v>0.37</v>
      </c>
      <c r="U43" s="75">
        <f t="shared" si="7"/>
        <v>0.63</v>
      </c>
      <c r="W43" s="3">
        <f t="shared" si="8"/>
        <v>81.900000000000006</v>
      </c>
      <c r="X43" s="3">
        <f t="shared" si="9"/>
        <v>100.10000000000001</v>
      </c>
      <c r="Z43">
        <f>SUMIFS(Sayfa4!$L$3:$L$3000,Sayfa4!$C$3:$C$3000,ALSAT!A43,Sayfa4!$K$3:$K$3000,"1")/SUMIFS(Sayfa4!$D$3:$D$3000,Sayfa4!$C$3:$C$3000,ALSAT!A43,Sayfa4!$K$3:$K$3000,"1")</f>
        <v>95.966666666666669</v>
      </c>
    </row>
    <row r="44" spans="1:26" x14ac:dyDescent="0.3">
      <c r="A44" s="50" t="s">
        <v>37</v>
      </c>
      <c r="B44" s="51">
        <f>SUMIFS(Tablo2[Son Fiyat],Tablo2[Şirket],A44)</f>
        <v>52.05</v>
      </c>
      <c r="C44" s="52">
        <f t="shared" si="3"/>
        <v>51.25</v>
      </c>
      <c r="D44" s="51">
        <f t="shared" si="4"/>
        <v>68.021891191709841</v>
      </c>
      <c r="E44" s="52">
        <f t="shared" si="0"/>
        <v>19.604383540159581</v>
      </c>
      <c r="F44" s="51">
        <f t="shared" si="1"/>
        <v>51.008999999999993</v>
      </c>
      <c r="G44" s="24">
        <f t="shared" si="5"/>
        <v>1000</v>
      </c>
      <c r="H44" s="3">
        <f>SUMIFS(Portföy!$C$2:$C$93,Portföy!$A$2:$A$93,ALSAT!A44)</f>
        <v>205</v>
      </c>
      <c r="I44" s="3">
        <f>SUMIFS(Portföy!$H$2:$H$93,Portföy!$A$2:$A$93,ALSAT!A44)</f>
        <v>-2311.5800000000017</v>
      </c>
      <c r="J44" s="76">
        <f>IF(SUMIFS(Portföy!$D$2:$D$93,Portföy!$A$2:$A$93,ALSAT!A44)&lt;0,0,SUMIFS(Portföy!$D$2:$D$93,Portföy!$A$2:$A$93,ALSAT!A44))</f>
        <v>63.326000000000008</v>
      </c>
      <c r="K44" s="75">
        <f>VLOOKUP($A44,Tablo2[],3,FALSE)/100</f>
        <v>-6.0499999999999998E-2</v>
      </c>
      <c r="L44" s="75">
        <f>VLOOKUP($A44,Tablo2[],4,FALSE)/100</f>
        <v>-9.8699999999999996E-2</v>
      </c>
      <c r="M44" s="75">
        <f>VLOOKUP($A44,Tablo2[],5,FALSE)/100</f>
        <v>-9.4800000000000009E-2</v>
      </c>
      <c r="N44" s="75">
        <f>VLOOKUP($A44,Tablo2[],6,FALSE)/100</f>
        <v>-0.13250000000000001</v>
      </c>
      <c r="O44" s="75">
        <f>VLOOKUP($A44,Tablo2[],7,FALSE)/100</f>
        <v>-9.8699999999999996E-2</v>
      </c>
      <c r="P44" s="75">
        <f>VLOOKUP($A44,Tablo2[],8,FALSE)/100</f>
        <v>-0.26530000000000004</v>
      </c>
      <c r="Q44" s="75">
        <f>VLOOKUP($A44,Tablo2[],9,FALSE)/100</f>
        <v>0</v>
      </c>
      <c r="R44" s="75">
        <f>VLOOKUP($A44,Tablo2[],10,FALSE)/100</f>
        <v>0</v>
      </c>
      <c r="S44" s="3">
        <f t="shared" si="6"/>
        <v>36</v>
      </c>
      <c r="T44" s="75">
        <f t="shared" si="2"/>
        <v>0</v>
      </c>
      <c r="U44" s="75">
        <f t="shared" si="7"/>
        <v>1</v>
      </c>
      <c r="W44" s="3">
        <f t="shared" si="8"/>
        <v>46.844999999999999</v>
      </c>
      <c r="X44" s="3">
        <f t="shared" si="9"/>
        <v>57.255000000000003</v>
      </c>
      <c r="Z44">
        <f>SUMIFS(Sayfa4!$L$3:$L$3000,Sayfa4!$C$3:$C$3000,ALSAT!A44,Sayfa4!$K$3:$K$3000,"1")/SUMIFS(Sayfa4!$D$3:$D$3000,Sayfa4!$C$3:$C$3000,ALSAT!A44,Sayfa4!$K$3:$K$3000,"1")</f>
        <v>61.838082901554401</v>
      </c>
    </row>
    <row r="45" spans="1:26" x14ac:dyDescent="0.3">
      <c r="A45" s="50" t="s">
        <v>525</v>
      </c>
      <c r="B45" s="51">
        <f>SUMIFS(Tablo2[Son Fiyat],Tablo2[Şirket],A45)</f>
        <v>18.77</v>
      </c>
      <c r="C45" s="52">
        <f t="shared" si="3"/>
        <v>37.5</v>
      </c>
      <c r="D45" s="51">
        <f t="shared" si="4"/>
        <v>20.114285714285714</v>
      </c>
      <c r="E45" s="52">
        <f t="shared" si="0"/>
        <v>0</v>
      </c>
      <c r="F45" s="51">
        <f t="shared" si="1"/>
        <v>17.831499999999998</v>
      </c>
      <c r="G45" s="24">
        <f t="shared" si="5"/>
        <v>0</v>
      </c>
      <c r="H45" s="3">
        <f>SUMIFS(Portföy!$C$2:$C$93,Portföy!$A$2:$A$93,ALSAT!A45)</f>
        <v>150</v>
      </c>
      <c r="I45" s="3">
        <f>SUMIFS(Portföy!$H$2:$H$93,Portföy!$A$2:$A$93,ALSAT!A45)</f>
        <v>513.16000000000076</v>
      </c>
      <c r="J45" s="76">
        <f>IF(SUMIFS(Portföy!$D$2:$D$93,Portföy!$A$2:$A$93,ALSAT!A45)&lt;0,0,SUMIFS(Portföy!$D$2:$D$93,Portföy!$A$2:$A$93,ALSAT!A45))</f>
        <v>15.348933333333328</v>
      </c>
      <c r="K45" s="75">
        <f>VLOOKUP($A45,Tablo2[],3,FALSE)/100</f>
        <v>6.6500000000000004E-2</v>
      </c>
      <c r="L45" s="75">
        <f>VLOOKUP($A45,Tablo2[],4,FALSE)/100</f>
        <v>0.1206</v>
      </c>
      <c r="M45" s="75">
        <f>VLOOKUP($A45,Tablo2[],5,FALSE)/100</f>
        <v>3.7599999999999995E-2</v>
      </c>
      <c r="N45" s="75">
        <f>VLOOKUP($A45,Tablo2[],6,FALSE)/100</f>
        <v>-0.23879999999999998</v>
      </c>
      <c r="O45" s="75">
        <f>VLOOKUP($A45,Tablo2[],7,FALSE)/100</f>
        <v>0.1206</v>
      </c>
      <c r="P45" s="75">
        <f>VLOOKUP($A45,Tablo2[],8,FALSE)/100</f>
        <v>0.48499999999999999</v>
      </c>
      <c r="Q45" s="75">
        <f>VLOOKUP($A45,Tablo2[],9,FALSE)/100</f>
        <v>0.68040000000000012</v>
      </c>
      <c r="R45" s="75">
        <f>VLOOKUP($A45,Tablo2[],10,FALSE)/100</f>
        <v>0</v>
      </c>
      <c r="S45" s="3">
        <f t="shared" si="6"/>
        <v>23</v>
      </c>
      <c r="T45" s="75">
        <f t="shared" si="2"/>
        <v>0.77</v>
      </c>
      <c r="U45" s="75">
        <f t="shared" si="7"/>
        <v>0.22999999999999998</v>
      </c>
      <c r="W45" s="3">
        <f t="shared" si="8"/>
        <v>16.893000000000001</v>
      </c>
      <c r="X45" s="3">
        <f t="shared" si="9"/>
        <v>20.647000000000002</v>
      </c>
      <c r="Z45">
        <f>SUMIFS(Sayfa4!$L$3:$L$3000,Sayfa4!$C$3:$C$3000,ALSAT!A45,Sayfa4!$K$3:$K$3000,"1")/SUMIFS(Sayfa4!$D$3:$D$3000,Sayfa4!$C$3:$C$3000,ALSAT!A45,Sayfa4!$K$3:$K$3000,"1")</f>
        <v>18.285714285714285</v>
      </c>
    </row>
    <row r="46" spans="1:26" x14ac:dyDescent="0.3">
      <c r="A46" s="50" t="s">
        <v>529</v>
      </c>
      <c r="B46" s="51">
        <f>SUMIFS(Tablo2[Son Fiyat],Tablo2[Şirket],A46)</f>
        <v>50.55</v>
      </c>
      <c r="C46" s="52">
        <f t="shared" si="3"/>
        <v>0</v>
      </c>
      <c r="D46" s="51">
        <f t="shared" si="4"/>
        <v>50.6</v>
      </c>
      <c r="E46" s="52">
        <f t="shared" si="0"/>
        <v>0</v>
      </c>
      <c r="F46" s="51">
        <f t="shared" si="1"/>
        <v>48.022499999999994</v>
      </c>
      <c r="G46" s="24">
        <f t="shared" si="5"/>
        <v>0</v>
      </c>
      <c r="H46" s="3">
        <f>SUMIFS(Portföy!$C$2:$C$93,Portföy!$A$2:$A$93,ALSAT!A46)</f>
        <v>0</v>
      </c>
      <c r="I46" s="3">
        <f>SUMIFS(Portföy!$H$2:$H$93,Portföy!$A$2:$A$93,ALSAT!A46)</f>
        <v>1092.9000000000015</v>
      </c>
      <c r="J46" s="76">
        <f>IF(SUMIFS(Portföy!$D$2:$D$93,Portföy!$A$2:$A$93,ALSAT!A46)&lt;0,0,SUMIFS(Portföy!$D$2:$D$93,Portföy!$A$2:$A$93,ALSAT!A46))</f>
        <v>0</v>
      </c>
      <c r="K46" s="75">
        <f>VLOOKUP($A46,Tablo2[],3,FALSE)/100</f>
        <v>1.7100000000000001E-2</v>
      </c>
      <c r="L46" s="75">
        <f>VLOOKUP($A46,Tablo2[],4,FALSE)/100</f>
        <v>0.16260000000000002</v>
      </c>
      <c r="M46" s="75">
        <f>VLOOKUP($A46,Tablo2[],5,FALSE)/100</f>
        <v>7.0099999999999996E-2</v>
      </c>
      <c r="N46" s="75">
        <f>VLOOKUP($A46,Tablo2[],6,FALSE)/100</f>
        <v>-1.0800000000000001E-2</v>
      </c>
      <c r="O46" s="75">
        <f>VLOOKUP($A46,Tablo2[],7,FALSE)/100</f>
        <v>0.16260000000000002</v>
      </c>
      <c r="P46" s="75">
        <f>VLOOKUP($A46,Tablo2[],8,FALSE)/100</f>
        <v>0.54590000000000005</v>
      </c>
      <c r="Q46" s="75">
        <f>VLOOKUP($A46,Tablo2[],9,FALSE)/100</f>
        <v>4.9541000000000004</v>
      </c>
      <c r="R46" s="75">
        <f>VLOOKUP($A46,Tablo2[],10,FALSE)/100</f>
        <v>7.1270000000000007</v>
      </c>
      <c r="S46" s="3">
        <f t="shared" si="6"/>
        <v>19</v>
      </c>
      <c r="T46" s="75">
        <f t="shared" si="2"/>
        <v>0.81</v>
      </c>
      <c r="U46" s="75">
        <f t="shared" si="7"/>
        <v>0.18999999999999995</v>
      </c>
      <c r="W46" s="3">
        <f t="shared" si="8"/>
        <v>45.494999999999997</v>
      </c>
      <c r="X46" s="3">
        <f t="shared" si="9"/>
        <v>55.605000000000004</v>
      </c>
      <c r="Z46">
        <f>SUMIFS(Sayfa4!$L$3:$L$3000,Sayfa4!$C$3:$C$3000,ALSAT!A46,Sayfa4!$K$3:$K$3000,"1")/SUMIFS(Sayfa4!$D$3:$D$3000,Sayfa4!$C$3:$C$3000,ALSAT!A46,Sayfa4!$K$3:$K$3000,"1")</f>
        <v>46</v>
      </c>
    </row>
    <row r="47" spans="1:26" x14ac:dyDescent="0.3">
      <c r="A47" s="50" t="s">
        <v>41</v>
      </c>
      <c r="B47" s="51">
        <f>SUMIFS(Tablo2[Son Fiyat],Tablo2[Şirket],A47)</f>
        <v>141.19999999999999</v>
      </c>
      <c r="C47" s="52">
        <f t="shared" si="3"/>
        <v>38.25</v>
      </c>
      <c r="D47" s="51">
        <f t="shared" si="4"/>
        <v>162.98173913043482</v>
      </c>
      <c r="E47" s="52">
        <f t="shared" si="0"/>
        <v>7.0821529745042504</v>
      </c>
      <c r="F47" s="51">
        <f t="shared" si="1"/>
        <v>138.37599999999998</v>
      </c>
      <c r="G47" s="24">
        <f t="shared" si="5"/>
        <v>980</v>
      </c>
      <c r="H47" s="3">
        <f>SUMIFS(Portföy!$C$2:$C$93,Portföy!$A$2:$A$93,ALSAT!A47)</f>
        <v>153</v>
      </c>
      <c r="I47" s="3">
        <f>SUMIFS(Portföy!$H$2:$H$93,Portföy!$A$2:$A$93,ALSAT!A47)</f>
        <v>-5485.7000000000007</v>
      </c>
      <c r="J47" s="76">
        <f>IF(SUMIFS(Portföy!$D$2:$D$93,Portföy!$A$2:$A$93,ALSAT!A47)&lt;0,0,SUMIFS(Portföy!$D$2:$D$93,Portföy!$A$2:$A$93,ALSAT!A47))</f>
        <v>177.05424836601307</v>
      </c>
      <c r="K47" s="75">
        <f>VLOOKUP($A47,Tablo2[],3,FALSE)/100</f>
        <v>-1.3999999999999999E-2</v>
      </c>
      <c r="L47" s="75">
        <f>VLOOKUP($A47,Tablo2[],4,FALSE)/100</f>
        <v>-4.8999999999999998E-3</v>
      </c>
      <c r="M47" s="75">
        <f>VLOOKUP($A47,Tablo2[],5,FALSE)/100</f>
        <v>-2.35E-2</v>
      </c>
      <c r="N47" s="75">
        <f>VLOOKUP($A47,Tablo2[],6,FALSE)/100</f>
        <v>-7.0000000000000007E-2</v>
      </c>
      <c r="O47" s="75">
        <f>VLOOKUP($A47,Tablo2[],7,FALSE)/100</f>
        <v>-4.8999999999999998E-3</v>
      </c>
      <c r="P47" s="75">
        <f>VLOOKUP($A47,Tablo2[],8,FALSE)/100</f>
        <v>7.5999999999999998E-2</v>
      </c>
      <c r="Q47" s="75">
        <f>VLOOKUP($A47,Tablo2[],9,FALSE)/100</f>
        <v>6.4473000000000003</v>
      </c>
      <c r="R47" s="75">
        <f>VLOOKUP($A47,Tablo2[],10,FALSE)/100</f>
        <v>10.3232</v>
      </c>
      <c r="S47" s="3">
        <f t="shared" si="6"/>
        <v>34</v>
      </c>
      <c r="T47" s="75">
        <f t="shared" si="2"/>
        <v>0.02</v>
      </c>
      <c r="U47" s="75">
        <f t="shared" si="7"/>
        <v>0.98</v>
      </c>
      <c r="W47" s="3">
        <f t="shared" si="8"/>
        <v>127.08</v>
      </c>
      <c r="X47" s="3">
        <f t="shared" si="9"/>
        <v>155.32</v>
      </c>
      <c r="Z47">
        <f>SUMIFS(Sayfa4!$L$3:$L$3000,Sayfa4!$C$3:$C$3000,ALSAT!A47,Sayfa4!$K$3:$K$3000,"1")/SUMIFS(Sayfa4!$D$3:$D$3000,Sayfa4!$C$3:$C$3000,ALSAT!A47,Sayfa4!$K$3:$K$3000,"1")</f>
        <v>148.16521739130437</v>
      </c>
    </row>
    <row r="48" spans="1:26" x14ac:dyDescent="0.3">
      <c r="A48" s="50" t="s">
        <v>546</v>
      </c>
      <c r="B48" s="51">
        <f>SUMIFS(Tablo2[Son Fiyat],Tablo2[Şirket],A48)</f>
        <v>25.2</v>
      </c>
      <c r="C48" s="52">
        <f t="shared" si="3"/>
        <v>8.75</v>
      </c>
      <c r="D48" s="51">
        <f t="shared" si="4"/>
        <v>28.112857142857145</v>
      </c>
      <c r="E48" s="52">
        <f t="shared" si="0"/>
        <v>0</v>
      </c>
      <c r="F48" s="51">
        <f t="shared" si="1"/>
        <v>23.939999999999998</v>
      </c>
      <c r="G48" s="24">
        <f t="shared" si="5"/>
        <v>0</v>
      </c>
      <c r="H48" s="3">
        <f>SUMIFS(Portföy!$C$2:$C$93,Portföy!$A$2:$A$93,ALSAT!A48)</f>
        <v>35</v>
      </c>
      <c r="I48" s="3">
        <f>SUMIFS(Portföy!$H$2:$H$93,Portföy!$A$2:$A$93,ALSAT!A48)</f>
        <v>288.5</v>
      </c>
      <c r="J48" s="76">
        <f>IF(SUMIFS(Portföy!$D$2:$D$93,Portföy!$A$2:$A$93,ALSAT!A48)&lt;0,0,SUMIFS(Portföy!$D$2:$D$93,Portföy!$A$2:$A$93,ALSAT!A48))</f>
        <v>16.957142857142856</v>
      </c>
      <c r="K48" s="75">
        <f>VLOOKUP($A48,Tablo2[],3,FALSE)/100</f>
        <v>-2.7000000000000003E-2</v>
      </c>
      <c r="L48" s="75">
        <f>VLOOKUP($A48,Tablo2[],4,FALSE)/100</f>
        <v>3.1899999999999998E-2</v>
      </c>
      <c r="M48" s="75">
        <f>VLOOKUP($A48,Tablo2[],5,FALSE)/100</f>
        <v>-6.6699999999999995E-2</v>
      </c>
      <c r="N48" s="75">
        <f>VLOOKUP($A48,Tablo2[],6,FALSE)/100</f>
        <v>-0.15490000000000001</v>
      </c>
      <c r="O48" s="75">
        <f>VLOOKUP($A48,Tablo2[],7,FALSE)/100</f>
        <v>3.1899999999999998E-2</v>
      </c>
      <c r="P48" s="75">
        <f>VLOOKUP($A48,Tablo2[],8,FALSE)/100</f>
        <v>-0.19409999999999999</v>
      </c>
      <c r="Q48" s="75">
        <f>VLOOKUP($A48,Tablo2[],9,FALSE)/100</f>
        <v>3.0710999999999999</v>
      </c>
      <c r="R48" s="75">
        <f>VLOOKUP($A48,Tablo2[],10,FALSE)/100</f>
        <v>0</v>
      </c>
      <c r="S48" s="3">
        <f t="shared" si="6"/>
        <v>29</v>
      </c>
      <c r="T48" s="75">
        <f t="shared" si="2"/>
        <v>0.71</v>
      </c>
      <c r="U48" s="75">
        <f t="shared" si="7"/>
        <v>0.29000000000000004</v>
      </c>
      <c r="W48" s="3">
        <f t="shared" si="8"/>
        <v>22.68</v>
      </c>
      <c r="X48" s="3">
        <f t="shared" si="9"/>
        <v>27.720000000000002</v>
      </c>
      <c r="Z48">
        <f>SUMIFS(Sayfa4!$L$3:$L$3000,Sayfa4!$C$3:$C$3000,ALSAT!A48,Sayfa4!$K$3:$K$3000,"1")/SUMIFS(Sayfa4!$D$3:$D$3000,Sayfa4!$C$3:$C$3000,ALSAT!A48,Sayfa4!$K$3:$K$3000,"1")</f>
        <v>25.557142857142857</v>
      </c>
    </row>
    <row r="49" spans="1:26" x14ac:dyDescent="0.3">
      <c r="A49" s="50" t="s">
        <v>549</v>
      </c>
      <c r="B49" s="51">
        <f>SUMIFS(Tablo2[Son Fiyat],Tablo2[Şirket],A49)</f>
        <v>15.17</v>
      </c>
      <c r="C49" s="52">
        <f t="shared" si="3"/>
        <v>25</v>
      </c>
      <c r="D49" s="51">
        <f t="shared" si="4"/>
        <v>18.799000000000003</v>
      </c>
      <c r="E49" s="52">
        <f t="shared" si="0"/>
        <v>65.919578114700059</v>
      </c>
      <c r="F49" s="51">
        <f t="shared" si="1"/>
        <v>14.8666</v>
      </c>
      <c r="G49" s="24">
        <f t="shared" si="5"/>
        <v>979.99999999999989</v>
      </c>
      <c r="H49" s="3">
        <f>SUMIFS(Portföy!$C$2:$C$93,Portföy!$A$2:$A$93,ALSAT!A49)</f>
        <v>100</v>
      </c>
      <c r="I49" s="3">
        <f>SUMIFS(Portföy!$H$2:$H$93,Portföy!$A$2:$A$93,ALSAT!A49)</f>
        <v>-92</v>
      </c>
      <c r="J49" s="76">
        <f>IF(SUMIFS(Portföy!$D$2:$D$93,Portföy!$A$2:$A$93,ALSAT!A49)&lt;0,0,SUMIFS(Portföy!$D$2:$D$93,Portföy!$A$2:$A$93,ALSAT!A49))</f>
        <v>16.09</v>
      </c>
      <c r="K49" s="75">
        <f>VLOOKUP($A49,Tablo2[],3,FALSE)/100</f>
        <v>-3.3799999999999997E-2</v>
      </c>
      <c r="L49" s="75">
        <f>VLOOKUP($A49,Tablo2[],4,FALSE)/100</f>
        <v>-0.105</v>
      </c>
      <c r="M49" s="75">
        <f>VLOOKUP($A49,Tablo2[],5,FALSE)/100</f>
        <v>-0.11550000000000001</v>
      </c>
      <c r="N49" s="75">
        <f>VLOOKUP($A49,Tablo2[],6,FALSE)/100</f>
        <v>-0.24230000000000002</v>
      </c>
      <c r="O49" s="75">
        <f>VLOOKUP($A49,Tablo2[],7,FALSE)/100</f>
        <v>-0.105</v>
      </c>
      <c r="P49" s="75">
        <f>VLOOKUP($A49,Tablo2[],8,FALSE)/100</f>
        <v>-9.9199999999999997E-2</v>
      </c>
      <c r="Q49" s="75">
        <f>VLOOKUP($A49,Tablo2[],9,FALSE)/100</f>
        <v>1.3303</v>
      </c>
      <c r="R49" s="75">
        <f>VLOOKUP($A49,Tablo2[],10,FALSE)/100</f>
        <v>5.3473000000000006</v>
      </c>
      <c r="S49" s="3">
        <f t="shared" si="6"/>
        <v>34</v>
      </c>
      <c r="T49" s="75">
        <f t="shared" si="2"/>
        <v>0.02</v>
      </c>
      <c r="U49" s="75">
        <f t="shared" si="7"/>
        <v>0.98</v>
      </c>
      <c r="W49" s="3">
        <f t="shared" si="8"/>
        <v>13.653</v>
      </c>
      <c r="X49" s="3">
        <f t="shared" si="9"/>
        <v>16.687000000000001</v>
      </c>
      <c r="Z49">
        <f>SUMIFS(Sayfa4!$L$3:$L$3000,Sayfa4!$C$3:$C$3000,ALSAT!A49,Sayfa4!$K$3:$K$3000,"1")/SUMIFS(Sayfa4!$D$3:$D$3000,Sayfa4!$C$3:$C$3000,ALSAT!A49,Sayfa4!$K$3:$K$3000,"1")</f>
        <v>17.09</v>
      </c>
    </row>
    <row r="50" spans="1:26" x14ac:dyDescent="0.3">
      <c r="A50" s="50" t="s">
        <v>550</v>
      </c>
      <c r="B50" s="51">
        <f>SUMIFS(Tablo2[Son Fiyat],Tablo2[Şirket],A50)</f>
        <v>61.35</v>
      </c>
      <c r="C50" s="52">
        <f t="shared" si="3"/>
        <v>5</v>
      </c>
      <c r="D50" s="51">
        <f t="shared" si="4"/>
        <v>71.819000000000003</v>
      </c>
      <c r="E50" s="52">
        <f t="shared" si="0"/>
        <v>0</v>
      </c>
      <c r="F50" s="51">
        <f t="shared" si="1"/>
        <v>58.282499999999999</v>
      </c>
      <c r="G50" s="24">
        <f t="shared" si="5"/>
        <v>0</v>
      </c>
      <c r="H50" s="3">
        <f>SUMIFS(Portföy!$C$2:$C$93,Portföy!$A$2:$A$93,ALSAT!A50)</f>
        <v>20</v>
      </c>
      <c r="I50" s="3">
        <f>SUMIFS(Portföy!$H$2:$H$93,Portföy!$A$2:$A$93,ALSAT!A50)</f>
        <v>515.45000000000073</v>
      </c>
      <c r="J50" s="76">
        <f>IF(SUMIFS(Portföy!$D$2:$D$93,Portföy!$A$2:$A$93,ALSAT!A50)&lt;0,0,SUMIFS(Portföy!$D$2:$D$93,Portföy!$A$2:$A$93,ALSAT!A50))</f>
        <v>35.577499999999965</v>
      </c>
      <c r="K50" s="75">
        <f>VLOOKUP($A50,Tablo2[],3,FALSE)/100</f>
        <v>-6.7599999999999993E-2</v>
      </c>
      <c r="L50" s="75">
        <f>VLOOKUP($A50,Tablo2[],4,FALSE)/100</f>
        <v>-0.1396</v>
      </c>
      <c r="M50" s="75">
        <f>VLOOKUP($A50,Tablo2[],5,FALSE)/100</f>
        <v>7.5399999999999995E-2</v>
      </c>
      <c r="N50" s="75">
        <f>VLOOKUP($A50,Tablo2[],6,FALSE)/100</f>
        <v>-0.13159999999999999</v>
      </c>
      <c r="O50" s="75">
        <f>VLOOKUP($A50,Tablo2[],7,FALSE)/100</f>
        <v>-0.1396</v>
      </c>
      <c r="P50" s="75">
        <f>VLOOKUP($A50,Tablo2[],8,FALSE)/100</f>
        <v>-1.6000000000000001E-3</v>
      </c>
      <c r="Q50" s="75">
        <f>VLOOKUP($A50,Tablo2[],9,FALSE)/100</f>
        <v>1.5371999999999999</v>
      </c>
      <c r="R50" s="75">
        <f>VLOOKUP($A50,Tablo2[],10,FALSE)/100</f>
        <v>4.5975999999999999</v>
      </c>
      <c r="S50" s="3">
        <f t="shared" si="6"/>
        <v>31</v>
      </c>
      <c r="T50" s="75">
        <f t="shared" si="2"/>
        <v>0.69</v>
      </c>
      <c r="U50" s="75">
        <f t="shared" si="7"/>
        <v>0.31000000000000005</v>
      </c>
      <c r="W50" s="3">
        <f t="shared" si="8"/>
        <v>55.215000000000003</v>
      </c>
      <c r="X50" s="3">
        <f t="shared" si="9"/>
        <v>67.485000000000014</v>
      </c>
      <c r="Z50">
        <f>SUMIFS(Sayfa4!$L$3:$L$3000,Sayfa4!$C$3:$C$3000,ALSAT!A50,Sayfa4!$K$3:$K$3000,"1")/SUMIFS(Sayfa4!$D$3:$D$3000,Sayfa4!$C$3:$C$3000,ALSAT!A50,Sayfa4!$K$3:$K$3000,"1")</f>
        <v>65.289999999999992</v>
      </c>
    </row>
    <row r="51" spans="1:26" x14ac:dyDescent="0.3">
      <c r="A51" s="50" t="s">
        <v>43</v>
      </c>
      <c r="B51" s="51">
        <f>SUMIFS(Tablo2[Son Fiyat],Tablo2[Şirket],A51)</f>
        <v>54.5</v>
      </c>
      <c r="C51" s="52">
        <f t="shared" si="3"/>
        <v>0</v>
      </c>
      <c r="D51" s="51" t="str">
        <f t="shared" si="4"/>
        <v/>
      </c>
      <c r="E51" s="52">
        <f t="shared" si="0"/>
        <v>0</v>
      </c>
      <c r="F51" s="51">
        <f t="shared" si="1"/>
        <v>51.774999999999999</v>
      </c>
      <c r="G51" s="24">
        <f t="shared" si="5"/>
        <v>0</v>
      </c>
      <c r="H51" s="3">
        <f>SUMIFS(Portföy!$C$2:$C$93,Portföy!$A$2:$A$93,ALSAT!A51)</f>
        <v>0</v>
      </c>
      <c r="I51" s="3">
        <f>SUMIFS(Portföy!$H$2:$H$93,Portföy!$A$2:$A$93,ALSAT!A51)</f>
        <v>574.14999999999782</v>
      </c>
      <c r="J51" s="76">
        <f>IF(SUMIFS(Portföy!$D$2:$D$93,Portföy!$A$2:$A$93,ALSAT!A51)&lt;0,0,SUMIFS(Portföy!$D$2:$D$93,Portföy!$A$2:$A$93,ALSAT!A51))</f>
        <v>0</v>
      </c>
      <c r="K51" s="75">
        <f>VLOOKUP($A51,Tablo2[],3,FALSE)/100</f>
        <v>2.7300000000000001E-2</v>
      </c>
      <c r="L51" s="75">
        <f>VLOOKUP($A51,Tablo2[],4,FALSE)/100</f>
        <v>5.4199999999999998E-2</v>
      </c>
      <c r="M51" s="75">
        <f>VLOOKUP($A51,Tablo2[],5,FALSE)/100</f>
        <v>6.93E-2</v>
      </c>
      <c r="N51" s="75">
        <f>VLOOKUP($A51,Tablo2[],6,FALSE)/100</f>
        <v>-7.8899999999999998E-2</v>
      </c>
      <c r="O51" s="75">
        <f>VLOOKUP($A51,Tablo2[],7,FALSE)/100</f>
        <v>5.4199999999999998E-2</v>
      </c>
      <c r="P51" s="75">
        <f>VLOOKUP($A51,Tablo2[],8,FALSE)/100</f>
        <v>-8.5099999999999995E-2</v>
      </c>
      <c r="Q51" s="75">
        <f>VLOOKUP($A51,Tablo2[],9,FALSE)/100</f>
        <v>12.762599999999999</v>
      </c>
      <c r="R51" s="75">
        <f>VLOOKUP($A51,Tablo2[],10,FALSE)/100</f>
        <v>0</v>
      </c>
      <c r="S51" s="3">
        <f t="shared" si="6"/>
        <v>22</v>
      </c>
      <c r="T51" s="75">
        <f t="shared" si="2"/>
        <v>0.78</v>
      </c>
      <c r="U51" s="75">
        <f t="shared" si="7"/>
        <v>0.21999999999999997</v>
      </c>
      <c r="W51" s="3">
        <f t="shared" si="8"/>
        <v>49.050000000000004</v>
      </c>
      <c r="X51" s="3">
        <f t="shared" si="9"/>
        <v>59.95</v>
      </c>
      <c r="Z51" t="e">
        <f>SUMIFS(Sayfa4!$L$3:$L$3000,Sayfa4!$C$3:$C$3000,ALSAT!A51,Sayfa4!$K$3:$K$3000,"1")/SUMIFS(Sayfa4!$D$3:$D$3000,Sayfa4!$C$3:$C$3000,ALSAT!A51,Sayfa4!$K$3:$K$3000,"1")</f>
        <v>#DIV/0!</v>
      </c>
    </row>
    <row r="52" spans="1:26" x14ac:dyDescent="0.3">
      <c r="B52" s="49"/>
      <c r="C52" s="25"/>
      <c r="D52" s="49"/>
      <c r="E52" s="25"/>
      <c r="F52" s="49"/>
      <c r="Z52" t="e">
        <f>SUMIFS(Sayfa4!$L$3:$L$3000,Sayfa4!$C$3:$C$3000,ALSAT!A52,Sayfa4!$K$3:$K$3000,"1")/SUMIFS(Sayfa4!$D$3:$D$3000,Sayfa4!$C$3:$C$3000,ALSAT!A52,Sayfa4!$K$3:$K$3000,"1")</f>
        <v>#DIV/0!</v>
      </c>
    </row>
    <row r="53" spans="1:26" x14ac:dyDescent="0.3">
      <c r="B53" s="49"/>
      <c r="C53" s="25"/>
      <c r="D53" s="49"/>
      <c r="E53" s="25"/>
      <c r="F53" s="49"/>
      <c r="Z53" t="e">
        <f>SUMIFS(Sayfa4!$L$3:$L$3000,Sayfa4!$C$3:$C$3000,ALSAT!A53,Sayfa4!$K$3:$K$3000,"1")/SUMIFS(Sayfa4!$D$3:$D$3000,Sayfa4!$C$3:$C$3000,ALSAT!A53,Sayfa4!$K$3:$K$3000,"1")</f>
        <v>#DIV/0!</v>
      </c>
    </row>
    <row r="54" spans="1:26" x14ac:dyDescent="0.3">
      <c r="B54" s="49"/>
      <c r="C54" s="25"/>
      <c r="D54" s="49"/>
      <c r="E54" s="25"/>
      <c r="F54" s="49"/>
      <c r="Z54" t="e">
        <f>SUMIFS(Sayfa4!$L$3:$L$3000,Sayfa4!$C$3:$C$3000,ALSAT!A54,Sayfa4!$K$3:$K$3000,"1")/SUMIFS(Sayfa4!$D$3:$D$3000,Sayfa4!$C$3:$C$3000,ALSAT!A54,Sayfa4!$K$3:$K$3000,"1")</f>
        <v>#DIV/0!</v>
      </c>
    </row>
    <row r="55" spans="1:26" x14ac:dyDescent="0.3">
      <c r="B55" s="49"/>
      <c r="C55" s="25"/>
      <c r="D55" s="49"/>
      <c r="E55" s="25"/>
      <c r="F55" s="49"/>
      <c r="Z55" t="e">
        <f>SUMIFS(Sayfa4!$L$3:$L$3000,Sayfa4!$C$3:$C$3000,ALSAT!A55,Sayfa4!$K$3:$K$3000,"1")/SUMIFS(Sayfa4!$D$3:$D$3000,Sayfa4!$C$3:$C$3000,ALSAT!A55,Sayfa4!$K$3:$K$3000,"1")</f>
        <v>#DIV/0!</v>
      </c>
    </row>
    <row r="56" spans="1:26" x14ac:dyDescent="0.3">
      <c r="B56" s="49"/>
      <c r="C56" s="25"/>
      <c r="D56" s="49"/>
      <c r="E56" s="25"/>
      <c r="F56" s="49"/>
      <c r="Z56" t="e">
        <f>SUMIFS(Sayfa4!$L$3:$L$3000,Sayfa4!$C$3:$C$3000,ALSAT!A56,Sayfa4!$K$3:$K$3000,"1")/SUMIFS(Sayfa4!$D$3:$D$3000,Sayfa4!$C$3:$C$3000,ALSAT!A56,Sayfa4!$K$3:$K$3000,"1")</f>
        <v>#DIV/0!</v>
      </c>
    </row>
    <row r="57" spans="1:26" x14ac:dyDescent="0.3">
      <c r="B57" s="49"/>
      <c r="C57" s="25"/>
      <c r="D57" s="49"/>
      <c r="E57" s="25"/>
      <c r="F57" s="49"/>
      <c r="Z57" t="e">
        <f>SUMIFS(Sayfa4!$L$3:$L$3000,Sayfa4!$C$3:$C$3000,ALSAT!A57,Sayfa4!$K$3:$K$3000,"1")/SUMIFS(Sayfa4!$D$3:$D$3000,Sayfa4!$C$3:$C$3000,ALSAT!A57,Sayfa4!$K$3:$K$3000,"1")</f>
        <v>#DIV/0!</v>
      </c>
    </row>
    <row r="58" spans="1:26" x14ac:dyDescent="0.3">
      <c r="B58" s="49"/>
      <c r="C58" s="25"/>
      <c r="D58" s="49"/>
      <c r="E58" s="25"/>
      <c r="F58" s="49"/>
      <c r="Z58" t="e">
        <f>SUMIFS(Sayfa4!$L$3:$L$3000,Sayfa4!$C$3:$C$3000,ALSAT!A58,Sayfa4!$K$3:$K$3000,"1")/SUMIFS(Sayfa4!$D$3:$D$3000,Sayfa4!$C$3:$C$3000,ALSAT!A58,Sayfa4!$K$3:$K$3000,"1")</f>
        <v>#DIV/0!</v>
      </c>
    </row>
    <row r="59" spans="1:26" x14ac:dyDescent="0.3">
      <c r="B59" s="49"/>
      <c r="C59" s="25"/>
      <c r="D59" s="49"/>
      <c r="E59" s="25"/>
      <c r="F59" s="49"/>
      <c r="Z59" t="e">
        <f>SUMIFS(Sayfa4!$L$3:$L$3000,Sayfa4!$C$3:$C$3000,ALSAT!A59,Sayfa4!$K$3:$K$3000,"1")/SUMIFS(Sayfa4!$D$3:$D$3000,Sayfa4!$C$3:$C$3000,ALSAT!A59,Sayfa4!$K$3:$K$3000,"1")</f>
        <v>#DIV/0!</v>
      </c>
    </row>
    <row r="60" spans="1:26" x14ac:dyDescent="0.3">
      <c r="B60" s="49"/>
      <c r="C60" s="25"/>
      <c r="D60" s="49"/>
      <c r="E60" s="25"/>
      <c r="F60" s="49"/>
      <c r="Z60" t="e">
        <f>SUMIFS(Sayfa4!$L$3:$L$3000,Sayfa4!$C$3:$C$3000,ALSAT!A60,Sayfa4!$K$3:$K$3000,"1")/SUMIFS(Sayfa4!$D$3:$D$3000,Sayfa4!$C$3:$C$3000,ALSAT!A60,Sayfa4!$K$3:$K$3000,"1")</f>
        <v>#DIV/0!</v>
      </c>
    </row>
    <row r="61" spans="1:26" x14ac:dyDescent="0.3">
      <c r="B61" s="49"/>
      <c r="C61" s="25"/>
      <c r="D61" s="49"/>
      <c r="E61" s="25"/>
      <c r="F61" s="49"/>
      <c r="Z61" t="e">
        <f>SUMIFS(Sayfa4!$L$3:$L$3000,Sayfa4!$C$3:$C$3000,ALSAT!A61,Sayfa4!$K$3:$K$3000,"1")/SUMIFS(Sayfa4!$D$3:$D$3000,Sayfa4!$C$3:$C$3000,ALSAT!A61,Sayfa4!$K$3:$K$3000,"1")</f>
        <v>#DIV/0!</v>
      </c>
    </row>
    <row r="62" spans="1:26" x14ac:dyDescent="0.3">
      <c r="B62" s="49"/>
      <c r="C62" s="25"/>
      <c r="D62" s="49"/>
      <c r="E62" s="25"/>
      <c r="F62" s="49"/>
      <c r="Z62" t="e">
        <f>SUMIFS(Sayfa4!$L$3:$L$3000,Sayfa4!$C$3:$C$3000,ALSAT!A62,Sayfa4!$K$3:$K$3000,"1")/SUMIFS(Sayfa4!$D$3:$D$3000,Sayfa4!$C$3:$C$3000,ALSAT!A62,Sayfa4!$K$3:$K$3000,"1")</f>
        <v>#DIV/0!</v>
      </c>
    </row>
    <row r="63" spans="1:26" x14ac:dyDescent="0.3">
      <c r="B63" s="49"/>
      <c r="C63" s="25"/>
      <c r="D63" s="49"/>
      <c r="E63" s="25"/>
      <c r="F63" s="49"/>
      <c r="Z63" t="e">
        <f>SUMIFS(Sayfa4!$L$3:$L$3000,Sayfa4!$C$3:$C$3000,ALSAT!A63,Sayfa4!$K$3:$K$3000,"1")/SUMIFS(Sayfa4!$D$3:$D$3000,Sayfa4!$C$3:$C$3000,ALSAT!A63,Sayfa4!$K$3:$K$3000,"1")</f>
        <v>#DIV/0!</v>
      </c>
    </row>
    <row r="64" spans="1:26" x14ac:dyDescent="0.3">
      <c r="B64" s="49"/>
      <c r="C64" s="25"/>
      <c r="D64" s="49"/>
      <c r="E64" s="25"/>
      <c r="F64" s="49"/>
      <c r="Z64" t="e">
        <f>SUMIFS(Sayfa4!$L$3:$L$3000,Sayfa4!$C$3:$C$3000,ALSAT!A64,Sayfa4!$K$3:$K$3000,"1")/SUMIFS(Sayfa4!$D$3:$D$3000,Sayfa4!$C$3:$C$3000,ALSAT!A64,Sayfa4!$K$3:$K$3000,"1")</f>
        <v>#DIV/0!</v>
      </c>
    </row>
    <row r="65" spans="2:26" x14ac:dyDescent="0.3">
      <c r="B65" s="49"/>
      <c r="C65" s="25"/>
      <c r="D65" s="49"/>
      <c r="E65" s="25"/>
      <c r="F65" s="49"/>
      <c r="Z65" t="e">
        <f>SUMIFS(Sayfa4!$L$3:$L$3000,Sayfa4!$C$3:$C$3000,ALSAT!A65,Sayfa4!$K$3:$K$3000,"1")/SUMIFS(Sayfa4!$D$3:$D$3000,Sayfa4!$C$3:$C$3000,ALSAT!A65,Sayfa4!$K$3:$K$3000,"1")</f>
        <v>#DIV/0!</v>
      </c>
    </row>
    <row r="66" spans="2:26" x14ac:dyDescent="0.3">
      <c r="B66" s="49"/>
      <c r="C66" s="25"/>
      <c r="D66" s="49"/>
      <c r="E66" s="25"/>
      <c r="F66" s="49"/>
      <c r="Z66" t="e">
        <f>SUMIFS(Sayfa4!$L$3:$L$3000,Sayfa4!$C$3:$C$3000,ALSAT!A66,Sayfa4!$K$3:$K$3000,"1")/SUMIFS(Sayfa4!$D$3:$D$3000,Sayfa4!$C$3:$C$3000,ALSAT!A66,Sayfa4!$K$3:$K$3000,"1")</f>
        <v>#DIV/0!</v>
      </c>
    </row>
    <row r="67" spans="2:26" x14ac:dyDescent="0.3">
      <c r="B67" s="49"/>
      <c r="C67" s="25"/>
      <c r="D67" s="49"/>
      <c r="E67" s="25"/>
      <c r="F67" s="49"/>
      <c r="Z67" t="e">
        <f>SUMIFS(Sayfa4!$L$3:$L$3000,Sayfa4!$C$3:$C$3000,ALSAT!A67,Sayfa4!$K$3:$K$3000,"1")/SUMIFS(Sayfa4!$D$3:$D$3000,Sayfa4!$C$3:$C$3000,ALSAT!A67,Sayfa4!$K$3:$K$3000,"1")</f>
        <v>#DIV/0!</v>
      </c>
    </row>
    <row r="68" spans="2:26" x14ac:dyDescent="0.3">
      <c r="B68" s="49"/>
      <c r="C68" s="25"/>
      <c r="D68" s="49"/>
      <c r="E68" s="25"/>
      <c r="F68" s="49"/>
      <c r="Z68" t="e">
        <f>SUMIFS(Sayfa4!$L$3:$L$3000,Sayfa4!$C$3:$C$3000,ALSAT!A68,Sayfa4!$K$3:$K$3000,"1")/SUMIFS(Sayfa4!$D$3:$D$3000,Sayfa4!$C$3:$C$3000,ALSAT!A68,Sayfa4!$K$3:$K$3000,"1")</f>
        <v>#DIV/0!</v>
      </c>
    </row>
    <row r="69" spans="2:26" x14ac:dyDescent="0.3">
      <c r="B69" s="49"/>
      <c r="C69" s="25"/>
      <c r="D69" s="49"/>
      <c r="E69" s="25"/>
      <c r="F69" s="49"/>
      <c r="Z69" t="e">
        <f>SUMIFS(Sayfa4!$L$3:$L$3000,Sayfa4!$C$3:$C$3000,ALSAT!A69,Sayfa4!$K$3:$K$3000,"1")/SUMIFS(Sayfa4!$D$3:$D$3000,Sayfa4!$C$3:$C$3000,ALSAT!A69,Sayfa4!$K$3:$K$3000,"1")</f>
        <v>#DIV/0!</v>
      </c>
    </row>
    <row r="70" spans="2:26" x14ac:dyDescent="0.3">
      <c r="B70" s="49"/>
      <c r="C70" s="25"/>
      <c r="D70" s="49"/>
      <c r="E70" s="25"/>
      <c r="F70" s="49"/>
      <c r="Z70" t="e">
        <f>SUMIFS(Sayfa4!$L$3:$L$3000,Sayfa4!$C$3:$C$3000,ALSAT!A70,Sayfa4!$K$3:$K$3000,"1")/SUMIFS(Sayfa4!$D$3:$D$3000,Sayfa4!$C$3:$C$3000,ALSAT!A70,Sayfa4!$K$3:$K$3000,"1")</f>
        <v>#DIV/0!</v>
      </c>
    </row>
    <row r="71" spans="2:26" x14ac:dyDescent="0.3">
      <c r="B71" s="49"/>
      <c r="C71" s="25"/>
      <c r="D71" s="49"/>
      <c r="E71" s="25"/>
      <c r="F71" s="49"/>
      <c r="Z71" t="e">
        <f>SUMIFS(Sayfa4!$L$3:$L$3000,Sayfa4!$C$3:$C$3000,ALSAT!A71,Sayfa4!$K$3:$K$3000,"1")/SUMIFS(Sayfa4!$D$3:$D$3000,Sayfa4!$C$3:$C$3000,ALSAT!A71,Sayfa4!$K$3:$K$3000,"1")</f>
        <v>#DIV/0!</v>
      </c>
    </row>
    <row r="72" spans="2:26" x14ac:dyDescent="0.3">
      <c r="B72" s="49"/>
      <c r="C72" s="25"/>
      <c r="D72" s="49"/>
      <c r="E72" s="25"/>
      <c r="F72" s="49"/>
      <c r="Z72" t="e">
        <f>SUMIFS(Sayfa4!$L$3:$L$3000,Sayfa4!$C$3:$C$3000,ALSAT!A72,Sayfa4!$K$3:$K$3000,"1")/SUMIFS(Sayfa4!$D$3:$D$3000,Sayfa4!$C$3:$C$3000,ALSAT!A72,Sayfa4!$K$3:$K$3000,"1")</f>
        <v>#DIV/0!</v>
      </c>
    </row>
    <row r="73" spans="2:26" x14ac:dyDescent="0.3">
      <c r="B73" s="49"/>
      <c r="C73" s="25"/>
      <c r="D73" s="49"/>
      <c r="E73" s="25"/>
      <c r="F73" s="49"/>
      <c r="Z73" t="e">
        <f>SUMIFS(Sayfa4!$L$3:$L$3000,Sayfa4!$C$3:$C$3000,ALSAT!A73,Sayfa4!$K$3:$K$3000,"1")/SUMIFS(Sayfa4!$D$3:$D$3000,Sayfa4!$C$3:$C$3000,ALSAT!A73,Sayfa4!$K$3:$K$3000,"1")</f>
        <v>#DIV/0!</v>
      </c>
    </row>
    <row r="74" spans="2:26" x14ac:dyDescent="0.3">
      <c r="B74" s="49"/>
      <c r="C74" s="25"/>
      <c r="D74" s="49"/>
      <c r="E74" s="25"/>
      <c r="F74" s="49"/>
      <c r="Z74" t="e">
        <f>SUMIFS(Sayfa4!$L$3:$L$3000,Sayfa4!$C$3:$C$3000,ALSAT!A74,Sayfa4!$K$3:$K$3000,"1")/SUMIFS(Sayfa4!$D$3:$D$3000,Sayfa4!$C$3:$C$3000,ALSAT!A74,Sayfa4!$K$3:$K$3000,"1")</f>
        <v>#DIV/0!</v>
      </c>
    </row>
    <row r="75" spans="2:26" x14ac:dyDescent="0.3">
      <c r="B75" s="49"/>
      <c r="C75" s="25"/>
      <c r="D75" s="49"/>
      <c r="E75" s="25"/>
      <c r="F75" s="49"/>
      <c r="Z75" t="e">
        <f>SUMIFS(Sayfa4!$L$3:$L$3000,Sayfa4!$C$3:$C$3000,ALSAT!A75,Sayfa4!$K$3:$K$3000,"1")/SUMIFS(Sayfa4!$D$3:$D$3000,Sayfa4!$C$3:$C$3000,ALSAT!A75,Sayfa4!$K$3:$K$3000,"1")</f>
        <v>#DIV/0!</v>
      </c>
    </row>
    <row r="76" spans="2:26" x14ac:dyDescent="0.3">
      <c r="B76" s="49"/>
      <c r="C76" s="25"/>
      <c r="D76" s="49"/>
      <c r="E76" s="25"/>
      <c r="F76" s="49"/>
      <c r="Z76" t="e">
        <f>SUMIFS(Sayfa4!$L$3:$L$3000,Sayfa4!$C$3:$C$3000,ALSAT!A76,Sayfa4!$K$3:$K$3000,"1")/SUMIFS(Sayfa4!$D$3:$D$3000,Sayfa4!$C$3:$C$3000,ALSAT!A76,Sayfa4!$K$3:$K$3000,"1")</f>
        <v>#DIV/0!</v>
      </c>
    </row>
    <row r="77" spans="2:26" x14ac:dyDescent="0.3">
      <c r="B77" s="49"/>
      <c r="C77" s="25"/>
      <c r="D77" s="49"/>
      <c r="E77" s="25"/>
      <c r="F77" s="49"/>
      <c r="Z77" t="e">
        <f>SUMIFS(Sayfa4!$L$3:$L$3000,Sayfa4!$C$3:$C$3000,ALSAT!A77,Sayfa4!$K$3:$K$3000,"1")/SUMIFS(Sayfa4!$D$3:$D$3000,Sayfa4!$C$3:$C$3000,ALSAT!A77,Sayfa4!$K$3:$K$3000,"1")</f>
        <v>#DIV/0!</v>
      </c>
    </row>
    <row r="78" spans="2:26" x14ac:dyDescent="0.3">
      <c r="B78" s="49"/>
      <c r="C78" s="25"/>
      <c r="D78" s="49"/>
      <c r="E78" s="25"/>
      <c r="F78" s="49"/>
      <c r="Z78" t="e">
        <f>SUMIFS(Sayfa4!$L$3:$L$3000,Sayfa4!$C$3:$C$3000,ALSAT!A78,Sayfa4!$K$3:$K$3000,"1")/SUMIFS(Sayfa4!$D$3:$D$3000,Sayfa4!$C$3:$C$3000,ALSAT!A78,Sayfa4!$K$3:$K$3000,"1")</f>
        <v>#DIV/0!</v>
      </c>
    </row>
    <row r="79" spans="2:26" x14ac:dyDescent="0.3">
      <c r="B79" s="49"/>
      <c r="C79" s="25"/>
      <c r="D79" s="49"/>
      <c r="E79" s="25"/>
      <c r="F79" s="49"/>
      <c r="Z79" t="e">
        <f>SUMIFS(Sayfa4!$L$3:$L$3000,Sayfa4!$C$3:$C$3000,ALSAT!A79,Sayfa4!$K$3:$K$3000,"1")/SUMIFS(Sayfa4!$D$3:$D$3000,Sayfa4!$C$3:$C$3000,ALSAT!A79,Sayfa4!$K$3:$K$3000,"1")</f>
        <v>#DIV/0!</v>
      </c>
    </row>
    <row r="80" spans="2:26" x14ac:dyDescent="0.3">
      <c r="B80" s="49"/>
      <c r="C80" s="25"/>
      <c r="D80" s="49"/>
      <c r="E80" s="25"/>
      <c r="F80" s="49"/>
      <c r="Z80" t="e">
        <f>SUMIFS(Sayfa4!$L$3:$L$3000,Sayfa4!$C$3:$C$3000,ALSAT!A80,Sayfa4!$K$3:$K$3000,"1")/SUMIFS(Sayfa4!$D$3:$D$3000,Sayfa4!$C$3:$C$3000,ALSAT!A80,Sayfa4!$K$3:$K$3000,"1")</f>
        <v>#DIV/0!</v>
      </c>
    </row>
    <row r="81" spans="2:26" x14ac:dyDescent="0.3">
      <c r="B81" s="49"/>
      <c r="C81" s="25"/>
      <c r="D81" s="49"/>
      <c r="E81" s="25"/>
      <c r="F81" s="49"/>
      <c r="Z81" t="e">
        <f>SUMIFS(Sayfa4!$L$3:$L$3000,Sayfa4!$C$3:$C$3000,ALSAT!A81,Sayfa4!$K$3:$K$3000,"1")/SUMIFS(Sayfa4!$D$3:$D$3000,Sayfa4!$C$3:$C$3000,ALSAT!A81,Sayfa4!$K$3:$K$3000,"1")</f>
        <v>#DIV/0!</v>
      </c>
    </row>
    <row r="82" spans="2:26" x14ac:dyDescent="0.3">
      <c r="B82" s="49"/>
      <c r="C82" s="25"/>
      <c r="D82" s="49"/>
      <c r="E82" s="25"/>
      <c r="F82" s="49"/>
      <c r="Z82" t="e">
        <f>SUMIFS(Sayfa4!$L$3:$L$3000,Sayfa4!$C$3:$C$3000,ALSAT!A82,Sayfa4!$K$3:$K$3000,"1")/SUMIFS(Sayfa4!$D$3:$D$3000,Sayfa4!$C$3:$C$3000,ALSAT!A82,Sayfa4!$K$3:$K$3000,"1")</f>
        <v>#DIV/0!</v>
      </c>
    </row>
    <row r="83" spans="2:26" x14ac:dyDescent="0.3">
      <c r="B83" s="49"/>
      <c r="C83" s="25"/>
      <c r="D83" s="49"/>
      <c r="E83" s="25"/>
      <c r="F83" s="49"/>
      <c r="Z83" t="e">
        <f>SUMIFS(Sayfa4!$L$3:$L$3000,Sayfa4!$C$3:$C$3000,ALSAT!A83,Sayfa4!$K$3:$K$3000,"1")/SUMIFS(Sayfa4!$D$3:$D$3000,Sayfa4!$C$3:$C$3000,ALSAT!A83,Sayfa4!$K$3:$K$3000,"1")</f>
        <v>#DIV/0!</v>
      </c>
    </row>
    <row r="84" spans="2:26" x14ac:dyDescent="0.3">
      <c r="B84" s="49"/>
      <c r="C84" s="25"/>
      <c r="D84" s="49"/>
      <c r="E84" s="25"/>
      <c r="F84" s="49"/>
      <c r="Z84" t="e">
        <f>SUMIFS(Sayfa4!$L$3:$L$3000,Sayfa4!$C$3:$C$3000,ALSAT!A84,Sayfa4!$K$3:$K$3000,"1")/SUMIFS(Sayfa4!$D$3:$D$3000,Sayfa4!$C$3:$C$3000,ALSAT!A84,Sayfa4!$K$3:$K$3000,"1")</f>
        <v>#DIV/0!</v>
      </c>
    </row>
    <row r="85" spans="2:26" x14ac:dyDescent="0.3">
      <c r="B85" s="49"/>
      <c r="C85" s="25"/>
      <c r="D85" s="49"/>
      <c r="E85" s="25"/>
      <c r="F85" s="49"/>
      <c r="Z85" t="e">
        <f>SUMIFS(Sayfa4!$L$3:$L$3000,Sayfa4!$C$3:$C$3000,ALSAT!A85,Sayfa4!$K$3:$K$3000,"1")/SUMIFS(Sayfa4!$D$3:$D$3000,Sayfa4!$C$3:$C$3000,ALSAT!A85,Sayfa4!$K$3:$K$3000,"1")</f>
        <v>#DIV/0!</v>
      </c>
    </row>
    <row r="86" spans="2:26" x14ac:dyDescent="0.3">
      <c r="B86" s="49"/>
      <c r="C86" s="25"/>
      <c r="D86" s="49"/>
      <c r="E86" s="25"/>
      <c r="F86" s="49"/>
      <c r="Z86" t="e">
        <f>SUMIFS(Sayfa4!$L$3:$L$3000,Sayfa4!$C$3:$C$3000,ALSAT!A86,Sayfa4!$K$3:$K$3000,"1")/SUMIFS(Sayfa4!$D$3:$D$3000,Sayfa4!$C$3:$C$3000,ALSAT!A86,Sayfa4!$K$3:$K$3000,"1")</f>
        <v>#DIV/0!</v>
      </c>
    </row>
    <row r="87" spans="2:26" x14ac:dyDescent="0.3">
      <c r="B87" s="49"/>
      <c r="C87" s="25"/>
      <c r="D87" s="49"/>
      <c r="E87" s="25"/>
      <c r="F87" s="49"/>
      <c r="Z87" t="e">
        <f>SUMIFS(Sayfa4!$L$3:$L$3000,Sayfa4!$C$3:$C$3000,ALSAT!A87,Sayfa4!$K$3:$K$3000,"1")/SUMIFS(Sayfa4!$D$3:$D$3000,Sayfa4!$C$3:$C$3000,ALSAT!A87,Sayfa4!$K$3:$K$3000,"1")</f>
        <v>#DIV/0!</v>
      </c>
    </row>
    <row r="88" spans="2:26" x14ac:dyDescent="0.3">
      <c r="B88" s="49"/>
      <c r="C88" s="25"/>
      <c r="D88" s="49"/>
      <c r="E88" s="25"/>
      <c r="F88" s="49"/>
      <c r="Z88" t="e">
        <f>SUMIFS(Sayfa4!$L$3:$L$3000,Sayfa4!$C$3:$C$3000,ALSAT!A88,Sayfa4!$K$3:$K$3000,"1")/SUMIFS(Sayfa4!$D$3:$D$3000,Sayfa4!$C$3:$C$3000,ALSAT!A88,Sayfa4!$K$3:$K$3000,"1")</f>
        <v>#DIV/0!</v>
      </c>
    </row>
    <row r="89" spans="2:26" x14ac:dyDescent="0.3">
      <c r="B89" s="49"/>
      <c r="C89" s="25"/>
      <c r="D89" s="49"/>
      <c r="E89" s="25"/>
      <c r="F89" s="49"/>
      <c r="Z89" t="e">
        <f>SUMIFS(Sayfa4!$L$3:$L$3000,Sayfa4!$C$3:$C$3000,ALSAT!A89,Sayfa4!$K$3:$K$3000,"1")/SUMIFS(Sayfa4!$D$3:$D$3000,Sayfa4!$C$3:$C$3000,ALSAT!A89,Sayfa4!$K$3:$K$3000,"1")</f>
        <v>#DIV/0!</v>
      </c>
    </row>
    <row r="90" spans="2:26" x14ac:dyDescent="0.3">
      <c r="B90" s="49"/>
      <c r="C90" s="25"/>
      <c r="D90" s="49"/>
      <c r="E90" s="25"/>
      <c r="F90" s="49"/>
      <c r="Z90" t="e">
        <f>SUMIFS(Sayfa4!$L$3:$L$3000,Sayfa4!$C$3:$C$3000,ALSAT!A90,Sayfa4!$K$3:$K$3000,"1")/SUMIFS(Sayfa4!$D$3:$D$3000,Sayfa4!$C$3:$C$3000,ALSAT!A90,Sayfa4!$K$3:$K$3000,"1")</f>
        <v>#DIV/0!</v>
      </c>
    </row>
    <row r="91" spans="2:26" x14ac:dyDescent="0.3">
      <c r="B91" s="49"/>
      <c r="C91" s="25"/>
      <c r="D91" s="49"/>
      <c r="E91" s="25"/>
      <c r="F91" s="49"/>
      <c r="Z91" t="e">
        <f>SUMIFS(Sayfa4!$L$3:$L$3000,Sayfa4!$C$3:$C$3000,ALSAT!A91,Sayfa4!$K$3:$K$3000,"1")/SUMIFS(Sayfa4!$D$3:$D$3000,Sayfa4!$C$3:$C$3000,ALSAT!A91,Sayfa4!$K$3:$K$3000,"1")</f>
        <v>#DIV/0!</v>
      </c>
    </row>
    <row r="92" spans="2:26" x14ac:dyDescent="0.3">
      <c r="B92" s="49"/>
      <c r="C92" s="25"/>
      <c r="D92" s="49"/>
      <c r="E92" s="25"/>
      <c r="F92" s="49"/>
      <c r="Z92" t="e">
        <f>SUMIFS(Sayfa4!$L$3:$L$3000,Sayfa4!$C$3:$C$3000,ALSAT!A92,Sayfa4!$K$3:$K$3000,"1")/SUMIFS(Sayfa4!$D$3:$D$3000,Sayfa4!$C$3:$C$3000,ALSAT!A92,Sayfa4!$K$3:$K$3000,"1")</f>
        <v>#DIV/0!</v>
      </c>
    </row>
    <row r="93" spans="2:26" x14ac:dyDescent="0.3">
      <c r="B93" s="49"/>
      <c r="C93" s="25"/>
      <c r="D93" s="49"/>
      <c r="E93" s="25"/>
      <c r="F93" s="49"/>
      <c r="Z93" t="e">
        <f>SUMIFS(Sayfa4!$L$3:$L$3000,Sayfa4!$C$3:$C$3000,ALSAT!A93,Sayfa4!$K$3:$K$3000,"1")/SUMIFS(Sayfa4!$D$3:$D$3000,Sayfa4!$C$3:$C$3000,ALSAT!A93,Sayfa4!$K$3:$K$3000,"1")</f>
        <v>#DIV/0!</v>
      </c>
    </row>
    <row r="94" spans="2:26" x14ac:dyDescent="0.3">
      <c r="B94" s="49"/>
      <c r="C94" s="25"/>
      <c r="D94" s="49"/>
      <c r="E94" s="25"/>
      <c r="F94" s="49"/>
      <c r="Z94" t="e">
        <f>SUMIFS(Sayfa4!$L$3:$L$3000,Sayfa4!$C$3:$C$3000,ALSAT!A94,Sayfa4!$K$3:$K$3000,"1")/SUMIFS(Sayfa4!$D$3:$D$3000,Sayfa4!$C$3:$C$3000,ALSAT!A94,Sayfa4!$K$3:$K$3000,"1")</f>
        <v>#DIV/0!</v>
      </c>
    </row>
    <row r="95" spans="2:26" x14ac:dyDescent="0.3">
      <c r="B95" s="49"/>
      <c r="C95" s="25"/>
      <c r="D95" s="49"/>
      <c r="E95" s="25"/>
      <c r="F95" s="49"/>
      <c r="Z95" t="e">
        <f>SUMIFS(Sayfa4!$L$3:$L$3000,Sayfa4!$C$3:$C$3000,ALSAT!A95,Sayfa4!$K$3:$K$3000,"1")/SUMIFS(Sayfa4!$D$3:$D$3000,Sayfa4!$C$3:$C$3000,ALSAT!A95,Sayfa4!$K$3:$K$3000,"1")</f>
        <v>#DIV/0!</v>
      </c>
    </row>
    <row r="96" spans="2:26" x14ac:dyDescent="0.3">
      <c r="B96" s="49"/>
      <c r="C96" s="25"/>
      <c r="D96" s="49"/>
      <c r="E96" s="25"/>
      <c r="F96" s="49"/>
      <c r="Z96" t="e">
        <f>SUMIFS(Sayfa4!$L$3:$L$3000,Sayfa4!$C$3:$C$3000,ALSAT!A96,Sayfa4!$K$3:$K$3000,"1")/SUMIFS(Sayfa4!$D$3:$D$3000,Sayfa4!$C$3:$C$3000,ALSAT!A96,Sayfa4!$K$3:$K$3000,"1")</f>
        <v>#DIV/0!</v>
      </c>
    </row>
    <row r="97" spans="2:26" x14ac:dyDescent="0.3">
      <c r="B97" s="49"/>
      <c r="C97" s="25"/>
      <c r="D97" s="49"/>
      <c r="E97" s="25"/>
      <c r="F97" s="49"/>
      <c r="Z97" t="e">
        <f>SUMIFS(Sayfa4!$L$3:$L$3000,Sayfa4!$C$3:$C$3000,ALSAT!A97,Sayfa4!$K$3:$K$3000,"1")/SUMIFS(Sayfa4!$D$3:$D$3000,Sayfa4!$C$3:$C$3000,ALSAT!A97,Sayfa4!$K$3:$K$3000,"1")</f>
        <v>#DIV/0!</v>
      </c>
    </row>
    <row r="98" spans="2:26" x14ac:dyDescent="0.3">
      <c r="B98" s="49"/>
      <c r="C98" s="25"/>
      <c r="D98" s="49"/>
      <c r="E98" s="25"/>
      <c r="F98" s="49"/>
      <c r="Z98" t="e">
        <f>SUMIFS(Sayfa4!$L$3:$L$3000,Sayfa4!$C$3:$C$3000,ALSAT!A98,Sayfa4!$K$3:$K$3000,"1")/SUMIFS(Sayfa4!$D$3:$D$3000,Sayfa4!$C$3:$C$3000,ALSAT!A98,Sayfa4!$K$3:$K$3000,"1")</f>
        <v>#DIV/0!</v>
      </c>
    </row>
    <row r="99" spans="2:26" x14ac:dyDescent="0.3">
      <c r="B99" s="49"/>
      <c r="C99" s="25"/>
      <c r="D99" s="49"/>
      <c r="E99" s="25"/>
      <c r="F99" s="49"/>
      <c r="Z99" t="e">
        <f>SUMIFS(Sayfa4!$L$3:$L$3000,Sayfa4!$C$3:$C$3000,ALSAT!A99,Sayfa4!$K$3:$K$3000,"1")/SUMIFS(Sayfa4!$D$3:$D$3000,Sayfa4!$C$3:$C$3000,ALSAT!A99,Sayfa4!$K$3:$K$3000,"1")</f>
        <v>#DIV/0!</v>
      </c>
    </row>
    <row r="100" spans="2:26" x14ac:dyDescent="0.3">
      <c r="B100" s="49"/>
      <c r="C100" s="25"/>
      <c r="D100" s="49"/>
      <c r="E100" s="25"/>
      <c r="F100" s="49"/>
      <c r="Z100" t="e">
        <f>SUMIFS(Sayfa4!$L$3:$L$3000,Sayfa4!$C$3:$C$3000,ALSAT!A100,Sayfa4!$K$3:$K$3000,"1")/SUMIFS(Sayfa4!$D$3:$D$3000,Sayfa4!$C$3:$C$3000,ALSAT!A100,Sayfa4!$K$3:$K$3000,"1")</f>
        <v>#DIV/0!</v>
      </c>
    </row>
    <row r="101" spans="2:26" x14ac:dyDescent="0.3">
      <c r="C101" s="25"/>
      <c r="D101" s="49"/>
      <c r="E101" s="25"/>
      <c r="F101" s="49"/>
      <c r="Z101" t="e">
        <f>SUMIFS(Sayfa4!$L$3:$L$3000,Sayfa4!$C$3:$C$3000,ALSAT!A101,Sayfa4!$K$3:$K$3000,"1")/SUMIFS(Sayfa4!$D$3:$D$3000,Sayfa4!$C$3:$C$3000,ALSAT!A101,Sayfa4!$K$3:$K$3000,"1")</f>
        <v>#DIV/0!</v>
      </c>
    </row>
    <row r="102" spans="2:26" x14ac:dyDescent="0.3">
      <c r="C102" s="25"/>
      <c r="D102" s="49"/>
      <c r="E102" s="25"/>
      <c r="F102" s="49"/>
      <c r="Z102" t="e">
        <f>SUMIFS(Sayfa4!$L$3:$L$3000,Sayfa4!$C$3:$C$3000,ALSAT!A102,Sayfa4!$K$3:$K$3000,"1")/SUMIFS(Sayfa4!$D$3:$D$3000,Sayfa4!$C$3:$C$3000,ALSAT!A102,Sayfa4!$K$3:$K$3000,"1")</f>
        <v>#DIV/0!</v>
      </c>
    </row>
    <row r="103" spans="2:26" x14ac:dyDescent="0.3">
      <c r="C103" s="25"/>
      <c r="D103" s="49"/>
      <c r="E103" s="25"/>
      <c r="F103" s="49"/>
      <c r="Z103" t="e">
        <f>SUMIFS(Sayfa4!$L$3:$L$3000,Sayfa4!$C$3:$C$3000,ALSAT!A103,Sayfa4!$K$3:$K$3000,"1")/SUMIFS(Sayfa4!$D$3:$D$3000,Sayfa4!$C$3:$C$3000,ALSAT!A103,Sayfa4!$K$3:$K$3000,"1")</f>
        <v>#DIV/0!</v>
      </c>
    </row>
    <row r="104" spans="2:26" x14ac:dyDescent="0.3">
      <c r="C104" s="25"/>
      <c r="D104" s="49"/>
      <c r="E104" s="25"/>
      <c r="F104" s="49"/>
      <c r="Z104" t="e">
        <f>SUMIFS(Sayfa4!$L$3:$L$3000,Sayfa4!$C$3:$C$3000,ALSAT!A104,Sayfa4!$K$3:$K$3000,"1")/SUMIFS(Sayfa4!$D$3:$D$3000,Sayfa4!$C$3:$C$3000,ALSAT!A104,Sayfa4!$K$3:$K$3000,"1")</f>
        <v>#DIV/0!</v>
      </c>
    </row>
    <row r="105" spans="2:26" x14ac:dyDescent="0.3">
      <c r="C105" s="25"/>
      <c r="D105" s="49"/>
      <c r="E105" s="25"/>
      <c r="F105" s="49"/>
      <c r="Z105" t="e">
        <f>SUMIFS(Sayfa4!$L$3:$L$3000,Sayfa4!$C$3:$C$3000,ALSAT!A105,Sayfa4!$K$3:$K$3000,"1")/SUMIFS(Sayfa4!$D$3:$D$3000,Sayfa4!$C$3:$C$3000,ALSAT!A105,Sayfa4!$K$3:$K$3000,"1")</f>
        <v>#DIV/0!</v>
      </c>
    </row>
    <row r="106" spans="2:26" x14ac:dyDescent="0.3">
      <c r="C106" s="25"/>
      <c r="D106" s="49"/>
      <c r="E106" s="25"/>
      <c r="F106" s="49"/>
      <c r="Z106" t="e">
        <f>SUMIFS(Sayfa4!$L$3:$L$3000,Sayfa4!$C$3:$C$3000,ALSAT!A106,Sayfa4!$K$3:$K$3000,"1")/SUMIFS(Sayfa4!$D$3:$D$3000,Sayfa4!$C$3:$C$3000,ALSAT!A106,Sayfa4!$K$3:$K$3000,"1")</f>
        <v>#DIV/0!</v>
      </c>
    </row>
    <row r="107" spans="2:26" x14ac:dyDescent="0.3">
      <c r="C107" s="25"/>
      <c r="D107" s="49"/>
      <c r="E107" s="25"/>
      <c r="F107" s="49"/>
      <c r="Z107" t="e">
        <f>SUMIFS(Sayfa4!$L$3:$L$3000,Sayfa4!$C$3:$C$3000,ALSAT!A107,Sayfa4!$K$3:$K$3000,"1")/SUMIFS(Sayfa4!$D$3:$D$3000,Sayfa4!$C$3:$C$3000,ALSAT!A107,Sayfa4!$K$3:$K$3000,"1")</f>
        <v>#DIV/0!</v>
      </c>
    </row>
    <row r="108" spans="2:26" x14ac:dyDescent="0.3">
      <c r="C108" s="25"/>
      <c r="D108" s="49"/>
      <c r="E108" s="25"/>
      <c r="F108" s="49"/>
      <c r="Z108" t="e">
        <f>SUMIFS(Sayfa4!$L$3:$L$3000,Sayfa4!$C$3:$C$3000,ALSAT!A108,Sayfa4!$K$3:$K$3000,"1")/SUMIFS(Sayfa4!$D$3:$D$3000,Sayfa4!$C$3:$C$3000,ALSAT!A108,Sayfa4!$K$3:$K$3000,"1")</f>
        <v>#DIV/0!</v>
      </c>
    </row>
    <row r="109" spans="2:26" x14ac:dyDescent="0.3">
      <c r="C109" s="25"/>
      <c r="D109" s="49"/>
      <c r="E109" s="25"/>
      <c r="F109" s="49"/>
      <c r="Z109" t="e">
        <f>SUMIFS(Sayfa4!$L$3:$L$3000,Sayfa4!$C$3:$C$3000,ALSAT!A109,Sayfa4!$K$3:$K$3000,"1")/SUMIFS(Sayfa4!$D$3:$D$3000,Sayfa4!$C$3:$C$3000,ALSAT!A109,Sayfa4!$K$3:$K$3000,"1")</f>
        <v>#DIV/0!</v>
      </c>
    </row>
    <row r="110" spans="2:26" x14ac:dyDescent="0.3">
      <c r="C110" s="25"/>
      <c r="D110" s="49"/>
      <c r="E110" s="25"/>
      <c r="F110" s="49"/>
      <c r="Z110" t="e">
        <f>SUMIFS(Sayfa4!$L$3:$L$3000,Sayfa4!$C$3:$C$3000,ALSAT!A110,Sayfa4!$K$3:$K$3000,"1")/SUMIFS(Sayfa4!$D$3:$D$3000,Sayfa4!$C$3:$C$3000,ALSAT!A110,Sayfa4!$K$3:$K$3000,"1")</f>
        <v>#DIV/0!</v>
      </c>
    </row>
    <row r="111" spans="2:26" x14ac:dyDescent="0.3">
      <c r="C111" s="25"/>
      <c r="D111" s="49"/>
      <c r="E111" s="25"/>
      <c r="F111" s="49"/>
      <c r="Z111" t="e">
        <f>SUMIFS(Sayfa4!$L$3:$L$3000,Sayfa4!$C$3:$C$3000,ALSAT!A111,Sayfa4!$K$3:$K$3000,"1")/SUMIFS(Sayfa4!$D$3:$D$3000,Sayfa4!$C$3:$C$3000,ALSAT!A111,Sayfa4!$K$3:$K$3000,"1")</f>
        <v>#DIV/0!</v>
      </c>
    </row>
    <row r="112" spans="2:26" x14ac:dyDescent="0.3">
      <c r="C112" s="25"/>
      <c r="D112" s="49"/>
      <c r="E112" s="25"/>
      <c r="F112" s="49"/>
      <c r="Z112" t="e">
        <f>SUMIFS(Sayfa4!$L$3:$L$3000,Sayfa4!$C$3:$C$3000,ALSAT!A112,Sayfa4!$K$3:$K$3000,"1")/SUMIFS(Sayfa4!$D$3:$D$3000,Sayfa4!$C$3:$C$3000,ALSAT!A112,Sayfa4!$K$3:$K$3000,"1")</f>
        <v>#DIV/0!</v>
      </c>
    </row>
    <row r="113" spans="3:26" x14ac:dyDescent="0.3">
      <c r="C113" s="25"/>
      <c r="D113" s="49"/>
      <c r="E113" s="25"/>
      <c r="F113" s="49"/>
      <c r="Z113" t="e">
        <f>SUMIFS(Sayfa4!$L$3:$L$3000,Sayfa4!$C$3:$C$3000,ALSAT!A113,Sayfa4!$K$3:$K$3000,"1")/SUMIFS(Sayfa4!$D$3:$D$3000,Sayfa4!$C$3:$C$3000,ALSAT!A113,Sayfa4!$K$3:$K$3000,"1")</f>
        <v>#DIV/0!</v>
      </c>
    </row>
    <row r="114" spans="3:26" x14ac:dyDescent="0.3">
      <c r="C114" s="25"/>
      <c r="D114" s="49"/>
      <c r="E114" s="25"/>
      <c r="F114" s="49"/>
      <c r="Z114" t="e">
        <f>SUMIFS(Sayfa4!$L$3:$L$3000,Sayfa4!$C$3:$C$3000,ALSAT!A114,Sayfa4!$K$3:$K$3000,"1")/SUMIFS(Sayfa4!$D$3:$D$3000,Sayfa4!$C$3:$C$3000,ALSAT!A114,Sayfa4!$K$3:$K$3000,"1")</f>
        <v>#DIV/0!</v>
      </c>
    </row>
    <row r="115" spans="3:26" x14ac:dyDescent="0.3">
      <c r="C115" s="25"/>
      <c r="D115" s="49"/>
      <c r="E115" s="25"/>
      <c r="F115" s="49"/>
      <c r="Z115" t="e">
        <f>SUMIFS(Sayfa4!$L$3:$L$3000,Sayfa4!$C$3:$C$3000,ALSAT!A115,Sayfa4!$K$3:$K$3000,"1")/SUMIFS(Sayfa4!$D$3:$D$3000,Sayfa4!$C$3:$C$3000,ALSAT!A115,Sayfa4!$K$3:$K$3000,"1")</f>
        <v>#DIV/0!</v>
      </c>
    </row>
    <row r="116" spans="3:26" x14ac:dyDescent="0.3">
      <c r="C116" s="25"/>
      <c r="D116" s="49"/>
      <c r="E116" s="25"/>
      <c r="F116" s="49"/>
      <c r="Z116" t="e">
        <f>SUMIFS(Sayfa4!$L$3:$L$3000,Sayfa4!$C$3:$C$3000,ALSAT!A116,Sayfa4!$K$3:$K$3000,"1")/SUMIFS(Sayfa4!$D$3:$D$3000,Sayfa4!$C$3:$C$3000,ALSAT!A116,Sayfa4!$K$3:$K$3000,"1")</f>
        <v>#DIV/0!</v>
      </c>
    </row>
    <row r="117" spans="3:26" x14ac:dyDescent="0.3">
      <c r="C117" s="25"/>
      <c r="D117" s="49"/>
      <c r="E117" s="25"/>
      <c r="F117" s="49"/>
      <c r="Z117">
        <f>+_xlfn.MINIFS(Sayfa4!$E$3:$E$3000,Sayfa4!$C$3:$C$3000,A117,Sayfa4!$K$3:$K$3000,"1")</f>
        <v>0</v>
      </c>
    </row>
    <row r="118" spans="3:26" x14ac:dyDescent="0.3">
      <c r="C118" s="25"/>
      <c r="D118" s="49"/>
      <c r="E118" s="25"/>
      <c r="F118" s="49"/>
      <c r="Z118">
        <f>+_xlfn.MINIFS(Sayfa4!$E$3:$E$3000,Sayfa4!$C$3:$C$3000,A118,Sayfa4!$K$3:$K$3000,"1")</f>
        <v>0</v>
      </c>
    </row>
    <row r="119" spans="3:26" x14ac:dyDescent="0.3">
      <c r="C119" s="25"/>
      <c r="D119" s="49"/>
      <c r="E119" s="25"/>
      <c r="F119" s="49"/>
      <c r="Z119">
        <f>+_xlfn.MINIFS(Sayfa4!$E$3:$E$3000,Sayfa4!$C$3:$C$3000,A119,Sayfa4!$K$3:$K$3000,"1")</f>
        <v>0</v>
      </c>
    </row>
    <row r="120" spans="3:26" x14ac:dyDescent="0.3">
      <c r="C120" s="25"/>
      <c r="D120" s="49"/>
      <c r="E120" s="25"/>
      <c r="F120" s="49"/>
      <c r="Z120">
        <f>+_xlfn.MINIFS(Sayfa4!$E$3:$E$3000,Sayfa4!$C$3:$C$3000,A120,Sayfa4!$K$3:$K$3000,"1")</f>
        <v>0</v>
      </c>
    </row>
    <row r="121" spans="3:26" x14ac:dyDescent="0.3">
      <c r="C121" s="25"/>
      <c r="D121" s="49"/>
      <c r="E121" s="25"/>
      <c r="F121" s="49"/>
      <c r="Z121">
        <f>+_xlfn.MINIFS(Sayfa4!$E$3:$E$3000,Sayfa4!$C$3:$C$3000,A121,Sayfa4!$K$3:$K$3000,"1")</f>
        <v>0</v>
      </c>
    </row>
    <row r="122" spans="3:26" x14ac:dyDescent="0.3">
      <c r="C122" s="25"/>
      <c r="D122" s="49"/>
      <c r="E122" s="25"/>
      <c r="F122" s="49"/>
    </row>
    <row r="123" spans="3:26" x14ac:dyDescent="0.3">
      <c r="D123" s="49"/>
      <c r="F123" s="49"/>
    </row>
    <row r="124" spans="3:26" x14ac:dyDescent="0.3">
      <c r="D124" s="49"/>
      <c r="F124" s="49"/>
    </row>
    <row r="125" spans="3:26" x14ac:dyDescent="0.3">
      <c r="D125" s="49"/>
      <c r="F125" s="49"/>
    </row>
    <row r="126" spans="3:26" x14ac:dyDescent="0.3">
      <c r="D126" s="49"/>
      <c r="F126" s="49"/>
    </row>
    <row r="127" spans="3:26" x14ac:dyDescent="0.3">
      <c r="D127" s="49"/>
      <c r="F127" s="49"/>
    </row>
    <row r="128" spans="3:26" x14ac:dyDescent="0.3">
      <c r="D128" s="49"/>
      <c r="F128" s="49"/>
    </row>
    <row r="129" spans="4:6" x14ac:dyDescent="0.3">
      <c r="D129" s="49"/>
      <c r="F129" s="49"/>
    </row>
    <row r="130" spans="4:6" x14ac:dyDescent="0.3">
      <c r="D130" s="49"/>
      <c r="F130" s="49"/>
    </row>
    <row r="131" spans="4:6" x14ac:dyDescent="0.3">
      <c r="D131" s="49"/>
      <c r="F131" s="49"/>
    </row>
    <row r="132" spans="4:6" x14ac:dyDescent="0.3">
      <c r="D132" s="49"/>
      <c r="F132" s="49"/>
    </row>
    <row r="133" spans="4:6" x14ac:dyDescent="0.3">
      <c r="D133" s="49"/>
      <c r="F133" s="49"/>
    </row>
    <row r="134" spans="4:6" x14ac:dyDescent="0.3">
      <c r="D134" s="49"/>
      <c r="F134" s="49"/>
    </row>
    <row r="135" spans="4:6" x14ac:dyDescent="0.3">
      <c r="D135" s="49"/>
      <c r="F135" s="49"/>
    </row>
    <row r="136" spans="4:6" x14ac:dyDescent="0.3">
      <c r="D136" s="49"/>
      <c r="F136" s="49"/>
    </row>
  </sheetData>
  <mergeCells count="2">
    <mergeCell ref="C2:D2"/>
    <mergeCell ref="E2:F2"/>
  </mergeCells>
  <conditionalFormatting sqref="C4:D51">
    <cfRule type="expression" dxfId="5" priority="12">
      <formula>$D4&lt;$X4</formula>
    </cfRule>
  </conditionalFormatting>
  <conditionalFormatting sqref="E4:F51">
    <cfRule type="expression" dxfId="4" priority="13">
      <formula>$F4&gt;$W4</formula>
    </cfRule>
  </conditionalFormatting>
  <conditionalFormatting sqref="K4:K5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N5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:R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:Q5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5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02065-E435-40D8-9101-4AC0A33A2435}">
  <dimension ref="A1:M66"/>
  <sheetViews>
    <sheetView topLeftCell="A43" workbookViewId="0">
      <selection activeCell="J47" sqref="J47"/>
    </sheetView>
  </sheetViews>
  <sheetFormatPr defaultRowHeight="14.4" x14ac:dyDescent="0.3"/>
  <cols>
    <col min="1" max="1" width="13.33203125" customWidth="1"/>
    <col min="2" max="2" width="15" customWidth="1"/>
    <col min="5" max="5" width="20.88671875" style="56" customWidth="1"/>
    <col min="6" max="6" width="34.109375" style="38" customWidth="1"/>
    <col min="8" max="9" width="10.33203125" bestFit="1" customWidth="1"/>
  </cols>
  <sheetData>
    <row r="1" spans="1:6" x14ac:dyDescent="0.3">
      <c r="A1" s="16" t="s">
        <v>0</v>
      </c>
      <c r="B1" s="17" t="s">
        <v>1</v>
      </c>
      <c r="C1" s="18" t="s">
        <v>2</v>
      </c>
      <c r="D1" s="18" t="s">
        <v>3</v>
      </c>
      <c r="E1" s="53" t="s">
        <v>4</v>
      </c>
      <c r="F1" s="15" t="s">
        <v>5</v>
      </c>
    </row>
    <row r="2" spans="1:6" x14ac:dyDescent="0.3">
      <c r="A2" s="5">
        <v>45619</v>
      </c>
      <c r="B2" s="6" t="s">
        <v>596</v>
      </c>
      <c r="C2" s="7" t="s">
        <v>7</v>
      </c>
      <c r="D2" s="7">
        <v>116.8</v>
      </c>
      <c r="E2" s="54">
        <v>0.214</v>
      </c>
      <c r="F2" s="9">
        <f t="shared" ref="F2:F6" si="0">+E2*D2</f>
        <v>24.995200000000001</v>
      </c>
    </row>
    <row r="3" spans="1:6" x14ac:dyDescent="0.3">
      <c r="A3" s="5">
        <v>45619</v>
      </c>
      <c r="B3" s="6" t="s">
        <v>597</v>
      </c>
      <c r="C3" s="7" t="s">
        <v>7</v>
      </c>
      <c r="D3" s="7">
        <v>100</v>
      </c>
      <c r="E3" s="54">
        <v>0.25</v>
      </c>
      <c r="F3" s="9">
        <f t="shared" si="0"/>
        <v>25</v>
      </c>
    </row>
    <row r="4" spans="1:6" x14ac:dyDescent="0.3">
      <c r="A4" s="5">
        <v>45619</v>
      </c>
      <c r="B4" s="11" t="s">
        <v>598</v>
      </c>
      <c r="C4" s="12" t="s">
        <v>7</v>
      </c>
      <c r="D4" s="12">
        <v>1144164</v>
      </c>
      <c r="E4" s="55">
        <v>2.1849999999999999E-5</v>
      </c>
      <c r="F4" s="14">
        <f t="shared" si="0"/>
        <v>24.999983399999998</v>
      </c>
    </row>
    <row r="5" spans="1:6" x14ac:dyDescent="0.3">
      <c r="A5" s="5">
        <v>45619</v>
      </c>
      <c r="B5" s="11" t="s">
        <v>598</v>
      </c>
      <c r="C5" s="12" t="s">
        <v>9</v>
      </c>
      <c r="D5" s="12">
        <v>0</v>
      </c>
      <c r="E5" s="55">
        <v>2.1849999999999999E-5</v>
      </c>
      <c r="F5" s="14">
        <f t="shared" si="0"/>
        <v>0</v>
      </c>
    </row>
    <row r="6" spans="1:6" x14ac:dyDescent="0.3">
      <c r="A6" s="5">
        <v>45619</v>
      </c>
      <c r="B6" s="11" t="s">
        <v>599</v>
      </c>
      <c r="C6" s="12" t="s">
        <v>7</v>
      </c>
      <c r="D6" s="12">
        <v>491159</v>
      </c>
      <c r="E6" s="55">
        <v>5.0899999999999997E-5</v>
      </c>
      <c r="F6" s="14">
        <f t="shared" si="0"/>
        <v>24.999993099999998</v>
      </c>
    </row>
    <row r="7" spans="1:6" x14ac:dyDescent="0.3">
      <c r="A7" s="10">
        <v>45619</v>
      </c>
      <c r="B7" s="11" t="s">
        <v>599</v>
      </c>
      <c r="C7" s="12" t="s">
        <v>9</v>
      </c>
      <c r="D7" s="12">
        <v>0</v>
      </c>
      <c r="E7" s="55">
        <v>5.0899999999999997E-5</v>
      </c>
      <c r="F7" s="14">
        <f t="shared" ref="F7:F13" si="1">+E7*D7</f>
        <v>0</v>
      </c>
    </row>
    <row r="8" spans="1:6" x14ac:dyDescent="0.3">
      <c r="A8" s="10">
        <v>45619</v>
      </c>
      <c r="B8" s="11" t="s">
        <v>600</v>
      </c>
      <c r="C8" s="12" t="s">
        <v>7</v>
      </c>
      <c r="D8" s="12">
        <v>6.09</v>
      </c>
      <c r="E8" s="55">
        <v>4.0999999999999996</v>
      </c>
      <c r="F8" s="14">
        <f t="shared" si="1"/>
        <v>24.968999999999998</v>
      </c>
    </row>
    <row r="9" spans="1:6" x14ac:dyDescent="0.3">
      <c r="A9" s="10">
        <v>45619</v>
      </c>
      <c r="B9" s="11" t="s">
        <v>597</v>
      </c>
      <c r="C9" s="12" t="s">
        <v>9</v>
      </c>
      <c r="D9" s="12">
        <v>38</v>
      </c>
      <c r="E9" s="55">
        <v>0.26250000000000001</v>
      </c>
      <c r="F9" s="14">
        <f t="shared" si="1"/>
        <v>9.9749999999999996</v>
      </c>
    </row>
    <row r="10" spans="1:6" x14ac:dyDescent="0.3">
      <c r="A10" s="10">
        <v>45619</v>
      </c>
      <c r="B10" s="11" t="s">
        <v>596</v>
      </c>
      <c r="C10" s="12" t="s">
        <v>9</v>
      </c>
      <c r="D10" s="12">
        <v>44.5</v>
      </c>
      <c r="E10" s="55">
        <v>0.22470000000000001</v>
      </c>
      <c r="F10" s="14">
        <f t="shared" si="1"/>
        <v>9.9991500000000002</v>
      </c>
    </row>
    <row r="11" spans="1:6" x14ac:dyDescent="0.3">
      <c r="A11" s="10">
        <v>45619</v>
      </c>
      <c r="B11" s="11" t="s">
        <v>600</v>
      </c>
      <c r="C11" s="12" t="s">
        <v>9</v>
      </c>
      <c r="D11" s="12">
        <v>2.3199999999999998</v>
      </c>
      <c r="E11" s="55">
        <v>4.3049999999999997</v>
      </c>
      <c r="F11" s="14">
        <f t="shared" si="1"/>
        <v>9.9875999999999987</v>
      </c>
    </row>
    <row r="12" spans="1:6" x14ac:dyDescent="0.3">
      <c r="A12" s="10">
        <v>45619</v>
      </c>
      <c r="B12" s="11" t="s">
        <v>596</v>
      </c>
      <c r="C12" s="12" t="s">
        <v>9</v>
      </c>
      <c r="D12" s="12">
        <v>41.6</v>
      </c>
      <c r="E12" s="55">
        <v>0.24</v>
      </c>
      <c r="F12" s="14">
        <f t="shared" si="1"/>
        <v>9.984</v>
      </c>
    </row>
    <row r="13" spans="1:6" x14ac:dyDescent="0.3">
      <c r="A13" s="10"/>
      <c r="B13" s="11" t="s">
        <v>596</v>
      </c>
      <c r="C13" s="12" t="s">
        <v>9</v>
      </c>
      <c r="D13" s="12">
        <v>30.5</v>
      </c>
      <c r="E13" s="55">
        <v>0.252</v>
      </c>
      <c r="F13" s="14">
        <f t="shared" si="1"/>
        <v>7.6859999999999999</v>
      </c>
    </row>
    <row r="14" spans="1:6" x14ac:dyDescent="0.3">
      <c r="A14" s="10">
        <v>45620</v>
      </c>
      <c r="B14" s="11" t="s">
        <v>599</v>
      </c>
      <c r="C14" s="12" t="s">
        <v>7</v>
      </c>
      <c r="D14" s="12">
        <v>327439</v>
      </c>
      <c r="E14" s="55">
        <v>4.5809999999999997E-5</v>
      </c>
      <c r="F14" s="14">
        <f t="shared" ref="F14:F19" si="2">+E14*D14</f>
        <v>14.999980589999998</v>
      </c>
    </row>
    <row r="15" spans="1:6" x14ac:dyDescent="0.3">
      <c r="A15" s="10">
        <v>45620</v>
      </c>
      <c r="B15" s="11" t="s">
        <v>598</v>
      </c>
      <c r="C15" s="12" t="s">
        <v>7</v>
      </c>
      <c r="D15" s="12">
        <v>762582</v>
      </c>
      <c r="E15" s="55">
        <v>1.967E-5</v>
      </c>
      <c r="F15" s="14">
        <f t="shared" si="2"/>
        <v>14.99998794</v>
      </c>
    </row>
    <row r="16" spans="1:6" x14ac:dyDescent="0.3">
      <c r="A16" s="10">
        <v>45620</v>
      </c>
      <c r="B16" s="11" t="s">
        <v>600</v>
      </c>
      <c r="C16" s="12" t="s">
        <v>7</v>
      </c>
      <c r="D16" s="12">
        <v>3.87</v>
      </c>
      <c r="E16" s="55">
        <v>3.8740000000000001</v>
      </c>
      <c r="F16" s="14">
        <f t="shared" si="2"/>
        <v>14.992380000000001</v>
      </c>
    </row>
    <row r="17" spans="1:6" x14ac:dyDescent="0.3">
      <c r="A17" s="10">
        <v>45620</v>
      </c>
      <c r="B17" s="11" t="s">
        <v>597</v>
      </c>
      <c r="C17" s="12" t="s">
        <v>7</v>
      </c>
      <c r="D17" s="12">
        <v>63</v>
      </c>
      <c r="E17" s="55">
        <v>0.23619999999999999</v>
      </c>
      <c r="F17" s="14">
        <f t="shared" si="2"/>
        <v>14.880599999999999</v>
      </c>
    </row>
    <row r="18" spans="1:6" x14ac:dyDescent="0.3">
      <c r="A18" s="10">
        <v>45620</v>
      </c>
      <c r="B18" s="11" t="s">
        <v>596</v>
      </c>
      <c r="C18" s="12" t="s">
        <v>7</v>
      </c>
      <c r="D18" s="12">
        <v>66.099999999999994</v>
      </c>
      <c r="E18" s="55">
        <v>0.2268</v>
      </c>
      <c r="F18" s="14">
        <f t="shared" si="2"/>
        <v>14.991479999999999</v>
      </c>
    </row>
    <row r="19" spans="1:6" x14ac:dyDescent="0.3">
      <c r="A19" s="10">
        <v>45620</v>
      </c>
      <c r="B19" s="11" t="s">
        <v>596</v>
      </c>
      <c r="C19" s="12" t="s">
        <v>9</v>
      </c>
      <c r="D19" s="12">
        <v>41.9</v>
      </c>
      <c r="E19" s="55">
        <v>0.2382</v>
      </c>
      <c r="F19" s="14">
        <f t="shared" si="2"/>
        <v>9.9805799999999998</v>
      </c>
    </row>
    <row r="20" spans="1:6" x14ac:dyDescent="0.3">
      <c r="A20" s="10">
        <v>45620</v>
      </c>
      <c r="B20" s="11" t="s">
        <v>600</v>
      </c>
      <c r="C20" s="12" t="s">
        <v>9</v>
      </c>
      <c r="D20" s="12">
        <v>2.4500000000000002</v>
      </c>
      <c r="E20" s="55">
        <v>4.0679999999999996</v>
      </c>
      <c r="F20" s="14">
        <f t="shared" ref="F20:F26" si="3">+E20*D20</f>
        <v>9.9665999999999997</v>
      </c>
    </row>
    <row r="21" spans="1:6" x14ac:dyDescent="0.3">
      <c r="A21" s="10">
        <v>45620</v>
      </c>
      <c r="B21" s="11" t="s">
        <v>599</v>
      </c>
      <c r="C21" s="12" t="s">
        <v>9</v>
      </c>
      <c r="D21" s="12">
        <v>207856</v>
      </c>
      <c r="E21" s="55">
        <v>4.8109999999999998E-5</v>
      </c>
      <c r="F21" s="14">
        <f t="shared" si="3"/>
        <v>9.9999521599999994</v>
      </c>
    </row>
    <row r="22" spans="1:6" x14ac:dyDescent="0.3">
      <c r="A22" s="10">
        <v>45620</v>
      </c>
      <c r="B22" s="11" t="s">
        <v>597</v>
      </c>
      <c r="C22" s="12" t="s">
        <v>9</v>
      </c>
      <c r="D22" s="12">
        <v>40</v>
      </c>
      <c r="E22" s="55">
        <v>0.24809999999999999</v>
      </c>
      <c r="F22" s="14">
        <f t="shared" si="3"/>
        <v>9.9239999999999995</v>
      </c>
    </row>
    <row r="23" spans="1:6" x14ac:dyDescent="0.3">
      <c r="A23" s="10">
        <v>45621</v>
      </c>
      <c r="B23" s="11" t="s">
        <v>597</v>
      </c>
      <c r="C23" s="12" t="s">
        <v>9</v>
      </c>
      <c r="D23" s="12">
        <v>38</v>
      </c>
      <c r="E23" s="55">
        <v>0.2606</v>
      </c>
      <c r="F23" s="14">
        <f t="shared" si="3"/>
        <v>9.9027999999999992</v>
      </c>
    </row>
    <row r="24" spans="1:6" x14ac:dyDescent="0.3">
      <c r="A24" s="10">
        <v>45621</v>
      </c>
      <c r="B24" s="11" t="s">
        <v>600</v>
      </c>
      <c r="C24" s="12" t="s">
        <v>9</v>
      </c>
      <c r="D24" s="12">
        <v>2.33</v>
      </c>
      <c r="E24" s="55">
        <v>4.2750000000000004</v>
      </c>
      <c r="F24" s="14">
        <f t="shared" si="3"/>
        <v>9.9607500000000009</v>
      </c>
    </row>
    <row r="25" spans="1:6" x14ac:dyDescent="0.3">
      <c r="A25" s="10">
        <v>45621</v>
      </c>
      <c r="B25" s="11" t="s">
        <v>596</v>
      </c>
      <c r="C25" s="12" t="s">
        <v>7</v>
      </c>
      <c r="D25" s="12">
        <v>65.2</v>
      </c>
      <c r="E25" s="55">
        <v>0.23</v>
      </c>
      <c r="F25" s="14">
        <f t="shared" si="3"/>
        <v>14.996</v>
      </c>
    </row>
    <row r="26" spans="1:6" x14ac:dyDescent="0.3">
      <c r="A26" s="10">
        <v>45621</v>
      </c>
      <c r="B26" s="11" t="s">
        <v>598</v>
      </c>
      <c r="C26" s="12" t="s">
        <v>7</v>
      </c>
      <c r="D26" s="12">
        <v>789473</v>
      </c>
      <c r="E26" s="55">
        <v>1.9000000000000001E-5</v>
      </c>
      <c r="F26" s="14">
        <f t="shared" si="3"/>
        <v>14.999987000000001</v>
      </c>
    </row>
    <row r="27" spans="1:6" x14ac:dyDescent="0.3">
      <c r="A27" s="10">
        <v>45621</v>
      </c>
      <c r="B27" s="11" t="s">
        <v>599</v>
      </c>
      <c r="C27" s="12" t="s">
        <v>7</v>
      </c>
      <c r="D27" s="12">
        <v>346420</v>
      </c>
      <c r="E27" s="55">
        <v>4.3300000000000002E-5</v>
      </c>
      <c r="F27" s="14">
        <f t="shared" ref="F27:F32" si="4">+E27*D27</f>
        <v>14.999986000000002</v>
      </c>
    </row>
    <row r="28" spans="1:6" x14ac:dyDescent="0.3">
      <c r="A28" s="10">
        <v>45622</v>
      </c>
      <c r="B28" s="11" t="s">
        <v>597</v>
      </c>
      <c r="C28" s="12" t="s">
        <v>7</v>
      </c>
      <c r="D28" s="12">
        <v>63</v>
      </c>
      <c r="E28" s="55">
        <v>0.23449999999999999</v>
      </c>
      <c r="F28" s="14">
        <f t="shared" si="4"/>
        <v>14.773499999999999</v>
      </c>
    </row>
    <row r="29" spans="1:6" x14ac:dyDescent="0.3">
      <c r="A29" s="10">
        <v>45622</v>
      </c>
      <c r="B29" s="11" t="s">
        <v>596</v>
      </c>
      <c r="C29" s="12" t="s">
        <v>7</v>
      </c>
      <c r="D29" s="12">
        <v>69.900000000000006</v>
      </c>
      <c r="E29" s="55">
        <v>0.21429999999999999</v>
      </c>
      <c r="F29" s="14">
        <f t="shared" si="4"/>
        <v>14.979570000000001</v>
      </c>
    </row>
    <row r="30" spans="1:6" x14ac:dyDescent="0.3">
      <c r="A30" s="10">
        <v>45622</v>
      </c>
      <c r="B30" s="11" t="s">
        <v>598</v>
      </c>
      <c r="C30" s="12" t="s">
        <v>7</v>
      </c>
      <c r="D30" s="12">
        <v>833333</v>
      </c>
      <c r="E30" s="55">
        <v>1.8E-5</v>
      </c>
      <c r="F30" s="14">
        <f t="shared" si="4"/>
        <v>14.999994000000001</v>
      </c>
    </row>
    <row r="31" spans="1:6" x14ac:dyDescent="0.3">
      <c r="A31" s="10">
        <v>45622</v>
      </c>
      <c r="B31" s="11" t="s">
        <v>600</v>
      </c>
      <c r="C31" s="12" t="s">
        <v>7</v>
      </c>
      <c r="D31" s="12">
        <v>3.9</v>
      </c>
      <c r="E31" s="55">
        <v>3.84</v>
      </c>
      <c r="F31" s="14">
        <f t="shared" si="4"/>
        <v>14.975999999999999</v>
      </c>
    </row>
    <row r="32" spans="1:6" x14ac:dyDescent="0.3">
      <c r="A32" s="10">
        <v>45622</v>
      </c>
      <c r="B32" s="11" t="s">
        <v>599</v>
      </c>
      <c r="C32" s="12" t="s">
        <v>7</v>
      </c>
      <c r="D32" s="12">
        <v>375000</v>
      </c>
      <c r="E32" s="55">
        <v>4.0000000000000003E-5</v>
      </c>
      <c r="F32" s="14">
        <f t="shared" si="4"/>
        <v>15.000000000000002</v>
      </c>
    </row>
    <row r="33" spans="1:13" x14ac:dyDescent="0.3">
      <c r="A33" s="10">
        <v>45622</v>
      </c>
      <c r="B33" s="11" t="s">
        <v>600</v>
      </c>
      <c r="C33" s="12" t="s">
        <v>9</v>
      </c>
      <c r="D33" s="12">
        <v>2.4300000000000002</v>
      </c>
      <c r="E33" s="55">
        <v>4.0999999999999996</v>
      </c>
      <c r="F33" s="14">
        <f t="shared" ref="F33:F38" si="5">+E33*D33</f>
        <v>9.9629999999999992</v>
      </c>
    </row>
    <row r="34" spans="1:13" x14ac:dyDescent="0.3">
      <c r="A34" s="10">
        <v>45623</v>
      </c>
      <c r="B34" s="11" t="s">
        <v>597</v>
      </c>
      <c r="C34" s="12" t="s">
        <v>9</v>
      </c>
      <c r="D34" s="12">
        <v>40</v>
      </c>
      <c r="E34" s="55">
        <v>0.25</v>
      </c>
      <c r="F34" s="14">
        <f t="shared" si="5"/>
        <v>10</v>
      </c>
    </row>
    <row r="35" spans="1:13" x14ac:dyDescent="0.3">
      <c r="A35" s="10">
        <v>45623</v>
      </c>
      <c r="B35" s="11" t="s">
        <v>600</v>
      </c>
      <c r="C35" s="12" t="s">
        <v>9</v>
      </c>
      <c r="D35" s="12">
        <v>2.29</v>
      </c>
      <c r="E35" s="55">
        <v>4.3499999999999996</v>
      </c>
      <c r="F35" s="14">
        <f t="shared" si="5"/>
        <v>9.9614999999999991</v>
      </c>
    </row>
    <row r="36" spans="1:13" x14ac:dyDescent="0.3">
      <c r="A36" s="10">
        <v>45624</v>
      </c>
      <c r="B36" s="11" t="s">
        <v>597</v>
      </c>
      <c r="C36" s="12" t="s">
        <v>9</v>
      </c>
      <c r="D36" s="12">
        <v>38</v>
      </c>
      <c r="E36" s="55">
        <v>0.26250000000000001</v>
      </c>
      <c r="F36" s="14">
        <f t="shared" si="5"/>
        <v>9.9749999999999996</v>
      </c>
    </row>
    <row r="37" spans="1:13" x14ac:dyDescent="0.3">
      <c r="A37" s="10">
        <v>45625</v>
      </c>
      <c r="B37" s="11" t="s">
        <v>596</v>
      </c>
      <c r="C37" s="12" t="s">
        <v>9</v>
      </c>
      <c r="D37" s="12">
        <v>39.9</v>
      </c>
      <c r="E37" s="55">
        <v>0.25019999999999998</v>
      </c>
      <c r="F37" s="14">
        <f t="shared" si="5"/>
        <v>9.9829799999999995</v>
      </c>
    </row>
    <row r="38" spans="1:13" x14ac:dyDescent="0.3">
      <c r="A38" s="10">
        <v>45626</v>
      </c>
      <c r="B38" s="11" t="s">
        <v>596</v>
      </c>
      <c r="C38" s="12" t="s">
        <v>9</v>
      </c>
      <c r="D38" s="12">
        <v>38</v>
      </c>
      <c r="E38" s="55">
        <v>0.26279999999999998</v>
      </c>
      <c r="F38" s="14">
        <f t="shared" si="5"/>
        <v>9.9863999999999997</v>
      </c>
    </row>
    <row r="39" spans="1:13" x14ac:dyDescent="0.3">
      <c r="A39" s="10">
        <v>45626</v>
      </c>
      <c r="B39" s="11" t="s">
        <v>598</v>
      </c>
      <c r="C39" s="12" t="s">
        <v>9</v>
      </c>
      <c r="D39" s="12">
        <v>435919</v>
      </c>
      <c r="E39" s="55">
        <v>2.2940000000000001E-5</v>
      </c>
      <c r="F39" s="14">
        <f t="shared" ref="F39:F44" si="6">+E39*D39</f>
        <v>9.9999818600000001</v>
      </c>
    </row>
    <row r="40" spans="1:13" x14ac:dyDescent="0.3">
      <c r="A40" s="10">
        <v>45628</v>
      </c>
      <c r="B40" s="11" t="s">
        <v>596</v>
      </c>
      <c r="C40" s="12" t="s">
        <v>7</v>
      </c>
      <c r="D40" s="12">
        <v>60.4</v>
      </c>
      <c r="E40" s="55">
        <v>0.24829999999999999</v>
      </c>
      <c r="F40" s="14">
        <f t="shared" si="6"/>
        <v>14.997319999999998</v>
      </c>
    </row>
    <row r="41" spans="1:13" x14ac:dyDescent="0.3">
      <c r="A41" s="10">
        <v>45629</v>
      </c>
      <c r="B41" s="11" t="s">
        <v>596</v>
      </c>
      <c r="C41" s="12" t="s">
        <v>9</v>
      </c>
      <c r="D41" s="12">
        <v>38.4</v>
      </c>
      <c r="E41" s="55">
        <v>0.26</v>
      </c>
      <c r="F41" s="14">
        <f t="shared" si="6"/>
        <v>9.984</v>
      </c>
    </row>
    <row r="42" spans="1:13" x14ac:dyDescent="0.3">
      <c r="A42" s="10">
        <v>45629</v>
      </c>
      <c r="B42" s="11" t="s">
        <v>600</v>
      </c>
      <c r="C42" s="12" t="s">
        <v>9</v>
      </c>
      <c r="D42" s="12">
        <v>1.98</v>
      </c>
      <c r="E42" s="55">
        <v>5.05</v>
      </c>
      <c r="F42" s="14">
        <f t="shared" si="6"/>
        <v>9.9989999999999988</v>
      </c>
    </row>
    <row r="43" spans="1:13" x14ac:dyDescent="0.3">
      <c r="A43" s="10">
        <v>45629</v>
      </c>
      <c r="B43" s="11" t="s">
        <v>600</v>
      </c>
      <c r="C43" s="12" t="s">
        <v>7</v>
      </c>
      <c r="D43" s="12">
        <v>3.12</v>
      </c>
      <c r="E43" s="55">
        <v>4.8</v>
      </c>
      <c r="F43" s="14">
        <f t="shared" si="6"/>
        <v>14.975999999999999</v>
      </c>
      <c r="M43">
        <f>0.33*0.9</f>
        <v>0.29700000000000004</v>
      </c>
    </row>
    <row r="44" spans="1:13" x14ac:dyDescent="0.3">
      <c r="A44" s="10">
        <v>45629</v>
      </c>
      <c r="B44" s="11" t="s">
        <v>599</v>
      </c>
      <c r="C44" s="12" t="s">
        <v>7</v>
      </c>
      <c r="D44" s="12">
        <v>375000</v>
      </c>
      <c r="E44" s="55">
        <v>4.0000000000000003E-5</v>
      </c>
      <c r="F44" s="14">
        <f t="shared" si="6"/>
        <v>15.000000000000002</v>
      </c>
    </row>
    <row r="45" spans="1:13" x14ac:dyDescent="0.3">
      <c r="A45" s="10">
        <v>45630</v>
      </c>
      <c r="B45" s="11" t="s">
        <v>600</v>
      </c>
      <c r="C45" s="12" t="s">
        <v>9</v>
      </c>
      <c r="D45" s="12">
        <v>1.9</v>
      </c>
      <c r="E45" s="55">
        <v>5.25</v>
      </c>
      <c r="F45" s="14">
        <f t="shared" ref="F45:F51" si="7">+E45*D45</f>
        <v>9.9749999999999996</v>
      </c>
    </row>
    <row r="46" spans="1:13" x14ac:dyDescent="0.3">
      <c r="A46" s="10">
        <v>45630</v>
      </c>
      <c r="B46" s="11" t="s">
        <v>596</v>
      </c>
      <c r="C46" s="12" t="s">
        <v>9</v>
      </c>
      <c r="D46" s="12">
        <v>34.9</v>
      </c>
      <c r="E46" s="55">
        <v>0.28599999999999998</v>
      </c>
      <c r="F46" s="14">
        <f t="shared" si="7"/>
        <v>9.9813999999999989</v>
      </c>
    </row>
    <row r="47" spans="1:13" x14ac:dyDescent="0.3">
      <c r="A47" s="10">
        <v>45630</v>
      </c>
      <c r="B47" s="11" t="s">
        <v>597</v>
      </c>
      <c r="C47" s="12" t="s">
        <v>9</v>
      </c>
      <c r="D47" s="12">
        <v>30</v>
      </c>
      <c r="E47" s="55">
        <v>0.33</v>
      </c>
      <c r="F47" s="14">
        <f t="shared" si="7"/>
        <v>9.9</v>
      </c>
    </row>
    <row r="48" spans="1:13" x14ac:dyDescent="0.3">
      <c r="A48" s="10">
        <v>45631</v>
      </c>
      <c r="B48" s="11" t="s">
        <v>600</v>
      </c>
      <c r="C48" s="12" t="s">
        <v>7</v>
      </c>
      <c r="D48" s="12">
        <v>3.01</v>
      </c>
      <c r="E48" s="55">
        <v>4.9800000000000004</v>
      </c>
      <c r="F48" s="14">
        <f t="shared" si="7"/>
        <v>14.989800000000001</v>
      </c>
    </row>
    <row r="49" spans="1:9" x14ac:dyDescent="0.3">
      <c r="A49" s="10">
        <v>45632</v>
      </c>
      <c r="B49" s="11" t="s">
        <v>599</v>
      </c>
      <c r="C49" s="12" t="s">
        <v>9</v>
      </c>
      <c r="D49" s="12">
        <v>222222</v>
      </c>
      <c r="E49" s="55">
        <v>4.5000000000000003E-5</v>
      </c>
      <c r="F49" s="14">
        <f t="shared" si="7"/>
        <v>9.9999900000000004</v>
      </c>
    </row>
    <row r="50" spans="1:9" x14ac:dyDescent="0.3">
      <c r="A50" s="10">
        <v>45632</v>
      </c>
      <c r="B50" s="11" t="s">
        <v>600</v>
      </c>
      <c r="C50" s="12" t="s">
        <v>9</v>
      </c>
      <c r="D50" s="12">
        <v>1.81</v>
      </c>
      <c r="E50" s="55">
        <v>5.5</v>
      </c>
      <c r="F50" s="14">
        <f t="shared" si="7"/>
        <v>9.9550000000000001</v>
      </c>
      <c r="H50">
        <f>+Tablo4[[#This Row],[Fiyat]]*1.1</f>
        <v>6.0500000000000007</v>
      </c>
      <c r="I50">
        <f>+Tablo4[[#This Row],[Fiyat]]*0.9</f>
        <v>4.95</v>
      </c>
    </row>
    <row r="51" spans="1:9" x14ac:dyDescent="0.3">
      <c r="A51" s="10">
        <v>45632</v>
      </c>
      <c r="B51" s="11" t="s">
        <v>598</v>
      </c>
      <c r="C51" s="12" t="s">
        <v>9</v>
      </c>
      <c r="D51" s="12">
        <v>416666</v>
      </c>
      <c r="E51" s="55">
        <v>2.4000000000000001E-5</v>
      </c>
      <c r="F51" s="14">
        <f t="shared" si="7"/>
        <v>9.9999839999999995</v>
      </c>
      <c r="H51">
        <f>+Tablo4[[#This Row],[Fiyat]]*1.1</f>
        <v>2.6400000000000001E-5</v>
      </c>
      <c r="I51">
        <f>+Tablo4[[#This Row],[Fiyat]]*0.9</f>
        <v>2.16E-5</v>
      </c>
    </row>
    <row r="52" spans="1:9" x14ac:dyDescent="0.3">
      <c r="A52" s="10">
        <v>45634</v>
      </c>
      <c r="B52" s="11" t="s">
        <v>598</v>
      </c>
      <c r="C52" s="12" t="s">
        <v>9</v>
      </c>
      <c r="D52" s="12">
        <v>377358</v>
      </c>
      <c r="E52" s="55">
        <v>2.65E-5</v>
      </c>
      <c r="F52" s="14">
        <f t="shared" ref="F52:F58" si="8">+E52*D52</f>
        <v>9.9999870000000008</v>
      </c>
    </row>
    <row r="53" spans="1:9" x14ac:dyDescent="0.3">
      <c r="A53" s="10">
        <v>45635</v>
      </c>
      <c r="B53" s="11" t="s">
        <v>600</v>
      </c>
      <c r="C53" s="12" t="s">
        <v>7</v>
      </c>
      <c r="D53" s="12">
        <v>3.03</v>
      </c>
      <c r="E53" s="55">
        <v>4.95</v>
      </c>
      <c r="F53" s="14">
        <f t="shared" si="8"/>
        <v>14.9985</v>
      </c>
    </row>
    <row r="54" spans="1:9" x14ac:dyDescent="0.3">
      <c r="A54" s="10">
        <v>45635</v>
      </c>
      <c r="B54" s="11" t="s">
        <v>597</v>
      </c>
      <c r="C54" s="12" t="s">
        <v>7</v>
      </c>
      <c r="D54" s="12">
        <v>51</v>
      </c>
      <c r="E54" s="55">
        <v>0.28999999999999998</v>
      </c>
      <c r="F54" s="14">
        <f t="shared" si="8"/>
        <v>14.79</v>
      </c>
    </row>
    <row r="55" spans="1:9" x14ac:dyDescent="0.3">
      <c r="A55" s="10">
        <v>45635</v>
      </c>
      <c r="B55" s="11" t="s">
        <v>596</v>
      </c>
      <c r="C55" s="12" t="s">
        <v>7</v>
      </c>
      <c r="D55" s="12">
        <v>58.8</v>
      </c>
      <c r="E55" s="55">
        <v>0.255</v>
      </c>
      <c r="F55" s="14">
        <f t="shared" si="8"/>
        <v>14.994</v>
      </c>
    </row>
    <row r="56" spans="1:9" x14ac:dyDescent="0.3">
      <c r="A56" s="10">
        <v>45635</v>
      </c>
      <c r="B56" s="11" t="s">
        <v>600</v>
      </c>
      <c r="C56" s="12" t="s">
        <v>7</v>
      </c>
      <c r="D56" s="12">
        <v>3.33</v>
      </c>
      <c r="E56" s="55">
        <v>4.5</v>
      </c>
      <c r="F56" s="14">
        <f t="shared" si="8"/>
        <v>14.984999999999999</v>
      </c>
    </row>
    <row r="57" spans="1:9" x14ac:dyDescent="0.3">
      <c r="A57" s="10">
        <v>45635</v>
      </c>
      <c r="B57" s="11" t="s">
        <v>599</v>
      </c>
      <c r="C57" s="12" t="s">
        <v>7</v>
      </c>
      <c r="D57" s="12">
        <v>375000</v>
      </c>
      <c r="E57" s="55">
        <v>4.0000000000000003E-5</v>
      </c>
      <c r="F57" s="14">
        <f t="shared" si="8"/>
        <v>15.000000000000002</v>
      </c>
    </row>
    <row r="58" spans="1:9" x14ac:dyDescent="0.3">
      <c r="A58" s="10">
        <v>45635</v>
      </c>
      <c r="B58" s="11" t="s">
        <v>598</v>
      </c>
      <c r="C58" s="12" t="s">
        <v>7</v>
      </c>
      <c r="D58" s="12">
        <v>630252</v>
      </c>
      <c r="E58" s="55">
        <v>2.3799999999999999E-5</v>
      </c>
      <c r="F58" s="14">
        <f t="shared" si="8"/>
        <v>14.999997599999999</v>
      </c>
    </row>
    <row r="59" spans="1:9" x14ac:dyDescent="0.3">
      <c r="A59" s="10">
        <v>45636</v>
      </c>
      <c r="B59" s="11" t="s">
        <v>597</v>
      </c>
      <c r="C59" s="12" t="s">
        <v>7</v>
      </c>
      <c r="D59" s="12">
        <v>62</v>
      </c>
      <c r="E59" s="55">
        <v>0.24</v>
      </c>
      <c r="F59" s="14">
        <f t="shared" ref="F59:F64" si="9">+E59*D59</f>
        <v>14.879999999999999</v>
      </c>
    </row>
    <row r="60" spans="1:9" x14ac:dyDescent="0.3">
      <c r="A60" s="10">
        <v>45637</v>
      </c>
      <c r="B60" s="11" t="s">
        <v>597</v>
      </c>
      <c r="C60" s="12" t="s">
        <v>9</v>
      </c>
      <c r="D60" s="12">
        <v>37</v>
      </c>
      <c r="E60" s="55">
        <v>0.27</v>
      </c>
      <c r="F60" s="14">
        <f t="shared" si="9"/>
        <v>9.99</v>
      </c>
    </row>
    <row r="61" spans="1:9" x14ac:dyDescent="0.3">
      <c r="A61" s="10">
        <v>45637</v>
      </c>
      <c r="B61" s="11" t="s">
        <v>600</v>
      </c>
      <c r="C61" s="12" t="s">
        <v>9</v>
      </c>
      <c r="D61" s="12">
        <v>2.02</v>
      </c>
      <c r="E61" s="55">
        <v>4.95</v>
      </c>
      <c r="F61" s="14">
        <f t="shared" si="9"/>
        <v>9.9990000000000006</v>
      </c>
    </row>
    <row r="62" spans="1:9" x14ac:dyDescent="0.3">
      <c r="A62" s="10">
        <v>45641</v>
      </c>
      <c r="B62" s="11" t="s">
        <v>600</v>
      </c>
      <c r="C62" s="12" t="s">
        <v>9</v>
      </c>
      <c r="D62" s="12">
        <v>1.31</v>
      </c>
      <c r="E62" s="55">
        <v>4.9000000000000004</v>
      </c>
      <c r="F62" s="14">
        <f t="shared" si="9"/>
        <v>6.4190000000000005</v>
      </c>
    </row>
    <row r="63" spans="1:9" x14ac:dyDescent="0.3">
      <c r="A63" s="10">
        <v>45644</v>
      </c>
      <c r="B63" s="11" t="s">
        <v>599</v>
      </c>
      <c r="C63" s="12" t="s">
        <v>7</v>
      </c>
      <c r="D63" s="12">
        <v>500000</v>
      </c>
      <c r="E63" s="55">
        <v>3.0000000000000001E-5</v>
      </c>
      <c r="F63" s="14">
        <f t="shared" si="9"/>
        <v>15</v>
      </c>
    </row>
    <row r="64" spans="1:9" x14ac:dyDescent="0.3">
      <c r="A64" s="10">
        <v>45644</v>
      </c>
      <c r="B64" s="11" t="s">
        <v>597</v>
      </c>
      <c r="C64" s="12" t="s">
        <v>7</v>
      </c>
      <c r="D64" s="12">
        <v>69</v>
      </c>
      <c r="E64" s="55">
        <v>0.216</v>
      </c>
      <c r="F64" s="14">
        <f t="shared" si="9"/>
        <v>14.904</v>
      </c>
    </row>
    <row r="65" spans="1:6" x14ac:dyDescent="0.3">
      <c r="A65" s="10">
        <v>45647</v>
      </c>
      <c r="B65" s="11" t="s">
        <v>599</v>
      </c>
      <c r="C65" s="12" t="s">
        <v>9</v>
      </c>
      <c r="D65" s="12">
        <v>303030</v>
      </c>
      <c r="E65" s="55">
        <v>3.3000000000000003E-5</v>
      </c>
      <c r="F65" s="14">
        <f>+E65*D65</f>
        <v>9.9999900000000004</v>
      </c>
    </row>
    <row r="66" spans="1:6" x14ac:dyDescent="0.3">
      <c r="A66" s="10">
        <v>45647</v>
      </c>
      <c r="B66" s="11" t="s">
        <v>596</v>
      </c>
      <c r="C66" s="12" t="s">
        <v>7</v>
      </c>
      <c r="D66" s="12">
        <v>83.7</v>
      </c>
      <c r="E66" s="55">
        <v>0.17899999999999999</v>
      </c>
      <c r="F66" s="14">
        <f>+E66*D66</f>
        <v>14.9823</v>
      </c>
    </row>
  </sheetData>
  <conditionalFormatting sqref="A2:F66">
    <cfRule type="expression" dxfId="3" priority="1">
      <formula>$C2="SATIŞ"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43756-1186-471E-9104-89465BD7FA53}">
  <sheetPr filterMode="1"/>
  <dimension ref="B1:Q504"/>
  <sheetViews>
    <sheetView showGridLines="0" workbookViewId="0">
      <selection activeCell="G53" sqref="G53"/>
    </sheetView>
  </sheetViews>
  <sheetFormatPr defaultRowHeight="14.4" x14ac:dyDescent="0.3"/>
  <cols>
    <col min="2" max="2" width="10.109375" style="44" bestFit="1" customWidth="1"/>
    <col min="4" max="4" width="15.5546875" style="68" customWidth="1"/>
    <col min="5" max="5" width="16.5546875" style="67" bestFit="1" customWidth="1"/>
    <col min="6" max="6" width="14.88671875" style="69" customWidth="1"/>
    <col min="7" max="7" width="16.88671875" style="66" customWidth="1"/>
    <col min="9" max="9" width="12.44140625" bestFit="1" customWidth="1"/>
    <col min="10" max="10" width="11.33203125" bestFit="1" customWidth="1"/>
  </cols>
  <sheetData>
    <row r="1" spans="2:17" x14ac:dyDescent="0.3">
      <c r="G1" s="65">
        <f>SUM(G2:G1285)</f>
        <v>35.313367660000004</v>
      </c>
    </row>
    <row r="2" spans="2:17" x14ac:dyDescent="0.3">
      <c r="B2" s="44" t="s">
        <v>0</v>
      </c>
      <c r="C2" t="s">
        <v>588</v>
      </c>
      <c r="G2" s="65" t="str">
        <f t="shared" ref="G2" si="0">IF(F2="","",(F2-E2)*D2)</f>
        <v/>
      </c>
    </row>
    <row r="3" spans="2:17" hidden="1" x14ac:dyDescent="0.3">
      <c r="B3" s="44">
        <v>45619</v>
      </c>
      <c r="C3" t="s">
        <v>596</v>
      </c>
      <c r="D3" s="68">
        <f>116.8-44.5-41.6</f>
        <v>30.699999999999996</v>
      </c>
      <c r="E3" s="67">
        <v>0.214</v>
      </c>
      <c r="F3" s="69">
        <v>0.252</v>
      </c>
      <c r="G3" s="65">
        <f>IF(E3=0,"",IF(F3="","",(F3-E3)*D3))</f>
        <v>1.1666000000000001</v>
      </c>
      <c r="O3" t="s">
        <v>6</v>
      </c>
      <c r="P3">
        <v>20</v>
      </c>
      <c r="Q3">
        <v>39</v>
      </c>
    </row>
    <row r="4" spans="2:17" x14ac:dyDescent="0.3">
      <c r="B4" s="44">
        <v>45619</v>
      </c>
      <c r="C4" t="s">
        <v>599</v>
      </c>
      <c r="D4" s="68">
        <f>491159</f>
        <v>491159</v>
      </c>
      <c r="E4" s="67">
        <v>5.0899999999999997E-5</v>
      </c>
      <c r="G4" s="65" t="str">
        <f>IF(E4=0,"",IF(F4="","",(F4-E4)*D4))</f>
        <v/>
      </c>
      <c r="I4">
        <f>+E4*1.1</f>
        <v>5.5990000000000004E-5</v>
      </c>
      <c r="J4">
        <f>+E4*0.9</f>
        <v>4.5809999999999997E-5</v>
      </c>
      <c r="O4" t="s">
        <v>6</v>
      </c>
      <c r="P4">
        <v>30</v>
      </c>
      <c r="Q4">
        <v>40</v>
      </c>
    </row>
    <row r="5" spans="2:17" x14ac:dyDescent="0.3">
      <c r="B5" s="44">
        <v>45620</v>
      </c>
      <c r="C5" t="s">
        <v>599</v>
      </c>
      <c r="D5" s="68">
        <f>327439-207856</f>
        <v>119583</v>
      </c>
      <c r="E5" s="67">
        <v>4.5809999999999997E-5</v>
      </c>
      <c r="G5" s="65" t="str">
        <f>IF(F5="","",(F5-E5)*D5)</f>
        <v/>
      </c>
      <c r="I5">
        <f t="shared" ref="I5:I6" si="1">+E5*1.1</f>
        <v>5.0390999999999999E-5</v>
      </c>
      <c r="J5">
        <f t="shared" ref="J5:J6" si="2">+E5*0.9</f>
        <v>4.1229000000000001E-5</v>
      </c>
      <c r="O5" t="s">
        <v>6</v>
      </c>
      <c r="P5">
        <v>40</v>
      </c>
      <c r="Q5">
        <v>41</v>
      </c>
    </row>
    <row r="6" spans="2:17" x14ac:dyDescent="0.3">
      <c r="B6" s="44">
        <v>45621</v>
      </c>
      <c r="C6" t="s">
        <v>599</v>
      </c>
      <c r="D6" s="68">
        <v>346420</v>
      </c>
      <c r="E6" s="67">
        <v>4.3300000000000002E-5</v>
      </c>
      <c r="G6" s="65" t="str">
        <f>IF(E6=0,"",IF(F6="","",(F6-E6)*D6))</f>
        <v/>
      </c>
      <c r="I6">
        <f t="shared" si="1"/>
        <v>4.7630000000000003E-5</v>
      </c>
      <c r="J6">
        <f t="shared" si="2"/>
        <v>3.8970000000000001E-5</v>
      </c>
      <c r="O6" t="s">
        <v>6</v>
      </c>
      <c r="P6">
        <v>50</v>
      </c>
      <c r="Q6">
        <v>42</v>
      </c>
    </row>
    <row r="7" spans="2:17" hidden="1" x14ac:dyDescent="0.3">
      <c r="B7" s="44">
        <v>45619</v>
      </c>
      <c r="C7" t="s">
        <v>600</v>
      </c>
      <c r="D7" s="68">
        <f>6.09-2.32-2.45</f>
        <v>1.3199999999999998</v>
      </c>
      <c r="E7" s="67">
        <v>4.0999999999999996</v>
      </c>
      <c r="F7" s="69">
        <v>4.3499999999999996</v>
      </c>
      <c r="G7" s="65">
        <f>IF(F7="","",(F7-E7)*D7)</f>
        <v>0.32999999999999996</v>
      </c>
      <c r="O7" t="s">
        <v>89</v>
      </c>
      <c r="P7">
        <v>50</v>
      </c>
      <c r="Q7">
        <v>6.7</v>
      </c>
    </row>
    <row r="8" spans="2:17" hidden="1" x14ac:dyDescent="0.3">
      <c r="B8" s="44">
        <v>45619</v>
      </c>
      <c r="C8" t="s">
        <v>597</v>
      </c>
      <c r="D8" s="68">
        <v>38</v>
      </c>
      <c r="E8" s="67">
        <v>0.25</v>
      </c>
      <c r="F8" s="69">
        <v>0.26250000000000001</v>
      </c>
      <c r="G8" s="65">
        <f>IF(E8=0,"",IF(F8="","",(F8-E8)*D8))</f>
        <v>0.47500000000000042</v>
      </c>
      <c r="O8" t="s">
        <v>89</v>
      </c>
      <c r="P8">
        <v>50</v>
      </c>
      <c r="Q8">
        <v>6.8</v>
      </c>
    </row>
    <row r="9" spans="2:17" hidden="1" x14ac:dyDescent="0.3">
      <c r="B9" s="44">
        <v>45619</v>
      </c>
      <c r="C9" t="s">
        <v>596</v>
      </c>
      <c r="D9" s="68">
        <v>44.5</v>
      </c>
      <c r="E9" s="67">
        <v>0.214</v>
      </c>
      <c r="F9" s="69">
        <v>0.22470000000000001</v>
      </c>
      <c r="G9" s="65">
        <f>IF(E9=0,"",IF(F9="","",(F9-E9)*D9))</f>
        <v>0.47615000000000068</v>
      </c>
      <c r="O9" t="s">
        <v>89</v>
      </c>
      <c r="P9">
        <v>50</v>
      </c>
      <c r="Q9">
        <v>6.9</v>
      </c>
    </row>
    <row r="10" spans="2:17" hidden="1" x14ac:dyDescent="0.3">
      <c r="B10" s="44">
        <v>45619</v>
      </c>
      <c r="C10" t="s">
        <v>600</v>
      </c>
      <c r="D10" s="68">
        <v>2.3199999999999998</v>
      </c>
      <c r="E10" s="67">
        <v>4.0999999999999996</v>
      </c>
      <c r="F10" s="69">
        <v>4.3049999999999997</v>
      </c>
      <c r="G10" s="65">
        <f>IF(F10="","",(F10-E10)*D10)</f>
        <v>0.47560000000000013</v>
      </c>
    </row>
    <row r="11" spans="2:17" hidden="1" x14ac:dyDescent="0.3">
      <c r="B11" s="44">
        <v>45619</v>
      </c>
      <c r="C11" t="s">
        <v>596</v>
      </c>
      <c r="D11" s="68">
        <v>41.6</v>
      </c>
      <c r="E11" s="67">
        <v>0.214</v>
      </c>
      <c r="F11" s="69">
        <v>0.24</v>
      </c>
      <c r="G11" s="65">
        <f>IF(F11="","",(F11-E11)*D11)</f>
        <v>1.0815999999999999</v>
      </c>
    </row>
    <row r="12" spans="2:17" x14ac:dyDescent="0.3">
      <c r="B12" s="44">
        <v>45622</v>
      </c>
      <c r="C12" t="s">
        <v>599</v>
      </c>
      <c r="D12" s="68">
        <v>375000</v>
      </c>
      <c r="E12" s="67">
        <v>4.0000000000000003E-5</v>
      </c>
      <c r="G12" s="65" t="str">
        <f>IF(F12="","",(F12-E12)*D12)</f>
        <v/>
      </c>
      <c r="I12">
        <f t="shared" ref="I12:I13" si="3">+E12*1.1</f>
        <v>4.4000000000000006E-5</v>
      </c>
      <c r="J12">
        <f t="shared" ref="J12:J13" si="4">+E12*0.9</f>
        <v>3.6000000000000001E-5</v>
      </c>
    </row>
    <row r="13" spans="2:17" x14ac:dyDescent="0.3">
      <c r="B13" s="44">
        <v>45629</v>
      </c>
      <c r="C13" t="s">
        <v>599</v>
      </c>
      <c r="D13" s="68">
        <v>152778</v>
      </c>
      <c r="E13" s="67">
        <v>4.0000000000000003E-5</v>
      </c>
      <c r="G13" s="65" t="str">
        <f>IF(F13="","",(F13-E13)*D13)</f>
        <v/>
      </c>
      <c r="I13">
        <f t="shared" si="3"/>
        <v>4.4000000000000006E-5</v>
      </c>
      <c r="J13">
        <f t="shared" si="4"/>
        <v>3.6000000000000001E-5</v>
      </c>
      <c r="L13">
        <v>770330</v>
      </c>
    </row>
    <row r="14" spans="2:17" hidden="1" x14ac:dyDescent="0.3">
      <c r="B14" s="44">
        <v>45620</v>
      </c>
      <c r="C14" t="s">
        <v>600</v>
      </c>
      <c r="D14" s="68">
        <f>3.87-2.33</f>
        <v>1.54</v>
      </c>
      <c r="E14" s="67">
        <v>3.8740000000000001</v>
      </c>
      <c r="F14" s="69">
        <v>4.0999999999999996</v>
      </c>
      <c r="G14" s="65">
        <f>IF(F14="","",(F14-E14)*D14)</f>
        <v>0.34803999999999929</v>
      </c>
    </row>
    <row r="15" spans="2:17" hidden="1" x14ac:dyDescent="0.3">
      <c r="B15" s="44">
        <v>45620</v>
      </c>
      <c r="C15" t="s">
        <v>597</v>
      </c>
      <c r="D15" s="68">
        <v>23</v>
      </c>
      <c r="E15" s="67">
        <v>0.23619999999999999</v>
      </c>
      <c r="F15" s="69">
        <v>0.2606</v>
      </c>
      <c r="G15" s="65">
        <f>IF(E15=0,"",IF(F15="","",(F15-E15)*D15))</f>
        <v>0.56120000000000014</v>
      </c>
      <c r="O15" t="s">
        <v>89</v>
      </c>
      <c r="P15">
        <v>50</v>
      </c>
      <c r="Q15">
        <v>7</v>
      </c>
    </row>
    <row r="16" spans="2:17" hidden="1" x14ac:dyDescent="0.3">
      <c r="B16" s="44">
        <v>45622</v>
      </c>
      <c r="C16" t="s">
        <v>600</v>
      </c>
      <c r="D16" s="68">
        <v>0.06</v>
      </c>
      <c r="E16" s="67">
        <v>3.84</v>
      </c>
      <c r="F16" s="69">
        <v>5.25</v>
      </c>
      <c r="G16" s="65">
        <f>IF(F16="","",(F16-E16)*D16)</f>
        <v>8.4600000000000009E-2</v>
      </c>
      <c r="L16">
        <v>43</v>
      </c>
    </row>
    <row r="17" spans="2:17" hidden="1" x14ac:dyDescent="0.3">
      <c r="B17" s="44">
        <v>45619</v>
      </c>
      <c r="C17" t="s">
        <v>596</v>
      </c>
      <c r="D17" s="68">
        <v>41.9</v>
      </c>
      <c r="E17" s="67">
        <v>0.2268</v>
      </c>
      <c r="F17" s="69">
        <v>0.2382</v>
      </c>
      <c r="G17" s="65">
        <f>IF(E17=0,"",IF(F17="","",(F17-E17)*D17))</f>
        <v>0.4776599999999997</v>
      </c>
    </row>
    <row r="18" spans="2:17" hidden="1" x14ac:dyDescent="0.3">
      <c r="B18" s="44">
        <v>45619</v>
      </c>
      <c r="C18" t="s">
        <v>600</v>
      </c>
      <c r="D18" s="68">
        <v>2.4500000000000002</v>
      </c>
      <c r="E18" s="67">
        <v>3.8740000000000001</v>
      </c>
      <c r="F18" s="69">
        <v>4.0679999999999996</v>
      </c>
      <c r="G18" s="65">
        <f>IF(F18="","",(F18-E18)*D18)</f>
        <v>0.47529999999999883</v>
      </c>
    </row>
    <row r="19" spans="2:17" hidden="1" x14ac:dyDescent="0.3">
      <c r="B19" s="44">
        <v>45619</v>
      </c>
      <c r="C19" t="s">
        <v>599</v>
      </c>
      <c r="D19" s="68">
        <v>207856</v>
      </c>
      <c r="E19" s="67">
        <v>4.5809999999999997E-5</v>
      </c>
      <c r="F19" s="69">
        <v>4.8109999999999998E-5</v>
      </c>
      <c r="G19" s="65">
        <f>IF(F19="","",(F19-E19)*D19)</f>
        <v>0.47806880000000035</v>
      </c>
    </row>
    <row r="20" spans="2:17" hidden="1" x14ac:dyDescent="0.3">
      <c r="B20" s="44">
        <v>45619</v>
      </c>
      <c r="C20" t="s">
        <v>597</v>
      </c>
      <c r="D20" s="68">
        <v>40</v>
      </c>
      <c r="E20" s="67">
        <v>0.23619999999999999</v>
      </c>
      <c r="F20" s="69">
        <v>0.24809999999999999</v>
      </c>
      <c r="G20" s="65">
        <f>IF(F20="","",(F20-E20)*D20)</f>
        <v>0.47599999999999976</v>
      </c>
    </row>
    <row r="21" spans="2:17" hidden="1" x14ac:dyDescent="0.3">
      <c r="B21" s="44">
        <v>45619</v>
      </c>
      <c r="C21" t="s">
        <v>597</v>
      </c>
      <c r="D21" s="68">
        <v>15</v>
      </c>
      <c r="E21" s="67">
        <v>0.25</v>
      </c>
      <c r="F21" s="69">
        <v>0.2606</v>
      </c>
      <c r="G21" s="65">
        <f>IF(F21="","",(F21-E21)*D21)</f>
        <v>0.15899999999999997</v>
      </c>
    </row>
    <row r="22" spans="2:17" hidden="1" x14ac:dyDescent="0.3">
      <c r="B22" s="44">
        <v>45619</v>
      </c>
      <c r="C22" t="s">
        <v>600</v>
      </c>
      <c r="D22" s="68">
        <v>2.33</v>
      </c>
      <c r="E22" s="67">
        <v>3.8740000000000001</v>
      </c>
      <c r="F22" s="69">
        <v>4.2750000000000004</v>
      </c>
      <c r="G22" s="65">
        <f>IF(E22=0,"",IF(F22="","",(F22-E22)*D22))</f>
        <v>0.93433000000000055</v>
      </c>
      <c r="O22" t="s">
        <v>10</v>
      </c>
      <c r="P22">
        <v>20</v>
      </c>
      <c r="Q22">
        <v>58</v>
      </c>
    </row>
    <row r="23" spans="2:17" hidden="1" x14ac:dyDescent="0.3">
      <c r="B23" s="44">
        <v>45629</v>
      </c>
      <c r="C23" t="s">
        <v>600</v>
      </c>
      <c r="D23" s="68">
        <v>1.28</v>
      </c>
      <c r="E23" s="67">
        <v>4.8</v>
      </c>
      <c r="F23" s="69">
        <v>5.5</v>
      </c>
      <c r="G23" s="65">
        <f>IF(E23=0,"",IF(F23="","",(F23-E23)*D23))</f>
        <v>0.89600000000000024</v>
      </c>
      <c r="L23">
        <v>19252</v>
      </c>
      <c r="O23" t="s">
        <v>10</v>
      </c>
      <c r="P23">
        <v>20</v>
      </c>
      <c r="Q23">
        <v>59</v>
      </c>
    </row>
    <row r="24" spans="2:17" x14ac:dyDescent="0.3">
      <c r="B24" s="44">
        <v>45574</v>
      </c>
      <c r="C24" t="s">
        <v>599</v>
      </c>
      <c r="D24" s="68">
        <v>375000</v>
      </c>
      <c r="E24" s="67">
        <v>4.0000000000000003E-5</v>
      </c>
      <c r="G24" s="65" t="str">
        <f>IF(F24="","",(F24-E24)*D24)</f>
        <v/>
      </c>
      <c r="I24">
        <f t="shared" ref="I24:I25" si="5">+E24*1.1</f>
        <v>4.4000000000000006E-5</v>
      </c>
      <c r="J24">
        <f t="shared" ref="J24:J25" si="6">+E24*0.9</f>
        <v>3.6000000000000001E-5</v>
      </c>
      <c r="L24">
        <v>377358</v>
      </c>
      <c r="O24" t="s">
        <v>10</v>
      </c>
      <c r="P24">
        <v>20</v>
      </c>
      <c r="Q24">
        <v>60</v>
      </c>
    </row>
    <row r="25" spans="2:17" x14ac:dyDescent="0.3">
      <c r="B25" s="44">
        <v>45644</v>
      </c>
      <c r="C25" t="s">
        <v>599</v>
      </c>
      <c r="D25" s="68">
        <v>196970</v>
      </c>
      <c r="E25" s="67">
        <v>3.0000000000000001E-5</v>
      </c>
      <c r="G25" s="65" t="str">
        <f>IF(E25=0,"",IF(F25="","",(F25-E25)*D25))</f>
        <v/>
      </c>
      <c r="I25">
        <f t="shared" si="5"/>
        <v>3.3000000000000003E-5</v>
      </c>
      <c r="J25">
        <f t="shared" si="6"/>
        <v>2.7000000000000002E-5</v>
      </c>
      <c r="L25">
        <f>+L13-L24</f>
        <v>392972</v>
      </c>
      <c r="O25" t="s">
        <v>8</v>
      </c>
      <c r="P25">
        <v>10</v>
      </c>
      <c r="Q25">
        <v>96</v>
      </c>
    </row>
    <row r="26" spans="2:17" hidden="1" x14ac:dyDescent="0.3">
      <c r="B26" s="44">
        <v>45622</v>
      </c>
      <c r="C26" t="s">
        <v>597</v>
      </c>
      <c r="D26" s="68">
        <v>23</v>
      </c>
      <c r="E26" s="67">
        <v>0.23449999999999999</v>
      </c>
      <c r="F26" s="69">
        <v>0.26250000000000001</v>
      </c>
      <c r="G26" s="65">
        <f>IF(F26="","",(F26-E26)*D26)</f>
        <v>0.64400000000000057</v>
      </c>
    </row>
    <row r="27" spans="2:17" hidden="1" x14ac:dyDescent="0.3">
      <c r="B27" s="44">
        <v>45622</v>
      </c>
      <c r="C27" t="s">
        <v>596</v>
      </c>
      <c r="D27" s="68">
        <v>30</v>
      </c>
      <c r="E27" s="67">
        <v>0.21429999999999999</v>
      </c>
      <c r="F27" s="69">
        <v>0.26279999999999998</v>
      </c>
      <c r="G27" s="65">
        <f>IF(E27=0,"",IF(F27="","",(F27-E27)*D27))</f>
        <v>1.4549999999999996</v>
      </c>
      <c r="O27" t="s">
        <v>8</v>
      </c>
      <c r="P27">
        <v>20</v>
      </c>
      <c r="Q27">
        <v>98</v>
      </c>
    </row>
    <row r="28" spans="2:17" x14ac:dyDescent="0.3">
      <c r="B28" s="44">
        <v>45631</v>
      </c>
      <c r="C28" t="s">
        <v>600</v>
      </c>
      <c r="D28" s="68">
        <v>2.48</v>
      </c>
      <c r="E28" s="67">
        <v>4.9800000000000004</v>
      </c>
      <c r="G28" s="65" t="str">
        <f>IF(F28="","",(F28-E28)*D28)</f>
        <v/>
      </c>
      <c r="I28">
        <f>+E28*1.1</f>
        <v>5.4780000000000006</v>
      </c>
      <c r="J28">
        <f>+E28*0.9</f>
        <v>4.4820000000000002</v>
      </c>
    </row>
    <row r="29" spans="2:17" hidden="1" x14ac:dyDescent="0.3">
      <c r="B29" s="44">
        <v>45620</v>
      </c>
      <c r="C29" t="s">
        <v>596</v>
      </c>
      <c r="D29" s="68">
        <v>16.2</v>
      </c>
      <c r="E29" s="67">
        <v>0.2268</v>
      </c>
      <c r="F29" s="69">
        <v>0.26</v>
      </c>
      <c r="G29" s="65">
        <f>IF(F29="","",(F29-E29)*D29)</f>
        <v>0.5378400000000001</v>
      </c>
    </row>
    <row r="30" spans="2:17" hidden="1" x14ac:dyDescent="0.3">
      <c r="B30" s="44">
        <v>45574</v>
      </c>
      <c r="C30" t="s">
        <v>600</v>
      </c>
      <c r="D30" s="68">
        <v>1.31</v>
      </c>
      <c r="E30" s="67">
        <v>4.5</v>
      </c>
      <c r="F30" s="69">
        <v>4.9000000000000004</v>
      </c>
      <c r="G30" s="65">
        <f>IF(E30=0,"",IF(F30="","",(F30-E30)*D30))</f>
        <v>0.52400000000000047</v>
      </c>
      <c r="I30">
        <f>+E30*1.1</f>
        <v>4.95</v>
      </c>
      <c r="J30">
        <f>+E30*0.9</f>
        <v>4.05</v>
      </c>
    </row>
    <row r="31" spans="2:17" hidden="1" x14ac:dyDescent="0.3">
      <c r="B31" s="44">
        <v>45619</v>
      </c>
      <c r="C31" t="s">
        <v>600</v>
      </c>
      <c r="D31" s="68">
        <v>0.89</v>
      </c>
      <c r="E31" s="67">
        <v>3.84</v>
      </c>
      <c r="F31" s="69">
        <v>4.0999999999999996</v>
      </c>
      <c r="G31" s="65">
        <f>IF(F31="","",(F31-E31)*D31)</f>
        <v>0.2313999999999998</v>
      </c>
    </row>
    <row r="32" spans="2:17" hidden="1" x14ac:dyDescent="0.3">
      <c r="B32" s="44">
        <v>45619</v>
      </c>
      <c r="C32" t="s">
        <v>597</v>
      </c>
      <c r="D32" s="68">
        <v>40</v>
      </c>
      <c r="E32" s="67">
        <v>0.23449999999999999</v>
      </c>
      <c r="F32" s="69">
        <v>0.25</v>
      </c>
      <c r="G32" s="65">
        <f>IF(F32="","",(F32-E32)*D32)</f>
        <v>0.62000000000000055</v>
      </c>
    </row>
    <row r="33" spans="2:17" hidden="1" x14ac:dyDescent="0.3">
      <c r="B33" s="44">
        <v>45619</v>
      </c>
      <c r="C33" t="s">
        <v>600</v>
      </c>
      <c r="D33" s="68">
        <v>0.97</v>
      </c>
      <c r="E33" s="67">
        <v>3.84</v>
      </c>
      <c r="F33" s="69">
        <v>4.3499999999999996</v>
      </c>
      <c r="G33" s="65">
        <f>IF(F33="","",(F33-E33)*D33)</f>
        <v>0.49469999999999981</v>
      </c>
    </row>
    <row r="34" spans="2:17" hidden="1" x14ac:dyDescent="0.3">
      <c r="B34" s="44">
        <v>45619</v>
      </c>
      <c r="C34" t="s">
        <v>597</v>
      </c>
      <c r="D34" s="68">
        <v>15</v>
      </c>
      <c r="E34" s="67">
        <v>0.25</v>
      </c>
      <c r="F34" s="69">
        <v>0.26250000000000001</v>
      </c>
      <c r="G34" s="65">
        <f>IF(F34="","",(F34-E34)*D34)</f>
        <v>0.18750000000000017</v>
      </c>
    </row>
    <row r="35" spans="2:17" hidden="1" x14ac:dyDescent="0.3">
      <c r="B35" s="44">
        <v>45619</v>
      </c>
      <c r="C35" t="s">
        <v>596</v>
      </c>
      <c r="D35" s="68">
        <v>39.9</v>
      </c>
      <c r="E35" s="67">
        <v>0.21429999999999999</v>
      </c>
      <c r="F35" s="69">
        <v>0.25019999999999998</v>
      </c>
      <c r="G35" s="65">
        <f>IF(F35="","",(F35-E35)*D35)</f>
        <v>1.4324099999999995</v>
      </c>
    </row>
    <row r="36" spans="2:17" hidden="1" x14ac:dyDescent="0.3">
      <c r="B36" s="44">
        <v>45619</v>
      </c>
      <c r="C36" t="s">
        <v>596</v>
      </c>
      <c r="D36" s="68">
        <v>8</v>
      </c>
      <c r="E36" s="67">
        <v>0.2268</v>
      </c>
      <c r="F36" s="69">
        <v>0.26279999999999998</v>
      </c>
      <c r="G36" s="65">
        <f>IF(E36=0,"",IF(F36="","",(F36-E36)*D36))</f>
        <v>0.28799999999999981</v>
      </c>
      <c r="O36" t="s">
        <v>8</v>
      </c>
      <c r="P36">
        <v>30</v>
      </c>
      <c r="Q36">
        <v>100</v>
      </c>
    </row>
    <row r="37" spans="2:17" hidden="1" x14ac:dyDescent="0.3">
      <c r="B37" s="44">
        <v>45619</v>
      </c>
      <c r="C37" t="s">
        <v>598</v>
      </c>
      <c r="D37" s="68">
        <v>435919</v>
      </c>
      <c r="E37" s="67">
        <v>1.8E-5</v>
      </c>
      <c r="F37" s="69">
        <v>2.2940000000000001E-5</v>
      </c>
      <c r="G37" s="65">
        <f>IF(F37="","",(F37-E37)*D37)</f>
        <v>2.1534398600000002</v>
      </c>
    </row>
    <row r="38" spans="2:17" hidden="1" x14ac:dyDescent="0.3">
      <c r="B38" s="44">
        <v>45619</v>
      </c>
      <c r="C38" t="s">
        <v>597</v>
      </c>
      <c r="D38" s="68">
        <v>2</v>
      </c>
      <c r="E38" s="67">
        <v>0.25</v>
      </c>
      <c r="F38" s="69">
        <v>0.27</v>
      </c>
      <c r="G38" s="65">
        <f>IF(E38=0,"",IF(F38="","",(F38-E38)*D38))</f>
        <v>4.0000000000000036E-2</v>
      </c>
      <c r="I38">
        <f>+E38*1.1</f>
        <v>0.27500000000000002</v>
      </c>
      <c r="J38">
        <f>+E38*0.9</f>
        <v>0.22500000000000001</v>
      </c>
      <c r="O38" t="s">
        <v>11</v>
      </c>
      <c r="P38">
        <v>40</v>
      </c>
      <c r="Q38">
        <v>32</v>
      </c>
    </row>
    <row r="39" spans="2:17" hidden="1" x14ac:dyDescent="0.3">
      <c r="B39" s="44">
        <v>45621</v>
      </c>
      <c r="C39" t="s">
        <v>596</v>
      </c>
      <c r="D39" s="68">
        <v>22.2</v>
      </c>
      <c r="E39" s="67">
        <v>0.23</v>
      </c>
      <c r="F39" s="69">
        <v>0.26</v>
      </c>
      <c r="G39" s="65">
        <f>IF(E39=0,"",IF(F39="","",(F39-E39)*D39))</f>
        <v>0.66599999999999993</v>
      </c>
      <c r="O39" t="s">
        <v>11</v>
      </c>
      <c r="P39">
        <v>40</v>
      </c>
      <c r="Q39">
        <v>32.5</v>
      </c>
    </row>
    <row r="40" spans="2:17" hidden="1" x14ac:dyDescent="0.3">
      <c r="B40" s="44">
        <v>45622</v>
      </c>
      <c r="C40" t="s">
        <v>600</v>
      </c>
      <c r="D40" s="68">
        <v>1.98</v>
      </c>
      <c r="E40" s="67">
        <v>3.84</v>
      </c>
      <c r="F40" s="69">
        <v>5.05</v>
      </c>
      <c r="G40" s="65">
        <f>IF(F40="","",(F40-E40)*D40)</f>
        <v>2.3957999999999999</v>
      </c>
    </row>
    <row r="41" spans="2:17" hidden="1" x14ac:dyDescent="0.3">
      <c r="B41" s="44">
        <v>45622</v>
      </c>
      <c r="C41" t="s">
        <v>598</v>
      </c>
      <c r="D41" s="68">
        <f>833333-435919</f>
        <v>397414</v>
      </c>
      <c r="E41" s="67">
        <v>1.8E-5</v>
      </c>
      <c r="F41" s="69">
        <v>2.4000000000000001E-5</v>
      </c>
      <c r="G41" s="65">
        <f>IF(F41="","",(F41-E41)*D41)</f>
        <v>2.384484</v>
      </c>
      <c r="O41" t="s">
        <v>11</v>
      </c>
      <c r="P41">
        <v>40</v>
      </c>
      <c r="Q41">
        <v>33</v>
      </c>
    </row>
    <row r="42" spans="2:17" x14ac:dyDescent="0.3">
      <c r="B42" s="44">
        <v>45574</v>
      </c>
      <c r="C42" t="s">
        <v>600</v>
      </c>
      <c r="D42" s="68" t="s">
        <v>684</v>
      </c>
      <c r="E42" s="67">
        <v>4.95</v>
      </c>
      <c r="G42" s="65" t="str">
        <f>IF(F42="","",(F42-E42)*D42)</f>
        <v/>
      </c>
      <c r="I42">
        <f>+E42*1.1</f>
        <v>5.4450000000000003</v>
      </c>
      <c r="J42">
        <f>+E42*0.9</f>
        <v>4.4550000000000001</v>
      </c>
    </row>
    <row r="43" spans="2:17" hidden="1" x14ac:dyDescent="0.3">
      <c r="B43" s="44">
        <v>45629</v>
      </c>
      <c r="C43" t="s">
        <v>600</v>
      </c>
      <c r="D43" s="68">
        <v>1.84</v>
      </c>
      <c r="E43" s="67">
        <v>4.8</v>
      </c>
      <c r="F43" s="69">
        <v>5.25</v>
      </c>
      <c r="G43" s="65">
        <f>IF(F43="","",(F43-E43)*D43)</f>
        <v>0.8280000000000004</v>
      </c>
      <c r="O43" t="s">
        <v>11</v>
      </c>
      <c r="P43">
        <v>40</v>
      </c>
      <c r="Q43">
        <v>34</v>
      </c>
    </row>
    <row r="44" spans="2:17" hidden="1" x14ac:dyDescent="0.3">
      <c r="B44" s="44">
        <v>45621</v>
      </c>
      <c r="C44" t="s">
        <v>596</v>
      </c>
      <c r="D44" s="68">
        <v>34.9</v>
      </c>
      <c r="E44" s="67">
        <v>0.23</v>
      </c>
      <c r="F44" s="69">
        <v>0.28599999999999998</v>
      </c>
      <c r="G44" s="65">
        <f>IF(F44="","",(F44-E44)*D44)</f>
        <v>1.9543999999999988</v>
      </c>
    </row>
    <row r="45" spans="2:17" hidden="1" x14ac:dyDescent="0.3">
      <c r="B45" s="44">
        <v>45619</v>
      </c>
      <c r="C45" t="s">
        <v>597</v>
      </c>
      <c r="D45" s="68">
        <v>30</v>
      </c>
      <c r="E45" s="67">
        <v>0.25</v>
      </c>
      <c r="F45" s="69">
        <v>0.33</v>
      </c>
      <c r="G45" s="65">
        <f>IF(E45=0,"",IF(F45="","",(F45-E45)*D45))</f>
        <v>2.4000000000000004</v>
      </c>
      <c r="O45" t="s">
        <v>12</v>
      </c>
      <c r="P45">
        <v>10</v>
      </c>
      <c r="Q45">
        <v>80</v>
      </c>
    </row>
    <row r="46" spans="2:17" x14ac:dyDescent="0.3">
      <c r="B46" s="44">
        <v>45574</v>
      </c>
      <c r="C46" t="s">
        <v>597</v>
      </c>
      <c r="D46" s="68">
        <v>51</v>
      </c>
      <c r="E46" s="67">
        <v>0.28999999999999998</v>
      </c>
      <c r="G46" s="65" t="str">
        <f>IF(E46=0,"",IF(F46="","",(F46-E46)*D46))</f>
        <v/>
      </c>
      <c r="I46">
        <f>+E46*1.1</f>
        <v>0.31900000000000001</v>
      </c>
      <c r="J46">
        <f>+E46*0.9</f>
        <v>0.26100000000000001</v>
      </c>
    </row>
    <row r="47" spans="2:17" hidden="1" x14ac:dyDescent="0.3">
      <c r="B47" s="44">
        <v>45629</v>
      </c>
      <c r="C47" t="s">
        <v>599</v>
      </c>
      <c r="D47" s="68">
        <v>222222</v>
      </c>
      <c r="E47" s="67">
        <v>4.0000000000000003E-5</v>
      </c>
      <c r="F47" s="69">
        <v>4.5000000000000003E-5</v>
      </c>
      <c r="G47" s="65">
        <f>IF(E47=0,"",IF(F47="","",(F47-E47)*D47))</f>
        <v>1.1111099999999998</v>
      </c>
      <c r="O47" t="s">
        <v>12</v>
      </c>
      <c r="P47">
        <v>10</v>
      </c>
      <c r="Q47">
        <v>82</v>
      </c>
    </row>
    <row r="48" spans="2:17" hidden="1" x14ac:dyDescent="0.3">
      <c r="B48" s="44">
        <v>45631</v>
      </c>
      <c r="C48" t="s">
        <v>600</v>
      </c>
      <c r="D48" s="68">
        <v>0.53</v>
      </c>
      <c r="E48" s="67">
        <v>4.9800000000000004</v>
      </c>
      <c r="F48" s="69">
        <v>5.5</v>
      </c>
      <c r="G48" s="65">
        <f>IF(F48="","",(F48-E48)*D48)</f>
        <v>0.27559999999999979</v>
      </c>
    </row>
    <row r="49" spans="2:17" hidden="1" x14ac:dyDescent="0.3">
      <c r="B49" s="44">
        <v>45621</v>
      </c>
      <c r="C49" t="s">
        <v>598</v>
      </c>
      <c r="D49" s="68">
        <v>19252</v>
      </c>
      <c r="E49" s="67">
        <v>1.9000000000000001E-5</v>
      </c>
      <c r="F49" s="69">
        <v>2.4000000000000001E-5</v>
      </c>
      <c r="G49" s="65">
        <f>IF(F49="","",(F49-E49)*D49)</f>
        <v>9.6259999999999998E-2</v>
      </c>
    </row>
    <row r="50" spans="2:17" hidden="1" x14ac:dyDescent="0.3">
      <c r="B50" s="44">
        <v>45621</v>
      </c>
      <c r="C50" t="s">
        <v>598</v>
      </c>
      <c r="D50" s="68">
        <v>377358</v>
      </c>
      <c r="E50" s="67">
        <v>1.9000000000000001E-5</v>
      </c>
      <c r="F50" s="69">
        <v>2.65E-5</v>
      </c>
      <c r="G50" s="65">
        <f>IF(E50=0,"",IF(F50="","",(F50-E50)*D50))</f>
        <v>2.8301849999999997</v>
      </c>
      <c r="I50">
        <f t="shared" ref="I50:I73" si="7">+E50*1.1</f>
        <v>2.0900000000000003E-5</v>
      </c>
      <c r="J50">
        <f t="shared" ref="J50:J73" si="8">+E50*0.9</f>
        <v>1.7100000000000002E-5</v>
      </c>
      <c r="O50" t="s">
        <v>12</v>
      </c>
      <c r="P50">
        <v>10</v>
      </c>
      <c r="Q50">
        <v>84</v>
      </c>
    </row>
    <row r="51" spans="2:17" x14ac:dyDescent="0.3">
      <c r="B51" s="44">
        <v>45636</v>
      </c>
      <c r="C51" t="s">
        <v>597</v>
      </c>
      <c r="D51" s="68">
        <v>27</v>
      </c>
      <c r="E51" s="67">
        <v>0.24</v>
      </c>
      <c r="G51" s="65" t="str">
        <f>IF(F51="","",(F51-E51)*D51)</f>
        <v/>
      </c>
      <c r="I51">
        <f t="shared" si="7"/>
        <v>0.26400000000000001</v>
      </c>
      <c r="J51">
        <f t="shared" si="8"/>
        <v>0.216</v>
      </c>
    </row>
    <row r="52" spans="2:17" x14ac:dyDescent="0.3">
      <c r="B52" s="44">
        <v>45644</v>
      </c>
      <c r="C52" t="s">
        <v>597</v>
      </c>
      <c r="D52" s="68">
        <v>69</v>
      </c>
      <c r="E52" s="67">
        <v>0.216</v>
      </c>
      <c r="G52" s="65" t="str">
        <f>IF(E52=0,"",IF(F52="","",(F52-E52)*D52))</f>
        <v/>
      </c>
      <c r="I52">
        <f t="shared" si="7"/>
        <v>0.23760000000000001</v>
      </c>
      <c r="J52">
        <f t="shared" si="8"/>
        <v>0.19439999999999999</v>
      </c>
      <c r="O52" t="s">
        <v>12</v>
      </c>
      <c r="P52">
        <v>10</v>
      </c>
      <c r="Q52">
        <v>86</v>
      </c>
    </row>
    <row r="53" spans="2:17" x14ac:dyDescent="0.3">
      <c r="B53" s="44">
        <v>45619</v>
      </c>
      <c r="C53" t="s">
        <v>598</v>
      </c>
      <c r="D53" s="68">
        <v>1144164</v>
      </c>
      <c r="E53" s="67">
        <v>2.1849999999999999E-5</v>
      </c>
      <c r="G53" s="65" t="str">
        <f>IF(E53=0,"",IF(F53="","",(F53-E53)*D53))</f>
        <v/>
      </c>
      <c r="I53">
        <f t="shared" si="7"/>
        <v>2.4034999999999999E-5</v>
      </c>
      <c r="J53">
        <f t="shared" si="8"/>
        <v>1.9664999999999999E-5</v>
      </c>
    </row>
    <row r="54" spans="2:17" x14ac:dyDescent="0.3">
      <c r="B54" s="44">
        <v>45620</v>
      </c>
      <c r="C54" t="s">
        <v>598</v>
      </c>
      <c r="D54" s="68">
        <v>762582</v>
      </c>
      <c r="E54" s="67">
        <v>1.967E-5</v>
      </c>
      <c r="G54" s="65" t="str">
        <f>IF(F54="","",(F54-E54)*D54)</f>
        <v/>
      </c>
      <c r="I54">
        <f t="shared" si="7"/>
        <v>2.1637000000000003E-5</v>
      </c>
      <c r="J54">
        <f t="shared" si="8"/>
        <v>1.7703E-5</v>
      </c>
      <c r="O54" t="s">
        <v>128</v>
      </c>
      <c r="P54">
        <v>50</v>
      </c>
      <c r="Q54">
        <v>20</v>
      </c>
    </row>
    <row r="55" spans="2:17" x14ac:dyDescent="0.3">
      <c r="B55" s="44">
        <v>45621</v>
      </c>
      <c r="C55" t="s">
        <v>598</v>
      </c>
      <c r="D55" s="68">
        <v>392972</v>
      </c>
      <c r="E55" s="67">
        <v>1.9000000000000001E-5</v>
      </c>
      <c r="G55" s="65" t="str">
        <f>IF(E55=0,"",IF(F55="","",(F55-E55)*D55))</f>
        <v/>
      </c>
      <c r="I55">
        <f t="shared" si="7"/>
        <v>2.0900000000000003E-5</v>
      </c>
      <c r="J55">
        <f t="shared" si="8"/>
        <v>1.7100000000000002E-5</v>
      </c>
    </row>
    <row r="56" spans="2:17" x14ac:dyDescent="0.3">
      <c r="B56" s="44">
        <v>45574</v>
      </c>
      <c r="C56" t="s">
        <v>598</v>
      </c>
      <c r="D56" s="68">
        <v>630252</v>
      </c>
      <c r="E56" s="67">
        <v>2.3799999999999999E-5</v>
      </c>
      <c r="G56" s="65" t="str">
        <f>IF(E56=0,"",IF(F56="","",(F56-E56)*D56))</f>
        <v/>
      </c>
      <c r="I56">
        <f t="shared" si="7"/>
        <v>2.618E-5</v>
      </c>
      <c r="J56">
        <f t="shared" si="8"/>
        <v>2.1419999999999998E-5</v>
      </c>
      <c r="O56" t="s">
        <v>128</v>
      </c>
      <c r="P56">
        <v>50</v>
      </c>
      <c r="Q56">
        <v>20.5</v>
      </c>
    </row>
    <row r="57" spans="2:17" x14ac:dyDescent="0.3">
      <c r="B57" s="44">
        <v>45621</v>
      </c>
      <c r="C57" t="s">
        <v>596</v>
      </c>
      <c r="D57" s="68">
        <v>8.1</v>
      </c>
      <c r="E57" s="67">
        <v>0.23</v>
      </c>
      <c r="G57" s="65" t="str">
        <f>IF(E57=0,"",IF(F57="","",(F57-E57)*D57))</f>
        <v/>
      </c>
      <c r="I57">
        <f t="shared" si="7"/>
        <v>0.25300000000000006</v>
      </c>
      <c r="J57">
        <f t="shared" si="8"/>
        <v>0.20700000000000002</v>
      </c>
      <c r="O57" t="s">
        <v>128</v>
      </c>
      <c r="P57">
        <v>50</v>
      </c>
      <c r="Q57">
        <v>21</v>
      </c>
    </row>
    <row r="58" spans="2:17" hidden="1" x14ac:dyDescent="0.3">
      <c r="B58" s="44">
        <v>45636</v>
      </c>
      <c r="C58" t="s">
        <v>597</v>
      </c>
      <c r="D58" s="68">
        <v>35</v>
      </c>
      <c r="E58" s="67">
        <v>0.24</v>
      </c>
      <c r="F58" s="69">
        <v>0.27</v>
      </c>
      <c r="G58" s="65">
        <f>IF(F58="","",(F58-E58)*D58)</f>
        <v>1.0500000000000009</v>
      </c>
      <c r="I58">
        <f t="shared" si="7"/>
        <v>0.26400000000000001</v>
      </c>
      <c r="J58">
        <f t="shared" si="8"/>
        <v>0.216</v>
      </c>
    </row>
    <row r="59" spans="2:17" hidden="1" x14ac:dyDescent="0.3">
      <c r="B59" s="44">
        <v>45574</v>
      </c>
      <c r="C59" t="s">
        <v>600</v>
      </c>
      <c r="D59" s="68">
        <v>2.02</v>
      </c>
      <c r="E59" s="67">
        <v>4.5</v>
      </c>
      <c r="F59" s="69">
        <v>4.95</v>
      </c>
      <c r="G59" s="65">
        <f>IF(E59=0,"",IF(F59="","",(F59-E59)*D59))</f>
        <v>0.90900000000000036</v>
      </c>
      <c r="I59">
        <f t="shared" si="7"/>
        <v>4.95</v>
      </c>
      <c r="J59">
        <f t="shared" si="8"/>
        <v>4.05</v>
      </c>
      <c r="O59" t="s">
        <v>128</v>
      </c>
      <c r="P59">
        <v>50</v>
      </c>
      <c r="Q59">
        <v>21.5</v>
      </c>
    </row>
    <row r="60" spans="2:17" x14ac:dyDescent="0.3">
      <c r="B60" s="44">
        <v>45628</v>
      </c>
      <c r="C60" t="s">
        <v>596</v>
      </c>
      <c r="D60" s="68">
        <v>60.4</v>
      </c>
      <c r="E60" s="67">
        <v>0.24829999999999999</v>
      </c>
      <c r="G60" s="65" t="str">
        <f>IF(F60="","",(F60-E60)*D60)</f>
        <v/>
      </c>
      <c r="I60">
        <f t="shared" si="7"/>
        <v>0.27313000000000004</v>
      </c>
      <c r="J60">
        <f t="shared" si="8"/>
        <v>0.22347</v>
      </c>
      <c r="O60" t="s">
        <v>51</v>
      </c>
      <c r="P60">
        <v>50</v>
      </c>
      <c r="Q60">
        <v>12</v>
      </c>
    </row>
    <row r="61" spans="2:17" x14ac:dyDescent="0.3">
      <c r="B61" s="44">
        <v>45574</v>
      </c>
      <c r="C61" t="s">
        <v>596</v>
      </c>
      <c r="D61" s="68">
        <v>58.8</v>
      </c>
      <c r="E61" s="67">
        <v>0.255</v>
      </c>
      <c r="G61" s="65" t="str">
        <f>IF(F61="","",(F61-E61)*D61)</f>
        <v/>
      </c>
      <c r="I61">
        <f t="shared" si="7"/>
        <v>0.28050000000000003</v>
      </c>
      <c r="J61">
        <f t="shared" si="8"/>
        <v>0.22950000000000001</v>
      </c>
      <c r="O61" t="s">
        <v>51</v>
      </c>
      <c r="P61">
        <v>50</v>
      </c>
      <c r="Q61">
        <v>12.5</v>
      </c>
    </row>
    <row r="62" spans="2:17" hidden="1" x14ac:dyDescent="0.3">
      <c r="B62" s="44">
        <v>45644</v>
      </c>
      <c r="C62" t="s">
        <v>599</v>
      </c>
      <c r="D62" s="68">
        <v>303030</v>
      </c>
      <c r="E62" s="67">
        <v>3.0000000000000001E-5</v>
      </c>
      <c r="F62" s="69">
        <v>3.3000000000000003E-5</v>
      </c>
      <c r="G62" s="65">
        <f>IF(E62=0,"",IF(F62="","",(F62-E62)*D62))</f>
        <v>0.90909000000000051</v>
      </c>
      <c r="I62">
        <f t="shared" si="7"/>
        <v>3.3000000000000003E-5</v>
      </c>
      <c r="J62">
        <f t="shared" si="8"/>
        <v>2.7000000000000002E-5</v>
      </c>
      <c r="O62" t="s">
        <v>142</v>
      </c>
      <c r="P62">
        <v>25</v>
      </c>
      <c r="Q62">
        <v>22</v>
      </c>
    </row>
    <row r="63" spans="2:17" x14ac:dyDescent="0.3">
      <c r="B63" s="44">
        <v>45647</v>
      </c>
      <c r="C63" t="s">
        <v>596</v>
      </c>
      <c r="D63" s="68">
        <v>83.7</v>
      </c>
      <c r="E63" s="67">
        <v>0.17899999999999999</v>
      </c>
      <c r="G63" s="65" t="str">
        <f>IF(E63=0,"",IF(F63="","",(F63-E63)*D63))</f>
        <v/>
      </c>
      <c r="I63">
        <f t="shared" si="7"/>
        <v>0.19690000000000002</v>
      </c>
      <c r="J63">
        <f t="shared" si="8"/>
        <v>0.16109999999999999</v>
      </c>
      <c r="O63" t="s">
        <v>142</v>
      </c>
      <c r="P63">
        <v>25</v>
      </c>
      <c r="Q63">
        <v>23</v>
      </c>
    </row>
    <row r="64" spans="2:17" x14ac:dyDescent="0.3">
      <c r="G64" s="65" t="str">
        <f>IF(E64=0,"",IF(F64="","",(F64-E64)*D64))</f>
        <v/>
      </c>
      <c r="I64">
        <f t="shared" si="7"/>
        <v>0</v>
      </c>
      <c r="J64">
        <f t="shared" si="8"/>
        <v>0</v>
      </c>
      <c r="O64" t="s">
        <v>142</v>
      </c>
      <c r="P64">
        <v>25</v>
      </c>
      <c r="Q64">
        <v>24</v>
      </c>
    </row>
    <row r="65" spans="7:17" x14ac:dyDescent="0.3">
      <c r="G65" s="65" t="str">
        <f>IF(F65="","",(F65-E65)*D65)</f>
        <v/>
      </c>
      <c r="I65">
        <f t="shared" si="7"/>
        <v>0</v>
      </c>
      <c r="J65">
        <f t="shared" si="8"/>
        <v>0</v>
      </c>
    </row>
    <row r="66" spans="7:17" x14ac:dyDescent="0.3">
      <c r="G66" s="65" t="str">
        <f>IF(E66=0,"",IF(F66="","",(F66-E66)*D66))</f>
        <v/>
      </c>
      <c r="I66">
        <f t="shared" si="7"/>
        <v>0</v>
      </c>
      <c r="J66">
        <f t="shared" si="8"/>
        <v>0</v>
      </c>
      <c r="O66" t="s">
        <v>13</v>
      </c>
      <c r="P66">
        <v>50</v>
      </c>
      <c r="Q66">
        <v>15.5</v>
      </c>
    </row>
    <row r="67" spans="7:17" x14ac:dyDescent="0.3">
      <c r="G67" s="65" t="str">
        <f>IF(E67=0,"",IF(F67="","",(F67-E67)*D67))</f>
        <v/>
      </c>
      <c r="I67">
        <f t="shared" si="7"/>
        <v>0</v>
      </c>
      <c r="J67">
        <f t="shared" si="8"/>
        <v>0</v>
      </c>
      <c r="O67" t="s">
        <v>13</v>
      </c>
      <c r="P67">
        <v>50</v>
      </c>
      <c r="Q67">
        <v>16</v>
      </c>
    </row>
    <row r="68" spans="7:17" x14ac:dyDescent="0.3">
      <c r="G68" s="65" t="str">
        <f>IF(E68=0,"",IF(F68="","",(F68-E68)*D68))</f>
        <v/>
      </c>
      <c r="I68">
        <f t="shared" si="7"/>
        <v>0</v>
      </c>
      <c r="J68">
        <f t="shared" si="8"/>
        <v>0</v>
      </c>
      <c r="O68" t="s">
        <v>13</v>
      </c>
      <c r="P68">
        <v>50</v>
      </c>
      <c r="Q68">
        <v>16.5</v>
      </c>
    </row>
    <row r="69" spans="7:17" x14ac:dyDescent="0.3">
      <c r="G69" s="65" t="str">
        <f>IF(E69=0,"",IF(F69="","",(F69-E69)*D69))</f>
        <v/>
      </c>
      <c r="I69">
        <f t="shared" si="7"/>
        <v>0</v>
      </c>
      <c r="J69">
        <f t="shared" si="8"/>
        <v>0</v>
      </c>
      <c r="O69" t="s">
        <v>13</v>
      </c>
      <c r="P69">
        <v>50</v>
      </c>
      <c r="Q69">
        <v>17</v>
      </c>
    </row>
    <row r="70" spans="7:17" x14ac:dyDescent="0.3">
      <c r="G70" s="65" t="str">
        <f>IF(F70="","",(F70-E70)*D70)</f>
        <v/>
      </c>
      <c r="I70">
        <f t="shared" si="7"/>
        <v>0</v>
      </c>
      <c r="J70">
        <f t="shared" si="8"/>
        <v>0</v>
      </c>
    </row>
    <row r="71" spans="7:17" x14ac:dyDescent="0.3">
      <c r="G71" s="65" t="str">
        <f>IF(E71=0,"",IF(F71="","",(F71-E71)*D71))</f>
        <v/>
      </c>
      <c r="I71">
        <f t="shared" si="7"/>
        <v>0</v>
      </c>
      <c r="J71">
        <f t="shared" si="8"/>
        <v>0</v>
      </c>
      <c r="O71" t="s">
        <v>151</v>
      </c>
      <c r="P71">
        <v>1</v>
      </c>
      <c r="Q71">
        <v>500</v>
      </c>
    </row>
    <row r="72" spans="7:17" x14ac:dyDescent="0.3">
      <c r="G72" s="65" t="str">
        <f>IF(E72=0,"",IF(F72="","",(F72-E72)*D72))</f>
        <v/>
      </c>
      <c r="I72">
        <f t="shared" si="7"/>
        <v>0</v>
      </c>
      <c r="J72">
        <f t="shared" si="8"/>
        <v>0</v>
      </c>
      <c r="O72" t="s">
        <v>151</v>
      </c>
      <c r="P72">
        <v>1</v>
      </c>
      <c r="Q72">
        <v>525</v>
      </c>
    </row>
    <row r="73" spans="7:17" x14ac:dyDescent="0.3">
      <c r="G73" s="65" t="str">
        <f>IF(E73=0,"",IF(F73="","",(F73-E73)*D73))</f>
        <v/>
      </c>
      <c r="I73">
        <f t="shared" si="7"/>
        <v>0</v>
      </c>
      <c r="J73">
        <f t="shared" si="8"/>
        <v>0</v>
      </c>
      <c r="O73" t="s">
        <v>151</v>
      </c>
      <c r="P73">
        <v>1</v>
      </c>
      <c r="Q73">
        <v>550</v>
      </c>
    </row>
    <row r="74" spans="7:17" x14ac:dyDescent="0.3">
      <c r="G74" s="65" t="str">
        <f>IF(E74=0,"",IF(F74="","",(F74-E74)*D74))</f>
        <v/>
      </c>
      <c r="O74" t="s">
        <v>151</v>
      </c>
      <c r="P74">
        <v>1</v>
      </c>
      <c r="Q74">
        <v>575</v>
      </c>
    </row>
    <row r="75" spans="7:17" x14ac:dyDescent="0.3">
      <c r="G75" s="65" t="str">
        <f>IF(F75="","",(F75-E75)*D75)</f>
        <v/>
      </c>
    </row>
    <row r="76" spans="7:17" x14ac:dyDescent="0.3">
      <c r="G76" s="65" t="str">
        <f>IF(F76="","",(F76-E76)*D76)</f>
        <v/>
      </c>
    </row>
    <row r="77" spans="7:17" x14ac:dyDescent="0.3">
      <c r="G77" s="65" t="str">
        <f>IF(F77="","",(F77-E77)*D77)</f>
        <v/>
      </c>
    </row>
    <row r="78" spans="7:17" x14ac:dyDescent="0.3">
      <c r="G78" s="65" t="str">
        <f>IF(E78=0,"",IF(F78="","",(F78-E78)*D78))</f>
        <v/>
      </c>
      <c r="O78" t="s">
        <v>14</v>
      </c>
      <c r="P78">
        <v>10</v>
      </c>
      <c r="Q78">
        <v>150</v>
      </c>
    </row>
    <row r="79" spans="7:17" x14ac:dyDescent="0.3">
      <c r="G79" s="65" t="str">
        <f>IF(F79="","",(F79-E79)*D79)</f>
        <v/>
      </c>
    </row>
    <row r="80" spans="7:17" x14ac:dyDescent="0.3">
      <c r="G80" s="65" t="str">
        <f>IF(F80="","",(F80-E80)*D80)</f>
        <v/>
      </c>
    </row>
    <row r="81" spans="7:17" x14ac:dyDescent="0.3">
      <c r="G81" s="65" t="str">
        <f>IF(F81="","",(F81-E81)*D81)</f>
        <v/>
      </c>
    </row>
    <row r="82" spans="7:17" x14ac:dyDescent="0.3">
      <c r="G82" s="65" t="str">
        <f>IF(F82="","",(F82-E82)*D82)</f>
        <v/>
      </c>
      <c r="O82" t="s">
        <v>14</v>
      </c>
      <c r="P82">
        <v>10</v>
      </c>
      <c r="Q82">
        <v>155</v>
      </c>
    </row>
    <row r="83" spans="7:17" x14ac:dyDescent="0.3">
      <c r="G83" s="65" t="str">
        <f>IF(E83=0,"",IF(F83="","",(F83-E83)*D83))</f>
        <v/>
      </c>
      <c r="O83" t="s">
        <v>15</v>
      </c>
      <c r="P83">
        <v>10</v>
      </c>
      <c r="Q83">
        <v>42</v>
      </c>
    </row>
    <row r="84" spans="7:17" x14ac:dyDescent="0.3">
      <c r="G84" s="65" t="str">
        <f>IF(E84=0,"",IF(F84="","",(F84-E84)*D84))</f>
        <v/>
      </c>
      <c r="O84" t="s">
        <v>15</v>
      </c>
      <c r="P84">
        <v>15</v>
      </c>
      <c r="Q84">
        <v>43</v>
      </c>
    </row>
    <row r="85" spans="7:17" x14ac:dyDescent="0.3">
      <c r="G85" s="65" t="str">
        <f>IF(F85="","",(F85-E85)*D85)</f>
        <v/>
      </c>
      <c r="O85" t="s">
        <v>16</v>
      </c>
      <c r="P85">
        <v>5</v>
      </c>
      <c r="Q85">
        <v>177</v>
      </c>
    </row>
    <row r="86" spans="7:17" x14ac:dyDescent="0.3">
      <c r="G86" s="65" t="str">
        <f>IF(F86="","",(F86-E86)*D86)</f>
        <v/>
      </c>
      <c r="O86" t="s">
        <v>16</v>
      </c>
      <c r="P86">
        <v>10</v>
      </c>
      <c r="Q86">
        <v>180</v>
      </c>
    </row>
    <row r="87" spans="7:17" x14ac:dyDescent="0.3">
      <c r="G87" s="65" t="str">
        <f>IF(F87="","",(F87-E87)*D87)</f>
        <v/>
      </c>
      <c r="O87" t="s">
        <v>16</v>
      </c>
      <c r="P87">
        <v>10</v>
      </c>
      <c r="Q87">
        <v>185</v>
      </c>
    </row>
    <row r="88" spans="7:17" x14ac:dyDescent="0.3">
      <c r="G88" s="65" t="str">
        <f>IF(F88="","",(F88-E88)*D88)</f>
        <v/>
      </c>
      <c r="O88" t="s">
        <v>18</v>
      </c>
      <c r="P88">
        <v>10</v>
      </c>
      <c r="Q88">
        <v>225</v>
      </c>
    </row>
    <row r="89" spans="7:17" x14ac:dyDescent="0.3">
      <c r="G89" s="65" t="str">
        <f>IF(F89="","",(F89-E89)*D89)</f>
        <v/>
      </c>
      <c r="O89" t="s">
        <v>18</v>
      </c>
      <c r="P89">
        <v>10</v>
      </c>
      <c r="Q89">
        <v>230</v>
      </c>
    </row>
    <row r="90" spans="7:17" x14ac:dyDescent="0.3">
      <c r="G90" s="65" t="str">
        <f>IF(E90=0,"",IF(F90="","",(F90-E90)*D90))</f>
        <v/>
      </c>
      <c r="O90" t="s">
        <v>16</v>
      </c>
      <c r="P90">
        <v>10</v>
      </c>
      <c r="Q90">
        <v>190</v>
      </c>
    </row>
    <row r="91" spans="7:17" x14ac:dyDescent="0.3">
      <c r="G91" s="65" t="str">
        <f>IF(E91=0,"",IF(F91="","",(F91-E91)*D91))</f>
        <v/>
      </c>
      <c r="O91" t="s">
        <v>18</v>
      </c>
      <c r="P91">
        <v>10</v>
      </c>
      <c r="Q91">
        <v>230</v>
      </c>
    </row>
    <row r="92" spans="7:17" x14ac:dyDescent="0.3">
      <c r="G92" s="65" t="str">
        <f t="shared" ref="G92:G101" si="9">IF(F92="","",(F92-E92)*D92)</f>
        <v/>
      </c>
      <c r="O92" t="s">
        <v>19</v>
      </c>
      <c r="P92">
        <v>50</v>
      </c>
      <c r="Q92">
        <v>24</v>
      </c>
    </row>
    <row r="93" spans="7:17" x14ac:dyDescent="0.3">
      <c r="G93" s="65" t="str">
        <f t="shared" si="9"/>
        <v/>
      </c>
      <c r="O93" t="s">
        <v>19</v>
      </c>
      <c r="P93">
        <v>50</v>
      </c>
      <c r="Q93">
        <v>24.5</v>
      </c>
    </row>
    <row r="94" spans="7:17" x14ac:dyDescent="0.3">
      <c r="G94" s="65" t="str">
        <f t="shared" si="9"/>
        <v/>
      </c>
      <c r="O94" t="s">
        <v>19</v>
      </c>
      <c r="P94">
        <v>50</v>
      </c>
      <c r="Q94">
        <v>25</v>
      </c>
    </row>
    <row r="95" spans="7:17" x14ac:dyDescent="0.3">
      <c r="G95" s="65" t="str">
        <f t="shared" si="9"/>
        <v/>
      </c>
      <c r="O95" t="s">
        <v>19</v>
      </c>
      <c r="P95">
        <v>50</v>
      </c>
      <c r="Q95">
        <v>25.5</v>
      </c>
    </row>
    <row r="96" spans="7:17" x14ac:dyDescent="0.3">
      <c r="G96" s="65" t="str">
        <f t="shared" si="9"/>
        <v/>
      </c>
      <c r="O96" t="s">
        <v>20</v>
      </c>
      <c r="P96">
        <v>50</v>
      </c>
      <c r="Q96">
        <v>16.25</v>
      </c>
    </row>
    <row r="97" spans="7:17" x14ac:dyDescent="0.3">
      <c r="G97" s="65" t="str">
        <f t="shared" si="9"/>
        <v/>
      </c>
      <c r="O97" t="s">
        <v>20</v>
      </c>
      <c r="P97">
        <v>50</v>
      </c>
      <c r="Q97">
        <v>16.5</v>
      </c>
    </row>
    <row r="98" spans="7:17" x14ac:dyDescent="0.3">
      <c r="G98" s="65" t="str">
        <f t="shared" si="9"/>
        <v/>
      </c>
      <c r="O98" t="s">
        <v>20</v>
      </c>
      <c r="P98">
        <v>50</v>
      </c>
      <c r="Q98">
        <v>16.75</v>
      </c>
    </row>
    <row r="99" spans="7:17" x14ac:dyDescent="0.3">
      <c r="G99" s="65" t="str">
        <f t="shared" si="9"/>
        <v/>
      </c>
      <c r="O99" t="s">
        <v>20</v>
      </c>
      <c r="P99">
        <v>50</v>
      </c>
      <c r="Q99">
        <v>17</v>
      </c>
    </row>
    <row r="100" spans="7:17" x14ac:dyDescent="0.3">
      <c r="G100" s="65" t="str">
        <f t="shared" si="9"/>
        <v/>
      </c>
      <c r="O100" t="s">
        <v>219</v>
      </c>
      <c r="P100">
        <v>15</v>
      </c>
      <c r="Q100">
        <v>100</v>
      </c>
    </row>
    <row r="101" spans="7:17" x14ac:dyDescent="0.3">
      <c r="G101" s="65" t="str">
        <f t="shared" si="9"/>
        <v/>
      </c>
      <c r="O101" t="s">
        <v>219</v>
      </c>
      <c r="P101">
        <v>15</v>
      </c>
      <c r="Q101">
        <v>102</v>
      </c>
    </row>
    <row r="102" spans="7:17" x14ac:dyDescent="0.3">
      <c r="G102" s="65" t="str">
        <f>IF(E102=0,"",IF(F102="","",(F102-E102)*D102))</f>
        <v/>
      </c>
      <c r="O102" t="s">
        <v>18</v>
      </c>
      <c r="P102">
        <v>10</v>
      </c>
      <c r="Q102">
        <v>240</v>
      </c>
    </row>
    <row r="103" spans="7:17" x14ac:dyDescent="0.3">
      <c r="G103" s="65" t="str">
        <f>IF(E103=0,"",IF(F103="","",(F103-E103)*D103))</f>
        <v/>
      </c>
      <c r="O103" t="s">
        <v>19</v>
      </c>
      <c r="P103">
        <v>25</v>
      </c>
      <c r="Q103">
        <v>24</v>
      </c>
    </row>
    <row r="104" spans="7:17" x14ac:dyDescent="0.3">
      <c r="G104" s="65" t="str">
        <f>IF(F104="","",(F104-E104)*D104)</f>
        <v/>
      </c>
      <c r="O104" t="s">
        <v>19</v>
      </c>
      <c r="P104">
        <v>50</v>
      </c>
      <c r="Q104">
        <v>24.5</v>
      </c>
    </row>
    <row r="105" spans="7:17" x14ac:dyDescent="0.3">
      <c r="G105" s="65" t="str">
        <f>IF(E105=0,"",IF(F105="","",(F105-E105)*D105))</f>
        <v/>
      </c>
      <c r="O105" t="s">
        <v>19</v>
      </c>
      <c r="P105">
        <v>75</v>
      </c>
      <c r="Q105">
        <v>25</v>
      </c>
    </row>
    <row r="106" spans="7:17" x14ac:dyDescent="0.3">
      <c r="G106" s="65" t="str">
        <f>IF(F106="","",(F106-E106)*D106)</f>
        <v/>
      </c>
      <c r="O106" t="s">
        <v>19</v>
      </c>
      <c r="P106">
        <v>100</v>
      </c>
      <c r="Q106">
        <v>25.5</v>
      </c>
    </row>
    <row r="107" spans="7:17" x14ac:dyDescent="0.3">
      <c r="G107" s="65" t="str">
        <f>IF(E107=0,"",IF(F107="","",(F107-E107)*D107))</f>
        <v/>
      </c>
      <c r="O107" t="s">
        <v>20</v>
      </c>
      <c r="P107">
        <v>25</v>
      </c>
      <c r="Q107">
        <v>16.5</v>
      </c>
    </row>
    <row r="108" spans="7:17" x14ac:dyDescent="0.3">
      <c r="G108" s="65" t="str">
        <f>IF(F108="","",(F108-E108)*D108)</f>
        <v/>
      </c>
      <c r="O108" t="s">
        <v>20</v>
      </c>
      <c r="P108">
        <v>50</v>
      </c>
      <c r="Q108">
        <v>17</v>
      </c>
    </row>
    <row r="109" spans="7:17" x14ac:dyDescent="0.3">
      <c r="G109" s="65" t="str">
        <f>IF(E109=0,"",IF(F109="","",(F109-E109)*D109))</f>
        <v/>
      </c>
      <c r="O109" t="s">
        <v>20</v>
      </c>
      <c r="P109">
        <v>75</v>
      </c>
      <c r="Q109">
        <v>17.5</v>
      </c>
    </row>
    <row r="110" spans="7:17" x14ac:dyDescent="0.3">
      <c r="G110" s="65" t="str">
        <f>IF(F110="","",(F110-E110)*D110)</f>
        <v/>
      </c>
      <c r="O110" t="s">
        <v>20</v>
      </c>
      <c r="P110">
        <v>100</v>
      </c>
      <c r="Q110">
        <v>18</v>
      </c>
    </row>
    <row r="111" spans="7:17" x14ac:dyDescent="0.3">
      <c r="G111" s="65" t="str">
        <f>IF(E111=0,"",IF(F111="","",(F111-E111)*D111))</f>
        <v/>
      </c>
      <c r="O111" t="s">
        <v>219</v>
      </c>
      <c r="P111">
        <v>20</v>
      </c>
      <c r="Q111">
        <v>102</v>
      </c>
    </row>
    <row r="112" spans="7:17" x14ac:dyDescent="0.3">
      <c r="G112" s="65" t="str">
        <f>IF(F112="","",(F112-E112)*D112)</f>
        <v/>
      </c>
      <c r="O112" t="s">
        <v>219</v>
      </c>
      <c r="P112">
        <v>20</v>
      </c>
      <c r="Q112">
        <v>95</v>
      </c>
    </row>
    <row r="113" spans="7:17" x14ac:dyDescent="0.3">
      <c r="G113" s="65" t="str">
        <f>IF(F113="","",(F113-E113)*D113)</f>
        <v/>
      </c>
      <c r="O113" t="s">
        <v>220</v>
      </c>
      <c r="P113">
        <v>25</v>
      </c>
      <c r="Q113">
        <v>54</v>
      </c>
    </row>
    <row r="114" spans="7:17" x14ac:dyDescent="0.3">
      <c r="G114" s="65" t="str">
        <f>IF(F114="","",(F114-E114)*D114)</f>
        <v/>
      </c>
      <c r="O114" t="s">
        <v>220</v>
      </c>
      <c r="P114">
        <v>25</v>
      </c>
      <c r="Q114">
        <v>55</v>
      </c>
    </row>
    <row r="115" spans="7:17" x14ac:dyDescent="0.3">
      <c r="G115" s="65" t="str">
        <f>IF(F115="","",(F115-E115)*D115)</f>
        <v/>
      </c>
      <c r="O115" t="s">
        <v>220</v>
      </c>
      <c r="P115">
        <v>25</v>
      </c>
      <c r="Q115">
        <v>56</v>
      </c>
    </row>
    <row r="116" spans="7:17" x14ac:dyDescent="0.3">
      <c r="G116" s="65" t="str">
        <f>IF(F116="","",(F116-E116)*D116)</f>
        <v/>
      </c>
      <c r="O116" t="s">
        <v>23</v>
      </c>
      <c r="P116">
        <v>1</v>
      </c>
      <c r="Q116">
        <v>950</v>
      </c>
    </row>
    <row r="117" spans="7:17" x14ac:dyDescent="0.3">
      <c r="G117" s="65" t="str">
        <f t="shared" ref="G117:G128" si="10">IF(E117=0,"",IF(F117="","",(F117-E117)*D117))</f>
        <v/>
      </c>
      <c r="O117" t="s">
        <v>23</v>
      </c>
      <c r="P117">
        <v>1</v>
      </c>
      <c r="Q117">
        <v>970</v>
      </c>
    </row>
    <row r="118" spans="7:17" x14ac:dyDescent="0.3">
      <c r="G118" s="65" t="str">
        <f t="shared" si="10"/>
        <v/>
      </c>
      <c r="O118" t="s">
        <v>25</v>
      </c>
      <c r="P118">
        <v>250</v>
      </c>
      <c r="Q118">
        <v>3.5</v>
      </c>
    </row>
    <row r="119" spans="7:17" x14ac:dyDescent="0.3">
      <c r="G119" s="65" t="str">
        <f t="shared" si="10"/>
        <v/>
      </c>
      <c r="O119" t="s">
        <v>53</v>
      </c>
      <c r="P119">
        <v>100</v>
      </c>
      <c r="Q119">
        <v>7.1</v>
      </c>
    </row>
    <row r="120" spans="7:17" x14ac:dyDescent="0.3">
      <c r="G120" s="65" t="str">
        <f t="shared" si="10"/>
        <v/>
      </c>
      <c r="O120" t="s">
        <v>53</v>
      </c>
      <c r="P120">
        <v>100</v>
      </c>
      <c r="Q120">
        <v>7.2</v>
      </c>
    </row>
    <row r="121" spans="7:17" x14ac:dyDescent="0.3">
      <c r="G121" s="65" t="str">
        <f t="shared" si="10"/>
        <v/>
      </c>
      <c r="O121" t="s">
        <v>53</v>
      </c>
      <c r="P121">
        <v>100</v>
      </c>
      <c r="Q121">
        <v>7.3</v>
      </c>
    </row>
    <row r="122" spans="7:17" x14ac:dyDescent="0.3">
      <c r="G122" s="65" t="str">
        <f t="shared" si="10"/>
        <v/>
      </c>
      <c r="O122" t="s">
        <v>53</v>
      </c>
      <c r="P122">
        <v>100</v>
      </c>
      <c r="Q122">
        <v>7.4</v>
      </c>
    </row>
    <row r="123" spans="7:17" x14ac:dyDescent="0.3">
      <c r="G123" s="65" t="str">
        <f t="shared" si="10"/>
        <v/>
      </c>
      <c r="O123" t="s">
        <v>319</v>
      </c>
      <c r="P123">
        <v>25</v>
      </c>
      <c r="Q123">
        <v>30</v>
      </c>
    </row>
    <row r="124" spans="7:17" x14ac:dyDescent="0.3">
      <c r="G124" s="65" t="str">
        <f t="shared" si="10"/>
        <v/>
      </c>
    </row>
    <row r="125" spans="7:17" x14ac:dyDescent="0.3">
      <c r="G125" s="65" t="str">
        <f t="shared" si="10"/>
        <v/>
      </c>
      <c r="O125" t="s">
        <v>319</v>
      </c>
      <c r="P125">
        <v>25</v>
      </c>
      <c r="Q125">
        <v>30.5</v>
      </c>
    </row>
    <row r="126" spans="7:17" x14ac:dyDescent="0.3">
      <c r="G126" s="65" t="str">
        <f t="shared" si="10"/>
        <v/>
      </c>
      <c r="O126" t="s">
        <v>319</v>
      </c>
      <c r="P126">
        <v>25</v>
      </c>
      <c r="Q126">
        <v>31</v>
      </c>
    </row>
    <row r="127" spans="7:17" x14ac:dyDescent="0.3">
      <c r="G127" s="65" t="str">
        <f t="shared" si="10"/>
        <v/>
      </c>
      <c r="O127" t="s">
        <v>319</v>
      </c>
      <c r="P127">
        <v>25</v>
      </c>
      <c r="Q127">
        <v>31.5</v>
      </c>
    </row>
    <row r="128" spans="7:17" x14ac:dyDescent="0.3">
      <c r="G128" s="65" t="str">
        <f t="shared" si="10"/>
        <v/>
      </c>
      <c r="O128" t="s">
        <v>26</v>
      </c>
      <c r="P128">
        <v>25</v>
      </c>
      <c r="Q128">
        <v>82</v>
      </c>
    </row>
    <row r="129" spans="7:17" x14ac:dyDescent="0.3">
      <c r="G129" s="65" t="str">
        <f t="shared" ref="G129:G134" si="11">IF(F129="","",(F129-E129)*D129)</f>
        <v/>
      </c>
      <c r="O129" t="s">
        <v>26</v>
      </c>
      <c r="P129">
        <v>25</v>
      </c>
      <c r="Q129">
        <v>84</v>
      </c>
    </row>
    <row r="130" spans="7:17" x14ac:dyDescent="0.3">
      <c r="G130" s="65" t="str">
        <f t="shared" si="11"/>
        <v/>
      </c>
      <c r="O130" t="s">
        <v>26</v>
      </c>
      <c r="P130">
        <v>25</v>
      </c>
      <c r="Q130">
        <v>86</v>
      </c>
    </row>
    <row r="131" spans="7:17" x14ac:dyDescent="0.3">
      <c r="G131" s="65" t="str">
        <f t="shared" si="11"/>
        <v/>
      </c>
      <c r="O131" t="s">
        <v>26</v>
      </c>
      <c r="P131">
        <v>25</v>
      </c>
      <c r="Q131">
        <v>88</v>
      </c>
    </row>
    <row r="132" spans="7:17" x14ac:dyDescent="0.3">
      <c r="G132" s="65" t="str">
        <f t="shared" si="11"/>
        <v/>
      </c>
      <c r="O132" t="s">
        <v>28</v>
      </c>
      <c r="P132">
        <v>10</v>
      </c>
      <c r="Q132">
        <v>46</v>
      </c>
    </row>
    <row r="133" spans="7:17" x14ac:dyDescent="0.3">
      <c r="G133" s="65" t="str">
        <f t="shared" si="11"/>
        <v/>
      </c>
      <c r="O133" t="s">
        <v>28</v>
      </c>
      <c r="P133">
        <v>20</v>
      </c>
      <c r="Q133">
        <v>47</v>
      </c>
    </row>
    <row r="134" spans="7:17" x14ac:dyDescent="0.3">
      <c r="G134" s="65" t="str">
        <f t="shared" si="11"/>
        <v/>
      </c>
      <c r="O134" t="s">
        <v>28</v>
      </c>
      <c r="P134">
        <v>30</v>
      </c>
      <c r="Q134">
        <v>48</v>
      </c>
    </row>
    <row r="135" spans="7:17" x14ac:dyDescent="0.3">
      <c r="G135" s="65" t="str">
        <f t="shared" ref="G135:G198" si="12">IF(E135=0,"",IF(F135="","",(F135-E135)*D135))</f>
        <v/>
      </c>
      <c r="O135" t="s">
        <v>28</v>
      </c>
      <c r="P135">
        <v>30</v>
      </c>
      <c r="Q135">
        <v>49</v>
      </c>
    </row>
    <row r="136" spans="7:17" x14ac:dyDescent="0.3">
      <c r="G136" s="65" t="str">
        <f t="shared" si="12"/>
        <v/>
      </c>
      <c r="O136" t="s">
        <v>379</v>
      </c>
      <c r="P136">
        <v>25</v>
      </c>
      <c r="Q136">
        <v>51</v>
      </c>
    </row>
    <row r="137" spans="7:17" x14ac:dyDescent="0.3">
      <c r="G137" s="65" t="str">
        <f t="shared" si="12"/>
        <v/>
      </c>
      <c r="O137" t="s">
        <v>379</v>
      </c>
      <c r="P137">
        <v>50</v>
      </c>
      <c r="Q137">
        <v>51.5</v>
      </c>
    </row>
    <row r="138" spans="7:17" x14ac:dyDescent="0.3">
      <c r="G138" s="65" t="str">
        <f t="shared" si="12"/>
        <v/>
      </c>
      <c r="O138" t="s">
        <v>379</v>
      </c>
      <c r="P138">
        <v>75</v>
      </c>
      <c r="Q138">
        <v>52</v>
      </c>
    </row>
    <row r="139" spans="7:17" x14ac:dyDescent="0.3">
      <c r="G139" s="65" t="str">
        <f t="shared" si="12"/>
        <v/>
      </c>
      <c r="O139" t="s">
        <v>379</v>
      </c>
      <c r="P139">
        <v>100</v>
      </c>
      <c r="Q139">
        <v>52.5</v>
      </c>
    </row>
    <row r="140" spans="7:17" x14ac:dyDescent="0.3">
      <c r="G140" s="65" t="str">
        <f t="shared" si="12"/>
        <v/>
      </c>
      <c r="O140" t="s">
        <v>383</v>
      </c>
      <c r="P140">
        <v>250</v>
      </c>
      <c r="Q140">
        <v>2.7</v>
      </c>
    </row>
    <row r="141" spans="7:17" x14ac:dyDescent="0.3">
      <c r="G141" s="65" t="str">
        <f t="shared" si="12"/>
        <v/>
      </c>
      <c r="O141" t="s">
        <v>383</v>
      </c>
      <c r="P141">
        <v>500</v>
      </c>
      <c r="Q141">
        <v>2.9</v>
      </c>
    </row>
    <row r="142" spans="7:17" x14ac:dyDescent="0.3">
      <c r="G142" s="65" t="str">
        <f t="shared" si="12"/>
        <v/>
      </c>
      <c r="O142" t="s">
        <v>383</v>
      </c>
      <c r="P142">
        <v>750</v>
      </c>
      <c r="Q142">
        <v>3.1</v>
      </c>
    </row>
    <row r="143" spans="7:17" x14ac:dyDescent="0.3">
      <c r="G143" s="65" t="str">
        <f t="shared" si="12"/>
        <v/>
      </c>
      <c r="O143" t="s">
        <v>31</v>
      </c>
      <c r="P143">
        <v>25</v>
      </c>
      <c r="Q143">
        <v>32</v>
      </c>
    </row>
    <row r="144" spans="7:17" x14ac:dyDescent="0.3">
      <c r="G144" s="65" t="str">
        <f t="shared" si="12"/>
        <v/>
      </c>
      <c r="O144" t="s">
        <v>31</v>
      </c>
      <c r="P144">
        <v>50</v>
      </c>
      <c r="Q144">
        <v>32.5</v>
      </c>
    </row>
    <row r="145" spans="7:17" x14ac:dyDescent="0.3">
      <c r="G145" s="65" t="str">
        <f t="shared" si="12"/>
        <v/>
      </c>
      <c r="O145" t="s">
        <v>31</v>
      </c>
      <c r="P145">
        <v>75</v>
      </c>
      <c r="Q145">
        <v>33</v>
      </c>
    </row>
    <row r="146" spans="7:17" x14ac:dyDescent="0.3">
      <c r="G146" s="65" t="str">
        <f t="shared" si="12"/>
        <v/>
      </c>
      <c r="O146" t="s">
        <v>31</v>
      </c>
      <c r="P146">
        <v>100</v>
      </c>
      <c r="Q146">
        <v>34</v>
      </c>
    </row>
    <row r="147" spans="7:17" x14ac:dyDescent="0.3">
      <c r="G147" s="65" t="str">
        <f t="shared" si="12"/>
        <v/>
      </c>
      <c r="O147" t="s">
        <v>444</v>
      </c>
      <c r="P147">
        <v>25</v>
      </c>
      <c r="Q147">
        <v>15</v>
      </c>
    </row>
    <row r="148" spans="7:17" x14ac:dyDescent="0.3">
      <c r="G148" s="65" t="str">
        <f t="shared" si="12"/>
        <v/>
      </c>
      <c r="O148" t="s">
        <v>444</v>
      </c>
      <c r="P148">
        <v>50</v>
      </c>
      <c r="Q148">
        <v>15.5</v>
      </c>
    </row>
    <row r="149" spans="7:17" x14ac:dyDescent="0.3">
      <c r="G149" s="65" t="str">
        <f t="shared" si="12"/>
        <v/>
      </c>
      <c r="O149" t="s">
        <v>444</v>
      </c>
      <c r="P149">
        <v>50</v>
      </c>
      <c r="Q149">
        <v>16</v>
      </c>
    </row>
    <row r="150" spans="7:17" x14ac:dyDescent="0.3">
      <c r="G150" s="65" t="str">
        <f t="shared" si="12"/>
        <v/>
      </c>
      <c r="O150" t="s">
        <v>444</v>
      </c>
      <c r="P150">
        <v>75</v>
      </c>
      <c r="Q150">
        <v>16.5</v>
      </c>
    </row>
    <row r="151" spans="7:17" x14ac:dyDescent="0.3">
      <c r="G151" s="65" t="str">
        <f t="shared" si="12"/>
        <v/>
      </c>
      <c r="O151" t="s">
        <v>50</v>
      </c>
      <c r="P151">
        <v>50</v>
      </c>
      <c r="Q151">
        <v>21</v>
      </c>
    </row>
    <row r="152" spans="7:17" x14ac:dyDescent="0.3">
      <c r="G152" s="65" t="str">
        <f t="shared" si="12"/>
        <v/>
      </c>
      <c r="O152" t="s">
        <v>33</v>
      </c>
      <c r="P152">
        <v>25</v>
      </c>
      <c r="Q152">
        <v>30</v>
      </c>
    </row>
    <row r="153" spans="7:17" x14ac:dyDescent="0.3">
      <c r="G153" s="65" t="str">
        <f t="shared" si="12"/>
        <v/>
      </c>
      <c r="O153" t="s">
        <v>33</v>
      </c>
      <c r="P153">
        <v>50</v>
      </c>
      <c r="Q153">
        <v>30.5</v>
      </c>
    </row>
    <row r="154" spans="7:17" x14ac:dyDescent="0.3">
      <c r="G154" s="65" t="str">
        <f t="shared" si="12"/>
        <v/>
      </c>
      <c r="O154" t="s">
        <v>33</v>
      </c>
      <c r="P154">
        <v>75</v>
      </c>
      <c r="Q154">
        <v>31</v>
      </c>
    </row>
    <row r="155" spans="7:17" x14ac:dyDescent="0.3">
      <c r="G155" s="65" t="str">
        <f t="shared" si="12"/>
        <v/>
      </c>
      <c r="O155" t="s">
        <v>33</v>
      </c>
      <c r="P155">
        <v>100</v>
      </c>
      <c r="Q155">
        <v>31.5</v>
      </c>
    </row>
    <row r="156" spans="7:17" x14ac:dyDescent="0.3">
      <c r="G156" s="65" t="str">
        <f t="shared" si="12"/>
        <v/>
      </c>
      <c r="O156" t="s">
        <v>34</v>
      </c>
      <c r="P156">
        <v>20</v>
      </c>
      <c r="Q156">
        <v>42</v>
      </c>
    </row>
    <row r="157" spans="7:17" x14ac:dyDescent="0.3">
      <c r="G157" s="65" t="str">
        <f t="shared" si="12"/>
        <v/>
      </c>
      <c r="O157" t="s">
        <v>34</v>
      </c>
      <c r="P157">
        <v>20</v>
      </c>
      <c r="Q157">
        <v>42.5</v>
      </c>
    </row>
    <row r="158" spans="7:17" x14ac:dyDescent="0.3">
      <c r="G158" s="65" t="str">
        <f t="shared" si="12"/>
        <v/>
      </c>
      <c r="O158" t="s">
        <v>498</v>
      </c>
      <c r="P158">
        <v>10</v>
      </c>
      <c r="Q158">
        <v>72</v>
      </c>
    </row>
    <row r="159" spans="7:17" x14ac:dyDescent="0.3">
      <c r="G159" s="65" t="str">
        <f t="shared" si="12"/>
        <v/>
      </c>
      <c r="O159" t="s">
        <v>498</v>
      </c>
      <c r="P159">
        <v>10</v>
      </c>
      <c r="Q159">
        <v>74</v>
      </c>
    </row>
    <row r="160" spans="7:17" x14ac:dyDescent="0.3">
      <c r="G160" s="65" t="str">
        <f t="shared" si="12"/>
        <v/>
      </c>
      <c r="O160" t="s">
        <v>46</v>
      </c>
      <c r="P160">
        <v>260</v>
      </c>
      <c r="Q160">
        <v>5</v>
      </c>
    </row>
    <row r="161" spans="7:17" x14ac:dyDescent="0.3">
      <c r="G161" s="65" t="str">
        <f t="shared" si="12"/>
        <v/>
      </c>
      <c r="O161" t="s">
        <v>46</v>
      </c>
      <c r="P161">
        <v>270</v>
      </c>
      <c r="Q161">
        <v>5</v>
      </c>
    </row>
    <row r="162" spans="7:17" x14ac:dyDescent="0.3">
      <c r="G162" s="65" t="str">
        <f t="shared" si="12"/>
        <v/>
      </c>
      <c r="O162" t="s">
        <v>37</v>
      </c>
      <c r="P162">
        <v>25</v>
      </c>
      <c r="Q162">
        <v>58</v>
      </c>
    </row>
    <row r="163" spans="7:17" x14ac:dyDescent="0.3">
      <c r="G163" s="65" t="str">
        <f t="shared" si="12"/>
        <v/>
      </c>
      <c r="O163" t="s">
        <v>37</v>
      </c>
      <c r="P163">
        <v>25</v>
      </c>
      <c r="Q163">
        <v>60</v>
      </c>
    </row>
    <row r="164" spans="7:17" x14ac:dyDescent="0.3">
      <c r="G164" s="65" t="str">
        <f t="shared" si="12"/>
        <v/>
      </c>
      <c r="O164" t="s">
        <v>37</v>
      </c>
      <c r="P164">
        <v>25</v>
      </c>
      <c r="Q164">
        <v>62</v>
      </c>
    </row>
    <row r="165" spans="7:17" x14ac:dyDescent="0.3">
      <c r="G165" s="65" t="str">
        <f t="shared" si="12"/>
        <v/>
      </c>
      <c r="O165" t="s">
        <v>37</v>
      </c>
      <c r="P165">
        <v>25</v>
      </c>
      <c r="Q165">
        <v>64</v>
      </c>
    </row>
    <row r="166" spans="7:17" x14ac:dyDescent="0.3">
      <c r="G166" s="65" t="str">
        <f t="shared" si="12"/>
        <v/>
      </c>
      <c r="O166" t="s">
        <v>38</v>
      </c>
      <c r="P166">
        <v>5</v>
      </c>
      <c r="Q166">
        <v>225</v>
      </c>
    </row>
    <row r="167" spans="7:17" x14ac:dyDescent="0.3">
      <c r="G167" s="65" t="str">
        <f t="shared" si="12"/>
        <v/>
      </c>
      <c r="O167" t="s">
        <v>38</v>
      </c>
      <c r="P167">
        <v>5</v>
      </c>
      <c r="Q167">
        <v>230</v>
      </c>
    </row>
    <row r="168" spans="7:17" x14ac:dyDescent="0.3">
      <c r="G168" s="65" t="str">
        <f t="shared" si="12"/>
        <v/>
      </c>
      <c r="O168" t="s">
        <v>38</v>
      </c>
      <c r="P168">
        <v>5</v>
      </c>
      <c r="Q168">
        <v>235</v>
      </c>
    </row>
    <row r="169" spans="7:17" x14ac:dyDescent="0.3">
      <c r="G169" s="65" t="str">
        <f t="shared" si="12"/>
        <v/>
      </c>
      <c r="O169" t="s">
        <v>39</v>
      </c>
      <c r="P169">
        <v>1</v>
      </c>
      <c r="Q169">
        <v>735</v>
      </c>
    </row>
    <row r="170" spans="7:17" x14ac:dyDescent="0.3">
      <c r="G170" s="65" t="str">
        <f t="shared" si="12"/>
        <v/>
      </c>
      <c r="O170" t="s">
        <v>39</v>
      </c>
      <c r="P170">
        <v>2</v>
      </c>
      <c r="Q170">
        <v>745</v>
      </c>
    </row>
    <row r="171" spans="7:17" x14ac:dyDescent="0.3">
      <c r="G171" s="65" t="str">
        <f t="shared" si="12"/>
        <v/>
      </c>
      <c r="O171" t="s">
        <v>39</v>
      </c>
      <c r="P171">
        <v>3</v>
      </c>
      <c r="Q171">
        <v>755</v>
      </c>
    </row>
    <row r="172" spans="7:17" x14ac:dyDescent="0.3">
      <c r="G172" s="65" t="str">
        <f t="shared" si="12"/>
        <v/>
      </c>
      <c r="O172" t="s">
        <v>39</v>
      </c>
      <c r="P172">
        <v>4</v>
      </c>
      <c r="Q172">
        <v>765</v>
      </c>
    </row>
    <row r="173" spans="7:17" x14ac:dyDescent="0.3">
      <c r="G173" s="65" t="str">
        <f t="shared" si="12"/>
        <v/>
      </c>
      <c r="O173" t="s">
        <v>41</v>
      </c>
      <c r="P173">
        <v>5</v>
      </c>
      <c r="Q173">
        <v>165</v>
      </c>
    </row>
    <row r="174" spans="7:17" x14ac:dyDescent="0.3">
      <c r="G174" s="65" t="str">
        <f t="shared" si="12"/>
        <v/>
      </c>
      <c r="O174" t="s">
        <v>41</v>
      </c>
      <c r="P174">
        <v>10</v>
      </c>
      <c r="Q174">
        <v>170</v>
      </c>
    </row>
    <row r="175" spans="7:17" x14ac:dyDescent="0.3">
      <c r="G175" s="65" t="str">
        <f t="shared" si="12"/>
        <v/>
      </c>
      <c r="O175" t="s">
        <v>41</v>
      </c>
      <c r="P175">
        <v>15</v>
      </c>
      <c r="Q175">
        <v>175</v>
      </c>
    </row>
    <row r="176" spans="7:17" x14ac:dyDescent="0.3">
      <c r="G176" s="65" t="str">
        <f t="shared" si="12"/>
        <v/>
      </c>
      <c r="O176" t="s">
        <v>41</v>
      </c>
      <c r="P176">
        <v>20</v>
      </c>
      <c r="Q176">
        <v>180</v>
      </c>
    </row>
    <row r="177" spans="7:17" x14ac:dyDescent="0.3">
      <c r="G177" s="65" t="str">
        <f t="shared" si="12"/>
        <v/>
      </c>
      <c r="O177" t="s">
        <v>43</v>
      </c>
      <c r="P177">
        <v>5</v>
      </c>
      <c r="Q177">
        <v>170</v>
      </c>
    </row>
    <row r="178" spans="7:17" x14ac:dyDescent="0.3">
      <c r="G178" s="65" t="str">
        <f t="shared" si="12"/>
        <v/>
      </c>
      <c r="O178" t="s">
        <v>43</v>
      </c>
      <c r="P178">
        <v>10</v>
      </c>
      <c r="Q178">
        <v>175</v>
      </c>
    </row>
    <row r="179" spans="7:17" x14ac:dyDescent="0.3">
      <c r="G179" s="65" t="str">
        <f t="shared" si="12"/>
        <v/>
      </c>
      <c r="O179" t="s">
        <v>43</v>
      </c>
      <c r="P179">
        <v>10</v>
      </c>
      <c r="Q179">
        <v>180</v>
      </c>
    </row>
    <row r="180" spans="7:17" x14ac:dyDescent="0.3">
      <c r="G180" s="65" t="str">
        <f t="shared" si="12"/>
        <v/>
      </c>
      <c r="O180" t="s">
        <v>43</v>
      </c>
      <c r="P180">
        <v>15</v>
      </c>
      <c r="Q180">
        <v>185</v>
      </c>
    </row>
    <row r="181" spans="7:17" x14ac:dyDescent="0.3">
      <c r="G181" s="65" t="str">
        <f t="shared" si="12"/>
        <v/>
      </c>
    </row>
    <row r="182" spans="7:17" x14ac:dyDescent="0.3">
      <c r="G182" s="65" t="str">
        <f t="shared" si="12"/>
        <v/>
      </c>
    </row>
    <row r="183" spans="7:17" x14ac:dyDescent="0.3">
      <c r="G183" s="65" t="str">
        <f t="shared" si="12"/>
        <v/>
      </c>
    </row>
    <row r="184" spans="7:17" x14ac:dyDescent="0.3">
      <c r="G184" s="65" t="str">
        <f t="shared" si="12"/>
        <v/>
      </c>
    </row>
    <row r="185" spans="7:17" x14ac:dyDescent="0.3">
      <c r="G185" s="65" t="str">
        <f t="shared" si="12"/>
        <v/>
      </c>
    </row>
    <row r="186" spans="7:17" x14ac:dyDescent="0.3">
      <c r="G186" s="65" t="str">
        <f t="shared" si="12"/>
        <v/>
      </c>
    </row>
    <row r="187" spans="7:17" x14ac:dyDescent="0.3">
      <c r="G187" s="65" t="str">
        <f t="shared" si="12"/>
        <v/>
      </c>
    </row>
    <row r="188" spans="7:17" x14ac:dyDescent="0.3">
      <c r="G188" s="65" t="str">
        <f t="shared" si="12"/>
        <v/>
      </c>
    </row>
    <row r="189" spans="7:17" x14ac:dyDescent="0.3">
      <c r="G189" s="65" t="str">
        <f t="shared" si="12"/>
        <v/>
      </c>
    </row>
    <row r="190" spans="7:17" x14ac:dyDescent="0.3">
      <c r="G190" s="65" t="str">
        <f t="shared" si="12"/>
        <v/>
      </c>
    </row>
    <row r="191" spans="7:17" x14ac:dyDescent="0.3">
      <c r="G191" s="65" t="str">
        <f t="shared" si="12"/>
        <v/>
      </c>
    </row>
    <row r="192" spans="7:17" x14ac:dyDescent="0.3">
      <c r="G192" s="65" t="str">
        <f t="shared" si="12"/>
        <v/>
      </c>
    </row>
    <row r="193" spans="7:15" x14ac:dyDescent="0.3">
      <c r="G193" s="65" t="str">
        <f t="shared" si="12"/>
        <v/>
      </c>
    </row>
    <row r="194" spans="7:15" x14ac:dyDescent="0.3">
      <c r="G194" s="65" t="str">
        <f t="shared" si="12"/>
        <v/>
      </c>
    </row>
    <row r="195" spans="7:15" x14ac:dyDescent="0.3">
      <c r="G195" s="65" t="str">
        <f t="shared" si="12"/>
        <v/>
      </c>
    </row>
    <row r="196" spans="7:15" x14ac:dyDescent="0.3">
      <c r="G196" s="65" t="str">
        <f t="shared" si="12"/>
        <v/>
      </c>
    </row>
    <row r="197" spans="7:15" x14ac:dyDescent="0.3">
      <c r="G197" s="65" t="str">
        <f t="shared" si="12"/>
        <v/>
      </c>
    </row>
    <row r="198" spans="7:15" x14ac:dyDescent="0.3">
      <c r="G198" s="65" t="str">
        <f t="shared" si="12"/>
        <v/>
      </c>
    </row>
    <row r="199" spans="7:15" x14ac:dyDescent="0.3">
      <c r="G199" s="65" t="str">
        <f t="shared" ref="G199:G262" si="13">IF(E199=0,"",IF(F199="","",(F199-E199)*D199))</f>
        <v/>
      </c>
    </row>
    <row r="200" spans="7:15" x14ac:dyDescent="0.3">
      <c r="G200" s="65" t="str">
        <f t="shared" si="13"/>
        <v/>
      </c>
    </row>
    <row r="201" spans="7:15" x14ac:dyDescent="0.3">
      <c r="G201" s="65" t="str">
        <f t="shared" si="13"/>
        <v/>
      </c>
      <c r="O201">
        <f>25*58+25*60+25*59+25*61</f>
        <v>5950</v>
      </c>
    </row>
    <row r="202" spans="7:15" x14ac:dyDescent="0.3">
      <c r="G202" s="65" t="str">
        <f t="shared" si="13"/>
        <v/>
      </c>
    </row>
    <row r="203" spans="7:15" x14ac:dyDescent="0.3">
      <c r="G203" s="65" t="str">
        <f t="shared" si="13"/>
        <v/>
      </c>
    </row>
    <row r="204" spans="7:15" x14ac:dyDescent="0.3">
      <c r="G204" s="65" t="str">
        <f t="shared" si="13"/>
        <v/>
      </c>
    </row>
    <row r="205" spans="7:15" x14ac:dyDescent="0.3">
      <c r="G205" s="65" t="str">
        <f t="shared" si="13"/>
        <v/>
      </c>
      <c r="O205">
        <f>60*48+45*47.4</f>
        <v>5013</v>
      </c>
    </row>
    <row r="206" spans="7:15" x14ac:dyDescent="0.3">
      <c r="G206" s="65" t="str">
        <f t="shared" si="13"/>
        <v/>
      </c>
    </row>
    <row r="207" spans="7:15" x14ac:dyDescent="0.3">
      <c r="G207" s="65" t="str">
        <f t="shared" si="13"/>
        <v/>
      </c>
      <c r="O207">
        <f>+O205/105</f>
        <v>47.74285714285714</v>
      </c>
    </row>
    <row r="208" spans="7:15" x14ac:dyDescent="0.3">
      <c r="G208" s="65" t="str">
        <f t="shared" si="13"/>
        <v/>
      </c>
    </row>
    <row r="209" spans="7:15" x14ac:dyDescent="0.3">
      <c r="G209" s="65" t="str">
        <f t="shared" si="13"/>
        <v/>
      </c>
    </row>
    <row r="210" spans="7:15" x14ac:dyDescent="0.3">
      <c r="G210" s="65" t="str">
        <f t="shared" si="13"/>
        <v/>
      </c>
    </row>
    <row r="211" spans="7:15" x14ac:dyDescent="0.3">
      <c r="G211" s="65" t="str">
        <f t="shared" si="13"/>
        <v/>
      </c>
    </row>
    <row r="212" spans="7:15" x14ac:dyDescent="0.3">
      <c r="G212" s="65" t="str">
        <f t="shared" si="13"/>
        <v/>
      </c>
    </row>
    <row r="213" spans="7:15" x14ac:dyDescent="0.3">
      <c r="G213" s="65" t="str">
        <f t="shared" si="13"/>
        <v/>
      </c>
    </row>
    <row r="214" spans="7:15" x14ac:dyDescent="0.3">
      <c r="G214" s="65" t="str">
        <f t="shared" si="13"/>
        <v/>
      </c>
    </row>
    <row r="215" spans="7:15" x14ac:dyDescent="0.3">
      <c r="G215" s="65" t="str">
        <f t="shared" si="13"/>
        <v/>
      </c>
    </row>
    <row r="216" spans="7:15" x14ac:dyDescent="0.3">
      <c r="G216" s="65" t="str">
        <f t="shared" si="13"/>
        <v/>
      </c>
      <c r="O216">
        <f>+O201/100</f>
        <v>59.5</v>
      </c>
    </row>
    <row r="217" spans="7:15" x14ac:dyDescent="0.3">
      <c r="G217" s="65" t="str">
        <f t="shared" si="13"/>
        <v/>
      </c>
    </row>
    <row r="218" spans="7:15" x14ac:dyDescent="0.3">
      <c r="G218" s="65" t="str">
        <f t="shared" si="13"/>
        <v/>
      </c>
    </row>
    <row r="219" spans="7:15" x14ac:dyDescent="0.3">
      <c r="G219" s="65" t="str">
        <f t="shared" si="13"/>
        <v/>
      </c>
    </row>
    <row r="220" spans="7:15" x14ac:dyDescent="0.3">
      <c r="G220" s="65" t="str">
        <f t="shared" si="13"/>
        <v/>
      </c>
    </row>
    <row r="221" spans="7:15" x14ac:dyDescent="0.3">
      <c r="G221" s="65" t="str">
        <f t="shared" si="13"/>
        <v/>
      </c>
    </row>
    <row r="222" spans="7:15" x14ac:dyDescent="0.3">
      <c r="G222" s="65" t="str">
        <f t="shared" si="13"/>
        <v/>
      </c>
    </row>
    <row r="223" spans="7:15" x14ac:dyDescent="0.3">
      <c r="G223" s="65" t="str">
        <f t="shared" si="13"/>
        <v/>
      </c>
    </row>
    <row r="224" spans="7:15" x14ac:dyDescent="0.3">
      <c r="G224" s="65" t="str">
        <f t="shared" si="13"/>
        <v/>
      </c>
    </row>
    <row r="225" spans="7:7" x14ac:dyDescent="0.3">
      <c r="G225" s="65" t="str">
        <f t="shared" si="13"/>
        <v/>
      </c>
    </row>
    <row r="226" spans="7:7" x14ac:dyDescent="0.3">
      <c r="G226" s="65" t="str">
        <f t="shared" si="13"/>
        <v/>
      </c>
    </row>
    <row r="227" spans="7:7" x14ac:dyDescent="0.3">
      <c r="G227" s="65" t="str">
        <f t="shared" si="13"/>
        <v/>
      </c>
    </row>
    <row r="228" spans="7:7" x14ac:dyDescent="0.3">
      <c r="G228" s="65" t="str">
        <f t="shared" si="13"/>
        <v/>
      </c>
    </row>
    <row r="229" spans="7:7" x14ac:dyDescent="0.3">
      <c r="G229" s="65" t="str">
        <f t="shared" si="13"/>
        <v/>
      </c>
    </row>
    <row r="230" spans="7:7" x14ac:dyDescent="0.3">
      <c r="G230" s="65" t="str">
        <f t="shared" si="13"/>
        <v/>
      </c>
    </row>
    <row r="231" spans="7:7" x14ac:dyDescent="0.3">
      <c r="G231" s="65" t="str">
        <f t="shared" si="13"/>
        <v/>
      </c>
    </row>
    <row r="232" spans="7:7" x14ac:dyDescent="0.3">
      <c r="G232" s="65" t="str">
        <f t="shared" si="13"/>
        <v/>
      </c>
    </row>
    <row r="233" spans="7:7" x14ac:dyDescent="0.3">
      <c r="G233" s="65" t="str">
        <f t="shared" si="13"/>
        <v/>
      </c>
    </row>
    <row r="234" spans="7:7" x14ac:dyDescent="0.3">
      <c r="G234" s="65" t="str">
        <f t="shared" si="13"/>
        <v/>
      </c>
    </row>
    <row r="235" spans="7:7" x14ac:dyDescent="0.3">
      <c r="G235" s="65" t="str">
        <f t="shared" si="13"/>
        <v/>
      </c>
    </row>
    <row r="236" spans="7:7" x14ac:dyDescent="0.3">
      <c r="G236" s="65" t="str">
        <f t="shared" si="13"/>
        <v/>
      </c>
    </row>
    <row r="237" spans="7:7" x14ac:dyDescent="0.3">
      <c r="G237" s="65" t="str">
        <f t="shared" si="13"/>
        <v/>
      </c>
    </row>
    <row r="238" spans="7:7" x14ac:dyDescent="0.3">
      <c r="G238" s="65" t="str">
        <f t="shared" si="13"/>
        <v/>
      </c>
    </row>
    <row r="239" spans="7:7" x14ac:dyDescent="0.3">
      <c r="G239" s="65" t="str">
        <f t="shared" si="13"/>
        <v/>
      </c>
    </row>
    <row r="240" spans="7:7" x14ac:dyDescent="0.3">
      <c r="G240" s="65" t="str">
        <f t="shared" si="13"/>
        <v/>
      </c>
    </row>
    <row r="241" spans="7:7" x14ac:dyDescent="0.3">
      <c r="G241" s="65" t="str">
        <f t="shared" si="13"/>
        <v/>
      </c>
    </row>
    <row r="242" spans="7:7" x14ac:dyDescent="0.3">
      <c r="G242" s="65" t="str">
        <f t="shared" si="13"/>
        <v/>
      </c>
    </row>
    <row r="243" spans="7:7" x14ac:dyDescent="0.3">
      <c r="G243" s="65" t="str">
        <f t="shared" si="13"/>
        <v/>
      </c>
    </row>
    <row r="244" spans="7:7" x14ac:dyDescent="0.3">
      <c r="G244" s="65" t="str">
        <f t="shared" si="13"/>
        <v/>
      </c>
    </row>
    <row r="245" spans="7:7" x14ac:dyDescent="0.3">
      <c r="G245" s="65" t="str">
        <f t="shared" si="13"/>
        <v/>
      </c>
    </row>
    <row r="246" spans="7:7" x14ac:dyDescent="0.3">
      <c r="G246" s="65" t="str">
        <f t="shared" si="13"/>
        <v/>
      </c>
    </row>
    <row r="247" spans="7:7" x14ac:dyDescent="0.3">
      <c r="G247" s="65" t="str">
        <f t="shared" si="13"/>
        <v/>
      </c>
    </row>
    <row r="248" spans="7:7" x14ac:dyDescent="0.3">
      <c r="G248" s="65" t="str">
        <f t="shared" si="13"/>
        <v/>
      </c>
    </row>
    <row r="249" spans="7:7" x14ac:dyDescent="0.3">
      <c r="G249" s="65" t="str">
        <f t="shared" si="13"/>
        <v/>
      </c>
    </row>
    <row r="250" spans="7:7" x14ac:dyDescent="0.3">
      <c r="G250" s="65" t="str">
        <f t="shared" si="13"/>
        <v/>
      </c>
    </row>
    <row r="251" spans="7:7" x14ac:dyDescent="0.3">
      <c r="G251" s="65" t="str">
        <f t="shared" si="13"/>
        <v/>
      </c>
    </row>
    <row r="252" spans="7:7" x14ac:dyDescent="0.3">
      <c r="G252" s="65" t="str">
        <f t="shared" si="13"/>
        <v/>
      </c>
    </row>
    <row r="253" spans="7:7" x14ac:dyDescent="0.3">
      <c r="G253" s="65" t="str">
        <f t="shared" si="13"/>
        <v/>
      </c>
    </row>
    <row r="254" spans="7:7" x14ac:dyDescent="0.3">
      <c r="G254" s="65" t="str">
        <f t="shared" si="13"/>
        <v/>
      </c>
    </row>
    <row r="255" spans="7:7" x14ac:dyDescent="0.3">
      <c r="G255" s="65" t="str">
        <f t="shared" si="13"/>
        <v/>
      </c>
    </row>
    <row r="256" spans="7:7" x14ac:dyDescent="0.3">
      <c r="G256" s="65" t="str">
        <f t="shared" si="13"/>
        <v/>
      </c>
    </row>
    <row r="257" spans="7:7" x14ac:dyDescent="0.3">
      <c r="G257" s="65" t="str">
        <f t="shared" si="13"/>
        <v/>
      </c>
    </row>
    <row r="258" spans="7:7" x14ac:dyDescent="0.3">
      <c r="G258" s="65" t="str">
        <f t="shared" si="13"/>
        <v/>
      </c>
    </row>
    <row r="259" spans="7:7" x14ac:dyDescent="0.3">
      <c r="G259" s="65" t="str">
        <f t="shared" si="13"/>
        <v/>
      </c>
    </row>
    <row r="260" spans="7:7" x14ac:dyDescent="0.3">
      <c r="G260" s="65" t="str">
        <f t="shared" si="13"/>
        <v/>
      </c>
    </row>
    <row r="261" spans="7:7" x14ac:dyDescent="0.3">
      <c r="G261" s="65" t="str">
        <f t="shared" si="13"/>
        <v/>
      </c>
    </row>
    <row r="262" spans="7:7" x14ac:dyDescent="0.3">
      <c r="G262" s="65" t="str">
        <f t="shared" si="13"/>
        <v/>
      </c>
    </row>
    <row r="263" spans="7:7" x14ac:dyDescent="0.3">
      <c r="G263" s="65" t="str">
        <f t="shared" ref="G263:G326" si="14">IF(E263=0,"",IF(F263="","",(F263-E263)*D263))</f>
        <v/>
      </c>
    </row>
    <row r="264" spans="7:7" x14ac:dyDescent="0.3">
      <c r="G264" s="65" t="str">
        <f t="shared" si="14"/>
        <v/>
      </c>
    </row>
    <row r="265" spans="7:7" x14ac:dyDescent="0.3">
      <c r="G265" s="65" t="str">
        <f t="shared" si="14"/>
        <v/>
      </c>
    </row>
    <row r="266" spans="7:7" x14ac:dyDescent="0.3">
      <c r="G266" s="65" t="str">
        <f t="shared" si="14"/>
        <v/>
      </c>
    </row>
    <row r="267" spans="7:7" x14ac:dyDescent="0.3">
      <c r="G267" s="65" t="str">
        <f t="shared" si="14"/>
        <v/>
      </c>
    </row>
    <row r="268" spans="7:7" x14ac:dyDescent="0.3">
      <c r="G268" s="65" t="str">
        <f t="shared" si="14"/>
        <v/>
      </c>
    </row>
    <row r="269" spans="7:7" x14ac:dyDescent="0.3">
      <c r="G269" s="65" t="str">
        <f t="shared" si="14"/>
        <v/>
      </c>
    </row>
    <row r="270" spans="7:7" x14ac:dyDescent="0.3">
      <c r="G270" s="65" t="str">
        <f t="shared" si="14"/>
        <v/>
      </c>
    </row>
    <row r="271" spans="7:7" x14ac:dyDescent="0.3">
      <c r="G271" s="65" t="str">
        <f t="shared" si="14"/>
        <v/>
      </c>
    </row>
    <row r="272" spans="7:7" x14ac:dyDescent="0.3">
      <c r="G272" s="65" t="str">
        <f t="shared" si="14"/>
        <v/>
      </c>
    </row>
    <row r="273" spans="7:7" x14ac:dyDescent="0.3">
      <c r="G273" s="65" t="str">
        <f t="shared" si="14"/>
        <v/>
      </c>
    </row>
    <row r="274" spans="7:7" x14ac:dyDescent="0.3">
      <c r="G274" s="65" t="str">
        <f t="shared" si="14"/>
        <v/>
      </c>
    </row>
    <row r="275" spans="7:7" x14ac:dyDescent="0.3">
      <c r="G275" s="65" t="str">
        <f t="shared" si="14"/>
        <v/>
      </c>
    </row>
    <row r="276" spans="7:7" x14ac:dyDescent="0.3">
      <c r="G276" s="65" t="str">
        <f t="shared" si="14"/>
        <v/>
      </c>
    </row>
    <row r="277" spans="7:7" x14ac:dyDescent="0.3">
      <c r="G277" s="65" t="str">
        <f t="shared" si="14"/>
        <v/>
      </c>
    </row>
    <row r="278" spans="7:7" x14ac:dyDescent="0.3">
      <c r="G278" s="65" t="str">
        <f t="shared" si="14"/>
        <v/>
      </c>
    </row>
    <row r="279" spans="7:7" x14ac:dyDescent="0.3">
      <c r="G279" s="65" t="str">
        <f t="shared" si="14"/>
        <v/>
      </c>
    </row>
    <row r="280" spans="7:7" x14ac:dyDescent="0.3">
      <c r="G280" s="65" t="str">
        <f t="shared" si="14"/>
        <v/>
      </c>
    </row>
    <row r="281" spans="7:7" x14ac:dyDescent="0.3">
      <c r="G281" s="65" t="str">
        <f t="shared" si="14"/>
        <v/>
      </c>
    </row>
    <row r="282" spans="7:7" x14ac:dyDescent="0.3">
      <c r="G282" s="65" t="str">
        <f t="shared" si="14"/>
        <v/>
      </c>
    </row>
    <row r="283" spans="7:7" x14ac:dyDescent="0.3">
      <c r="G283" s="65" t="str">
        <f t="shared" si="14"/>
        <v/>
      </c>
    </row>
    <row r="284" spans="7:7" x14ac:dyDescent="0.3">
      <c r="G284" s="65" t="str">
        <f t="shared" si="14"/>
        <v/>
      </c>
    </row>
    <row r="285" spans="7:7" x14ac:dyDescent="0.3">
      <c r="G285" s="65" t="str">
        <f t="shared" si="14"/>
        <v/>
      </c>
    </row>
    <row r="286" spans="7:7" x14ac:dyDescent="0.3">
      <c r="G286" s="65" t="str">
        <f t="shared" si="14"/>
        <v/>
      </c>
    </row>
    <row r="287" spans="7:7" x14ac:dyDescent="0.3">
      <c r="G287" s="65" t="str">
        <f t="shared" si="14"/>
        <v/>
      </c>
    </row>
    <row r="288" spans="7:7" x14ac:dyDescent="0.3">
      <c r="G288" s="65" t="str">
        <f t="shared" si="14"/>
        <v/>
      </c>
    </row>
    <row r="289" spans="7:7" x14ac:dyDescent="0.3">
      <c r="G289" s="65" t="str">
        <f t="shared" si="14"/>
        <v/>
      </c>
    </row>
    <row r="290" spans="7:7" x14ac:dyDescent="0.3">
      <c r="G290" s="65" t="str">
        <f t="shared" si="14"/>
        <v/>
      </c>
    </row>
    <row r="291" spans="7:7" x14ac:dyDescent="0.3">
      <c r="G291" s="65" t="str">
        <f t="shared" si="14"/>
        <v/>
      </c>
    </row>
    <row r="292" spans="7:7" x14ac:dyDescent="0.3">
      <c r="G292" s="65" t="str">
        <f t="shared" si="14"/>
        <v/>
      </c>
    </row>
    <row r="293" spans="7:7" x14ac:dyDescent="0.3">
      <c r="G293" s="65" t="str">
        <f t="shared" si="14"/>
        <v/>
      </c>
    </row>
    <row r="294" spans="7:7" x14ac:dyDescent="0.3">
      <c r="G294" s="65" t="str">
        <f t="shared" si="14"/>
        <v/>
      </c>
    </row>
    <row r="295" spans="7:7" x14ac:dyDescent="0.3">
      <c r="G295" s="65" t="str">
        <f t="shared" si="14"/>
        <v/>
      </c>
    </row>
    <row r="296" spans="7:7" x14ac:dyDescent="0.3">
      <c r="G296" s="65" t="str">
        <f t="shared" si="14"/>
        <v/>
      </c>
    </row>
    <row r="297" spans="7:7" x14ac:dyDescent="0.3">
      <c r="G297" s="65" t="str">
        <f t="shared" si="14"/>
        <v/>
      </c>
    </row>
    <row r="298" spans="7:7" x14ac:dyDescent="0.3">
      <c r="G298" s="65" t="str">
        <f t="shared" si="14"/>
        <v/>
      </c>
    </row>
    <row r="299" spans="7:7" x14ac:dyDescent="0.3">
      <c r="G299" s="65" t="str">
        <f t="shared" si="14"/>
        <v/>
      </c>
    </row>
    <row r="300" spans="7:7" x14ac:dyDescent="0.3">
      <c r="G300" s="65" t="str">
        <f t="shared" si="14"/>
        <v/>
      </c>
    </row>
    <row r="301" spans="7:7" x14ac:dyDescent="0.3">
      <c r="G301" s="65" t="str">
        <f t="shared" si="14"/>
        <v/>
      </c>
    </row>
    <row r="302" spans="7:7" x14ac:dyDescent="0.3">
      <c r="G302" s="65" t="str">
        <f t="shared" si="14"/>
        <v/>
      </c>
    </row>
    <row r="303" spans="7:7" x14ac:dyDescent="0.3">
      <c r="G303" s="65" t="str">
        <f t="shared" si="14"/>
        <v/>
      </c>
    </row>
    <row r="304" spans="7:7" x14ac:dyDescent="0.3">
      <c r="G304" s="65" t="str">
        <f t="shared" si="14"/>
        <v/>
      </c>
    </row>
    <row r="305" spans="7:7" x14ac:dyDescent="0.3">
      <c r="G305" s="65" t="str">
        <f t="shared" si="14"/>
        <v/>
      </c>
    </row>
    <row r="306" spans="7:7" x14ac:dyDescent="0.3">
      <c r="G306" s="65" t="str">
        <f t="shared" si="14"/>
        <v/>
      </c>
    </row>
    <row r="307" spans="7:7" x14ac:dyDescent="0.3">
      <c r="G307" s="65" t="str">
        <f t="shared" si="14"/>
        <v/>
      </c>
    </row>
    <row r="308" spans="7:7" x14ac:dyDescent="0.3">
      <c r="G308" s="65" t="str">
        <f t="shared" si="14"/>
        <v/>
      </c>
    </row>
    <row r="309" spans="7:7" x14ac:dyDescent="0.3">
      <c r="G309" s="65" t="str">
        <f t="shared" si="14"/>
        <v/>
      </c>
    </row>
    <row r="310" spans="7:7" x14ac:dyDescent="0.3">
      <c r="G310" s="65" t="str">
        <f t="shared" si="14"/>
        <v/>
      </c>
    </row>
    <row r="311" spans="7:7" x14ac:dyDescent="0.3">
      <c r="G311" s="65" t="str">
        <f t="shared" si="14"/>
        <v/>
      </c>
    </row>
    <row r="312" spans="7:7" x14ac:dyDescent="0.3">
      <c r="G312" s="65" t="str">
        <f t="shared" si="14"/>
        <v/>
      </c>
    </row>
    <row r="313" spans="7:7" x14ac:dyDescent="0.3">
      <c r="G313" s="65" t="str">
        <f t="shared" si="14"/>
        <v/>
      </c>
    </row>
    <row r="314" spans="7:7" x14ac:dyDescent="0.3">
      <c r="G314" s="65" t="str">
        <f t="shared" si="14"/>
        <v/>
      </c>
    </row>
    <row r="315" spans="7:7" x14ac:dyDescent="0.3">
      <c r="G315" s="65" t="str">
        <f t="shared" si="14"/>
        <v/>
      </c>
    </row>
    <row r="316" spans="7:7" x14ac:dyDescent="0.3">
      <c r="G316" s="65" t="str">
        <f t="shared" si="14"/>
        <v/>
      </c>
    </row>
    <row r="317" spans="7:7" x14ac:dyDescent="0.3">
      <c r="G317" s="65" t="str">
        <f t="shared" si="14"/>
        <v/>
      </c>
    </row>
    <row r="318" spans="7:7" x14ac:dyDescent="0.3">
      <c r="G318" s="65" t="str">
        <f t="shared" si="14"/>
        <v/>
      </c>
    </row>
    <row r="319" spans="7:7" x14ac:dyDescent="0.3">
      <c r="G319" s="65" t="str">
        <f t="shared" si="14"/>
        <v/>
      </c>
    </row>
    <row r="320" spans="7:7" x14ac:dyDescent="0.3">
      <c r="G320" s="65" t="str">
        <f t="shared" si="14"/>
        <v/>
      </c>
    </row>
    <row r="321" spans="7:7" x14ac:dyDescent="0.3">
      <c r="G321" s="65" t="str">
        <f t="shared" si="14"/>
        <v/>
      </c>
    </row>
    <row r="322" spans="7:7" x14ac:dyDescent="0.3">
      <c r="G322" s="65" t="str">
        <f t="shared" si="14"/>
        <v/>
      </c>
    </row>
    <row r="323" spans="7:7" x14ac:dyDescent="0.3">
      <c r="G323" s="65" t="str">
        <f t="shared" si="14"/>
        <v/>
      </c>
    </row>
    <row r="324" spans="7:7" x14ac:dyDescent="0.3">
      <c r="G324" s="65" t="str">
        <f t="shared" si="14"/>
        <v/>
      </c>
    </row>
    <row r="325" spans="7:7" x14ac:dyDescent="0.3">
      <c r="G325" s="65" t="str">
        <f t="shared" si="14"/>
        <v/>
      </c>
    </row>
    <row r="326" spans="7:7" x14ac:dyDescent="0.3">
      <c r="G326" s="65" t="str">
        <f t="shared" si="14"/>
        <v/>
      </c>
    </row>
    <row r="327" spans="7:7" x14ac:dyDescent="0.3">
      <c r="G327" s="65" t="str">
        <f t="shared" ref="G327:G390" si="15">IF(E327=0,"",IF(F327="","",(F327-E327)*D327))</f>
        <v/>
      </c>
    </row>
    <row r="328" spans="7:7" x14ac:dyDescent="0.3">
      <c r="G328" s="65" t="str">
        <f t="shared" si="15"/>
        <v/>
      </c>
    </row>
    <row r="329" spans="7:7" x14ac:dyDescent="0.3">
      <c r="G329" s="65" t="str">
        <f t="shared" si="15"/>
        <v/>
      </c>
    </row>
    <row r="330" spans="7:7" x14ac:dyDescent="0.3">
      <c r="G330" s="65" t="str">
        <f t="shared" si="15"/>
        <v/>
      </c>
    </row>
    <row r="331" spans="7:7" x14ac:dyDescent="0.3">
      <c r="G331" s="65" t="str">
        <f t="shared" si="15"/>
        <v/>
      </c>
    </row>
    <row r="332" spans="7:7" x14ac:dyDescent="0.3">
      <c r="G332" s="65" t="str">
        <f t="shared" si="15"/>
        <v/>
      </c>
    </row>
    <row r="333" spans="7:7" x14ac:dyDescent="0.3">
      <c r="G333" s="65" t="str">
        <f t="shared" si="15"/>
        <v/>
      </c>
    </row>
    <row r="334" spans="7:7" x14ac:dyDescent="0.3">
      <c r="G334" s="65" t="str">
        <f t="shared" si="15"/>
        <v/>
      </c>
    </row>
    <row r="335" spans="7:7" x14ac:dyDescent="0.3">
      <c r="G335" s="65" t="str">
        <f t="shared" si="15"/>
        <v/>
      </c>
    </row>
    <row r="336" spans="7:7" x14ac:dyDescent="0.3">
      <c r="G336" s="65" t="str">
        <f t="shared" si="15"/>
        <v/>
      </c>
    </row>
    <row r="337" spans="7:7" x14ac:dyDescent="0.3">
      <c r="G337" s="65" t="str">
        <f t="shared" si="15"/>
        <v/>
      </c>
    </row>
    <row r="338" spans="7:7" x14ac:dyDescent="0.3">
      <c r="G338" s="65" t="str">
        <f t="shared" si="15"/>
        <v/>
      </c>
    </row>
    <row r="339" spans="7:7" x14ac:dyDescent="0.3">
      <c r="G339" s="65" t="str">
        <f t="shared" si="15"/>
        <v/>
      </c>
    </row>
    <row r="340" spans="7:7" x14ac:dyDescent="0.3">
      <c r="G340" s="65" t="str">
        <f t="shared" si="15"/>
        <v/>
      </c>
    </row>
    <row r="341" spans="7:7" x14ac:dyDescent="0.3">
      <c r="G341" s="65" t="str">
        <f t="shared" si="15"/>
        <v/>
      </c>
    </row>
    <row r="342" spans="7:7" x14ac:dyDescent="0.3">
      <c r="G342" s="65" t="str">
        <f t="shared" si="15"/>
        <v/>
      </c>
    </row>
    <row r="343" spans="7:7" x14ac:dyDescent="0.3">
      <c r="G343" s="65" t="str">
        <f t="shared" si="15"/>
        <v/>
      </c>
    </row>
    <row r="344" spans="7:7" x14ac:dyDescent="0.3">
      <c r="G344" s="65" t="str">
        <f t="shared" si="15"/>
        <v/>
      </c>
    </row>
    <row r="345" spans="7:7" x14ac:dyDescent="0.3">
      <c r="G345" s="65" t="str">
        <f t="shared" si="15"/>
        <v/>
      </c>
    </row>
    <row r="346" spans="7:7" x14ac:dyDescent="0.3">
      <c r="G346" s="65" t="str">
        <f t="shared" si="15"/>
        <v/>
      </c>
    </row>
    <row r="347" spans="7:7" x14ac:dyDescent="0.3">
      <c r="G347" s="65" t="str">
        <f t="shared" si="15"/>
        <v/>
      </c>
    </row>
    <row r="348" spans="7:7" x14ac:dyDescent="0.3">
      <c r="G348" s="65" t="str">
        <f t="shared" si="15"/>
        <v/>
      </c>
    </row>
    <row r="349" spans="7:7" x14ac:dyDescent="0.3">
      <c r="G349" s="65" t="str">
        <f t="shared" si="15"/>
        <v/>
      </c>
    </row>
    <row r="350" spans="7:7" x14ac:dyDescent="0.3">
      <c r="G350" s="65" t="str">
        <f t="shared" si="15"/>
        <v/>
      </c>
    </row>
    <row r="351" spans="7:7" x14ac:dyDescent="0.3">
      <c r="G351" s="65" t="str">
        <f t="shared" si="15"/>
        <v/>
      </c>
    </row>
    <row r="352" spans="7:7" x14ac:dyDescent="0.3">
      <c r="G352" s="65" t="str">
        <f t="shared" si="15"/>
        <v/>
      </c>
    </row>
    <row r="353" spans="7:7" x14ac:dyDescent="0.3">
      <c r="G353" s="65" t="str">
        <f t="shared" si="15"/>
        <v/>
      </c>
    </row>
    <row r="354" spans="7:7" x14ac:dyDescent="0.3">
      <c r="G354" s="65" t="str">
        <f t="shared" si="15"/>
        <v/>
      </c>
    </row>
    <row r="355" spans="7:7" x14ac:dyDescent="0.3">
      <c r="G355" s="65" t="str">
        <f t="shared" si="15"/>
        <v/>
      </c>
    </row>
    <row r="356" spans="7:7" x14ac:dyDescent="0.3">
      <c r="G356" s="65" t="str">
        <f t="shared" si="15"/>
        <v/>
      </c>
    </row>
    <row r="357" spans="7:7" x14ac:dyDescent="0.3">
      <c r="G357" s="65" t="str">
        <f t="shared" si="15"/>
        <v/>
      </c>
    </row>
    <row r="358" spans="7:7" x14ac:dyDescent="0.3">
      <c r="G358" s="65" t="str">
        <f t="shared" si="15"/>
        <v/>
      </c>
    </row>
    <row r="359" spans="7:7" x14ac:dyDescent="0.3">
      <c r="G359" s="65" t="str">
        <f t="shared" si="15"/>
        <v/>
      </c>
    </row>
    <row r="360" spans="7:7" x14ac:dyDescent="0.3">
      <c r="G360" s="65" t="str">
        <f t="shared" si="15"/>
        <v/>
      </c>
    </row>
    <row r="361" spans="7:7" x14ac:dyDescent="0.3">
      <c r="G361" s="65" t="str">
        <f t="shared" si="15"/>
        <v/>
      </c>
    </row>
    <row r="362" spans="7:7" x14ac:dyDescent="0.3">
      <c r="G362" s="65" t="str">
        <f t="shared" si="15"/>
        <v/>
      </c>
    </row>
    <row r="363" spans="7:7" x14ac:dyDescent="0.3">
      <c r="G363" s="65" t="str">
        <f t="shared" si="15"/>
        <v/>
      </c>
    </row>
    <row r="364" spans="7:7" x14ac:dyDescent="0.3">
      <c r="G364" s="65" t="str">
        <f t="shared" si="15"/>
        <v/>
      </c>
    </row>
    <row r="365" spans="7:7" x14ac:dyDescent="0.3">
      <c r="G365" s="65" t="str">
        <f t="shared" si="15"/>
        <v/>
      </c>
    </row>
    <row r="366" spans="7:7" x14ac:dyDescent="0.3">
      <c r="G366" s="65" t="str">
        <f t="shared" si="15"/>
        <v/>
      </c>
    </row>
    <row r="367" spans="7:7" x14ac:dyDescent="0.3">
      <c r="G367" s="65" t="str">
        <f t="shared" si="15"/>
        <v/>
      </c>
    </row>
    <row r="368" spans="7:7" x14ac:dyDescent="0.3">
      <c r="G368" s="65" t="str">
        <f t="shared" si="15"/>
        <v/>
      </c>
    </row>
    <row r="369" spans="7:7" x14ac:dyDescent="0.3">
      <c r="G369" s="65" t="str">
        <f t="shared" si="15"/>
        <v/>
      </c>
    </row>
    <row r="370" spans="7:7" x14ac:dyDescent="0.3">
      <c r="G370" s="65" t="str">
        <f t="shared" si="15"/>
        <v/>
      </c>
    </row>
    <row r="371" spans="7:7" x14ac:dyDescent="0.3">
      <c r="G371" s="65" t="str">
        <f t="shared" si="15"/>
        <v/>
      </c>
    </row>
    <row r="372" spans="7:7" x14ac:dyDescent="0.3">
      <c r="G372" s="65" t="str">
        <f t="shared" si="15"/>
        <v/>
      </c>
    </row>
    <row r="373" spans="7:7" x14ac:dyDescent="0.3">
      <c r="G373" s="65" t="str">
        <f t="shared" si="15"/>
        <v/>
      </c>
    </row>
    <row r="374" spans="7:7" x14ac:dyDescent="0.3">
      <c r="G374" s="65" t="str">
        <f t="shared" si="15"/>
        <v/>
      </c>
    </row>
    <row r="375" spans="7:7" x14ac:dyDescent="0.3">
      <c r="G375" s="65" t="str">
        <f t="shared" si="15"/>
        <v/>
      </c>
    </row>
    <row r="376" spans="7:7" x14ac:dyDescent="0.3">
      <c r="G376" s="65" t="str">
        <f t="shared" si="15"/>
        <v/>
      </c>
    </row>
    <row r="377" spans="7:7" x14ac:dyDescent="0.3">
      <c r="G377" s="65" t="str">
        <f t="shared" si="15"/>
        <v/>
      </c>
    </row>
    <row r="378" spans="7:7" x14ac:dyDescent="0.3">
      <c r="G378" s="65" t="str">
        <f t="shared" si="15"/>
        <v/>
      </c>
    </row>
    <row r="379" spans="7:7" x14ac:dyDescent="0.3">
      <c r="G379" s="65" t="str">
        <f t="shared" si="15"/>
        <v/>
      </c>
    </row>
    <row r="380" spans="7:7" x14ac:dyDescent="0.3">
      <c r="G380" s="65" t="str">
        <f t="shared" si="15"/>
        <v/>
      </c>
    </row>
    <row r="381" spans="7:7" x14ac:dyDescent="0.3">
      <c r="G381" s="65" t="str">
        <f t="shared" si="15"/>
        <v/>
      </c>
    </row>
    <row r="382" spans="7:7" x14ac:dyDescent="0.3">
      <c r="G382" s="65" t="str">
        <f t="shared" si="15"/>
        <v/>
      </c>
    </row>
    <row r="383" spans="7:7" x14ac:dyDescent="0.3">
      <c r="G383" s="65" t="str">
        <f t="shared" si="15"/>
        <v/>
      </c>
    </row>
    <row r="384" spans="7:7" x14ac:dyDescent="0.3">
      <c r="G384" s="65" t="str">
        <f t="shared" si="15"/>
        <v/>
      </c>
    </row>
    <row r="385" spans="7:7" x14ac:dyDescent="0.3">
      <c r="G385" s="65" t="str">
        <f t="shared" si="15"/>
        <v/>
      </c>
    </row>
    <row r="386" spans="7:7" x14ac:dyDescent="0.3">
      <c r="G386" s="65" t="str">
        <f t="shared" si="15"/>
        <v/>
      </c>
    </row>
    <row r="387" spans="7:7" x14ac:dyDescent="0.3">
      <c r="G387" s="65" t="str">
        <f t="shared" si="15"/>
        <v/>
      </c>
    </row>
    <row r="388" spans="7:7" x14ac:dyDescent="0.3">
      <c r="G388" s="65" t="str">
        <f t="shared" si="15"/>
        <v/>
      </c>
    </row>
    <row r="389" spans="7:7" x14ac:dyDescent="0.3">
      <c r="G389" s="65" t="str">
        <f t="shared" si="15"/>
        <v/>
      </c>
    </row>
    <row r="390" spans="7:7" x14ac:dyDescent="0.3">
      <c r="G390" s="65" t="str">
        <f t="shared" si="15"/>
        <v/>
      </c>
    </row>
    <row r="391" spans="7:7" x14ac:dyDescent="0.3">
      <c r="G391" s="65" t="str">
        <f t="shared" ref="G391:G454" si="16">IF(E391=0,"",IF(F391="","",(F391-E391)*D391))</f>
        <v/>
      </c>
    </row>
    <row r="392" spans="7:7" x14ac:dyDescent="0.3">
      <c r="G392" s="65" t="str">
        <f t="shared" si="16"/>
        <v/>
      </c>
    </row>
    <row r="393" spans="7:7" x14ac:dyDescent="0.3">
      <c r="G393" s="65" t="str">
        <f t="shared" si="16"/>
        <v/>
      </c>
    </row>
    <row r="394" spans="7:7" x14ac:dyDescent="0.3">
      <c r="G394" s="65" t="str">
        <f t="shared" si="16"/>
        <v/>
      </c>
    </row>
    <row r="395" spans="7:7" x14ac:dyDescent="0.3">
      <c r="G395" s="65" t="str">
        <f t="shared" si="16"/>
        <v/>
      </c>
    </row>
    <row r="396" spans="7:7" x14ac:dyDescent="0.3">
      <c r="G396" s="65" t="str">
        <f t="shared" si="16"/>
        <v/>
      </c>
    </row>
    <row r="397" spans="7:7" x14ac:dyDescent="0.3">
      <c r="G397" s="65" t="str">
        <f t="shared" si="16"/>
        <v/>
      </c>
    </row>
    <row r="398" spans="7:7" x14ac:dyDescent="0.3">
      <c r="G398" s="65" t="str">
        <f t="shared" si="16"/>
        <v/>
      </c>
    </row>
    <row r="399" spans="7:7" x14ac:dyDescent="0.3">
      <c r="G399" s="65" t="str">
        <f t="shared" si="16"/>
        <v/>
      </c>
    </row>
    <row r="400" spans="7:7" x14ac:dyDescent="0.3">
      <c r="G400" s="65" t="str">
        <f t="shared" si="16"/>
        <v/>
      </c>
    </row>
    <row r="401" spans="7:7" x14ac:dyDescent="0.3">
      <c r="G401" s="65" t="str">
        <f t="shared" si="16"/>
        <v/>
      </c>
    </row>
    <row r="402" spans="7:7" x14ac:dyDescent="0.3">
      <c r="G402" s="65" t="str">
        <f t="shared" si="16"/>
        <v/>
      </c>
    </row>
    <row r="403" spans="7:7" x14ac:dyDescent="0.3">
      <c r="G403" s="65" t="str">
        <f t="shared" si="16"/>
        <v/>
      </c>
    </row>
    <row r="404" spans="7:7" x14ac:dyDescent="0.3">
      <c r="G404" s="65" t="str">
        <f t="shared" si="16"/>
        <v/>
      </c>
    </row>
    <row r="405" spans="7:7" x14ac:dyDescent="0.3">
      <c r="G405" s="65" t="str">
        <f t="shared" si="16"/>
        <v/>
      </c>
    </row>
    <row r="406" spans="7:7" x14ac:dyDescent="0.3">
      <c r="G406" s="65" t="str">
        <f t="shared" si="16"/>
        <v/>
      </c>
    </row>
    <row r="407" spans="7:7" x14ac:dyDescent="0.3">
      <c r="G407" s="65" t="str">
        <f t="shared" si="16"/>
        <v/>
      </c>
    </row>
    <row r="408" spans="7:7" x14ac:dyDescent="0.3">
      <c r="G408" s="65" t="str">
        <f t="shared" si="16"/>
        <v/>
      </c>
    </row>
    <row r="409" spans="7:7" x14ac:dyDescent="0.3">
      <c r="G409" s="65" t="str">
        <f t="shared" si="16"/>
        <v/>
      </c>
    </row>
    <row r="410" spans="7:7" x14ac:dyDescent="0.3">
      <c r="G410" s="65" t="str">
        <f t="shared" si="16"/>
        <v/>
      </c>
    </row>
    <row r="411" spans="7:7" x14ac:dyDescent="0.3">
      <c r="G411" s="65" t="str">
        <f t="shared" si="16"/>
        <v/>
      </c>
    </row>
    <row r="412" spans="7:7" x14ac:dyDescent="0.3">
      <c r="G412" s="65" t="str">
        <f t="shared" si="16"/>
        <v/>
      </c>
    </row>
    <row r="413" spans="7:7" x14ac:dyDescent="0.3">
      <c r="G413" s="65" t="str">
        <f t="shared" si="16"/>
        <v/>
      </c>
    </row>
    <row r="414" spans="7:7" x14ac:dyDescent="0.3">
      <c r="G414" s="65" t="str">
        <f t="shared" si="16"/>
        <v/>
      </c>
    </row>
    <row r="415" spans="7:7" x14ac:dyDescent="0.3">
      <c r="G415" s="65" t="str">
        <f t="shared" si="16"/>
        <v/>
      </c>
    </row>
    <row r="416" spans="7:7" x14ac:dyDescent="0.3">
      <c r="G416" s="65" t="str">
        <f t="shared" si="16"/>
        <v/>
      </c>
    </row>
    <row r="417" spans="7:7" x14ac:dyDescent="0.3">
      <c r="G417" s="65" t="str">
        <f t="shared" si="16"/>
        <v/>
      </c>
    </row>
    <row r="418" spans="7:7" x14ac:dyDescent="0.3">
      <c r="G418" s="65" t="str">
        <f t="shared" si="16"/>
        <v/>
      </c>
    </row>
    <row r="419" spans="7:7" x14ac:dyDescent="0.3">
      <c r="G419" s="65" t="str">
        <f t="shared" si="16"/>
        <v/>
      </c>
    </row>
    <row r="420" spans="7:7" x14ac:dyDescent="0.3">
      <c r="G420" s="65" t="str">
        <f t="shared" si="16"/>
        <v/>
      </c>
    </row>
    <row r="421" spans="7:7" x14ac:dyDescent="0.3">
      <c r="G421" s="65" t="str">
        <f t="shared" si="16"/>
        <v/>
      </c>
    </row>
    <row r="422" spans="7:7" x14ac:dyDescent="0.3">
      <c r="G422" s="65" t="str">
        <f t="shared" si="16"/>
        <v/>
      </c>
    </row>
    <row r="423" spans="7:7" x14ac:dyDescent="0.3">
      <c r="G423" s="65" t="str">
        <f t="shared" si="16"/>
        <v/>
      </c>
    </row>
    <row r="424" spans="7:7" x14ac:dyDescent="0.3">
      <c r="G424" s="65" t="str">
        <f t="shared" si="16"/>
        <v/>
      </c>
    </row>
    <row r="425" spans="7:7" x14ac:dyDescent="0.3">
      <c r="G425" s="65" t="str">
        <f t="shared" si="16"/>
        <v/>
      </c>
    </row>
    <row r="426" spans="7:7" x14ac:dyDescent="0.3">
      <c r="G426" s="65" t="str">
        <f t="shared" si="16"/>
        <v/>
      </c>
    </row>
    <row r="427" spans="7:7" x14ac:dyDescent="0.3">
      <c r="G427" s="65" t="str">
        <f t="shared" si="16"/>
        <v/>
      </c>
    </row>
    <row r="428" spans="7:7" x14ac:dyDescent="0.3">
      <c r="G428" s="65" t="str">
        <f t="shared" si="16"/>
        <v/>
      </c>
    </row>
    <row r="429" spans="7:7" x14ac:dyDescent="0.3">
      <c r="G429" s="65" t="str">
        <f t="shared" si="16"/>
        <v/>
      </c>
    </row>
    <row r="430" spans="7:7" x14ac:dyDescent="0.3">
      <c r="G430" s="65" t="str">
        <f t="shared" si="16"/>
        <v/>
      </c>
    </row>
    <row r="431" spans="7:7" x14ac:dyDescent="0.3">
      <c r="G431" s="65" t="str">
        <f t="shared" si="16"/>
        <v/>
      </c>
    </row>
    <row r="432" spans="7:7" x14ac:dyDescent="0.3">
      <c r="G432" s="65" t="str">
        <f t="shared" si="16"/>
        <v/>
      </c>
    </row>
    <row r="433" spans="7:7" x14ac:dyDescent="0.3">
      <c r="G433" s="65" t="str">
        <f t="shared" si="16"/>
        <v/>
      </c>
    </row>
    <row r="434" spans="7:7" x14ac:dyDescent="0.3">
      <c r="G434" s="65" t="str">
        <f t="shared" si="16"/>
        <v/>
      </c>
    </row>
    <row r="435" spans="7:7" x14ac:dyDescent="0.3">
      <c r="G435" s="65" t="str">
        <f t="shared" si="16"/>
        <v/>
      </c>
    </row>
    <row r="436" spans="7:7" x14ac:dyDescent="0.3">
      <c r="G436" s="65" t="str">
        <f t="shared" si="16"/>
        <v/>
      </c>
    </row>
    <row r="437" spans="7:7" x14ac:dyDescent="0.3">
      <c r="G437" s="65" t="str">
        <f t="shared" si="16"/>
        <v/>
      </c>
    </row>
    <row r="438" spans="7:7" x14ac:dyDescent="0.3">
      <c r="G438" s="65" t="str">
        <f t="shared" si="16"/>
        <v/>
      </c>
    </row>
    <row r="439" spans="7:7" x14ac:dyDescent="0.3">
      <c r="G439" s="65" t="str">
        <f t="shared" si="16"/>
        <v/>
      </c>
    </row>
    <row r="440" spans="7:7" x14ac:dyDescent="0.3">
      <c r="G440" s="65" t="str">
        <f t="shared" si="16"/>
        <v/>
      </c>
    </row>
    <row r="441" spans="7:7" x14ac:dyDescent="0.3">
      <c r="G441" s="65" t="str">
        <f t="shared" si="16"/>
        <v/>
      </c>
    </row>
    <row r="442" spans="7:7" x14ac:dyDescent="0.3">
      <c r="G442" s="65" t="str">
        <f t="shared" si="16"/>
        <v/>
      </c>
    </row>
    <row r="443" spans="7:7" x14ac:dyDescent="0.3">
      <c r="G443" s="65" t="str">
        <f t="shared" si="16"/>
        <v/>
      </c>
    </row>
    <row r="444" spans="7:7" x14ac:dyDescent="0.3">
      <c r="G444" s="65" t="str">
        <f t="shared" si="16"/>
        <v/>
      </c>
    </row>
    <row r="445" spans="7:7" x14ac:dyDescent="0.3">
      <c r="G445" s="65" t="str">
        <f t="shared" si="16"/>
        <v/>
      </c>
    </row>
    <row r="446" spans="7:7" x14ac:dyDescent="0.3">
      <c r="G446" s="65" t="str">
        <f t="shared" si="16"/>
        <v/>
      </c>
    </row>
    <row r="447" spans="7:7" x14ac:dyDescent="0.3">
      <c r="G447" s="65" t="str">
        <f t="shared" si="16"/>
        <v/>
      </c>
    </row>
    <row r="448" spans="7:7" x14ac:dyDescent="0.3">
      <c r="G448" s="65" t="str">
        <f t="shared" si="16"/>
        <v/>
      </c>
    </row>
    <row r="449" spans="7:7" x14ac:dyDescent="0.3">
      <c r="G449" s="65" t="str">
        <f t="shared" si="16"/>
        <v/>
      </c>
    </row>
    <row r="450" spans="7:7" x14ac:dyDescent="0.3">
      <c r="G450" s="65" t="str">
        <f t="shared" si="16"/>
        <v/>
      </c>
    </row>
    <row r="451" spans="7:7" x14ac:dyDescent="0.3">
      <c r="G451" s="65" t="str">
        <f t="shared" si="16"/>
        <v/>
      </c>
    </row>
    <row r="452" spans="7:7" x14ac:dyDescent="0.3">
      <c r="G452" s="65" t="str">
        <f t="shared" si="16"/>
        <v/>
      </c>
    </row>
    <row r="453" spans="7:7" x14ac:dyDescent="0.3">
      <c r="G453" s="65" t="str">
        <f t="shared" si="16"/>
        <v/>
      </c>
    </row>
    <row r="454" spans="7:7" x14ac:dyDescent="0.3">
      <c r="G454" s="65" t="str">
        <f t="shared" si="16"/>
        <v/>
      </c>
    </row>
    <row r="455" spans="7:7" x14ac:dyDescent="0.3">
      <c r="G455" s="65" t="str">
        <f t="shared" ref="G455:G504" si="17">IF(E455=0,"",IF(F455="","",(F455-E455)*D455))</f>
        <v/>
      </c>
    </row>
    <row r="456" spans="7:7" x14ac:dyDescent="0.3">
      <c r="G456" s="65" t="str">
        <f t="shared" si="17"/>
        <v/>
      </c>
    </row>
    <row r="457" spans="7:7" x14ac:dyDescent="0.3">
      <c r="G457" s="65" t="str">
        <f t="shared" si="17"/>
        <v/>
      </c>
    </row>
    <row r="458" spans="7:7" x14ac:dyDescent="0.3">
      <c r="G458" s="65" t="str">
        <f t="shared" si="17"/>
        <v/>
      </c>
    </row>
    <row r="459" spans="7:7" x14ac:dyDescent="0.3">
      <c r="G459" s="65" t="str">
        <f t="shared" si="17"/>
        <v/>
      </c>
    </row>
    <row r="460" spans="7:7" x14ac:dyDescent="0.3">
      <c r="G460" s="65" t="str">
        <f t="shared" si="17"/>
        <v/>
      </c>
    </row>
    <row r="461" spans="7:7" x14ac:dyDescent="0.3">
      <c r="G461" s="65" t="str">
        <f t="shared" si="17"/>
        <v/>
      </c>
    </row>
    <row r="462" spans="7:7" x14ac:dyDescent="0.3">
      <c r="G462" s="65" t="str">
        <f t="shared" si="17"/>
        <v/>
      </c>
    </row>
    <row r="463" spans="7:7" x14ac:dyDescent="0.3">
      <c r="G463" s="65" t="str">
        <f t="shared" si="17"/>
        <v/>
      </c>
    </row>
    <row r="464" spans="7:7" x14ac:dyDescent="0.3">
      <c r="G464" s="65" t="str">
        <f t="shared" si="17"/>
        <v/>
      </c>
    </row>
    <row r="465" spans="7:7" x14ac:dyDescent="0.3">
      <c r="G465" s="65" t="str">
        <f t="shared" si="17"/>
        <v/>
      </c>
    </row>
    <row r="466" spans="7:7" x14ac:dyDescent="0.3">
      <c r="G466" s="65" t="str">
        <f t="shared" si="17"/>
        <v/>
      </c>
    </row>
    <row r="467" spans="7:7" x14ac:dyDescent="0.3">
      <c r="G467" s="65" t="str">
        <f t="shared" si="17"/>
        <v/>
      </c>
    </row>
    <row r="468" spans="7:7" x14ac:dyDescent="0.3">
      <c r="G468" s="65" t="str">
        <f t="shared" si="17"/>
        <v/>
      </c>
    </row>
    <row r="469" spans="7:7" x14ac:dyDescent="0.3">
      <c r="G469" s="65" t="str">
        <f t="shared" si="17"/>
        <v/>
      </c>
    </row>
    <row r="470" spans="7:7" x14ac:dyDescent="0.3">
      <c r="G470" s="65" t="str">
        <f t="shared" si="17"/>
        <v/>
      </c>
    </row>
    <row r="471" spans="7:7" x14ac:dyDescent="0.3">
      <c r="G471" s="65" t="str">
        <f t="shared" si="17"/>
        <v/>
      </c>
    </row>
    <row r="472" spans="7:7" x14ac:dyDescent="0.3">
      <c r="G472" s="65" t="str">
        <f t="shared" si="17"/>
        <v/>
      </c>
    </row>
    <row r="473" spans="7:7" x14ac:dyDescent="0.3">
      <c r="G473" s="65" t="str">
        <f t="shared" si="17"/>
        <v/>
      </c>
    </row>
    <row r="474" spans="7:7" x14ac:dyDescent="0.3">
      <c r="G474" s="65" t="str">
        <f t="shared" si="17"/>
        <v/>
      </c>
    </row>
    <row r="475" spans="7:7" x14ac:dyDescent="0.3">
      <c r="G475" s="65" t="str">
        <f t="shared" si="17"/>
        <v/>
      </c>
    </row>
    <row r="476" spans="7:7" x14ac:dyDescent="0.3">
      <c r="G476" s="65" t="str">
        <f t="shared" si="17"/>
        <v/>
      </c>
    </row>
    <row r="477" spans="7:7" x14ac:dyDescent="0.3">
      <c r="G477" s="65" t="str">
        <f t="shared" si="17"/>
        <v/>
      </c>
    </row>
    <row r="478" spans="7:7" x14ac:dyDescent="0.3">
      <c r="G478" s="65" t="str">
        <f t="shared" si="17"/>
        <v/>
      </c>
    </row>
    <row r="479" spans="7:7" x14ac:dyDescent="0.3">
      <c r="G479" s="65" t="str">
        <f t="shared" si="17"/>
        <v/>
      </c>
    </row>
    <row r="480" spans="7:7" x14ac:dyDescent="0.3">
      <c r="G480" s="65" t="str">
        <f t="shared" si="17"/>
        <v/>
      </c>
    </row>
    <row r="481" spans="7:7" x14ac:dyDescent="0.3">
      <c r="G481" s="65" t="str">
        <f t="shared" si="17"/>
        <v/>
      </c>
    </row>
    <row r="482" spans="7:7" x14ac:dyDescent="0.3">
      <c r="G482" s="65" t="str">
        <f t="shared" si="17"/>
        <v/>
      </c>
    </row>
    <row r="483" spans="7:7" x14ac:dyDescent="0.3">
      <c r="G483" s="65" t="str">
        <f t="shared" si="17"/>
        <v/>
      </c>
    </row>
    <row r="484" spans="7:7" x14ac:dyDescent="0.3">
      <c r="G484" s="65" t="str">
        <f t="shared" si="17"/>
        <v/>
      </c>
    </row>
    <row r="485" spans="7:7" x14ac:dyDescent="0.3">
      <c r="G485" s="65" t="str">
        <f t="shared" si="17"/>
        <v/>
      </c>
    </row>
    <row r="486" spans="7:7" x14ac:dyDescent="0.3">
      <c r="G486" s="65" t="str">
        <f t="shared" si="17"/>
        <v/>
      </c>
    </row>
    <row r="487" spans="7:7" x14ac:dyDescent="0.3">
      <c r="G487" s="65" t="str">
        <f t="shared" si="17"/>
        <v/>
      </c>
    </row>
    <row r="488" spans="7:7" x14ac:dyDescent="0.3">
      <c r="G488" s="65" t="str">
        <f t="shared" si="17"/>
        <v/>
      </c>
    </row>
    <row r="489" spans="7:7" x14ac:dyDescent="0.3">
      <c r="G489" s="65" t="str">
        <f t="shared" si="17"/>
        <v/>
      </c>
    </row>
    <row r="490" spans="7:7" x14ac:dyDescent="0.3">
      <c r="G490" s="65" t="str">
        <f t="shared" si="17"/>
        <v/>
      </c>
    </row>
    <row r="491" spans="7:7" x14ac:dyDescent="0.3">
      <c r="G491" s="65" t="str">
        <f t="shared" si="17"/>
        <v/>
      </c>
    </row>
    <row r="492" spans="7:7" x14ac:dyDescent="0.3">
      <c r="G492" s="65" t="str">
        <f t="shared" si="17"/>
        <v/>
      </c>
    </row>
    <row r="493" spans="7:7" x14ac:dyDescent="0.3">
      <c r="G493" s="65" t="str">
        <f t="shared" si="17"/>
        <v/>
      </c>
    </row>
    <row r="494" spans="7:7" x14ac:dyDescent="0.3">
      <c r="G494" s="65" t="str">
        <f t="shared" si="17"/>
        <v/>
      </c>
    </row>
    <row r="495" spans="7:7" x14ac:dyDescent="0.3">
      <c r="G495" s="65" t="str">
        <f t="shared" si="17"/>
        <v/>
      </c>
    </row>
    <row r="496" spans="7:7" x14ac:dyDescent="0.3">
      <c r="G496" s="65" t="str">
        <f t="shared" si="17"/>
        <v/>
      </c>
    </row>
    <row r="497" spans="7:7" x14ac:dyDescent="0.3">
      <c r="G497" s="65" t="str">
        <f t="shared" si="17"/>
        <v/>
      </c>
    </row>
    <row r="498" spans="7:7" x14ac:dyDescent="0.3">
      <c r="G498" s="65" t="str">
        <f t="shared" si="17"/>
        <v/>
      </c>
    </row>
    <row r="499" spans="7:7" x14ac:dyDescent="0.3">
      <c r="G499" s="65" t="str">
        <f t="shared" si="17"/>
        <v/>
      </c>
    </row>
    <row r="500" spans="7:7" x14ac:dyDescent="0.3">
      <c r="G500" s="65" t="str">
        <f t="shared" si="17"/>
        <v/>
      </c>
    </row>
    <row r="501" spans="7:7" x14ac:dyDescent="0.3">
      <c r="G501" s="65" t="str">
        <f t="shared" si="17"/>
        <v/>
      </c>
    </row>
    <row r="502" spans="7:7" x14ac:dyDescent="0.3">
      <c r="G502" s="65" t="str">
        <f t="shared" si="17"/>
        <v/>
      </c>
    </row>
    <row r="503" spans="7:7" x14ac:dyDescent="0.3">
      <c r="G503" s="65" t="str">
        <f t="shared" si="17"/>
        <v/>
      </c>
    </row>
    <row r="504" spans="7:7" x14ac:dyDescent="0.3">
      <c r="G504" s="65" t="str">
        <f t="shared" si="17"/>
        <v/>
      </c>
    </row>
  </sheetData>
  <autoFilter ref="B2:G504" xr:uid="{6E79CB8E-3D33-4ABE-B2F8-FC97A550583B}">
    <filterColumn colId="5">
      <filters blank="1"/>
    </filterColumn>
    <sortState xmlns:xlrd2="http://schemas.microsoft.com/office/spreadsheetml/2017/richdata2" ref="B4:G504">
      <sortCondition ref="C2:C504"/>
    </sortState>
  </autoFilter>
  <conditionalFormatting sqref="G1:G504">
    <cfRule type="cellIs" dxfId="2" priority="1" operator="greater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8137A-EC17-4178-BC66-4F2B13BF6714}">
  <dimension ref="B1:K141"/>
  <sheetViews>
    <sheetView workbookViewId="0">
      <selection activeCell="E10" sqref="E10"/>
    </sheetView>
  </sheetViews>
  <sheetFormatPr defaultRowHeight="14.4" x14ac:dyDescent="0.3"/>
  <cols>
    <col min="3" max="3" width="26.33203125" style="57" customWidth="1"/>
    <col min="4" max="4" width="10.44140625" style="3" customWidth="1"/>
    <col min="5" max="5" width="29.5546875" style="61" customWidth="1"/>
    <col min="6" max="6" width="9.109375" style="3"/>
    <col min="7" max="7" width="37.44140625" style="61" customWidth="1"/>
    <col min="10" max="11" width="9.109375" style="3"/>
  </cols>
  <sheetData>
    <row r="1" spans="2:11" x14ac:dyDescent="0.3">
      <c r="D1" s="3">
        <v>10</v>
      </c>
      <c r="F1" s="3">
        <v>15</v>
      </c>
    </row>
    <row r="2" spans="2:11" x14ac:dyDescent="0.3">
      <c r="B2" s="42"/>
      <c r="C2" s="58"/>
      <c r="D2" s="88" t="s">
        <v>9</v>
      </c>
      <c r="E2" s="88"/>
      <c r="F2" s="88" t="s">
        <v>7</v>
      </c>
      <c r="G2" s="88"/>
      <c r="H2" s="40"/>
      <c r="I2" s="40"/>
      <c r="J2" s="41"/>
      <c r="K2" s="41"/>
    </row>
    <row r="3" spans="2:11" x14ac:dyDescent="0.3">
      <c r="B3" s="42"/>
      <c r="C3" s="58"/>
      <c r="D3" s="43" t="s">
        <v>582</v>
      </c>
      <c r="E3" s="62" t="s">
        <v>583</v>
      </c>
      <c r="F3" s="43" t="s">
        <v>582</v>
      </c>
      <c r="G3" s="62" t="s">
        <v>583</v>
      </c>
      <c r="H3" s="40"/>
      <c r="I3" s="40"/>
      <c r="J3" s="41" t="s">
        <v>592</v>
      </c>
      <c r="K3" s="41" t="s">
        <v>593</v>
      </c>
    </row>
    <row r="4" spans="2:11" x14ac:dyDescent="0.3">
      <c r="B4" s="50" t="s">
        <v>599</v>
      </c>
      <c r="C4" s="59">
        <v>4.5259999999999997E-5</v>
      </c>
      <c r="D4" s="52">
        <f>ROUNDUP($D$1/C4,0)</f>
        <v>220946</v>
      </c>
      <c r="E4" s="63" cm="1">
        <f t="array" ref="E4">1.05*SUMIFS(Tablo4[Fiyat],Tablo4[Hisse],B4,Tablo4[İşlem],"SATIŞ",Tablo4[Tarih],MAX(IF(Tablo4[Hisse]=B4,IF(Tablo4[İşlem]="SATIŞ",Tablo4[Tarih]))))</f>
        <v>3.4650000000000002E-5</v>
      </c>
      <c r="F4" s="52">
        <f>+D4*1.5</f>
        <v>331419</v>
      </c>
      <c r="G4" s="63">
        <f>+E4*0.9</f>
        <v>3.1185E-5</v>
      </c>
      <c r="J4" s="3">
        <f>+C4*0.9</f>
        <v>4.0734E-5</v>
      </c>
      <c r="K4" s="3">
        <f>+C4*1.1</f>
        <v>4.9786000000000001E-5</v>
      </c>
    </row>
    <row r="5" spans="2:11" x14ac:dyDescent="0.3">
      <c r="B5" s="50" t="s">
        <v>600</v>
      </c>
      <c r="C5" s="59">
        <v>4.8680000000000003</v>
      </c>
      <c r="D5" s="52">
        <f>ROUNDUP($D$1/C5,0)</f>
        <v>3</v>
      </c>
      <c r="E5" s="63" cm="1">
        <f t="array" ref="E5">1.05*SUMIFS(Tablo4[Fiyat],Tablo4[Hisse],B5,Tablo4[İşlem],"SATIŞ",Tablo4[Tarih],MAX(IF(Tablo4[Hisse]=B5,IF(Tablo4[İşlem]="SATIŞ",Tablo4[Tarih]))))</f>
        <v>5.1450000000000005</v>
      </c>
      <c r="F5" s="52">
        <f>+D5*1.5</f>
        <v>4.5</v>
      </c>
      <c r="G5" s="63">
        <f t="shared" ref="G5:G8" si="0">+E5*0.9</f>
        <v>4.6305000000000005</v>
      </c>
      <c r="J5" s="3">
        <f>+C5*0.9</f>
        <v>4.3812000000000006</v>
      </c>
      <c r="K5" s="3">
        <f>+C5*1.1</f>
        <v>5.3548000000000009</v>
      </c>
    </row>
    <row r="6" spans="2:11" x14ac:dyDescent="0.3">
      <c r="B6" s="50" t="s">
        <v>597</v>
      </c>
      <c r="C6" s="59">
        <v>0.28639999999999999</v>
      </c>
      <c r="D6" s="52">
        <f t="shared" ref="D6:D71" si="1">ROUNDUP($D$1/C6,0)</f>
        <v>35</v>
      </c>
      <c r="E6" s="63" cm="1">
        <f t="array" ref="E6">1.05*SUMIFS(Tablo4[Fiyat],Tablo4[Hisse],B6,Tablo4[İşlem],"SATIŞ",Tablo4[Tarih],MAX(IF(Tablo4[Hisse]=B6,IF(Tablo4[İşlem]="SATIŞ",Tablo4[Tarih]))))</f>
        <v>0.28350000000000003</v>
      </c>
      <c r="F6" s="52">
        <f t="shared" ref="F6:F50" si="2">+D6*1.5</f>
        <v>52.5</v>
      </c>
      <c r="G6" s="63">
        <f t="shared" si="0"/>
        <v>0.25515000000000004</v>
      </c>
      <c r="J6" s="3">
        <f t="shared" ref="J6:J71" si="3">+C6*0.9</f>
        <v>0.25775999999999999</v>
      </c>
      <c r="K6" s="3">
        <f t="shared" ref="K6:K71" si="4">+C6*1.1</f>
        <v>0.31503999999999999</v>
      </c>
    </row>
    <row r="7" spans="2:11" x14ac:dyDescent="0.3">
      <c r="B7" s="50" t="s">
        <v>598</v>
      </c>
      <c r="C7" s="59">
        <v>2.27E-5</v>
      </c>
      <c r="D7" s="52">
        <f t="shared" si="1"/>
        <v>440529</v>
      </c>
      <c r="E7" s="63" cm="1">
        <f t="array" ref="E7">1.05*SUMIFS(Tablo4[Fiyat],Tablo4[Hisse],B7,Tablo4[İşlem],"SATIŞ",Tablo4[Tarih],MAX(IF(Tablo4[Hisse]=B7,IF(Tablo4[İşlem]="SATIŞ",Tablo4[Tarih]))))</f>
        <v>2.7825000000000002E-5</v>
      </c>
      <c r="F7" s="52">
        <f t="shared" si="2"/>
        <v>660793.5</v>
      </c>
      <c r="G7" s="63">
        <f t="shared" si="0"/>
        <v>2.5042500000000003E-5</v>
      </c>
      <c r="J7" s="3">
        <f t="shared" si="3"/>
        <v>2.0429999999999999E-5</v>
      </c>
      <c r="K7" s="3">
        <f t="shared" si="4"/>
        <v>2.497E-5</v>
      </c>
    </row>
    <row r="8" spans="2:11" x14ac:dyDescent="0.3">
      <c r="B8" s="50" t="s">
        <v>596</v>
      </c>
      <c r="C8" s="59">
        <v>0.2576</v>
      </c>
      <c r="D8" s="52">
        <f t="shared" si="1"/>
        <v>39</v>
      </c>
      <c r="E8" s="63" cm="1">
        <f t="array" ref="E8">1.05*SUMIFS(Tablo4[Fiyat],Tablo4[Hisse],B8,Tablo4[İşlem],"SATIŞ",Tablo4[Tarih],MAX(IF(Tablo4[Hisse]=B8,IF(Tablo4[İşlem]="SATIŞ",Tablo4[Tarih]))))</f>
        <v>0.30030000000000001</v>
      </c>
      <c r="F8" s="52">
        <f t="shared" si="2"/>
        <v>58.5</v>
      </c>
      <c r="G8" s="63">
        <f t="shared" si="0"/>
        <v>0.27027000000000001</v>
      </c>
      <c r="J8" s="3">
        <f t="shared" si="3"/>
        <v>0.23183999999999999</v>
      </c>
      <c r="K8" s="3">
        <f t="shared" si="4"/>
        <v>0.28336</v>
      </c>
    </row>
    <row r="9" spans="2:11" x14ac:dyDescent="0.3">
      <c r="B9" s="50"/>
      <c r="C9" s="59">
        <f>SUMIFS(Tablo2[Son Fiyat],Tablo2[Şirket],B9)</f>
        <v>0</v>
      </c>
      <c r="D9" s="52" t="e">
        <f t="shared" si="1"/>
        <v>#DIV/0!</v>
      </c>
      <c r="E9" s="63" cm="1">
        <f t="array" ref="E9">1.05*SUMIFS(Tablo4[Fiyat],Tablo4[Hisse],B9,Tablo4[İşlem],"SATIŞ",Tablo4[Tarih],MAX(IF(Tablo4[Hisse]=B9,IF(Tablo4[İşlem]="SATIŞ",Tablo4[Tarih]))))</f>
        <v>0</v>
      </c>
      <c r="F9" s="52" t="e">
        <f t="shared" si="2"/>
        <v>#DIV/0!</v>
      </c>
      <c r="G9" s="63" cm="1">
        <f t="array" ref="G9">0.9*SUMIFS(Tablo4[Fiyat],Tablo4[Hisse],B9,Tablo4[İşlem],"SATIŞ",Tablo4[Tarih],MAX(IF(Tablo4[Hisse]=B9,IF(Tablo4[İşlem]="SATIŞ",Tablo4[Tarih]))))</f>
        <v>0</v>
      </c>
      <c r="J9" s="3">
        <f t="shared" si="3"/>
        <v>0</v>
      </c>
      <c r="K9" s="3">
        <f t="shared" si="4"/>
        <v>0</v>
      </c>
    </row>
    <row r="10" spans="2:11" x14ac:dyDescent="0.3">
      <c r="B10" s="50"/>
      <c r="C10" s="59">
        <f>SUMIFS(Tablo2[Son Fiyat],Tablo2[Şirket],B10)</f>
        <v>0</v>
      </c>
      <c r="D10" s="52" t="e">
        <f t="shared" si="1"/>
        <v>#DIV/0!</v>
      </c>
      <c r="E10" s="63" cm="1">
        <f t="array" ref="E10">1.05*SUMIFS(Tablo4[Fiyat],Tablo4[Hisse],B10,Tablo4[İşlem],"SATIŞ",Tablo4[Tarih],MAX(IF(Tablo4[Hisse]=B10,IF(Tablo4[İşlem]="SATIŞ",Tablo4[Tarih]))))</f>
        <v>0</v>
      </c>
      <c r="F10" s="52" t="e">
        <f t="shared" si="2"/>
        <v>#DIV/0!</v>
      </c>
      <c r="G10" s="63" cm="1">
        <f t="array" ref="G10">0.9*SUMIFS(Tablo4[Fiyat],Tablo4[Hisse],B10,Tablo4[İşlem],"SATIŞ",Tablo4[Tarih],MAX(IF(Tablo4[Hisse]=B10,IF(Tablo4[İşlem]="SATIŞ",Tablo4[Tarih]))))</f>
        <v>0</v>
      </c>
      <c r="J10" s="3">
        <f t="shared" si="3"/>
        <v>0</v>
      </c>
      <c r="K10" s="3">
        <f t="shared" si="4"/>
        <v>0</v>
      </c>
    </row>
    <row r="11" spans="2:11" x14ac:dyDescent="0.3">
      <c r="B11" s="50"/>
      <c r="C11" s="59">
        <f>SUMIFS(Tablo2[Son Fiyat],Tablo2[Şirket],B11)</f>
        <v>0</v>
      </c>
      <c r="D11" s="52" t="e">
        <f t="shared" si="1"/>
        <v>#DIV/0!</v>
      </c>
      <c r="E11" s="63" cm="1">
        <f t="array" ref="E11">1.05*SUMIFS(Tablo4[Fiyat],Tablo4[Hisse],B11,Tablo4[İşlem],"SATIŞ",Tablo4[Tarih],MAX(IF(Tablo4[Hisse]=B11,IF(Tablo4[İşlem]="SATIŞ",Tablo4[Tarih]))))</f>
        <v>0</v>
      </c>
      <c r="F11" s="52" t="e">
        <f t="shared" si="2"/>
        <v>#DIV/0!</v>
      </c>
      <c r="G11" s="63" cm="1">
        <f t="array" ref="G11">0.9*SUMIFS(Tablo4[Fiyat],Tablo4[Hisse],B11,Tablo4[İşlem],"SATIŞ",Tablo4[Tarih],MAX(IF(Tablo4[Hisse]=B11,IF(Tablo4[İşlem]="SATIŞ",Tablo4[Tarih]))))</f>
        <v>0</v>
      </c>
      <c r="J11" s="3">
        <f t="shared" si="3"/>
        <v>0</v>
      </c>
      <c r="K11" s="3">
        <f t="shared" si="4"/>
        <v>0</v>
      </c>
    </row>
    <row r="12" spans="2:11" x14ac:dyDescent="0.3">
      <c r="B12" s="50"/>
      <c r="C12" s="59">
        <f>SUMIFS(Tablo2[Son Fiyat],Tablo2[Şirket],B12)</f>
        <v>0</v>
      </c>
      <c r="D12" s="52" t="e">
        <f t="shared" si="1"/>
        <v>#DIV/0!</v>
      </c>
      <c r="E12" s="63" cm="1">
        <f t="array" ref="E12">1.05*SUMIFS(Tablo4[Fiyat],Tablo4[Hisse],B12,Tablo4[İşlem],"SATIŞ",Tablo4[Tarih],MAX(IF(Tablo4[Hisse]=B12,IF(Tablo4[İşlem]="SATIŞ",Tablo4[Tarih]))))</f>
        <v>0</v>
      </c>
      <c r="F12" s="52" t="e">
        <f t="shared" si="2"/>
        <v>#DIV/0!</v>
      </c>
      <c r="G12" s="63" cm="1">
        <f t="array" ref="G12">0.9*SUMIFS(Tablo4[Fiyat],Tablo4[Hisse],B12,Tablo4[İşlem],"SATIŞ",Tablo4[Tarih],MAX(IF(Tablo4[Hisse]=B12,IF(Tablo4[İşlem]="SATIŞ",Tablo4[Tarih]))))</f>
        <v>0</v>
      </c>
      <c r="J12" s="3">
        <f t="shared" si="3"/>
        <v>0</v>
      </c>
      <c r="K12" s="3">
        <f t="shared" si="4"/>
        <v>0</v>
      </c>
    </row>
    <row r="13" spans="2:11" x14ac:dyDescent="0.3">
      <c r="B13" s="50"/>
      <c r="C13" s="59">
        <f>SUMIFS(Tablo2[Son Fiyat],Tablo2[Şirket],B13)</f>
        <v>0</v>
      </c>
      <c r="D13" s="52" t="e">
        <f t="shared" si="1"/>
        <v>#DIV/0!</v>
      </c>
      <c r="E13" s="63" cm="1">
        <f t="array" ref="E13">1.05*SUMIFS(Tablo4[Fiyat],Tablo4[Hisse],B13,Tablo4[İşlem],"SATIŞ",Tablo4[Tarih],MAX(IF(Tablo4[Hisse]=B13,IF(Tablo4[İşlem]="SATIŞ",Tablo4[Tarih]))))</f>
        <v>0</v>
      </c>
      <c r="F13" s="52" t="e">
        <f t="shared" si="2"/>
        <v>#DIV/0!</v>
      </c>
      <c r="G13" s="63" cm="1">
        <f t="array" ref="G13">0.9*SUMIFS(Tablo4[Fiyat],Tablo4[Hisse],B13,Tablo4[İşlem],"SATIŞ",Tablo4[Tarih],MAX(IF(Tablo4[Hisse]=B13,IF(Tablo4[İşlem]="SATIŞ",Tablo4[Tarih]))))</f>
        <v>0</v>
      </c>
      <c r="J13" s="3">
        <f t="shared" si="3"/>
        <v>0</v>
      </c>
      <c r="K13" s="3">
        <f t="shared" si="4"/>
        <v>0</v>
      </c>
    </row>
    <row r="14" spans="2:11" x14ac:dyDescent="0.3">
      <c r="B14" s="50"/>
      <c r="C14" s="59">
        <f>SUMIFS(Tablo2[Son Fiyat],Tablo2[Şirket],B14)</f>
        <v>0</v>
      </c>
      <c r="D14" s="52" t="e">
        <f t="shared" si="1"/>
        <v>#DIV/0!</v>
      </c>
      <c r="E14" s="63" cm="1">
        <f t="array" ref="E14">1.05*SUMIFS(Tablo4[Fiyat],Tablo4[Hisse],B14,Tablo4[İşlem],"SATIŞ",Tablo4[Tarih],MAX(IF(Tablo4[Hisse]=B14,IF(Tablo4[İşlem]="SATIŞ",Tablo4[Tarih]))))</f>
        <v>0</v>
      </c>
      <c r="F14" s="52" t="e">
        <f t="shared" si="2"/>
        <v>#DIV/0!</v>
      </c>
      <c r="G14" s="63" cm="1">
        <f t="array" ref="G14">0.9*SUMIFS(Tablo4[Fiyat],Tablo4[Hisse],B14,Tablo4[İşlem],"SATIŞ",Tablo4[Tarih],MAX(IF(Tablo4[Hisse]=B14,IF(Tablo4[İşlem]="SATIŞ",Tablo4[Tarih]))))</f>
        <v>0</v>
      </c>
      <c r="J14" s="3">
        <f t="shared" si="3"/>
        <v>0</v>
      </c>
      <c r="K14" s="3">
        <f t="shared" si="4"/>
        <v>0</v>
      </c>
    </row>
    <row r="15" spans="2:11" x14ac:dyDescent="0.3">
      <c r="B15" s="50"/>
      <c r="C15" s="59">
        <f>SUMIFS(Tablo2[Son Fiyat],Tablo2[Şirket],B15)</f>
        <v>0</v>
      </c>
      <c r="D15" s="52" t="e">
        <f t="shared" si="1"/>
        <v>#DIV/0!</v>
      </c>
      <c r="E15" s="63" cm="1">
        <f t="array" ref="E15">1.05*SUMIFS(Tablo4[Fiyat],Tablo4[Hisse],B15,Tablo4[İşlem],"SATIŞ",Tablo4[Tarih],MAX(IF(Tablo4[Hisse]=B15,IF(Tablo4[İşlem]="SATIŞ",Tablo4[Tarih]))))</f>
        <v>0</v>
      </c>
      <c r="F15" s="52" t="e">
        <f t="shared" si="2"/>
        <v>#DIV/0!</v>
      </c>
      <c r="G15" s="63" cm="1">
        <f t="array" ref="G15">0.9*SUMIFS(Tablo4[Fiyat],Tablo4[Hisse],B15,Tablo4[İşlem],"SATIŞ",Tablo4[Tarih],MAX(IF(Tablo4[Hisse]=B15,IF(Tablo4[İşlem]="SATIŞ",Tablo4[Tarih]))))</f>
        <v>0</v>
      </c>
      <c r="J15" s="3">
        <f t="shared" si="3"/>
        <v>0</v>
      </c>
      <c r="K15" s="3">
        <f t="shared" si="4"/>
        <v>0</v>
      </c>
    </row>
    <row r="16" spans="2:11" x14ac:dyDescent="0.3">
      <c r="B16" s="50"/>
      <c r="C16" s="59">
        <f>SUMIFS(Tablo2[Son Fiyat],Tablo2[Şirket],B16)</f>
        <v>0</v>
      </c>
      <c r="D16" s="52" t="e">
        <f t="shared" si="1"/>
        <v>#DIV/0!</v>
      </c>
      <c r="E16" s="63" cm="1">
        <f t="array" ref="E16">1.05*SUMIFS(Tablo4[Fiyat],Tablo4[Hisse],B16,Tablo4[İşlem],"SATIŞ",Tablo4[Tarih],MAX(IF(Tablo4[Hisse]=B16,IF(Tablo4[İşlem]="SATIŞ",Tablo4[Tarih]))))</f>
        <v>0</v>
      </c>
      <c r="F16" s="52" t="e">
        <f t="shared" si="2"/>
        <v>#DIV/0!</v>
      </c>
      <c r="G16" s="63" cm="1">
        <f t="array" ref="G16">0.9*SUMIFS(Tablo4[Fiyat],Tablo4[Hisse],B16,Tablo4[İşlem],"SATIŞ",Tablo4[Tarih],MAX(IF(Tablo4[Hisse]=B16,IF(Tablo4[İşlem]="SATIŞ",Tablo4[Tarih]))))</f>
        <v>0</v>
      </c>
      <c r="J16" s="3">
        <f t="shared" si="3"/>
        <v>0</v>
      </c>
      <c r="K16" s="3">
        <f t="shared" si="4"/>
        <v>0</v>
      </c>
    </row>
    <row r="17" spans="2:11" x14ac:dyDescent="0.3">
      <c r="B17" s="50"/>
      <c r="C17" s="59">
        <f>SUMIFS(Tablo2[Son Fiyat],Tablo2[Şirket],B17)</f>
        <v>0</v>
      </c>
      <c r="D17" s="52" t="e">
        <f t="shared" si="1"/>
        <v>#DIV/0!</v>
      </c>
      <c r="E17" s="63" cm="1">
        <f t="array" ref="E17">1.05*SUMIFS(Tablo4[Fiyat],Tablo4[Hisse],B17,Tablo4[İşlem],"SATIŞ",Tablo4[Tarih],MAX(IF(Tablo4[Hisse]=B17,IF(Tablo4[İşlem]="SATIŞ",Tablo4[Tarih]))))</f>
        <v>0</v>
      </c>
      <c r="F17" s="52" t="e">
        <f t="shared" si="2"/>
        <v>#DIV/0!</v>
      </c>
      <c r="G17" s="63" cm="1">
        <f t="array" ref="G17">0.9*SUMIFS(Tablo4[Fiyat],Tablo4[Hisse],B17,Tablo4[İşlem],"SATIŞ",Tablo4[Tarih],MAX(IF(Tablo4[Hisse]=B17,IF(Tablo4[İşlem]="SATIŞ",Tablo4[Tarih]))))</f>
        <v>0</v>
      </c>
      <c r="J17" s="3">
        <f t="shared" si="3"/>
        <v>0</v>
      </c>
      <c r="K17" s="3">
        <f t="shared" si="4"/>
        <v>0</v>
      </c>
    </row>
    <row r="18" spans="2:11" x14ac:dyDescent="0.3">
      <c r="B18" s="50"/>
      <c r="C18" s="59">
        <f>SUMIFS(Tablo2[Son Fiyat],Tablo2[Şirket],B18)</f>
        <v>0</v>
      </c>
      <c r="D18" s="52" t="e">
        <f t="shared" si="1"/>
        <v>#DIV/0!</v>
      </c>
      <c r="E18" s="63" cm="1">
        <f t="array" ref="E18">1.05*SUMIFS(Tablo4[Fiyat],Tablo4[Hisse],B18,Tablo4[İşlem],"SATIŞ",Tablo4[Tarih],MAX(IF(Tablo4[Hisse]=B18,IF(Tablo4[İşlem]="SATIŞ",Tablo4[Tarih]))))</f>
        <v>0</v>
      </c>
      <c r="F18" s="52" t="e">
        <f t="shared" si="2"/>
        <v>#DIV/0!</v>
      </c>
      <c r="G18" s="63" cm="1">
        <f t="array" ref="G18">0.9*SUMIFS(Tablo4[Fiyat],Tablo4[Hisse],B18,Tablo4[İşlem],"SATIŞ",Tablo4[Tarih],MAX(IF(Tablo4[Hisse]=B18,IF(Tablo4[İşlem]="SATIŞ",Tablo4[Tarih]))))</f>
        <v>0</v>
      </c>
      <c r="J18" s="3">
        <f t="shared" si="3"/>
        <v>0</v>
      </c>
      <c r="K18" s="3">
        <f t="shared" si="4"/>
        <v>0</v>
      </c>
    </row>
    <row r="19" spans="2:11" x14ac:dyDescent="0.3">
      <c r="B19" s="50"/>
      <c r="C19" s="59">
        <f>SUMIFS(Tablo2[Son Fiyat],Tablo2[Şirket],B19)</f>
        <v>0</v>
      </c>
      <c r="D19" s="52" t="e">
        <f t="shared" si="1"/>
        <v>#DIV/0!</v>
      </c>
      <c r="E19" s="63" cm="1">
        <f t="array" ref="E19">1.05*SUMIFS(Tablo4[Fiyat],Tablo4[Hisse],B19,Tablo4[İşlem],"SATIŞ",Tablo4[Tarih],MAX(IF(Tablo4[Hisse]=B19,IF(Tablo4[İşlem]="SATIŞ",Tablo4[Tarih]))))</f>
        <v>0</v>
      </c>
      <c r="F19" s="52" t="e">
        <f t="shared" si="2"/>
        <v>#DIV/0!</v>
      </c>
      <c r="G19" s="63" cm="1">
        <f t="array" ref="G19">0.9*SUMIFS(Tablo4[Fiyat],Tablo4[Hisse],B19,Tablo4[İşlem],"SATIŞ",Tablo4[Tarih],MAX(IF(Tablo4[Hisse]=B19,IF(Tablo4[İşlem]="SATIŞ",Tablo4[Tarih]))))</f>
        <v>0</v>
      </c>
      <c r="J19" s="3">
        <f t="shared" si="3"/>
        <v>0</v>
      </c>
      <c r="K19" s="3">
        <f t="shared" si="4"/>
        <v>0</v>
      </c>
    </row>
    <row r="20" spans="2:11" x14ac:dyDescent="0.3">
      <c r="B20" s="50"/>
      <c r="C20" s="59">
        <f>SUMIFS(Tablo2[Son Fiyat],Tablo2[Şirket],B20)</f>
        <v>0</v>
      </c>
      <c r="D20" s="52" t="e">
        <f t="shared" si="1"/>
        <v>#DIV/0!</v>
      </c>
      <c r="E20" s="63" cm="1">
        <f t="array" ref="E20">1.05*SUMIFS(Tablo4[Fiyat],Tablo4[Hisse],B20,Tablo4[İşlem],"SATIŞ",Tablo4[Tarih],MAX(IF(Tablo4[Hisse]=B20,IF(Tablo4[İşlem]="SATIŞ",Tablo4[Tarih]))))</f>
        <v>0</v>
      </c>
      <c r="F20" s="52" t="e">
        <f t="shared" si="2"/>
        <v>#DIV/0!</v>
      </c>
      <c r="G20" s="63" cm="1">
        <f t="array" ref="G20">0.9*SUMIFS(Tablo4[Fiyat],Tablo4[Hisse],B20,Tablo4[İşlem],"SATIŞ",Tablo4[Tarih],MAX(IF(Tablo4[Hisse]=B20,IF(Tablo4[İşlem]="SATIŞ",Tablo4[Tarih]))))</f>
        <v>0</v>
      </c>
      <c r="J20" s="3">
        <f t="shared" si="3"/>
        <v>0</v>
      </c>
      <c r="K20" s="3">
        <f t="shared" si="4"/>
        <v>0</v>
      </c>
    </row>
    <row r="21" spans="2:11" x14ac:dyDescent="0.3">
      <c r="B21" s="50"/>
      <c r="C21" s="59">
        <f>SUMIFS(Tablo2[Son Fiyat],Tablo2[Şirket],B21)</f>
        <v>0</v>
      </c>
      <c r="D21" s="52" t="e">
        <f t="shared" si="1"/>
        <v>#DIV/0!</v>
      </c>
      <c r="E21" s="63" cm="1">
        <f t="array" ref="E21">1.05*SUMIFS(Tablo4[Fiyat],Tablo4[Hisse],B21,Tablo4[İşlem],"SATIŞ",Tablo4[Tarih],MAX(IF(Tablo4[Hisse]=B21,IF(Tablo4[İşlem]="SATIŞ",Tablo4[Tarih]))))</f>
        <v>0</v>
      </c>
      <c r="F21" s="52" t="e">
        <f t="shared" si="2"/>
        <v>#DIV/0!</v>
      </c>
      <c r="G21" s="63" cm="1">
        <f t="array" ref="G21">0.9*SUMIFS(Tablo4[Fiyat],Tablo4[Hisse],B21,Tablo4[İşlem],"SATIŞ",Tablo4[Tarih],MAX(IF(Tablo4[Hisse]=B21,IF(Tablo4[İşlem]="SATIŞ",Tablo4[Tarih]))))</f>
        <v>0</v>
      </c>
      <c r="J21" s="3">
        <f t="shared" si="3"/>
        <v>0</v>
      </c>
      <c r="K21" s="3">
        <f t="shared" si="4"/>
        <v>0</v>
      </c>
    </row>
    <row r="22" spans="2:11" x14ac:dyDescent="0.3">
      <c r="B22" s="50"/>
      <c r="C22" s="59">
        <f>SUMIFS(Tablo2[Son Fiyat],Tablo2[Şirket],B22)</f>
        <v>0</v>
      </c>
      <c r="D22" s="52" t="e">
        <f t="shared" si="1"/>
        <v>#DIV/0!</v>
      </c>
      <c r="E22" s="63" cm="1">
        <f t="array" ref="E22">1.05*SUMIFS(Tablo4[Fiyat],Tablo4[Hisse],B22,Tablo4[İşlem],"SATIŞ",Tablo4[Tarih],MAX(IF(Tablo4[Hisse]=B22,IF(Tablo4[İşlem]="SATIŞ",Tablo4[Tarih]))))</f>
        <v>0</v>
      </c>
      <c r="F22" s="52" t="e">
        <f t="shared" si="2"/>
        <v>#DIV/0!</v>
      </c>
      <c r="G22" s="63" cm="1">
        <f t="array" ref="G22">0.9*SUMIFS(Tablo4[Fiyat],Tablo4[Hisse],B22,Tablo4[İşlem],"SATIŞ",Tablo4[Tarih],MAX(IF(Tablo4[Hisse]=B22,IF(Tablo4[İşlem]="SATIŞ",Tablo4[Tarih]))))</f>
        <v>0</v>
      </c>
      <c r="J22" s="3">
        <f t="shared" si="3"/>
        <v>0</v>
      </c>
      <c r="K22" s="3">
        <f t="shared" si="4"/>
        <v>0</v>
      </c>
    </row>
    <row r="23" spans="2:11" x14ac:dyDescent="0.3">
      <c r="B23" s="50"/>
      <c r="C23" s="59">
        <f>SUMIFS(Tablo2[Son Fiyat],Tablo2[Şirket],B23)</f>
        <v>0</v>
      </c>
      <c r="D23" s="52" t="e">
        <f t="shared" si="1"/>
        <v>#DIV/0!</v>
      </c>
      <c r="E23" s="63" cm="1">
        <f t="array" ref="E23">1.05*SUMIFS(Tablo4[Fiyat],Tablo4[Hisse],B23,Tablo4[İşlem],"SATIŞ",Tablo4[Tarih],MAX(IF(Tablo4[Hisse]=B23,IF(Tablo4[İşlem]="SATIŞ",Tablo4[Tarih]))))</f>
        <v>0</v>
      </c>
      <c r="F23" s="52" t="e">
        <f t="shared" si="2"/>
        <v>#DIV/0!</v>
      </c>
      <c r="G23" s="63" cm="1">
        <f t="array" ref="G23">0.9*SUMIFS(Tablo4[Fiyat],Tablo4[Hisse],B23,Tablo4[İşlem],"SATIŞ",Tablo4[Tarih],MAX(IF(Tablo4[Hisse]=B23,IF(Tablo4[İşlem]="SATIŞ",Tablo4[Tarih]))))</f>
        <v>0</v>
      </c>
      <c r="J23" s="3">
        <f t="shared" si="3"/>
        <v>0</v>
      </c>
      <c r="K23" s="3">
        <f t="shared" si="4"/>
        <v>0</v>
      </c>
    </row>
    <row r="24" spans="2:11" x14ac:dyDescent="0.3">
      <c r="B24" s="50"/>
      <c r="C24" s="59">
        <f>SUMIFS(Tablo2[Son Fiyat],Tablo2[Şirket],B24)</f>
        <v>0</v>
      </c>
      <c r="D24" s="52" t="e">
        <f t="shared" si="1"/>
        <v>#DIV/0!</v>
      </c>
      <c r="E24" s="63" cm="1">
        <f t="array" ref="E24">1.05*SUMIFS(Tablo4[Fiyat],Tablo4[Hisse],B24,Tablo4[İşlem],"SATIŞ",Tablo4[Tarih],MAX(IF(Tablo4[Hisse]=B24,IF(Tablo4[İşlem]="SATIŞ",Tablo4[Tarih]))))</f>
        <v>0</v>
      </c>
      <c r="F24" s="52" t="e">
        <f t="shared" si="2"/>
        <v>#DIV/0!</v>
      </c>
      <c r="G24" s="63" cm="1">
        <f t="array" ref="G24">0.9*SUMIFS(Tablo4[Fiyat],Tablo4[Hisse],B24,Tablo4[İşlem],"SATIŞ",Tablo4[Tarih],MAX(IF(Tablo4[Hisse]=B24,IF(Tablo4[İşlem]="SATIŞ",Tablo4[Tarih]))))</f>
        <v>0</v>
      </c>
      <c r="J24" s="3">
        <f t="shared" si="3"/>
        <v>0</v>
      </c>
      <c r="K24" s="3">
        <f t="shared" si="4"/>
        <v>0</v>
      </c>
    </row>
    <row r="25" spans="2:11" x14ac:dyDescent="0.3">
      <c r="B25" s="50"/>
      <c r="C25" s="59">
        <f>SUMIFS(Tablo2[Son Fiyat],Tablo2[Şirket],B25)</f>
        <v>0</v>
      </c>
      <c r="D25" s="52" t="e">
        <f t="shared" si="1"/>
        <v>#DIV/0!</v>
      </c>
      <c r="E25" s="63" cm="1">
        <f t="array" ref="E25">1.05*SUMIFS(Tablo4[Fiyat],Tablo4[Hisse],B25,Tablo4[İşlem],"SATIŞ",Tablo4[Tarih],MAX(IF(Tablo4[Hisse]=B25,IF(Tablo4[İşlem]="SATIŞ",Tablo4[Tarih]))))</f>
        <v>0</v>
      </c>
      <c r="F25" s="52" t="e">
        <f t="shared" si="2"/>
        <v>#DIV/0!</v>
      </c>
      <c r="G25" s="63" cm="1">
        <f t="array" ref="G25">0.9*SUMIFS(Tablo4[Fiyat],Tablo4[Hisse],B25,Tablo4[İşlem],"SATIŞ",Tablo4[Tarih],MAX(IF(Tablo4[Hisse]=B25,IF(Tablo4[İşlem]="SATIŞ",Tablo4[Tarih]))))</f>
        <v>0</v>
      </c>
      <c r="J25" s="3">
        <f t="shared" si="3"/>
        <v>0</v>
      </c>
      <c r="K25" s="3">
        <f t="shared" si="4"/>
        <v>0</v>
      </c>
    </row>
    <row r="26" spans="2:11" x14ac:dyDescent="0.3">
      <c r="B26" s="50"/>
      <c r="C26" s="59">
        <f>SUMIFS(Tablo2[Son Fiyat],Tablo2[Şirket],B26)</f>
        <v>0</v>
      </c>
      <c r="D26" s="52" t="e">
        <f t="shared" si="1"/>
        <v>#DIV/0!</v>
      </c>
      <c r="E26" s="63" cm="1">
        <f t="array" ref="E26">1.05*SUMIFS(Tablo4[Fiyat],Tablo4[Hisse],B26,Tablo4[İşlem],"SATIŞ",Tablo4[Tarih],MAX(IF(Tablo4[Hisse]=B26,IF(Tablo4[İşlem]="SATIŞ",Tablo4[Tarih]))))</f>
        <v>0</v>
      </c>
      <c r="F26" s="52" t="e">
        <f t="shared" si="2"/>
        <v>#DIV/0!</v>
      </c>
      <c r="G26" s="63" cm="1">
        <f t="array" ref="G26">0.9*SUMIFS(Tablo4[Fiyat],Tablo4[Hisse],B26,Tablo4[İşlem],"SATIŞ",Tablo4[Tarih],MAX(IF(Tablo4[Hisse]=B26,IF(Tablo4[İşlem]="SATIŞ",Tablo4[Tarih]))))</f>
        <v>0</v>
      </c>
      <c r="J26" s="3">
        <f t="shared" si="3"/>
        <v>0</v>
      </c>
      <c r="K26" s="3">
        <f t="shared" si="4"/>
        <v>0</v>
      </c>
    </row>
    <row r="27" spans="2:11" x14ac:dyDescent="0.3">
      <c r="B27" s="50"/>
      <c r="C27" s="59">
        <f>SUMIFS(Tablo2[Son Fiyat],Tablo2[Şirket],B27)</f>
        <v>0</v>
      </c>
      <c r="D27" s="52" t="e">
        <f t="shared" si="1"/>
        <v>#DIV/0!</v>
      </c>
      <c r="E27" s="63" cm="1">
        <f t="array" ref="E27">1.05*SUMIFS(Tablo4[Fiyat],Tablo4[Hisse],B27,Tablo4[İşlem],"SATIŞ",Tablo4[Tarih],MAX(IF(Tablo4[Hisse]=B27,IF(Tablo4[İşlem]="SATIŞ",Tablo4[Tarih]))))</f>
        <v>0</v>
      </c>
      <c r="F27" s="52" t="e">
        <f t="shared" si="2"/>
        <v>#DIV/0!</v>
      </c>
      <c r="G27" s="63" cm="1">
        <f t="array" ref="G27">0.9*SUMIFS(Tablo4[Fiyat],Tablo4[Hisse],B27,Tablo4[İşlem],"SATIŞ",Tablo4[Tarih],MAX(IF(Tablo4[Hisse]=B27,IF(Tablo4[İşlem]="SATIŞ",Tablo4[Tarih]))))</f>
        <v>0</v>
      </c>
      <c r="J27" s="3">
        <f t="shared" si="3"/>
        <v>0</v>
      </c>
      <c r="K27" s="3">
        <f t="shared" si="4"/>
        <v>0</v>
      </c>
    </row>
    <row r="28" spans="2:11" x14ac:dyDescent="0.3">
      <c r="B28" s="50"/>
      <c r="C28" s="59">
        <f>SUMIFS(Tablo2[Son Fiyat],Tablo2[Şirket],B28)</f>
        <v>0</v>
      </c>
      <c r="D28" s="52" t="e">
        <f t="shared" si="1"/>
        <v>#DIV/0!</v>
      </c>
      <c r="E28" s="63" cm="1">
        <f t="array" ref="E28">1.05*SUMIFS(Tablo4[Fiyat],Tablo4[Hisse],B28,Tablo4[İşlem],"SATIŞ",Tablo4[Tarih],MAX(IF(Tablo4[Hisse]=B28,IF(Tablo4[İşlem]="SATIŞ",Tablo4[Tarih]))))</f>
        <v>0</v>
      </c>
      <c r="F28" s="52" t="e">
        <f t="shared" si="2"/>
        <v>#DIV/0!</v>
      </c>
      <c r="G28" s="63" cm="1">
        <f t="array" ref="G28">0.9*SUMIFS(Tablo4[Fiyat],Tablo4[Hisse],B28,Tablo4[İşlem],"SATIŞ",Tablo4[Tarih],MAX(IF(Tablo4[Hisse]=B28,IF(Tablo4[İşlem]="SATIŞ",Tablo4[Tarih]))))</f>
        <v>0</v>
      </c>
      <c r="J28" s="3">
        <f t="shared" si="3"/>
        <v>0</v>
      </c>
      <c r="K28" s="3">
        <f t="shared" si="4"/>
        <v>0</v>
      </c>
    </row>
    <row r="29" spans="2:11" x14ac:dyDescent="0.3">
      <c r="B29" s="50"/>
      <c r="C29" s="59">
        <f>SUMIFS(Tablo2[Son Fiyat],Tablo2[Şirket],B29)</f>
        <v>0</v>
      </c>
      <c r="D29" s="52" t="e">
        <f t="shared" si="1"/>
        <v>#DIV/0!</v>
      </c>
      <c r="E29" s="63" cm="1">
        <f t="array" ref="E29">1.05*SUMIFS(Tablo4[Fiyat],Tablo4[Hisse],B29,Tablo4[İşlem],"SATIŞ",Tablo4[Tarih],MAX(IF(Tablo4[Hisse]=B29,IF(Tablo4[İşlem]="SATIŞ",Tablo4[Tarih]))))</f>
        <v>0</v>
      </c>
      <c r="F29" s="52" t="e">
        <f t="shared" si="2"/>
        <v>#DIV/0!</v>
      </c>
      <c r="G29" s="63" cm="1">
        <f t="array" ref="G29">0.9*SUMIFS(Tablo4[Fiyat],Tablo4[Hisse],B29,Tablo4[İşlem],"SATIŞ",Tablo4[Tarih],MAX(IF(Tablo4[Hisse]=B29,IF(Tablo4[İşlem]="SATIŞ",Tablo4[Tarih]))))</f>
        <v>0</v>
      </c>
      <c r="J29" s="3">
        <f t="shared" si="3"/>
        <v>0</v>
      </c>
      <c r="K29" s="3">
        <f t="shared" si="4"/>
        <v>0</v>
      </c>
    </row>
    <row r="30" spans="2:11" x14ac:dyDescent="0.3">
      <c r="B30" s="50"/>
      <c r="C30" s="59">
        <f>SUMIFS(Tablo2[Son Fiyat],Tablo2[Şirket],B30)</f>
        <v>0</v>
      </c>
      <c r="D30" s="52" t="e">
        <f t="shared" si="1"/>
        <v>#DIV/0!</v>
      </c>
      <c r="E30" s="63" cm="1">
        <f t="array" ref="E30">1.05*SUMIFS(Tablo4[Fiyat],Tablo4[Hisse],B30,Tablo4[İşlem],"SATIŞ",Tablo4[Tarih],MAX(IF(Tablo4[Hisse]=B30,IF(Tablo4[İşlem]="SATIŞ",Tablo4[Tarih]))))</f>
        <v>0</v>
      </c>
      <c r="F30" s="52" t="e">
        <f t="shared" si="2"/>
        <v>#DIV/0!</v>
      </c>
      <c r="G30" s="63" cm="1">
        <f t="array" ref="G30">0.9*SUMIFS(Tablo4[Fiyat],Tablo4[Hisse],B30,Tablo4[İşlem],"SATIŞ",Tablo4[Tarih],MAX(IF(Tablo4[Hisse]=B30,IF(Tablo4[İşlem]="SATIŞ",Tablo4[Tarih]))))</f>
        <v>0</v>
      </c>
      <c r="J30" s="3">
        <f t="shared" si="3"/>
        <v>0</v>
      </c>
      <c r="K30" s="3">
        <f t="shared" si="4"/>
        <v>0</v>
      </c>
    </row>
    <row r="31" spans="2:11" x14ac:dyDescent="0.3">
      <c r="B31" s="50"/>
      <c r="C31" s="59">
        <f>SUMIFS(Tablo2[Son Fiyat],Tablo2[Şirket],B31)</f>
        <v>0</v>
      </c>
      <c r="D31" s="52" t="e">
        <f t="shared" si="1"/>
        <v>#DIV/0!</v>
      </c>
      <c r="E31" s="63" cm="1">
        <f t="array" ref="E31">1.05*SUMIFS(Tablo4[Fiyat],Tablo4[Hisse],B31,Tablo4[İşlem],"SATIŞ",Tablo4[Tarih],MAX(IF(Tablo4[Hisse]=B31,IF(Tablo4[İşlem]="SATIŞ",Tablo4[Tarih]))))</f>
        <v>0</v>
      </c>
      <c r="F31" s="52" t="e">
        <f t="shared" si="2"/>
        <v>#DIV/0!</v>
      </c>
      <c r="G31" s="63" cm="1">
        <f t="array" ref="G31">0.9*SUMIFS(Tablo4[Fiyat],Tablo4[Hisse],B31,Tablo4[İşlem],"SATIŞ",Tablo4[Tarih],MAX(IF(Tablo4[Hisse]=B31,IF(Tablo4[İşlem]="SATIŞ",Tablo4[Tarih]))))</f>
        <v>0</v>
      </c>
      <c r="J31" s="3">
        <f t="shared" si="3"/>
        <v>0</v>
      </c>
      <c r="K31" s="3">
        <f t="shared" si="4"/>
        <v>0</v>
      </c>
    </row>
    <row r="32" spans="2:11" x14ac:dyDescent="0.3">
      <c r="B32" s="50"/>
      <c r="C32" s="59">
        <f>SUMIFS(Tablo2[Son Fiyat],Tablo2[Şirket],B32)</f>
        <v>0</v>
      </c>
      <c r="D32" s="52" t="e">
        <f t="shared" si="1"/>
        <v>#DIV/0!</v>
      </c>
      <c r="E32" s="63" cm="1">
        <f t="array" ref="E32">1.05*SUMIFS(Tablo4[Fiyat],Tablo4[Hisse],B32,Tablo4[İşlem],"SATIŞ",Tablo4[Tarih],MAX(IF(Tablo4[Hisse]=B32,IF(Tablo4[İşlem]="SATIŞ",Tablo4[Tarih]))))</f>
        <v>0</v>
      </c>
      <c r="F32" s="52" t="e">
        <f t="shared" si="2"/>
        <v>#DIV/0!</v>
      </c>
      <c r="G32" s="63" cm="1">
        <f t="array" ref="G32">0.9*SUMIFS(Tablo4[Fiyat],Tablo4[Hisse],B32,Tablo4[İşlem],"SATIŞ",Tablo4[Tarih],MAX(IF(Tablo4[Hisse]=B32,IF(Tablo4[İşlem]="SATIŞ",Tablo4[Tarih]))))</f>
        <v>0</v>
      </c>
      <c r="J32" s="3">
        <f t="shared" si="3"/>
        <v>0</v>
      </c>
      <c r="K32" s="3">
        <f t="shared" si="4"/>
        <v>0</v>
      </c>
    </row>
    <row r="33" spans="2:11" x14ac:dyDescent="0.3">
      <c r="B33" s="50"/>
      <c r="C33" s="59">
        <f>SUMIFS(Tablo2[Son Fiyat],Tablo2[Şirket],B33)</f>
        <v>0</v>
      </c>
      <c r="D33" s="52" t="e">
        <f t="shared" si="1"/>
        <v>#DIV/0!</v>
      </c>
      <c r="E33" s="63" cm="1">
        <f t="array" ref="E33">1.05*SUMIFS(Tablo4[Fiyat],Tablo4[Hisse],B33,Tablo4[İşlem],"SATIŞ",Tablo4[Tarih],MAX(IF(Tablo4[Hisse]=B33,IF(Tablo4[İşlem]="SATIŞ",Tablo4[Tarih]))))</f>
        <v>0</v>
      </c>
      <c r="F33" s="52" t="e">
        <f t="shared" si="2"/>
        <v>#DIV/0!</v>
      </c>
      <c r="G33" s="63" cm="1">
        <f t="array" ref="G33">0.9*SUMIFS(Tablo4[Fiyat],Tablo4[Hisse],B33,Tablo4[İşlem],"SATIŞ",Tablo4[Tarih],MAX(IF(Tablo4[Hisse]=B33,IF(Tablo4[İşlem]="SATIŞ",Tablo4[Tarih]))))</f>
        <v>0</v>
      </c>
      <c r="J33" s="3">
        <f t="shared" si="3"/>
        <v>0</v>
      </c>
      <c r="K33" s="3">
        <f t="shared" si="4"/>
        <v>0</v>
      </c>
    </row>
    <row r="34" spans="2:11" x14ac:dyDescent="0.3">
      <c r="B34" s="50"/>
      <c r="C34" s="59">
        <f>SUMIFS(Tablo2[Son Fiyat],Tablo2[Şirket],B34)</f>
        <v>0</v>
      </c>
      <c r="D34" s="52" t="e">
        <f t="shared" si="1"/>
        <v>#DIV/0!</v>
      </c>
      <c r="E34" s="63" cm="1">
        <f t="array" ref="E34">1.05*SUMIFS(Tablo4[Fiyat],Tablo4[Hisse],B34,Tablo4[İşlem],"SATIŞ",Tablo4[Tarih],MAX(IF(Tablo4[Hisse]=B34,IF(Tablo4[İşlem]="SATIŞ",Tablo4[Tarih]))))</f>
        <v>0</v>
      </c>
      <c r="F34" s="52" t="e">
        <f t="shared" si="2"/>
        <v>#DIV/0!</v>
      </c>
      <c r="G34" s="63" cm="1">
        <f t="array" ref="G34">0.9*SUMIFS(Tablo4[Fiyat],Tablo4[Hisse],B34,Tablo4[İşlem],"SATIŞ",Tablo4[Tarih],MAX(IF(Tablo4[Hisse]=B34,IF(Tablo4[İşlem]="SATIŞ",Tablo4[Tarih]))))</f>
        <v>0</v>
      </c>
      <c r="J34" s="3">
        <f t="shared" si="3"/>
        <v>0</v>
      </c>
      <c r="K34" s="3">
        <f t="shared" si="4"/>
        <v>0</v>
      </c>
    </row>
    <row r="35" spans="2:11" x14ac:dyDescent="0.3">
      <c r="B35" s="50"/>
      <c r="C35" s="59">
        <f>SUMIFS(Tablo2[Son Fiyat],Tablo2[Şirket],B35)</f>
        <v>0</v>
      </c>
      <c r="D35" s="52" t="e">
        <f t="shared" si="1"/>
        <v>#DIV/0!</v>
      </c>
      <c r="E35" s="63" cm="1">
        <f t="array" ref="E35">1.05*SUMIFS(Tablo4[Fiyat],Tablo4[Hisse],B35,Tablo4[İşlem],"SATIŞ",Tablo4[Tarih],MAX(IF(Tablo4[Hisse]=B35,IF(Tablo4[İşlem]="SATIŞ",Tablo4[Tarih]))))</f>
        <v>0</v>
      </c>
      <c r="F35" s="52" t="e">
        <f t="shared" si="2"/>
        <v>#DIV/0!</v>
      </c>
      <c r="G35" s="63" cm="1">
        <f t="array" ref="G35">0.9*SUMIFS(Tablo4[Fiyat],Tablo4[Hisse],B35,Tablo4[İşlem],"SATIŞ",Tablo4[Tarih],MAX(IF(Tablo4[Hisse]=B35,IF(Tablo4[İşlem]="SATIŞ",Tablo4[Tarih]))))</f>
        <v>0</v>
      </c>
      <c r="J35" s="3">
        <f t="shared" si="3"/>
        <v>0</v>
      </c>
      <c r="K35" s="3">
        <f t="shared" si="4"/>
        <v>0</v>
      </c>
    </row>
    <row r="36" spans="2:11" x14ac:dyDescent="0.3">
      <c r="B36" s="50"/>
      <c r="C36" s="59">
        <f>SUMIFS(Tablo2[Son Fiyat],Tablo2[Şirket],B36)</f>
        <v>0</v>
      </c>
      <c r="D36" s="52" t="e">
        <f t="shared" si="1"/>
        <v>#DIV/0!</v>
      </c>
      <c r="E36" s="63" cm="1">
        <f t="array" ref="E36">1.05*SUMIFS(Tablo4[Fiyat],Tablo4[Hisse],B36,Tablo4[İşlem],"SATIŞ",Tablo4[Tarih],MAX(IF(Tablo4[Hisse]=B36,IF(Tablo4[İşlem]="SATIŞ",Tablo4[Tarih]))))</f>
        <v>0</v>
      </c>
      <c r="F36" s="52" t="e">
        <f t="shared" si="2"/>
        <v>#DIV/0!</v>
      </c>
      <c r="G36" s="63" cm="1">
        <f t="array" ref="G36">0.9*SUMIFS(Tablo4[Fiyat],Tablo4[Hisse],B36,Tablo4[İşlem],"SATIŞ",Tablo4[Tarih],MAX(IF(Tablo4[Hisse]=B36,IF(Tablo4[İşlem]="SATIŞ",Tablo4[Tarih]))))</f>
        <v>0</v>
      </c>
      <c r="J36" s="3">
        <f t="shared" si="3"/>
        <v>0</v>
      </c>
      <c r="K36" s="3">
        <f t="shared" si="4"/>
        <v>0</v>
      </c>
    </row>
    <row r="37" spans="2:11" x14ac:dyDescent="0.3">
      <c r="B37" s="50"/>
      <c r="C37" s="59">
        <f>SUMIFS(Tablo2[Son Fiyat],Tablo2[Şirket],B37)</f>
        <v>0</v>
      </c>
      <c r="D37" s="52" t="e">
        <f t="shared" si="1"/>
        <v>#DIV/0!</v>
      </c>
      <c r="E37" s="63" cm="1">
        <f t="array" ref="E37">1.05*SUMIFS(Tablo4[Fiyat],Tablo4[Hisse],B37,Tablo4[İşlem],"SATIŞ",Tablo4[Tarih],MAX(IF(Tablo4[Hisse]=B37,IF(Tablo4[İşlem]="SATIŞ",Tablo4[Tarih]))))</f>
        <v>0</v>
      </c>
      <c r="F37" s="52" t="e">
        <f t="shared" si="2"/>
        <v>#DIV/0!</v>
      </c>
      <c r="G37" s="63" cm="1">
        <f t="array" ref="G37">0.9*SUMIFS(Tablo4[Fiyat],Tablo4[Hisse],B37,Tablo4[İşlem],"SATIŞ",Tablo4[Tarih],MAX(IF(Tablo4[Hisse]=B37,IF(Tablo4[İşlem]="SATIŞ",Tablo4[Tarih]))))</f>
        <v>0</v>
      </c>
      <c r="J37" s="3">
        <f t="shared" si="3"/>
        <v>0</v>
      </c>
      <c r="K37" s="3">
        <f t="shared" si="4"/>
        <v>0</v>
      </c>
    </row>
    <row r="38" spans="2:11" x14ac:dyDescent="0.3">
      <c r="B38" s="50"/>
      <c r="C38" s="59">
        <f>SUMIFS(Tablo2[Son Fiyat],Tablo2[Şirket],B38)</f>
        <v>0</v>
      </c>
      <c r="D38" s="52" t="e">
        <f t="shared" si="1"/>
        <v>#DIV/0!</v>
      </c>
      <c r="E38" s="63" cm="1">
        <f t="array" ref="E38">1.05*SUMIFS(Tablo4[Fiyat],Tablo4[Hisse],B38,Tablo4[İşlem],"SATIŞ",Tablo4[Tarih],MAX(IF(Tablo4[Hisse]=B38,IF(Tablo4[İşlem]="SATIŞ",Tablo4[Tarih]))))</f>
        <v>0</v>
      </c>
      <c r="F38" s="52" t="e">
        <f t="shared" si="2"/>
        <v>#DIV/0!</v>
      </c>
      <c r="G38" s="63" cm="1">
        <f t="array" ref="G38">0.9*SUMIFS(Tablo4[Fiyat],Tablo4[Hisse],B38,Tablo4[İşlem],"SATIŞ",Tablo4[Tarih],MAX(IF(Tablo4[Hisse]=B38,IF(Tablo4[İşlem]="SATIŞ",Tablo4[Tarih]))))</f>
        <v>0</v>
      </c>
      <c r="J38" s="3">
        <f t="shared" si="3"/>
        <v>0</v>
      </c>
      <c r="K38" s="3">
        <f t="shared" si="4"/>
        <v>0</v>
      </c>
    </row>
    <row r="39" spans="2:11" x14ac:dyDescent="0.3">
      <c r="B39" s="50"/>
      <c r="C39" s="59">
        <f>SUMIFS(Tablo2[Son Fiyat],Tablo2[Şirket],B39)</f>
        <v>0</v>
      </c>
      <c r="D39" s="52" t="e">
        <f t="shared" si="1"/>
        <v>#DIV/0!</v>
      </c>
      <c r="E39" s="63" cm="1">
        <f t="array" ref="E39">1.05*SUMIFS(Tablo4[Fiyat],Tablo4[Hisse],B39,Tablo4[İşlem],"SATIŞ",Tablo4[Tarih],MAX(IF(Tablo4[Hisse]=B39,IF(Tablo4[İşlem]="SATIŞ",Tablo4[Tarih]))))</f>
        <v>0</v>
      </c>
      <c r="F39" s="52" t="e">
        <f t="shared" si="2"/>
        <v>#DIV/0!</v>
      </c>
      <c r="G39" s="63" cm="1">
        <f t="array" ref="G39">0.9*SUMIFS(Tablo4[Fiyat],Tablo4[Hisse],B39,Tablo4[İşlem],"SATIŞ",Tablo4[Tarih],MAX(IF(Tablo4[Hisse]=B39,IF(Tablo4[İşlem]="SATIŞ",Tablo4[Tarih]))))</f>
        <v>0</v>
      </c>
      <c r="J39" s="3">
        <f t="shared" si="3"/>
        <v>0</v>
      </c>
      <c r="K39" s="3">
        <f t="shared" si="4"/>
        <v>0</v>
      </c>
    </row>
    <row r="40" spans="2:11" x14ac:dyDescent="0.3">
      <c r="B40" s="50"/>
      <c r="C40" s="59">
        <f>SUMIFS(Tablo2[Son Fiyat],Tablo2[Şirket],B40)</f>
        <v>0</v>
      </c>
      <c r="D40" s="52" t="e">
        <f t="shared" si="1"/>
        <v>#DIV/0!</v>
      </c>
      <c r="E40" s="63" cm="1">
        <f t="array" ref="E40">1.05*SUMIFS(Tablo4[Fiyat],Tablo4[Hisse],B40,Tablo4[İşlem],"SATIŞ",Tablo4[Tarih],MAX(IF(Tablo4[Hisse]=B40,IF(Tablo4[İşlem]="SATIŞ",Tablo4[Tarih]))))</f>
        <v>0</v>
      </c>
      <c r="F40" s="52" t="e">
        <f t="shared" si="2"/>
        <v>#DIV/0!</v>
      </c>
      <c r="G40" s="63" cm="1">
        <f t="array" ref="G40">0.9*SUMIFS(Tablo4[Fiyat],Tablo4[Hisse],B40,Tablo4[İşlem],"SATIŞ",Tablo4[Tarih],MAX(IF(Tablo4[Hisse]=B40,IF(Tablo4[İşlem]="SATIŞ",Tablo4[Tarih]))))</f>
        <v>0</v>
      </c>
      <c r="J40" s="3">
        <f t="shared" si="3"/>
        <v>0</v>
      </c>
      <c r="K40" s="3">
        <f t="shared" si="4"/>
        <v>0</v>
      </c>
    </row>
    <row r="41" spans="2:11" x14ac:dyDescent="0.3">
      <c r="B41" s="50"/>
      <c r="C41" s="59">
        <f>SUMIFS(Tablo2[Son Fiyat],Tablo2[Şirket],B41)</f>
        <v>0</v>
      </c>
      <c r="D41" s="52" t="e">
        <f t="shared" si="1"/>
        <v>#DIV/0!</v>
      </c>
      <c r="E41" s="63" cm="1">
        <f t="array" ref="E41">1.05*SUMIFS(Tablo4[Fiyat],Tablo4[Hisse],B41,Tablo4[İşlem],"SATIŞ",Tablo4[Tarih],MAX(IF(Tablo4[Hisse]=B41,IF(Tablo4[İşlem]="SATIŞ",Tablo4[Tarih]))))</f>
        <v>0</v>
      </c>
      <c r="F41" s="52" t="e">
        <f t="shared" si="2"/>
        <v>#DIV/0!</v>
      </c>
      <c r="G41" s="63" cm="1">
        <f t="array" ref="G41">0.9*SUMIFS(Tablo4[Fiyat],Tablo4[Hisse],B41,Tablo4[İşlem],"SATIŞ",Tablo4[Tarih],MAX(IF(Tablo4[Hisse]=B41,IF(Tablo4[İşlem]="SATIŞ",Tablo4[Tarih]))))</f>
        <v>0</v>
      </c>
      <c r="J41" s="3">
        <f t="shared" si="3"/>
        <v>0</v>
      </c>
      <c r="K41" s="3">
        <f t="shared" si="4"/>
        <v>0</v>
      </c>
    </row>
    <row r="42" spans="2:11" x14ac:dyDescent="0.3">
      <c r="B42" s="50"/>
      <c r="C42" s="59">
        <f>SUMIFS(Tablo2[Son Fiyat],Tablo2[Şirket],B42)</f>
        <v>0</v>
      </c>
      <c r="D42" s="52" t="e">
        <f t="shared" si="1"/>
        <v>#DIV/0!</v>
      </c>
      <c r="E42" s="63" cm="1">
        <f t="array" ref="E42">1.05*SUMIFS(Tablo4[Fiyat],Tablo4[Hisse],B42,Tablo4[İşlem],"SATIŞ",Tablo4[Tarih],MAX(IF(Tablo4[Hisse]=B42,IF(Tablo4[İşlem]="SATIŞ",Tablo4[Tarih]))))</f>
        <v>0</v>
      </c>
      <c r="F42" s="52" t="e">
        <f t="shared" si="2"/>
        <v>#DIV/0!</v>
      </c>
      <c r="G42" s="63" cm="1">
        <f t="array" ref="G42">0.9*SUMIFS(Tablo4[Fiyat],Tablo4[Hisse],B42,Tablo4[İşlem],"SATIŞ",Tablo4[Tarih],MAX(IF(Tablo4[Hisse]=B42,IF(Tablo4[İşlem]="SATIŞ",Tablo4[Tarih]))))</f>
        <v>0</v>
      </c>
      <c r="J42" s="3">
        <f t="shared" si="3"/>
        <v>0</v>
      </c>
      <c r="K42" s="3">
        <f t="shared" si="4"/>
        <v>0</v>
      </c>
    </row>
    <row r="43" spans="2:11" x14ac:dyDescent="0.3">
      <c r="B43" s="50"/>
      <c r="C43" s="59">
        <f>SUMIFS(Tablo2[Son Fiyat],Tablo2[Şirket],B43)</f>
        <v>0</v>
      </c>
      <c r="D43" s="52" t="e">
        <f t="shared" si="1"/>
        <v>#DIV/0!</v>
      </c>
      <c r="E43" s="63" cm="1">
        <f t="array" ref="E43">1.05*SUMIFS(Tablo4[Fiyat],Tablo4[Hisse],B43,Tablo4[İşlem],"SATIŞ",Tablo4[Tarih],MAX(IF(Tablo4[Hisse]=B43,IF(Tablo4[İşlem]="SATIŞ",Tablo4[Tarih]))))</f>
        <v>0</v>
      </c>
      <c r="F43" s="52" t="e">
        <f t="shared" si="2"/>
        <v>#DIV/0!</v>
      </c>
      <c r="G43" s="63" cm="1">
        <f t="array" ref="G43">0.9*SUMIFS(Tablo4[Fiyat],Tablo4[Hisse],B43,Tablo4[İşlem],"SATIŞ",Tablo4[Tarih],MAX(IF(Tablo4[Hisse]=B43,IF(Tablo4[İşlem]="SATIŞ",Tablo4[Tarih]))))</f>
        <v>0</v>
      </c>
      <c r="J43" s="3">
        <f t="shared" si="3"/>
        <v>0</v>
      </c>
      <c r="K43" s="3">
        <f t="shared" si="4"/>
        <v>0</v>
      </c>
    </row>
    <row r="44" spans="2:11" x14ac:dyDescent="0.3">
      <c r="B44" s="50"/>
      <c r="C44" s="59">
        <f>SUMIFS(Tablo2[Son Fiyat],Tablo2[Şirket],B44)</f>
        <v>0</v>
      </c>
      <c r="D44" s="52" t="e">
        <f t="shared" si="1"/>
        <v>#DIV/0!</v>
      </c>
      <c r="E44" s="63" cm="1">
        <f t="array" ref="E44">1.05*SUMIFS(Tablo4[Fiyat],Tablo4[Hisse],B44,Tablo4[İşlem],"SATIŞ",Tablo4[Tarih],MAX(IF(Tablo4[Hisse]=B44,IF(Tablo4[İşlem]="SATIŞ",Tablo4[Tarih]))))</f>
        <v>0</v>
      </c>
      <c r="F44" s="52" t="e">
        <f t="shared" si="2"/>
        <v>#DIV/0!</v>
      </c>
      <c r="G44" s="63" cm="1">
        <f t="array" ref="G44">0.9*SUMIFS(Tablo4[Fiyat],Tablo4[Hisse],B44,Tablo4[İşlem],"SATIŞ",Tablo4[Tarih],MAX(IF(Tablo4[Hisse]=B44,IF(Tablo4[İşlem]="SATIŞ",Tablo4[Tarih]))))</f>
        <v>0</v>
      </c>
      <c r="J44" s="3">
        <f t="shared" si="3"/>
        <v>0</v>
      </c>
      <c r="K44" s="3">
        <f t="shared" si="4"/>
        <v>0</v>
      </c>
    </row>
    <row r="45" spans="2:11" x14ac:dyDescent="0.3">
      <c r="B45" s="50"/>
      <c r="C45" s="59">
        <f>SUMIFS(Tablo2[Son Fiyat],Tablo2[Şirket],B45)</f>
        <v>0</v>
      </c>
      <c r="D45" s="52" t="e">
        <f t="shared" si="1"/>
        <v>#DIV/0!</v>
      </c>
      <c r="E45" s="63" cm="1">
        <f t="array" ref="E45">1.05*SUMIFS(Tablo4[Fiyat],Tablo4[Hisse],B45,Tablo4[İşlem],"SATIŞ",Tablo4[Tarih],MAX(IF(Tablo4[Hisse]=B45,IF(Tablo4[İşlem]="SATIŞ",Tablo4[Tarih]))))</f>
        <v>0</v>
      </c>
      <c r="F45" s="52" t="e">
        <f t="shared" si="2"/>
        <v>#DIV/0!</v>
      </c>
      <c r="G45" s="63" cm="1">
        <f t="array" ref="G45">0.9*SUMIFS(Tablo4[Fiyat],Tablo4[Hisse],B45,Tablo4[İşlem],"SATIŞ",Tablo4[Tarih],MAX(IF(Tablo4[Hisse]=B45,IF(Tablo4[İşlem]="SATIŞ",Tablo4[Tarih]))))</f>
        <v>0</v>
      </c>
      <c r="J45" s="3">
        <f t="shared" si="3"/>
        <v>0</v>
      </c>
      <c r="K45" s="3">
        <f t="shared" si="4"/>
        <v>0</v>
      </c>
    </row>
    <row r="46" spans="2:11" x14ac:dyDescent="0.3">
      <c r="B46" s="50"/>
      <c r="C46" s="59">
        <f>SUMIFS(Tablo2[Son Fiyat],Tablo2[Şirket],B46)</f>
        <v>0</v>
      </c>
      <c r="D46" s="52" t="e">
        <f t="shared" si="1"/>
        <v>#DIV/0!</v>
      </c>
      <c r="E46" s="63" cm="1">
        <f t="array" ref="E46">1.05*SUMIFS(Tablo4[Fiyat],Tablo4[Hisse],B46,Tablo4[İşlem],"SATIŞ",Tablo4[Tarih],MAX(IF(Tablo4[Hisse]=B46,IF(Tablo4[İşlem]="SATIŞ",Tablo4[Tarih]))))</f>
        <v>0</v>
      </c>
      <c r="F46" s="52" t="e">
        <f t="shared" si="2"/>
        <v>#DIV/0!</v>
      </c>
      <c r="G46" s="63" cm="1">
        <f t="array" ref="G46">0.9*SUMIFS(Tablo4[Fiyat],Tablo4[Hisse],B46,Tablo4[İşlem],"SATIŞ",Tablo4[Tarih],MAX(IF(Tablo4[Hisse]=B46,IF(Tablo4[İşlem]="SATIŞ",Tablo4[Tarih]))))</f>
        <v>0</v>
      </c>
      <c r="J46" s="3">
        <f t="shared" si="3"/>
        <v>0</v>
      </c>
      <c r="K46" s="3">
        <f t="shared" si="4"/>
        <v>0</v>
      </c>
    </row>
    <row r="47" spans="2:11" x14ac:dyDescent="0.3">
      <c r="B47" s="50"/>
      <c r="C47" s="59">
        <f>SUMIFS(Tablo2[Son Fiyat],Tablo2[Şirket],B47)</f>
        <v>0</v>
      </c>
      <c r="D47" s="52" t="e">
        <f t="shared" si="1"/>
        <v>#DIV/0!</v>
      </c>
      <c r="E47" s="63" cm="1">
        <f t="array" ref="E47">1.05*SUMIFS(Tablo4[Fiyat],Tablo4[Hisse],B47,Tablo4[İşlem],"SATIŞ",Tablo4[Tarih],MAX(IF(Tablo4[Hisse]=B47,IF(Tablo4[İşlem]="SATIŞ",Tablo4[Tarih]))))</f>
        <v>0</v>
      </c>
      <c r="F47" s="52" t="e">
        <f t="shared" si="2"/>
        <v>#DIV/0!</v>
      </c>
      <c r="G47" s="63" cm="1">
        <f t="array" ref="G47">0.9*SUMIFS(Tablo4[Fiyat],Tablo4[Hisse],B47,Tablo4[İşlem],"SATIŞ",Tablo4[Tarih],MAX(IF(Tablo4[Hisse]=B47,IF(Tablo4[İşlem]="SATIŞ",Tablo4[Tarih]))))</f>
        <v>0</v>
      </c>
      <c r="J47" s="3">
        <f t="shared" si="3"/>
        <v>0</v>
      </c>
      <c r="K47" s="3">
        <f t="shared" si="4"/>
        <v>0</v>
      </c>
    </row>
    <row r="48" spans="2:11" x14ac:dyDescent="0.3">
      <c r="B48" s="50"/>
      <c r="C48" s="59">
        <f>SUMIFS(Tablo2[Son Fiyat],Tablo2[Şirket],B48)</f>
        <v>0</v>
      </c>
      <c r="D48" s="52" t="e">
        <f t="shared" si="1"/>
        <v>#DIV/0!</v>
      </c>
      <c r="E48" s="63" cm="1">
        <f t="array" ref="E48">1.05*SUMIFS(Tablo4[Fiyat],Tablo4[Hisse],B48,Tablo4[İşlem],"SATIŞ",Tablo4[Tarih],MAX(IF(Tablo4[Hisse]=B48,IF(Tablo4[İşlem]="SATIŞ",Tablo4[Tarih]))))</f>
        <v>0</v>
      </c>
      <c r="F48" s="52" t="e">
        <f t="shared" si="2"/>
        <v>#DIV/0!</v>
      </c>
      <c r="G48" s="63" cm="1">
        <f t="array" ref="G48">0.9*SUMIFS(Tablo4[Fiyat],Tablo4[Hisse],B48,Tablo4[İşlem],"SATIŞ",Tablo4[Tarih],MAX(IF(Tablo4[Hisse]=B48,IF(Tablo4[İşlem]="SATIŞ",Tablo4[Tarih]))))</f>
        <v>0</v>
      </c>
      <c r="J48" s="3">
        <f t="shared" si="3"/>
        <v>0</v>
      </c>
      <c r="K48" s="3">
        <f t="shared" si="4"/>
        <v>0</v>
      </c>
    </row>
    <row r="49" spans="2:11" x14ac:dyDescent="0.3">
      <c r="B49" s="50"/>
      <c r="C49" s="59">
        <f>SUMIFS(Tablo2[Son Fiyat],Tablo2[Şirket],B49)</f>
        <v>0</v>
      </c>
      <c r="D49" s="52" t="e">
        <f t="shared" si="1"/>
        <v>#DIV/0!</v>
      </c>
      <c r="E49" s="63" cm="1">
        <f t="array" ref="E49">1.05*SUMIFS(Tablo4[Fiyat],Tablo4[Hisse],B49,Tablo4[İşlem],"SATIŞ",Tablo4[Tarih],MAX(IF(Tablo4[Hisse]=B49,IF(Tablo4[İşlem]="SATIŞ",Tablo4[Tarih]))))</f>
        <v>0</v>
      </c>
      <c r="F49" s="52" t="e">
        <f t="shared" si="2"/>
        <v>#DIV/0!</v>
      </c>
      <c r="G49" s="63" cm="1">
        <f t="array" ref="G49">0.9*SUMIFS(Tablo4[Fiyat],Tablo4[Hisse],B49,Tablo4[İşlem],"SATIŞ",Tablo4[Tarih],MAX(IF(Tablo4[Hisse]=B49,IF(Tablo4[İşlem]="SATIŞ",Tablo4[Tarih]))))</f>
        <v>0</v>
      </c>
      <c r="J49" s="3">
        <f t="shared" si="3"/>
        <v>0</v>
      </c>
      <c r="K49" s="3">
        <f t="shared" si="4"/>
        <v>0</v>
      </c>
    </row>
    <row r="50" spans="2:11" x14ac:dyDescent="0.3">
      <c r="B50" s="50"/>
      <c r="C50" s="59">
        <f>SUMIFS(Tablo2[Son Fiyat],Tablo2[Şirket],B50)</f>
        <v>0</v>
      </c>
      <c r="D50" s="52" t="e">
        <f t="shared" si="1"/>
        <v>#DIV/0!</v>
      </c>
      <c r="E50" s="63" cm="1">
        <f t="array" ref="E50">1.05*SUMIFS(Tablo4[Fiyat],Tablo4[Hisse],B50,Tablo4[İşlem],"SATIŞ",Tablo4[Tarih],MAX(IF(Tablo4[Hisse]=B50,IF(Tablo4[İşlem]="SATIŞ",Tablo4[Tarih]))))</f>
        <v>0</v>
      </c>
      <c r="F50" s="52" t="e">
        <f t="shared" si="2"/>
        <v>#DIV/0!</v>
      </c>
      <c r="G50" s="63" cm="1">
        <f t="array" ref="G50">0.9*SUMIFS(Tablo4[Fiyat],Tablo4[Hisse],B50,Tablo4[İşlem],"SATIŞ",Tablo4[Tarih],MAX(IF(Tablo4[Hisse]=B50,IF(Tablo4[İşlem]="SATIŞ",Tablo4[Tarih]))))</f>
        <v>0</v>
      </c>
      <c r="J50" s="3">
        <f t="shared" si="3"/>
        <v>0</v>
      </c>
      <c r="K50" s="3">
        <f t="shared" si="4"/>
        <v>0</v>
      </c>
    </row>
    <row r="51" spans="2:11" x14ac:dyDescent="0.3">
      <c r="B51" t="e">
        <f>+#REF!</f>
        <v>#REF!</v>
      </c>
      <c r="C51" s="60">
        <f>SUMIFS(Tablo2[Son Fiyat],Tablo2[Şirket],B51)</f>
        <v>0</v>
      </c>
      <c r="D51" s="25" t="e">
        <f t="shared" si="1"/>
        <v>#DIV/0!</v>
      </c>
      <c r="E51" s="64"/>
      <c r="F51" s="25" t="e">
        <f t="shared" ref="F51:F114" si="5">+D51*2</f>
        <v>#DIV/0!</v>
      </c>
      <c r="G51" s="64"/>
      <c r="J51" s="3">
        <f t="shared" si="3"/>
        <v>0</v>
      </c>
      <c r="K51" s="3">
        <f t="shared" si="4"/>
        <v>0</v>
      </c>
    </row>
    <row r="52" spans="2:11" x14ac:dyDescent="0.3">
      <c r="B52" t="e">
        <f>+#REF!</f>
        <v>#REF!</v>
      </c>
      <c r="C52" s="60">
        <f>SUMIFS(Tablo2[Son Fiyat],Tablo2[Şirket],B52)</f>
        <v>0</v>
      </c>
      <c r="D52" s="25" t="e">
        <f t="shared" si="1"/>
        <v>#DIV/0!</v>
      </c>
      <c r="E52" s="64"/>
      <c r="F52" s="25" t="e">
        <f t="shared" si="5"/>
        <v>#DIV/0!</v>
      </c>
      <c r="G52" s="64"/>
      <c r="J52" s="3">
        <f t="shared" si="3"/>
        <v>0</v>
      </c>
      <c r="K52" s="3">
        <f t="shared" si="4"/>
        <v>0</v>
      </c>
    </row>
    <row r="53" spans="2:11" x14ac:dyDescent="0.3">
      <c r="B53" t="e">
        <f>+#REF!</f>
        <v>#REF!</v>
      </c>
      <c r="C53" s="60">
        <f>SUMIFS(Tablo2[Son Fiyat],Tablo2[Şirket],B53)</f>
        <v>0</v>
      </c>
      <c r="D53" s="25" t="e">
        <f t="shared" si="1"/>
        <v>#DIV/0!</v>
      </c>
      <c r="E53" s="64"/>
      <c r="F53" s="25" t="e">
        <f t="shared" si="5"/>
        <v>#DIV/0!</v>
      </c>
      <c r="G53" s="64"/>
      <c r="J53" s="3">
        <f t="shared" si="3"/>
        <v>0</v>
      </c>
      <c r="K53" s="3">
        <f t="shared" si="4"/>
        <v>0</v>
      </c>
    </row>
    <row r="54" spans="2:11" x14ac:dyDescent="0.3">
      <c r="B54" t="e">
        <f>+#REF!</f>
        <v>#REF!</v>
      </c>
      <c r="C54" s="60">
        <f>SUMIFS(Tablo2[Son Fiyat],Tablo2[Şirket],B54)</f>
        <v>0</v>
      </c>
      <c r="D54" s="25" t="e">
        <f t="shared" si="1"/>
        <v>#DIV/0!</v>
      </c>
      <c r="E54" s="64"/>
      <c r="F54" s="25" t="e">
        <f t="shared" si="5"/>
        <v>#DIV/0!</v>
      </c>
      <c r="G54" s="64"/>
      <c r="J54" s="3">
        <f t="shared" si="3"/>
        <v>0</v>
      </c>
      <c r="K54" s="3">
        <f t="shared" si="4"/>
        <v>0</v>
      </c>
    </row>
    <row r="55" spans="2:11" x14ac:dyDescent="0.3">
      <c r="B55" t="e">
        <f>+#REF!</f>
        <v>#REF!</v>
      </c>
      <c r="C55" s="60">
        <f>SUMIFS(Tablo2[Son Fiyat],Tablo2[Şirket],B55)</f>
        <v>0</v>
      </c>
      <c r="D55" s="25" t="e">
        <f t="shared" si="1"/>
        <v>#DIV/0!</v>
      </c>
      <c r="E55" s="64"/>
      <c r="F55" s="25" t="e">
        <f t="shared" si="5"/>
        <v>#DIV/0!</v>
      </c>
      <c r="G55" s="64"/>
      <c r="J55" s="3">
        <f t="shared" si="3"/>
        <v>0</v>
      </c>
      <c r="K55" s="3">
        <f t="shared" si="4"/>
        <v>0</v>
      </c>
    </row>
    <row r="56" spans="2:11" x14ac:dyDescent="0.3">
      <c r="B56" t="e">
        <f>+#REF!</f>
        <v>#REF!</v>
      </c>
      <c r="C56" s="60">
        <f>SUMIFS(Tablo2[Son Fiyat],Tablo2[Şirket],B56)</f>
        <v>0</v>
      </c>
      <c r="D56" s="25" t="e">
        <f t="shared" si="1"/>
        <v>#DIV/0!</v>
      </c>
      <c r="E56" s="64"/>
      <c r="F56" s="25" t="e">
        <f t="shared" si="5"/>
        <v>#DIV/0!</v>
      </c>
      <c r="G56" s="64"/>
      <c r="J56" s="3">
        <f t="shared" si="3"/>
        <v>0</v>
      </c>
      <c r="K56" s="3">
        <f t="shared" si="4"/>
        <v>0</v>
      </c>
    </row>
    <row r="57" spans="2:11" x14ac:dyDescent="0.3">
      <c r="B57" t="e">
        <f>+#REF!</f>
        <v>#REF!</v>
      </c>
      <c r="C57" s="60">
        <f>SUMIFS(Tablo2[Son Fiyat],Tablo2[Şirket],B57)</f>
        <v>0</v>
      </c>
      <c r="D57" s="25" t="e">
        <f t="shared" si="1"/>
        <v>#DIV/0!</v>
      </c>
      <c r="E57" s="64"/>
      <c r="F57" s="25" t="e">
        <f t="shared" si="5"/>
        <v>#DIV/0!</v>
      </c>
      <c r="G57" s="64"/>
      <c r="J57" s="3">
        <f t="shared" si="3"/>
        <v>0</v>
      </c>
      <c r="K57" s="3">
        <f t="shared" si="4"/>
        <v>0</v>
      </c>
    </row>
    <row r="58" spans="2:11" x14ac:dyDescent="0.3">
      <c r="B58" t="e">
        <f>+#REF!</f>
        <v>#REF!</v>
      </c>
      <c r="C58" s="60">
        <f>SUMIFS(Tablo2[Son Fiyat],Tablo2[Şirket],B58)</f>
        <v>0</v>
      </c>
      <c r="D58" s="25" t="e">
        <f t="shared" si="1"/>
        <v>#DIV/0!</v>
      </c>
      <c r="E58" s="64"/>
      <c r="F58" s="25" t="e">
        <f t="shared" si="5"/>
        <v>#DIV/0!</v>
      </c>
      <c r="G58" s="64"/>
      <c r="J58" s="3">
        <f t="shared" si="3"/>
        <v>0</v>
      </c>
      <c r="K58" s="3">
        <f t="shared" si="4"/>
        <v>0</v>
      </c>
    </row>
    <row r="59" spans="2:11" x14ac:dyDescent="0.3">
      <c r="B59" t="e">
        <f>+#REF!</f>
        <v>#REF!</v>
      </c>
      <c r="C59" s="60">
        <f>SUMIFS(Tablo2[Son Fiyat],Tablo2[Şirket],B59)</f>
        <v>0</v>
      </c>
      <c r="D59" s="25" t="e">
        <f t="shared" si="1"/>
        <v>#DIV/0!</v>
      </c>
      <c r="E59" s="64"/>
      <c r="F59" s="25" t="e">
        <f t="shared" si="5"/>
        <v>#DIV/0!</v>
      </c>
      <c r="G59" s="64"/>
      <c r="J59" s="3">
        <f t="shared" si="3"/>
        <v>0</v>
      </c>
      <c r="K59" s="3">
        <f t="shared" si="4"/>
        <v>0</v>
      </c>
    </row>
    <row r="60" spans="2:11" x14ac:dyDescent="0.3">
      <c r="B60" t="e">
        <f>+#REF!</f>
        <v>#REF!</v>
      </c>
      <c r="C60" s="60">
        <f>SUMIFS(Tablo2[Son Fiyat],Tablo2[Şirket],B60)</f>
        <v>0</v>
      </c>
      <c r="D60" s="25" t="e">
        <f t="shared" si="1"/>
        <v>#DIV/0!</v>
      </c>
      <c r="E60" s="64"/>
      <c r="F60" s="25" t="e">
        <f t="shared" si="5"/>
        <v>#DIV/0!</v>
      </c>
      <c r="G60" s="64"/>
      <c r="J60" s="3">
        <f t="shared" si="3"/>
        <v>0</v>
      </c>
      <c r="K60" s="3">
        <f t="shared" si="4"/>
        <v>0</v>
      </c>
    </row>
    <row r="61" spans="2:11" x14ac:dyDescent="0.3">
      <c r="B61" t="e">
        <f>+#REF!</f>
        <v>#REF!</v>
      </c>
      <c r="C61" s="60">
        <f>SUMIFS(Tablo2[Son Fiyat],Tablo2[Şirket],B61)</f>
        <v>0</v>
      </c>
      <c r="D61" s="25" t="e">
        <f t="shared" si="1"/>
        <v>#DIV/0!</v>
      </c>
      <c r="E61" s="64"/>
      <c r="F61" s="25" t="e">
        <f t="shared" si="5"/>
        <v>#DIV/0!</v>
      </c>
      <c r="G61" s="64"/>
      <c r="J61" s="3">
        <f t="shared" si="3"/>
        <v>0</v>
      </c>
      <c r="K61" s="3">
        <f t="shared" si="4"/>
        <v>0</v>
      </c>
    </row>
    <row r="62" spans="2:11" x14ac:dyDescent="0.3">
      <c r="B62" t="e">
        <f>+#REF!</f>
        <v>#REF!</v>
      </c>
      <c r="C62" s="60">
        <f>SUMIFS(Tablo2[Son Fiyat],Tablo2[Şirket],B62)</f>
        <v>0</v>
      </c>
      <c r="D62" s="25" t="e">
        <f t="shared" si="1"/>
        <v>#DIV/0!</v>
      </c>
      <c r="E62" s="64"/>
      <c r="F62" s="25" t="e">
        <f t="shared" si="5"/>
        <v>#DIV/0!</v>
      </c>
      <c r="G62" s="64"/>
      <c r="J62" s="3">
        <f t="shared" si="3"/>
        <v>0</v>
      </c>
      <c r="K62" s="3">
        <f t="shared" si="4"/>
        <v>0</v>
      </c>
    </row>
    <row r="63" spans="2:11" x14ac:dyDescent="0.3">
      <c r="B63" t="e">
        <f>+#REF!</f>
        <v>#REF!</v>
      </c>
      <c r="C63" s="60">
        <f>SUMIFS(Tablo2[Son Fiyat],Tablo2[Şirket],B63)</f>
        <v>0</v>
      </c>
      <c r="D63" s="25" t="e">
        <f t="shared" si="1"/>
        <v>#DIV/0!</v>
      </c>
      <c r="E63" s="64"/>
      <c r="F63" s="25" t="e">
        <f t="shared" si="5"/>
        <v>#DIV/0!</v>
      </c>
      <c r="G63" s="64"/>
      <c r="J63" s="3">
        <f t="shared" si="3"/>
        <v>0</v>
      </c>
      <c r="K63" s="3">
        <f t="shared" si="4"/>
        <v>0</v>
      </c>
    </row>
    <row r="64" spans="2:11" x14ac:dyDescent="0.3">
      <c r="B64" t="e">
        <f>+#REF!</f>
        <v>#REF!</v>
      </c>
      <c r="C64" s="60">
        <f>SUMIFS(Tablo2[Son Fiyat],Tablo2[Şirket],B64)</f>
        <v>0</v>
      </c>
      <c r="D64" s="25" t="e">
        <f t="shared" si="1"/>
        <v>#DIV/0!</v>
      </c>
      <c r="E64" s="64"/>
      <c r="F64" s="25" t="e">
        <f t="shared" si="5"/>
        <v>#DIV/0!</v>
      </c>
      <c r="G64" s="64"/>
      <c r="J64" s="3">
        <f t="shared" si="3"/>
        <v>0</v>
      </c>
      <c r="K64" s="3">
        <f t="shared" si="4"/>
        <v>0</v>
      </c>
    </row>
    <row r="65" spans="2:11" x14ac:dyDescent="0.3">
      <c r="B65" t="e">
        <f>+#REF!</f>
        <v>#REF!</v>
      </c>
      <c r="C65" s="60">
        <f>SUMIFS(Tablo2[Son Fiyat],Tablo2[Şirket],B65)</f>
        <v>0</v>
      </c>
      <c r="D65" s="25" t="e">
        <f t="shared" si="1"/>
        <v>#DIV/0!</v>
      </c>
      <c r="E65" s="64"/>
      <c r="F65" s="25" t="e">
        <f t="shared" si="5"/>
        <v>#DIV/0!</v>
      </c>
      <c r="G65" s="64"/>
      <c r="J65" s="3">
        <f t="shared" si="3"/>
        <v>0</v>
      </c>
      <c r="K65" s="3">
        <f t="shared" si="4"/>
        <v>0</v>
      </c>
    </row>
    <row r="66" spans="2:11" x14ac:dyDescent="0.3">
      <c r="B66" t="e">
        <f>+#REF!</f>
        <v>#REF!</v>
      </c>
      <c r="C66" s="60">
        <f>SUMIFS(Tablo2[Son Fiyat],Tablo2[Şirket],B66)</f>
        <v>0</v>
      </c>
      <c r="D66" s="25" t="e">
        <f t="shared" si="1"/>
        <v>#DIV/0!</v>
      </c>
      <c r="E66" s="64"/>
      <c r="F66" s="25" t="e">
        <f t="shared" si="5"/>
        <v>#DIV/0!</v>
      </c>
      <c r="G66" s="64"/>
      <c r="J66" s="3">
        <f t="shared" si="3"/>
        <v>0</v>
      </c>
      <c r="K66" s="3">
        <f t="shared" si="4"/>
        <v>0</v>
      </c>
    </row>
    <row r="67" spans="2:11" x14ac:dyDescent="0.3">
      <c r="B67" t="e">
        <f>+#REF!</f>
        <v>#REF!</v>
      </c>
      <c r="C67" s="60">
        <f>SUMIFS(Tablo2[Son Fiyat],Tablo2[Şirket],B67)</f>
        <v>0</v>
      </c>
      <c r="D67" s="25" t="e">
        <f t="shared" si="1"/>
        <v>#DIV/0!</v>
      </c>
      <c r="E67" s="64"/>
      <c r="F67" s="25" t="e">
        <f t="shared" si="5"/>
        <v>#DIV/0!</v>
      </c>
      <c r="G67" s="64"/>
      <c r="J67" s="3">
        <f t="shared" si="3"/>
        <v>0</v>
      </c>
      <c r="K67" s="3">
        <f t="shared" si="4"/>
        <v>0</v>
      </c>
    </row>
    <row r="68" spans="2:11" x14ac:dyDescent="0.3">
      <c r="B68" t="e">
        <f>+#REF!</f>
        <v>#REF!</v>
      </c>
      <c r="C68" s="60">
        <f>SUMIFS(Tablo2[Son Fiyat],Tablo2[Şirket],B68)</f>
        <v>0</v>
      </c>
      <c r="D68" s="25" t="e">
        <f t="shared" si="1"/>
        <v>#DIV/0!</v>
      </c>
      <c r="E68" s="64"/>
      <c r="F68" s="25" t="e">
        <f t="shared" si="5"/>
        <v>#DIV/0!</v>
      </c>
      <c r="G68" s="64"/>
      <c r="J68" s="3">
        <f t="shared" si="3"/>
        <v>0</v>
      </c>
      <c r="K68" s="3">
        <f t="shared" si="4"/>
        <v>0</v>
      </c>
    </row>
    <row r="69" spans="2:11" x14ac:dyDescent="0.3">
      <c r="B69" t="e">
        <f>+#REF!</f>
        <v>#REF!</v>
      </c>
      <c r="C69" s="60">
        <f>SUMIFS(Tablo2[Son Fiyat],Tablo2[Şirket],B69)</f>
        <v>0</v>
      </c>
      <c r="D69" s="25" t="e">
        <f t="shared" si="1"/>
        <v>#DIV/0!</v>
      </c>
      <c r="E69" s="64"/>
      <c r="F69" s="25" t="e">
        <f t="shared" si="5"/>
        <v>#DIV/0!</v>
      </c>
      <c r="G69" s="64"/>
      <c r="J69" s="3">
        <f t="shared" si="3"/>
        <v>0</v>
      </c>
      <c r="K69" s="3">
        <f t="shared" si="4"/>
        <v>0</v>
      </c>
    </row>
    <row r="70" spans="2:11" x14ac:dyDescent="0.3">
      <c r="B70" t="e">
        <f>+#REF!</f>
        <v>#REF!</v>
      </c>
      <c r="C70" s="60">
        <f>SUMIFS(Tablo2[Son Fiyat],Tablo2[Şirket],B70)</f>
        <v>0</v>
      </c>
      <c r="D70" s="25" t="e">
        <f t="shared" si="1"/>
        <v>#DIV/0!</v>
      </c>
      <c r="E70" s="64"/>
      <c r="F70" s="25" t="e">
        <f t="shared" si="5"/>
        <v>#DIV/0!</v>
      </c>
      <c r="G70" s="64"/>
      <c r="J70" s="3">
        <f t="shared" si="3"/>
        <v>0</v>
      </c>
      <c r="K70" s="3">
        <f t="shared" si="4"/>
        <v>0</v>
      </c>
    </row>
    <row r="71" spans="2:11" x14ac:dyDescent="0.3">
      <c r="B71" t="e">
        <f>+#REF!</f>
        <v>#REF!</v>
      </c>
      <c r="C71" s="60">
        <f>SUMIFS(Tablo2[Son Fiyat],Tablo2[Şirket],B71)</f>
        <v>0</v>
      </c>
      <c r="D71" s="25" t="e">
        <f t="shared" si="1"/>
        <v>#DIV/0!</v>
      </c>
      <c r="E71" s="64"/>
      <c r="F71" s="25" t="e">
        <f t="shared" si="5"/>
        <v>#DIV/0!</v>
      </c>
      <c r="G71" s="64"/>
      <c r="J71" s="3">
        <f t="shared" si="3"/>
        <v>0</v>
      </c>
      <c r="K71" s="3">
        <f t="shared" si="4"/>
        <v>0</v>
      </c>
    </row>
    <row r="72" spans="2:11" x14ac:dyDescent="0.3">
      <c r="B72" t="e">
        <f>+#REF!</f>
        <v>#REF!</v>
      </c>
      <c r="C72" s="60">
        <f>SUMIFS(Tablo2[Son Fiyat],Tablo2[Şirket],B72)</f>
        <v>0</v>
      </c>
      <c r="D72" s="25" t="e">
        <f t="shared" ref="D72:D121" si="6">ROUNDUP($D$1/C72,0)</f>
        <v>#DIV/0!</v>
      </c>
      <c r="E72" s="64"/>
      <c r="F72" s="25" t="e">
        <f t="shared" si="5"/>
        <v>#DIV/0!</v>
      </c>
      <c r="G72" s="64"/>
      <c r="J72" s="3">
        <f t="shared" ref="J72:J121" si="7">+C72*0.9</f>
        <v>0</v>
      </c>
      <c r="K72" s="3">
        <f t="shared" ref="K72:K121" si="8">+C72*1.1</f>
        <v>0</v>
      </c>
    </row>
    <row r="73" spans="2:11" x14ac:dyDescent="0.3">
      <c r="B73" t="e">
        <f>+#REF!</f>
        <v>#REF!</v>
      </c>
      <c r="C73" s="60">
        <f>SUMIFS(Tablo2[Son Fiyat],Tablo2[Şirket],B73)</f>
        <v>0</v>
      </c>
      <c r="D73" s="25" t="e">
        <f t="shared" si="6"/>
        <v>#DIV/0!</v>
      </c>
      <c r="E73" s="64"/>
      <c r="F73" s="25" t="e">
        <f t="shared" si="5"/>
        <v>#DIV/0!</v>
      </c>
      <c r="G73" s="64"/>
      <c r="J73" s="3">
        <f t="shared" si="7"/>
        <v>0</v>
      </c>
      <c r="K73" s="3">
        <f t="shared" si="8"/>
        <v>0</v>
      </c>
    </row>
    <row r="74" spans="2:11" x14ac:dyDescent="0.3">
      <c r="B74" t="e">
        <f>+#REF!</f>
        <v>#REF!</v>
      </c>
      <c r="C74" s="60">
        <f>SUMIFS(Tablo2[Son Fiyat],Tablo2[Şirket],B74)</f>
        <v>0</v>
      </c>
      <c r="D74" s="25" t="e">
        <f t="shared" si="6"/>
        <v>#DIV/0!</v>
      </c>
      <c r="E74" s="64"/>
      <c r="F74" s="25" t="e">
        <f t="shared" si="5"/>
        <v>#DIV/0!</v>
      </c>
      <c r="G74" s="64"/>
      <c r="J74" s="3">
        <f t="shared" si="7"/>
        <v>0</v>
      </c>
      <c r="K74" s="3">
        <f t="shared" si="8"/>
        <v>0</v>
      </c>
    </row>
    <row r="75" spans="2:11" x14ac:dyDescent="0.3">
      <c r="B75" t="e">
        <f>+#REF!</f>
        <v>#REF!</v>
      </c>
      <c r="C75" s="60">
        <f>SUMIFS(Tablo2[Son Fiyat],Tablo2[Şirket],B75)</f>
        <v>0</v>
      </c>
      <c r="D75" s="25" t="e">
        <f t="shared" si="6"/>
        <v>#DIV/0!</v>
      </c>
      <c r="E75" s="64"/>
      <c r="F75" s="25" t="e">
        <f t="shared" si="5"/>
        <v>#DIV/0!</v>
      </c>
      <c r="G75" s="64"/>
      <c r="J75" s="3">
        <f t="shared" si="7"/>
        <v>0</v>
      </c>
      <c r="K75" s="3">
        <f t="shared" si="8"/>
        <v>0</v>
      </c>
    </row>
    <row r="76" spans="2:11" x14ac:dyDescent="0.3">
      <c r="B76" t="e">
        <f>+#REF!</f>
        <v>#REF!</v>
      </c>
      <c r="C76" s="60">
        <f>SUMIFS(Tablo2[Son Fiyat],Tablo2[Şirket],B76)</f>
        <v>0</v>
      </c>
      <c r="D76" s="25" t="e">
        <f t="shared" si="6"/>
        <v>#DIV/0!</v>
      </c>
      <c r="E76" s="64"/>
      <c r="F76" s="25" t="e">
        <f t="shared" si="5"/>
        <v>#DIV/0!</v>
      </c>
      <c r="G76" s="64"/>
      <c r="J76" s="3">
        <f t="shared" si="7"/>
        <v>0</v>
      </c>
      <c r="K76" s="3">
        <f t="shared" si="8"/>
        <v>0</v>
      </c>
    </row>
    <row r="77" spans="2:11" x14ac:dyDescent="0.3">
      <c r="B77" t="e">
        <f>+#REF!</f>
        <v>#REF!</v>
      </c>
      <c r="C77" s="60">
        <f>SUMIFS(Tablo2[Son Fiyat],Tablo2[Şirket],B77)</f>
        <v>0</v>
      </c>
      <c r="D77" s="25" t="e">
        <f t="shared" si="6"/>
        <v>#DIV/0!</v>
      </c>
      <c r="E77" s="64"/>
      <c r="F77" s="25" t="e">
        <f t="shared" si="5"/>
        <v>#DIV/0!</v>
      </c>
      <c r="G77" s="64"/>
      <c r="J77" s="3">
        <f t="shared" si="7"/>
        <v>0</v>
      </c>
      <c r="K77" s="3">
        <f t="shared" si="8"/>
        <v>0</v>
      </c>
    </row>
    <row r="78" spans="2:11" x14ac:dyDescent="0.3">
      <c r="B78" t="e">
        <f>+#REF!</f>
        <v>#REF!</v>
      </c>
      <c r="C78" s="60">
        <f>SUMIFS(Tablo2[Son Fiyat],Tablo2[Şirket],B78)</f>
        <v>0</v>
      </c>
      <c r="D78" s="25" t="e">
        <f t="shared" si="6"/>
        <v>#DIV/0!</v>
      </c>
      <c r="E78" s="64"/>
      <c r="F78" s="25" t="e">
        <f t="shared" si="5"/>
        <v>#DIV/0!</v>
      </c>
      <c r="G78" s="64"/>
      <c r="J78" s="3">
        <f t="shared" si="7"/>
        <v>0</v>
      </c>
      <c r="K78" s="3">
        <f t="shared" si="8"/>
        <v>0</v>
      </c>
    </row>
    <row r="79" spans="2:11" x14ac:dyDescent="0.3">
      <c r="B79" t="e">
        <f>+#REF!</f>
        <v>#REF!</v>
      </c>
      <c r="C79" s="60">
        <f>SUMIFS(Tablo2[Son Fiyat],Tablo2[Şirket],B79)</f>
        <v>0</v>
      </c>
      <c r="D79" s="25" t="e">
        <f t="shared" si="6"/>
        <v>#DIV/0!</v>
      </c>
      <c r="E79" s="64"/>
      <c r="F79" s="25" t="e">
        <f t="shared" si="5"/>
        <v>#DIV/0!</v>
      </c>
      <c r="G79" s="64"/>
      <c r="J79" s="3">
        <f t="shared" si="7"/>
        <v>0</v>
      </c>
      <c r="K79" s="3">
        <f t="shared" si="8"/>
        <v>0</v>
      </c>
    </row>
    <row r="80" spans="2:11" x14ac:dyDescent="0.3">
      <c r="B80" t="e">
        <f>+#REF!</f>
        <v>#REF!</v>
      </c>
      <c r="C80" s="60">
        <f>SUMIFS(Tablo2[Son Fiyat],Tablo2[Şirket],B80)</f>
        <v>0</v>
      </c>
      <c r="D80" s="25" t="e">
        <f t="shared" si="6"/>
        <v>#DIV/0!</v>
      </c>
      <c r="E80" s="64"/>
      <c r="F80" s="25" t="e">
        <f t="shared" si="5"/>
        <v>#DIV/0!</v>
      </c>
      <c r="G80" s="64"/>
      <c r="J80" s="3">
        <f t="shared" si="7"/>
        <v>0</v>
      </c>
      <c r="K80" s="3">
        <f t="shared" si="8"/>
        <v>0</v>
      </c>
    </row>
    <row r="81" spans="2:11" x14ac:dyDescent="0.3">
      <c r="B81" t="e">
        <f>+#REF!</f>
        <v>#REF!</v>
      </c>
      <c r="C81" s="60">
        <f>SUMIFS(Tablo2[Son Fiyat],Tablo2[Şirket],B81)</f>
        <v>0</v>
      </c>
      <c r="D81" s="25" t="e">
        <f t="shared" si="6"/>
        <v>#DIV/0!</v>
      </c>
      <c r="E81" s="64"/>
      <c r="F81" s="25" t="e">
        <f t="shared" si="5"/>
        <v>#DIV/0!</v>
      </c>
      <c r="G81" s="64"/>
      <c r="J81" s="3">
        <f t="shared" si="7"/>
        <v>0</v>
      </c>
      <c r="K81" s="3">
        <f t="shared" si="8"/>
        <v>0</v>
      </c>
    </row>
    <row r="82" spans="2:11" x14ac:dyDescent="0.3">
      <c r="B82" t="e">
        <f>+#REF!</f>
        <v>#REF!</v>
      </c>
      <c r="C82" s="60">
        <f>SUMIFS(Tablo2[Son Fiyat],Tablo2[Şirket],B82)</f>
        <v>0</v>
      </c>
      <c r="D82" s="25" t="e">
        <f t="shared" si="6"/>
        <v>#DIV/0!</v>
      </c>
      <c r="E82" s="64"/>
      <c r="F82" s="25" t="e">
        <f t="shared" si="5"/>
        <v>#DIV/0!</v>
      </c>
      <c r="G82" s="64"/>
      <c r="J82" s="3">
        <f t="shared" si="7"/>
        <v>0</v>
      </c>
      <c r="K82" s="3">
        <f t="shared" si="8"/>
        <v>0</v>
      </c>
    </row>
    <row r="83" spans="2:11" x14ac:dyDescent="0.3">
      <c r="B83" t="e">
        <f>+#REF!</f>
        <v>#REF!</v>
      </c>
      <c r="C83" s="60">
        <f>SUMIFS(Tablo2[Son Fiyat],Tablo2[Şirket],B83)</f>
        <v>0</v>
      </c>
      <c r="D83" s="25" t="e">
        <f t="shared" si="6"/>
        <v>#DIV/0!</v>
      </c>
      <c r="E83" s="64"/>
      <c r="F83" s="25" t="e">
        <f t="shared" si="5"/>
        <v>#DIV/0!</v>
      </c>
      <c r="G83" s="64"/>
      <c r="J83" s="3">
        <f t="shared" si="7"/>
        <v>0</v>
      </c>
      <c r="K83" s="3">
        <f t="shared" si="8"/>
        <v>0</v>
      </c>
    </row>
    <row r="84" spans="2:11" x14ac:dyDescent="0.3">
      <c r="B84" t="e">
        <f>+#REF!</f>
        <v>#REF!</v>
      </c>
      <c r="C84" s="60">
        <f>SUMIFS(Tablo2[Son Fiyat],Tablo2[Şirket],B84)</f>
        <v>0</v>
      </c>
      <c r="D84" s="25" t="e">
        <f t="shared" si="6"/>
        <v>#DIV/0!</v>
      </c>
      <c r="E84" s="64"/>
      <c r="F84" s="25" t="e">
        <f t="shared" si="5"/>
        <v>#DIV/0!</v>
      </c>
      <c r="G84" s="64"/>
      <c r="J84" s="3">
        <f t="shared" si="7"/>
        <v>0</v>
      </c>
      <c r="K84" s="3">
        <f t="shared" si="8"/>
        <v>0</v>
      </c>
    </row>
    <row r="85" spans="2:11" x14ac:dyDescent="0.3">
      <c r="B85" t="e">
        <f>+#REF!</f>
        <v>#REF!</v>
      </c>
      <c r="C85" s="60">
        <f>SUMIFS(Tablo2[Son Fiyat],Tablo2[Şirket],B85)</f>
        <v>0</v>
      </c>
      <c r="D85" s="25" t="e">
        <f t="shared" si="6"/>
        <v>#DIV/0!</v>
      </c>
      <c r="E85" s="64"/>
      <c r="F85" s="25" t="e">
        <f t="shared" si="5"/>
        <v>#DIV/0!</v>
      </c>
      <c r="G85" s="64"/>
      <c r="J85" s="3">
        <f t="shared" si="7"/>
        <v>0</v>
      </c>
      <c r="K85" s="3">
        <f t="shared" si="8"/>
        <v>0</v>
      </c>
    </row>
    <row r="86" spans="2:11" x14ac:dyDescent="0.3">
      <c r="B86" t="e">
        <f>+#REF!</f>
        <v>#REF!</v>
      </c>
      <c r="C86" s="60">
        <f>SUMIFS(Tablo2[Son Fiyat],Tablo2[Şirket],B86)</f>
        <v>0</v>
      </c>
      <c r="D86" s="25" t="e">
        <f t="shared" si="6"/>
        <v>#DIV/0!</v>
      </c>
      <c r="E86" s="64"/>
      <c r="F86" s="25" t="e">
        <f t="shared" si="5"/>
        <v>#DIV/0!</v>
      </c>
      <c r="G86" s="64"/>
      <c r="J86" s="3">
        <f t="shared" si="7"/>
        <v>0</v>
      </c>
      <c r="K86" s="3">
        <f t="shared" si="8"/>
        <v>0</v>
      </c>
    </row>
    <row r="87" spans="2:11" x14ac:dyDescent="0.3">
      <c r="B87" t="e">
        <f>+#REF!</f>
        <v>#REF!</v>
      </c>
      <c r="C87" s="60">
        <f>SUMIFS(Tablo2[Son Fiyat],Tablo2[Şirket],B87)</f>
        <v>0</v>
      </c>
      <c r="D87" s="25" t="e">
        <f t="shared" si="6"/>
        <v>#DIV/0!</v>
      </c>
      <c r="E87" s="64"/>
      <c r="F87" s="25" t="e">
        <f t="shared" si="5"/>
        <v>#DIV/0!</v>
      </c>
      <c r="G87" s="64"/>
      <c r="J87" s="3">
        <f t="shared" si="7"/>
        <v>0</v>
      </c>
      <c r="K87" s="3">
        <f t="shared" si="8"/>
        <v>0</v>
      </c>
    </row>
    <row r="88" spans="2:11" x14ac:dyDescent="0.3">
      <c r="B88" t="e">
        <f>+#REF!</f>
        <v>#REF!</v>
      </c>
      <c r="C88" s="60">
        <f>SUMIFS(Tablo2[Son Fiyat],Tablo2[Şirket],B88)</f>
        <v>0</v>
      </c>
      <c r="D88" s="25" t="e">
        <f t="shared" si="6"/>
        <v>#DIV/0!</v>
      </c>
      <c r="E88" s="64"/>
      <c r="F88" s="25" t="e">
        <f t="shared" si="5"/>
        <v>#DIV/0!</v>
      </c>
      <c r="G88" s="64"/>
      <c r="J88" s="3">
        <f t="shared" si="7"/>
        <v>0</v>
      </c>
      <c r="K88" s="3">
        <f t="shared" si="8"/>
        <v>0</v>
      </c>
    </row>
    <row r="89" spans="2:11" x14ac:dyDescent="0.3">
      <c r="B89" t="e">
        <f>+#REF!</f>
        <v>#REF!</v>
      </c>
      <c r="C89" s="60">
        <f>SUMIFS(Tablo2[Son Fiyat],Tablo2[Şirket],B89)</f>
        <v>0</v>
      </c>
      <c r="D89" s="25" t="e">
        <f t="shared" si="6"/>
        <v>#DIV/0!</v>
      </c>
      <c r="E89" s="64"/>
      <c r="F89" s="25" t="e">
        <f t="shared" si="5"/>
        <v>#DIV/0!</v>
      </c>
      <c r="G89" s="64"/>
      <c r="J89" s="3">
        <f t="shared" si="7"/>
        <v>0</v>
      </c>
      <c r="K89" s="3">
        <f t="shared" si="8"/>
        <v>0</v>
      </c>
    </row>
    <row r="90" spans="2:11" x14ac:dyDescent="0.3">
      <c r="B90" t="e">
        <f>+#REF!</f>
        <v>#REF!</v>
      </c>
      <c r="C90" s="60">
        <f>SUMIFS(Tablo2[Son Fiyat],Tablo2[Şirket],B90)</f>
        <v>0</v>
      </c>
      <c r="D90" s="25" t="e">
        <f t="shared" si="6"/>
        <v>#DIV/0!</v>
      </c>
      <c r="E90" s="64"/>
      <c r="F90" s="25" t="e">
        <f t="shared" si="5"/>
        <v>#DIV/0!</v>
      </c>
      <c r="G90" s="64"/>
      <c r="J90" s="3">
        <f t="shared" si="7"/>
        <v>0</v>
      </c>
      <c r="K90" s="3">
        <f t="shared" si="8"/>
        <v>0</v>
      </c>
    </row>
    <row r="91" spans="2:11" x14ac:dyDescent="0.3">
      <c r="B91" t="e">
        <f>+#REF!</f>
        <v>#REF!</v>
      </c>
      <c r="C91" s="60">
        <f>SUMIFS(Tablo2[Son Fiyat],Tablo2[Şirket],B91)</f>
        <v>0</v>
      </c>
      <c r="D91" s="25" t="e">
        <f t="shared" si="6"/>
        <v>#DIV/0!</v>
      </c>
      <c r="E91" s="64"/>
      <c r="F91" s="25" t="e">
        <f t="shared" si="5"/>
        <v>#DIV/0!</v>
      </c>
      <c r="G91" s="64"/>
      <c r="J91" s="3">
        <f t="shared" si="7"/>
        <v>0</v>
      </c>
      <c r="K91" s="3">
        <f t="shared" si="8"/>
        <v>0</v>
      </c>
    </row>
    <row r="92" spans="2:11" x14ac:dyDescent="0.3">
      <c r="B92" t="e">
        <f>+#REF!</f>
        <v>#REF!</v>
      </c>
      <c r="C92" s="60">
        <f>SUMIFS(Tablo2[Son Fiyat],Tablo2[Şirket],B92)</f>
        <v>0</v>
      </c>
      <c r="D92" s="25" t="e">
        <f t="shared" si="6"/>
        <v>#DIV/0!</v>
      </c>
      <c r="E92" s="64"/>
      <c r="F92" s="25" t="e">
        <f t="shared" si="5"/>
        <v>#DIV/0!</v>
      </c>
      <c r="G92" s="64"/>
      <c r="J92" s="3">
        <f t="shared" si="7"/>
        <v>0</v>
      </c>
      <c r="K92" s="3">
        <f t="shared" si="8"/>
        <v>0</v>
      </c>
    </row>
    <row r="93" spans="2:11" x14ac:dyDescent="0.3">
      <c r="B93" t="e">
        <f>+#REF!</f>
        <v>#REF!</v>
      </c>
      <c r="C93" s="60">
        <f>SUMIFS(Tablo2[Son Fiyat],Tablo2[Şirket],B93)</f>
        <v>0</v>
      </c>
      <c r="D93" s="25" t="e">
        <f t="shared" si="6"/>
        <v>#DIV/0!</v>
      </c>
      <c r="E93" s="64"/>
      <c r="F93" s="25" t="e">
        <f t="shared" si="5"/>
        <v>#DIV/0!</v>
      </c>
      <c r="G93" s="64"/>
      <c r="J93" s="3">
        <f t="shared" si="7"/>
        <v>0</v>
      </c>
      <c r="K93" s="3">
        <f t="shared" si="8"/>
        <v>0</v>
      </c>
    </row>
    <row r="94" spans="2:11" x14ac:dyDescent="0.3">
      <c r="B94" t="e">
        <f>+#REF!</f>
        <v>#REF!</v>
      </c>
      <c r="C94" s="60">
        <f>SUMIFS(Tablo2[Son Fiyat],Tablo2[Şirket],B94)</f>
        <v>0</v>
      </c>
      <c r="D94" s="25" t="e">
        <f t="shared" si="6"/>
        <v>#DIV/0!</v>
      </c>
      <c r="E94" s="64"/>
      <c r="F94" s="25" t="e">
        <f t="shared" si="5"/>
        <v>#DIV/0!</v>
      </c>
      <c r="G94" s="64"/>
      <c r="J94" s="3">
        <f t="shared" si="7"/>
        <v>0</v>
      </c>
      <c r="K94" s="3">
        <f t="shared" si="8"/>
        <v>0</v>
      </c>
    </row>
    <row r="95" spans="2:11" x14ac:dyDescent="0.3">
      <c r="B95" t="e">
        <f>+#REF!</f>
        <v>#REF!</v>
      </c>
      <c r="C95" s="60">
        <f>SUMIFS(Tablo2[Son Fiyat],Tablo2[Şirket],B95)</f>
        <v>0</v>
      </c>
      <c r="D95" s="25" t="e">
        <f t="shared" si="6"/>
        <v>#DIV/0!</v>
      </c>
      <c r="E95" s="64"/>
      <c r="F95" s="25" t="e">
        <f t="shared" si="5"/>
        <v>#DIV/0!</v>
      </c>
      <c r="G95" s="64"/>
      <c r="J95" s="3">
        <f t="shared" si="7"/>
        <v>0</v>
      </c>
      <c r="K95" s="3">
        <f t="shared" si="8"/>
        <v>0</v>
      </c>
    </row>
    <row r="96" spans="2:11" x14ac:dyDescent="0.3">
      <c r="B96" t="e">
        <f>+#REF!</f>
        <v>#REF!</v>
      </c>
      <c r="C96" s="60">
        <f>SUMIFS(Tablo2[Son Fiyat],Tablo2[Şirket],B96)</f>
        <v>0</v>
      </c>
      <c r="D96" s="25" t="e">
        <f t="shared" si="6"/>
        <v>#DIV/0!</v>
      </c>
      <c r="E96" s="64"/>
      <c r="F96" s="25" t="e">
        <f t="shared" si="5"/>
        <v>#DIV/0!</v>
      </c>
      <c r="G96" s="64"/>
      <c r="J96" s="3">
        <f t="shared" si="7"/>
        <v>0</v>
      </c>
      <c r="K96" s="3">
        <f t="shared" si="8"/>
        <v>0</v>
      </c>
    </row>
    <row r="97" spans="2:11" x14ac:dyDescent="0.3">
      <c r="B97" t="e">
        <f>+#REF!</f>
        <v>#REF!</v>
      </c>
      <c r="C97" s="60">
        <f>SUMIFS(Tablo2[Son Fiyat],Tablo2[Şirket],B97)</f>
        <v>0</v>
      </c>
      <c r="D97" s="25" t="e">
        <f t="shared" si="6"/>
        <v>#DIV/0!</v>
      </c>
      <c r="E97" s="64"/>
      <c r="F97" s="25" t="e">
        <f t="shared" si="5"/>
        <v>#DIV/0!</v>
      </c>
      <c r="G97" s="64"/>
      <c r="J97" s="3">
        <f t="shared" si="7"/>
        <v>0</v>
      </c>
      <c r="K97" s="3">
        <f t="shared" si="8"/>
        <v>0</v>
      </c>
    </row>
    <row r="98" spans="2:11" x14ac:dyDescent="0.3">
      <c r="B98" t="e">
        <f>+#REF!</f>
        <v>#REF!</v>
      </c>
      <c r="C98" s="60">
        <f>SUMIFS(Tablo2[Son Fiyat],Tablo2[Şirket],B98)</f>
        <v>0</v>
      </c>
      <c r="D98" s="25" t="e">
        <f t="shared" si="6"/>
        <v>#DIV/0!</v>
      </c>
      <c r="E98" s="64"/>
      <c r="F98" s="25" t="e">
        <f t="shared" si="5"/>
        <v>#DIV/0!</v>
      </c>
      <c r="G98" s="64"/>
      <c r="J98" s="3">
        <f t="shared" si="7"/>
        <v>0</v>
      </c>
      <c r="K98" s="3">
        <f t="shared" si="8"/>
        <v>0</v>
      </c>
    </row>
    <row r="99" spans="2:11" x14ac:dyDescent="0.3">
      <c r="B99" t="e">
        <f>+#REF!</f>
        <v>#REF!</v>
      </c>
      <c r="C99" s="60">
        <f>SUMIFS(Tablo2[Son Fiyat],Tablo2[Şirket],B99)</f>
        <v>0</v>
      </c>
      <c r="D99" s="25" t="e">
        <f t="shared" si="6"/>
        <v>#DIV/0!</v>
      </c>
      <c r="E99" s="64"/>
      <c r="F99" s="25" t="e">
        <f t="shared" si="5"/>
        <v>#DIV/0!</v>
      </c>
      <c r="G99" s="64"/>
      <c r="J99" s="3">
        <f t="shared" si="7"/>
        <v>0</v>
      </c>
      <c r="K99" s="3">
        <f t="shared" si="8"/>
        <v>0</v>
      </c>
    </row>
    <row r="100" spans="2:11" x14ac:dyDescent="0.3">
      <c r="B100" t="e">
        <f>+#REF!</f>
        <v>#REF!</v>
      </c>
      <c r="C100" s="57">
        <f>SUMIFS(Tablo2[Son Fiyat],Tablo2[Şirket],B100)</f>
        <v>0</v>
      </c>
      <c r="D100" s="25" t="e">
        <f t="shared" si="6"/>
        <v>#DIV/0!</v>
      </c>
      <c r="E100" s="64"/>
      <c r="F100" s="25" t="e">
        <f t="shared" si="5"/>
        <v>#DIV/0!</v>
      </c>
      <c r="G100" s="64"/>
      <c r="J100" s="3">
        <f t="shared" si="7"/>
        <v>0</v>
      </c>
      <c r="K100" s="3">
        <f t="shared" si="8"/>
        <v>0</v>
      </c>
    </row>
    <row r="101" spans="2:11" x14ac:dyDescent="0.3">
      <c r="B101" t="e">
        <f>+#REF!</f>
        <v>#REF!</v>
      </c>
      <c r="C101" s="57">
        <f>SUMIFS(Tablo2[Son Fiyat],Tablo2[Şirket],B101)</f>
        <v>0</v>
      </c>
      <c r="D101" s="25" t="e">
        <f t="shared" si="6"/>
        <v>#DIV/0!</v>
      </c>
      <c r="E101" s="64"/>
      <c r="F101" s="25" t="e">
        <f t="shared" si="5"/>
        <v>#DIV/0!</v>
      </c>
      <c r="G101" s="64"/>
      <c r="J101" s="3">
        <f t="shared" si="7"/>
        <v>0</v>
      </c>
      <c r="K101" s="3">
        <f t="shared" si="8"/>
        <v>0</v>
      </c>
    </row>
    <row r="102" spans="2:11" x14ac:dyDescent="0.3">
      <c r="B102" t="e">
        <f>+#REF!</f>
        <v>#REF!</v>
      </c>
      <c r="C102" s="57">
        <f>SUMIFS(Tablo2[Son Fiyat],Tablo2[Şirket],B102)</f>
        <v>0</v>
      </c>
      <c r="D102" s="25" t="e">
        <f t="shared" si="6"/>
        <v>#DIV/0!</v>
      </c>
      <c r="E102" s="64"/>
      <c r="F102" s="25" t="e">
        <f t="shared" si="5"/>
        <v>#DIV/0!</v>
      </c>
      <c r="G102" s="64"/>
      <c r="J102" s="3">
        <f t="shared" si="7"/>
        <v>0</v>
      </c>
      <c r="K102" s="3">
        <f t="shared" si="8"/>
        <v>0</v>
      </c>
    </row>
    <row r="103" spans="2:11" x14ac:dyDescent="0.3">
      <c r="B103" t="e">
        <f>+#REF!</f>
        <v>#REF!</v>
      </c>
      <c r="C103" s="57">
        <f>SUMIFS(Tablo2[Son Fiyat],Tablo2[Şirket],B103)</f>
        <v>0</v>
      </c>
      <c r="D103" s="25" t="e">
        <f t="shared" si="6"/>
        <v>#DIV/0!</v>
      </c>
      <c r="E103" s="64"/>
      <c r="F103" s="25" t="e">
        <f t="shared" si="5"/>
        <v>#DIV/0!</v>
      </c>
      <c r="G103" s="64"/>
      <c r="J103" s="3">
        <f t="shared" si="7"/>
        <v>0</v>
      </c>
      <c r="K103" s="3">
        <f t="shared" si="8"/>
        <v>0</v>
      </c>
    </row>
    <row r="104" spans="2:11" x14ac:dyDescent="0.3">
      <c r="B104" t="e">
        <f>+#REF!</f>
        <v>#REF!</v>
      </c>
      <c r="C104" s="57">
        <f>SUMIFS(Tablo2[Son Fiyat],Tablo2[Şirket],B104)</f>
        <v>0</v>
      </c>
      <c r="D104" s="25" t="e">
        <f t="shared" si="6"/>
        <v>#DIV/0!</v>
      </c>
      <c r="E104" s="64"/>
      <c r="F104" s="25" t="e">
        <f t="shared" si="5"/>
        <v>#DIV/0!</v>
      </c>
      <c r="G104" s="64"/>
      <c r="J104" s="3">
        <f t="shared" si="7"/>
        <v>0</v>
      </c>
      <c r="K104" s="3">
        <f t="shared" si="8"/>
        <v>0</v>
      </c>
    </row>
    <row r="105" spans="2:11" x14ac:dyDescent="0.3">
      <c r="B105" t="e">
        <f>+#REF!</f>
        <v>#REF!</v>
      </c>
      <c r="C105" s="57">
        <f>SUMIFS(Tablo2[Son Fiyat],Tablo2[Şirket],B105)</f>
        <v>0</v>
      </c>
      <c r="D105" s="25" t="e">
        <f t="shared" si="6"/>
        <v>#DIV/0!</v>
      </c>
      <c r="E105" s="64"/>
      <c r="F105" s="25" t="e">
        <f t="shared" si="5"/>
        <v>#DIV/0!</v>
      </c>
      <c r="G105" s="64"/>
      <c r="J105" s="3">
        <f t="shared" si="7"/>
        <v>0</v>
      </c>
      <c r="K105" s="3">
        <f t="shared" si="8"/>
        <v>0</v>
      </c>
    </row>
    <row r="106" spans="2:11" x14ac:dyDescent="0.3">
      <c r="B106" t="e">
        <f>+#REF!</f>
        <v>#REF!</v>
      </c>
      <c r="C106" s="57">
        <f>SUMIFS(Tablo2[Son Fiyat],Tablo2[Şirket],B106)</f>
        <v>0</v>
      </c>
      <c r="D106" s="25" t="e">
        <f t="shared" si="6"/>
        <v>#DIV/0!</v>
      </c>
      <c r="E106" s="64"/>
      <c r="F106" s="25" t="e">
        <f t="shared" si="5"/>
        <v>#DIV/0!</v>
      </c>
      <c r="G106" s="64"/>
      <c r="J106" s="3">
        <f t="shared" si="7"/>
        <v>0</v>
      </c>
      <c r="K106" s="3">
        <f t="shared" si="8"/>
        <v>0</v>
      </c>
    </row>
    <row r="107" spans="2:11" x14ac:dyDescent="0.3">
      <c r="B107" t="e">
        <f>+#REF!</f>
        <v>#REF!</v>
      </c>
      <c r="C107" s="57">
        <f>SUMIFS(Tablo2[Son Fiyat],Tablo2[Şirket],B107)</f>
        <v>0</v>
      </c>
      <c r="D107" s="25" t="e">
        <f t="shared" si="6"/>
        <v>#DIV/0!</v>
      </c>
      <c r="E107" s="64"/>
      <c r="F107" s="25" t="e">
        <f t="shared" si="5"/>
        <v>#DIV/0!</v>
      </c>
      <c r="G107" s="64"/>
      <c r="J107" s="3">
        <f t="shared" si="7"/>
        <v>0</v>
      </c>
      <c r="K107" s="3">
        <f t="shared" si="8"/>
        <v>0</v>
      </c>
    </row>
    <row r="108" spans="2:11" x14ac:dyDescent="0.3">
      <c r="B108" t="e">
        <f>+#REF!</f>
        <v>#REF!</v>
      </c>
      <c r="C108" s="57">
        <f>SUMIFS(Tablo2[Son Fiyat],Tablo2[Şirket],B108)</f>
        <v>0</v>
      </c>
      <c r="D108" s="25" t="e">
        <f t="shared" si="6"/>
        <v>#DIV/0!</v>
      </c>
      <c r="E108" s="64"/>
      <c r="F108" s="25" t="e">
        <f t="shared" si="5"/>
        <v>#DIV/0!</v>
      </c>
      <c r="G108" s="64"/>
      <c r="J108" s="3">
        <f t="shared" si="7"/>
        <v>0</v>
      </c>
      <c r="K108" s="3">
        <f t="shared" si="8"/>
        <v>0</v>
      </c>
    </row>
    <row r="109" spans="2:11" x14ac:dyDescent="0.3">
      <c r="B109" t="e">
        <f>+#REF!</f>
        <v>#REF!</v>
      </c>
      <c r="C109" s="57">
        <f>SUMIFS(Tablo2[Son Fiyat],Tablo2[Şirket],B109)</f>
        <v>0</v>
      </c>
      <c r="D109" s="25" t="e">
        <f t="shared" si="6"/>
        <v>#DIV/0!</v>
      </c>
      <c r="E109" s="64"/>
      <c r="F109" s="25" t="e">
        <f t="shared" si="5"/>
        <v>#DIV/0!</v>
      </c>
      <c r="G109" s="64"/>
      <c r="J109" s="3">
        <f t="shared" si="7"/>
        <v>0</v>
      </c>
      <c r="K109" s="3">
        <f t="shared" si="8"/>
        <v>0</v>
      </c>
    </row>
    <row r="110" spans="2:11" x14ac:dyDescent="0.3">
      <c r="B110" t="e">
        <f>+#REF!</f>
        <v>#REF!</v>
      </c>
      <c r="C110" s="57">
        <f>SUMIFS(Tablo2[Son Fiyat],Tablo2[Şirket],B110)</f>
        <v>0</v>
      </c>
      <c r="D110" s="25" t="e">
        <f t="shared" si="6"/>
        <v>#DIV/0!</v>
      </c>
      <c r="E110" s="64"/>
      <c r="F110" s="25" t="e">
        <f t="shared" si="5"/>
        <v>#DIV/0!</v>
      </c>
      <c r="G110" s="64"/>
      <c r="J110" s="3">
        <f t="shared" si="7"/>
        <v>0</v>
      </c>
      <c r="K110" s="3">
        <f t="shared" si="8"/>
        <v>0</v>
      </c>
    </row>
    <row r="111" spans="2:11" x14ac:dyDescent="0.3">
      <c r="B111" t="e">
        <f>+#REF!</f>
        <v>#REF!</v>
      </c>
      <c r="C111" s="57">
        <f>SUMIFS(Tablo2[Son Fiyat],Tablo2[Şirket],B111)</f>
        <v>0</v>
      </c>
      <c r="D111" s="25" t="e">
        <f t="shared" si="6"/>
        <v>#DIV/0!</v>
      </c>
      <c r="E111" s="64"/>
      <c r="F111" s="25" t="e">
        <f t="shared" si="5"/>
        <v>#DIV/0!</v>
      </c>
      <c r="G111" s="64"/>
      <c r="J111" s="3">
        <f t="shared" si="7"/>
        <v>0</v>
      </c>
      <c r="K111" s="3">
        <f t="shared" si="8"/>
        <v>0</v>
      </c>
    </row>
    <row r="112" spans="2:11" x14ac:dyDescent="0.3">
      <c r="B112" t="e">
        <f>+#REF!</f>
        <v>#REF!</v>
      </c>
      <c r="C112" s="57">
        <f>SUMIFS(Tablo2[Son Fiyat],Tablo2[Şirket],B112)</f>
        <v>0</v>
      </c>
      <c r="D112" s="25" t="e">
        <f t="shared" si="6"/>
        <v>#DIV/0!</v>
      </c>
      <c r="E112" s="64"/>
      <c r="F112" s="25" t="e">
        <f t="shared" si="5"/>
        <v>#DIV/0!</v>
      </c>
      <c r="G112" s="64"/>
      <c r="J112" s="3">
        <f t="shared" si="7"/>
        <v>0</v>
      </c>
      <c r="K112" s="3">
        <f t="shared" si="8"/>
        <v>0</v>
      </c>
    </row>
    <row r="113" spans="2:11" x14ac:dyDescent="0.3">
      <c r="B113" t="e">
        <f>+#REF!</f>
        <v>#REF!</v>
      </c>
      <c r="C113" s="57">
        <f>SUMIFS(Tablo2[Son Fiyat],Tablo2[Şirket],B113)</f>
        <v>0</v>
      </c>
      <c r="D113" s="25" t="e">
        <f t="shared" si="6"/>
        <v>#DIV/0!</v>
      </c>
      <c r="E113" s="64"/>
      <c r="F113" s="25" t="e">
        <f t="shared" si="5"/>
        <v>#DIV/0!</v>
      </c>
      <c r="G113" s="64"/>
      <c r="J113" s="3">
        <f t="shared" si="7"/>
        <v>0</v>
      </c>
      <c r="K113" s="3">
        <f t="shared" si="8"/>
        <v>0</v>
      </c>
    </row>
    <row r="114" spans="2:11" x14ac:dyDescent="0.3">
      <c r="B114" t="e">
        <f>+#REF!</f>
        <v>#REF!</v>
      </c>
      <c r="C114" s="57">
        <f>SUMIFS(Tablo2[Son Fiyat],Tablo2[Şirket],B114)</f>
        <v>0</v>
      </c>
      <c r="D114" s="25" t="e">
        <f t="shared" si="6"/>
        <v>#DIV/0!</v>
      </c>
      <c r="E114" s="64"/>
      <c r="F114" s="25" t="e">
        <f t="shared" si="5"/>
        <v>#DIV/0!</v>
      </c>
      <c r="G114" s="64"/>
      <c r="J114" s="3">
        <f t="shared" si="7"/>
        <v>0</v>
      </c>
      <c r="K114" s="3">
        <f t="shared" si="8"/>
        <v>0</v>
      </c>
    </row>
    <row r="115" spans="2:11" x14ac:dyDescent="0.3">
      <c r="B115" t="e">
        <f>+#REF!</f>
        <v>#REF!</v>
      </c>
      <c r="C115" s="57">
        <f>SUMIFS(Tablo2[Son Fiyat],Tablo2[Şirket],B115)</f>
        <v>0</v>
      </c>
      <c r="D115" s="25" t="e">
        <f t="shared" si="6"/>
        <v>#DIV/0!</v>
      </c>
      <c r="E115" s="64"/>
      <c r="F115" s="25" t="e">
        <f t="shared" ref="F115:F121" si="9">+D115*2</f>
        <v>#DIV/0!</v>
      </c>
      <c r="G115" s="64"/>
      <c r="J115" s="3">
        <f t="shared" si="7"/>
        <v>0</v>
      </c>
      <c r="K115" s="3">
        <f t="shared" si="8"/>
        <v>0</v>
      </c>
    </row>
    <row r="116" spans="2:11" x14ac:dyDescent="0.3">
      <c r="B116" t="e">
        <f>+#REF!</f>
        <v>#REF!</v>
      </c>
      <c r="C116" s="57">
        <f>SUMIFS(Tablo2[Son Fiyat],Tablo2[Şirket],B116)</f>
        <v>0</v>
      </c>
      <c r="D116" s="25" t="e">
        <f t="shared" si="6"/>
        <v>#DIV/0!</v>
      </c>
      <c r="E116" s="64"/>
      <c r="F116" s="25" t="e">
        <f t="shared" si="9"/>
        <v>#DIV/0!</v>
      </c>
      <c r="G116" s="64"/>
      <c r="J116" s="3">
        <f t="shared" si="7"/>
        <v>0</v>
      </c>
      <c r="K116" s="3">
        <f t="shared" si="8"/>
        <v>0</v>
      </c>
    </row>
    <row r="117" spans="2:11" x14ac:dyDescent="0.3">
      <c r="B117" t="e">
        <f>+#REF!</f>
        <v>#REF!</v>
      </c>
      <c r="C117" s="57">
        <f>SUMIFS(Tablo2[Son Fiyat],Tablo2[Şirket],B117)</f>
        <v>0</v>
      </c>
      <c r="D117" s="25" t="e">
        <f t="shared" si="6"/>
        <v>#DIV/0!</v>
      </c>
      <c r="E117" s="64"/>
      <c r="F117" s="25" t="e">
        <f t="shared" si="9"/>
        <v>#DIV/0!</v>
      </c>
      <c r="G117" s="64"/>
      <c r="J117" s="3">
        <f t="shared" si="7"/>
        <v>0</v>
      </c>
      <c r="K117" s="3">
        <f t="shared" si="8"/>
        <v>0</v>
      </c>
    </row>
    <row r="118" spans="2:11" x14ac:dyDescent="0.3">
      <c r="B118" t="e">
        <f>+#REF!</f>
        <v>#REF!</v>
      </c>
      <c r="C118" s="57">
        <f>SUMIFS(Tablo2[Son Fiyat],Tablo2[Şirket],B118)</f>
        <v>0</v>
      </c>
      <c r="D118" s="25" t="e">
        <f t="shared" si="6"/>
        <v>#DIV/0!</v>
      </c>
      <c r="E118" s="64"/>
      <c r="F118" s="25" t="e">
        <f t="shared" si="9"/>
        <v>#DIV/0!</v>
      </c>
      <c r="G118" s="64"/>
      <c r="J118" s="3">
        <f t="shared" si="7"/>
        <v>0</v>
      </c>
      <c r="K118" s="3">
        <f t="shared" si="8"/>
        <v>0</v>
      </c>
    </row>
    <row r="119" spans="2:11" x14ac:dyDescent="0.3">
      <c r="B119" t="e">
        <f>+#REF!</f>
        <v>#REF!</v>
      </c>
      <c r="C119" s="57">
        <f>SUMIFS(Tablo2[Son Fiyat],Tablo2[Şirket],B119)</f>
        <v>0</v>
      </c>
      <c r="D119" s="25" t="e">
        <f t="shared" si="6"/>
        <v>#DIV/0!</v>
      </c>
      <c r="E119" s="64"/>
      <c r="F119" s="25" t="e">
        <f t="shared" si="9"/>
        <v>#DIV/0!</v>
      </c>
      <c r="G119" s="64"/>
      <c r="J119" s="3">
        <f t="shared" si="7"/>
        <v>0</v>
      </c>
      <c r="K119" s="3">
        <f t="shared" si="8"/>
        <v>0</v>
      </c>
    </row>
    <row r="120" spans="2:11" x14ac:dyDescent="0.3">
      <c r="B120" t="e">
        <f>+#REF!</f>
        <v>#REF!</v>
      </c>
      <c r="C120" s="57">
        <f>SUMIFS(Tablo2[Son Fiyat],Tablo2[Şirket],B120)</f>
        <v>0</v>
      </c>
      <c r="D120" s="25" t="e">
        <f t="shared" si="6"/>
        <v>#DIV/0!</v>
      </c>
      <c r="E120" s="64"/>
      <c r="F120" s="25" t="e">
        <f t="shared" si="9"/>
        <v>#DIV/0!</v>
      </c>
      <c r="G120" s="64"/>
      <c r="J120" s="3">
        <f t="shared" si="7"/>
        <v>0</v>
      </c>
      <c r="K120" s="3">
        <f t="shared" si="8"/>
        <v>0</v>
      </c>
    </row>
    <row r="121" spans="2:11" x14ac:dyDescent="0.3">
      <c r="B121" t="e">
        <f>+#REF!</f>
        <v>#REF!</v>
      </c>
      <c r="C121" s="57">
        <f>SUMIFS(Tablo2[Son Fiyat],Tablo2[Şirket],B121)</f>
        <v>0</v>
      </c>
      <c r="D121" s="25" t="e">
        <f t="shared" si="6"/>
        <v>#DIV/0!</v>
      </c>
      <c r="E121" s="64"/>
      <c r="F121" s="25" t="e">
        <f t="shared" si="9"/>
        <v>#DIV/0!</v>
      </c>
      <c r="G121" s="64"/>
      <c r="J121" s="3">
        <f t="shared" si="7"/>
        <v>0</v>
      </c>
      <c r="K121" s="3">
        <f t="shared" si="8"/>
        <v>0</v>
      </c>
    </row>
    <row r="122" spans="2:11" x14ac:dyDescent="0.3">
      <c r="B122" t="e">
        <f>+#REF!</f>
        <v>#REF!</v>
      </c>
      <c r="E122" s="64"/>
      <c r="G122" s="64"/>
    </row>
    <row r="123" spans="2:11" x14ac:dyDescent="0.3">
      <c r="B123" t="e">
        <f>+#REF!</f>
        <v>#REF!</v>
      </c>
      <c r="E123" s="64"/>
      <c r="G123" s="64"/>
    </row>
    <row r="124" spans="2:11" x14ac:dyDescent="0.3">
      <c r="B124" t="e">
        <f>+#REF!</f>
        <v>#REF!</v>
      </c>
      <c r="E124" s="64"/>
      <c r="G124" s="64"/>
    </row>
    <row r="125" spans="2:11" x14ac:dyDescent="0.3">
      <c r="B125" t="e">
        <f>+#REF!</f>
        <v>#REF!</v>
      </c>
      <c r="E125" s="64"/>
      <c r="G125" s="64"/>
    </row>
    <row r="126" spans="2:11" x14ac:dyDescent="0.3">
      <c r="B126" t="e">
        <f>+#REF!</f>
        <v>#REF!</v>
      </c>
      <c r="E126" s="64"/>
      <c r="G126" s="64"/>
    </row>
    <row r="127" spans="2:11" x14ac:dyDescent="0.3">
      <c r="B127" t="e">
        <f>+#REF!</f>
        <v>#REF!</v>
      </c>
      <c r="E127" s="64"/>
      <c r="G127" s="64"/>
    </row>
    <row r="128" spans="2:11" x14ac:dyDescent="0.3">
      <c r="B128" t="e">
        <f>+#REF!</f>
        <v>#REF!</v>
      </c>
      <c r="E128" s="64"/>
      <c r="G128" s="64"/>
    </row>
    <row r="129" spans="2:7" x14ac:dyDescent="0.3">
      <c r="B129" t="e">
        <f>+#REF!</f>
        <v>#REF!</v>
      </c>
      <c r="E129" s="64"/>
      <c r="G129" s="64"/>
    </row>
    <row r="130" spans="2:7" x14ac:dyDescent="0.3">
      <c r="B130" t="e">
        <f>+#REF!</f>
        <v>#REF!</v>
      </c>
      <c r="E130" s="64"/>
      <c r="G130" s="64"/>
    </row>
    <row r="131" spans="2:7" x14ac:dyDescent="0.3">
      <c r="B131" t="e">
        <f>+#REF!</f>
        <v>#REF!</v>
      </c>
      <c r="E131" s="64"/>
      <c r="G131" s="64"/>
    </row>
    <row r="132" spans="2:7" x14ac:dyDescent="0.3">
      <c r="B132" t="e">
        <f>+#REF!</f>
        <v>#REF!</v>
      </c>
      <c r="E132" s="64"/>
      <c r="G132" s="64"/>
    </row>
    <row r="133" spans="2:7" x14ac:dyDescent="0.3">
      <c r="B133" t="e">
        <f>+#REF!</f>
        <v>#REF!</v>
      </c>
      <c r="E133" s="64"/>
      <c r="G133" s="64"/>
    </row>
    <row r="134" spans="2:7" x14ac:dyDescent="0.3">
      <c r="B134" t="e">
        <f>+#REF!</f>
        <v>#REF!</v>
      </c>
      <c r="E134" s="64"/>
      <c r="G134" s="64"/>
    </row>
    <row r="135" spans="2:7" x14ac:dyDescent="0.3">
      <c r="B135" t="e">
        <f>+#REF!</f>
        <v>#REF!</v>
      </c>
      <c r="E135" s="64"/>
      <c r="G135" s="64"/>
    </row>
    <row r="136" spans="2:7" x14ac:dyDescent="0.3">
      <c r="B136" t="e">
        <f>+#REF!</f>
        <v>#REF!</v>
      </c>
    </row>
    <row r="137" spans="2:7" x14ac:dyDescent="0.3">
      <c r="B137" t="e">
        <f>+#REF!</f>
        <v>#REF!</v>
      </c>
    </row>
    <row r="138" spans="2:7" x14ac:dyDescent="0.3">
      <c r="B138" t="e">
        <f>+#REF!</f>
        <v>#REF!</v>
      </c>
    </row>
    <row r="139" spans="2:7" x14ac:dyDescent="0.3">
      <c r="B139" t="e">
        <f>+#REF!</f>
        <v>#REF!</v>
      </c>
    </row>
    <row r="140" spans="2:7" x14ac:dyDescent="0.3">
      <c r="B140" t="e">
        <f>+#REF!</f>
        <v>#REF!</v>
      </c>
    </row>
    <row r="141" spans="2:7" x14ac:dyDescent="0.3">
      <c r="B141" t="e">
        <f>+#REF!</f>
        <v>#REF!</v>
      </c>
    </row>
  </sheetData>
  <mergeCells count="2">
    <mergeCell ref="D2:E2"/>
    <mergeCell ref="F2:G2"/>
  </mergeCells>
  <conditionalFormatting sqref="D4:E50">
    <cfRule type="expression" dxfId="1" priority="2">
      <formula>$E4&lt;$K4</formula>
    </cfRule>
  </conditionalFormatting>
  <conditionalFormatting sqref="F4:G50">
    <cfRule type="expression" dxfId="0" priority="1">
      <formula>$G4&gt;$J4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18B5F-E7DE-4662-8FE5-160E65E731C1}">
  <dimension ref="A2:O48"/>
  <sheetViews>
    <sheetView workbookViewId="0">
      <selection activeCell="C3" sqref="C3"/>
    </sheetView>
  </sheetViews>
  <sheetFormatPr defaultRowHeight="14.4" x14ac:dyDescent="0.3"/>
  <cols>
    <col min="14" max="14" width="36.33203125" bestFit="1" customWidth="1"/>
  </cols>
  <sheetData>
    <row r="2" spans="1:15" x14ac:dyDescent="0.3">
      <c r="A2" t="str">
        <f t="shared" ref="A2:A3" si="0">VLOOKUP(C2,$N$2:$O$48,2,)</f>
        <v>ADEL</v>
      </c>
      <c r="C2" t="s">
        <v>634</v>
      </c>
      <c r="D2" s="74">
        <v>8.6999999999999994E-3</v>
      </c>
      <c r="E2" s="74">
        <v>-1.26E-2</v>
      </c>
      <c r="F2" s="74">
        <v>-1.5900000000000001E-2</v>
      </c>
      <c r="G2" s="74">
        <v>0.14990000000000001</v>
      </c>
      <c r="H2" s="74">
        <v>0.14990000000000001</v>
      </c>
      <c r="I2" s="74">
        <v>11.0139</v>
      </c>
      <c r="N2" t="s">
        <v>634</v>
      </c>
      <c r="O2" t="s">
        <v>6</v>
      </c>
    </row>
    <row r="3" spans="1:15" x14ac:dyDescent="0.3">
      <c r="A3" t="str">
        <f t="shared" si="0"/>
        <v>ALCTL</v>
      </c>
      <c r="C3" t="s">
        <v>635</v>
      </c>
      <c r="D3" s="74">
        <v>4.1000000000000003E-3</v>
      </c>
      <c r="E3" s="74">
        <v>3.3E-3</v>
      </c>
      <c r="F3" s="74">
        <v>1.34E-2</v>
      </c>
      <c r="G3" s="74">
        <v>0.59</v>
      </c>
      <c r="H3" s="74">
        <v>0.59</v>
      </c>
      <c r="I3" s="74">
        <v>4.0922999999999998</v>
      </c>
      <c r="N3" t="s">
        <v>635</v>
      </c>
      <c r="O3" t="s">
        <v>83</v>
      </c>
    </row>
    <row r="4" spans="1:15" x14ac:dyDescent="0.3">
      <c r="A4" t="str">
        <f>VLOOKUP(C4,$N$2:$O$48,2,)</f>
        <v>ASTOR</v>
      </c>
      <c r="C4" t="s">
        <v>636</v>
      </c>
      <c r="D4" s="74">
        <v>2.4899999999999999E-2</v>
      </c>
      <c r="E4" s="74">
        <v>7.7600000000000002E-2</v>
      </c>
      <c r="F4" s="74">
        <v>0.2175</v>
      </c>
      <c r="G4" s="74">
        <v>0.23960000000000001</v>
      </c>
      <c r="H4" s="74">
        <v>0.23960000000000001</v>
      </c>
      <c r="I4" t="s">
        <v>637</v>
      </c>
      <c r="N4" t="s">
        <v>646</v>
      </c>
      <c r="O4" t="s">
        <v>10</v>
      </c>
    </row>
    <row r="5" spans="1:15" x14ac:dyDescent="0.3">
      <c r="A5" t="str">
        <f t="shared" ref="A5:A48" si="1">VLOOKUP(C5,$N$2:$O$48,2,)</f>
        <v>BAYRK</v>
      </c>
      <c r="C5" t="s">
        <v>638</v>
      </c>
      <c r="D5" s="74">
        <v>-3.3999999999999998E-3</v>
      </c>
      <c r="E5" s="74">
        <v>-2.6200000000000001E-2</v>
      </c>
      <c r="F5" s="74">
        <v>-1.41E-2</v>
      </c>
      <c r="G5" s="74">
        <v>3.8100000000000002E-2</v>
      </c>
      <c r="H5" s="74">
        <v>3.8100000000000002E-2</v>
      </c>
      <c r="I5" s="74">
        <v>4.1750999999999996</v>
      </c>
      <c r="N5" t="s">
        <v>636</v>
      </c>
      <c r="O5" t="s">
        <v>12</v>
      </c>
    </row>
    <row r="6" spans="1:15" x14ac:dyDescent="0.3">
      <c r="A6" t="str">
        <f t="shared" si="1"/>
        <v>BRLSM</v>
      </c>
      <c r="C6" t="s">
        <v>639</v>
      </c>
      <c r="D6" s="74">
        <v>1.4200000000000001E-2</v>
      </c>
      <c r="E6" s="74">
        <v>-1.2500000000000001E-2</v>
      </c>
      <c r="F6" s="74">
        <v>-6.9999999999999999E-4</v>
      </c>
      <c r="G6" s="74">
        <v>-0.35849999999999999</v>
      </c>
      <c r="H6" s="74">
        <v>-0.35849999999999999</v>
      </c>
      <c r="I6" s="74">
        <v>3.0895000000000001</v>
      </c>
      <c r="N6" t="s">
        <v>638</v>
      </c>
      <c r="O6" t="s">
        <v>128</v>
      </c>
    </row>
    <row r="7" spans="1:15" x14ac:dyDescent="0.3">
      <c r="A7" t="str">
        <f t="shared" si="1"/>
        <v>BFREN</v>
      </c>
      <c r="C7" t="s">
        <v>640</v>
      </c>
      <c r="D7" s="74">
        <v>2.9100000000000001E-2</v>
      </c>
      <c r="E7" s="74">
        <v>3.8899999999999997E-2</v>
      </c>
      <c r="F7" s="74">
        <v>-1.12E-2</v>
      </c>
      <c r="G7" s="74">
        <v>-0.19719999999999999</v>
      </c>
      <c r="H7" s="74">
        <v>-0.19719999999999999</v>
      </c>
      <c r="I7" s="74">
        <v>7.5603999999999996</v>
      </c>
      <c r="N7" t="s">
        <v>640</v>
      </c>
      <c r="O7" t="s">
        <v>132</v>
      </c>
    </row>
    <row r="8" spans="1:15" x14ac:dyDescent="0.3">
      <c r="A8" t="str">
        <f t="shared" si="1"/>
        <v>BVSAN</v>
      </c>
      <c r="C8" t="s">
        <v>641</v>
      </c>
      <c r="D8" s="74">
        <v>8.3999999999999995E-3</v>
      </c>
      <c r="E8" s="74">
        <v>-9.2999999999999992E-3</v>
      </c>
      <c r="F8" s="74">
        <v>-1.52E-2</v>
      </c>
      <c r="G8" s="74">
        <v>0.16239999999999999</v>
      </c>
      <c r="H8" s="74">
        <v>0.16239999999999999</v>
      </c>
      <c r="I8" s="74" t="s">
        <v>637</v>
      </c>
      <c r="N8" t="s">
        <v>642</v>
      </c>
      <c r="O8" t="s">
        <v>14</v>
      </c>
    </row>
    <row r="9" spans="1:15" x14ac:dyDescent="0.3">
      <c r="A9" t="str">
        <f t="shared" si="1"/>
        <v>BURVA</v>
      </c>
      <c r="C9" t="s">
        <v>642</v>
      </c>
      <c r="D9" s="74">
        <v>6.1000000000000004E-3</v>
      </c>
      <c r="E9" s="74">
        <v>5.9900000000000002E-2</v>
      </c>
      <c r="F9" s="74">
        <v>-7.2599999999999998E-2</v>
      </c>
      <c r="G9" s="74">
        <v>0.6028</v>
      </c>
      <c r="H9" s="74">
        <v>0.6028</v>
      </c>
      <c r="I9">
        <v>3.8769999999999998</v>
      </c>
      <c r="N9" t="s">
        <v>639</v>
      </c>
      <c r="O9" t="s">
        <v>13</v>
      </c>
    </row>
    <row r="10" spans="1:15" x14ac:dyDescent="0.3">
      <c r="A10" t="str">
        <f t="shared" si="1"/>
        <v>CEOEM</v>
      </c>
      <c r="C10" t="s">
        <v>643</v>
      </c>
      <c r="D10" s="74">
        <v>-1.72E-2</v>
      </c>
      <c r="E10" s="74">
        <v>-4.0399999999999998E-2</v>
      </c>
      <c r="F10" s="74">
        <v>4.4699999999999997E-2</v>
      </c>
      <c r="G10" s="74">
        <v>0.47589999999999999</v>
      </c>
      <c r="H10" s="74">
        <v>0.47589999999999999</v>
      </c>
      <c r="I10" s="74">
        <v>1.1603000000000001</v>
      </c>
      <c r="N10" t="s">
        <v>641</v>
      </c>
      <c r="O10" t="s">
        <v>157</v>
      </c>
    </row>
    <row r="11" spans="1:15" x14ac:dyDescent="0.3">
      <c r="A11" t="str">
        <f t="shared" si="1"/>
        <v>CIMSA</v>
      </c>
      <c r="C11" t="s">
        <v>644</v>
      </c>
      <c r="D11" s="74">
        <v>2.9700000000000001E-2</v>
      </c>
      <c r="E11" s="74">
        <v>3.7999999999999999E-2</v>
      </c>
      <c r="F11" s="74">
        <v>0.1472</v>
      </c>
      <c r="G11" s="74">
        <v>0.63600000000000001</v>
      </c>
      <c r="H11" s="74">
        <v>0.63600000000000001</v>
      </c>
      <c r="I11" s="74">
        <v>10.3873</v>
      </c>
      <c r="N11" t="s">
        <v>643</v>
      </c>
      <c r="O11" t="s">
        <v>165</v>
      </c>
    </row>
    <row r="12" spans="1:15" x14ac:dyDescent="0.3">
      <c r="A12" t="str">
        <f t="shared" si="1"/>
        <v>DESA</v>
      </c>
      <c r="C12" t="s">
        <v>645</v>
      </c>
      <c r="D12" s="74">
        <v>4.0899999999999999E-2</v>
      </c>
      <c r="E12" s="74">
        <v>2.1999999999999999E-2</v>
      </c>
      <c r="F12" s="74">
        <v>2.1000000000000001E-2</v>
      </c>
      <c r="G12" s="74">
        <v>0.23469999999999999</v>
      </c>
      <c r="H12" s="74">
        <v>0.23469999999999999</v>
      </c>
      <c r="I12" s="74">
        <v>11.476599999999999</v>
      </c>
      <c r="N12" t="s">
        <v>644</v>
      </c>
      <c r="O12" t="s">
        <v>166</v>
      </c>
    </row>
    <row r="13" spans="1:15" x14ac:dyDescent="0.3">
      <c r="A13" t="str">
        <f t="shared" si="1"/>
        <v>ARASE</v>
      </c>
      <c r="C13" t="s">
        <v>646</v>
      </c>
      <c r="D13" s="74">
        <v>1.6299999999999999E-2</v>
      </c>
      <c r="E13" s="74">
        <v>1.43E-2</v>
      </c>
      <c r="F13" s="74">
        <v>2.12E-2</v>
      </c>
      <c r="G13" s="74">
        <v>-0.1318</v>
      </c>
      <c r="H13" s="74">
        <v>-0.1318</v>
      </c>
      <c r="I13" s="74">
        <v>1.3683000000000001</v>
      </c>
      <c r="N13" t="s">
        <v>645</v>
      </c>
      <c r="O13" t="s">
        <v>181</v>
      </c>
    </row>
    <row r="14" spans="1:15" x14ac:dyDescent="0.3">
      <c r="A14" t="str">
        <f t="shared" si="1"/>
        <v>DOAS</v>
      </c>
      <c r="C14" t="s">
        <v>647</v>
      </c>
      <c r="D14" s="74">
        <v>1.01E-2</v>
      </c>
      <c r="E14" s="74">
        <v>-4.0000000000000001E-3</v>
      </c>
      <c r="F14" s="74">
        <v>-6.3600000000000004E-2</v>
      </c>
      <c r="G14" s="74">
        <v>-9.0499999999999997E-2</v>
      </c>
      <c r="H14" s="74">
        <v>-9.0499999999999997E-2</v>
      </c>
      <c r="I14" s="74">
        <v>4.0415000000000001</v>
      </c>
      <c r="N14" t="s">
        <v>647</v>
      </c>
      <c r="O14" t="s">
        <v>18</v>
      </c>
    </row>
    <row r="15" spans="1:15" x14ac:dyDescent="0.3">
      <c r="A15" t="str">
        <f t="shared" si="1"/>
        <v>EDATA</v>
      </c>
      <c r="C15" t="s">
        <v>648</v>
      </c>
      <c r="D15" s="74">
        <v>1.01E-2</v>
      </c>
      <c r="E15" s="74">
        <v>-1.14E-2</v>
      </c>
      <c r="F15" s="74">
        <v>-5.04E-2</v>
      </c>
      <c r="G15" s="74">
        <v>-0.20050000000000001</v>
      </c>
      <c r="H15" s="74">
        <v>-0.20050000000000001</v>
      </c>
      <c r="I15" s="74">
        <v>1.0559000000000001</v>
      </c>
      <c r="N15" t="s">
        <v>648</v>
      </c>
      <c r="O15" t="s">
        <v>20</v>
      </c>
    </row>
    <row r="16" spans="1:15" x14ac:dyDescent="0.3">
      <c r="A16" t="str">
        <f t="shared" si="1"/>
        <v>EKGYO</v>
      </c>
      <c r="C16" t="s">
        <v>649</v>
      </c>
      <c r="D16" s="74">
        <v>3.9300000000000002E-2</v>
      </c>
      <c r="E16" s="74">
        <v>7.6899999999999996E-2</v>
      </c>
      <c r="F16" s="74">
        <v>0.10580000000000001</v>
      </c>
      <c r="G16" s="74">
        <v>1.0348999999999999</v>
      </c>
      <c r="H16" s="74">
        <v>1.0348999999999999</v>
      </c>
      <c r="I16" s="74">
        <v>5.8526999999999996</v>
      </c>
      <c r="N16" t="s">
        <v>665</v>
      </c>
      <c r="O16" t="s">
        <v>202</v>
      </c>
    </row>
    <row r="17" spans="1:15" x14ac:dyDescent="0.3">
      <c r="A17" t="str">
        <f t="shared" si="1"/>
        <v>EREGL</v>
      </c>
      <c r="C17" t="s">
        <v>650</v>
      </c>
      <c r="D17" s="74">
        <v>6.4999999999999997E-3</v>
      </c>
      <c r="E17" s="74">
        <v>-6.4000000000000003E-3</v>
      </c>
      <c r="F17" s="74">
        <v>-3.2599999999999997E-2</v>
      </c>
      <c r="G17" s="74">
        <v>0.23150000000000001</v>
      </c>
      <c r="H17" s="74">
        <v>0.23150000000000001</v>
      </c>
      <c r="I17" s="74">
        <v>1.0293000000000001</v>
      </c>
      <c r="N17" t="s">
        <v>649</v>
      </c>
      <c r="O17" t="s">
        <v>206</v>
      </c>
    </row>
    <row r="18" spans="1:15" x14ac:dyDescent="0.3">
      <c r="A18" t="str">
        <f t="shared" si="1"/>
        <v>FMIZP</v>
      </c>
      <c r="C18" t="s">
        <v>651</v>
      </c>
      <c r="D18" s="74">
        <v>-2.1399999999999999E-2</v>
      </c>
      <c r="E18" s="74">
        <v>-1.54E-2</v>
      </c>
      <c r="F18" s="74">
        <v>4.58E-2</v>
      </c>
      <c r="G18" s="74">
        <v>0.16470000000000001</v>
      </c>
      <c r="H18" s="74">
        <v>0.16470000000000001</v>
      </c>
      <c r="I18" s="74">
        <v>1.9528000000000001</v>
      </c>
      <c r="N18" t="s">
        <v>650</v>
      </c>
      <c r="O18" t="s">
        <v>220</v>
      </c>
    </row>
    <row r="19" spans="1:15" x14ac:dyDescent="0.3">
      <c r="A19" t="str">
        <f t="shared" si="1"/>
        <v>FROTO</v>
      </c>
      <c r="C19" t="s">
        <v>652</v>
      </c>
      <c r="D19" s="74">
        <v>6.3E-3</v>
      </c>
      <c r="E19" s="74">
        <v>6.3E-3</v>
      </c>
      <c r="F19" s="74">
        <v>-1.1900000000000001E-2</v>
      </c>
      <c r="G19" s="74">
        <v>0.3397</v>
      </c>
      <c r="H19" s="74">
        <v>0.3397</v>
      </c>
      <c r="I19" s="74">
        <v>3.3167</v>
      </c>
      <c r="N19" t="s">
        <v>651</v>
      </c>
      <c r="O19" t="s">
        <v>236</v>
      </c>
    </row>
    <row r="20" spans="1:15" x14ac:dyDescent="0.3">
      <c r="A20" t="str">
        <f t="shared" si="1"/>
        <v>GESAN</v>
      </c>
      <c r="C20" t="s">
        <v>653</v>
      </c>
      <c r="D20" s="74">
        <v>1.7100000000000001E-2</v>
      </c>
      <c r="E20" s="74">
        <v>2.9499999999999998E-2</v>
      </c>
      <c r="F20" s="74">
        <v>4.9500000000000002E-2</v>
      </c>
      <c r="G20" s="74">
        <v>-0.26729999999999998</v>
      </c>
      <c r="H20" s="74">
        <v>-0.26729999999999998</v>
      </c>
      <c r="I20" s="74">
        <v>10.5846</v>
      </c>
      <c r="N20" t="s">
        <v>652</v>
      </c>
      <c r="O20" t="s">
        <v>23</v>
      </c>
    </row>
    <row r="21" spans="1:15" x14ac:dyDescent="0.3">
      <c r="A21" t="str">
        <f t="shared" si="1"/>
        <v>GUBRF</v>
      </c>
      <c r="C21" t="s">
        <v>654</v>
      </c>
      <c r="D21" s="74">
        <v>2.8199999999999999E-2</v>
      </c>
      <c r="E21" s="74">
        <v>5.3E-3</v>
      </c>
      <c r="F21" s="74">
        <v>0.13450000000000001</v>
      </c>
      <c r="G21" s="74">
        <v>0.83679999999999999</v>
      </c>
      <c r="H21" s="74">
        <v>0.83679999999999999</v>
      </c>
      <c r="I21" s="74">
        <v>2.5987</v>
      </c>
      <c r="N21" t="s">
        <v>653</v>
      </c>
      <c r="O21" t="s">
        <v>249</v>
      </c>
    </row>
    <row r="22" spans="1:15" x14ac:dyDescent="0.3">
      <c r="A22" t="str">
        <f t="shared" si="1"/>
        <v>HUNER</v>
      </c>
      <c r="C22" t="s">
        <v>655</v>
      </c>
      <c r="D22" s="74">
        <v>5.6899999999999999E-2</v>
      </c>
      <c r="E22" s="74">
        <v>6.6500000000000004E-2</v>
      </c>
      <c r="F22" s="74">
        <v>8.2799999999999999E-2</v>
      </c>
      <c r="G22" s="74">
        <v>-7.8799999999999995E-2</v>
      </c>
      <c r="H22" s="74">
        <v>-7.8799999999999995E-2</v>
      </c>
      <c r="I22" t="s">
        <v>637</v>
      </c>
      <c r="N22" t="s">
        <v>654</v>
      </c>
      <c r="O22" t="s">
        <v>265</v>
      </c>
    </row>
    <row r="23" spans="1:15" x14ac:dyDescent="0.3">
      <c r="A23" t="str">
        <f t="shared" si="1"/>
        <v>INDES</v>
      </c>
      <c r="C23" t="s">
        <v>656</v>
      </c>
      <c r="D23" s="74">
        <v>4.0000000000000001E-3</v>
      </c>
      <c r="E23" s="74">
        <v>3.8899999999999997E-2</v>
      </c>
      <c r="F23" s="74">
        <v>9.5299999999999996E-2</v>
      </c>
      <c r="G23" s="74">
        <v>0.30590000000000001</v>
      </c>
      <c r="H23" s="74">
        <v>0.30590000000000001</v>
      </c>
      <c r="I23" s="74">
        <v>3.1431</v>
      </c>
      <c r="N23" t="s">
        <v>655</v>
      </c>
      <c r="O23" t="s">
        <v>25</v>
      </c>
    </row>
    <row r="24" spans="1:15" x14ac:dyDescent="0.3">
      <c r="A24" t="str">
        <f t="shared" si="1"/>
        <v>ISDMR</v>
      </c>
      <c r="C24" t="s">
        <v>657</v>
      </c>
      <c r="D24" s="74">
        <v>7.7999999999999996E-3</v>
      </c>
      <c r="E24" s="74">
        <v>-7.7000000000000002E-3</v>
      </c>
      <c r="F24" s="74">
        <v>7.2800000000000004E-2</v>
      </c>
      <c r="G24" s="74">
        <v>0.20949999999999999</v>
      </c>
      <c r="H24" s="74">
        <v>0.20949999999999999</v>
      </c>
      <c r="I24" s="74">
        <v>0.99590000000000001</v>
      </c>
      <c r="N24" t="s">
        <v>656</v>
      </c>
      <c r="O24" t="s">
        <v>53</v>
      </c>
    </row>
    <row r="25" spans="1:15" x14ac:dyDescent="0.3">
      <c r="A25" t="str">
        <f t="shared" si="1"/>
        <v>KARYE</v>
      </c>
      <c r="C25" t="s">
        <v>658</v>
      </c>
      <c r="D25" s="74">
        <v>2.8199999999999999E-2</v>
      </c>
      <c r="E25" s="74">
        <v>-2.0999999999999999E-3</v>
      </c>
      <c r="F25" s="74">
        <v>5.2600000000000001E-2</v>
      </c>
      <c r="G25" s="74">
        <v>0.26219999999999999</v>
      </c>
      <c r="H25" s="74">
        <v>0.26219999999999999</v>
      </c>
      <c r="I25" s="74">
        <v>0.83230000000000004</v>
      </c>
      <c r="N25" t="s">
        <v>657</v>
      </c>
      <c r="O25" t="s">
        <v>301</v>
      </c>
    </row>
    <row r="26" spans="1:15" x14ac:dyDescent="0.3">
      <c r="A26" t="str">
        <f t="shared" si="1"/>
        <v>KONTR</v>
      </c>
      <c r="C26" t="s">
        <v>659</v>
      </c>
      <c r="D26" s="74">
        <v>5.4999999999999997E-3</v>
      </c>
      <c r="E26" s="74">
        <v>-5.0000000000000001E-4</v>
      </c>
      <c r="F26" s="74">
        <v>-0.16739999999999999</v>
      </c>
      <c r="G26" s="74">
        <v>-0.4042</v>
      </c>
      <c r="H26" s="74">
        <v>-0.4042</v>
      </c>
      <c r="I26" s="74">
        <v>9.5767000000000007</v>
      </c>
      <c r="N26" t="s">
        <v>658</v>
      </c>
      <c r="O26" t="s">
        <v>319</v>
      </c>
    </row>
    <row r="27" spans="1:15" x14ac:dyDescent="0.3">
      <c r="A27" t="str">
        <f t="shared" si="1"/>
        <v>KRSTL</v>
      </c>
      <c r="C27" t="s">
        <v>660</v>
      </c>
      <c r="D27" s="74">
        <v>2.46E-2</v>
      </c>
      <c r="E27" s="74">
        <v>1.3899999999999999E-2</v>
      </c>
      <c r="F27" s="74">
        <v>5.1999999999999998E-3</v>
      </c>
      <c r="G27" s="74">
        <v>-0.48859999999999998</v>
      </c>
      <c r="H27">
        <v>-0.48859999999999998</v>
      </c>
      <c r="I27">
        <v>1.4915</v>
      </c>
      <c r="N27" t="s">
        <v>661</v>
      </c>
      <c r="O27" t="s">
        <v>26</v>
      </c>
    </row>
    <row r="28" spans="1:15" x14ac:dyDescent="0.3">
      <c r="A28" t="str">
        <f t="shared" si="1"/>
        <v>KBORU</v>
      </c>
      <c r="C28" t="s">
        <v>661</v>
      </c>
      <c r="D28" s="74">
        <v>5.5399999999999998E-2</v>
      </c>
      <c r="E28" s="74">
        <v>5.6800000000000003E-2</v>
      </c>
      <c r="F28" s="74">
        <v>6.7999999999999996E-3</v>
      </c>
      <c r="G28" s="74">
        <v>0.93389999999999995</v>
      </c>
      <c r="H28" s="74">
        <v>0.93389999999999995</v>
      </c>
      <c r="I28" s="74" t="s">
        <v>637</v>
      </c>
      <c r="N28" t="s">
        <v>659</v>
      </c>
      <c r="O28" t="s">
        <v>28</v>
      </c>
    </row>
    <row r="29" spans="1:15" x14ac:dyDescent="0.3">
      <c r="A29" t="str">
        <f t="shared" si="1"/>
        <v>MARKA</v>
      </c>
      <c r="C29" t="s">
        <v>662</v>
      </c>
      <c r="D29" s="74">
        <v>-1.9E-3</v>
      </c>
      <c r="E29" s="74">
        <v>-5.62E-2</v>
      </c>
      <c r="F29" s="74">
        <v>-1.47E-2</v>
      </c>
      <c r="G29" s="74">
        <v>0.64319999999999999</v>
      </c>
      <c r="H29" s="74">
        <v>0.64319999999999999</v>
      </c>
      <c r="I29" s="74">
        <v>13.020899999999999</v>
      </c>
      <c r="N29" t="s">
        <v>660</v>
      </c>
      <c r="O29" t="s">
        <v>352</v>
      </c>
    </row>
    <row r="30" spans="1:15" x14ac:dyDescent="0.3">
      <c r="A30" t="str">
        <f t="shared" si="1"/>
        <v>MTRKS</v>
      </c>
      <c r="C30" t="s">
        <v>663</v>
      </c>
      <c r="D30" s="74">
        <v>-3.3599999999999998E-2</v>
      </c>
      <c r="E30" s="74">
        <v>-6.4999999999999997E-3</v>
      </c>
      <c r="F30" s="74">
        <v>4.58E-2</v>
      </c>
      <c r="G30" s="74">
        <v>0.47510000000000002</v>
      </c>
      <c r="H30" s="74">
        <v>0.47510000000000002</v>
      </c>
      <c r="I30" s="74">
        <v>2.7002000000000002</v>
      </c>
      <c r="N30" t="s">
        <v>662</v>
      </c>
      <c r="O30" t="s">
        <v>379</v>
      </c>
    </row>
    <row r="31" spans="1:15" x14ac:dyDescent="0.3">
      <c r="A31" t="str">
        <f t="shared" si="1"/>
        <v>MEGAP</v>
      </c>
      <c r="C31" t="s">
        <v>664</v>
      </c>
      <c r="D31" s="74">
        <v>-1.29E-2</v>
      </c>
      <c r="E31" s="74">
        <v>-1.29E-2</v>
      </c>
      <c r="F31" s="74">
        <v>-6.9699999999999998E-2</v>
      </c>
      <c r="G31" s="74">
        <v>-0.25850000000000001</v>
      </c>
      <c r="H31" s="74">
        <v>-0.25850000000000001</v>
      </c>
      <c r="I31" s="74">
        <v>1.3191999999999999</v>
      </c>
      <c r="N31" t="s">
        <v>664</v>
      </c>
      <c r="O31" t="s">
        <v>383</v>
      </c>
    </row>
    <row r="32" spans="1:15" x14ac:dyDescent="0.3">
      <c r="A32" t="str">
        <f t="shared" si="1"/>
        <v>EGEPO</v>
      </c>
      <c r="C32" t="s">
        <v>665</v>
      </c>
      <c r="D32" s="74">
        <v>-2.6200000000000001E-2</v>
      </c>
      <c r="E32" s="74">
        <v>-9.6600000000000005E-2</v>
      </c>
      <c r="F32" s="74">
        <v>6.7999999999999996E-3</v>
      </c>
      <c r="G32" s="74">
        <v>0.18210000000000001</v>
      </c>
      <c r="H32" s="74">
        <v>0.18210000000000001</v>
      </c>
      <c r="I32" s="74">
        <v>2.2863000000000002</v>
      </c>
      <c r="N32" t="s">
        <v>663</v>
      </c>
      <c r="O32" t="s">
        <v>404</v>
      </c>
    </row>
    <row r="33" spans="1:15" x14ac:dyDescent="0.3">
      <c r="A33" t="str">
        <f t="shared" si="1"/>
        <v>OBASE</v>
      </c>
      <c r="C33" t="s">
        <v>666</v>
      </c>
      <c r="D33" s="74">
        <v>4.4999999999999997E-3</v>
      </c>
      <c r="E33" s="74">
        <v>-2.5999999999999999E-3</v>
      </c>
      <c r="F33" s="74">
        <v>-2.1499999999999998E-2</v>
      </c>
      <c r="G33" s="74">
        <v>-0.20599999999999999</v>
      </c>
      <c r="H33" s="74">
        <v>-0.20599999999999999</v>
      </c>
      <c r="I33" t="s">
        <v>637</v>
      </c>
      <c r="N33" t="s">
        <v>666</v>
      </c>
      <c r="O33" t="s">
        <v>415</v>
      </c>
    </row>
    <row r="34" spans="1:15" x14ac:dyDescent="0.3">
      <c r="A34" t="str">
        <f t="shared" si="1"/>
        <v>OSTIM</v>
      </c>
      <c r="C34" t="s">
        <v>667</v>
      </c>
      <c r="D34" s="74">
        <v>2.5000000000000001E-3</v>
      </c>
      <c r="E34" s="74">
        <v>5.5500000000000001E-2</v>
      </c>
      <c r="F34" s="74">
        <v>-3.73E-2</v>
      </c>
      <c r="G34" s="74">
        <v>0.27839999999999998</v>
      </c>
      <c r="H34" s="74">
        <v>0.27839999999999998</v>
      </c>
      <c r="I34" s="74">
        <v>3.9937</v>
      </c>
      <c r="N34" t="s">
        <v>667</v>
      </c>
      <c r="O34" t="s">
        <v>423</v>
      </c>
    </row>
    <row r="35" spans="1:15" x14ac:dyDescent="0.3">
      <c r="A35" t="str">
        <f t="shared" si="1"/>
        <v>PRDGS</v>
      </c>
      <c r="C35" t="s">
        <v>668</v>
      </c>
      <c r="D35" s="74">
        <v>1.5900000000000001E-2</v>
      </c>
      <c r="E35" s="74">
        <v>2.5000000000000001E-2</v>
      </c>
      <c r="F35" s="74">
        <v>-2.7099999999999999E-2</v>
      </c>
      <c r="G35" s="74">
        <v>-8.8900000000000007E-2</v>
      </c>
      <c r="H35" s="74">
        <v>-8.8900000000000007E-2</v>
      </c>
      <c r="I35" t="s">
        <v>637</v>
      </c>
      <c r="N35" t="s">
        <v>670</v>
      </c>
      <c r="O35" t="s">
        <v>444</v>
      </c>
    </row>
    <row r="36" spans="1:15" x14ac:dyDescent="0.3">
      <c r="A36" t="str">
        <f t="shared" si="1"/>
        <v>PRKME</v>
      </c>
      <c r="C36" t="s">
        <v>669</v>
      </c>
      <c r="D36" s="74">
        <v>9.9400000000000002E-2</v>
      </c>
      <c r="E36" s="74">
        <v>0.2094</v>
      </c>
      <c r="F36" s="74">
        <v>0.24129999999999999</v>
      </c>
      <c r="G36" s="74">
        <v>0.2291</v>
      </c>
      <c r="H36" s="74">
        <v>0.2291</v>
      </c>
      <c r="I36" s="74">
        <v>2.5562999999999998</v>
      </c>
      <c r="N36" t="s">
        <v>668</v>
      </c>
      <c r="O36" t="s">
        <v>456</v>
      </c>
    </row>
    <row r="37" spans="1:15" x14ac:dyDescent="0.3">
      <c r="A37" t="str">
        <f t="shared" si="1"/>
        <v>PENTA</v>
      </c>
      <c r="C37" t="s">
        <v>670</v>
      </c>
      <c r="D37" s="74">
        <v>9.9000000000000008E-3</v>
      </c>
      <c r="E37" s="74">
        <v>-1.4200000000000001E-2</v>
      </c>
      <c r="F37" s="74">
        <v>1.6E-2</v>
      </c>
      <c r="G37" s="74">
        <v>-0.15340000000000001</v>
      </c>
      <c r="H37" s="74">
        <v>-0.15340000000000001</v>
      </c>
      <c r="I37" s="74">
        <v>-0.63639999999999997</v>
      </c>
      <c r="N37" t="s">
        <v>669</v>
      </c>
      <c r="O37" t="s">
        <v>50</v>
      </c>
    </row>
    <row r="38" spans="1:15" x14ac:dyDescent="0.3">
      <c r="A38" t="str">
        <f t="shared" si="1"/>
        <v>SNICA</v>
      </c>
      <c r="C38" t="s">
        <v>671</v>
      </c>
      <c r="D38" s="74">
        <v>9.7000000000000003E-3</v>
      </c>
      <c r="E38" s="74">
        <v>1.55E-2</v>
      </c>
      <c r="F38" s="74">
        <v>-1.32E-2</v>
      </c>
      <c r="G38" s="74">
        <v>-0.29310000000000003</v>
      </c>
      <c r="H38" s="74">
        <v>-0.29310000000000003</v>
      </c>
      <c r="I38" t="s">
        <v>637</v>
      </c>
      <c r="N38" t="s">
        <v>671</v>
      </c>
      <c r="O38" t="s">
        <v>496</v>
      </c>
    </row>
    <row r="39" spans="1:15" x14ac:dyDescent="0.3">
      <c r="A39" t="str">
        <f t="shared" si="1"/>
        <v>TNZTP</v>
      </c>
      <c r="C39" t="s">
        <v>672</v>
      </c>
      <c r="D39" s="74">
        <v>-6.8999999999999999E-3</v>
      </c>
      <c r="E39" s="74">
        <v>-2.3099999999999999E-2</v>
      </c>
      <c r="F39" s="74">
        <v>-0.12609999999999999</v>
      </c>
      <c r="G39" s="74">
        <v>-6.2300000000000001E-2</v>
      </c>
      <c r="H39" s="74">
        <v>-6.2300000000000001E-2</v>
      </c>
      <c r="I39" t="s">
        <v>637</v>
      </c>
      <c r="N39" t="s">
        <v>673</v>
      </c>
      <c r="O39" t="s">
        <v>46</v>
      </c>
    </row>
    <row r="40" spans="1:15" x14ac:dyDescent="0.3">
      <c r="A40" t="str">
        <f t="shared" si="1"/>
        <v>TAVHL</v>
      </c>
      <c r="C40" t="s">
        <v>673</v>
      </c>
      <c r="D40" s="74">
        <v>-1.04E-2</v>
      </c>
      <c r="E40" s="74">
        <v>-5.1999999999999998E-3</v>
      </c>
      <c r="F40" s="74">
        <v>3.6499999999999998E-2</v>
      </c>
      <c r="G40" s="74">
        <v>1.6442000000000001</v>
      </c>
      <c r="H40" s="74">
        <v>1.6442000000000001</v>
      </c>
      <c r="I40" s="74">
        <v>8.1457999999999995</v>
      </c>
      <c r="N40" t="s">
        <v>674</v>
      </c>
      <c r="O40" t="s">
        <v>520</v>
      </c>
    </row>
    <row r="41" spans="1:15" x14ac:dyDescent="0.3">
      <c r="A41" t="str">
        <f t="shared" si="1"/>
        <v>TLMAN</v>
      </c>
      <c r="C41" t="s">
        <v>674</v>
      </c>
      <c r="D41" s="74">
        <v>-3.5999999999999999E-3</v>
      </c>
      <c r="E41" s="74">
        <v>-1.03E-2</v>
      </c>
      <c r="F41" s="74">
        <v>-2.5999999999999999E-3</v>
      </c>
      <c r="G41" s="74">
        <v>0.12920000000000001</v>
      </c>
      <c r="H41" s="74">
        <v>0.12920000000000001</v>
      </c>
      <c r="I41" s="74">
        <v>2.0493000000000001</v>
      </c>
      <c r="N41" t="s">
        <v>672</v>
      </c>
      <c r="O41" t="s">
        <v>37</v>
      </c>
    </row>
    <row r="42" spans="1:15" x14ac:dyDescent="0.3">
      <c r="A42" t="str">
        <f t="shared" si="1"/>
        <v>TUPRS</v>
      </c>
      <c r="C42" t="s">
        <v>675</v>
      </c>
      <c r="D42" s="74">
        <v>3.5000000000000001E-3</v>
      </c>
      <c r="E42" s="74">
        <v>-8.8999999999999999E-3</v>
      </c>
      <c r="F42" s="74">
        <v>-2.0400000000000001E-2</v>
      </c>
      <c r="G42" s="74">
        <v>0.15260000000000001</v>
      </c>
      <c r="H42" s="74">
        <v>0.15260000000000001</v>
      </c>
      <c r="I42" s="74">
        <v>6.4638</v>
      </c>
      <c r="N42" t="s">
        <v>676</v>
      </c>
      <c r="O42" t="s">
        <v>525</v>
      </c>
    </row>
    <row r="43" spans="1:15" x14ac:dyDescent="0.3">
      <c r="A43" t="str">
        <f t="shared" si="1"/>
        <v>TRILC</v>
      </c>
      <c r="C43" t="s">
        <v>676</v>
      </c>
      <c r="D43" s="74">
        <v>2.6200000000000001E-2</v>
      </c>
      <c r="E43" s="74">
        <v>4.8999999999999998E-3</v>
      </c>
      <c r="F43" s="74">
        <v>-0.1203</v>
      </c>
      <c r="G43" s="74">
        <v>0.43919999999999998</v>
      </c>
      <c r="H43" s="74">
        <v>0.43919999999999998</v>
      </c>
      <c r="I43" s="74">
        <v>0.37890000000000001</v>
      </c>
      <c r="N43" t="s">
        <v>677</v>
      </c>
      <c r="O43" t="s">
        <v>529</v>
      </c>
    </row>
    <row r="44" spans="1:15" x14ac:dyDescent="0.3">
      <c r="A44" t="str">
        <f t="shared" si="1"/>
        <v>TTKOM</v>
      </c>
      <c r="C44" t="s">
        <v>677</v>
      </c>
      <c r="D44" s="74">
        <v>4.0000000000000002E-4</v>
      </c>
      <c r="E44" s="74">
        <v>2.6100000000000002E-2</v>
      </c>
      <c r="F44" s="74">
        <v>-8.3000000000000001E-3</v>
      </c>
      <c r="G44" s="74">
        <v>0.87439999999999996</v>
      </c>
      <c r="H44" s="74">
        <v>0.87439999999999996</v>
      </c>
      <c r="I44" s="74">
        <v>4.2676999999999996</v>
      </c>
      <c r="N44" t="s">
        <v>675</v>
      </c>
      <c r="O44" t="s">
        <v>41</v>
      </c>
    </row>
    <row r="45" spans="1:15" x14ac:dyDescent="0.3">
      <c r="A45" t="str">
        <f t="shared" si="1"/>
        <v>VBTYZ</v>
      </c>
      <c r="C45" t="s">
        <v>678</v>
      </c>
      <c r="D45" s="74">
        <v>5.0000000000000001E-3</v>
      </c>
      <c r="E45" s="74">
        <v>-1.14E-2</v>
      </c>
      <c r="F45" s="74">
        <v>-5.3900000000000003E-2</v>
      </c>
      <c r="G45" s="74">
        <v>-7.3200000000000001E-2</v>
      </c>
      <c r="H45" s="74">
        <v>-7.3200000000000001E-2</v>
      </c>
      <c r="I45" s="74">
        <v>4.4550000000000001</v>
      </c>
      <c r="N45" t="s">
        <v>678</v>
      </c>
      <c r="O45" t="s">
        <v>546</v>
      </c>
    </row>
    <row r="46" spans="1:15" x14ac:dyDescent="0.3">
      <c r="A46" t="str">
        <f t="shared" si="1"/>
        <v>VESBE</v>
      </c>
      <c r="C46" t="s">
        <v>679</v>
      </c>
      <c r="D46" s="74">
        <v>5.7999999999999996E-3</v>
      </c>
      <c r="E46" s="74">
        <v>7.0000000000000001E-3</v>
      </c>
      <c r="F46" s="74">
        <v>1.11E-2</v>
      </c>
      <c r="G46" s="74">
        <v>0.1139</v>
      </c>
      <c r="H46" s="74">
        <v>0.1139</v>
      </c>
      <c r="I46" s="74">
        <v>1.2663</v>
      </c>
      <c r="N46" t="s">
        <v>679</v>
      </c>
      <c r="O46" t="s">
        <v>549</v>
      </c>
    </row>
    <row r="47" spans="1:15" x14ac:dyDescent="0.3">
      <c r="A47" t="str">
        <f t="shared" si="1"/>
        <v>VESTL</v>
      </c>
      <c r="C47" t="s">
        <v>680</v>
      </c>
      <c r="D47" s="74">
        <v>2.8000000000000001E-2</v>
      </c>
      <c r="E47" s="74">
        <v>4.2599999999999999E-2</v>
      </c>
      <c r="F47" s="74">
        <v>9.2399999999999996E-2</v>
      </c>
      <c r="G47" s="74">
        <v>0.50839999999999996</v>
      </c>
      <c r="H47" s="74">
        <v>0.50839999999999996</v>
      </c>
      <c r="I47" s="74">
        <v>1.8942000000000001</v>
      </c>
      <c r="N47" t="s">
        <v>680</v>
      </c>
      <c r="O47" t="s">
        <v>550</v>
      </c>
    </row>
    <row r="48" spans="1:15" x14ac:dyDescent="0.3">
      <c r="A48" t="str">
        <f t="shared" si="1"/>
        <v>YEOTK</v>
      </c>
      <c r="C48" t="s">
        <v>681</v>
      </c>
      <c r="D48" s="74">
        <v>6.1800000000000001E-2</v>
      </c>
      <c r="E48" s="74">
        <v>3.8899999999999997E-2</v>
      </c>
      <c r="F48" s="74">
        <v>-6.5500000000000003E-2</v>
      </c>
      <c r="G48" s="74">
        <v>0.17019999999999999</v>
      </c>
      <c r="H48" s="74">
        <v>0.17019999999999999</v>
      </c>
      <c r="I48" s="74">
        <v>13.458299999999999</v>
      </c>
      <c r="N48" t="s">
        <v>681</v>
      </c>
      <c r="O48" t="s">
        <v>43</v>
      </c>
    </row>
  </sheetData>
  <autoFilter ref="A1:I1" xr:uid="{8D018B5F-E7DE-4662-8FE5-160E65E731C1}">
    <sortState xmlns:xlrd2="http://schemas.microsoft.com/office/spreadsheetml/2017/richdata2" ref="A2:I48">
      <sortCondition ref="A1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E5E58-CF05-4A67-8269-5AB74194ECE6}">
  <dimension ref="D4:O52"/>
  <sheetViews>
    <sheetView topLeftCell="A29" workbookViewId="0">
      <selection activeCell="I5" sqref="I5:O51"/>
    </sheetView>
  </sheetViews>
  <sheetFormatPr defaultRowHeight="14.4" x14ac:dyDescent="0.3"/>
  <sheetData>
    <row r="4" spans="4:15" x14ac:dyDescent="0.3">
      <c r="D4" t="s">
        <v>634</v>
      </c>
      <c r="E4" t="s">
        <v>634</v>
      </c>
      <c r="F4" t="s">
        <v>634</v>
      </c>
      <c r="H4" s="74"/>
      <c r="I4" s="74"/>
      <c r="J4" s="74"/>
      <c r="K4" s="74"/>
      <c r="L4" s="74"/>
      <c r="M4" s="74"/>
    </row>
    <row r="5" spans="4:15" x14ac:dyDescent="0.3">
      <c r="F5" s="74"/>
      <c r="G5" s="74"/>
      <c r="H5" s="74"/>
      <c r="I5" s="74" t="s">
        <v>634</v>
      </c>
      <c r="J5" s="74">
        <v>8.6999999999999994E-3</v>
      </c>
      <c r="K5" s="74">
        <v>-1.26E-2</v>
      </c>
      <c r="L5" s="74">
        <v>-1.5900000000000001E-2</v>
      </c>
      <c r="M5" s="74">
        <v>0.14990000000000001</v>
      </c>
      <c r="N5" s="74">
        <v>0.14990000000000001</v>
      </c>
      <c r="O5" s="74">
        <v>11.0139</v>
      </c>
    </row>
    <row r="6" spans="4:15" x14ac:dyDescent="0.3">
      <c r="F6" s="74"/>
      <c r="G6" s="74"/>
      <c r="H6" s="74"/>
      <c r="I6" s="74" t="s">
        <v>635</v>
      </c>
      <c r="J6" s="74">
        <v>4.1000000000000003E-3</v>
      </c>
      <c r="K6" s="74">
        <v>3.3E-3</v>
      </c>
      <c r="L6" s="74">
        <v>1.34E-2</v>
      </c>
      <c r="M6" s="74">
        <v>0.59</v>
      </c>
      <c r="N6" s="74">
        <v>0.59</v>
      </c>
      <c r="O6" s="74">
        <v>4.0922999999999998</v>
      </c>
    </row>
    <row r="7" spans="4:15" x14ac:dyDescent="0.3">
      <c r="F7" s="74"/>
      <c r="G7" s="74"/>
      <c r="H7" s="74"/>
      <c r="I7" s="74" t="s">
        <v>636</v>
      </c>
      <c r="J7" s="74">
        <v>2.4899999999999999E-2</v>
      </c>
      <c r="K7" s="74">
        <v>7.7600000000000002E-2</v>
      </c>
      <c r="L7" s="74">
        <v>0.2175</v>
      </c>
      <c r="M7" s="74">
        <v>0.23960000000000001</v>
      </c>
      <c r="N7" s="74">
        <v>0.23960000000000001</v>
      </c>
      <c r="O7" s="74" t="s">
        <v>637</v>
      </c>
    </row>
    <row r="8" spans="4:15" x14ac:dyDescent="0.3">
      <c r="F8" s="74"/>
      <c r="G8" s="74"/>
      <c r="H8" s="74"/>
      <c r="I8" s="74" t="s">
        <v>638</v>
      </c>
      <c r="J8" s="74">
        <v>-3.3999999999999998E-3</v>
      </c>
      <c r="K8" s="74">
        <v>-2.6200000000000001E-2</v>
      </c>
      <c r="L8" s="74">
        <v>-1.41E-2</v>
      </c>
      <c r="M8" s="74">
        <v>3.8100000000000002E-2</v>
      </c>
      <c r="N8" s="74">
        <v>3.8100000000000002E-2</v>
      </c>
      <c r="O8" s="74">
        <v>4.1750999999999996</v>
      </c>
    </row>
    <row r="9" spans="4:15" x14ac:dyDescent="0.3">
      <c r="F9" s="74"/>
      <c r="G9" s="74"/>
      <c r="H9" s="74"/>
      <c r="I9" s="74" t="s">
        <v>639</v>
      </c>
      <c r="J9" s="74">
        <v>1.4200000000000001E-2</v>
      </c>
      <c r="K9" s="74">
        <v>-1.2500000000000001E-2</v>
      </c>
      <c r="L9" s="74">
        <v>-6.9999999999999999E-4</v>
      </c>
      <c r="M9" s="74">
        <v>-0.35849999999999999</v>
      </c>
      <c r="N9" s="74">
        <v>-0.35849999999999999</v>
      </c>
      <c r="O9" s="74">
        <v>3.0895000000000001</v>
      </c>
    </row>
    <row r="10" spans="4:15" x14ac:dyDescent="0.3">
      <c r="F10" s="74"/>
      <c r="G10" s="74"/>
      <c r="H10" s="74"/>
      <c r="I10" s="74" t="s">
        <v>640</v>
      </c>
      <c r="J10" s="74">
        <v>2.9100000000000001E-2</v>
      </c>
      <c r="K10" s="74">
        <v>3.8899999999999997E-2</v>
      </c>
      <c r="L10" s="74">
        <v>-1.12E-2</v>
      </c>
      <c r="M10" s="74">
        <v>-0.19719999999999999</v>
      </c>
      <c r="N10" s="74">
        <v>-0.19719999999999999</v>
      </c>
      <c r="O10" s="74">
        <v>7.5603999999999996</v>
      </c>
    </row>
    <row r="11" spans="4:15" x14ac:dyDescent="0.3">
      <c r="F11" s="74"/>
      <c r="G11" s="74"/>
      <c r="H11" s="74"/>
      <c r="I11" s="74" t="s">
        <v>641</v>
      </c>
      <c r="J11" s="74">
        <v>8.3999999999999995E-3</v>
      </c>
      <c r="K11" s="74">
        <v>-9.2999999999999992E-3</v>
      </c>
      <c r="L11" s="74">
        <v>-1.52E-2</v>
      </c>
      <c r="M11" s="74">
        <v>0.16239999999999999</v>
      </c>
      <c r="N11" s="74">
        <v>0.16239999999999999</v>
      </c>
      <c r="O11" s="74" t="s">
        <v>637</v>
      </c>
    </row>
    <row r="12" spans="4:15" x14ac:dyDescent="0.3">
      <c r="F12" s="74"/>
      <c r="G12" s="74"/>
      <c r="H12" s="74"/>
      <c r="I12" s="74" t="s">
        <v>642</v>
      </c>
      <c r="J12" s="74">
        <v>6.1000000000000004E-3</v>
      </c>
      <c r="K12" s="74">
        <v>5.9900000000000002E-2</v>
      </c>
      <c r="L12" s="74">
        <v>-7.2599999999999998E-2</v>
      </c>
      <c r="M12" s="74">
        <v>0.6028</v>
      </c>
      <c r="N12" s="74">
        <v>0.6028</v>
      </c>
      <c r="O12" s="74">
        <v>3.8769999999999998</v>
      </c>
    </row>
    <row r="13" spans="4:15" x14ac:dyDescent="0.3">
      <c r="F13" s="74"/>
      <c r="G13" s="74"/>
      <c r="H13" s="74"/>
      <c r="I13" s="74" t="s">
        <v>643</v>
      </c>
      <c r="J13" s="74">
        <v>-1.72E-2</v>
      </c>
      <c r="K13" s="74">
        <v>-4.0399999999999998E-2</v>
      </c>
      <c r="L13" s="74">
        <v>4.4699999999999997E-2</v>
      </c>
      <c r="M13" s="74">
        <v>0.47589999999999999</v>
      </c>
      <c r="N13" s="74">
        <v>0.47589999999999999</v>
      </c>
      <c r="O13" s="74">
        <v>1.1603000000000001</v>
      </c>
    </row>
    <row r="14" spans="4:15" x14ac:dyDescent="0.3">
      <c r="F14" s="74"/>
      <c r="G14" s="74"/>
      <c r="H14" s="74"/>
      <c r="I14" s="74" t="s">
        <v>644</v>
      </c>
      <c r="J14" s="74">
        <v>2.9700000000000001E-2</v>
      </c>
      <c r="K14" s="74">
        <v>3.7999999999999999E-2</v>
      </c>
      <c r="L14" s="74">
        <v>0.1472</v>
      </c>
      <c r="M14" s="74">
        <v>0.63600000000000001</v>
      </c>
      <c r="N14" s="74">
        <v>0.63600000000000001</v>
      </c>
      <c r="O14" s="74">
        <v>10.3873</v>
      </c>
    </row>
    <row r="15" spans="4:15" x14ac:dyDescent="0.3">
      <c r="F15" s="74"/>
      <c r="G15" s="74"/>
      <c r="H15" s="74"/>
      <c r="I15" s="74" t="s">
        <v>645</v>
      </c>
      <c r="J15" s="74">
        <v>4.0899999999999999E-2</v>
      </c>
      <c r="K15" s="74">
        <v>2.1999999999999999E-2</v>
      </c>
      <c r="L15" s="74">
        <v>2.1000000000000001E-2</v>
      </c>
      <c r="M15" s="74">
        <v>0.23469999999999999</v>
      </c>
      <c r="N15" s="74">
        <v>0.23469999999999999</v>
      </c>
      <c r="O15" s="74">
        <v>11.476599999999999</v>
      </c>
    </row>
    <row r="16" spans="4:15" x14ac:dyDescent="0.3">
      <c r="F16" s="74"/>
      <c r="G16" s="74"/>
      <c r="H16" s="74"/>
      <c r="I16" s="74" t="s">
        <v>646</v>
      </c>
      <c r="J16" s="74">
        <v>1.6299999999999999E-2</v>
      </c>
      <c r="K16" s="74">
        <v>1.43E-2</v>
      </c>
      <c r="L16" s="74">
        <v>2.12E-2</v>
      </c>
      <c r="M16" s="74">
        <v>-0.1318</v>
      </c>
      <c r="N16" s="74">
        <v>-0.1318</v>
      </c>
      <c r="O16" s="74">
        <v>1.3683000000000001</v>
      </c>
    </row>
    <row r="17" spans="6:15" x14ac:dyDescent="0.3">
      <c r="F17" s="74"/>
      <c r="G17" s="74"/>
      <c r="H17" s="74"/>
      <c r="I17" s="74" t="s">
        <v>647</v>
      </c>
      <c r="J17" s="74">
        <v>1.01E-2</v>
      </c>
      <c r="K17" s="74">
        <v>-4.0000000000000001E-3</v>
      </c>
      <c r="L17" s="74">
        <v>-6.3600000000000004E-2</v>
      </c>
      <c r="M17" s="74">
        <v>-9.0499999999999997E-2</v>
      </c>
      <c r="N17" s="74">
        <v>-9.0499999999999997E-2</v>
      </c>
      <c r="O17" s="74">
        <v>4.0415000000000001</v>
      </c>
    </row>
    <row r="18" spans="6:15" x14ac:dyDescent="0.3">
      <c r="F18" s="74"/>
      <c r="G18" s="74"/>
      <c r="H18" s="74"/>
      <c r="I18" s="74" t="s">
        <v>648</v>
      </c>
      <c r="J18" s="74">
        <v>1.01E-2</v>
      </c>
      <c r="K18" s="74">
        <v>-1.14E-2</v>
      </c>
      <c r="L18" s="74">
        <v>-5.04E-2</v>
      </c>
      <c r="M18" s="74">
        <v>-0.20050000000000001</v>
      </c>
      <c r="N18" s="74">
        <v>-0.20050000000000001</v>
      </c>
      <c r="O18" s="74">
        <v>1.0559000000000001</v>
      </c>
    </row>
    <row r="19" spans="6:15" x14ac:dyDescent="0.3">
      <c r="F19" s="74"/>
      <c r="G19" s="74"/>
      <c r="H19" s="74"/>
      <c r="I19" s="74" t="s">
        <v>649</v>
      </c>
      <c r="J19" s="74">
        <v>3.9300000000000002E-2</v>
      </c>
      <c r="K19" s="74">
        <v>7.6899999999999996E-2</v>
      </c>
      <c r="L19" s="74">
        <v>0.10580000000000001</v>
      </c>
      <c r="M19" s="74">
        <v>1.0348999999999999</v>
      </c>
      <c r="N19" s="74">
        <v>1.0348999999999999</v>
      </c>
      <c r="O19" s="74">
        <v>5.8526999999999996</v>
      </c>
    </row>
    <row r="20" spans="6:15" x14ac:dyDescent="0.3">
      <c r="F20" s="74"/>
      <c r="G20" s="74"/>
      <c r="H20" s="74"/>
      <c r="I20" s="74" t="s">
        <v>650</v>
      </c>
      <c r="J20" s="74">
        <v>6.4999999999999997E-3</v>
      </c>
      <c r="K20" s="74">
        <v>-6.4000000000000003E-3</v>
      </c>
      <c r="L20" s="74">
        <v>-3.2599999999999997E-2</v>
      </c>
      <c r="M20" s="74">
        <v>0.23150000000000001</v>
      </c>
      <c r="N20" s="74">
        <v>0.23150000000000001</v>
      </c>
      <c r="O20" s="74">
        <v>1.0293000000000001</v>
      </c>
    </row>
    <row r="21" spans="6:15" x14ac:dyDescent="0.3">
      <c r="F21" s="74"/>
      <c r="G21" s="74"/>
      <c r="H21" s="74"/>
      <c r="I21" s="74" t="s">
        <v>651</v>
      </c>
      <c r="J21" s="74">
        <v>-2.1399999999999999E-2</v>
      </c>
      <c r="K21" s="74">
        <v>-1.54E-2</v>
      </c>
      <c r="L21" s="74">
        <v>4.58E-2</v>
      </c>
      <c r="M21" s="74">
        <v>0.16470000000000001</v>
      </c>
      <c r="N21" s="74">
        <v>0.16470000000000001</v>
      </c>
      <c r="O21" s="74">
        <v>1.9528000000000001</v>
      </c>
    </row>
    <row r="22" spans="6:15" x14ac:dyDescent="0.3">
      <c r="F22" s="74"/>
      <c r="G22" s="74"/>
      <c r="H22" s="74"/>
      <c r="I22" s="74" t="s">
        <v>652</v>
      </c>
      <c r="J22" s="74">
        <v>6.3E-3</v>
      </c>
      <c r="K22" s="74">
        <v>6.3E-3</v>
      </c>
      <c r="L22" s="74">
        <v>-1.1900000000000001E-2</v>
      </c>
      <c r="M22" s="74">
        <v>0.3397</v>
      </c>
      <c r="N22" s="74">
        <v>0.3397</v>
      </c>
      <c r="O22" s="74">
        <v>3.3167</v>
      </c>
    </row>
    <row r="23" spans="6:15" x14ac:dyDescent="0.3">
      <c r="F23" s="74"/>
      <c r="G23" s="74"/>
      <c r="H23" s="74"/>
      <c r="I23" s="74" t="s">
        <v>653</v>
      </c>
      <c r="J23" s="74">
        <v>1.7100000000000001E-2</v>
      </c>
      <c r="K23" s="74">
        <v>2.9499999999999998E-2</v>
      </c>
      <c r="L23" s="74">
        <v>4.9500000000000002E-2</v>
      </c>
      <c r="M23" s="74">
        <v>-0.26729999999999998</v>
      </c>
      <c r="N23" s="74">
        <v>-0.26729999999999998</v>
      </c>
      <c r="O23" s="74">
        <v>10.5846</v>
      </c>
    </row>
    <row r="24" spans="6:15" x14ac:dyDescent="0.3">
      <c r="F24" s="74"/>
      <c r="G24" s="74"/>
      <c r="H24" s="74"/>
      <c r="I24" s="74" t="s">
        <v>654</v>
      </c>
      <c r="J24" s="74">
        <v>2.8199999999999999E-2</v>
      </c>
      <c r="K24" s="74">
        <v>5.3E-3</v>
      </c>
      <c r="L24" s="74">
        <v>0.13450000000000001</v>
      </c>
      <c r="M24" s="74">
        <v>0.83679999999999999</v>
      </c>
      <c r="N24" s="74">
        <v>0.83679999999999999</v>
      </c>
      <c r="O24" s="74">
        <v>2.5987</v>
      </c>
    </row>
    <row r="25" spans="6:15" x14ac:dyDescent="0.3">
      <c r="F25" s="74"/>
      <c r="G25" s="74"/>
      <c r="H25" s="74"/>
      <c r="I25" s="74" t="s">
        <v>655</v>
      </c>
      <c r="J25" s="74">
        <v>5.6899999999999999E-2</v>
      </c>
      <c r="K25" s="74">
        <v>6.6500000000000004E-2</v>
      </c>
      <c r="L25" s="74">
        <v>8.2799999999999999E-2</v>
      </c>
      <c r="M25" s="74">
        <v>-7.8799999999999995E-2</v>
      </c>
      <c r="N25" s="74">
        <v>-7.8799999999999995E-2</v>
      </c>
      <c r="O25" s="74" t="s">
        <v>637</v>
      </c>
    </row>
    <row r="26" spans="6:15" x14ac:dyDescent="0.3">
      <c r="F26" s="74"/>
      <c r="G26" s="74"/>
      <c r="H26" s="74"/>
      <c r="I26" s="74" t="s">
        <v>656</v>
      </c>
      <c r="J26" s="74">
        <v>4.0000000000000001E-3</v>
      </c>
      <c r="K26" s="74">
        <v>3.8899999999999997E-2</v>
      </c>
      <c r="L26" s="74">
        <v>9.5299999999999996E-2</v>
      </c>
      <c r="M26" s="74">
        <v>0.30590000000000001</v>
      </c>
      <c r="N26" s="74">
        <v>0.30590000000000001</v>
      </c>
      <c r="O26" s="74">
        <v>3.1431</v>
      </c>
    </row>
    <row r="27" spans="6:15" x14ac:dyDescent="0.3">
      <c r="F27" s="74"/>
      <c r="G27" s="74"/>
      <c r="H27" s="74"/>
      <c r="I27" s="74" t="s">
        <v>657</v>
      </c>
      <c r="J27" s="74">
        <v>7.7999999999999996E-3</v>
      </c>
      <c r="K27" s="74">
        <v>-7.7000000000000002E-3</v>
      </c>
      <c r="L27" s="74">
        <v>7.2800000000000004E-2</v>
      </c>
      <c r="M27" s="74">
        <v>0.20949999999999999</v>
      </c>
      <c r="N27" s="74">
        <v>0.20949999999999999</v>
      </c>
      <c r="O27" s="74">
        <v>0.99590000000000001</v>
      </c>
    </row>
    <row r="28" spans="6:15" x14ac:dyDescent="0.3">
      <c r="F28" s="74"/>
      <c r="G28" s="74"/>
      <c r="H28" s="74"/>
      <c r="I28" s="74" t="s">
        <v>658</v>
      </c>
      <c r="J28" s="74">
        <v>2.8199999999999999E-2</v>
      </c>
      <c r="K28" s="74">
        <v>-2.0999999999999999E-3</v>
      </c>
      <c r="L28" s="74">
        <v>5.2600000000000001E-2</v>
      </c>
      <c r="M28" s="74">
        <v>0.26219999999999999</v>
      </c>
      <c r="N28" s="74">
        <v>0.26219999999999999</v>
      </c>
      <c r="O28" s="74">
        <v>0.83230000000000004</v>
      </c>
    </row>
    <row r="29" spans="6:15" x14ac:dyDescent="0.3">
      <c r="F29" s="74"/>
      <c r="G29" s="74"/>
      <c r="H29" s="74"/>
      <c r="I29" s="74" t="s">
        <v>659</v>
      </c>
      <c r="J29" s="74">
        <v>5.4999999999999997E-3</v>
      </c>
      <c r="K29" s="74">
        <v>-5.0000000000000001E-4</v>
      </c>
      <c r="L29" s="74">
        <v>-0.16739999999999999</v>
      </c>
      <c r="M29" s="74">
        <v>-0.4042</v>
      </c>
      <c r="N29" s="74">
        <v>-0.4042</v>
      </c>
      <c r="O29" s="74">
        <v>9.5767000000000007</v>
      </c>
    </row>
    <row r="30" spans="6:15" x14ac:dyDescent="0.3">
      <c r="F30" s="74"/>
      <c r="G30" s="74"/>
      <c r="H30" s="74"/>
      <c r="I30" s="74" t="s">
        <v>660</v>
      </c>
      <c r="J30" s="74">
        <v>2.46E-2</v>
      </c>
      <c r="K30" s="74">
        <v>1.3899999999999999E-2</v>
      </c>
      <c r="L30" s="74">
        <v>5.1999999999999998E-3</v>
      </c>
      <c r="M30" s="74">
        <v>-0.48859999999999998</v>
      </c>
      <c r="N30" s="74">
        <v>-0.48859999999999998</v>
      </c>
      <c r="O30" s="74">
        <v>1.4915</v>
      </c>
    </row>
    <row r="31" spans="6:15" x14ac:dyDescent="0.3">
      <c r="F31" s="74"/>
      <c r="G31" s="74"/>
      <c r="H31" s="74"/>
      <c r="I31" s="74" t="s">
        <v>661</v>
      </c>
      <c r="J31" s="74">
        <v>5.5399999999999998E-2</v>
      </c>
      <c r="K31" s="74">
        <v>5.6800000000000003E-2</v>
      </c>
      <c r="L31" s="74">
        <v>6.7999999999999996E-3</v>
      </c>
      <c r="M31" s="74">
        <v>0.93389999999999995</v>
      </c>
      <c r="N31" s="74">
        <v>0.93389999999999995</v>
      </c>
      <c r="O31" s="74" t="s">
        <v>637</v>
      </c>
    </row>
    <row r="32" spans="6:15" x14ac:dyDescent="0.3">
      <c r="F32" s="74"/>
      <c r="G32" s="74"/>
      <c r="H32" s="74"/>
      <c r="I32" s="74" t="s">
        <v>662</v>
      </c>
      <c r="J32" s="74">
        <v>-1.9E-3</v>
      </c>
      <c r="K32" s="74">
        <v>-5.62E-2</v>
      </c>
      <c r="L32" s="74">
        <v>-1.47E-2</v>
      </c>
      <c r="M32" s="74">
        <v>0.64319999999999999</v>
      </c>
      <c r="N32" s="74">
        <v>0.64319999999999999</v>
      </c>
      <c r="O32" s="74">
        <v>13.020899999999999</v>
      </c>
    </row>
    <row r="33" spans="6:15" x14ac:dyDescent="0.3">
      <c r="F33" s="74"/>
      <c r="G33" s="74"/>
      <c r="H33" s="74"/>
      <c r="I33" s="74" t="s">
        <v>663</v>
      </c>
      <c r="J33" s="74">
        <v>-3.3599999999999998E-2</v>
      </c>
      <c r="K33" s="74">
        <v>-6.4999999999999997E-3</v>
      </c>
      <c r="L33" s="74">
        <v>4.58E-2</v>
      </c>
      <c r="M33" s="74">
        <v>0.47510000000000002</v>
      </c>
      <c r="N33" s="74">
        <v>0.47510000000000002</v>
      </c>
      <c r="O33" s="74">
        <v>2.7002000000000002</v>
      </c>
    </row>
    <row r="34" spans="6:15" x14ac:dyDescent="0.3">
      <c r="F34" s="74"/>
      <c r="G34" s="74"/>
      <c r="H34" s="74"/>
      <c r="I34" s="74" t="s">
        <v>664</v>
      </c>
      <c r="J34" s="74">
        <v>-1.29E-2</v>
      </c>
      <c r="K34" s="74">
        <v>-1.29E-2</v>
      </c>
      <c r="L34" s="74">
        <v>-6.9699999999999998E-2</v>
      </c>
      <c r="M34" s="74">
        <v>-0.25850000000000001</v>
      </c>
      <c r="N34" s="74">
        <v>-0.25850000000000001</v>
      </c>
      <c r="O34" s="74">
        <v>1.3191999999999999</v>
      </c>
    </row>
    <row r="35" spans="6:15" x14ac:dyDescent="0.3">
      <c r="F35" s="74"/>
      <c r="G35" s="74"/>
      <c r="H35" s="74"/>
      <c r="I35" s="74" t="s">
        <v>665</v>
      </c>
      <c r="J35" s="74">
        <v>-2.6200000000000001E-2</v>
      </c>
      <c r="K35" s="74">
        <v>-9.6600000000000005E-2</v>
      </c>
      <c r="L35" s="74">
        <v>6.7999999999999996E-3</v>
      </c>
      <c r="M35" s="74">
        <v>0.18210000000000001</v>
      </c>
      <c r="N35" s="74">
        <v>0.18210000000000001</v>
      </c>
      <c r="O35" s="74">
        <v>2.2863000000000002</v>
      </c>
    </row>
    <row r="36" spans="6:15" x14ac:dyDescent="0.3">
      <c r="F36" s="74"/>
      <c r="G36" s="74"/>
      <c r="H36" s="74"/>
      <c r="I36" s="74" t="s">
        <v>666</v>
      </c>
      <c r="J36" s="74">
        <v>4.4999999999999997E-3</v>
      </c>
      <c r="K36" s="74">
        <v>-2.5999999999999999E-3</v>
      </c>
      <c r="L36" s="74">
        <v>-2.1499999999999998E-2</v>
      </c>
      <c r="M36" s="74">
        <v>-0.20599999999999999</v>
      </c>
      <c r="N36" s="74">
        <v>-0.20599999999999999</v>
      </c>
      <c r="O36" s="74" t="s">
        <v>637</v>
      </c>
    </row>
    <row r="37" spans="6:15" x14ac:dyDescent="0.3">
      <c r="F37" s="74"/>
      <c r="G37" s="74"/>
      <c r="H37" s="74"/>
      <c r="I37" s="74" t="s">
        <v>667</v>
      </c>
      <c r="J37" s="74">
        <v>2.5000000000000001E-3</v>
      </c>
      <c r="K37" s="74">
        <v>5.5500000000000001E-2</v>
      </c>
      <c r="L37" s="74">
        <v>-3.73E-2</v>
      </c>
      <c r="M37" s="74">
        <v>0.27839999999999998</v>
      </c>
      <c r="N37" s="74">
        <v>0.27839999999999998</v>
      </c>
      <c r="O37" s="74">
        <v>3.9937</v>
      </c>
    </row>
    <row r="38" spans="6:15" x14ac:dyDescent="0.3">
      <c r="F38" s="74"/>
      <c r="G38" s="74"/>
      <c r="H38" s="74"/>
      <c r="I38" s="74" t="s">
        <v>668</v>
      </c>
      <c r="J38" s="74">
        <v>1.5900000000000001E-2</v>
      </c>
      <c r="K38" s="74">
        <v>2.5000000000000001E-2</v>
      </c>
      <c r="L38" s="74">
        <v>-2.7099999999999999E-2</v>
      </c>
      <c r="M38" s="74">
        <v>-8.8900000000000007E-2</v>
      </c>
      <c r="N38" s="74">
        <v>-8.8900000000000007E-2</v>
      </c>
      <c r="O38" s="74" t="s">
        <v>637</v>
      </c>
    </row>
    <row r="39" spans="6:15" x14ac:dyDescent="0.3">
      <c r="F39" s="74"/>
      <c r="G39" s="74"/>
      <c r="H39" s="74"/>
      <c r="I39" s="74" t="s">
        <v>669</v>
      </c>
      <c r="J39" s="74">
        <v>9.9400000000000002E-2</v>
      </c>
      <c r="K39" s="74">
        <v>0.2094</v>
      </c>
      <c r="L39" s="74">
        <v>0.24129999999999999</v>
      </c>
      <c r="M39" s="74">
        <v>0.2291</v>
      </c>
      <c r="N39" s="74">
        <v>0.2291</v>
      </c>
      <c r="O39" s="74">
        <v>2.5562999999999998</v>
      </c>
    </row>
    <row r="40" spans="6:15" x14ac:dyDescent="0.3">
      <c r="F40" s="74"/>
      <c r="G40" s="74"/>
      <c r="H40" s="74"/>
      <c r="I40" s="74" t="s">
        <v>670</v>
      </c>
      <c r="J40" s="74">
        <v>9.9000000000000008E-3</v>
      </c>
      <c r="K40" s="74">
        <v>-1.4200000000000001E-2</v>
      </c>
      <c r="L40" s="74">
        <v>1.6E-2</v>
      </c>
      <c r="M40" s="74">
        <v>-0.15340000000000001</v>
      </c>
      <c r="N40" s="74">
        <v>-0.15340000000000001</v>
      </c>
      <c r="O40" s="74">
        <v>-0.63639999999999997</v>
      </c>
    </row>
    <row r="41" spans="6:15" x14ac:dyDescent="0.3">
      <c r="F41" s="74"/>
      <c r="G41" s="74"/>
      <c r="H41" s="74"/>
      <c r="I41" s="74" t="s">
        <v>671</v>
      </c>
      <c r="J41" s="74">
        <v>9.7000000000000003E-3</v>
      </c>
      <c r="K41" s="74">
        <v>1.55E-2</v>
      </c>
      <c r="L41" s="74">
        <v>-1.32E-2</v>
      </c>
      <c r="M41" s="74">
        <v>-0.29310000000000003</v>
      </c>
      <c r="N41" s="74">
        <v>-0.29310000000000003</v>
      </c>
      <c r="O41" s="74" t="s">
        <v>637</v>
      </c>
    </row>
    <row r="42" spans="6:15" x14ac:dyDescent="0.3">
      <c r="F42" s="74"/>
      <c r="G42" s="74"/>
      <c r="H42" s="74"/>
      <c r="I42" s="74" t="s">
        <v>672</v>
      </c>
      <c r="J42" s="74">
        <v>-6.8999999999999999E-3</v>
      </c>
      <c r="K42" s="74">
        <v>-2.3099999999999999E-2</v>
      </c>
      <c r="L42" s="74">
        <v>-0.12609999999999999</v>
      </c>
      <c r="M42" s="74">
        <v>-6.2300000000000001E-2</v>
      </c>
      <c r="N42" s="74">
        <v>-6.2300000000000001E-2</v>
      </c>
      <c r="O42" t="s">
        <v>637</v>
      </c>
    </row>
    <row r="43" spans="6:15" x14ac:dyDescent="0.3">
      <c r="F43" s="74"/>
      <c r="G43" s="74"/>
      <c r="H43" s="74"/>
      <c r="I43" s="74" t="s">
        <v>673</v>
      </c>
      <c r="J43" s="74">
        <v>-1.04E-2</v>
      </c>
      <c r="K43" s="74">
        <v>-5.1999999999999998E-3</v>
      </c>
      <c r="L43" s="74">
        <v>3.6499999999999998E-2</v>
      </c>
      <c r="M43" s="74">
        <v>1.6442000000000001</v>
      </c>
      <c r="N43" s="74">
        <v>1.6442000000000001</v>
      </c>
      <c r="O43" s="74">
        <v>8.1457999999999995</v>
      </c>
    </row>
    <row r="44" spans="6:15" x14ac:dyDescent="0.3">
      <c r="F44" s="74"/>
      <c r="G44" s="74"/>
      <c r="H44" s="74"/>
      <c r="I44" s="74" t="s">
        <v>674</v>
      </c>
      <c r="J44" s="74">
        <v>-3.5999999999999999E-3</v>
      </c>
      <c r="K44" s="74">
        <v>-1.03E-2</v>
      </c>
      <c r="L44" s="74">
        <v>-2.5999999999999999E-3</v>
      </c>
      <c r="M44" s="74">
        <v>0.12920000000000001</v>
      </c>
      <c r="N44" s="74">
        <v>0.12920000000000001</v>
      </c>
      <c r="O44" s="74">
        <v>2.0493000000000001</v>
      </c>
    </row>
    <row r="45" spans="6:15" x14ac:dyDescent="0.3">
      <c r="F45" s="74"/>
      <c r="G45" s="74"/>
      <c r="H45" s="74"/>
      <c r="I45" s="74" t="s">
        <v>675</v>
      </c>
      <c r="J45" s="74">
        <v>3.5000000000000001E-3</v>
      </c>
      <c r="K45" s="74">
        <v>-8.8999999999999999E-3</v>
      </c>
      <c r="L45" s="74">
        <v>-2.0400000000000001E-2</v>
      </c>
      <c r="M45" s="74">
        <v>0.15260000000000001</v>
      </c>
      <c r="N45" s="74">
        <v>0.15260000000000001</v>
      </c>
      <c r="O45" s="74">
        <v>6.4638</v>
      </c>
    </row>
    <row r="46" spans="6:15" x14ac:dyDescent="0.3">
      <c r="F46" s="74"/>
      <c r="G46" s="74"/>
      <c r="H46" s="74"/>
      <c r="I46" s="74" t="s">
        <v>676</v>
      </c>
      <c r="J46" s="74">
        <v>2.6200000000000001E-2</v>
      </c>
      <c r="K46" s="74">
        <v>4.8999999999999998E-3</v>
      </c>
      <c r="L46" s="74">
        <v>-0.1203</v>
      </c>
      <c r="M46" s="74">
        <v>0.43919999999999998</v>
      </c>
      <c r="N46" s="74">
        <v>0.43919999999999998</v>
      </c>
      <c r="O46" s="74">
        <v>0.37890000000000001</v>
      </c>
    </row>
    <row r="47" spans="6:15" x14ac:dyDescent="0.3">
      <c r="F47" s="74"/>
      <c r="G47" s="74"/>
      <c r="H47" s="74"/>
      <c r="I47" s="74" t="s">
        <v>677</v>
      </c>
      <c r="J47" s="74">
        <v>4.0000000000000002E-4</v>
      </c>
      <c r="K47" s="74">
        <v>2.6100000000000002E-2</v>
      </c>
      <c r="L47" s="74">
        <v>-8.3000000000000001E-3</v>
      </c>
      <c r="M47" s="74">
        <v>0.87439999999999996</v>
      </c>
      <c r="N47" s="74">
        <v>0.87439999999999996</v>
      </c>
      <c r="O47" s="74">
        <v>4.2676999999999996</v>
      </c>
    </row>
    <row r="48" spans="6:15" x14ac:dyDescent="0.3">
      <c r="F48" s="74"/>
      <c r="G48" s="74"/>
      <c r="H48" s="74"/>
      <c r="I48" s="74" t="s">
        <v>678</v>
      </c>
      <c r="J48" s="74">
        <v>5.0000000000000001E-3</v>
      </c>
      <c r="K48" s="74">
        <v>-1.14E-2</v>
      </c>
      <c r="L48" s="74">
        <v>-5.3900000000000003E-2</v>
      </c>
      <c r="M48" s="74">
        <v>-7.3200000000000001E-2</v>
      </c>
      <c r="N48" s="74">
        <v>-7.3200000000000001E-2</v>
      </c>
      <c r="O48" s="74">
        <v>4.4550000000000001</v>
      </c>
    </row>
    <row r="49" spans="6:15" x14ac:dyDescent="0.3">
      <c r="F49" s="74"/>
      <c r="G49" s="74"/>
      <c r="H49" s="74"/>
      <c r="I49" s="74" t="s">
        <v>679</v>
      </c>
      <c r="J49" s="74">
        <v>5.7999999999999996E-3</v>
      </c>
      <c r="K49" s="74">
        <v>7.0000000000000001E-3</v>
      </c>
      <c r="L49" s="74">
        <v>1.11E-2</v>
      </c>
      <c r="M49" s="74">
        <v>0.1139</v>
      </c>
      <c r="N49" s="74">
        <v>0.1139</v>
      </c>
      <c r="O49" s="74">
        <v>1.2663</v>
      </c>
    </row>
    <row r="50" spans="6:15" x14ac:dyDescent="0.3">
      <c r="F50" s="74"/>
      <c r="G50" s="74"/>
      <c r="H50" s="74"/>
      <c r="I50" s="74" t="s">
        <v>680</v>
      </c>
      <c r="J50" s="74">
        <v>2.8000000000000001E-2</v>
      </c>
      <c r="K50" s="74">
        <v>4.2599999999999999E-2</v>
      </c>
      <c r="L50" s="74">
        <v>9.2399999999999996E-2</v>
      </c>
      <c r="M50" s="74">
        <v>0.50839999999999996</v>
      </c>
      <c r="N50" s="74">
        <v>0.50839999999999996</v>
      </c>
      <c r="O50" s="74">
        <v>1.8942000000000001</v>
      </c>
    </row>
    <row r="51" spans="6:15" x14ac:dyDescent="0.3">
      <c r="I51" s="74" t="s">
        <v>681</v>
      </c>
      <c r="J51" s="74">
        <v>6.1800000000000001E-2</v>
      </c>
      <c r="K51" s="74">
        <v>3.8899999999999997E-2</v>
      </c>
      <c r="L51" s="74">
        <v>-6.5500000000000003E-2</v>
      </c>
      <c r="M51" s="74">
        <v>0.17019999999999999</v>
      </c>
      <c r="N51" s="74">
        <v>0.17019999999999999</v>
      </c>
      <c r="O51" s="74">
        <v>13.458299999999999</v>
      </c>
    </row>
    <row r="52" spans="6:15" x14ac:dyDescent="0.3">
      <c r="J52" s="74"/>
      <c r="K52" s="74"/>
      <c r="L52" s="74"/>
      <c r="M52" s="74"/>
      <c r="N52" s="74"/>
      <c r="O52" s="7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8414D-4AED-45B1-8437-8E11E3BBD677}">
  <dimension ref="B1:AJ206"/>
  <sheetViews>
    <sheetView workbookViewId="0">
      <pane xSplit="2" ySplit="1" topLeftCell="C156" activePane="bottomRight" state="frozen"/>
      <selection pane="topRight" activeCell="C1" sqref="C1"/>
      <selection pane="bottomLeft" activeCell="A2" sqref="A2"/>
      <selection pane="bottomRight" activeCell="E209" sqref="E209"/>
    </sheetView>
  </sheetViews>
  <sheetFormatPr defaultColWidth="9.109375" defaultRowHeight="14.4" x14ac:dyDescent="0.3"/>
  <cols>
    <col min="1" max="1" width="1.6640625" style="3" customWidth="1"/>
    <col min="2" max="2" width="11.109375" style="3" bestFit="1" customWidth="1"/>
    <col min="3" max="4" width="7.6640625" style="3" customWidth="1"/>
    <col min="5" max="6" width="7.33203125" style="3" customWidth="1"/>
    <col min="7" max="32" width="5.109375" style="3" customWidth="1"/>
    <col min="33" max="34" width="5.88671875" style="3" customWidth="1"/>
    <col min="35" max="35" width="10.44140625" style="81" bestFit="1" customWidth="1"/>
    <col min="36" max="36" width="8" style="3" bestFit="1" customWidth="1"/>
    <col min="37" max="90" width="4" style="3" customWidth="1"/>
    <col min="91" max="16384" width="9.109375" style="3"/>
  </cols>
  <sheetData>
    <row r="1" spans="2:36" s="79" customFormat="1" ht="61.5" customHeight="1" x14ac:dyDescent="0.3">
      <c r="B1" s="79" t="s">
        <v>730</v>
      </c>
      <c r="C1" s="87" t="s">
        <v>700</v>
      </c>
      <c r="D1" s="87" t="s">
        <v>746</v>
      </c>
      <c r="E1" s="87" t="s">
        <v>702</v>
      </c>
      <c r="F1" s="87" t="s">
        <v>703</v>
      </c>
      <c r="G1" s="87" t="s">
        <v>704</v>
      </c>
      <c r="H1" s="86" t="s">
        <v>705</v>
      </c>
      <c r="I1" s="87" t="s">
        <v>756</v>
      </c>
      <c r="J1" s="87" t="s">
        <v>707</v>
      </c>
      <c r="K1" s="87" t="s">
        <v>755</v>
      </c>
      <c r="L1" s="86" t="s">
        <v>742</v>
      </c>
      <c r="M1" s="87" t="s">
        <v>747</v>
      </c>
      <c r="N1" s="87" t="s">
        <v>738</v>
      </c>
      <c r="O1" s="87" t="s">
        <v>743</v>
      </c>
      <c r="P1" s="87" t="s">
        <v>712</v>
      </c>
      <c r="Q1" s="87" t="s">
        <v>713</v>
      </c>
      <c r="R1" s="87" t="s">
        <v>714</v>
      </c>
      <c r="S1" s="86" t="s">
        <v>744</v>
      </c>
      <c r="T1" s="87" t="s">
        <v>716</v>
      </c>
      <c r="U1" s="87" t="s">
        <v>739</v>
      </c>
      <c r="V1" s="87" t="s">
        <v>718</v>
      </c>
      <c r="W1" s="87" t="s">
        <v>719</v>
      </c>
      <c r="X1" s="87" t="s">
        <v>745</v>
      </c>
      <c r="Y1" s="87" t="s">
        <v>721</v>
      </c>
      <c r="Z1" s="87" t="s">
        <v>722</v>
      </c>
      <c r="AA1" s="87" t="s">
        <v>723</v>
      </c>
      <c r="AB1" s="86" t="s">
        <v>724</v>
      </c>
      <c r="AC1" s="87" t="s">
        <v>754</v>
      </c>
      <c r="AD1" s="87" t="s">
        <v>726</v>
      </c>
      <c r="AE1" s="87" t="s">
        <v>727</v>
      </c>
      <c r="AF1" s="87" t="s">
        <v>753</v>
      </c>
      <c r="AG1" s="79" t="s">
        <v>729</v>
      </c>
      <c r="AH1" s="79" t="s">
        <v>732</v>
      </c>
      <c r="AI1" s="80" t="s">
        <v>4</v>
      </c>
      <c r="AJ1" s="79" t="s">
        <v>733</v>
      </c>
    </row>
    <row r="2" spans="2:36" x14ac:dyDescent="0.3">
      <c r="B2" s="3" t="s">
        <v>6</v>
      </c>
      <c r="AG2" s="3">
        <f t="shared" ref="AG2:AG38" si="0">SUM(C2:AF2)</f>
        <v>0</v>
      </c>
      <c r="AH2" s="3">
        <v>32</v>
      </c>
      <c r="AI2" s="81">
        <f>SUMIFS(Tablo2[Son Fiyat],Tablo2[Şirket],Tablo3[[#This Row],[Sütun1]])</f>
        <v>32</v>
      </c>
      <c r="AJ2" s="75">
        <f>+(Tablo3[[#This Row],[Fiyat]]-Tablo3[[#This Row],[Hafta Başı]])/Tablo3[[#This Row],[Hafta Başı]]</f>
        <v>0</v>
      </c>
    </row>
    <row r="3" spans="2:36" x14ac:dyDescent="0.3">
      <c r="B3" s="3" t="s">
        <v>60</v>
      </c>
      <c r="AG3" s="3">
        <f t="shared" si="0"/>
        <v>0</v>
      </c>
      <c r="AH3" s="3">
        <v>2.06</v>
      </c>
      <c r="AI3" s="81">
        <f>SUMIFS(Tablo2[Son Fiyat],Tablo2[Şirket],Tablo3[[#This Row],[Sütun1]])</f>
        <v>2.06</v>
      </c>
      <c r="AJ3" s="75">
        <f>+(Tablo3[[#This Row],[Fiyat]]-Tablo3[[#This Row],[Hafta Başı]])/Tablo3[[#This Row],[Hafta Başı]]</f>
        <v>0</v>
      </c>
    </row>
    <row r="4" spans="2:36" x14ac:dyDescent="0.3">
      <c r="B4" s="3" t="s">
        <v>63</v>
      </c>
      <c r="AG4" s="3">
        <f t="shared" si="0"/>
        <v>0</v>
      </c>
      <c r="AH4" s="3">
        <v>15.62</v>
      </c>
      <c r="AI4" s="81">
        <f>SUMIFS(Tablo2[Son Fiyat],Tablo2[Şirket],Tablo3[[#This Row],[Sütun1]])</f>
        <v>15.62</v>
      </c>
      <c r="AJ4" s="75">
        <f>+(Tablo3[[#This Row],[Fiyat]]-Tablo3[[#This Row],[Hafta Başı]])/Tablo3[[#This Row],[Hafta Başı]]</f>
        <v>0</v>
      </c>
    </row>
    <row r="5" spans="2:36" x14ac:dyDescent="0.3">
      <c r="B5" s="3" t="s">
        <v>68</v>
      </c>
      <c r="AG5" s="3">
        <f t="shared" si="0"/>
        <v>0</v>
      </c>
      <c r="AH5" s="3">
        <v>19.23</v>
      </c>
      <c r="AI5" s="81">
        <f>SUMIFS(Tablo2[Son Fiyat],Tablo2[Şirket],Tablo3[[#This Row],[Sütun1]])</f>
        <v>19.23</v>
      </c>
      <c r="AJ5" s="75">
        <f>+(Tablo3[[#This Row],[Fiyat]]-Tablo3[[#This Row],[Hafta Başı]])/Tablo3[[#This Row],[Hafta Başı]]</f>
        <v>0</v>
      </c>
    </row>
    <row r="6" spans="2:36" x14ac:dyDescent="0.3">
      <c r="B6" s="3" t="s">
        <v>70</v>
      </c>
      <c r="AG6" s="3">
        <f t="shared" si="0"/>
        <v>0</v>
      </c>
      <c r="AH6" s="3">
        <v>208.2</v>
      </c>
      <c r="AI6" s="81">
        <f>SUMIFS(Tablo2[Son Fiyat],Tablo2[Şirket],Tablo3[[#This Row],[Sütun1]])</f>
        <v>208.2</v>
      </c>
      <c r="AJ6" s="75">
        <f>+(Tablo3[[#This Row],[Fiyat]]-Tablo3[[#This Row],[Hafta Başı]])/Tablo3[[#This Row],[Hafta Başı]]</f>
        <v>0</v>
      </c>
    </row>
    <row r="7" spans="2:36" x14ac:dyDescent="0.3">
      <c r="B7" s="3" t="s">
        <v>74</v>
      </c>
      <c r="AG7" s="3">
        <f t="shared" si="0"/>
        <v>0</v>
      </c>
      <c r="AH7" s="3">
        <v>8.0399999999999991</v>
      </c>
      <c r="AI7" s="81">
        <f>SUMIFS(Tablo2[Son Fiyat],Tablo2[Şirket],Tablo3[[#This Row],[Sütun1]])</f>
        <v>8.0399999999999991</v>
      </c>
      <c r="AJ7" s="75">
        <f>+(Tablo3[[#This Row],[Fiyat]]-Tablo3[[#This Row],[Hafta Başı]])/Tablo3[[#This Row],[Hafta Başı]]</f>
        <v>0</v>
      </c>
    </row>
    <row r="8" spans="2:36" x14ac:dyDescent="0.3">
      <c r="B8" s="3" t="s">
        <v>76</v>
      </c>
      <c r="AA8" s="3">
        <v>1</v>
      </c>
      <c r="AG8" s="3">
        <f>SUM(C8:AF8)</f>
        <v>1</v>
      </c>
      <c r="AH8" s="3">
        <v>11.54</v>
      </c>
      <c r="AI8" s="81">
        <f>SUMIFS(Tablo2[Son Fiyat],Tablo2[Şirket],Tablo3[[#This Row],[Sütun1]])</f>
        <v>11.54</v>
      </c>
      <c r="AJ8" s="75">
        <f>+(Tablo3[[#This Row],[Fiyat]]-Tablo3[[#This Row],[Hafta Başı]])/Tablo3[[#This Row],[Hafta Başı]]</f>
        <v>0</v>
      </c>
    </row>
    <row r="9" spans="2:36" x14ac:dyDescent="0.3">
      <c r="B9" s="3" t="s">
        <v>77</v>
      </c>
      <c r="V9" s="3">
        <v>1</v>
      </c>
      <c r="AG9" s="3">
        <f>SUM(C9:AF9)</f>
        <v>1</v>
      </c>
      <c r="AH9" s="3">
        <v>41.1</v>
      </c>
      <c r="AI9" s="81">
        <f>SUMIFS(Tablo2[Son Fiyat],Tablo2[Şirket],Tablo3[[#This Row],[Sütun1]])</f>
        <v>41.1</v>
      </c>
      <c r="AJ9" s="75">
        <f>+(Tablo3[[#This Row],[Fiyat]]-Tablo3[[#This Row],[Hafta Başı]])/Tablo3[[#This Row],[Hafta Başı]]</f>
        <v>0</v>
      </c>
    </row>
    <row r="10" spans="2:36" x14ac:dyDescent="0.3">
      <c r="B10" s="3" t="s">
        <v>8</v>
      </c>
      <c r="AG10" s="3">
        <f t="shared" si="0"/>
        <v>0</v>
      </c>
      <c r="AH10" s="3">
        <v>86.05</v>
      </c>
      <c r="AI10" s="81">
        <f>SUMIFS(Tablo2[Son Fiyat],Tablo2[Şirket],Tablo3[[#This Row],[Sütun1]])</f>
        <v>86.05</v>
      </c>
      <c r="AJ10" s="75">
        <f>+(Tablo3[[#This Row],[Fiyat]]-Tablo3[[#This Row],[Hafta Başı]])/Tablo3[[#This Row],[Hafta Başı]]</f>
        <v>0</v>
      </c>
    </row>
    <row r="11" spans="2:36" x14ac:dyDescent="0.3">
      <c r="B11" s="3" t="s">
        <v>81</v>
      </c>
      <c r="AG11" s="3">
        <f t="shared" si="0"/>
        <v>0</v>
      </c>
      <c r="AH11" s="3">
        <v>7.16</v>
      </c>
      <c r="AI11" s="81">
        <f>SUMIFS(Tablo2[Son Fiyat],Tablo2[Şirket],Tablo3[[#This Row],[Sütun1]])</f>
        <v>7.16</v>
      </c>
      <c r="AJ11" s="75">
        <f>+(Tablo3[[#This Row],[Fiyat]]-Tablo3[[#This Row],[Hafta Başı]])/Tablo3[[#This Row],[Hafta Başı]]</f>
        <v>0</v>
      </c>
    </row>
    <row r="12" spans="2:36" x14ac:dyDescent="0.3">
      <c r="B12" s="3" t="s">
        <v>84</v>
      </c>
      <c r="AG12" s="3">
        <f t="shared" si="0"/>
        <v>0</v>
      </c>
      <c r="AH12" s="3">
        <v>73.349999999999994</v>
      </c>
      <c r="AI12" s="81">
        <f>SUMIFS(Tablo2[Son Fiyat],Tablo2[Şirket],Tablo3[[#This Row],[Sütun1]])</f>
        <v>73.349999999999994</v>
      </c>
      <c r="AJ12" s="75">
        <f>+(Tablo3[[#This Row],[Fiyat]]-Tablo3[[#This Row],[Hafta Başı]])/Tablo3[[#This Row],[Hafta Başı]]</f>
        <v>0</v>
      </c>
    </row>
    <row r="13" spans="2:36" x14ac:dyDescent="0.3">
      <c r="B13" s="3" t="s">
        <v>91</v>
      </c>
      <c r="AG13" s="3">
        <f t="shared" si="0"/>
        <v>0</v>
      </c>
      <c r="AH13" s="3">
        <v>35.299999999999997</v>
      </c>
      <c r="AI13" s="81">
        <f>SUMIFS(Tablo2[Son Fiyat],Tablo2[Şirket],Tablo3[[#This Row],[Sütun1]])</f>
        <v>35.299999999999997</v>
      </c>
      <c r="AJ13" s="75">
        <f>+(Tablo3[[#This Row],[Fiyat]]-Tablo3[[#This Row],[Hafta Başı]])/Tablo3[[#This Row],[Hafta Başı]]</f>
        <v>0</v>
      </c>
    </row>
    <row r="14" spans="2:36" x14ac:dyDescent="0.3">
      <c r="B14" s="3" t="s">
        <v>94</v>
      </c>
      <c r="AG14" s="3">
        <f t="shared" si="0"/>
        <v>0</v>
      </c>
      <c r="AH14" s="3">
        <v>99.5</v>
      </c>
      <c r="AI14" s="81">
        <f>SUMIFS(Tablo2[Son Fiyat],Tablo2[Şirket],Tablo3[[#This Row],[Sütun1]])</f>
        <v>99.5</v>
      </c>
      <c r="AJ14" s="75">
        <f>+(Tablo3[[#This Row],[Fiyat]]-Tablo3[[#This Row],[Hafta Başı]])/Tablo3[[#This Row],[Hafta Başı]]</f>
        <v>0</v>
      </c>
    </row>
    <row r="15" spans="2:36" x14ac:dyDescent="0.3">
      <c r="B15" s="3" t="s">
        <v>95</v>
      </c>
      <c r="AG15" s="3">
        <f t="shared" si="0"/>
        <v>0</v>
      </c>
      <c r="AH15" s="3">
        <v>110.5</v>
      </c>
      <c r="AI15" s="81">
        <f>SUMIFS(Tablo2[Son Fiyat],Tablo2[Şirket],Tablo3[[#This Row],[Sütun1]])</f>
        <v>110.5</v>
      </c>
      <c r="AJ15" s="75">
        <f>+(Tablo3[[#This Row],[Fiyat]]-Tablo3[[#This Row],[Hafta Başı]])/Tablo3[[#This Row],[Hafta Başı]]</f>
        <v>0</v>
      </c>
    </row>
    <row r="16" spans="2:36" x14ac:dyDescent="0.3">
      <c r="B16" s="3" t="s">
        <v>99</v>
      </c>
      <c r="AG16" s="3">
        <f t="shared" si="0"/>
        <v>0</v>
      </c>
      <c r="AH16" s="3">
        <v>29</v>
      </c>
      <c r="AI16" s="81">
        <f>SUMIFS(Tablo2[Son Fiyat],Tablo2[Şirket],Tablo3[[#This Row],[Sütun1]])</f>
        <v>29</v>
      </c>
      <c r="AJ16" s="75">
        <f>+(Tablo3[[#This Row],[Fiyat]]-Tablo3[[#This Row],[Hafta Başı]])/Tablo3[[#This Row],[Hafta Başı]]</f>
        <v>0</v>
      </c>
    </row>
    <row r="17" spans="2:36" x14ac:dyDescent="0.3">
      <c r="B17" s="3" t="s">
        <v>100</v>
      </c>
      <c r="AG17" s="3">
        <f t="shared" si="0"/>
        <v>0</v>
      </c>
      <c r="AH17" s="3">
        <v>36.520000000000003</v>
      </c>
      <c r="AI17" s="81">
        <f>SUMIFS(Tablo2[Son Fiyat],Tablo2[Şirket],Tablo3[[#This Row],[Sütun1]])</f>
        <v>36.520000000000003</v>
      </c>
      <c r="AJ17" s="75">
        <f>+(Tablo3[[#This Row],[Fiyat]]-Tablo3[[#This Row],[Hafta Başı]])/Tablo3[[#This Row],[Hafta Başı]]</f>
        <v>0</v>
      </c>
    </row>
    <row r="18" spans="2:36" x14ac:dyDescent="0.3">
      <c r="B18" s="3" t="s">
        <v>101</v>
      </c>
      <c r="AG18" s="3">
        <f t="shared" si="0"/>
        <v>0</v>
      </c>
      <c r="AH18" s="3">
        <v>88.7</v>
      </c>
      <c r="AI18" s="81">
        <f>SUMIFS(Tablo2[Son Fiyat],Tablo2[Şirket],Tablo3[[#This Row],[Sütun1]])</f>
        <v>88.7</v>
      </c>
      <c r="AJ18" s="75">
        <f>+(Tablo3[[#This Row],[Fiyat]]-Tablo3[[#This Row],[Hafta Başı]])/Tablo3[[#This Row],[Hafta Başı]]</f>
        <v>0</v>
      </c>
    </row>
    <row r="19" spans="2:36" x14ac:dyDescent="0.3">
      <c r="B19" s="3" t="s">
        <v>12</v>
      </c>
      <c r="AG19" s="3">
        <f t="shared" si="0"/>
        <v>0</v>
      </c>
      <c r="AH19" s="3">
        <v>117.6</v>
      </c>
      <c r="AI19" s="81">
        <f>SUMIFS(Tablo2[Son Fiyat],Tablo2[Şirket],Tablo3[[#This Row],[Sütun1]])</f>
        <v>117.6</v>
      </c>
      <c r="AJ19" s="75">
        <f>+(Tablo3[[#This Row],[Fiyat]]-Tablo3[[#This Row],[Hafta Başı]])/Tablo3[[#This Row],[Hafta Başı]]</f>
        <v>0</v>
      </c>
    </row>
    <row r="20" spans="2:36" x14ac:dyDescent="0.3">
      <c r="B20" s="3" t="s">
        <v>105</v>
      </c>
      <c r="M20" s="3">
        <v>1</v>
      </c>
      <c r="AG20" s="3">
        <f>SUM(C20:AF20)</f>
        <v>1</v>
      </c>
      <c r="AH20" s="3">
        <v>40.6</v>
      </c>
      <c r="AI20" s="81">
        <f>SUMIFS(Tablo2[Son Fiyat],Tablo2[Şirket],Tablo3[[#This Row],[Sütun1]])</f>
        <v>40.6</v>
      </c>
      <c r="AJ20" s="75">
        <f>+(Tablo3[[#This Row],[Fiyat]]-Tablo3[[#This Row],[Hafta Başı]])/Tablo3[[#This Row],[Hafta Başı]]</f>
        <v>0</v>
      </c>
    </row>
    <row r="21" spans="2:36" x14ac:dyDescent="0.3">
      <c r="B21" s="3" t="s">
        <v>112</v>
      </c>
      <c r="AG21" s="3">
        <f t="shared" si="0"/>
        <v>0</v>
      </c>
      <c r="AH21" s="3">
        <v>2.86</v>
      </c>
      <c r="AI21" s="81">
        <f>SUMIFS(Tablo2[Son Fiyat],Tablo2[Şirket],Tablo3[[#This Row],[Sütun1]])</f>
        <v>2.86</v>
      </c>
      <c r="AJ21" s="75">
        <f>+(Tablo3[[#This Row],[Fiyat]]-Tablo3[[#This Row],[Hafta Başı]])/Tablo3[[#This Row],[Hafta Başı]]</f>
        <v>0</v>
      </c>
    </row>
    <row r="22" spans="2:36" x14ac:dyDescent="0.3">
      <c r="B22" s="3" t="s">
        <v>116</v>
      </c>
      <c r="AG22" s="3">
        <f t="shared" si="0"/>
        <v>0</v>
      </c>
      <c r="AH22" s="3">
        <v>22.16</v>
      </c>
      <c r="AI22" s="81">
        <f>SUMIFS(Tablo2[Son Fiyat],Tablo2[Şirket],Tablo3[[#This Row],[Sütun1]])</f>
        <v>22.16</v>
      </c>
      <c r="AJ22" s="75">
        <f>+(Tablo3[[#This Row],[Fiyat]]-Tablo3[[#This Row],[Hafta Başı]])/Tablo3[[#This Row],[Hafta Başı]]</f>
        <v>0</v>
      </c>
    </row>
    <row r="23" spans="2:36" x14ac:dyDescent="0.3">
      <c r="B23" s="3" t="s">
        <v>120</v>
      </c>
      <c r="AG23" s="3">
        <f t="shared" si="0"/>
        <v>0</v>
      </c>
      <c r="AH23" s="3">
        <v>47.46</v>
      </c>
      <c r="AI23" s="81">
        <f>SUMIFS(Tablo2[Son Fiyat],Tablo2[Şirket],Tablo3[[#This Row],[Sütun1]])</f>
        <v>47.46</v>
      </c>
      <c r="AJ23" s="75">
        <f>+(Tablo3[[#This Row],[Fiyat]]-Tablo3[[#This Row],[Hafta Başı]])/Tablo3[[#This Row],[Hafta Başı]]</f>
        <v>0</v>
      </c>
    </row>
    <row r="24" spans="2:36" x14ac:dyDescent="0.3">
      <c r="B24" s="3" t="s">
        <v>124</v>
      </c>
      <c r="C24" s="3">
        <v>1</v>
      </c>
      <c r="AG24" s="3">
        <f>SUM(C24:AF24)</f>
        <v>1</v>
      </c>
      <c r="AH24" s="3">
        <v>301</v>
      </c>
      <c r="AI24" s="81">
        <f>SUMIFS(Tablo2[Son Fiyat],Tablo2[Şirket],Tablo3[[#This Row],[Sütun1]])</f>
        <v>301</v>
      </c>
      <c r="AJ24" s="75">
        <f>+(Tablo3[[#This Row],[Fiyat]]-Tablo3[[#This Row],[Hafta Başı]])/Tablo3[[#This Row],[Hafta Başı]]</f>
        <v>0</v>
      </c>
    </row>
    <row r="25" spans="2:36" x14ac:dyDescent="0.3">
      <c r="B25" s="3" t="s">
        <v>130</v>
      </c>
      <c r="N25" s="3">
        <v>1</v>
      </c>
      <c r="T25" s="3">
        <v>1</v>
      </c>
      <c r="AG25" s="3">
        <f>SUM(C25:AF25)</f>
        <v>2</v>
      </c>
      <c r="AH25" s="3">
        <v>17.09</v>
      </c>
      <c r="AI25" s="81">
        <f>SUMIFS(Tablo2[Son Fiyat],Tablo2[Şirket],Tablo3[[#This Row],[Sütun1]])</f>
        <v>17.09</v>
      </c>
      <c r="AJ25" s="75">
        <f>+(Tablo3[[#This Row],[Fiyat]]-Tablo3[[#This Row],[Hafta Başı]])/Tablo3[[#This Row],[Hafta Başı]]</f>
        <v>0</v>
      </c>
    </row>
    <row r="26" spans="2:36" x14ac:dyDescent="0.3">
      <c r="B26" s="3" t="s">
        <v>133</v>
      </c>
      <c r="AG26" s="3">
        <f t="shared" si="0"/>
        <v>0</v>
      </c>
      <c r="AH26" s="3">
        <v>30.76</v>
      </c>
      <c r="AI26" s="81">
        <f>SUMIFS(Tablo2[Son Fiyat],Tablo2[Şirket],Tablo3[[#This Row],[Sütun1]])</f>
        <v>30.76</v>
      </c>
      <c r="AJ26" s="75">
        <f>+(Tablo3[[#This Row],[Fiyat]]-Tablo3[[#This Row],[Hafta Başı]])/Tablo3[[#This Row],[Hafta Başı]]</f>
        <v>0</v>
      </c>
    </row>
    <row r="27" spans="2:36" x14ac:dyDescent="0.3">
      <c r="B27" s="3" t="s">
        <v>591</v>
      </c>
      <c r="AG27" s="3">
        <f t="shared" si="0"/>
        <v>0</v>
      </c>
      <c r="AH27" s="3">
        <v>100.6</v>
      </c>
      <c r="AI27" s="81">
        <f>SUMIFS(Tablo2[Son Fiyat],Tablo2[Şirket],Tablo3[[#This Row],[Sütun1]])</f>
        <v>100.6</v>
      </c>
      <c r="AJ27" s="75">
        <f>+(Tablo3[[#This Row],[Fiyat]]-Tablo3[[#This Row],[Hafta Başı]])/Tablo3[[#This Row],[Hafta Başı]]</f>
        <v>0</v>
      </c>
    </row>
    <row r="28" spans="2:36" x14ac:dyDescent="0.3">
      <c r="B28" s="3" t="s">
        <v>138</v>
      </c>
      <c r="D28" s="3">
        <v>1</v>
      </c>
      <c r="AA28" s="3">
        <v>1</v>
      </c>
      <c r="AC28" s="3">
        <v>1</v>
      </c>
      <c r="AD28" s="3">
        <v>1</v>
      </c>
      <c r="AE28" s="3">
        <v>1</v>
      </c>
      <c r="AG28" s="3">
        <f t="shared" si="0"/>
        <v>5</v>
      </c>
      <c r="AH28" s="3">
        <v>5.15</v>
      </c>
      <c r="AI28" s="81">
        <f>SUMIFS(Tablo2[Son Fiyat],Tablo2[Şirket],Tablo3[[#This Row],[Sütun1]])</f>
        <v>5.15</v>
      </c>
      <c r="AJ28" s="75">
        <f>+(Tablo3[[#This Row],[Fiyat]]-Tablo3[[#This Row],[Hafta Başı]])/Tablo3[[#This Row],[Hafta Başı]]</f>
        <v>0</v>
      </c>
    </row>
    <row r="29" spans="2:36" x14ac:dyDescent="0.3">
      <c r="B29" s="3" t="s">
        <v>139</v>
      </c>
      <c r="AG29" s="3">
        <f t="shared" si="0"/>
        <v>0</v>
      </c>
      <c r="AH29" s="3">
        <v>16.23</v>
      </c>
      <c r="AI29" s="81">
        <f>SUMIFS(Tablo2[Son Fiyat],Tablo2[Şirket],Tablo3[[#This Row],[Sütun1]])</f>
        <v>16.23</v>
      </c>
      <c r="AJ29" s="75">
        <f>+(Tablo3[[#This Row],[Fiyat]]-Tablo3[[#This Row],[Hafta Başı]])/Tablo3[[#This Row],[Hafta Başı]]</f>
        <v>0</v>
      </c>
    </row>
    <row r="30" spans="2:36" x14ac:dyDescent="0.3">
      <c r="B30" s="3" t="s">
        <v>51</v>
      </c>
      <c r="AG30" s="3">
        <f t="shared" si="0"/>
        <v>0</v>
      </c>
      <c r="AH30" s="3">
        <v>11.02</v>
      </c>
      <c r="AI30" s="81">
        <f>SUMIFS(Tablo2[Son Fiyat],Tablo2[Şirket],Tablo3[[#This Row],[Sütun1]])</f>
        <v>11.02</v>
      </c>
      <c r="AJ30" s="75">
        <f>+(Tablo3[[#This Row],[Fiyat]]-Tablo3[[#This Row],[Hafta Başı]])/Tablo3[[#This Row],[Hafta Başı]]</f>
        <v>0</v>
      </c>
    </row>
    <row r="31" spans="2:36" x14ac:dyDescent="0.3">
      <c r="B31" s="3" t="s">
        <v>143</v>
      </c>
      <c r="AG31" s="3">
        <f t="shared" si="0"/>
        <v>0</v>
      </c>
      <c r="AH31" s="3">
        <v>76.5</v>
      </c>
      <c r="AI31" s="81">
        <f>SUMIFS(Tablo2[Son Fiyat],Tablo2[Şirket],Tablo3[[#This Row],[Sütun1]])</f>
        <v>76.5</v>
      </c>
      <c r="AJ31" s="75">
        <f>+(Tablo3[[#This Row],[Fiyat]]-Tablo3[[#This Row],[Hafta Başı]])/Tablo3[[#This Row],[Hafta Başı]]</f>
        <v>0</v>
      </c>
    </row>
    <row r="32" spans="2:36" x14ac:dyDescent="0.3">
      <c r="B32" s="3" t="s">
        <v>148</v>
      </c>
      <c r="AG32" s="3">
        <f t="shared" si="0"/>
        <v>0</v>
      </c>
      <c r="AH32" s="3">
        <v>24.52</v>
      </c>
      <c r="AI32" s="81">
        <f>SUMIFS(Tablo2[Son Fiyat],Tablo2[Şirket],Tablo3[[#This Row],[Sütun1]])</f>
        <v>24.52</v>
      </c>
      <c r="AJ32" s="75">
        <f>+(Tablo3[[#This Row],[Fiyat]]-Tablo3[[#This Row],[Hafta Başı]])/Tablo3[[#This Row],[Hafta Başı]]</f>
        <v>0</v>
      </c>
    </row>
    <row r="33" spans="2:36" x14ac:dyDescent="0.3">
      <c r="B33" s="3" t="s">
        <v>149</v>
      </c>
      <c r="AG33" s="3">
        <f t="shared" si="0"/>
        <v>0</v>
      </c>
      <c r="AH33" s="3">
        <v>54.6</v>
      </c>
      <c r="AI33" s="81">
        <f>SUMIFS(Tablo2[Son Fiyat],Tablo2[Şirket],Tablo3[[#This Row],[Sütun1]])</f>
        <v>54.6</v>
      </c>
      <c r="AJ33" s="75">
        <f>+(Tablo3[[#This Row],[Fiyat]]-Tablo3[[#This Row],[Hafta Başı]])/Tablo3[[#This Row],[Hafta Başı]]</f>
        <v>0</v>
      </c>
    </row>
    <row r="34" spans="2:36" x14ac:dyDescent="0.3">
      <c r="B34" s="3" t="s">
        <v>156</v>
      </c>
      <c r="AG34" s="3">
        <f t="shared" si="0"/>
        <v>0</v>
      </c>
      <c r="AH34" s="3">
        <v>17.43</v>
      </c>
      <c r="AI34" s="81">
        <f>SUMIFS(Tablo2[Son Fiyat],Tablo2[Şirket],Tablo3[[#This Row],[Sütun1]])</f>
        <v>17.43</v>
      </c>
      <c r="AJ34" s="75">
        <f>+(Tablo3[[#This Row],[Fiyat]]-Tablo3[[#This Row],[Hafta Başı]])/Tablo3[[#This Row],[Hafta Başı]]</f>
        <v>0</v>
      </c>
    </row>
    <row r="35" spans="2:36" x14ac:dyDescent="0.3">
      <c r="B35" s="3" t="s">
        <v>161</v>
      </c>
      <c r="AG35" s="3">
        <f t="shared" si="0"/>
        <v>0</v>
      </c>
      <c r="AH35" s="3">
        <v>57.05</v>
      </c>
      <c r="AI35" s="81">
        <f>SUMIFS(Tablo2[Son Fiyat],Tablo2[Şirket],Tablo3[[#This Row],[Sütun1]])</f>
        <v>57.05</v>
      </c>
      <c r="AJ35" s="75">
        <f>+(Tablo3[[#This Row],[Fiyat]]-Tablo3[[#This Row],[Hafta Başı]])/Tablo3[[#This Row],[Hafta Başı]]</f>
        <v>0</v>
      </c>
    </row>
    <row r="36" spans="2:36" x14ac:dyDescent="0.3">
      <c r="B36" s="3" t="s">
        <v>162</v>
      </c>
      <c r="AG36" s="3">
        <f t="shared" si="0"/>
        <v>0</v>
      </c>
      <c r="AH36" s="3">
        <v>22.06</v>
      </c>
      <c r="AI36" s="81">
        <f>SUMIFS(Tablo2[Son Fiyat],Tablo2[Şirket],Tablo3[[#This Row],[Sütun1]])</f>
        <v>22.06</v>
      </c>
      <c r="AJ36" s="75">
        <f>+(Tablo3[[#This Row],[Fiyat]]-Tablo3[[#This Row],[Hafta Başı]])/Tablo3[[#This Row],[Hafta Başı]]</f>
        <v>0</v>
      </c>
    </row>
    <row r="37" spans="2:36" x14ac:dyDescent="0.3">
      <c r="B37" s="3" t="s">
        <v>164</v>
      </c>
      <c r="AG37" s="3">
        <f t="shared" si="0"/>
        <v>0</v>
      </c>
      <c r="AH37" s="3">
        <v>8.98</v>
      </c>
      <c r="AI37" s="81">
        <f>SUMIFS(Tablo2[Son Fiyat],Tablo2[Şirket],Tablo3[[#This Row],[Sütun1]])</f>
        <v>8.98</v>
      </c>
      <c r="AJ37" s="75">
        <f>+(Tablo3[[#This Row],[Fiyat]]-Tablo3[[#This Row],[Hafta Başı]])/Tablo3[[#This Row],[Hafta Başı]]</f>
        <v>0</v>
      </c>
    </row>
    <row r="38" spans="2:36" x14ac:dyDescent="0.3">
      <c r="B38" s="3" t="s">
        <v>166</v>
      </c>
      <c r="AG38" s="3">
        <f t="shared" si="0"/>
        <v>0</v>
      </c>
      <c r="AH38" s="3">
        <v>53.35</v>
      </c>
      <c r="AI38" s="81">
        <f>SUMIFS(Tablo2[Son Fiyat],Tablo2[Şirket],Tablo3[[#This Row],[Sütun1]])</f>
        <v>53.35</v>
      </c>
      <c r="AJ38" s="75">
        <f>+(Tablo3[[#This Row],[Fiyat]]-Tablo3[[#This Row],[Hafta Başı]])/Tablo3[[#This Row],[Hafta Başı]]</f>
        <v>0</v>
      </c>
    </row>
    <row r="39" spans="2:36" x14ac:dyDescent="0.3">
      <c r="B39" s="3" t="s">
        <v>167</v>
      </c>
      <c r="AG39" s="3">
        <f t="shared" ref="AG39:AG75" si="1">SUM(C39:AF39)</f>
        <v>0</v>
      </c>
      <c r="AH39" s="3">
        <v>1923</v>
      </c>
      <c r="AI39" s="81">
        <f>SUMIFS(Tablo2[Son Fiyat],Tablo2[Şirket],Tablo3[[#This Row],[Sütun1]])</f>
        <v>1923</v>
      </c>
      <c r="AJ39" s="75">
        <f>+(Tablo3[[#This Row],[Fiyat]]-Tablo3[[#This Row],[Hafta Başı]])/Tablo3[[#This Row],[Hafta Başı]]</f>
        <v>0</v>
      </c>
    </row>
    <row r="40" spans="2:36" x14ac:dyDescent="0.3">
      <c r="B40" s="3" t="s">
        <v>175</v>
      </c>
      <c r="E40" s="3">
        <v>1</v>
      </c>
      <c r="U40" s="3">
        <v>1</v>
      </c>
      <c r="AD40" s="3">
        <v>1</v>
      </c>
      <c r="AG40" s="3">
        <f>SUM(C40:AF40)</f>
        <v>3</v>
      </c>
      <c r="AH40" s="3">
        <v>337.75</v>
      </c>
      <c r="AI40" s="81">
        <f>SUMIFS(Tablo2[Son Fiyat],Tablo2[Şirket],Tablo3[[#This Row],[Sütun1]])</f>
        <v>337.75</v>
      </c>
      <c r="AJ40" s="75">
        <f>+(Tablo3[[#This Row],[Fiyat]]-Tablo3[[#This Row],[Hafta Başı]])/Tablo3[[#This Row],[Hafta Başı]]</f>
        <v>0</v>
      </c>
    </row>
    <row r="41" spans="2:36" x14ac:dyDescent="0.3">
      <c r="B41" s="3" t="s">
        <v>182</v>
      </c>
      <c r="AG41" s="3">
        <f t="shared" si="1"/>
        <v>0</v>
      </c>
      <c r="AH41" s="3">
        <v>47.42</v>
      </c>
      <c r="AI41" s="81">
        <f>SUMIFS(Tablo2[Son Fiyat],Tablo2[Şirket],Tablo3[[#This Row],[Sütun1]])</f>
        <v>47.42</v>
      </c>
      <c r="AJ41" s="75">
        <f>+(Tablo3[[#This Row],[Fiyat]]-Tablo3[[#This Row],[Hafta Başı]])/Tablo3[[#This Row],[Hafta Başı]]</f>
        <v>0</v>
      </c>
    </row>
    <row r="42" spans="2:36" x14ac:dyDescent="0.3">
      <c r="B42" s="3" t="s">
        <v>17</v>
      </c>
      <c r="AG42" s="3">
        <f t="shared" si="1"/>
        <v>0</v>
      </c>
      <c r="AH42" s="3">
        <v>71.400000000000006</v>
      </c>
      <c r="AI42" s="81">
        <f>SUMIFS(Tablo2[Son Fiyat],Tablo2[Şirket],Tablo3[[#This Row],[Sütun1]])</f>
        <v>71.400000000000006</v>
      </c>
      <c r="AJ42" s="75">
        <f>+(Tablo3[[#This Row],[Fiyat]]-Tablo3[[#This Row],[Hafta Başı]])/Tablo3[[#This Row],[Hafta Başı]]</f>
        <v>0</v>
      </c>
    </row>
    <row r="43" spans="2:36" x14ac:dyDescent="0.3">
      <c r="B43" s="3" t="s">
        <v>183</v>
      </c>
      <c r="AG43" s="3">
        <f t="shared" si="1"/>
        <v>0</v>
      </c>
      <c r="AH43" s="3">
        <v>55.4</v>
      </c>
      <c r="AI43" s="81">
        <f>SUMIFS(Tablo2[Son Fiyat],Tablo2[Şirket],Tablo3[[#This Row],[Sütun1]])</f>
        <v>55.4</v>
      </c>
      <c r="AJ43" s="75">
        <f>+(Tablo3[[#This Row],[Fiyat]]-Tablo3[[#This Row],[Hafta Başı]])/Tablo3[[#This Row],[Hafta Başı]]</f>
        <v>0</v>
      </c>
    </row>
    <row r="44" spans="2:36" x14ac:dyDescent="0.3">
      <c r="B44" s="3" t="s">
        <v>189</v>
      </c>
      <c r="AG44" s="3">
        <f t="shared" si="1"/>
        <v>0</v>
      </c>
      <c r="AH44" s="3">
        <v>9.5</v>
      </c>
      <c r="AI44" s="81">
        <f>SUMIFS(Tablo2[Son Fiyat],Tablo2[Şirket],Tablo3[[#This Row],[Sütun1]])</f>
        <v>9.5</v>
      </c>
      <c r="AJ44" s="75">
        <f>+(Tablo3[[#This Row],[Fiyat]]-Tablo3[[#This Row],[Hafta Başı]])/Tablo3[[#This Row],[Hafta Başı]]</f>
        <v>0</v>
      </c>
    </row>
    <row r="45" spans="2:36" x14ac:dyDescent="0.3">
      <c r="B45" s="3" t="s">
        <v>190</v>
      </c>
      <c r="J45" s="3">
        <v>1</v>
      </c>
      <c r="AG45" s="3">
        <f t="shared" si="1"/>
        <v>1</v>
      </c>
      <c r="AH45" s="3">
        <v>25.94</v>
      </c>
      <c r="AI45" s="81">
        <f>SUMIFS(Tablo2[Son Fiyat],Tablo2[Şirket],Tablo3[[#This Row],[Sütun1]])</f>
        <v>25.94</v>
      </c>
      <c r="AJ45" s="75">
        <f>+(Tablo3[[#This Row],[Fiyat]]-Tablo3[[#This Row],[Hafta Başı]])/Tablo3[[#This Row],[Hafta Başı]]</f>
        <v>0</v>
      </c>
    </row>
    <row r="46" spans="2:36" x14ac:dyDescent="0.3">
      <c r="B46" s="3" t="s">
        <v>191</v>
      </c>
      <c r="AG46" s="3">
        <f t="shared" si="1"/>
        <v>0</v>
      </c>
      <c r="AH46" s="3">
        <v>180.4</v>
      </c>
      <c r="AI46" s="81">
        <f>SUMIFS(Tablo2[Son Fiyat],Tablo2[Şirket],Tablo3[[#This Row],[Sütun1]])</f>
        <v>180.4</v>
      </c>
      <c r="AJ46" s="75">
        <f>+(Tablo3[[#This Row],[Fiyat]]-Tablo3[[#This Row],[Hafta Başı]])/Tablo3[[#This Row],[Hafta Başı]]</f>
        <v>0</v>
      </c>
    </row>
    <row r="47" spans="2:36" x14ac:dyDescent="0.3">
      <c r="B47" s="3" t="s">
        <v>194</v>
      </c>
      <c r="AG47" s="3">
        <f t="shared" si="1"/>
        <v>0</v>
      </c>
      <c r="AH47" s="3">
        <v>13.59</v>
      </c>
      <c r="AI47" s="81">
        <f>SUMIFS(Tablo2[Son Fiyat],Tablo2[Şirket],Tablo3[[#This Row],[Sütun1]])</f>
        <v>13.59</v>
      </c>
      <c r="AJ47" s="75">
        <f>+(Tablo3[[#This Row],[Fiyat]]-Tablo3[[#This Row],[Hafta Başı]])/Tablo3[[#This Row],[Hafta Başı]]</f>
        <v>0</v>
      </c>
    </row>
    <row r="48" spans="2:36" x14ac:dyDescent="0.3">
      <c r="B48" s="3" t="s">
        <v>589</v>
      </c>
      <c r="AG48" s="3">
        <f t="shared" si="1"/>
        <v>0</v>
      </c>
      <c r="AH48" s="3">
        <v>15</v>
      </c>
      <c r="AI48" s="81">
        <f>SUMIFS(Tablo2[Son Fiyat],Tablo2[Şirket],Tablo3[[#This Row],[Sütun1]])</f>
        <v>15</v>
      </c>
      <c r="AJ48" s="75">
        <f>+(Tablo3[[#This Row],[Fiyat]]-Tablo3[[#This Row],[Hafta Başı]])/Tablo3[[#This Row],[Hafta Başı]]</f>
        <v>0</v>
      </c>
    </row>
    <row r="49" spans="2:36" x14ac:dyDescent="0.3">
      <c r="B49" s="3" t="s">
        <v>196</v>
      </c>
      <c r="AG49" s="3">
        <f t="shared" si="1"/>
        <v>0</v>
      </c>
      <c r="AH49" s="3">
        <v>22.5</v>
      </c>
      <c r="AI49" s="81">
        <f>SUMIFS(Tablo2[Son Fiyat],Tablo2[Şirket],Tablo3[[#This Row],[Sütun1]])</f>
        <v>22.5</v>
      </c>
      <c r="AJ49" s="75">
        <f>+(Tablo3[[#This Row],[Fiyat]]-Tablo3[[#This Row],[Hafta Başı]])/Tablo3[[#This Row],[Hafta Başı]]</f>
        <v>0</v>
      </c>
    </row>
    <row r="50" spans="2:36" x14ac:dyDescent="0.3">
      <c r="B50" s="3" t="s">
        <v>198</v>
      </c>
      <c r="C50" s="3">
        <v>1</v>
      </c>
      <c r="AG50" s="3">
        <f>SUM(C50:AF50)</f>
        <v>1</v>
      </c>
      <c r="AH50" s="3">
        <v>60.1</v>
      </c>
      <c r="AI50" s="81">
        <f>SUMIFS(Tablo2[Son Fiyat],Tablo2[Şirket],Tablo3[[#This Row],[Sütun1]])</f>
        <v>60.1</v>
      </c>
      <c r="AJ50" s="75">
        <f>+(Tablo3[[#This Row],[Fiyat]]-Tablo3[[#This Row],[Hafta Başı]])/Tablo3[[#This Row],[Hafta Başı]]</f>
        <v>0</v>
      </c>
    </row>
    <row r="51" spans="2:36" x14ac:dyDescent="0.3">
      <c r="B51" s="3" t="s">
        <v>199</v>
      </c>
      <c r="AG51" s="3">
        <f t="shared" si="1"/>
        <v>0</v>
      </c>
      <c r="AH51" s="3">
        <v>44.8</v>
      </c>
      <c r="AI51" s="81">
        <f>SUMIFS(Tablo2[Son Fiyat],Tablo2[Şirket],Tablo3[[#This Row],[Sütun1]])</f>
        <v>44.8</v>
      </c>
      <c r="AJ51" s="75">
        <f>+(Tablo3[[#This Row],[Fiyat]]-Tablo3[[#This Row],[Hafta Başı]])/Tablo3[[#This Row],[Hafta Başı]]</f>
        <v>0</v>
      </c>
    </row>
    <row r="52" spans="2:36" x14ac:dyDescent="0.3">
      <c r="B52" s="3" t="s">
        <v>200</v>
      </c>
      <c r="AG52" s="3">
        <f t="shared" si="1"/>
        <v>0</v>
      </c>
      <c r="AH52" s="3">
        <v>188.8</v>
      </c>
      <c r="AI52" s="81">
        <f>SUMIFS(Tablo2[Son Fiyat],Tablo2[Şirket],Tablo3[[#This Row],[Sütun1]])</f>
        <v>188.8</v>
      </c>
      <c r="AJ52" s="75">
        <f>+(Tablo3[[#This Row],[Fiyat]]-Tablo3[[#This Row],[Hafta Başı]])/Tablo3[[#This Row],[Hafta Başı]]</f>
        <v>0</v>
      </c>
    </row>
    <row r="53" spans="2:36" x14ac:dyDescent="0.3">
      <c r="B53" s="3" t="s">
        <v>201</v>
      </c>
      <c r="AG53" s="3">
        <f t="shared" si="1"/>
        <v>0</v>
      </c>
      <c r="AH53" s="3">
        <v>9470</v>
      </c>
      <c r="AI53" s="81">
        <f>SUMIFS(Tablo2[Son Fiyat],Tablo2[Şirket],Tablo3[[#This Row],[Sütun1]])</f>
        <v>9470</v>
      </c>
      <c r="AJ53" s="75">
        <f>+(Tablo3[[#This Row],[Fiyat]]-Tablo3[[#This Row],[Hafta Başı]])/Tablo3[[#This Row],[Hafta Başı]]</f>
        <v>0</v>
      </c>
    </row>
    <row r="54" spans="2:36" x14ac:dyDescent="0.3">
      <c r="B54" s="3" t="s">
        <v>202</v>
      </c>
      <c r="AG54" s="3">
        <f t="shared" si="1"/>
        <v>0</v>
      </c>
      <c r="AH54" s="3">
        <v>24.4</v>
      </c>
      <c r="AI54" s="81">
        <f>SUMIFS(Tablo2[Son Fiyat],Tablo2[Şirket],Tablo3[[#This Row],[Sütun1]])</f>
        <v>24.4</v>
      </c>
      <c r="AJ54" s="75">
        <f>+(Tablo3[[#This Row],[Fiyat]]-Tablo3[[#This Row],[Hafta Başı]])/Tablo3[[#This Row],[Hafta Başı]]</f>
        <v>0</v>
      </c>
    </row>
    <row r="55" spans="2:36" x14ac:dyDescent="0.3">
      <c r="B55" s="3" t="s">
        <v>204</v>
      </c>
      <c r="AG55" s="3">
        <f t="shared" si="1"/>
        <v>0</v>
      </c>
      <c r="AH55" s="3">
        <v>24.8</v>
      </c>
      <c r="AI55" s="81">
        <f>SUMIFS(Tablo2[Son Fiyat],Tablo2[Şirket],Tablo3[[#This Row],[Sütun1]])</f>
        <v>24.8</v>
      </c>
      <c r="AJ55" s="75">
        <f>+(Tablo3[[#This Row],[Fiyat]]-Tablo3[[#This Row],[Hafta Başı]])/Tablo3[[#This Row],[Hafta Başı]]</f>
        <v>0</v>
      </c>
    </row>
    <row r="56" spans="2:36" x14ac:dyDescent="0.3">
      <c r="B56" s="3" t="s">
        <v>210</v>
      </c>
      <c r="AG56" s="3">
        <f t="shared" si="1"/>
        <v>0</v>
      </c>
      <c r="AH56" s="3">
        <v>35.56</v>
      </c>
      <c r="AI56" s="81">
        <f>SUMIFS(Tablo2[Son Fiyat],Tablo2[Şirket],Tablo3[[#This Row],[Sütun1]])</f>
        <v>35.56</v>
      </c>
      <c r="AJ56" s="75">
        <f>+(Tablo3[[#This Row],[Fiyat]]-Tablo3[[#This Row],[Hafta Başı]])/Tablo3[[#This Row],[Hafta Başı]]</f>
        <v>0</v>
      </c>
    </row>
    <row r="57" spans="2:36" x14ac:dyDescent="0.3">
      <c r="B57" s="3" t="s">
        <v>211</v>
      </c>
      <c r="AG57" s="3">
        <f t="shared" si="1"/>
        <v>0</v>
      </c>
      <c r="AH57" s="3">
        <v>16.739999999999998</v>
      </c>
      <c r="AI57" s="81">
        <f>SUMIFS(Tablo2[Son Fiyat],Tablo2[Şirket],Tablo3[[#This Row],[Sütun1]])</f>
        <v>16.739999999999998</v>
      </c>
      <c r="AJ57" s="75">
        <f>+(Tablo3[[#This Row],[Fiyat]]-Tablo3[[#This Row],[Hafta Başı]])/Tablo3[[#This Row],[Hafta Başı]]</f>
        <v>0</v>
      </c>
    </row>
    <row r="58" spans="2:36" x14ac:dyDescent="0.3">
      <c r="B58" s="3" t="s">
        <v>216</v>
      </c>
      <c r="AG58" s="3">
        <f t="shared" si="1"/>
        <v>0</v>
      </c>
      <c r="AH58" s="3">
        <v>7.74</v>
      </c>
      <c r="AI58" s="81">
        <f>SUMIFS(Tablo2[Son Fiyat],Tablo2[Şirket],Tablo3[[#This Row],[Sütun1]])</f>
        <v>7.74</v>
      </c>
      <c r="AJ58" s="75">
        <f>+(Tablo3[[#This Row],[Fiyat]]-Tablo3[[#This Row],[Hafta Başı]])/Tablo3[[#This Row],[Hafta Başı]]</f>
        <v>0</v>
      </c>
    </row>
    <row r="59" spans="2:36" x14ac:dyDescent="0.3">
      <c r="B59" s="3" t="s">
        <v>223</v>
      </c>
      <c r="AG59" s="3">
        <f t="shared" si="1"/>
        <v>0</v>
      </c>
      <c r="AH59" s="3">
        <v>50.75</v>
      </c>
      <c r="AI59" s="81">
        <f>SUMIFS(Tablo2[Son Fiyat],Tablo2[Şirket],Tablo3[[#This Row],[Sütun1]])</f>
        <v>50.75</v>
      </c>
      <c r="AJ59" s="75">
        <f>+(Tablo3[[#This Row],[Fiyat]]-Tablo3[[#This Row],[Hafta Başı]])/Tablo3[[#This Row],[Hafta Başı]]</f>
        <v>0</v>
      </c>
    </row>
    <row r="60" spans="2:36" x14ac:dyDescent="0.3">
      <c r="B60" s="3" t="s">
        <v>230</v>
      </c>
      <c r="K60" s="3">
        <v>1</v>
      </c>
      <c r="AG60" s="3">
        <f>SUM(C60:AF60)</f>
        <v>1</v>
      </c>
      <c r="AH60" s="3">
        <v>4.2699999999999996</v>
      </c>
      <c r="AI60" s="81">
        <f>SUMIFS(Tablo2[Son Fiyat],Tablo2[Şirket],Tablo3[[#This Row],[Sütun1]])</f>
        <v>4.2699999999999996</v>
      </c>
      <c r="AJ60" s="75">
        <f>+(Tablo3[[#This Row],[Fiyat]]-Tablo3[[#This Row],[Hafta Başı]])/Tablo3[[#This Row],[Hafta Başı]]</f>
        <v>0</v>
      </c>
    </row>
    <row r="61" spans="2:36" x14ac:dyDescent="0.3">
      <c r="B61" s="3" t="s">
        <v>232</v>
      </c>
      <c r="AG61" s="3">
        <f t="shared" si="1"/>
        <v>0</v>
      </c>
      <c r="AH61" s="3">
        <v>7.36</v>
      </c>
      <c r="AI61" s="81">
        <f>SUMIFS(Tablo2[Son Fiyat],Tablo2[Şirket],Tablo3[[#This Row],[Sütun1]])</f>
        <v>7.36</v>
      </c>
      <c r="AJ61" s="75">
        <f>+(Tablo3[[#This Row],[Fiyat]]-Tablo3[[#This Row],[Hafta Başı]])/Tablo3[[#This Row],[Hafta Başı]]</f>
        <v>0</v>
      </c>
    </row>
    <row r="62" spans="2:36" x14ac:dyDescent="0.3">
      <c r="B62" s="3" t="s">
        <v>234</v>
      </c>
      <c r="X62" s="3">
        <v>1</v>
      </c>
      <c r="AG62" s="3">
        <f>SUM(C62:AF62)</f>
        <v>1</v>
      </c>
      <c r="AH62" s="3">
        <v>52.5</v>
      </c>
      <c r="AI62" s="81">
        <f>SUMIFS(Tablo2[Son Fiyat],Tablo2[Şirket],Tablo3[[#This Row],[Sütun1]])</f>
        <v>52.5</v>
      </c>
      <c r="AJ62" s="75">
        <f>+(Tablo3[[#This Row],[Fiyat]]-Tablo3[[#This Row],[Hafta Başı]])/Tablo3[[#This Row],[Hafta Başı]]</f>
        <v>0</v>
      </c>
    </row>
    <row r="63" spans="2:36" x14ac:dyDescent="0.3">
      <c r="B63" s="3" t="s">
        <v>238</v>
      </c>
      <c r="Z63" s="3">
        <v>1</v>
      </c>
      <c r="AF63" s="3">
        <v>1</v>
      </c>
      <c r="AG63" s="3">
        <f>SUM(C63:AF63)</f>
        <v>2</v>
      </c>
      <c r="AH63" s="3">
        <v>5.65</v>
      </c>
      <c r="AI63" s="81">
        <f>SUMIFS(Tablo2[Son Fiyat],Tablo2[Şirket],Tablo3[[#This Row],[Sütun1]])</f>
        <v>5.65</v>
      </c>
      <c r="AJ63" s="75">
        <f>+(Tablo3[[#This Row],[Fiyat]]-Tablo3[[#This Row],[Hafta Başı]])/Tablo3[[#This Row],[Hafta Başı]]</f>
        <v>0</v>
      </c>
    </row>
    <row r="64" spans="2:36" x14ac:dyDescent="0.3">
      <c r="B64" s="3" t="s">
        <v>242</v>
      </c>
      <c r="AG64" s="3">
        <f t="shared" si="1"/>
        <v>0</v>
      </c>
      <c r="AH64" s="3">
        <v>127.3</v>
      </c>
      <c r="AI64" s="81">
        <f>SUMIFS(Tablo2[Son Fiyat],Tablo2[Şirket],Tablo3[[#This Row],[Sütun1]])</f>
        <v>127.3</v>
      </c>
      <c r="AJ64" s="75">
        <f>+(Tablo3[[#This Row],[Fiyat]]-Tablo3[[#This Row],[Hafta Başı]])/Tablo3[[#This Row],[Hafta Başı]]</f>
        <v>0</v>
      </c>
    </row>
    <row r="65" spans="2:36" x14ac:dyDescent="0.3">
      <c r="B65" s="3" t="s">
        <v>246</v>
      </c>
      <c r="AG65" s="3">
        <f t="shared" si="1"/>
        <v>0</v>
      </c>
      <c r="AH65" s="3">
        <v>117.7</v>
      </c>
      <c r="AI65" s="81">
        <f>SUMIFS(Tablo2[Son Fiyat],Tablo2[Şirket],Tablo3[[#This Row],[Sütun1]])</f>
        <v>117.7</v>
      </c>
      <c r="AJ65" s="75">
        <f>+(Tablo3[[#This Row],[Fiyat]]-Tablo3[[#This Row],[Hafta Başı]])/Tablo3[[#This Row],[Hafta Başı]]</f>
        <v>0</v>
      </c>
    </row>
    <row r="66" spans="2:36" x14ac:dyDescent="0.3">
      <c r="B66" s="3" t="s">
        <v>247</v>
      </c>
      <c r="AG66" s="3">
        <f t="shared" si="1"/>
        <v>0</v>
      </c>
      <c r="AH66" s="3">
        <v>11</v>
      </c>
      <c r="AI66" s="81">
        <f>SUMIFS(Tablo2[Son Fiyat],Tablo2[Şirket],Tablo3[[#This Row],[Sütun1]])</f>
        <v>11</v>
      </c>
      <c r="AJ66" s="75">
        <f>+(Tablo3[[#This Row],[Fiyat]]-Tablo3[[#This Row],[Hafta Başı]])/Tablo3[[#This Row],[Hafta Başı]]</f>
        <v>0</v>
      </c>
    </row>
    <row r="67" spans="2:36" x14ac:dyDescent="0.3">
      <c r="B67" s="3" t="s">
        <v>250</v>
      </c>
      <c r="AG67" s="3">
        <f t="shared" si="1"/>
        <v>0</v>
      </c>
      <c r="AH67" s="3">
        <v>42.38</v>
      </c>
      <c r="AI67" s="81">
        <f>SUMIFS(Tablo2[Son Fiyat],Tablo2[Şirket],Tablo3[[#This Row],[Sütun1]])</f>
        <v>42.38</v>
      </c>
      <c r="AJ67" s="75">
        <f>+(Tablo3[[#This Row],[Fiyat]]-Tablo3[[#This Row],[Hafta Başı]])/Tablo3[[#This Row],[Hafta Başı]]</f>
        <v>0</v>
      </c>
    </row>
    <row r="68" spans="2:36" x14ac:dyDescent="0.3">
      <c r="B68" s="3" t="s">
        <v>252</v>
      </c>
      <c r="AG68" s="3">
        <f t="shared" si="1"/>
        <v>0</v>
      </c>
      <c r="AH68" s="3">
        <v>50.1</v>
      </c>
      <c r="AI68" s="81">
        <f>SUMIFS(Tablo2[Son Fiyat],Tablo2[Şirket],Tablo3[[#This Row],[Sütun1]])</f>
        <v>50.1</v>
      </c>
      <c r="AJ68" s="75">
        <f>+(Tablo3[[#This Row],[Fiyat]]-Tablo3[[#This Row],[Hafta Başı]])/Tablo3[[#This Row],[Hafta Başı]]</f>
        <v>0</v>
      </c>
    </row>
    <row r="69" spans="2:36" x14ac:dyDescent="0.3">
      <c r="B69" s="3" t="s">
        <v>253</v>
      </c>
      <c r="AG69" s="3">
        <f t="shared" si="1"/>
        <v>0</v>
      </c>
      <c r="AH69" s="3">
        <v>3.24</v>
      </c>
      <c r="AI69" s="81">
        <f>SUMIFS(Tablo2[Son Fiyat],Tablo2[Şirket],Tablo3[[#This Row],[Sütun1]])</f>
        <v>3.24</v>
      </c>
      <c r="AJ69" s="75">
        <f>+(Tablo3[[#This Row],[Fiyat]]-Tablo3[[#This Row],[Hafta Başı]])/Tablo3[[#This Row],[Hafta Başı]]</f>
        <v>0</v>
      </c>
    </row>
    <row r="70" spans="2:36" x14ac:dyDescent="0.3">
      <c r="B70" s="3" t="s">
        <v>254</v>
      </c>
      <c r="AG70" s="3">
        <f t="shared" si="1"/>
        <v>0</v>
      </c>
      <c r="AH70" s="3">
        <v>17.600000000000001</v>
      </c>
      <c r="AI70" s="81">
        <f>SUMIFS(Tablo2[Son Fiyat],Tablo2[Şirket],Tablo3[[#This Row],[Sütun1]])</f>
        <v>17.600000000000001</v>
      </c>
      <c r="AJ70" s="75">
        <f>+(Tablo3[[#This Row],[Fiyat]]-Tablo3[[#This Row],[Hafta Başı]])/Tablo3[[#This Row],[Hafta Başı]]</f>
        <v>0</v>
      </c>
    </row>
    <row r="71" spans="2:36" x14ac:dyDescent="0.3">
      <c r="B71" s="3" t="s">
        <v>260</v>
      </c>
      <c r="AG71" s="3">
        <f t="shared" si="1"/>
        <v>0</v>
      </c>
      <c r="AH71" s="3">
        <v>193.5</v>
      </c>
      <c r="AI71" s="81">
        <f>SUMIFS(Tablo2[Son Fiyat],Tablo2[Şirket],Tablo3[[#This Row],[Sütun1]])</f>
        <v>193.5</v>
      </c>
      <c r="AJ71" s="75">
        <f>+(Tablo3[[#This Row],[Fiyat]]-Tablo3[[#This Row],[Hafta Başı]])/Tablo3[[#This Row],[Hafta Başı]]</f>
        <v>0</v>
      </c>
    </row>
    <row r="72" spans="2:36" x14ac:dyDescent="0.3">
      <c r="B72" s="3" t="s">
        <v>594</v>
      </c>
      <c r="AG72" s="3">
        <f t="shared" si="1"/>
        <v>0</v>
      </c>
      <c r="AH72" s="3">
        <v>158.6</v>
      </c>
      <c r="AI72" s="81">
        <f>SUMIFS(Tablo2[Son Fiyat],Tablo2[Şirket],Tablo3[[#This Row],[Sütun1]])</f>
        <v>158.6</v>
      </c>
      <c r="AJ72" s="75">
        <f>+(Tablo3[[#This Row],[Fiyat]]-Tablo3[[#This Row],[Hafta Başı]])/Tablo3[[#This Row],[Hafta Başı]]</f>
        <v>0</v>
      </c>
    </row>
    <row r="73" spans="2:36" x14ac:dyDescent="0.3">
      <c r="B73" s="3" t="s">
        <v>267</v>
      </c>
      <c r="AG73" s="3">
        <f t="shared" si="1"/>
        <v>0</v>
      </c>
      <c r="AH73" s="3">
        <v>71.3</v>
      </c>
      <c r="AI73" s="81">
        <f>SUMIFS(Tablo2[Son Fiyat],Tablo2[Şirket],Tablo3[[#This Row],[Sütun1]])</f>
        <v>71.3</v>
      </c>
      <c r="AJ73" s="75">
        <f>+(Tablo3[[#This Row],[Fiyat]]-Tablo3[[#This Row],[Hafta Başı]])/Tablo3[[#This Row],[Hafta Başı]]</f>
        <v>0</v>
      </c>
    </row>
    <row r="74" spans="2:36" x14ac:dyDescent="0.3">
      <c r="B74" s="3" t="s">
        <v>268</v>
      </c>
      <c r="V74" s="3">
        <v>1</v>
      </c>
      <c r="AG74" s="3">
        <f t="shared" si="1"/>
        <v>1</v>
      </c>
      <c r="AH74" s="3">
        <v>20.38</v>
      </c>
      <c r="AI74" s="81">
        <f>SUMIFS(Tablo2[Son Fiyat],Tablo2[Şirket],Tablo3[[#This Row],[Sütun1]])</f>
        <v>20.38</v>
      </c>
      <c r="AJ74" s="75">
        <f>+(Tablo3[[#This Row],[Fiyat]]-Tablo3[[#This Row],[Hafta Başı]])/Tablo3[[#This Row],[Hafta Başı]]</f>
        <v>0</v>
      </c>
    </row>
    <row r="75" spans="2:36" x14ac:dyDescent="0.3">
      <c r="B75" s="3" t="s">
        <v>270</v>
      </c>
      <c r="AG75" s="3">
        <f t="shared" si="1"/>
        <v>0</v>
      </c>
      <c r="AH75" s="3">
        <v>43.44</v>
      </c>
      <c r="AI75" s="81">
        <f>SUMIFS(Tablo2[Son Fiyat],Tablo2[Şirket],Tablo3[[#This Row],[Sütun1]])</f>
        <v>43.44</v>
      </c>
      <c r="AJ75" s="75">
        <f>+(Tablo3[[#This Row],[Fiyat]]-Tablo3[[#This Row],[Hafta Başı]])/Tablo3[[#This Row],[Hafta Başı]]</f>
        <v>0</v>
      </c>
    </row>
    <row r="76" spans="2:36" x14ac:dyDescent="0.3">
      <c r="B76" s="3" t="s">
        <v>271</v>
      </c>
      <c r="AG76" s="3">
        <f t="shared" ref="AG76:AG117" si="2">SUM(C76:AF76)</f>
        <v>0</v>
      </c>
      <c r="AH76" s="3">
        <v>1.54</v>
      </c>
      <c r="AI76" s="81">
        <f>SUMIFS(Tablo2[Son Fiyat],Tablo2[Şirket],Tablo3[[#This Row],[Sütun1]])</f>
        <v>1.54</v>
      </c>
      <c r="AJ76" s="75">
        <f>+(Tablo3[[#This Row],[Fiyat]]-Tablo3[[#This Row],[Hafta Başı]])/Tablo3[[#This Row],[Hafta Başı]]</f>
        <v>0</v>
      </c>
    </row>
    <row r="77" spans="2:36" x14ac:dyDescent="0.3">
      <c r="B77" s="3" t="s">
        <v>273</v>
      </c>
      <c r="AG77" s="3">
        <f t="shared" si="2"/>
        <v>0</v>
      </c>
      <c r="AH77" s="3">
        <v>3.61</v>
      </c>
      <c r="AI77" s="81">
        <f>SUMIFS(Tablo2[Son Fiyat],Tablo2[Şirket],Tablo3[[#This Row],[Sütun1]])</f>
        <v>3.61</v>
      </c>
      <c r="AJ77" s="75">
        <f>+(Tablo3[[#This Row],[Fiyat]]-Tablo3[[#This Row],[Hafta Başı]])/Tablo3[[#This Row],[Hafta Başı]]</f>
        <v>0</v>
      </c>
    </row>
    <row r="78" spans="2:36" x14ac:dyDescent="0.3">
      <c r="B78" s="3" t="s">
        <v>274</v>
      </c>
      <c r="AG78" s="3">
        <f t="shared" si="2"/>
        <v>0</v>
      </c>
      <c r="AH78" s="3">
        <v>17.46</v>
      </c>
      <c r="AI78" s="81">
        <f>SUMIFS(Tablo2[Son Fiyat],Tablo2[Şirket],Tablo3[[#This Row],[Sütun1]])</f>
        <v>17.46</v>
      </c>
      <c r="AJ78" s="75">
        <f>+(Tablo3[[#This Row],[Fiyat]]-Tablo3[[#This Row],[Hafta Başı]])/Tablo3[[#This Row],[Hafta Başı]]</f>
        <v>0</v>
      </c>
    </row>
    <row r="79" spans="2:36" x14ac:dyDescent="0.3">
      <c r="B79" s="3" t="s">
        <v>279</v>
      </c>
      <c r="AG79" s="3">
        <f t="shared" si="2"/>
        <v>0</v>
      </c>
      <c r="AH79" s="3">
        <v>4.6399999999999997</v>
      </c>
      <c r="AI79" s="81">
        <f>SUMIFS(Tablo2[Son Fiyat],Tablo2[Şirket],Tablo3[[#This Row],[Sütun1]])</f>
        <v>4.6399999999999997</v>
      </c>
      <c r="AJ79" s="75">
        <f>+(Tablo3[[#This Row],[Fiyat]]-Tablo3[[#This Row],[Hafta Başı]])/Tablo3[[#This Row],[Hafta Başı]]</f>
        <v>0</v>
      </c>
    </row>
    <row r="80" spans="2:36" x14ac:dyDescent="0.3">
      <c r="B80" s="3" t="s">
        <v>284</v>
      </c>
      <c r="AG80" s="3">
        <f t="shared" si="2"/>
        <v>0</v>
      </c>
      <c r="AH80" s="3">
        <v>19.100000000000001</v>
      </c>
      <c r="AI80" s="81">
        <f>SUMIFS(Tablo2[Son Fiyat],Tablo2[Şirket],Tablo3[[#This Row],[Sütun1]])</f>
        <v>19.100000000000001</v>
      </c>
      <c r="AJ80" s="75">
        <f>+(Tablo3[[#This Row],[Fiyat]]-Tablo3[[#This Row],[Hafta Başı]])/Tablo3[[#This Row],[Hafta Başı]]</f>
        <v>0</v>
      </c>
    </row>
    <row r="81" spans="2:36" x14ac:dyDescent="0.3">
      <c r="B81" s="3" t="s">
        <v>287</v>
      </c>
      <c r="AG81" s="3">
        <f t="shared" si="2"/>
        <v>0</v>
      </c>
      <c r="AH81" s="3">
        <v>2.91</v>
      </c>
      <c r="AI81" s="81">
        <f>SUMIFS(Tablo2[Son Fiyat],Tablo2[Şirket],Tablo3[[#This Row],[Sütun1]])</f>
        <v>2.91</v>
      </c>
      <c r="AJ81" s="75">
        <f>+(Tablo3[[#This Row],[Fiyat]]-Tablo3[[#This Row],[Hafta Başı]])/Tablo3[[#This Row],[Hafta Başı]]</f>
        <v>0</v>
      </c>
    </row>
    <row r="82" spans="2:36" x14ac:dyDescent="0.3">
      <c r="B82" s="3" t="s">
        <v>53</v>
      </c>
      <c r="AG82" s="3">
        <f t="shared" si="2"/>
        <v>0</v>
      </c>
      <c r="AH82" s="3">
        <v>7.68</v>
      </c>
      <c r="AI82" s="81">
        <f>SUMIFS(Tablo2[Son Fiyat],Tablo2[Şirket],Tablo3[[#This Row],[Sütun1]])</f>
        <v>7.68</v>
      </c>
      <c r="AJ82" s="75">
        <f>+(Tablo3[[#This Row],[Fiyat]]-Tablo3[[#This Row],[Hafta Başı]])/Tablo3[[#This Row],[Hafta Başı]]</f>
        <v>0</v>
      </c>
    </row>
    <row r="83" spans="2:36" x14ac:dyDescent="0.3">
      <c r="B83" s="3" t="s">
        <v>291</v>
      </c>
      <c r="AG83" s="3">
        <f t="shared" si="2"/>
        <v>0</v>
      </c>
      <c r="AH83" s="3">
        <v>2.48</v>
      </c>
      <c r="AI83" s="81">
        <f>SUMIFS(Tablo2[Son Fiyat],Tablo2[Şirket],Tablo3[[#This Row],[Sütun1]])</f>
        <v>2.48</v>
      </c>
      <c r="AJ83" s="75">
        <f>+(Tablo3[[#This Row],[Fiyat]]-Tablo3[[#This Row],[Hafta Başı]])/Tablo3[[#This Row],[Hafta Başı]]</f>
        <v>0</v>
      </c>
    </row>
    <row r="84" spans="2:36" x14ac:dyDescent="0.3">
      <c r="B84" s="3" t="s">
        <v>292</v>
      </c>
      <c r="AG84" s="3">
        <f t="shared" si="2"/>
        <v>0</v>
      </c>
      <c r="AH84" s="3">
        <v>417.25</v>
      </c>
      <c r="AI84" s="81">
        <f>SUMIFS(Tablo2[Son Fiyat],Tablo2[Şirket],Tablo3[[#This Row],[Sütun1]])</f>
        <v>417.25</v>
      </c>
      <c r="AJ84" s="75">
        <f>+(Tablo3[[#This Row],[Fiyat]]-Tablo3[[#This Row],[Hafta Başı]])/Tablo3[[#This Row],[Hafta Başı]]</f>
        <v>0</v>
      </c>
    </row>
    <row r="85" spans="2:36" x14ac:dyDescent="0.3">
      <c r="B85" s="3" t="s">
        <v>294</v>
      </c>
      <c r="AG85" s="3">
        <f t="shared" si="2"/>
        <v>0</v>
      </c>
      <c r="AH85" s="3">
        <v>7.18</v>
      </c>
      <c r="AI85" s="81">
        <f>SUMIFS(Tablo2[Son Fiyat],Tablo2[Şirket],Tablo3[[#This Row],[Sütun1]])</f>
        <v>7.18</v>
      </c>
      <c r="AJ85" s="75">
        <f>+(Tablo3[[#This Row],[Fiyat]]-Tablo3[[#This Row],[Hafta Başı]])/Tablo3[[#This Row],[Hafta Başı]]</f>
        <v>0</v>
      </c>
    </row>
    <row r="86" spans="2:36" x14ac:dyDescent="0.3">
      <c r="B86" s="3" t="s">
        <v>295</v>
      </c>
      <c r="M86" s="3">
        <v>1</v>
      </c>
      <c r="AF86" s="3">
        <v>1</v>
      </c>
      <c r="AG86" s="3">
        <f t="shared" si="2"/>
        <v>2</v>
      </c>
      <c r="AH86" s="3">
        <v>211</v>
      </c>
      <c r="AI86" s="81">
        <f>SUMIFS(Tablo2[Son Fiyat],Tablo2[Şirket],Tablo3[[#This Row],[Sütun1]])</f>
        <v>211</v>
      </c>
      <c r="AJ86" s="75">
        <f>+(Tablo3[[#This Row],[Fiyat]]-Tablo3[[#This Row],[Hafta Başı]])/Tablo3[[#This Row],[Hafta Başı]]</f>
        <v>0</v>
      </c>
    </row>
    <row r="87" spans="2:36" x14ac:dyDescent="0.3">
      <c r="B87" s="3" t="s">
        <v>296</v>
      </c>
      <c r="AG87" s="3">
        <f t="shared" si="2"/>
        <v>0</v>
      </c>
      <c r="AH87" s="3">
        <v>55.55</v>
      </c>
      <c r="AI87" s="81">
        <f>SUMIFS(Tablo2[Son Fiyat],Tablo2[Şirket],Tablo3[[#This Row],[Sütun1]])</f>
        <v>55.55</v>
      </c>
      <c r="AJ87" s="75">
        <f>+(Tablo3[[#This Row],[Fiyat]]-Tablo3[[#This Row],[Hafta Başı]])/Tablo3[[#This Row],[Hafta Başı]]</f>
        <v>0</v>
      </c>
    </row>
    <row r="88" spans="2:36" x14ac:dyDescent="0.3">
      <c r="B88" s="3" t="s">
        <v>305</v>
      </c>
      <c r="AG88" s="3">
        <f t="shared" si="2"/>
        <v>0</v>
      </c>
      <c r="AH88" s="3">
        <v>20.100000000000001</v>
      </c>
      <c r="AI88" s="81">
        <f>SUMIFS(Tablo2[Son Fiyat],Tablo2[Şirket],Tablo3[[#This Row],[Sütun1]])</f>
        <v>20.100000000000001</v>
      </c>
      <c r="AJ88" s="75">
        <f>+(Tablo3[[#This Row],[Fiyat]]-Tablo3[[#This Row],[Hafta Başı]])/Tablo3[[#This Row],[Hafta Başı]]</f>
        <v>0</v>
      </c>
    </row>
    <row r="89" spans="2:36" x14ac:dyDescent="0.3">
      <c r="B89" s="3" t="s">
        <v>310</v>
      </c>
      <c r="J89" s="3">
        <v>1</v>
      </c>
      <c r="AG89" s="3">
        <f>SUM(C89:AF89)</f>
        <v>1</v>
      </c>
      <c r="AH89" s="3">
        <v>4.4400000000000004</v>
      </c>
      <c r="AI89" s="81">
        <f>SUMIFS(Tablo2[Son Fiyat],Tablo2[Şirket],Tablo3[[#This Row],[Sütun1]])</f>
        <v>4.4400000000000004</v>
      </c>
      <c r="AJ89" s="75">
        <f>+(Tablo3[[#This Row],[Fiyat]]-Tablo3[[#This Row],[Hafta Başı]])/Tablo3[[#This Row],[Hafta Başı]]</f>
        <v>0</v>
      </c>
    </row>
    <row r="90" spans="2:36" x14ac:dyDescent="0.3">
      <c r="B90" s="3" t="s">
        <v>317</v>
      </c>
      <c r="AG90" s="3">
        <f t="shared" si="2"/>
        <v>0</v>
      </c>
      <c r="AH90" s="3">
        <v>12.04</v>
      </c>
      <c r="AI90" s="81">
        <f>SUMIFS(Tablo2[Son Fiyat],Tablo2[Şirket],Tablo3[[#This Row],[Sütun1]])</f>
        <v>12.04</v>
      </c>
      <c r="AJ90" s="75">
        <f>+(Tablo3[[#This Row],[Fiyat]]-Tablo3[[#This Row],[Hafta Başı]])/Tablo3[[#This Row],[Hafta Başı]]</f>
        <v>0</v>
      </c>
    </row>
    <row r="91" spans="2:36" x14ac:dyDescent="0.3">
      <c r="B91" s="3" t="s">
        <v>327</v>
      </c>
      <c r="AG91" s="3">
        <f t="shared" si="2"/>
        <v>0</v>
      </c>
      <c r="AH91" s="3">
        <v>42.88</v>
      </c>
      <c r="AI91" s="81">
        <f>SUMIFS(Tablo2[Son Fiyat],Tablo2[Şirket],Tablo3[[#This Row],[Sütun1]])</f>
        <v>42.88</v>
      </c>
      <c r="AJ91" s="75">
        <f>+(Tablo3[[#This Row],[Fiyat]]-Tablo3[[#This Row],[Hafta Başı]])/Tablo3[[#This Row],[Hafta Başı]]</f>
        <v>0</v>
      </c>
    </row>
    <row r="92" spans="2:36" x14ac:dyDescent="0.3">
      <c r="B92" s="3" t="s">
        <v>333</v>
      </c>
      <c r="Z92" s="3">
        <v>1</v>
      </c>
      <c r="AG92" s="3">
        <f>SUM(C92:AF92)</f>
        <v>1</v>
      </c>
      <c r="AH92" s="3">
        <v>29.04</v>
      </c>
      <c r="AI92" s="81">
        <f>SUMIFS(Tablo2[Son Fiyat],Tablo2[Şirket],Tablo3[[#This Row],[Sütun1]])</f>
        <v>29.04</v>
      </c>
      <c r="AJ92" s="75">
        <f>+(Tablo3[[#This Row],[Fiyat]]-Tablo3[[#This Row],[Hafta Başı]])/Tablo3[[#This Row],[Hafta Başı]]</f>
        <v>0</v>
      </c>
    </row>
    <row r="93" spans="2:36" x14ac:dyDescent="0.3">
      <c r="B93" s="3" t="s">
        <v>334</v>
      </c>
      <c r="AG93" s="3">
        <f t="shared" si="2"/>
        <v>0</v>
      </c>
      <c r="AH93" s="3">
        <v>34.020000000000003</v>
      </c>
      <c r="AI93" s="81">
        <f>SUMIFS(Tablo2[Son Fiyat],Tablo2[Şirket],Tablo3[[#This Row],[Sütun1]])</f>
        <v>34.020000000000003</v>
      </c>
      <c r="AJ93" s="75">
        <f>+(Tablo3[[#This Row],[Fiyat]]-Tablo3[[#This Row],[Hafta Başı]])/Tablo3[[#This Row],[Hafta Başı]]</f>
        <v>0</v>
      </c>
    </row>
    <row r="94" spans="2:36" x14ac:dyDescent="0.3">
      <c r="B94" s="3" t="s">
        <v>339</v>
      </c>
      <c r="C94" s="3">
        <v>1</v>
      </c>
      <c r="P94" s="3">
        <v>1</v>
      </c>
      <c r="AG94" s="3">
        <f>SUM(C94:AF94)</f>
        <v>2</v>
      </c>
      <c r="AH94" s="3">
        <v>40.22</v>
      </c>
      <c r="AI94" s="81">
        <f>SUMIFS(Tablo2[Son Fiyat],Tablo2[Şirket],Tablo3[[#This Row],[Sütun1]])</f>
        <v>40.22</v>
      </c>
      <c r="AJ94" s="75">
        <f>+(Tablo3[[#This Row],[Fiyat]]-Tablo3[[#This Row],[Hafta Başı]])/Tablo3[[#This Row],[Hafta Başı]]</f>
        <v>0</v>
      </c>
    </row>
    <row r="95" spans="2:36" x14ac:dyDescent="0.3">
      <c r="B95" s="3" t="s">
        <v>28</v>
      </c>
      <c r="AG95" s="3">
        <f t="shared" si="2"/>
        <v>0</v>
      </c>
      <c r="AH95" s="3">
        <v>35.86</v>
      </c>
      <c r="AI95" s="81">
        <f>SUMIFS(Tablo2[Son Fiyat],Tablo2[Şirket],Tablo3[[#This Row],[Sütun1]])</f>
        <v>35.86</v>
      </c>
      <c r="AJ95" s="75">
        <f>+(Tablo3[[#This Row],[Fiyat]]-Tablo3[[#This Row],[Hafta Başı]])/Tablo3[[#This Row],[Hafta Başı]]</f>
        <v>0</v>
      </c>
    </row>
    <row r="96" spans="2:36" x14ac:dyDescent="0.3">
      <c r="B96" s="3" t="s">
        <v>347</v>
      </c>
      <c r="O96" s="3">
        <v>1</v>
      </c>
      <c r="AA96" s="3">
        <v>1</v>
      </c>
      <c r="AG96" s="3">
        <f>SUM(C96:AF96)</f>
        <v>2</v>
      </c>
      <c r="AH96" s="3">
        <v>24.5</v>
      </c>
      <c r="AI96" s="81">
        <f>SUMIFS(Tablo2[Son Fiyat],Tablo2[Şirket],Tablo3[[#This Row],[Sütun1]])</f>
        <v>24.5</v>
      </c>
      <c r="AJ96" s="75">
        <f>+(Tablo3[[#This Row],[Fiyat]]-Tablo3[[#This Row],[Hafta Başı]])/Tablo3[[#This Row],[Hafta Başı]]</f>
        <v>0</v>
      </c>
    </row>
    <row r="97" spans="2:36" x14ac:dyDescent="0.3">
      <c r="B97" s="3" t="s">
        <v>349</v>
      </c>
      <c r="AG97" s="3">
        <f t="shared" si="2"/>
        <v>0</v>
      </c>
      <c r="AH97" s="3">
        <v>9.5</v>
      </c>
      <c r="AI97" s="81">
        <f>SUMIFS(Tablo2[Son Fiyat],Tablo2[Şirket],Tablo3[[#This Row],[Sütun1]])</f>
        <v>9.5</v>
      </c>
      <c r="AJ97" s="75">
        <f>+(Tablo3[[#This Row],[Fiyat]]-Tablo3[[#This Row],[Hafta Başı]])/Tablo3[[#This Row],[Hafta Başı]]</f>
        <v>0</v>
      </c>
    </row>
    <row r="98" spans="2:36" x14ac:dyDescent="0.3">
      <c r="B98" s="3" t="s">
        <v>352</v>
      </c>
      <c r="AG98" s="3">
        <f t="shared" si="2"/>
        <v>0</v>
      </c>
      <c r="AH98" s="3">
        <v>5.8</v>
      </c>
      <c r="AI98" s="81">
        <f>SUMIFS(Tablo2[Son Fiyat],Tablo2[Şirket],Tablo3[[#This Row],[Sütun1]])</f>
        <v>5.8</v>
      </c>
      <c r="AJ98" s="75">
        <f>+(Tablo3[[#This Row],[Fiyat]]-Tablo3[[#This Row],[Hafta Başı]])/Tablo3[[#This Row],[Hafta Başı]]</f>
        <v>0</v>
      </c>
    </row>
    <row r="99" spans="2:36" x14ac:dyDescent="0.3">
      <c r="B99" s="3" t="s">
        <v>353</v>
      </c>
      <c r="AG99" s="3">
        <f t="shared" si="2"/>
        <v>0</v>
      </c>
      <c r="AH99" s="3">
        <v>32</v>
      </c>
      <c r="AI99" s="81">
        <f>SUMIFS(Tablo2[Son Fiyat],Tablo2[Şirket],Tablo3[[#This Row],[Sütun1]])</f>
        <v>32</v>
      </c>
      <c r="AJ99" s="75">
        <f>+(Tablo3[[#This Row],[Fiyat]]-Tablo3[[#This Row],[Hafta Başı]])/Tablo3[[#This Row],[Hafta Başı]]</f>
        <v>0</v>
      </c>
    </row>
    <row r="100" spans="2:36" x14ac:dyDescent="0.3">
      <c r="B100" s="3" t="s">
        <v>363</v>
      </c>
      <c r="N100" s="3">
        <v>1</v>
      </c>
      <c r="AG100" s="3">
        <f>SUM(C100:AF100)</f>
        <v>1</v>
      </c>
      <c r="AH100" s="3">
        <v>154</v>
      </c>
      <c r="AI100" s="81">
        <f>SUMIFS(Tablo2[Son Fiyat],Tablo2[Şirket],Tablo3[[#This Row],[Sütun1]])</f>
        <v>154</v>
      </c>
      <c r="AJ100" s="75">
        <f>+(Tablo3[[#This Row],[Fiyat]]-Tablo3[[#This Row],[Hafta Başı]])/Tablo3[[#This Row],[Hafta Başı]]</f>
        <v>0</v>
      </c>
    </row>
    <row r="101" spans="2:36" x14ac:dyDescent="0.3">
      <c r="B101" s="3" t="s">
        <v>365</v>
      </c>
      <c r="AG101" s="3">
        <f t="shared" si="2"/>
        <v>0</v>
      </c>
      <c r="AH101" s="3">
        <v>26.14</v>
      </c>
      <c r="AI101" s="81">
        <f>SUMIFS(Tablo2[Son Fiyat],Tablo2[Şirket],Tablo3[[#This Row],[Sütun1]])</f>
        <v>26.14</v>
      </c>
      <c r="AJ101" s="75">
        <f>+(Tablo3[[#This Row],[Fiyat]]-Tablo3[[#This Row],[Hafta Başı]])/Tablo3[[#This Row],[Hafta Başı]]</f>
        <v>0</v>
      </c>
    </row>
    <row r="102" spans="2:36" x14ac:dyDescent="0.3">
      <c r="B102" s="3" t="s">
        <v>366</v>
      </c>
      <c r="AG102" s="3">
        <f t="shared" si="2"/>
        <v>0</v>
      </c>
      <c r="AH102" s="3">
        <v>481.5</v>
      </c>
      <c r="AI102" s="81">
        <f>SUMIFS(Tablo2[Son Fiyat],Tablo2[Şirket],Tablo3[[#This Row],[Sütun1]])</f>
        <v>481.5</v>
      </c>
      <c r="AJ102" s="75">
        <f>+(Tablo3[[#This Row],[Fiyat]]-Tablo3[[#This Row],[Hafta Başı]])/Tablo3[[#This Row],[Hafta Başı]]</f>
        <v>0</v>
      </c>
    </row>
    <row r="103" spans="2:36" x14ac:dyDescent="0.3">
      <c r="B103" s="3" t="s">
        <v>367</v>
      </c>
      <c r="U103" s="3">
        <v>1</v>
      </c>
      <c r="AG103" s="3">
        <f>SUM(C103:AF103)</f>
        <v>1</v>
      </c>
      <c r="AH103" s="3">
        <v>21.5</v>
      </c>
      <c r="AI103" s="81">
        <f>SUMIFS(Tablo2[Son Fiyat],Tablo2[Şirket],Tablo3[[#This Row],[Sütun1]])</f>
        <v>21.5</v>
      </c>
      <c r="AJ103" s="75">
        <f>+(Tablo3[[#This Row],[Fiyat]]-Tablo3[[#This Row],[Hafta Başı]])/Tablo3[[#This Row],[Hafta Başı]]</f>
        <v>0</v>
      </c>
    </row>
    <row r="104" spans="2:36" x14ac:dyDescent="0.3">
      <c r="B104" s="3" t="s">
        <v>368</v>
      </c>
      <c r="AG104" s="3">
        <f t="shared" si="2"/>
        <v>0</v>
      </c>
      <c r="AH104" s="3">
        <v>31.88</v>
      </c>
      <c r="AI104" s="81">
        <f>SUMIFS(Tablo2[Son Fiyat],Tablo2[Şirket],Tablo3[[#This Row],[Sütun1]])</f>
        <v>31.88</v>
      </c>
      <c r="AJ104" s="75">
        <f>+(Tablo3[[#This Row],[Fiyat]]-Tablo3[[#This Row],[Hafta Başı]])/Tablo3[[#This Row],[Hafta Başı]]</f>
        <v>0</v>
      </c>
    </row>
    <row r="105" spans="2:36" x14ac:dyDescent="0.3">
      <c r="B105" s="3" t="s">
        <v>371</v>
      </c>
      <c r="AG105" s="3">
        <f t="shared" si="2"/>
        <v>0</v>
      </c>
      <c r="AH105" s="3">
        <v>84.65</v>
      </c>
      <c r="AI105" s="81">
        <f>SUMIFS(Tablo2[Son Fiyat],Tablo2[Şirket],Tablo3[[#This Row],[Sütun1]])</f>
        <v>84.65</v>
      </c>
      <c r="AJ105" s="75">
        <f>+(Tablo3[[#This Row],[Fiyat]]-Tablo3[[#This Row],[Hafta Başı]])/Tablo3[[#This Row],[Hafta Başı]]</f>
        <v>0</v>
      </c>
    </row>
    <row r="106" spans="2:36" x14ac:dyDescent="0.3">
      <c r="B106" s="3" t="s">
        <v>585</v>
      </c>
      <c r="AG106" s="3">
        <f t="shared" si="2"/>
        <v>0</v>
      </c>
      <c r="AH106" s="3">
        <v>106.6</v>
      </c>
      <c r="AI106" s="81">
        <f>SUMIFS(Tablo2[Son Fiyat],Tablo2[Şirket],Tablo3[[#This Row],[Sütun1]])</f>
        <v>106.6</v>
      </c>
      <c r="AJ106" s="75">
        <f>+(Tablo3[[#This Row],[Fiyat]]-Tablo3[[#This Row],[Hafta Başı]])/Tablo3[[#This Row],[Hafta Başı]]</f>
        <v>0</v>
      </c>
    </row>
    <row r="107" spans="2:36" x14ac:dyDescent="0.3">
      <c r="B107" s="3" t="s">
        <v>374</v>
      </c>
      <c r="AG107" s="3">
        <f t="shared" si="2"/>
        <v>0</v>
      </c>
      <c r="AH107" s="3">
        <v>23</v>
      </c>
      <c r="AI107" s="81">
        <f>SUMIFS(Tablo2[Son Fiyat],Tablo2[Şirket],Tablo3[[#This Row],[Sütun1]])</f>
        <v>23</v>
      </c>
      <c r="AJ107" s="75">
        <f>+(Tablo3[[#This Row],[Fiyat]]-Tablo3[[#This Row],[Hafta Başı]])/Tablo3[[#This Row],[Hafta Başı]]</f>
        <v>0</v>
      </c>
    </row>
    <row r="108" spans="2:36" x14ac:dyDescent="0.3">
      <c r="B108" s="3" t="s">
        <v>378</v>
      </c>
      <c r="AG108" s="3">
        <f t="shared" si="2"/>
        <v>0</v>
      </c>
      <c r="AH108" s="3">
        <v>12.11</v>
      </c>
      <c r="AI108" s="81">
        <f>SUMIFS(Tablo2[Son Fiyat],Tablo2[Şirket],Tablo3[[#This Row],[Sütun1]])</f>
        <v>12.11</v>
      </c>
      <c r="AJ108" s="75">
        <f>+(Tablo3[[#This Row],[Fiyat]]-Tablo3[[#This Row],[Hafta Başı]])/Tablo3[[#This Row],[Hafta Başı]]</f>
        <v>0</v>
      </c>
    </row>
    <row r="109" spans="2:36" x14ac:dyDescent="0.3">
      <c r="B109" s="3" t="s">
        <v>384</v>
      </c>
      <c r="J109" s="3">
        <v>1</v>
      </c>
      <c r="AG109" s="3">
        <f>SUM(C109:AF109)</f>
        <v>1</v>
      </c>
      <c r="AH109" s="3">
        <v>29.04</v>
      </c>
      <c r="AI109" s="81">
        <f>SUMIFS(Tablo2[Son Fiyat],Tablo2[Şirket],Tablo3[[#This Row],[Sütun1]])</f>
        <v>29.04</v>
      </c>
      <c r="AJ109" s="75">
        <f>+(Tablo3[[#This Row],[Fiyat]]-Tablo3[[#This Row],[Hafta Başı]])/Tablo3[[#This Row],[Hafta Başı]]</f>
        <v>0</v>
      </c>
    </row>
    <row r="110" spans="2:36" x14ac:dyDescent="0.3">
      <c r="B110" s="3" t="s">
        <v>388</v>
      </c>
      <c r="J110" s="3">
        <v>1</v>
      </c>
      <c r="K110" s="3">
        <v>1</v>
      </c>
      <c r="AG110" s="3">
        <f>SUM(C110:AF110)</f>
        <v>2</v>
      </c>
      <c r="AH110" s="3">
        <v>14.17</v>
      </c>
      <c r="AI110" s="81">
        <f>SUMIFS(Tablo2[Son Fiyat],Tablo2[Şirket],Tablo3[[#This Row],[Sütun1]])</f>
        <v>14.17</v>
      </c>
      <c r="AJ110" s="75">
        <f>+(Tablo3[[#This Row],[Fiyat]]-Tablo3[[#This Row],[Hafta Başı]])/Tablo3[[#This Row],[Hafta Başı]]</f>
        <v>0</v>
      </c>
    </row>
    <row r="111" spans="2:36" x14ac:dyDescent="0.3">
      <c r="B111" s="3" t="s">
        <v>390</v>
      </c>
      <c r="E111" s="3">
        <v>1</v>
      </c>
      <c r="R111" s="3">
        <v>1</v>
      </c>
      <c r="AG111" s="3">
        <f>SUM(C111:AF111)</f>
        <v>2</v>
      </c>
      <c r="AH111" s="3">
        <v>3.05</v>
      </c>
      <c r="AI111" s="81">
        <f>SUMIFS(Tablo2[Son Fiyat],Tablo2[Şirket],Tablo3[[#This Row],[Sütun1]])</f>
        <v>3.05</v>
      </c>
      <c r="AJ111" s="75">
        <f>+(Tablo3[[#This Row],[Fiyat]]-Tablo3[[#This Row],[Hafta Başı]])/Tablo3[[#This Row],[Hafta Başı]]</f>
        <v>0</v>
      </c>
    </row>
    <row r="112" spans="2:36" x14ac:dyDescent="0.3">
      <c r="B112" s="3" t="s">
        <v>391</v>
      </c>
      <c r="I112" s="3">
        <v>1</v>
      </c>
      <c r="AG112" s="3">
        <f>SUM(C112:AF112)</f>
        <v>1</v>
      </c>
      <c r="AH112" s="3">
        <v>16.5</v>
      </c>
      <c r="AI112" s="81">
        <f>SUMIFS(Tablo2[Son Fiyat],Tablo2[Şirket],Tablo3[[#This Row],[Sütun1]])</f>
        <v>16.5</v>
      </c>
      <c r="AJ112" s="75">
        <f>+(Tablo3[[#This Row],[Fiyat]]-Tablo3[[#This Row],[Hafta Başı]])/Tablo3[[#This Row],[Hafta Başı]]</f>
        <v>0</v>
      </c>
    </row>
    <row r="113" spans="2:36" x14ac:dyDescent="0.3">
      <c r="B113" s="3" t="s">
        <v>396</v>
      </c>
      <c r="AG113" s="3">
        <f t="shared" si="2"/>
        <v>0</v>
      </c>
      <c r="AH113" s="3">
        <v>10.119999999999999</v>
      </c>
      <c r="AI113" s="81">
        <f>SUMIFS(Tablo2[Son Fiyat],Tablo2[Şirket],Tablo3[[#This Row],[Sütun1]])</f>
        <v>10.119999999999999</v>
      </c>
      <c r="AJ113" s="75">
        <f>+(Tablo3[[#This Row],[Fiyat]]-Tablo3[[#This Row],[Hafta Başı]])/Tablo3[[#This Row],[Hafta Başı]]</f>
        <v>0</v>
      </c>
    </row>
    <row r="114" spans="2:36" x14ac:dyDescent="0.3">
      <c r="B114" s="3" t="s">
        <v>397</v>
      </c>
      <c r="AG114" s="3">
        <f t="shared" si="2"/>
        <v>0</v>
      </c>
      <c r="AH114" s="3">
        <v>6.27</v>
      </c>
      <c r="AI114" s="81">
        <f>SUMIFS(Tablo2[Son Fiyat],Tablo2[Şirket],Tablo3[[#This Row],[Sütun1]])</f>
        <v>6.27</v>
      </c>
      <c r="AJ114" s="75">
        <f>+(Tablo3[[#This Row],[Fiyat]]-Tablo3[[#This Row],[Hafta Başı]])/Tablo3[[#This Row],[Hafta Başı]]</f>
        <v>0</v>
      </c>
    </row>
    <row r="115" spans="2:36" x14ac:dyDescent="0.3">
      <c r="B115" s="3" t="s">
        <v>400</v>
      </c>
      <c r="AG115" s="3">
        <f t="shared" si="2"/>
        <v>0</v>
      </c>
      <c r="AH115" s="3">
        <v>392</v>
      </c>
      <c r="AI115" s="81">
        <f>SUMIFS(Tablo2[Son Fiyat],Tablo2[Şirket],Tablo3[[#This Row],[Sütun1]])</f>
        <v>392</v>
      </c>
      <c r="AJ115" s="75">
        <f>+(Tablo3[[#This Row],[Fiyat]]-Tablo3[[#This Row],[Hafta Başı]])/Tablo3[[#This Row],[Hafta Başı]]</f>
        <v>0</v>
      </c>
    </row>
    <row r="116" spans="2:36" x14ac:dyDescent="0.3">
      <c r="B116" s="3" t="s">
        <v>404</v>
      </c>
      <c r="AG116" s="3">
        <f t="shared" si="2"/>
        <v>0</v>
      </c>
      <c r="AH116" s="3">
        <v>20.66</v>
      </c>
      <c r="AI116" s="81">
        <f>SUMIFS(Tablo2[Son Fiyat],Tablo2[Şirket],Tablo3[[#This Row],[Sütun1]])</f>
        <v>20.66</v>
      </c>
      <c r="AJ116" s="75">
        <f>+(Tablo3[[#This Row],[Fiyat]]-Tablo3[[#This Row],[Hafta Başı]])/Tablo3[[#This Row],[Hafta Başı]]</f>
        <v>0</v>
      </c>
    </row>
    <row r="117" spans="2:36" x14ac:dyDescent="0.3">
      <c r="B117" s="3" t="s">
        <v>407</v>
      </c>
      <c r="AG117" s="3">
        <f t="shared" si="2"/>
        <v>0</v>
      </c>
      <c r="AH117" s="3">
        <v>78.599999999999994</v>
      </c>
      <c r="AI117" s="81">
        <f>SUMIFS(Tablo2[Son Fiyat],Tablo2[Şirket],Tablo3[[#This Row],[Sütun1]])</f>
        <v>78.599999999999994</v>
      </c>
      <c r="AJ117" s="75">
        <f>+(Tablo3[[#This Row],[Fiyat]]-Tablo3[[#This Row],[Hafta Başı]])/Tablo3[[#This Row],[Hafta Başı]]</f>
        <v>0</v>
      </c>
    </row>
    <row r="118" spans="2:36" x14ac:dyDescent="0.3">
      <c r="B118" s="3" t="s">
        <v>409</v>
      </c>
      <c r="AG118" s="3">
        <f t="shared" ref="AG118:AG154" si="3">SUM(C118:AF118)</f>
        <v>0</v>
      </c>
      <c r="AH118" s="3">
        <v>16.850000000000001</v>
      </c>
      <c r="AI118" s="81">
        <f>SUMIFS(Tablo2[Son Fiyat],Tablo2[Şirket],Tablo3[[#This Row],[Sütun1]])</f>
        <v>16.850000000000001</v>
      </c>
      <c r="AJ118" s="75">
        <f>+(Tablo3[[#This Row],[Fiyat]]-Tablo3[[#This Row],[Hafta Başı]])/Tablo3[[#This Row],[Hafta Başı]]</f>
        <v>0</v>
      </c>
    </row>
    <row r="119" spans="2:36" x14ac:dyDescent="0.3">
      <c r="B119" s="3" t="s">
        <v>411</v>
      </c>
      <c r="O119" s="3">
        <v>1</v>
      </c>
      <c r="AG119" s="3">
        <f>SUM(C119:AF119)</f>
        <v>1</v>
      </c>
      <c r="AH119" s="3">
        <v>44.3</v>
      </c>
      <c r="AI119" s="81">
        <f>SUMIFS(Tablo2[Son Fiyat],Tablo2[Şirket],Tablo3[[#This Row],[Sütun1]])</f>
        <v>44.3</v>
      </c>
      <c r="AJ119" s="75">
        <f>+(Tablo3[[#This Row],[Fiyat]]-Tablo3[[#This Row],[Hafta Başı]])/Tablo3[[#This Row],[Hafta Başı]]</f>
        <v>0</v>
      </c>
    </row>
    <row r="120" spans="2:36" x14ac:dyDescent="0.3">
      <c r="B120" s="3" t="s">
        <v>412</v>
      </c>
      <c r="AG120" s="3">
        <f t="shared" si="3"/>
        <v>0</v>
      </c>
      <c r="AH120" s="3">
        <v>7.43</v>
      </c>
      <c r="AI120" s="81">
        <f>SUMIFS(Tablo2[Son Fiyat],Tablo2[Şirket],Tablo3[[#This Row],[Sütun1]])</f>
        <v>7.43</v>
      </c>
      <c r="AJ120" s="75">
        <f>+(Tablo3[[#This Row],[Fiyat]]-Tablo3[[#This Row],[Hafta Başı]])/Tablo3[[#This Row],[Hafta Başı]]</f>
        <v>0</v>
      </c>
    </row>
    <row r="121" spans="2:36" x14ac:dyDescent="0.3">
      <c r="B121" s="3" t="s">
        <v>425</v>
      </c>
      <c r="AG121" s="3">
        <f t="shared" si="3"/>
        <v>0</v>
      </c>
      <c r="AH121" s="3">
        <v>371.25</v>
      </c>
      <c r="AI121" s="81">
        <f>SUMIFS(Tablo2[Son Fiyat],Tablo2[Şirket],Tablo3[[#This Row],[Sütun1]])</f>
        <v>371.25</v>
      </c>
      <c r="AJ121" s="75">
        <f>+(Tablo3[[#This Row],[Fiyat]]-Tablo3[[#This Row],[Hafta Başı]])/Tablo3[[#This Row],[Hafta Başı]]</f>
        <v>0</v>
      </c>
    </row>
    <row r="122" spans="2:36" x14ac:dyDescent="0.3">
      <c r="B122" s="3" t="s">
        <v>426</v>
      </c>
      <c r="AG122" s="3">
        <f t="shared" si="3"/>
        <v>0</v>
      </c>
      <c r="AH122" s="3">
        <v>24.26</v>
      </c>
      <c r="AI122" s="81">
        <f>SUMIFS(Tablo2[Son Fiyat],Tablo2[Şirket],Tablo3[[#This Row],[Sütun1]])</f>
        <v>24.26</v>
      </c>
      <c r="AJ122" s="75">
        <f>+(Tablo3[[#This Row],[Fiyat]]-Tablo3[[#This Row],[Hafta Başı]])/Tablo3[[#This Row],[Hafta Başı]]</f>
        <v>0</v>
      </c>
    </row>
    <row r="123" spans="2:36" x14ac:dyDescent="0.3">
      <c r="B123" s="3" t="s">
        <v>430</v>
      </c>
      <c r="AG123" s="3">
        <f t="shared" si="3"/>
        <v>0</v>
      </c>
      <c r="AH123" s="3">
        <v>5.39</v>
      </c>
      <c r="AI123" s="81">
        <f>SUMIFS(Tablo2[Son Fiyat],Tablo2[Şirket],Tablo3[[#This Row],[Sütun1]])</f>
        <v>5.39</v>
      </c>
      <c r="AJ123" s="75">
        <f>+(Tablo3[[#This Row],[Fiyat]]-Tablo3[[#This Row],[Hafta Başı]])/Tablo3[[#This Row],[Hafta Başı]]</f>
        <v>0</v>
      </c>
    </row>
    <row r="124" spans="2:36" x14ac:dyDescent="0.3">
      <c r="B124" s="3" t="s">
        <v>432</v>
      </c>
      <c r="AG124" s="3">
        <f t="shared" si="3"/>
        <v>0</v>
      </c>
      <c r="AH124" s="3">
        <v>36.74</v>
      </c>
      <c r="AI124" s="81">
        <f>SUMIFS(Tablo2[Son Fiyat],Tablo2[Şirket],Tablo3[[#This Row],[Sütun1]])</f>
        <v>36.74</v>
      </c>
      <c r="AJ124" s="75">
        <f>+(Tablo3[[#This Row],[Fiyat]]-Tablo3[[#This Row],[Hafta Başı]])/Tablo3[[#This Row],[Hafta Başı]]</f>
        <v>0</v>
      </c>
    </row>
    <row r="125" spans="2:36" x14ac:dyDescent="0.3">
      <c r="B125" s="3" t="s">
        <v>434</v>
      </c>
      <c r="AG125" s="3">
        <f t="shared" si="3"/>
        <v>0</v>
      </c>
      <c r="AH125" s="3">
        <v>62.8</v>
      </c>
      <c r="AI125" s="81">
        <f>SUMIFS(Tablo2[Son Fiyat],Tablo2[Şirket],Tablo3[[#This Row],[Sütun1]])</f>
        <v>62.8</v>
      </c>
      <c r="AJ125" s="75">
        <f>+(Tablo3[[#This Row],[Fiyat]]-Tablo3[[#This Row],[Hafta Başı]])/Tablo3[[#This Row],[Hafta Başı]]</f>
        <v>0</v>
      </c>
    </row>
    <row r="126" spans="2:36" x14ac:dyDescent="0.3">
      <c r="B126" s="3" t="s">
        <v>436</v>
      </c>
      <c r="AG126" s="3">
        <f t="shared" si="3"/>
        <v>0</v>
      </c>
      <c r="AH126" s="3">
        <v>12.07</v>
      </c>
      <c r="AI126" s="81">
        <f>SUMIFS(Tablo2[Son Fiyat],Tablo2[Şirket],Tablo3[[#This Row],[Sütun1]])</f>
        <v>12.07</v>
      </c>
      <c r="AJ126" s="75">
        <f>+(Tablo3[[#This Row],[Fiyat]]-Tablo3[[#This Row],[Hafta Başı]])/Tablo3[[#This Row],[Hafta Başı]]</f>
        <v>0</v>
      </c>
    </row>
    <row r="127" spans="2:36" x14ac:dyDescent="0.3">
      <c r="B127" s="3" t="s">
        <v>441</v>
      </c>
      <c r="AG127" s="3">
        <f t="shared" si="3"/>
        <v>0</v>
      </c>
      <c r="AH127" s="3">
        <v>6.69</v>
      </c>
      <c r="AI127" s="81">
        <f>SUMIFS(Tablo2[Son Fiyat],Tablo2[Şirket],Tablo3[[#This Row],[Sütun1]])</f>
        <v>6.69</v>
      </c>
      <c r="AJ127" s="75">
        <f>+(Tablo3[[#This Row],[Fiyat]]-Tablo3[[#This Row],[Hafta Başı]])/Tablo3[[#This Row],[Hafta Başı]]</f>
        <v>0</v>
      </c>
    </row>
    <row r="128" spans="2:36" x14ac:dyDescent="0.3">
      <c r="B128" s="3" t="s">
        <v>444</v>
      </c>
      <c r="AG128" s="3">
        <f t="shared" si="3"/>
        <v>0</v>
      </c>
      <c r="AH128" s="3">
        <v>15.61</v>
      </c>
      <c r="AI128" s="81">
        <f>SUMIFS(Tablo2[Son Fiyat],Tablo2[Şirket],Tablo3[[#This Row],[Sütun1]])</f>
        <v>15.61</v>
      </c>
      <c r="AJ128" s="75">
        <f>+(Tablo3[[#This Row],[Fiyat]]-Tablo3[[#This Row],[Hafta Başı]])/Tablo3[[#This Row],[Hafta Başı]]</f>
        <v>0</v>
      </c>
    </row>
    <row r="129" spans="2:36" x14ac:dyDescent="0.3">
      <c r="B129" s="3" t="s">
        <v>447</v>
      </c>
      <c r="AG129" s="3">
        <f t="shared" si="3"/>
        <v>0</v>
      </c>
      <c r="AH129" s="3">
        <v>234.5</v>
      </c>
      <c r="AI129" s="81">
        <f>SUMIFS(Tablo2[Son Fiyat],Tablo2[Şirket],Tablo3[[#This Row],[Sütun1]])</f>
        <v>234.5</v>
      </c>
      <c r="AJ129" s="75">
        <f>+(Tablo3[[#This Row],[Fiyat]]-Tablo3[[#This Row],[Hafta Başı]])/Tablo3[[#This Row],[Hafta Başı]]</f>
        <v>0</v>
      </c>
    </row>
    <row r="130" spans="2:36" x14ac:dyDescent="0.3">
      <c r="B130" s="3" t="s">
        <v>49</v>
      </c>
      <c r="AG130" s="3">
        <f t="shared" si="3"/>
        <v>0</v>
      </c>
      <c r="AH130" s="3">
        <v>30.46</v>
      </c>
      <c r="AI130" s="81">
        <f>SUMIFS(Tablo2[Son Fiyat],Tablo2[Şirket],Tablo3[[#This Row],[Sütun1]])</f>
        <v>30.46</v>
      </c>
      <c r="AJ130" s="75">
        <f>+(Tablo3[[#This Row],[Fiyat]]-Tablo3[[#This Row],[Hafta Başı]])/Tablo3[[#This Row],[Hafta Başı]]</f>
        <v>0</v>
      </c>
    </row>
    <row r="131" spans="2:36" x14ac:dyDescent="0.3">
      <c r="B131" s="3" t="s">
        <v>462</v>
      </c>
      <c r="AG131" s="3">
        <f t="shared" si="3"/>
        <v>0</v>
      </c>
      <c r="AH131" s="3">
        <v>3.44</v>
      </c>
      <c r="AI131" s="81">
        <f>SUMIFS(Tablo2[Son Fiyat],Tablo2[Şirket],Tablo3[[#This Row],[Sütun1]])</f>
        <v>3.44</v>
      </c>
      <c r="AJ131" s="75">
        <f>+(Tablo3[[#This Row],[Fiyat]]-Tablo3[[#This Row],[Hafta Başı]])/Tablo3[[#This Row],[Hafta Başı]]</f>
        <v>0</v>
      </c>
    </row>
    <row r="132" spans="2:36" x14ac:dyDescent="0.3">
      <c r="B132" s="3" t="s">
        <v>463</v>
      </c>
      <c r="AG132" s="3">
        <f t="shared" si="3"/>
        <v>0</v>
      </c>
      <c r="AH132" s="3">
        <v>402.75</v>
      </c>
      <c r="AI132" s="81">
        <f>SUMIFS(Tablo2[Son Fiyat],Tablo2[Şirket],Tablo3[[#This Row],[Sütun1]])</f>
        <v>402.75</v>
      </c>
      <c r="AJ132" s="75">
        <f>+(Tablo3[[#This Row],[Fiyat]]-Tablo3[[#This Row],[Hafta Başı]])/Tablo3[[#This Row],[Hafta Başı]]</f>
        <v>0</v>
      </c>
    </row>
    <row r="133" spans="2:36" x14ac:dyDescent="0.3">
      <c r="B133" s="3" t="s">
        <v>464</v>
      </c>
      <c r="AG133" s="3">
        <f t="shared" si="3"/>
        <v>0</v>
      </c>
      <c r="AH133" s="3">
        <v>474.75</v>
      </c>
      <c r="AI133" s="81">
        <f>SUMIFS(Tablo2[Son Fiyat],Tablo2[Şirket],Tablo3[[#This Row],[Sütun1]])</f>
        <v>474.75</v>
      </c>
      <c r="AJ133" s="75">
        <f>+(Tablo3[[#This Row],[Fiyat]]-Tablo3[[#This Row],[Hafta Başı]])/Tablo3[[#This Row],[Hafta Başı]]</f>
        <v>0</v>
      </c>
    </row>
    <row r="134" spans="2:36" x14ac:dyDescent="0.3">
      <c r="B134" s="3" t="s">
        <v>479</v>
      </c>
      <c r="AG134" s="3">
        <f t="shared" si="3"/>
        <v>0</v>
      </c>
      <c r="AH134" s="3">
        <v>3.66</v>
      </c>
      <c r="AI134" s="81">
        <f>SUMIFS(Tablo2[Son Fiyat],Tablo2[Şirket],Tablo3[[#This Row],[Sütun1]])</f>
        <v>3.66</v>
      </c>
      <c r="AJ134" s="75">
        <f>+(Tablo3[[#This Row],[Fiyat]]-Tablo3[[#This Row],[Hafta Başı]])/Tablo3[[#This Row],[Hafta Başı]]</f>
        <v>0</v>
      </c>
    </row>
    <row r="135" spans="2:36" x14ac:dyDescent="0.3">
      <c r="B135" s="3" t="s">
        <v>481</v>
      </c>
      <c r="AG135" s="3">
        <f t="shared" si="3"/>
        <v>0</v>
      </c>
      <c r="AH135" s="3">
        <v>197</v>
      </c>
      <c r="AI135" s="81">
        <f>SUMIFS(Tablo2[Son Fiyat],Tablo2[Şirket],Tablo3[[#This Row],[Sütun1]])</f>
        <v>197</v>
      </c>
      <c r="AJ135" s="75">
        <f>+(Tablo3[[#This Row],[Fiyat]]-Tablo3[[#This Row],[Hafta Başı]])/Tablo3[[#This Row],[Hafta Başı]]</f>
        <v>0</v>
      </c>
    </row>
    <row r="136" spans="2:36" x14ac:dyDescent="0.3">
      <c r="B136" s="3" t="s">
        <v>482</v>
      </c>
      <c r="K136" s="3">
        <v>1</v>
      </c>
      <c r="AG136" s="3">
        <f>SUM(C136:AF136)</f>
        <v>1</v>
      </c>
      <c r="AH136" s="3">
        <v>4.47</v>
      </c>
      <c r="AI136" s="81">
        <f>SUMIFS(Tablo2[Son Fiyat],Tablo2[Şirket],Tablo3[[#This Row],[Sütun1]])</f>
        <v>4.47</v>
      </c>
      <c r="AJ136" s="75">
        <f>+(Tablo3[[#This Row],[Fiyat]]-Tablo3[[#This Row],[Hafta Başı]])/Tablo3[[#This Row],[Hafta Başı]]</f>
        <v>0</v>
      </c>
    </row>
    <row r="137" spans="2:36" x14ac:dyDescent="0.3">
      <c r="B137" s="3" t="s">
        <v>485</v>
      </c>
      <c r="AG137" s="3">
        <f t="shared" si="3"/>
        <v>0</v>
      </c>
      <c r="AH137" s="3">
        <v>69.8</v>
      </c>
      <c r="AI137" s="81">
        <f>SUMIFS(Tablo2[Son Fiyat],Tablo2[Şirket],Tablo3[[#This Row],[Sütun1]])</f>
        <v>69.8</v>
      </c>
      <c r="AJ137" s="75">
        <f>+(Tablo3[[#This Row],[Fiyat]]-Tablo3[[#This Row],[Hafta Başı]])/Tablo3[[#This Row],[Hafta Başı]]</f>
        <v>0</v>
      </c>
    </row>
    <row r="138" spans="2:36" x14ac:dyDescent="0.3">
      <c r="B138" s="3" t="s">
        <v>489</v>
      </c>
      <c r="AG138" s="3">
        <f t="shared" si="3"/>
        <v>0</v>
      </c>
      <c r="AH138" s="3">
        <v>18.46</v>
      </c>
      <c r="AI138" s="81">
        <f>SUMIFS(Tablo2[Son Fiyat],Tablo2[Şirket],Tablo3[[#This Row],[Sütun1]])</f>
        <v>18.46</v>
      </c>
      <c r="AJ138" s="75">
        <f>+(Tablo3[[#This Row],[Fiyat]]-Tablo3[[#This Row],[Hafta Başı]])/Tablo3[[#This Row],[Hafta Başı]]</f>
        <v>0</v>
      </c>
    </row>
    <row r="139" spans="2:36" x14ac:dyDescent="0.3">
      <c r="B139" s="3" t="s">
        <v>493</v>
      </c>
      <c r="I139" s="3">
        <v>1</v>
      </c>
      <c r="AG139" s="3">
        <f t="shared" si="3"/>
        <v>1</v>
      </c>
      <c r="AH139" s="3">
        <v>121.8</v>
      </c>
      <c r="AI139" s="81">
        <f>SUMIFS(Tablo2[Son Fiyat],Tablo2[Şirket],Tablo3[[#This Row],[Sütun1]])</f>
        <v>121.8</v>
      </c>
      <c r="AJ139" s="75">
        <f>+(Tablo3[[#This Row],[Fiyat]]-Tablo3[[#This Row],[Hafta Başı]])/Tablo3[[#This Row],[Hafta Başı]]</f>
        <v>0</v>
      </c>
    </row>
    <row r="140" spans="2:36" x14ac:dyDescent="0.3">
      <c r="B140" s="3" t="s">
        <v>501</v>
      </c>
      <c r="AG140" s="3">
        <f t="shared" si="3"/>
        <v>0</v>
      </c>
      <c r="AH140" s="3">
        <v>38.9</v>
      </c>
      <c r="AI140" s="81">
        <f>SUMIFS(Tablo2[Son Fiyat],Tablo2[Şirket],Tablo3[[#This Row],[Sütun1]])</f>
        <v>38.9</v>
      </c>
      <c r="AJ140" s="75">
        <f>+(Tablo3[[#This Row],[Fiyat]]-Tablo3[[#This Row],[Hafta Başı]])/Tablo3[[#This Row],[Hafta Başı]]</f>
        <v>0</v>
      </c>
    </row>
    <row r="141" spans="2:36" x14ac:dyDescent="0.3">
      <c r="B141" s="3" t="s">
        <v>508</v>
      </c>
      <c r="AG141" s="3">
        <f t="shared" si="3"/>
        <v>0</v>
      </c>
      <c r="AH141" s="3">
        <v>162.19999999999999</v>
      </c>
      <c r="AI141" s="81">
        <f>SUMIFS(Tablo2[Son Fiyat],Tablo2[Şirket],Tablo3[[#This Row],[Sütun1]])</f>
        <v>162.19999999999999</v>
      </c>
      <c r="AJ141" s="75">
        <f>+(Tablo3[[#This Row],[Fiyat]]-Tablo3[[#This Row],[Hafta Başı]])/Tablo3[[#This Row],[Hafta Başı]]</f>
        <v>0</v>
      </c>
    </row>
    <row r="142" spans="2:36" x14ac:dyDescent="0.3">
      <c r="B142" s="3" t="s">
        <v>35</v>
      </c>
      <c r="AG142" s="3">
        <f t="shared" si="3"/>
        <v>0</v>
      </c>
      <c r="AH142" s="3">
        <v>395.25</v>
      </c>
      <c r="AI142" s="81">
        <f>SUMIFS(Tablo2[Son Fiyat],Tablo2[Şirket],Tablo3[[#This Row],[Sütun1]])</f>
        <v>395.25</v>
      </c>
      <c r="AJ142" s="75">
        <f>+(Tablo3[[#This Row],[Fiyat]]-Tablo3[[#This Row],[Hafta Başı]])/Tablo3[[#This Row],[Hafta Başı]]</f>
        <v>0</v>
      </c>
    </row>
    <row r="143" spans="2:36" x14ac:dyDescent="0.3">
      <c r="B143" s="3" t="s">
        <v>509</v>
      </c>
      <c r="AG143" s="3">
        <f t="shared" si="3"/>
        <v>0</v>
      </c>
      <c r="AH143" s="3">
        <v>43.22</v>
      </c>
      <c r="AI143" s="81">
        <f>SUMIFS(Tablo2[Son Fiyat],Tablo2[Şirket],Tablo3[[#This Row],[Sütun1]])</f>
        <v>43.22</v>
      </c>
      <c r="AJ143" s="75">
        <f>+(Tablo3[[#This Row],[Fiyat]]-Tablo3[[#This Row],[Hafta Başı]])/Tablo3[[#This Row],[Hafta Başı]]</f>
        <v>0</v>
      </c>
    </row>
    <row r="144" spans="2:36" x14ac:dyDescent="0.3">
      <c r="B144" s="3" t="s">
        <v>46</v>
      </c>
      <c r="AG144" s="3">
        <f t="shared" si="3"/>
        <v>0</v>
      </c>
      <c r="AH144" s="3">
        <v>277.75</v>
      </c>
      <c r="AI144" s="81">
        <f>SUMIFS(Tablo2[Son Fiyat],Tablo2[Şirket],Tablo3[[#This Row],[Sütun1]])</f>
        <v>277.75</v>
      </c>
      <c r="AJ144" s="75">
        <f>+(Tablo3[[#This Row],[Fiyat]]-Tablo3[[#This Row],[Hafta Başı]])/Tablo3[[#This Row],[Hafta Başı]]</f>
        <v>0</v>
      </c>
    </row>
    <row r="145" spans="2:36" x14ac:dyDescent="0.3">
      <c r="B145" s="3" t="s">
        <v>512</v>
      </c>
      <c r="V145" s="3">
        <v>1</v>
      </c>
      <c r="AG145" s="3">
        <f>SUM(C145:AF145)</f>
        <v>1</v>
      </c>
      <c r="AH145" s="3">
        <v>108.1</v>
      </c>
      <c r="AI145" s="81">
        <f>SUMIFS(Tablo2[Son Fiyat],Tablo2[Şirket],Tablo3[[#This Row],[Sütun1]])</f>
        <v>108.1</v>
      </c>
      <c r="AJ145" s="75">
        <f>+(Tablo3[[#This Row],[Fiyat]]-Tablo3[[#This Row],[Hafta Başı]])/Tablo3[[#This Row],[Hafta Başı]]</f>
        <v>0</v>
      </c>
    </row>
    <row r="146" spans="2:36" x14ac:dyDescent="0.3">
      <c r="B146" s="3" t="s">
        <v>36</v>
      </c>
      <c r="X146" s="3">
        <v>1</v>
      </c>
      <c r="AG146" s="3">
        <f t="shared" si="3"/>
        <v>1</v>
      </c>
      <c r="AH146" s="3">
        <v>317</v>
      </c>
      <c r="AI146" s="81">
        <f>SUMIFS(Tablo2[Son Fiyat],Tablo2[Şirket],Tablo3[[#This Row],[Sütun1]])</f>
        <v>317</v>
      </c>
      <c r="AJ146" s="75">
        <f>+(Tablo3[[#This Row],[Fiyat]]-Tablo3[[#This Row],[Hafta Başı]])/Tablo3[[#This Row],[Hafta Başı]]</f>
        <v>0</v>
      </c>
    </row>
    <row r="147" spans="2:36" x14ac:dyDescent="0.3">
      <c r="B147" s="3" t="s">
        <v>521</v>
      </c>
      <c r="AG147" s="3">
        <f t="shared" si="3"/>
        <v>0</v>
      </c>
      <c r="AH147" s="3">
        <v>86.5</v>
      </c>
      <c r="AI147" s="81">
        <f>SUMIFS(Tablo2[Son Fiyat],Tablo2[Şirket],Tablo3[[#This Row],[Sütun1]])</f>
        <v>86.5</v>
      </c>
      <c r="AJ147" s="75">
        <f>+(Tablo3[[#This Row],[Fiyat]]-Tablo3[[#This Row],[Hafta Başı]])/Tablo3[[#This Row],[Hafta Başı]]</f>
        <v>0</v>
      </c>
    </row>
    <row r="148" spans="2:36" x14ac:dyDescent="0.3">
      <c r="B148" s="3" t="s">
        <v>522</v>
      </c>
      <c r="AG148" s="3">
        <f t="shared" si="3"/>
        <v>0</v>
      </c>
      <c r="AH148" s="3">
        <v>112</v>
      </c>
      <c r="AI148" s="81">
        <f>SUMIFS(Tablo2[Son Fiyat],Tablo2[Şirket],Tablo3[[#This Row],[Sütun1]])</f>
        <v>112</v>
      </c>
      <c r="AJ148" s="75">
        <f>+(Tablo3[[#This Row],[Fiyat]]-Tablo3[[#This Row],[Hafta Başı]])/Tablo3[[#This Row],[Hafta Başı]]</f>
        <v>0</v>
      </c>
    </row>
    <row r="149" spans="2:36" x14ac:dyDescent="0.3">
      <c r="B149" s="3" t="s">
        <v>38</v>
      </c>
      <c r="T149" s="3">
        <v>1</v>
      </c>
      <c r="AG149" s="3">
        <f t="shared" si="3"/>
        <v>1</v>
      </c>
      <c r="AH149" s="3">
        <v>222.5</v>
      </c>
      <c r="AI149" s="81">
        <f>SUMIFS(Tablo2[Son Fiyat],Tablo2[Şirket],Tablo3[[#This Row],[Sütun1]])</f>
        <v>222.5</v>
      </c>
      <c r="AJ149" s="75">
        <f>+(Tablo3[[#This Row],[Fiyat]]-Tablo3[[#This Row],[Hafta Başı]])/Tablo3[[#This Row],[Hafta Başı]]</f>
        <v>0</v>
      </c>
    </row>
    <row r="150" spans="2:36" x14ac:dyDescent="0.3">
      <c r="B150" s="3" t="s">
        <v>523</v>
      </c>
      <c r="AG150" s="3">
        <f t="shared" si="3"/>
        <v>0</v>
      </c>
      <c r="AH150" s="3">
        <v>29.54</v>
      </c>
      <c r="AI150" s="81">
        <f>SUMIFS(Tablo2[Son Fiyat],Tablo2[Şirket],Tablo3[[#This Row],[Sütun1]])</f>
        <v>29.54</v>
      </c>
      <c r="AJ150" s="75">
        <f>+(Tablo3[[#This Row],[Fiyat]]-Tablo3[[#This Row],[Hafta Başı]])/Tablo3[[#This Row],[Hafta Başı]]</f>
        <v>0</v>
      </c>
    </row>
    <row r="151" spans="2:36" x14ac:dyDescent="0.3">
      <c r="B151" s="3" t="s">
        <v>525</v>
      </c>
      <c r="F151" s="3">
        <v>1</v>
      </c>
      <c r="AG151" s="3">
        <f>SUM(C151:AF151)</f>
        <v>1</v>
      </c>
      <c r="AH151" s="3">
        <v>18.77</v>
      </c>
      <c r="AI151" s="81">
        <f>SUMIFS(Tablo2[Son Fiyat],Tablo2[Şirket],Tablo3[[#This Row],[Sütun1]])</f>
        <v>18.77</v>
      </c>
      <c r="AJ151" s="75">
        <f>+(Tablo3[[#This Row],[Fiyat]]-Tablo3[[#This Row],[Hafta Başı]])/Tablo3[[#This Row],[Hafta Başı]]</f>
        <v>0</v>
      </c>
    </row>
    <row r="152" spans="2:36" x14ac:dyDescent="0.3">
      <c r="B152" s="3" t="s">
        <v>529</v>
      </c>
      <c r="AG152" s="3">
        <f t="shared" si="3"/>
        <v>0</v>
      </c>
      <c r="AH152" s="3">
        <v>50.55</v>
      </c>
      <c r="AI152" s="81">
        <f>SUMIFS(Tablo2[Son Fiyat],Tablo2[Şirket],Tablo3[[#This Row],[Sütun1]])</f>
        <v>50.55</v>
      </c>
      <c r="AJ152" s="75">
        <f>+(Tablo3[[#This Row],[Fiyat]]-Tablo3[[#This Row],[Hafta Başı]])/Tablo3[[#This Row],[Hafta Başı]]</f>
        <v>0</v>
      </c>
    </row>
    <row r="153" spans="2:36" x14ac:dyDescent="0.3">
      <c r="B153" s="3" t="s">
        <v>530</v>
      </c>
      <c r="U153" s="3">
        <v>1</v>
      </c>
      <c r="Z153" s="3">
        <v>1</v>
      </c>
      <c r="AG153" s="3">
        <f>SUM(C153:AF153)</f>
        <v>2</v>
      </c>
      <c r="AH153" s="3">
        <v>6.26</v>
      </c>
      <c r="AI153" s="81">
        <f>SUMIFS(Tablo2[Son Fiyat],Tablo2[Şirket],Tablo3[[#This Row],[Sütun1]])</f>
        <v>6.26</v>
      </c>
      <c r="AJ153" s="75">
        <f>+(Tablo3[[#This Row],[Fiyat]]-Tablo3[[#This Row],[Hafta Başı]])/Tablo3[[#This Row],[Hafta Başı]]</f>
        <v>0</v>
      </c>
    </row>
    <row r="154" spans="2:36" x14ac:dyDescent="0.3">
      <c r="B154" s="3" t="s">
        <v>41</v>
      </c>
      <c r="AG154" s="3">
        <f t="shared" si="3"/>
        <v>0</v>
      </c>
      <c r="AH154" s="3">
        <v>141.19999999999999</v>
      </c>
      <c r="AI154" s="81">
        <f>SUMIFS(Tablo2[Son Fiyat],Tablo2[Şirket],Tablo3[[#This Row],[Sütun1]])</f>
        <v>141.19999999999999</v>
      </c>
      <c r="AJ154" s="75">
        <f>+(Tablo3[[#This Row],[Fiyat]]-Tablo3[[#This Row],[Hafta Başı]])/Tablo3[[#This Row],[Hafta Başı]]</f>
        <v>0</v>
      </c>
    </row>
    <row r="155" spans="2:36" x14ac:dyDescent="0.3">
      <c r="B155" s="3" t="s">
        <v>531</v>
      </c>
      <c r="I155" s="3">
        <v>1</v>
      </c>
      <c r="AG155" s="3">
        <f t="shared" ref="AG155:AG168" si="4">SUM(C155:AF155)</f>
        <v>1</v>
      </c>
      <c r="AH155" s="3">
        <v>153</v>
      </c>
      <c r="AI155" s="81">
        <f>SUMIFS(Tablo2[Son Fiyat],Tablo2[Şirket],Tablo3[[#This Row],[Sütun1]])</f>
        <v>153</v>
      </c>
      <c r="AJ155" s="75">
        <f>+(Tablo3[[#This Row],[Fiyat]]-Tablo3[[#This Row],[Hafta Başı]])/Tablo3[[#This Row],[Hafta Başı]]</f>
        <v>0</v>
      </c>
    </row>
    <row r="156" spans="2:36" x14ac:dyDescent="0.3">
      <c r="B156" s="3" t="s">
        <v>537</v>
      </c>
      <c r="AG156" s="3">
        <f t="shared" si="4"/>
        <v>0</v>
      </c>
      <c r="AH156" s="3">
        <v>17.079999999999998</v>
      </c>
      <c r="AI156" s="81">
        <f>SUMIFS(Tablo2[Son Fiyat],Tablo2[Şirket],Tablo3[[#This Row],[Sütun1]])</f>
        <v>17.079999999999998</v>
      </c>
      <c r="AJ156" s="75">
        <f>+(Tablo3[[#This Row],[Fiyat]]-Tablo3[[#This Row],[Hafta Başı]])/Tablo3[[#This Row],[Hafta Başı]]</f>
        <v>0</v>
      </c>
    </row>
    <row r="157" spans="2:36" x14ac:dyDescent="0.3">
      <c r="B157" s="3" t="s">
        <v>538</v>
      </c>
      <c r="AG157" s="3">
        <f t="shared" si="4"/>
        <v>0</v>
      </c>
      <c r="AH157" s="3">
        <v>162.5</v>
      </c>
      <c r="AI157" s="81">
        <f>SUMIFS(Tablo2[Son Fiyat],Tablo2[Şirket],Tablo3[[#This Row],[Sütun1]])</f>
        <v>162.5</v>
      </c>
      <c r="AJ157" s="75">
        <f>+(Tablo3[[#This Row],[Fiyat]]-Tablo3[[#This Row],[Hafta Başı]])/Tablo3[[#This Row],[Hafta Başı]]</f>
        <v>0</v>
      </c>
    </row>
    <row r="158" spans="2:36" x14ac:dyDescent="0.3">
      <c r="B158" s="3" t="s">
        <v>539</v>
      </c>
      <c r="AG158" s="3">
        <f t="shared" si="4"/>
        <v>0</v>
      </c>
      <c r="AH158" s="3">
        <v>5.95</v>
      </c>
      <c r="AI158" s="81">
        <f>SUMIFS(Tablo2[Son Fiyat],Tablo2[Şirket],Tablo3[[#This Row],[Sütun1]])</f>
        <v>5.95</v>
      </c>
      <c r="AJ158" s="75">
        <f>+(Tablo3[[#This Row],[Fiyat]]-Tablo3[[#This Row],[Hafta Başı]])/Tablo3[[#This Row],[Hafta Başı]]</f>
        <v>0</v>
      </c>
    </row>
    <row r="159" spans="2:36" x14ac:dyDescent="0.3">
      <c r="B159" s="3" t="s">
        <v>42</v>
      </c>
      <c r="AG159" s="3">
        <f t="shared" si="4"/>
        <v>0</v>
      </c>
      <c r="AH159" s="3">
        <v>14.32</v>
      </c>
      <c r="AI159" s="81">
        <f>SUMIFS(Tablo2[Son Fiyat],Tablo2[Şirket],Tablo3[[#This Row],[Sütun1]])</f>
        <v>14.32</v>
      </c>
      <c r="AJ159" s="75">
        <f>+(Tablo3[[#This Row],[Fiyat]]-Tablo3[[#This Row],[Hafta Başı]])/Tablo3[[#This Row],[Hafta Başı]]</f>
        <v>0</v>
      </c>
    </row>
    <row r="160" spans="2:36" x14ac:dyDescent="0.3">
      <c r="B160" s="3" t="s">
        <v>542</v>
      </c>
      <c r="G160" s="3">
        <v>1</v>
      </c>
      <c r="Q160" s="3">
        <v>1</v>
      </c>
      <c r="R160" s="3">
        <v>1</v>
      </c>
      <c r="X160" s="3">
        <v>1</v>
      </c>
      <c r="AG160" s="3">
        <f t="shared" si="4"/>
        <v>4</v>
      </c>
      <c r="AH160" s="3">
        <v>27.46</v>
      </c>
      <c r="AI160" s="81">
        <f>SUMIFS(Tablo2[Son Fiyat],Tablo2[Şirket],Tablo3[[#This Row],[Sütun1]])</f>
        <v>27.46</v>
      </c>
      <c r="AJ160" s="75">
        <f>+(Tablo3[[#This Row],[Fiyat]]-Tablo3[[#This Row],[Hafta Başı]])/Tablo3[[#This Row],[Hafta Başı]]</f>
        <v>0</v>
      </c>
    </row>
    <row r="161" spans="2:36" x14ac:dyDescent="0.3">
      <c r="B161" s="3" t="s">
        <v>546</v>
      </c>
      <c r="AG161" s="3">
        <f t="shared" si="4"/>
        <v>0</v>
      </c>
      <c r="AH161" s="3">
        <v>25.2</v>
      </c>
      <c r="AI161" s="81">
        <f>SUMIFS(Tablo2[Son Fiyat],Tablo2[Şirket],Tablo3[[#This Row],[Sütun1]])</f>
        <v>25.2</v>
      </c>
      <c r="AJ161" s="75">
        <f>+(Tablo3[[#This Row],[Fiyat]]-Tablo3[[#This Row],[Hafta Başı]])/Tablo3[[#This Row],[Hafta Başı]]</f>
        <v>0</v>
      </c>
    </row>
    <row r="162" spans="2:36" x14ac:dyDescent="0.3">
      <c r="B162" s="3" t="s">
        <v>548</v>
      </c>
      <c r="AF162" s="3">
        <v>1</v>
      </c>
      <c r="AG162" s="3">
        <f>SUM(C162:AF162)</f>
        <v>1</v>
      </c>
      <c r="AH162" s="3">
        <v>235.8</v>
      </c>
      <c r="AI162" s="81">
        <f>SUMIFS(Tablo2[Son Fiyat],Tablo2[Şirket],Tablo3[[#This Row],[Sütun1]])</f>
        <v>235.8</v>
      </c>
      <c r="AJ162" s="75">
        <f>+(Tablo3[[#This Row],[Fiyat]]-Tablo3[[#This Row],[Hafta Başı]])/Tablo3[[#This Row],[Hafta Başı]]</f>
        <v>0</v>
      </c>
    </row>
    <row r="163" spans="2:36" x14ac:dyDescent="0.3">
      <c r="B163" s="3" t="s">
        <v>552</v>
      </c>
      <c r="AG163" s="3">
        <f t="shared" si="4"/>
        <v>0</v>
      </c>
      <c r="AH163" s="3">
        <v>2.0499999999999998</v>
      </c>
      <c r="AI163" s="81">
        <f>SUMIFS(Tablo2[Son Fiyat],Tablo2[Şirket],Tablo3[[#This Row],[Sütun1]])</f>
        <v>2.0499999999999998</v>
      </c>
      <c r="AJ163" s="75">
        <f>+(Tablo3[[#This Row],[Fiyat]]-Tablo3[[#This Row],[Hafta Başı]])/Tablo3[[#This Row],[Hafta Başı]]</f>
        <v>0</v>
      </c>
    </row>
    <row r="164" spans="2:36" x14ac:dyDescent="0.3">
      <c r="B164" s="3" t="s">
        <v>558</v>
      </c>
      <c r="AG164" s="3">
        <f t="shared" si="4"/>
        <v>0</v>
      </c>
      <c r="AH164" s="3">
        <v>122352.5</v>
      </c>
      <c r="AI164" s="81">
        <f>SUMIFS(Tablo2[Son Fiyat],Tablo2[Şirket],Tablo3[[#This Row],[Sütun1]])</f>
        <v>122352.5</v>
      </c>
      <c r="AJ164" s="75">
        <f>+(Tablo3[[#This Row],[Fiyat]]-Tablo3[[#This Row],[Hafta Başı]])/Tablo3[[#This Row],[Hafta Başı]]</f>
        <v>0</v>
      </c>
    </row>
    <row r="165" spans="2:36" x14ac:dyDescent="0.3">
      <c r="B165" s="3" t="s">
        <v>43</v>
      </c>
      <c r="V165" s="3">
        <v>1</v>
      </c>
      <c r="AG165" s="3">
        <f t="shared" si="4"/>
        <v>1</v>
      </c>
      <c r="AH165" s="3">
        <v>54.5</v>
      </c>
      <c r="AI165" s="81">
        <f>SUMIFS(Tablo2[Son Fiyat],Tablo2[Şirket],Tablo3[[#This Row],[Sütun1]])</f>
        <v>54.5</v>
      </c>
      <c r="AJ165" s="75">
        <f>+(Tablo3[[#This Row],[Fiyat]]-Tablo3[[#This Row],[Hafta Başı]])/Tablo3[[#This Row],[Hafta Başı]]</f>
        <v>0</v>
      </c>
    </row>
    <row r="166" spans="2:36" x14ac:dyDescent="0.3">
      <c r="B166" s="3" t="s">
        <v>559</v>
      </c>
      <c r="AG166" s="3">
        <f t="shared" si="4"/>
        <v>0</v>
      </c>
      <c r="AH166" s="3">
        <v>1.83</v>
      </c>
      <c r="AI166" s="81">
        <f>SUMIFS(Tablo2[Son Fiyat],Tablo2[Şirket],Tablo3[[#This Row],[Sütun1]])</f>
        <v>1.83</v>
      </c>
      <c r="AJ166" s="75">
        <f>+(Tablo3[[#This Row],[Fiyat]]-Tablo3[[#This Row],[Hafta Başı]])/Tablo3[[#This Row],[Hafta Başı]]</f>
        <v>0</v>
      </c>
    </row>
    <row r="167" spans="2:36" x14ac:dyDescent="0.3">
      <c r="B167" s="3" t="s">
        <v>560</v>
      </c>
      <c r="E167" s="3">
        <v>1</v>
      </c>
      <c r="G167" s="3">
        <v>1</v>
      </c>
      <c r="N167" s="3">
        <v>1</v>
      </c>
      <c r="R167" s="3">
        <v>1</v>
      </c>
      <c r="W167" s="3">
        <v>1</v>
      </c>
      <c r="X167" s="3">
        <v>1</v>
      </c>
      <c r="Y167" s="3">
        <v>1</v>
      </c>
      <c r="AD167" s="3">
        <v>1</v>
      </c>
      <c r="AF167" s="3">
        <v>1</v>
      </c>
      <c r="AG167" s="3">
        <f>SUM(C167:AF167)</f>
        <v>9</v>
      </c>
      <c r="AH167" s="3">
        <v>68.95</v>
      </c>
      <c r="AI167" s="81">
        <f>SUMIFS(Tablo2[Son Fiyat],Tablo2[Şirket],Tablo3[[#This Row],[Sütun1]])</f>
        <v>68.95</v>
      </c>
      <c r="AJ167" s="75">
        <f>+(Tablo3[[#This Row],[Fiyat]]-Tablo3[[#This Row],[Hafta Başı]])/Tablo3[[#This Row],[Hafta Başı]]</f>
        <v>0</v>
      </c>
    </row>
    <row r="168" spans="2:36" x14ac:dyDescent="0.3">
      <c r="B168" s="3" t="s">
        <v>563</v>
      </c>
      <c r="AG168" s="3">
        <f t="shared" si="4"/>
        <v>0</v>
      </c>
      <c r="AH168" s="3">
        <v>30.72</v>
      </c>
      <c r="AI168" s="81">
        <f>SUMIFS(Tablo2[Son Fiyat],Tablo2[Şirket],Tablo3[[#This Row],[Sütun1]])</f>
        <v>30.72</v>
      </c>
      <c r="AJ168" s="75">
        <f>+(Tablo3[[#This Row],[Fiyat]]-Tablo3[[#This Row],[Hafta Başı]])/Tablo3[[#This Row],[Hafta Başı]]</f>
        <v>0</v>
      </c>
    </row>
    <row r="169" spans="2:36" x14ac:dyDescent="0.3">
      <c r="B169" s="3" t="s">
        <v>5</v>
      </c>
      <c r="C169" s="3">
        <f>SUBTOTAL(109,Tablo3[SMA5-20])</f>
        <v>3</v>
      </c>
      <c r="D169" s="3">
        <f>SUBTOTAL(109,Tablo3[MINI RALLI])</f>
        <v>1</v>
      </c>
      <c r="E169" s="3">
        <f>SUBTOTAL(109,Tablo3[DAHI])</f>
        <v>3</v>
      </c>
      <c r="F169" s="3">
        <f>SUBTOTAL(109,Tablo3[TK])</f>
        <v>1</v>
      </c>
      <c r="G169" s="3">
        <f>SUBTOTAL(109,Tablo3[ICH])</f>
        <v>2</v>
      </c>
      <c r="H169" s="3">
        <f>SUBTOTAL(109,Tablo3[BYB])</f>
        <v>0</v>
      </c>
      <c r="I169" s="3">
        <f>SUBTOTAL(109,Tablo3[ZKN İYİ ALIM Y.])</f>
        <v>3</v>
      </c>
      <c r="J169" s="3">
        <f>SUBTOTAL(109,Tablo3[PU])</f>
        <v>4</v>
      </c>
      <c r="K169" s="3">
        <f>SUBTOTAL(109,Tablo3[SAR DÜZELTMESİ])</f>
        <v>3</v>
      </c>
      <c r="L169" s="3">
        <f>SUBTOTAL(109,Tablo3[FLAMA ÜÇG])</f>
        <v>0</v>
      </c>
      <c r="M169" s="3">
        <f>SUBTOTAL(109,Tablo3[DİBİNİ SIY.])</f>
        <v>2</v>
      </c>
      <c r="N169" s="3">
        <f>SUBTOTAL(109,Tablo3[ZKN HO])</f>
        <v>3</v>
      </c>
      <c r="O169" s="3">
        <f>SUBTOTAL(109,Tablo3[VOL K. S.])</f>
        <v>2</v>
      </c>
      <c r="P169" s="3">
        <f>SUBTOTAL(109,Tablo3[BOLLING])</f>
        <v>1</v>
      </c>
      <c r="Q169" s="3">
        <f>SUBTOTAL(109,Tablo3[GÖST])</f>
        <v>1</v>
      </c>
      <c r="R169" s="3">
        <f>SUBTOTAL(109,Tablo3[DAHI 2])</f>
        <v>3</v>
      </c>
      <c r="S169" s="3">
        <f>SUBTOTAL(109,Tablo3[SWING TR 3])</f>
        <v>0</v>
      </c>
      <c r="T169" s="3">
        <f>SUBTOTAL(109,Tablo3[TT2])</f>
        <v>2</v>
      </c>
      <c r="U169" s="3">
        <f>SUBTOTAL(109,Tablo3[PSAR+ADX])</f>
        <v>3</v>
      </c>
      <c r="V169" s="3">
        <f>SUBTOTAL(109,Tablo3[ADX20])</f>
        <v>4</v>
      </c>
      <c r="W169" s="3">
        <f>SUBTOTAL(109,Tablo3[MACD + S])</f>
        <v>1</v>
      </c>
      <c r="X169" s="3">
        <f>SUBTOTAL(109,Tablo3[DRI MOM])</f>
        <v>4</v>
      </c>
      <c r="Y169" s="3">
        <f>SUBTOTAL(109,Tablo3[DKA])</f>
        <v>1</v>
      </c>
      <c r="Z169" s="3">
        <f>SUBTOTAL(109,Tablo3[MFI50])</f>
        <v>3</v>
      </c>
      <c r="AA169" s="3">
        <f>SUBTOTAL(109,Tablo3[EMA5-20])</f>
        <v>3</v>
      </c>
      <c r="AB169" s="3">
        <f>SUBTOTAL(109,Tablo3[EMA20-50])</f>
        <v>0</v>
      </c>
      <c r="AC169" s="3">
        <f>SUBTOTAL(109,Tablo3[MACD 0 Y])</f>
        <v>1</v>
      </c>
      <c r="AD169" s="3">
        <f>SUBTOTAL(109,Tablo3[EMALAR S.])</f>
        <v>3</v>
      </c>
      <c r="AE169" s="3">
        <f>SUBTOTAL(109,Tablo3[P.SAR + EMA])</f>
        <v>1</v>
      </c>
      <c r="AF169" s="3">
        <f>SUBTOTAL(109,Tablo3[HULL])</f>
        <v>4</v>
      </c>
      <c r="AI169" s="3"/>
      <c r="AJ169" s="83">
        <f>SUBTOTAL(109,Tablo3[Prim])</f>
        <v>0</v>
      </c>
    </row>
    <row r="171" spans="2:36" x14ac:dyDescent="0.3">
      <c r="C171" s="84">
        <v>10075.17</v>
      </c>
      <c r="D171" s="84">
        <v>9910.61</v>
      </c>
      <c r="E171" s="84">
        <f>+D172</f>
        <v>9977.94</v>
      </c>
      <c r="F171" s="84">
        <f>+E172</f>
        <v>10004.379999999999</v>
      </c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</row>
    <row r="172" spans="2:36" x14ac:dyDescent="0.3">
      <c r="C172" s="84">
        <v>9910.61</v>
      </c>
      <c r="D172" s="84">
        <v>9977.94</v>
      </c>
      <c r="E172" s="84">
        <v>10004.379999999999</v>
      </c>
      <c r="F172" s="84">
        <v>10004.379999999999</v>
      </c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  <c r="AA172" s="84"/>
      <c r="AB172" s="84"/>
      <c r="AC172" s="84"/>
      <c r="AD172" s="84"/>
      <c r="AE172" s="84"/>
      <c r="AF172" s="84"/>
      <c r="AG172" s="84"/>
      <c r="AH172" s="84"/>
      <c r="AI172" s="84"/>
      <c r="AJ172" s="84"/>
    </row>
    <row r="173" spans="2:36" x14ac:dyDescent="0.3">
      <c r="C173" s="75">
        <f>+(C172-C171)/C171</f>
        <v>-1.6333223161494992E-2</v>
      </c>
      <c r="D173" s="75">
        <v>6.7937291448255882E-3</v>
      </c>
      <c r="E173" s="75">
        <f>+(E172-E171)/E171</f>
        <v>2.6498455593036928E-3</v>
      </c>
      <c r="F173" s="75">
        <f>+(F172-F171)/F171</f>
        <v>0</v>
      </c>
    </row>
    <row r="174" spans="2:36" x14ac:dyDescent="0.3">
      <c r="C174" s="3" t="s">
        <v>734</v>
      </c>
      <c r="D174" s="3" t="s">
        <v>737</v>
      </c>
      <c r="E174" s="3" t="s">
        <v>740</v>
      </c>
      <c r="F174" s="3" t="s">
        <v>752</v>
      </c>
    </row>
    <row r="175" spans="2:36" x14ac:dyDescent="0.3">
      <c r="B175" s="82" t="s">
        <v>700</v>
      </c>
      <c r="C175" s="75">
        <v>6.6347244512954019E-3</v>
      </c>
      <c r="D175" s="75">
        <v>9.092449466719138E-3</v>
      </c>
      <c r="E175" s="75">
        <v>-7.4128001035397725E-2</v>
      </c>
      <c r="F175" s="75">
        <f>IFERROR(SUMIFS(Tablo3[Prim],Tablo3[SMA5-20],1)/Tablo3[[#Totals],[SMA5-20]],"")</f>
        <v>0</v>
      </c>
      <c r="AJ175" s="83">
        <f>AVERAGE(C175:D175)</f>
        <v>7.86358695900727E-3</v>
      </c>
    </row>
    <row r="176" spans="2:36" x14ac:dyDescent="0.3">
      <c r="B176" s="82" t="s">
        <v>701</v>
      </c>
      <c r="C176" s="75">
        <v>-3.9255311676974908E-2</v>
      </c>
      <c r="D176" s="75">
        <v>0.20973782771535576</v>
      </c>
      <c r="E176" s="75">
        <v>6.4008374161885649E-3</v>
      </c>
      <c r="F176" s="75">
        <f>SUMIFS(Tablo3[Prim],Tablo3[MINI RALLI],1)/Tablo3[[#Totals],[MINI RALLI]]</f>
        <v>0</v>
      </c>
      <c r="AJ176" s="83">
        <f t="shared" ref="AJ176:AJ204" si="5">AVERAGE(C176:D176)</f>
        <v>8.5241258019190427E-2</v>
      </c>
    </row>
    <row r="177" spans="2:36" x14ac:dyDescent="0.3">
      <c r="B177" s="82" t="s">
        <v>702</v>
      </c>
      <c r="C177" s="75">
        <v>-3.9720006695566842E-3</v>
      </c>
      <c r="D177" s="75">
        <v>-0.23255596647744969</v>
      </c>
      <c r="E177" s="75">
        <v>-3.1961227120107391E-2</v>
      </c>
      <c r="F177" s="75">
        <f>SUMIFS(Tablo3[Prim],Tablo3[DAHI],1)/Tablo3[[#Totals],[DAHI]]</f>
        <v>0</v>
      </c>
      <c r="AJ177" s="83">
        <f t="shared" si="5"/>
        <v>-0.11826398357350319</v>
      </c>
    </row>
    <row r="178" spans="2:36" x14ac:dyDescent="0.3">
      <c r="B178" s="82" t="s">
        <v>703</v>
      </c>
      <c r="C178" s="75">
        <v>-4.4242442748684566E-2</v>
      </c>
      <c r="D178" s="75">
        <v>6.2159940042225328E-3</v>
      </c>
      <c r="E178" s="75">
        <v>-2.3579921148998761E-2</v>
      </c>
      <c r="F178" s="75">
        <f>SUMIFS(Tablo3[Prim],Tablo3[TK],1)/Tablo3[[#Totals],[TK]]</f>
        <v>0</v>
      </c>
      <c r="AJ178" s="83">
        <f t="shared" si="5"/>
        <v>-1.9013224372231016E-2</v>
      </c>
    </row>
    <row r="179" spans="2:36" x14ac:dyDescent="0.3">
      <c r="B179" s="82" t="s">
        <v>704</v>
      </c>
      <c r="C179" s="75">
        <v>-1.0058206794781378E-2</v>
      </c>
      <c r="D179" s="75">
        <v>-1.2001672340849054E-2</v>
      </c>
      <c r="E179" s="75">
        <v>-3.511653120868851E-2</v>
      </c>
      <c r="F179" s="75">
        <f>SUMIFS(Tablo3[Prim],Tablo3[ICH],1)/Tablo3[[#Totals],[ICH]]</f>
        <v>0</v>
      </c>
      <c r="AJ179" s="83">
        <f t="shared" si="5"/>
        <v>-1.1029939567815216E-2</v>
      </c>
    </row>
    <row r="180" spans="2:36" x14ac:dyDescent="0.3">
      <c r="B180" s="82" t="s">
        <v>705</v>
      </c>
      <c r="C180" s="75">
        <v>7.3011362742414591E-3</v>
      </c>
      <c r="D180" s="75">
        <v>1.7365370578339909E-3</v>
      </c>
      <c r="E180" s="75">
        <v>0.28160919540229901</v>
      </c>
      <c r="F180" s="75" t="str">
        <f>IFERROR(SUMIFS(Tablo3[Prim],Tablo3[BYB],1)/Tablo3[[#Totals],[BYB]],"")</f>
        <v/>
      </c>
      <c r="AJ180" s="83">
        <f t="shared" si="5"/>
        <v>4.518836666037725E-3</v>
      </c>
    </row>
    <row r="181" spans="2:36" x14ac:dyDescent="0.3">
      <c r="B181" s="82" t="s">
        <v>706</v>
      </c>
      <c r="C181" s="75">
        <v>-2.6098890582236516E-2</v>
      </c>
      <c r="D181" s="75">
        <v>1.552013422818792E-2</v>
      </c>
      <c r="E181" s="75">
        <v>-1.4438018913999043E-2</v>
      </c>
      <c r="F181" s="75">
        <f>SUMIFS(Tablo3[Prim],Tablo3[ZKN İYİ ALIM Y.],1)/Tablo3[[#Totals],[ZKN İYİ ALIM Y.]]</f>
        <v>0</v>
      </c>
      <c r="AJ181" s="83">
        <f t="shared" si="5"/>
        <v>-5.289378177024298E-3</v>
      </c>
    </row>
    <row r="182" spans="2:36" x14ac:dyDescent="0.3">
      <c r="B182" s="82" t="s">
        <v>707</v>
      </c>
      <c r="C182" s="75">
        <v>1.110864944978752E-3</v>
      </c>
      <c r="D182" s="75">
        <v>2.3075206211680084E-2</v>
      </c>
      <c r="E182" s="75">
        <v>-5.8712085019414176E-2</v>
      </c>
      <c r="F182" s="75">
        <f>SUMIFS(Tablo3[Prim],Tablo3[PU],1)/Tablo3[[#Totals],[PU]]</f>
        <v>0</v>
      </c>
      <c r="AJ182" s="83">
        <f t="shared" si="5"/>
        <v>1.2093035578329418E-2</v>
      </c>
    </row>
    <row r="183" spans="2:36" x14ac:dyDescent="0.3">
      <c r="B183" s="82" t="s">
        <v>708</v>
      </c>
      <c r="C183" s="75">
        <v>-1.2970700333532335E-2</v>
      </c>
      <c r="D183" s="75">
        <v>1.5351538116231083E-2</v>
      </c>
      <c r="E183" s="75">
        <v>-2.8036823471108377E-2</v>
      </c>
      <c r="F183" s="75">
        <f>SUMIFS(Tablo3[Prim],Tablo3[SAR DÜZELTMESİ],1)/Tablo3[[#Totals],[SAR DÜZELTMESİ]]</f>
        <v>0</v>
      </c>
      <c r="AJ183" s="83">
        <f t="shared" si="5"/>
        <v>1.190418891349374E-3</v>
      </c>
    </row>
    <row r="184" spans="2:36" x14ac:dyDescent="0.3">
      <c r="B184" s="82" t="s">
        <v>709</v>
      </c>
      <c r="C184" s="75">
        <v>-3.1000262351592249E-2</v>
      </c>
      <c r="D184" s="75">
        <v>5.8475203552923807E-2</v>
      </c>
      <c r="E184" s="75">
        <v>-6.7484227564782437E-2</v>
      </c>
      <c r="F184" s="75" t="str">
        <f>IFERROR(SUMIFS(Tablo3[Prim],Tablo3[FLAMA ÜÇG],1)/Tablo3[[#Totals],[FLAMA ÜÇG]],"")</f>
        <v/>
      </c>
      <c r="AJ184" s="83">
        <f t="shared" si="5"/>
        <v>1.3737470600665779E-2</v>
      </c>
    </row>
    <row r="185" spans="2:36" x14ac:dyDescent="0.3">
      <c r="B185" s="82" t="s">
        <v>710</v>
      </c>
      <c r="C185" s="75">
        <v>-4.3333333333333335E-2</v>
      </c>
      <c r="D185" s="75" t="s">
        <v>741</v>
      </c>
      <c r="E185" s="75">
        <v>0.1388036809815951</v>
      </c>
      <c r="F185" s="75">
        <f>IFERROR(SUMIFS(Tablo3[Prim],Tablo3[DİBİNİ SIY.],1)/Tablo3[[#Totals],[DİBİNİ SIY.]],"")</f>
        <v>0</v>
      </c>
      <c r="AJ185" s="83">
        <f t="shared" si="5"/>
        <v>-4.3333333333333335E-2</v>
      </c>
    </row>
    <row r="186" spans="2:36" x14ac:dyDescent="0.3">
      <c r="B186" s="82" t="s">
        <v>731</v>
      </c>
      <c r="C186" s="75">
        <v>-2.5608820680360772E-2</v>
      </c>
      <c r="D186" s="75">
        <v>-2.2916424243919518E-2</v>
      </c>
      <c r="E186" s="75">
        <v>5.2448468952167662E-3</v>
      </c>
      <c r="F186" s="75">
        <f>SUMIFS(Tablo3[Prim],Tablo3[ZKN HO],1)/Tablo3[[#Totals],[ZKN HO]]</f>
        <v>0</v>
      </c>
      <c r="AJ186" s="83">
        <f t="shared" si="5"/>
        <v>-2.4262622462140143E-2</v>
      </c>
    </row>
    <row r="187" spans="2:36" x14ac:dyDescent="0.3">
      <c r="B187" s="82" t="s">
        <v>711</v>
      </c>
      <c r="C187" s="75">
        <v>-3.7035270615865812E-2</v>
      </c>
      <c r="D187" s="75">
        <v>4.910980511973416E-2</v>
      </c>
      <c r="E187" s="75">
        <v>-3.2948458306350625E-2</v>
      </c>
      <c r="F187" s="75">
        <f>SUMIFS(Tablo3[Prim],Tablo3[VOL K. S.],1)/Tablo3[[#Totals],[VOL K. S.]]</f>
        <v>0</v>
      </c>
      <c r="AJ187" s="83">
        <f t="shared" si="5"/>
        <v>6.0372672519341739E-3</v>
      </c>
    </row>
    <row r="188" spans="2:36" x14ac:dyDescent="0.3">
      <c r="B188" s="82" t="s">
        <v>712</v>
      </c>
      <c r="C188" s="75">
        <v>5.2826255619348228E-2</v>
      </c>
      <c r="D188" s="75">
        <v>6.959594631665815E-2</v>
      </c>
      <c r="E188" s="75" t="s">
        <v>741</v>
      </c>
      <c r="F188" s="75">
        <f>IFERROR(SUMIFS(Tablo3[Prim],Tablo3[BOLLING],1)/Tablo3[[#Totals],[BOLLING]],"")</f>
        <v>0</v>
      </c>
      <c r="AJ188" s="83">
        <f t="shared" si="5"/>
        <v>6.1211100968003189E-2</v>
      </c>
    </row>
    <row r="189" spans="2:36" x14ac:dyDescent="0.3">
      <c r="B189" s="82" t="s">
        <v>713</v>
      </c>
      <c r="C189" s="75">
        <v>3.3167495854063492E-3</v>
      </c>
      <c r="D189" s="75" t="s">
        <v>741</v>
      </c>
      <c r="E189" s="75">
        <v>-9.150129870129875E-2</v>
      </c>
      <c r="F189" s="75">
        <f>IFERROR(SUMIFS(Tablo3[Prim],Tablo3[GÖST],1)/Tablo3[[#Totals],[GÖST]],"")</f>
        <v>0</v>
      </c>
      <c r="AJ189" s="83">
        <f t="shared" si="5"/>
        <v>3.3167495854063492E-3</v>
      </c>
    </row>
    <row r="190" spans="2:36" x14ac:dyDescent="0.3">
      <c r="B190" s="82" t="s">
        <v>714</v>
      </c>
      <c r="C190" s="75">
        <v>2.6376504681690911E-2</v>
      </c>
      <c r="D190" s="75">
        <v>-7.6493506015267096E-3</v>
      </c>
      <c r="E190" s="75">
        <v>-6.3600116222467928E-3</v>
      </c>
      <c r="F190" s="75">
        <f>SUMIFS(Tablo3[Prim],Tablo3[DAHI 2],1)/Tablo3[[#Totals],[DAHI 2]]</f>
        <v>0</v>
      </c>
      <c r="AJ190" s="83">
        <f t="shared" si="5"/>
        <v>9.3635770400821005E-3</v>
      </c>
    </row>
    <row r="191" spans="2:36" x14ac:dyDescent="0.3">
      <c r="B191" s="82" t="s">
        <v>715</v>
      </c>
      <c r="C191" s="75">
        <v>-1.3877511994233491E-2</v>
      </c>
      <c r="D191" s="75">
        <v>0</v>
      </c>
      <c r="E191" s="75">
        <v>-8.2190407859882325E-2</v>
      </c>
      <c r="F191" s="75" t="str">
        <f>IFERROR(SUMIFS(Tablo3[Prim],Tablo3[SWING TR 3],1)/Tablo3[[#Totals],[SWING TR 3]],"")</f>
        <v/>
      </c>
      <c r="AJ191" s="83">
        <f t="shared" si="5"/>
        <v>-6.9387559971167455E-3</v>
      </c>
    </row>
    <row r="192" spans="2:36" x14ac:dyDescent="0.3">
      <c r="B192" s="82" t="s">
        <v>716</v>
      </c>
      <c r="C192" s="75">
        <v>-1.3538142090583596E-2</v>
      </c>
      <c r="D192" s="75">
        <v>-1.3542840310515893E-2</v>
      </c>
      <c r="E192" s="75">
        <v>-1.4403669829300808E-2</v>
      </c>
      <c r="F192" s="75">
        <f>SUMIFS(Tablo3[Prim],Tablo3[TT2],1)/Tablo3[[#Totals],[TT2]]</f>
        <v>0</v>
      </c>
      <c r="AJ192" s="83">
        <f t="shared" si="5"/>
        <v>-1.3540491200549745E-2</v>
      </c>
    </row>
    <row r="193" spans="2:36" x14ac:dyDescent="0.3">
      <c r="B193" s="82" t="s">
        <v>717</v>
      </c>
      <c r="C193" s="75">
        <v>-3.7465114563432517E-2</v>
      </c>
      <c r="D193" s="75">
        <v>-3.746097814776269E-2</v>
      </c>
      <c r="E193" s="75">
        <v>3.3234052522093736E-2</v>
      </c>
      <c r="F193" s="75">
        <f>SUMIFS(Tablo3[Prim],Tablo3[PSAR+ADX],1)/Tablo3[[#Totals],[PSAR+ADX]]</f>
        <v>0</v>
      </c>
      <c r="AJ193" s="83">
        <f t="shared" si="5"/>
        <v>-3.7463046355597607E-2</v>
      </c>
    </row>
    <row r="194" spans="2:36" x14ac:dyDescent="0.3">
      <c r="B194" s="82" t="s">
        <v>718</v>
      </c>
      <c r="C194" s="75">
        <v>8.8985719061006035E-3</v>
      </c>
      <c r="D194" s="75">
        <v>3.2493797339168691E-2</v>
      </c>
      <c r="E194" s="75">
        <v>-6.6666666666666693E-2</v>
      </c>
      <c r="F194" s="75">
        <f>SUMIFS(Tablo3[Prim],Tablo3[ADX20],1)/Tablo3[[#Totals],[ADX20]]</f>
        <v>0</v>
      </c>
      <c r="AJ194" s="83">
        <f t="shared" si="5"/>
        <v>2.0696184622634648E-2</v>
      </c>
    </row>
    <row r="195" spans="2:36" x14ac:dyDescent="0.3">
      <c r="B195" s="82" t="s">
        <v>719</v>
      </c>
      <c r="C195" s="75">
        <v>-3.2818970545813175E-2</v>
      </c>
      <c r="D195" s="75">
        <v>0</v>
      </c>
      <c r="E195" s="75">
        <v>6.1764189957076075E-2</v>
      </c>
      <c r="F195" s="75">
        <f>SUMIFS(Tablo3[Prim],Tablo3[MACD + S],1)/Tablo3[[#Totals],[MACD + S]]</f>
        <v>0</v>
      </c>
      <c r="AJ195" s="83">
        <f t="shared" si="5"/>
        <v>-1.6409485272906588E-2</v>
      </c>
    </row>
    <row r="196" spans="2:36" x14ac:dyDescent="0.3">
      <c r="B196" s="82" t="s">
        <v>720</v>
      </c>
      <c r="C196" s="75">
        <v>-7.000762304874909E-3</v>
      </c>
      <c r="D196" s="75">
        <v>4.2503427003397876E-2</v>
      </c>
      <c r="E196" s="75">
        <v>4.0836560963064608E-2</v>
      </c>
      <c r="F196" s="75">
        <f>SUMIFS(Tablo3[Prim],Tablo3[DRI MOM],1)/Tablo3[[#Totals],[DRI MOM]]</f>
        <v>0</v>
      </c>
      <c r="AJ196" s="83">
        <f t="shared" si="5"/>
        <v>1.7751332349261482E-2</v>
      </c>
    </row>
    <row r="197" spans="2:36" x14ac:dyDescent="0.3">
      <c r="B197" s="82" t="s">
        <v>721</v>
      </c>
      <c r="C197" s="75">
        <v>4.1642784300047015E-3</v>
      </c>
      <c r="D197" s="75">
        <v>1.804123711340206E-2</v>
      </c>
      <c r="E197" s="75">
        <v>-2.0391715244656466E-2</v>
      </c>
      <c r="F197" s="75">
        <f>SUMIFS(Tablo3[Prim],Tablo3[DKA],1)/Tablo3[[#Totals],[DKA]]</f>
        <v>0</v>
      </c>
      <c r="AJ197" s="83">
        <f t="shared" si="5"/>
        <v>1.1102757771703381E-2</v>
      </c>
    </row>
    <row r="198" spans="2:36" x14ac:dyDescent="0.3">
      <c r="B198" s="82" t="s">
        <v>722</v>
      </c>
      <c r="C198" s="75">
        <v>-7.8250829657513579E-3</v>
      </c>
      <c r="D198" s="75">
        <v>2.6371885000286661E-2</v>
      </c>
      <c r="E198" s="75">
        <v>-2.5194848299441193E-3</v>
      </c>
      <c r="F198" s="75">
        <f>SUMIFS(Tablo3[Prim],Tablo3[MFI50],1)/Tablo3[[#Totals],[MFI50]]</f>
        <v>0</v>
      </c>
      <c r="AJ198" s="83">
        <f t="shared" si="5"/>
        <v>9.2734010172676514E-3</v>
      </c>
    </row>
    <row r="199" spans="2:36" x14ac:dyDescent="0.3">
      <c r="B199" s="82" t="s">
        <v>723</v>
      </c>
      <c r="C199" s="75">
        <v>-7.0203637427918783E-2</v>
      </c>
      <c r="D199" s="75">
        <v>6.638621429175183E-2</v>
      </c>
      <c r="E199" s="75">
        <v>-2.7760824118934255E-2</v>
      </c>
      <c r="F199" s="75">
        <f>SUMIFS(Tablo3[Prim],Tablo3[EMA5-20],1)/Tablo3[[#Totals],[EMA5-20]]</f>
        <v>0</v>
      </c>
      <c r="AJ199" s="83">
        <f t="shared" si="5"/>
        <v>-1.9087115680834765E-3</v>
      </c>
    </row>
    <row r="200" spans="2:36" x14ac:dyDescent="0.3">
      <c r="B200" s="82" t="s">
        <v>724</v>
      </c>
      <c r="C200" s="75">
        <v>-8.2018514313078203E-2</v>
      </c>
      <c r="D200" s="75">
        <v>6.8044958547680848E-2</v>
      </c>
      <c r="E200" s="75">
        <v>-4.9076531161463703E-2</v>
      </c>
      <c r="F200" s="75" t="str">
        <f>IFERROR(SUMIFS(Tablo3[Prim],Tablo3[EMA20-50],1)/Tablo3[[#Totals],[EMA20-50]],"")</f>
        <v/>
      </c>
      <c r="AJ200" s="83">
        <f t="shared" si="5"/>
        <v>-6.9867778826986776E-3</v>
      </c>
    </row>
    <row r="201" spans="2:36" x14ac:dyDescent="0.3">
      <c r="B201" s="82" t="s">
        <v>725</v>
      </c>
      <c r="C201" s="75">
        <v>-2.0904736418500641E-2</v>
      </c>
      <c r="D201" s="75">
        <v>-1.6177096636866711E-2</v>
      </c>
      <c r="E201" s="75">
        <v>-8.0445544554455489E-2</v>
      </c>
      <c r="F201" s="75">
        <f>SUMIFS(Tablo3[Prim],Tablo3[MACD 0 Y],1)/Tablo3[[#Totals],[MACD 0 Y]]</f>
        <v>0</v>
      </c>
      <c r="AJ201" s="83">
        <f t="shared" si="5"/>
        <v>-1.8540916527683676E-2</v>
      </c>
    </row>
    <row r="202" spans="2:36" x14ac:dyDescent="0.3">
      <c r="B202" s="82" t="s">
        <v>726</v>
      </c>
      <c r="C202" s="75">
        <v>-3.2461291122035656E-2</v>
      </c>
      <c r="D202" s="75">
        <v>-0.21229445146830761</v>
      </c>
      <c r="E202" s="75">
        <v>9.6333796253264437E-2</v>
      </c>
      <c r="F202" s="75">
        <f>SUMIFS(Tablo3[Prim],Tablo3[EMALAR S.],1)/Tablo3[[#Totals],[EMALAR S.]]</f>
        <v>0</v>
      </c>
      <c r="AJ202" s="83">
        <f t="shared" si="5"/>
        <v>-0.12237787129517164</v>
      </c>
    </row>
    <row r="203" spans="2:36" x14ac:dyDescent="0.3">
      <c r="B203" s="82" t="s">
        <v>727</v>
      </c>
      <c r="C203" s="75">
        <v>-1.0611441726079229E-3</v>
      </c>
      <c r="D203" s="75">
        <v>1.7574692442882249E-3</v>
      </c>
      <c r="E203" s="75">
        <v>-5.7290145884329603E-2</v>
      </c>
      <c r="F203" s="75">
        <f>SUMIFS(Tablo3[Prim],Tablo3[P.SAR + EMA],1)/Tablo3[[#Totals],[P.SAR + EMA]]</f>
        <v>0</v>
      </c>
      <c r="AJ203" s="83">
        <f t="shared" si="5"/>
        <v>3.4816253584015096E-4</v>
      </c>
    </row>
    <row r="204" spans="2:36" x14ac:dyDescent="0.3">
      <c r="B204" s="82" t="s">
        <v>728</v>
      </c>
      <c r="C204" s="75">
        <v>-2.5868690605203783E-2</v>
      </c>
      <c r="D204" s="75">
        <v>-0.26474698034468264</v>
      </c>
      <c r="E204" s="75">
        <v>6.2231442185899183E-2</v>
      </c>
      <c r="F204" s="75">
        <f>SUMIFS(Tablo3[Prim],Tablo3[HULL],1)/Tablo3[[#Totals],[HULL]]</f>
        <v>0</v>
      </c>
      <c r="AJ204" s="83">
        <f t="shared" si="5"/>
        <v>-0.14530783547494322</v>
      </c>
    </row>
    <row r="206" spans="2:36" x14ac:dyDescent="0.3">
      <c r="C206" s="83">
        <f>AVERAGE(C175:C204)</f>
        <v>-1.6932991747262875E-2</v>
      </c>
      <c r="D206" s="83">
        <f t="shared" ref="D206:E206" si="6">AVERAGE(D175:D204)</f>
        <v>-3.7798617943699203E-3</v>
      </c>
      <c r="E206" s="83">
        <f t="shared" si="6"/>
        <v>-4.7776893684596056E-3</v>
      </c>
    </row>
  </sheetData>
  <conditionalFormatting sqref="C175:AF204">
    <cfRule type="colorScale" priority="2">
      <colorScale>
        <cfvo type="min"/>
        <cfvo type="formula" val="$C$173"/>
        <cfvo type="max"/>
        <color rgb="FFF8696B"/>
        <color theme="0"/>
        <color rgb="FF63BE7B"/>
      </colorScale>
    </cfRule>
  </conditionalFormatting>
  <conditionalFormatting sqref="AJ175:AJ20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10</vt:i4>
      </vt:variant>
    </vt:vector>
  </HeadingPairs>
  <TitlesOfParts>
    <vt:vector size="10" baseType="lpstr">
      <vt:lpstr>Portföy</vt:lpstr>
      <vt:lpstr>İşlem</vt:lpstr>
      <vt:lpstr>Sayfa4</vt:lpstr>
      <vt:lpstr>ALSAT</vt:lpstr>
      <vt:lpstr>işlem btc</vt:lpstr>
      <vt:lpstr>bt as</vt:lpstr>
      <vt:lpstr>alsat btc</vt:lpstr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KF68796</dc:creator>
  <cp:lastModifiedBy>KF68796</cp:lastModifiedBy>
  <cp:lastPrinted>2024-08-09T11:02:05Z</cp:lastPrinted>
  <dcterms:created xsi:type="dcterms:W3CDTF">2024-06-19T08:13:38Z</dcterms:created>
  <dcterms:modified xsi:type="dcterms:W3CDTF">2025-02-04T09:11:27Z</dcterms:modified>
</cp:coreProperties>
</file>