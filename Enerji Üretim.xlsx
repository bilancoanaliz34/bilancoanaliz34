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G:\Drive'ım\Diğer\Borsa Analiz\"/>
    </mc:Choice>
  </mc:AlternateContent>
  <xr:revisionPtr revIDLastSave="0" documentId="13_ncr:1_{A6C2A232-5FF9-467B-942B-10D8F15EB0A8}" xr6:coauthVersionLast="47" xr6:coauthVersionMax="47" xr10:uidLastSave="{00000000-0000-0000-0000-000000000000}"/>
  <bookViews>
    <workbookView xWindow="-28920" yWindow="2325" windowWidth="29040" windowHeight="15840" xr2:uid="{00000000-000D-0000-FFFF-FFFF00000000}"/>
  </bookViews>
  <sheets>
    <sheet name="data" sheetId="1" r:id="rId1"/>
    <sheet name="Sayfa1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" l="1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B29" i="2"/>
  <c r="C29" i="2"/>
  <c r="D29" i="2"/>
  <c r="E29" i="2"/>
  <c r="F29" i="2"/>
  <c r="G29" i="2"/>
  <c r="H29" i="2"/>
  <c r="I29" i="2"/>
  <c r="J29" i="2"/>
  <c r="K29" i="2"/>
  <c r="L29" i="2"/>
  <c r="B30" i="2"/>
  <c r="AF30" i="2" s="1"/>
  <c r="C30" i="2"/>
  <c r="D30" i="2"/>
  <c r="E30" i="2"/>
  <c r="F30" i="2"/>
  <c r="G30" i="2"/>
  <c r="H30" i="2"/>
  <c r="I30" i="2"/>
  <c r="J30" i="2"/>
  <c r="K30" i="2"/>
  <c r="L30" i="2"/>
  <c r="B15" i="2"/>
  <c r="C15" i="2"/>
  <c r="D15" i="2"/>
  <c r="E15" i="2"/>
  <c r="F15" i="2"/>
  <c r="G15" i="2"/>
  <c r="H15" i="2"/>
  <c r="I15" i="2"/>
  <c r="J15" i="2"/>
  <c r="AB15" i="2" s="1"/>
  <c r="K15" i="2"/>
  <c r="L15" i="2"/>
  <c r="B16" i="2"/>
  <c r="AF16" i="2" s="1"/>
  <c r="C16" i="2"/>
  <c r="D16" i="2"/>
  <c r="E16" i="2"/>
  <c r="F16" i="2"/>
  <c r="G16" i="2"/>
  <c r="H16" i="2"/>
  <c r="I16" i="2"/>
  <c r="J16" i="2"/>
  <c r="K16" i="2"/>
  <c r="L16" i="2"/>
  <c r="B17" i="2"/>
  <c r="AF17" i="2" s="1"/>
  <c r="C17" i="2"/>
  <c r="D17" i="2"/>
  <c r="E17" i="2"/>
  <c r="F17" i="2"/>
  <c r="G17" i="2"/>
  <c r="H17" i="2"/>
  <c r="I17" i="2"/>
  <c r="J17" i="2"/>
  <c r="K17" i="2"/>
  <c r="L17" i="2"/>
  <c r="B18" i="2"/>
  <c r="AF18" i="2" s="1"/>
  <c r="C18" i="2"/>
  <c r="D18" i="2"/>
  <c r="E18" i="2"/>
  <c r="F18" i="2"/>
  <c r="G18" i="2"/>
  <c r="H18" i="2"/>
  <c r="I18" i="2"/>
  <c r="J18" i="2"/>
  <c r="K18" i="2"/>
  <c r="L18" i="2"/>
  <c r="B19" i="2"/>
  <c r="AF19" i="2" s="1"/>
  <c r="C19" i="2"/>
  <c r="D19" i="2"/>
  <c r="E19" i="2"/>
  <c r="F19" i="2"/>
  <c r="G19" i="2"/>
  <c r="H19" i="2"/>
  <c r="I19" i="2"/>
  <c r="J19" i="2"/>
  <c r="AB19" i="2" s="1"/>
  <c r="K19" i="2"/>
  <c r="L19" i="2"/>
  <c r="B20" i="2"/>
  <c r="C20" i="2"/>
  <c r="D20" i="2"/>
  <c r="E20" i="2"/>
  <c r="F20" i="2"/>
  <c r="G20" i="2"/>
  <c r="H20" i="2"/>
  <c r="I20" i="2"/>
  <c r="J20" i="2"/>
  <c r="AB20" i="2" s="1"/>
  <c r="K20" i="2"/>
  <c r="AC20" i="2" s="1"/>
  <c r="L20" i="2"/>
  <c r="B21" i="2"/>
  <c r="AF21" i="2" s="1"/>
  <c r="C21" i="2"/>
  <c r="D21" i="2"/>
  <c r="E21" i="2"/>
  <c r="F21" i="2"/>
  <c r="G21" i="2"/>
  <c r="H21" i="2"/>
  <c r="I21" i="2"/>
  <c r="J21" i="2"/>
  <c r="AB21" i="2" s="1"/>
  <c r="K21" i="2"/>
  <c r="L21" i="2"/>
  <c r="B22" i="2"/>
  <c r="AF22" i="2" s="1"/>
  <c r="C22" i="2"/>
  <c r="D22" i="2"/>
  <c r="E22" i="2"/>
  <c r="F22" i="2"/>
  <c r="G22" i="2"/>
  <c r="H22" i="2"/>
  <c r="I22" i="2"/>
  <c r="J22" i="2"/>
  <c r="K22" i="2"/>
  <c r="L22" i="2"/>
  <c r="B23" i="2"/>
  <c r="AF23" i="2" s="1"/>
  <c r="C23" i="2"/>
  <c r="D23" i="2"/>
  <c r="E23" i="2"/>
  <c r="F23" i="2"/>
  <c r="G23" i="2"/>
  <c r="H23" i="2"/>
  <c r="I23" i="2"/>
  <c r="J23" i="2"/>
  <c r="K23" i="2"/>
  <c r="L23" i="2"/>
  <c r="B24" i="2"/>
  <c r="AF24" i="2" s="1"/>
  <c r="C24" i="2"/>
  <c r="D24" i="2"/>
  <c r="E24" i="2"/>
  <c r="F24" i="2"/>
  <c r="G24" i="2"/>
  <c r="H24" i="2"/>
  <c r="I24" i="2"/>
  <c r="J24" i="2"/>
  <c r="K24" i="2"/>
  <c r="L24" i="2"/>
  <c r="B25" i="2"/>
  <c r="AF25" i="2" s="1"/>
  <c r="C25" i="2"/>
  <c r="D25" i="2"/>
  <c r="E25" i="2"/>
  <c r="F25" i="2"/>
  <c r="G25" i="2"/>
  <c r="H25" i="2"/>
  <c r="I25" i="2"/>
  <c r="J25" i="2"/>
  <c r="K25" i="2"/>
  <c r="AC25" i="2" s="1"/>
  <c r="L25" i="2"/>
  <c r="B26" i="2"/>
  <c r="AF26" i="2" s="1"/>
  <c r="C26" i="2"/>
  <c r="D26" i="2"/>
  <c r="E26" i="2"/>
  <c r="F26" i="2"/>
  <c r="G26" i="2"/>
  <c r="H26" i="2"/>
  <c r="I26" i="2"/>
  <c r="J26" i="2"/>
  <c r="K26" i="2"/>
  <c r="AC26" i="2" s="1"/>
  <c r="L26" i="2"/>
  <c r="AD26" i="2" s="1"/>
  <c r="B27" i="2"/>
  <c r="AF27" i="2" s="1"/>
  <c r="C27" i="2"/>
  <c r="D27" i="2"/>
  <c r="E27" i="2"/>
  <c r="F27" i="2"/>
  <c r="G27" i="2"/>
  <c r="H27" i="2"/>
  <c r="I27" i="2"/>
  <c r="J27" i="2"/>
  <c r="K27" i="2"/>
  <c r="AC27" i="2" s="1"/>
  <c r="L27" i="2"/>
  <c r="B28" i="2"/>
  <c r="AF28" i="2" s="1"/>
  <c r="C28" i="2"/>
  <c r="D28" i="2"/>
  <c r="E28" i="2"/>
  <c r="F28" i="2"/>
  <c r="G28" i="2"/>
  <c r="H28" i="2"/>
  <c r="I28" i="2"/>
  <c r="J28" i="2"/>
  <c r="K28" i="2"/>
  <c r="L28" i="2"/>
  <c r="B11" i="2" l="1"/>
  <c r="B12" i="2"/>
  <c r="B13" i="2"/>
  <c r="B14" i="2"/>
  <c r="C11" i="2"/>
  <c r="C12" i="2"/>
  <c r="C13" i="2"/>
  <c r="C14" i="2"/>
  <c r="D11" i="2"/>
  <c r="D12" i="2"/>
  <c r="D13" i="2"/>
  <c r="D14" i="2"/>
  <c r="E11" i="2"/>
  <c r="E12" i="2"/>
  <c r="E13" i="2"/>
  <c r="E14" i="2"/>
  <c r="F11" i="2"/>
  <c r="F12" i="2"/>
  <c r="F13" i="2"/>
  <c r="F14" i="2"/>
  <c r="G11" i="2"/>
  <c r="G12" i="2"/>
  <c r="G13" i="2"/>
  <c r="G14" i="2"/>
  <c r="H11" i="2"/>
  <c r="H12" i="2"/>
  <c r="H13" i="2"/>
  <c r="H14" i="2"/>
  <c r="I11" i="2"/>
  <c r="I12" i="2"/>
  <c r="I13" i="2"/>
  <c r="I14" i="2"/>
  <c r="J11" i="2"/>
  <c r="J12" i="2"/>
  <c r="J13" i="2"/>
  <c r="J14" i="2"/>
  <c r="K11" i="2"/>
  <c r="K12" i="2"/>
  <c r="K13" i="2"/>
  <c r="K14" i="2"/>
  <c r="L11" i="2"/>
  <c r="L12" i="2"/>
  <c r="L13" i="2"/>
  <c r="L14" i="2"/>
  <c r="AF12" i="2" l="1"/>
  <c r="N12" i="2" s="1"/>
  <c r="AF11" i="2"/>
  <c r="N11" i="2" s="1"/>
  <c r="AF14" i="2"/>
  <c r="N14" i="2" s="1"/>
  <c r="AF13" i="2"/>
  <c r="N13" i="2" s="1"/>
  <c r="D3" i="2"/>
  <c r="D4" i="2"/>
  <c r="D5" i="2"/>
  <c r="D6" i="2"/>
  <c r="D7" i="2"/>
  <c r="D8" i="2"/>
  <c r="D9" i="2"/>
  <c r="D10" i="2"/>
  <c r="R33" i="1"/>
  <c r="T33" i="1" s="1"/>
  <c r="R32" i="1"/>
  <c r="T32" i="1" s="1"/>
  <c r="R31" i="1"/>
  <c r="T31" i="1" s="1"/>
  <c r="R30" i="1"/>
  <c r="T30" i="1" s="1"/>
  <c r="R29" i="1"/>
  <c r="T29" i="1" s="1"/>
  <c r="R28" i="1"/>
  <c r="T28" i="1" s="1"/>
  <c r="R27" i="1"/>
  <c r="T27" i="1" s="1"/>
  <c r="R26" i="1"/>
  <c r="T26" i="1" s="1"/>
  <c r="R25" i="1"/>
  <c r="T25" i="1" s="1"/>
  <c r="R24" i="1"/>
  <c r="T24" i="1" s="1"/>
  <c r="R23" i="1"/>
  <c r="T23" i="1" s="1"/>
  <c r="R22" i="1"/>
  <c r="T22" i="1" s="1"/>
  <c r="R21" i="1"/>
  <c r="T21" i="1" s="1"/>
  <c r="V30" i="2" l="1"/>
  <c r="V28" i="2"/>
  <c r="V26" i="2"/>
  <c r="V24" i="2"/>
  <c r="V22" i="2"/>
  <c r="V20" i="2"/>
  <c r="V18" i="2"/>
  <c r="V16" i="2"/>
  <c r="V29" i="2"/>
  <c r="V27" i="2"/>
  <c r="V25" i="2"/>
  <c r="V23" i="2"/>
  <c r="V21" i="2"/>
  <c r="V19" i="2"/>
  <c r="V17" i="2"/>
  <c r="V15" i="2"/>
  <c r="V14" i="2"/>
  <c r="V11" i="2"/>
  <c r="V12" i="2"/>
  <c r="V13" i="2"/>
  <c r="R3" i="1"/>
  <c r="T3" i="1" s="1"/>
  <c r="R4" i="1"/>
  <c r="T4" i="1" s="1"/>
  <c r="R5" i="1"/>
  <c r="T5" i="1" s="1"/>
  <c r="R6" i="1"/>
  <c r="T6" i="1" s="1"/>
  <c r="R7" i="1"/>
  <c r="T7" i="1" s="1"/>
  <c r="R8" i="1"/>
  <c r="T8" i="1" s="1"/>
  <c r="R9" i="1"/>
  <c r="T9" i="1" s="1"/>
  <c r="R10" i="1"/>
  <c r="T10" i="1" s="1"/>
  <c r="R11" i="1"/>
  <c r="T11" i="1" s="1"/>
  <c r="R12" i="1"/>
  <c r="T12" i="1" s="1"/>
  <c r="R13" i="1"/>
  <c r="T13" i="1" s="1"/>
  <c r="R14" i="1"/>
  <c r="T14" i="1" s="1"/>
  <c r="R15" i="1"/>
  <c r="T15" i="1" s="1"/>
  <c r="R16" i="1"/>
  <c r="T16" i="1" s="1"/>
  <c r="R17" i="1"/>
  <c r="T17" i="1" s="1"/>
  <c r="R18" i="1"/>
  <c r="T18" i="1" s="1"/>
  <c r="R19" i="1"/>
  <c r="T19" i="1" s="1"/>
  <c r="R20" i="1"/>
  <c r="T20" i="1" s="1"/>
  <c r="R2" i="1"/>
  <c r="T2" i="1" s="1"/>
  <c r="L10" i="2"/>
  <c r="K10" i="2"/>
  <c r="J10" i="2"/>
  <c r="I10" i="2"/>
  <c r="H10" i="2"/>
  <c r="G10" i="2"/>
  <c r="F10" i="2"/>
  <c r="E10" i="2"/>
  <c r="C10" i="2"/>
  <c r="B10" i="2"/>
  <c r="AF10" i="2" s="1"/>
  <c r="L9" i="2"/>
  <c r="K9" i="2"/>
  <c r="J9" i="2"/>
  <c r="I9" i="2"/>
  <c r="H9" i="2"/>
  <c r="G9" i="2"/>
  <c r="F9" i="2"/>
  <c r="E9" i="2"/>
  <c r="C9" i="2"/>
  <c r="B9" i="2"/>
  <c r="AF9" i="2" s="1"/>
  <c r="N10" i="2" l="1"/>
  <c r="N9" i="2"/>
  <c r="L8" i="2"/>
  <c r="K8" i="2"/>
  <c r="J8" i="2"/>
  <c r="I8" i="2"/>
  <c r="H8" i="2"/>
  <c r="G8" i="2"/>
  <c r="F8" i="2"/>
  <c r="E8" i="2"/>
  <c r="C8" i="2"/>
  <c r="B8" i="2"/>
  <c r="L7" i="2"/>
  <c r="K7" i="2"/>
  <c r="J7" i="2"/>
  <c r="I7" i="2"/>
  <c r="H7" i="2"/>
  <c r="G7" i="2"/>
  <c r="F7" i="2"/>
  <c r="E7" i="2"/>
  <c r="C7" i="2"/>
  <c r="B7" i="2"/>
  <c r="L6" i="2"/>
  <c r="K6" i="2"/>
  <c r="J6" i="2"/>
  <c r="I6" i="2"/>
  <c r="H6" i="2"/>
  <c r="G6" i="2"/>
  <c r="F6" i="2"/>
  <c r="E6" i="2"/>
  <c r="C6" i="2"/>
  <c r="B6" i="2"/>
  <c r="L5" i="2"/>
  <c r="K5" i="2"/>
  <c r="J5" i="2"/>
  <c r="I5" i="2"/>
  <c r="H5" i="2"/>
  <c r="G5" i="2"/>
  <c r="F5" i="2"/>
  <c r="E5" i="2"/>
  <c r="C5" i="2"/>
  <c r="B5" i="2"/>
  <c r="J3" i="2"/>
  <c r="J4" i="2"/>
  <c r="AB30" i="2" l="1"/>
  <c r="AB22" i="2"/>
  <c r="AB26" i="2"/>
  <c r="AB16" i="2"/>
  <c r="AF6" i="2"/>
  <c r="N6" i="2" s="1"/>
  <c r="N5" i="2"/>
  <c r="AB29" i="2"/>
  <c r="AB17" i="2"/>
  <c r="AB24" i="2"/>
  <c r="AB25" i="2"/>
  <c r="AB27" i="2"/>
  <c r="AB23" i="2"/>
  <c r="AB28" i="2"/>
  <c r="AB18" i="2"/>
  <c r="AB11" i="2"/>
  <c r="AB14" i="2"/>
  <c r="AF8" i="2"/>
  <c r="N8" i="2" s="1"/>
  <c r="AF7" i="2"/>
  <c r="N7" i="2" s="1"/>
  <c r="AB12" i="2"/>
  <c r="AB13" i="2"/>
  <c r="AB3" i="2"/>
  <c r="AB4" i="2"/>
  <c r="AB7" i="2"/>
  <c r="AB6" i="2"/>
  <c r="AB9" i="2"/>
  <c r="AB10" i="2"/>
  <c r="AB5" i="2"/>
  <c r="AB8" i="2"/>
  <c r="R5" i="2"/>
  <c r="L3" i="2"/>
  <c r="L4" i="2"/>
  <c r="AD20" i="2" s="1"/>
  <c r="K3" i="2"/>
  <c r="K4" i="2"/>
  <c r="AC4" i="2" s="1"/>
  <c r="I3" i="2"/>
  <c r="I4" i="2"/>
  <c r="H3" i="2"/>
  <c r="H4" i="2"/>
  <c r="Z28" i="2" s="1"/>
  <c r="G3" i="2"/>
  <c r="G4" i="2"/>
  <c r="F3" i="2"/>
  <c r="F4" i="2"/>
  <c r="E3" i="2"/>
  <c r="E4" i="2"/>
  <c r="C4" i="2"/>
  <c r="C3" i="2"/>
  <c r="U17" i="2" s="1"/>
  <c r="B3" i="2"/>
  <c r="B4" i="2"/>
  <c r="AC18" i="2" l="1"/>
  <c r="AC23" i="2"/>
  <c r="AC15" i="2"/>
  <c r="AC28" i="2"/>
  <c r="AC21" i="2"/>
  <c r="AD23" i="2"/>
  <c r="AD27" i="2"/>
  <c r="AD21" i="2"/>
  <c r="AD18" i="2"/>
  <c r="Y17" i="2"/>
  <c r="AA22" i="2"/>
  <c r="W26" i="2"/>
  <c r="Y29" i="2"/>
  <c r="AA28" i="2"/>
  <c r="AD29" i="2"/>
  <c r="Z26" i="2"/>
  <c r="Z15" i="2"/>
  <c r="Z20" i="2"/>
  <c r="U18" i="2"/>
  <c r="U20" i="2"/>
  <c r="U21" i="2"/>
  <c r="X28" i="2"/>
  <c r="X25" i="2"/>
  <c r="AC30" i="2"/>
  <c r="AC17" i="2"/>
  <c r="Y19" i="2"/>
  <c r="Y30" i="2"/>
  <c r="Y27" i="2"/>
  <c r="AA15" i="2"/>
  <c r="AA25" i="2"/>
  <c r="AA16" i="2"/>
  <c r="AA30" i="2"/>
  <c r="W28" i="2"/>
  <c r="W21" i="2"/>
  <c r="W29" i="2"/>
  <c r="AD22" i="2"/>
  <c r="AD24" i="2"/>
  <c r="Z23" i="2"/>
  <c r="U16" i="2"/>
  <c r="U29" i="2"/>
  <c r="X20" i="2"/>
  <c r="X17" i="2"/>
  <c r="Y22" i="2"/>
  <c r="AD11" i="2"/>
  <c r="AD25" i="2"/>
  <c r="AD15" i="2"/>
  <c r="Z17" i="2"/>
  <c r="Z25" i="2"/>
  <c r="Z22" i="2"/>
  <c r="Z30" i="2"/>
  <c r="U30" i="2"/>
  <c r="U15" i="2"/>
  <c r="U24" i="2"/>
  <c r="U25" i="2"/>
  <c r="X22" i="2"/>
  <c r="X30" i="2"/>
  <c r="X19" i="2"/>
  <c r="X27" i="2"/>
  <c r="AC11" i="2"/>
  <c r="AC22" i="2"/>
  <c r="AC29" i="2"/>
  <c r="Y21" i="2"/>
  <c r="Y16" i="2"/>
  <c r="Y24" i="2"/>
  <c r="AA21" i="2"/>
  <c r="AA29" i="2"/>
  <c r="AA24" i="2"/>
  <c r="AA18" i="2"/>
  <c r="W20" i="2"/>
  <c r="W16" i="2"/>
  <c r="W15" i="2"/>
  <c r="W23" i="2"/>
  <c r="AD28" i="2"/>
  <c r="AD30" i="2"/>
  <c r="Z19" i="2"/>
  <c r="Z27" i="2"/>
  <c r="Z16" i="2"/>
  <c r="Z24" i="2"/>
  <c r="U22" i="2"/>
  <c r="U19" i="2"/>
  <c r="U28" i="2"/>
  <c r="X16" i="2"/>
  <c r="X24" i="2"/>
  <c r="X21" i="2"/>
  <c r="X29" i="2"/>
  <c r="AC14" i="2"/>
  <c r="AC19" i="2"/>
  <c r="Y23" i="2"/>
  <c r="Y18" i="2"/>
  <c r="Y26" i="2"/>
  <c r="Y15" i="2"/>
  <c r="AA19" i="2"/>
  <c r="AA26" i="2"/>
  <c r="W22" i="2"/>
  <c r="W18" i="2"/>
  <c r="W17" i="2"/>
  <c r="W25" i="2"/>
  <c r="AF4" i="2"/>
  <c r="N4" i="2" s="1"/>
  <c r="AD17" i="2"/>
  <c r="AD19" i="2"/>
  <c r="AD16" i="2"/>
  <c r="Z21" i="2"/>
  <c r="Z29" i="2"/>
  <c r="Z18" i="2"/>
  <c r="U27" i="2"/>
  <c r="U23" i="2"/>
  <c r="U26" i="2"/>
  <c r="X18" i="2"/>
  <c r="X26" i="2"/>
  <c r="X15" i="2"/>
  <c r="X23" i="2"/>
  <c r="AC24" i="2"/>
  <c r="AC16" i="2"/>
  <c r="Y25" i="2"/>
  <c r="T25" i="2" s="1"/>
  <c r="Y20" i="2"/>
  <c r="Y28" i="2"/>
  <c r="AA27" i="2"/>
  <c r="AA23" i="2"/>
  <c r="AA17" i="2"/>
  <c r="AA20" i="2"/>
  <c r="W30" i="2"/>
  <c r="W24" i="2"/>
  <c r="W19" i="2"/>
  <c r="W27" i="2"/>
  <c r="T27" i="2" s="1"/>
  <c r="U12" i="2"/>
  <c r="U13" i="2"/>
  <c r="U11" i="2"/>
  <c r="U14" i="2"/>
  <c r="X12" i="2"/>
  <c r="X14" i="2"/>
  <c r="X13" i="2"/>
  <c r="X11" i="2"/>
  <c r="Z11" i="2"/>
  <c r="Z14" i="2"/>
  <c r="Z13" i="2"/>
  <c r="Z12" i="2"/>
  <c r="AC12" i="2"/>
  <c r="AC13" i="2"/>
  <c r="W11" i="2"/>
  <c r="W12" i="2"/>
  <c r="W14" i="2"/>
  <c r="W13" i="2"/>
  <c r="Y14" i="2"/>
  <c r="Y13" i="2"/>
  <c r="Y12" i="2"/>
  <c r="Y11" i="2"/>
  <c r="AA11" i="2"/>
  <c r="AA12" i="2"/>
  <c r="AA14" i="2"/>
  <c r="AA13" i="2"/>
  <c r="AD14" i="2"/>
  <c r="AD13" i="2"/>
  <c r="AD12" i="2"/>
  <c r="U7" i="2"/>
  <c r="U6" i="2"/>
  <c r="U3" i="2"/>
  <c r="U9" i="2"/>
  <c r="U10" i="2"/>
  <c r="U5" i="2"/>
  <c r="U4" i="2"/>
  <c r="U8" i="2"/>
  <c r="AC9" i="2"/>
  <c r="AC8" i="2"/>
  <c r="AA3" i="2"/>
  <c r="AD3" i="2"/>
  <c r="AD10" i="2"/>
  <c r="AC10" i="2"/>
  <c r="N3" i="2"/>
  <c r="Z5" i="2"/>
  <c r="Z9" i="2"/>
  <c r="Z6" i="2"/>
  <c r="Z10" i="2"/>
  <c r="Z7" i="2"/>
  <c r="Z4" i="2"/>
  <c r="Z8" i="2"/>
  <c r="Z3" i="2"/>
  <c r="AC3" i="2"/>
  <c r="AA8" i="2"/>
  <c r="AA9" i="2"/>
  <c r="AA4" i="2"/>
  <c r="AD4" i="2"/>
  <c r="AA7" i="2"/>
  <c r="AD7" i="2"/>
  <c r="AA10" i="2"/>
  <c r="AD8" i="2"/>
  <c r="AD9" i="2"/>
  <c r="Y4" i="2"/>
  <c r="Y8" i="2"/>
  <c r="Y3" i="2"/>
  <c r="Y5" i="2"/>
  <c r="Y9" i="2"/>
  <c r="Y6" i="2"/>
  <c r="Y10" i="2"/>
  <c r="Y7" i="2"/>
  <c r="AD6" i="2"/>
  <c r="AC6" i="2"/>
  <c r="AC7" i="2"/>
  <c r="AA6" i="2"/>
  <c r="AC5" i="2"/>
  <c r="AA5" i="2"/>
  <c r="AD5" i="2"/>
  <c r="W7" i="2"/>
  <c r="W5" i="2"/>
  <c r="W10" i="2"/>
  <c r="W4" i="2"/>
  <c r="W8" i="2"/>
  <c r="W3" i="2"/>
  <c r="W9" i="2"/>
  <c r="W6" i="2"/>
  <c r="V6" i="2"/>
  <c r="V10" i="2"/>
  <c r="V8" i="2"/>
  <c r="V5" i="2"/>
  <c r="V7" i="2"/>
  <c r="V4" i="2"/>
  <c r="V3" i="2"/>
  <c r="V9" i="2"/>
  <c r="X4" i="2"/>
  <c r="X8" i="2"/>
  <c r="X3" i="2"/>
  <c r="X6" i="2"/>
  <c r="X5" i="2"/>
  <c r="X9" i="2"/>
  <c r="X10" i="2"/>
  <c r="X7" i="2"/>
  <c r="R11" i="2"/>
  <c r="R10" i="2"/>
  <c r="R8" i="2"/>
  <c r="R9" i="2"/>
  <c r="R4" i="2"/>
  <c r="R7" i="2"/>
  <c r="R3" i="2"/>
  <c r="R6" i="2"/>
  <c r="R12" i="2" l="1"/>
  <c r="T24" i="2"/>
  <c r="T17" i="2"/>
  <c r="T29" i="2"/>
  <c r="T30" i="2"/>
  <c r="T22" i="2"/>
  <c r="T16" i="2"/>
  <c r="T26" i="2"/>
  <c r="T28" i="2"/>
  <c r="T23" i="2"/>
  <c r="T19" i="2"/>
  <c r="T15" i="2"/>
  <c r="T18" i="2"/>
  <c r="T20" i="2"/>
  <c r="T21" i="2"/>
  <c r="T14" i="2"/>
  <c r="T12" i="2"/>
  <c r="T13" i="2"/>
  <c r="T11" i="2"/>
  <c r="T9" i="2"/>
  <c r="T10" i="2"/>
  <c r="T4" i="2"/>
  <c r="T7" i="2"/>
  <c r="T5" i="2"/>
  <c r="T3" i="2"/>
  <c r="T6" i="2"/>
  <c r="T8" i="2"/>
  <c r="T2" i="2" l="1"/>
</calcChain>
</file>

<file path=xl/sharedStrings.xml><?xml version="1.0" encoding="utf-8"?>
<sst xmlns="http://schemas.openxmlformats.org/spreadsheetml/2006/main" count="107" uniqueCount="45">
  <si>
    <t>Şirket</t>
  </si>
  <si>
    <t>Özkaynak Karlılığı</t>
  </si>
  <si>
    <t>PD/DD</t>
  </si>
  <si>
    <t>F/K</t>
  </si>
  <si>
    <t>FD/FAVÖK</t>
  </si>
  <si>
    <t>FD/Satış</t>
  </si>
  <si>
    <t>PEG</t>
  </si>
  <si>
    <t>ROIC</t>
  </si>
  <si>
    <t>Yıllık Net Kar Değişimi</t>
  </si>
  <si>
    <t>Yıllık FAVÖK Değişimi</t>
  </si>
  <si>
    <t>Yıllık Satışlar Değişimi</t>
  </si>
  <si>
    <t xml:space="preserve">Yıllık İşletme Faaliyetleri Nakit Akış Değişimi </t>
  </si>
  <si>
    <t>2023/9</t>
  </si>
  <si>
    <t>Kapanış Fiyatı</t>
  </si>
  <si>
    <t>Bilanço Sonrası Hisse Fiyatı</t>
  </si>
  <si>
    <t>#</t>
  </si>
  <si>
    <t>AHGAZ</t>
  </si>
  <si>
    <t>AKENR</t>
  </si>
  <si>
    <t>AKFYE</t>
  </si>
  <si>
    <t>AKSEN</t>
  </si>
  <si>
    <t>ALARK</t>
  </si>
  <si>
    <t>ARASE</t>
  </si>
  <si>
    <t>AYDEM</t>
  </si>
  <si>
    <t>AYEN</t>
  </si>
  <si>
    <t>BASGZ</t>
  </si>
  <si>
    <t>BIOEN</t>
  </si>
  <si>
    <t>CANTE</t>
  </si>
  <si>
    <t>CONSE</t>
  </si>
  <si>
    <t>ENERY</t>
  </si>
  <si>
    <t>ENJSA</t>
  </si>
  <si>
    <t>ESEN</t>
  </si>
  <si>
    <t>GWIND</t>
  </si>
  <si>
    <t>HUNER</t>
  </si>
  <si>
    <t>IZENR</t>
  </si>
  <si>
    <t>KARYE</t>
  </si>
  <si>
    <t>MAGEN</t>
  </si>
  <si>
    <t>MANAS</t>
  </si>
  <si>
    <t>NATEN</t>
  </si>
  <si>
    <t>NTGAZ</t>
  </si>
  <si>
    <t>ODAS</t>
  </si>
  <si>
    <t>PAMEL</t>
  </si>
  <si>
    <t>PRKME</t>
  </si>
  <si>
    <t>YAYLA</t>
  </si>
  <si>
    <t>ZOREN</t>
  </si>
  <si>
    <t xml:space="preserve">#AHGAZ #AKENR #AKFYE #AKSEN #ALARK #ARASE #AYDEM #AYEN #BASGZ #BIOEN #CANTE #CONSE #ENERY #ENJSA #ESEN #GWIND #HUNER #IZENR #KARYE #MAGEN #MANAS #NATEN #NTGAZ #ODAS #PAMEL #PRKME #YAYLA #ZOREN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</si>
</sst>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14"/>
      <color rgb="FF687FF4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/>
      <top style="thick">
        <color theme="0"/>
      </top>
      <bottom style="thick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2" fontId="0" fillId="0" borderId="0" xfId="0" applyNumberFormat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2" fontId="0" fillId="0" borderId="3" xfId="1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0" fontId="0" fillId="0" borderId="0" xfId="1" applyNumberFormat="1" applyFont="1" applyAlignment="1">
      <alignment vertical="center"/>
    </xf>
    <xf numFmtId="164" fontId="2" fillId="0" borderId="0" xfId="1" applyNumberFormat="1" applyFont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9" fontId="3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0" fillId="0" borderId="5" xfId="1" applyNumberFormat="1" applyFont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64" fontId="0" fillId="0" borderId="7" xfId="1" applyNumberFormat="1" applyFont="1" applyBorder="1" applyAlignment="1">
      <alignment horizontal="center" vertical="center"/>
    </xf>
    <xf numFmtId="164" fontId="0" fillId="0" borderId="8" xfId="1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Fill="1" applyAlignment="1">
      <alignment vertical="center"/>
    </xf>
    <xf numFmtId="10" fontId="2" fillId="0" borderId="0" xfId="1" applyNumberFormat="1" applyFont="1" applyAlignment="1">
      <alignment vertical="center"/>
    </xf>
  </cellXfs>
  <cellStyles count="2">
    <cellStyle name="Normal" xfId="0" builtinId="0"/>
    <cellStyle name="Yüzde" xfId="1" builtinId="5"/>
  </cellStyles>
  <dxfs count="16"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/>
        <right/>
        <top style="thick">
          <color theme="0"/>
        </top>
        <bottom style="thick">
          <color theme="0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numFmt numFmtId="2" formatCode="0.00"/>
      <alignment horizontal="center" vertical="center" textRotation="0" wrapText="0" indent="0" justifyLastLine="0" shrinkToFit="0" readingOrder="0"/>
      <border diagonalUp="0" diagonalDown="0">
        <left style="thick">
          <color theme="0"/>
        </left>
        <right/>
        <top style="thick">
          <color theme="0"/>
        </top>
        <bottom style="thick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font>
        <b/>
        <strike val="0"/>
        <outline val="0"/>
        <shadow val="0"/>
        <u val="none"/>
        <vertAlign val="baseline"/>
        <sz val="14"/>
        <color rgb="FF687FF4"/>
        <name val="Calibri"/>
        <family val="2"/>
        <charset val="162"/>
        <scheme val="minor"/>
      </font>
      <alignment vertical="center" textRotation="0" indent="0" justifyLastLine="0" shrinkToFit="0" readingOrder="0"/>
      <border diagonalUp="0" diagonalDown="0" outline="0">
        <left/>
        <right style="thick">
          <color theme="0"/>
        </right>
        <top style="thick">
          <color theme="0"/>
        </top>
        <bottom style="thick">
          <color theme="0"/>
        </bottom>
      </border>
    </dxf>
    <dxf>
      <border>
        <top style="thick">
          <color theme="0"/>
        </top>
      </border>
    </dxf>
    <dxf>
      <border diagonalUp="0" diagonalDown="0"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alignment horizontal="center" vertical="center" textRotation="0" wrapText="0" indent="0" justifyLastLine="0" shrinkToFit="0" readingOrder="0"/>
    </dxf>
    <dxf>
      <border>
        <bottom style="thick">
          <color theme="0"/>
        </bottom>
      </border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charset val="162"/>
        <scheme val="minor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ck">
          <color theme="0"/>
        </left>
        <right style="thick">
          <color theme="0"/>
        </right>
        <top/>
        <bottom/>
      </border>
    </dxf>
  </dxfs>
  <tableStyles count="0" defaultTableStyle="TableStyleMedium9" defaultPivotStyle="PivotStyleMedium4"/>
  <colors>
    <mruColors>
      <color rgb="FF687FF4"/>
      <color rgb="FFFC60C4"/>
      <color rgb="FF047E67"/>
      <color rgb="FFEB700B"/>
      <color rgb="FFFE6666"/>
      <color rgb="FF5DD9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rive'&#305;m\Di&#287;er\Borsa%20&#199;al&#305;&#351;ma.xlsx" TargetMode="External"/><Relationship Id="rId1" Type="http://schemas.openxmlformats.org/officeDocument/2006/relationships/externalLinkPath" Target="/Drive'&#305;m/Di&#287;er/Borsa%20&#199;al&#305;&#351;m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1"/>
      <sheetName val="Sayfa2"/>
      <sheetName val="Sayfa3"/>
      <sheetName val="data"/>
      <sheetName val="Sayfa4"/>
      <sheetName val="Sayfa5"/>
      <sheetName val="GYO"/>
      <sheetName val="DEA"/>
      <sheetName val="ANA M"/>
      <sheetName val="AMB"/>
      <sheetName val="ARK"/>
      <sheetName val="B.Y."/>
      <sheetName val="CSP"/>
      <sheetName val="ENT"/>
      <sheetName val="En.Ü."/>
      <sheetName val="G.P."/>
      <sheetName val="Gı-Iç"/>
      <sheetName val="HAB"/>
      <sheetName val="HOLD"/>
      <sheetName val="ILAC"/>
      <sheetName val="KAMA"/>
      <sheetName val="Sayf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DCC89F-5199-48A4-A1B6-1973822B08D0}" name="Tablo1" displayName="Tablo1" ref="B2:L30" totalsRowShown="0" headerRowDxfId="15" dataDxfId="13" headerRowBorderDxfId="14" tableBorderDxfId="12" totalsRowBorderDxfId="11">
  <autoFilter ref="B2:L30" xr:uid="{06DCC89F-5199-48A4-A1B6-1973822B08D0}"/>
  <tableColumns count="11">
    <tableColumn id="1" xr3:uid="{DB058AAE-8836-4A67-A8AF-3B1E4D508ED2}" name="Şirket" dataDxfId="10">
      <calculatedColumnFormula>+data!A2</calculatedColumnFormula>
    </tableColumn>
    <tableColumn id="2" xr3:uid="{C9FD7B0C-3B22-4ACB-951C-F227F46047AB}" name="Özkaynak Karlılığı" dataDxfId="9" dataCellStyle="Yüzde">
      <calculatedColumnFormula>+data!B2/100</calculatedColumnFormula>
    </tableColumn>
    <tableColumn id="3" xr3:uid="{791EDFA7-3B7D-4D77-9960-0C214D8D5419}" name="PD/DD" dataDxfId="8">
      <calculatedColumnFormula>IF(data!C2&lt;0,"",data!C2)</calculatedColumnFormula>
    </tableColumn>
    <tableColumn id="4" xr3:uid="{EDCBB533-5839-4BD8-BA97-362B0CD0980A}" name="F/K" dataDxfId="7">
      <calculatedColumnFormula>IF(data!D2="","",data!D2)</calculatedColumnFormula>
    </tableColumn>
    <tableColumn id="5" xr3:uid="{2A745841-F480-4922-AC33-B08CCE7EE14E}" name="FD/FAVÖK" dataDxfId="6">
      <calculatedColumnFormula>IF(data!E2="","",data!E2)</calculatedColumnFormula>
    </tableColumn>
    <tableColumn id="6" xr3:uid="{8D0D068C-C623-4343-B44D-CEF1E60F0181}" name="FD/Satış" dataDxfId="5">
      <calculatedColumnFormula>IF(data!F2="","",data!F2)</calculatedColumnFormula>
    </tableColumn>
    <tableColumn id="7" xr3:uid="{25E03C56-2BA5-4B55-845D-E10692E36E1A}" name="PEG" dataDxfId="4">
      <calculatedColumnFormula>IF(data!G2="","",data!G2)</calculatedColumnFormula>
    </tableColumn>
    <tableColumn id="8" xr3:uid="{2757D01D-F636-4214-8413-25343C5851D9}" name="ROIC" dataDxfId="3" dataCellStyle="Yüzde">
      <calculatedColumnFormula>IF(data!H2/100="","",data!H2/100)</calculatedColumnFormula>
    </tableColumn>
    <tableColumn id="9" xr3:uid="{3D650952-779D-4594-97C7-E595D93E9C54}" name="Yıllık Net Kar Değişimi" dataDxfId="2">
      <calculatedColumnFormula>IF(data!I2/100=0,"",data!I2/100)</calculatedColumnFormula>
    </tableColumn>
    <tableColumn id="10" xr3:uid="{735BA8B3-1DCE-4D3B-99F6-EE20448B5649}" name="Yıllık FAVÖK Değişimi" dataDxfId="1">
      <calculatedColumnFormula>IF(data!J2/100="","",data!J2/100)</calculatedColumnFormula>
    </tableColumn>
    <tableColumn id="11" xr3:uid="{FE94096D-4CDF-464A-87F5-80E490A86FC9}" name="Yıllık Satışlar Değişimi" dataDxfId="0">
      <calculatedColumnFormula>IF(data!K2/100="","",data!K2/100)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workbookViewId="0">
      <selection activeCell="W14" sqref="W14"/>
    </sheetView>
  </sheetViews>
  <sheetFormatPr defaultRowHeight="15.7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13</v>
      </c>
    </row>
    <row r="2" spans="1:22" x14ac:dyDescent="0.25">
      <c r="A2" t="s">
        <v>16</v>
      </c>
      <c r="B2">
        <v>29.83</v>
      </c>
      <c r="C2">
        <v>2.17</v>
      </c>
      <c r="D2">
        <v>12.17</v>
      </c>
      <c r="E2">
        <v>18.309999999999999</v>
      </c>
      <c r="F2">
        <v>1.2</v>
      </c>
      <c r="G2">
        <v>0.03</v>
      </c>
      <c r="H2">
        <v>7.41</v>
      </c>
      <c r="I2">
        <v>601.14</v>
      </c>
      <c r="J2">
        <v>45.43</v>
      </c>
      <c r="K2">
        <v>56.32</v>
      </c>
      <c r="L2">
        <v>408.21</v>
      </c>
      <c r="M2">
        <v>10.210000000000001</v>
      </c>
      <c r="Q2" t="s">
        <v>15</v>
      </c>
      <c r="R2" t="str">
        <f>CONCATENATE(Q2,A2)</f>
        <v>#AHGAZ</v>
      </c>
      <c r="T2" t="str">
        <f>CONCATENATE(R2," ")</f>
        <v xml:space="preserve">#AHGAZ </v>
      </c>
      <c r="V2" t="str">
        <f>CONCATENATE(T2,T3,T4,T5,T6,T7,T8,T9,T10,T11,T12,T13,T14,T15,T16,T17,T18,T19,T20,T21,T22,T23,T24,T25,T26,T27,T28,T29)</f>
        <v xml:space="preserve">#AHGAZ #AKENR #AKFYE #AKSEN #ALARK #ARASE #AYDEM #AYEN #BASGZ #BIOEN #CANTE #CONSE #ENERY #ENJSA #ESEN #GWIND #HUNER #IZENR #KARYE #MAGEN #MANAS #NATEN #NTGAZ #ODAS #PAMEL #PRKME #YAYLA #ZOREN </v>
      </c>
    </row>
    <row r="3" spans="1:22" x14ac:dyDescent="0.25">
      <c r="A3" t="s">
        <v>17</v>
      </c>
      <c r="B3">
        <v>-286.36</v>
      </c>
      <c r="C3">
        <v>1.32</v>
      </c>
      <c r="E3">
        <v>8.14</v>
      </c>
      <c r="F3">
        <v>0.79</v>
      </c>
      <c r="G3">
        <v>0.11</v>
      </c>
      <c r="H3">
        <v>9.9499999999999993</v>
      </c>
      <c r="J3">
        <v>9.69</v>
      </c>
      <c r="K3">
        <v>40.31</v>
      </c>
      <c r="L3">
        <v>9.91</v>
      </c>
      <c r="M3">
        <v>4.3099999999999996</v>
      </c>
      <c r="Q3" t="s">
        <v>15</v>
      </c>
      <c r="R3" t="str">
        <f t="shared" ref="R3:R20" si="0">CONCATENATE(Q3,A3)</f>
        <v>#AKENR</v>
      </c>
      <c r="T3" t="str">
        <f t="shared" ref="T3:T20" si="1">CONCATENATE(R3," ")</f>
        <v xml:space="preserve">#AKENR </v>
      </c>
    </row>
    <row r="4" spans="1:22" x14ac:dyDescent="0.25">
      <c r="A4" t="s">
        <v>18</v>
      </c>
      <c r="B4">
        <v>10.74</v>
      </c>
      <c r="C4">
        <v>3.47</v>
      </c>
      <c r="D4">
        <v>25.76</v>
      </c>
      <c r="E4">
        <v>11.85</v>
      </c>
      <c r="F4">
        <v>8.23</v>
      </c>
      <c r="H4">
        <v>13</v>
      </c>
      <c r="I4">
        <v>-5.57</v>
      </c>
      <c r="J4">
        <v>12.53</v>
      </c>
      <c r="K4">
        <v>27.74</v>
      </c>
      <c r="L4">
        <v>-62.05</v>
      </c>
      <c r="M4">
        <v>16</v>
      </c>
      <c r="Q4" t="s">
        <v>15</v>
      </c>
      <c r="R4" t="str">
        <f t="shared" si="0"/>
        <v>#AKFYE</v>
      </c>
      <c r="T4" t="str">
        <f t="shared" si="1"/>
        <v xml:space="preserve">#AKFYE </v>
      </c>
    </row>
    <row r="5" spans="1:22" x14ac:dyDescent="0.25">
      <c r="A5" t="s">
        <v>19</v>
      </c>
      <c r="B5">
        <v>22.67</v>
      </c>
      <c r="C5">
        <v>1.58</v>
      </c>
      <c r="D5">
        <v>8.6999999999999993</v>
      </c>
      <c r="E5">
        <v>7.46</v>
      </c>
      <c r="F5">
        <v>1.4</v>
      </c>
      <c r="H5">
        <v>14.09</v>
      </c>
      <c r="I5">
        <v>-8.34</v>
      </c>
      <c r="J5">
        <v>-4.4000000000000004</v>
      </c>
      <c r="K5">
        <v>-38.14</v>
      </c>
      <c r="L5">
        <v>357.74</v>
      </c>
      <c r="M5">
        <v>30.06</v>
      </c>
      <c r="Q5" t="s">
        <v>15</v>
      </c>
      <c r="R5" t="str">
        <f t="shared" si="0"/>
        <v>#AKSEN</v>
      </c>
      <c r="T5" t="str">
        <f t="shared" si="1"/>
        <v xml:space="preserve">#AKSEN </v>
      </c>
    </row>
    <row r="6" spans="1:22" x14ac:dyDescent="0.25">
      <c r="A6" t="s">
        <v>20</v>
      </c>
      <c r="B6">
        <v>74.33</v>
      </c>
      <c r="C6">
        <v>1.7</v>
      </c>
      <c r="D6">
        <v>3.1</v>
      </c>
      <c r="E6">
        <v>189.47</v>
      </c>
      <c r="F6">
        <v>4.3499999999999996</v>
      </c>
      <c r="G6">
        <v>0.06</v>
      </c>
      <c r="H6">
        <v>55.78</v>
      </c>
      <c r="I6">
        <v>18.84</v>
      </c>
      <c r="J6">
        <v>-52.04</v>
      </c>
      <c r="K6">
        <v>19.72</v>
      </c>
      <c r="L6">
        <v>173.47</v>
      </c>
      <c r="M6">
        <v>91.45</v>
      </c>
      <c r="Q6" t="s">
        <v>15</v>
      </c>
      <c r="R6" t="str">
        <f t="shared" si="0"/>
        <v>#ALARK</v>
      </c>
      <c r="T6" t="str">
        <f t="shared" si="1"/>
        <v xml:space="preserve">#ALARK </v>
      </c>
      <c r="V6" t="s">
        <v>44</v>
      </c>
    </row>
    <row r="7" spans="1:22" x14ac:dyDescent="0.25">
      <c r="A7" t="s">
        <v>21</v>
      </c>
      <c r="B7">
        <v>71.36</v>
      </c>
      <c r="C7">
        <v>3.46</v>
      </c>
      <c r="D7">
        <v>6.51</v>
      </c>
      <c r="E7">
        <v>4.9800000000000004</v>
      </c>
      <c r="F7">
        <v>0.91</v>
      </c>
      <c r="G7">
        <v>0.04</v>
      </c>
      <c r="H7">
        <v>727.59</v>
      </c>
      <c r="I7">
        <v>162.91</v>
      </c>
      <c r="J7">
        <v>144.82</v>
      </c>
      <c r="K7">
        <v>22.22</v>
      </c>
      <c r="L7">
        <v>-103.09</v>
      </c>
      <c r="M7">
        <v>59.5</v>
      </c>
      <c r="Q7" t="s">
        <v>15</v>
      </c>
      <c r="R7" t="str">
        <f t="shared" si="0"/>
        <v>#ARASE</v>
      </c>
      <c r="T7" t="str">
        <f t="shared" si="1"/>
        <v xml:space="preserve">#ARASE </v>
      </c>
    </row>
    <row r="8" spans="1:22" x14ac:dyDescent="0.25">
      <c r="A8" t="s">
        <v>22</v>
      </c>
      <c r="B8">
        <v>-19.420000000000002</v>
      </c>
      <c r="C8">
        <v>0.94</v>
      </c>
      <c r="E8">
        <v>10.130000000000001</v>
      </c>
      <c r="F8">
        <v>6.66</v>
      </c>
      <c r="G8">
        <v>0.02</v>
      </c>
      <c r="H8">
        <v>7.92</v>
      </c>
      <c r="J8">
        <v>-3.62</v>
      </c>
      <c r="K8">
        <v>21.14</v>
      </c>
      <c r="L8">
        <v>35.96</v>
      </c>
      <c r="M8">
        <v>18.32</v>
      </c>
      <c r="Q8" t="s">
        <v>15</v>
      </c>
      <c r="R8" t="str">
        <f t="shared" si="0"/>
        <v>#AYDEM</v>
      </c>
      <c r="T8" t="str">
        <f t="shared" si="1"/>
        <v xml:space="preserve">#AYDEM </v>
      </c>
    </row>
    <row r="9" spans="1:22" x14ac:dyDescent="0.25">
      <c r="A9" t="s">
        <v>23</v>
      </c>
      <c r="B9">
        <v>16.16</v>
      </c>
      <c r="C9">
        <v>1.1399999999999999</v>
      </c>
      <c r="D9">
        <v>9.02</v>
      </c>
      <c r="E9">
        <v>6.49</v>
      </c>
      <c r="F9">
        <v>1.8</v>
      </c>
      <c r="H9">
        <v>18.899999999999999</v>
      </c>
      <c r="I9">
        <v>-71.77</v>
      </c>
      <c r="J9">
        <v>-52.65</v>
      </c>
      <c r="K9">
        <v>-16.97</v>
      </c>
      <c r="L9">
        <v>-177.59</v>
      </c>
      <c r="M9">
        <v>23.84</v>
      </c>
      <c r="Q9" t="s">
        <v>15</v>
      </c>
      <c r="R9" t="str">
        <f t="shared" si="0"/>
        <v>#AYEN</v>
      </c>
      <c r="T9" t="str">
        <f t="shared" si="1"/>
        <v xml:space="preserve">#AYEN </v>
      </c>
    </row>
    <row r="10" spans="1:22" x14ac:dyDescent="0.25">
      <c r="A10" t="s">
        <v>24</v>
      </c>
      <c r="B10">
        <v>45.06</v>
      </c>
      <c r="C10">
        <v>9.5</v>
      </c>
      <c r="D10">
        <v>19.53</v>
      </c>
      <c r="E10">
        <v>6.25</v>
      </c>
      <c r="F10">
        <v>0.46</v>
      </c>
      <c r="G10">
        <v>0.21</v>
      </c>
      <c r="H10">
        <v>-39.549999999999997</v>
      </c>
      <c r="I10">
        <v>1008.66</v>
      </c>
      <c r="J10">
        <v>33.049999999999997</v>
      </c>
      <c r="K10">
        <v>45.75</v>
      </c>
      <c r="L10">
        <v>-28.57</v>
      </c>
      <c r="M10">
        <v>17.88</v>
      </c>
      <c r="Q10" t="s">
        <v>15</v>
      </c>
      <c r="R10" t="str">
        <f t="shared" si="0"/>
        <v>#BASGZ</v>
      </c>
      <c r="T10" t="str">
        <f t="shared" si="1"/>
        <v xml:space="preserve">#BASGZ </v>
      </c>
    </row>
    <row r="11" spans="1:22" x14ac:dyDescent="0.25">
      <c r="A11" t="s">
        <v>25</v>
      </c>
      <c r="B11">
        <v>108.68</v>
      </c>
      <c r="C11">
        <v>16.46</v>
      </c>
      <c r="D11">
        <v>16.329999999999998</v>
      </c>
      <c r="E11">
        <v>24.24</v>
      </c>
      <c r="F11">
        <v>7.32</v>
      </c>
      <c r="G11">
        <v>0.02</v>
      </c>
      <c r="H11">
        <v>38.65</v>
      </c>
      <c r="I11">
        <v>321.7</v>
      </c>
      <c r="J11">
        <v>25.89</v>
      </c>
      <c r="K11">
        <v>54.95</v>
      </c>
      <c r="L11">
        <v>-444.81</v>
      </c>
      <c r="M11">
        <v>18.96</v>
      </c>
      <c r="Q11" t="s">
        <v>15</v>
      </c>
      <c r="R11" t="str">
        <f t="shared" si="0"/>
        <v>#BIOEN</v>
      </c>
      <c r="T11" t="str">
        <f t="shared" si="1"/>
        <v xml:space="preserve">#BIOEN </v>
      </c>
    </row>
    <row r="12" spans="1:22" x14ac:dyDescent="0.25">
      <c r="A12" t="s">
        <v>26</v>
      </c>
      <c r="B12">
        <v>26.13</v>
      </c>
      <c r="C12">
        <v>1.96</v>
      </c>
      <c r="D12">
        <v>9.99</v>
      </c>
      <c r="E12">
        <v>8.98</v>
      </c>
      <c r="F12">
        <v>2.52</v>
      </c>
      <c r="H12">
        <v>31.4</v>
      </c>
      <c r="I12">
        <v>-35.03</v>
      </c>
      <c r="J12">
        <v>-37.5</v>
      </c>
      <c r="K12">
        <v>8.66</v>
      </c>
      <c r="L12">
        <v>-65.959999999999994</v>
      </c>
      <c r="M12">
        <v>16.53</v>
      </c>
      <c r="Q12" t="s">
        <v>15</v>
      </c>
      <c r="R12" t="str">
        <f t="shared" si="0"/>
        <v>#CANTE</v>
      </c>
      <c r="T12" t="str">
        <f t="shared" si="1"/>
        <v xml:space="preserve">#CANTE </v>
      </c>
    </row>
    <row r="13" spans="1:22" x14ac:dyDescent="0.25">
      <c r="A13" t="s">
        <v>27</v>
      </c>
      <c r="B13">
        <v>1.69</v>
      </c>
      <c r="C13">
        <v>1.83</v>
      </c>
      <c r="D13">
        <v>118.91</v>
      </c>
      <c r="E13">
        <v>20.57</v>
      </c>
      <c r="F13">
        <v>4.2300000000000004</v>
      </c>
      <c r="H13">
        <v>6.4</v>
      </c>
      <c r="I13">
        <v>-40.93</v>
      </c>
      <c r="J13">
        <v>-11.33</v>
      </c>
      <c r="K13">
        <v>44.23</v>
      </c>
      <c r="L13">
        <v>24.12</v>
      </c>
      <c r="M13">
        <v>5.05</v>
      </c>
      <c r="Q13" t="s">
        <v>15</v>
      </c>
      <c r="R13" t="str">
        <f t="shared" si="0"/>
        <v>#CONSE</v>
      </c>
      <c r="T13" t="str">
        <f t="shared" si="1"/>
        <v xml:space="preserve">#CONSE </v>
      </c>
    </row>
    <row r="14" spans="1:22" x14ac:dyDescent="0.25">
      <c r="A14" t="s">
        <v>28</v>
      </c>
      <c r="B14">
        <v>3.4</v>
      </c>
      <c r="C14">
        <v>1.47</v>
      </c>
      <c r="D14">
        <v>86.27</v>
      </c>
      <c r="E14">
        <v>11.42</v>
      </c>
      <c r="F14">
        <v>0.79</v>
      </c>
      <c r="H14">
        <v>15.46</v>
      </c>
      <c r="I14">
        <v>-40.72</v>
      </c>
      <c r="J14">
        <v>55.04</v>
      </c>
      <c r="K14">
        <v>56.32</v>
      </c>
      <c r="L14">
        <v>-43.83</v>
      </c>
      <c r="M14">
        <v>110.8</v>
      </c>
      <c r="Q14" t="s">
        <v>15</v>
      </c>
      <c r="R14" t="str">
        <f t="shared" si="0"/>
        <v>#ENERY</v>
      </c>
      <c r="T14" t="str">
        <f t="shared" si="1"/>
        <v xml:space="preserve">#ENERY </v>
      </c>
    </row>
    <row r="15" spans="1:22" x14ac:dyDescent="0.25">
      <c r="A15" t="s">
        <v>29</v>
      </c>
      <c r="B15">
        <v>119.27</v>
      </c>
      <c r="C15">
        <v>1.69</v>
      </c>
      <c r="D15">
        <v>2.17</v>
      </c>
      <c r="E15">
        <v>5.61</v>
      </c>
      <c r="F15">
        <v>0.61</v>
      </c>
      <c r="G15">
        <v>0</v>
      </c>
      <c r="H15">
        <v>-752.27</v>
      </c>
      <c r="I15">
        <v>444.22</v>
      </c>
      <c r="J15">
        <v>74.77</v>
      </c>
      <c r="K15">
        <v>62.51</v>
      </c>
      <c r="L15">
        <v>152.65</v>
      </c>
      <c r="M15">
        <v>45.96</v>
      </c>
      <c r="Q15" t="s">
        <v>15</v>
      </c>
      <c r="R15" t="str">
        <f t="shared" si="0"/>
        <v>#ENJSA</v>
      </c>
      <c r="T15" t="str">
        <f t="shared" si="1"/>
        <v xml:space="preserve">#ENJSA </v>
      </c>
    </row>
    <row r="16" spans="1:22" x14ac:dyDescent="0.25">
      <c r="A16" t="s">
        <v>30</v>
      </c>
      <c r="B16">
        <v>13.85</v>
      </c>
      <c r="C16">
        <v>0.67</v>
      </c>
      <c r="D16">
        <v>6.46</v>
      </c>
      <c r="E16">
        <v>23.21</v>
      </c>
      <c r="F16">
        <v>7.67</v>
      </c>
      <c r="G16">
        <v>0.36</v>
      </c>
      <c r="H16">
        <v>0.11</v>
      </c>
      <c r="I16">
        <v>47.4</v>
      </c>
      <c r="J16">
        <v>-32.729999999999997</v>
      </c>
      <c r="K16">
        <v>-14.31</v>
      </c>
      <c r="L16">
        <v>-425.21</v>
      </c>
      <c r="M16">
        <v>17</v>
      </c>
      <c r="Q16" t="s">
        <v>15</v>
      </c>
      <c r="R16" t="str">
        <f t="shared" si="0"/>
        <v>#ESEN</v>
      </c>
      <c r="T16" t="str">
        <f t="shared" si="1"/>
        <v xml:space="preserve">#ESEN </v>
      </c>
    </row>
    <row r="17" spans="1:20" x14ac:dyDescent="0.25">
      <c r="A17" t="s">
        <v>31</v>
      </c>
      <c r="B17">
        <v>50.98</v>
      </c>
      <c r="C17">
        <v>5.2</v>
      </c>
      <c r="D17">
        <v>12.1</v>
      </c>
      <c r="E17">
        <v>11.55</v>
      </c>
      <c r="F17">
        <v>8.9499999999999993</v>
      </c>
      <c r="G17">
        <v>0.71</v>
      </c>
      <c r="H17">
        <v>87.38</v>
      </c>
      <c r="I17">
        <v>-0.54</v>
      </c>
      <c r="J17">
        <v>10.83</v>
      </c>
      <c r="K17">
        <v>24.23</v>
      </c>
      <c r="L17">
        <v>43.15</v>
      </c>
      <c r="M17">
        <v>23.3</v>
      </c>
      <c r="Q17" t="s">
        <v>15</v>
      </c>
      <c r="R17" t="str">
        <f t="shared" si="0"/>
        <v>#GWIND</v>
      </c>
      <c r="T17" t="str">
        <f t="shared" si="1"/>
        <v xml:space="preserve">#GWIND </v>
      </c>
    </row>
    <row r="18" spans="1:20" x14ac:dyDescent="0.25">
      <c r="A18" t="s">
        <v>32</v>
      </c>
      <c r="B18">
        <v>3.11</v>
      </c>
      <c r="C18">
        <v>1.29</v>
      </c>
      <c r="D18">
        <v>49.33</v>
      </c>
      <c r="E18">
        <v>20.79</v>
      </c>
      <c r="F18">
        <v>9.85</v>
      </c>
      <c r="H18">
        <v>5.64</v>
      </c>
      <c r="I18">
        <v>-53.76</v>
      </c>
      <c r="J18">
        <v>-1.28</v>
      </c>
      <c r="K18">
        <v>24.72</v>
      </c>
      <c r="L18">
        <v>-40.26</v>
      </c>
      <c r="M18">
        <v>6.22</v>
      </c>
      <c r="Q18" t="s">
        <v>15</v>
      </c>
      <c r="R18" t="str">
        <f t="shared" si="0"/>
        <v>#HUNER</v>
      </c>
      <c r="T18" t="str">
        <f t="shared" si="1"/>
        <v xml:space="preserve">#HUNER </v>
      </c>
    </row>
    <row r="19" spans="1:20" x14ac:dyDescent="0.25">
      <c r="A19" t="s">
        <v>33</v>
      </c>
      <c r="B19">
        <v>37.97</v>
      </c>
      <c r="C19">
        <v>3.51</v>
      </c>
      <c r="D19">
        <v>18.510000000000002</v>
      </c>
      <c r="E19">
        <v>11.37</v>
      </c>
      <c r="F19">
        <v>2.29</v>
      </c>
      <c r="H19">
        <v>160.41999999999999</v>
      </c>
      <c r="I19">
        <v>-34.729999999999997</v>
      </c>
      <c r="J19">
        <v>-60.34</v>
      </c>
      <c r="K19">
        <v>-1.39</v>
      </c>
      <c r="L19">
        <v>-32.76</v>
      </c>
      <c r="M19">
        <v>27.08</v>
      </c>
      <c r="Q19" t="s">
        <v>15</v>
      </c>
      <c r="R19" t="str">
        <f t="shared" si="0"/>
        <v>#IZENR</v>
      </c>
      <c r="T19" t="str">
        <f t="shared" si="1"/>
        <v xml:space="preserve">#IZENR </v>
      </c>
    </row>
    <row r="20" spans="1:20" x14ac:dyDescent="0.25">
      <c r="A20" t="s">
        <v>34</v>
      </c>
      <c r="B20">
        <v>1.82</v>
      </c>
      <c r="C20">
        <v>0.67</v>
      </c>
      <c r="D20">
        <v>43.96</v>
      </c>
      <c r="E20">
        <v>5.17</v>
      </c>
      <c r="F20">
        <v>8.11</v>
      </c>
      <c r="H20">
        <v>4.3899999999999997</v>
      </c>
      <c r="I20">
        <v>-73.86</v>
      </c>
      <c r="J20">
        <v>226.15</v>
      </c>
      <c r="K20">
        <v>41.38</v>
      </c>
      <c r="L20">
        <v>-120.94</v>
      </c>
      <c r="M20">
        <v>24.92</v>
      </c>
      <c r="Q20" t="s">
        <v>15</v>
      </c>
      <c r="R20" t="str">
        <f t="shared" si="0"/>
        <v>#KARYE</v>
      </c>
      <c r="T20" t="str">
        <f t="shared" si="1"/>
        <v xml:space="preserve">#KARYE </v>
      </c>
    </row>
    <row r="21" spans="1:20" x14ac:dyDescent="0.25">
      <c r="A21" t="s">
        <v>35</v>
      </c>
      <c r="B21">
        <v>12.91</v>
      </c>
      <c r="C21">
        <v>1.32</v>
      </c>
      <c r="D21">
        <v>13.52</v>
      </c>
      <c r="E21">
        <v>45.77</v>
      </c>
      <c r="F21">
        <v>22.46</v>
      </c>
      <c r="G21">
        <v>1.08</v>
      </c>
      <c r="H21">
        <v>-7.0000000000000007E-2</v>
      </c>
      <c r="I21">
        <v>48.22</v>
      </c>
      <c r="J21">
        <v>-16.309999999999999</v>
      </c>
      <c r="K21">
        <v>-9.44</v>
      </c>
      <c r="L21">
        <v>-274.77999999999997</v>
      </c>
      <c r="M21">
        <v>9.73</v>
      </c>
      <c r="Q21" t="s">
        <v>15</v>
      </c>
      <c r="R21" t="str">
        <f t="shared" ref="R21:R33" si="2">CONCATENATE(Q21,A21)</f>
        <v>#MAGEN</v>
      </c>
      <c r="T21" t="str">
        <f t="shared" ref="T21:T33" si="3">CONCATENATE(R21," ")</f>
        <v xml:space="preserve">#MAGEN </v>
      </c>
    </row>
    <row r="22" spans="1:20" x14ac:dyDescent="0.25">
      <c r="A22" t="s">
        <v>36</v>
      </c>
      <c r="B22">
        <v>18.43</v>
      </c>
      <c r="C22">
        <v>4.2300000000000004</v>
      </c>
      <c r="D22">
        <v>24.79</v>
      </c>
      <c r="E22">
        <v>10.72</v>
      </c>
      <c r="F22">
        <v>3.57</v>
      </c>
      <c r="G22">
        <v>0.26</v>
      </c>
      <c r="H22">
        <v>49.66</v>
      </c>
      <c r="I22">
        <v>19.399999999999999</v>
      </c>
      <c r="J22">
        <v>275.98</v>
      </c>
      <c r="K22">
        <v>83.15</v>
      </c>
      <c r="L22">
        <v>164.45</v>
      </c>
      <c r="M22">
        <v>7.56</v>
      </c>
      <c r="Q22" t="s">
        <v>15</v>
      </c>
      <c r="R22" t="str">
        <f t="shared" si="2"/>
        <v>#MANAS</v>
      </c>
      <c r="T22" t="str">
        <f t="shared" si="3"/>
        <v xml:space="preserve">#MANAS </v>
      </c>
    </row>
    <row r="23" spans="1:20" x14ac:dyDescent="0.25">
      <c r="A23" t="s">
        <v>37</v>
      </c>
      <c r="B23">
        <v>20.2</v>
      </c>
      <c r="C23">
        <v>1.63</v>
      </c>
      <c r="D23">
        <v>10.82</v>
      </c>
      <c r="E23">
        <v>30.96</v>
      </c>
      <c r="F23">
        <v>8.48</v>
      </c>
      <c r="G23">
        <v>0.28999999999999998</v>
      </c>
      <c r="H23">
        <v>0.62</v>
      </c>
      <c r="I23">
        <v>67.17</v>
      </c>
      <c r="J23">
        <v>-20.67</v>
      </c>
      <c r="K23">
        <v>43.58</v>
      </c>
      <c r="L23">
        <v>-251.11</v>
      </c>
      <c r="M23">
        <v>50</v>
      </c>
      <c r="Q23" t="s">
        <v>15</v>
      </c>
      <c r="R23" t="str">
        <f t="shared" si="2"/>
        <v>#NATEN</v>
      </c>
      <c r="T23" t="str">
        <f t="shared" si="3"/>
        <v xml:space="preserve">#NATEN </v>
      </c>
    </row>
    <row r="24" spans="1:20" x14ac:dyDescent="0.25">
      <c r="A24" t="s">
        <v>38</v>
      </c>
      <c r="B24">
        <v>43.6</v>
      </c>
      <c r="C24">
        <v>3.64</v>
      </c>
      <c r="D24">
        <v>8.7899999999999991</v>
      </c>
      <c r="E24">
        <v>6.47</v>
      </c>
      <c r="F24">
        <v>1.21</v>
      </c>
      <c r="H24">
        <v>53.91</v>
      </c>
      <c r="I24">
        <v>-55.03</v>
      </c>
      <c r="J24">
        <v>-39.89</v>
      </c>
      <c r="K24">
        <v>-11.84</v>
      </c>
      <c r="L24">
        <v>57.8</v>
      </c>
      <c r="M24">
        <v>18.73</v>
      </c>
      <c r="Q24" t="s">
        <v>15</v>
      </c>
      <c r="R24" t="str">
        <f t="shared" si="2"/>
        <v>#NTGAZ</v>
      </c>
      <c r="T24" t="str">
        <f t="shared" si="3"/>
        <v xml:space="preserve">#NTGAZ </v>
      </c>
    </row>
    <row r="25" spans="1:20" x14ac:dyDescent="0.25">
      <c r="A25" t="s">
        <v>39</v>
      </c>
      <c r="B25">
        <v>70.959999999999994</v>
      </c>
      <c r="C25">
        <v>1.53</v>
      </c>
      <c r="D25">
        <v>2.4500000000000002</v>
      </c>
      <c r="E25">
        <v>5.84</v>
      </c>
      <c r="F25">
        <v>1.48</v>
      </c>
      <c r="G25">
        <v>0.03</v>
      </c>
      <c r="H25">
        <v>21.56</v>
      </c>
      <c r="I25">
        <v>111.25</v>
      </c>
      <c r="J25">
        <v>-54.25</v>
      </c>
      <c r="K25">
        <v>-5.37</v>
      </c>
      <c r="L25">
        <v>45.44</v>
      </c>
      <c r="M25">
        <v>8.3699999999999992</v>
      </c>
      <c r="Q25" t="s">
        <v>15</v>
      </c>
      <c r="R25" t="str">
        <f t="shared" si="2"/>
        <v>#ODAS</v>
      </c>
      <c r="T25" t="str">
        <f t="shared" si="3"/>
        <v xml:space="preserve">#ODAS </v>
      </c>
    </row>
    <row r="26" spans="1:20" x14ac:dyDescent="0.25">
      <c r="A26" t="s">
        <v>40</v>
      </c>
      <c r="B26">
        <v>45.29</v>
      </c>
      <c r="C26">
        <v>7.78</v>
      </c>
      <c r="D26">
        <v>24.71</v>
      </c>
      <c r="E26">
        <v>282.45999999999998</v>
      </c>
      <c r="F26">
        <v>135.5</v>
      </c>
      <c r="G26">
        <v>0.05</v>
      </c>
      <c r="H26">
        <v>-2.0699999999999998</v>
      </c>
      <c r="I26">
        <v>258.55</v>
      </c>
      <c r="J26">
        <v>-16.37</v>
      </c>
      <c r="K26">
        <v>12.38</v>
      </c>
      <c r="L26">
        <v>-455.42</v>
      </c>
      <c r="M26">
        <v>129.9</v>
      </c>
      <c r="Q26" t="s">
        <v>15</v>
      </c>
      <c r="R26" t="str">
        <f t="shared" si="2"/>
        <v>#PAMEL</v>
      </c>
      <c r="T26" t="str">
        <f t="shared" si="3"/>
        <v xml:space="preserve">#PAMEL </v>
      </c>
    </row>
    <row r="27" spans="1:20" x14ac:dyDescent="0.25">
      <c r="A27" t="s">
        <v>41</v>
      </c>
      <c r="B27">
        <v>39.14</v>
      </c>
      <c r="C27">
        <v>1.82</v>
      </c>
      <c r="D27">
        <v>5.31</v>
      </c>
      <c r="E27">
        <v>14.75</v>
      </c>
      <c r="F27">
        <v>11.12</v>
      </c>
      <c r="G27">
        <v>0.36</v>
      </c>
      <c r="H27">
        <v>-37.51</v>
      </c>
      <c r="I27">
        <v>48.4</v>
      </c>
      <c r="J27">
        <v>58.6</v>
      </c>
      <c r="K27">
        <v>48.12</v>
      </c>
      <c r="L27">
        <v>-17.72</v>
      </c>
      <c r="M27">
        <v>20.98</v>
      </c>
      <c r="Q27" t="s">
        <v>15</v>
      </c>
      <c r="R27" t="str">
        <f t="shared" si="2"/>
        <v>#PRKME</v>
      </c>
      <c r="T27" t="str">
        <f t="shared" si="3"/>
        <v xml:space="preserve">#PRKME </v>
      </c>
    </row>
    <row r="28" spans="1:20" x14ac:dyDescent="0.25">
      <c r="A28" t="s">
        <v>42</v>
      </c>
      <c r="B28">
        <v>30.26</v>
      </c>
      <c r="C28">
        <v>1.6</v>
      </c>
      <c r="D28">
        <v>6.85</v>
      </c>
      <c r="F28">
        <v>22.3</v>
      </c>
      <c r="G28">
        <v>0.04</v>
      </c>
      <c r="H28">
        <v>-17.66</v>
      </c>
      <c r="K28">
        <v>27.33</v>
      </c>
      <c r="L28">
        <v>4.1900000000000004</v>
      </c>
      <c r="M28">
        <v>6.54</v>
      </c>
      <c r="Q28" t="s">
        <v>15</v>
      </c>
      <c r="R28" t="str">
        <f t="shared" si="2"/>
        <v>#YAYLA</v>
      </c>
      <c r="T28" t="str">
        <f t="shared" si="3"/>
        <v xml:space="preserve">#YAYLA </v>
      </c>
    </row>
    <row r="29" spans="1:20" x14ac:dyDescent="0.25">
      <c r="A29" t="s">
        <v>43</v>
      </c>
      <c r="B29">
        <v>14.02</v>
      </c>
      <c r="C29">
        <v>1.06</v>
      </c>
      <c r="D29">
        <v>10.35</v>
      </c>
      <c r="E29">
        <v>11.67</v>
      </c>
      <c r="F29">
        <v>1.81</v>
      </c>
      <c r="H29">
        <v>10.86</v>
      </c>
      <c r="I29">
        <v>2297.67</v>
      </c>
      <c r="J29">
        <v>17.59</v>
      </c>
      <c r="K29">
        <v>19.63</v>
      </c>
      <c r="L29">
        <v>108.76</v>
      </c>
      <c r="M29">
        <v>4.4800000000000004</v>
      </c>
      <c r="Q29" t="s">
        <v>15</v>
      </c>
      <c r="R29" t="str">
        <f t="shared" si="2"/>
        <v>#ZOREN</v>
      </c>
      <c r="T29" t="str">
        <f t="shared" si="3"/>
        <v xml:space="preserve">#ZOREN </v>
      </c>
    </row>
    <row r="30" spans="1:20" x14ac:dyDescent="0.25">
      <c r="Q30" t="s">
        <v>15</v>
      </c>
      <c r="R30" t="str">
        <f t="shared" si="2"/>
        <v>#</v>
      </c>
      <c r="T30" t="str">
        <f t="shared" si="3"/>
        <v xml:space="preserve"># </v>
      </c>
    </row>
    <row r="31" spans="1:20" x14ac:dyDescent="0.25">
      <c r="Q31" t="s">
        <v>15</v>
      </c>
      <c r="R31" t="str">
        <f t="shared" si="2"/>
        <v>#</v>
      </c>
      <c r="T31" t="str">
        <f t="shared" si="3"/>
        <v xml:space="preserve"># </v>
      </c>
    </row>
    <row r="32" spans="1:20" x14ac:dyDescent="0.25">
      <c r="Q32" t="s">
        <v>15</v>
      </c>
      <c r="R32" t="str">
        <f t="shared" si="2"/>
        <v>#</v>
      </c>
      <c r="T32" t="str">
        <f t="shared" si="3"/>
        <v xml:space="preserve"># </v>
      </c>
    </row>
    <row r="33" spans="17:20" x14ac:dyDescent="0.25">
      <c r="Q33" t="s">
        <v>15</v>
      </c>
      <c r="R33" t="str">
        <f t="shared" si="2"/>
        <v>#</v>
      </c>
      <c r="T33" t="str">
        <f t="shared" si="3"/>
        <v xml:space="preserve"># </v>
      </c>
    </row>
  </sheetData>
  <pageMargins left="0.7" right="0.7" top="0.75" bottom="0.75" header="0.3" footer="0.3"/>
  <ignoredErrors>
    <ignoredError sqref="A1:L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16D0-6FCA-438D-A857-20DA5A6B22F9}">
  <sheetPr>
    <pageSetUpPr fitToPage="1"/>
  </sheetPr>
  <dimension ref="B1:AF148"/>
  <sheetViews>
    <sheetView showGridLines="0" topLeftCell="B1" zoomScale="85" zoomScaleNormal="85" workbookViewId="0">
      <selection activeCell="N16" sqref="N16"/>
    </sheetView>
  </sheetViews>
  <sheetFormatPr defaultColWidth="9" defaultRowHeight="21" customHeight="1" x14ac:dyDescent="0.25"/>
  <cols>
    <col min="1" max="1" width="2.5" style="5" customWidth="1"/>
    <col min="2" max="2" width="9" style="15"/>
    <col min="3" max="3" width="12.75" style="3" customWidth="1"/>
    <col min="4" max="8" width="12.75" style="2" customWidth="1"/>
    <col min="9" max="9" width="12.75" style="3" customWidth="1"/>
    <col min="10" max="12" width="12.75" style="2" customWidth="1"/>
    <col min="13" max="13" width="1.75" style="5" customWidth="1"/>
    <col min="14" max="14" width="12.125" style="18" customWidth="1"/>
    <col min="15" max="15" width="6.375" style="5" customWidth="1"/>
    <col min="16" max="18" width="9" style="5" customWidth="1"/>
    <col min="19" max="19" width="2.875" style="5" customWidth="1"/>
    <col min="20" max="20" width="9" style="29"/>
    <col min="21" max="21" width="7" style="2" customWidth="1"/>
    <col min="22" max="23" width="6.625" style="2" customWidth="1"/>
    <col min="24" max="30" width="6.625" style="12" customWidth="1"/>
    <col min="31" max="31" width="1.625" style="5" customWidth="1"/>
    <col min="32" max="16384" width="9" style="5"/>
  </cols>
  <sheetData>
    <row r="1" spans="2:32" ht="21" customHeight="1" thickBot="1" x14ac:dyDescent="0.3"/>
    <row r="2" spans="2:32" s="4" customFormat="1" ht="47.25" customHeight="1" thickTop="1" thickBot="1" x14ac:dyDescent="0.3">
      <c r="B2" s="21" t="s">
        <v>0</v>
      </c>
      <c r="C2" s="22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2" t="s">
        <v>7</v>
      </c>
      <c r="J2" s="23" t="s">
        <v>8</v>
      </c>
      <c r="K2" s="23" t="s">
        <v>9</v>
      </c>
      <c r="L2" s="23" t="s">
        <v>10</v>
      </c>
      <c r="M2" s="20"/>
      <c r="N2" s="23" t="s">
        <v>14</v>
      </c>
      <c r="R2" s="4" t="s">
        <v>12</v>
      </c>
      <c r="T2" s="30">
        <f>AVERAGE(T3:T133)</f>
        <v>21.76899039201518</v>
      </c>
      <c r="U2" s="1" t="s">
        <v>1</v>
      </c>
      <c r="V2" s="1" t="s">
        <v>2</v>
      </c>
      <c r="W2" s="1" t="s">
        <v>3</v>
      </c>
      <c r="X2" s="12" t="s">
        <v>4</v>
      </c>
      <c r="Y2" s="12" t="s">
        <v>5</v>
      </c>
      <c r="Z2" s="12" t="s">
        <v>6</v>
      </c>
      <c r="AA2" s="12" t="s">
        <v>7</v>
      </c>
      <c r="AB2" s="12" t="s">
        <v>8</v>
      </c>
      <c r="AC2" s="12" t="s">
        <v>9</v>
      </c>
      <c r="AD2" s="12" t="s">
        <v>10</v>
      </c>
    </row>
    <row r="3" spans="2:32" ht="21.95" customHeight="1" thickTop="1" thickBot="1" x14ac:dyDescent="0.3">
      <c r="B3" s="16" t="str">
        <f>+data!A2</f>
        <v>AHGAZ</v>
      </c>
      <c r="C3" s="13">
        <f>+data!B2/100</f>
        <v>0.29830000000000001</v>
      </c>
      <c r="D3" s="14">
        <f>IF(data!C2&lt;0,"",data!C2)</f>
        <v>2.17</v>
      </c>
      <c r="E3" s="14">
        <f>IF(data!D2="","",data!D2)</f>
        <v>12.17</v>
      </c>
      <c r="F3" s="14">
        <f>IF(data!E2="","",data!E2)</f>
        <v>18.309999999999999</v>
      </c>
      <c r="G3" s="14">
        <f>IF(data!F2="","",data!F2)</f>
        <v>1.2</v>
      </c>
      <c r="H3" s="14">
        <f>IF(data!G2="","",data!G2)</f>
        <v>0.03</v>
      </c>
      <c r="I3" s="13">
        <f>IF(data!H2/100="","",data!H2/100)</f>
        <v>7.4099999999999999E-2</v>
      </c>
      <c r="J3" s="13">
        <f>IF(data!I2/100=0,"",data!I2/100)</f>
        <v>6.0114000000000001</v>
      </c>
      <c r="K3" s="13">
        <f>IF(data!J2/100="","",data!J2/100)</f>
        <v>0.45429999999999998</v>
      </c>
      <c r="L3" s="13">
        <f>IF(data!K2/100="","",data!K2/100)</f>
        <v>0.56320000000000003</v>
      </c>
      <c r="N3" s="19">
        <f>(AF3-data!M2)/AF3</f>
        <v>0.22239146991622238</v>
      </c>
      <c r="Q3" s="8" t="s">
        <v>10</v>
      </c>
      <c r="R3" s="5">
        <f>AVERAGE(Tablo1[Yıllık Satışlar Değişimi])</f>
        <v>0.24533214285714289</v>
      </c>
      <c r="T3" s="31">
        <f>SUM(U3:AD3)</f>
        <v>25.062418055789522</v>
      </c>
      <c r="U3" s="12">
        <f>IF(Tablo1[[#This Row],[Özkaynak Karlılığı]]&lt;0,0,(Tablo1[[#This Row],[Özkaynak Karlılığı]]/MAX(Tablo1[Özkaynak Karlılığı]))*10)</f>
        <v>2.501048042257064</v>
      </c>
      <c r="V3" s="12">
        <f>(MIN(Tablo1[PD/DD])/Tablo1[[#This Row],[PD/DD]])*10</f>
        <v>3.0875576036866366</v>
      </c>
      <c r="W3" s="12">
        <f>IFERROR((MIN(Tablo1[F/K])/Tablo1[[#This Row],[F/K]])*10,"")</f>
        <v>1.7830731306491372</v>
      </c>
      <c r="X3" s="12">
        <f>IFERROR((MIN(Tablo1[FD/FAVÖK])/Tablo1[[#This Row],[FD/FAVÖK]])*10,"")</f>
        <v>2.7198252321135996</v>
      </c>
      <c r="Y3" s="12">
        <f>IFERROR((MIN(Tablo1[FD/Satış])/Tablo1[[#This Row],[FD/Satış]])*10,"")</f>
        <v>3.8333333333333335</v>
      </c>
      <c r="Z3" s="12">
        <f>IFERROR((MIN(Tablo1[PEG])/Tablo1[[#This Row],[PEG]])*10,"")</f>
        <v>0</v>
      </c>
      <c r="AA3" s="12">
        <f>(Tablo1[[#This Row],[ROIC]]/MAX(Tablo1[ROIC]))*10</f>
        <v>0.10184307096029356</v>
      </c>
      <c r="AB3" s="12">
        <f>IFERROR(IF(Tablo1[[#This Row],[Yıllık Net Kar Değişimi]]&lt;0,0,(Tablo1[[#This Row],[Yıllık Net Kar Değişimi]]/MAX(Tablo1[Yıllık Net Kar Değişimi]))*10),"")</f>
        <v>2.61630260220136</v>
      </c>
      <c r="AC3" s="12">
        <f>IFERROR(IF(Tablo1[[#This Row],[Yıllık FAVÖK Değişimi]]&lt;0,0,(Tablo1[[#This Row],[Yıllık FAVÖK Değişimi]]/MAX(Tablo1[Yıllık FAVÖK Değişimi]))*10),"")</f>
        <v>1.646133777809986</v>
      </c>
      <c r="AD3" s="12">
        <f>IFERROR(IF(Tablo1[[#This Row],[Yıllık Satışlar Değişimi]]&lt;0,0,(Tablo1[[#This Row],[Yıllık Satışlar Değişimi]]/MAX(Tablo1[Yıllık Satışlar Değişimi]))*10),"")</f>
        <v>6.7733012627781122</v>
      </c>
      <c r="AF3" s="33">
        <v>13.13</v>
      </c>
    </row>
    <row r="4" spans="2:32" ht="21.95" customHeight="1" thickTop="1" thickBot="1" x14ac:dyDescent="0.3">
      <c r="B4" s="17" t="str">
        <f>+data!A3</f>
        <v>AKENR</v>
      </c>
      <c r="C4" s="6">
        <f>+data!B3/100</f>
        <v>-2.8635999999999999</v>
      </c>
      <c r="D4" s="9">
        <f>IF(data!C3&lt;0,"",data!C3)</f>
        <v>1.32</v>
      </c>
      <c r="E4" s="9" t="str">
        <f>IF(data!D3="","",data!D3)</f>
        <v/>
      </c>
      <c r="F4" s="9">
        <f>IF(data!E3="","",data!E3)</f>
        <v>8.14</v>
      </c>
      <c r="G4" s="9">
        <f>IF(data!F3="","",data!F3)</f>
        <v>0.79</v>
      </c>
      <c r="H4" s="9">
        <f>IF(data!G3="","",data!G3)</f>
        <v>0.11</v>
      </c>
      <c r="I4" s="6">
        <f>IF(data!H3/100="","",data!H3/100)</f>
        <v>9.9499999999999991E-2</v>
      </c>
      <c r="J4" s="6" t="str">
        <f>IF(data!I3/100=0,"",data!I3/100)</f>
        <v/>
      </c>
      <c r="K4" s="6">
        <f>IF(data!J3/100="","",data!J3/100)</f>
        <v>9.69E-2</v>
      </c>
      <c r="L4" s="6">
        <f>IF(data!K3/100="","",data!K3/100)</f>
        <v>0.40310000000000001</v>
      </c>
      <c r="N4" s="19">
        <f>(AF4-data!M3)/AF4</f>
        <v>0.16147859922178992</v>
      </c>
      <c r="Q4" s="8" t="s">
        <v>9</v>
      </c>
      <c r="R4" s="5">
        <f>AVERAGE(Tablo1[Yıllık FAVÖK Değişimi])</f>
        <v>0.20963928571428569</v>
      </c>
      <c r="T4" s="32">
        <f t="shared" ref="T4:T10" si="0">SUM(U4:AD4)</f>
        <v>22.352209048510446</v>
      </c>
      <c r="U4" s="12">
        <f>IF(Tablo1[[#This Row],[Özkaynak Karlılığı]]&lt;0,0,(Tablo1[[#This Row],[Özkaynak Karlılığı]]/MAX(Tablo1[Özkaynak Karlılığı]))*10)</f>
        <v>0</v>
      </c>
      <c r="V4" s="12">
        <f>(MIN(Tablo1[PD/DD])/Tablo1[[#This Row],[PD/DD]])*10</f>
        <v>5.0757575757575761</v>
      </c>
      <c r="W4" s="12" t="str">
        <f>IFERROR((MIN(Tablo1[F/K])/Tablo1[[#This Row],[F/K]])*10,"")</f>
        <v/>
      </c>
      <c r="X4" s="12">
        <f>IFERROR((MIN(Tablo1[FD/FAVÖK])/Tablo1[[#This Row],[FD/FAVÖK]])*10,"")</f>
        <v>6.117936117936118</v>
      </c>
      <c r="Y4" s="12">
        <f>IFERROR((MIN(Tablo1[FD/Satış])/Tablo1[[#This Row],[FD/Satış]])*10,"")</f>
        <v>5.8227848101265822</v>
      </c>
      <c r="Z4" s="12">
        <f>IFERROR((MIN(Tablo1[PEG])/Tablo1[[#This Row],[PEG]])*10,"")</f>
        <v>0</v>
      </c>
      <c r="AA4" s="12">
        <f>(Tablo1[[#This Row],[ROIC]]/MAX(Tablo1[ROIC]))*10</f>
        <v>0.13675284157286383</v>
      </c>
      <c r="AB4" s="12" t="str">
        <f>IFERROR(IF(Tablo1[[#This Row],[Yıllık Net Kar Değişimi]]&lt;0,0,(Tablo1[[#This Row],[Yıllık Net Kar Değişimi]]/MAX(Tablo1[Yıllık Net Kar Değişimi]))*10),"")</f>
        <v/>
      </c>
      <c r="AC4" s="12">
        <f>IFERROR(IF(Tablo1[[#This Row],[Yıllık FAVÖK Değişimi]]&lt;0,0,(Tablo1[[#This Row],[Yıllık FAVÖK Değişimi]]/MAX(Tablo1[Yıllık FAVÖK Değişimi]))*10),"")</f>
        <v>0.35111239944923545</v>
      </c>
      <c r="AD4" s="12">
        <f>IFERROR(IF(Tablo1[[#This Row],[Yıllık Satışlar Değişimi]]&lt;0,0,(Tablo1[[#This Row],[Yıllık Satışlar Değişimi]]/MAX(Tablo1[Yıllık Satışlar Değişimi]))*10),"")</f>
        <v>4.8478653036680699</v>
      </c>
      <c r="AF4" s="5">
        <f>SUMIFS([1]!Tablo1[Hisse Fiyatı],[1]!Tablo1[Hisse],Tablo1[[#This Row],[Şirket]],[1]!Tablo1[Dönem],$R$2)</f>
        <v>5.14</v>
      </c>
    </row>
    <row r="5" spans="2:32" ht="21.95" customHeight="1" thickTop="1" thickBot="1" x14ac:dyDescent="0.3">
      <c r="B5" s="17" t="str">
        <f>+data!A4</f>
        <v>AKFYE</v>
      </c>
      <c r="C5" s="6">
        <f>+data!B4/100</f>
        <v>0.1074</v>
      </c>
      <c r="D5" s="9">
        <f>IF(data!C4&lt;0,"",data!C4)</f>
        <v>3.47</v>
      </c>
      <c r="E5" s="9">
        <f>IF(data!D4="","",data!D4)</f>
        <v>25.76</v>
      </c>
      <c r="F5" s="9">
        <f>IF(data!E4="","",data!E4)</f>
        <v>11.85</v>
      </c>
      <c r="G5" s="9">
        <f>IF(data!F4="","",data!F4)</f>
        <v>8.23</v>
      </c>
      <c r="H5" s="9" t="str">
        <f>IF(data!G4="","",data!G4)</f>
        <v/>
      </c>
      <c r="I5" s="6">
        <f>IF(data!H4/100="","",data!H4/100)</f>
        <v>0.13</v>
      </c>
      <c r="J5" s="6">
        <f>IF(data!I4/100=0,"",data!I4/100)</f>
        <v>-5.57E-2</v>
      </c>
      <c r="K5" s="6">
        <f>IF(data!J4/100="","",data!J4/100)</f>
        <v>0.12529999999999999</v>
      </c>
      <c r="L5" s="6">
        <f>IF(data!K4/100="","",data!K4/100)</f>
        <v>0.27739999999999998</v>
      </c>
      <c r="N5" s="19">
        <f>(AF5-data!M4)/AF5</f>
        <v>0.14712153518123675</v>
      </c>
      <c r="Q5" s="8" t="s">
        <v>8</v>
      </c>
      <c r="R5" s="5">
        <f>AVERAGE(Tablo1[Yıllık Net Kar Değişimi])</f>
        <v>2.0140999999999996</v>
      </c>
      <c r="T5" s="32">
        <f t="shared" si="0"/>
        <v>12.40399730161022</v>
      </c>
      <c r="U5" s="12">
        <f>IF(Tablo1[[#This Row],[Özkaynak Karlılığı]]&lt;0,0,(Tablo1[[#This Row],[Özkaynak Karlılığı]]/MAX(Tablo1[Özkaynak Karlılığı]))*10)</f>
        <v>0.90047790726922128</v>
      </c>
      <c r="V5" s="12">
        <f>(MIN(Tablo1[PD/DD])/Tablo1[[#This Row],[PD/DD]])*10</f>
        <v>1.9308357348703171</v>
      </c>
      <c r="W5" s="12">
        <f>IFERROR((MIN(Tablo1[F/K])/Tablo1[[#This Row],[F/K]])*10,"")</f>
        <v>0.84239130434782594</v>
      </c>
      <c r="X5" s="12">
        <f>IFERROR((MIN(Tablo1[FD/FAVÖK])/Tablo1[[#This Row],[FD/FAVÖK]])*10,"")</f>
        <v>4.2025316455696213</v>
      </c>
      <c r="Y5" s="12">
        <f>IFERROR((MIN(Tablo1[FD/Satış])/Tablo1[[#This Row],[FD/Satış]])*10,"")</f>
        <v>0.55893074119076547</v>
      </c>
      <c r="Z5" s="12" t="str">
        <f>IFERROR((MIN(Tablo1[PEG])/Tablo1[[#This Row],[PEG]])*10,"")</f>
        <v/>
      </c>
      <c r="AA5" s="12">
        <f>(Tablo1[[#This Row],[ROIC]]/MAX(Tablo1[ROIC]))*10</f>
        <v>0.17867205431630451</v>
      </c>
      <c r="AB5" s="12">
        <f>IFERROR(IF(Tablo1[[#This Row],[Yıllık Net Kar Değişimi]]&lt;0,0,(Tablo1[[#This Row],[Yıllık Net Kar Değişimi]]/MAX(Tablo1[Yıllık Net Kar Değişimi]))*10),"")</f>
        <v>0</v>
      </c>
      <c r="AC5" s="12">
        <f>IFERROR(IF(Tablo1[[#This Row],[Yıllık FAVÖK Değişimi]]&lt;0,0,(Tablo1[[#This Row],[Yıllık FAVÖK Değişimi]]/MAX(Tablo1[Yıllık FAVÖK Değişimi]))*10),"")</f>
        <v>0.45401840713095143</v>
      </c>
      <c r="AD5" s="12">
        <f>IFERROR(IF(Tablo1[[#This Row],[Yıllık Satışlar Değişimi]]&lt;0,0,(Tablo1[[#This Row],[Yıllık Satışlar Değişimi]]/MAX(Tablo1[Yıllık Satışlar Değişimi]))*10),"")</f>
        <v>3.3361395069152131</v>
      </c>
      <c r="AF5" s="33">
        <v>18.760000000000002</v>
      </c>
    </row>
    <row r="6" spans="2:32" ht="21.95" customHeight="1" thickTop="1" thickBot="1" x14ac:dyDescent="0.3">
      <c r="B6" s="17" t="str">
        <f>+data!A5</f>
        <v>AKSEN</v>
      </c>
      <c r="C6" s="6">
        <f>+data!B5/100</f>
        <v>0.22670000000000001</v>
      </c>
      <c r="D6" s="9">
        <f>IF(data!C5&lt;0,"",data!C5)</f>
        <v>1.58</v>
      </c>
      <c r="E6" s="9">
        <f>IF(data!D5="","",data!D5)</f>
        <v>8.6999999999999993</v>
      </c>
      <c r="F6" s="9">
        <f>IF(data!E5="","",data!E5)</f>
        <v>7.46</v>
      </c>
      <c r="G6" s="9">
        <f>IF(data!F5="","",data!F5)</f>
        <v>1.4</v>
      </c>
      <c r="H6" s="9" t="str">
        <f>IF(data!G5="","",data!G5)</f>
        <v/>
      </c>
      <c r="I6" s="6">
        <f>IF(data!H5/100="","",data!H5/100)</f>
        <v>0.1409</v>
      </c>
      <c r="J6" s="6">
        <f>IF(data!I5/100=0,"",data!I5/100)</f>
        <v>-8.3400000000000002E-2</v>
      </c>
      <c r="K6" s="6">
        <f>IF(data!J5/100="","",data!J5/100)</f>
        <v>-4.4000000000000004E-2</v>
      </c>
      <c r="L6" s="6">
        <f>IF(data!K5/100="","",data!K5/100)</f>
        <v>-0.38140000000000002</v>
      </c>
      <c r="N6" s="19">
        <f>(AF6-data!M5)/AF6</f>
        <v>0.17007178354500277</v>
      </c>
      <c r="Q6" s="8" t="s">
        <v>7</v>
      </c>
      <c r="R6" s="5">
        <f>AVERAGE(Tablo1[ROIC])</f>
        <v>0.17570357142857146</v>
      </c>
      <c r="T6" s="32">
        <f t="shared" si="0"/>
        <v>18.790459161831041</v>
      </c>
      <c r="U6" s="12">
        <f>IF(Tablo1[[#This Row],[Özkaynak Karlılığı]]&lt;0,0,(Tablo1[[#This Row],[Özkaynak Karlılığı]]/MAX(Tablo1[Özkaynak Karlılığı]))*10)</f>
        <v>1.9007294374109169</v>
      </c>
      <c r="V6" s="12">
        <f>(MIN(Tablo1[PD/DD])/Tablo1[[#This Row],[PD/DD]])*10</f>
        <v>4.2405063291139236</v>
      </c>
      <c r="W6" s="12">
        <f>IFERROR((MIN(Tablo1[F/K])/Tablo1[[#This Row],[F/K]])*10,"")</f>
        <v>2.4942528735632186</v>
      </c>
      <c r="X6" s="12">
        <f>IFERROR((MIN(Tablo1[FD/FAVÖK])/Tablo1[[#This Row],[FD/FAVÖK]])*10,"")</f>
        <v>6.6756032171581783</v>
      </c>
      <c r="Y6" s="12">
        <f>IFERROR((MIN(Tablo1[FD/Satış])/Tablo1[[#This Row],[FD/Satış]])*10,"")</f>
        <v>3.2857142857142865</v>
      </c>
      <c r="Z6" s="12" t="str">
        <f>IFERROR((MIN(Tablo1[PEG])/Tablo1[[#This Row],[PEG]])*10,"")</f>
        <v/>
      </c>
      <c r="AA6" s="12">
        <f>(Tablo1[[#This Row],[ROIC]]/MAX(Tablo1[ROIC]))*10</f>
        <v>0.19365301887051772</v>
      </c>
      <c r="AB6" s="12">
        <f>IFERROR(IF(Tablo1[[#This Row],[Yıllık Net Kar Değişimi]]&lt;0,0,(Tablo1[[#This Row],[Yıllık Net Kar Değişimi]]/MAX(Tablo1[Yıllık Net Kar Değişimi]))*10),"")</f>
        <v>0</v>
      </c>
      <c r="AC6" s="12">
        <f>IFERROR(IF(Tablo1[[#This Row],[Yıllık FAVÖK Değişimi]]&lt;0,0,(Tablo1[[#This Row],[Yıllık FAVÖK Değişimi]]/MAX(Tablo1[Yıllık FAVÖK Değişimi]))*10),"")</f>
        <v>0</v>
      </c>
      <c r="AD6" s="12">
        <f>IFERROR(IF(Tablo1[[#This Row],[Yıllık Satışlar Değişimi]]&lt;0,0,(Tablo1[[#This Row],[Yıllık Satışlar Değişimi]]/MAX(Tablo1[Yıllık Satışlar Değişimi]))*10),"")</f>
        <v>0</v>
      </c>
      <c r="AF6" s="5">
        <f>SUMIFS([1]!Tablo1[Hisse Fiyatı],[1]!Tablo1[Hisse],Tablo1[[#This Row],[Şirket]],[1]!Tablo1[Dönem],$R$2)</f>
        <v>36.22</v>
      </c>
    </row>
    <row r="7" spans="2:32" ht="21.95" customHeight="1" thickTop="1" thickBot="1" x14ac:dyDescent="0.3">
      <c r="B7" s="17" t="str">
        <f>+data!A6</f>
        <v>ALARK</v>
      </c>
      <c r="C7" s="6">
        <f>+data!B6/100</f>
        <v>0.74329999999999996</v>
      </c>
      <c r="D7" s="9">
        <f>IF(data!C6&lt;0,"",data!C6)</f>
        <v>1.7</v>
      </c>
      <c r="E7" s="9">
        <f>IF(data!D6="","",data!D6)</f>
        <v>3.1</v>
      </c>
      <c r="F7" s="9">
        <f>IF(data!E6="","",data!E6)</f>
        <v>189.47</v>
      </c>
      <c r="G7" s="9">
        <f>IF(data!F6="","",data!F6)</f>
        <v>4.3499999999999996</v>
      </c>
      <c r="H7" s="9">
        <f>IF(data!G6="","",data!G6)</f>
        <v>0.06</v>
      </c>
      <c r="I7" s="6">
        <f>IF(data!H6/100="","",data!H6/100)</f>
        <v>0.55779999999999996</v>
      </c>
      <c r="J7" s="6">
        <f>IF(data!I6/100=0,"",data!I6/100)</f>
        <v>0.18840000000000001</v>
      </c>
      <c r="K7" s="6">
        <f>IF(data!J6/100="","",data!J6/100)</f>
        <v>-0.52039999999999997</v>
      </c>
      <c r="L7" s="6">
        <f>IF(data!K6/100="","",data!K6/100)</f>
        <v>0.19719999999999999</v>
      </c>
      <c r="N7" s="19">
        <f>(AF7-data!M6)/AF7</f>
        <v>0.19710272168568921</v>
      </c>
      <c r="Q7" s="8" t="s">
        <v>5</v>
      </c>
      <c r="R7" s="5">
        <f>AVERAGE(Tablo1[FD/Satış])</f>
        <v>10.216785714285715</v>
      </c>
      <c r="T7" s="32">
        <f t="shared" si="0"/>
        <v>21.713818877230658</v>
      </c>
      <c r="U7" s="12">
        <f>IF(Tablo1[[#This Row],[Özkaynak Karlılığı]]&lt;0,0,(Tablo1[[#This Row],[Özkaynak Karlılığı]]/MAX(Tablo1[Özkaynak Karlılığı]))*10)</f>
        <v>6.2320784774042091</v>
      </c>
      <c r="V7" s="12">
        <f>(MIN(Tablo1[PD/DD])/Tablo1[[#This Row],[PD/DD]])*10</f>
        <v>3.9411764705882355</v>
      </c>
      <c r="W7" s="12">
        <f>IFERROR((MIN(Tablo1[F/K])/Tablo1[[#This Row],[F/K]])*10,"")</f>
        <v>7</v>
      </c>
      <c r="X7" s="12">
        <f>IFERROR((MIN(Tablo1[FD/FAVÖK])/Tablo1[[#This Row],[FD/FAVÖK]])*10,"")</f>
        <v>0.26283844408085716</v>
      </c>
      <c r="Y7" s="12">
        <f>IFERROR((MIN(Tablo1[FD/Satış])/Tablo1[[#This Row],[FD/Satış]])*10,"")</f>
        <v>1.0574712643678161</v>
      </c>
      <c r="Z7" s="12">
        <f>IFERROR((MIN(Tablo1[PEG])/Tablo1[[#This Row],[PEG]])*10,"")</f>
        <v>0</v>
      </c>
      <c r="AA7" s="12">
        <f>(Tablo1[[#This Row],[ROIC]]/MAX(Tablo1[ROIC]))*10</f>
        <v>0.76664055305872814</v>
      </c>
      <c r="AB7" s="12">
        <f>IFERROR(IF(Tablo1[[#This Row],[Yıllık Net Kar Değişimi]]&lt;0,0,(Tablo1[[#This Row],[Yıllık Net Kar Değişimi]]/MAX(Tablo1[Yıllık Net Kar Değişimi]))*10),"")</f>
        <v>8.1996109101829251E-2</v>
      </c>
      <c r="AC7" s="12">
        <f>IFERROR(IF(Tablo1[[#This Row],[Yıllık FAVÖK Değişimi]]&lt;0,0,(Tablo1[[#This Row],[Yıllık FAVÖK Değişimi]]/MAX(Tablo1[Yıllık FAVÖK Değişimi]))*10),"")</f>
        <v>0</v>
      </c>
      <c r="AD7" s="12">
        <f>IFERROR(IF(Tablo1[[#This Row],[Yıllık Satışlar Değişimi]]&lt;0,0,(Tablo1[[#This Row],[Yıllık Satışlar Değişimi]]/MAX(Tablo1[Yıllık Satışlar Değişimi]))*10),"")</f>
        <v>2.3716175586289836</v>
      </c>
      <c r="AF7" s="5">
        <f>SUMIFS([1]!Tablo1[Hisse Fiyatı],[1]!Tablo1[Hisse],Tablo1[[#This Row],[Şirket]],[1]!Tablo1[Dönem],$R$2)</f>
        <v>113.9</v>
      </c>
    </row>
    <row r="8" spans="2:32" ht="21.95" customHeight="1" thickTop="1" thickBot="1" x14ac:dyDescent="0.3">
      <c r="B8" s="17" t="str">
        <f>+data!A7</f>
        <v>ARASE</v>
      </c>
      <c r="C8" s="6">
        <f>+data!B7/100</f>
        <v>0.71360000000000001</v>
      </c>
      <c r="D8" s="9">
        <f>IF(data!C7&lt;0,"",data!C7)</f>
        <v>3.46</v>
      </c>
      <c r="E8" s="9">
        <f>IF(data!D7="","",data!D7)</f>
        <v>6.51</v>
      </c>
      <c r="F8" s="9">
        <f>IF(data!E7="","",data!E7)</f>
        <v>4.9800000000000004</v>
      </c>
      <c r="G8" s="9">
        <f>IF(data!F7="","",data!F7)</f>
        <v>0.91</v>
      </c>
      <c r="H8" s="9">
        <f>IF(data!G7="","",data!G7)</f>
        <v>0.04</v>
      </c>
      <c r="I8" s="6">
        <f>IF(data!H7/100="","",data!H7/100)</f>
        <v>7.2759</v>
      </c>
      <c r="J8" s="6">
        <f>IF(data!I7/100=0,"",data!I7/100)</f>
        <v>1.6291</v>
      </c>
      <c r="K8" s="6">
        <f>IF(data!J7/100="","",data!J7/100)</f>
        <v>1.4481999999999999</v>
      </c>
      <c r="L8" s="6">
        <f>IF(data!K7/100="","",data!K7/100)</f>
        <v>0.22219999999999998</v>
      </c>
      <c r="N8" s="19">
        <f>(AF8-data!M7)/AF8</f>
        <v>-0.16895874263261301</v>
      </c>
      <c r="Q8" s="8" t="s">
        <v>4</v>
      </c>
      <c r="R8" s="5">
        <f>AVERAGE(Tablo1[FD/FAVÖK])</f>
        <v>30.171481481481482</v>
      </c>
      <c r="T8" s="32">
        <f t="shared" si="0"/>
        <v>44.936541544344102</v>
      </c>
      <c r="U8" s="12">
        <f>IF(Tablo1[[#This Row],[Özkaynak Karlılığı]]&lt;0,0,(Tablo1[[#This Row],[Özkaynak Karlılığı]]/MAX(Tablo1[Özkaynak Karlılığı]))*10)</f>
        <v>5.9830636371258494</v>
      </c>
      <c r="V8" s="12">
        <f>(MIN(Tablo1[PD/DD])/Tablo1[[#This Row],[PD/DD]])*10</f>
        <v>1.9364161849710984</v>
      </c>
      <c r="W8" s="12">
        <f>IFERROR((MIN(Tablo1[F/K])/Tablo1[[#This Row],[F/K]])*10,"")</f>
        <v>3.333333333333333</v>
      </c>
      <c r="X8" s="12">
        <f>IFERROR((MIN(Tablo1[FD/FAVÖK])/Tablo1[[#This Row],[FD/FAVÖK]])*10,"")</f>
        <v>10</v>
      </c>
      <c r="Y8" s="12">
        <f>IFERROR((MIN(Tablo1[FD/Satış])/Tablo1[[#This Row],[FD/Satış]])*10,"")</f>
        <v>5.0549450549450547</v>
      </c>
      <c r="Z8" s="12">
        <f>IFERROR((MIN(Tablo1[PEG])/Tablo1[[#This Row],[PEG]])*10,"")</f>
        <v>0</v>
      </c>
      <c r="AA8" s="12">
        <f>(Tablo1[[#This Row],[ROIC]]/MAX(Tablo1[ROIC]))*10</f>
        <v>10</v>
      </c>
      <c r="AB8" s="12">
        <f>IFERROR(IF(Tablo1[[#This Row],[Yıllık Net Kar Değişimi]]&lt;0,0,(Tablo1[[#This Row],[Yıllık Net Kar Değişimi]]/MAX(Tablo1[Yıllık Net Kar Değişimi]))*10),"")</f>
        <v>0.70902261856576443</v>
      </c>
      <c r="AC8" s="12">
        <f>IFERROR(IF(Tablo1[[#This Row],[Yıllık FAVÖK Değişimi]]&lt;0,0,(Tablo1[[#This Row],[Yıllık FAVÖK Değişimi]]/MAX(Tablo1[Yıllık FAVÖK Değişimi]))*10),"")</f>
        <v>5.2474817015725774</v>
      </c>
      <c r="AD8" s="12">
        <f>IFERROR(IF(Tablo1[[#This Row],[Yıllık Satışlar Değişimi]]&lt;0,0,(Tablo1[[#This Row],[Yıllık Satışlar Değişimi]]/MAX(Tablo1[Yıllık Satışlar Değişimi]))*10),"")</f>
        <v>2.6722790138304262</v>
      </c>
      <c r="AF8" s="5">
        <f>SUMIFS([1]!Tablo1[Hisse Fiyatı],[1]!Tablo1[Hisse],Tablo1[[#This Row],[Şirket]],[1]!Tablo1[Dönem],$R$2)</f>
        <v>50.9</v>
      </c>
    </row>
    <row r="9" spans="2:32" ht="21.95" customHeight="1" thickTop="1" thickBot="1" x14ac:dyDescent="0.3">
      <c r="B9" s="17" t="str">
        <f>+data!A8</f>
        <v>AYDEM</v>
      </c>
      <c r="C9" s="6">
        <f>+data!B8/100</f>
        <v>-0.19420000000000001</v>
      </c>
      <c r="D9" s="9">
        <f>IF(data!C8&lt;0,"",data!C8)</f>
        <v>0.94</v>
      </c>
      <c r="E9" s="9" t="str">
        <f>IF(data!D8="","",data!D8)</f>
        <v/>
      </c>
      <c r="F9" s="9">
        <f>IF(data!E8="","",data!E8)</f>
        <v>10.130000000000001</v>
      </c>
      <c r="G9" s="9">
        <f>IF(data!F8="","",data!F8)</f>
        <v>6.66</v>
      </c>
      <c r="H9" s="9">
        <f>IF(data!G8="","",data!G8)</f>
        <v>0.02</v>
      </c>
      <c r="I9" s="6">
        <f>IF(data!H8/100="","",data!H8/100)</f>
        <v>7.9199999999999993E-2</v>
      </c>
      <c r="J9" s="6" t="str">
        <f>IF(data!I8/100=0,"",data!I8/100)</f>
        <v/>
      </c>
      <c r="K9" s="6">
        <f>IF(data!J8/100="","",data!J8/100)</f>
        <v>-3.6200000000000003E-2</v>
      </c>
      <c r="L9" s="6">
        <f>IF(data!K8/100="","",data!K8/100)</f>
        <v>0.2114</v>
      </c>
      <c r="N9" s="19">
        <f>(AF9-data!M8)/AF9</f>
        <v>0.14472455648926241</v>
      </c>
      <c r="Q9" s="8" t="s">
        <v>3</v>
      </c>
      <c r="R9" s="5">
        <f>+AVERAGE(Tablo1[F/K])</f>
        <v>21.400384615384613</v>
      </c>
      <c r="T9" s="32">
        <f t="shared" si="0"/>
        <v>15.385686862781814</v>
      </c>
      <c r="U9" s="12">
        <f>IF(Tablo1[[#This Row],[Özkaynak Karlılığı]]&lt;0,0,(Tablo1[[#This Row],[Özkaynak Karlılığı]]/MAX(Tablo1[Özkaynak Karlılığı]))*10)</f>
        <v>0</v>
      </c>
      <c r="V9" s="12">
        <f>(MIN(Tablo1[PD/DD])/Tablo1[[#This Row],[PD/DD]])*10</f>
        <v>7.127659574468086</v>
      </c>
      <c r="W9" s="12" t="str">
        <f>IFERROR((MIN(Tablo1[F/K])/Tablo1[[#This Row],[F/K]])*10,"")</f>
        <v/>
      </c>
      <c r="X9" s="12">
        <f>IFERROR((MIN(Tablo1[FD/FAVÖK])/Tablo1[[#This Row],[FD/FAVÖK]])*10,"")</f>
        <v>4.9160908193484696</v>
      </c>
      <c r="Y9" s="12">
        <f>IFERROR((MIN(Tablo1[FD/Satış])/Tablo1[[#This Row],[FD/Satış]])*10,"")</f>
        <v>0.69069069069069067</v>
      </c>
      <c r="Z9" s="12">
        <f>IFERROR((MIN(Tablo1[PEG])/Tablo1[[#This Row],[PEG]])*10,"")</f>
        <v>0</v>
      </c>
      <c r="AA9" s="12">
        <f>(Tablo1[[#This Row],[ROIC]]/MAX(Tablo1[ROIC]))*10</f>
        <v>0.10885251309116398</v>
      </c>
      <c r="AB9" s="12" t="str">
        <f>IFERROR(IF(Tablo1[[#This Row],[Yıllık Net Kar Değişimi]]&lt;0,0,(Tablo1[[#This Row],[Yıllık Net Kar Değişimi]]/MAX(Tablo1[Yıllık Net Kar Değişimi]))*10),"")</f>
        <v/>
      </c>
      <c r="AC9" s="12">
        <f>IFERROR(IF(Tablo1[[#This Row],[Yıllık FAVÖK Değişimi]]&lt;0,0,(Tablo1[[#This Row],[Yıllık FAVÖK Değişimi]]/MAX(Tablo1[Yıllık FAVÖK Değişimi]))*10),"")</f>
        <v>0</v>
      </c>
      <c r="AD9" s="12">
        <f>IFERROR(IF(Tablo1[[#This Row],[Yıllık Satışlar Değişimi]]&lt;0,0,(Tablo1[[#This Row],[Yıllık Satışlar Değişimi]]/MAX(Tablo1[Yıllık Satışlar Değişimi]))*10),"")</f>
        <v>2.5423932651834038</v>
      </c>
      <c r="AF9" s="5">
        <f>SUMIFS([1]!Tablo1[Hisse Fiyatı],[1]!Tablo1[Hisse],Tablo1[[#This Row],[Şirket]],[1]!Tablo1[Dönem],$R$2)</f>
        <v>21.42</v>
      </c>
    </row>
    <row r="10" spans="2:32" ht="21.95" customHeight="1" thickTop="1" thickBot="1" x14ac:dyDescent="0.3">
      <c r="B10" s="17" t="str">
        <f>+data!A9</f>
        <v>AYEN</v>
      </c>
      <c r="C10" s="6">
        <f>+data!B9/100</f>
        <v>0.16159999999999999</v>
      </c>
      <c r="D10" s="9">
        <f>IF(data!C9&lt;0,"",data!C9)</f>
        <v>1.1399999999999999</v>
      </c>
      <c r="E10" s="9">
        <f>IF(data!D9="","",data!D9)</f>
        <v>9.02</v>
      </c>
      <c r="F10" s="9">
        <f>IF(data!E9="","",data!E9)</f>
        <v>6.49</v>
      </c>
      <c r="G10" s="9">
        <f>IF(data!F9="","",data!F9)</f>
        <v>1.8</v>
      </c>
      <c r="H10" s="9" t="str">
        <f>IF(data!G9="","",data!G9)</f>
        <v/>
      </c>
      <c r="I10" s="6">
        <f>IF(data!H9/100="","",data!H9/100)</f>
        <v>0.18899999999999997</v>
      </c>
      <c r="J10" s="6">
        <f>IF(data!I9/100=0,"",data!I9/100)</f>
        <v>-0.7177</v>
      </c>
      <c r="K10" s="6">
        <f>IF(data!J9/100="","",data!J9/100)</f>
        <v>-0.52649999999999997</v>
      </c>
      <c r="L10" s="6">
        <f>IF(data!K9/100="","",data!K9/100)</f>
        <v>-0.16969999999999999</v>
      </c>
      <c r="N10" s="19">
        <f>(AF10-data!M9)/AF10</f>
        <v>0.22446324007807414</v>
      </c>
      <c r="Q10" s="8" t="s">
        <v>2</v>
      </c>
      <c r="R10" s="5">
        <f>AVERAGE(Tablo1[PD/DD])</f>
        <v>3.0228571428571422</v>
      </c>
      <c r="T10" s="32">
        <f t="shared" si="0"/>
        <v>20.126527819198905</v>
      </c>
      <c r="U10" s="12">
        <f>IF(Tablo1[[#This Row],[Özkaynak Karlılığı]]&lt;0,0,(Tablo1[[#This Row],[Özkaynak Karlılığı]]/MAX(Tablo1[Özkaynak Karlılığı]))*10)</f>
        <v>1.3549090299320872</v>
      </c>
      <c r="V10" s="12">
        <f>(MIN(Tablo1[PD/DD])/Tablo1[[#This Row],[PD/DD]])*10</f>
        <v>5.8771929824561404</v>
      </c>
      <c r="W10" s="12">
        <f>IFERROR((MIN(Tablo1[F/K])/Tablo1[[#This Row],[F/K]])*10,"")</f>
        <v>2.4057649667405765</v>
      </c>
      <c r="X10" s="12">
        <f>IFERROR((MIN(Tablo1[FD/FAVÖK])/Tablo1[[#This Row],[FD/FAVÖK]])*10,"")</f>
        <v>7.6733436055469966</v>
      </c>
      <c r="Y10" s="12">
        <f>IFERROR((MIN(Tablo1[FD/Satış])/Tablo1[[#This Row],[FD/Satış]])*10,"")</f>
        <v>2.5555555555555554</v>
      </c>
      <c r="Z10" s="12" t="str">
        <f>IFERROR((MIN(Tablo1[PEG])/Tablo1[[#This Row],[PEG]])*10,"")</f>
        <v/>
      </c>
      <c r="AA10" s="12">
        <f>(Tablo1[[#This Row],[ROIC]]/MAX(Tablo1[ROIC]))*10</f>
        <v>0.25976167896755037</v>
      </c>
      <c r="AB10" s="12">
        <f>IFERROR(IF(Tablo1[[#This Row],[Yıllık Net Kar Değişimi]]&lt;0,0,(Tablo1[[#This Row],[Yıllık Net Kar Değişimi]]/MAX(Tablo1[Yıllık Net Kar Değişimi]))*10),"")</f>
        <v>0</v>
      </c>
      <c r="AC10" s="12">
        <f>IFERROR(IF(Tablo1[[#This Row],[Yıllık FAVÖK Değişimi]]&lt;0,0,(Tablo1[[#This Row],[Yıllık FAVÖK Değişimi]]/MAX(Tablo1[Yıllık FAVÖK Değişimi]))*10),"")</f>
        <v>0</v>
      </c>
      <c r="AD10" s="12">
        <f>IFERROR(IF(Tablo1[[#This Row],[Yıllık Satışlar Değişimi]]&lt;0,0,(Tablo1[[#This Row],[Yıllık Satışlar Değişimi]]/MAX(Tablo1[Yıllık Satışlar Değişimi]))*10),"")</f>
        <v>0</v>
      </c>
      <c r="AF10" s="5">
        <f>SUMIFS([1]!Tablo1[Hisse Fiyatı],[1]!Tablo1[Hisse],Tablo1[[#This Row],[Şirket]],[1]!Tablo1[Dönem],$R$2)</f>
        <v>30.74</v>
      </c>
    </row>
    <row r="11" spans="2:32" ht="21.95" customHeight="1" thickTop="1" thickBot="1" x14ac:dyDescent="0.3">
      <c r="B11" s="17" t="str">
        <f>+data!A10</f>
        <v>BASGZ</v>
      </c>
      <c r="C11" s="24">
        <f>+data!B10/100</f>
        <v>0.4506</v>
      </c>
      <c r="D11" s="9">
        <f>IF(data!C10&lt;0,"",data!C10)</f>
        <v>9.5</v>
      </c>
      <c r="E11" s="9">
        <f>IF(data!D10="","",data!D10)</f>
        <v>19.53</v>
      </c>
      <c r="F11" s="9">
        <f>IF(data!E10="","",data!E10)</f>
        <v>6.25</v>
      </c>
      <c r="G11" s="9">
        <f>IF(data!F10="","",data!F10)</f>
        <v>0.46</v>
      </c>
      <c r="H11" s="9">
        <f>IF(data!G10="","",data!G10)</f>
        <v>0.21</v>
      </c>
      <c r="I11" s="25">
        <f>IF(data!H10/100="","",data!H10/100)</f>
        <v>-0.39549999999999996</v>
      </c>
      <c r="J11" s="6">
        <f>IF(data!I10/100=0,"",data!I10/100)</f>
        <v>10.086599999999999</v>
      </c>
      <c r="K11" s="6">
        <f>IF(data!J10/100="","",data!J10/100)</f>
        <v>0.33049999999999996</v>
      </c>
      <c r="L11" s="6">
        <f>IF(data!K10/100="","",data!K10/100)</f>
        <v>0.45750000000000002</v>
      </c>
      <c r="N11" s="19">
        <f>(AF11-data!M10)/AF11</f>
        <v>6.1909758656873023E-2</v>
      </c>
      <c r="Q11" s="8" t="s">
        <v>1</v>
      </c>
      <c r="R11" s="5">
        <f>AVERAGE(Tablo1[Özkaynak Karlılığı])</f>
        <v>0.22360000000000002</v>
      </c>
      <c r="T11" s="32">
        <f t="shared" ref="T11:T14" si="1">SUM(U11:AD11)</f>
        <v>34.108362255562952</v>
      </c>
      <c r="U11" s="12">
        <f>IF(Tablo1[[#This Row],[Özkaynak Karlılığı]]&lt;0,0,(Tablo1[[#This Row],[Özkaynak Karlılığı]]/MAX(Tablo1[Özkaynak Karlılığı]))*10)</f>
        <v>3.7779827282636043</v>
      </c>
      <c r="V11" s="12">
        <f>(MIN(Tablo1[PD/DD])/Tablo1[[#This Row],[PD/DD]])*10</f>
        <v>0.70526315789473681</v>
      </c>
      <c r="W11" s="12">
        <f>IFERROR((MIN(Tablo1[F/K])/Tablo1[[#This Row],[F/K]])*10,"")</f>
        <v>1.1111111111111112</v>
      </c>
      <c r="X11" s="12">
        <f>IFERROR((MIN(Tablo1[FD/FAVÖK])/Tablo1[[#This Row],[FD/FAVÖK]])*10,"")</f>
        <v>7.9680000000000009</v>
      </c>
      <c r="Y11" s="12">
        <f>IFERROR((MIN(Tablo1[FD/Satış])/Tablo1[[#This Row],[FD/Satış]])*10,"")</f>
        <v>10</v>
      </c>
      <c r="Z11" s="12">
        <f>IFERROR((MIN(Tablo1[PEG])/Tablo1[[#This Row],[PEG]])*10,"")</f>
        <v>0</v>
      </c>
      <c r="AA11" s="12">
        <f>(Tablo1[[#This Row],[ROIC]]/MAX(Tablo1[ROIC]))*10</f>
        <v>-0.54357536524691097</v>
      </c>
      <c r="AB11" s="12">
        <f>IFERROR(IF(Tablo1[[#This Row],[Yıllık Net Kar Değişimi]]&lt;0,0,(Tablo1[[#This Row],[Yıllık Net Kar Değişimi]]/MAX(Tablo1[Yıllık Net Kar Değişimi]))*10),"")</f>
        <v>4.389925446212902</v>
      </c>
      <c r="AC11" s="12">
        <f>IFERROR(IF(Tablo1[[#This Row],[Yıllık FAVÖK Değişimi]]&lt;0,0,(Tablo1[[#This Row],[Yıllık FAVÖK Değişimi]]/MAX(Tablo1[Yıllık FAVÖK Değişimi]))*10),"")</f>
        <v>1.197550547141097</v>
      </c>
      <c r="AD11" s="12">
        <f>IFERROR(IF(Tablo1[[#This Row],[Yıllık Satışlar Değişimi]]&lt;0,0,(Tablo1[[#This Row],[Yıllık Satışlar Değişimi]]/MAX(Tablo1[Yıllık Satışlar Değişimi]))*10),"")</f>
        <v>5.5021046301864107</v>
      </c>
      <c r="AF11" s="5">
        <f>SUMIFS([1]!Tablo1[Hisse Fiyatı],[1]!Tablo1[Hisse],Tablo1[[#This Row],[Şirket]],[1]!Tablo1[Dönem],$R$2)</f>
        <v>19.059999999999999</v>
      </c>
    </row>
    <row r="12" spans="2:32" ht="21.95" customHeight="1" thickTop="1" thickBot="1" x14ac:dyDescent="0.3">
      <c r="B12" s="17" t="str">
        <f>+data!A11</f>
        <v>BIOEN</v>
      </c>
      <c r="C12" s="24">
        <f>+data!B11/100</f>
        <v>1.0868</v>
      </c>
      <c r="D12" s="9">
        <f>IF(data!C11&lt;0,"",data!C11)</f>
        <v>16.46</v>
      </c>
      <c r="E12" s="9">
        <f>IF(data!D11="","",data!D11)</f>
        <v>16.329999999999998</v>
      </c>
      <c r="F12" s="9">
        <f>IF(data!E11="","",data!E11)</f>
        <v>24.24</v>
      </c>
      <c r="G12" s="9">
        <f>IF(data!F11="","",data!F11)</f>
        <v>7.32</v>
      </c>
      <c r="H12" s="9">
        <f>IF(data!G11="","",data!G11)</f>
        <v>0.02</v>
      </c>
      <c r="I12" s="25">
        <f>IF(data!H11/100="","",data!H11/100)</f>
        <v>0.38650000000000001</v>
      </c>
      <c r="J12" s="6">
        <f>IF(data!I11/100=0,"",data!I11/100)</f>
        <v>3.2170000000000001</v>
      </c>
      <c r="K12" s="6">
        <f>IF(data!J11/100="","",data!J11/100)</f>
        <v>0.25890000000000002</v>
      </c>
      <c r="L12" s="6">
        <f>IF(data!K11/100="","",data!K11/100)</f>
        <v>0.54949999999999999</v>
      </c>
      <c r="N12" s="19">
        <f>(AF12-data!M11)/AF12</f>
        <v>-4.1758241758241846E-2</v>
      </c>
      <c r="Q12" s="8" t="s">
        <v>14</v>
      </c>
      <c r="R12" s="11">
        <f>+AVERAGE(N3:N21)</f>
        <v>0.17016506367962969</v>
      </c>
      <c r="T12" s="32">
        <f t="shared" si="1"/>
        <v>23.008829387181539</v>
      </c>
      <c r="U12" s="12">
        <f>IF(Tablo1[[#This Row],[Özkaynak Karlılığı]]&lt;0,0,(Tablo1[[#This Row],[Özkaynak Karlılığı]]/MAX(Tablo1[Özkaynak Karlılığı]))*10)</f>
        <v>9.1120985998155462</v>
      </c>
      <c r="V12" s="12">
        <f>(MIN(Tablo1[PD/DD])/Tablo1[[#This Row],[PD/DD]])*10</f>
        <v>0.40704738760631831</v>
      </c>
      <c r="W12" s="12">
        <f>IFERROR((MIN(Tablo1[F/K])/Tablo1[[#This Row],[F/K]])*10,"")</f>
        <v>1.3288426209430497</v>
      </c>
      <c r="X12" s="12">
        <f>IFERROR((MIN(Tablo1[FD/FAVÖK])/Tablo1[[#This Row],[FD/FAVÖK]])*10,"")</f>
        <v>2.0544554455445549</v>
      </c>
      <c r="Y12" s="12">
        <f>IFERROR((MIN(Tablo1[FD/Satış])/Tablo1[[#This Row],[FD/Satış]])*10,"")</f>
        <v>0.62841530054644812</v>
      </c>
      <c r="Z12" s="12">
        <f>IFERROR((MIN(Tablo1[PEG])/Tablo1[[#This Row],[PEG]])*10,"")</f>
        <v>0</v>
      </c>
      <c r="AA12" s="12">
        <f>(Tablo1[[#This Row],[ROIC]]/MAX(Tablo1[ROIC]))*10</f>
        <v>0.53120576148655152</v>
      </c>
      <c r="AB12" s="12">
        <f>IFERROR(IF(Tablo1[[#This Row],[Yıllık Net Kar Değişimi]]&lt;0,0,(Tablo1[[#This Row],[Yıllık Net Kar Değişimi]]/MAX(Tablo1[Yıllık Net Kar Değişimi]))*10),"")</f>
        <v>1.4001140285593667</v>
      </c>
      <c r="AC12" s="12">
        <f>IFERROR(IF(Tablo1[[#This Row],[Yıllık FAVÖK Değişimi]]&lt;0,0,(Tablo1[[#This Row],[Yıllık FAVÖK Değişimi]]/MAX(Tablo1[Yıllık FAVÖK Değişimi]))*10),"")</f>
        <v>0.93811145735198209</v>
      </c>
      <c r="AD12" s="12">
        <f>IFERROR(IF(Tablo1[[#This Row],[Yıllık Satışlar Değişimi]]&lt;0,0,(Tablo1[[#This Row],[Yıllık Satışlar Değişimi]]/MAX(Tablo1[Yıllık Satışlar Değişimi]))*10),"")</f>
        <v>6.6085387853277213</v>
      </c>
      <c r="AF12" s="5">
        <f>SUMIFS([1]!Tablo1[Hisse Fiyatı],[1]!Tablo1[Hisse],Tablo1[[#This Row],[Şirket]],[1]!Tablo1[Dönem],$R$2)</f>
        <v>18.2</v>
      </c>
    </row>
    <row r="13" spans="2:32" ht="21.95" customHeight="1" thickTop="1" thickBot="1" x14ac:dyDescent="0.3">
      <c r="B13" s="17" t="str">
        <f>+data!A12</f>
        <v>CANTE</v>
      </c>
      <c r="C13" s="24">
        <f>+data!B12/100</f>
        <v>0.26129999999999998</v>
      </c>
      <c r="D13" s="9">
        <f>IF(data!C12&lt;0,"",data!C12)</f>
        <v>1.96</v>
      </c>
      <c r="E13" s="9">
        <f>IF(data!D12="","",data!D12)</f>
        <v>9.99</v>
      </c>
      <c r="F13" s="9">
        <f>IF(data!E12="","",data!E12)</f>
        <v>8.98</v>
      </c>
      <c r="G13" s="9">
        <f>IF(data!F12="","",data!F12)</f>
        <v>2.52</v>
      </c>
      <c r="H13" s="9" t="str">
        <f>IF(data!G12="","",data!G12)</f>
        <v/>
      </c>
      <c r="I13" s="25">
        <f>IF(data!H12/100="","",data!H12/100)</f>
        <v>0.314</v>
      </c>
      <c r="J13" s="6">
        <f>IF(data!I12/100=0,"",data!I12/100)</f>
        <v>-0.3503</v>
      </c>
      <c r="K13" s="6">
        <f>IF(data!J12/100="","",data!J12/100)</f>
        <v>-0.375</v>
      </c>
      <c r="L13" s="6">
        <f>IF(data!K12/100="","",data!K12/100)</f>
        <v>8.6599999999999996E-2</v>
      </c>
      <c r="N13" s="19">
        <f>(AF13-data!M12)/AF13</f>
        <v>7.3949579831932788E-2</v>
      </c>
      <c r="Q13" s="8"/>
      <c r="T13" s="32">
        <f t="shared" si="1"/>
        <v>16.625473906276717</v>
      </c>
      <c r="U13" s="12">
        <f>IF(Tablo1[[#This Row],[Özkaynak Karlılığı]]&lt;0,0,(Tablo1[[#This Row],[Özkaynak Karlılığı]]/MAX(Tablo1[Özkaynak Karlılığı]))*10)</f>
        <v>2.1908275341661776</v>
      </c>
      <c r="V13" s="12">
        <f>(MIN(Tablo1[PD/DD])/Tablo1[[#This Row],[PD/DD]])*10</f>
        <v>3.4183673469387759</v>
      </c>
      <c r="W13" s="12">
        <f>IFERROR((MIN(Tablo1[F/K])/Tablo1[[#This Row],[F/K]])*10,"")</f>
        <v>2.1721721721721723</v>
      </c>
      <c r="X13" s="12">
        <f>IFERROR((MIN(Tablo1[FD/FAVÖK])/Tablo1[[#This Row],[FD/FAVÖK]])*10,"")</f>
        <v>5.5456570155902005</v>
      </c>
      <c r="Y13" s="12">
        <f>IFERROR((MIN(Tablo1[FD/Satış])/Tablo1[[#This Row],[FD/Satış]])*10,"")</f>
        <v>1.8253968253968256</v>
      </c>
      <c r="Z13" s="12" t="str">
        <f>IFERROR((MIN(Tablo1[PEG])/Tablo1[[#This Row],[PEG]])*10,"")</f>
        <v/>
      </c>
      <c r="AA13" s="12">
        <f>(Tablo1[[#This Row],[ROIC]]/MAX(Tablo1[ROIC]))*10</f>
        <v>0.43156173119476626</v>
      </c>
      <c r="AB13" s="12">
        <f>IFERROR(IF(Tablo1[[#This Row],[Yıllık Net Kar Değişimi]]&lt;0,0,(Tablo1[[#This Row],[Yıllık Net Kar Değişimi]]/MAX(Tablo1[Yıllık Net Kar Değişimi]))*10),"")</f>
        <v>0</v>
      </c>
      <c r="AC13" s="12">
        <f>IFERROR(IF(Tablo1[[#This Row],[Yıllık FAVÖK Değişimi]]&lt;0,0,(Tablo1[[#This Row],[Yıllık FAVÖK Değişimi]]/MAX(Tablo1[Yıllık FAVÖK Değişimi]))*10),"")</f>
        <v>0</v>
      </c>
      <c r="AD13" s="12">
        <f>IFERROR(IF(Tablo1[[#This Row],[Yıllık Satışlar Değişimi]]&lt;0,0,(Tablo1[[#This Row],[Yıllık Satışlar Değişimi]]/MAX(Tablo1[Yıllık Satışlar Değişimi]))*10),"")</f>
        <v>1.0414912808177992</v>
      </c>
      <c r="AF13" s="5">
        <f>SUMIFS([1]!Tablo1[Hisse Fiyatı],[1]!Tablo1[Hisse],Tablo1[[#This Row],[Şirket]],[1]!Tablo1[Dönem],$R$2)</f>
        <v>17.850000000000001</v>
      </c>
    </row>
    <row r="14" spans="2:32" ht="21.95" customHeight="1" thickTop="1" thickBot="1" x14ac:dyDescent="0.3">
      <c r="B14" s="17" t="str">
        <f>+data!A13</f>
        <v>CONSE</v>
      </c>
      <c r="C14" s="24">
        <f>+data!B13/100</f>
        <v>1.6899999999999998E-2</v>
      </c>
      <c r="D14" s="9">
        <f>IF(data!C13&lt;0,"",data!C13)</f>
        <v>1.83</v>
      </c>
      <c r="E14" s="9">
        <f>IF(data!D13="","",data!D13)</f>
        <v>118.91</v>
      </c>
      <c r="F14" s="9">
        <f>IF(data!E13="","",data!E13)</f>
        <v>20.57</v>
      </c>
      <c r="G14" s="9">
        <f>IF(data!F13="","",data!F13)</f>
        <v>4.2300000000000004</v>
      </c>
      <c r="H14" s="9" t="str">
        <f>IF(data!G13="","",data!G13)</f>
        <v/>
      </c>
      <c r="I14" s="25">
        <f>IF(data!H13/100="","",data!H13/100)</f>
        <v>6.4000000000000001E-2</v>
      </c>
      <c r="J14" s="6">
        <f>IF(data!I13/100=0,"",data!I13/100)</f>
        <v>-0.4093</v>
      </c>
      <c r="K14" s="6">
        <f>IF(data!J13/100="","",data!J13/100)</f>
        <v>-0.1133</v>
      </c>
      <c r="L14" s="6">
        <f>IF(data!K13/100="","",data!K13/100)</f>
        <v>0.44229999999999997</v>
      </c>
      <c r="N14" s="19">
        <f>(AF14-data!M13)/AF14</f>
        <v>0.21093750000000008</v>
      </c>
      <c r="Q14" s="8"/>
      <c r="T14" s="32">
        <f t="shared" si="1"/>
        <v>12.901124458268072</v>
      </c>
      <c r="U14" s="12">
        <f>IF(Tablo1[[#This Row],[Özkaynak Karlılığı]]&lt;0,0,(Tablo1[[#This Row],[Özkaynak Karlılığı]]/MAX(Tablo1[Özkaynak Karlılığı]))*10)</f>
        <v>0.1416953131550264</v>
      </c>
      <c r="V14" s="12">
        <f>(MIN(Tablo1[PD/DD])/Tablo1[[#This Row],[PD/DD]])*10</f>
        <v>3.6612021857923498</v>
      </c>
      <c r="W14" s="12">
        <f>IFERROR((MIN(Tablo1[F/K])/Tablo1[[#This Row],[F/K]])*10,"")</f>
        <v>0.18249095954923894</v>
      </c>
      <c r="X14" s="12">
        <f>IFERROR((MIN(Tablo1[FD/FAVÖK])/Tablo1[[#This Row],[FD/FAVÖK]])*10,"")</f>
        <v>2.4210014584346138</v>
      </c>
      <c r="Y14" s="12">
        <f>IFERROR((MIN(Tablo1[FD/Satış])/Tablo1[[#This Row],[FD/Satış]])*10,"")</f>
        <v>1.0874704491725766</v>
      </c>
      <c r="Z14" s="12" t="str">
        <f>IFERROR((MIN(Tablo1[PEG])/Tablo1[[#This Row],[PEG]])*10,"")</f>
        <v/>
      </c>
      <c r="AA14" s="12">
        <f>(Tablo1[[#This Row],[ROIC]]/MAX(Tablo1[ROIC]))*10</f>
        <v>8.7961626740334531E-2</v>
      </c>
      <c r="AB14" s="12">
        <f>IFERROR(IF(Tablo1[[#This Row],[Yıllık Net Kar Değişimi]]&lt;0,0,(Tablo1[[#This Row],[Yıllık Net Kar Değişimi]]/MAX(Tablo1[Yıllık Net Kar Değişimi]))*10),"")</f>
        <v>0</v>
      </c>
      <c r="AC14" s="12">
        <f>IFERROR(IF(Tablo1[[#This Row],[Yıllık FAVÖK Değişimi]]&lt;0,0,(Tablo1[[#This Row],[Yıllık FAVÖK Değişimi]]/MAX(Tablo1[Yıllık FAVÖK Değişimi]))*10),"")</f>
        <v>0</v>
      </c>
      <c r="AD14" s="12">
        <f>IFERROR(IF(Tablo1[[#This Row],[Yıllık Satışlar Değişimi]]&lt;0,0,(Tablo1[[#This Row],[Yıllık Satışlar Değişimi]]/MAX(Tablo1[Yıllık Satışlar Değişimi]))*10),"")</f>
        <v>5.3193024654239318</v>
      </c>
      <c r="AF14" s="5">
        <f>SUMIFS([1]!Tablo1[Hisse Fiyatı],[1]!Tablo1[Hisse],Tablo1[[#This Row],[Şirket]],[1]!Tablo1[Dönem],$R$2)</f>
        <v>6.4</v>
      </c>
    </row>
    <row r="15" spans="2:32" ht="21.95" customHeight="1" thickTop="1" thickBot="1" x14ac:dyDescent="0.3">
      <c r="B15" s="17" t="str">
        <f>+data!A14</f>
        <v>ENERY</v>
      </c>
      <c r="C15" s="24">
        <f>+data!B14/100</f>
        <v>3.4000000000000002E-2</v>
      </c>
      <c r="D15" s="9">
        <f>IF(data!C14&lt;0,"",data!C14)</f>
        <v>1.47</v>
      </c>
      <c r="E15" s="9">
        <f>IF(data!D14="","",data!D14)</f>
        <v>86.27</v>
      </c>
      <c r="F15" s="9">
        <f>IF(data!E14="","",data!E14)</f>
        <v>11.42</v>
      </c>
      <c r="G15" s="9">
        <f>IF(data!F14="","",data!F14)</f>
        <v>0.79</v>
      </c>
      <c r="H15" s="9" t="str">
        <f>IF(data!G14="","",data!G14)</f>
        <v/>
      </c>
      <c r="I15" s="25">
        <f>IF(data!H14/100="","",data!H14/100)</f>
        <v>0.15460000000000002</v>
      </c>
      <c r="J15" s="6">
        <f>IF(data!I14/100=0,"",data!I14/100)</f>
        <v>-0.40720000000000001</v>
      </c>
      <c r="K15" s="6">
        <f>IF(data!J14/100="","",data!J14/100)</f>
        <v>0.5504</v>
      </c>
      <c r="L15" s="6">
        <f>IF(data!K14/100="","",data!K14/100)</f>
        <v>0.56320000000000003</v>
      </c>
      <c r="N15" s="19">
        <f>(AF15-data!M14)/AF15</f>
        <v>0.16314199395770398</v>
      </c>
      <c r="Q15" s="8"/>
      <c r="T15" s="32">
        <f t="shared" ref="T15:T30" si="2">SUM(U15:AD15)</f>
        <v>24.258112870824238</v>
      </c>
      <c r="U15" s="12">
        <f>IF(Tablo1[[#This Row],[Özkaynak Karlılığı]]&lt;0,0,(Tablo1[[#This Row],[Özkaynak Karlılığı]]/MAX(Tablo1[Özkaynak Karlılığı]))*10)</f>
        <v>0.28506749392135494</v>
      </c>
      <c r="V15" s="12">
        <f>(MIN(Tablo1[PD/DD])/Tablo1[[#This Row],[PD/DD]])*10</f>
        <v>4.5578231292517017</v>
      </c>
      <c r="W15" s="12">
        <f>IFERROR((MIN(Tablo1[F/K])/Tablo1[[#This Row],[F/K]])*10,"")</f>
        <v>0.25153587573895908</v>
      </c>
      <c r="X15" s="12">
        <f>IFERROR((MIN(Tablo1[FD/FAVÖK])/Tablo1[[#This Row],[FD/FAVÖK]])*10,"")</f>
        <v>4.3607705779334509</v>
      </c>
      <c r="Y15" s="12">
        <f>IFERROR((MIN(Tablo1[FD/Satış])/Tablo1[[#This Row],[FD/Satış]])*10,"")</f>
        <v>5.8227848101265822</v>
      </c>
      <c r="Z15" s="12" t="str">
        <f>IFERROR((MIN(Tablo1[PEG])/Tablo1[[#This Row],[PEG]])*10,"")</f>
        <v/>
      </c>
      <c r="AA15" s="12">
        <f>(Tablo1[[#This Row],[ROIC]]/MAX(Tablo1[ROIC]))*10</f>
        <v>0.21248230459462061</v>
      </c>
      <c r="AB15" s="12">
        <f>IFERROR(IF(Tablo1[[#This Row],[Yıllık Net Kar Değişimi]]&lt;0,0,(Tablo1[[#This Row],[Yıllık Net Kar Değişimi]]/MAX(Tablo1[Yıllık Net Kar Değişimi]))*10),"")</f>
        <v>0</v>
      </c>
      <c r="AC15" s="12">
        <f>IFERROR(IF(Tablo1[[#This Row],[Yıllık FAVÖK Değişimi]]&lt;0,0,(Tablo1[[#This Row],[Yıllık FAVÖK Değişimi]]/MAX(Tablo1[Yıllık FAVÖK Değişimi]))*10),"")</f>
        <v>1.9943474164794548</v>
      </c>
      <c r="AD15" s="12">
        <f>IFERROR(IF(Tablo1[[#This Row],[Yıllık Satışlar Değişimi]]&lt;0,0,(Tablo1[[#This Row],[Yıllık Satışlar Değişimi]]/MAX(Tablo1[Yıllık Satışlar Değişimi]))*10),"")</f>
        <v>6.7733012627781122</v>
      </c>
      <c r="AF15" s="33">
        <v>132.4</v>
      </c>
    </row>
    <row r="16" spans="2:32" ht="21.95" customHeight="1" thickTop="1" thickBot="1" x14ac:dyDescent="0.3">
      <c r="B16" s="17" t="str">
        <f>+data!A15</f>
        <v>ENJSA</v>
      </c>
      <c r="C16" s="24">
        <f>+data!B15/100</f>
        <v>1.1926999999999999</v>
      </c>
      <c r="D16" s="9">
        <f>IF(data!C15&lt;0,"",data!C15)</f>
        <v>1.69</v>
      </c>
      <c r="E16" s="9">
        <f>IF(data!D15="","",data!D15)</f>
        <v>2.17</v>
      </c>
      <c r="F16" s="9">
        <f>IF(data!E15="","",data!E15)</f>
        <v>5.61</v>
      </c>
      <c r="G16" s="9">
        <f>IF(data!F15="","",data!F15)</f>
        <v>0.61</v>
      </c>
      <c r="H16" s="9">
        <f>IF(data!G15="","",data!G15)</f>
        <v>0</v>
      </c>
      <c r="I16" s="25">
        <f>IF(data!H15/100="","",data!H15/100)</f>
        <v>-7.5226999999999995</v>
      </c>
      <c r="J16" s="6">
        <f>IF(data!I15/100=0,"",data!I15/100)</f>
        <v>4.4422000000000006</v>
      </c>
      <c r="K16" s="6">
        <f>IF(data!J15/100="","",data!J15/100)</f>
        <v>0.74769999999999992</v>
      </c>
      <c r="L16" s="6">
        <f>IF(data!K15/100="","",data!K15/100)</f>
        <v>0.62509999999999999</v>
      </c>
      <c r="N16" s="19">
        <f>(AF16-data!M15)/AF16</f>
        <v>0.13609022556390982</v>
      </c>
      <c r="T16" s="32">
        <f t="shared" si="2"/>
        <v>42.203627163926626</v>
      </c>
      <c r="U16" s="12">
        <f>IF(Tablo1[[#This Row],[Özkaynak Karlılığı]]&lt;0,0,(Tablo1[[#This Row],[Özkaynak Karlılığı]]/MAX(Tablo1[Özkaynak Karlılığı]))*10)</f>
        <v>10</v>
      </c>
      <c r="V16" s="12">
        <f>(MIN(Tablo1[PD/DD])/Tablo1[[#This Row],[PD/DD]])*10</f>
        <v>3.9644970414201186</v>
      </c>
      <c r="W16" s="12">
        <f>IFERROR((MIN(Tablo1[F/K])/Tablo1[[#This Row],[F/K]])*10,"")</f>
        <v>10</v>
      </c>
      <c r="X16" s="12">
        <f>IFERROR((MIN(Tablo1[FD/FAVÖK])/Tablo1[[#This Row],[FD/FAVÖK]])*10,"")</f>
        <v>8.8770053475935828</v>
      </c>
      <c r="Y16" s="12">
        <f>IFERROR((MIN(Tablo1[FD/Satış])/Tablo1[[#This Row],[FD/Satış]])*10,"")</f>
        <v>7.5409836065573774</v>
      </c>
      <c r="Z16" s="12" t="str">
        <f>IFERROR((MIN(Tablo1[PEG])/Tablo1[[#This Row],[PEG]])*10,"")</f>
        <v/>
      </c>
      <c r="AA16" s="12">
        <f>(Tablo1[[#This Row],[ROIC]]/MAX(Tablo1[ROIC]))*10</f>
        <v>-10.339202023117416</v>
      </c>
      <c r="AB16" s="12">
        <f>IFERROR(IF(Tablo1[[#This Row],[Yıllık Net Kar Değişimi]]&lt;0,0,(Tablo1[[#This Row],[Yıllık Net Kar Değişimi]]/MAX(Tablo1[Yıllık Net Kar Değişimi]))*10),"")</f>
        <v>1.9333498718266768</v>
      </c>
      <c r="AC16" s="12">
        <f>IFERROR(IF(Tablo1[[#This Row],[Yıllık FAVÖK Değişimi]]&lt;0,0,(Tablo1[[#This Row],[Yıllık FAVÖK Değişimi]]/MAX(Tablo1[Yıllık FAVÖK Değişimi]))*10),"")</f>
        <v>2.7092542937894044</v>
      </c>
      <c r="AD16" s="12">
        <f>IFERROR(IF(Tablo1[[#This Row],[Yıllık Satışlar Değişimi]]&lt;0,0,(Tablo1[[#This Row],[Yıllık Satışlar Değişimi]]/MAX(Tablo1[Yıllık Satışlar Değişimi]))*10),"")</f>
        <v>7.5177390258568844</v>
      </c>
      <c r="AF16" s="5">
        <f>SUMIFS([1]!Tablo1[Hisse Fiyatı],[1]!Tablo1[Hisse],Tablo1[[#This Row],[Şirket]],[1]!Tablo1[Dönem],$R$2)</f>
        <v>53.2</v>
      </c>
    </row>
    <row r="17" spans="2:32" ht="21.95" customHeight="1" thickTop="1" thickBot="1" x14ac:dyDescent="0.3">
      <c r="B17" s="17" t="str">
        <f>+data!A16</f>
        <v>ESEN</v>
      </c>
      <c r="C17" s="24">
        <f>+data!B16/100</f>
        <v>0.13849999999999998</v>
      </c>
      <c r="D17" s="9">
        <f>IF(data!C16&lt;0,"",data!C16)</f>
        <v>0.67</v>
      </c>
      <c r="E17" s="9">
        <f>IF(data!D16="","",data!D16)</f>
        <v>6.46</v>
      </c>
      <c r="F17" s="9">
        <f>IF(data!E16="","",data!E16)</f>
        <v>23.21</v>
      </c>
      <c r="G17" s="9">
        <f>IF(data!F16="","",data!F16)</f>
        <v>7.67</v>
      </c>
      <c r="H17" s="9">
        <f>IF(data!G16="","",data!G16)</f>
        <v>0.36</v>
      </c>
      <c r="I17" s="25">
        <f>IF(data!H16/100="","",data!H16/100)</f>
        <v>1.1000000000000001E-3</v>
      </c>
      <c r="J17" s="6">
        <f>IF(data!I16/100=0,"",data!I16/100)</f>
        <v>0.47399999999999998</v>
      </c>
      <c r="K17" s="6">
        <f>IF(data!J16/100="","",data!J16/100)</f>
        <v>-0.32729999999999998</v>
      </c>
      <c r="L17" s="6">
        <f>IF(data!K16/100="","",data!K16/100)</f>
        <v>-0.1431</v>
      </c>
      <c r="N17" s="19">
        <f>(AF17-data!M16)/AF17</f>
        <v>0.81601731601731597</v>
      </c>
      <c r="T17" s="32">
        <f t="shared" si="2"/>
        <v>17.473537860273371</v>
      </c>
      <c r="U17" s="12">
        <f>IF(Tablo1[[#This Row],[Özkaynak Karlılığı]]&lt;0,0,(Tablo1[[#This Row],[Özkaynak Karlılığı]]/MAX(Tablo1[Özkaynak Karlılığı]))*10)</f>
        <v>1.1612308208266957</v>
      </c>
      <c r="V17" s="12">
        <f>(MIN(Tablo1[PD/DD])/Tablo1[[#This Row],[PD/DD]])*10</f>
        <v>10</v>
      </c>
      <c r="W17" s="12">
        <f>IFERROR((MIN(Tablo1[F/K])/Tablo1[[#This Row],[F/K]])*10,"")</f>
        <v>3.3591331269349842</v>
      </c>
      <c r="X17" s="12">
        <f>IFERROR((MIN(Tablo1[FD/FAVÖK])/Tablo1[[#This Row],[FD/FAVÖK]])*10,"")</f>
        <v>2.1456268849633782</v>
      </c>
      <c r="Y17" s="12">
        <f>IFERROR((MIN(Tablo1[FD/Satış])/Tablo1[[#This Row],[FD/Satış]])*10,"")</f>
        <v>0.59973924380704047</v>
      </c>
      <c r="Z17" s="12">
        <f>IFERROR((MIN(Tablo1[PEG])/Tablo1[[#This Row],[PEG]])*10,"")</f>
        <v>0</v>
      </c>
      <c r="AA17" s="12">
        <f>(Tablo1[[#This Row],[ROIC]]/MAX(Tablo1[ROIC]))*10</f>
        <v>1.5118404595994999E-3</v>
      </c>
      <c r="AB17" s="12">
        <f>IFERROR(IF(Tablo1[[#This Row],[Yıllık Net Kar Değişimi]]&lt;0,0,(Tablo1[[#This Row],[Yıllık Net Kar Değişimi]]/MAX(Tablo1[Yıllık Net Kar Değişimi]))*10),"")</f>
        <v>0.20629594328167228</v>
      </c>
      <c r="AC17" s="12">
        <f>IFERROR(IF(Tablo1[[#This Row],[Yıllık FAVÖK Değişimi]]&lt;0,0,(Tablo1[[#This Row],[Yıllık FAVÖK Değişimi]]/MAX(Tablo1[Yıllık FAVÖK Değişimi]))*10),"")</f>
        <v>0</v>
      </c>
      <c r="AD17" s="12">
        <f>IFERROR(IF(Tablo1[[#This Row],[Yıllık Satışlar Değişimi]]&lt;0,0,(Tablo1[[#This Row],[Yıllık Satışlar Değişimi]]/MAX(Tablo1[Yıllık Satışlar Değişimi]))*10),"")</f>
        <v>0</v>
      </c>
      <c r="AF17" s="34">
        <f>SUMIFS([1]!Tablo1[Hisse Fiyatı],[1]!Tablo1[Hisse],Tablo1[[#This Row],[Şirket]],[1]!Tablo1[Dönem],$R$2)</f>
        <v>92.4</v>
      </c>
    </row>
    <row r="18" spans="2:32" ht="21.95" customHeight="1" thickTop="1" thickBot="1" x14ac:dyDescent="0.3">
      <c r="B18" s="17" t="str">
        <f>+data!A17</f>
        <v>GWIND</v>
      </c>
      <c r="C18" s="24">
        <f>+data!B17/100</f>
        <v>0.50979999999999992</v>
      </c>
      <c r="D18" s="9">
        <f>IF(data!C17&lt;0,"",data!C17)</f>
        <v>5.2</v>
      </c>
      <c r="E18" s="9">
        <f>IF(data!D17="","",data!D17)</f>
        <v>12.1</v>
      </c>
      <c r="F18" s="9">
        <f>IF(data!E17="","",data!E17)</f>
        <v>11.55</v>
      </c>
      <c r="G18" s="9">
        <f>IF(data!F17="","",data!F17)</f>
        <v>8.9499999999999993</v>
      </c>
      <c r="H18" s="9">
        <f>IF(data!G17="","",data!G17)</f>
        <v>0.71</v>
      </c>
      <c r="I18" s="25">
        <f>IF(data!H17/100="","",data!H17/100)</f>
        <v>0.87379999999999991</v>
      </c>
      <c r="J18" s="6">
        <f>IF(data!I17/100=0,"",data!I17/100)</f>
        <v>-5.4000000000000003E-3</v>
      </c>
      <c r="K18" s="6">
        <f>IF(data!J17/100="","",data!J17/100)</f>
        <v>0.10830000000000001</v>
      </c>
      <c r="L18" s="6">
        <f>IF(data!K17/100="","",data!K17/100)</f>
        <v>0.24230000000000002</v>
      </c>
      <c r="N18" s="19">
        <f>(AF18-data!M17)/AF18</f>
        <v>0.14212076583210601</v>
      </c>
      <c r="T18" s="32">
        <f t="shared" si="2"/>
        <v>16.689221951020293</v>
      </c>
      <c r="U18" s="12">
        <f>IF(Tablo1[[#This Row],[Özkaynak Karlılığı]]&lt;0,0,(Tablo1[[#This Row],[Özkaynak Karlılığı]]/MAX(Tablo1[Özkaynak Karlılığı]))*10)</f>
        <v>4.2743355412090214</v>
      </c>
      <c r="V18" s="12">
        <f>(MIN(Tablo1[PD/DD])/Tablo1[[#This Row],[PD/DD]])*10</f>
        <v>1.2884615384615385</v>
      </c>
      <c r="W18" s="12">
        <f>IFERROR((MIN(Tablo1[F/K])/Tablo1[[#This Row],[F/K]])*10,"")</f>
        <v>1.7933884297520661</v>
      </c>
      <c r="X18" s="12">
        <f>IFERROR((MIN(Tablo1[FD/FAVÖK])/Tablo1[[#This Row],[FD/FAVÖK]])*10,"")</f>
        <v>4.3116883116883118</v>
      </c>
      <c r="Y18" s="12">
        <f>IFERROR((MIN(Tablo1[FD/Satış])/Tablo1[[#This Row],[FD/Satış]])*10,"")</f>
        <v>0.5139664804469275</v>
      </c>
      <c r="Z18" s="12">
        <f>IFERROR((MIN(Tablo1[PEG])/Tablo1[[#This Row],[PEG]])*10,"")</f>
        <v>0</v>
      </c>
      <c r="AA18" s="12">
        <f>(Tablo1[[#This Row],[ROIC]]/MAX(Tablo1[ROIC]))*10</f>
        <v>1.2009510850891298</v>
      </c>
      <c r="AB18" s="12">
        <f>IFERROR(IF(Tablo1[[#This Row],[Yıllık Net Kar Değişimi]]&lt;0,0,(Tablo1[[#This Row],[Yıllık Net Kar Değişimi]]/MAX(Tablo1[Yıllık Net Kar Değişimi]))*10),"")</f>
        <v>0</v>
      </c>
      <c r="AC18" s="12">
        <f>IFERROR(IF(Tablo1[[#This Row],[Yıllık FAVÖK Değişimi]]&lt;0,0,(Tablo1[[#This Row],[Yıllık FAVÖK Değişimi]]/MAX(Tablo1[Yıllık FAVÖK Değişimi]))*10),"")</f>
        <v>0.39241974056091022</v>
      </c>
      <c r="AD18" s="12">
        <f>IFERROR(IF(Tablo1[[#This Row],[Yıllık Satışlar Değişimi]]&lt;0,0,(Tablo1[[#This Row],[Yıllık Satışlar Değişimi]]/MAX(Tablo1[Yıllık Satışlar Değişimi]))*10),"")</f>
        <v>2.9140108238123874</v>
      </c>
      <c r="AF18" s="5">
        <f>SUMIFS([1]!Tablo1[Hisse Fiyatı],[1]!Tablo1[Hisse],Tablo1[[#This Row],[Şirket]],[1]!Tablo1[Dönem],$R$2)</f>
        <v>27.16</v>
      </c>
    </row>
    <row r="19" spans="2:32" ht="21.95" customHeight="1" thickTop="1" thickBot="1" x14ac:dyDescent="0.3">
      <c r="B19" s="17" t="str">
        <f>+data!A18</f>
        <v>HUNER</v>
      </c>
      <c r="C19" s="24">
        <f>+data!B18/100</f>
        <v>3.1099999999999999E-2</v>
      </c>
      <c r="D19" s="9">
        <f>IF(data!C18&lt;0,"",data!C18)</f>
        <v>1.29</v>
      </c>
      <c r="E19" s="9">
        <f>IF(data!D18="","",data!D18)</f>
        <v>49.33</v>
      </c>
      <c r="F19" s="9">
        <f>IF(data!E18="","",data!E18)</f>
        <v>20.79</v>
      </c>
      <c r="G19" s="9">
        <f>IF(data!F18="","",data!F18)</f>
        <v>9.85</v>
      </c>
      <c r="H19" s="9" t="str">
        <f>IF(data!G18="","",data!G18)</f>
        <v/>
      </c>
      <c r="I19" s="25">
        <f>IF(data!H18/100="","",data!H18/100)</f>
        <v>5.6399999999999999E-2</v>
      </c>
      <c r="J19" s="6">
        <f>IF(data!I18/100=0,"",data!I18/100)</f>
        <v>-0.53759999999999997</v>
      </c>
      <c r="K19" s="6">
        <f>IF(data!J18/100="","",data!J18/100)</f>
        <v>-1.2800000000000001E-2</v>
      </c>
      <c r="L19" s="6">
        <f>IF(data!K18/100="","",data!K18/100)</f>
        <v>0.24719999999999998</v>
      </c>
      <c r="N19" s="19">
        <f>(AF19-data!M18)/AF19</f>
        <v>0.22347066167290888</v>
      </c>
      <c r="T19" s="32">
        <f t="shared" si="2"/>
        <v>11.807290074763323</v>
      </c>
      <c r="U19" s="12">
        <f>IF(Tablo1[[#This Row],[Özkaynak Karlılığı]]&lt;0,0,(Tablo1[[#This Row],[Özkaynak Karlılığı]]/MAX(Tablo1[Özkaynak Karlılığı]))*10)</f>
        <v>0.26075291355747465</v>
      </c>
      <c r="V19" s="12">
        <f>(MIN(Tablo1[PD/DD])/Tablo1[[#This Row],[PD/DD]])*10</f>
        <v>5.1937984496124034</v>
      </c>
      <c r="W19" s="12">
        <f>IFERROR((MIN(Tablo1[F/K])/Tablo1[[#This Row],[F/K]])*10,"")</f>
        <v>0.43989458747212651</v>
      </c>
      <c r="X19" s="12">
        <f>IFERROR((MIN(Tablo1[FD/FAVÖK])/Tablo1[[#This Row],[FD/FAVÖK]])*10,"")</f>
        <v>2.3953823953823958</v>
      </c>
      <c r="Y19" s="12">
        <f>IFERROR((MIN(Tablo1[FD/Satış])/Tablo1[[#This Row],[FD/Satış]])*10,"")</f>
        <v>0.46700507614213205</v>
      </c>
      <c r="Z19" s="12" t="str">
        <f>IFERROR((MIN(Tablo1[PEG])/Tablo1[[#This Row],[PEG]])*10,"")</f>
        <v/>
      </c>
      <c r="AA19" s="12">
        <f>(Tablo1[[#This Row],[ROIC]]/MAX(Tablo1[ROIC]))*10</f>
        <v>7.7516183564919794E-2</v>
      </c>
      <c r="AB19" s="12">
        <f>IFERROR(IF(Tablo1[[#This Row],[Yıllık Net Kar Değişimi]]&lt;0,0,(Tablo1[[#This Row],[Yıllık Net Kar Değişimi]]/MAX(Tablo1[Yıllık Net Kar Değişimi]))*10),"")</f>
        <v>0</v>
      </c>
      <c r="AC19" s="12">
        <f>IFERROR(IF(Tablo1[[#This Row],[Yıllık FAVÖK Değişimi]]&lt;0,0,(Tablo1[[#This Row],[Yıllık FAVÖK Değişimi]]/MAX(Tablo1[Yıllık FAVÖK Değişimi]))*10),"")</f>
        <v>0</v>
      </c>
      <c r="AD19" s="12">
        <f>IFERROR(IF(Tablo1[[#This Row],[Yıllık Satışlar Değişimi]]&lt;0,0,(Tablo1[[#This Row],[Yıllık Satışlar Değişimi]]/MAX(Tablo1[Yıllık Satışlar Değişimi]))*10),"")</f>
        <v>2.9729404690318697</v>
      </c>
      <c r="AF19" s="5">
        <f>SUMIFS([1]!Tablo1[Hisse Fiyatı],[1]!Tablo1[Hisse],Tablo1[[#This Row],[Şirket]],[1]!Tablo1[Dönem],$R$2)</f>
        <v>8.01</v>
      </c>
    </row>
    <row r="20" spans="2:32" ht="21.95" customHeight="1" thickTop="1" thickBot="1" x14ac:dyDescent="0.3">
      <c r="B20" s="17" t="str">
        <f>+data!A19</f>
        <v>IZENR</v>
      </c>
      <c r="C20" s="24">
        <f>+data!B19/100</f>
        <v>0.37969999999999998</v>
      </c>
      <c r="D20" s="9">
        <f>IF(data!C19&lt;0,"",data!C19)</f>
        <v>3.51</v>
      </c>
      <c r="E20" s="9">
        <f>IF(data!D19="","",data!D19)</f>
        <v>18.510000000000002</v>
      </c>
      <c r="F20" s="9">
        <f>IF(data!E19="","",data!E19)</f>
        <v>11.37</v>
      </c>
      <c r="G20" s="9">
        <f>IF(data!F19="","",data!F19)</f>
        <v>2.29</v>
      </c>
      <c r="H20" s="9" t="str">
        <f>IF(data!G19="","",data!G19)</f>
        <v/>
      </c>
      <c r="I20" s="25">
        <f>IF(data!H19/100="","",data!H19/100)</f>
        <v>1.6041999999999998</v>
      </c>
      <c r="J20" s="6">
        <f>IF(data!I19/100=0,"",data!I19/100)</f>
        <v>-0.34729999999999994</v>
      </c>
      <c r="K20" s="6">
        <f>IF(data!J19/100="","",data!J19/100)</f>
        <v>-0.60340000000000005</v>
      </c>
      <c r="L20" s="6">
        <f>IF(data!K19/100="","",data!K19/100)</f>
        <v>-1.3899999999999999E-2</v>
      </c>
      <c r="N20" s="19">
        <f>(AF20-data!M19)/AF20</f>
        <v>0.28923884514435705</v>
      </c>
      <c r="T20" s="32">
        <f t="shared" si="2"/>
        <v>14.858198349224711</v>
      </c>
      <c r="U20" s="12">
        <f>IF(Tablo1[[#This Row],[Özkaynak Karlılığı]]&lt;0,0,(Tablo1[[#This Row],[Özkaynak Karlılığı]]/MAX(Tablo1[Özkaynak Karlılığı]))*10)</f>
        <v>3.1835331600570136</v>
      </c>
      <c r="V20" s="12">
        <f>(MIN(Tablo1[PD/DD])/Tablo1[[#This Row],[PD/DD]])*10</f>
        <v>1.9088319088319092</v>
      </c>
      <c r="W20" s="12">
        <f>IFERROR((MIN(Tablo1[F/K])/Tablo1[[#This Row],[F/K]])*10,"")</f>
        <v>1.1723392760669906</v>
      </c>
      <c r="X20" s="12">
        <f>IFERROR((MIN(Tablo1[FD/FAVÖK])/Tablo1[[#This Row],[FD/FAVÖK]])*10,"")</f>
        <v>4.3799472295514521</v>
      </c>
      <c r="Y20" s="12">
        <f>IFERROR((MIN(Tablo1[FD/Satış])/Tablo1[[#This Row],[FD/Satış]])*10,"")</f>
        <v>2.0087336244541483</v>
      </c>
      <c r="Z20" s="12" t="str">
        <f>IFERROR((MIN(Tablo1[PEG])/Tablo1[[#This Row],[PEG]])*10,"")</f>
        <v/>
      </c>
      <c r="AA20" s="12">
        <f>(Tablo1[[#This Row],[ROIC]]/MAX(Tablo1[ROIC]))*10</f>
        <v>2.2048131502631971</v>
      </c>
      <c r="AB20" s="12">
        <f>IFERROR(IF(Tablo1[[#This Row],[Yıllık Net Kar Değişimi]]&lt;0,0,(Tablo1[[#This Row],[Yıllık Net Kar Değişimi]]/MAX(Tablo1[Yıllık Net Kar Değişimi]))*10),"")</f>
        <v>0</v>
      </c>
      <c r="AC20" s="12">
        <f>IFERROR(IF(Tablo1[[#This Row],[Yıllık FAVÖK Değişimi]]&lt;0,0,(Tablo1[[#This Row],[Yıllık FAVÖK Değişimi]]/MAX(Tablo1[Yıllık FAVÖK Değişimi]))*10),"")</f>
        <v>0</v>
      </c>
      <c r="AD20" s="12">
        <f>IFERROR(IF(Tablo1[[#This Row],[Yıllık Satışlar Değişimi]]&lt;0,0,(Tablo1[[#This Row],[Yıllık Satışlar Değişimi]]/MAX(Tablo1[Yıllık Satışlar Değişimi]))*10),"")</f>
        <v>0</v>
      </c>
      <c r="AF20" s="33">
        <v>38.1</v>
      </c>
    </row>
    <row r="21" spans="2:32" ht="21.95" customHeight="1" thickTop="1" thickBot="1" x14ac:dyDescent="0.3">
      <c r="B21" s="17" t="str">
        <f>+data!A20</f>
        <v>KARYE</v>
      </c>
      <c r="C21" s="24">
        <f>+data!B20/100</f>
        <v>1.8200000000000001E-2</v>
      </c>
      <c r="D21" s="9">
        <f>IF(data!C20&lt;0,"",data!C20)</f>
        <v>0.67</v>
      </c>
      <c r="E21" s="9">
        <f>IF(data!D20="","",data!D20)</f>
        <v>43.96</v>
      </c>
      <c r="F21" s="9">
        <f>IF(data!E20="","",data!E20)</f>
        <v>5.17</v>
      </c>
      <c r="G21" s="9">
        <f>IF(data!F20="","",data!F20)</f>
        <v>8.11</v>
      </c>
      <c r="H21" s="9" t="str">
        <f>IF(data!G20="","",data!G20)</f>
        <v/>
      </c>
      <c r="I21" s="25">
        <f>IF(data!H20/100="","",data!H20/100)</f>
        <v>4.3899999999999995E-2</v>
      </c>
      <c r="J21" s="6">
        <f>IF(data!I20/100=0,"",data!I20/100)</f>
        <v>-0.73860000000000003</v>
      </c>
      <c r="K21" s="6">
        <f>IF(data!J20/100="","",data!J20/100)</f>
        <v>2.2614999999999998</v>
      </c>
      <c r="L21" s="6">
        <f>IF(data!K20/100="","",data!K20/100)</f>
        <v>0.4138</v>
      </c>
      <c r="N21" s="19">
        <f>(AF21-data!M20)/AF21</f>
        <v>5.9622641509433895E-2</v>
      </c>
      <c r="T21" s="32">
        <f t="shared" si="2"/>
        <v>34.07724064086279</v>
      </c>
      <c r="U21" s="12">
        <f>IF(Tablo1[[#This Row],[Özkaynak Karlılığı]]&lt;0,0,(Tablo1[[#This Row],[Özkaynak Karlılığı]]/MAX(Tablo1[Özkaynak Karlılığı]))*10)</f>
        <v>0.15259495262849002</v>
      </c>
      <c r="V21" s="12">
        <f>(MIN(Tablo1[PD/DD])/Tablo1[[#This Row],[PD/DD]])*10</f>
        <v>10</v>
      </c>
      <c r="W21" s="12">
        <f>IFERROR((MIN(Tablo1[F/K])/Tablo1[[#This Row],[F/K]])*10,"")</f>
        <v>0.49363057324840759</v>
      </c>
      <c r="X21" s="12">
        <f>IFERROR((MIN(Tablo1[FD/FAVÖK])/Tablo1[[#This Row],[FD/FAVÖK]])*10,"")</f>
        <v>9.6324951644100594</v>
      </c>
      <c r="Y21" s="12">
        <f>IFERROR((MIN(Tablo1[FD/Satış])/Tablo1[[#This Row],[FD/Satış]])*10,"")</f>
        <v>0.56720098643649819</v>
      </c>
      <c r="Z21" s="12" t="str">
        <f>IFERROR((MIN(Tablo1[PEG])/Tablo1[[#This Row],[PEG]])*10,"")</f>
        <v/>
      </c>
      <c r="AA21" s="12">
        <f>(Tablo1[[#This Row],[ROIC]]/MAX(Tablo1[ROIC]))*10</f>
        <v>6.0336178342198205E-2</v>
      </c>
      <c r="AB21" s="12">
        <f>IFERROR(IF(Tablo1[[#This Row],[Yıllık Net Kar Değişimi]]&lt;0,0,(Tablo1[[#This Row],[Yıllık Net Kar Değişimi]]/MAX(Tablo1[Yıllık Net Kar Değişimi]))*10),"")</f>
        <v>0</v>
      </c>
      <c r="AC21" s="12">
        <f>IFERROR(IF(Tablo1[[#This Row],[Yıllık FAVÖK Değişimi]]&lt;0,0,(Tablo1[[#This Row],[Yıllık FAVÖK Değişimi]]/MAX(Tablo1[Yıllık FAVÖK Değişimi]))*10),"")</f>
        <v>8.1944343793028462</v>
      </c>
      <c r="AD21" s="12">
        <f>IFERROR(IF(Tablo1[[#This Row],[Yıllık Satışlar Değişimi]]&lt;0,0,(Tablo1[[#This Row],[Yıllık Satışlar Değişimi]]/MAX(Tablo1[Yıllık Satışlar Değişimi]))*10),"")</f>
        <v>4.9765484064942873</v>
      </c>
      <c r="AF21" s="5">
        <f>SUMIFS([1]!Tablo1[Hisse Fiyatı],[1]!Tablo1[Hisse],Tablo1[[#This Row],[Şirket]],[1]!Tablo1[Dönem],$R$2)</f>
        <v>26.5</v>
      </c>
    </row>
    <row r="22" spans="2:32" ht="21.95" customHeight="1" thickTop="1" thickBot="1" x14ac:dyDescent="0.3">
      <c r="B22" s="17" t="str">
        <f>+data!A21</f>
        <v>MAGEN</v>
      </c>
      <c r="C22" s="24">
        <f>+data!B21/100</f>
        <v>0.12909999999999999</v>
      </c>
      <c r="D22" s="9">
        <f>IF(data!C21&lt;0,"",data!C21)</f>
        <v>1.32</v>
      </c>
      <c r="E22" s="9">
        <f>IF(data!D21="","",data!D21)</f>
        <v>13.52</v>
      </c>
      <c r="F22" s="9">
        <f>IF(data!E21="","",data!E21)</f>
        <v>45.77</v>
      </c>
      <c r="G22" s="9">
        <f>IF(data!F21="","",data!F21)</f>
        <v>22.46</v>
      </c>
      <c r="H22" s="9">
        <f>IF(data!G21="","",data!G21)</f>
        <v>1.08</v>
      </c>
      <c r="I22" s="25">
        <f>IF(data!H21/100="","",data!H21/100)</f>
        <v>-7.000000000000001E-4</v>
      </c>
      <c r="J22" s="6">
        <f>IF(data!I21/100=0,"",data!I21/100)</f>
        <v>0.48219999999999996</v>
      </c>
      <c r="K22" s="6">
        <f>IF(data!J21/100="","",data!J21/100)</f>
        <v>-0.16309999999999999</v>
      </c>
      <c r="L22" s="6">
        <f>IF(data!K21/100="","",data!K21/100)</f>
        <v>-9.4399999999999998E-2</v>
      </c>
      <c r="N22" s="19">
        <f>(AF22-data!M21)/AF22</f>
        <v>0.82824360105913508</v>
      </c>
      <c r="T22" s="32">
        <f t="shared" si="2"/>
        <v>9.2649653892998263</v>
      </c>
      <c r="U22" s="12">
        <f>IF(Tablo1[[#This Row],[Özkaynak Karlılığı]]&lt;0,0,(Tablo1[[#This Row],[Özkaynak Karlılığı]]/MAX(Tablo1[Özkaynak Karlılığı]))*10)</f>
        <v>1.0824180430954977</v>
      </c>
      <c r="V22" s="12">
        <f>(MIN(Tablo1[PD/DD])/Tablo1[[#This Row],[PD/DD]])*10</f>
        <v>5.0757575757575761</v>
      </c>
      <c r="W22" s="12">
        <f>IFERROR((MIN(Tablo1[F/K])/Tablo1[[#This Row],[F/K]])*10,"")</f>
        <v>1.6050295857988164</v>
      </c>
      <c r="X22" s="12">
        <f>IFERROR((MIN(Tablo1[FD/FAVÖK])/Tablo1[[#This Row],[FD/FAVÖK]])*10,"")</f>
        <v>1.0880489403539437</v>
      </c>
      <c r="Y22" s="12">
        <f>IFERROR((MIN(Tablo1[FD/Satış])/Tablo1[[#This Row],[FD/Satış]])*10,"")</f>
        <v>0.20480854853072131</v>
      </c>
      <c r="Z22" s="12">
        <f>IFERROR((MIN(Tablo1[PEG])/Tablo1[[#This Row],[PEG]])*10,"")</f>
        <v>0</v>
      </c>
      <c r="AA22" s="12">
        <f>(Tablo1[[#This Row],[ROIC]]/MAX(Tablo1[ROIC]))*10</f>
        <v>-9.6208029247240895E-4</v>
      </c>
      <c r="AB22" s="12">
        <f>IFERROR(IF(Tablo1[[#This Row],[Yıllık Net Kar Değişimi]]&lt;0,0,(Tablo1[[#This Row],[Yıllık Net Kar Değişimi]]/MAX(Tablo1[Yıllık Net Kar Değişimi]))*10),"")</f>
        <v>0.20986477605574341</v>
      </c>
      <c r="AC22" s="12">
        <f>IFERROR(IF(Tablo1[[#This Row],[Yıllık FAVÖK Değişimi]]&lt;0,0,(Tablo1[[#This Row],[Yıllık FAVÖK Değişimi]]/MAX(Tablo1[Yıllık FAVÖK Değişimi]))*10),"")</f>
        <v>0</v>
      </c>
      <c r="AD22" s="12">
        <f>IFERROR(IF(Tablo1[[#This Row],[Yıllık Satışlar Değişimi]]&lt;0,0,(Tablo1[[#This Row],[Yıllık Satışlar Değişimi]]/MAX(Tablo1[Yıllık Satışlar Değişimi]))*10),"")</f>
        <v>0</v>
      </c>
      <c r="AF22" s="34">
        <f>SUMIFS([1]!Tablo1[Hisse Fiyatı],[1]!Tablo1[Hisse],Tablo1[[#This Row],[Şirket]],[1]!Tablo1[Dönem],$R$2)</f>
        <v>56.65</v>
      </c>
    </row>
    <row r="23" spans="2:32" ht="21.95" customHeight="1" thickTop="1" thickBot="1" x14ac:dyDescent="0.3">
      <c r="B23" s="17" t="str">
        <f>+data!A22</f>
        <v>MANAS</v>
      </c>
      <c r="C23" s="24">
        <f>+data!B22/100</f>
        <v>0.18429999999999999</v>
      </c>
      <c r="D23" s="9">
        <f>IF(data!C22&lt;0,"",data!C22)</f>
        <v>4.2300000000000004</v>
      </c>
      <c r="E23" s="9">
        <f>IF(data!D22="","",data!D22)</f>
        <v>24.79</v>
      </c>
      <c r="F23" s="9">
        <f>IF(data!E22="","",data!E22)</f>
        <v>10.72</v>
      </c>
      <c r="G23" s="9">
        <f>IF(data!F22="","",data!F22)</f>
        <v>3.57</v>
      </c>
      <c r="H23" s="9">
        <f>IF(data!G22="","",data!G22)</f>
        <v>0.26</v>
      </c>
      <c r="I23" s="25">
        <f>IF(data!H22/100="","",data!H22/100)</f>
        <v>0.49659999999999999</v>
      </c>
      <c r="J23" s="6">
        <f>IF(data!I22/100=0,"",data!I22/100)</f>
        <v>0.19399999999999998</v>
      </c>
      <c r="K23" s="6">
        <f>IF(data!J22/100="","",data!J22/100)</f>
        <v>2.7598000000000003</v>
      </c>
      <c r="L23" s="6">
        <f>IF(data!K22/100="","",data!K22/100)</f>
        <v>0.83150000000000002</v>
      </c>
      <c r="N23" s="19">
        <f>(AF23-data!M22)/AF23</f>
        <v>0.16740088105726877</v>
      </c>
      <c r="T23" s="32">
        <f t="shared" si="2"/>
        <v>30.705509221064737</v>
      </c>
      <c r="U23" s="12">
        <f>IF(Tablo1[[#This Row],[Özkaynak Karlılığı]]&lt;0,0,(Tablo1[[#This Row],[Özkaynak Karlılığı]]/MAX(Tablo1[Özkaynak Karlılığı]))*10)</f>
        <v>1.5452335038148739</v>
      </c>
      <c r="V23" s="12">
        <f>(MIN(Tablo1[PD/DD])/Tablo1[[#This Row],[PD/DD]])*10</f>
        <v>1.5839243498817968</v>
      </c>
      <c r="W23" s="12">
        <f>IFERROR((MIN(Tablo1[F/K])/Tablo1[[#This Row],[F/K]])*10,"")</f>
        <v>0.87535296490520376</v>
      </c>
      <c r="X23" s="12">
        <f>IFERROR((MIN(Tablo1[FD/FAVÖK])/Tablo1[[#This Row],[FD/FAVÖK]])*10,"")</f>
        <v>4.6455223880597014</v>
      </c>
      <c r="Y23" s="12">
        <f>IFERROR((MIN(Tablo1[FD/Satış])/Tablo1[[#This Row],[FD/Satış]])*10,"")</f>
        <v>1.2885154061624651</v>
      </c>
      <c r="Z23" s="12">
        <f>IFERROR((MIN(Tablo1[PEG])/Tablo1[[#This Row],[PEG]])*10,"")</f>
        <v>0</v>
      </c>
      <c r="AA23" s="12">
        <f>(Tablo1[[#This Row],[ROIC]]/MAX(Tablo1[ROIC]))*10</f>
        <v>0.6825272474882832</v>
      </c>
      <c r="AB23" s="12">
        <f>IFERROR(IF(Tablo1[[#This Row],[Yıllık Net Kar Değişimi]]&lt;0,0,(Tablo1[[#This Row],[Yıllık Net Kar Değişimi]]/MAX(Tablo1[Yıllık Net Kar Değişimi]))*10),"")</f>
        <v>8.4433360752414394E-2</v>
      </c>
      <c r="AC23" s="12">
        <f>IFERROR(IF(Tablo1[[#This Row],[Yıllık FAVÖK Değişimi]]&lt;0,0,(Tablo1[[#This Row],[Yıllık FAVÖK Değişimi]]/MAX(Tablo1[Yıllık FAVÖK Değişimi]))*10),"")</f>
        <v>10</v>
      </c>
      <c r="AD23" s="12">
        <f>IFERROR(IF(Tablo1[[#This Row],[Yıllık Satışlar Değişimi]]&lt;0,0,(Tablo1[[#This Row],[Yıllık Satışlar Değişimi]]/MAX(Tablo1[Yıllık Satışlar Değişimi]))*10),"")</f>
        <v>10</v>
      </c>
      <c r="AF23" s="5">
        <f>SUMIFS([1]!Tablo1[Hisse Fiyatı],[1]!Tablo1[Hisse],Tablo1[[#This Row],[Şirket]],[1]!Tablo1[Dönem],$R$2)</f>
        <v>9.08</v>
      </c>
    </row>
    <row r="24" spans="2:32" ht="21.95" customHeight="1" thickTop="1" thickBot="1" x14ac:dyDescent="0.3">
      <c r="B24" s="17" t="str">
        <f>+data!A23</f>
        <v>NATEN</v>
      </c>
      <c r="C24" s="24">
        <f>+data!B23/100</f>
        <v>0.20199999999999999</v>
      </c>
      <c r="D24" s="9">
        <f>IF(data!C23&lt;0,"",data!C23)</f>
        <v>1.63</v>
      </c>
      <c r="E24" s="9">
        <f>IF(data!D23="","",data!D23)</f>
        <v>10.82</v>
      </c>
      <c r="F24" s="9">
        <f>IF(data!E23="","",data!E23)</f>
        <v>30.96</v>
      </c>
      <c r="G24" s="9">
        <f>IF(data!F23="","",data!F23)</f>
        <v>8.48</v>
      </c>
      <c r="H24" s="9">
        <f>IF(data!G23="","",data!G23)</f>
        <v>0.28999999999999998</v>
      </c>
      <c r="I24" s="25">
        <f>IF(data!H23/100="","",data!H23/100)</f>
        <v>6.1999999999999998E-3</v>
      </c>
      <c r="J24" s="6">
        <f>IF(data!I23/100=0,"",data!I23/100)</f>
        <v>0.67169999999999996</v>
      </c>
      <c r="K24" s="6">
        <f>IF(data!J23/100="","",data!J23/100)</f>
        <v>-0.20670000000000002</v>
      </c>
      <c r="L24" s="6">
        <f>IF(data!K23/100="","",data!K23/100)</f>
        <v>0.43579999999999997</v>
      </c>
      <c r="N24" s="19">
        <f>(AF24-data!M23)/AF24</f>
        <v>0.85538684020245848</v>
      </c>
      <c r="T24" s="32">
        <f t="shared" si="2"/>
        <v>15.5025823844255</v>
      </c>
      <c r="U24" s="12">
        <f>IF(Tablo1[[#This Row],[Özkaynak Karlılığı]]&lt;0,0,(Tablo1[[#This Row],[Özkaynak Karlılığı]]/MAX(Tablo1[Özkaynak Karlılığı]))*10)</f>
        <v>1.6936362874151087</v>
      </c>
      <c r="V24" s="12">
        <f>(MIN(Tablo1[PD/DD])/Tablo1[[#This Row],[PD/DD]])*10</f>
        <v>4.110429447852761</v>
      </c>
      <c r="W24" s="12">
        <f>IFERROR((MIN(Tablo1[F/K])/Tablo1[[#This Row],[F/K]])*10,"")</f>
        <v>2.0055452865064693</v>
      </c>
      <c r="X24" s="12">
        <f>IFERROR((MIN(Tablo1[FD/FAVÖK])/Tablo1[[#This Row],[FD/FAVÖK]])*10,"")</f>
        <v>1.6085271317829459</v>
      </c>
      <c r="Y24" s="12">
        <f>IFERROR((MIN(Tablo1[FD/Satış])/Tablo1[[#This Row],[FD/Satış]])*10,"")</f>
        <v>0.54245283018867929</v>
      </c>
      <c r="Z24" s="12">
        <f>IFERROR((MIN(Tablo1[PEG])/Tablo1[[#This Row],[PEG]])*10,"")</f>
        <v>0</v>
      </c>
      <c r="AA24" s="12">
        <f>(Tablo1[[#This Row],[ROIC]]/MAX(Tablo1[ROIC]))*10</f>
        <v>8.5212825904699072E-3</v>
      </c>
      <c r="AB24" s="12">
        <f>IFERROR(IF(Tablo1[[#This Row],[Yıllık Net Kar Değişimi]]&lt;0,0,(Tablo1[[#This Row],[Yıllık Net Kar Değişimi]]/MAX(Tablo1[Yıllık Net Kar Değişimi]))*10),"")</f>
        <v>0.29233963101750904</v>
      </c>
      <c r="AC24" s="12">
        <f>IFERROR(IF(Tablo1[[#This Row],[Yıllık FAVÖK Değişimi]]&lt;0,0,(Tablo1[[#This Row],[Yıllık FAVÖK Değişimi]]/MAX(Tablo1[Yıllık FAVÖK Değişimi]))*10),"")</f>
        <v>0</v>
      </c>
      <c r="AD24" s="12">
        <f>IFERROR(IF(Tablo1[[#This Row],[Yıllık Satışlar Değişimi]]&lt;0,0,(Tablo1[[#This Row],[Yıllık Satışlar Değişimi]]/MAX(Tablo1[Yıllık Satışlar Değişimi]))*10),"")</f>
        <v>5.2411304870715565</v>
      </c>
      <c r="AF24" s="5">
        <f>SUMIFS([1]!Tablo1[Hisse Fiyatı],[1]!Tablo1[Hisse],Tablo1[[#This Row],[Şirket]],[1]!Tablo1[Dönem],$R$2)</f>
        <v>345.75</v>
      </c>
    </row>
    <row r="25" spans="2:32" ht="21.95" customHeight="1" thickTop="1" thickBot="1" x14ac:dyDescent="0.3">
      <c r="B25" s="17" t="str">
        <f>+data!A24</f>
        <v>NTGAZ</v>
      </c>
      <c r="C25" s="24">
        <f>+data!B24/100</f>
        <v>0.436</v>
      </c>
      <c r="D25" s="9">
        <f>IF(data!C24&lt;0,"",data!C24)</f>
        <v>3.64</v>
      </c>
      <c r="E25" s="9">
        <f>IF(data!D24="","",data!D24)</f>
        <v>8.7899999999999991</v>
      </c>
      <c r="F25" s="9">
        <f>IF(data!E24="","",data!E24)</f>
        <v>6.47</v>
      </c>
      <c r="G25" s="9">
        <f>IF(data!F24="","",data!F24)</f>
        <v>1.21</v>
      </c>
      <c r="H25" s="9" t="str">
        <f>IF(data!G24="","",data!G24)</f>
        <v/>
      </c>
      <c r="I25" s="25">
        <f>IF(data!H24/100="","",data!H24/100)</f>
        <v>0.53909999999999991</v>
      </c>
      <c r="J25" s="6">
        <f>IF(data!I24/100=0,"",data!I24/100)</f>
        <v>-0.55030000000000001</v>
      </c>
      <c r="K25" s="6">
        <f>IF(data!J24/100="","",data!J24/100)</f>
        <v>-0.39890000000000003</v>
      </c>
      <c r="L25" s="6">
        <f>IF(data!K24/100="","",data!K24/100)</f>
        <v>-0.11840000000000001</v>
      </c>
      <c r="N25" s="19">
        <f>(AF25-data!M24)/AF25</f>
        <v>-0.18920634920634924</v>
      </c>
      <c r="T25" s="32">
        <f t="shared" si="2"/>
        <v>20.204600708739264</v>
      </c>
      <c r="U25" s="12">
        <f>IF(Tablo1[[#This Row],[Özkaynak Karlılığı]]&lt;0,0,(Tablo1[[#This Row],[Özkaynak Karlılığı]]/MAX(Tablo1[Özkaynak Karlılığı]))*10)</f>
        <v>3.6555713926385511</v>
      </c>
      <c r="V25" s="12">
        <f>(MIN(Tablo1[PD/DD])/Tablo1[[#This Row],[PD/DD]])*10</f>
        <v>1.8406593406593408</v>
      </c>
      <c r="W25" s="12">
        <f>IFERROR((MIN(Tablo1[F/K])/Tablo1[[#This Row],[F/K]])*10,"")</f>
        <v>2.4687144482366326</v>
      </c>
      <c r="X25" s="12">
        <f>IFERROR((MIN(Tablo1[FD/FAVÖK])/Tablo1[[#This Row],[FD/FAVÖK]])*10,"")</f>
        <v>7.6970633693972186</v>
      </c>
      <c r="Y25" s="12">
        <f>IFERROR((MIN(Tablo1[FD/Satış])/Tablo1[[#This Row],[FD/Satış]])*10,"")</f>
        <v>3.8016528925619837</v>
      </c>
      <c r="Z25" s="12" t="str">
        <f>IFERROR((MIN(Tablo1[PEG])/Tablo1[[#This Row],[PEG]])*10,"")</f>
        <v/>
      </c>
      <c r="AA25" s="12">
        <f>(Tablo1[[#This Row],[ROIC]]/MAX(Tablo1[ROIC]))*10</f>
        <v>0.74093926524553655</v>
      </c>
      <c r="AB25" s="12">
        <f>IFERROR(IF(Tablo1[[#This Row],[Yıllık Net Kar Değişimi]]&lt;0,0,(Tablo1[[#This Row],[Yıllık Net Kar Değişimi]]/MAX(Tablo1[Yıllık Net Kar Değişimi]))*10),"")</f>
        <v>0</v>
      </c>
      <c r="AC25" s="12">
        <f>IFERROR(IF(Tablo1[[#This Row],[Yıllık FAVÖK Değişimi]]&lt;0,0,(Tablo1[[#This Row],[Yıllık FAVÖK Değişimi]]/MAX(Tablo1[Yıllık FAVÖK Değişimi]))*10),"")</f>
        <v>0</v>
      </c>
      <c r="AD25" s="12">
        <f>IFERROR(IF(Tablo1[[#This Row],[Yıllık Satışlar Değişimi]]&lt;0,0,(Tablo1[[#This Row],[Yıllık Satışlar Değişimi]]/MAX(Tablo1[Yıllık Satışlar Değişimi]))*10),"")</f>
        <v>0</v>
      </c>
      <c r="AF25" s="5">
        <f>SUMIFS([1]!Tablo1[Hisse Fiyatı],[1]!Tablo1[Hisse],Tablo1[[#This Row],[Şirket]],[1]!Tablo1[Dönem],$R$2)</f>
        <v>15.75</v>
      </c>
    </row>
    <row r="26" spans="2:32" ht="21.95" customHeight="1" thickTop="1" thickBot="1" x14ac:dyDescent="0.3">
      <c r="B26" s="17" t="str">
        <f>+data!A25</f>
        <v>ODAS</v>
      </c>
      <c r="C26" s="24">
        <f>+data!B25/100</f>
        <v>0.7095999999999999</v>
      </c>
      <c r="D26" s="9">
        <f>IF(data!C25&lt;0,"",data!C25)</f>
        <v>1.53</v>
      </c>
      <c r="E26" s="9">
        <f>IF(data!D25="","",data!D25)</f>
        <v>2.4500000000000002</v>
      </c>
      <c r="F26" s="9">
        <f>IF(data!E25="","",data!E25)</f>
        <v>5.84</v>
      </c>
      <c r="G26" s="9">
        <f>IF(data!F25="","",data!F25)</f>
        <v>1.48</v>
      </c>
      <c r="H26" s="9">
        <f>IF(data!G25="","",data!G25)</f>
        <v>0.03</v>
      </c>
      <c r="I26" s="25">
        <f>IF(data!H25/100="","",data!H25/100)</f>
        <v>0.21559999999999999</v>
      </c>
      <c r="J26" s="6">
        <f>IF(data!I25/100=0,"",data!I25/100)</f>
        <v>1.1125</v>
      </c>
      <c r="K26" s="6">
        <f>IF(data!J25/100="","",data!J25/100)</f>
        <v>-0.54249999999999998</v>
      </c>
      <c r="L26" s="6">
        <f>IF(data!K25/100="","",data!K25/100)</f>
        <v>-5.3699999999999998E-2</v>
      </c>
      <c r="N26" s="19">
        <f>(AF26-data!M25)/AF26</f>
        <v>0.36204268292682928</v>
      </c>
      <c r="T26" s="32">
        <f t="shared" si="2"/>
        <v>31.601766361625788</v>
      </c>
      <c r="U26" s="12">
        <f>IF(Tablo1[[#This Row],[Özkaynak Karlılığı]]&lt;0,0,(Tablo1[[#This Row],[Özkaynak Karlılığı]]/MAX(Tablo1[Özkaynak Karlılığı]))*10)</f>
        <v>5.9495262848998065</v>
      </c>
      <c r="V26" s="12">
        <f>(MIN(Tablo1[PD/DD])/Tablo1[[#This Row],[PD/DD]])*10</f>
        <v>4.3790849673202619</v>
      </c>
      <c r="W26" s="12">
        <f>IFERROR((MIN(Tablo1[F/K])/Tablo1[[#This Row],[F/K]])*10,"")</f>
        <v>8.8571428571428577</v>
      </c>
      <c r="X26" s="12">
        <f>IFERROR((MIN(Tablo1[FD/FAVÖK])/Tablo1[[#This Row],[FD/FAVÖK]])*10,"")</f>
        <v>8.5273972602739736</v>
      </c>
      <c r="Y26" s="12">
        <f>IFERROR((MIN(Tablo1[FD/Satış])/Tablo1[[#This Row],[FD/Satış]])*10,"")</f>
        <v>3.1081081081081079</v>
      </c>
      <c r="Z26" s="12">
        <f>IFERROR((MIN(Tablo1[PEG])/Tablo1[[#This Row],[PEG]])*10,"")</f>
        <v>0</v>
      </c>
      <c r="AA26" s="12">
        <f>(Tablo1[[#This Row],[ROIC]]/MAX(Tablo1[ROIC]))*10</f>
        <v>0.29632073008150195</v>
      </c>
      <c r="AB26" s="12">
        <f>IFERROR(IF(Tablo1[[#This Row],[Yıllık Net Kar Değişimi]]&lt;0,0,(Tablo1[[#This Row],[Yıllık Net Kar Değişimi]]/MAX(Tablo1[Yıllık Net Kar Değişimi]))*10),"")</f>
        <v>0.48418615379928365</v>
      </c>
      <c r="AC26" s="12">
        <f>IFERROR(IF(Tablo1[[#This Row],[Yıllık FAVÖK Değişimi]]&lt;0,0,(Tablo1[[#This Row],[Yıllık FAVÖK Değişimi]]/MAX(Tablo1[Yıllık FAVÖK Değişimi]))*10),"")</f>
        <v>0</v>
      </c>
      <c r="AD26" s="12">
        <f>IFERROR(IF(Tablo1[[#This Row],[Yıllık Satışlar Değişimi]]&lt;0,0,(Tablo1[[#This Row],[Yıllık Satışlar Değişimi]]/MAX(Tablo1[Yıllık Satışlar Değişimi]))*10),"")</f>
        <v>0</v>
      </c>
      <c r="AF26" s="5">
        <f>SUMIFS([1]!Tablo1[Hisse Fiyatı],[1]!Tablo1[Hisse],Tablo1[[#This Row],[Şirket]],[1]!Tablo1[Dönem],$R$2)</f>
        <v>13.12</v>
      </c>
    </row>
    <row r="27" spans="2:32" ht="21.95" customHeight="1" thickTop="1" thickBot="1" x14ac:dyDescent="0.3">
      <c r="B27" s="17" t="str">
        <f>+data!A26</f>
        <v>PAMEL</v>
      </c>
      <c r="C27" s="24">
        <f>+data!B26/100</f>
        <v>0.45289999999999997</v>
      </c>
      <c r="D27" s="9">
        <f>IF(data!C26&lt;0,"",data!C26)</f>
        <v>7.78</v>
      </c>
      <c r="E27" s="9">
        <f>IF(data!D26="","",data!D26)</f>
        <v>24.71</v>
      </c>
      <c r="F27" s="9">
        <f>IF(data!E26="","",data!E26)</f>
        <v>282.45999999999998</v>
      </c>
      <c r="G27" s="9">
        <f>IF(data!F26="","",data!F26)</f>
        <v>135.5</v>
      </c>
      <c r="H27" s="9">
        <f>IF(data!G26="","",data!G26)</f>
        <v>0.05</v>
      </c>
      <c r="I27" s="25">
        <f>IF(data!H26/100="","",data!H26/100)</f>
        <v>-2.07E-2</v>
      </c>
      <c r="J27" s="6">
        <f>IF(data!I26/100=0,"",data!I26/100)</f>
        <v>2.5855000000000001</v>
      </c>
      <c r="K27" s="6">
        <f>IF(data!J26/100="","",data!J26/100)</f>
        <v>-0.16370000000000001</v>
      </c>
      <c r="L27" s="6">
        <f>IF(data!K26/100="","",data!K26/100)</f>
        <v>0.12380000000000001</v>
      </c>
      <c r="N27" s="35">
        <f>(AF27-data!M26)/AF27</f>
        <v>9.4773519163763031E-2</v>
      </c>
      <c r="T27" s="32">
        <f t="shared" si="2"/>
        <v>8.3325885033359359</v>
      </c>
      <c r="U27" s="12">
        <f>IF(Tablo1[[#This Row],[Özkaynak Karlılığı]]&lt;0,0,(Tablo1[[#This Row],[Özkaynak Karlılığı]]/MAX(Tablo1[Özkaynak Karlılığı]))*10)</f>
        <v>3.7972667057935778</v>
      </c>
      <c r="V27" s="12">
        <f>(MIN(Tablo1[PD/DD])/Tablo1[[#This Row],[PD/DD]])*10</f>
        <v>0.86118251928020573</v>
      </c>
      <c r="W27" s="12">
        <f>IFERROR((MIN(Tablo1[F/K])/Tablo1[[#This Row],[F/K]])*10,"")</f>
        <v>0.87818696883852687</v>
      </c>
      <c r="X27" s="12">
        <f>IFERROR((MIN(Tablo1[FD/FAVÖK])/Tablo1[[#This Row],[FD/FAVÖK]])*10,"")</f>
        <v>0.17630814982652412</v>
      </c>
      <c r="Y27" s="12">
        <f>IFERROR((MIN(Tablo1[FD/Satış])/Tablo1[[#This Row],[FD/Satış]])*10,"")</f>
        <v>3.3948339483394839E-2</v>
      </c>
      <c r="Z27" s="12">
        <f>IFERROR((MIN(Tablo1[PEG])/Tablo1[[#This Row],[PEG]])*10,"")</f>
        <v>0</v>
      </c>
      <c r="AA27" s="12">
        <f>(Tablo1[[#This Row],[ROIC]]/MAX(Tablo1[ROIC]))*10</f>
        <v>-2.8450088648826949E-2</v>
      </c>
      <c r="AB27" s="12">
        <f>IFERROR(IF(Tablo1[[#This Row],[Yıllık Net Kar Değişimi]]&lt;0,0,(Tablo1[[#This Row],[Yıllık Net Kar Değişimi]]/MAX(Tablo1[Yıllık Net Kar Değişimi]))*10),"")</f>
        <v>1.1252703826049868</v>
      </c>
      <c r="AC27" s="12">
        <f>IFERROR(IF(Tablo1[[#This Row],[Yıllık FAVÖK Değişimi]]&lt;0,0,(Tablo1[[#This Row],[Yıllık FAVÖK Değişimi]]/MAX(Tablo1[Yıllık FAVÖK Değişimi]))*10),"")</f>
        <v>0</v>
      </c>
      <c r="AD27" s="12">
        <f>IFERROR(IF(Tablo1[[#This Row],[Yıllık Satışlar Değişimi]]&lt;0,0,(Tablo1[[#This Row],[Yıllık Satışlar Değişimi]]/MAX(Tablo1[Yıllık Satışlar Değişimi]))*10),"")</f>
        <v>1.4888755261575468</v>
      </c>
      <c r="AF27" s="5">
        <f>SUMIFS([1]!Tablo1[Hisse Fiyatı],[1]!Tablo1[Hisse],Tablo1[[#This Row],[Şirket]],[1]!Tablo1[Dönem],$R$2)</f>
        <v>143.5</v>
      </c>
    </row>
    <row r="28" spans="2:32" ht="21.95" customHeight="1" thickTop="1" thickBot="1" x14ac:dyDescent="0.3">
      <c r="B28" s="17" t="str">
        <f>+data!A27</f>
        <v>PRKME</v>
      </c>
      <c r="C28" s="24">
        <f>+data!B27/100</f>
        <v>0.39140000000000003</v>
      </c>
      <c r="D28" s="9">
        <f>IF(data!C27&lt;0,"",data!C27)</f>
        <v>1.82</v>
      </c>
      <c r="E28" s="9">
        <f>IF(data!D27="","",data!D27)</f>
        <v>5.31</v>
      </c>
      <c r="F28" s="9">
        <f>IF(data!E27="","",data!E27)</f>
        <v>14.75</v>
      </c>
      <c r="G28" s="9">
        <f>IF(data!F27="","",data!F27)</f>
        <v>11.12</v>
      </c>
      <c r="H28" s="9">
        <f>IF(data!G27="","",data!G27)</f>
        <v>0.36</v>
      </c>
      <c r="I28" s="25">
        <f>IF(data!H27/100="","",data!H27/100)</f>
        <v>-0.37509999999999999</v>
      </c>
      <c r="J28" s="6">
        <f>IF(data!I27/100=0,"",data!I27/100)</f>
        <v>0.48399999999999999</v>
      </c>
      <c r="K28" s="6">
        <f>IF(data!J27/100="","",data!J27/100)</f>
        <v>0.58599999999999997</v>
      </c>
      <c r="L28" s="6">
        <f>IF(data!K27/100="","",data!K27/100)</f>
        <v>0.48119999999999996</v>
      </c>
      <c r="N28" s="35">
        <f>(AF28-data!M27)/AF28</f>
        <v>0.14715447154471548</v>
      </c>
      <c r="T28" s="29">
        <f t="shared" si="2"/>
        <v>22.445102392254007</v>
      </c>
      <c r="U28" s="12">
        <f>IF(Tablo1[[#This Row],[Özkaynak Karlılığı]]&lt;0,0,(Tablo1[[#This Row],[Özkaynak Karlılığı]]/MAX(Tablo1[Özkaynak Karlılığı]))*10)</f>
        <v>3.2816299153181863</v>
      </c>
      <c r="V28" s="12">
        <f>(MIN(Tablo1[PD/DD])/Tablo1[[#This Row],[PD/DD]])*10</f>
        <v>3.6813186813186816</v>
      </c>
      <c r="W28" s="12">
        <f>IFERROR((MIN(Tablo1[F/K])/Tablo1[[#This Row],[F/K]])*10,"")</f>
        <v>4.0866290018832387</v>
      </c>
      <c r="X28" s="12">
        <f>IFERROR((MIN(Tablo1[FD/FAVÖK])/Tablo1[[#This Row],[FD/FAVÖK]])*10,"")</f>
        <v>3.376271186440678</v>
      </c>
      <c r="Y28" s="12">
        <f>IFERROR((MIN(Tablo1[FD/Satış])/Tablo1[[#This Row],[FD/Satış]])*10,"")</f>
        <v>0.41366906474820153</v>
      </c>
      <c r="Z28" s="12">
        <f>IFERROR((MIN(Tablo1[PEG])/Tablo1[[#This Row],[PEG]])*10,"")</f>
        <v>0</v>
      </c>
      <c r="AA28" s="12">
        <f>(Tablo1[[#This Row],[ROIC]]/MAX(Tablo1[ROIC]))*10</f>
        <v>-0.51553759672342936</v>
      </c>
      <c r="AB28" s="12">
        <f>IFERROR(IF(Tablo1[[#This Row],[Yıllık Net Kar Değişimi]]&lt;0,0,(Tablo1[[#This Row],[Yıllık Net Kar Değişimi]]/MAX(Tablo1[Yıllık Net Kar Değişimi]))*10),"")</f>
        <v>0.21064817837200292</v>
      </c>
      <c r="AC28" s="12">
        <f>IFERROR(IF(Tablo1[[#This Row],[Yıllık FAVÖK Değişimi]]&lt;0,0,(Tablo1[[#This Row],[Yıllık FAVÖK Değişimi]]/MAX(Tablo1[Yıllık FAVÖK Değişimi]))*10),"")</f>
        <v>2.1233422711790704</v>
      </c>
      <c r="AD28" s="12">
        <f>IFERROR(IF(Tablo1[[#This Row],[Yıllık Satışlar Değişimi]]&lt;0,0,(Tablo1[[#This Row],[Yıllık Satışlar Değişimi]]/MAX(Tablo1[Yıllık Satışlar Değişimi]))*10),"")</f>
        <v>5.787131689717377</v>
      </c>
      <c r="AF28" s="5">
        <f>SUMIFS([1]!Tablo1[Hisse Fiyatı],[1]!Tablo1[Hisse],Tablo1[[#This Row],[Şirket]],[1]!Tablo1[Dönem],$R$2)</f>
        <v>24.6</v>
      </c>
    </row>
    <row r="29" spans="2:32" ht="21.95" customHeight="1" thickTop="1" thickBot="1" x14ac:dyDescent="0.3">
      <c r="B29" s="17" t="str">
        <f>+data!A28</f>
        <v>YAYLA</v>
      </c>
      <c r="C29" s="24">
        <f>+data!B28/100</f>
        <v>0.30260000000000004</v>
      </c>
      <c r="D29" s="9">
        <f>IF(data!C28&lt;0,"",data!C28)</f>
        <v>1.6</v>
      </c>
      <c r="E29" s="9">
        <f>IF(data!D28="","",data!D28)</f>
        <v>6.85</v>
      </c>
      <c r="F29" s="9" t="str">
        <f>IF(data!E28="","",data!E28)</f>
        <v/>
      </c>
      <c r="G29" s="9">
        <f>IF(data!F28="","",data!F28)</f>
        <v>22.3</v>
      </c>
      <c r="H29" s="9">
        <f>IF(data!G28="","",data!G28)</f>
        <v>0.04</v>
      </c>
      <c r="I29" s="25">
        <f>IF(data!H28/100="","",data!H28/100)</f>
        <v>-0.17660000000000001</v>
      </c>
      <c r="J29" s="6" t="str">
        <f>IF(data!I28/100=0,"",data!I28/100)</f>
        <v/>
      </c>
      <c r="K29" s="6">
        <f>IF(data!J28/100="","",data!J28/100)</f>
        <v>0</v>
      </c>
      <c r="L29" s="6">
        <f>IF(data!K28/100="","",data!K28/100)</f>
        <v>0.27329999999999999</v>
      </c>
      <c r="N29" s="35">
        <f>(AF29-data!M28)/AF29</f>
        <v>1.6541353383458694E-2</v>
      </c>
      <c r="T29" s="29">
        <f t="shared" si="2"/>
        <v>13.142873848960285</v>
      </c>
      <c r="U29" s="12">
        <f>IF(Tablo1[[#This Row],[Özkaynak Karlılığı]]&lt;0,0,(Tablo1[[#This Row],[Özkaynak Karlılığı]]/MAX(Tablo1[Özkaynak Karlılığı]))*10)</f>
        <v>2.537100695900059</v>
      </c>
      <c r="V29" s="12">
        <f>(MIN(Tablo1[PD/DD])/Tablo1[[#This Row],[PD/DD]])*10</f>
        <v>4.1875</v>
      </c>
      <c r="W29" s="12">
        <f>IFERROR((MIN(Tablo1[F/K])/Tablo1[[#This Row],[F/K]])*10,"")</f>
        <v>3.167883211678832</v>
      </c>
      <c r="X29" s="12" t="str">
        <f>IFERROR((MIN(Tablo1[FD/FAVÖK])/Tablo1[[#This Row],[FD/FAVÖK]])*10,"")</f>
        <v/>
      </c>
      <c r="Y29" s="12">
        <f>IFERROR((MIN(Tablo1[FD/Satış])/Tablo1[[#This Row],[FD/Satış]])*10,"")</f>
        <v>0.20627802690582958</v>
      </c>
      <c r="Z29" s="12">
        <f>IFERROR((MIN(Tablo1[PEG])/Tablo1[[#This Row],[PEG]])*10,"")</f>
        <v>0</v>
      </c>
      <c r="AA29" s="12">
        <f>(Tablo1[[#This Row],[ROIC]]/MAX(Tablo1[ROIC]))*10</f>
        <v>-0.2427191137866106</v>
      </c>
      <c r="AB29" s="12" t="str">
        <f>IFERROR(IF(Tablo1[[#This Row],[Yıllık Net Kar Değişimi]]&lt;0,0,(Tablo1[[#This Row],[Yıllık Net Kar Değişimi]]/MAX(Tablo1[Yıllık Net Kar Değişimi]))*10),"")</f>
        <v/>
      </c>
      <c r="AC29" s="12">
        <f>IFERROR(IF(Tablo1[[#This Row],[Yıllık FAVÖK Değişimi]]&lt;0,0,(Tablo1[[#This Row],[Yıllık FAVÖK Değişimi]]/MAX(Tablo1[Yıllık FAVÖK Değişimi]))*10),"")</f>
        <v>0</v>
      </c>
      <c r="AD29" s="12">
        <f>IFERROR(IF(Tablo1[[#This Row],[Yıllık Satışlar Değişimi]]&lt;0,0,(Tablo1[[#This Row],[Yıllık Satışlar Değişimi]]/MAX(Tablo1[Yıllık Satışlar Değişimi]))*10),"")</f>
        <v>3.2868310282621764</v>
      </c>
      <c r="AF29" s="33">
        <v>6.65</v>
      </c>
    </row>
    <row r="30" spans="2:32" ht="21.95" customHeight="1" thickTop="1" thickBot="1" x14ac:dyDescent="0.3">
      <c r="B30" s="17" t="str">
        <f>+data!A29</f>
        <v>ZOREN</v>
      </c>
      <c r="C30" s="24">
        <f>+data!B29/100</f>
        <v>0.14019999999999999</v>
      </c>
      <c r="D30" s="9">
        <f>IF(data!C29&lt;0,"",data!C29)</f>
        <v>1.06</v>
      </c>
      <c r="E30" s="9">
        <f>IF(data!D29="","",data!D29)</f>
        <v>10.35</v>
      </c>
      <c r="F30" s="9">
        <f>IF(data!E29="","",data!E29)</f>
        <v>11.67</v>
      </c>
      <c r="G30" s="9">
        <f>IF(data!F29="","",data!F29)</f>
        <v>1.81</v>
      </c>
      <c r="H30" s="9" t="str">
        <f>IF(data!G29="","",data!G29)</f>
        <v/>
      </c>
      <c r="I30" s="25">
        <f>IF(data!H29/100="","",data!H29/100)</f>
        <v>0.10859999999999999</v>
      </c>
      <c r="J30" s="6">
        <f>IF(data!I29/100=0,"",data!I29/100)</f>
        <v>22.976700000000001</v>
      </c>
      <c r="K30" s="6">
        <f>IF(data!J29/100="","",data!J29/100)</f>
        <v>0.1759</v>
      </c>
      <c r="L30" s="6">
        <f>IF(data!K29/100="","",data!K29/100)</f>
        <v>0.1963</v>
      </c>
      <c r="N30" s="35">
        <f>(AF30-data!M29)/AF30</f>
        <v>0.17495395948434611</v>
      </c>
      <c r="T30" s="29">
        <f t="shared" si="2"/>
        <v>29.549064577238124</v>
      </c>
      <c r="U30" s="12">
        <f>IF(Tablo1[[#This Row],[Özkaynak Karlılığı]]&lt;0,0,(Tablo1[[#This Row],[Özkaynak Karlılığı]]/MAX(Tablo1[Özkaynak Karlılığı]))*10)</f>
        <v>1.1754841955227635</v>
      </c>
      <c r="V30" s="12">
        <f>(MIN(Tablo1[PD/DD])/Tablo1[[#This Row],[PD/DD]])*10</f>
        <v>6.3207547169811313</v>
      </c>
      <c r="W30" s="12">
        <f>IFERROR((MIN(Tablo1[F/K])/Tablo1[[#This Row],[F/K]])*10,"")</f>
        <v>2.0966183574879227</v>
      </c>
      <c r="X30" s="12">
        <f>IFERROR((MIN(Tablo1[FD/FAVÖK])/Tablo1[[#This Row],[FD/FAVÖK]])*10,"")</f>
        <v>4.2673521850899752</v>
      </c>
      <c r="Y30" s="12">
        <f>IFERROR((MIN(Tablo1[FD/Satış])/Tablo1[[#This Row],[FD/Satış]])*10,"")</f>
        <v>2.541436464088398</v>
      </c>
      <c r="Z30" s="12" t="str">
        <f>IFERROR((MIN(Tablo1[PEG])/Tablo1[[#This Row],[PEG]])*10,"")</f>
        <v/>
      </c>
      <c r="AA30" s="12">
        <f>(Tablo1[[#This Row],[ROIC]]/MAX(Tablo1[ROIC]))*10</f>
        <v>0.14925988537500515</v>
      </c>
      <c r="AB30" s="12">
        <f>IFERROR(IF(Tablo1[[#This Row],[Yıllık Net Kar Değişimi]]&lt;0,0,(Tablo1[[#This Row],[Yıllık Net Kar Değişimi]]/MAX(Tablo1[Yıllık Net Kar Değişimi]))*10),"")</f>
        <v>10</v>
      </c>
      <c r="AC30" s="12">
        <f>IFERROR(IF(Tablo1[[#This Row],[Yıllık FAVÖK Değişimi]]&lt;0,0,(Tablo1[[#This Row],[Yıllık FAVÖK Değişimi]]/MAX(Tablo1[Yıllık FAVÖK Değişimi]))*10),"")</f>
        <v>0.63736502645119208</v>
      </c>
      <c r="AD30" s="12">
        <f>IFERROR(IF(Tablo1[[#This Row],[Yıllık Satışlar Değişimi]]&lt;0,0,(Tablo1[[#This Row],[Yıllık Satışlar Değişimi]]/MAX(Tablo1[Yıllık Satışlar Değişimi]))*10),"")</f>
        <v>2.3607937462417317</v>
      </c>
      <c r="AF30" s="5">
        <f>SUMIFS([1]!Tablo1[Hisse Fiyatı],[1]!Tablo1[Hisse],Tablo1[[#This Row],[Şirket]],[1]!Tablo1[Dönem],$R$2)</f>
        <v>5.43</v>
      </c>
    </row>
    <row r="31" spans="2:32" ht="21.95" customHeight="1" thickTop="1" thickBot="1" x14ac:dyDescent="0.3">
      <c r="B31" s="17"/>
      <c r="C31" s="24"/>
      <c r="D31" s="9"/>
      <c r="E31" s="9"/>
      <c r="F31" s="9"/>
      <c r="G31" s="9"/>
      <c r="H31" s="9"/>
      <c r="I31" s="25"/>
      <c r="J31" s="6"/>
      <c r="K31" s="6"/>
      <c r="L31" s="6"/>
      <c r="U31" s="12"/>
      <c r="V31" s="12"/>
      <c r="W31" s="12"/>
    </row>
    <row r="32" spans="2:32" ht="21.95" customHeight="1" thickTop="1" x14ac:dyDescent="0.25">
      <c r="B32" s="26"/>
      <c r="C32" s="27"/>
      <c r="D32" s="10"/>
      <c r="E32" s="10"/>
      <c r="F32" s="10"/>
      <c r="G32" s="10"/>
      <c r="H32" s="10"/>
      <c r="I32" s="28"/>
      <c r="J32" s="7"/>
      <c r="K32" s="7"/>
      <c r="L32" s="7"/>
    </row>
    <row r="33" ht="21.95" customHeight="1" x14ac:dyDescent="0.25"/>
    <row r="34" ht="21.95" customHeight="1" x14ac:dyDescent="0.25"/>
    <row r="35" ht="21.95" customHeight="1" x14ac:dyDescent="0.25"/>
    <row r="36" ht="21.95" customHeight="1" x14ac:dyDescent="0.25"/>
    <row r="37" ht="21.95" customHeight="1" x14ac:dyDescent="0.25"/>
    <row r="38" ht="21.95" customHeight="1" x14ac:dyDescent="0.25"/>
    <row r="39" ht="21.95" customHeight="1" x14ac:dyDescent="0.25"/>
    <row r="40" ht="21.95" customHeight="1" x14ac:dyDescent="0.25"/>
    <row r="41" ht="21.95" customHeight="1" x14ac:dyDescent="0.25"/>
    <row r="42" ht="21.95" customHeight="1" x14ac:dyDescent="0.25"/>
    <row r="43" ht="21.95" customHeight="1" x14ac:dyDescent="0.25"/>
    <row r="44" ht="21.95" customHeight="1" x14ac:dyDescent="0.25"/>
    <row r="45" ht="21.95" customHeight="1" x14ac:dyDescent="0.25"/>
    <row r="46" ht="21.95" customHeight="1" x14ac:dyDescent="0.25"/>
    <row r="47" ht="21.95" customHeight="1" x14ac:dyDescent="0.25"/>
    <row r="48" ht="21.95" customHeight="1" x14ac:dyDescent="0.25"/>
    <row r="49" ht="21.95" customHeight="1" x14ac:dyDescent="0.25"/>
    <row r="50" ht="21.95" customHeight="1" x14ac:dyDescent="0.25"/>
    <row r="51" ht="21.95" customHeight="1" x14ac:dyDescent="0.25"/>
    <row r="52" ht="21.95" customHeight="1" x14ac:dyDescent="0.25"/>
    <row r="53" ht="21.95" customHeight="1" x14ac:dyDescent="0.25"/>
    <row r="54" ht="21.95" customHeight="1" x14ac:dyDescent="0.25"/>
    <row r="55" ht="21.95" customHeight="1" x14ac:dyDescent="0.25"/>
    <row r="56" ht="21.95" customHeight="1" x14ac:dyDescent="0.25"/>
    <row r="57" ht="21.95" customHeight="1" x14ac:dyDescent="0.25"/>
    <row r="58" ht="21.95" customHeight="1" x14ac:dyDescent="0.25"/>
    <row r="59" ht="21.95" customHeight="1" x14ac:dyDescent="0.25"/>
    <row r="60" ht="21.95" customHeight="1" x14ac:dyDescent="0.25"/>
    <row r="61" ht="21.95" customHeight="1" x14ac:dyDescent="0.25"/>
    <row r="62" ht="21.95" customHeight="1" x14ac:dyDescent="0.25"/>
    <row r="63" ht="21.95" customHeight="1" x14ac:dyDescent="0.25"/>
    <row r="64" ht="21.95" customHeight="1" x14ac:dyDescent="0.25"/>
    <row r="65" ht="21.95" customHeight="1" x14ac:dyDescent="0.25"/>
    <row r="66" ht="21.95" customHeight="1" x14ac:dyDescent="0.25"/>
    <row r="67" ht="21.95" customHeight="1" x14ac:dyDescent="0.25"/>
    <row r="68" ht="21.95" customHeight="1" x14ac:dyDescent="0.25"/>
    <row r="69" ht="21.95" customHeight="1" x14ac:dyDescent="0.25"/>
    <row r="70" ht="21.95" customHeight="1" x14ac:dyDescent="0.25"/>
    <row r="71" ht="21.95" customHeight="1" x14ac:dyDescent="0.25"/>
    <row r="72" ht="21.95" customHeight="1" x14ac:dyDescent="0.25"/>
    <row r="73" ht="21.95" customHeight="1" x14ac:dyDescent="0.25"/>
    <row r="74" ht="21.95" customHeight="1" x14ac:dyDescent="0.25"/>
    <row r="75" ht="21.95" customHeight="1" x14ac:dyDescent="0.25"/>
    <row r="76" ht="21.95" customHeight="1" x14ac:dyDescent="0.25"/>
    <row r="77" ht="21.95" customHeight="1" x14ac:dyDescent="0.25"/>
    <row r="78" ht="21.95" customHeight="1" x14ac:dyDescent="0.25"/>
    <row r="79" ht="21.95" customHeight="1" x14ac:dyDescent="0.25"/>
    <row r="80" ht="21.95" customHeight="1" x14ac:dyDescent="0.25"/>
    <row r="81" ht="21.95" customHeight="1" x14ac:dyDescent="0.25"/>
    <row r="82" ht="21.95" customHeight="1" x14ac:dyDescent="0.25"/>
    <row r="83" ht="21.95" customHeight="1" x14ac:dyDescent="0.25"/>
    <row r="84" ht="21.95" customHeight="1" x14ac:dyDescent="0.25"/>
    <row r="85" ht="21.95" customHeight="1" x14ac:dyDescent="0.25"/>
    <row r="86" ht="21.95" customHeight="1" x14ac:dyDescent="0.25"/>
    <row r="87" ht="21.95" customHeight="1" x14ac:dyDescent="0.25"/>
    <row r="88" ht="21.95" customHeight="1" x14ac:dyDescent="0.25"/>
    <row r="89" ht="21.95" customHeight="1" x14ac:dyDescent="0.25"/>
    <row r="90" ht="21.95" customHeight="1" x14ac:dyDescent="0.25"/>
    <row r="91" ht="21.95" customHeight="1" x14ac:dyDescent="0.25"/>
    <row r="92" ht="21.95" customHeight="1" x14ac:dyDescent="0.25"/>
    <row r="93" ht="21.95" customHeight="1" x14ac:dyDescent="0.25"/>
    <row r="94" ht="21.95" customHeight="1" x14ac:dyDescent="0.25"/>
    <row r="95" ht="21.95" customHeight="1" x14ac:dyDescent="0.25"/>
    <row r="96" ht="21.95" customHeight="1" x14ac:dyDescent="0.25"/>
    <row r="97" ht="21.95" customHeight="1" x14ac:dyDescent="0.25"/>
    <row r="98" ht="21.95" customHeight="1" x14ac:dyDescent="0.25"/>
    <row r="99" ht="21.95" customHeight="1" x14ac:dyDescent="0.25"/>
    <row r="100" ht="21.95" customHeight="1" x14ac:dyDescent="0.25"/>
    <row r="101" ht="21.95" customHeight="1" x14ac:dyDescent="0.25"/>
    <row r="102" ht="21.95" customHeight="1" x14ac:dyDescent="0.25"/>
    <row r="103" ht="21.95" customHeight="1" x14ac:dyDescent="0.25"/>
    <row r="104" ht="21.95" customHeight="1" x14ac:dyDescent="0.25"/>
    <row r="105" ht="21.95" customHeight="1" x14ac:dyDescent="0.25"/>
    <row r="106" ht="21.95" customHeight="1" x14ac:dyDescent="0.25"/>
    <row r="107" ht="21.95" customHeight="1" x14ac:dyDescent="0.25"/>
    <row r="108" ht="21.95" customHeight="1" x14ac:dyDescent="0.25"/>
    <row r="109" ht="21.95" customHeight="1" x14ac:dyDescent="0.25"/>
    <row r="110" ht="21.95" customHeight="1" x14ac:dyDescent="0.25"/>
    <row r="111" ht="21.95" customHeight="1" x14ac:dyDescent="0.25"/>
    <row r="112" ht="21.95" customHeight="1" x14ac:dyDescent="0.25"/>
    <row r="113" ht="21.95" customHeight="1" x14ac:dyDescent="0.25"/>
    <row r="114" ht="21.95" customHeight="1" x14ac:dyDescent="0.25"/>
    <row r="115" ht="21.95" customHeight="1" x14ac:dyDescent="0.25"/>
    <row r="116" ht="21.95" customHeight="1" x14ac:dyDescent="0.25"/>
    <row r="117" ht="21.95" customHeight="1" x14ac:dyDescent="0.25"/>
    <row r="118" ht="21.95" customHeight="1" x14ac:dyDescent="0.25"/>
    <row r="119" ht="21.95" customHeight="1" x14ac:dyDescent="0.25"/>
    <row r="120" ht="21.95" customHeight="1" x14ac:dyDescent="0.25"/>
    <row r="121" ht="21.95" customHeight="1" x14ac:dyDescent="0.25"/>
    <row r="122" ht="21.95" customHeight="1" x14ac:dyDescent="0.25"/>
    <row r="123" ht="21.95" customHeight="1" x14ac:dyDescent="0.25"/>
    <row r="124" ht="21.95" customHeight="1" x14ac:dyDescent="0.25"/>
    <row r="125" ht="21.95" customHeight="1" x14ac:dyDescent="0.25"/>
    <row r="126" ht="21.95" customHeight="1" x14ac:dyDescent="0.25"/>
    <row r="127" ht="21.95" customHeight="1" x14ac:dyDescent="0.25"/>
    <row r="128" ht="21.95" customHeight="1" x14ac:dyDescent="0.25"/>
    <row r="129" ht="21.95" customHeight="1" x14ac:dyDescent="0.25"/>
    <row r="130" ht="21.95" customHeight="1" x14ac:dyDescent="0.25"/>
    <row r="131" ht="21.95" customHeight="1" x14ac:dyDescent="0.25"/>
    <row r="132" ht="21.95" customHeight="1" x14ac:dyDescent="0.25"/>
    <row r="133" ht="21.95" customHeight="1" x14ac:dyDescent="0.25"/>
    <row r="134" ht="21.95" customHeight="1" x14ac:dyDescent="0.25"/>
    <row r="135" ht="21.95" customHeight="1" x14ac:dyDescent="0.25"/>
    <row r="136" ht="21.95" customHeight="1" x14ac:dyDescent="0.25"/>
    <row r="137" ht="21.95" customHeight="1" x14ac:dyDescent="0.25"/>
    <row r="138" ht="21.95" customHeight="1" x14ac:dyDescent="0.25"/>
    <row r="139" ht="21.95" customHeight="1" x14ac:dyDescent="0.25"/>
    <row r="140" ht="21.95" customHeight="1" x14ac:dyDescent="0.25"/>
    <row r="141" ht="21.95" customHeight="1" x14ac:dyDescent="0.25"/>
    <row r="142" ht="21.95" customHeight="1" x14ac:dyDescent="0.25"/>
    <row r="143" ht="21.95" customHeight="1" x14ac:dyDescent="0.25"/>
    <row r="144" ht="21.95" customHeight="1" x14ac:dyDescent="0.25"/>
    <row r="145" ht="21.95" customHeight="1" x14ac:dyDescent="0.25"/>
    <row r="146" ht="21.95" customHeight="1" x14ac:dyDescent="0.25"/>
    <row r="147" ht="21.95" customHeight="1" x14ac:dyDescent="0.25"/>
    <row r="148" ht="21.95" customHeight="1" x14ac:dyDescent="0.25"/>
  </sheetData>
  <conditionalFormatting sqref="N3:N30">
    <cfRule type="iconSet" priority="1">
      <iconSet>
        <cfvo type="percent" val="0"/>
        <cfvo type="num" val="0"/>
        <cfvo type="num" val="0.1"/>
      </iconSet>
    </cfRule>
  </conditionalFormatting>
  <conditionalFormatting sqref="C3:C30">
    <cfRule type="colorScale" priority="55">
      <colorScale>
        <cfvo type="min"/>
        <cfvo type="num" val="0"/>
        <cfvo type="num" val="$R$11"/>
        <color rgb="FFFE6666"/>
        <color theme="0"/>
        <color rgb="FF5DD9A1"/>
      </colorScale>
    </cfRule>
  </conditionalFormatting>
  <conditionalFormatting sqref="D3:D30">
    <cfRule type="colorScale" priority="56">
      <colorScale>
        <cfvo type="min"/>
        <cfvo type="num" val="$R$10"/>
        <cfvo type="max"/>
        <color rgb="FF5DD9A1"/>
        <color theme="0"/>
        <color rgb="FFFE6666"/>
      </colorScale>
    </cfRule>
  </conditionalFormatting>
  <conditionalFormatting sqref="E3:E30">
    <cfRule type="colorScale" priority="57">
      <colorScale>
        <cfvo type="min"/>
        <cfvo type="num" val="$R$9"/>
        <cfvo type="max"/>
        <color rgb="FF5DD9A1"/>
        <color theme="0"/>
        <color rgb="FFFE6666"/>
      </colorScale>
    </cfRule>
  </conditionalFormatting>
  <conditionalFormatting sqref="F3:F30">
    <cfRule type="colorScale" priority="58">
      <colorScale>
        <cfvo type="min"/>
        <cfvo type="num" val="$R$8"/>
        <cfvo type="max"/>
        <color rgb="FF5DD9A1"/>
        <color theme="0"/>
        <color rgb="FFFE6666"/>
      </colorScale>
    </cfRule>
  </conditionalFormatting>
  <conditionalFormatting sqref="G3:G30">
    <cfRule type="colorScale" priority="59">
      <colorScale>
        <cfvo type="min"/>
        <cfvo type="num" val="$R$7"/>
        <cfvo type="max"/>
        <color rgb="FF5DD9A1"/>
        <color theme="0"/>
        <color rgb="FFFE6666"/>
      </colorScale>
    </cfRule>
  </conditionalFormatting>
  <conditionalFormatting sqref="H3:H30">
    <cfRule type="colorScale" priority="60">
      <colorScale>
        <cfvo type="min"/>
        <cfvo type="num" val="1"/>
        <cfvo type="max"/>
        <color rgb="FF5DD9A1"/>
        <color theme="0"/>
        <color rgb="FFFE6666"/>
      </colorScale>
    </cfRule>
  </conditionalFormatting>
  <conditionalFormatting sqref="I3:I30">
    <cfRule type="colorScale" priority="61">
      <colorScale>
        <cfvo type="min"/>
        <cfvo type="num" val="0"/>
        <cfvo type="num" val="$R$6"/>
        <color rgb="FFFE6666"/>
        <color theme="0"/>
        <color rgb="FF5DD9A1"/>
      </colorScale>
    </cfRule>
  </conditionalFormatting>
  <conditionalFormatting sqref="J3:J30">
    <cfRule type="colorScale" priority="62">
      <colorScale>
        <cfvo type="min"/>
        <cfvo type="num" val="0"/>
        <cfvo type="num" val="$R$5"/>
        <color rgb="FFFE6666"/>
        <color theme="0"/>
        <color rgb="FF5DD9A1"/>
      </colorScale>
    </cfRule>
  </conditionalFormatting>
  <conditionalFormatting sqref="K3:K30">
    <cfRule type="colorScale" priority="63">
      <colorScale>
        <cfvo type="min"/>
        <cfvo type="num" val="0"/>
        <cfvo type="num" val="$R$4"/>
        <color rgb="FFFE6666"/>
        <color theme="0"/>
        <color rgb="FF5DD9A1"/>
      </colorScale>
    </cfRule>
  </conditionalFormatting>
  <conditionalFormatting sqref="L3:L30">
    <cfRule type="colorScale" priority="64">
      <colorScale>
        <cfvo type="min"/>
        <cfvo type="num" val="0"/>
        <cfvo type="num" val="$R$3"/>
        <color rgb="FFFE6666"/>
        <color theme="0"/>
        <color rgb="FF5DD9A1"/>
      </colorScale>
    </cfRule>
  </conditionalFormatting>
  <conditionalFormatting sqref="T3:T30">
    <cfRule type="colorScale" priority="65">
      <colorScale>
        <cfvo type="min"/>
        <cfvo type="num" val="$T$2"/>
        <cfvo type="max"/>
        <color rgb="FFFE6666"/>
        <color theme="0"/>
        <color rgb="FF5DD9A1"/>
      </colorScale>
    </cfRule>
  </conditionalFormatting>
  <printOptions horizontalCentered="1"/>
  <pageMargins left="0.11811023622047245" right="0.11811023622047245" top="0.15748031496062992" bottom="0.15748031496062992" header="0.31496062992125984" footer="0.31496062992125984"/>
  <pageSetup paperSize="9" scale="48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data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TeknikOfis</dc:creator>
  <cp:lastModifiedBy>KF68796</cp:lastModifiedBy>
  <cp:lastPrinted>2024-01-06T07:50:35Z</cp:lastPrinted>
  <dcterms:created xsi:type="dcterms:W3CDTF">2024-01-02T13:44:01Z</dcterms:created>
  <dcterms:modified xsi:type="dcterms:W3CDTF">2024-01-06T07:53:54Z</dcterms:modified>
</cp:coreProperties>
</file>