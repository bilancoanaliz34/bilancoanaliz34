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ive'ım\Diğer\Borsa Analiz\"/>
    </mc:Choice>
  </mc:AlternateContent>
  <xr:revisionPtr revIDLastSave="0" documentId="13_ncr:1_{2534508F-3D04-429B-A157-068F424D5021}" xr6:coauthVersionLast="47" xr6:coauthVersionMax="47" xr10:uidLastSave="{00000000-0000-0000-0000-000000000000}"/>
  <bookViews>
    <workbookView xWindow="-120" yWindow="-120" windowWidth="29040" windowHeight="15720" activeTab="1" xr2:uid="{3D50198C-AAA0-44DB-B302-52DBFF5EE225}"/>
  </bookViews>
  <sheets>
    <sheet name="AHLATÇI" sheetId="1" r:id="rId1"/>
    <sheet name="İş Yatırı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4" i="2" l="1"/>
  <c r="AA54" i="2"/>
  <c r="Y54" i="2"/>
  <c r="Z54" i="2" s="1"/>
  <c r="Y53" i="2"/>
  <c r="AA53" i="2" s="1"/>
  <c r="AB53" i="2" s="1"/>
  <c r="Y52" i="2"/>
  <c r="Y51" i="2"/>
  <c r="Z51" i="2" s="1"/>
  <c r="AA50" i="2"/>
  <c r="AB50" i="2" s="1"/>
  <c r="Y50" i="2"/>
  <c r="Z50" i="2" s="1"/>
  <c r="Y49" i="2"/>
  <c r="AA49" i="2" s="1"/>
  <c r="AB49" i="2" s="1"/>
  <c r="Y48" i="2"/>
  <c r="AA47" i="2"/>
  <c r="AB47" i="2" s="1"/>
  <c r="Z47" i="2"/>
  <c r="Y47" i="2"/>
  <c r="AA46" i="2"/>
  <c r="AB46" i="2" s="1"/>
  <c r="Y46" i="2"/>
  <c r="Z46" i="2" s="1"/>
  <c r="Y45" i="2"/>
  <c r="AA45" i="2" s="1"/>
  <c r="AB45" i="2" s="1"/>
  <c r="Y44" i="2"/>
  <c r="Y43" i="2"/>
  <c r="AA43" i="2" s="1"/>
  <c r="AB43" i="2" s="1"/>
  <c r="AA42" i="2"/>
  <c r="AB42" i="2" s="1"/>
  <c r="Y42" i="2"/>
  <c r="Z42" i="2" s="1"/>
  <c r="Y41" i="2"/>
  <c r="AA41" i="2" s="1"/>
  <c r="AB41" i="2" s="1"/>
  <c r="Y40" i="2"/>
  <c r="Y39" i="2"/>
  <c r="AA39" i="2" s="1"/>
  <c r="AB39" i="2" s="1"/>
  <c r="AA38" i="2"/>
  <c r="AB38" i="2" s="1"/>
  <c r="Y38" i="2"/>
  <c r="Z38" i="2" s="1"/>
  <c r="Y37" i="2"/>
  <c r="AA37" i="2" s="1"/>
  <c r="AB37" i="2" s="1"/>
  <c r="Y36" i="2"/>
  <c r="Y35" i="2"/>
  <c r="AA35" i="2" s="1"/>
  <c r="AB35" i="2" s="1"/>
  <c r="AA34" i="2"/>
  <c r="AB34" i="2" s="1"/>
  <c r="Y34" i="2"/>
  <c r="Z34" i="2" s="1"/>
  <c r="Y33" i="2"/>
  <c r="AA33" i="2" s="1"/>
  <c r="AB33" i="2" s="1"/>
  <c r="Y32" i="2"/>
  <c r="Y31" i="2"/>
  <c r="Z31" i="2" s="1"/>
  <c r="AA30" i="2"/>
  <c r="AB30" i="2" s="1"/>
  <c r="Y30" i="2"/>
  <c r="Z30" i="2" s="1"/>
  <c r="Y29" i="2"/>
  <c r="AA29" i="2" s="1"/>
  <c r="AB29" i="2" s="1"/>
  <c r="Y28" i="2"/>
  <c r="Y27" i="2"/>
  <c r="AA27" i="2" s="1"/>
  <c r="AB27" i="2" s="1"/>
  <c r="Y26" i="2"/>
  <c r="Z26" i="2" s="1"/>
  <c r="Y25" i="2"/>
  <c r="AA25" i="2" s="1"/>
  <c r="AB25" i="2" s="1"/>
  <c r="Y24" i="2"/>
  <c r="Y23" i="2"/>
  <c r="AA23" i="2" s="1"/>
  <c r="AB23" i="2" s="1"/>
  <c r="Y22" i="2"/>
  <c r="Z22" i="2" s="1"/>
  <c r="Y21" i="2"/>
  <c r="AA21" i="2" s="1"/>
  <c r="AB21" i="2" s="1"/>
  <c r="Y20" i="2"/>
  <c r="Y19" i="2"/>
  <c r="AA19" i="2" s="1"/>
  <c r="AB19" i="2" s="1"/>
  <c r="AA18" i="2"/>
  <c r="AB18" i="2" s="1"/>
  <c r="Y18" i="2"/>
  <c r="Z18" i="2" s="1"/>
  <c r="Y17" i="2"/>
  <c r="AA17" i="2" s="1"/>
  <c r="AB17" i="2" s="1"/>
  <c r="Y16" i="2"/>
  <c r="Y15" i="2"/>
  <c r="Z15" i="2" s="1"/>
  <c r="Y14" i="2"/>
  <c r="Z14" i="2" s="1"/>
  <c r="Y13" i="2"/>
  <c r="AA13" i="2" s="1"/>
  <c r="AB13" i="2" s="1"/>
  <c r="Y12" i="2"/>
  <c r="Y11" i="2"/>
  <c r="AA11" i="2" s="1"/>
  <c r="AB11" i="2" s="1"/>
  <c r="Y10" i="2"/>
  <c r="Z10" i="2" s="1"/>
  <c r="Y9" i="2"/>
  <c r="AA9" i="2" s="1"/>
  <c r="AB9" i="2" s="1"/>
  <c r="Y8" i="2"/>
  <c r="Y7" i="2"/>
  <c r="AA7" i="2" s="1"/>
  <c r="AB7" i="2" s="1"/>
  <c r="Y6" i="2"/>
  <c r="Z6" i="2" s="1"/>
  <c r="AA5" i="2"/>
  <c r="AB5" i="2" s="1"/>
  <c r="Y5" i="2"/>
  <c r="X55" i="2"/>
  <c r="K55" i="2"/>
  <c r="M55" i="2" s="1"/>
  <c r="N55" i="2" s="1"/>
  <c r="J55" i="2"/>
  <c r="X19" i="2"/>
  <c r="K19" i="2"/>
  <c r="M19" i="2" s="1"/>
  <c r="N19" i="2" s="1"/>
  <c r="J19" i="2"/>
  <c r="X44" i="2"/>
  <c r="K44" i="2"/>
  <c r="M44" i="2" s="1"/>
  <c r="N44" i="2" s="1"/>
  <c r="J44" i="2"/>
  <c r="X43" i="2"/>
  <c r="K43" i="2"/>
  <c r="M43" i="2" s="1"/>
  <c r="N43" i="2" s="1"/>
  <c r="J43" i="2"/>
  <c r="X42" i="2"/>
  <c r="K42" i="2"/>
  <c r="M42" i="2" s="1"/>
  <c r="N42" i="2" s="1"/>
  <c r="J42" i="2"/>
  <c r="X41" i="2"/>
  <c r="K41" i="2"/>
  <c r="M41" i="2" s="1"/>
  <c r="N41" i="2" s="1"/>
  <c r="J41" i="2"/>
  <c r="X40" i="2"/>
  <c r="K40" i="2"/>
  <c r="M40" i="2" s="1"/>
  <c r="N40" i="2" s="1"/>
  <c r="J40" i="2"/>
  <c r="X39" i="2"/>
  <c r="K39" i="2"/>
  <c r="M39" i="2" s="1"/>
  <c r="N39" i="2" s="1"/>
  <c r="J39" i="2"/>
  <c r="X38" i="2"/>
  <c r="K38" i="2"/>
  <c r="M38" i="2" s="1"/>
  <c r="N38" i="2" s="1"/>
  <c r="J38" i="2"/>
  <c r="X37" i="2"/>
  <c r="K37" i="2"/>
  <c r="M37" i="2" s="1"/>
  <c r="N37" i="2" s="1"/>
  <c r="J37" i="2"/>
  <c r="X36" i="2"/>
  <c r="K36" i="2"/>
  <c r="M36" i="2" s="1"/>
  <c r="N36" i="2" s="1"/>
  <c r="J36" i="2"/>
  <c r="X35" i="2"/>
  <c r="K35" i="2"/>
  <c r="M35" i="2" s="1"/>
  <c r="N35" i="2" s="1"/>
  <c r="J35" i="2"/>
  <c r="X34" i="2"/>
  <c r="K34" i="2"/>
  <c r="M34" i="2" s="1"/>
  <c r="N34" i="2" s="1"/>
  <c r="J34" i="2"/>
  <c r="X45" i="2"/>
  <c r="K45" i="2"/>
  <c r="M45" i="2" s="1"/>
  <c r="N45" i="2" s="1"/>
  <c r="J45" i="2"/>
  <c r="X33" i="2"/>
  <c r="K33" i="2"/>
  <c r="M33" i="2" s="1"/>
  <c r="N33" i="2" s="1"/>
  <c r="J33" i="2"/>
  <c r="X32" i="2"/>
  <c r="K32" i="2"/>
  <c r="M32" i="2" s="1"/>
  <c r="N32" i="2" s="1"/>
  <c r="J32" i="2"/>
  <c r="X31" i="2"/>
  <c r="K31" i="2"/>
  <c r="M31" i="2" s="1"/>
  <c r="N31" i="2" s="1"/>
  <c r="J31" i="2"/>
  <c r="X30" i="2"/>
  <c r="K30" i="2"/>
  <c r="M30" i="2" s="1"/>
  <c r="N30" i="2" s="1"/>
  <c r="J30" i="2"/>
  <c r="X29" i="2"/>
  <c r="K29" i="2"/>
  <c r="M29" i="2" s="1"/>
  <c r="N29" i="2" s="1"/>
  <c r="J29" i="2"/>
  <c r="X28" i="2"/>
  <c r="K28" i="2"/>
  <c r="M28" i="2" s="1"/>
  <c r="N28" i="2" s="1"/>
  <c r="J28" i="2"/>
  <c r="X27" i="2"/>
  <c r="K27" i="2"/>
  <c r="L27" i="2" s="1"/>
  <c r="J27" i="2"/>
  <c r="X26" i="2"/>
  <c r="K26" i="2"/>
  <c r="M26" i="2" s="1"/>
  <c r="N26" i="2" s="1"/>
  <c r="J26" i="2"/>
  <c r="X54" i="2"/>
  <c r="K54" i="2"/>
  <c r="M54" i="2" s="1"/>
  <c r="N54" i="2" s="1"/>
  <c r="J54" i="2"/>
  <c r="X53" i="2"/>
  <c r="K53" i="2"/>
  <c r="M53" i="2" s="1"/>
  <c r="N53" i="2" s="1"/>
  <c r="J53" i="2"/>
  <c r="X52" i="2"/>
  <c r="K52" i="2"/>
  <c r="J52" i="2"/>
  <c r="X51" i="2"/>
  <c r="K51" i="2"/>
  <c r="M51" i="2" s="1"/>
  <c r="N51" i="2" s="1"/>
  <c r="J51" i="2"/>
  <c r="X50" i="2"/>
  <c r="K50" i="2"/>
  <c r="M50" i="2" s="1"/>
  <c r="N50" i="2" s="1"/>
  <c r="J50" i="2"/>
  <c r="X49" i="2"/>
  <c r="K49" i="2"/>
  <c r="M49" i="2" s="1"/>
  <c r="N49" i="2" s="1"/>
  <c r="J49" i="2"/>
  <c r="X48" i="2"/>
  <c r="K48" i="2"/>
  <c r="M48" i="2" s="1"/>
  <c r="N48" i="2" s="1"/>
  <c r="J48" i="2"/>
  <c r="X47" i="2"/>
  <c r="K47" i="2"/>
  <c r="M47" i="2" s="1"/>
  <c r="N47" i="2" s="1"/>
  <c r="J47" i="2"/>
  <c r="X46" i="2"/>
  <c r="K46" i="2"/>
  <c r="M46" i="2" s="1"/>
  <c r="N46" i="2" s="1"/>
  <c r="J46" i="2"/>
  <c r="X25" i="2"/>
  <c r="K25" i="2"/>
  <c r="M25" i="2" s="1"/>
  <c r="N25" i="2" s="1"/>
  <c r="J25" i="2"/>
  <c r="X24" i="2"/>
  <c r="K24" i="2"/>
  <c r="M24" i="2" s="1"/>
  <c r="N24" i="2" s="1"/>
  <c r="J24" i="2"/>
  <c r="X23" i="2"/>
  <c r="K23" i="2"/>
  <c r="M23" i="2" s="1"/>
  <c r="N23" i="2" s="1"/>
  <c r="J23" i="2"/>
  <c r="X22" i="2"/>
  <c r="K22" i="2"/>
  <c r="M22" i="2" s="1"/>
  <c r="N22" i="2" s="1"/>
  <c r="J22" i="2"/>
  <c r="X21" i="2"/>
  <c r="K21" i="2"/>
  <c r="M21" i="2" s="1"/>
  <c r="N21" i="2" s="1"/>
  <c r="J21" i="2"/>
  <c r="X20" i="2"/>
  <c r="K20" i="2"/>
  <c r="M20" i="2" s="1"/>
  <c r="N20" i="2" s="1"/>
  <c r="J20" i="2"/>
  <c r="X18" i="2"/>
  <c r="K18" i="2"/>
  <c r="M18" i="2" s="1"/>
  <c r="N18" i="2" s="1"/>
  <c r="J18" i="2"/>
  <c r="X17" i="2"/>
  <c r="K17" i="2"/>
  <c r="M17" i="2" s="1"/>
  <c r="N17" i="2" s="1"/>
  <c r="J17" i="2"/>
  <c r="X16" i="2"/>
  <c r="K16" i="2"/>
  <c r="M16" i="2" s="1"/>
  <c r="N16" i="2" s="1"/>
  <c r="J16" i="2"/>
  <c r="X15" i="2"/>
  <c r="K15" i="2"/>
  <c r="M15" i="2" s="1"/>
  <c r="N15" i="2" s="1"/>
  <c r="J15" i="2"/>
  <c r="X14" i="2"/>
  <c r="K14" i="2"/>
  <c r="L14" i="2" s="1"/>
  <c r="J14" i="2"/>
  <c r="X13" i="2"/>
  <c r="K13" i="2"/>
  <c r="M13" i="2" s="1"/>
  <c r="N13" i="2" s="1"/>
  <c r="J13" i="2"/>
  <c r="X12" i="2"/>
  <c r="K12" i="2"/>
  <c r="M12" i="2" s="1"/>
  <c r="N12" i="2" s="1"/>
  <c r="J12" i="2"/>
  <c r="X11" i="2"/>
  <c r="K11" i="2"/>
  <c r="M11" i="2" s="1"/>
  <c r="N11" i="2" s="1"/>
  <c r="J11" i="2"/>
  <c r="X10" i="2"/>
  <c r="K10" i="2"/>
  <c r="L10" i="2" s="1"/>
  <c r="J10" i="2"/>
  <c r="X9" i="2"/>
  <c r="K9" i="2"/>
  <c r="L9" i="2" s="1"/>
  <c r="J9" i="2"/>
  <c r="X8" i="2"/>
  <c r="K8" i="2"/>
  <c r="M8" i="2" s="1"/>
  <c r="N8" i="2" s="1"/>
  <c r="J8" i="2"/>
  <c r="X7" i="2"/>
  <c r="K7" i="2"/>
  <c r="M7" i="2" s="1"/>
  <c r="N7" i="2" s="1"/>
  <c r="J7" i="2"/>
  <c r="X6" i="2"/>
  <c r="K6" i="2"/>
  <c r="M6" i="2" s="1"/>
  <c r="N6" i="2" s="1"/>
  <c r="J6" i="2"/>
  <c r="X5" i="2"/>
  <c r="K5" i="2"/>
  <c r="M5" i="2" s="1"/>
  <c r="N5" i="2" s="1"/>
  <c r="J5" i="2"/>
  <c r="Y18" i="1"/>
  <c r="AA18" i="1" s="1"/>
  <c r="AB18" i="1" s="1"/>
  <c r="Y17" i="1"/>
  <c r="AA17" i="1" s="1"/>
  <c r="AB17" i="1" s="1"/>
  <c r="Y16" i="1"/>
  <c r="AA16" i="1" s="1"/>
  <c r="AB16" i="1" s="1"/>
  <c r="Y15" i="1"/>
  <c r="AA15" i="1" s="1"/>
  <c r="AB15" i="1" s="1"/>
  <c r="Y14" i="1"/>
  <c r="AA14" i="1" s="1"/>
  <c r="AB14" i="1" s="1"/>
  <c r="Y13" i="1"/>
  <c r="AA13" i="1" s="1"/>
  <c r="AB13" i="1" s="1"/>
  <c r="Y12" i="1"/>
  <c r="AA12" i="1" s="1"/>
  <c r="AB12" i="1" s="1"/>
  <c r="Y11" i="1"/>
  <c r="AA11" i="1" s="1"/>
  <c r="AB11" i="1" s="1"/>
  <c r="Y10" i="1"/>
  <c r="AA10" i="1" s="1"/>
  <c r="AB10" i="1" s="1"/>
  <c r="Y8" i="1"/>
  <c r="AA8" i="1" s="1"/>
  <c r="AB8" i="1" s="1"/>
  <c r="Y7" i="1"/>
  <c r="AA7" i="1" s="1"/>
  <c r="AB7" i="1" s="1"/>
  <c r="Y6" i="1"/>
  <c r="AA6" i="1" s="1"/>
  <c r="AB6" i="1" s="1"/>
  <c r="Y5" i="1"/>
  <c r="AA5" i="1" s="1"/>
  <c r="AB5" i="1" s="1"/>
  <c r="Y9" i="1"/>
  <c r="AA9" i="1" s="1"/>
  <c r="AB9" i="1" s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AA26" i="2" l="1"/>
  <c r="AB26" i="2" s="1"/>
  <c r="AA22" i="2"/>
  <c r="AB22" i="2" s="1"/>
  <c r="Z19" i="2"/>
  <c r="AA14" i="2"/>
  <c r="AB14" i="2" s="1"/>
  <c r="AA10" i="2"/>
  <c r="AB10" i="2" s="1"/>
  <c r="AA6" i="2"/>
  <c r="AB6" i="2" s="1"/>
  <c r="AA40" i="2"/>
  <c r="AB40" i="2" s="1"/>
  <c r="Z40" i="2"/>
  <c r="AA48" i="2"/>
  <c r="AB48" i="2" s="1"/>
  <c r="Z48" i="2"/>
  <c r="AA20" i="2"/>
  <c r="AB20" i="2" s="1"/>
  <c r="Z20" i="2"/>
  <c r="Z35" i="2"/>
  <c r="Z43" i="2"/>
  <c r="AA36" i="2"/>
  <c r="AB36" i="2" s="1"/>
  <c r="Z36" i="2"/>
  <c r="AA8" i="2"/>
  <c r="AB8" i="2" s="1"/>
  <c r="Z8" i="2"/>
  <c r="AA15" i="2"/>
  <c r="AB15" i="2" s="1"/>
  <c r="Z23" i="2"/>
  <c r="AA44" i="2"/>
  <c r="AB44" i="2" s="1"/>
  <c r="Z44" i="2"/>
  <c r="AA51" i="2"/>
  <c r="AB51" i="2" s="1"/>
  <c r="AA16" i="2"/>
  <c r="AB16" i="2" s="1"/>
  <c r="Z16" i="2"/>
  <c r="AA24" i="2"/>
  <c r="AB24" i="2" s="1"/>
  <c r="Z24" i="2"/>
  <c r="AA31" i="2"/>
  <c r="AB31" i="2" s="1"/>
  <c r="Z39" i="2"/>
  <c r="Z11" i="2"/>
  <c r="AA32" i="2"/>
  <c r="AB32" i="2" s="1"/>
  <c r="Z32" i="2"/>
  <c r="AA12" i="2"/>
  <c r="AB12" i="2" s="1"/>
  <c r="Z12" i="2"/>
  <c r="Z27" i="2"/>
  <c r="Z7" i="2"/>
  <c r="AA28" i="2"/>
  <c r="AB28" i="2" s="1"/>
  <c r="Z28" i="2"/>
  <c r="AA52" i="2"/>
  <c r="AB52" i="2" s="1"/>
  <c r="Z52" i="2"/>
  <c r="Z9" i="2"/>
  <c r="Z13" i="2"/>
  <c r="Z17" i="2"/>
  <c r="Z21" i="2"/>
  <c r="Z25" i="2"/>
  <c r="Z29" i="2"/>
  <c r="Z33" i="2"/>
  <c r="Z37" i="2"/>
  <c r="Z41" i="2"/>
  <c r="Z45" i="2"/>
  <c r="Z49" i="2"/>
  <c r="Z53" i="2"/>
  <c r="L55" i="2"/>
  <c r="L40" i="2"/>
  <c r="L19" i="2"/>
  <c r="L37" i="2"/>
  <c r="L34" i="2"/>
  <c r="L42" i="2"/>
  <c r="L39" i="2"/>
  <c r="L36" i="2"/>
  <c r="L44" i="2"/>
  <c r="L41" i="2"/>
  <c r="L38" i="2"/>
  <c r="L35" i="2"/>
  <c r="L43" i="2"/>
  <c r="L30" i="2"/>
  <c r="M27" i="2"/>
  <c r="N27" i="2" s="1"/>
  <c r="L32" i="2"/>
  <c r="L29" i="2"/>
  <c r="L26" i="2"/>
  <c r="L45" i="2"/>
  <c r="L31" i="2"/>
  <c r="L28" i="2"/>
  <c r="L33" i="2"/>
  <c r="L23" i="2"/>
  <c r="L50" i="2"/>
  <c r="M52" i="2"/>
  <c r="N52" i="2" s="1"/>
  <c r="L52" i="2"/>
  <c r="L47" i="2"/>
  <c r="L25" i="2"/>
  <c r="L16" i="2"/>
  <c r="L20" i="2"/>
  <c r="L22" i="2"/>
  <c r="L49" i="2"/>
  <c r="L18" i="2"/>
  <c r="L46" i="2"/>
  <c r="L54" i="2"/>
  <c r="L24" i="2"/>
  <c r="L51" i="2"/>
  <c r="L21" i="2"/>
  <c r="L48" i="2"/>
  <c r="L17" i="2"/>
  <c r="L53" i="2"/>
  <c r="M9" i="2"/>
  <c r="N9" i="2" s="1"/>
  <c r="L6" i="2"/>
  <c r="M14" i="2"/>
  <c r="N14" i="2" s="1"/>
  <c r="L11" i="2"/>
  <c r="L13" i="2"/>
  <c r="M10" i="2"/>
  <c r="N10" i="2" s="1"/>
  <c r="L7" i="2"/>
  <c r="L15" i="2"/>
  <c r="Z5" i="2"/>
  <c r="L12" i="2"/>
  <c r="L8" i="2"/>
  <c r="L5" i="2"/>
  <c r="Z18" i="1"/>
  <c r="Z5" i="1"/>
  <c r="Z15" i="1"/>
  <c r="Z12" i="1"/>
  <c r="Z9" i="1"/>
  <c r="Z6" i="1"/>
  <c r="Z16" i="1"/>
  <c r="Z13" i="1"/>
  <c r="Z10" i="1"/>
  <c r="Z7" i="1"/>
  <c r="Z17" i="1"/>
  <c r="Z14" i="1"/>
  <c r="Z11" i="1"/>
  <c r="Z8" i="1"/>
  <c r="K18" i="1"/>
  <c r="M18" i="1" s="1"/>
  <c r="N18" i="1" s="1"/>
  <c r="K17" i="1"/>
  <c r="M17" i="1" s="1"/>
  <c r="N17" i="1" s="1"/>
  <c r="K16" i="1"/>
  <c r="M16" i="1" s="1"/>
  <c r="N16" i="1" s="1"/>
  <c r="K15" i="1"/>
  <c r="M15" i="1" s="1"/>
  <c r="N15" i="1" s="1"/>
  <c r="K14" i="1"/>
  <c r="M14" i="1" s="1"/>
  <c r="N14" i="1" s="1"/>
  <c r="K13" i="1"/>
  <c r="L13" i="1" s="1"/>
  <c r="K12" i="1"/>
  <c r="L12" i="1" s="1"/>
  <c r="K11" i="1"/>
  <c r="M11" i="1" s="1"/>
  <c r="N11" i="1" s="1"/>
  <c r="K10" i="1"/>
  <c r="M10" i="1" s="1"/>
  <c r="N10" i="1" s="1"/>
  <c r="K9" i="1"/>
  <c r="M9" i="1" s="1"/>
  <c r="N9" i="1" s="1"/>
  <c r="K8" i="1"/>
  <c r="M8" i="1" s="1"/>
  <c r="N8" i="1" s="1"/>
  <c r="K7" i="1"/>
  <c r="M7" i="1" s="1"/>
  <c r="N7" i="1" s="1"/>
  <c r="K6" i="1"/>
  <c r="L6" i="1" s="1"/>
  <c r="K5" i="1"/>
  <c r="L5" i="1" s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J6" i="1"/>
  <c r="L16" i="1" l="1"/>
  <c r="L17" i="1"/>
  <c r="L18" i="1"/>
  <c r="L7" i="1"/>
  <c r="L8" i="1"/>
  <c r="L10" i="1"/>
  <c r="L11" i="1"/>
  <c r="L14" i="1"/>
  <c r="L15" i="1"/>
  <c r="M5" i="1"/>
  <c r="N5" i="1" s="1"/>
  <c r="M6" i="1"/>
  <c r="N6" i="1" s="1"/>
  <c r="L9" i="1"/>
  <c r="M12" i="1"/>
  <c r="N12" i="1" s="1"/>
  <c r="M13" i="1"/>
  <c r="N1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<sst xmlns="http://schemas.openxmlformats.org/spreadsheetml/2006/main" count="425" uniqueCount="186">
  <si>
    <t>TTRAK</t>
  </si>
  <si>
    <t>AHLATÇI YATIRIM</t>
  </si>
  <si>
    <t>36TTRAK</t>
  </si>
  <si>
    <t>TTKOM</t>
  </si>
  <si>
    <t>32TTKOM</t>
  </si>
  <si>
    <t>TOASO</t>
  </si>
  <si>
    <t>40TOASO</t>
  </si>
  <si>
    <t>ASELS</t>
  </si>
  <si>
    <t>31ASELS</t>
  </si>
  <si>
    <t>PGSUS</t>
  </si>
  <si>
    <t>13PGSUS</t>
  </si>
  <si>
    <t>41PGSUS</t>
  </si>
  <si>
    <t>THYAO</t>
  </si>
  <si>
    <t>43THYAO</t>
  </si>
  <si>
    <t>TCELL</t>
  </si>
  <si>
    <t>46TCELL</t>
  </si>
  <si>
    <t>EREGL</t>
  </si>
  <si>
    <t>10EREGL</t>
  </si>
  <si>
    <t>31EREGL</t>
  </si>
  <si>
    <t>FROTO</t>
  </si>
  <si>
    <t>37FROTO</t>
  </si>
  <si>
    <t>VESBE</t>
  </si>
  <si>
    <t>1VESBE</t>
  </si>
  <si>
    <t>CIMSA</t>
  </si>
  <si>
    <t>12CIMSA</t>
  </si>
  <si>
    <t>ASTOR</t>
  </si>
  <si>
    <t>7ASTOR</t>
  </si>
  <si>
    <t>HİSSE</t>
  </si>
  <si>
    <t>TARİH</t>
  </si>
  <si>
    <t>HİSSE FİYAT</t>
  </si>
  <si>
    <t>HEDEF FİYAT</t>
  </si>
  <si>
    <t>POTANSİYEL</t>
  </si>
  <si>
    <t>DURUM</t>
  </si>
  <si>
    <t>HEDEFE YAKLAŞMA</t>
  </si>
  <si>
    <t>ANLIK DURUM</t>
  </si>
  <si>
    <t>MAK</t>
  </si>
  <si>
    <t>AHLATÇI YATIRIM 2024 YILI HEDEF FİYATLAR</t>
  </si>
  <si>
    <t>İŞ YATIRIM 2024 YILI HEDEF FİYATLAR</t>
  </si>
  <si>
    <t>MGROS</t>
  </si>
  <si>
    <t>İŞ YATIRIM</t>
  </si>
  <si>
    <t>24MGROS</t>
  </si>
  <si>
    <t>TUPRS</t>
  </si>
  <si>
    <t>9TUPRS</t>
  </si>
  <si>
    <t>17TUPRS</t>
  </si>
  <si>
    <t>16TTRAK</t>
  </si>
  <si>
    <t>28TTRAK</t>
  </si>
  <si>
    <t>TSKB</t>
  </si>
  <si>
    <t>10TSKB</t>
  </si>
  <si>
    <t>20TSKB</t>
  </si>
  <si>
    <t>30TSKB</t>
  </si>
  <si>
    <t>KRDMD</t>
  </si>
  <si>
    <t>9KRDMD</t>
  </si>
  <si>
    <t>BIMAS</t>
  </si>
  <si>
    <t>12BIMAS</t>
  </si>
  <si>
    <t>28BIMAS</t>
  </si>
  <si>
    <t>21TTKOM</t>
  </si>
  <si>
    <t>DOAS</t>
  </si>
  <si>
    <t>10DOAS</t>
  </si>
  <si>
    <t>16DOAS</t>
  </si>
  <si>
    <t>20DOAS</t>
  </si>
  <si>
    <t>25DOAS</t>
  </si>
  <si>
    <t>20TOASO</t>
  </si>
  <si>
    <t>30TOASO</t>
  </si>
  <si>
    <t>8ASELS</t>
  </si>
  <si>
    <t>13ASELS</t>
  </si>
  <si>
    <t>28ASELS</t>
  </si>
  <si>
    <t>BIZIM</t>
  </si>
  <si>
    <t>4BIZIM</t>
  </si>
  <si>
    <t>SOKM</t>
  </si>
  <si>
    <t>17SOKM</t>
  </si>
  <si>
    <t>22SOKM</t>
  </si>
  <si>
    <t>MAVI</t>
  </si>
  <si>
    <t>19MAVI</t>
  </si>
  <si>
    <t>30MAVI</t>
  </si>
  <si>
    <t>SISE</t>
  </si>
  <si>
    <t>13SISE</t>
  </si>
  <si>
    <t>16PGSUS</t>
  </si>
  <si>
    <t>28PGSUS</t>
  </si>
  <si>
    <t>TAVHL</t>
  </si>
  <si>
    <t>8TAVHL</t>
  </si>
  <si>
    <t>20TAVHL</t>
  </si>
  <si>
    <t>31TAVHL</t>
  </si>
  <si>
    <t>26THYAO</t>
  </si>
  <si>
    <t>AEFES</t>
  </si>
  <si>
    <t>8AEFES</t>
  </si>
  <si>
    <t>13AEFES</t>
  </si>
  <si>
    <t>17AEFES</t>
  </si>
  <si>
    <t>CCOLA</t>
  </si>
  <si>
    <t>13CCOLA</t>
  </si>
  <si>
    <t>28CCOLA</t>
  </si>
  <si>
    <t>32CCOLA</t>
  </si>
  <si>
    <t>ULKER</t>
  </si>
  <si>
    <t>7ULKER</t>
  </si>
  <si>
    <t>15ULKER</t>
  </si>
  <si>
    <t>MPARK</t>
  </si>
  <si>
    <t>6MPARK</t>
  </si>
  <si>
    <t>8MPARK</t>
  </si>
  <si>
    <t>23MPARK</t>
  </si>
  <si>
    <t>ANSGR</t>
  </si>
  <si>
    <t>9ANSGR</t>
  </si>
  <si>
    <t>TURSG</t>
  </si>
  <si>
    <t>9TURSG</t>
  </si>
  <si>
    <t>GARAN</t>
  </si>
  <si>
    <t>19GARAN</t>
  </si>
  <si>
    <t>31GARAN</t>
  </si>
  <si>
    <t>AKBNK</t>
  </si>
  <si>
    <t>12AKBNK</t>
  </si>
  <si>
    <t>30AKBNK</t>
  </si>
  <si>
    <t>58AKBNK</t>
  </si>
  <si>
    <t>YKBNK</t>
  </si>
  <si>
    <t>15YKBNK</t>
  </si>
  <si>
    <t>32YKBNK</t>
  </si>
  <si>
    <t>31TCELL</t>
  </si>
  <si>
    <t>ALARK</t>
  </si>
  <si>
    <t>6ALARK</t>
  </si>
  <si>
    <t>14EREGL</t>
  </si>
  <si>
    <t>22EREGL</t>
  </si>
  <si>
    <t>AKSEN</t>
  </si>
  <si>
    <t>9AKSEN</t>
  </si>
  <si>
    <t>EKGYO</t>
  </si>
  <si>
    <t>4EKGYO</t>
  </si>
  <si>
    <t>21FROTO</t>
  </si>
  <si>
    <t>31FROTO</t>
  </si>
  <si>
    <t>HALKB</t>
  </si>
  <si>
    <t>8HALKB</t>
  </si>
  <si>
    <t>18HALKB</t>
  </si>
  <si>
    <t>VAKBN</t>
  </si>
  <si>
    <t>23VAKBN</t>
  </si>
  <si>
    <t>AYGAZ</t>
  </si>
  <si>
    <t>7AYGAZ</t>
  </si>
  <si>
    <t>PETKM</t>
  </si>
  <si>
    <t>9PETKM</t>
  </si>
  <si>
    <t>ARCLK</t>
  </si>
  <si>
    <t>19ARCLK</t>
  </si>
  <si>
    <t>33ARCLK</t>
  </si>
  <si>
    <t>12VESBE</t>
  </si>
  <si>
    <t>OTKAR</t>
  </si>
  <si>
    <t>10OTKAR</t>
  </si>
  <si>
    <t>TRGYO</t>
  </si>
  <si>
    <t>KCHOL</t>
  </si>
  <si>
    <t>9KCHOL</t>
  </si>
  <si>
    <t>19KCHOL</t>
  </si>
  <si>
    <t>SELEC</t>
  </si>
  <si>
    <t>4SELEC</t>
  </si>
  <si>
    <t>TKFEN</t>
  </si>
  <si>
    <t>11TKFEN</t>
  </si>
  <si>
    <t>SAHOL</t>
  </si>
  <si>
    <t>7SAHOL</t>
  </si>
  <si>
    <t>10SAHOL</t>
  </si>
  <si>
    <t>15SAHOL</t>
  </si>
  <si>
    <t>19SAHOL</t>
  </si>
  <si>
    <t>AGHOL</t>
  </si>
  <si>
    <t>2AGHOL</t>
  </si>
  <si>
    <t>5AGHOL</t>
  </si>
  <si>
    <t>ANHYT</t>
  </si>
  <si>
    <t>4ANHYT</t>
  </si>
  <si>
    <t>5ANHYT</t>
  </si>
  <si>
    <t>GWIND</t>
  </si>
  <si>
    <t>2GWIND</t>
  </si>
  <si>
    <t>5GWIND</t>
  </si>
  <si>
    <t>KOZAL</t>
  </si>
  <si>
    <t>4KOZAL</t>
  </si>
  <si>
    <t>6KOZAL</t>
  </si>
  <si>
    <t>AKCNS</t>
  </si>
  <si>
    <t>10AKCNS</t>
  </si>
  <si>
    <t>6ASTOR</t>
  </si>
  <si>
    <t>ENKAI</t>
  </si>
  <si>
    <t>7ENKAI</t>
  </si>
  <si>
    <t>12ENKAI</t>
  </si>
  <si>
    <t>13ENKAI</t>
  </si>
  <si>
    <t>ENJSA</t>
  </si>
  <si>
    <t>3ENJSA</t>
  </si>
  <si>
    <t>10ENJSA</t>
  </si>
  <si>
    <t>12ENJSA</t>
  </si>
  <si>
    <t>VESTL</t>
  </si>
  <si>
    <t>7VESTL</t>
  </si>
  <si>
    <t>AKFYE</t>
  </si>
  <si>
    <t>3AKFYE</t>
  </si>
  <si>
    <t>TABGD</t>
  </si>
  <si>
    <t>2TABGD</t>
  </si>
  <si>
    <t>OYAKC</t>
  </si>
  <si>
    <t>1OYAKC</t>
  </si>
  <si>
    <t>KOTON</t>
  </si>
  <si>
    <t>1KOTON</t>
  </si>
  <si>
    <t>AKSGY</t>
  </si>
  <si>
    <t>1AKSGY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</si>
</sst>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#,##0.00\ &quot;₺&quot;"/>
    <numFmt numFmtId="165" formatCode="_-[$₺-41F]* #,##0_-;\-[$₺-41F]* #,##0_-;_-[$₺-41F]* &quot;-&quot;_-;_-@_-"/>
  </numFmts>
  <fonts count="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6"/>
      <color theme="1" tint="0.34998626667073579"/>
      <name val="Bahnschrift"/>
      <family val="2"/>
      <charset val="162"/>
    </font>
    <font>
      <b/>
      <sz val="11"/>
      <color theme="0"/>
      <name val="Aptos Narrow"/>
      <family val="2"/>
      <scheme val="minor"/>
    </font>
    <font>
      <b/>
      <sz val="22"/>
      <color rgb="FFEB6B5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1E9"/>
        <bgColor indexed="64"/>
      </patternFill>
    </fill>
    <fill>
      <patternFill patternType="solid">
        <fgColor rgb="FFEB6B5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0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9" fontId="6" fillId="2" borderId="1" xfId="2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64" fontId="5" fillId="2" borderId="0" xfId="1" applyNumberFormat="1" applyFont="1" applyFill="1" applyAlignment="1">
      <alignment horizontal="center" vertical="center"/>
    </xf>
  </cellXfs>
  <cellStyles count="3">
    <cellStyle name="Normal" xfId="0" builtinId="0"/>
    <cellStyle name="ParaBirimi" xfId="1" builtinId="4"/>
    <cellStyle name="Yüzde" xfId="2" builtinId="5"/>
  </cellStyles>
  <dxfs count="27"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 val="0"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/>
      </font>
    </dxf>
    <dxf>
      <font>
        <color auto="1"/>
      </font>
      <fill>
        <patternFill>
          <bgColor theme="2"/>
        </patternFill>
      </fill>
    </dxf>
    <dxf>
      <font>
        <color auto="1"/>
      </font>
      <fill>
        <patternFill>
          <bgColor rgb="FFDAF5CF"/>
        </patternFill>
      </fill>
    </dxf>
    <dxf>
      <font>
        <b val="0"/>
        <i/>
      </font>
    </dxf>
  </dxfs>
  <tableStyles count="0" defaultTableStyle="TableStyleMedium2" defaultPivotStyle="PivotStyleLight16"/>
  <colors>
    <mruColors>
      <color rgb="FFEB6B51"/>
      <color rgb="FFF7F1E9"/>
      <color rgb="FFDAF5CF"/>
      <color rgb="FFC1E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1</v>
    <v>4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EA64-04DB-4DE4-9E28-AEADFDD75FAE}">
  <dimension ref="A1:AQ23"/>
  <sheetViews>
    <sheetView showGridLines="0" zoomScale="85" zoomScaleNormal="85" workbookViewId="0">
      <selection activeCell="E2" sqref="E2:M2"/>
    </sheetView>
  </sheetViews>
  <sheetFormatPr defaultRowHeight="21" customHeight="1" x14ac:dyDescent="0.25"/>
  <cols>
    <col min="1" max="1" width="1.140625" style="1" customWidth="1"/>
    <col min="2" max="2" width="11.42578125" style="1" customWidth="1"/>
    <col min="3" max="3" width="15.7109375" style="1" hidden="1" customWidth="1"/>
    <col min="4" max="4" width="15.28515625" style="2" customWidth="1"/>
    <col min="5" max="6" width="15.5703125" style="15" customWidth="1"/>
    <col min="7" max="9" width="9.140625" style="1" hidden="1" customWidth="1"/>
    <col min="10" max="10" width="13.42578125" style="1" customWidth="1"/>
    <col min="11" max="11" width="17.7109375" style="3" bestFit="1" customWidth="1"/>
    <col min="12" max="12" width="4.7109375" style="4" customWidth="1"/>
    <col min="13" max="14" width="12.140625" style="6" customWidth="1"/>
    <col min="15" max="15" width="1.28515625" style="1" customWidth="1"/>
    <col min="16" max="16" width="11.42578125" style="1" customWidth="1"/>
    <col min="17" max="17" width="15.7109375" style="1" hidden="1" customWidth="1"/>
    <col min="18" max="18" width="15.28515625" style="2" customWidth="1"/>
    <col min="19" max="20" width="15.5703125" style="15" customWidth="1"/>
    <col min="21" max="23" width="9.140625" style="1" hidden="1" customWidth="1"/>
    <col min="24" max="24" width="13.42578125" style="1" customWidth="1"/>
    <col min="25" max="25" width="17.7109375" style="3" bestFit="1" customWidth="1"/>
    <col min="26" max="26" width="4.7109375" style="4" customWidth="1"/>
    <col min="27" max="28" width="12.140625" style="6" customWidth="1"/>
    <col min="29" max="29" width="1.5703125" style="1" customWidth="1"/>
    <col min="30" max="30" width="9.28515625" style="1" customWidth="1"/>
    <col min="31" max="16384" width="9.140625" style="1"/>
  </cols>
  <sheetData>
    <row r="1" spans="1:43" ht="7.5" customHeight="1" x14ac:dyDescent="0.25">
      <c r="A1" s="8"/>
      <c r="B1" s="8"/>
      <c r="C1" s="8"/>
      <c r="D1" s="9"/>
      <c r="E1" s="14"/>
      <c r="F1" s="14"/>
      <c r="G1" s="8"/>
      <c r="H1" s="8"/>
      <c r="I1" s="8"/>
      <c r="J1" s="8"/>
      <c r="K1" s="10"/>
      <c r="L1" s="11"/>
      <c r="M1" s="12"/>
      <c r="N1" s="12"/>
      <c r="O1" s="8"/>
      <c r="P1" s="8"/>
      <c r="Q1" s="8"/>
      <c r="R1" s="9"/>
      <c r="S1" s="14"/>
      <c r="T1" s="14"/>
      <c r="U1" s="8"/>
      <c r="V1" s="8"/>
      <c r="W1" s="8"/>
      <c r="X1" s="8"/>
      <c r="Y1" s="10"/>
      <c r="Z1" s="11"/>
      <c r="AA1" s="12"/>
      <c r="AB1" s="12"/>
      <c r="AC1" s="8"/>
      <c r="AD1" s="8"/>
      <c r="AE1" s="8"/>
      <c r="AF1" s="8"/>
      <c r="AG1" s="8"/>
      <c r="AH1" s="8"/>
      <c r="AI1" s="8"/>
      <c r="AJ1" s="8"/>
      <c r="AK1" s="8"/>
    </row>
    <row r="2" spans="1:43" ht="79.5" customHeight="1" x14ac:dyDescent="0.25">
      <c r="A2" s="8"/>
      <c r="B2" s="27" t="e" vm="1">
        <v>#VALUE!</v>
      </c>
      <c r="C2" s="27"/>
      <c r="D2" s="27"/>
      <c r="E2" s="28" t="s">
        <v>36</v>
      </c>
      <c r="F2" s="28"/>
      <c r="G2" s="28"/>
      <c r="H2" s="28"/>
      <c r="I2" s="28"/>
      <c r="J2" s="28"/>
      <c r="K2" s="28"/>
      <c r="L2" s="28"/>
      <c r="M2" s="28"/>
      <c r="N2" s="12"/>
      <c r="O2" s="8"/>
      <c r="P2" s="27"/>
      <c r="Q2" s="27"/>
      <c r="R2" s="27"/>
      <c r="S2" s="28"/>
      <c r="T2" s="28"/>
      <c r="U2" s="28"/>
      <c r="V2" s="28"/>
      <c r="W2" s="28"/>
      <c r="X2" s="28"/>
      <c r="Y2" s="28"/>
      <c r="Z2" s="28"/>
      <c r="AA2" s="28"/>
      <c r="AB2" s="12"/>
      <c r="AC2" s="8"/>
      <c r="AD2" s="8"/>
      <c r="AE2" s="8"/>
      <c r="AF2" s="8"/>
      <c r="AG2" s="8"/>
      <c r="AH2" s="8"/>
      <c r="AI2" s="8"/>
      <c r="AJ2" s="8"/>
      <c r="AK2" s="8"/>
    </row>
    <row r="3" spans="1:43" ht="4.5" customHeight="1" x14ac:dyDescent="0.25">
      <c r="A3" s="8"/>
      <c r="B3" s="8"/>
      <c r="C3" s="8"/>
      <c r="D3" s="9"/>
      <c r="E3" s="14"/>
      <c r="F3" s="14"/>
      <c r="G3" s="8"/>
      <c r="H3" s="8"/>
      <c r="I3" s="8"/>
      <c r="J3" s="8"/>
      <c r="K3" s="10"/>
      <c r="L3" s="11"/>
      <c r="M3" s="12"/>
      <c r="N3" s="12"/>
      <c r="O3" s="8"/>
      <c r="P3" s="8"/>
      <c r="Q3" s="8"/>
      <c r="R3" s="9"/>
      <c r="S3" s="14"/>
      <c r="T3" s="14"/>
      <c r="U3" s="8"/>
      <c r="V3" s="8"/>
      <c r="W3" s="8"/>
      <c r="X3" s="8"/>
      <c r="Y3" s="10"/>
      <c r="Z3" s="11"/>
      <c r="AA3" s="12"/>
      <c r="AB3" s="12"/>
      <c r="AC3" s="8"/>
      <c r="AD3" s="8"/>
      <c r="AE3" s="8"/>
      <c r="AF3" s="8"/>
      <c r="AG3" s="8"/>
      <c r="AH3" s="8"/>
      <c r="AI3" s="8" t="e" vm="2">
        <v>#VALUE!</v>
      </c>
      <c r="AJ3" s="8"/>
      <c r="AK3" s="8"/>
    </row>
    <row r="4" spans="1:43" s="5" customFormat="1" ht="47.25" customHeight="1" x14ac:dyDescent="0.25">
      <c r="A4" s="13"/>
      <c r="B4" s="16" t="s">
        <v>27</v>
      </c>
      <c r="C4" s="16"/>
      <c r="D4" s="17" t="s">
        <v>28</v>
      </c>
      <c r="E4" s="18" t="s">
        <v>29</v>
      </c>
      <c r="F4" s="18" t="s">
        <v>30</v>
      </c>
      <c r="G4" s="16"/>
      <c r="H4" s="16"/>
      <c r="I4" s="16"/>
      <c r="J4" s="16" t="s">
        <v>31</v>
      </c>
      <c r="K4" s="26" t="s">
        <v>32</v>
      </c>
      <c r="L4" s="26"/>
      <c r="M4" s="16" t="s">
        <v>33</v>
      </c>
      <c r="N4" s="16" t="s">
        <v>34</v>
      </c>
      <c r="O4" s="13"/>
      <c r="P4" s="16" t="s">
        <v>27</v>
      </c>
      <c r="Q4" s="16"/>
      <c r="R4" s="17" t="s">
        <v>28</v>
      </c>
      <c r="S4" s="18" t="s">
        <v>29</v>
      </c>
      <c r="T4" s="18" t="s">
        <v>30</v>
      </c>
      <c r="U4" s="16"/>
      <c r="V4" s="16"/>
      <c r="W4" s="16"/>
      <c r="X4" s="16" t="s">
        <v>31</v>
      </c>
      <c r="Y4" s="26" t="s">
        <v>32</v>
      </c>
      <c r="Z4" s="26"/>
      <c r="AA4" s="16" t="s">
        <v>33</v>
      </c>
      <c r="AB4" s="16" t="s">
        <v>34</v>
      </c>
      <c r="AC4" s="13"/>
      <c r="AD4" s="13"/>
      <c r="AE4" s="13" t="s">
        <v>35</v>
      </c>
      <c r="AF4" s="13"/>
      <c r="AG4" s="13"/>
      <c r="AH4" s="13"/>
      <c r="AI4" s="13"/>
      <c r="AJ4" s="13"/>
      <c r="AK4" s="13"/>
    </row>
    <row r="5" spans="1:43" ht="23.1" customHeight="1" x14ac:dyDescent="0.25">
      <c r="A5" s="8"/>
      <c r="B5" s="19" t="s">
        <v>0</v>
      </c>
      <c r="C5" s="19" t="s">
        <v>1</v>
      </c>
      <c r="D5" s="20">
        <v>45595</v>
      </c>
      <c r="E5" s="21">
        <v>716</v>
      </c>
      <c r="F5" s="21">
        <v>941.89</v>
      </c>
      <c r="G5" s="19">
        <v>36</v>
      </c>
      <c r="H5" s="19" t="s">
        <v>2</v>
      </c>
      <c r="I5" s="19">
        <v>1</v>
      </c>
      <c r="J5" s="22">
        <f t="shared" ref="J5" si="0">IF(B5="","",IFERROR((F5-E5)/E5,""))</f>
        <v>0.31548882681564244</v>
      </c>
      <c r="K5" s="23" t="str">
        <f t="shared" ref="K5:K18" si="1">IF(AE5&gt;F5,"Hedef Gerçekleşti","")</f>
        <v/>
      </c>
      <c r="L5" s="24" t="str">
        <f t="shared" ref="L5:L8" si="2">IF(K5="","",$AI$3)</f>
        <v/>
      </c>
      <c r="M5" s="22">
        <f t="shared" ref="M5:M18" si="3">IF(K5="",(AE5-E5)/E5,1)</f>
        <v>9.0083798882681559E-2</v>
      </c>
      <c r="N5" s="22">
        <f t="shared" ref="N5:N18" si="4">IF(M5=1,"",(AF5-E5)/E5)</f>
        <v>7.1229050279329603E-2</v>
      </c>
      <c r="O5" s="25"/>
      <c r="P5" s="19" t="s">
        <v>0</v>
      </c>
      <c r="Q5" s="19" t="s">
        <v>1</v>
      </c>
      <c r="R5" s="20">
        <v>45595</v>
      </c>
      <c r="S5" s="21">
        <v>716</v>
      </c>
      <c r="T5" s="21">
        <v>941.89</v>
      </c>
      <c r="U5" s="19">
        <v>36</v>
      </c>
      <c r="V5" s="19" t="s">
        <v>2</v>
      </c>
      <c r="W5" s="19">
        <v>1</v>
      </c>
      <c r="X5" s="22">
        <f t="shared" ref="X5" si="5">IF(P5="","",IFERROR((T5-S5)/S5,""))</f>
        <v>0.31548882681564244</v>
      </c>
      <c r="Y5" s="23" t="str">
        <f t="shared" ref="Y5:Y18" si="6">IF(AE5&gt;T5,"Hedef Gerçekleşti","")</f>
        <v/>
      </c>
      <c r="Z5" s="24" t="str">
        <f t="shared" ref="Z5:Z8" si="7">IF(Y5="","",$AI$3)</f>
        <v/>
      </c>
      <c r="AA5" s="22">
        <f t="shared" ref="AA5:AA18" si="8">IF(Y5="",(AE5-S5)/S5,1)</f>
        <v>9.0083798882681559E-2</v>
      </c>
      <c r="AB5" s="22">
        <f t="shared" ref="AB5:AB18" si="9">IF(AA5=1,"",(AF5-S5)/S5)</f>
        <v>7.1229050279329603E-2</v>
      </c>
      <c r="AC5" s="8"/>
      <c r="AD5" s="8"/>
      <c r="AE5" s="8">
        <v>780.5</v>
      </c>
      <c r="AF5" s="8">
        <v>767</v>
      </c>
      <c r="AG5" s="8"/>
      <c r="AH5" s="8"/>
      <c r="AI5" s="8"/>
      <c r="AJ5" s="8"/>
      <c r="AK5" s="8"/>
    </row>
    <row r="6" spans="1:43" ht="23.1" customHeight="1" x14ac:dyDescent="0.25">
      <c r="A6" s="8"/>
      <c r="B6" s="19" t="s">
        <v>3</v>
      </c>
      <c r="C6" s="19" t="s">
        <v>1</v>
      </c>
      <c r="D6" s="20">
        <v>45603</v>
      </c>
      <c r="E6" s="21">
        <v>46.84</v>
      </c>
      <c r="F6" s="21">
        <v>68.790000000000006</v>
      </c>
      <c r="G6" s="19">
        <v>32</v>
      </c>
      <c r="H6" s="19" t="s">
        <v>4</v>
      </c>
      <c r="I6" s="19">
        <v>1</v>
      </c>
      <c r="J6" s="22">
        <f>IF(B6="","",IFERROR((F6-E6)/E6,""))</f>
        <v>0.46861656703672078</v>
      </c>
      <c r="K6" s="23" t="str">
        <f t="shared" si="1"/>
        <v/>
      </c>
      <c r="L6" s="24" t="str">
        <f t="shared" si="2"/>
        <v/>
      </c>
      <c r="M6" s="22">
        <f t="shared" si="3"/>
        <v>-2.5619128949616681E-3</v>
      </c>
      <c r="N6" s="22">
        <f t="shared" si="4"/>
        <v>-7.6857386848848529E-3</v>
      </c>
      <c r="O6" s="25"/>
      <c r="P6" s="19" t="s">
        <v>3</v>
      </c>
      <c r="Q6" s="19" t="s">
        <v>1</v>
      </c>
      <c r="R6" s="20">
        <v>45603</v>
      </c>
      <c r="S6" s="21">
        <v>46.84</v>
      </c>
      <c r="T6" s="21">
        <v>68.790000000000006</v>
      </c>
      <c r="U6" s="19">
        <v>32</v>
      </c>
      <c r="V6" s="19" t="s">
        <v>4</v>
      </c>
      <c r="W6" s="19">
        <v>1</v>
      </c>
      <c r="X6" s="22">
        <f>IF(P6="","",IFERROR((T6-S6)/S6,""))</f>
        <v>0.46861656703672078</v>
      </c>
      <c r="Y6" s="23" t="str">
        <f t="shared" si="6"/>
        <v/>
      </c>
      <c r="Z6" s="24" t="str">
        <f t="shared" si="7"/>
        <v/>
      </c>
      <c r="AA6" s="22">
        <f t="shared" si="8"/>
        <v>-2.5619128949616681E-3</v>
      </c>
      <c r="AB6" s="22">
        <f t="shared" si="9"/>
        <v>-7.6857386848848529E-3</v>
      </c>
      <c r="AC6" s="8"/>
      <c r="AD6" s="8"/>
      <c r="AE6" s="8">
        <v>46.72</v>
      </c>
      <c r="AF6" s="8">
        <v>46.48</v>
      </c>
      <c r="AG6" s="8"/>
      <c r="AH6" s="8"/>
      <c r="AI6" s="8"/>
      <c r="AJ6" s="8"/>
      <c r="AK6" s="8"/>
    </row>
    <row r="7" spans="1:43" ht="23.1" customHeight="1" x14ac:dyDescent="0.25">
      <c r="A7" s="8"/>
      <c r="B7" s="19" t="s">
        <v>5</v>
      </c>
      <c r="C7" s="19" t="s">
        <v>1</v>
      </c>
      <c r="D7" s="20">
        <v>45610</v>
      </c>
      <c r="E7" s="21">
        <v>195.2</v>
      </c>
      <c r="F7" s="21">
        <v>291.91000000000003</v>
      </c>
      <c r="G7" s="19">
        <v>40</v>
      </c>
      <c r="H7" s="19" t="s">
        <v>6</v>
      </c>
      <c r="I7" s="19">
        <v>1</v>
      </c>
      <c r="J7" s="22">
        <f t="shared" ref="J7:J18" si="10">IF(B7="","",IFERROR((F7-E7)/E7,""))</f>
        <v>0.495440573770492</v>
      </c>
      <c r="K7" s="23" t="str">
        <f t="shared" si="1"/>
        <v/>
      </c>
      <c r="L7" s="24" t="str">
        <f t="shared" si="2"/>
        <v/>
      </c>
      <c r="M7" s="22">
        <f t="shared" si="3"/>
        <v>6.3012295081967276E-2</v>
      </c>
      <c r="N7" s="22">
        <f t="shared" si="4"/>
        <v>1.5368852459016395E-2</v>
      </c>
      <c r="O7" s="25"/>
      <c r="P7" s="19" t="s">
        <v>5</v>
      </c>
      <c r="Q7" s="19" t="s">
        <v>1</v>
      </c>
      <c r="R7" s="20">
        <v>45610</v>
      </c>
      <c r="S7" s="21">
        <v>195.2</v>
      </c>
      <c r="T7" s="21">
        <v>291.91000000000003</v>
      </c>
      <c r="U7" s="19">
        <v>40</v>
      </c>
      <c r="V7" s="19" t="s">
        <v>6</v>
      </c>
      <c r="W7" s="19">
        <v>1</v>
      </c>
      <c r="X7" s="22">
        <f t="shared" ref="X7:X18" si="11">IF(P7="","",IFERROR((T7-S7)/S7,""))</f>
        <v>0.495440573770492</v>
      </c>
      <c r="Y7" s="23" t="str">
        <f t="shared" si="6"/>
        <v/>
      </c>
      <c r="Z7" s="24" t="str">
        <f t="shared" si="7"/>
        <v/>
      </c>
      <c r="AA7" s="22">
        <f t="shared" si="8"/>
        <v>6.3012295081967276E-2</v>
      </c>
      <c r="AB7" s="22">
        <f t="shared" si="9"/>
        <v>1.5368852459016395E-2</v>
      </c>
      <c r="AC7" s="8"/>
      <c r="AD7" s="8"/>
      <c r="AE7" s="8">
        <v>207.5</v>
      </c>
      <c r="AF7" s="8">
        <v>198.2</v>
      </c>
      <c r="AG7" s="8"/>
      <c r="AH7" s="8"/>
      <c r="AI7" s="8"/>
      <c r="AJ7" s="8"/>
      <c r="AK7" s="8"/>
    </row>
    <row r="8" spans="1:43" ht="23.1" customHeight="1" x14ac:dyDescent="0.25">
      <c r="A8" s="8"/>
      <c r="B8" s="19" t="s">
        <v>7</v>
      </c>
      <c r="C8" s="19" t="s">
        <v>1</v>
      </c>
      <c r="D8" s="20">
        <v>45581</v>
      </c>
      <c r="E8" s="21">
        <v>56.35</v>
      </c>
      <c r="F8" s="21">
        <v>87.17</v>
      </c>
      <c r="G8" s="19">
        <v>31</v>
      </c>
      <c r="H8" s="19" t="s">
        <v>8</v>
      </c>
      <c r="I8" s="19">
        <v>1</v>
      </c>
      <c r="J8" s="22">
        <f t="shared" si="10"/>
        <v>0.54693877551020409</v>
      </c>
      <c r="K8" s="23" t="str">
        <f t="shared" si="1"/>
        <v/>
      </c>
      <c r="L8" s="24" t="str">
        <f t="shared" si="2"/>
        <v/>
      </c>
      <c r="M8" s="22">
        <f t="shared" si="3"/>
        <v>0.24578527062999114</v>
      </c>
      <c r="N8" s="22">
        <f t="shared" si="4"/>
        <v>0.24312333629103808</v>
      </c>
      <c r="O8" s="25"/>
      <c r="P8" s="19" t="s">
        <v>7</v>
      </c>
      <c r="Q8" s="19" t="s">
        <v>1</v>
      </c>
      <c r="R8" s="20">
        <v>45581</v>
      </c>
      <c r="S8" s="21">
        <v>56.35</v>
      </c>
      <c r="T8" s="21">
        <v>87.17</v>
      </c>
      <c r="U8" s="19">
        <v>31</v>
      </c>
      <c r="V8" s="19" t="s">
        <v>8</v>
      </c>
      <c r="W8" s="19">
        <v>1</v>
      </c>
      <c r="X8" s="22">
        <f t="shared" si="11"/>
        <v>0.54693877551020409</v>
      </c>
      <c r="Y8" s="23" t="str">
        <f t="shared" si="6"/>
        <v/>
      </c>
      <c r="Z8" s="24" t="str">
        <f t="shared" si="7"/>
        <v/>
      </c>
      <c r="AA8" s="22">
        <f t="shared" si="8"/>
        <v>0.24578527062999114</v>
      </c>
      <c r="AB8" s="22">
        <f t="shared" si="9"/>
        <v>0.24312333629103808</v>
      </c>
      <c r="AC8" s="8"/>
      <c r="AD8" s="8"/>
      <c r="AE8" s="8">
        <v>70.2</v>
      </c>
      <c r="AF8" s="8">
        <v>70.05</v>
      </c>
      <c r="AG8" s="8"/>
      <c r="AH8" s="8"/>
      <c r="AI8" s="8"/>
      <c r="AJ8" s="8"/>
      <c r="AK8" s="8"/>
    </row>
    <row r="9" spans="1:43" ht="23.1" customHeight="1" x14ac:dyDescent="0.25">
      <c r="A9" s="8"/>
      <c r="B9" s="19" t="s">
        <v>9</v>
      </c>
      <c r="C9" s="19" t="s">
        <v>1</v>
      </c>
      <c r="D9" s="20">
        <v>45356</v>
      </c>
      <c r="E9" s="21">
        <v>168.89681625699998</v>
      </c>
      <c r="F9" s="21">
        <v>244.29170031599998</v>
      </c>
      <c r="G9" s="19">
        <v>13</v>
      </c>
      <c r="H9" s="19" t="s">
        <v>10</v>
      </c>
      <c r="I9" s="19">
        <v>2</v>
      </c>
      <c r="J9" s="22">
        <f t="shared" si="10"/>
        <v>0.4463961235614779</v>
      </c>
      <c r="K9" s="23" t="str">
        <f t="shared" si="1"/>
        <v>Hedef Gerçekleşti</v>
      </c>
      <c r="L9" s="24" t="e" vm="3">
        <f>IF(K9="","",$AI$3)</f>
        <v>#VALUE!</v>
      </c>
      <c r="M9" s="22">
        <f t="shared" si="3"/>
        <v>1</v>
      </c>
      <c r="N9" s="22" t="str">
        <f t="shared" si="4"/>
        <v/>
      </c>
      <c r="O9" s="25"/>
      <c r="P9" s="19" t="s">
        <v>9</v>
      </c>
      <c r="Q9" s="19" t="s">
        <v>1</v>
      </c>
      <c r="R9" s="20">
        <v>45356</v>
      </c>
      <c r="S9" s="21">
        <v>168.89681625699998</v>
      </c>
      <c r="T9" s="21">
        <v>244.29170031599998</v>
      </c>
      <c r="U9" s="19">
        <v>13</v>
      </c>
      <c r="V9" s="19" t="s">
        <v>10</v>
      </c>
      <c r="W9" s="19">
        <v>2</v>
      </c>
      <c r="X9" s="22">
        <f t="shared" si="11"/>
        <v>0.4463961235614779</v>
      </c>
      <c r="Y9" s="23" t="str">
        <f t="shared" si="6"/>
        <v>Hedef Gerçekleşti</v>
      </c>
      <c r="Z9" s="24" t="e" vm="3">
        <f>IF(Y9="","",$AI$3)</f>
        <v>#VALUE!</v>
      </c>
      <c r="AA9" s="22">
        <f t="shared" si="8"/>
        <v>1</v>
      </c>
      <c r="AB9" s="22" t="str">
        <f t="shared" si="9"/>
        <v/>
      </c>
      <c r="AC9" s="8"/>
      <c r="AD9" s="8"/>
      <c r="AE9" s="8">
        <v>260</v>
      </c>
      <c r="AF9" s="8">
        <v>222</v>
      </c>
      <c r="AG9" s="8"/>
      <c r="AH9" s="8"/>
      <c r="AI9" s="8"/>
      <c r="AJ9" s="8"/>
      <c r="AK9" s="8"/>
      <c r="AQ9" s="7"/>
    </row>
    <row r="10" spans="1:43" ht="23.1" customHeight="1" x14ac:dyDescent="0.25">
      <c r="A10" s="8"/>
      <c r="B10" s="19" t="s">
        <v>9</v>
      </c>
      <c r="C10" s="19" t="s">
        <v>1</v>
      </c>
      <c r="D10" s="20">
        <v>45614</v>
      </c>
      <c r="E10" s="21">
        <v>236.2</v>
      </c>
      <c r="F10" s="21">
        <v>334.42</v>
      </c>
      <c r="G10" s="19">
        <v>41</v>
      </c>
      <c r="H10" s="19" t="s">
        <v>11</v>
      </c>
      <c r="I10" s="19">
        <v>1</v>
      </c>
      <c r="J10" s="22">
        <f t="shared" si="10"/>
        <v>0.41583403895004245</v>
      </c>
      <c r="K10" s="23" t="str">
        <f t="shared" si="1"/>
        <v/>
      </c>
      <c r="L10" s="24" t="str">
        <f t="shared" ref="L10:L18" si="12">IF(K10="","",$AI$3)</f>
        <v/>
      </c>
      <c r="M10" s="22">
        <f t="shared" si="3"/>
        <v>1.5241320914479353E-2</v>
      </c>
      <c r="N10" s="22">
        <f t="shared" si="4"/>
        <v>-6.0118543607112572E-2</v>
      </c>
      <c r="O10" s="25"/>
      <c r="P10" s="19" t="s">
        <v>9</v>
      </c>
      <c r="Q10" s="19" t="s">
        <v>1</v>
      </c>
      <c r="R10" s="20">
        <v>45614</v>
      </c>
      <c r="S10" s="21">
        <v>236.2</v>
      </c>
      <c r="T10" s="21">
        <v>334.42</v>
      </c>
      <c r="U10" s="19">
        <v>41</v>
      </c>
      <c r="V10" s="19" t="s">
        <v>11</v>
      </c>
      <c r="W10" s="19">
        <v>1</v>
      </c>
      <c r="X10" s="22">
        <f t="shared" si="11"/>
        <v>0.41583403895004245</v>
      </c>
      <c r="Y10" s="23" t="str">
        <f t="shared" si="6"/>
        <v/>
      </c>
      <c r="Z10" s="24" t="str">
        <f t="shared" ref="Z10:Z18" si="13">IF(Y10="","",$AI$3)</f>
        <v/>
      </c>
      <c r="AA10" s="22">
        <f t="shared" si="8"/>
        <v>1.5241320914479353E-2</v>
      </c>
      <c r="AB10" s="22">
        <f t="shared" si="9"/>
        <v>-6.0118543607112572E-2</v>
      </c>
      <c r="AC10" s="8"/>
      <c r="AD10" s="8"/>
      <c r="AE10" s="8">
        <v>239.8</v>
      </c>
      <c r="AF10" s="8">
        <v>222</v>
      </c>
      <c r="AG10" s="8"/>
      <c r="AH10" s="8"/>
      <c r="AI10" s="8"/>
      <c r="AJ10" s="8"/>
      <c r="AK10" s="8"/>
    </row>
    <row r="11" spans="1:43" ht="23.1" customHeight="1" x14ac:dyDescent="0.25">
      <c r="A11" s="8"/>
      <c r="B11" s="19" t="s">
        <v>12</v>
      </c>
      <c r="C11" s="19" t="s">
        <v>1</v>
      </c>
      <c r="D11" s="20">
        <v>45611</v>
      </c>
      <c r="E11" s="21">
        <v>292</v>
      </c>
      <c r="F11" s="21">
        <v>425.96</v>
      </c>
      <c r="G11" s="19">
        <v>43</v>
      </c>
      <c r="H11" s="19" t="s">
        <v>13</v>
      </c>
      <c r="I11" s="19">
        <v>1</v>
      </c>
      <c r="J11" s="22">
        <f t="shared" si="10"/>
        <v>0.45876712328767116</v>
      </c>
      <c r="K11" s="23" t="str">
        <f t="shared" si="1"/>
        <v/>
      </c>
      <c r="L11" s="24" t="str">
        <f t="shared" si="12"/>
        <v/>
      </c>
      <c r="M11" s="22">
        <f t="shared" si="3"/>
        <v>1.4554794520547944E-2</v>
      </c>
      <c r="N11" s="22">
        <f t="shared" si="4"/>
        <v>-3.4246575342465752E-3</v>
      </c>
      <c r="O11" s="25"/>
      <c r="P11" s="19" t="s">
        <v>12</v>
      </c>
      <c r="Q11" s="19" t="s">
        <v>1</v>
      </c>
      <c r="R11" s="20">
        <v>45611</v>
      </c>
      <c r="S11" s="21">
        <v>292</v>
      </c>
      <c r="T11" s="21">
        <v>425.96</v>
      </c>
      <c r="U11" s="19">
        <v>43</v>
      </c>
      <c r="V11" s="19" t="s">
        <v>13</v>
      </c>
      <c r="W11" s="19">
        <v>1</v>
      </c>
      <c r="X11" s="22">
        <f t="shared" si="11"/>
        <v>0.45876712328767116</v>
      </c>
      <c r="Y11" s="23" t="str">
        <f t="shared" si="6"/>
        <v/>
      </c>
      <c r="Z11" s="24" t="str">
        <f t="shared" si="13"/>
        <v/>
      </c>
      <c r="AA11" s="22">
        <f t="shared" si="8"/>
        <v>1.4554794520547944E-2</v>
      </c>
      <c r="AB11" s="22">
        <f t="shared" si="9"/>
        <v>-3.4246575342465752E-3</v>
      </c>
      <c r="AC11" s="8"/>
      <c r="AD11" s="8"/>
      <c r="AE11" s="8">
        <v>296.25</v>
      </c>
      <c r="AF11" s="8">
        <v>291</v>
      </c>
      <c r="AG11" s="8"/>
      <c r="AH11" s="8"/>
      <c r="AI11" s="8"/>
      <c r="AJ11" s="8"/>
      <c r="AK11" s="8"/>
    </row>
    <row r="12" spans="1:43" ht="23.1" customHeight="1" x14ac:dyDescent="0.25">
      <c r="A12" s="8"/>
      <c r="B12" s="19" t="s">
        <v>14</v>
      </c>
      <c r="C12" s="19" t="s">
        <v>1</v>
      </c>
      <c r="D12" s="20">
        <v>45604</v>
      </c>
      <c r="E12" s="21">
        <v>90.2</v>
      </c>
      <c r="F12" s="21">
        <v>132.88</v>
      </c>
      <c r="G12" s="19">
        <v>46</v>
      </c>
      <c r="H12" s="19" t="s">
        <v>15</v>
      </c>
      <c r="I12" s="19">
        <v>1</v>
      </c>
      <c r="J12" s="22">
        <f t="shared" si="10"/>
        <v>0.47317073170731699</v>
      </c>
      <c r="K12" s="23" t="str">
        <f t="shared" si="1"/>
        <v/>
      </c>
      <c r="L12" s="24" t="str">
        <f t="shared" si="12"/>
        <v/>
      </c>
      <c r="M12" s="22">
        <f t="shared" si="3"/>
        <v>6.4301552106430127E-2</v>
      </c>
      <c r="N12" s="22">
        <f t="shared" si="4"/>
        <v>3.7139689578713907E-2</v>
      </c>
      <c r="O12" s="25"/>
      <c r="P12" s="19" t="s">
        <v>14</v>
      </c>
      <c r="Q12" s="19" t="s">
        <v>1</v>
      </c>
      <c r="R12" s="20">
        <v>45604</v>
      </c>
      <c r="S12" s="21">
        <v>90.2</v>
      </c>
      <c r="T12" s="21">
        <v>132.88</v>
      </c>
      <c r="U12" s="19">
        <v>46</v>
      </c>
      <c r="V12" s="19" t="s">
        <v>15</v>
      </c>
      <c r="W12" s="19">
        <v>1</v>
      </c>
      <c r="X12" s="22">
        <f t="shared" si="11"/>
        <v>0.47317073170731699</v>
      </c>
      <c r="Y12" s="23" t="str">
        <f t="shared" si="6"/>
        <v/>
      </c>
      <c r="Z12" s="24" t="str">
        <f t="shared" si="13"/>
        <v/>
      </c>
      <c r="AA12" s="22">
        <f t="shared" si="8"/>
        <v>6.4301552106430127E-2</v>
      </c>
      <c r="AB12" s="22">
        <f t="shared" si="9"/>
        <v>3.7139689578713907E-2</v>
      </c>
      <c r="AC12" s="8"/>
      <c r="AD12" s="8"/>
      <c r="AE12" s="8">
        <v>96</v>
      </c>
      <c r="AF12" s="8">
        <v>93.55</v>
      </c>
      <c r="AG12" s="8"/>
      <c r="AH12" s="8"/>
      <c r="AI12" s="8"/>
      <c r="AJ12" s="8"/>
      <c r="AK12" s="8"/>
    </row>
    <row r="13" spans="1:43" ht="23.1" customHeight="1" x14ac:dyDescent="0.25">
      <c r="A13" s="8"/>
      <c r="B13" s="19" t="s">
        <v>16</v>
      </c>
      <c r="C13" s="19" t="s">
        <v>1</v>
      </c>
      <c r="D13" s="20">
        <v>45345</v>
      </c>
      <c r="E13" s="21">
        <v>23.25</v>
      </c>
      <c r="F13" s="21">
        <v>28.225000000000001</v>
      </c>
      <c r="G13" s="19">
        <v>10</v>
      </c>
      <c r="H13" s="19" t="s">
        <v>17</v>
      </c>
      <c r="I13" s="19">
        <v>2</v>
      </c>
      <c r="J13" s="22">
        <f t="shared" si="10"/>
        <v>0.21397849462365598</v>
      </c>
      <c r="K13" s="23" t="str">
        <f t="shared" si="1"/>
        <v>Hedef Gerçekleşti</v>
      </c>
      <c r="L13" s="24" t="e" vm="3">
        <f t="shared" si="12"/>
        <v>#VALUE!</v>
      </c>
      <c r="M13" s="22">
        <f t="shared" si="3"/>
        <v>1</v>
      </c>
      <c r="N13" s="22" t="str">
        <f t="shared" si="4"/>
        <v/>
      </c>
      <c r="O13" s="25"/>
      <c r="P13" s="19" t="s">
        <v>16</v>
      </c>
      <c r="Q13" s="19" t="s">
        <v>1</v>
      </c>
      <c r="R13" s="20">
        <v>45345</v>
      </c>
      <c r="S13" s="21">
        <v>23.25</v>
      </c>
      <c r="T13" s="21">
        <v>28.225000000000001</v>
      </c>
      <c r="U13" s="19">
        <v>10</v>
      </c>
      <c r="V13" s="19" t="s">
        <v>17</v>
      </c>
      <c r="W13" s="19">
        <v>2</v>
      </c>
      <c r="X13" s="22">
        <f t="shared" si="11"/>
        <v>0.21397849462365598</v>
      </c>
      <c r="Y13" s="23" t="str">
        <f t="shared" si="6"/>
        <v>Hedef Gerçekleşti</v>
      </c>
      <c r="Z13" s="24" t="e" vm="3">
        <f t="shared" si="13"/>
        <v>#VALUE!</v>
      </c>
      <c r="AA13" s="22">
        <f t="shared" si="8"/>
        <v>1</v>
      </c>
      <c r="AB13" s="22" t="str">
        <f t="shared" si="9"/>
        <v/>
      </c>
      <c r="AC13" s="8"/>
      <c r="AD13" s="8"/>
      <c r="AE13" s="8">
        <v>30.12</v>
      </c>
      <c r="AF13" s="8">
        <v>26.16</v>
      </c>
      <c r="AG13" s="8"/>
      <c r="AH13" s="8"/>
      <c r="AI13" s="8"/>
      <c r="AJ13" s="8"/>
      <c r="AK13" s="8"/>
    </row>
    <row r="14" spans="1:43" ht="23.1" customHeight="1" x14ac:dyDescent="0.25">
      <c r="A14" s="8"/>
      <c r="B14" s="19" t="s">
        <v>16</v>
      </c>
      <c r="C14" s="19" t="s">
        <v>1</v>
      </c>
      <c r="D14" s="20">
        <v>45588</v>
      </c>
      <c r="E14" s="21">
        <v>24.06</v>
      </c>
      <c r="F14" s="21">
        <v>29.23</v>
      </c>
      <c r="G14" s="19">
        <v>31</v>
      </c>
      <c r="H14" s="19" t="s">
        <v>18</v>
      </c>
      <c r="I14" s="19">
        <v>1</v>
      </c>
      <c r="J14" s="22">
        <f t="shared" si="10"/>
        <v>0.21487946799667507</v>
      </c>
      <c r="K14" s="23" t="str">
        <f t="shared" si="1"/>
        <v/>
      </c>
      <c r="L14" s="24" t="str">
        <f t="shared" si="12"/>
        <v/>
      </c>
      <c r="M14" s="22">
        <f t="shared" si="3"/>
        <v>8.8944305901911921E-2</v>
      </c>
      <c r="N14" s="22">
        <f t="shared" si="4"/>
        <v>8.7281795511222005E-2</v>
      </c>
      <c r="O14" s="25"/>
      <c r="P14" s="19" t="s">
        <v>16</v>
      </c>
      <c r="Q14" s="19" t="s">
        <v>1</v>
      </c>
      <c r="R14" s="20">
        <v>45588</v>
      </c>
      <c r="S14" s="21">
        <v>24.06</v>
      </c>
      <c r="T14" s="21">
        <v>29.23</v>
      </c>
      <c r="U14" s="19">
        <v>31</v>
      </c>
      <c r="V14" s="19" t="s">
        <v>18</v>
      </c>
      <c r="W14" s="19">
        <v>1</v>
      </c>
      <c r="X14" s="22">
        <f t="shared" si="11"/>
        <v>0.21487946799667507</v>
      </c>
      <c r="Y14" s="23" t="str">
        <f t="shared" si="6"/>
        <v/>
      </c>
      <c r="Z14" s="24" t="str">
        <f t="shared" si="13"/>
        <v/>
      </c>
      <c r="AA14" s="22">
        <f t="shared" si="8"/>
        <v>8.8944305901911921E-2</v>
      </c>
      <c r="AB14" s="22">
        <f t="shared" si="9"/>
        <v>8.7281795511222005E-2</v>
      </c>
      <c r="AC14" s="8"/>
      <c r="AD14" s="8"/>
      <c r="AE14" s="8">
        <v>26.2</v>
      </c>
      <c r="AF14" s="8">
        <v>26.16</v>
      </c>
      <c r="AG14" s="8"/>
      <c r="AH14" s="8"/>
      <c r="AI14" s="8"/>
      <c r="AJ14" s="8"/>
      <c r="AK14" s="8"/>
    </row>
    <row r="15" spans="1:43" ht="23.1" customHeight="1" x14ac:dyDescent="0.25">
      <c r="A15" s="8"/>
      <c r="B15" s="19" t="s">
        <v>19</v>
      </c>
      <c r="C15" s="19" t="s">
        <v>1</v>
      </c>
      <c r="D15" s="20">
        <v>45604</v>
      </c>
      <c r="E15" s="21">
        <v>1048</v>
      </c>
      <c r="F15" s="21">
        <v>1243.9000000000001</v>
      </c>
      <c r="G15" s="19">
        <v>37</v>
      </c>
      <c r="H15" s="19" t="s">
        <v>20</v>
      </c>
      <c r="I15" s="19">
        <v>1</v>
      </c>
      <c r="J15" s="22">
        <f t="shared" si="10"/>
        <v>0.18692748091603062</v>
      </c>
      <c r="K15" s="23" t="str">
        <f t="shared" si="1"/>
        <v/>
      </c>
      <c r="L15" s="24" t="str">
        <f t="shared" si="12"/>
        <v/>
      </c>
      <c r="M15" s="22">
        <f t="shared" si="3"/>
        <v>6.5839694656488548E-2</v>
      </c>
      <c r="N15" s="22">
        <f t="shared" si="4"/>
        <v>-4.5801526717557252E-2</v>
      </c>
      <c r="O15" s="25"/>
      <c r="P15" s="19" t="s">
        <v>19</v>
      </c>
      <c r="Q15" s="19" t="s">
        <v>1</v>
      </c>
      <c r="R15" s="20">
        <v>45604</v>
      </c>
      <c r="S15" s="21">
        <v>1048</v>
      </c>
      <c r="T15" s="21">
        <v>1243.9000000000001</v>
      </c>
      <c r="U15" s="19">
        <v>37</v>
      </c>
      <c r="V15" s="19" t="s">
        <v>20</v>
      </c>
      <c r="W15" s="19">
        <v>1</v>
      </c>
      <c r="X15" s="22">
        <f t="shared" si="11"/>
        <v>0.18692748091603062</v>
      </c>
      <c r="Y15" s="23" t="str">
        <f t="shared" si="6"/>
        <v/>
      </c>
      <c r="Z15" s="24" t="str">
        <f t="shared" si="13"/>
        <v/>
      </c>
      <c r="AA15" s="22">
        <f t="shared" si="8"/>
        <v>6.5839694656488548E-2</v>
      </c>
      <c r="AB15" s="22">
        <f t="shared" si="9"/>
        <v>-4.5801526717557252E-2</v>
      </c>
      <c r="AC15" s="8"/>
      <c r="AD15" s="8"/>
      <c r="AE15" s="8">
        <v>1117</v>
      </c>
      <c r="AF15" s="8">
        <v>1000</v>
      </c>
      <c r="AG15" s="8"/>
      <c r="AH15" s="8"/>
      <c r="AI15" s="8"/>
      <c r="AJ15" s="8"/>
      <c r="AK15" s="8"/>
    </row>
    <row r="16" spans="1:43" ht="23.1" customHeight="1" x14ac:dyDescent="0.25">
      <c r="A16" s="8"/>
      <c r="B16" s="19" t="s">
        <v>21</v>
      </c>
      <c r="C16" s="19" t="s">
        <v>1</v>
      </c>
      <c r="D16" s="20">
        <v>45298</v>
      </c>
      <c r="E16" s="21">
        <v>16.399999999999999</v>
      </c>
      <c r="F16" s="21">
        <v>27.16</v>
      </c>
      <c r="G16" s="19">
        <v>1</v>
      </c>
      <c r="H16" s="19" t="s">
        <v>22</v>
      </c>
      <c r="I16" s="19">
        <v>1</v>
      </c>
      <c r="J16" s="22">
        <f t="shared" si="10"/>
        <v>0.65609756097560989</v>
      </c>
      <c r="K16" s="23" t="str">
        <f t="shared" si="1"/>
        <v/>
      </c>
      <c r="L16" s="24" t="str">
        <f t="shared" si="12"/>
        <v/>
      </c>
      <c r="M16" s="22">
        <f t="shared" si="3"/>
        <v>0.50853658536585367</v>
      </c>
      <c r="N16" s="22">
        <f t="shared" si="4"/>
        <v>4.8170731707317241E-2</v>
      </c>
      <c r="O16" s="25"/>
      <c r="P16" s="19" t="s">
        <v>21</v>
      </c>
      <c r="Q16" s="19" t="s">
        <v>1</v>
      </c>
      <c r="R16" s="20">
        <v>45298</v>
      </c>
      <c r="S16" s="21">
        <v>16.399999999999999</v>
      </c>
      <c r="T16" s="21">
        <v>27.16</v>
      </c>
      <c r="U16" s="19">
        <v>1</v>
      </c>
      <c r="V16" s="19" t="s">
        <v>22</v>
      </c>
      <c r="W16" s="19">
        <v>1</v>
      </c>
      <c r="X16" s="22">
        <f t="shared" si="11"/>
        <v>0.65609756097560989</v>
      </c>
      <c r="Y16" s="23" t="str">
        <f t="shared" si="6"/>
        <v/>
      </c>
      <c r="Z16" s="24" t="str">
        <f t="shared" si="13"/>
        <v/>
      </c>
      <c r="AA16" s="22">
        <f t="shared" si="8"/>
        <v>0.50853658536585367</v>
      </c>
      <c r="AB16" s="22">
        <f t="shared" si="9"/>
        <v>4.8170731707317241E-2</v>
      </c>
      <c r="AC16" s="8"/>
      <c r="AD16" s="8"/>
      <c r="AE16" s="8">
        <v>24.74</v>
      </c>
      <c r="AF16" s="8">
        <v>17.190000000000001</v>
      </c>
      <c r="AG16" s="8"/>
      <c r="AH16" s="8"/>
      <c r="AI16" s="8"/>
      <c r="AJ16" s="8"/>
      <c r="AK16" s="8"/>
    </row>
    <row r="17" spans="1:37" ht="23.1" customHeight="1" x14ac:dyDescent="0.25">
      <c r="A17" s="8"/>
      <c r="B17" s="19" t="s">
        <v>23</v>
      </c>
      <c r="C17" s="19" t="s">
        <v>1</v>
      </c>
      <c r="D17" s="20">
        <v>45590</v>
      </c>
      <c r="E17" s="21">
        <v>32.86</v>
      </c>
      <c r="F17" s="21">
        <v>48.35</v>
      </c>
      <c r="G17" s="19">
        <v>12</v>
      </c>
      <c r="H17" s="19" t="s">
        <v>24</v>
      </c>
      <c r="I17" s="19">
        <v>1</v>
      </c>
      <c r="J17" s="22">
        <f t="shared" si="10"/>
        <v>0.4713937918441875</v>
      </c>
      <c r="K17" s="23" t="str">
        <f t="shared" si="1"/>
        <v/>
      </c>
      <c r="L17" s="24" t="str">
        <f t="shared" si="12"/>
        <v/>
      </c>
      <c r="M17" s="22">
        <f t="shared" si="3"/>
        <v>0.23797930614729154</v>
      </c>
      <c r="N17" s="22">
        <f t="shared" si="4"/>
        <v>0.22458916615946448</v>
      </c>
      <c r="O17" s="25"/>
      <c r="P17" s="19" t="s">
        <v>23</v>
      </c>
      <c r="Q17" s="19" t="s">
        <v>1</v>
      </c>
      <c r="R17" s="20">
        <v>45590</v>
      </c>
      <c r="S17" s="21">
        <v>32.86</v>
      </c>
      <c r="T17" s="21">
        <v>48.35</v>
      </c>
      <c r="U17" s="19">
        <v>12</v>
      </c>
      <c r="V17" s="19" t="s">
        <v>24</v>
      </c>
      <c r="W17" s="19">
        <v>1</v>
      </c>
      <c r="X17" s="22">
        <f t="shared" si="11"/>
        <v>0.4713937918441875</v>
      </c>
      <c r="Y17" s="23" t="str">
        <f t="shared" si="6"/>
        <v/>
      </c>
      <c r="Z17" s="24" t="str">
        <f t="shared" si="13"/>
        <v/>
      </c>
      <c r="AA17" s="22">
        <f t="shared" si="8"/>
        <v>0.23797930614729154</v>
      </c>
      <c r="AB17" s="22">
        <f t="shared" si="9"/>
        <v>0.22458916615946448</v>
      </c>
      <c r="AC17" s="8"/>
      <c r="AD17" s="8"/>
      <c r="AE17" s="8">
        <v>40.68</v>
      </c>
      <c r="AF17" s="8">
        <v>40.24</v>
      </c>
      <c r="AG17" s="8"/>
      <c r="AH17" s="8"/>
      <c r="AI17" s="8"/>
      <c r="AJ17" s="8"/>
      <c r="AK17" s="8"/>
    </row>
    <row r="18" spans="1:37" ht="23.1" customHeight="1" x14ac:dyDescent="0.25">
      <c r="A18" s="8"/>
      <c r="B18" s="19" t="s">
        <v>25</v>
      </c>
      <c r="C18" s="19" t="s">
        <v>1</v>
      </c>
      <c r="D18" s="20">
        <v>45596</v>
      </c>
      <c r="E18" s="21">
        <v>79.400000000000006</v>
      </c>
      <c r="F18" s="21">
        <v>115.64</v>
      </c>
      <c r="G18" s="19">
        <v>7</v>
      </c>
      <c r="H18" s="19" t="s">
        <v>26</v>
      </c>
      <c r="I18" s="19">
        <v>1</v>
      </c>
      <c r="J18" s="22">
        <f t="shared" si="10"/>
        <v>0.45642317380352637</v>
      </c>
      <c r="K18" s="23" t="str">
        <f t="shared" si="1"/>
        <v/>
      </c>
      <c r="L18" s="24" t="str">
        <f t="shared" si="12"/>
        <v/>
      </c>
      <c r="M18" s="22">
        <f t="shared" si="3"/>
        <v>0.25755667506297214</v>
      </c>
      <c r="N18" s="22">
        <f t="shared" si="4"/>
        <v>0.1964735516372795</v>
      </c>
      <c r="O18" s="25"/>
      <c r="P18" s="19" t="s">
        <v>25</v>
      </c>
      <c r="Q18" s="19" t="s">
        <v>1</v>
      </c>
      <c r="R18" s="20">
        <v>45596</v>
      </c>
      <c r="S18" s="21">
        <v>79.400000000000006</v>
      </c>
      <c r="T18" s="21">
        <v>115.64</v>
      </c>
      <c r="U18" s="19">
        <v>7</v>
      </c>
      <c r="V18" s="19" t="s">
        <v>26</v>
      </c>
      <c r="W18" s="19">
        <v>1</v>
      </c>
      <c r="X18" s="22">
        <f t="shared" si="11"/>
        <v>0.45642317380352637</v>
      </c>
      <c r="Y18" s="23" t="str">
        <f t="shared" si="6"/>
        <v/>
      </c>
      <c r="Z18" s="24" t="str">
        <f t="shared" si="13"/>
        <v/>
      </c>
      <c r="AA18" s="22">
        <f t="shared" si="8"/>
        <v>0.25755667506297214</v>
      </c>
      <c r="AB18" s="22">
        <f t="shared" si="9"/>
        <v>0.1964735516372795</v>
      </c>
      <c r="AC18" s="8"/>
      <c r="AD18" s="8"/>
      <c r="AE18" s="8">
        <v>99.85</v>
      </c>
      <c r="AF18" s="8">
        <v>95</v>
      </c>
      <c r="AG18" s="8"/>
      <c r="AH18" s="8"/>
      <c r="AI18" s="8"/>
      <c r="AJ18" s="8"/>
      <c r="AK18" s="8"/>
    </row>
    <row r="19" spans="1:37" ht="6.75" customHeight="1" x14ac:dyDescent="0.25">
      <c r="A19" s="8"/>
      <c r="B19" s="8"/>
      <c r="C19" s="8"/>
      <c r="D19" s="9"/>
      <c r="E19" s="14"/>
      <c r="F19" s="14"/>
      <c r="G19" s="8"/>
      <c r="H19" s="8"/>
      <c r="I19" s="8"/>
      <c r="J19" s="8"/>
      <c r="K19" s="10"/>
      <c r="L19" s="11"/>
      <c r="M19" s="12"/>
      <c r="N19" s="12"/>
      <c r="O19" s="8"/>
      <c r="P19" s="8"/>
      <c r="Q19" s="8"/>
      <c r="R19" s="9"/>
      <c r="S19" s="14"/>
      <c r="T19" s="14"/>
      <c r="U19" s="8"/>
      <c r="V19" s="8"/>
      <c r="W19" s="8"/>
      <c r="X19" s="8"/>
      <c r="Y19" s="10"/>
      <c r="Z19" s="11"/>
      <c r="AA19" s="12"/>
      <c r="AB19" s="12"/>
      <c r="AC19" s="8"/>
      <c r="AD19" s="8"/>
      <c r="AE19" s="8"/>
      <c r="AF19" s="8"/>
      <c r="AG19" s="8"/>
      <c r="AH19" s="8"/>
      <c r="AI19" s="8"/>
      <c r="AJ19" s="8"/>
      <c r="AK19" s="8"/>
    </row>
    <row r="20" spans="1:37" ht="21" customHeight="1" x14ac:dyDescent="0.25">
      <c r="A20" s="8"/>
      <c r="B20" s="8"/>
      <c r="C20" s="8"/>
      <c r="D20" s="9"/>
      <c r="E20" s="14"/>
      <c r="F20" s="14"/>
      <c r="G20" s="8"/>
      <c r="H20" s="8"/>
      <c r="I20" s="8"/>
      <c r="J20" s="8"/>
      <c r="K20" s="10"/>
      <c r="L20" s="11"/>
      <c r="M20" s="12"/>
      <c r="N20" s="12"/>
      <c r="O20" s="8"/>
      <c r="P20" s="8"/>
      <c r="Q20" s="8"/>
      <c r="R20" s="9"/>
      <c r="S20" s="14"/>
      <c r="T20" s="14"/>
      <c r="U20" s="8"/>
      <c r="V20" s="8"/>
      <c r="W20" s="8"/>
      <c r="X20" s="8"/>
      <c r="Y20" s="10"/>
      <c r="Z20" s="11"/>
      <c r="AA20" s="12"/>
      <c r="AB20" s="12"/>
      <c r="AC20" s="8"/>
      <c r="AD20" s="8"/>
      <c r="AE20" s="8"/>
      <c r="AF20" s="8"/>
      <c r="AG20" s="8"/>
      <c r="AH20" s="8"/>
      <c r="AI20" s="8"/>
      <c r="AJ20" s="8"/>
      <c r="AK20" s="8"/>
    </row>
    <row r="21" spans="1:37" ht="21" customHeight="1" x14ac:dyDescent="0.25">
      <c r="A21" s="8"/>
      <c r="B21" s="8"/>
      <c r="C21" s="8"/>
      <c r="D21" s="9"/>
      <c r="E21" s="14"/>
      <c r="F21" s="14"/>
      <c r="G21" s="8"/>
      <c r="H21" s="8"/>
      <c r="I21" s="8"/>
      <c r="J21" s="8"/>
      <c r="K21" s="10"/>
      <c r="L21" s="11"/>
      <c r="M21" s="12"/>
      <c r="N21" s="12"/>
      <c r="O21" s="8"/>
      <c r="P21" s="8"/>
      <c r="Q21" s="8"/>
      <c r="R21" s="9"/>
      <c r="S21" s="14"/>
      <c r="T21" s="14"/>
      <c r="U21" s="8"/>
      <c r="V21" s="8"/>
      <c r="W21" s="8"/>
      <c r="X21" s="8"/>
      <c r="Y21" s="10"/>
      <c r="Z21" s="11"/>
      <c r="AA21" s="12"/>
      <c r="AB21" s="12"/>
      <c r="AC21" s="8"/>
      <c r="AD21" s="8"/>
      <c r="AE21" s="8"/>
      <c r="AF21" s="8"/>
      <c r="AG21" s="8"/>
      <c r="AH21" s="8"/>
      <c r="AI21" s="8"/>
      <c r="AJ21" s="8"/>
      <c r="AK21" s="8"/>
    </row>
    <row r="22" spans="1:37" ht="21" customHeight="1" x14ac:dyDescent="0.25">
      <c r="A22" s="8"/>
      <c r="B22" s="8"/>
      <c r="C22" s="8"/>
      <c r="D22" s="9"/>
      <c r="E22" s="14"/>
      <c r="F22" s="14"/>
      <c r="G22" s="8"/>
      <c r="H22" s="8"/>
      <c r="I22" s="8"/>
      <c r="J22" s="8"/>
      <c r="K22" s="10"/>
      <c r="L22" s="11"/>
      <c r="M22" s="12"/>
      <c r="N22" s="12"/>
      <c r="O22" s="8"/>
      <c r="P22" s="8"/>
      <c r="Q22" s="8"/>
      <c r="R22" s="9"/>
      <c r="S22" s="14"/>
      <c r="T22" s="14"/>
      <c r="U22" s="8"/>
      <c r="V22" s="8"/>
      <c r="W22" s="8"/>
      <c r="X22" s="8"/>
      <c r="Y22" s="10"/>
      <c r="Z22" s="11"/>
      <c r="AA22" s="12"/>
      <c r="AB22" s="12"/>
      <c r="AC22" s="8"/>
      <c r="AD22" s="8"/>
      <c r="AE22" s="8"/>
      <c r="AF22" s="8"/>
      <c r="AG22" s="8"/>
      <c r="AH22" s="8"/>
      <c r="AI22" s="8"/>
      <c r="AJ22" s="8"/>
      <c r="AK22" s="8"/>
    </row>
    <row r="23" spans="1:37" ht="21" customHeight="1" x14ac:dyDescent="0.25">
      <c r="A23" s="8"/>
      <c r="B23" s="8"/>
      <c r="C23" s="8"/>
      <c r="D23" s="9"/>
      <c r="E23" s="14"/>
      <c r="F23" s="14"/>
      <c r="G23" s="8"/>
      <c r="H23" s="8"/>
      <c r="I23" s="8"/>
      <c r="J23" s="8"/>
      <c r="K23" s="10"/>
      <c r="L23" s="11"/>
      <c r="M23" s="12"/>
      <c r="N23" s="12"/>
      <c r="O23" s="8"/>
      <c r="P23" s="8"/>
      <c r="Q23" s="8"/>
      <c r="R23" s="9"/>
      <c r="S23" s="14"/>
      <c r="T23" s="14"/>
      <c r="U23" s="8"/>
      <c r="V23" s="8"/>
      <c r="W23" s="8"/>
      <c r="X23" s="8"/>
      <c r="Y23" s="10"/>
      <c r="Z23" s="11"/>
      <c r="AA23" s="12"/>
      <c r="AB23" s="12"/>
      <c r="AC23" s="8"/>
      <c r="AD23" s="8"/>
      <c r="AE23" s="8"/>
      <c r="AF23" s="8"/>
      <c r="AG23" s="8"/>
      <c r="AH23" s="8"/>
      <c r="AI23" s="8"/>
      <c r="AJ23" s="8"/>
      <c r="AK23" s="8"/>
    </row>
  </sheetData>
  <mergeCells count="6">
    <mergeCell ref="K4:L4"/>
    <mergeCell ref="B2:D2"/>
    <mergeCell ref="E2:M2"/>
    <mergeCell ref="P2:R2"/>
    <mergeCell ref="S2:AA2"/>
    <mergeCell ref="Y4:Z4"/>
  </mergeCells>
  <conditionalFormatting sqref="B5:N18">
    <cfRule type="expression" dxfId="26" priority="4">
      <formula>$I5=2</formula>
    </cfRule>
    <cfRule type="expression" dxfId="25" priority="5">
      <formula>$M5=1</formula>
    </cfRule>
    <cfRule type="expression" dxfId="24" priority="6">
      <formula>$I5=2</formula>
    </cfRule>
  </conditionalFormatting>
  <conditionalFormatting sqref="P5:AB18">
    <cfRule type="expression" dxfId="23" priority="1">
      <formula>$I5=2</formula>
    </cfRule>
    <cfRule type="expression" dxfId="22" priority="2">
      <formula>$M5=1</formula>
    </cfRule>
    <cfRule type="expression" dxfId="21" priority="3">
      <formula>$I5=2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DD6-420B-4857-8F0C-0A1C46429DD2}">
  <dimension ref="A1:AS60"/>
  <sheetViews>
    <sheetView showGridLines="0" tabSelected="1" topLeftCell="A7" zoomScale="85" zoomScaleNormal="85" workbookViewId="0">
      <selection activeCell="AH27" sqref="AH27"/>
    </sheetView>
  </sheetViews>
  <sheetFormatPr defaultRowHeight="21" customHeight="1" x14ac:dyDescent="0.25"/>
  <cols>
    <col min="1" max="1" width="1.140625" style="1" customWidth="1"/>
    <col min="2" max="2" width="11.42578125" style="1" customWidth="1"/>
    <col min="3" max="3" width="15.7109375" style="1" hidden="1" customWidth="1"/>
    <col min="4" max="4" width="15.28515625" style="2" customWidth="1"/>
    <col min="5" max="6" width="15.5703125" style="15" customWidth="1"/>
    <col min="7" max="9" width="9.140625" style="1" hidden="1" customWidth="1"/>
    <col min="10" max="10" width="13.42578125" style="1" customWidth="1"/>
    <col min="11" max="11" width="17.7109375" style="3" bestFit="1" customWidth="1"/>
    <col min="12" max="12" width="4.7109375" style="4" customWidth="1"/>
    <col min="13" max="14" width="12.140625" style="6" customWidth="1"/>
    <col min="15" max="15" width="1.28515625" style="1" customWidth="1"/>
    <col min="16" max="16" width="11.42578125" style="1" customWidth="1"/>
    <col min="17" max="17" width="15.7109375" style="1" hidden="1" customWidth="1"/>
    <col min="18" max="18" width="15.28515625" style="2" customWidth="1"/>
    <col min="19" max="20" width="15.5703125" style="15" customWidth="1"/>
    <col min="21" max="23" width="9.140625" style="1" hidden="1" customWidth="1"/>
    <col min="24" max="24" width="13.42578125" style="1" customWidth="1"/>
    <col min="25" max="25" width="17.7109375" style="3" bestFit="1" customWidth="1"/>
    <col min="26" max="26" width="4.7109375" style="4" customWidth="1"/>
    <col min="27" max="28" width="12.140625" style="6" customWidth="1"/>
    <col min="29" max="29" width="1.5703125" style="1" customWidth="1"/>
    <col min="30" max="30" width="9.28515625" style="1" customWidth="1"/>
    <col min="31" max="16384" width="9.140625" style="1"/>
  </cols>
  <sheetData>
    <row r="1" spans="1:45" ht="7.5" customHeight="1" x14ac:dyDescent="0.25">
      <c r="A1" s="8"/>
      <c r="B1" s="8"/>
      <c r="C1" s="8"/>
      <c r="D1" s="9"/>
      <c r="E1" s="14"/>
      <c r="F1" s="14"/>
      <c r="G1" s="8"/>
      <c r="H1" s="8"/>
      <c r="I1" s="8"/>
      <c r="J1" s="8"/>
      <c r="K1" s="10"/>
      <c r="L1" s="11"/>
      <c r="M1" s="12"/>
      <c r="N1" s="12"/>
      <c r="O1" s="8"/>
      <c r="P1" s="8"/>
      <c r="Q1" s="8"/>
      <c r="R1" s="9"/>
      <c r="S1" s="14"/>
      <c r="T1" s="14"/>
      <c r="U1" s="8"/>
      <c r="V1" s="8"/>
      <c r="W1" s="8"/>
      <c r="X1" s="8"/>
      <c r="Y1" s="10"/>
      <c r="Z1" s="11"/>
      <c r="AA1" s="12"/>
      <c r="AB1" s="12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45" ht="79.5" customHeight="1" x14ac:dyDescent="0.25">
      <c r="A2" s="8"/>
      <c r="B2" s="27" t="e" vm="4">
        <v>#VALUE!</v>
      </c>
      <c r="C2" s="27"/>
      <c r="D2" s="27"/>
      <c r="E2" s="28" t="s">
        <v>37</v>
      </c>
      <c r="F2" s="28"/>
      <c r="G2" s="28"/>
      <c r="H2" s="28"/>
      <c r="I2" s="28"/>
      <c r="J2" s="28"/>
      <c r="K2" s="28"/>
      <c r="L2" s="28"/>
      <c r="M2" s="28"/>
      <c r="N2" s="12"/>
      <c r="O2" s="8"/>
      <c r="P2" s="27"/>
      <c r="Q2" s="27"/>
      <c r="R2" s="27"/>
      <c r="S2" s="28"/>
      <c r="T2" s="28"/>
      <c r="U2" s="28"/>
      <c r="V2" s="28"/>
      <c r="W2" s="28"/>
      <c r="X2" s="28"/>
      <c r="Y2" s="28"/>
      <c r="Z2" s="28"/>
      <c r="AA2" s="28"/>
      <c r="AB2" s="12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45" ht="4.5" customHeight="1" x14ac:dyDescent="0.25">
      <c r="A3" s="8"/>
      <c r="B3" s="8"/>
      <c r="C3" s="8"/>
      <c r="D3" s="9"/>
      <c r="E3" s="14"/>
      <c r="F3" s="14"/>
      <c r="G3" s="8"/>
      <c r="H3" s="8"/>
      <c r="I3" s="8"/>
      <c r="J3" s="8"/>
      <c r="K3" s="10"/>
      <c r="L3" s="11"/>
      <c r="M3" s="12"/>
      <c r="N3" s="12"/>
      <c r="O3" s="8"/>
      <c r="P3" s="8"/>
      <c r="Q3" s="8"/>
      <c r="R3" s="9"/>
      <c r="S3" s="14"/>
      <c r="T3" s="14"/>
      <c r="U3" s="8"/>
      <c r="V3" s="8"/>
      <c r="W3" s="8"/>
      <c r="X3" s="8"/>
      <c r="Y3" s="10"/>
      <c r="Z3" s="11"/>
      <c r="AA3" s="12"/>
      <c r="AB3" s="12"/>
      <c r="AC3" s="8"/>
      <c r="AD3" s="8"/>
      <c r="AE3" s="8"/>
      <c r="AF3" s="8"/>
      <c r="AG3" s="8"/>
      <c r="AH3" s="8"/>
      <c r="AI3" s="8"/>
      <c r="AJ3" s="8"/>
      <c r="AK3" s="8" t="e" vm="2">
        <v>#VALUE!</v>
      </c>
      <c r="AL3" s="8"/>
      <c r="AM3" s="8"/>
    </row>
    <row r="4" spans="1:45" s="5" customFormat="1" ht="47.25" customHeight="1" x14ac:dyDescent="0.25">
      <c r="A4" s="13"/>
      <c r="B4" s="16" t="s">
        <v>27</v>
      </c>
      <c r="C4" s="16"/>
      <c r="D4" s="17" t="s">
        <v>28</v>
      </c>
      <c r="E4" s="18" t="s">
        <v>29</v>
      </c>
      <c r="F4" s="18" t="s">
        <v>30</v>
      </c>
      <c r="G4" s="16"/>
      <c r="H4" s="16"/>
      <c r="I4" s="16"/>
      <c r="J4" s="16" t="s">
        <v>31</v>
      </c>
      <c r="K4" s="26" t="s">
        <v>32</v>
      </c>
      <c r="L4" s="26"/>
      <c r="M4" s="16" t="s">
        <v>33</v>
      </c>
      <c r="N4" s="16" t="s">
        <v>34</v>
      </c>
      <c r="O4" s="13"/>
      <c r="P4" s="16" t="s">
        <v>27</v>
      </c>
      <c r="Q4" s="16"/>
      <c r="R4" s="17" t="s">
        <v>28</v>
      </c>
      <c r="S4" s="18" t="s">
        <v>29</v>
      </c>
      <c r="T4" s="18" t="s">
        <v>30</v>
      </c>
      <c r="U4" s="16"/>
      <c r="V4" s="16"/>
      <c r="W4" s="16"/>
      <c r="X4" s="16" t="s">
        <v>31</v>
      </c>
      <c r="Y4" s="26" t="s">
        <v>32</v>
      </c>
      <c r="Z4" s="26"/>
      <c r="AA4" s="16" t="s">
        <v>33</v>
      </c>
      <c r="AB4" s="16" t="s">
        <v>34</v>
      </c>
      <c r="AC4" s="13"/>
      <c r="AD4" s="13"/>
      <c r="AE4" s="13" t="s">
        <v>35</v>
      </c>
      <c r="AF4" s="13"/>
      <c r="AG4" s="13"/>
      <c r="AH4" s="13" t="s">
        <v>35</v>
      </c>
      <c r="AI4" s="13"/>
      <c r="AJ4" s="13"/>
      <c r="AK4" s="13"/>
      <c r="AL4" s="13"/>
      <c r="AM4" s="13"/>
    </row>
    <row r="5" spans="1:45" ht="23.1" customHeight="1" x14ac:dyDescent="0.25">
      <c r="A5" s="8"/>
      <c r="B5" s="19" t="s">
        <v>38</v>
      </c>
      <c r="C5" s="19" t="s">
        <v>39</v>
      </c>
      <c r="D5" s="20">
        <v>45447</v>
      </c>
      <c r="E5" s="21">
        <v>497.5</v>
      </c>
      <c r="F5" s="21">
        <v>690.24</v>
      </c>
      <c r="G5" s="19">
        <v>24</v>
      </c>
      <c r="H5" s="19" t="s">
        <v>40</v>
      </c>
      <c r="I5" s="19">
        <v>1</v>
      </c>
      <c r="J5" s="22">
        <f t="shared" ref="J5" si="0">IF(B5="","",IFERROR((F5-E5)/E5,""))</f>
        <v>0.38741708542713571</v>
      </c>
      <c r="K5" s="23" t="str">
        <f t="shared" ref="K5:K15" si="1">IF(AE5&gt;F5,"Hedef Gerçekleşti","")</f>
        <v/>
      </c>
      <c r="L5" s="24" t="str">
        <f t="shared" ref="L5:L8" si="2">IF(K5="","",$AK$3)</f>
        <v/>
      </c>
      <c r="M5" s="22">
        <f t="shared" ref="M5:M15" si="3">IF(K5="",(AE5-E5)/E5,1)</f>
        <v>0.17386934673366833</v>
      </c>
      <c r="N5" s="22">
        <f t="shared" ref="N5:N15" si="4">IF(M5=1,"",(AF5-E5)/E5)</f>
        <v>-1.0050251256281408E-3</v>
      </c>
      <c r="O5" s="25"/>
      <c r="P5" s="19" t="s">
        <v>109</v>
      </c>
      <c r="Q5" s="19" t="s">
        <v>39</v>
      </c>
      <c r="R5" s="20">
        <v>45327</v>
      </c>
      <c r="S5" s="21">
        <v>22.58</v>
      </c>
      <c r="T5" s="21">
        <v>34</v>
      </c>
      <c r="U5" s="19">
        <v>15</v>
      </c>
      <c r="V5" s="19" t="s">
        <v>110</v>
      </c>
      <c r="W5" s="19">
        <v>2</v>
      </c>
      <c r="X5" s="22">
        <f t="shared" ref="X5" si="5">IF(P5="","",IFERROR((T5-S5)/S5,""))</f>
        <v>0.50575730735163871</v>
      </c>
      <c r="Y5" s="23" t="str">
        <f>IF(AH5&gt;T5,"Hedef Gerçekleşti","")</f>
        <v>Hedef Gerçekleşti</v>
      </c>
      <c r="Z5" s="24" t="e" vm="3">
        <f t="shared" ref="Z5:Z8" si="6">IF(Y5="","",$AK$3)</f>
        <v>#VALUE!</v>
      </c>
      <c r="AA5" s="22">
        <f>IF(Y5="",(AH5-S5)/S5,1)</f>
        <v>1</v>
      </c>
      <c r="AB5" s="22" t="str">
        <f>IF(AA5=1,"",(AI5-S5)/S5)</f>
        <v/>
      </c>
      <c r="AC5" s="8"/>
      <c r="AD5" s="8"/>
      <c r="AE5" s="8">
        <v>584</v>
      </c>
      <c r="AF5" s="8">
        <v>497</v>
      </c>
      <c r="AG5" s="8"/>
      <c r="AH5" s="8">
        <v>39.46</v>
      </c>
      <c r="AI5" s="8">
        <v>30.46</v>
      </c>
      <c r="AJ5" s="8"/>
      <c r="AK5" s="8"/>
      <c r="AL5" s="8"/>
      <c r="AM5" s="8"/>
    </row>
    <row r="6" spans="1:45" ht="23.1" customHeight="1" x14ac:dyDescent="0.25">
      <c r="A6" s="8"/>
      <c r="B6" s="19" t="s">
        <v>41</v>
      </c>
      <c r="C6" s="19" t="s">
        <v>39</v>
      </c>
      <c r="D6" s="20">
        <v>45341</v>
      </c>
      <c r="E6" s="21">
        <v>176</v>
      </c>
      <c r="F6" s="21">
        <v>227</v>
      </c>
      <c r="G6" s="19">
        <v>9</v>
      </c>
      <c r="H6" s="19" t="s">
        <v>42</v>
      </c>
      <c r="I6" s="19">
        <v>2</v>
      </c>
      <c r="J6" s="22">
        <f>IF(B6="","",IFERROR((F6-E6)/E6,""))</f>
        <v>0.28977272727272729</v>
      </c>
      <c r="K6" s="23" t="str">
        <f t="shared" si="1"/>
        <v/>
      </c>
      <c r="L6" s="24" t="str">
        <f t="shared" si="2"/>
        <v/>
      </c>
      <c r="M6" s="22">
        <f t="shared" si="3"/>
        <v>0.15965909090909089</v>
      </c>
      <c r="N6" s="22">
        <f t="shared" si="4"/>
        <v>-0.13409090909090907</v>
      </c>
      <c r="O6" s="25"/>
      <c r="P6" s="19" t="s">
        <v>109</v>
      </c>
      <c r="Q6" s="19" t="s">
        <v>39</v>
      </c>
      <c r="R6" s="20">
        <v>45415</v>
      </c>
      <c r="S6" s="21">
        <v>30.96</v>
      </c>
      <c r="T6" s="21">
        <v>43</v>
      </c>
      <c r="U6" s="19">
        <v>32</v>
      </c>
      <c r="V6" s="19" t="s">
        <v>111</v>
      </c>
      <c r="W6" s="19">
        <v>1</v>
      </c>
      <c r="X6" s="22">
        <f>IF(P6="","",IFERROR((T6-S6)/S6,""))</f>
        <v>0.38888888888888884</v>
      </c>
      <c r="Y6" s="23" t="str">
        <f t="shared" ref="Y6:Y54" si="7">IF(AH6&gt;T6,"Hedef Gerçekleşti","")</f>
        <v/>
      </c>
      <c r="Z6" s="24" t="str">
        <f t="shared" ref="Z6:Z55" si="8">IF(Y6="","",$AK$3)</f>
        <v/>
      </c>
      <c r="AA6" s="22">
        <f t="shared" ref="AA6:AA54" si="9">IF(Y6="",(AH6-S6)/S6,1)</f>
        <v>0.27454780361757103</v>
      </c>
      <c r="AB6" s="22">
        <f t="shared" ref="AB6:AB54" si="10">IF(AA6=1,"",(AI6-S6)/S6)</f>
        <v>-1.614987080103359E-2</v>
      </c>
      <c r="AC6" s="8"/>
      <c r="AD6" s="8"/>
      <c r="AE6" s="8">
        <v>204.1</v>
      </c>
      <c r="AF6" s="8">
        <v>152.4</v>
      </c>
      <c r="AG6" s="8"/>
      <c r="AH6" s="8">
        <v>39.46</v>
      </c>
      <c r="AI6" s="8">
        <v>30.46</v>
      </c>
      <c r="AJ6" s="8"/>
      <c r="AK6" s="8"/>
      <c r="AL6" s="8"/>
      <c r="AM6" s="8"/>
    </row>
    <row r="7" spans="1:45" ht="23.1" customHeight="1" x14ac:dyDescent="0.25">
      <c r="A7" s="8"/>
      <c r="B7" s="19" t="s">
        <v>41</v>
      </c>
      <c r="C7" s="19" t="s">
        <v>39</v>
      </c>
      <c r="D7" s="20">
        <v>45435</v>
      </c>
      <c r="E7" s="21">
        <v>188.8</v>
      </c>
      <c r="F7" s="21">
        <v>242</v>
      </c>
      <c r="G7" s="19">
        <v>17</v>
      </c>
      <c r="H7" s="19" t="s">
        <v>43</v>
      </c>
      <c r="I7" s="19">
        <v>1</v>
      </c>
      <c r="J7" s="22">
        <f t="shared" ref="J7:J15" si="11">IF(B7="","",IFERROR((F7-E7)/E7,""))</f>
        <v>0.28177966101694907</v>
      </c>
      <c r="K7" s="23" t="str">
        <f t="shared" si="1"/>
        <v/>
      </c>
      <c r="L7" s="24" t="str">
        <f t="shared" si="2"/>
        <v/>
      </c>
      <c r="M7" s="22">
        <f t="shared" si="3"/>
        <v>8.1038135593220248E-2</v>
      </c>
      <c r="N7" s="22">
        <f t="shared" si="4"/>
        <v>-0.19279661016949154</v>
      </c>
      <c r="O7" s="25"/>
      <c r="P7" s="19" t="s">
        <v>14</v>
      </c>
      <c r="Q7" s="19" t="s">
        <v>39</v>
      </c>
      <c r="R7" s="20">
        <v>45457</v>
      </c>
      <c r="S7" s="21">
        <v>98.6</v>
      </c>
      <c r="T7" s="21">
        <v>161</v>
      </c>
      <c r="U7" s="19">
        <v>31</v>
      </c>
      <c r="V7" s="19" t="s">
        <v>112</v>
      </c>
      <c r="W7" s="19">
        <v>1</v>
      </c>
      <c r="X7" s="22">
        <f t="shared" ref="X7:X15" si="12">IF(P7="","",IFERROR((T7-S7)/S7,""))</f>
        <v>0.63286004056795142</v>
      </c>
      <c r="Y7" s="23" t="str">
        <f t="shared" si="7"/>
        <v/>
      </c>
      <c r="Z7" s="24" t="str">
        <f t="shared" si="8"/>
        <v/>
      </c>
      <c r="AA7" s="22">
        <f t="shared" si="9"/>
        <v>0.16937119675456394</v>
      </c>
      <c r="AB7" s="22">
        <f t="shared" si="10"/>
        <v>-6.4908722109533384E-2</v>
      </c>
      <c r="AC7" s="8"/>
      <c r="AD7" s="8"/>
      <c r="AE7" s="8">
        <v>204.1</v>
      </c>
      <c r="AF7" s="8">
        <v>152.4</v>
      </c>
      <c r="AG7" s="8"/>
      <c r="AH7" s="8">
        <v>115.3</v>
      </c>
      <c r="AI7" s="8">
        <v>92.2</v>
      </c>
      <c r="AJ7" s="8"/>
      <c r="AK7" s="8"/>
      <c r="AL7" s="8"/>
      <c r="AM7" s="8"/>
    </row>
    <row r="8" spans="1:45" ht="23.1" customHeight="1" x14ac:dyDescent="0.25">
      <c r="A8" s="8"/>
      <c r="B8" s="19" t="s">
        <v>0</v>
      </c>
      <c r="C8" s="19" t="s">
        <v>39</v>
      </c>
      <c r="D8" s="20">
        <v>45384</v>
      </c>
      <c r="E8" s="21">
        <v>853.04</v>
      </c>
      <c r="F8" s="21">
        <v>874.07999999999993</v>
      </c>
      <c r="G8" s="19">
        <v>16</v>
      </c>
      <c r="H8" s="19" t="s">
        <v>44</v>
      </c>
      <c r="I8" s="19">
        <v>2</v>
      </c>
      <c r="J8" s="22">
        <f t="shared" si="11"/>
        <v>2.4664728500421979E-2</v>
      </c>
      <c r="K8" s="23" t="str">
        <f t="shared" si="1"/>
        <v>Hedef Gerçekleşti</v>
      </c>
      <c r="L8" s="24" t="e" vm="3">
        <f t="shared" si="2"/>
        <v>#VALUE!</v>
      </c>
      <c r="M8" s="22">
        <f t="shared" si="3"/>
        <v>1</v>
      </c>
      <c r="N8" s="22" t="str">
        <f t="shared" si="4"/>
        <v/>
      </c>
      <c r="O8" s="25"/>
      <c r="P8" s="19" t="s">
        <v>113</v>
      </c>
      <c r="Q8" s="19" t="s">
        <v>39</v>
      </c>
      <c r="R8" s="20">
        <v>45342</v>
      </c>
      <c r="S8" s="21">
        <v>129.6</v>
      </c>
      <c r="T8" s="21">
        <v>182.47</v>
      </c>
      <c r="U8" s="19">
        <v>6</v>
      </c>
      <c r="V8" s="19" t="s">
        <v>114</v>
      </c>
      <c r="W8" s="19">
        <v>1</v>
      </c>
      <c r="X8" s="22">
        <f t="shared" si="12"/>
        <v>0.40794753086419761</v>
      </c>
      <c r="Y8" s="23" t="str">
        <f t="shared" si="7"/>
        <v/>
      </c>
      <c r="Z8" s="24" t="str">
        <f t="shared" si="8"/>
        <v/>
      </c>
      <c r="AA8" s="22">
        <f t="shared" si="9"/>
        <v>0.12191358024691368</v>
      </c>
      <c r="AB8" s="22">
        <f t="shared" si="10"/>
        <v>-0.2357253086419753</v>
      </c>
      <c r="AC8" s="8"/>
      <c r="AD8" s="8"/>
      <c r="AE8" s="8">
        <v>1063</v>
      </c>
      <c r="AF8" s="8">
        <v>771</v>
      </c>
      <c r="AG8" s="8"/>
      <c r="AH8" s="8">
        <v>145.4</v>
      </c>
      <c r="AI8" s="8">
        <v>99.05</v>
      </c>
      <c r="AJ8" s="8"/>
      <c r="AK8" s="8"/>
      <c r="AL8" s="8"/>
      <c r="AM8" s="8"/>
    </row>
    <row r="9" spans="1:45" ht="23.1" customHeight="1" x14ac:dyDescent="0.25">
      <c r="A9" s="8"/>
      <c r="B9" s="19" t="s">
        <v>0</v>
      </c>
      <c r="C9" s="19" t="s">
        <v>39</v>
      </c>
      <c r="D9" s="20">
        <v>45506</v>
      </c>
      <c r="E9" s="21">
        <v>766</v>
      </c>
      <c r="F9" s="21">
        <v>1119.99</v>
      </c>
      <c r="G9" s="19">
        <v>28</v>
      </c>
      <c r="H9" s="19" t="s">
        <v>45</v>
      </c>
      <c r="I9" s="19">
        <v>1</v>
      </c>
      <c r="J9" s="22">
        <f t="shared" si="11"/>
        <v>0.46212793733681462</v>
      </c>
      <c r="K9" s="23" t="str">
        <f t="shared" si="1"/>
        <v/>
      </c>
      <c r="L9" s="24" t="str">
        <f>IF(K9="","",$AK$3)</f>
        <v/>
      </c>
      <c r="M9" s="22">
        <f t="shared" si="3"/>
        <v>1.6971279373368148E-2</v>
      </c>
      <c r="N9" s="22">
        <f t="shared" si="4"/>
        <v>6.5274151436031328E-3</v>
      </c>
      <c r="O9" s="25"/>
      <c r="P9" s="19" t="s">
        <v>16</v>
      </c>
      <c r="Q9" s="19" t="s">
        <v>39</v>
      </c>
      <c r="R9" s="20">
        <v>45350</v>
      </c>
      <c r="S9" s="21">
        <v>23.31</v>
      </c>
      <c r="T9" s="21">
        <v>27.66</v>
      </c>
      <c r="U9" s="19">
        <v>14</v>
      </c>
      <c r="V9" s="19" t="s">
        <v>115</v>
      </c>
      <c r="W9" s="19">
        <v>2</v>
      </c>
      <c r="X9" s="22">
        <f t="shared" si="12"/>
        <v>0.1866151866151867</v>
      </c>
      <c r="Y9" s="23" t="str">
        <f t="shared" si="7"/>
        <v>Hedef Gerçekleşti</v>
      </c>
      <c r="Z9" s="24" t="e" vm="3">
        <f t="shared" si="8"/>
        <v>#VALUE!</v>
      </c>
      <c r="AA9" s="22">
        <f t="shared" si="9"/>
        <v>1</v>
      </c>
      <c r="AB9" s="22" t="str">
        <f t="shared" si="10"/>
        <v/>
      </c>
      <c r="AC9" s="8"/>
      <c r="AD9" s="8"/>
      <c r="AE9" s="8">
        <v>779</v>
      </c>
      <c r="AF9" s="8">
        <v>771</v>
      </c>
      <c r="AG9" s="8"/>
      <c r="AH9" s="8">
        <v>30.12</v>
      </c>
      <c r="AI9" s="8">
        <v>26.18</v>
      </c>
      <c r="AJ9" s="8"/>
      <c r="AK9" s="8"/>
      <c r="AL9" s="8"/>
      <c r="AM9" s="8"/>
      <c r="AS9" s="7"/>
    </row>
    <row r="10" spans="1:45" ht="23.1" customHeight="1" x14ac:dyDescent="0.25">
      <c r="A10" s="8"/>
      <c r="B10" s="19" t="s">
        <v>46</v>
      </c>
      <c r="C10" s="19" t="s">
        <v>39</v>
      </c>
      <c r="D10" s="20">
        <v>45328</v>
      </c>
      <c r="E10" s="21">
        <v>8.1300000000000008</v>
      </c>
      <c r="F10" s="21">
        <v>12</v>
      </c>
      <c r="G10" s="19">
        <v>10</v>
      </c>
      <c r="H10" s="19" t="s">
        <v>47</v>
      </c>
      <c r="I10" s="19">
        <v>2</v>
      </c>
      <c r="J10" s="22">
        <f t="shared" si="11"/>
        <v>0.47601476014760136</v>
      </c>
      <c r="K10" s="23" t="str">
        <f t="shared" si="1"/>
        <v>Hedef Gerçekleşti</v>
      </c>
      <c r="L10" s="24" t="e" vm="3">
        <f>IF(K10="","",$AK$3)</f>
        <v>#VALUE!</v>
      </c>
      <c r="M10" s="22">
        <f t="shared" si="3"/>
        <v>1</v>
      </c>
      <c r="N10" s="22" t="str">
        <f t="shared" si="4"/>
        <v/>
      </c>
      <c r="O10" s="25"/>
      <c r="P10" s="19" t="s">
        <v>16</v>
      </c>
      <c r="Q10" s="19" t="s">
        <v>39</v>
      </c>
      <c r="R10" s="20">
        <v>45450</v>
      </c>
      <c r="S10" s="21">
        <v>23.97</v>
      </c>
      <c r="T10" s="21">
        <v>32.25</v>
      </c>
      <c r="U10" s="19">
        <v>22</v>
      </c>
      <c r="V10" s="19" t="s">
        <v>116</v>
      </c>
      <c r="W10" s="19">
        <v>1</v>
      </c>
      <c r="X10" s="22">
        <f t="shared" si="12"/>
        <v>0.34543178973717154</v>
      </c>
      <c r="Y10" s="23" t="str">
        <f t="shared" si="7"/>
        <v/>
      </c>
      <c r="Z10" s="24" t="str">
        <f t="shared" si="8"/>
        <v/>
      </c>
      <c r="AA10" s="22">
        <f t="shared" si="9"/>
        <v>0.25657071339173976</v>
      </c>
      <c r="AB10" s="22">
        <f t="shared" si="10"/>
        <v>9.2198581560283724E-2</v>
      </c>
      <c r="AC10" s="8"/>
      <c r="AD10" s="8"/>
      <c r="AE10" s="8">
        <v>13.22</v>
      </c>
      <c r="AF10" s="8">
        <v>12.45</v>
      </c>
      <c r="AG10" s="8"/>
      <c r="AH10" s="8">
        <v>30.12</v>
      </c>
      <c r="AI10" s="8">
        <v>26.18</v>
      </c>
      <c r="AJ10" s="8"/>
      <c r="AK10" s="8"/>
      <c r="AL10" s="8"/>
      <c r="AM10" s="8"/>
    </row>
    <row r="11" spans="1:45" ht="23.1" customHeight="1" x14ac:dyDescent="0.25">
      <c r="A11" s="8"/>
      <c r="B11" s="19" t="s">
        <v>46</v>
      </c>
      <c r="C11" s="19" t="s">
        <v>39</v>
      </c>
      <c r="D11" s="20">
        <v>45415</v>
      </c>
      <c r="E11" s="21">
        <v>9.98</v>
      </c>
      <c r="F11" s="21">
        <v>14</v>
      </c>
      <c r="G11" s="19">
        <v>20</v>
      </c>
      <c r="H11" s="19" t="s">
        <v>48</v>
      </c>
      <c r="I11" s="19">
        <v>2</v>
      </c>
      <c r="J11" s="22">
        <f t="shared" si="11"/>
        <v>0.40280561122244485</v>
      </c>
      <c r="K11" s="23" t="str">
        <f t="shared" si="1"/>
        <v/>
      </c>
      <c r="L11" s="24" t="str">
        <f>IF(K11="","",$AK$3)</f>
        <v/>
      </c>
      <c r="M11" s="22">
        <f t="shared" si="3"/>
        <v>0.32464929859719438</v>
      </c>
      <c r="N11" s="22">
        <f t="shared" si="4"/>
        <v>0.24749498997995981</v>
      </c>
      <c r="O11" s="25"/>
      <c r="P11" s="19" t="s">
        <v>117</v>
      </c>
      <c r="Q11" s="19" t="s">
        <v>39</v>
      </c>
      <c r="R11" s="20">
        <v>45491</v>
      </c>
      <c r="S11" s="21">
        <v>43.9</v>
      </c>
      <c r="T11" s="21">
        <v>64</v>
      </c>
      <c r="U11" s="19">
        <v>9</v>
      </c>
      <c r="V11" s="19" t="s">
        <v>118</v>
      </c>
      <c r="W11" s="19">
        <v>1</v>
      </c>
      <c r="X11" s="22">
        <f t="shared" si="12"/>
        <v>0.45785876993166291</v>
      </c>
      <c r="Y11" s="23" t="str">
        <f t="shared" si="7"/>
        <v/>
      </c>
      <c r="Z11" s="24" t="str">
        <f t="shared" si="8"/>
        <v/>
      </c>
      <c r="AA11" s="22">
        <f t="shared" si="9"/>
        <v>0</v>
      </c>
      <c r="AB11" s="22">
        <f t="shared" si="10"/>
        <v>-0.17312072892938501</v>
      </c>
      <c r="AC11" s="8"/>
      <c r="AD11" s="8"/>
      <c r="AE11" s="8">
        <v>13.22</v>
      </c>
      <c r="AF11" s="8">
        <v>12.45</v>
      </c>
      <c r="AG11" s="8"/>
      <c r="AH11" s="8">
        <v>43.9</v>
      </c>
      <c r="AI11" s="8">
        <v>36.299999999999997</v>
      </c>
      <c r="AJ11" s="8"/>
      <c r="AK11" s="8"/>
      <c r="AL11" s="8"/>
      <c r="AM11" s="8"/>
    </row>
    <row r="12" spans="1:45" ht="23.1" customHeight="1" x14ac:dyDescent="0.25">
      <c r="A12" s="8"/>
      <c r="B12" s="19" t="s">
        <v>46</v>
      </c>
      <c r="C12" s="19" t="s">
        <v>39</v>
      </c>
      <c r="D12" s="20">
        <v>45506</v>
      </c>
      <c r="E12" s="21">
        <v>13.12</v>
      </c>
      <c r="F12" s="21">
        <v>17</v>
      </c>
      <c r="G12" s="19">
        <v>30</v>
      </c>
      <c r="H12" s="19" t="s">
        <v>49</v>
      </c>
      <c r="I12" s="19">
        <v>1</v>
      </c>
      <c r="J12" s="22">
        <f t="shared" si="11"/>
        <v>0.29573170731707327</v>
      </c>
      <c r="K12" s="23" t="str">
        <f t="shared" si="1"/>
        <v/>
      </c>
      <c r="L12" s="24" t="str">
        <f>IF(K12="","",$AK$3)</f>
        <v/>
      </c>
      <c r="M12" s="22">
        <f t="shared" si="3"/>
        <v>-3.3536585365853626E-2</v>
      </c>
      <c r="N12" s="22">
        <f t="shared" si="4"/>
        <v>-5.1067073170731704E-2</v>
      </c>
      <c r="O12" s="25"/>
      <c r="P12" s="19" t="s">
        <v>119</v>
      </c>
      <c r="Q12" s="19" t="s">
        <v>39</v>
      </c>
      <c r="R12" s="20">
        <v>45356</v>
      </c>
      <c r="S12" s="21">
        <v>11.64</v>
      </c>
      <c r="T12" s="21">
        <v>20.63</v>
      </c>
      <c r="U12" s="19">
        <v>4</v>
      </c>
      <c r="V12" s="19" t="s">
        <v>120</v>
      </c>
      <c r="W12" s="19">
        <v>1</v>
      </c>
      <c r="X12" s="22">
        <f t="shared" si="12"/>
        <v>0.77233676975944998</v>
      </c>
      <c r="Y12" s="23" t="str">
        <f t="shared" si="7"/>
        <v/>
      </c>
      <c r="Z12" s="24" t="str">
        <f t="shared" si="8"/>
        <v/>
      </c>
      <c r="AA12" s="22">
        <f t="shared" si="9"/>
        <v>0.19501718213058414</v>
      </c>
      <c r="AB12" s="22">
        <f t="shared" si="10"/>
        <v>0.16065292096219924</v>
      </c>
      <c r="AC12" s="8"/>
      <c r="AD12" s="8"/>
      <c r="AE12" s="8">
        <v>12.68</v>
      </c>
      <c r="AF12" s="8">
        <v>12.45</v>
      </c>
      <c r="AG12" s="8"/>
      <c r="AH12" s="8">
        <v>13.91</v>
      </c>
      <c r="AI12" s="8">
        <v>13.51</v>
      </c>
      <c r="AJ12" s="8"/>
      <c r="AK12" s="8"/>
      <c r="AL12" s="8"/>
      <c r="AM12" s="8"/>
    </row>
    <row r="13" spans="1:45" ht="23.1" customHeight="1" x14ac:dyDescent="0.25">
      <c r="A13" s="8"/>
      <c r="B13" s="19" t="s">
        <v>50</v>
      </c>
      <c r="C13" s="19" t="s">
        <v>39</v>
      </c>
      <c r="D13" s="20">
        <v>45350</v>
      </c>
      <c r="E13" s="21">
        <v>27.02</v>
      </c>
      <c r="F13" s="21">
        <v>42</v>
      </c>
      <c r="G13" s="19">
        <v>9</v>
      </c>
      <c r="H13" s="19" t="s">
        <v>51</v>
      </c>
      <c r="I13" s="19">
        <v>1</v>
      </c>
      <c r="J13" s="22">
        <f t="shared" si="11"/>
        <v>0.55440414507772018</v>
      </c>
      <c r="K13" s="23" t="str">
        <f t="shared" si="1"/>
        <v/>
      </c>
      <c r="L13" s="24" t="str">
        <f>IF(K13="","",$AK$3)</f>
        <v/>
      </c>
      <c r="M13" s="22">
        <f t="shared" si="3"/>
        <v>-9.6225018504811174E-2</v>
      </c>
      <c r="N13" s="22">
        <f t="shared" si="4"/>
        <v>-0.15247964470762401</v>
      </c>
      <c r="O13" s="25"/>
      <c r="P13" s="19" t="s">
        <v>19</v>
      </c>
      <c r="Q13" s="19" t="s">
        <v>39</v>
      </c>
      <c r="R13" s="20">
        <v>45450</v>
      </c>
      <c r="S13" s="21">
        <v>1025</v>
      </c>
      <c r="T13" s="21">
        <v>1159.5899999999999</v>
      </c>
      <c r="U13" s="19">
        <v>21</v>
      </c>
      <c r="V13" s="19" t="s">
        <v>121</v>
      </c>
      <c r="W13" s="19">
        <v>2</v>
      </c>
      <c r="X13" s="22">
        <f t="shared" si="12"/>
        <v>0.13130731707317064</v>
      </c>
      <c r="Y13" s="23" t="str">
        <f t="shared" si="7"/>
        <v/>
      </c>
      <c r="Z13" s="24" t="str">
        <f t="shared" si="8"/>
        <v/>
      </c>
      <c r="AA13" s="22">
        <f t="shared" si="9"/>
        <v>0.10341463414634146</v>
      </c>
      <c r="AB13" s="22">
        <f t="shared" si="10"/>
        <v>-2.6829268292682926E-2</v>
      </c>
      <c r="AC13" s="8"/>
      <c r="AD13" s="8"/>
      <c r="AE13" s="8">
        <v>24.42</v>
      </c>
      <c r="AF13" s="8">
        <v>22.9</v>
      </c>
      <c r="AG13" s="8"/>
      <c r="AH13" s="8">
        <v>1131</v>
      </c>
      <c r="AI13" s="8">
        <v>997.5</v>
      </c>
      <c r="AJ13" s="8"/>
      <c r="AK13" s="8"/>
      <c r="AL13" s="8"/>
      <c r="AM13" s="8"/>
    </row>
    <row r="14" spans="1:45" ht="23.1" customHeight="1" x14ac:dyDescent="0.25">
      <c r="A14" s="8"/>
      <c r="B14" s="19" t="s">
        <v>52</v>
      </c>
      <c r="C14" s="19" t="s">
        <v>39</v>
      </c>
      <c r="D14" s="20">
        <v>45329</v>
      </c>
      <c r="E14" s="21">
        <v>372.25</v>
      </c>
      <c r="F14" s="21">
        <v>496.49</v>
      </c>
      <c r="G14" s="19">
        <v>12</v>
      </c>
      <c r="H14" s="19" t="s">
        <v>53</v>
      </c>
      <c r="I14" s="19">
        <v>2</v>
      </c>
      <c r="J14" s="22">
        <f t="shared" si="11"/>
        <v>0.33375419744795165</v>
      </c>
      <c r="K14" s="23" t="str">
        <f t="shared" si="1"/>
        <v>Hedef Gerçekleşti</v>
      </c>
      <c r="L14" s="24" t="e" vm="3">
        <f>IF(K14="","",$AK$3)</f>
        <v>#VALUE!</v>
      </c>
      <c r="M14" s="22">
        <f t="shared" si="3"/>
        <v>1</v>
      </c>
      <c r="N14" s="22" t="str">
        <f t="shared" si="4"/>
        <v/>
      </c>
      <c r="O14" s="25"/>
      <c r="P14" s="19" t="s">
        <v>19</v>
      </c>
      <c r="Q14" s="19" t="s">
        <v>39</v>
      </c>
      <c r="R14" s="20">
        <v>45538</v>
      </c>
      <c r="S14" s="21">
        <v>936</v>
      </c>
      <c r="T14" s="21">
        <v>1510</v>
      </c>
      <c r="U14" s="19">
        <v>31</v>
      </c>
      <c r="V14" s="19" t="s">
        <v>122</v>
      </c>
      <c r="W14" s="19">
        <v>1</v>
      </c>
      <c r="X14" s="22">
        <f t="shared" si="12"/>
        <v>0.61324786324786329</v>
      </c>
      <c r="Y14" s="23" t="str">
        <f t="shared" si="7"/>
        <v/>
      </c>
      <c r="Z14" s="24" t="str">
        <f t="shared" si="8"/>
        <v/>
      </c>
      <c r="AA14" s="22">
        <f t="shared" si="9"/>
        <v>0.19337606837606838</v>
      </c>
      <c r="AB14" s="22">
        <f t="shared" si="10"/>
        <v>6.5705128205128208E-2</v>
      </c>
      <c r="AC14" s="8"/>
      <c r="AD14" s="8"/>
      <c r="AE14" s="8">
        <v>631</v>
      </c>
      <c r="AF14" s="8">
        <v>510</v>
      </c>
      <c r="AG14" s="8"/>
      <c r="AH14" s="8">
        <v>1117</v>
      </c>
      <c r="AI14" s="8">
        <v>997.5</v>
      </c>
      <c r="AJ14" s="8"/>
      <c r="AK14" s="8"/>
      <c r="AL14" s="8"/>
      <c r="AM14" s="8"/>
    </row>
    <row r="15" spans="1:45" ht="23.1" customHeight="1" x14ac:dyDescent="0.25">
      <c r="A15" s="8"/>
      <c r="B15" s="19" t="s">
        <v>52</v>
      </c>
      <c r="C15" s="19" t="s">
        <v>39</v>
      </c>
      <c r="D15" s="20">
        <v>45457</v>
      </c>
      <c r="E15" s="21">
        <v>535.5</v>
      </c>
      <c r="F15" s="21">
        <v>604.46</v>
      </c>
      <c r="G15" s="19">
        <v>28</v>
      </c>
      <c r="H15" s="19" t="s">
        <v>54</v>
      </c>
      <c r="I15" s="19">
        <v>1</v>
      </c>
      <c r="J15" s="22">
        <f t="shared" si="11"/>
        <v>0.12877684407096179</v>
      </c>
      <c r="K15" s="23" t="str">
        <f t="shared" si="1"/>
        <v>Hedef Gerçekleşti</v>
      </c>
      <c r="L15" s="24" t="e" vm="3">
        <f>IF(K15="","",$AK$3)</f>
        <v>#VALUE!</v>
      </c>
      <c r="M15" s="22">
        <f t="shared" si="3"/>
        <v>1</v>
      </c>
      <c r="N15" s="22" t="str">
        <f t="shared" si="4"/>
        <v/>
      </c>
      <c r="O15" s="25"/>
      <c r="P15" s="19" t="s">
        <v>123</v>
      </c>
      <c r="Q15" s="19" t="s">
        <v>39</v>
      </c>
      <c r="R15" s="20">
        <v>45337</v>
      </c>
      <c r="S15" s="21">
        <v>14.41</v>
      </c>
      <c r="T15" s="21">
        <v>17</v>
      </c>
      <c r="U15" s="19">
        <v>8</v>
      </c>
      <c r="V15" s="19" t="s">
        <v>124</v>
      </c>
      <c r="W15" s="19">
        <v>2</v>
      </c>
      <c r="X15" s="22">
        <f t="shared" si="12"/>
        <v>0.17973629424011103</v>
      </c>
      <c r="Y15" s="23" t="str">
        <f t="shared" si="7"/>
        <v>Hedef Gerçekleşti</v>
      </c>
      <c r="Z15" s="24" t="e" vm="3">
        <f t="shared" si="8"/>
        <v>#VALUE!</v>
      </c>
      <c r="AA15" s="22">
        <f t="shared" si="9"/>
        <v>1</v>
      </c>
      <c r="AB15" s="22" t="str">
        <f t="shared" si="10"/>
        <v/>
      </c>
      <c r="AC15" s="8"/>
      <c r="AD15" s="8"/>
      <c r="AE15" s="8">
        <v>631</v>
      </c>
      <c r="AF15" s="8">
        <v>510</v>
      </c>
      <c r="AG15" s="8"/>
      <c r="AH15" s="8">
        <v>20.239999999999998</v>
      </c>
      <c r="AI15" s="8">
        <v>16.489999999999998</v>
      </c>
      <c r="AJ15" s="8"/>
      <c r="AK15" s="8"/>
      <c r="AL15" s="8"/>
      <c r="AM15" s="8"/>
    </row>
    <row r="16" spans="1:45" ht="23.1" customHeight="1" x14ac:dyDescent="0.25">
      <c r="A16" s="8"/>
      <c r="B16" s="19" t="s">
        <v>3</v>
      </c>
      <c r="C16" s="19" t="s">
        <v>39</v>
      </c>
      <c r="D16" s="20">
        <v>45537</v>
      </c>
      <c r="E16" s="21">
        <v>49.9</v>
      </c>
      <c r="F16" s="21">
        <v>72.3</v>
      </c>
      <c r="G16" s="19">
        <v>21</v>
      </c>
      <c r="H16" s="19" t="s">
        <v>55</v>
      </c>
      <c r="I16" s="19">
        <v>1</v>
      </c>
      <c r="J16" s="22">
        <f t="shared" ref="J16:J54" si="13">IF(B16="","",IFERROR((F16-E16)/E16,""))</f>
        <v>0.44889779559118237</v>
      </c>
      <c r="K16" s="23" t="str">
        <f t="shared" ref="K16:K54" si="14">IF(AE16&gt;F16,"Hedef Gerçekleşti","")</f>
        <v/>
      </c>
      <c r="L16" s="24" t="str">
        <f>IF(K16="","",$AK$3)</f>
        <v/>
      </c>
      <c r="M16" s="22">
        <f t="shared" ref="M16:M54" si="15">IF(K16="",(AE16-E16)/E16,1)</f>
        <v>9.9198396793587232E-2</v>
      </c>
      <c r="N16" s="22">
        <f t="shared" ref="N16:N54" si="16">IF(M16=1,"",(AF16-E16)/E16)</f>
        <v>-6.5731462925851733E-2</v>
      </c>
      <c r="O16" s="25"/>
      <c r="P16" s="19" t="s">
        <v>123</v>
      </c>
      <c r="Q16" s="19" t="s">
        <v>39</v>
      </c>
      <c r="R16" s="20">
        <v>45425</v>
      </c>
      <c r="S16" s="21">
        <v>16.920000000000002</v>
      </c>
      <c r="T16" s="21">
        <v>20</v>
      </c>
      <c r="U16" s="19">
        <v>18</v>
      </c>
      <c r="V16" s="19" t="s">
        <v>125</v>
      </c>
      <c r="W16" s="19">
        <v>1</v>
      </c>
      <c r="X16" s="22">
        <f t="shared" ref="X16:X54" si="17">IF(P16="","",IFERROR((T16-S16)/S16,""))</f>
        <v>0.18203309692671382</v>
      </c>
      <c r="Y16" s="23" t="str">
        <f t="shared" si="7"/>
        <v>Hedef Gerçekleşti</v>
      </c>
      <c r="Z16" s="24" t="e" vm="3">
        <f t="shared" si="8"/>
        <v>#VALUE!</v>
      </c>
      <c r="AA16" s="22">
        <f t="shared" si="9"/>
        <v>1</v>
      </c>
      <c r="AB16" s="22" t="str">
        <f t="shared" si="10"/>
        <v/>
      </c>
      <c r="AC16" s="8"/>
      <c r="AD16" s="8"/>
      <c r="AE16" s="8">
        <v>54.85</v>
      </c>
      <c r="AF16" s="8">
        <v>46.62</v>
      </c>
      <c r="AG16" s="8"/>
      <c r="AH16" s="8">
        <v>20.239999999999998</v>
      </c>
      <c r="AI16" s="8">
        <v>16.489999999999998</v>
      </c>
      <c r="AJ16" s="8"/>
      <c r="AK16" s="8"/>
      <c r="AL16" s="8"/>
      <c r="AM16" s="8"/>
    </row>
    <row r="17" spans="1:39" ht="23.1" customHeight="1" x14ac:dyDescent="0.25">
      <c r="A17" s="8"/>
      <c r="B17" s="19" t="s">
        <v>56</v>
      </c>
      <c r="C17" s="19" t="s">
        <v>39</v>
      </c>
      <c r="D17" s="20">
        <v>45369</v>
      </c>
      <c r="E17" s="21">
        <v>327</v>
      </c>
      <c r="F17" s="21">
        <v>362.82</v>
      </c>
      <c r="G17" s="19">
        <v>10</v>
      </c>
      <c r="H17" s="19" t="s">
        <v>57</v>
      </c>
      <c r="I17" s="19">
        <v>2</v>
      </c>
      <c r="J17" s="22">
        <f t="shared" si="13"/>
        <v>0.1095412844036697</v>
      </c>
      <c r="K17" s="23" t="str">
        <f t="shared" si="14"/>
        <v>Hedef Gerçekleşti</v>
      </c>
      <c r="L17" s="24" t="e" vm="3">
        <f>IF(K17="","",$AK$3)</f>
        <v>#VALUE!</v>
      </c>
      <c r="M17" s="22">
        <f t="shared" si="15"/>
        <v>1</v>
      </c>
      <c r="N17" s="22" t="str">
        <f t="shared" si="16"/>
        <v/>
      </c>
      <c r="O17" s="25"/>
      <c r="P17" s="19" t="s">
        <v>126</v>
      </c>
      <c r="Q17" s="19" t="s">
        <v>39</v>
      </c>
      <c r="R17" s="20">
        <v>45422</v>
      </c>
      <c r="S17" s="21">
        <v>21.22</v>
      </c>
      <c r="T17" s="21">
        <v>33</v>
      </c>
      <c r="U17" s="19">
        <v>23</v>
      </c>
      <c r="V17" s="19" t="s">
        <v>127</v>
      </c>
      <c r="W17" s="19">
        <v>1</v>
      </c>
      <c r="X17" s="22">
        <f t="shared" si="17"/>
        <v>0.55513666352497648</v>
      </c>
      <c r="Y17" s="23" t="str">
        <f t="shared" si="7"/>
        <v/>
      </c>
      <c r="Z17" s="24" t="str">
        <f t="shared" si="8"/>
        <v/>
      </c>
      <c r="AA17" s="22">
        <f t="shared" si="9"/>
        <v>0.22902921771913287</v>
      </c>
      <c r="AB17" s="22">
        <f t="shared" si="10"/>
        <v>9.9905749293119753E-2</v>
      </c>
      <c r="AC17" s="8"/>
      <c r="AD17" s="8"/>
      <c r="AE17" s="8">
        <v>415.5</v>
      </c>
      <c r="AF17" s="8">
        <v>230.7</v>
      </c>
      <c r="AG17" s="8"/>
      <c r="AH17" s="8">
        <v>26.08</v>
      </c>
      <c r="AI17" s="8">
        <v>23.34</v>
      </c>
      <c r="AJ17" s="8"/>
      <c r="AK17" s="8"/>
      <c r="AL17" s="8"/>
      <c r="AM17" s="8"/>
    </row>
    <row r="18" spans="1:39" ht="23.1" customHeight="1" x14ac:dyDescent="0.25">
      <c r="A18" s="8"/>
      <c r="B18" s="19" t="s">
        <v>56</v>
      </c>
      <c r="C18" s="19" t="s">
        <v>39</v>
      </c>
      <c r="D18" s="20">
        <v>45450</v>
      </c>
      <c r="E18" s="21">
        <v>268.5</v>
      </c>
      <c r="F18" s="21">
        <v>321.91000000000003</v>
      </c>
      <c r="G18" s="19">
        <v>16</v>
      </c>
      <c r="H18" s="19" t="s">
        <v>58</v>
      </c>
      <c r="I18" s="19">
        <v>2</v>
      </c>
      <c r="J18" s="22">
        <f t="shared" si="13"/>
        <v>0.19891992551210438</v>
      </c>
      <c r="K18" s="23" t="str">
        <f t="shared" si="14"/>
        <v/>
      </c>
      <c r="L18" s="24" t="str">
        <f>IF(K18="","",$AK$3)</f>
        <v/>
      </c>
      <c r="M18" s="22">
        <f t="shared" si="15"/>
        <v>4.8417132216014895E-2</v>
      </c>
      <c r="N18" s="22">
        <f t="shared" si="16"/>
        <v>-0.14078212290502798</v>
      </c>
      <c r="O18" s="25"/>
      <c r="P18" s="19" t="s">
        <v>128</v>
      </c>
      <c r="Q18" s="19" t="s">
        <v>39</v>
      </c>
      <c r="R18" s="20">
        <v>45450</v>
      </c>
      <c r="S18" s="21">
        <v>175.2</v>
      </c>
      <c r="T18" s="21">
        <v>214.15</v>
      </c>
      <c r="U18" s="19">
        <v>7</v>
      </c>
      <c r="V18" s="19" t="s">
        <v>129</v>
      </c>
      <c r="W18" s="19">
        <v>1</v>
      </c>
      <c r="X18" s="22">
        <f t="shared" si="17"/>
        <v>0.22231735159817362</v>
      </c>
      <c r="Y18" s="23" t="str">
        <f t="shared" si="7"/>
        <v/>
      </c>
      <c r="Z18" s="24" t="str">
        <f t="shared" si="8"/>
        <v/>
      </c>
      <c r="AA18" s="22">
        <f t="shared" si="9"/>
        <v>6.7351598173516047E-2</v>
      </c>
      <c r="AB18" s="22">
        <f t="shared" si="10"/>
        <v>2.1689497716895042E-2</v>
      </c>
      <c r="AC18" s="8"/>
      <c r="AD18" s="8"/>
      <c r="AE18" s="8">
        <v>281.5</v>
      </c>
      <c r="AF18" s="8">
        <v>230.7</v>
      </c>
      <c r="AG18" s="8"/>
      <c r="AH18" s="8">
        <v>187</v>
      </c>
      <c r="AI18" s="8">
        <v>179</v>
      </c>
      <c r="AJ18" s="8"/>
      <c r="AK18" s="8"/>
      <c r="AL18" s="8"/>
      <c r="AM18" s="8"/>
    </row>
    <row r="19" spans="1:39" ht="23.1" customHeight="1" x14ac:dyDescent="0.25">
      <c r="A19" s="8"/>
      <c r="B19" s="19" t="s">
        <v>56</v>
      </c>
      <c r="C19" s="19" t="s">
        <v>39</v>
      </c>
      <c r="D19" s="20">
        <v>45533</v>
      </c>
      <c r="E19" s="21">
        <v>232.5</v>
      </c>
      <c r="F19" s="21">
        <v>324</v>
      </c>
      <c r="G19" s="19">
        <v>20</v>
      </c>
      <c r="H19" s="19" t="s">
        <v>59</v>
      </c>
      <c r="I19" s="19">
        <v>2</v>
      </c>
      <c r="J19" s="22">
        <f t="shared" ref="J19" si="18">IF(B19="","",IFERROR((F19-E19)/E19,""))</f>
        <v>0.3935483870967742</v>
      </c>
      <c r="K19" s="23" t="str">
        <f t="shared" ref="K19" si="19">IF(AE19&gt;F19,"Hedef Gerçekleşti","")</f>
        <v/>
      </c>
      <c r="L19" s="24" t="str">
        <f t="shared" ref="L19" si="20">IF(K19="","",$AK$3)</f>
        <v/>
      </c>
      <c r="M19" s="22">
        <f t="shared" ref="M19" si="21">IF(K19="",(AE19-E19)/E19,1)</f>
        <v>2.9247311827957038E-2</v>
      </c>
      <c r="N19" s="22">
        <f t="shared" ref="N19" si="22">IF(M19=1,"",(AF19-E19)/E19)</f>
        <v>-7.7419354838710163E-3</v>
      </c>
      <c r="O19" s="25"/>
      <c r="P19" s="19" t="s">
        <v>130</v>
      </c>
      <c r="Q19" s="19" t="s">
        <v>39</v>
      </c>
      <c r="R19" s="20">
        <v>45378</v>
      </c>
      <c r="S19" s="21">
        <v>20.18</v>
      </c>
      <c r="T19" s="21">
        <v>25</v>
      </c>
      <c r="U19" s="19">
        <v>9</v>
      </c>
      <c r="V19" s="19" t="s">
        <v>131</v>
      </c>
      <c r="W19" s="19">
        <v>1</v>
      </c>
      <c r="X19" s="22">
        <f t="shared" ref="X19" si="23">IF(P19="","",IFERROR((T19-S19)/S19,""))</f>
        <v>0.23885034687809714</v>
      </c>
      <c r="Y19" s="23" t="str">
        <f t="shared" si="7"/>
        <v>Hedef Gerçekleşti</v>
      </c>
      <c r="Z19" s="24" t="e" vm="3">
        <f t="shared" si="8"/>
        <v>#VALUE!</v>
      </c>
      <c r="AA19" s="22">
        <f t="shared" si="9"/>
        <v>1</v>
      </c>
      <c r="AB19" s="22" t="str">
        <f t="shared" si="10"/>
        <v/>
      </c>
      <c r="AC19" s="8"/>
      <c r="AD19" s="8"/>
      <c r="AE19" s="8">
        <v>239.3</v>
      </c>
      <c r="AF19" s="8">
        <v>230.7</v>
      </c>
      <c r="AG19" s="8"/>
      <c r="AH19" s="8">
        <v>26.2</v>
      </c>
      <c r="AI19" s="8">
        <v>19.23</v>
      </c>
      <c r="AJ19" s="8"/>
      <c r="AK19" s="8"/>
      <c r="AL19" s="8"/>
      <c r="AM19" s="8"/>
    </row>
    <row r="20" spans="1:39" ht="23.1" customHeight="1" x14ac:dyDescent="0.25">
      <c r="A20" s="8"/>
      <c r="B20" s="19" t="s">
        <v>56</v>
      </c>
      <c r="C20" s="19" t="s">
        <v>39</v>
      </c>
      <c r="D20" s="20">
        <v>45538</v>
      </c>
      <c r="E20" s="21">
        <v>228.1</v>
      </c>
      <c r="F20" s="21">
        <v>314</v>
      </c>
      <c r="G20" s="19">
        <v>25</v>
      </c>
      <c r="H20" s="19" t="s">
        <v>60</v>
      </c>
      <c r="I20" s="19">
        <v>1</v>
      </c>
      <c r="J20" s="22">
        <f t="shared" si="13"/>
        <v>0.37658921525646649</v>
      </c>
      <c r="K20" s="23" t="str">
        <f t="shared" si="14"/>
        <v/>
      </c>
      <c r="L20" s="24" t="str">
        <f>IF(K20="","",$AK$3)</f>
        <v/>
      </c>
      <c r="M20" s="22">
        <f t="shared" si="15"/>
        <v>1.1398509425690461E-2</v>
      </c>
      <c r="N20" s="22">
        <f t="shared" si="16"/>
        <v>1.1398509425690461E-2</v>
      </c>
      <c r="O20" s="25"/>
      <c r="P20" s="19" t="s">
        <v>132</v>
      </c>
      <c r="Q20" s="19" t="s">
        <v>39</v>
      </c>
      <c r="R20" s="20">
        <v>45450</v>
      </c>
      <c r="S20" s="21">
        <v>166.9</v>
      </c>
      <c r="T20" s="21">
        <v>229.42</v>
      </c>
      <c r="U20" s="19">
        <v>19</v>
      </c>
      <c r="V20" s="19" t="s">
        <v>133</v>
      </c>
      <c r="W20" s="19">
        <v>2</v>
      </c>
      <c r="X20" s="22">
        <f t="shared" si="17"/>
        <v>0.37459556620730966</v>
      </c>
      <c r="Y20" s="23" t="str">
        <f t="shared" si="7"/>
        <v/>
      </c>
      <c r="Z20" s="24" t="str">
        <f t="shared" si="8"/>
        <v/>
      </c>
      <c r="AA20" s="22">
        <f t="shared" si="9"/>
        <v>0.14319952067106054</v>
      </c>
      <c r="AB20" s="22">
        <f t="shared" si="10"/>
        <v>-0.12462552426602763</v>
      </c>
      <c r="AC20" s="8"/>
      <c r="AD20" s="8"/>
      <c r="AE20" s="8">
        <v>230.7</v>
      </c>
      <c r="AF20" s="8">
        <v>230.7</v>
      </c>
      <c r="AG20" s="8"/>
      <c r="AH20" s="8">
        <v>190.8</v>
      </c>
      <c r="AI20" s="8">
        <v>146.1</v>
      </c>
      <c r="AJ20" s="8"/>
      <c r="AK20" s="8"/>
      <c r="AL20" s="8"/>
      <c r="AM20" s="8"/>
    </row>
    <row r="21" spans="1:39" ht="23.1" customHeight="1" x14ac:dyDescent="0.25">
      <c r="A21" s="8"/>
      <c r="B21" s="19" t="s">
        <v>5</v>
      </c>
      <c r="C21" s="19" t="s">
        <v>39</v>
      </c>
      <c r="D21" s="20">
        <v>45450</v>
      </c>
      <c r="E21" s="21">
        <v>294.25</v>
      </c>
      <c r="F21" s="21">
        <v>416.2</v>
      </c>
      <c r="G21" s="19">
        <v>20</v>
      </c>
      <c r="H21" s="19" t="s">
        <v>61</v>
      </c>
      <c r="I21" s="19">
        <v>2</v>
      </c>
      <c r="J21" s="22">
        <f t="shared" si="13"/>
        <v>0.41444350042480882</v>
      </c>
      <c r="K21" s="23" t="str">
        <f t="shared" si="14"/>
        <v/>
      </c>
      <c r="L21" s="24" t="str">
        <f>IF(K21="","",$AK$3)</f>
        <v/>
      </c>
      <c r="M21" s="22">
        <f t="shared" si="15"/>
        <v>0.20220900594732372</v>
      </c>
      <c r="N21" s="22">
        <f t="shared" si="16"/>
        <v>-0.28802039082412917</v>
      </c>
      <c r="O21" s="25"/>
      <c r="P21" s="19" t="s">
        <v>132</v>
      </c>
      <c r="Q21" s="19" t="s">
        <v>39</v>
      </c>
      <c r="R21" s="20">
        <v>45538</v>
      </c>
      <c r="S21" s="21">
        <v>147.80000000000001</v>
      </c>
      <c r="T21" s="21">
        <v>233.97</v>
      </c>
      <c r="U21" s="19">
        <v>33</v>
      </c>
      <c r="V21" s="19" t="s">
        <v>134</v>
      </c>
      <c r="W21" s="19">
        <v>1</v>
      </c>
      <c r="X21" s="22">
        <f t="shared" si="17"/>
        <v>0.58301759133964803</v>
      </c>
      <c r="Y21" s="23" t="str">
        <f t="shared" si="7"/>
        <v/>
      </c>
      <c r="Z21" s="24" t="str">
        <f t="shared" si="8"/>
        <v/>
      </c>
      <c r="AA21" s="22">
        <f t="shared" si="9"/>
        <v>6.7658998646816172E-4</v>
      </c>
      <c r="AB21" s="22">
        <f t="shared" si="10"/>
        <v>-1.1502029769959518E-2</v>
      </c>
      <c r="AC21" s="8"/>
      <c r="AD21" s="8"/>
      <c r="AE21" s="8">
        <v>353.75</v>
      </c>
      <c r="AF21" s="8">
        <v>209.5</v>
      </c>
      <c r="AG21" s="8"/>
      <c r="AH21" s="8">
        <v>147.9</v>
      </c>
      <c r="AI21" s="8">
        <v>146.1</v>
      </c>
      <c r="AJ21" s="8"/>
      <c r="AK21" s="8"/>
      <c r="AL21" s="8"/>
      <c r="AM21" s="8"/>
    </row>
    <row r="22" spans="1:39" ht="23.1" customHeight="1" x14ac:dyDescent="0.25">
      <c r="A22" s="8"/>
      <c r="B22" s="19" t="s">
        <v>5</v>
      </c>
      <c r="C22" s="19" t="s">
        <v>39</v>
      </c>
      <c r="D22" s="20">
        <v>45538</v>
      </c>
      <c r="E22" s="21">
        <v>233.7</v>
      </c>
      <c r="F22" s="21">
        <v>510</v>
      </c>
      <c r="G22" s="19">
        <v>30</v>
      </c>
      <c r="H22" s="19" t="s">
        <v>62</v>
      </c>
      <c r="I22" s="19">
        <v>1</v>
      </c>
      <c r="J22" s="22">
        <f t="shared" si="13"/>
        <v>1.1822849807445444</v>
      </c>
      <c r="K22" s="23" t="str">
        <f t="shared" si="14"/>
        <v/>
      </c>
      <c r="L22" s="24" t="str">
        <f>IF(K22="","",$AK$3)</f>
        <v/>
      </c>
      <c r="M22" s="22">
        <f t="shared" si="15"/>
        <v>0</v>
      </c>
      <c r="N22" s="22">
        <f t="shared" si="16"/>
        <v>-0.10397946084723998</v>
      </c>
      <c r="O22" s="25"/>
      <c r="P22" s="19" t="s">
        <v>21</v>
      </c>
      <c r="Q22" s="19" t="s">
        <v>39</v>
      </c>
      <c r="R22" s="20">
        <v>45538</v>
      </c>
      <c r="S22" s="21">
        <v>17.87</v>
      </c>
      <c r="T22" s="21">
        <v>27.14</v>
      </c>
      <c r="U22" s="19">
        <v>12</v>
      </c>
      <c r="V22" s="19" t="s">
        <v>135</v>
      </c>
      <c r="W22" s="19">
        <v>1</v>
      </c>
      <c r="X22" s="22">
        <f t="shared" si="17"/>
        <v>0.51874650251818688</v>
      </c>
      <c r="Y22" s="23" t="str">
        <f t="shared" si="7"/>
        <v/>
      </c>
      <c r="Z22" s="24" t="str">
        <f t="shared" si="8"/>
        <v/>
      </c>
      <c r="AA22" s="22">
        <f t="shared" si="9"/>
        <v>4.0850587576944625E-2</v>
      </c>
      <c r="AB22" s="22">
        <f t="shared" si="10"/>
        <v>-2.182428651371016E-2</v>
      </c>
      <c r="AC22" s="8"/>
      <c r="AD22" s="8"/>
      <c r="AE22" s="8">
        <v>233.7</v>
      </c>
      <c r="AF22" s="8">
        <v>209.4</v>
      </c>
      <c r="AG22" s="8"/>
      <c r="AH22" s="8">
        <v>18.600000000000001</v>
      </c>
      <c r="AI22" s="8">
        <v>17.48</v>
      </c>
      <c r="AJ22" s="8"/>
      <c r="AK22" s="8"/>
      <c r="AL22" s="8"/>
      <c r="AM22" s="8"/>
    </row>
    <row r="23" spans="1:39" ht="23.1" customHeight="1" x14ac:dyDescent="0.25">
      <c r="A23" s="8"/>
      <c r="B23" s="19" t="s">
        <v>7</v>
      </c>
      <c r="C23" s="19" t="s">
        <v>39</v>
      </c>
      <c r="D23" s="20">
        <v>45329</v>
      </c>
      <c r="E23" s="21">
        <v>51.7</v>
      </c>
      <c r="F23" s="21">
        <v>54.91</v>
      </c>
      <c r="G23" s="19">
        <v>8</v>
      </c>
      <c r="H23" s="19" t="s">
        <v>63</v>
      </c>
      <c r="I23" s="19">
        <v>2</v>
      </c>
      <c r="J23" s="22">
        <f t="shared" si="13"/>
        <v>6.2088974854932179E-2</v>
      </c>
      <c r="K23" s="23" t="str">
        <f t="shared" si="14"/>
        <v>Hedef Gerçekleşti</v>
      </c>
      <c r="L23" s="24" t="e" vm="3">
        <f>IF(K23="","",$AK$3)</f>
        <v>#VALUE!</v>
      </c>
      <c r="M23" s="22">
        <f t="shared" si="15"/>
        <v>1</v>
      </c>
      <c r="N23" s="22" t="str">
        <f t="shared" si="16"/>
        <v/>
      </c>
      <c r="O23" s="25"/>
      <c r="P23" s="19" t="s">
        <v>136</v>
      </c>
      <c r="Q23" s="19" t="s">
        <v>39</v>
      </c>
      <c r="R23" s="20">
        <v>45450</v>
      </c>
      <c r="S23" s="21">
        <v>601</v>
      </c>
      <c r="T23" s="21">
        <v>435</v>
      </c>
      <c r="U23" s="19">
        <v>10</v>
      </c>
      <c r="V23" s="19" t="s">
        <v>137</v>
      </c>
      <c r="W23" s="19">
        <v>1</v>
      </c>
      <c r="X23" s="22">
        <f t="shared" si="17"/>
        <v>-0.27620632279534107</v>
      </c>
      <c r="Y23" s="23" t="str">
        <f t="shared" si="7"/>
        <v>Hedef Gerçekleşti</v>
      </c>
      <c r="Z23" s="24" t="e" vm="3">
        <f t="shared" si="8"/>
        <v>#VALUE!</v>
      </c>
      <c r="AA23" s="22">
        <f t="shared" si="9"/>
        <v>1</v>
      </c>
      <c r="AB23" s="22" t="str">
        <f t="shared" si="10"/>
        <v/>
      </c>
      <c r="AC23" s="8"/>
      <c r="AD23" s="8"/>
      <c r="AE23" s="8">
        <v>71.8</v>
      </c>
      <c r="AF23" s="8">
        <v>70.55</v>
      </c>
      <c r="AG23" s="8"/>
      <c r="AH23" s="8">
        <v>659</v>
      </c>
      <c r="AI23" s="8">
        <v>487</v>
      </c>
      <c r="AJ23" s="8"/>
      <c r="AK23" s="8"/>
      <c r="AL23" s="8"/>
      <c r="AM23" s="8"/>
    </row>
    <row r="24" spans="1:39" ht="23.1" customHeight="1" x14ac:dyDescent="0.25">
      <c r="A24" s="8"/>
      <c r="B24" s="19" t="s">
        <v>7</v>
      </c>
      <c r="C24" s="19" t="s">
        <v>39</v>
      </c>
      <c r="D24" s="20">
        <v>45378</v>
      </c>
      <c r="E24" s="21">
        <v>53.65</v>
      </c>
      <c r="F24" s="21">
        <v>73</v>
      </c>
      <c r="G24" s="19">
        <v>13</v>
      </c>
      <c r="H24" s="19" t="s">
        <v>64</v>
      </c>
      <c r="I24" s="19">
        <v>2</v>
      </c>
      <c r="J24" s="22">
        <f t="shared" si="13"/>
        <v>0.3606710158434297</v>
      </c>
      <c r="K24" s="23" t="str">
        <f t="shared" si="14"/>
        <v/>
      </c>
      <c r="L24" s="24" t="str">
        <f>IF(K24="","",$AK$3)</f>
        <v/>
      </c>
      <c r="M24" s="22">
        <f t="shared" si="15"/>
        <v>0.33830382106244172</v>
      </c>
      <c r="N24" s="22">
        <f t="shared" si="16"/>
        <v>0.31500465983224601</v>
      </c>
      <c r="O24" s="25"/>
      <c r="P24" s="19" t="s">
        <v>138</v>
      </c>
      <c r="Q24" s="19" t="s">
        <v>39</v>
      </c>
      <c r="R24" s="20">
        <v>45631</v>
      </c>
      <c r="S24" s="21">
        <v>60.6</v>
      </c>
      <c r="T24" s="21">
        <v>86.35</v>
      </c>
      <c r="U24" s="19"/>
      <c r="V24" s="19" t="s">
        <v>138</v>
      </c>
      <c r="W24" s="19"/>
      <c r="X24" s="22">
        <f t="shared" si="17"/>
        <v>0.42491749174917481</v>
      </c>
      <c r="Y24" s="23" t="str">
        <f t="shared" si="7"/>
        <v/>
      </c>
      <c r="Z24" s="24" t="str">
        <f t="shared" si="8"/>
        <v/>
      </c>
      <c r="AA24" s="22">
        <f t="shared" si="9"/>
        <v>0</v>
      </c>
      <c r="AB24" s="22">
        <f t="shared" si="10"/>
        <v>0</v>
      </c>
      <c r="AC24" s="8"/>
      <c r="AD24" s="8"/>
      <c r="AE24" s="8">
        <v>71.8</v>
      </c>
      <c r="AF24" s="8">
        <v>70.55</v>
      </c>
      <c r="AG24" s="8"/>
      <c r="AH24" s="8">
        <v>60.6</v>
      </c>
      <c r="AI24" s="8">
        <v>60.6</v>
      </c>
      <c r="AJ24" s="8"/>
      <c r="AK24" s="8"/>
      <c r="AL24" s="8"/>
      <c r="AM24" s="8"/>
    </row>
    <row r="25" spans="1:39" ht="23.1" customHeight="1" x14ac:dyDescent="0.25">
      <c r="A25" s="8"/>
      <c r="B25" s="19" t="s">
        <v>7</v>
      </c>
      <c r="C25" s="19" t="s">
        <v>39</v>
      </c>
      <c r="D25" s="20">
        <v>45546</v>
      </c>
      <c r="E25" s="21">
        <v>56.35</v>
      </c>
      <c r="F25" s="21">
        <v>83</v>
      </c>
      <c r="G25" s="19">
        <v>28</v>
      </c>
      <c r="H25" s="19" t="s">
        <v>65</v>
      </c>
      <c r="I25" s="19">
        <v>1</v>
      </c>
      <c r="J25" s="22">
        <f t="shared" si="13"/>
        <v>0.47293700088731139</v>
      </c>
      <c r="K25" s="23" t="str">
        <f t="shared" si="14"/>
        <v/>
      </c>
      <c r="L25" s="24" t="str">
        <f>IF(K25="","",$AK$3)</f>
        <v/>
      </c>
      <c r="M25" s="22">
        <f t="shared" si="15"/>
        <v>0.27417923691215607</v>
      </c>
      <c r="N25" s="22">
        <f t="shared" si="16"/>
        <v>0.25199645075421467</v>
      </c>
      <c r="O25" s="25"/>
      <c r="P25" s="19" t="s">
        <v>139</v>
      </c>
      <c r="Q25" s="19" t="s">
        <v>39</v>
      </c>
      <c r="R25" s="20">
        <v>45369</v>
      </c>
      <c r="S25" s="21">
        <v>178.7</v>
      </c>
      <c r="T25" s="21">
        <v>242</v>
      </c>
      <c r="U25" s="19">
        <v>9</v>
      </c>
      <c r="V25" s="19" t="s">
        <v>140</v>
      </c>
      <c r="W25" s="19">
        <v>2</v>
      </c>
      <c r="X25" s="22">
        <f t="shared" si="17"/>
        <v>0.35422495803021831</v>
      </c>
      <c r="Y25" s="23" t="str">
        <f t="shared" si="7"/>
        <v>Hedef Gerçekleşti</v>
      </c>
      <c r="Z25" s="24" t="e" vm="3">
        <f t="shared" si="8"/>
        <v>#VALUE!</v>
      </c>
      <c r="AA25" s="22">
        <f t="shared" si="9"/>
        <v>1</v>
      </c>
      <c r="AB25" s="22" t="str">
        <f t="shared" si="10"/>
        <v/>
      </c>
      <c r="AC25" s="8"/>
      <c r="AD25" s="8"/>
      <c r="AE25" s="8">
        <v>71.8</v>
      </c>
      <c r="AF25" s="8">
        <v>70.55</v>
      </c>
      <c r="AG25" s="8"/>
      <c r="AH25" s="8">
        <v>270.75</v>
      </c>
      <c r="AI25" s="8">
        <v>198.8</v>
      </c>
      <c r="AJ25" s="8"/>
      <c r="AK25" s="8"/>
      <c r="AL25" s="8"/>
      <c r="AM25" s="8"/>
    </row>
    <row r="26" spans="1:39" ht="23.1" customHeight="1" x14ac:dyDescent="0.25">
      <c r="A26" s="8"/>
      <c r="B26" s="19" t="s">
        <v>66</v>
      </c>
      <c r="C26" s="19" t="s">
        <v>39</v>
      </c>
      <c r="D26" s="20">
        <v>45329</v>
      </c>
      <c r="E26" s="21">
        <v>42.34</v>
      </c>
      <c r="F26" s="21">
        <v>42.5</v>
      </c>
      <c r="G26" s="19">
        <v>4</v>
      </c>
      <c r="H26" s="19" t="s">
        <v>67</v>
      </c>
      <c r="I26" s="19">
        <v>1</v>
      </c>
      <c r="J26" s="22">
        <f t="shared" ref="J26:J45" si="24">IF(B26="","",IFERROR((F26-E26)/E26,""))</f>
        <v>3.7789324515823471E-3</v>
      </c>
      <c r="K26" s="23" t="str">
        <f t="shared" ref="K26:K45" si="25">IF(AE26&gt;F26,"Hedef Gerçekleşti","")</f>
        <v>Hedef Gerçekleşti</v>
      </c>
      <c r="L26" s="24" t="e" vm="3">
        <f t="shared" ref="L26:L45" si="26">IF(K26="","",$AK$3)</f>
        <v>#VALUE!</v>
      </c>
      <c r="M26" s="22">
        <f t="shared" ref="M26:M45" si="27">IF(K26="",(AE26-E26)/E26,1)</f>
        <v>1</v>
      </c>
      <c r="N26" s="22" t="str">
        <f t="shared" ref="N26:N45" si="28">IF(M26=1,"",(AF26-E26)/E26)</f>
        <v/>
      </c>
      <c r="O26" s="25"/>
      <c r="P26" s="19" t="s">
        <v>139</v>
      </c>
      <c r="Q26" s="19" t="s">
        <v>39</v>
      </c>
      <c r="R26" s="20">
        <v>45436</v>
      </c>
      <c r="S26" s="21">
        <v>247.8</v>
      </c>
      <c r="T26" s="21">
        <v>320</v>
      </c>
      <c r="U26" s="19">
        <v>19</v>
      </c>
      <c r="V26" s="19" t="s">
        <v>141</v>
      </c>
      <c r="W26" s="19">
        <v>1</v>
      </c>
      <c r="X26" s="22">
        <f t="shared" ref="X26:X45" si="29">IF(P26="","",IFERROR((T26-S26)/S26,""))</f>
        <v>0.29136400322840994</v>
      </c>
      <c r="Y26" s="23" t="str">
        <f t="shared" si="7"/>
        <v/>
      </c>
      <c r="Z26" s="24" t="str">
        <f t="shared" si="8"/>
        <v/>
      </c>
      <c r="AA26" s="22">
        <f t="shared" si="9"/>
        <v>1.1904761904761859E-2</v>
      </c>
      <c r="AB26" s="22">
        <f t="shared" si="10"/>
        <v>-0.19774011299435026</v>
      </c>
      <c r="AC26" s="8"/>
      <c r="AD26" s="8"/>
      <c r="AE26" s="8">
        <v>51.65</v>
      </c>
      <c r="AF26" s="8">
        <v>29.34</v>
      </c>
      <c r="AG26" s="8"/>
      <c r="AH26" s="8">
        <v>250.75</v>
      </c>
      <c r="AI26" s="8">
        <v>198.8</v>
      </c>
      <c r="AJ26" s="8"/>
      <c r="AK26" s="8"/>
      <c r="AL26" s="8"/>
      <c r="AM26" s="8"/>
    </row>
    <row r="27" spans="1:39" ht="23.1" customHeight="1" x14ac:dyDescent="0.25">
      <c r="A27" s="8"/>
      <c r="B27" s="19" t="s">
        <v>68</v>
      </c>
      <c r="C27" s="19" t="s">
        <v>39</v>
      </c>
      <c r="D27" s="20">
        <v>45538</v>
      </c>
      <c r="E27" s="21">
        <v>53.8</v>
      </c>
      <c r="F27" s="21">
        <v>90.32</v>
      </c>
      <c r="G27" s="19">
        <v>17</v>
      </c>
      <c r="H27" s="19" t="s">
        <v>69</v>
      </c>
      <c r="I27" s="19">
        <v>2</v>
      </c>
      <c r="J27" s="22">
        <f t="shared" si="24"/>
        <v>0.67881040892193301</v>
      </c>
      <c r="K27" s="23" t="str">
        <f t="shared" si="25"/>
        <v/>
      </c>
      <c r="L27" s="24" t="str">
        <f t="shared" si="26"/>
        <v/>
      </c>
      <c r="M27" s="22">
        <f t="shared" si="27"/>
        <v>1.858736059479554E-2</v>
      </c>
      <c r="N27" s="22">
        <f t="shared" si="28"/>
        <v>-0.1981412639405204</v>
      </c>
      <c r="O27" s="25"/>
      <c r="P27" s="19" t="s">
        <v>142</v>
      </c>
      <c r="Q27" s="19" t="s">
        <v>39</v>
      </c>
      <c r="R27" s="20">
        <v>45450</v>
      </c>
      <c r="S27" s="21">
        <v>49</v>
      </c>
      <c r="T27" s="21">
        <v>65.42</v>
      </c>
      <c r="U27" s="19">
        <v>4</v>
      </c>
      <c r="V27" s="19" t="s">
        <v>143</v>
      </c>
      <c r="W27" s="19">
        <v>1</v>
      </c>
      <c r="X27" s="22">
        <f t="shared" si="29"/>
        <v>0.33510204081632655</v>
      </c>
      <c r="Y27" s="23" t="str">
        <f t="shared" si="7"/>
        <v>Hedef Gerçekleşti</v>
      </c>
      <c r="Z27" s="24" t="e" vm="3">
        <f t="shared" si="8"/>
        <v>#VALUE!</v>
      </c>
      <c r="AA27" s="22">
        <f t="shared" si="9"/>
        <v>1</v>
      </c>
      <c r="AB27" s="22" t="str">
        <f t="shared" si="10"/>
        <v/>
      </c>
      <c r="AC27" s="8"/>
      <c r="AD27" s="8"/>
      <c r="AE27" s="8">
        <v>54.8</v>
      </c>
      <c r="AF27" s="8">
        <v>43.14</v>
      </c>
      <c r="AG27" s="8"/>
      <c r="AH27" s="8">
        <v>1117</v>
      </c>
      <c r="AI27" s="8">
        <v>1000</v>
      </c>
      <c r="AJ27" s="8"/>
      <c r="AK27" s="8"/>
      <c r="AL27" s="8"/>
      <c r="AM27" s="8"/>
    </row>
    <row r="28" spans="1:39" ht="23.1" customHeight="1" x14ac:dyDescent="0.25">
      <c r="A28" s="8"/>
      <c r="B28" s="19" t="s">
        <v>68</v>
      </c>
      <c r="C28" s="19" t="s">
        <v>39</v>
      </c>
      <c r="D28" s="20">
        <v>45554</v>
      </c>
      <c r="E28" s="21">
        <v>45.94</v>
      </c>
      <c r="F28" s="21">
        <v>79.459999999999994</v>
      </c>
      <c r="G28" s="19">
        <v>22</v>
      </c>
      <c r="H28" s="19" t="s">
        <v>70</v>
      </c>
      <c r="I28" s="19">
        <v>1</v>
      </c>
      <c r="J28" s="22">
        <f t="shared" si="24"/>
        <v>0.72964736612973435</v>
      </c>
      <c r="K28" s="23" t="str">
        <f t="shared" si="25"/>
        <v/>
      </c>
      <c r="L28" s="24" t="str">
        <f t="shared" si="26"/>
        <v/>
      </c>
      <c r="M28" s="22">
        <f t="shared" si="27"/>
        <v>5.267740531127562E-2</v>
      </c>
      <c r="N28" s="22">
        <f t="shared" si="28"/>
        <v>-6.0949063996517137E-2</v>
      </c>
      <c r="O28" s="25"/>
      <c r="P28" s="19" t="s">
        <v>144</v>
      </c>
      <c r="Q28" s="19" t="s">
        <v>39</v>
      </c>
      <c r="R28" s="20">
        <v>45538</v>
      </c>
      <c r="S28" s="21">
        <v>54.35</v>
      </c>
      <c r="T28" s="21">
        <v>85.43</v>
      </c>
      <c r="U28" s="19">
        <v>11</v>
      </c>
      <c r="V28" s="19" t="s">
        <v>145</v>
      </c>
      <c r="W28" s="19">
        <v>1</v>
      </c>
      <c r="X28" s="22">
        <f t="shared" si="29"/>
        <v>0.57184912603495863</v>
      </c>
      <c r="Y28" s="23" t="str">
        <f t="shared" si="7"/>
        <v>Hedef Gerçekleşti</v>
      </c>
      <c r="Z28" s="24" t="e" vm="3">
        <f t="shared" si="8"/>
        <v>#VALUE!</v>
      </c>
      <c r="AA28" s="22">
        <f t="shared" si="9"/>
        <v>1</v>
      </c>
      <c r="AB28" s="22" t="str">
        <f t="shared" si="10"/>
        <v/>
      </c>
      <c r="AC28" s="8"/>
      <c r="AD28" s="8"/>
      <c r="AE28" s="8">
        <v>48.36</v>
      </c>
      <c r="AF28" s="8">
        <v>43.14</v>
      </c>
      <c r="AG28" s="8"/>
      <c r="AH28" s="8">
        <v>1117</v>
      </c>
      <c r="AI28" s="8">
        <v>1000</v>
      </c>
      <c r="AJ28" s="8"/>
      <c r="AK28" s="8"/>
      <c r="AL28" s="8"/>
      <c r="AM28" s="8"/>
    </row>
    <row r="29" spans="1:39" ht="23.1" customHeight="1" x14ac:dyDescent="0.25">
      <c r="A29" s="8"/>
      <c r="B29" s="19" t="s">
        <v>71</v>
      </c>
      <c r="C29" s="19" t="s">
        <v>39</v>
      </c>
      <c r="D29" s="20">
        <v>45457</v>
      </c>
      <c r="E29" s="21">
        <v>112</v>
      </c>
      <c r="F29" s="21">
        <v>168</v>
      </c>
      <c r="G29" s="19">
        <v>19</v>
      </c>
      <c r="H29" s="19" t="s">
        <v>72</v>
      </c>
      <c r="I29" s="19">
        <v>2</v>
      </c>
      <c r="J29" s="22">
        <f t="shared" si="24"/>
        <v>0.5</v>
      </c>
      <c r="K29" s="23" t="str">
        <f t="shared" si="25"/>
        <v/>
      </c>
      <c r="L29" s="24" t="str">
        <f t="shared" si="26"/>
        <v/>
      </c>
      <c r="M29" s="22">
        <f t="shared" si="27"/>
        <v>0.22321428571428573</v>
      </c>
      <c r="N29" s="22">
        <f t="shared" si="28"/>
        <v>-0.23526785714285708</v>
      </c>
      <c r="O29" s="25"/>
      <c r="P29" s="19" t="s">
        <v>146</v>
      </c>
      <c r="Q29" s="19" t="s">
        <v>39</v>
      </c>
      <c r="R29" s="20">
        <v>45329</v>
      </c>
      <c r="S29" s="21">
        <v>77.55</v>
      </c>
      <c r="T29" s="21">
        <v>92.29</v>
      </c>
      <c r="U29" s="19">
        <v>7</v>
      </c>
      <c r="V29" s="19" t="s">
        <v>147</v>
      </c>
      <c r="W29" s="19">
        <v>2</v>
      </c>
      <c r="X29" s="22">
        <f t="shared" si="29"/>
        <v>0.19007092198581574</v>
      </c>
      <c r="Y29" s="23" t="str">
        <f t="shared" si="7"/>
        <v>Hedef Gerçekleşti</v>
      </c>
      <c r="Z29" s="24" t="e" vm="3">
        <f t="shared" si="8"/>
        <v>#VALUE!</v>
      </c>
      <c r="AA29" s="22">
        <f t="shared" si="9"/>
        <v>1</v>
      </c>
      <c r="AB29" s="22" t="str">
        <f t="shared" si="10"/>
        <v/>
      </c>
      <c r="AC29" s="8"/>
      <c r="AD29" s="8"/>
      <c r="AE29" s="8">
        <v>137</v>
      </c>
      <c r="AF29" s="8">
        <v>85.65</v>
      </c>
      <c r="AG29" s="8"/>
      <c r="AH29" s="8">
        <v>1117</v>
      </c>
      <c r="AI29" s="8">
        <v>1000</v>
      </c>
      <c r="AJ29" s="8"/>
      <c r="AK29" s="8"/>
      <c r="AL29" s="8"/>
      <c r="AM29" s="8"/>
    </row>
    <row r="30" spans="1:39" ht="23.1" customHeight="1" x14ac:dyDescent="0.25">
      <c r="A30" s="8"/>
      <c r="B30" s="19" t="s">
        <v>71</v>
      </c>
      <c r="C30" s="19" t="s">
        <v>39</v>
      </c>
      <c r="D30" s="20">
        <v>45538</v>
      </c>
      <c r="E30" s="21">
        <v>107.4</v>
      </c>
      <c r="F30" s="21">
        <v>164.98</v>
      </c>
      <c r="G30" s="19">
        <v>30</v>
      </c>
      <c r="H30" s="19" t="s">
        <v>73</v>
      </c>
      <c r="I30" s="19">
        <v>1</v>
      </c>
      <c r="J30" s="22">
        <f t="shared" si="24"/>
        <v>0.5361266294227186</v>
      </c>
      <c r="K30" s="23" t="str">
        <f t="shared" si="25"/>
        <v/>
      </c>
      <c r="L30" s="24" t="str">
        <f t="shared" si="26"/>
        <v/>
      </c>
      <c r="M30" s="22">
        <f t="shared" si="27"/>
        <v>0</v>
      </c>
      <c r="N30" s="22">
        <f t="shared" si="28"/>
        <v>-0.20251396648044692</v>
      </c>
      <c r="O30" s="25"/>
      <c r="P30" s="19" t="s">
        <v>146</v>
      </c>
      <c r="Q30" s="19" t="s">
        <v>39</v>
      </c>
      <c r="R30" s="20">
        <v>45385</v>
      </c>
      <c r="S30" s="21">
        <v>81.099999999999994</v>
      </c>
      <c r="T30" s="21">
        <v>117</v>
      </c>
      <c r="U30" s="19">
        <v>10</v>
      </c>
      <c r="V30" s="19" t="s">
        <v>148</v>
      </c>
      <c r="W30" s="19">
        <v>2</v>
      </c>
      <c r="X30" s="22">
        <f t="shared" si="29"/>
        <v>0.44266337854500626</v>
      </c>
      <c r="Y30" s="23" t="str">
        <f t="shared" si="7"/>
        <v>Hedef Gerçekleşti</v>
      </c>
      <c r="Z30" s="24" t="e" vm="3">
        <f t="shared" si="8"/>
        <v>#VALUE!</v>
      </c>
      <c r="AA30" s="22">
        <f t="shared" si="9"/>
        <v>1</v>
      </c>
      <c r="AB30" s="22" t="str">
        <f t="shared" si="10"/>
        <v/>
      </c>
      <c r="AC30" s="8"/>
      <c r="AD30" s="8"/>
      <c r="AE30" s="8">
        <v>107.4</v>
      </c>
      <c r="AF30" s="8">
        <v>85.65</v>
      </c>
      <c r="AG30" s="8"/>
      <c r="AH30" s="8">
        <v>1117</v>
      </c>
      <c r="AI30" s="8">
        <v>1000</v>
      </c>
      <c r="AJ30" s="8"/>
      <c r="AK30" s="8"/>
      <c r="AL30" s="8"/>
      <c r="AM30" s="8"/>
    </row>
    <row r="31" spans="1:39" ht="23.1" customHeight="1" x14ac:dyDescent="0.25">
      <c r="A31" s="8"/>
      <c r="B31" s="19" t="s">
        <v>74</v>
      </c>
      <c r="C31" s="19" t="s">
        <v>39</v>
      </c>
      <c r="D31" s="20">
        <v>45450</v>
      </c>
      <c r="E31" s="21">
        <v>48.2</v>
      </c>
      <c r="F31" s="21">
        <v>72.44</v>
      </c>
      <c r="G31" s="19">
        <v>13</v>
      </c>
      <c r="H31" s="19" t="s">
        <v>75</v>
      </c>
      <c r="I31" s="19">
        <v>1</v>
      </c>
      <c r="J31" s="22">
        <f t="shared" si="24"/>
        <v>0.50290456431535258</v>
      </c>
      <c r="K31" s="23" t="str">
        <f t="shared" si="25"/>
        <v/>
      </c>
      <c r="L31" s="24" t="str">
        <f t="shared" si="26"/>
        <v/>
      </c>
      <c r="M31" s="22">
        <f t="shared" si="27"/>
        <v>7.0539419087136901E-2</v>
      </c>
      <c r="N31" s="22">
        <f t="shared" si="28"/>
        <v>-0.13817427385892123</v>
      </c>
      <c r="O31" s="25"/>
      <c r="P31" s="19" t="s">
        <v>146</v>
      </c>
      <c r="Q31" s="19" t="s">
        <v>39</v>
      </c>
      <c r="R31" s="20">
        <v>45449</v>
      </c>
      <c r="S31" s="21">
        <v>94.85</v>
      </c>
      <c r="T31" s="21">
        <v>145</v>
      </c>
      <c r="U31" s="19">
        <v>15</v>
      </c>
      <c r="V31" s="19" t="s">
        <v>149</v>
      </c>
      <c r="W31" s="19">
        <v>2</v>
      </c>
      <c r="X31" s="22">
        <f t="shared" si="29"/>
        <v>0.52872957301001589</v>
      </c>
      <c r="Y31" s="23" t="str">
        <f t="shared" si="7"/>
        <v>Hedef Gerçekleşti</v>
      </c>
      <c r="Z31" s="24" t="e" vm="3">
        <f t="shared" si="8"/>
        <v>#VALUE!</v>
      </c>
      <c r="AA31" s="22">
        <f t="shared" si="9"/>
        <v>1</v>
      </c>
      <c r="AB31" s="22" t="str">
        <f t="shared" si="10"/>
        <v/>
      </c>
      <c r="AC31" s="8"/>
      <c r="AD31" s="8"/>
      <c r="AE31" s="8">
        <v>51.6</v>
      </c>
      <c r="AF31" s="8">
        <v>41.54</v>
      </c>
      <c r="AG31" s="8"/>
      <c r="AH31" s="8">
        <v>1117</v>
      </c>
      <c r="AI31" s="8">
        <v>1000</v>
      </c>
      <c r="AJ31" s="8"/>
      <c r="AK31" s="8"/>
      <c r="AL31" s="8"/>
      <c r="AM31" s="8"/>
    </row>
    <row r="32" spans="1:39" ht="23.1" customHeight="1" x14ac:dyDescent="0.25">
      <c r="A32" s="8"/>
      <c r="B32" s="19" t="s">
        <v>9</v>
      </c>
      <c r="C32" s="19" t="s">
        <v>39</v>
      </c>
      <c r="D32" s="20">
        <v>45421</v>
      </c>
      <c r="E32" s="21">
        <v>199.48442864999998</v>
      </c>
      <c r="F32" s="21">
        <v>240.93626992639997</v>
      </c>
      <c r="G32" s="19">
        <v>16</v>
      </c>
      <c r="H32" s="19" t="s">
        <v>76</v>
      </c>
      <c r="I32" s="19">
        <v>2</v>
      </c>
      <c r="J32" s="22">
        <f t="shared" si="24"/>
        <v>0.20779487179487174</v>
      </c>
      <c r="K32" s="23" t="str">
        <f t="shared" si="25"/>
        <v>Hedef Gerçekleşti</v>
      </c>
      <c r="L32" s="24" t="e" vm="3">
        <f t="shared" si="26"/>
        <v>#VALUE!</v>
      </c>
      <c r="M32" s="22">
        <f t="shared" si="27"/>
        <v>1</v>
      </c>
      <c r="N32" s="22" t="str">
        <f t="shared" si="28"/>
        <v/>
      </c>
      <c r="O32" s="25"/>
      <c r="P32" s="19" t="s">
        <v>146</v>
      </c>
      <c r="Q32" s="19" t="s">
        <v>39</v>
      </c>
      <c r="R32" s="20">
        <v>45538</v>
      </c>
      <c r="S32" s="21">
        <v>93</v>
      </c>
      <c r="T32" s="21">
        <v>150</v>
      </c>
      <c r="U32" s="19">
        <v>19</v>
      </c>
      <c r="V32" s="19" t="s">
        <v>150</v>
      </c>
      <c r="W32" s="19">
        <v>1</v>
      </c>
      <c r="X32" s="22">
        <f t="shared" si="29"/>
        <v>0.61290322580645162</v>
      </c>
      <c r="Y32" s="23" t="str">
        <f t="shared" si="7"/>
        <v>Hedef Gerçekleşti</v>
      </c>
      <c r="Z32" s="24" t="e" vm="3">
        <f t="shared" si="8"/>
        <v>#VALUE!</v>
      </c>
      <c r="AA32" s="22">
        <f t="shared" si="9"/>
        <v>1</v>
      </c>
      <c r="AB32" s="22" t="str">
        <f t="shared" si="10"/>
        <v/>
      </c>
      <c r="AC32" s="8"/>
      <c r="AD32" s="8"/>
      <c r="AE32" s="8">
        <v>260</v>
      </c>
      <c r="AF32" s="8">
        <v>223.2</v>
      </c>
      <c r="AG32" s="8"/>
      <c r="AH32" s="8">
        <v>1117</v>
      </c>
      <c r="AI32" s="8">
        <v>1000</v>
      </c>
      <c r="AJ32" s="8"/>
      <c r="AK32" s="8"/>
      <c r="AL32" s="8"/>
      <c r="AM32" s="8"/>
    </row>
    <row r="33" spans="1:39" ht="23.1" customHeight="1" x14ac:dyDescent="0.25">
      <c r="A33" s="8"/>
      <c r="B33" s="19" t="s">
        <v>9</v>
      </c>
      <c r="C33" s="19" t="s">
        <v>39</v>
      </c>
      <c r="D33" s="20">
        <v>45538</v>
      </c>
      <c r="E33" s="21">
        <v>233.3</v>
      </c>
      <c r="F33" s="21">
        <v>256.60000000000002</v>
      </c>
      <c r="G33" s="19">
        <v>28</v>
      </c>
      <c r="H33" s="19" t="s">
        <v>77</v>
      </c>
      <c r="I33" s="19">
        <v>1</v>
      </c>
      <c r="J33" s="22">
        <f t="shared" si="24"/>
        <v>9.98714102014574E-2</v>
      </c>
      <c r="K33" s="23" t="str">
        <f t="shared" si="25"/>
        <v/>
      </c>
      <c r="L33" s="24" t="str">
        <f t="shared" si="26"/>
        <v/>
      </c>
      <c r="M33" s="22">
        <f t="shared" si="27"/>
        <v>8.5512216030861496E-2</v>
      </c>
      <c r="N33" s="22">
        <f t="shared" si="28"/>
        <v>-4.3291898842691912E-2</v>
      </c>
      <c r="O33" s="25"/>
      <c r="P33" s="19" t="s">
        <v>151</v>
      </c>
      <c r="Q33" s="19" t="s">
        <v>39</v>
      </c>
      <c r="R33" s="20">
        <v>45329</v>
      </c>
      <c r="S33" s="21">
        <v>250.5</v>
      </c>
      <c r="T33" s="21">
        <v>355</v>
      </c>
      <c r="U33" s="19">
        <v>2</v>
      </c>
      <c r="V33" s="19" t="s">
        <v>152</v>
      </c>
      <c r="W33" s="19">
        <v>2</v>
      </c>
      <c r="X33" s="22">
        <f t="shared" si="29"/>
        <v>0.41716566866267463</v>
      </c>
      <c r="Y33" s="23" t="str">
        <f t="shared" si="7"/>
        <v>Hedef Gerçekleşti</v>
      </c>
      <c r="Z33" s="24" t="e" vm="3">
        <f t="shared" si="8"/>
        <v>#VALUE!</v>
      </c>
      <c r="AA33" s="22">
        <f t="shared" si="9"/>
        <v>1</v>
      </c>
      <c r="AB33" s="22" t="str">
        <f t="shared" si="10"/>
        <v/>
      </c>
      <c r="AC33" s="8"/>
      <c r="AD33" s="8"/>
      <c r="AE33" s="8">
        <v>253.25</v>
      </c>
      <c r="AF33" s="8">
        <v>223.2</v>
      </c>
      <c r="AG33" s="8"/>
      <c r="AH33" s="8">
        <v>1117</v>
      </c>
      <c r="AI33" s="8">
        <v>1000</v>
      </c>
      <c r="AJ33" s="8"/>
      <c r="AK33" s="8"/>
      <c r="AL33" s="8"/>
      <c r="AM33" s="8"/>
    </row>
    <row r="34" spans="1:39" ht="23.1" customHeight="1" x14ac:dyDescent="0.25">
      <c r="A34" s="8"/>
      <c r="B34" s="19" t="s">
        <v>78</v>
      </c>
      <c r="C34" s="19" t="s">
        <v>39</v>
      </c>
      <c r="D34" s="20">
        <v>45336</v>
      </c>
      <c r="E34" s="21">
        <v>153.69999999999999</v>
      </c>
      <c r="F34" s="21">
        <v>208.4</v>
      </c>
      <c r="G34" s="19">
        <v>8</v>
      </c>
      <c r="H34" s="19" t="s">
        <v>79</v>
      </c>
      <c r="I34" s="19">
        <v>2</v>
      </c>
      <c r="J34" s="22">
        <f t="shared" ref="J34:J44" si="30">IF(B34="","",IFERROR((F34-E34)/E34,""))</f>
        <v>0.3558880936890047</v>
      </c>
      <c r="K34" s="23" t="str">
        <f t="shared" ref="K34:K44" si="31">IF(AE34&gt;F34,"Hedef Gerçekleşti","")</f>
        <v>Hedef Gerçekleşti</v>
      </c>
      <c r="L34" s="24" t="e" vm="3">
        <f t="shared" ref="L34:L44" si="32">IF(K34="","",$AK$3)</f>
        <v>#VALUE!</v>
      </c>
      <c r="M34" s="22">
        <f t="shared" ref="M34:M44" si="33">IF(K34="",(AE34-E34)/E34,1)</f>
        <v>1</v>
      </c>
      <c r="N34" s="22" t="str">
        <f t="shared" ref="N34:N44" si="34">IF(M34=1,"",(AF34-E34)/E34)</f>
        <v/>
      </c>
      <c r="O34" s="25"/>
      <c r="P34" s="19" t="s">
        <v>151</v>
      </c>
      <c r="Q34" s="19" t="s">
        <v>39</v>
      </c>
      <c r="R34" s="20">
        <v>45471</v>
      </c>
      <c r="S34" s="21">
        <v>360.75</v>
      </c>
      <c r="T34" s="21">
        <v>555</v>
      </c>
      <c r="U34" s="19">
        <v>5</v>
      </c>
      <c r="V34" s="19" t="s">
        <v>153</v>
      </c>
      <c r="W34" s="19">
        <v>1</v>
      </c>
      <c r="X34" s="22">
        <f t="shared" ref="X34:X44" si="35">IF(P34="","",IFERROR((T34-S34)/S34,""))</f>
        <v>0.53846153846153844</v>
      </c>
      <c r="Y34" s="23" t="str">
        <f t="shared" si="7"/>
        <v>Hedef Gerçekleşti</v>
      </c>
      <c r="Z34" s="24" t="e" vm="3">
        <f t="shared" si="8"/>
        <v>#VALUE!</v>
      </c>
      <c r="AA34" s="22">
        <f t="shared" si="9"/>
        <v>1</v>
      </c>
      <c r="AB34" s="22" t="str">
        <f t="shared" si="10"/>
        <v/>
      </c>
      <c r="AC34" s="8"/>
      <c r="AD34" s="8"/>
      <c r="AE34" s="8">
        <v>294.75</v>
      </c>
      <c r="AF34" s="8">
        <v>282</v>
      </c>
      <c r="AG34" s="8"/>
      <c r="AH34" s="8">
        <v>1117</v>
      </c>
      <c r="AI34" s="8">
        <v>1000</v>
      </c>
      <c r="AJ34" s="8"/>
      <c r="AK34" s="8"/>
      <c r="AL34" s="8"/>
      <c r="AM34" s="8"/>
    </row>
    <row r="35" spans="1:39" ht="23.1" customHeight="1" x14ac:dyDescent="0.25">
      <c r="A35" s="8"/>
      <c r="B35" s="19" t="s">
        <v>78</v>
      </c>
      <c r="C35" s="19" t="s">
        <v>39</v>
      </c>
      <c r="D35" s="20">
        <v>45408</v>
      </c>
      <c r="E35" s="21">
        <v>217.1</v>
      </c>
      <c r="F35" s="21">
        <v>295</v>
      </c>
      <c r="G35" s="19">
        <v>20</v>
      </c>
      <c r="H35" s="19" t="s">
        <v>80</v>
      </c>
      <c r="I35" s="19">
        <v>2</v>
      </c>
      <c r="J35" s="22">
        <f t="shared" si="30"/>
        <v>0.35882081989866427</v>
      </c>
      <c r="K35" s="23" t="str">
        <f t="shared" si="31"/>
        <v/>
      </c>
      <c r="L35" s="24" t="str">
        <f t="shared" si="32"/>
        <v/>
      </c>
      <c r="M35" s="22">
        <f t="shared" si="33"/>
        <v>0.35766927683095351</v>
      </c>
      <c r="N35" s="22">
        <f t="shared" si="34"/>
        <v>0.29894058037770616</v>
      </c>
      <c r="O35" s="25"/>
      <c r="P35" s="19" t="s">
        <v>154</v>
      </c>
      <c r="Q35" s="19" t="s">
        <v>39</v>
      </c>
      <c r="R35" s="20">
        <v>45450</v>
      </c>
      <c r="S35" s="21">
        <v>107</v>
      </c>
      <c r="T35" s="21">
        <v>75</v>
      </c>
      <c r="U35" s="19">
        <v>4</v>
      </c>
      <c r="V35" s="19" t="s">
        <v>155</v>
      </c>
      <c r="W35" s="19">
        <v>2</v>
      </c>
      <c r="X35" s="22">
        <f t="shared" si="35"/>
        <v>-0.29906542056074764</v>
      </c>
      <c r="Y35" s="23" t="str">
        <f t="shared" si="7"/>
        <v>Hedef Gerçekleşti</v>
      </c>
      <c r="Z35" s="24" t="e" vm="3">
        <f t="shared" si="8"/>
        <v>#VALUE!</v>
      </c>
      <c r="AA35" s="22">
        <f t="shared" si="9"/>
        <v>1</v>
      </c>
      <c r="AB35" s="22" t="str">
        <f t="shared" si="10"/>
        <v/>
      </c>
      <c r="AC35" s="8"/>
      <c r="AD35" s="8"/>
      <c r="AE35" s="8">
        <v>294.75</v>
      </c>
      <c r="AF35" s="8">
        <v>282</v>
      </c>
      <c r="AG35" s="8"/>
      <c r="AH35" s="8">
        <v>1117</v>
      </c>
      <c r="AI35" s="8">
        <v>1000</v>
      </c>
      <c r="AJ35" s="8"/>
      <c r="AK35" s="8"/>
      <c r="AL35" s="8"/>
      <c r="AM35" s="8"/>
    </row>
    <row r="36" spans="1:39" ht="23.1" customHeight="1" x14ac:dyDescent="0.25">
      <c r="A36" s="8"/>
      <c r="B36" s="19" t="s">
        <v>78</v>
      </c>
      <c r="C36" s="19" t="s">
        <v>39</v>
      </c>
      <c r="D36" s="20">
        <v>45496</v>
      </c>
      <c r="E36" s="21">
        <v>274</v>
      </c>
      <c r="F36" s="21">
        <v>350</v>
      </c>
      <c r="G36" s="19">
        <v>31</v>
      </c>
      <c r="H36" s="19" t="s">
        <v>81</v>
      </c>
      <c r="I36" s="19">
        <v>1</v>
      </c>
      <c r="J36" s="22">
        <f t="shared" si="30"/>
        <v>0.27737226277372262</v>
      </c>
      <c r="K36" s="23" t="str">
        <f t="shared" si="31"/>
        <v/>
      </c>
      <c r="L36" s="24" t="str">
        <f t="shared" si="32"/>
        <v/>
      </c>
      <c r="M36" s="22">
        <f t="shared" si="33"/>
        <v>2.9197080291970802E-2</v>
      </c>
      <c r="N36" s="22">
        <f t="shared" si="34"/>
        <v>2.9197080291970802E-2</v>
      </c>
      <c r="O36" s="25"/>
      <c r="P36" s="19" t="s">
        <v>154</v>
      </c>
      <c r="Q36" s="19" t="s">
        <v>39</v>
      </c>
      <c r="R36" s="20">
        <v>45485</v>
      </c>
      <c r="S36" s="21">
        <v>136.4</v>
      </c>
      <c r="T36" s="21">
        <v>165</v>
      </c>
      <c r="U36" s="19">
        <v>5</v>
      </c>
      <c r="V36" s="19" t="s">
        <v>156</v>
      </c>
      <c r="W36" s="19">
        <v>1</v>
      </c>
      <c r="X36" s="22">
        <f t="shared" si="35"/>
        <v>0.20967741935483866</v>
      </c>
      <c r="Y36" s="23" t="str">
        <f t="shared" si="7"/>
        <v>Hedef Gerçekleşti</v>
      </c>
      <c r="Z36" s="24" t="e" vm="3">
        <f t="shared" si="8"/>
        <v>#VALUE!</v>
      </c>
      <c r="AA36" s="22">
        <f t="shared" si="9"/>
        <v>1</v>
      </c>
      <c r="AB36" s="22" t="str">
        <f t="shared" si="10"/>
        <v/>
      </c>
      <c r="AC36" s="8"/>
      <c r="AD36" s="8"/>
      <c r="AE36" s="8">
        <v>282</v>
      </c>
      <c r="AF36" s="8">
        <v>282</v>
      </c>
      <c r="AG36" s="8"/>
      <c r="AH36" s="8">
        <v>1117</v>
      </c>
      <c r="AI36" s="8">
        <v>1000</v>
      </c>
      <c r="AJ36" s="8"/>
      <c r="AK36" s="8"/>
      <c r="AL36" s="8"/>
      <c r="AM36" s="8"/>
    </row>
    <row r="37" spans="1:39" ht="23.1" customHeight="1" x14ac:dyDescent="0.25">
      <c r="A37" s="8"/>
      <c r="B37" s="19" t="s">
        <v>12</v>
      </c>
      <c r="C37" s="19" t="s">
        <v>39</v>
      </c>
      <c r="D37" s="20">
        <v>45435</v>
      </c>
      <c r="E37" s="21">
        <v>317.5</v>
      </c>
      <c r="F37" s="21">
        <v>485</v>
      </c>
      <c r="G37" s="19">
        <v>26</v>
      </c>
      <c r="H37" s="19" t="s">
        <v>82</v>
      </c>
      <c r="I37" s="19">
        <v>1</v>
      </c>
      <c r="J37" s="22">
        <f t="shared" si="30"/>
        <v>0.52755905511811019</v>
      </c>
      <c r="K37" s="23" t="str">
        <f t="shared" si="31"/>
        <v/>
      </c>
      <c r="L37" s="24" t="str">
        <f t="shared" si="32"/>
        <v/>
      </c>
      <c r="M37" s="22">
        <f t="shared" si="33"/>
        <v>0</v>
      </c>
      <c r="N37" s="22">
        <f t="shared" si="34"/>
        <v>-7.4015748031496062E-2</v>
      </c>
      <c r="O37" s="25"/>
      <c r="P37" s="19" t="s">
        <v>157</v>
      </c>
      <c r="Q37" s="19" t="s">
        <v>39</v>
      </c>
      <c r="R37" s="20">
        <v>45329</v>
      </c>
      <c r="S37" s="21">
        <v>27.98</v>
      </c>
      <c r="T37" s="21">
        <v>45.36</v>
      </c>
      <c r="U37" s="19">
        <v>2</v>
      </c>
      <c r="V37" s="19" t="s">
        <v>158</v>
      </c>
      <c r="W37" s="19">
        <v>2</v>
      </c>
      <c r="X37" s="22">
        <f t="shared" si="35"/>
        <v>0.6211579699785561</v>
      </c>
      <c r="Y37" s="23" t="str">
        <f t="shared" si="7"/>
        <v>Hedef Gerçekleşti</v>
      </c>
      <c r="Z37" s="24" t="e" vm="3">
        <f t="shared" si="8"/>
        <v>#VALUE!</v>
      </c>
      <c r="AA37" s="22">
        <f t="shared" si="9"/>
        <v>1</v>
      </c>
      <c r="AB37" s="22" t="str">
        <f t="shared" si="10"/>
        <v/>
      </c>
      <c r="AC37" s="8"/>
      <c r="AD37" s="8"/>
      <c r="AE37" s="8">
        <v>317.5</v>
      </c>
      <c r="AF37" s="8">
        <v>294</v>
      </c>
      <c r="AG37" s="8"/>
      <c r="AH37" s="8">
        <v>1117</v>
      </c>
      <c r="AI37" s="8">
        <v>1000</v>
      </c>
      <c r="AJ37" s="8"/>
      <c r="AK37" s="8"/>
      <c r="AL37" s="8"/>
      <c r="AM37" s="8"/>
    </row>
    <row r="38" spans="1:39" ht="23.1" customHeight="1" x14ac:dyDescent="0.25">
      <c r="A38" s="8"/>
      <c r="B38" s="19" t="s">
        <v>83</v>
      </c>
      <c r="C38" s="19" t="s">
        <v>39</v>
      </c>
      <c r="D38" s="20">
        <v>45329</v>
      </c>
      <c r="E38" s="21">
        <v>156</v>
      </c>
      <c r="F38" s="21">
        <v>215</v>
      </c>
      <c r="G38" s="19">
        <v>8</v>
      </c>
      <c r="H38" s="19" t="s">
        <v>84</v>
      </c>
      <c r="I38" s="19">
        <v>2</v>
      </c>
      <c r="J38" s="22">
        <f t="shared" si="30"/>
        <v>0.37820512820512819</v>
      </c>
      <c r="K38" s="23" t="str">
        <f t="shared" si="31"/>
        <v>Hedef Gerçekleşti</v>
      </c>
      <c r="L38" s="24" t="e" vm="3">
        <f t="shared" si="32"/>
        <v>#VALUE!</v>
      </c>
      <c r="M38" s="22">
        <f t="shared" si="33"/>
        <v>1</v>
      </c>
      <c r="N38" s="22" t="str">
        <f t="shared" si="34"/>
        <v/>
      </c>
      <c r="O38" s="25"/>
      <c r="P38" s="19" t="s">
        <v>157</v>
      </c>
      <c r="Q38" s="19" t="s">
        <v>39</v>
      </c>
      <c r="R38" s="20">
        <v>45491</v>
      </c>
      <c r="S38" s="21">
        <v>33.840000000000003</v>
      </c>
      <c r="T38" s="21">
        <v>49.02</v>
      </c>
      <c r="U38" s="19">
        <v>5</v>
      </c>
      <c r="V38" s="19" t="s">
        <v>159</v>
      </c>
      <c r="W38" s="19">
        <v>1</v>
      </c>
      <c r="X38" s="22">
        <f t="shared" si="35"/>
        <v>0.4485815602836879</v>
      </c>
      <c r="Y38" s="23" t="str">
        <f t="shared" si="7"/>
        <v>Hedef Gerçekleşti</v>
      </c>
      <c r="Z38" s="24" t="e" vm="3">
        <f t="shared" si="8"/>
        <v>#VALUE!</v>
      </c>
      <c r="AA38" s="22">
        <f t="shared" si="9"/>
        <v>1</v>
      </c>
      <c r="AB38" s="22" t="str">
        <f t="shared" si="10"/>
        <v/>
      </c>
      <c r="AC38" s="8"/>
      <c r="AD38" s="8"/>
      <c r="AE38" s="8">
        <v>304.75</v>
      </c>
      <c r="AF38" s="8">
        <v>214.2</v>
      </c>
      <c r="AG38" s="8"/>
      <c r="AH38" s="8">
        <v>1117</v>
      </c>
      <c r="AI38" s="8">
        <v>1000</v>
      </c>
      <c r="AJ38" s="8"/>
      <c r="AK38" s="8"/>
      <c r="AL38" s="8"/>
      <c r="AM38" s="8"/>
    </row>
    <row r="39" spans="1:39" ht="23.1" customHeight="1" x14ac:dyDescent="0.25">
      <c r="A39" s="8"/>
      <c r="B39" s="19" t="s">
        <v>83</v>
      </c>
      <c r="C39" s="19" t="s">
        <v>39</v>
      </c>
      <c r="D39" s="20">
        <v>45450</v>
      </c>
      <c r="E39" s="21">
        <v>205.1</v>
      </c>
      <c r="F39" s="21">
        <v>212.65</v>
      </c>
      <c r="G39" s="19">
        <v>13</v>
      </c>
      <c r="H39" s="19" t="s">
        <v>85</v>
      </c>
      <c r="I39" s="19">
        <v>2</v>
      </c>
      <c r="J39" s="22">
        <f t="shared" si="30"/>
        <v>3.6811311555338913E-2</v>
      </c>
      <c r="K39" s="23" t="str">
        <f t="shared" si="31"/>
        <v>Hedef Gerçekleşti</v>
      </c>
      <c r="L39" s="24" t="e" vm="3">
        <f t="shared" si="32"/>
        <v>#VALUE!</v>
      </c>
      <c r="M39" s="22">
        <f t="shared" si="33"/>
        <v>1</v>
      </c>
      <c r="N39" s="22" t="str">
        <f t="shared" si="34"/>
        <v/>
      </c>
      <c r="O39" s="25"/>
      <c r="P39" s="19" t="s">
        <v>160</v>
      </c>
      <c r="Q39" s="19" t="s">
        <v>39</v>
      </c>
      <c r="R39" s="20">
        <v>45329</v>
      </c>
      <c r="S39" s="21">
        <v>21.2</v>
      </c>
      <c r="T39" s="21">
        <v>19.21</v>
      </c>
      <c r="U39" s="19">
        <v>4</v>
      </c>
      <c r="V39" s="19" t="s">
        <v>161</v>
      </c>
      <c r="W39" s="19">
        <v>2</v>
      </c>
      <c r="X39" s="22">
        <f t="shared" si="35"/>
        <v>-9.386792452830181E-2</v>
      </c>
      <c r="Y39" s="23" t="str">
        <f t="shared" si="7"/>
        <v>Hedef Gerçekleşti</v>
      </c>
      <c r="Z39" s="24" t="e" vm="3">
        <f t="shared" si="8"/>
        <v>#VALUE!</v>
      </c>
      <c r="AA39" s="22">
        <f t="shared" si="9"/>
        <v>1</v>
      </c>
      <c r="AB39" s="22" t="str">
        <f t="shared" si="10"/>
        <v/>
      </c>
      <c r="AC39" s="8"/>
      <c r="AD39" s="8"/>
      <c r="AE39" s="8">
        <v>304.75</v>
      </c>
      <c r="AF39" s="8">
        <v>214.2</v>
      </c>
      <c r="AG39" s="8"/>
      <c r="AH39" s="8">
        <v>1117</v>
      </c>
      <c r="AI39" s="8">
        <v>1000</v>
      </c>
      <c r="AJ39" s="8"/>
      <c r="AK39" s="8"/>
      <c r="AL39" s="8"/>
      <c r="AM39" s="8"/>
    </row>
    <row r="40" spans="1:39" ht="23.1" customHeight="1" x14ac:dyDescent="0.25">
      <c r="A40" s="8"/>
      <c r="B40" s="19" t="s">
        <v>83</v>
      </c>
      <c r="C40" s="19" t="s">
        <v>39</v>
      </c>
      <c r="D40" s="20">
        <v>45471</v>
      </c>
      <c r="E40" s="21">
        <v>243.4</v>
      </c>
      <c r="F40" s="21">
        <v>385</v>
      </c>
      <c r="G40" s="19">
        <v>17</v>
      </c>
      <c r="H40" s="19" t="s">
        <v>86</v>
      </c>
      <c r="I40" s="19">
        <v>1</v>
      </c>
      <c r="J40" s="22">
        <f t="shared" si="30"/>
        <v>0.58175842235004105</v>
      </c>
      <c r="K40" s="23" t="str">
        <f t="shared" si="31"/>
        <v/>
      </c>
      <c r="L40" s="24" t="str">
        <f t="shared" si="32"/>
        <v/>
      </c>
      <c r="M40" s="22">
        <f t="shared" si="33"/>
        <v>0.25205423171733771</v>
      </c>
      <c r="N40" s="22">
        <f t="shared" si="34"/>
        <v>-0.11996713229252266</v>
      </c>
      <c r="O40" s="25"/>
      <c r="P40" s="19" t="s">
        <v>160</v>
      </c>
      <c r="Q40" s="19" t="s">
        <v>39</v>
      </c>
      <c r="R40" s="20">
        <v>45441</v>
      </c>
      <c r="S40" s="21">
        <v>22.52</v>
      </c>
      <c r="T40" s="21">
        <v>25</v>
      </c>
      <c r="U40" s="19">
        <v>6</v>
      </c>
      <c r="V40" s="19" t="s">
        <v>162</v>
      </c>
      <c r="W40" s="19">
        <v>1</v>
      </c>
      <c r="X40" s="22">
        <f t="shared" si="35"/>
        <v>0.11012433392539966</v>
      </c>
      <c r="Y40" s="23" t="str">
        <f t="shared" si="7"/>
        <v>Hedef Gerçekleşti</v>
      </c>
      <c r="Z40" s="24" t="e" vm="3">
        <f t="shared" si="8"/>
        <v>#VALUE!</v>
      </c>
      <c r="AA40" s="22">
        <f t="shared" si="9"/>
        <v>1</v>
      </c>
      <c r="AB40" s="22" t="str">
        <f t="shared" si="10"/>
        <v/>
      </c>
      <c r="AC40" s="8"/>
      <c r="AD40" s="8"/>
      <c r="AE40" s="8">
        <v>304.75</v>
      </c>
      <c r="AF40" s="8">
        <v>214.2</v>
      </c>
      <c r="AG40" s="8"/>
      <c r="AH40" s="8">
        <v>1117</v>
      </c>
      <c r="AI40" s="8">
        <v>1000</v>
      </c>
      <c r="AJ40" s="8"/>
      <c r="AK40" s="8"/>
      <c r="AL40" s="8"/>
      <c r="AM40" s="8"/>
    </row>
    <row r="41" spans="1:39" ht="23.1" customHeight="1" x14ac:dyDescent="0.25">
      <c r="A41" s="8"/>
      <c r="B41" s="19" t="s">
        <v>87</v>
      </c>
      <c r="C41" s="19" t="s">
        <v>39</v>
      </c>
      <c r="D41" s="20">
        <v>45365</v>
      </c>
      <c r="E41" s="21">
        <v>52.000044564866734</v>
      </c>
      <c r="F41" s="21">
        <v>72.545516718118279</v>
      </c>
      <c r="G41" s="19">
        <v>13</v>
      </c>
      <c r="H41" s="19" t="s">
        <v>88</v>
      </c>
      <c r="I41" s="19">
        <v>2</v>
      </c>
      <c r="J41" s="22">
        <f t="shared" si="30"/>
        <v>0.39510489510489516</v>
      </c>
      <c r="K41" s="23" t="str">
        <f t="shared" si="31"/>
        <v>Hedef Gerçekleşti</v>
      </c>
      <c r="L41" s="24" t="e" vm="3">
        <f t="shared" si="32"/>
        <v>#VALUE!</v>
      </c>
      <c r="M41" s="22">
        <f t="shared" si="33"/>
        <v>1</v>
      </c>
      <c r="N41" s="22" t="str">
        <f t="shared" si="34"/>
        <v/>
      </c>
      <c r="O41" s="25"/>
      <c r="P41" s="19" t="s">
        <v>163</v>
      </c>
      <c r="Q41" s="19" t="s">
        <v>39</v>
      </c>
      <c r="R41" s="20">
        <v>45450</v>
      </c>
      <c r="S41" s="21">
        <v>129.69999999999999</v>
      </c>
      <c r="T41" s="21">
        <v>225.69</v>
      </c>
      <c r="U41" s="19">
        <v>10</v>
      </c>
      <c r="V41" s="19" t="s">
        <v>164</v>
      </c>
      <c r="W41" s="19">
        <v>1</v>
      </c>
      <c r="X41" s="22">
        <f t="shared" si="35"/>
        <v>0.7400925212027758</v>
      </c>
      <c r="Y41" s="23" t="str">
        <f t="shared" si="7"/>
        <v>Hedef Gerçekleşti</v>
      </c>
      <c r="Z41" s="24" t="e" vm="3">
        <f t="shared" si="8"/>
        <v>#VALUE!</v>
      </c>
      <c r="AA41" s="22">
        <f t="shared" si="9"/>
        <v>1</v>
      </c>
      <c r="AB41" s="22" t="str">
        <f t="shared" si="10"/>
        <v/>
      </c>
      <c r="AC41" s="8"/>
      <c r="AD41" s="8"/>
      <c r="AE41" s="8">
        <v>83.82</v>
      </c>
      <c r="AF41" s="8">
        <v>56.65</v>
      </c>
      <c r="AG41" s="8"/>
      <c r="AH41" s="8">
        <v>1117</v>
      </c>
      <c r="AI41" s="8">
        <v>1000</v>
      </c>
      <c r="AJ41" s="8"/>
      <c r="AK41" s="8"/>
      <c r="AL41" s="8"/>
      <c r="AM41" s="8"/>
    </row>
    <row r="42" spans="1:39" ht="23.1" customHeight="1" x14ac:dyDescent="0.25">
      <c r="A42" s="8"/>
      <c r="B42" s="19" t="s">
        <v>87</v>
      </c>
      <c r="C42" s="19" t="s">
        <v>39</v>
      </c>
      <c r="D42" s="20">
        <v>45450</v>
      </c>
      <c r="E42" s="21">
        <v>72.590971302528118</v>
      </c>
      <c r="F42" s="21">
        <v>71.830970651195457</v>
      </c>
      <c r="G42" s="19">
        <v>28</v>
      </c>
      <c r="H42" s="19" t="s">
        <v>89</v>
      </c>
      <c r="I42" s="19">
        <v>2</v>
      </c>
      <c r="J42" s="22">
        <f t="shared" si="30"/>
        <v>-1.0469630557294831E-2</v>
      </c>
      <c r="K42" s="23" t="str">
        <f t="shared" si="31"/>
        <v>Hedef Gerçekleşti</v>
      </c>
      <c r="L42" s="24" t="e" vm="3">
        <f t="shared" si="32"/>
        <v>#VALUE!</v>
      </c>
      <c r="M42" s="22">
        <f t="shared" si="33"/>
        <v>1</v>
      </c>
      <c r="N42" s="22" t="str">
        <f t="shared" si="34"/>
        <v/>
      </c>
      <c r="O42" s="25"/>
      <c r="P42" s="19" t="s">
        <v>25</v>
      </c>
      <c r="Q42" s="19" t="s">
        <v>39</v>
      </c>
      <c r="R42" s="20">
        <v>45434</v>
      </c>
      <c r="S42" s="21">
        <v>105.7</v>
      </c>
      <c r="T42" s="21">
        <v>133.6</v>
      </c>
      <c r="U42" s="19">
        <v>6</v>
      </c>
      <c r="V42" s="19" t="s">
        <v>165</v>
      </c>
      <c r="W42" s="19">
        <v>1</v>
      </c>
      <c r="X42" s="22">
        <f t="shared" si="35"/>
        <v>0.26395458845789965</v>
      </c>
      <c r="Y42" s="23" t="str">
        <f t="shared" si="7"/>
        <v>Hedef Gerçekleşti</v>
      </c>
      <c r="Z42" s="24" t="e" vm="3">
        <f t="shared" si="8"/>
        <v>#VALUE!</v>
      </c>
      <c r="AA42" s="22">
        <f t="shared" si="9"/>
        <v>1</v>
      </c>
      <c r="AB42" s="22" t="str">
        <f t="shared" si="10"/>
        <v/>
      </c>
      <c r="AC42" s="8"/>
      <c r="AD42" s="8"/>
      <c r="AE42" s="8">
        <v>83.82</v>
      </c>
      <c r="AF42" s="8">
        <v>56.65</v>
      </c>
      <c r="AG42" s="8"/>
      <c r="AH42" s="8">
        <v>1117</v>
      </c>
      <c r="AI42" s="8">
        <v>1000</v>
      </c>
      <c r="AJ42" s="8"/>
      <c r="AK42" s="8"/>
      <c r="AL42" s="8"/>
      <c r="AM42" s="8"/>
    </row>
    <row r="43" spans="1:39" ht="23.1" customHeight="1" x14ac:dyDescent="0.25">
      <c r="A43" s="8"/>
      <c r="B43" s="19" t="s">
        <v>87</v>
      </c>
      <c r="C43" s="19" t="s">
        <v>39</v>
      </c>
      <c r="D43" s="20">
        <v>45471</v>
      </c>
      <c r="E43" s="21">
        <v>74.318245510102372</v>
      </c>
      <c r="F43" s="21">
        <v>109.27282092127589</v>
      </c>
      <c r="G43" s="19">
        <v>32</v>
      </c>
      <c r="H43" s="19" t="s">
        <v>90</v>
      </c>
      <c r="I43" s="19">
        <v>1</v>
      </c>
      <c r="J43" s="22">
        <f t="shared" si="30"/>
        <v>0.47033639143730877</v>
      </c>
      <c r="K43" s="23" t="str">
        <f t="shared" si="31"/>
        <v/>
      </c>
      <c r="L43" s="24" t="str">
        <f t="shared" si="32"/>
        <v/>
      </c>
      <c r="M43" s="22">
        <f t="shared" si="33"/>
        <v>0.12785224442100171</v>
      </c>
      <c r="N43" s="22">
        <f t="shared" si="34"/>
        <v>-0.23773765632963792</v>
      </c>
      <c r="O43" s="25"/>
      <c r="P43" s="19" t="s">
        <v>166</v>
      </c>
      <c r="Q43" s="19" t="s">
        <v>39</v>
      </c>
      <c r="R43" s="20">
        <v>45450</v>
      </c>
      <c r="S43" s="21">
        <v>40.82</v>
      </c>
      <c r="T43" s="21">
        <v>47.53</v>
      </c>
      <c r="U43" s="19">
        <v>7</v>
      </c>
      <c r="V43" s="19" t="s">
        <v>167</v>
      </c>
      <c r="W43" s="19">
        <v>2</v>
      </c>
      <c r="X43" s="22">
        <f t="shared" si="35"/>
        <v>0.16438020578147969</v>
      </c>
      <c r="Y43" s="23" t="str">
        <f t="shared" si="7"/>
        <v>Hedef Gerçekleşti</v>
      </c>
      <c r="Z43" s="24" t="e" vm="3">
        <f t="shared" si="8"/>
        <v>#VALUE!</v>
      </c>
      <c r="AA43" s="22">
        <f t="shared" si="9"/>
        <v>1</v>
      </c>
      <c r="AB43" s="22" t="str">
        <f t="shared" si="10"/>
        <v/>
      </c>
      <c r="AC43" s="8"/>
      <c r="AD43" s="8"/>
      <c r="AE43" s="8">
        <v>83.82</v>
      </c>
      <c r="AF43" s="8">
        <v>56.65</v>
      </c>
      <c r="AG43" s="8"/>
      <c r="AH43" s="8">
        <v>1117</v>
      </c>
      <c r="AI43" s="8">
        <v>1000</v>
      </c>
      <c r="AJ43" s="8"/>
      <c r="AK43" s="8"/>
      <c r="AL43" s="8"/>
      <c r="AM43" s="8"/>
    </row>
    <row r="44" spans="1:39" ht="23.1" customHeight="1" x14ac:dyDescent="0.25">
      <c r="A44" s="8"/>
      <c r="B44" s="19" t="s">
        <v>91</v>
      </c>
      <c r="C44" s="19" t="s">
        <v>39</v>
      </c>
      <c r="D44" s="20">
        <v>45329</v>
      </c>
      <c r="E44" s="21">
        <v>101.6</v>
      </c>
      <c r="F44" s="21">
        <v>140</v>
      </c>
      <c r="G44" s="19">
        <v>7</v>
      </c>
      <c r="H44" s="19" t="s">
        <v>92</v>
      </c>
      <c r="I44" s="19">
        <v>2</v>
      </c>
      <c r="J44" s="22">
        <f t="shared" si="30"/>
        <v>0.37795275590551186</v>
      </c>
      <c r="K44" s="23" t="str">
        <f t="shared" si="31"/>
        <v>Hedef Gerçekleşti</v>
      </c>
      <c r="L44" s="24" t="e" vm="3">
        <f t="shared" si="32"/>
        <v>#VALUE!</v>
      </c>
      <c r="M44" s="22">
        <f t="shared" si="33"/>
        <v>1</v>
      </c>
      <c r="N44" s="22" t="str">
        <f t="shared" si="34"/>
        <v/>
      </c>
      <c r="O44" s="25"/>
      <c r="P44" s="19" t="s">
        <v>166</v>
      </c>
      <c r="Q44" s="19" t="s">
        <v>39</v>
      </c>
      <c r="R44" s="20">
        <v>45538</v>
      </c>
      <c r="S44" s="21">
        <v>50.7</v>
      </c>
      <c r="T44" s="21">
        <v>65.83</v>
      </c>
      <c r="U44" s="19">
        <v>12</v>
      </c>
      <c r="V44" s="19" t="s">
        <v>168</v>
      </c>
      <c r="W44" s="19">
        <v>2</v>
      </c>
      <c r="X44" s="22">
        <f t="shared" si="35"/>
        <v>0.29842209072978293</v>
      </c>
      <c r="Y44" s="23" t="str">
        <f t="shared" si="7"/>
        <v>Hedef Gerçekleşti</v>
      </c>
      <c r="Z44" s="24" t="e" vm="3">
        <f t="shared" si="8"/>
        <v>#VALUE!</v>
      </c>
      <c r="AA44" s="22">
        <f t="shared" si="9"/>
        <v>1</v>
      </c>
      <c r="AB44" s="22" t="str">
        <f t="shared" si="10"/>
        <v/>
      </c>
      <c r="AC44" s="8"/>
      <c r="AD44" s="8"/>
      <c r="AE44" s="8">
        <v>188.7</v>
      </c>
      <c r="AF44" s="8">
        <v>116.7</v>
      </c>
      <c r="AG44" s="8"/>
      <c r="AH44" s="8">
        <v>1117</v>
      </c>
      <c r="AI44" s="8">
        <v>1000</v>
      </c>
      <c r="AJ44" s="8"/>
      <c r="AK44" s="8"/>
      <c r="AL44" s="8"/>
      <c r="AM44" s="8"/>
    </row>
    <row r="45" spans="1:39" ht="23.1" customHeight="1" x14ac:dyDescent="0.25">
      <c r="A45" s="8"/>
      <c r="B45" s="19" t="s">
        <v>91</v>
      </c>
      <c r="C45" s="19" t="s">
        <v>39</v>
      </c>
      <c r="D45" s="20">
        <v>45471</v>
      </c>
      <c r="E45" s="21">
        <v>170.6</v>
      </c>
      <c r="F45" s="21">
        <v>240</v>
      </c>
      <c r="G45" s="19">
        <v>15</v>
      </c>
      <c r="H45" s="19" t="s">
        <v>93</v>
      </c>
      <c r="I45" s="19">
        <v>1</v>
      </c>
      <c r="J45" s="22">
        <f t="shared" si="24"/>
        <v>0.40679953106682304</v>
      </c>
      <c r="K45" s="23" t="str">
        <f t="shared" si="25"/>
        <v/>
      </c>
      <c r="L45" s="24" t="str">
        <f t="shared" si="26"/>
        <v/>
      </c>
      <c r="M45" s="22">
        <f t="shared" si="27"/>
        <v>0.10609613130128953</v>
      </c>
      <c r="N45" s="22">
        <f t="shared" si="28"/>
        <v>-0.31594372801875731</v>
      </c>
      <c r="O45" s="25"/>
      <c r="P45" s="19" t="s">
        <v>166</v>
      </c>
      <c r="Q45" s="19" t="s">
        <v>39</v>
      </c>
      <c r="R45" s="20">
        <v>45566</v>
      </c>
      <c r="S45" s="21">
        <v>46.06</v>
      </c>
      <c r="T45" s="21">
        <v>72</v>
      </c>
      <c r="U45" s="19">
        <v>13</v>
      </c>
      <c r="V45" s="19" t="s">
        <v>169</v>
      </c>
      <c r="W45" s="19">
        <v>1</v>
      </c>
      <c r="X45" s="22">
        <f t="shared" si="29"/>
        <v>0.56317846287451145</v>
      </c>
      <c r="Y45" s="23" t="str">
        <f t="shared" si="7"/>
        <v>Hedef Gerçekleşti</v>
      </c>
      <c r="Z45" s="24" t="e" vm="3">
        <f t="shared" si="8"/>
        <v>#VALUE!</v>
      </c>
      <c r="AA45" s="22">
        <f t="shared" si="9"/>
        <v>1</v>
      </c>
      <c r="AB45" s="22" t="str">
        <f t="shared" si="10"/>
        <v/>
      </c>
      <c r="AC45" s="8"/>
      <c r="AD45" s="8"/>
      <c r="AE45" s="8">
        <v>188.7</v>
      </c>
      <c r="AF45" s="8">
        <v>116.7</v>
      </c>
      <c r="AG45" s="8"/>
      <c r="AH45" s="8">
        <v>1117</v>
      </c>
      <c r="AI45" s="8">
        <v>1000</v>
      </c>
      <c r="AJ45" s="8"/>
      <c r="AK45" s="8"/>
      <c r="AL45" s="8"/>
      <c r="AM45" s="8"/>
    </row>
    <row r="46" spans="1:39" ht="23.1" customHeight="1" x14ac:dyDescent="0.25">
      <c r="A46" s="8"/>
      <c r="B46" s="19" t="s">
        <v>94</v>
      </c>
      <c r="C46" s="19" t="s">
        <v>39</v>
      </c>
      <c r="D46" s="20">
        <v>45329</v>
      </c>
      <c r="E46" s="21">
        <v>164.3</v>
      </c>
      <c r="F46" s="21">
        <v>220.03</v>
      </c>
      <c r="G46" s="19">
        <v>6</v>
      </c>
      <c r="H46" s="19" t="s">
        <v>95</v>
      </c>
      <c r="I46" s="19">
        <v>2</v>
      </c>
      <c r="J46" s="22">
        <f t="shared" si="13"/>
        <v>0.33919659160073029</v>
      </c>
      <c r="K46" s="23" t="str">
        <f t="shared" si="14"/>
        <v>Hedef Gerçekleşti</v>
      </c>
      <c r="L46" s="24" t="e" vm="3">
        <f>IF(K46="","",$AK$3)</f>
        <v>#VALUE!</v>
      </c>
      <c r="M46" s="22">
        <f t="shared" si="15"/>
        <v>1</v>
      </c>
      <c r="N46" s="22" t="str">
        <f t="shared" si="16"/>
        <v/>
      </c>
      <c r="O46" s="25"/>
      <c r="P46" s="19" t="s">
        <v>170</v>
      </c>
      <c r="Q46" s="19" t="s">
        <v>39</v>
      </c>
      <c r="R46" s="20">
        <v>45362</v>
      </c>
      <c r="S46" s="21">
        <v>59.45</v>
      </c>
      <c r="T46" s="21">
        <v>97.45</v>
      </c>
      <c r="U46" s="19">
        <v>3</v>
      </c>
      <c r="V46" s="19" t="s">
        <v>171</v>
      </c>
      <c r="W46" s="19">
        <v>2</v>
      </c>
      <c r="X46" s="22">
        <f t="shared" si="17"/>
        <v>0.63919259882253987</v>
      </c>
      <c r="Y46" s="23" t="str">
        <f t="shared" si="7"/>
        <v>Hedef Gerçekleşti</v>
      </c>
      <c r="Z46" s="24" t="e" vm="3">
        <f t="shared" si="8"/>
        <v>#VALUE!</v>
      </c>
      <c r="AA46" s="22">
        <f t="shared" si="9"/>
        <v>1</v>
      </c>
      <c r="AB46" s="22" t="str">
        <f t="shared" si="10"/>
        <v/>
      </c>
      <c r="AC46" s="8"/>
      <c r="AD46" s="8"/>
      <c r="AE46" s="8">
        <v>411</v>
      </c>
      <c r="AF46" s="8">
        <v>402.5</v>
      </c>
      <c r="AG46" s="8"/>
      <c r="AH46" s="8">
        <v>1117</v>
      </c>
      <c r="AI46" s="8">
        <v>1000</v>
      </c>
      <c r="AJ46" s="8"/>
      <c r="AK46" s="8"/>
      <c r="AL46" s="8"/>
      <c r="AM46" s="8"/>
    </row>
    <row r="47" spans="1:39" ht="23.1" customHeight="1" x14ac:dyDescent="0.25">
      <c r="A47" s="8"/>
      <c r="B47" s="19" t="s">
        <v>94</v>
      </c>
      <c r="C47" s="19" t="s">
        <v>39</v>
      </c>
      <c r="D47" s="20">
        <v>45371</v>
      </c>
      <c r="E47" s="21">
        <v>175.9</v>
      </c>
      <c r="F47" s="21">
        <v>288</v>
      </c>
      <c r="G47" s="19">
        <v>8</v>
      </c>
      <c r="H47" s="19" t="s">
        <v>96</v>
      </c>
      <c r="I47" s="19">
        <v>2</v>
      </c>
      <c r="J47" s="22">
        <f t="shared" si="13"/>
        <v>0.63729391699829441</v>
      </c>
      <c r="K47" s="23" t="str">
        <f t="shared" si="14"/>
        <v>Hedef Gerçekleşti</v>
      </c>
      <c r="L47" s="24" t="e" vm="3">
        <f>IF(K47="","",$AK$3)</f>
        <v>#VALUE!</v>
      </c>
      <c r="M47" s="22">
        <f t="shared" si="15"/>
        <v>1</v>
      </c>
      <c r="N47" s="22" t="str">
        <f t="shared" si="16"/>
        <v/>
      </c>
      <c r="O47" s="25"/>
      <c r="P47" s="19" t="s">
        <v>170</v>
      </c>
      <c r="Q47" s="19" t="s">
        <v>39</v>
      </c>
      <c r="R47" s="20">
        <v>45450</v>
      </c>
      <c r="S47" s="21">
        <v>58.25</v>
      </c>
      <c r="T47" s="21">
        <v>94.66</v>
      </c>
      <c r="U47" s="19">
        <v>10</v>
      </c>
      <c r="V47" s="19" t="s">
        <v>172</v>
      </c>
      <c r="W47" s="19">
        <v>2</v>
      </c>
      <c r="X47" s="22">
        <f t="shared" si="17"/>
        <v>0.62506437768240342</v>
      </c>
      <c r="Y47" s="23" t="str">
        <f t="shared" si="7"/>
        <v>Hedef Gerçekleşti</v>
      </c>
      <c r="Z47" s="24" t="e" vm="3">
        <f t="shared" si="8"/>
        <v>#VALUE!</v>
      </c>
      <c r="AA47" s="22">
        <f t="shared" si="9"/>
        <v>1</v>
      </c>
      <c r="AB47" s="22" t="str">
        <f t="shared" si="10"/>
        <v/>
      </c>
      <c r="AC47" s="8"/>
      <c r="AD47" s="8"/>
      <c r="AE47" s="8">
        <v>411</v>
      </c>
      <c r="AF47" s="8">
        <v>402.5</v>
      </c>
      <c r="AG47" s="8"/>
      <c r="AH47" s="8">
        <v>1117</v>
      </c>
      <c r="AI47" s="8">
        <v>1000</v>
      </c>
      <c r="AJ47" s="8"/>
      <c r="AK47" s="8"/>
      <c r="AL47" s="8"/>
      <c r="AM47" s="8"/>
    </row>
    <row r="48" spans="1:39" ht="23.1" customHeight="1" x14ac:dyDescent="0.25">
      <c r="A48" s="8"/>
      <c r="B48" s="19" t="s">
        <v>94</v>
      </c>
      <c r="C48" s="19" t="s">
        <v>39</v>
      </c>
      <c r="D48" s="20">
        <v>45538</v>
      </c>
      <c r="E48" s="21">
        <v>344.25</v>
      </c>
      <c r="F48" s="21">
        <v>450</v>
      </c>
      <c r="G48" s="19">
        <v>23</v>
      </c>
      <c r="H48" s="19" t="s">
        <v>97</v>
      </c>
      <c r="I48" s="19">
        <v>1</v>
      </c>
      <c r="J48" s="22">
        <f t="shared" si="13"/>
        <v>0.30718954248366015</v>
      </c>
      <c r="K48" s="23" t="str">
        <f t="shared" si="14"/>
        <v/>
      </c>
      <c r="L48" s="24" t="str">
        <f>IF(K48="","",$AK$3)</f>
        <v/>
      </c>
      <c r="M48" s="22">
        <f t="shared" si="15"/>
        <v>0.19389978213507625</v>
      </c>
      <c r="N48" s="22">
        <f t="shared" si="16"/>
        <v>0.16920842411038489</v>
      </c>
      <c r="O48" s="25"/>
      <c r="P48" s="19" t="s">
        <v>170</v>
      </c>
      <c r="Q48" s="19" t="s">
        <v>39</v>
      </c>
      <c r="R48" s="20">
        <v>45491</v>
      </c>
      <c r="S48" s="21">
        <v>67.3</v>
      </c>
      <c r="T48" s="21">
        <v>97.12</v>
      </c>
      <c r="U48" s="19">
        <v>12</v>
      </c>
      <c r="V48" s="19" t="s">
        <v>173</v>
      </c>
      <c r="W48" s="19">
        <v>1</v>
      </c>
      <c r="X48" s="22">
        <f t="shared" si="17"/>
        <v>0.44309063893016359</v>
      </c>
      <c r="Y48" s="23" t="str">
        <f t="shared" si="7"/>
        <v>Hedef Gerçekleşti</v>
      </c>
      <c r="Z48" s="24" t="e" vm="3">
        <f t="shared" si="8"/>
        <v>#VALUE!</v>
      </c>
      <c r="AA48" s="22">
        <f t="shared" si="9"/>
        <v>1</v>
      </c>
      <c r="AB48" s="22" t="str">
        <f t="shared" si="10"/>
        <v/>
      </c>
      <c r="AC48" s="8"/>
      <c r="AD48" s="8"/>
      <c r="AE48" s="8">
        <v>411</v>
      </c>
      <c r="AF48" s="8">
        <v>402.5</v>
      </c>
      <c r="AG48" s="8"/>
      <c r="AH48" s="8">
        <v>1117</v>
      </c>
      <c r="AI48" s="8">
        <v>1000</v>
      </c>
      <c r="AJ48" s="8"/>
      <c r="AK48" s="8"/>
      <c r="AL48" s="8"/>
      <c r="AM48" s="8"/>
    </row>
    <row r="49" spans="1:39" ht="23.1" customHeight="1" x14ac:dyDescent="0.25">
      <c r="A49" s="8"/>
      <c r="B49" s="19" t="s">
        <v>98</v>
      </c>
      <c r="C49" s="19" t="s">
        <v>39</v>
      </c>
      <c r="D49" s="20">
        <v>45450</v>
      </c>
      <c r="E49" s="21">
        <v>112.5</v>
      </c>
      <c r="F49" s="21">
        <v>123</v>
      </c>
      <c r="G49" s="19">
        <v>9</v>
      </c>
      <c r="H49" s="19" t="s">
        <v>99</v>
      </c>
      <c r="I49" s="19">
        <v>1</v>
      </c>
      <c r="J49" s="22">
        <f t="shared" si="13"/>
        <v>9.3333333333333338E-2</v>
      </c>
      <c r="K49" s="23" t="str">
        <f t="shared" si="14"/>
        <v/>
      </c>
      <c r="L49" s="24" t="str">
        <f>IF(K49="","",$AK$3)</f>
        <v/>
      </c>
      <c r="M49" s="22">
        <f t="shared" si="15"/>
        <v>7.1111111111110854E-3</v>
      </c>
      <c r="N49" s="22">
        <f t="shared" si="16"/>
        <v>-0.13288888888888892</v>
      </c>
      <c r="O49" s="25"/>
      <c r="P49" s="19" t="s">
        <v>174</v>
      </c>
      <c r="Q49" s="19" t="s">
        <v>39</v>
      </c>
      <c r="R49" s="20">
        <v>45538</v>
      </c>
      <c r="S49" s="21">
        <v>66.349999999999994</v>
      </c>
      <c r="T49" s="21">
        <v>101.34</v>
      </c>
      <c r="U49" s="19">
        <v>7</v>
      </c>
      <c r="V49" s="19" t="s">
        <v>175</v>
      </c>
      <c r="W49" s="19">
        <v>1</v>
      </c>
      <c r="X49" s="22">
        <f t="shared" si="17"/>
        <v>0.52735493594574245</v>
      </c>
      <c r="Y49" s="23" t="str">
        <f t="shared" si="7"/>
        <v>Hedef Gerçekleşti</v>
      </c>
      <c r="Z49" s="24" t="e" vm="3">
        <f t="shared" si="8"/>
        <v>#VALUE!</v>
      </c>
      <c r="AA49" s="22">
        <f t="shared" si="9"/>
        <v>1</v>
      </c>
      <c r="AB49" s="22" t="str">
        <f t="shared" si="10"/>
        <v/>
      </c>
      <c r="AC49" s="8"/>
      <c r="AD49" s="8"/>
      <c r="AE49" s="8">
        <v>113.3</v>
      </c>
      <c r="AF49" s="8">
        <v>97.55</v>
      </c>
      <c r="AG49" s="8"/>
      <c r="AH49" s="8">
        <v>1117</v>
      </c>
      <c r="AI49" s="8">
        <v>1000</v>
      </c>
      <c r="AJ49" s="8"/>
      <c r="AK49" s="8"/>
      <c r="AL49" s="8"/>
      <c r="AM49" s="8"/>
    </row>
    <row r="50" spans="1:39" ht="23.1" customHeight="1" x14ac:dyDescent="0.25">
      <c r="A50" s="8"/>
      <c r="B50" s="19" t="s">
        <v>100</v>
      </c>
      <c r="C50" s="19" t="s">
        <v>39</v>
      </c>
      <c r="D50" s="20">
        <v>45408</v>
      </c>
      <c r="E50" s="21">
        <v>14.827586206896553</v>
      </c>
      <c r="F50" s="21">
        <v>19.540229885057474</v>
      </c>
      <c r="G50" s="19">
        <v>9</v>
      </c>
      <c r="H50" s="19" t="s">
        <v>101</v>
      </c>
      <c r="I50" s="19">
        <v>1</v>
      </c>
      <c r="J50" s="22">
        <f t="shared" si="13"/>
        <v>0.31782945736434115</v>
      </c>
      <c r="K50" s="23" t="str">
        <f t="shared" si="14"/>
        <v/>
      </c>
      <c r="L50" s="24" t="str">
        <f>IF(K50="","",$AK$3)</f>
        <v/>
      </c>
      <c r="M50" s="22">
        <f t="shared" si="15"/>
        <v>0.30634883720930223</v>
      </c>
      <c r="N50" s="22">
        <f t="shared" si="16"/>
        <v>-7.9418604651162863E-2</v>
      </c>
      <c r="O50" s="25"/>
      <c r="P50" s="19" t="s">
        <v>176</v>
      </c>
      <c r="Q50" s="19" t="s">
        <v>39</v>
      </c>
      <c r="R50" s="20">
        <v>45430</v>
      </c>
      <c r="S50" s="21">
        <v>25.42</v>
      </c>
      <c r="T50" s="21">
        <v>37.729999999999997</v>
      </c>
      <c r="U50" s="19">
        <v>3</v>
      </c>
      <c r="V50" s="19" t="s">
        <v>177</v>
      </c>
      <c r="W50" s="19"/>
      <c r="X50" s="22">
        <f t="shared" si="17"/>
        <v>0.48426435877261975</v>
      </c>
      <c r="Y50" s="23" t="str">
        <f t="shared" si="7"/>
        <v>Hedef Gerçekleşti</v>
      </c>
      <c r="Z50" s="24" t="e" vm="3">
        <f t="shared" si="8"/>
        <v>#VALUE!</v>
      </c>
      <c r="AA50" s="22">
        <f t="shared" si="9"/>
        <v>1</v>
      </c>
      <c r="AB50" s="22" t="str">
        <f t="shared" si="10"/>
        <v/>
      </c>
      <c r="AC50" s="8"/>
      <c r="AD50" s="8"/>
      <c r="AE50" s="8">
        <v>19.37</v>
      </c>
      <c r="AF50" s="8">
        <v>13.65</v>
      </c>
      <c r="AG50" s="8"/>
      <c r="AH50" s="8">
        <v>1117</v>
      </c>
      <c r="AI50" s="8">
        <v>1000</v>
      </c>
      <c r="AJ50" s="8"/>
      <c r="AK50" s="8"/>
      <c r="AL50" s="8"/>
      <c r="AM50" s="8"/>
    </row>
    <row r="51" spans="1:39" ht="23.1" customHeight="1" x14ac:dyDescent="0.25">
      <c r="A51" s="8"/>
      <c r="B51" s="19" t="s">
        <v>102</v>
      </c>
      <c r="C51" s="19" t="s">
        <v>39</v>
      </c>
      <c r="D51" s="20">
        <v>45412</v>
      </c>
      <c r="E51" s="21">
        <v>82.45</v>
      </c>
      <c r="F51" s="21">
        <v>108</v>
      </c>
      <c r="G51" s="19">
        <v>19</v>
      </c>
      <c r="H51" s="19" t="s">
        <v>103</v>
      </c>
      <c r="I51" s="19">
        <v>2</v>
      </c>
      <c r="J51" s="22">
        <f t="shared" si="13"/>
        <v>0.30988477865372949</v>
      </c>
      <c r="K51" s="23" t="str">
        <f t="shared" si="14"/>
        <v>Hedef Gerçekleşti</v>
      </c>
      <c r="L51" s="24" t="e" vm="3">
        <f>IF(K51="","",$AK$3)</f>
        <v>#VALUE!</v>
      </c>
      <c r="M51" s="22">
        <f t="shared" si="15"/>
        <v>1</v>
      </c>
      <c r="N51" s="22" t="str">
        <f t="shared" si="16"/>
        <v/>
      </c>
      <c r="O51" s="25"/>
      <c r="P51" s="19" t="s">
        <v>178</v>
      </c>
      <c r="Q51" s="19" t="s">
        <v>39</v>
      </c>
      <c r="R51" s="20">
        <v>45499</v>
      </c>
      <c r="S51" s="21">
        <v>197</v>
      </c>
      <c r="T51" s="21">
        <v>280.44</v>
      </c>
      <c r="U51" s="19">
        <v>2</v>
      </c>
      <c r="V51" s="19" t="s">
        <v>179</v>
      </c>
      <c r="W51" s="19">
        <v>1</v>
      </c>
      <c r="X51" s="22">
        <f t="shared" si="17"/>
        <v>0.42355329949238579</v>
      </c>
      <c r="Y51" s="23" t="str">
        <f t="shared" si="7"/>
        <v>Hedef Gerçekleşti</v>
      </c>
      <c r="Z51" s="24" t="e" vm="3">
        <f t="shared" si="8"/>
        <v>#VALUE!</v>
      </c>
      <c r="AA51" s="22">
        <f t="shared" si="9"/>
        <v>1</v>
      </c>
      <c r="AB51" s="22" t="str">
        <f t="shared" si="10"/>
        <v/>
      </c>
      <c r="AC51" s="8"/>
      <c r="AD51" s="8"/>
      <c r="AE51" s="8">
        <v>138.30000000000001</v>
      </c>
      <c r="AF51" s="8">
        <v>124.3</v>
      </c>
      <c r="AG51" s="8"/>
      <c r="AH51" s="8">
        <v>1117</v>
      </c>
      <c r="AI51" s="8">
        <v>1000</v>
      </c>
      <c r="AJ51" s="8"/>
      <c r="AK51" s="8"/>
      <c r="AL51" s="8"/>
      <c r="AM51" s="8"/>
    </row>
    <row r="52" spans="1:39" ht="23.1" customHeight="1" x14ac:dyDescent="0.25">
      <c r="A52" s="8"/>
      <c r="B52" s="19" t="s">
        <v>102</v>
      </c>
      <c r="C52" s="19" t="s">
        <v>39</v>
      </c>
      <c r="D52" s="20">
        <v>45477</v>
      </c>
      <c r="E52" s="21">
        <v>120</v>
      </c>
      <c r="F52" s="21">
        <v>165</v>
      </c>
      <c r="G52" s="19">
        <v>31</v>
      </c>
      <c r="H52" s="19" t="s">
        <v>104</v>
      </c>
      <c r="I52" s="19">
        <v>1</v>
      </c>
      <c r="J52" s="22">
        <f t="shared" si="13"/>
        <v>0.375</v>
      </c>
      <c r="K52" s="23" t="str">
        <f t="shared" si="14"/>
        <v/>
      </c>
      <c r="L52" s="24" t="str">
        <f>IF(K52="","",$AK$3)</f>
        <v/>
      </c>
      <c r="M52" s="22">
        <f t="shared" si="15"/>
        <v>0.15250000000000011</v>
      </c>
      <c r="N52" s="22">
        <f t="shared" si="16"/>
        <v>3.5833333333333307E-2</v>
      </c>
      <c r="O52" s="25"/>
      <c r="P52" s="19" t="s">
        <v>180</v>
      </c>
      <c r="Q52" s="19" t="s">
        <v>39</v>
      </c>
      <c r="R52" s="20">
        <v>45538</v>
      </c>
      <c r="S52" s="21">
        <v>67.95</v>
      </c>
      <c r="T52" s="21">
        <v>92.25</v>
      </c>
      <c r="U52" s="19">
        <v>1</v>
      </c>
      <c r="V52" s="19" t="s">
        <v>181</v>
      </c>
      <c r="W52" s="19">
        <v>1</v>
      </c>
      <c r="X52" s="22">
        <f t="shared" si="17"/>
        <v>0.35761589403973504</v>
      </c>
      <c r="Y52" s="23" t="str">
        <f t="shared" si="7"/>
        <v>Hedef Gerçekleşti</v>
      </c>
      <c r="Z52" s="24" t="e" vm="3">
        <f t="shared" si="8"/>
        <v>#VALUE!</v>
      </c>
      <c r="AA52" s="22">
        <f t="shared" si="9"/>
        <v>1</v>
      </c>
      <c r="AB52" s="22" t="str">
        <f t="shared" si="10"/>
        <v/>
      </c>
      <c r="AC52" s="8"/>
      <c r="AD52" s="8"/>
      <c r="AE52" s="8">
        <v>138.30000000000001</v>
      </c>
      <c r="AF52" s="8">
        <v>124.3</v>
      </c>
      <c r="AG52" s="8"/>
      <c r="AH52" s="8">
        <v>1117</v>
      </c>
      <c r="AI52" s="8">
        <v>1000</v>
      </c>
      <c r="AJ52" s="8"/>
      <c r="AK52" s="8"/>
      <c r="AL52" s="8"/>
      <c r="AM52" s="8"/>
    </row>
    <row r="53" spans="1:39" ht="23.1" customHeight="1" x14ac:dyDescent="0.25">
      <c r="A53" s="8"/>
      <c r="B53" s="19" t="s">
        <v>105</v>
      </c>
      <c r="C53" s="19" t="s">
        <v>39</v>
      </c>
      <c r="D53" s="20">
        <v>45324</v>
      </c>
      <c r="E53" s="21">
        <v>40.08</v>
      </c>
      <c r="F53" s="21">
        <v>53</v>
      </c>
      <c r="G53" s="19">
        <v>12</v>
      </c>
      <c r="H53" s="19" t="s">
        <v>106</v>
      </c>
      <c r="I53" s="19">
        <v>2</v>
      </c>
      <c r="J53" s="22">
        <f t="shared" si="13"/>
        <v>0.32235528942115776</v>
      </c>
      <c r="K53" s="23" t="str">
        <f t="shared" si="14"/>
        <v>Hedef Gerçekleşti</v>
      </c>
      <c r="L53" s="24" t="e" vm="3">
        <f>IF(K53="","",$AK$3)</f>
        <v>#VALUE!</v>
      </c>
      <c r="M53" s="22">
        <f t="shared" si="15"/>
        <v>1</v>
      </c>
      <c r="N53" s="22" t="str">
        <f t="shared" si="16"/>
        <v/>
      </c>
      <c r="O53" s="25"/>
      <c r="P53" s="19" t="s">
        <v>182</v>
      </c>
      <c r="Q53" s="19" t="s">
        <v>39</v>
      </c>
      <c r="R53" s="20">
        <v>45607</v>
      </c>
      <c r="S53" s="21">
        <v>17.97</v>
      </c>
      <c r="T53" s="21">
        <v>39</v>
      </c>
      <c r="U53" s="19">
        <v>1</v>
      </c>
      <c r="V53" s="19" t="s">
        <v>183</v>
      </c>
      <c r="W53" s="19">
        <v>1</v>
      </c>
      <c r="X53" s="22">
        <f t="shared" si="17"/>
        <v>1.1702838063439067</v>
      </c>
      <c r="Y53" s="23" t="str">
        <f t="shared" si="7"/>
        <v>Hedef Gerçekleşti</v>
      </c>
      <c r="Z53" s="24" t="e" vm="3">
        <f t="shared" si="8"/>
        <v>#VALUE!</v>
      </c>
      <c r="AA53" s="22">
        <f t="shared" si="9"/>
        <v>1</v>
      </c>
      <c r="AB53" s="22" t="str">
        <f t="shared" si="10"/>
        <v/>
      </c>
      <c r="AC53" s="8"/>
      <c r="AD53" s="8"/>
      <c r="AE53" s="8">
        <v>70.75</v>
      </c>
      <c r="AF53" s="8">
        <v>63.3</v>
      </c>
      <c r="AG53" s="8"/>
      <c r="AH53" s="8">
        <v>1117</v>
      </c>
      <c r="AI53" s="8">
        <v>1000</v>
      </c>
      <c r="AJ53" s="8"/>
      <c r="AK53" s="8"/>
      <c r="AL53" s="8"/>
      <c r="AM53" s="8"/>
    </row>
    <row r="54" spans="1:39" ht="23.1" customHeight="1" x14ac:dyDescent="0.25">
      <c r="A54" s="8"/>
      <c r="B54" s="19" t="s">
        <v>105</v>
      </c>
      <c r="C54" s="19" t="s">
        <v>39</v>
      </c>
      <c r="D54" s="20">
        <v>45414</v>
      </c>
      <c r="E54" s="21">
        <v>58.15</v>
      </c>
      <c r="F54" s="21">
        <v>83</v>
      </c>
      <c r="G54" s="19">
        <v>30</v>
      </c>
      <c r="H54" s="19" t="s">
        <v>107</v>
      </c>
      <c r="I54" s="19">
        <v>2</v>
      </c>
      <c r="J54" s="22">
        <f t="shared" si="13"/>
        <v>0.42734307824591578</v>
      </c>
      <c r="K54" s="23" t="str">
        <f t="shared" si="14"/>
        <v/>
      </c>
      <c r="L54" s="24" t="str">
        <f>IF(K54="","",$AK$3)</f>
        <v/>
      </c>
      <c r="M54" s="22">
        <f t="shared" si="15"/>
        <v>0.21668099742046434</v>
      </c>
      <c r="N54" s="22">
        <f t="shared" si="16"/>
        <v>8.8564058469475473E-2</v>
      </c>
      <c r="O54" s="25"/>
      <c r="P54" s="19" t="s">
        <v>184</v>
      </c>
      <c r="Q54" s="19" t="s">
        <v>39</v>
      </c>
      <c r="R54" s="20">
        <v>45615</v>
      </c>
      <c r="S54" s="21">
        <v>6.94</v>
      </c>
      <c r="T54" s="21">
        <v>10.09</v>
      </c>
      <c r="U54" s="19">
        <v>1</v>
      </c>
      <c r="V54" s="19" t="s">
        <v>185</v>
      </c>
      <c r="W54" s="19">
        <v>1</v>
      </c>
      <c r="X54" s="22">
        <f t="shared" si="17"/>
        <v>0.45389048991354458</v>
      </c>
      <c r="Y54" s="23" t="str">
        <f t="shared" si="7"/>
        <v>Hedef Gerçekleşti</v>
      </c>
      <c r="Z54" s="24" t="e" vm="3">
        <f t="shared" si="8"/>
        <v>#VALUE!</v>
      </c>
      <c r="AA54" s="22">
        <f t="shared" si="9"/>
        <v>1</v>
      </c>
      <c r="AB54" s="22" t="str">
        <f t="shared" si="10"/>
        <v/>
      </c>
      <c r="AC54" s="8"/>
      <c r="AD54" s="8"/>
      <c r="AE54" s="8">
        <v>70.75</v>
      </c>
      <c r="AF54" s="8">
        <v>63.3</v>
      </c>
      <c r="AG54" s="8"/>
      <c r="AH54" s="8">
        <v>1117</v>
      </c>
      <c r="AI54" s="8">
        <v>1000</v>
      </c>
      <c r="AJ54" s="8"/>
      <c r="AK54" s="8"/>
      <c r="AL54" s="8"/>
      <c r="AM54" s="8"/>
    </row>
    <row r="55" spans="1:39" ht="23.1" customHeight="1" x14ac:dyDescent="0.25">
      <c r="A55" s="8"/>
      <c r="B55" s="19" t="s">
        <v>105</v>
      </c>
      <c r="C55" s="19" t="s">
        <v>39</v>
      </c>
      <c r="D55" s="20">
        <v>45590</v>
      </c>
      <c r="E55" s="21">
        <v>50.25</v>
      </c>
      <c r="F55" s="21">
        <v>75</v>
      </c>
      <c r="G55" s="19">
        <v>58</v>
      </c>
      <c r="H55" s="19" t="s">
        <v>108</v>
      </c>
      <c r="I55" s="19">
        <v>1</v>
      </c>
      <c r="J55" s="22">
        <f t="shared" ref="J55" si="36">IF(B55="","",IFERROR((F55-E55)/E55,""))</f>
        <v>0.4925373134328358</v>
      </c>
      <c r="K55" s="23" t="str">
        <f t="shared" ref="K55" si="37">IF(AE55&gt;F55,"Hedef Gerçekleşti","")</f>
        <v/>
      </c>
      <c r="L55" s="24" t="str">
        <f t="shared" ref="L55" si="38">IF(K55="","",$AK$3)</f>
        <v/>
      </c>
      <c r="M55" s="22">
        <f t="shared" ref="M55" si="39">IF(K55="",(AE55-E55)/E55,1)</f>
        <v>0.26169154228855718</v>
      </c>
      <c r="N55" s="22">
        <f t="shared" ref="N55" si="40">IF(M55=1,"",(AF55-E55)/E55)</f>
        <v>0.25970149253731339</v>
      </c>
      <c r="O55" s="25"/>
      <c r="P55" s="19"/>
      <c r="Q55" s="19"/>
      <c r="R55" s="20"/>
      <c r="S55" s="21"/>
      <c r="T55" s="21"/>
      <c r="U55" s="19">
        <v>1</v>
      </c>
      <c r="V55" s="19" t="s">
        <v>22</v>
      </c>
      <c r="W55" s="19">
        <v>1</v>
      </c>
      <c r="X55" s="22" t="str">
        <f t="shared" ref="X55" si="41">IF(P55="","",IFERROR((T55-S55)/S55,""))</f>
        <v/>
      </c>
      <c r="Y55" s="23"/>
      <c r="Z55" s="24"/>
      <c r="AA55" s="22"/>
      <c r="AB55" s="22"/>
      <c r="AC55" s="8"/>
      <c r="AD55" s="8"/>
      <c r="AE55" s="8">
        <v>63.4</v>
      </c>
      <c r="AF55" s="8">
        <v>63.3</v>
      </c>
      <c r="AG55" s="8"/>
      <c r="AH55" s="8">
        <v>24.74</v>
      </c>
      <c r="AI55" s="8">
        <v>17.190000000000001</v>
      </c>
      <c r="AJ55" s="8"/>
      <c r="AK55" s="8"/>
      <c r="AL55" s="8"/>
      <c r="AM55" s="8"/>
    </row>
    <row r="56" spans="1:39" ht="6.75" customHeight="1" x14ac:dyDescent="0.25">
      <c r="A56" s="8"/>
      <c r="B56" s="8"/>
      <c r="C56" s="8"/>
      <c r="D56" s="9"/>
      <c r="E56" s="14"/>
      <c r="F56" s="14"/>
      <c r="G56" s="8"/>
      <c r="H56" s="8"/>
      <c r="I56" s="8"/>
      <c r="J56" s="8"/>
      <c r="K56" s="10"/>
      <c r="L56" s="11"/>
      <c r="M56" s="12"/>
      <c r="N56" s="12"/>
      <c r="O56" s="8"/>
      <c r="P56" s="8"/>
      <c r="Q56" s="8"/>
      <c r="R56" s="9"/>
      <c r="S56" s="14"/>
      <c r="T56" s="14"/>
      <c r="U56" s="8"/>
      <c r="V56" s="8"/>
      <c r="W56" s="8"/>
      <c r="X56" s="8"/>
      <c r="Y56" s="10"/>
      <c r="Z56" s="11"/>
      <c r="AA56" s="12"/>
      <c r="AB56" s="12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21" customHeight="1" x14ac:dyDescent="0.25">
      <c r="A57" s="8"/>
      <c r="B57" s="8"/>
      <c r="C57" s="8"/>
      <c r="D57" s="9"/>
      <c r="E57" s="14"/>
      <c r="F57" s="14"/>
      <c r="G57" s="8"/>
      <c r="H57" s="8"/>
      <c r="I57" s="8"/>
      <c r="J57" s="8"/>
      <c r="K57" s="10"/>
      <c r="L57" s="11"/>
      <c r="M57" s="12"/>
      <c r="N57" s="12"/>
      <c r="O57" s="8"/>
      <c r="P57" s="8"/>
      <c r="Q57" s="8"/>
      <c r="R57" s="9"/>
      <c r="S57" s="14"/>
      <c r="T57" s="14"/>
      <c r="U57" s="8"/>
      <c r="V57" s="8"/>
      <c r="W57" s="8"/>
      <c r="X57" s="8"/>
      <c r="Y57" s="10"/>
      <c r="Z57" s="11"/>
      <c r="AA57" s="12"/>
      <c r="AB57" s="12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21" customHeight="1" x14ac:dyDescent="0.25">
      <c r="A58" s="8"/>
      <c r="B58" s="8"/>
      <c r="C58" s="8"/>
      <c r="D58" s="9"/>
      <c r="E58" s="14"/>
      <c r="F58" s="14"/>
      <c r="G58" s="8"/>
      <c r="H58" s="8"/>
      <c r="I58" s="8"/>
      <c r="J58" s="8"/>
      <c r="K58" s="10"/>
      <c r="L58" s="11"/>
      <c r="M58" s="12"/>
      <c r="N58" s="12"/>
      <c r="O58" s="8"/>
      <c r="P58" s="8"/>
      <c r="Q58" s="8"/>
      <c r="R58" s="9"/>
      <c r="S58" s="14"/>
      <c r="T58" s="14"/>
      <c r="U58" s="8"/>
      <c r="V58" s="8"/>
      <c r="W58" s="8"/>
      <c r="X58" s="8"/>
      <c r="Y58" s="10"/>
      <c r="Z58" s="11"/>
      <c r="AA58" s="12"/>
      <c r="AB58" s="12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21" customHeight="1" x14ac:dyDescent="0.25">
      <c r="A59" s="8"/>
      <c r="B59" s="8"/>
      <c r="C59" s="8"/>
      <c r="D59" s="9"/>
      <c r="E59" s="14"/>
      <c r="F59" s="14"/>
      <c r="G59" s="8"/>
      <c r="H59" s="8"/>
      <c r="I59" s="8"/>
      <c r="J59" s="8"/>
      <c r="K59" s="10"/>
      <c r="L59" s="11"/>
      <c r="M59" s="12"/>
      <c r="N59" s="12"/>
      <c r="O59" s="8"/>
      <c r="P59" s="8"/>
      <c r="Q59" s="8"/>
      <c r="R59" s="9"/>
      <c r="S59" s="14"/>
      <c r="T59" s="14"/>
      <c r="U59" s="8"/>
      <c r="V59" s="8"/>
      <c r="W59" s="8"/>
      <c r="X59" s="8"/>
      <c r="Y59" s="10"/>
      <c r="Z59" s="11"/>
      <c r="AA59" s="12"/>
      <c r="AB59" s="12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21" customHeight="1" x14ac:dyDescent="0.25">
      <c r="A60" s="8"/>
      <c r="B60" s="8"/>
      <c r="C60" s="8"/>
      <c r="D60" s="9"/>
      <c r="E60" s="14"/>
      <c r="F60" s="14"/>
      <c r="G60" s="8"/>
      <c r="H60" s="8"/>
      <c r="I60" s="8"/>
      <c r="J60" s="8"/>
      <c r="K60" s="10"/>
      <c r="L60" s="11"/>
      <c r="M60" s="12"/>
      <c r="N60" s="12"/>
      <c r="O60" s="8"/>
      <c r="P60" s="8"/>
      <c r="Q60" s="8"/>
      <c r="R60" s="9"/>
      <c r="S60" s="14"/>
      <c r="T60" s="14"/>
      <c r="U60" s="8"/>
      <c r="V60" s="8"/>
      <c r="W60" s="8"/>
      <c r="X60" s="8"/>
      <c r="Y60" s="10"/>
      <c r="Z60" s="11"/>
      <c r="AA60" s="12"/>
      <c r="AB60" s="12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</sheetData>
  <mergeCells count="6">
    <mergeCell ref="B2:D2"/>
    <mergeCell ref="E2:M2"/>
    <mergeCell ref="P2:R2"/>
    <mergeCell ref="S2:AA2"/>
    <mergeCell ref="K4:L4"/>
    <mergeCell ref="Y4:Z4"/>
  </mergeCells>
  <conditionalFormatting sqref="B5:N55">
    <cfRule type="expression" dxfId="11" priority="7">
      <formula>$I5=2</formula>
    </cfRule>
    <cfRule type="expression" dxfId="10" priority="8">
      <formula>$M5=1</formula>
    </cfRule>
    <cfRule type="expression" dxfId="9" priority="9">
      <formula>$I5=2</formula>
    </cfRule>
  </conditionalFormatting>
  <conditionalFormatting sqref="P5:AB55">
    <cfRule type="expression" dxfId="8" priority="1">
      <formula>$W5=2</formula>
    </cfRule>
    <cfRule type="expression" dxfId="7" priority="2">
      <formula>$AA5=1</formula>
    </cfRule>
    <cfRule type="expression" dxfId="6" priority="3">
      <formula>$W5=2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AHLATÇI</vt:lpstr>
      <vt:lpstr>İş Yatırım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KF68796</dc:creator>
  <cp:lastModifiedBy>KF68796</cp:lastModifiedBy>
  <dcterms:created xsi:type="dcterms:W3CDTF">2024-12-04T07:24:39Z</dcterms:created>
  <dcterms:modified xsi:type="dcterms:W3CDTF">2024-12-05T10:50:59Z</dcterms:modified>
</cp:coreProperties>
</file>