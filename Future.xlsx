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rive'ım\Diğer\Borsa Analiz\"/>
    </mc:Choice>
  </mc:AlternateContent>
  <xr:revisionPtr revIDLastSave="0" documentId="8_{45A0DA63-3735-4552-8EF3-271C70678400}" xr6:coauthVersionLast="47" xr6:coauthVersionMax="47" xr10:uidLastSave="{00000000-0000-0000-0000-000000000000}"/>
  <bookViews>
    <workbookView xWindow="-108" yWindow="-108" windowWidth="23256" windowHeight="12456" xr2:uid="{780B148C-325A-4E62-8BB0-A63A62F42D9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23" i="1"/>
  <c r="I22" i="1"/>
  <c r="I21" i="1"/>
  <c r="I20" i="1"/>
  <c r="I19" i="1"/>
  <c r="I18" i="1"/>
  <c r="I17" i="1"/>
  <c r="I16" i="1"/>
  <c r="I15" i="1"/>
  <c r="I14" i="1"/>
  <c r="J14" i="1"/>
  <c r="J13" i="1"/>
  <c r="H24" i="1"/>
  <c r="H23" i="1"/>
  <c r="H22" i="1"/>
  <c r="H21" i="1"/>
  <c r="H20" i="1"/>
  <c r="H19" i="1"/>
  <c r="H18" i="1"/>
  <c r="H17" i="1"/>
  <c r="H16" i="1"/>
  <c r="H15" i="1"/>
  <c r="F2" i="1"/>
  <c r="G13" i="1" l="1"/>
  <c r="J17" i="1"/>
  <c r="G17" i="1" s="1"/>
  <c r="G14" i="1"/>
  <c r="J10" i="1"/>
  <c r="G10" i="1" s="1"/>
  <c r="J19" i="1"/>
  <c r="G19" i="1" s="1"/>
  <c r="J16" i="1"/>
  <c r="G16" i="1" s="1"/>
  <c r="J15" i="1"/>
  <c r="G15" i="1" s="1"/>
  <c r="J24" i="1"/>
  <c r="G24" i="1" s="1"/>
  <c r="J23" i="1"/>
  <c r="G23" i="1" s="1"/>
  <c r="J22" i="1"/>
  <c r="G22" i="1" s="1"/>
  <c r="J21" i="1"/>
  <c r="G21" i="1" s="1"/>
  <c r="J20" i="1"/>
  <c r="G20" i="1" s="1"/>
  <c r="J18" i="1"/>
  <c r="G18" i="1" s="1"/>
  <c r="J6" i="1"/>
  <c r="G6" i="1" s="1"/>
  <c r="J11" i="1"/>
  <c r="G11" i="1" s="1"/>
  <c r="J12" i="1"/>
  <c r="G12" i="1" s="1"/>
  <c r="J3" i="1"/>
  <c r="G3" i="1" s="1"/>
  <c r="J4" i="1"/>
  <c r="G4" i="1" s="1"/>
  <c r="J5" i="1"/>
  <c r="G5" i="1" s="1"/>
  <c r="J7" i="1"/>
  <c r="G7" i="1" s="1"/>
  <c r="J8" i="1"/>
  <c r="G8" i="1" s="1"/>
  <c r="J9" i="1"/>
  <c r="G9" i="1" s="1"/>
</calcChain>
</file>

<file path=xl/sharedStrings.xml><?xml version="1.0" encoding="utf-8"?>
<sst xmlns="http://schemas.openxmlformats.org/spreadsheetml/2006/main" count="1" uniqueCount="1">
  <si>
    <t>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</si>
</sst>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7" formatCode="0.00000"/>
  </numFmts>
  <fonts count="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/>
    <xf numFmtId="164" fontId="0" fillId="0" borderId="0" xfId="0" applyNumberFormat="1"/>
    <xf numFmtId="0" fontId="0" fillId="0" borderId="0" xfId="0" applyAlignment="1">
      <alignment horizontal="center"/>
    </xf>
    <xf numFmtId="167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D75F-D75C-4056-969F-E2FE5EBEB443}">
  <dimension ref="B2:K24"/>
  <sheetViews>
    <sheetView tabSelected="1" workbookViewId="0">
      <selection activeCell="I25" sqref="I25"/>
    </sheetView>
  </sheetViews>
  <sheetFormatPr defaultRowHeight="14.4" x14ac:dyDescent="0.3"/>
  <cols>
    <col min="3" max="3" width="8.88671875" style="2"/>
    <col min="5" max="5" width="8.88671875" style="3"/>
    <col min="6" max="6" width="9.5546875" bestFit="1" customWidth="1"/>
    <col min="8" max="8" width="8.88671875" style="1"/>
    <col min="9" max="9" width="8.88671875" style="3"/>
    <col min="10" max="10" width="10.5546875" style="7" bestFit="1" customWidth="1"/>
    <col min="12" max="12" width="3.109375" customWidth="1"/>
  </cols>
  <sheetData>
    <row r="2" spans="2:11" x14ac:dyDescent="0.3">
      <c r="B2" t="s">
        <v>0</v>
      </c>
      <c r="C2" s="4">
        <v>1.755E-2</v>
      </c>
      <c r="D2">
        <v>20</v>
      </c>
      <c r="E2" s="3">
        <v>230</v>
      </c>
      <c r="F2" s="6">
        <f>+D2*E2/C2</f>
        <v>262108.2621082621</v>
      </c>
    </row>
    <row r="3" spans="2:11" x14ac:dyDescent="0.3">
      <c r="G3" s="6">
        <f t="shared" ref="G3:G11" si="0">+I3*$D$2/J3</f>
        <v>57241.496507374322</v>
      </c>
      <c r="H3" s="1">
        <v>0.5</v>
      </c>
      <c r="I3" s="3">
        <v>52</v>
      </c>
      <c r="J3" s="7">
        <f t="shared" ref="J3:J11" si="1">+$J$13*(1+H3/$D$2)</f>
        <v>1.8168637499999998E-2</v>
      </c>
    </row>
    <row r="4" spans="2:11" x14ac:dyDescent="0.3">
      <c r="G4" s="6">
        <f t="shared" si="0"/>
        <v>47426.854623703352</v>
      </c>
      <c r="H4" s="1">
        <v>0.46</v>
      </c>
      <c r="I4" s="3">
        <v>43</v>
      </c>
      <c r="J4" s="7">
        <f t="shared" si="1"/>
        <v>1.8133186499999995E-2</v>
      </c>
    </row>
    <row r="5" spans="2:11" x14ac:dyDescent="0.3">
      <c r="G5" s="6">
        <f t="shared" si="0"/>
        <v>38678.87228211508</v>
      </c>
      <c r="H5" s="1">
        <v>0.42</v>
      </c>
      <c r="I5" s="3">
        <v>35</v>
      </c>
      <c r="J5" s="7">
        <f t="shared" si="1"/>
        <v>1.8097735499999996E-2</v>
      </c>
    </row>
    <row r="6" spans="2:11" x14ac:dyDescent="0.3">
      <c r="G6" s="6">
        <f t="shared" si="0"/>
        <v>31019.050446766421</v>
      </c>
      <c r="H6" s="1">
        <v>0.37</v>
      </c>
      <c r="I6" s="3">
        <v>28</v>
      </c>
      <c r="J6" s="7">
        <f t="shared" si="1"/>
        <v>1.8053421749999996E-2</v>
      </c>
    </row>
    <row r="7" spans="2:11" x14ac:dyDescent="0.3">
      <c r="G7" s="6">
        <f t="shared" si="0"/>
        <v>24420.064062985566</v>
      </c>
      <c r="H7" s="1">
        <v>0.33</v>
      </c>
      <c r="I7" s="3">
        <v>22</v>
      </c>
      <c r="J7" s="7">
        <f t="shared" si="1"/>
        <v>1.8017970749999997E-2</v>
      </c>
    </row>
    <row r="8" spans="2:11" x14ac:dyDescent="0.3">
      <c r="G8" s="6">
        <f t="shared" si="0"/>
        <v>18944.597846932527</v>
      </c>
      <c r="H8" s="1">
        <v>0.25</v>
      </c>
      <c r="I8" s="3">
        <v>17</v>
      </c>
      <c r="J8" s="7">
        <f t="shared" si="1"/>
        <v>1.7947068749999996E-2</v>
      </c>
    </row>
    <row r="9" spans="2:11" x14ac:dyDescent="0.3">
      <c r="G9" s="6">
        <f t="shared" si="0"/>
        <v>14522.904435658087</v>
      </c>
      <c r="H9" s="1">
        <v>0.2</v>
      </c>
      <c r="I9" s="3">
        <v>13</v>
      </c>
      <c r="J9" s="7">
        <f t="shared" si="1"/>
        <v>1.7902754999999999E-2</v>
      </c>
    </row>
    <row r="10" spans="2:11" x14ac:dyDescent="0.3">
      <c r="G10" s="6">
        <f t="shared" si="0"/>
        <v>11199.185707207229</v>
      </c>
      <c r="H10" s="1">
        <v>0.15</v>
      </c>
      <c r="I10" s="3">
        <v>10</v>
      </c>
      <c r="J10" s="7">
        <f t="shared" si="1"/>
        <v>1.7858441249999999E-2</v>
      </c>
    </row>
    <row r="11" spans="2:11" x14ac:dyDescent="0.3">
      <c r="G11" s="6">
        <f t="shared" si="0"/>
        <v>8981.6355024965469</v>
      </c>
      <c r="H11" s="1">
        <v>0.1</v>
      </c>
      <c r="I11" s="3">
        <v>8</v>
      </c>
      <c r="J11" s="7">
        <f t="shared" si="1"/>
        <v>1.7814127499999995E-2</v>
      </c>
    </row>
    <row r="12" spans="2:11" x14ac:dyDescent="0.3">
      <c r="G12" s="6">
        <f>+I12*$D$2/J12</f>
        <v>7878.5293965166074</v>
      </c>
      <c r="H12" s="1">
        <v>0.05</v>
      </c>
      <c r="I12" s="3">
        <v>7</v>
      </c>
      <c r="J12" s="7">
        <f>+$J$13*(1+H12/$D$2)</f>
        <v>1.7769813749999998E-2</v>
      </c>
    </row>
    <row r="13" spans="2:11" x14ac:dyDescent="0.3">
      <c r="G13" s="6">
        <f>+I13*$D$2/J13</f>
        <v>11283.179600011284</v>
      </c>
      <c r="H13" s="1">
        <v>0</v>
      </c>
      <c r="I13" s="3">
        <v>10</v>
      </c>
      <c r="J13" s="7">
        <f>+C2*1.01</f>
        <v>1.7725499999999998E-2</v>
      </c>
      <c r="K13" s="5"/>
    </row>
    <row r="14" spans="2:11" x14ac:dyDescent="0.3">
      <c r="G14" s="6">
        <f>+I14*$D$2/J14</f>
        <v>11511.122622233732</v>
      </c>
      <c r="H14" s="1">
        <v>0</v>
      </c>
      <c r="I14" s="3">
        <f>+I13</f>
        <v>10</v>
      </c>
      <c r="J14" s="7">
        <f>+C2*0.99</f>
        <v>1.7374500000000001E-2</v>
      </c>
      <c r="K14" s="5"/>
    </row>
    <row r="15" spans="2:11" x14ac:dyDescent="0.3">
      <c r="G15" s="6">
        <f>+I15*$D$2/J15</f>
        <v>8077.9807875324441</v>
      </c>
      <c r="H15" s="1">
        <f>-H12</f>
        <v>-0.05</v>
      </c>
      <c r="I15" s="3">
        <f>+I12</f>
        <v>7</v>
      </c>
      <c r="J15" s="7">
        <f>+$J$14*(1+H15/$D$2)</f>
        <v>1.733106375E-2</v>
      </c>
      <c r="K15" s="5"/>
    </row>
    <row r="16" spans="2:11" x14ac:dyDescent="0.3">
      <c r="G16" s="6">
        <f>+I16*$D$2/J16</f>
        <v>9255.1739676251127</v>
      </c>
      <c r="H16" s="1">
        <f>-H11</f>
        <v>-0.1</v>
      </c>
      <c r="I16" s="3">
        <f>+I11</f>
        <v>8</v>
      </c>
      <c r="J16" s="7">
        <f t="shared" ref="J16:J24" si="2">+$J$14*(1+H16/$D$2)</f>
        <v>1.72876275E-2</v>
      </c>
      <c r="K16" s="5"/>
    </row>
    <row r="17" spans="5:10" x14ac:dyDescent="0.3">
      <c r="G17" s="6">
        <f>+I17*$D$2/J17</f>
        <v>11598.108435499982</v>
      </c>
      <c r="H17" s="1">
        <f>-H10</f>
        <v>-0.15</v>
      </c>
      <c r="I17" s="3">
        <f>+I10</f>
        <v>10</v>
      </c>
      <c r="J17" s="7">
        <f t="shared" si="2"/>
        <v>1.7244191250000002E-2</v>
      </c>
    </row>
    <row r="18" spans="5:10" x14ac:dyDescent="0.3">
      <c r="G18" s="6">
        <f>+I18*$D$2/J18</f>
        <v>15115.615564549345</v>
      </c>
      <c r="H18" s="1">
        <f>-H9</f>
        <v>-0.2</v>
      </c>
      <c r="I18" s="3">
        <f>+I9</f>
        <v>13</v>
      </c>
      <c r="J18" s="7">
        <f t="shared" si="2"/>
        <v>1.7200755000000002E-2</v>
      </c>
    </row>
    <row r="19" spans="5:10" x14ac:dyDescent="0.3">
      <c r="G19" s="6">
        <f>+I19*$D$2/J19</f>
        <v>19816.616159794779</v>
      </c>
      <c r="H19" s="1">
        <f>-H8</f>
        <v>-0.25</v>
      </c>
      <c r="I19" s="3">
        <f>+I8</f>
        <v>17</v>
      </c>
      <c r="J19" s="7">
        <f t="shared" si="2"/>
        <v>1.7157318750000001E-2</v>
      </c>
    </row>
    <row r="20" spans="5:10" x14ac:dyDescent="0.3">
      <c r="G20" s="6">
        <f>+I20*$D$2/J20</f>
        <v>25749.333776221869</v>
      </c>
      <c r="H20" s="1">
        <f>-H7</f>
        <v>-0.33</v>
      </c>
      <c r="I20" s="3">
        <f>+I7</f>
        <v>22</v>
      </c>
      <c r="J20" s="7">
        <f t="shared" si="2"/>
        <v>1.7087820750000003E-2</v>
      </c>
    </row>
    <row r="21" spans="5:10" x14ac:dyDescent="0.3">
      <c r="G21" s="6">
        <f>+I21*$D$2/J21</f>
        <v>32838.658524966326</v>
      </c>
      <c r="H21" s="1">
        <f>-H6</f>
        <v>-0.37</v>
      </c>
      <c r="I21" s="3">
        <f>+I6</f>
        <v>28</v>
      </c>
      <c r="J21" s="7">
        <f t="shared" si="2"/>
        <v>1.7053071750000003E-2</v>
      </c>
    </row>
    <row r="22" spans="5:10" x14ac:dyDescent="0.3">
      <c r="G22" s="6">
        <f>+I22*$D$2/J22</f>
        <v>41153.145227597612</v>
      </c>
      <c r="H22" s="1">
        <f>-H5</f>
        <v>-0.42</v>
      </c>
      <c r="I22" s="3">
        <f>+I5</f>
        <v>35</v>
      </c>
      <c r="J22" s="7">
        <f t="shared" si="2"/>
        <v>1.7009635500000002E-2</v>
      </c>
    </row>
    <row r="23" spans="5:10" x14ac:dyDescent="0.3">
      <c r="G23" s="6">
        <f>+I23*$D$2/J23</f>
        <v>50663.078071243654</v>
      </c>
      <c r="H23" s="1">
        <f>-H4</f>
        <v>-0.46</v>
      </c>
      <c r="I23" s="3">
        <f>+I4</f>
        <v>43</v>
      </c>
      <c r="J23" s="7">
        <f t="shared" si="2"/>
        <v>1.6974886500000001E-2</v>
      </c>
    </row>
    <row r="24" spans="5:10" x14ac:dyDescent="0.3">
      <c r="E24" s="6"/>
      <c r="G24" s="6">
        <f>+I24*$D$2/J24</f>
        <v>61392.653985246572</v>
      </c>
      <c r="H24" s="1">
        <f>-H3</f>
        <v>-0.5</v>
      </c>
      <c r="I24" s="3">
        <f>+I3</f>
        <v>52</v>
      </c>
      <c r="J24" s="7">
        <f t="shared" si="2"/>
        <v>1.6940137500000001E-2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KF68796</dc:creator>
  <cp:lastModifiedBy>KF68796</cp:lastModifiedBy>
  <dcterms:created xsi:type="dcterms:W3CDTF">2025-01-19T16:34:23Z</dcterms:created>
  <dcterms:modified xsi:type="dcterms:W3CDTF">2025-01-19T17:55:06Z</dcterms:modified>
</cp:coreProperties>
</file>