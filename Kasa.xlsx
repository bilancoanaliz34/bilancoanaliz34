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rive'ım\Diğer\Borsa Analiz\"/>
    </mc:Choice>
  </mc:AlternateContent>
  <xr:revisionPtr revIDLastSave="0" documentId="13_ncr:1_{AB507212-AABE-439E-A4EE-9EEE90C4B1B6}" xr6:coauthVersionLast="47" xr6:coauthVersionMax="47" xr10:uidLastSave="{00000000-0000-0000-0000-000000000000}"/>
  <bookViews>
    <workbookView xWindow="-120" yWindow="-120" windowWidth="29040" windowHeight="15720" activeTab="2" xr2:uid="{354A1C80-4119-4A71-8E29-3E65DE5AF4F8}"/>
  </bookViews>
  <sheets>
    <sheet name="Sayfa2" sheetId="2" r:id="rId1"/>
    <sheet name="Sayfa1" sheetId="1" r:id="rId2"/>
    <sheet name="Artvin" sheetId="3" r:id="rId3"/>
    <sheet name="Burak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4" l="1"/>
  <c r="J25" i="3"/>
  <c r="F339" i="1"/>
  <c r="D81" i="2" s="1"/>
  <c r="F338" i="1"/>
  <c r="F327" i="1"/>
  <c r="F321" i="1"/>
  <c r="D17" i="4"/>
  <c r="H4" i="4" s="1"/>
  <c r="J29" i="3" s="1"/>
  <c r="F309" i="1"/>
  <c r="O13" i="2"/>
  <c r="O14" i="2" s="1"/>
  <c r="P14" i="2" s="1"/>
  <c r="N11" i="2"/>
  <c r="N9" i="2"/>
  <c r="N8" i="2"/>
  <c r="N7" i="2"/>
  <c r="N6" i="2"/>
  <c r="N5" i="2"/>
  <c r="N4" i="2"/>
  <c r="N3" i="2"/>
  <c r="J30" i="2"/>
  <c r="K30" i="2" s="1"/>
  <c r="J31" i="2"/>
  <c r="J32" i="2"/>
  <c r="K32" i="2" s="1"/>
  <c r="J33" i="2"/>
  <c r="K33" i="2" s="1"/>
  <c r="J34" i="2"/>
  <c r="J29" i="2"/>
  <c r="F225" i="1"/>
  <c r="D58" i="2" s="1"/>
  <c r="J27" i="3"/>
  <c r="F216" i="1"/>
  <c r="F192" i="1"/>
  <c r="F194" i="1"/>
  <c r="F193" i="1"/>
  <c r="F168" i="1"/>
  <c r="J20" i="2" s="1"/>
  <c r="C1" i="2"/>
  <c r="A1" i="2" s="1"/>
  <c r="F134" i="1"/>
  <c r="D35" i="2" s="1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4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2" i="2"/>
  <c r="D41" i="2"/>
  <c r="D40" i="2"/>
  <c r="D39" i="2"/>
  <c r="D38" i="2"/>
  <c r="D37" i="2"/>
  <c r="D36" i="2"/>
  <c r="D34" i="2"/>
  <c r="D33" i="2"/>
  <c r="Q2" i="3"/>
  <c r="K4" i="3"/>
  <c r="L4" i="3" s="1"/>
  <c r="K6" i="3"/>
  <c r="L6" i="3" s="1"/>
  <c r="K7" i="3"/>
  <c r="L7" i="3" s="1"/>
  <c r="K8" i="3"/>
  <c r="L8" i="3" s="1"/>
  <c r="K10" i="3"/>
  <c r="L10" i="3" s="1"/>
  <c r="K11" i="3"/>
  <c r="L11" i="3" s="1"/>
  <c r="K12" i="3"/>
  <c r="L12" i="3" s="1"/>
  <c r="K13" i="3"/>
  <c r="L13" i="3" s="1"/>
  <c r="J15" i="3"/>
  <c r="N19" i="3"/>
  <c r="F23" i="3"/>
  <c r="F2" i="3" s="1"/>
  <c r="F27" i="3"/>
  <c r="K9" i="3" s="1"/>
  <c r="L9" i="3" s="1"/>
  <c r="Q38" i="3"/>
  <c r="R38" i="3"/>
  <c r="J22" i="2"/>
  <c r="J21" i="2"/>
  <c r="J19" i="2"/>
  <c r="J18" i="2"/>
  <c r="J17" i="2"/>
  <c r="J16" i="2"/>
  <c r="F95" i="1"/>
  <c r="F73" i="1"/>
  <c r="F104" i="1"/>
  <c r="J24" i="2" l="1"/>
  <c r="J35" i="2"/>
  <c r="K35" i="2" s="1"/>
  <c r="J37" i="2"/>
  <c r="D43" i="2"/>
  <c r="K34" i="2"/>
  <c r="K29" i="2"/>
  <c r="K31" i="2"/>
  <c r="I37" i="2"/>
  <c r="J30" i="3"/>
  <c r="J39" i="3" s="1"/>
  <c r="F1" i="2"/>
  <c r="G1" i="2"/>
  <c r="B1" i="2"/>
  <c r="D1" i="2"/>
  <c r="K5" i="3"/>
  <c r="L5" i="3" s="1"/>
  <c r="J8" i="2"/>
  <c r="O8" i="2" s="1"/>
  <c r="P8" i="2" s="1"/>
  <c r="J7" i="2"/>
  <c r="O7" i="2" s="1"/>
  <c r="P7" i="2" s="1"/>
  <c r="J6" i="2"/>
  <c r="O6" i="2" s="1"/>
  <c r="P6" i="2" s="1"/>
  <c r="J5" i="2"/>
  <c r="O5" i="2" s="1"/>
  <c r="P5" i="2" s="1"/>
  <c r="J4" i="2"/>
  <c r="O4" i="2" s="1"/>
  <c r="P4" i="2" s="1"/>
  <c r="J3" i="2"/>
  <c r="O3" i="2" s="1"/>
  <c r="P3" i="2" s="1"/>
  <c r="I11" i="2"/>
  <c r="K37" i="2" l="1"/>
  <c r="K3" i="2"/>
  <c r="K15" i="3"/>
  <c r="K8" i="2"/>
  <c r="K7" i="2"/>
  <c r="K6" i="2"/>
  <c r="K5" i="2"/>
  <c r="K4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5" i="2"/>
  <c r="D4" i="2"/>
  <c r="D3" i="2"/>
  <c r="F16" i="1"/>
  <c r="F3" i="2" l="1"/>
  <c r="E3" i="2"/>
  <c r="E4" i="2" s="1"/>
  <c r="E5" i="2" s="1"/>
  <c r="K19" i="2"/>
  <c r="K18" i="2"/>
  <c r="K20" i="2"/>
  <c r="K16" i="2"/>
  <c r="K21" i="2"/>
  <c r="K17" i="2"/>
  <c r="J11" i="2"/>
  <c r="O11" i="2" s="1"/>
  <c r="P11" i="2" s="1"/>
  <c r="J9" i="2"/>
  <c r="O9" i="2" s="1"/>
  <c r="P9" i="2" s="1"/>
  <c r="D6" i="2"/>
  <c r="F6" i="2" l="1"/>
  <c r="F4" i="2"/>
  <c r="E6" i="2"/>
  <c r="F5" i="2"/>
  <c r="K22" i="2"/>
  <c r="I24" i="2"/>
  <c r="K9" i="2"/>
  <c r="K11" i="2"/>
  <c r="E7" i="2" l="1"/>
  <c r="F7" i="2"/>
  <c r="K24" i="2"/>
  <c r="E8" i="2" l="1"/>
  <c r="F8" i="2"/>
  <c r="E9" i="2" l="1"/>
  <c r="F9" i="2"/>
  <c r="E10" i="2" l="1"/>
  <c r="F10" i="2"/>
  <c r="E11" i="2" l="1"/>
  <c r="F11" i="2"/>
  <c r="E12" i="2" l="1"/>
  <c r="F12" i="2"/>
  <c r="E13" i="2" l="1"/>
  <c r="F13" i="2"/>
  <c r="E14" i="2" l="1"/>
  <c r="F14" i="2"/>
  <c r="E15" i="2" l="1"/>
  <c r="F15" i="2"/>
  <c r="E16" i="2" l="1"/>
  <c r="F16" i="2"/>
  <c r="E17" i="2" l="1"/>
  <c r="F17" i="2"/>
  <c r="E18" i="2" l="1"/>
  <c r="F18" i="2"/>
  <c r="E19" i="2" l="1"/>
  <c r="F19" i="2"/>
  <c r="E20" i="2" l="1"/>
  <c r="F20" i="2"/>
  <c r="E21" i="2" l="1"/>
  <c r="F21" i="2"/>
  <c r="E22" i="2" l="1"/>
  <c r="F22" i="2"/>
  <c r="E23" i="2" l="1"/>
  <c r="F23" i="2"/>
  <c r="E24" i="2" l="1"/>
  <c r="F24" i="2"/>
  <c r="E25" i="2" l="1"/>
  <c r="F25" i="2"/>
  <c r="E26" i="2" l="1"/>
  <c r="F26" i="2"/>
  <c r="E27" i="2" l="1"/>
  <c r="F27" i="2"/>
  <c r="E28" i="2" l="1"/>
  <c r="F28" i="2"/>
  <c r="E29" i="2" l="1"/>
  <c r="F29" i="2"/>
  <c r="E30" i="2" l="1"/>
  <c r="F30" i="2"/>
  <c r="E31" i="2" l="1"/>
  <c r="F31" i="2"/>
  <c r="E32" i="2" l="1"/>
  <c r="F32" i="2"/>
  <c r="E33" i="2" l="1"/>
  <c r="F33" i="2"/>
  <c r="E34" i="2" l="1"/>
  <c r="F34" i="2"/>
  <c r="E35" i="2" l="1"/>
  <c r="F35" i="2"/>
  <c r="E36" i="2" l="1"/>
  <c r="F36" i="2"/>
  <c r="E37" i="2" l="1"/>
  <c r="F37" i="2"/>
  <c r="E38" i="2" l="1"/>
  <c r="F38" i="2"/>
  <c r="E39" i="2" l="1"/>
  <c r="F39" i="2"/>
  <c r="E40" i="2" l="1"/>
  <c r="F40" i="2"/>
  <c r="E41" i="2" l="1"/>
  <c r="F41" i="2"/>
  <c r="E42" i="2" l="1"/>
  <c r="F42" i="2"/>
  <c r="E43" i="2" l="1"/>
  <c r="F43" i="2"/>
  <c r="E44" i="2" l="1"/>
  <c r="F44" i="2"/>
  <c r="E45" i="2" l="1"/>
  <c r="F45" i="2"/>
  <c r="E46" i="2" l="1"/>
  <c r="F46" i="2"/>
  <c r="E47" i="2" l="1"/>
  <c r="F47" i="2"/>
  <c r="E48" i="2" l="1"/>
  <c r="F48" i="2"/>
  <c r="E49" i="2" l="1"/>
  <c r="F49" i="2"/>
  <c r="E50" i="2" l="1"/>
  <c r="F50" i="2"/>
  <c r="E51" i="2" l="1"/>
  <c r="F51" i="2"/>
  <c r="E52" i="2" l="1"/>
  <c r="F52" i="2"/>
  <c r="E53" i="2" l="1"/>
  <c r="F53" i="2"/>
  <c r="E54" i="2" l="1"/>
  <c r="F54" i="2"/>
  <c r="E55" i="2" l="1"/>
  <c r="F55" i="2"/>
  <c r="E56" i="2" l="1"/>
  <c r="F56" i="2"/>
  <c r="E57" i="2" l="1"/>
  <c r="F57" i="2"/>
  <c r="E58" i="2" l="1"/>
  <c r="F58" i="2"/>
  <c r="E59" i="2" l="1"/>
  <c r="F59" i="2"/>
  <c r="E60" i="2" l="1"/>
  <c r="F60" i="2"/>
  <c r="E61" i="2" l="1"/>
  <c r="F61" i="2"/>
  <c r="E62" i="2" l="1"/>
  <c r="F62" i="2"/>
  <c r="E63" i="2" l="1"/>
  <c r="F63" i="2"/>
  <c r="E64" i="2" l="1"/>
  <c r="F64" i="2"/>
  <c r="E65" i="2" l="1"/>
  <c r="F65" i="2"/>
  <c r="E66" i="2" l="1"/>
  <c r="F66" i="2"/>
  <c r="E67" i="2" l="1"/>
  <c r="F67" i="2"/>
  <c r="E68" i="2" l="1"/>
  <c r="F68" i="2"/>
  <c r="E69" i="2" l="1"/>
  <c r="F69" i="2"/>
  <c r="E70" i="2" l="1"/>
  <c r="F70" i="2"/>
  <c r="E71" i="2" l="1"/>
  <c r="F71" i="2"/>
  <c r="E72" i="2" l="1"/>
  <c r="F72" i="2"/>
  <c r="E73" i="2" l="1"/>
  <c r="F73" i="2"/>
  <c r="E74" i="2" l="1"/>
  <c r="F74" i="2"/>
  <c r="E75" i="2" l="1"/>
  <c r="F75" i="2"/>
  <c r="E76" i="2" l="1"/>
  <c r="F76" i="2"/>
  <c r="E77" i="2" l="1"/>
  <c r="F77" i="2"/>
  <c r="E78" i="2" l="1"/>
  <c r="F78" i="2"/>
  <c r="E79" i="2" l="1"/>
  <c r="F79" i="2"/>
  <c r="E80" i="2" l="1"/>
  <c r="F80" i="2"/>
  <c r="E81" i="2" l="1"/>
  <c r="F81" i="2"/>
  <c r="E82" i="2" l="1"/>
  <c r="F82" i="2"/>
  <c r="E83" i="2" l="1"/>
  <c r="F83" i="2"/>
  <c r="E84" i="2" l="1"/>
  <c r="F84" i="2"/>
  <c r="E85" i="2" l="1"/>
  <c r="F85" i="2"/>
  <c r="E86" i="2" l="1"/>
  <c r="F86" i="2"/>
  <c r="E87" i="2" l="1"/>
  <c r="F87" i="2"/>
  <c r="E88" i="2" l="1"/>
  <c r="F88" i="2"/>
  <c r="E89" i="2" l="1"/>
  <c r="F89" i="2"/>
  <c r="E90" i="2" l="1"/>
  <c r="F90" i="2"/>
  <c r="E91" i="2" l="1"/>
  <c r="F91" i="2"/>
  <c r="E92" i="2" l="1"/>
  <c r="F92" i="2"/>
  <c r="E93" i="2" l="1"/>
  <c r="F93" i="2"/>
  <c r="E94" i="2" l="1"/>
  <c r="F94" i="2"/>
  <c r="E95" i="2" l="1"/>
  <c r="F95" i="2"/>
  <c r="E96" i="2" l="1"/>
  <c r="F96" i="2"/>
  <c r="E97" i="2" l="1"/>
  <c r="F97" i="2"/>
  <c r="E98" i="2" l="1"/>
  <c r="F98" i="2"/>
  <c r="E99" i="2" l="1"/>
  <c r="F99" i="2"/>
  <c r="E100" i="2" l="1"/>
  <c r="F100" i="2"/>
  <c r="E101" i="2" l="1"/>
  <c r="F101" i="2"/>
  <c r="E102" i="2" l="1"/>
  <c r="F102" i="2"/>
  <c r="E103" i="2" l="1"/>
  <c r="F103" i="2"/>
  <c r="E104" i="2" l="1"/>
  <c r="F104" i="2"/>
  <c r="E105" i="2" l="1"/>
  <c r="F105" i="2"/>
  <c r="E106" i="2" l="1"/>
  <c r="F106" i="2"/>
  <c r="E107" i="2" l="1"/>
  <c r="F107" i="2"/>
  <c r="E108" i="2" l="1"/>
  <c r="F108" i="2"/>
  <c r="E109" i="2" l="1"/>
  <c r="F109" i="2"/>
  <c r="E110" i="2" l="1"/>
  <c r="F110" i="2"/>
  <c r="E111" i="2" l="1"/>
  <c r="F111" i="2"/>
  <c r="E112" i="2" l="1"/>
  <c r="F112" i="2"/>
  <c r="E113" i="2" l="1"/>
  <c r="F113" i="2"/>
  <c r="E114" i="2" l="1"/>
  <c r="F114" i="2"/>
  <c r="E115" i="2" l="1"/>
  <c r="F115" i="2"/>
  <c r="E116" i="2" l="1"/>
  <c r="F116" i="2"/>
  <c r="E117" i="2" l="1"/>
  <c r="F117" i="2"/>
  <c r="E118" i="2" l="1"/>
  <c r="F118" i="2"/>
  <c r="E119" i="2" l="1"/>
  <c r="F119" i="2"/>
  <c r="E120" i="2" l="1"/>
  <c r="F120" i="2"/>
  <c r="E121" i="2" l="1"/>
  <c r="F121" i="2"/>
  <c r="E122" i="2" l="1"/>
  <c r="F122" i="2"/>
  <c r="E123" i="2" l="1"/>
  <c r="F123" i="2"/>
  <c r="E124" i="2" l="1"/>
  <c r="F124" i="2"/>
  <c r="E125" i="2" l="1"/>
  <c r="F125" i="2"/>
  <c r="E126" i="2" l="1"/>
  <c r="F126" i="2"/>
  <c r="E127" i="2" l="1"/>
  <c r="F127" i="2"/>
  <c r="E128" i="2" l="1"/>
  <c r="F128" i="2"/>
  <c r="E129" i="2" l="1"/>
  <c r="F129" i="2"/>
  <c r="E130" i="2" l="1"/>
  <c r="F130" i="2"/>
  <c r="E131" i="2" l="1"/>
  <c r="F131" i="2"/>
  <c r="E132" i="2" l="1"/>
  <c r="F132" i="2"/>
  <c r="E133" i="2" l="1"/>
  <c r="F133" i="2"/>
  <c r="E134" i="2" l="1"/>
  <c r="F134" i="2"/>
  <c r="E135" i="2" l="1"/>
  <c r="F135" i="2"/>
  <c r="E136" i="2" l="1"/>
  <c r="F136" i="2"/>
  <c r="E137" i="2" l="1"/>
  <c r="F137" i="2"/>
  <c r="E138" i="2" l="1"/>
  <c r="F138" i="2"/>
  <c r="E139" i="2" l="1"/>
  <c r="F139" i="2"/>
  <c r="E140" i="2" l="1"/>
  <c r="F140" i="2"/>
  <c r="E141" i="2" l="1"/>
  <c r="F141" i="2"/>
  <c r="E142" i="2" l="1"/>
  <c r="F142" i="2"/>
  <c r="E143" i="2" l="1"/>
  <c r="F143" i="2"/>
  <c r="E144" i="2" l="1"/>
  <c r="F144" i="2"/>
  <c r="E145" i="2" l="1"/>
  <c r="F145" i="2"/>
  <c r="E146" i="2" l="1"/>
  <c r="F146" i="2"/>
  <c r="E147" i="2" l="1"/>
  <c r="F147" i="2"/>
  <c r="E148" i="2" l="1"/>
  <c r="F148" i="2"/>
  <c r="E149" i="2" l="1"/>
  <c r="F149" i="2"/>
  <c r="E150" i="2" l="1"/>
  <c r="F150" i="2"/>
  <c r="E151" i="2" l="1"/>
  <c r="F151" i="2"/>
  <c r="E152" i="2" l="1"/>
  <c r="F152" i="2"/>
  <c r="E153" i="2" l="1"/>
  <c r="F153" i="2"/>
  <c r="E154" i="2" l="1"/>
  <c r="F154" i="2"/>
  <c r="E155" i="2" l="1"/>
  <c r="F155" i="2"/>
  <c r="E156" i="2" l="1"/>
  <c r="F156" i="2"/>
</calcChain>
</file>

<file path=xl/sharedStrings.xml><?xml version="1.0" encoding="utf-8"?>
<sst xmlns="http://schemas.openxmlformats.org/spreadsheetml/2006/main" count="1370" uniqueCount="214">
  <si>
    <t>Tarih</t>
  </si>
  <si>
    <t>Samet</t>
  </si>
  <si>
    <t>Fatura</t>
  </si>
  <si>
    <t>Telefon Faturası</t>
  </si>
  <si>
    <t>Ev</t>
  </si>
  <si>
    <t>Yemek</t>
  </si>
  <si>
    <t>Trendyol Yemek</t>
  </si>
  <si>
    <t>Market</t>
  </si>
  <si>
    <t>Yemek Sepeti</t>
  </si>
  <si>
    <t>Zeynep</t>
  </si>
  <si>
    <t>Giyim</t>
  </si>
  <si>
    <t>Lc Waikiki</t>
  </si>
  <si>
    <t>Yataş</t>
  </si>
  <si>
    <t>Safa</t>
  </si>
  <si>
    <t>Eğlence</t>
  </si>
  <si>
    <t>Buz Pateni</t>
  </si>
  <si>
    <t>Diğer</t>
  </si>
  <si>
    <t>Bim</t>
  </si>
  <si>
    <t>Halime</t>
  </si>
  <si>
    <t>Huqqabaz</t>
  </si>
  <si>
    <t>Flo</t>
  </si>
  <si>
    <t>Kasaba Fırın</t>
  </si>
  <si>
    <t>Terzi</t>
  </si>
  <si>
    <t>Saimoğlu</t>
  </si>
  <si>
    <t>Lora Giyim</t>
  </si>
  <si>
    <t>Doğa Baharat</t>
  </si>
  <si>
    <t>Şok</t>
  </si>
  <si>
    <t>Carrefour</t>
  </si>
  <si>
    <t>Mahsul Bahçesi</t>
  </si>
  <si>
    <t>Arçelik</t>
  </si>
  <si>
    <t>Gün</t>
  </si>
  <si>
    <t>Kaan</t>
  </si>
  <si>
    <t>Servis</t>
  </si>
  <si>
    <t>Eğitim</t>
  </si>
  <si>
    <t>İlim Yayma</t>
  </si>
  <si>
    <t>Kredi</t>
  </si>
  <si>
    <t>Oyuncak</t>
  </si>
  <si>
    <t>Kooparatif</t>
  </si>
  <si>
    <t>Mikel</t>
  </si>
  <si>
    <t>Beka Simit</t>
  </si>
  <si>
    <t>Baza Ayak</t>
  </si>
  <si>
    <t>Şarj Kablo</t>
  </si>
  <si>
    <t>Onur</t>
  </si>
  <si>
    <t>Harcama</t>
  </si>
  <si>
    <t>Kategori</t>
  </si>
  <si>
    <t>Açıklama</t>
  </si>
  <si>
    <t>Tutar</t>
  </si>
  <si>
    <t>Toplam</t>
  </si>
  <si>
    <t>Araç</t>
  </si>
  <si>
    <t>Hgs</t>
  </si>
  <si>
    <t>Ayakkabı</t>
  </si>
  <si>
    <t>Top</t>
  </si>
  <si>
    <t>Elektrik</t>
  </si>
  <si>
    <t>Para Transferi</t>
  </si>
  <si>
    <t>Sağlık</t>
  </si>
  <si>
    <t>Krokan</t>
  </si>
  <si>
    <t>Et Süt Kurumu</t>
  </si>
  <si>
    <t>alçık avm</t>
  </si>
  <si>
    <t>a101</t>
  </si>
  <si>
    <t>cadde fırın</t>
  </si>
  <si>
    <t>gratis</t>
  </si>
  <si>
    <t>yves rocher</t>
  </si>
  <si>
    <t>mango</t>
  </si>
  <si>
    <t>arbys</t>
  </si>
  <si>
    <t>missesa</t>
  </si>
  <si>
    <t>denizim rest.</t>
  </si>
  <si>
    <t>Çamaşır</t>
  </si>
  <si>
    <t>Bir İşkembe</t>
  </si>
  <si>
    <t>ekmek</t>
  </si>
  <si>
    <t>Su</t>
  </si>
  <si>
    <t>Hepsiburada</t>
  </si>
  <si>
    <t>Mali Mühür</t>
  </si>
  <si>
    <t>salih</t>
  </si>
  <si>
    <t>İşçilik</t>
  </si>
  <si>
    <t>okul aile</t>
  </si>
  <si>
    <t>yemek</t>
  </si>
  <si>
    <t>malzeme</t>
  </si>
  <si>
    <t>Malzeme</t>
  </si>
  <si>
    <t>harcama</t>
  </si>
  <si>
    <t>Altundişler</t>
  </si>
  <si>
    <t>mahmut</t>
  </si>
  <si>
    <t>erdem</t>
  </si>
  <si>
    <t>tavan profil</t>
  </si>
  <si>
    <t>sahne</t>
  </si>
  <si>
    <t>moloz</t>
  </si>
  <si>
    <t>Pelsan Nak</t>
  </si>
  <si>
    <t>Akustik Nak</t>
  </si>
  <si>
    <t>sgk</t>
  </si>
  <si>
    <t>Sgk</t>
  </si>
  <si>
    <t>Vergi</t>
  </si>
  <si>
    <t>işçilik</t>
  </si>
  <si>
    <t>benzin</t>
  </si>
  <si>
    <t>Mahmut</t>
  </si>
  <si>
    <t>Muhasebe</t>
  </si>
  <si>
    <t>İsg</t>
  </si>
  <si>
    <t>PVC</t>
  </si>
  <si>
    <t>Kırtasiye</t>
  </si>
  <si>
    <t>kademagao</t>
  </si>
  <si>
    <t>kadir demir</t>
  </si>
  <si>
    <t>yakıt</t>
  </si>
  <si>
    <t>kargo</t>
  </si>
  <si>
    <t>Özgen Çapar</t>
  </si>
  <si>
    <t>burak</t>
  </si>
  <si>
    <t>Kilit</t>
  </si>
  <si>
    <t>Sahne</t>
  </si>
  <si>
    <t>Prim</t>
  </si>
  <si>
    <t>Tüm Kalan</t>
  </si>
  <si>
    <t>Projeksiyon Askı</t>
  </si>
  <si>
    <t>Profil</t>
  </si>
  <si>
    <t>Hak Teminat</t>
  </si>
  <si>
    <t>MALZEME</t>
  </si>
  <si>
    <t xml:space="preserve">Teminat </t>
  </si>
  <si>
    <t>İçerideki Para</t>
  </si>
  <si>
    <t>Kdv</t>
  </si>
  <si>
    <t>Projeksiyon</t>
  </si>
  <si>
    <t>Burak</t>
  </si>
  <si>
    <t>Net</t>
  </si>
  <si>
    <t>Ödeme</t>
  </si>
  <si>
    <t>Harcanan</t>
  </si>
  <si>
    <t>2.Hak</t>
  </si>
  <si>
    <t>Kablo</t>
  </si>
  <si>
    <t>1.Hak</t>
  </si>
  <si>
    <t>Gelir Geçici</t>
  </si>
  <si>
    <t>Nalbur</t>
  </si>
  <si>
    <t>Tesisat</t>
  </si>
  <si>
    <t>Asma Tavan</t>
  </si>
  <si>
    <t>Garanti</t>
  </si>
  <si>
    <t>Teminat</t>
  </si>
  <si>
    <t>Çatı</t>
  </si>
  <si>
    <t>Andezit Nakliye</t>
  </si>
  <si>
    <t>Ödenmedi</t>
  </si>
  <si>
    <t>Andezit</t>
  </si>
  <si>
    <t>Asfalt</t>
  </si>
  <si>
    <t>All Risk</t>
  </si>
  <si>
    <t>Malzeme-2</t>
  </si>
  <si>
    <t>Pvc</t>
  </si>
  <si>
    <t>Malzeme-1</t>
  </si>
  <si>
    <t>Damga Vergisi</t>
  </si>
  <si>
    <t>FATİH</t>
  </si>
  <si>
    <t>Gerçekleşen</t>
  </si>
  <si>
    <t>Planlanan</t>
  </si>
  <si>
    <t>Yıldız Restaurant</t>
  </si>
  <si>
    <t>Mavi Kafe</t>
  </si>
  <si>
    <t>Nestle</t>
  </si>
  <si>
    <t>bim</t>
  </si>
  <si>
    <t>Lale Lokantısı</t>
  </si>
  <si>
    <t>Anahtarlık</t>
  </si>
  <si>
    <t>Doğalgaz</t>
  </si>
  <si>
    <t xml:space="preserve">İski </t>
  </si>
  <si>
    <t>Ehli Ciğer</t>
  </si>
  <si>
    <t>Hesap</t>
  </si>
  <si>
    <t>Pilates</t>
  </si>
  <si>
    <t>Anahtar</t>
  </si>
  <si>
    <t>IP tv</t>
  </si>
  <si>
    <t>Para Çekme</t>
  </si>
  <si>
    <t>Amazon</t>
  </si>
  <si>
    <t>Gömlek</t>
  </si>
  <si>
    <t>Özaydın Petrol</t>
  </si>
  <si>
    <t>Gülhane</t>
  </si>
  <si>
    <t>Lokum</t>
  </si>
  <si>
    <t>Eczane</t>
  </si>
  <si>
    <t>Mollaoğlu</t>
  </si>
  <si>
    <t>BİM</t>
  </si>
  <si>
    <t>Waikiki</t>
  </si>
  <si>
    <t>Tedi</t>
  </si>
  <si>
    <t>Sarıyer Börek</t>
  </si>
  <si>
    <t>Easyfishoil</t>
  </si>
  <si>
    <t>şok</t>
  </si>
  <si>
    <t>Zeynep Dabakoğlu</t>
  </si>
  <si>
    <t>Elif Eroğlu</t>
  </si>
  <si>
    <t>Tartı</t>
  </si>
  <si>
    <t>Çöp Poşeti</t>
  </si>
  <si>
    <t>Tat Fırın</t>
  </si>
  <si>
    <t>Elbise</t>
  </si>
  <si>
    <t>migros</t>
  </si>
  <si>
    <t>makbul</t>
  </si>
  <si>
    <t>Yakıt</t>
  </si>
  <si>
    <t>Sülük</t>
  </si>
  <si>
    <t>Halı Saha</t>
  </si>
  <si>
    <t>puzzle</t>
  </si>
  <si>
    <t>Süt</t>
  </si>
  <si>
    <t>Aidat</t>
  </si>
  <si>
    <t>Trendyol</t>
  </si>
  <si>
    <t>Anteplioğlu</t>
  </si>
  <si>
    <t>Florya</t>
  </si>
  <si>
    <t>Süpürge Tamir</t>
  </si>
  <si>
    <t>Altın</t>
  </si>
  <si>
    <t>Geçici KABUL</t>
  </si>
  <si>
    <t>Korse</t>
  </si>
  <si>
    <t>Elle</t>
  </si>
  <si>
    <t>Çiğ Köfte</t>
  </si>
  <si>
    <t>Pizza Hut</t>
  </si>
  <si>
    <t>ltb</t>
  </si>
  <si>
    <t>şahin kebap</t>
  </si>
  <si>
    <t>Kaleci Eldiven</t>
  </si>
  <si>
    <t>TRENDYOL</t>
  </si>
  <si>
    <t>Araba Vergi</t>
  </si>
  <si>
    <t>Lezzet Börek</t>
  </si>
  <si>
    <t>rossman</t>
  </si>
  <si>
    <t>kul fırın</t>
  </si>
  <si>
    <t>mobilya</t>
  </si>
  <si>
    <t xml:space="preserve">trendyol </t>
  </si>
  <si>
    <t>fırın</t>
  </si>
  <si>
    <t>Etüt</t>
  </si>
  <si>
    <t>Altıngünü</t>
  </si>
  <si>
    <t>şenay</t>
  </si>
  <si>
    <t>penti</t>
  </si>
  <si>
    <t>huqqabaz</t>
  </si>
  <si>
    <t>sigorta</t>
  </si>
  <si>
    <t>kasko</t>
  </si>
  <si>
    <t>Sütun1</t>
  </si>
  <si>
    <t>Maximum</t>
  </si>
  <si>
    <t>Transfer</t>
  </si>
  <si>
    <t>İhale Harcama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</si>
</sst>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₺&quot;#,##0.00;[Red]\-&quot;₺&quot;#,##0.00"/>
    <numFmt numFmtId="44" formatCode="_-&quot;₺&quot;* #,##0.00_-;\-&quot;₺&quot;* #,##0.00_-;_-&quot;₺&quot;* &quot;-&quot;??_-;_-@_-"/>
    <numFmt numFmtId="164" formatCode="#,##0.00\ &quot;₺&quot;;[Red]\-#,##0.00\ &quot;₺&quot;"/>
  </numFmts>
  <fonts count="4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14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Border="1"/>
    <xf numFmtId="9" fontId="0" fillId="0" borderId="0" xfId="2" applyFont="1" applyBorder="1" applyAlignment="1">
      <alignment horizontal="center"/>
    </xf>
    <xf numFmtId="0" fontId="2" fillId="0" borderId="0" xfId="0" applyFont="1"/>
    <xf numFmtId="164" fontId="2" fillId="0" borderId="0" xfId="0" applyNumberFormat="1" applyFont="1"/>
    <xf numFmtId="164" fontId="2" fillId="0" borderId="0" xfId="1" applyNumberFormat="1" applyFont="1" applyBorder="1"/>
    <xf numFmtId="2" fontId="0" fillId="0" borderId="0" xfId="0" applyNumberFormat="1"/>
    <xf numFmtId="44" fontId="3" fillId="0" borderId="0" xfId="1" applyFont="1"/>
    <xf numFmtId="44" fontId="0" fillId="0" borderId="0" xfId="1" applyFont="1"/>
    <xf numFmtId="44" fontId="3" fillId="0" borderId="0" xfId="1" applyFont="1" applyBorder="1"/>
    <xf numFmtId="0" fontId="3" fillId="0" borderId="0" xfId="0" applyFont="1"/>
    <xf numFmtId="9" fontId="3" fillId="0" borderId="0" xfId="2" applyFont="1" applyBorder="1" applyAlignment="1">
      <alignment horizontal="center"/>
    </xf>
    <xf numFmtId="1" fontId="0" fillId="0" borderId="0" xfId="0" applyNumberFormat="1"/>
    <xf numFmtId="44" fontId="3" fillId="0" borderId="0" xfId="1" applyFont="1" applyBorder="1" applyAlignment="1">
      <alignment horizontal="center"/>
    </xf>
    <xf numFmtId="44" fontId="2" fillId="0" borderId="0" xfId="1" applyFont="1"/>
    <xf numFmtId="164" fontId="0" fillId="0" borderId="0" xfId="0" applyNumberFormat="1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16" fontId="0" fillId="0" borderId="0" xfId="0" applyNumberFormat="1"/>
    <xf numFmtId="0" fontId="0" fillId="2" borderId="0" xfId="0" applyFill="1"/>
    <xf numFmtId="164" fontId="0" fillId="2" borderId="0" xfId="1" applyNumberFormat="1" applyFont="1" applyFill="1" applyBorder="1"/>
    <xf numFmtId="9" fontId="0" fillId="2" borderId="0" xfId="2" applyFont="1" applyFill="1" applyBorder="1" applyAlignment="1">
      <alignment horizontal="center"/>
    </xf>
    <xf numFmtId="9" fontId="0" fillId="0" borderId="0" xfId="2" applyFont="1" applyFill="1" applyBorder="1" applyAlignment="1">
      <alignment horizontal="center"/>
    </xf>
    <xf numFmtId="164" fontId="2" fillId="0" borderId="0" xfId="1" applyNumberFormat="1" applyFont="1" applyFill="1" applyBorder="1"/>
    <xf numFmtId="0" fontId="0" fillId="3" borderId="0" xfId="0" applyFill="1"/>
    <xf numFmtId="164" fontId="0" fillId="3" borderId="0" xfId="1" applyNumberFormat="1" applyFont="1" applyFill="1" applyBorder="1"/>
    <xf numFmtId="9" fontId="0" fillId="3" borderId="0" xfId="2" applyFont="1" applyFill="1" applyBorder="1" applyAlignment="1">
      <alignment horizontal="center"/>
    </xf>
    <xf numFmtId="0" fontId="0" fillId="4" borderId="0" xfId="0" applyFill="1"/>
    <xf numFmtId="164" fontId="0" fillId="4" borderId="0" xfId="1" applyNumberFormat="1" applyFont="1" applyFill="1" applyBorder="1"/>
    <xf numFmtId="9" fontId="0" fillId="4" borderId="0" xfId="2" applyFont="1" applyFill="1" applyBorder="1" applyAlignment="1">
      <alignment horizontal="center"/>
    </xf>
    <xf numFmtId="9" fontId="0" fillId="0" borderId="0" xfId="2" applyFont="1" applyAlignment="1">
      <alignment horizontal="center"/>
    </xf>
    <xf numFmtId="164" fontId="0" fillId="0" borderId="1" xfId="1" applyNumberFormat="1" applyFont="1" applyBorder="1"/>
    <xf numFmtId="9" fontId="0" fillId="0" borderId="1" xfId="2" applyFont="1" applyBorder="1" applyAlignment="1">
      <alignment horizontal="center"/>
    </xf>
    <xf numFmtId="0" fontId="0" fillId="0" borderId="1" xfId="0" applyBorder="1"/>
    <xf numFmtId="2" fontId="0" fillId="0" borderId="0" xfId="0" applyNumberFormat="1" applyAlignment="1">
      <alignment horizontal="center"/>
    </xf>
    <xf numFmtId="8" fontId="0" fillId="0" borderId="0" xfId="0" applyNumberFormat="1"/>
    <xf numFmtId="164" fontId="0" fillId="0" borderId="0" xfId="1" applyNumberFormat="1" applyFont="1" applyFill="1" applyBorder="1"/>
    <xf numFmtId="12" fontId="3" fillId="0" borderId="0" xfId="1" applyNumberFormat="1" applyFont="1"/>
    <xf numFmtId="8" fontId="0" fillId="0" borderId="0" xfId="1" applyNumberFormat="1" applyFont="1"/>
  </cellXfs>
  <cellStyles count="3">
    <cellStyle name="Normal" xfId="0" builtinId="0"/>
    <cellStyle name="ParaBirimi" xfId="1" builtinId="4"/>
    <cellStyle name="Yüzde" xfId="2" builtinId="5"/>
  </cellStyles>
  <dxfs count="6">
    <dxf>
      <fill>
        <patternFill>
          <bgColor rgb="FFFFAFAF"/>
        </patternFill>
      </fill>
    </dxf>
    <dxf>
      <fill>
        <patternFill>
          <bgColor theme="9" tint="0.79998168889431442"/>
        </patternFill>
      </fill>
    </dxf>
    <dxf>
      <fill>
        <patternFill>
          <bgColor theme="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numFmt numFmtId="164" formatCode="#,##0.00\ &quot;₺&quot;;[Red]\-#,##0.00\ &quot;₺&quot;"/>
    </dxf>
    <dxf>
      <numFmt numFmtId="19" formatCode="d/mm/yyyy"/>
    </dxf>
    <dxf>
      <numFmt numFmtId="19" formatCode="d/mm/yyyy"/>
    </dxf>
  </dxfs>
  <tableStyles count="0" defaultTableStyle="TableStyleMedium2" defaultPivotStyle="PivotStyleLight16"/>
  <colors>
    <mruColors>
      <color rgb="FFFFCCCC"/>
      <color rgb="FFFFAFAF"/>
      <color rgb="FFCCFFCC"/>
      <color rgb="FF69FF69"/>
      <color rgb="FFFF6161"/>
      <color rgb="FFFF9B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0BE753-4EF0-4625-9946-F65ADD9B0E5E}" name="Tablo1" displayName="Tablo1" ref="A1:F344" totalsRowShown="0">
  <autoFilter ref="A1:F344" xr:uid="{220BE753-4EF0-4625-9946-F65ADD9B0E5E}"/>
  <sortState xmlns:xlrd2="http://schemas.microsoft.com/office/spreadsheetml/2017/richdata2" ref="A2:F300">
    <sortCondition ref="A1:A300"/>
  </sortState>
  <tableColumns count="6">
    <tableColumn id="1" xr3:uid="{F7CC7488-6E19-4B90-8C4E-E7DD99C229D8}" name="Tarih" dataDxfId="5"/>
    <tableColumn id="6" xr3:uid="{DC9244AE-9075-4FBE-AE4D-EF65B79B9304}" name="Sütun1" dataDxfId="4"/>
    <tableColumn id="2" xr3:uid="{2BFED69F-691F-4CAD-AE83-80438DC18861}" name="Harcama"/>
    <tableColumn id="3" xr3:uid="{6C579D0B-8893-4ABF-B985-7734F900F964}" name="Kategori"/>
    <tableColumn id="4" xr3:uid="{99957623-0430-4E7A-BFCC-B568A87E6350}" name="Açıklama"/>
    <tableColumn id="5" xr3:uid="{0A349621-C670-4889-A291-A334D7268BFE}" name="Tutar" dataDxfId="3" dataCellStyle="ParaBirim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5B7CA-BD54-4D1A-B565-6AA2C35D6847}">
  <dimension ref="A1:P185"/>
  <sheetViews>
    <sheetView topLeftCell="A55" workbookViewId="0">
      <selection activeCell="H78" sqref="H78"/>
    </sheetView>
  </sheetViews>
  <sheetFormatPr defaultRowHeight="15" x14ac:dyDescent="0.25"/>
  <cols>
    <col min="1" max="1" width="9.140625" style="20"/>
    <col min="2" max="2" width="10.140625" style="1" bestFit="1" customWidth="1"/>
    <col min="3" max="3" width="13.140625" customWidth="1"/>
    <col min="4" max="4" width="11.42578125" bestFit="1" customWidth="1"/>
    <col min="5" max="5" width="11.85546875" bestFit="1" customWidth="1"/>
    <col min="6" max="6" width="9.5703125" bestFit="1" customWidth="1"/>
    <col min="9" max="9" width="11.140625" bestFit="1" customWidth="1"/>
    <col min="10" max="10" width="12.7109375" bestFit="1" customWidth="1"/>
    <col min="11" max="11" width="6.85546875" customWidth="1"/>
    <col min="13" max="13" width="10.42578125" bestFit="1" customWidth="1"/>
    <col min="14" max="14" width="11.140625" bestFit="1" customWidth="1"/>
    <col min="15" max="15" width="12.7109375" customWidth="1"/>
  </cols>
  <sheetData>
    <row r="1" spans="1:16" x14ac:dyDescent="0.25">
      <c r="A1" s="20">
        <f ca="1">+C1*0.5</f>
        <v>22861.5</v>
      </c>
      <c r="B1" s="5">
        <f ca="1">+C1*0.75</f>
        <v>34292.25</v>
      </c>
      <c r="C1" s="1">
        <f ca="1">TODAY()</f>
        <v>45723</v>
      </c>
      <c r="D1">
        <f ca="1">+C1*1.25</f>
        <v>57153.75</v>
      </c>
      <c r="F1">
        <f ca="1">+C1*1.5</f>
        <v>68584.5</v>
      </c>
      <c r="G1">
        <f ca="1">+C1*2</f>
        <v>91446</v>
      </c>
      <c r="J1" s="3">
        <v>45627</v>
      </c>
    </row>
    <row r="2" spans="1:16" x14ac:dyDescent="0.25">
      <c r="J2" s="3">
        <v>45657</v>
      </c>
      <c r="M2" s="10"/>
    </row>
    <row r="3" spans="1:16" x14ac:dyDescent="0.25">
      <c r="A3" s="20">
        <v>1</v>
      </c>
      <c r="B3" s="1">
        <v>45627</v>
      </c>
      <c r="C3" s="5">
        <v>2500</v>
      </c>
      <c r="D3" s="5">
        <f>SUMIFS(Tablo1[Tutar],Tablo1[Tarih],Sayfa2!B3)</f>
        <v>5739.04</v>
      </c>
      <c r="E3" s="5">
        <f>+D3</f>
        <v>5739.04</v>
      </c>
      <c r="F3" s="19">
        <f>D3</f>
        <v>5739.04</v>
      </c>
      <c r="H3" s="28" t="s">
        <v>1</v>
      </c>
      <c r="I3" s="29">
        <v>7500</v>
      </c>
      <c r="J3" s="29">
        <f>SUMIFS(Tablo1[Tutar],Tablo1[Harcama],Sayfa2!H3,Tablo1[Tarih],"&gt;="&amp;Sayfa2!J$1,Tablo1[Tarih],"&lt;="&amp;Sayfa2!J$2)</f>
        <v>7429.31</v>
      </c>
      <c r="K3" s="30">
        <f t="shared" ref="K3:K11" si="0">J3/I3</f>
        <v>0.99057466666666671</v>
      </c>
      <c r="L3" s="5"/>
      <c r="M3" s="35" t="s">
        <v>1</v>
      </c>
      <c r="N3" s="35">
        <f t="shared" ref="N3:N9" si="1">SUMIF($H$3:$H$292,M3,$I$3:$I$292)</f>
        <v>22500</v>
      </c>
      <c r="O3" s="35">
        <f>SUMIF($H$3:$H$292,M3,$J$3:$J$292)</f>
        <v>52818.53</v>
      </c>
      <c r="P3" s="36">
        <f t="shared" ref="P3:P11" si="2">O3/N3</f>
        <v>2.347490222222222</v>
      </c>
    </row>
    <row r="4" spans="1:16" x14ac:dyDescent="0.25">
      <c r="A4" s="20">
        <f>+A3+1</f>
        <v>2</v>
      </c>
      <c r="B4" s="1">
        <v>45628</v>
      </c>
      <c r="C4" s="5">
        <v>2500</v>
      </c>
      <c r="D4" s="5">
        <f>SUMIFS(Tablo1[Tutar],Tablo1[Tarih],Sayfa2!B4)</f>
        <v>2228.94</v>
      </c>
      <c r="E4" s="5">
        <f>+E3+D4</f>
        <v>7967.98</v>
      </c>
      <c r="F4" s="19">
        <f>(D4+E3)/A4</f>
        <v>3983.99</v>
      </c>
      <c r="H4" s="23" t="s">
        <v>18</v>
      </c>
      <c r="I4" s="24">
        <v>7500</v>
      </c>
      <c r="J4" s="24">
        <f>SUMIFS(Tablo1[Tutar],Tablo1[Harcama],Sayfa2!H4,Tablo1[Tarih],"&gt;="&amp;Sayfa2!J$1,Tablo1[Tarih],"&lt;="&amp;Sayfa2!J$2)</f>
        <v>8429.66</v>
      </c>
      <c r="K4" s="25">
        <f t="shared" si="0"/>
        <v>1.1239546666666667</v>
      </c>
      <c r="L4" s="5"/>
      <c r="M4" s="35" t="s">
        <v>18</v>
      </c>
      <c r="N4" s="35">
        <f t="shared" si="1"/>
        <v>22500</v>
      </c>
      <c r="O4" s="35">
        <f t="shared" ref="O4:O11" si="3">SUMIF($H$3:$H$292,M4,$J$3:$J$292)</f>
        <v>32249.4</v>
      </c>
      <c r="P4" s="36">
        <f t="shared" si="2"/>
        <v>1.4333066666666667</v>
      </c>
    </row>
    <row r="5" spans="1:16" x14ac:dyDescent="0.25">
      <c r="A5" s="20">
        <f t="shared" ref="A5:A68" si="4">+A4+1</f>
        <v>3</v>
      </c>
      <c r="B5" s="1">
        <v>45629</v>
      </c>
      <c r="C5" s="5">
        <v>2500</v>
      </c>
      <c r="D5" s="5">
        <f>SUMIFS(Tablo1[Tutar],Tablo1[Tarih],Sayfa2!B5)</f>
        <v>2519.88</v>
      </c>
      <c r="E5" s="5">
        <f t="shared" ref="E5:E68" si="5">+E4+D5</f>
        <v>10487.86</v>
      </c>
      <c r="F5" s="19">
        <f>(D5+E4)/A5</f>
        <v>3495.9533333333334</v>
      </c>
      <c r="H5" s="28" t="s">
        <v>13</v>
      </c>
      <c r="I5" s="29">
        <v>5000</v>
      </c>
      <c r="J5" s="29">
        <f>SUMIFS(Tablo1[Tutar],Tablo1[Harcama],Sayfa2!H5,Tablo1[Tarih],"&gt;="&amp;Sayfa2!J$1,Tablo1[Tarih],"&lt;="&amp;Sayfa2!J$2)</f>
        <v>4638.46</v>
      </c>
      <c r="K5" s="30">
        <f t="shared" si="0"/>
        <v>0.92769199999999996</v>
      </c>
      <c r="L5" s="5"/>
      <c r="M5" s="35" t="s">
        <v>13</v>
      </c>
      <c r="N5" s="35">
        <f t="shared" si="1"/>
        <v>15000</v>
      </c>
      <c r="O5" s="35">
        <f t="shared" si="3"/>
        <v>11612.130000000001</v>
      </c>
      <c r="P5" s="36">
        <f t="shared" si="2"/>
        <v>0.77414200000000011</v>
      </c>
    </row>
    <row r="6" spans="1:16" x14ac:dyDescent="0.25">
      <c r="A6" s="20">
        <f t="shared" si="4"/>
        <v>4</v>
      </c>
      <c r="B6" s="1">
        <v>45630</v>
      </c>
      <c r="C6" s="5">
        <v>2500</v>
      </c>
      <c r="D6" s="5">
        <f>SUMIFS(Tablo1[Tutar],Tablo1[Tarih],Sayfa2!B6)</f>
        <v>4466.76</v>
      </c>
      <c r="E6" s="5">
        <f t="shared" si="5"/>
        <v>14954.62</v>
      </c>
      <c r="F6" s="19">
        <f t="shared" ref="F6:F69" si="6">(D6+E5)/A6</f>
        <v>3738.6550000000002</v>
      </c>
      <c r="H6" s="28" t="s">
        <v>31</v>
      </c>
      <c r="I6" s="29">
        <v>7000</v>
      </c>
      <c r="J6" s="29">
        <f>SUMIFS(Tablo1[Tutar],Tablo1[Harcama],Sayfa2!H6,Tablo1[Tarih],"&gt;="&amp;Sayfa2!J$1,Tablo1[Tarih],"&lt;="&amp;Sayfa2!J$2)</f>
        <v>6602.2999999999993</v>
      </c>
      <c r="K6" s="30">
        <f t="shared" si="0"/>
        <v>0.94318571428571418</v>
      </c>
      <c r="L6" s="5"/>
      <c r="M6" s="35" t="s">
        <v>31</v>
      </c>
      <c r="N6" s="35">
        <f t="shared" si="1"/>
        <v>21000</v>
      </c>
      <c r="O6" s="35">
        <f t="shared" si="3"/>
        <v>16332.83</v>
      </c>
      <c r="P6" s="36">
        <f t="shared" si="2"/>
        <v>0.77775380952380957</v>
      </c>
    </row>
    <row r="7" spans="1:16" x14ac:dyDescent="0.25">
      <c r="A7" s="20">
        <f t="shared" si="4"/>
        <v>5</v>
      </c>
      <c r="B7" s="1">
        <v>45631</v>
      </c>
      <c r="C7" s="5">
        <v>2500</v>
      </c>
      <c r="D7" s="5">
        <f>SUMIFS(Tablo1[Tutar],Tablo1[Tarih],Sayfa2!B7)</f>
        <v>25</v>
      </c>
      <c r="E7" s="5">
        <f t="shared" si="5"/>
        <v>14979.62</v>
      </c>
      <c r="F7" s="19">
        <f t="shared" si="6"/>
        <v>2995.924</v>
      </c>
      <c r="H7" s="31" t="s">
        <v>9</v>
      </c>
      <c r="I7" s="32">
        <v>3000</v>
      </c>
      <c r="J7" s="32">
        <f>SUMIFS(Tablo1[Tutar],Tablo1[Harcama],Sayfa2!H7,Tablo1[Tarih],"&gt;="&amp;Sayfa2!J$1,Tablo1[Tarih],"&lt;="&amp;Sayfa2!J$2)</f>
        <v>1099.98</v>
      </c>
      <c r="K7" s="33">
        <f t="shared" si="0"/>
        <v>0.36665999999999999</v>
      </c>
      <c r="L7" s="5"/>
      <c r="M7" s="35" t="s">
        <v>9</v>
      </c>
      <c r="N7" s="35">
        <f t="shared" si="1"/>
        <v>9000</v>
      </c>
      <c r="O7" s="35">
        <f t="shared" si="3"/>
        <v>6843.0800000000008</v>
      </c>
      <c r="P7" s="36">
        <f t="shared" si="2"/>
        <v>0.76034222222222236</v>
      </c>
    </row>
    <row r="8" spans="1:16" x14ac:dyDescent="0.25">
      <c r="A8" s="20">
        <f t="shared" si="4"/>
        <v>6</v>
      </c>
      <c r="B8" s="1">
        <v>45632</v>
      </c>
      <c r="C8" s="5">
        <v>2500</v>
      </c>
      <c r="D8" s="5">
        <f>SUMIFS(Tablo1[Tutar],Tablo1[Tarih],Sayfa2!B8)</f>
        <v>879.99</v>
      </c>
      <c r="E8" s="5">
        <f t="shared" si="5"/>
        <v>15859.61</v>
      </c>
      <c r="F8" s="19">
        <f t="shared" si="6"/>
        <v>2643.2683333333334</v>
      </c>
      <c r="H8" s="23" t="s">
        <v>4</v>
      </c>
      <c r="I8" s="24">
        <v>30000</v>
      </c>
      <c r="J8" s="24">
        <f>SUMIFS(Tablo1[Tutar],Tablo1[Harcama],Sayfa2!H8,Tablo1[Tarih],"&gt;="&amp;Sayfa2!J$1,Tablo1[Tarih],"&lt;="&amp;Sayfa2!J$2)</f>
        <v>32418.53999999999</v>
      </c>
      <c r="K8" s="25">
        <f t="shared" si="0"/>
        <v>1.0806179999999996</v>
      </c>
      <c r="L8" s="5"/>
      <c r="M8" s="35" t="s">
        <v>4</v>
      </c>
      <c r="N8" s="35">
        <f t="shared" si="1"/>
        <v>90000</v>
      </c>
      <c r="O8" s="35">
        <f t="shared" si="3"/>
        <v>205125.44000000006</v>
      </c>
      <c r="P8" s="36">
        <f t="shared" si="2"/>
        <v>2.2791715555555561</v>
      </c>
    </row>
    <row r="9" spans="1:16" x14ac:dyDescent="0.25">
      <c r="A9" s="20">
        <f t="shared" si="4"/>
        <v>7</v>
      </c>
      <c r="B9" s="1">
        <v>45633</v>
      </c>
      <c r="C9" s="5">
        <v>2500</v>
      </c>
      <c r="D9" s="5">
        <f>SUMIFS(Tablo1[Tutar],Tablo1[Tarih],Sayfa2!B9)</f>
        <v>1999.56</v>
      </c>
      <c r="E9" s="5">
        <f t="shared" si="5"/>
        <v>17859.170000000002</v>
      </c>
      <c r="F9" s="19">
        <f t="shared" si="6"/>
        <v>2551.3100000000004</v>
      </c>
      <c r="H9" s="23" t="s">
        <v>16</v>
      </c>
      <c r="I9" s="24">
        <v>15000</v>
      </c>
      <c r="J9" s="24">
        <f>SUMIFS(Tablo1[Tutar],Tablo1[Harcama],Sayfa2!H9,Tablo1[Tarih],"&gt;="&amp;Sayfa2!J$1,Tablo1[Tarih],"&lt;="&amp;Sayfa2!J$2)</f>
        <v>25635.21</v>
      </c>
      <c r="K9" s="25">
        <f t="shared" si="0"/>
        <v>1.709014</v>
      </c>
      <c r="M9" s="37" t="s">
        <v>16</v>
      </c>
      <c r="N9" s="35">
        <f t="shared" si="1"/>
        <v>45000</v>
      </c>
      <c r="O9" s="35">
        <f t="shared" si="3"/>
        <v>70020.25</v>
      </c>
      <c r="P9" s="36">
        <f t="shared" si="2"/>
        <v>1.5560055555555556</v>
      </c>
    </row>
    <row r="10" spans="1:16" x14ac:dyDescent="0.25">
      <c r="A10" s="20">
        <f t="shared" si="4"/>
        <v>8</v>
      </c>
      <c r="B10" s="1">
        <v>45634</v>
      </c>
      <c r="C10" s="5">
        <v>2500</v>
      </c>
      <c r="D10" s="5">
        <f>SUMIFS(Tablo1[Tutar],Tablo1[Tarih],Sayfa2!B10)</f>
        <v>1185.47</v>
      </c>
      <c r="E10" s="5">
        <f t="shared" si="5"/>
        <v>19044.640000000003</v>
      </c>
      <c r="F10" s="19">
        <f t="shared" si="6"/>
        <v>2380.5800000000004</v>
      </c>
      <c r="O10" s="40"/>
    </row>
    <row r="11" spans="1:16" x14ac:dyDescent="0.25">
      <c r="A11" s="20">
        <f t="shared" si="4"/>
        <v>9</v>
      </c>
      <c r="B11" s="1">
        <v>45635</v>
      </c>
      <c r="C11" s="5">
        <v>2500</v>
      </c>
      <c r="D11" s="5">
        <f>SUMIFS(Tablo1[Tutar],Tablo1[Tarih],Sayfa2!B11)</f>
        <v>455.74</v>
      </c>
      <c r="E11" s="5">
        <f t="shared" si="5"/>
        <v>19500.380000000005</v>
      </c>
      <c r="F11" s="19">
        <f t="shared" si="6"/>
        <v>2166.7088888888893</v>
      </c>
      <c r="H11" s="7" t="s">
        <v>47</v>
      </c>
      <c r="I11" s="8">
        <f>SUM(I3:I9)</f>
        <v>75000</v>
      </c>
      <c r="J11" s="27">
        <f>SUMIFS(Tablo1[Tutar],Tablo1[Tarih],"&gt;="&amp;Sayfa2!J$1,Tablo1[Tarih],"&lt;="&amp;Sayfa2!J$2)</f>
        <v>86253.46</v>
      </c>
      <c r="K11" s="26">
        <f t="shared" si="0"/>
        <v>1.1500461333333334</v>
      </c>
      <c r="M11" s="37" t="s">
        <v>47</v>
      </c>
      <c r="N11" s="35">
        <f>SUMIF($H$3:$H$292,M11,$I$3:$I$292)</f>
        <v>225000</v>
      </c>
      <c r="O11" s="35">
        <f t="shared" si="3"/>
        <v>395001.66000000003</v>
      </c>
      <c r="P11" s="36">
        <f t="shared" si="2"/>
        <v>1.7555629333333336</v>
      </c>
    </row>
    <row r="12" spans="1:16" x14ac:dyDescent="0.25">
      <c r="A12" s="20">
        <f t="shared" si="4"/>
        <v>10</v>
      </c>
      <c r="B12" s="1">
        <v>45636</v>
      </c>
      <c r="C12" s="5">
        <v>2500</v>
      </c>
      <c r="D12" s="5">
        <f>SUMIFS(Tablo1[Tutar],Tablo1[Tarih],Sayfa2!B12)</f>
        <v>1105</v>
      </c>
      <c r="E12" s="5">
        <f t="shared" si="5"/>
        <v>20605.380000000005</v>
      </c>
      <c r="F12" s="19">
        <f t="shared" si="6"/>
        <v>2060.5380000000005</v>
      </c>
    </row>
    <row r="13" spans="1:16" x14ac:dyDescent="0.25">
      <c r="A13" s="20">
        <f t="shared" si="4"/>
        <v>11</v>
      </c>
      <c r="B13" s="1">
        <v>45637</v>
      </c>
      <c r="C13" s="5">
        <v>2500</v>
      </c>
      <c r="D13" s="5">
        <f>SUMIFS(Tablo1[Tutar],Tablo1[Tarih],Sayfa2!B13)</f>
        <v>510</v>
      </c>
      <c r="E13" s="5">
        <f t="shared" si="5"/>
        <v>21115.380000000005</v>
      </c>
      <c r="F13" s="19">
        <f t="shared" si="6"/>
        <v>1919.5800000000004</v>
      </c>
      <c r="O13" s="38">
        <f ca="1">TODAY()-J15</f>
        <v>35</v>
      </c>
    </row>
    <row r="14" spans="1:16" x14ac:dyDescent="0.25">
      <c r="A14" s="20">
        <f t="shared" si="4"/>
        <v>12</v>
      </c>
      <c r="B14" s="1">
        <v>45638</v>
      </c>
      <c r="C14" s="5">
        <v>2500</v>
      </c>
      <c r="D14" s="5">
        <f>SUMIFS(Tablo1[Tutar],Tablo1[Tarih],Sayfa2!B14)</f>
        <v>778</v>
      </c>
      <c r="E14" s="5">
        <f t="shared" si="5"/>
        <v>21893.380000000005</v>
      </c>
      <c r="F14" s="19">
        <f t="shared" si="6"/>
        <v>1824.4483333333337</v>
      </c>
      <c r="J14" s="3">
        <v>45658</v>
      </c>
      <c r="O14" s="39">
        <f ca="1">+I11+I24+I37*(O13/(J28-J27))</f>
        <v>247222.22222222222</v>
      </c>
      <c r="P14" s="34">
        <f ca="1">+O14/N11</f>
        <v>1.0987654320987654</v>
      </c>
    </row>
    <row r="15" spans="1:16" x14ac:dyDescent="0.25">
      <c r="A15" s="20">
        <f t="shared" si="4"/>
        <v>13</v>
      </c>
      <c r="B15" s="1">
        <v>45639</v>
      </c>
      <c r="C15" s="5">
        <v>2500</v>
      </c>
      <c r="D15" s="5">
        <f>SUMIFS(Tablo1[Tutar],Tablo1[Tarih],Sayfa2!B15)</f>
        <v>868.54</v>
      </c>
      <c r="E15" s="5">
        <f t="shared" si="5"/>
        <v>22761.920000000006</v>
      </c>
      <c r="F15" s="19">
        <f t="shared" si="6"/>
        <v>1750.9169230769235</v>
      </c>
      <c r="J15" s="3">
        <v>45688</v>
      </c>
    </row>
    <row r="16" spans="1:16" x14ac:dyDescent="0.25">
      <c r="A16" s="20">
        <f t="shared" si="4"/>
        <v>14</v>
      </c>
      <c r="B16" s="1">
        <v>45640</v>
      </c>
      <c r="C16" s="5">
        <v>2500</v>
      </c>
      <c r="D16" s="5">
        <f>SUMIFS(Tablo1[Tutar],Tablo1[Tarih],Sayfa2!B16)</f>
        <v>9127.93</v>
      </c>
      <c r="E16" s="5">
        <f t="shared" si="5"/>
        <v>31889.850000000006</v>
      </c>
      <c r="F16" s="19">
        <f t="shared" si="6"/>
        <v>2277.846428571429</v>
      </c>
      <c r="H16" s="23" t="s">
        <v>1</v>
      </c>
      <c r="I16" s="24">
        <v>7500</v>
      </c>
      <c r="J16" s="24">
        <f>SUMIFS(Tablo1[Tutar],Tablo1[Harcama],Sayfa2!H16,Tablo1[Tarih],"&gt;="&amp;Sayfa2!J$14,Tablo1[Tarih],"&lt;="&amp;Sayfa2!J$15)</f>
        <v>42272.83</v>
      </c>
      <c r="K16" s="25">
        <f t="shared" ref="K16:K22" si="7">J16/I16</f>
        <v>5.6363773333333338</v>
      </c>
    </row>
    <row r="17" spans="1:11" x14ac:dyDescent="0.25">
      <c r="A17" s="20">
        <f t="shared" si="4"/>
        <v>15</v>
      </c>
      <c r="B17" s="1">
        <v>45641</v>
      </c>
      <c r="C17" s="5">
        <v>2500</v>
      </c>
      <c r="D17" s="5">
        <f>SUMIFS(Tablo1[Tutar],Tablo1[Tarih],Sayfa2!B17)</f>
        <v>1862.31</v>
      </c>
      <c r="E17" s="5">
        <f t="shared" si="5"/>
        <v>33752.160000000003</v>
      </c>
      <c r="F17" s="19">
        <f t="shared" si="6"/>
        <v>2250.1440000000002</v>
      </c>
      <c r="H17" s="23" t="s">
        <v>18</v>
      </c>
      <c r="I17" s="24">
        <v>7500</v>
      </c>
      <c r="J17" s="24">
        <f>SUMIFS(Tablo1[Tutar],Tablo1[Harcama],Sayfa2!H17,Tablo1[Tarih],"&gt;="&amp;Sayfa2!J$14,Tablo1[Tarih],"&lt;="&amp;Sayfa2!J$15)</f>
        <v>11423.04</v>
      </c>
      <c r="K17" s="25">
        <f t="shared" si="7"/>
        <v>1.5230720000000002</v>
      </c>
    </row>
    <row r="18" spans="1:11" x14ac:dyDescent="0.25">
      <c r="A18" s="20">
        <f t="shared" si="4"/>
        <v>16</v>
      </c>
      <c r="B18" s="1">
        <v>45642</v>
      </c>
      <c r="C18" s="5">
        <v>2500</v>
      </c>
      <c r="D18" s="5">
        <f>SUMIFS(Tablo1[Tutar],Tablo1[Tarih],Sayfa2!B18)</f>
        <v>3713.65</v>
      </c>
      <c r="E18" s="5">
        <f t="shared" si="5"/>
        <v>37465.810000000005</v>
      </c>
      <c r="F18" s="19">
        <f t="shared" si="6"/>
        <v>2341.6131250000003</v>
      </c>
      <c r="H18" t="s">
        <v>13</v>
      </c>
      <c r="I18" s="5">
        <v>5000</v>
      </c>
      <c r="J18" s="5">
        <f>SUMIFS(Tablo1[Tutar],Tablo1[Harcama],Sayfa2!H18,Tablo1[Tarih],"&gt;="&amp;Sayfa2!J$14,Tablo1[Tarih],"&lt;="&amp;Sayfa2!J$15)</f>
        <v>4107.9400000000005</v>
      </c>
      <c r="K18" s="6">
        <f t="shared" si="7"/>
        <v>0.8215880000000001</v>
      </c>
    </row>
    <row r="19" spans="1:11" x14ac:dyDescent="0.25">
      <c r="A19" s="20">
        <f t="shared" si="4"/>
        <v>17</v>
      </c>
      <c r="B19" s="1">
        <v>45643</v>
      </c>
      <c r="C19" s="5">
        <v>2500</v>
      </c>
      <c r="D19" s="5">
        <f>SUMIFS(Tablo1[Tutar],Tablo1[Tarih],Sayfa2!B19)</f>
        <v>1670.99</v>
      </c>
      <c r="E19" s="5">
        <f t="shared" si="5"/>
        <v>39136.800000000003</v>
      </c>
      <c r="F19" s="19">
        <f t="shared" si="6"/>
        <v>2302.1647058823532</v>
      </c>
      <c r="H19" s="23" t="s">
        <v>31</v>
      </c>
      <c r="I19" s="24">
        <v>7000</v>
      </c>
      <c r="J19" s="24">
        <f>SUMIFS(Tablo1[Tutar],Tablo1[Harcama],Sayfa2!H19,Tablo1[Tarih],"&gt;="&amp;Sayfa2!J$14,Tablo1[Tarih],"&lt;="&amp;Sayfa2!J$15)</f>
        <v>7174.84</v>
      </c>
      <c r="K19" s="25">
        <f t="shared" si="7"/>
        <v>1.0249771428571428</v>
      </c>
    </row>
    <row r="20" spans="1:11" x14ac:dyDescent="0.25">
      <c r="A20" s="20">
        <f t="shared" si="4"/>
        <v>18</v>
      </c>
      <c r="B20" s="1">
        <v>45644</v>
      </c>
      <c r="C20" s="5">
        <v>2500</v>
      </c>
      <c r="D20" s="5">
        <f>SUMIFS(Tablo1[Tutar],Tablo1[Tarih],Sayfa2!B20)</f>
        <v>4543.43</v>
      </c>
      <c r="E20" s="5">
        <f t="shared" si="5"/>
        <v>43680.23</v>
      </c>
      <c r="F20" s="19">
        <f t="shared" si="6"/>
        <v>2426.6794444444445</v>
      </c>
      <c r="H20" s="23" t="s">
        <v>9</v>
      </c>
      <c r="I20" s="24">
        <v>3000</v>
      </c>
      <c r="J20" s="24">
        <f>SUMIFS(Tablo1[Tutar],Tablo1[Harcama],Sayfa2!H20,Tablo1[Tarih],"&gt;="&amp;Sayfa2!J$14,Tablo1[Tarih],"&lt;="&amp;Sayfa2!J$15)</f>
        <v>3981.13</v>
      </c>
      <c r="K20" s="25">
        <f t="shared" si="7"/>
        <v>1.3270433333333334</v>
      </c>
    </row>
    <row r="21" spans="1:11" x14ac:dyDescent="0.25">
      <c r="A21" s="20">
        <f t="shared" si="4"/>
        <v>19</v>
      </c>
      <c r="B21" s="1">
        <v>45645</v>
      </c>
      <c r="C21" s="5">
        <v>2500</v>
      </c>
      <c r="D21" s="5">
        <f>SUMIFS(Tablo1[Tutar],Tablo1[Tarih],Sayfa2!B21)</f>
        <v>57.5</v>
      </c>
      <c r="E21" s="5">
        <f t="shared" si="5"/>
        <v>43737.73</v>
      </c>
      <c r="F21" s="19">
        <f t="shared" si="6"/>
        <v>2301.9857894736842</v>
      </c>
      <c r="H21" t="s">
        <v>4</v>
      </c>
      <c r="I21" s="5">
        <v>30000</v>
      </c>
      <c r="J21" s="5">
        <f>SUMIFS(Tablo1[Tutar],Tablo1[Harcama],Sayfa2!H21,Tablo1[Tarih],"&gt;="&amp;Sayfa2!J$14,Tablo1[Tarih],"&lt;="&amp;Sayfa2!J$15)</f>
        <v>28317.310000000005</v>
      </c>
      <c r="K21" s="6">
        <f t="shared" si="7"/>
        <v>0.94391033333333352</v>
      </c>
    </row>
    <row r="22" spans="1:11" x14ac:dyDescent="0.25">
      <c r="A22" s="20">
        <f t="shared" si="4"/>
        <v>20</v>
      </c>
      <c r="B22" s="1">
        <v>45646</v>
      </c>
      <c r="C22" s="5">
        <v>2500</v>
      </c>
      <c r="D22" s="5">
        <f>SUMIFS(Tablo1[Tutar],Tablo1[Tarih],Sayfa2!B22)</f>
        <v>0</v>
      </c>
      <c r="E22" s="5">
        <f t="shared" si="5"/>
        <v>43737.73</v>
      </c>
      <c r="F22" s="19">
        <f t="shared" si="6"/>
        <v>2186.8865000000001</v>
      </c>
      <c r="H22" t="s">
        <v>16</v>
      </c>
      <c r="I22" s="5">
        <v>15000</v>
      </c>
      <c r="J22" s="5">
        <f>SUMIFS(Tablo1[Tutar],Tablo1[Harcama],Sayfa2!H22,Tablo1[Tarih],"&gt;="&amp;Sayfa2!J$14,Tablo1[Tarih],"&lt;="&amp;Sayfa2!J$15)</f>
        <v>5933.9599999999991</v>
      </c>
      <c r="K22" s="6">
        <f t="shared" si="7"/>
        <v>0.3955973333333333</v>
      </c>
    </row>
    <row r="23" spans="1:11" x14ac:dyDescent="0.25">
      <c r="A23" s="20">
        <f t="shared" si="4"/>
        <v>21</v>
      </c>
      <c r="B23" s="1">
        <v>45647</v>
      </c>
      <c r="C23" s="5">
        <v>2500</v>
      </c>
      <c r="D23" s="5">
        <f>SUMIFS(Tablo1[Tutar],Tablo1[Tarih],Sayfa2!B23)</f>
        <v>1701.6100000000001</v>
      </c>
      <c r="E23" s="5">
        <f t="shared" si="5"/>
        <v>45439.340000000004</v>
      </c>
      <c r="F23" s="19">
        <f t="shared" si="6"/>
        <v>2163.7780952380954</v>
      </c>
    </row>
    <row r="24" spans="1:11" x14ac:dyDescent="0.25">
      <c r="A24" s="20">
        <f t="shared" si="4"/>
        <v>22</v>
      </c>
      <c r="B24" s="1">
        <v>45648</v>
      </c>
      <c r="C24" s="5">
        <v>2500</v>
      </c>
      <c r="D24" s="5">
        <f>SUMIFS(Tablo1[Tutar],Tablo1[Tarih],Sayfa2!B24)</f>
        <v>1769.5</v>
      </c>
      <c r="E24" s="5">
        <f t="shared" si="5"/>
        <v>47208.840000000004</v>
      </c>
      <c r="F24" s="19">
        <f t="shared" si="6"/>
        <v>2145.8563636363638</v>
      </c>
      <c r="H24" s="7" t="s">
        <v>47</v>
      </c>
      <c r="I24" s="8">
        <f>SUM(I16:I22)</f>
        <v>75000</v>
      </c>
      <c r="J24" s="9">
        <f>SUMIFS(Tablo1[Tutar],Tablo1[Tarih],"&gt;="&amp;Sayfa2!J$14,Tablo1[Tarih],"&lt;="&amp;Sayfa2!J$15)</f>
        <v>103211.05000000002</v>
      </c>
      <c r="K24" s="6">
        <f t="shared" ref="K24" si="8">J24/I24</f>
        <v>1.3761473333333336</v>
      </c>
    </row>
    <row r="25" spans="1:11" x14ac:dyDescent="0.25">
      <c r="A25" s="20">
        <f t="shared" si="4"/>
        <v>23</v>
      </c>
      <c r="B25" s="1">
        <v>45649</v>
      </c>
      <c r="C25" s="5">
        <v>2500</v>
      </c>
      <c r="D25" s="5">
        <f>SUMIFS(Tablo1[Tutar],Tablo1[Tarih],Sayfa2!B25)</f>
        <v>17976.59</v>
      </c>
      <c r="E25" s="5">
        <f t="shared" si="5"/>
        <v>65185.430000000008</v>
      </c>
      <c r="F25" s="19">
        <f t="shared" si="6"/>
        <v>2834.1491304347828</v>
      </c>
    </row>
    <row r="26" spans="1:11" x14ac:dyDescent="0.25">
      <c r="A26" s="20">
        <f t="shared" si="4"/>
        <v>24</v>
      </c>
      <c r="B26" s="1">
        <v>45650</v>
      </c>
      <c r="C26" s="5">
        <v>2500</v>
      </c>
      <c r="D26" s="5">
        <f>SUMIFS(Tablo1[Tutar],Tablo1[Tarih],Sayfa2!B26)</f>
        <v>3549.29</v>
      </c>
      <c r="E26" s="5">
        <f t="shared" si="5"/>
        <v>68734.720000000001</v>
      </c>
      <c r="F26" s="19">
        <f t="shared" si="6"/>
        <v>2863.9466666666667</v>
      </c>
    </row>
    <row r="27" spans="1:11" x14ac:dyDescent="0.25">
      <c r="A27" s="20">
        <f t="shared" si="4"/>
        <v>25</v>
      </c>
      <c r="B27" s="1">
        <v>45651</v>
      </c>
      <c r="C27" s="5">
        <v>2500</v>
      </c>
      <c r="D27" s="5">
        <f>SUMIFS(Tablo1[Tutar],Tablo1[Tarih],Sayfa2!B27)</f>
        <v>5064.49</v>
      </c>
      <c r="E27" s="5">
        <f t="shared" si="5"/>
        <v>73799.210000000006</v>
      </c>
      <c r="F27" s="19">
        <f t="shared" si="6"/>
        <v>2951.9684000000002</v>
      </c>
      <c r="J27" s="3">
        <v>45689</v>
      </c>
    </row>
    <row r="28" spans="1:11" x14ac:dyDescent="0.25">
      <c r="A28" s="20">
        <f t="shared" si="4"/>
        <v>26</v>
      </c>
      <c r="B28" s="1">
        <v>45652</v>
      </c>
      <c r="C28" s="5">
        <v>2500</v>
      </c>
      <c r="D28" s="5">
        <f>SUMIFS(Tablo1[Tutar],Tablo1[Tarih],Sayfa2!B28)</f>
        <v>1483.69</v>
      </c>
      <c r="E28" s="5">
        <f t="shared" si="5"/>
        <v>75282.900000000009</v>
      </c>
      <c r="F28" s="19">
        <f t="shared" si="6"/>
        <v>2895.4961538461544</v>
      </c>
      <c r="J28" s="3">
        <v>45716</v>
      </c>
    </row>
    <row r="29" spans="1:11" x14ac:dyDescent="0.25">
      <c r="A29" s="20">
        <f t="shared" si="4"/>
        <v>27</v>
      </c>
      <c r="B29" s="1">
        <v>45653</v>
      </c>
      <c r="C29" s="5">
        <v>2500</v>
      </c>
      <c r="D29" s="5">
        <f>SUMIFS(Tablo1[Tutar],Tablo1[Tarih],Sayfa2!B29)</f>
        <v>2108.9899999999998</v>
      </c>
      <c r="E29" s="5">
        <f t="shared" si="5"/>
        <v>77391.890000000014</v>
      </c>
      <c r="F29" s="19">
        <f t="shared" si="6"/>
        <v>2866.3662962962967</v>
      </c>
      <c r="H29" t="s">
        <v>1</v>
      </c>
      <c r="I29" s="5">
        <v>7500</v>
      </c>
      <c r="J29" s="5">
        <f>SUMIFS(Tablo1[Tutar],Tablo1[Harcama],Sayfa2!H29,Tablo1[Tarih],"&gt;="&amp;Sayfa2!J$27,Tablo1[Tarih],"&lt;="&amp;Sayfa2!J$28)</f>
        <v>3116.3900000000003</v>
      </c>
      <c r="K29" s="6">
        <f t="shared" ref="K29:K35" si="9">J29/I29</f>
        <v>0.4155186666666667</v>
      </c>
    </row>
    <row r="30" spans="1:11" x14ac:dyDescent="0.25">
      <c r="A30" s="20">
        <f t="shared" si="4"/>
        <v>28</v>
      </c>
      <c r="B30" s="1">
        <v>45654</v>
      </c>
      <c r="C30" s="5">
        <v>2500</v>
      </c>
      <c r="D30" s="5">
        <f>SUMIFS(Tablo1[Tutar],Tablo1[Tarih],Sayfa2!B30)</f>
        <v>525.12</v>
      </c>
      <c r="E30" s="5">
        <f t="shared" si="5"/>
        <v>77917.010000000009</v>
      </c>
      <c r="F30" s="19">
        <f t="shared" si="6"/>
        <v>2782.7503571428574</v>
      </c>
      <c r="H30" t="s">
        <v>18</v>
      </c>
      <c r="I30" s="5">
        <v>7500</v>
      </c>
      <c r="J30" s="5">
        <f>SUMIFS(Tablo1[Tutar],Tablo1[Harcama],Sayfa2!H30,Tablo1[Tarih],"&gt;="&amp;Sayfa2!J$27,Tablo1[Tarih],"&lt;="&amp;Sayfa2!J$28)</f>
        <v>12396.7</v>
      </c>
      <c r="K30" s="6">
        <f t="shared" si="9"/>
        <v>1.6528933333333333</v>
      </c>
    </row>
    <row r="31" spans="1:11" x14ac:dyDescent="0.25">
      <c r="A31" s="20">
        <f t="shared" si="4"/>
        <v>29</v>
      </c>
      <c r="B31" s="1">
        <v>45655</v>
      </c>
      <c r="C31" s="5">
        <v>2500</v>
      </c>
      <c r="D31" s="5">
        <f>SUMIFS(Tablo1[Tutar],Tablo1[Tarih],Sayfa2!B31)</f>
        <v>1423.81</v>
      </c>
      <c r="E31" s="5">
        <f t="shared" si="5"/>
        <v>79340.820000000007</v>
      </c>
      <c r="F31" s="19">
        <f t="shared" si="6"/>
        <v>2735.8903448275864</v>
      </c>
      <c r="H31" t="s">
        <v>13</v>
      </c>
      <c r="I31" s="5">
        <v>5000</v>
      </c>
      <c r="J31" s="5">
        <f>SUMIFS(Tablo1[Tutar],Tablo1[Harcama],Sayfa2!H31,Tablo1[Tarih],"&gt;="&amp;Sayfa2!J$27,Tablo1[Tarih],"&lt;="&amp;Sayfa2!J$28)</f>
        <v>2865.73</v>
      </c>
      <c r="K31" s="6">
        <f t="shared" si="9"/>
        <v>0.57314600000000004</v>
      </c>
    </row>
    <row r="32" spans="1:11" x14ac:dyDescent="0.25">
      <c r="A32" s="20">
        <f t="shared" si="4"/>
        <v>30</v>
      </c>
      <c r="B32" s="1">
        <v>45656</v>
      </c>
      <c r="C32" s="5">
        <v>2500</v>
      </c>
      <c r="D32" s="5">
        <f>SUMIFS(Tablo1[Tutar],Tablo1[Tarih],Sayfa2!B32)</f>
        <v>5040.53</v>
      </c>
      <c r="E32" s="5">
        <f t="shared" si="5"/>
        <v>84381.35</v>
      </c>
      <c r="F32" s="19">
        <f t="shared" si="6"/>
        <v>2812.711666666667</v>
      </c>
      <c r="H32" t="s">
        <v>31</v>
      </c>
      <c r="I32" s="5">
        <v>7000</v>
      </c>
      <c r="J32" s="5">
        <f>SUMIFS(Tablo1[Tutar],Tablo1[Harcama],Sayfa2!H32,Tablo1[Tarih],"&gt;="&amp;Sayfa2!J$27,Tablo1[Tarih],"&lt;="&amp;Sayfa2!J$28)</f>
        <v>2555.69</v>
      </c>
      <c r="K32" s="6">
        <f t="shared" si="9"/>
        <v>0.36509857142857144</v>
      </c>
    </row>
    <row r="33" spans="1:11" x14ac:dyDescent="0.25">
      <c r="A33" s="20">
        <f t="shared" si="4"/>
        <v>31</v>
      </c>
      <c r="B33" s="1">
        <v>45657</v>
      </c>
      <c r="C33" s="5">
        <v>2500</v>
      </c>
      <c r="D33" s="5">
        <f>SUMIFS(Tablo1[Tutar],Tablo1[Tarih],Sayfa2!B33)</f>
        <v>1872.1100000000001</v>
      </c>
      <c r="E33" s="5">
        <f t="shared" si="5"/>
        <v>86253.46</v>
      </c>
      <c r="F33" s="19">
        <f t="shared" si="6"/>
        <v>2782.369677419355</v>
      </c>
      <c r="H33" t="s">
        <v>9</v>
      </c>
      <c r="I33" s="5">
        <v>3000</v>
      </c>
      <c r="J33" s="5">
        <f>SUMIFS(Tablo1[Tutar],Tablo1[Harcama],Sayfa2!H33,Tablo1[Tarih],"&gt;="&amp;Sayfa2!J$27,Tablo1[Tarih],"&lt;="&amp;Sayfa2!J$28)</f>
        <v>1761.97</v>
      </c>
      <c r="K33" s="6">
        <f t="shared" si="9"/>
        <v>0.58732333333333331</v>
      </c>
    </row>
    <row r="34" spans="1:11" x14ac:dyDescent="0.25">
      <c r="A34" s="20">
        <f t="shared" si="4"/>
        <v>32</v>
      </c>
      <c r="B34" s="1">
        <v>45658</v>
      </c>
      <c r="C34" s="5">
        <v>2500</v>
      </c>
      <c r="D34" s="5">
        <f>SUMIFS(Tablo1[Tutar],Tablo1[Tarih],Sayfa2!B34)</f>
        <v>3266.75</v>
      </c>
      <c r="E34" s="5">
        <f t="shared" si="5"/>
        <v>89520.21</v>
      </c>
      <c r="F34" s="19">
        <f t="shared" si="6"/>
        <v>2797.5065625000002</v>
      </c>
      <c r="H34" t="s">
        <v>4</v>
      </c>
      <c r="I34" s="5">
        <v>30000</v>
      </c>
      <c r="J34" s="5">
        <f>SUMIFS(Tablo1[Tutar],Tablo1[Harcama],Sayfa2!H34,Tablo1[Tarih],"&gt;="&amp;Sayfa2!J$27,Tablo1[Tarih],"&lt;="&amp;Sayfa2!J$28)</f>
        <v>144389.59000000008</v>
      </c>
      <c r="K34" s="6">
        <f t="shared" si="9"/>
        <v>4.8129863333333365</v>
      </c>
    </row>
    <row r="35" spans="1:11" x14ac:dyDescent="0.25">
      <c r="A35" s="20">
        <f t="shared" si="4"/>
        <v>33</v>
      </c>
      <c r="B35" s="1">
        <v>45659</v>
      </c>
      <c r="C35" s="5">
        <v>2500</v>
      </c>
      <c r="D35" s="5">
        <f>SUMIFS(Tablo1[Tutar],Tablo1[Tarih],Sayfa2!B35)</f>
        <v>1307.19</v>
      </c>
      <c r="E35" s="5">
        <f t="shared" si="5"/>
        <v>90827.400000000009</v>
      </c>
      <c r="F35" s="19">
        <f t="shared" si="6"/>
        <v>2752.3454545454547</v>
      </c>
      <c r="H35" t="s">
        <v>16</v>
      </c>
      <c r="I35" s="5">
        <v>15000</v>
      </c>
      <c r="J35" s="5">
        <f>SUMIFS(Tablo1[Tutar],Tablo1[Harcama],Sayfa2!H35,Tablo1[Tarih],"&gt;="&amp;Sayfa2!J$27,Tablo1[Tarih],"&lt;="&amp;Sayfa2!J$28)</f>
        <v>38451.08</v>
      </c>
      <c r="K35" s="6">
        <f t="shared" si="9"/>
        <v>2.5634053333333333</v>
      </c>
    </row>
    <row r="36" spans="1:11" x14ac:dyDescent="0.25">
      <c r="A36" s="20">
        <f t="shared" si="4"/>
        <v>34</v>
      </c>
      <c r="B36" s="1">
        <v>45660</v>
      </c>
      <c r="C36" s="5">
        <v>2500</v>
      </c>
      <c r="D36" s="5">
        <f>SUMIFS(Tablo1[Tutar],Tablo1[Tarih],Sayfa2!B36)</f>
        <v>2969.85</v>
      </c>
      <c r="E36" s="5">
        <f t="shared" si="5"/>
        <v>93797.250000000015</v>
      </c>
      <c r="F36" s="19">
        <f t="shared" si="6"/>
        <v>2758.7426470588239</v>
      </c>
    </row>
    <row r="37" spans="1:11" x14ac:dyDescent="0.25">
      <c r="A37" s="20">
        <f t="shared" si="4"/>
        <v>35</v>
      </c>
      <c r="B37" s="1">
        <v>45661</v>
      </c>
      <c r="C37" s="5">
        <v>2500</v>
      </c>
      <c r="D37" s="5">
        <f>SUMIFS(Tablo1[Tutar],Tablo1[Tarih],Sayfa2!B37)</f>
        <v>744</v>
      </c>
      <c r="E37" s="5">
        <f t="shared" si="5"/>
        <v>94541.250000000015</v>
      </c>
      <c r="F37" s="19">
        <f t="shared" si="6"/>
        <v>2701.178571428572</v>
      </c>
      <c r="H37" s="7" t="s">
        <v>47</v>
      </c>
      <c r="I37" s="8">
        <f>SUM(I29:I35)</f>
        <v>75000</v>
      </c>
      <c r="J37" s="9">
        <f>SUMIFS(Tablo1[Tutar],Tablo1[Tarih],"&gt;="&amp;Sayfa2!J$27,Tablo1[Tarih],"&lt;="&amp;Sayfa2!J$28)</f>
        <v>205537.15000000005</v>
      </c>
      <c r="K37" s="6">
        <f t="shared" ref="K37" si="10">J37/I37</f>
        <v>2.7404953333333339</v>
      </c>
    </row>
    <row r="38" spans="1:11" x14ac:dyDescent="0.25">
      <c r="A38" s="20">
        <f t="shared" si="4"/>
        <v>36</v>
      </c>
      <c r="B38" s="1">
        <v>45662</v>
      </c>
      <c r="C38" s="5">
        <v>2500</v>
      </c>
      <c r="D38" s="5">
        <f>SUMIFS(Tablo1[Tutar],Tablo1[Tarih],Sayfa2!B38)</f>
        <v>2677.23</v>
      </c>
      <c r="E38" s="5">
        <f t="shared" si="5"/>
        <v>97218.48000000001</v>
      </c>
      <c r="F38" s="19">
        <f t="shared" si="6"/>
        <v>2700.5133333333338</v>
      </c>
    </row>
    <row r="39" spans="1:11" x14ac:dyDescent="0.25">
      <c r="A39" s="20">
        <f t="shared" si="4"/>
        <v>37</v>
      </c>
      <c r="B39" s="1">
        <v>45663</v>
      </c>
      <c r="C39" s="5">
        <v>2500</v>
      </c>
      <c r="D39" s="5">
        <f>SUMIFS(Tablo1[Tutar],Tablo1[Tarih],Sayfa2!B39)</f>
        <v>2480.96</v>
      </c>
      <c r="E39" s="5">
        <f t="shared" si="5"/>
        <v>99699.440000000017</v>
      </c>
      <c r="F39" s="19">
        <f t="shared" si="6"/>
        <v>2694.5794594594599</v>
      </c>
    </row>
    <row r="40" spans="1:11" x14ac:dyDescent="0.25">
      <c r="A40" s="20">
        <f t="shared" si="4"/>
        <v>38</v>
      </c>
      <c r="B40" s="1">
        <v>45664</v>
      </c>
      <c r="C40" s="5">
        <v>2500</v>
      </c>
      <c r="D40" s="5">
        <f>SUMIFS(Tablo1[Tutar],Tablo1[Tarih],Sayfa2!B40)</f>
        <v>0</v>
      </c>
      <c r="E40" s="5">
        <f t="shared" si="5"/>
        <v>99699.440000000017</v>
      </c>
      <c r="F40" s="19">
        <f t="shared" si="6"/>
        <v>2623.669473684211</v>
      </c>
    </row>
    <row r="41" spans="1:11" x14ac:dyDescent="0.25">
      <c r="A41" s="20">
        <f t="shared" si="4"/>
        <v>39</v>
      </c>
      <c r="B41" s="1">
        <v>45665</v>
      </c>
      <c r="C41" s="5">
        <v>2500</v>
      </c>
      <c r="D41" s="5">
        <f>SUMIFS(Tablo1[Tutar],Tablo1[Tarih],Sayfa2!B41)</f>
        <v>1087.83</v>
      </c>
      <c r="E41" s="5">
        <f t="shared" si="5"/>
        <v>100787.27000000002</v>
      </c>
      <c r="F41" s="19">
        <f t="shared" si="6"/>
        <v>2584.2889743589749</v>
      </c>
    </row>
    <row r="42" spans="1:11" x14ac:dyDescent="0.25">
      <c r="A42" s="20">
        <f t="shared" si="4"/>
        <v>40</v>
      </c>
      <c r="B42" s="1">
        <v>45666</v>
      </c>
      <c r="C42" s="5">
        <v>2500</v>
      </c>
      <c r="D42" s="5">
        <f>SUMIFS(Tablo1[Tutar],Tablo1[Tarih],Sayfa2!B42)</f>
        <v>2086.16</v>
      </c>
      <c r="E42" s="5">
        <f t="shared" si="5"/>
        <v>102873.43000000002</v>
      </c>
      <c r="F42" s="19">
        <f t="shared" si="6"/>
        <v>2571.8357500000006</v>
      </c>
    </row>
    <row r="43" spans="1:11" x14ac:dyDescent="0.25">
      <c r="A43" s="20">
        <f t="shared" si="4"/>
        <v>41</v>
      </c>
      <c r="B43" s="1">
        <v>45667</v>
      </c>
      <c r="C43" s="5">
        <v>2500</v>
      </c>
      <c r="D43" s="5">
        <f>SUMIFS(Tablo1[Tutar],Tablo1[Tarih],Sayfa2!B43)</f>
        <v>1178.3499999999999</v>
      </c>
      <c r="E43" s="5">
        <f t="shared" si="5"/>
        <v>104051.78000000003</v>
      </c>
      <c r="F43" s="19">
        <f t="shared" si="6"/>
        <v>2537.8482926829274</v>
      </c>
    </row>
    <row r="44" spans="1:11" x14ac:dyDescent="0.25">
      <c r="A44" s="20">
        <f t="shared" si="4"/>
        <v>42</v>
      </c>
      <c r="B44" s="1">
        <v>45668</v>
      </c>
      <c r="C44" s="5">
        <v>2500</v>
      </c>
      <c r="D44" s="5">
        <f>SUMIFS(Tablo1[Tutar],Tablo1[Tarih],Sayfa2!B44)</f>
        <v>1337.28</v>
      </c>
      <c r="E44" s="5">
        <f t="shared" si="5"/>
        <v>105389.06000000003</v>
      </c>
      <c r="F44" s="19">
        <f t="shared" si="6"/>
        <v>2509.2633333333338</v>
      </c>
    </row>
    <row r="45" spans="1:11" x14ac:dyDescent="0.25">
      <c r="A45" s="20">
        <f t="shared" si="4"/>
        <v>43</v>
      </c>
      <c r="B45" s="1">
        <v>45669</v>
      </c>
      <c r="C45" s="5">
        <v>2500</v>
      </c>
      <c r="D45" s="5">
        <f>SUMIFS(Tablo1[Tutar],Tablo1[Tarih],Sayfa2!B45)</f>
        <v>1345.3899999999999</v>
      </c>
      <c r="E45" s="5">
        <f t="shared" si="5"/>
        <v>106734.45000000003</v>
      </c>
      <c r="F45" s="19">
        <f t="shared" si="6"/>
        <v>2482.1965116279075</v>
      </c>
    </row>
    <row r="46" spans="1:11" x14ac:dyDescent="0.25">
      <c r="A46" s="20">
        <f t="shared" si="4"/>
        <v>44</v>
      </c>
      <c r="B46" s="1">
        <v>45670</v>
      </c>
      <c r="C46" s="5">
        <v>2500</v>
      </c>
      <c r="D46" s="5">
        <f>SUMIFS(Tablo1[Tutar],Tablo1[Tarih],Sayfa2!B46)</f>
        <v>1090.1500000000001</v>
      </c>
      <c r="E46" s="5">
        <f t="shared" si="5"/>
        <v>107824.60000000002</v>
      </c>
      <c r="F46" s="19">
        <f t="shared" si="6"/>
        <v>2450.5590909090915</v>
      </c>
    </row>
    <row r="47" spans="1:11" x14ac:dyDescent="0.25">
      <c r="A47" s="20">
        <f t="shared" si="4"/>
        <v>45</v>
      </c>
      <c r="B47" s="1">
        <v>45671</v>
      </c>
      <c r="C47" s="5">
        <v>2500</v>
      </c>
      <c r="D47" s="5">
        <f>SUMIFS(Tablo1[Tutar],Tablo1[Tarih],Sayfa2!B47)</f>
        <v>7125</v>
      </c>
      <c r="E47" s="5">
        <f t="shared" si="5"/>
        <v>114949.60000000002</v>
      </c>
      <c r="F47" s="19">
        <f t="shared" si="6"/>
        <v>2554.4355555555562</v>
      </c>
    </row>
    <row r="48" spans="1:11" x14ac:dyDescent="0.25">
      <c r="A48" s="20">
        <f t="shared" si="4"/>
        <v>46</v>
      </c>
      <c r="B48" s="1">
        <v>45672</v>
      </c>
      <c r="C48" s="5">
        <v>2500</v>
      </c>
      <c r="D48" s="5">
        <f>SUMIFS(Tablo1[Tutar],Tablo1[Tarih],Sayfa2!B48)</f>
        <v>580</v>
      </c>
      <c r="E48" s="5">
        <f t="shared" si="5"/>
        <v>115529.60000000002</v>
      </c>
      <c r="F48" s="19">
        <f t="shared" si="6"/>
        <v>2511.5130434782614</v>
      </c>
    </row>
    <row r="49" spans="1:6" x14ac:dyDescent="0.25">
      <c r="A49" s="20">
        <f t="shared" si="4"/>
        <v>47</v>
      </c>
      <c r="B49" s="1">
        <v>45673</v>
      </c>
      <c r="C49" s="5">
        <v>2500</v>
      </c>
      <c r="D49" s="5">
        <f>SUMIFS(Tablo1[Tutar],Tablo1[Tarih],Sayfa2!B49)</f>
        <v>1166.72</v>
      </c>
      <c r="E49" s="5">
        <f t="shared" si="5"/>
        <v>116696.32000000002</v>
      </c>
      <c r="F49" s="19">
        <f t="shared" si="6"/>
        <v>2482.9004255319155</v>
      </c>
    </row>
    <row r="50" spans="1:6" x14ac:dyDescent="0.25">
      <c r="A50" s="20">
        <f t="shared" si="4"/>
        <v>48</v>
      </c>
      <c r="B50" s="1">
        <v>45674</v>
      </c>
      <c r="C50" s="5">
        <v>2500</v>
      </c>
      <c r="D50" s="5">
        <f>SUMIFS(Tablo1[Tutar],Tablo1[Tarih],Sayfa2!B50)</f>
        <v>2689.9399999999996</v>
      </c>
      <c r="E50" s="5">
        <f t="shared" si="5"/>
        <v>119386.26000000002</v>
      </c>
      <c r="F50" s="19">
        <f t="shared" si="6"/>
        <v>2487.2137500000003</v>
      </c>
    </row>
    <row r="51" spans="1:6" x14ac:dyDescent="0.25">
      <c r="A51" s="20">
        <f t="shared" si="4"/>
        <v>49</v>
      </c>
      <c r="B51" s="1">
        <v>45675</v>
      </c>
      <c r="C51" s="5">
        <v>2500</v>
      </c>
      <c r="D51" s="5">
        <f>SUMIFS(Tablo1[Tutar],Tablo1[Tarih],Sayfa2!B51)</f>
        <v>0</v>
      </c>
      <c r="E51" s="5">
        <f t="shared" si="5"/>
        <v>119386.26000000002</v>
      </c>
      <c r="F51" s="19">
        <f t="shared" si="6"/>
        <v>2436.454285714286</v>
      </c>
    </row>
    <row r="52" spans="1:6" x14ac:dyDescent="0.25">
      <c r="A52" s="20">
        <f t="shared" si="4"/>
        <v>50</v>
      </c>
      <c r="B52" s="1">
        <v>45676</v>
      </c>
      <c r="C52" s="5">
        <v>2500</v>
      </c>
      <c r="D52" s="5">
        <f>SUMIFS(Tablo1[Tutar],Tablo1[Tarih],Sayfa2!B52)</f>
        <v>3624.58</v>
      </c>
      <c r="E52" s="5">
        <f t="shared" si="5"/>
        <v>123010.84000000003</v>
      </c>
      <c r="F52" s="19">
        <f t="shared" si="6"/>
        <v>2460.2168000000006</v>
      </c>
    </row>
    <row r="53" spans="1:6" x14ac:dyDescent="0.25">
      <c r="A53" s="20">
        <f t="shared" si="4"/>
        <v>51</v>
      </c>
      <c r="B53" s="1">
        <v>45677</v>
      </c>
      <c r="C53" s="5">
        <v>2500</v>
      </c>
      <c r="D53" s="5">
        <f>SUMIFS(Tablo1[Tutar],Tablo1[Tarih],Sayfa2!B53)</f>
        <v>5894.21</v>
      </c>
      <c r="E53" s="5">
        <f t="shared" si="5"/>
        <v>128905.05000000003</v>
      </c>
      <c r="F53" s="19">
        <f t="shared" si="6"/>
        <v>2527.5500000000006</v>
      </c>
    </row>
    <row r="54" spans="1:6" x14ac:dyDescent="0.25">
      <c r="A54" s="20">
        <f t="shared" si="4"/>
        <v>52</v>
      </c>
      <c r="B54" s="1">
        <v>45678</v>
      </c>
      <c r="C54" s="5">
        <v>2500</v>
      </c>
      <c r="D54" s="5">
        <f>SUMIFS(Tablo1[Tutar],Tablo1[Tarih],Sayfa2!B54)</f>
        <v>294.56</v>
      </c>
      <c r="E54" s="5">
        <f t="shared" si="5"/>
        <v>129199.61000000003</v>
      </c>
      <c r="F54" s="19">
        <f t="shared" si="6"/>
        <v>2484.607884615385</v>
      </c>
    </row>
    <row r="55" spans="1:6" x14ac:dyDescent="0.25">
      <c r="A55" s="20">
        <f t="shared" si="4"/>
        <v>53</v>
      </c>
      <c r="B55" s="1">
        <v>45679</v>
      </c>
      <c r="C55" s="5">
        <v>2500</v>
      </c>
      <c r="D55" s="5">
        <f>SUMIFS(Tablo1[Tutar],Tablo1[Tarih],Sayfa2!B55)</f>
        <v>896.22</v>
      </c>
      <c r="E55" s="5">
        <f t="shared" si="5"/>
        <v>130095.83000000003</v>
      </c>
      <c r="F55" s="19">
        <f t="shared" si="6"/>
        <v>2454.6383018867932</v>
      </c>
    </row>
    <row r="56" spans="1:6" x14ac:dyDescent="0.25">
      <c r="A56" s="20">
        <f t="shared" si="4"/>
        <v>54</v>
      </c>
      <c r="B56" s="1">
        <v>45680</v>
      </c>
      <c r="C56" s="5">
        <v>2500</v>
      </c>
      <c r="D56" s="5">
        <f>SUMIFS(Tablo1[Tutar],Tablo1[Tarih],Sayfa2!B56)</f>
        <v>313</v>
      </c>
      <c r="E56" s="5">
        <f t="shared" si="5"/>
        <v>130408.83000000003</v>
      </c>
      <c r="F56" s="19">
        <f t="shared" si="6"/>
        <v>2414.9783333333339</v>
      </c>
    </row>
    <row r="57" spans="1:6" x14ac:dyDescent="0.25">
      <c r="A57" s="20">
        <f t="shared" si="4"/>
        <v>55</v>
      </c>
      <c r="B57" s="1">
        <v>45681</v>
      </c>
      <c r="C57" s="5">
        <v>2500</v>
      </c>
      <c r="D57" s="5">
        <f>SUMIFS(Tablo1[Tutar],Tablo1[Tarih],Sayfa2!B57)</f>
        <v>254.94</v>
      </c>
      <c r="E57" s="5">
        <f t="shared" si="5"/>
        <v>130663.77000000003</v>
      </c>
      <c r="F57" s="19">
        <f t="shared" si="6"/>
        <v>2375.7049090909095</v>
      </c>
    </row>
    <row r="58" spans="1:6" x14ac:dyDescent="0.25">
      <c r="A58" s="20">
        <f t="shared" si="4"/>
        <v>56</v>
      </c>
      <c r="B58" s="1">
        <v>45682</v>
      </c>
      <c r="C58" s="5">
        <v>2500</v>
      </c>
      <c r="D58" s="5">
        <f>SUMIFS(Tablo1[Tutar],Tablo1[Tarih],Sayfa2!B58)</f>
        <v>45641.66</v>
      </c>
      <c r="E58" s="5">
        <f t="shared" si="5"/>
        <v>176305.43000000005</v>
      </c>
      <c r="F58" s="19">
        <f t="shared" si="6"/>
        <v>3148.3112500000011</v>
      </c>
    </row>
    <row r="59" spans="1:6" x14ac:dyDescent="0.25">
      <c r="A59" s="20">
        <f t="shared" si="4"/>
        <v>57</v>
      </c>
      <c r="B59" s="1">
        <v>45683</v>
      </c>
      <c r="C59" s="5">
        <v>2500</v>
      </c>
      <c r="D59" s="5">
        <f>SUMIFS(Tablo1[Tutar],Tablo1[Tarih],Sayfa2!B59)</f>
        <v>1098.8499999999999</v>
      </c>
      <c r="E59" s="5">
        <f t="shared" si="5"/>
        <v>177404.28000000006</v>
      </c>
      <c r="F59" s="19">
        <f t="shared" si="6"/>
        <v>3112.355789473685</v>
      </c>
    </row>
    <row r="60" spans="1:6" x14ac:dyDescent="0.25">
      <c r="A60" s="20">
        <f t="shared" si="4"/>
        <v>58</v>
      </c>
      <c r="B60" s="1">
        <v>45684</v>
      </c>
      <c r="C60" s="5">
        <v>2500</v>
      </c>
      <c r="D60" s="5">
        <f>SUMIFS(Tablo1[Tutar],Tablo1[Tarih],Sayfa2!B60)</f>
        <v>5633.9400000000005</v>
      </c>
      <c r="E60" s="5">
        <f t="shared" si="5"/>
        <v>183038.22000000006</v>
      </c>
      <c r="F60" s="19">
        <f t="shared" si="6"/>
        <v>3155.8313793103457</v>
      </c>
    </row>
    <row r="61" spans="1:6" x14ac:dyDescent="0.25">
      <c r="A61" s="20">
        <f t="shared" si="4"/>
        <v>59</v>
      </c>
      <c r="B61" s="1">
        <v>45685</v>
      </c>
      <c r="C61" s="5">
        <v>2500</v>
      </c>
      <c r="D61" s="5">
        <f>SUMIFS(Tablo1[Tutar],Tablo1[Tarih],Sayfa2!B61)</f>
        <v>1557.47</v>
      </c>
      <c r="E61" s="5">
        <f t="shared" si="5"/>
        <v>184595.69000000006</v>
      </c>
      <c r="F61" s="19">
        <f t="shared" si="6"/>
        <v>3128.7405084745774</v>
      </c>
    </row>
    <row r="62" spans="1:6" x14ac:dyDescent="0.25">
      <c r="A62" s="20">
        <f t="shared" si="4"/>
        <v>60</v>
      </c>
      <c r="B62" s="1">
        <v>45686</v>
      </c>
      <c r="C62" s="5">
        <v>2500</v>
      </c>
      <c r="D62" s="5">
        <f>SUMIFS(Tablo1[Tutar],Tablo1[Tarih],Sayfa2!B62)</f>
        <v>1320</v>
      </c>
      <c r="E62" s="5">
        <f t="shared" si="5"/>
        <v>185915.69000000006</v>
      </c>
      <c r="F62" s="19">
        <f t="shared" si="6"/>
        <v>3098.5948333333345</v>
      </c>
    </row>
    <row r="63" spans="1:6" x14ac:dyDescent="0.25">
      <c r="A63" s="20">
        <f t="shared" si="4"/>
        <v>61</v>
      </c>
      <c r="B63" s="1">
        <v>45687</v>
      </c>
      <c r="C63" s="5">
        <v>2500</v>
      </c>
      <c r="D63" s="5">
        <f>SUMIFS(Tablo1[Tutar],Tablo1[Tarih],Sayfa2!B63)</f>
        <v>0</v>
      </c>
      <c r="E63" s="5">
        <f t="shared" si="5"/>
        <v>185915.69000000006</v>
      </c>
      <c r="F63" s="19">
        <f t="shared" si="6"/>
        <v>3047.7981967213123</v>
      </c>
    </row>
    <row r="64" spans="1:6" x14ac:dyDescent="0.25">
      <c r="A64" s="20">
        <f t="shared" si="4"/>
        <v>62</v>
      </c>
      <c r="B64" s="1">
        <v>45688</v>
      </c>
      <c r="C64" s="5">
        <v>2500</v>
      </c>
      <c r="D64" s="5">
        <f>SUMIFS(Tablo1[Tutar],Tablo1[Tarih],Sayfa2!B64)</f>
        <v>3548.82</v>
      </c>
      <c r="E64" s="5">
        <f t="shared" si="5"/>
        <v>189464.51000000007</v>
      </c>
      <c r="F64" s="19">
        <f t="shared" si="6"/>
        <v>3055.8791935483882</v>
      </c>
    </row>
    <row r="65" spans="1:6" x14ac:dyDescent="0.25">
      <c r="A65" s="20">
        <f t="shared" si="4"/>
        <v>63</v>
      </c>
      <c r="B65" s="1">
        <v>45689</v>
      </c>
      <c r="C65" s="5">
        <v>2500</v>
      </c>
      <c r="D65" s="5">
        <f>SUMIFS(Tablo1[Tutar],Tablo1[Tarih],Sayfa2!B65)</f>
        <v>3733.9000000000005</v>
      </c>
      <c r="E65" s="5">
        <f t="shared" si="5"/>
        <v>193198.41000000006</v>
      </c>
      <c r="F65" s="19">
        <f t="shared" si="6"/>
        <v>3066.6414285714295</v>
      </c>
    </row>
    <row r="66" spans="1:6" x14ac:dyDescent="0.25">
      <c r="A66" s="20">
        <f t="shared" si="4"/>
        <v>64</v>
      </c>
      <c r="B66" s="1">
        <v>45690</v>
      </c>
      <c r="C66" s="5">
        <v>2500</v>
      </c>
      <c r="D66" s="5">
        <f>SUMIFS(Tablo1[Tutar],Tablo1[Tarih],Sayfa2!B66)</f>
        <v>1854.7</v>
      </c>
      <c r="E66" s="5">
        <f t="shared" si="5"/>
        <v>195053.11000000007</v>
      </c>
      <c r="F66" s="19">
        <f t="shared" si="6"/>
        <v>3047.7048437500011</v>
      </c>
    </row>
    <row r="67" spans="1:6" x14ac:dyDescent="0.25">
      <c r="A67" s="20">
        <f t="shared" si="4"/>
        <v>65</v>
      </c>
      <c r="B67" s="1">
        <v>45691</v>
      </c>
      <c r="C67" s="5">
        <v>2500</v>
      </c>
      <c r="D67" s="5">
        <f>SUMIFS(Tablo1[Tutar],Tablo1[Tarih],Sayfa2!B67)</f>
        <v>194.68</v>
      </c>
      <c r="E67" s="5">
        <f t="shared" si="5"/>
        <v>195247.79000000007</v>
      </c>
      <c r="F67" s="19">
        <f t="shared" si="6"/>
        <v>3003.8121538461551</v>
      </c>
    </row>
    <row r="68" spans="1:6" x14ac:dyDescent="0.25">
      <c r="A68" s="20">
        <f t="shared" si="4"/>
        <v>66</v>
      </c>
      <c r="B68" s="1">
        <v>45692</v>
      </c>
      <c r="C68" s="5">
        <v>2500</v>
      </c>
      <c r="D68" s="5">
        <f>SUMIFS(Tablo1[Tutar],Tablo1[Tarih],Sayfa2!B68)</f>
        <v>1094.3800000000001</v>
      </c>
      <c r="E68" s="5">
        <f t="shared" si="5"/>
        <v>196342.17000000007</v>
      </c>
      <c r="F68" s="19">
        <f t="shared" si="6"/>
        <v>2974.8813636363648</v>
      </c>
    </row>
    <row r="69" spans="1:6" x14ac:dyDescent="0.25">
      <c r="A69" s="20">
        <f t="shared" ref="A69:A132" si="11">+A68+1</f>
        <v>67</v>
      </c>
      <c r="B69" s="1">
        <v>45693</v>
      </c>
      <c r="C69" s="5">
        <v>2500</v>
      </c>
      <c r="D69" s="5">
        <f>SUMIFS(Tablo1[Tutar],Tablo1[Tarih],Sayfa2!B69)</f>
        <v>8916.48</v>
      </c>
      <c r="E69" s="5">
        <f t="shared" ref="E69:E132" si="12">+E68+D69</f>
        <v>205258.65000000008</v>
      </c>
      <c r="F69" s="19">
        <f t="shared" si="6"/>
        <v>3063.5619402985085</v>
      </c>
    </row>
    <row r="70" spans="1:6" x14ac:dyDescent="0.25">
      <c r="A70" s="20">
        <f t="shared" si="11"/>
        <v>68</v>
      </c>
      <c r="B70" s="1">
        <v>45694</v>
      </c>
      <c r="C70" s="5">
        <v>2500</v>
      </c>
      <c r="D70" s="5">
        <f>SUMIFS(Tablo1[Tutar],Tablo1[Tarih],Sayfa2!B70)</f>
        <v>817.9</v>
      </c>
      <c r="E70" s="5">
        <f t="shared" si="12"/>
        <v>206076.55000000008</v>
      </c>
      <c r="F70" s="19">
        <f t="shared" ref="F70:F133" si="13">(D70+E69)/A70</f>
        <v>3030.5375000000013</v>
      </c>
    </row>
    <row r="71" spans="1:6" x14ac:dyDescent="0.25">
      <c r="A71" s="20">
        <f t="shared" si="11"/>
        <v>69</v>
      </c>
      <c r="B71" s="1">
        <v>45695</v>
      </c>
      <c r="C71" s="5">
        <v>2500</v>
      </c>
      <c r="D71" s="5">
        <f>SUMIFS(Tablo1[Tutar],Tablo1[Tarih],Sayfa2!B71)</f>
        <v>2846.28</v>
      </c>
      <c r="E71" s="5">
        <f t="shared" si="12"/>
        <v>208922.83000000007</v>
      </c>
      <c r="F71" s="19">
        <f t="shared" si="13"/>
        <v>3027.8671014492766</v>
      </c>
    </row>
    <row r="72" spans="1:6" x14ac:dyDescent="0.25">
      <c r="A72" s="20">
        <f t="shared" si="11"/>
        <v>70</v>
      </c>
      <c r="B72" s="1">
        <v>45696</v>
      </c>
      <c r="C72" s="5">
        <v>2500</v>
      </c>
      <c r="D72" s="5">
        <f>SUMIFS(Tablo1[Tutar],Tablo1[Tarih],Sayfa2!B72)</f>
        <v>1157.3300000000002</v>
      </c>
      <c r="E72" s="5">
        <f t="shared" si="12"/>
        <v>210080.16000000006</v>
      </c>
      <c r="F72" s="19">
        <f t="shared" si="13"/>
        <v>3001.1451428571436</v>
      </c>
    </row>
    <row r="73" spans="1:6" x14ac:dyDescent="0.25">
      <c r="A73" s="20">
        <f t="shared" si="11"/>
        <v>71</v>
      </c>
      <c r="B73" s="1">
        <v>45697</v>
      </c>
      <c r="C73" s="5">
        <v>2500</v>
      </c>
      <c r="D73" s="5">
        <f>SUMIFS(Tablo1[Tutar],Tablo1[Tarih],Sayfa2!B73)</f>
        <v>912.76</v>
      </c>
      <c r="E73" s="5">
        <f t="shared" si="12"/>
        <v>210992.92000000007</v>
      </c>
      <c r="F73" s="19">
        <f t="shared" si="13"/>
        <v>2971.7312676056349</v>
      </c>
    </row>
    <row r="74" spans="1:6" x14ac:dyDescent="0.25">
      <c r="A74" s="20">
        <f t="shared" si="11"/>
        <v>72</v>
      </c>
      <c r="B74" s="1">
        <v>45698</v>
      </c>
      <c r="C74" s="5">
        <v>2500</v>
      </c>
      <c r="D74" s="5">
        <f>SUMIFS(Tablo1[Tutar],Tablo1[Tarih],Sayfa2!B74)</f>
        <v>832.79</v>
      </c>
      <c r="E74" s="5">
        <f t="shared" si="12"/>
        <v>211825.71000000008</v>
      </c>
      <c r="F74" s="19">
        <f t="shared" si="13"/>
        <v>2942.0237500000012</v>
      </c>
    </row>
    <row r="75" spans="1:6" x14ac:dyDescent="0.25">
      <c r="A75" s="20">
        <f t="shared" si="11"/>
        <v>73</v>
      </c>
      <c r="B75" s="1">
        <v>45699</v>
      </c>
      <c r="C75" s="5">
        <v>2500</v>
      </c>
      <c r="D75" s="5">
        <f>SUMIFS(Tablo1[Tutar],Tablo1[Tarih],Sayfa2!B75)</f>
        <v>759.93</v>
      </c>
      <c r="E75" s="5">
        <f t="shared" si="12"/>
        <v>212585.64000000007</v>
      </c>
      <c r="F75" s="19">
        <f t="shared" si="13"/>
        <v>2912.1320547945215</v>
      </c>
    </row>
    <row r="76" spans="1:6" x14ac:dyDescent="0.25">
      <c r="A76" s="20">
        <f t="shared" si="11"/>
        <v>74</v>
      </c>
      <c r="B76" s="1">
        <v>45700</v>
      </c>
      <c r="C76" s="5">
        <v>2500</v>
      </c>
      <c r="D76" s="5">
        <f>SUMIFS(Tablo1[Tutar],Tablo1[Tarih],Sayfa2!B76)</f>
        <v>132998.15</v>
      </c>
      <c r="E76" s="5">
        <f t="shared" si="12"/>
        <v>345583.79000000004</v>
      </c>
      <c r="F76" s="19">
        <f t="shared" si="13"/>
        <v>4670.0512162162167</v>
      </c>
    </row>
    <row r="77" spans="1:6" x14ac:dyDescent="0.25">
      <c r="A77" s="20">
        <f t="shared" si="11"/>
        <v>75</v>
      </c>
      <c r="B77" s="1">
        <v>45701</v>
      </c>
      <c r="C77" s="5">
        <v>2500</v>
      </c>
      <c r="D77" s="5">
        <f>SUMIFS(Tablo1[Tutar],Tablo1[Tarih],Sayfa2!B77)</f>
        <v>0</v>
      </c>
      <c r="E77" s="5">
        <f t="shared" si="12"/>
        <v>345583.79000000004</v>
      </c>
      <c r="F77" s="19">
        <f t="shared" si="13"/>
        <v>4607.7838666666676</v>
      </c>
    </row>
    <row r="78" spans="1:6" x14ac:dyDescent="0.25">
      <c r="A78" s="20">
        <f t="shared" si="11"/>
        <v>76</v>
      </c>
      <c r="B78" s="1">
        <v>45702</v>
      </c>
      <c r="C78" s="5">
        <v>2500</v>
      </c>
      <c r="D78" s="5">
        <f>SUMIFS(Tablo1[Tutar],Tablo1[Tarih],Sayfa2!B78)</f>
        <v>480.74</v>
      </c>
      <c r="E78" s="5">
        <f t="shared" si="12"/>
        <v>346064.53</v>
      </c>
      <c r="F78" s="19">
        <f t="shared" si="13"/>
        <v>4553.4806578947373</v>
      </c>
    </row>
    <row r="79" spans="1:6" x14ac:dyDescent="0.25">
      <c r="A79" s="20">
        <f t="shared" si="11"/>
        <v>77</v>
      </c>
      <c r="B79" s="1">
        <v>45703</v>
      </c>
      <c r="C79" s="5">
        <v>2500</v>
      </c>
      <c r="D79" s="5">
        <f>SUMIFS(Tablo1[Tutar],Tablo1[Tarih],Sayfa2!B79)</f>
        <v>1235.68</v>
      </c>
      <c r="E79" s="5">
        <f t="shared" si="12"/>
        <v>347300.21</v>
      </c>
      <c r="F79" s="19">
        <f t="shared" si="13"/>
        <v>4510.3923376623379</v>
      </c>
    </row>
    <row r="80" spans="1:6" x14ac:dyDescent="0.25">
      <c r="A80" s="20">
        <f t="shared" si="11"/>
        <v>78</v>
      </c>
      <c r="B80" s="1">
        <v>45704</v>
      </c>
      <c r="C80" s="5">
        <v>2500</v>
      </c>
      <c r="D80" s="5">
        <f>SUMIFS(Tablo1[Tutar],Tablo1[Tarih],Sayfa2!B80)</f>
        <v>687.65000000000009</v>
      </c>
      <c r="E80" s="5">
        <f t="shared" si="12"/>
        <v>347987.86000000004</v>
      </c>
      <c r="F80" s="19">
        <f t="shared" si="13"/>
        <v>4461.3828205128211</v>
      </c>
    </row>
    <row r="81" spans="1:6" x14ac:dyDescent="0.25">
      <c r="A81" s="20">
        <f t="shared" si="11"/>
        <v>79</v>
      </c>
      <c r="B81" s="1">
        <v>45705</v>
      </c>
      <c r="C81" s="5">
        <v>2500</v>
      </c>
      <c r="D81" s="5">
        <f>SUMIFS(Tablo1[Tutar],Tablo1[Tarih],Sayfa2!B81)</f>
        <v>38885.410000000003</v>
      </c>
      <c r="E81" s="5">
        <f t="shared" si="12"/>
        <v>386873.27</v>
      </c>
      <c r="F81" s="19">
        <f t="shared" si="13"/>
        <v>4897.13</v>
      </c>
    </row>
    <row r="82" spans="1:6" x14ac:dyDescent="0.25">
      <c r="A82" s="20">
        <f t="shared" si="11"/>
        <v>80</v>
      </c>
      <c r="B82" s="1">
        <v>45706</v>
      </c>
      <c r="C82" s="5">
        <v>2500</v>
      </c>
      <c r="D82" s="5">
        <f>SUMIFS(Tablo1[Tutar],Tablo1[Tarih],Sayfa2!B82)</f>
        <v>1387</v>
      </c>
      <c r="E82" s="5">
        <f t="shared" si="12"/>
        <v>388260.27</v>
      </c>
      <c r="F82" s="19">
        <f t="shared" si="13"/>
        <v>4853.2533750000002</v>
      </c>
    </row>
    <row r="83" spans="1:6" x14ac:dyDescent="0.25">
      <c r="A83" s="20">
        <f t="shared" si="11"/>
        <v>81</v>
      </c>
      <c r="B83" s="1">
        <v>45707</v>
      </c>
      <c r="C83" s="5">
        <v>2500</v>
      </c>
      <c r="D83" s="5">
        <f>SUMIFS(Tablo1[Tutar],Tablo1[Tarih],Sayfa2!B83)</f>
        <v>4985.3900000000003</v>
      </c>
      <c r="E83" s="5">
        <f t="shared" si="12"/>
        <v>393245.66000000003</v>
      </c>
      <c r="F83" s="19">
        <f t="shared" si="13"/>
        <v>4854.8846913580255</v>
      </c>
    </row>
    <row r="84" spans="1:6" x14ac:dyDescent="0.25">
      <c r="A84" s="20">
        <f t="shared" si="11"/>
        <v>82</v>
      </c>
      <c r="B84" s="1">
        <v>45708</v>
      </c>
      <c r="C84" s="5">
        <v>2500</v>
      </c>
      <c r="D84" s="5">
        <f>SUMIFS(Tablo1[Tutar],Tablo1[Tarih],Sayfa2!B84)</f>
        <v>1156</v>
      </c>
      <c r="E84" s="5">
        <f t="shared" si="12"/>
        <v>394401.66000000003</v>
      </c>
      <c r="F84" s="19">
        <f t="shared" si="13"/>
        <v>4809.7763414634146</v>
      </c>
    </row>
    <row r="85" spans="1:6" x14ac:dyDescent="0.25">
      <c r="A85" s="20">
        <f t="shared" si="11"/>
        <v>83</v>
      </c>
      <c r="B85" s="1">
        <v>45709</v>
      </c>
      <c r="C85" s="5">
        <v>2500</v>
      </c>
      <c r="D85" s="5">
        <f>SUMIFS(Tablo1[Tutar],Tablo1[Tarih],Sayfa2!B85)</f>
        <v>0</v>
      </c>
      <c r="E85" s="5">
        <f t="shared" si="12"/>
        <v>394401.66000000003</v>
      </c>
      <c r="F85" s="19">
        <f t="shared" si="13"/>
        <v>4751.827228915663</v>
      </c>
    </row>
    <row r="86" spans="1:6" x14ac:dyDescent="0.25">
      <c r="A86" s="20">
        <f t="shared" si="11"/>
        <v>84</v>
      </c>
      <c r="B86" s="1">
        <v>45710</v>
      </c>
      <c r="C86" s="5">
        <v>2500</v>
      </c>
      <c r="D86" s="5">
        <f>SUMIFS(Tablo1[Tutar],Tablo1[Tarih],Sayfa2!B86)</f>
        <v>600</v>
      </c>
      <c r="E86" s="5">
        <f t="shared" si="12"/>
        <v>395001.66000000003</v>
      </c>
      <c r="F86" s="19">
        <f t="shared" si="13"/>
        <v>4702.4007142857145</v>
      </c>
    </row>
    <row r="87" spans="1:6" x14ac:dyDescent="0.25">
      <c r="A87" s="20">
        <f t="shared" si="11"/>
        <v>85</v>
      </c>
      <c r="B87" s="1">
        <v>45711</v>
      </c>
      <c r="C87" s="5">
        <v>2500</v>
      </c>
      <c r="D87" s="5">
        <f>SUMIFS(Tablo1[Tutar],Tablo1[Tarih],Sayfa2!B87)</f>
        <v>0</v>
      </c>
      <c r="E87" s="5">
        <f t="shared" si="12"/>
        <v>395001.66000000003</v>
      </c>
      <c r="F87" s="19">
        <f t="shared" si="13"/>
        <v>4647.0783529411765</v>
      </c>
    </row>
    <row r="88" spans="1:6" x14ac:dyDescent="0.25">
      <c r="A88" s="20">
        <f t="shared" si="11"/>
        <v>86</v>
      </c>
      <c r="B88" s="1">
        <v>45712</v>
      </c>
      <c r="C88" s="5">
        <v>2500</v>
      </c>
      <c r="D88" s="5">
        <f>SUMIFS(Tablo1[Tutar],Tablo1[Tarih],Sayfa2!B88)</f>
        <v>0</v>
      </c>
      <c r="E88" s="5">
        <f t="shared" si="12"/>
        <v>395001.66000000003</v>
      </c>
      <c r="F88" s="19">
        <f t="shared" si="13"/>
        <v>4593.0425581395357</v>
      </c>
    </row>
    <row r="89" spans="1:6" x14ac:dyDescent="0.25">
      <c r="A89" s="20">
        <f t="shared" si="11"/>
        <v>87</v>
      </c>
      <c r="B89" s="1">
        <v>45713</v>
      </c>
      <c r="C89" s="5">
        <v>2500</v>
      </c>
      <c r="D89" s="5">
        <f>SUMIFS(Tablo1[Tutar],Tablo1[Tarih],Sayfa2!B89)</f>
        <v>0</v>
      </c>
      <c r="E89" s="5">
        <f t="shared" si="12"/>
        <v>395001.66000000003</v>
      </c>
      <c r="F89" s="19">
        <f t="shared" si="13"/>
        <v>4540.2489655172421</v>
      </c>
    </row>
    <row r="90" spans="1:6" x14ac:dyDescent="0.25">
      <c r="A90" s="20">
        <f t="shared" si="11"/>
        <v>88</v>
      </c>
      <c r="B90" s="1">
        <v>45714</v>
      </c>
      <c r="C90" s="5">
        <v>2500</v>
      </c>
      <c r="D90" s="5">
        <f>SUMIFS(Tablo1[Tutar],Tablo1[Tarih],Sayfa2!B90)</f>
        <v>0</v>
      </c>
      <c r="E90" s="5">
        <f t="shared" si="12"/>
        <v>395001.66000000003</v>
      </c>
      <c r="F90" s="19">
        <f t="shared" si="13"/>
        <v>4488.6552272727276</v>
      </c>
    </row>
    <row r="91" spans="1:6" x14ac:dyDescent="0.25">
      <c r="A91" s="20">
        <f t="shared" si="11"/>
        <v>89</v>
      </c>
      <c r="B91" s="1">
        <v>45715</v>
      </c>
      <c r="C91" s="5">
        <v>2500</v>
      </c>
      <c r="D91" s="5">
        <f>SUMIFS(Tablo1[Tutar],Tablo1[Tarih],Sayfa2!B91)</f>
        <v>0</v>
      </c>
      <c r="E91" s="5">
        <f t="shared" si="12"/>
        <v>395001.66000000003</v>
      </c>
      <c r="F91" s="19">
        <f t="shared" si="13"/>
        <v>4438.220898876405</v>
      </c>
    </row>
    <row r="92" spans="1:6" x14ac:dyDescent="0.25">
      <c r="A92" s="20">
        <f t="shared" si="11"/>
        <v>90</v>
      </c>
      <c r="B92" s="1">
        <v>45716</v>
      </c>
      <c r="C92" s="5">
        <v>2500</v>
      </c>
      <c r="D92" s="5">
        <f>SUMIFS(Tablo1[Tutar],Tablo1[Tarih],Sayfa2!B92)</f>
        <v>0</v>
      </c>
      <c r="E92" s="5">
        <f t="shared" si="12"/>
        <v>395001.66000000003</v>
      </c>
      <c r="F92" s="19">
        <f t="shared" si="13"/>
        <v>4388.9073333333336</v>
      </c>
    </row>
    <row r="93" spans="1:6" x14ac:dyDescent="0.25">
      <c r="A93" s="20">
        <f t="shared" si="11"/>
        <v>91</v>
      </c>
      <c r="B93" s="1">
        <v>45717</v>
      </c>
      <c r="C93" s="5">
        <v>2500</v>
      </c>
      <c r="D93" s="5">
        <f>SUMIFS(Tablo1[Tutar],Tablo1[Tarih],Sayfa2!B93)</f>
        <v>0</v>
      </c>
      <c r="E93" s="5">
        <f t="shared" si="12"/>
        <v>395001.66000000003</v>
      </c>
      <c r="F93" s="19">
        <f t="shared" si="13"/>
        <v>4340.6775824175829</v>
      </c>
    </row>
    <row r="94" spans="1:6" x14ac:dyDescent="0.25">
      <c r="A94" s="20">
        <f t="shared" si="11"/>
        <v>92</v>
      </c>
      <c r="B94" s="1">
        <v>45718</v>
      </c>
      <c r="C94" s="5">
        <v>2500</v>
      </c>
      <c r="D94" s="5">
        <f>SUMIFS(Tablo1[Tutar],Tablo1[Tarih],Sayfa2!B94)</f>
        <v>0</v>
      </c>
      <c r="E94" s="5">
        <f t="shared" si="12"/>
        <v>395001.66000000003</v>
      </c>
      <c r="F94" s="19">
        <f t="shared" si="13"/>
        <v>4293.4963043478265</v>
      </c>
    </row>
    <row r="95" spans="1:6" x14ac:dyDescent="0.25">
      <c r="A95" s="20">
        <f t="shared" si="11"/>
        <v>93</v>
      </c>
      <c r="B95" s="1">
        <v>45719</v>
      </c>
      <c r="C95" s="5">
        <v>2500</v>
      </c>
      <c r="D95" s="5">
        <f>SUMIFS(Tablo1[Tutar],Tablo1[Tarih],Sayfa2!B95)</f>
        <v>0</v>
      </c>
      <c r="E95" s="5">
        <f t="shared" si="12"/>
        <v>395001.66000000003</v>
      </c>
      <c r="F95" s="19">
        <f t="shared" si="13"/>
        <v>4247.329677419355</v>
      </c>
    </row>
    <row r="96" spans="1:6" x14ac:dyDescent="0.25">
      <c r="A96" s="20">
        <f t="shared" si="11"/>
        <v>94</v>
      </c>
      <c r="B96" s="1">
        <v>45720</v>
      </c>
      <c r="C96" s="5">
        <v>2500</v>
      </c>
      <c r="D96" s="5">
        <f>SUMIFS(Tablo1[Tutar],Tablo1[Tarih],Sayfa2!B96)</f>
        <v>0</v>
      </c>
      <c r="E96" s="5">
        <f t="shared" si="12"/>
        <v>395001.66000000003</v>
      </c>
      <c r="F96" s="19">
        <f t="shared" si="13"/>
        <v>4202.1453191489363</v>
      </c>
    </row>
    <row r="97" spans="1:6" x14ac:dyDescent="0.25">
      <c r="A97" s="20">
        <f t="shared" si="11"/>
        <v>95</v>
      </c>
      <c r="B97" s="1">
        <v>45721</v>
      </c>
      <c r="C97" s="5">
        <v>2500</v>
      </c>
      <c r="D97" s="5">
        <f>SUMIFS(Tablo1[Tutar],Tablo1[Tarih],Sayfa2!B97)</f>
        <v>0</v>
      </c>
      <c r="E97" s="5">
        <f t="shared" si="12"/>
        <v>395001.66000000003</v>
      </c>
      <c r="F97" s="19">
        <f t="shared" si="13"/>
        <v>4157.9122105263159</v>
      </c>
    </row>
    <row r="98" spans="1:6" x14ac:dyDescent="0.25">
      <c r="A98" s="20">
        <f t="shared" si="11"/>
        <v>96</v>
      </c>
      <c r="B98" s="1">
        <v>45722</v>
      </c>
      <c r="C98" s="5">
        <v>2500</v>
      </c>
      <c r="D98" s="5">
        <f>SUMIFS(Tablo1[Tutar],Tablo1[Tarih],Sayfa2!B98)</f>
        <v>0</v>
      </c>
      <c r="E98" s="5">
        <f t="shared" si="12"/>
        <v>395001.66000000003</v>
      </c>
      <c r="F98" s="19">
        <f t="shared" si="13"/>
        <v>4114.600625</v>
      </c>
    </row>
    <row r="99" spans="1:6" x14ac:dyDescent="0.25">
      <c r="A99" s="20">
        <f t="shared" si="11"/>
        <v>97</v>
      </c>
      <c r="B99" s="1">
        <v>45723</v>
      </c>
      <c r="C99" s="5">
        <v>2500</v>
      </c>
      <c r="D99" s="5">
        <f>SUMIFS(Tablo1[Tutar],Tablo1[Tarih],Sayfa2!B99)</f>
        <v>0</v>
      </c>
      <c r="E99" s="5">
        <f t="shared" si="12"/>
        <v>395001.66000000003</v>
      </c>
      <c r="F99" s="19">
        <f t="shared" si="13"/>
        <v>4072.1820618556703</v>
      </c>
    </row>
    <row r="100" spans="1:6" x14ac:dyDescent="0.25">
      <c r="A100" s="20">
        <f t="shared" si="11"/>
        <v>98</v>
      </c>
      <c r="B100" s="1">
        <v>45724</v>
      </c>
      <c r="C100" s="5">
        <v>2500</v>
      </c>
      <c r="D100" s="5">
        <f>SUMIFS(Tablo1[Tutar],Tablo1[Tarih],Sayfa2!B100)</f>
        <v>0</v>
      </c>
      <c r="E100" s="5">
        <f t="shared" si="12"/>
        <v>395001.66000000003</v>
      </c>
      <c r="F100" s="19">
        <f t="shared" si="13"/>
        <v>4030.6291836734699</v>
      </c>
    </row>
    <row r="101" spans="1:6" x14ac:dyDescent="0.25">
      <c r="A101" s="20">
        <f t="shared" si="11"/>
        <v>99</v>
      </c>
      <c r="B101" s="1">
        <v>45725</v>
      </c>
      <c r="C101" s="5">
        <v>2500</v>
      </c>
      <c r="D101" s="5">
        <f>SUMIFS(Tablo1[Tutar],Tablo1[Tarih],Sayfa2!B101)</f>
        <v>0</v>
      </c>
      <c r="E101" s="5">
        <f t="shared" si="12"/>
        <v>395001.66000000003</v>
      </c>
      <c r="F101" s="19">
        <f t="shared" si="13"/>
        <v>3989.9157575757581</v>
      </c>
    </row>
    <row r="102" spans="1:6" x14ac:dyDescent="0.25">
      <c r="A102" s="20">
        <f t="shared" si="11"/>
        <v>100</v>
      </c>
      <c r="B102" s="1">
        <v>45726</v>
      </c>
      <c r="C102" s="5">
        <v>2500</v>
      </c>
      <c r="D102" s="5">
        <f>SUMIFS(Tablo1[Tutar],Tablo1[Tarih],Sayfa2!B102)</f>
        <v>0</v>
      </c>
      <c r="E102" s="5">
        <f t="shared" si="12"/>
        <v>395001.66000000003</v>
      </c>
      <c r="F102" s="19">
        <f t="shared" si="13"/>
        <v>3950.0166000000004</v>
      </c>
    </row>
    <row r="103" spans="1:6" x14ac:dyDescent="0.25">
      <c r="A103" s="20">
        <f t="shared" si="11"/>
        <v>101</v>
      </c>
      <c r="B103" s="1">
        <v>45727</v>
      </c>
      <c r="C103" s="5">
        <v>2500</v>
      </c>
      <c r="D103" s="5">
        <f>SUMIFS(Tablo1[Tutar],Tablo1[Tarih],Sayfa2!B103)</f>
        <v>0</v>
      </c>
      <c r="E103" s="5">
        <f t="shared" si="12"/>
        <v>395001.66000000003</v>
      </c>
      <c r="F103" s="19">
        <f t="shared" si="13"/>
        <v>3910.9075247524756</v>
      </c>
    </row>
    <row r="104" spans="1:6" x14ac:dyDescent="0.25">
      <c r="A104" s="20">
        <f t="shared" si="11"/>
        <v>102</v>
      </c>
      <c r="B104" s="1">
        <v>45728</v>
      </c>
      <c r="C104" s="5">
        <v>2500</v>
      </c>
      <c r="D104" s="5">
        <f>SUMIFS(Tablo1[Tutar],Tablo1[Tarih],Sayfa2!B104)</f>
        <v>0</v>
      </c>
      <c r="E104" s="5">
        <f t="shared" si="12"/>
        <v>395001.66000000003</v>
      </c>
      <c r="F104" s="19">
        <f t="shared" si="13"/>
        <v>3872.5652941176472</v>
      </c>
    </row>
    <row r="105" spans="1:6" x14ac:dyDescent="0.25">
      <c r="A105" s="20">
        <f t="shared" si="11"/>
        <v>103</v>
      </c>
      <c r="B105" s="1">
        <v>45729</v>
      </c>
      <c r="C105" s="5">
        <v>2500</v>
      </c>
      <c r="D105" s="5">
        <f>SUMIFS(Tablo1[Tutar],Tablo1[Tarih],Sayfa2!B105)</f>
        <v>0</v>
      </c>
      <c r="E105" s="5">
        <f t="shared" si="12"/>
        <v>395001.66000000003</v>
      </c>
      <c r="F105" s="19">
        <f t="shared" si="13"/>
        <v>3834.9675728155344</v>
      </c>
    </row>
    <row r="106" spans="1:6" x14ac:dyDescent="0.25">
      <c r="A106" s="20">
        <f t="shared" si="11"/>
        <v>104</v>
      </c>
      <c r="B106" s="1">
        <v>45730</v>
      </c>
      <c r="C106" s="5">
        <v>2500</v>
      </c>
      <c r="D106" s="5">
        <f>SUMIFS(Tablo1[Tutar],Tablo1[Tarih],Sayfa2!B106)</f>
        <v>0</v>
      </c>
      <c r="E106" s="5">
        <f t="shared" si="12"/>
        <v>395001.66000000003</v>
      </c>
      <c r="F106" s="19">
        <f t="shared" si="13"/>
        <v>3798.0928846153847</v>
      </c>
    </row>
    <row r="107" spans="1:6" x14ac:dyDescent="0.25">
      <c r="A107" s="20">
        <f t="shared" si="11"/>
        <v>105</v>
      </c>
      <c r="B107" s="1">
        <v>45731</v>
      </c>
      <c r="C107" s="5">
        <v>2500</v>
      </c>
      <c r="D107" s="5">
        <f>SUMIFS(Tablo1[Tutar],Tablo1[Tarih],Sayfa2!B107)</f>
        <v>0</v>
      </c>
      <c r="E107" s="5">
        <f t="shared" si="12"/>
        <v>395001.66000000003</v>
      </c>
      <c r="F107" s="19">
        <f t="shared" si="13"/>
        <v>3761.9205714285717</v>
      </c>
    </row>
    <row r="108" spans="1:6" x14ac:dyDescent="0.25">
      <c r="A108" s="20">
        <f t="shared" si="11"/>
        <v>106</v>
      </c>
      <c r="B108" s="1">
        <v>45732</v>
      </c>
      <c r="C108" s="5">
        <v>2500</v>
      </c>
      <c r="D108" s="5">
        <f>SUMIFS(Tablo1[Tutar],Tablo1[Tarih],Sayfa2!B108)</f>
        <v>0</v>
      </c>
      <c r="E108" s="5">
        <f t="shared" si="12"/>
        <v>395001.66000000003</v>
      </c>
      <c r="F108" s="19">
        <f t="shared" si="13"/>
        <v>3726.4307547169815</v>
      </c>
    </row>
    <row r="109" spans="1:6" x14ac:dyDescent="0.25">
      <c r="A109" s="20">
        <f t="shared" si="11"/>
        <v>107</v>
      </c>
      <c r="B109" s="1">
        <v>45733</v>
      </c>
      <c r="C109" s="5">
        <v>2500</v>
      </c>
      <c r="D109" s="5">
        <f>SUMIFS(Tablo1[Tutar],Tablo1[Tarih],Sayfa2!B109)</f>
        <v>0</v>
      </c>
      <c r="E109" s="5">
        <f t="shared" si="12"/>
        <v>395001.66000000003</v>
      </c>
      <c r="F109" s="19">
        <f t="shared" si="13"/>
        <v>3691.6042990654209</v>
      </c>
    </row>
    <row r="110" spans="1:6" x14ac:dyDescent="0.25">
      <c r="A110" s="20">
        <f t="shared" si="11"/>
        <v>108</v>
      </c>
      <c r="B110" s="1">
        <v>45734</v>
      </c>
      <c r="C110" s="5">
        <v>2500</v>
      </c>
      <c r="D110" s="5">
        <f>SUMIFS(Tablo1[Tutar],Tablo1[Tarih],Sayfa2!B110)</f>
        <v>0</v>
      </c>
      <c r="E110" s="5">
        <f t="shared" si="12"/>
        <v>395001.66000000003</v>
      </c>
      <c r="F110" s="19">
        <f t="shared" si="13"/>
        <v>3657.4227777777783</v>
      </c>
    </row>
    <row r="111" spans="1:6" x14ac:dyDescent="0.25">
      <c r="A111" s="20">
        <f t="shared" si="11"/>
        <v>109</v>
      </c>
      <c r="B111" s="1">
        <v>45735</v>
      </c>
      <c r="C111" s="5">
        <v>2500</v>
      </c>
      <c r="D111" s="5">
        <f>SUMIFS(Tablo1[Tutar],Tablo1[Tarih],Sayfa2!B111)</f>
        <v>0</v>
      </c>
      <c r="E111" s="5">
        <f t="shared" si="12"/>
        <v>395001.66000000003</v>
      </c>
      <c r="F111" s="19">
        <f t="shared" si="13"/>
        <v>3623.8684403669727</v>
      </c>
    </row>
    <row r="112" spans="1:6" x14ac:dyDescent="0.25">
      <c r="A112" s="20">
        <f t="shared" si="11"/>
        <v>110</v>
      </c>
      <c r="B112" s="1">
        <v>45736</v>
      </c>
      <c r="C112" s="5">
        <v>2500</v>
      </c>
      <c r="D112" s="5">
        <f>SUMIFS(Tablo1[Tutar],Tablo1[Tarih],Sayfa2!B112)</f>
        <v>0</v>
      </c>
      <c r="E112" s="5">
        <f t="shared" si="12"/>
        <v>395001.66000000003</v>
      </c>
      <c r="F112" s="19">
        <f t="shared" si="13"/>
        <v>3590.9241818181822</v>
      </c>
    </row>
    <row r="113" spans="1:6" x14ac:dyDescent="0.25">
      <c r="A113" s="20">
        <f t="shared" si="11"/>
        <v>111</v>
      </c>
      <c r="B113" s="1">
        <v>45737</v>
      </c>
      <c r="C113" s="5">
        <v>2500</v>
      </c>
      <c r="D113" s="5">
        <f>SUMIFS(Tablo1[Tutar],Tablo1[Tarih],Sayfa2!B113)</f>
        <v>0</v>
      </c>
      <c r="E113" s="5">
        <f t="shared" si="12"/>
        <v>395001.66000000003</v>
      </c>
      <c r="F113" s="19">
        <f t="shared" si="13"/>
        <v>3558.5735135135137</v>
      </c>
    </row>
    <row r="114" spans="1:6" x14ac:dyDescent="0.25">
      <c r="A114" s="20">
        <f t="shared" si="11"/>
        <v>112</v>
      </c>
      <c r="B114" s="1">
        <v>45738</v>
      </c>
      <c r="C114" s="5">
        <v>2500</v>
      </c>
      <c r="D114" s="5">
        <f>SUMIFS(Tablo1[Tutar],Tablo1[Tarih],Sayfa2!B114)</f>
        <v>0</v>
      </c>
      <c r="E114" s="5">
        <f t="shared" si="12"/>
        <v>395001.66000000003</v>
      </c>
      <c r="F114" s="19">
        <f t="shared" si="13"/>
        <v>3526.8005357142861</v>
      </c>
    </row>
    <row r="115" spans="1:6" x14ac:dyDescent="0.25">
      <c r="A115" s="20">
        <f t="shared" si="11"/>
        <v>113</v>
      </c>
      <c r="B115" s="1">
        <v>45739</v>
      </c>
      <c r="C115" s="5">
        <v>2500</v>
      </c>
      <c r="D115" s="5">
        <f>SUMIFS(Tablo1[Tutar],Tablo1[Tarih],Sayfa2!B115)</f>
        <v>0</v>
      </c>
      <c r="E115" s="5">
        <f t="shared" si="12"/>
        <v>395001.66000000003</v>
      </c>
      <c r="F115" s="19">
        <f t="shared" si="13"/>
        <v>3495.5899115044249</v>
      </c>
    </row>
    <row r="116" spans="1:6" x14ac:dyDescent="0.25">
      <c r="A116" s="20">
        <f t="shared" si="11"/>
        <v>114</v>
      </c>
      <c r="B116" s="1">
        <v>45740</v>
      </c>
      <c r="C116" s="5">
        <v>2500</v>
      </c>
      <c r="D116" s="5">
        <f>SUMIFS(Tablo1[Tutar],Tablo1[Tarih],Sayfa2!B116)</f>
        <v>0</v>
      </c>
      <c r="E116" s="5">
        <f t="shared" si="12"/>
        <v>395001.66000000003</v>
      </c>
      <c r="F116" s="19">
        <f t="shared" si="13"/>
        <v>3464.9268421052634</v>
      </c>
    </row>
    <row r="117" spans="1:6" x14ac:dyDescent="0.25">
      <c r="A117" s="20">
        <f t="shared" si="11"/>
        <v>115</v>
      </c>
      <c r="B117" s="1">
        <v>45741</v>
      </c>
      <c r="C117" s="5">
        <v>2500</v>
      </c>
      <c r="D117" s="5">
        <f>SUMIFS(Tablo1[Tutar],Tablo1[Tarih],Sayfa2!B117)</f>
        <v>0</v>
      </c>
      <c r="E117" s="5">
        <f t="shared" si="12"/>
        <v>395001.66000000003</v>
      </c>
      <c r="F117" s="19">
        <f t="shared" si="13"/>
        <v>3434.797043478261</v>
      </c>
    </row>
    <row r="118" spans="1:6" x14ac:dyDescent="0.25">
      <c r="A118" s="20">
        <f t="shared" si="11"/>
        <v>116</v>
      </c>
      <c r="B118" s="1">
        <v>45742</v>
      </c>
      <c r="C118" s="5">
        <v>2500</v>
      </c>
      <c r="D118" s="5">
        <f>SUMIFS(Tablo1[Tutar],Tablo1[Tarih],Sayfa2!B118)</f>
        <v>0</v>
      </c>
      <c r="E118" s="5">
        <f t="shared" si="12"/>
        <v>395001.66000000003</v>
      </c>
      <c r="F118" s="19">
        <f t="shared" si="13"/>
        <v>3405.1867241379314</v>
      </c>
    </row>
    <row r="119" spans="1:6" x14ac:dyDescent="0.25">
      <c r="A119" s="20">
        <f t="shared" si="11"/>
        <v>117</v>
      </c>
      <c r="B119" s="1">
        <v>45743</v>
      </c>
      <c r="C119" s="5">
        <v>2500</v>
      </c>
      <c r="D119" s="5">
        <f>SUMIFS(Tablo1[Tutar],Tablo1[Tarih],Sayfa2!B119)</f>
        <v>0</v>
      </c>
      <c r="E119" s="5">
        <f t="shared" si="12"/>
        <v>395001.66000000003</v>
      </c>
      <c r="F119" s="19">
        <f t="shared" si="13"/>
        <v>3376.0825641025644</v>
      </c>
    </row>
    <row r="120" spans="1:6" x14ac:dyDescent="0.25">
      <c r="A120" s="20">
        <f t="shared" si="11"/>
        <v>118</v>
      </c>
      <c r="B120" s="1">
        <v>45744</v>
      </c>
      <c r="C120" s="5">
        <v>2500</v>
      </c>
      <c r="D120" s="5">
        <f>SUMIFS(Tablo1[Tutar],Tablo1[Tarih],Sayfa2!B120)</f>
        <v>0</v>
      </c>
      <c r="E120" s="5">
        <f t="shared" si="12"/>
        <v>395001.66000000003</v>
      </c>
      <c r="F120" s="19">
        <f t="shared" si="13"/>
        <v>3347.4716949152544</v>
      </c>
    </row>
    <row r="121" spans="1:6" x14ac:dyDescent="0.25">
      <c r="A121" s="20">
        <f t="shared" si="11"/>
        <v>119</v>
      </c>
      <c r="B121" s="1">
        <v>45745</v>
      </c>
      <c r="C121" s="5">
        <v>2500</v>
      </c>
      <c r="D121" s="5">
        <f>SUMIFS(Tablo1[Tutar],Tablo1[Tarih],Sayfa2!B121)</f>
        <v>0</v>
      </c>
      <c r="E121" s="5">
        <f t="shared" si="12"/>
        <v>395001.66000000003</v>
      </c>
      <c r="F121" s="19">
        <f t="shared" si="13"/>
        <v>3319.3416806722694</v>
      </c>
    </row>
    <row r="122" spans="1:6" x14ac:dyDescent="0.25">
      <c r="A122" s="20">
        <f t="shared" si="11"/>
        <v>120</v>
      </c>
      <c r="B122" s="1">
        <v>45746</v>
      </c>
      <c r="C122" s="5">
        <v>2500</v>
      </c>
      <c r="D122" s="5">
        <f>SUMIFS(Tablo1[Tutar],Tablo1[Tarih],Sayfa2!B122)</f>
        <v>0</v>
      </c>
      <c r="E122" s="5">
        <f t="shared" si="12"/>
        <v>395001.66000000003</v>
      </c>
      <c r="F122" s="19">
        <f t="shared" si="13"/>
        <v>3291.6805000000004</v>
      </c>
    </row>
    <row r="123" spans="1:6" x14ac:dyDescent="0.25">
      <c r="A123" s="20">
        <f t="shared" si="11"/>
        <v>121</v>
      </c>
      <c r="B123" s="1">
        <v>45747</v>
      </c>
      <c r="C123" s="5">
        <v>2500</v>
      </c>
      <c r="D123" s="5">
        <f>SUMIFS(Tablo1[Tutar],Tablo1[Tarih],Sayfa2!B123)</f>
        <v>0</v>
      </c>
      <c r="E123" s="5">
        <f t="shared" si="12"/>
        <v>395001.66000000003</v>
      </c>
      <c r="F123" s="19">
        <f t="shared" si="13"/>
        <v>3264.4765289256202</v>
      </c>
    </row>
    <row r="124" spans="1:6" x14ac:dyDescent="0.25">
      <c r="A124" s="20">
        <f t="shared" si="11"/>
        <v>122</v>
      </c>
      <c r="B124" s="1">
        <v>45748</v>
      </c>
      <c r="C124" s="5">
        <v>2500</v>
      </c>
      <c r="D124" s="5">
        <f>SUMIFS(Tablo1[Tutar],Tablo1[Tarih],Sayfa2!B124)</f>
        <v>0</v>
      </c>
      <c r="E124" s="5">
        <f t="shared" si="12"/>
        <v>395001.66000000003</v>
      </c>
      <c r="F124" s="19">
        <f t="shared" si="13"/>
        <v>3237.7185245901642</v>
      </c>
    </row>
    <row r="125" spans="1:6" x14ac:dyDescent="0.25">
      <c r="A125" s="20">
        <f t="shared" si="11"/>
        <v>123</v>
      </c>
      <c r="B125" s="1">
        <v>45749</v>
      </c>
      <c r="C125" s="5">
        <v>2500</v>
      </c>
      <c r="D125" s="5">
        <f>SUMIFS(Tablo1[Tutar],Tablo1[Tarih],Sayfa2!B125)</f>
        <v>0</v>
      </c>
      <c r="E125" s="5">
        <f t="shared" si="12"/>
        <v>395001.66000000003</v>
      </c>
      <c r="F125" s="19">
        <f t="shared" si="13"/>
        <v>3211.3956097560977</v>
      </c>
    </row>
    <row r="126" spans="1:6" x14ac:dyDescent="0.25">
      <c r="A126" s="20">
        <f t="shared" si="11"/>
        <v>124</v>
      </c>
      <c r="B126" s="1">
        <v>45750</v>
      </c>
      <c r="C126" s="5">
        <v>2500</v>
      </c>
      <c r="D126" s="5">
        <f>SUMIFS(Tablo1[Tutar],Tablo1[Tarih],Sayfa2!B126)</f>
        <v>0</v>
      </c>
      <c r="E126" s="5">
        <f t="shared" si="12"/>
        <v>395001.66000000003</v>
      </c>
      <c r="F126" s="19">
        <f t="shared" si="13"/>
        <v>3185.4972580645162</v>
      </c>
    </row>
    <row r="127" spans="1:6" x14ac:dyDescent="0.25">
      <c r="A127" s="20">
        <f t="shared" si="11"/>
        <v>125</v>
      </c>
      <c r="B127" s="1">
        <v>45751</v>
      </c>
      <c r="C127" s="5">
        <v>2500</v>
      </c>
      <c r="D127" s="5">
        <f>SUMIFS(Tablo1[Tutar],Tablo1[Tarih],Sayfa2!B127)</f>
        <v>0</v>
      </c>
      <c r="E127" s="5">
        <f t="shared" si="12"/>
        <v>395001.66000000003</v>
      </c>
      <c r="F127" s="19">
        <f t="shared" si="13"/>
        <v>3160.0132800000001</v>
      </c>
    </row>
    <row r="128" spans="1:6" x14ac:dyDescent="0.25">
      <c r="A128" s="20">
        <f t="shared" si="11"/>
        <v>126</v>
      </c>
      <c r="B128" s="1">
        <v>45752</v>
      </c>
      <c r="C128" s="5">
        <v>2500</v>
      </c>
      <c r="D128" s="5">
        <f>SUMIFS(Tablo1[Tutar],Tablo1[Tarih],Sayfa2!B128)</f>
        <v>0</v>
      </c>
      <c r="E128" s="5">
        <f t="shared" si="12"/>
        <v>395001.66000000003</v>
      </c>
      <c r="F128" s="19">
        <f t="shared" si="13"/>
        <v>3134.9338095238099</v>
      </c>
    </row>
    <row r="129" spans="1:6" x14ac:dyDescent="0.25">
      <c r="A129" s="20">
        <f t="shared" si="11"/>
        <v>127</v>
      </c>
      <c r="B129" s="1">
        <v>45753</v>
      </c>
      <c r="C129" s="5">
        <v>2500</v>
      </c>
      <c r="D129" s="5">
        <f>SUMIFS(Tablo1[Tutar],Tablo1[Tarih],Sayfa2!B129)</f>
        <v>0</v>
      </c>
      <c r="E129" s="5">
        <f t="shared" si="12"/>
        <v>395001.66000000003</v>
      </c>
      <c r="F129" s="19">
        <f t="shared" si="13"/>
        <v>3110.2492913385831</v>
      </c>
    </row>
    <row r="130" spans="1:6" x14ac:dyDescent="0.25">
      <c r="A130" s="20">
        <f t="shared" si="11"/>
        <v>128</v>
      </c>
      <c r="B130" s="1">
        <v>45754</v>
      </c>
      <c r="C130" s="5">
        <v>2500</v>
      </c>
      <c r="D130" s="5">
        <f>SUMIFS(Tablo1[Tutar],Tablo1[Tarih],Sayfa2!B130)</f>
        <v>0</v>
      </c>
      <c r="E130" s="5">
        <f t="shared" si="12"/>
        <v>395001.66000000003</v>
      </c>
      <c r="F130" s="19">
        <f t="shared" si="13"/>
        <v>3085.9504687500003</v>
      </c>
    </row>
    <row r="131" spans="1:6" x14ac:dyDescent="0.25">
      <c r="A131" s="20">
        <f t="shared" si="11"/>
        <v>129</v>
      </c>
      <c r="B131" s="1">
        <v>45755</v>
      </c>
      <c r="C131" s="5">
        <v>2500</v>
      </c>
      <c r="D131" s="5">
        <f>SUMIFS(Tablo1[Tutar],Tablo1[Tarih],Sayfa2!B131)</f>
        <v>0</v>
      </c>
      <c r="E131" s="5">
        <f t="shared" si="12"/>
        <v>395001.66000000003</v>
      </c>
      <c r="F131" s="19">
        <f t="shared" si="13"/>
        <v>3062.0283720930233</v>
      </c>
    </row>
    <row r="132" spans="1:6" x14ac:dyDescent="0.25">
      <c r="A132" s="20">
        <f t="shared" si="11"/>
        <v>130</v>
      </c>
      <c r="B132" s="1">
        <v>45756</v>
      </c>
      <c r="C132" s="5">
        <v>2500</v>
      </c>
      <c r="D132" s="5">
        <f>SUMIFS(Tablo1[Tutar],Tablo1[Tarih],Sayfa2!B132)</f>
        <v>0</v>
      </c>
      <c r="E132" s="5">
        <f t="shared" si="12"/>
        <v>395001.66000000003</v>
      </c>
      <c r="F132" s="19">
        <f t="shared" si="13"/>
        <v>3038.4743076923078</v>
      </c>
    </row>
    <row r="133" spans="1:6" x14ac:dyDescent="0.25">
      <c r="A133" s="20">
        <f t="shared" ref="A133:A185" si="14">+A132+1</f>
        <v>131</v>
      </c>
      <c r="B133" s="1">
        <v>45757</v>
      </c>
      <c r="C133" s="5">
        <v>2500</v>
      </c>
      <c r="D133" s="5">
        <f>SUMIFS(Tablo1[Tutar],Tablo1[Tarih],Sayfa2!B133)</f>
        <v>0</v>
      </c>
      <c r="E133" s="5">
        <f t="shared" ref="E133:E156" si="15">+E132+D133</f>
        <v>395001.66000000003</v>
      </c>
      <c r="F133" s="19">
        <f t="shared" si="13"/>
        <v>3015.2798473282446</v>
      </c>
    </row>
    <row r="134" spans="1:6" x14ac:dyDescent="0.25">
      <c r="A134" s="20">
        <f t="shared" si="14"/>
        <v>132</v>
      </c>
      <c r="B134" s="1">
        <v>45758</v>
      </c>
      <c r="C134" s="5">
        <v>2500</v>
      </c>
      <c r="D134" s="5">
        <f>SUMIFS(Tablo1[Tutar],Tablo1[Tarih],Sayfa2!B134)</f>
        <v>0</v>
      </c>
      <c r="E134" s="5">
        <f t="shared" si="15"/>
        <v>395001.66000000003</v>
      </c>
      <c r="F134" s="19">
        <f t="shared" ref="F134:F156" si="16">(D134+E133)/A134</f>
        <v>2992.4368181818186</v>
      </c>
    </row>
    <row r="135" spans="1:6" x14ac:dyDescent="0.25">
      <c r="A135" s="20">
        <f t="shared" si="14"/>
        <v>133</v>
      </c>
      <c r="B135" s="1">
        <v>45759</v>
      </c>
      <c r="C135" s="5">
        <v>2500</v>
      </c>
      <c r="D135" s="5">
        <f>SUMIFS(Tablo1[Tutar],Tablo1[Tarih],Sayfa2!B135)</f>
        <v>0</v>
      </c>
      <c r="E135" s="5">
        <f t="shared" si="15"/>
        <v>395001.66000000003</v>
      </c>
      <c r="F135" s="19">
        <f t="shared" si="16"/>
        <v>2969.937293233083</v>
      </c>
    </row>
    <row r="136" spans="1:6" x14ac:dyDescent="0.25">
      <c r="A136" s="20">
        <f t="shared" si="14"/>
        <v>134</v>
      </c>
      <c r="B136" s="1">
        <v>45760</v>
      </c>
      <c r="C136" s="5">
        <v>2500</v>
      </c>
      <c r="D136" s="5">
        <f>SUMIFS(Tablo1[Tutar],Tablo1[Tarih],Sayfa2!B136)</f>
        <v>0</v>
      </c>
      <c r="E136" s="5">
        <f t="shared" si="15"/>
        <v>395001.66000000003</v>
      </c>
      <c r="F136" s="19">
        <f t="shared" si="16"/>
        <v>2947.7735820895523</v>
      </c>
    </row>
    <row r="137" spans="1:6" x14ac:dyDescent="0.25">
      <c r="A137" s="20">
        <f t="shared" si="14"/>
        <v>135</v>
      </c>
      <c r="B137" s="1">
        <v>45761</v>
      </c>
      <c r="C137" s="5">
        <v>2500</v>
      </c>
      <c r="D137" s="5">
        <f>SUMIFS(Tablo1[Tutar],Tablo1[Tarih],Sayfa2!B137)</f>
        <v>0</v>
      </c>
      <c r="E137" s="5">
        <f t="shared" si="15"/>
        <v>395001.66000000003</v>
      </c>
      <c r="F137" s="19">
        <f t="shared" si="16"/>
        <v>2925.9382222222225</v>
      </c>
    </row>
    <row r="138" spans="1:6" x14ac:dyDescent="0.25">
      <c r="A138" s="20">
        <f t="shared" si="14"/>
        <v>136</v>
      </c>
      <c r="B138" s="1">
        <v>45762</v>
      </c>
      <c r="C138" s="5">
        <v>2500</v>
      </c>
      <c r="D138" s="5">
        <f>SUMIFS(Tablo1[Tutar],Tablo1[Tarih],Sayfa2!B138)</f>
        <v>0</v>
      </c>
      <c r="E138" s="5">
        <f t="shared" si="15"/>
        <v>395001.66000000003</v>
      </c>
      <c r="F138" s="19">
        <f t="shared" si="16"/>
        <v>2904.4239705882355</v>
      </c>
    </row>
    <row r="139" spans="1:6" x14ac:dyDescent="0.25">
      <c r="A139" s="20">
        <f t="shared" si="14"/>
        <v>137</v>
      </c>
      <c r="B139" s="1">
        <v>45763</v>
      </c>
      <c r="C139" s="5">
        <v>2500</v>
      </c>
      <c r="D139" s="5">
        <f>SUMIFS(Tablo1[Tutar],Tablo1[Tarih],Sayfa2!B139)</f>
        <v>0</v>
      </c>
      <c r="E139" s="5">
        <f t="shared" si="15"/>
        <v>395001.66000000003</v>
      </c>
      <c r="F139" s="19">
        <f t="shared" si="16"/>
        <v>2883.2237956204381</v>
      </c>
    </row>
    <row r="140" spans="1:6" x14ac:dyDescent="0.25">
      <c r="A140" s="20">
        <f t="shared" si="14"/>
        <v>138</v>
      </c>
      <c r="B140" s="1">
        <v>45764</v>
      </c>
      <c r="C140" s="5">
        <v>2500</v>
      </c>
      <c r="D140" s="5">
        <f>SUMIFS(Tablo1[Tutar],Tablo1[Tarih],Sayfa2!B140)</f>
        <v>0</v>
      </c>
      <c r="E140" s="5">
        <f t="shared" si="15"/>
        <v>395001.66000000003</v>
      </c>
      <c r="F140" s="19">
        <f t="shared" si="16"/>
        <v>2862.3308695652177</v>
      </c>
    </row>
    <row r="141" spans="1:6" x14ac:dyDescent="0.25">
      <c r="A141" s="20">
        <f t="shared" si="14"/>
        <v>139</v>
      </c>
      <c r="B141" s="1">
        <v>45765</v>
      </c>
      <c r="C141" s="5">
        <v>2500</v>
      </c>
      <c r="D141" s="5">
        <f>SUMIFS(Tablo1[Tutar],Tablo1[Tarih],Sayfa2!B141)</f>
        <v>0</v>
      </c>
      <c r="E141" s="5">
        <f t="shared" si="15"/>
        <v>395001.66000000003</v>
      </c>
      <c r="F141" s="19">
        <f t="shared" si="16"/>
        <v>2841.7385611510795</v>
      </c>
    </row>
    <row r="142" spans="1:6" x14ac:dyDescent="0.25">
      <c r="A142" s="20">
        <f t="shared" si="14"/>
        <v>140</v>
      </c>
      <c r="B142" s="1">
        <v>45766</v>
      </c>
      <c r="C142" s="5">
        <v>2500</v>
      </c>
      <c r="D142" s="5">
        <f>SUMIFS(Tablo1[Tutar],Tablo1[Tarih],Sayfa2!B142)</f>
        <v>0</v>
      </c>
      <c r="E142" s="5">
        <f t="shared" si="15"/>
        <v>395001.66000000003</v>
      </c>
      <c r="F142" s="19">
        <f t="shared" si="16"/>
        <v>2821.4404285714286</v>
      </c>
    </row>
    <row r="143" spans="1:6" x14ac:dyDescent="0.25">
      <c r="A143" s="20">
        <f t="shared" si="14"/>
        <v>141</v>
      </c>
      <c r="B143" s="1">
        <v>45767</v>
      </c>
      <c r="C143" s="5">
        <v>2500</v>
      </c>
      <c r="D143" s="5">
        <f>SUMIFS(Tablo1[Tutar],Tablo1[Tarih],Sayfa2!B143)</f>
        <v>0</v>
      </c>
      <c r="E143" s="5">
        <f t="shared" si="15"/>
        <v>395001.66000000003</v>
      </c>
      <c r="F143" s="19">
        <f t="shared" si="16"/>
        <v>2801.4302127659575</v>
      </c>
    </row>
    <row r="144" spans="1:6" x14ac:dyDescent="0.25">
      <c r="A144" s="20">
        <f t="shared" si="14"/>
        <v>142</v>
      </c>
      <c r="B144" s="1">
        <v>45768</v>
      </c>
      <c r="C144" s="5">
        <v>2500</v>
      </c>
      <c r="D144" s="5">
        <f>SUMIFS(Tablo1[Tutar],Tablo1[Tarih],Sayfa2!B144)</f>
        <v>0</v>
      </c>
      <c r="E144" s="5">
        <f t="shared" si="15"/>
        <v>395001.66000000003</v>
      </c>
      <c r="F144" s="19">
        <f t="shared" si="16"/>
        <v>2781.7018309859159</v>
      </c>
    </row>
    <row r="145" spans="1:6" x14ac:dyDescent="0.25">
      <c r="A145" s="20">
        <f t="shared" si="14"/>
        <v>143</v>
      </c>
      <c r="B145" s="1">
        <v>45769</v>
      </c>
      <c r="C145" s="5">
        <v>2500</v>
      </c>
      <c r="D145" s="5">
        <f>SUMIFS(Tablo1[Tutar],Tablo1[Tarih],Sayfa2!B145)</f>
        <v>0</v>
      </c>
      <c r="E145" s="5">
        <f t="shared" si="15"/>
        <v>395001.66000000003</v>
      </c>
      <c r="F145" s="19">
        <f t="shared" si="16"/>
        <v>2762.2493706293708</v>
      </c>
    </row>
    <row r="146" spans="1:6" x14ac:dyDescent="0.25">
      <c r="A146" s="20">
        <f t="shared" si="14"/>
        <v>144</v>
      </c>
      <c r="B146" s="1">
        <v>45770</v>
      </c>
      <c r="C146" s="5">
        <v>2500</v>
      </c>
      <c r="D146" s="5">
        <f>SUMIFS(Tablo1[Tutar],Tablo1[Tarih],Sayfa2!B146)</f>
        <v>0</v>
      </c>
      <c r="E146" s="5">
        <f t="shared" si="15"/>
        <v>395001.66000000003</v>
      </c>
      <c r="F146" s="19">
        <f t="shared" si="16"/>
        <v>2743.0670833333334</v>
      </c>
    </row>
    <row r="147" spans="1:6" x14ac:dyDescent="0.25">
      <c r="A147" s="20">
        <f t="shared" si="14"/>
        <v>145</v>
      </c>
      <c r="B147" s="1">
        <v>45771</v>
      </c>
      <c r="C147" s="5">
        <v>2500</v>
      </c>
      <c r="D147" s="5">
        <f>SUMIFS(Tablo1[Tutar],Tablo1[Tarih],Sayfa2!B147)</f>
        <v>0</v>
      </c>
      <c r="E147" s="5">
        <f t="shared" si="15"/>
        <v>395001.66000000003</v>
      </c>
      <c r="F147" s="19">
        <f t="shared" si="16"/>
        <v>2724.149379310345</v>
      </c>
    </row>
    <row r="148" spans="1:6" x14ac:dyDescent="0.25">
      <c r="A148" s="20">
        <f t="shared" si="14"/>
        <v>146</v>
      </c>
      <c r="B148" s="1">
        <v>45772</v>
      </c>
      <c r="C148" s="5">
        <v>2500</v>
      </c>
      <c r="D148" s="5">
        <f>SUMIFS(Tablo1[Tutar],Tablo1[Tarih],Sayfa2!B148)</f>
        <v>0</v>
      </c>
      <c r="E148" s="5">
        <f t="shared" si="15"/>
        <v>395001.66000000003</v>
      </c>
      <c r="F148" s="19">
        <f t="shared" si="16"/>
        <v>2705.4908219178083</v>
      </c>
    </row>
    <row r="149" spans="1:6" x14ac:dyDescent="0.25">
      <c r="A149" s="20">
        <f t="shared" si="14"/>
        <v>147</v>
      </c>
      <c r="B149" s="1">
        <v>45773</v>
      </c>
      <c r="C149" s="5">
        <v>2500</v>
      </c>
      <c r="D149" s="5">
        <f>SUMIFS(Tablo1[Tutar],Tablo1[Tarih],Sayfa2!B149)</f>
        <v>0</v>
      </c>
      <c r="E149" s="5">
        <f t="shared" si="15"/>
        <v>395001.66000000003</v>
      </c>
      <c r="F149" s="19">
        <f t="shared" si="16"/>
        <v>2687.0861224489799</v>
      </c>
    </row>
    <row r="150" spans="1:6" x14ac:dyDescent="0.25">
      <c r="A150" s="20">
        <f t="shared" si="14"/>
        <v>148</v>
      </c>
      <c r="B150" s="1">
        <v>45774</v>
      </c>
      <c r="C150" s="5">
        <v>2500</v>
      </c>
      <c r="D150" s="5">
        <f>SUMIFS(Tablo1[Tutar],Tablo1[Tarih],Sayfa2!B150)</f>
        <v>0</v>
      </c>
      <c r="E150" s="5">
        <f t="shared" si="15"/>
        <v>395001.66000000003</v>
      </c>
      <c r="F150" s="19">
        <f t="shared" si="16"/>
        <v>2668.9301351351355</v>
      </c>
    </row>
    <row r="151" spans="1:6" x14ac:dyDescent="0.25">
      <c r="A151" s="20">
        <f t="shared" si="14"/>
        <v>149</v>
      </c>
      <c r="B151" s="1">
        <v>45775</v>
      </c>
      <c r="C151" s="5">
        <v>2500</v>
      </c>
      <c r="D151" s="5">
        <f>SUMIFS(Tablo1[Tutar],Tablo1[Tarih],Sayfa2!B151)</f>
        <v>0</v>
      </c>
      <c r="E151" s="5">
        <f t="shared" si="15"/>
        <v>395001.66000000003</v>
      </c>
      <c r="F151" s="19">
        <f t="shared" si="16"/>
        <v>2651.0178523489935</v>
      </c>
    </row>
    <row r="152" spans="1:6" x14ac:dyDescent="0.25">
      <c r="A152" s="20">
        <f t="shared" si="14"/>
        <v>150</v>
      </c>
      <c r="B152" s="1">
        <v>45776</v>
      </c>
      <c r="C152" s="5">
        <v>2500</v>
      </c>
      <c r="D152" s="5">
        <f>SUMIFS(Tablo1[Tutar],Tablo1[Tarih],Sayfa2!B152)</f>
        <v>0</v>
      </c>
      <c r="E152" s="5">
        <f t="shared" si="15"/>
        <v>395001.66000000003</v>
      </c>
      <c r="F152" s="19">
        <f t="shared" si="16"/>
        <v>2633.3444000000004</v>
      </c>
    </row>
    <row r="153" spans="1:6" x14ac:dyDescent="0.25">
      <c r="A153" s="20">
        <f t="shared" si="14"/>
        <v>151</v>
      </c>
      <c r="B153" s="1">
        <v>45777</v>
      </c>
      <c r="C153" s="5">
        <v>2500</v>
      </c>
      <c r="D153" s="5">
        <f>SUMIFS(Tablo1[Tutar],Tablo1[Tarih],Sayfa2!B153)</f>
        <v>0</v>
      </c>
      <c r="E153" s="5">
        <f t="shared" si="15"/>
        <v>395001.66000000003</v>
      </c>
      <c r="F153" s="19">
        <f t="shared" si="16"/>
        <v>2615.9050331125832</v>
      </c>
    </row>
    <row r="154" spans="1:6" x14ac:dyDescent="0.25">
      <c r="A154" s="20">
        <f t="shared" si="14"/>
        <v>152</v>
      </c>
      <c r="B154" s="1">
        <v>45778</v>
      </c>
      <c r="C154" s="5">
        <v>2500</v>
      </c>
      <c r="D154" s="5">
        <f>SUMIFS(Tablo1[Tutar],Tablo1[Tarih],Sayfa2!B154)</f>
        <v>0</v>
      </c>
      <c r="E154" s="5">
        <f t="shared" si="15"/>
        <v>395001.66000000003</v>
      </c>
      <c r="F154" s="19">
        <f t="shared" si="16"/>
        <v>2598.6951315789474</v>
      </c>
    </row>
    <row r="155" spans="1:6" x14ac:dyDescent="0.25">
      <c r="A155" s="20">
        <f t="shared" si="14"/>
        <v>153</v>
      </c>
      <c r="B155" s="1">
        <v>45779</v>
      </c>
      <c r="C155" s="5">
        <v>2500</v>
      </c>
      <c r="D155" s="5">
        <f>SUMIFS(Tablo1[Tutar],Tablo1[Tarih],Sayfa2!B155)</f>
        <v>0</v>
      </c>
      <c r="E155" s="5">
        <f t="shared" si="15"/>
        <v>395001.66000000003</v>
      </c>
      <c r="F155" s="19">
        <f t="shared" si="16"/>
        <v>2581.7101960784316</v>
      </c>
    </row>
    <row r="156" spans="1:6" x14ac:dyDescent="0.25">
      <c r="A156" s="20">
        <f t="shared" si="14"/>
        <v>154</v>
      </c>
      <c r="B156" s="1">
        <v>45780</v>
      </c>
      <c r="C156" s="5">
        <v>2500</v>
      </c>
      <c r="D156" s="5">
        <f>SUMIFS(Tablo1[Tutar],Tablo1[Tarih],Sayfa2!B156)</f>
        <v>0</v>
      </c>
      <c r="E156" s="5">
        <f t="shared" si="15"/>
        <v>395001.66000000003</v>
      </c>
      <c r="F156" s="19">
        <f t="shared" si="16"/>
        <v>2564.9458441558445</v>
      </c>
    </row>
    <row r="157" spans="1:6" x14ac:dyDescent="0.25">
      <c r="A157" s="20">
        <f t="shared" si="14"/>
        <v>155</v>
      </c>
    </row>
    <row r="158" spans="1:6" x14ac:dyDescent="0.25">
      <c r="A158" s="20">
        <f t="shared" si="14"/>
        <v>156</v>
      </c>
    </row>
    <row r="159" spans="1:6" x14ac:dyDescent="0.25">
      <c r="A159" s="20">
        <f t="shared" si="14"/>
        <v>157</v>
      </c>
    </row>
    <row r="160" spans="1:6" x14ac:dyDescent="0.25">
      <c r="A160" s="20">
        <f t="shared" si="14"/>
        <v>158</v>
      </c>
    </row>
    <row r="161" spans="1:1" x14ac:dyDescent="0.25">
      <c r="A161" s="20">
        <f t="shared" si="14"/>
        <v>159</v>
      </c>
    </row>
    <row r="162" spans="1:1" x14ac:dyDescent="0.25">
      <c r="A162" s="20">
        <f t="shared" si="14"/>
        <v>160</v>
      </c>
    </row>
    <row r="163" spans="1:1" x14ac:dyDescent="0.25">
      <c r="A163" s="20">
        <f t="shared" si="14"/>
        <v>161</v>
      </c>
    </row>
    <row r="164" spans="1:1" x14ac:dyDescent="0.25">
      <c r="A164" s="20">
        <f t="shared" si="14"/>
        <v>162</v>
      </c>
    </row>
    <row r="165" spans="1:1" x14ac:dyDescent="0.25">
      <c r="A165" s="20">
        <f t="shared" si="14"/>
        <v>163</v>
      </c>
    </row>
    <row r="166" spans="1:1" x14ac:dyDescent="0.25">
      <c r="A166" s="20">
        <f t="shared" si="14"/>
        <v>164</v>
      </c>
    </row>
    <row r="167" spans="1:1" x14ac:dyDescent="0.25">
      <c r="A167" s="20">
        <f t="shared" si="14"/>
        <v>165</v>
      </c>
    </row>
    <row r="168" spans="1:1" x14ac:dyDescent="0.25">
      <c r="A168" s="20">
        <f t="shared" si="14"/>
        <v>166</v>
      </c>
    </row>
    <row r="169" spans="1:1" x14ac:dyDescent="0.25">
      <c r="A169" s="20">
        <f t="shared" si="14"/>
        <v>167</v>
      </c>
    </row>
    <row r="170" spans="1:1" x14ac:dyDescent="0.25">
      <c r="A170" s="20">
        <f t="shared" si="14"/>
        <v>168</v>
      </c>
    </row>
    <row r="171" spans="1:1" x14ac:dyDescent="0.25">
      <c r="A171" s="20">
        <f t="shared" si="14"/>
        <v>169</v>
      </c>
    </row>
    <row r="172" spans="1:1" x14ac:dyDescent="0.25">
      <c r="A172" s="20">
        <f t="shared" si="14"/>
        <v>170</v>
      </c>
    </row>
    <row r="173" spans="1:1" x14ac:dyDescent="0.25">
      <c r="A173" s="20">
        <f t="shared" si="14"/>
        <v>171</v>
      </c>
    </row>
    <row r="174" spans="1:1" x14ac:dyDescent="0.25">
      <c r="A174" s="20">
        <f t="shared" si="14"/>
        <v>172</v>
      </c>
    </row>
    <row r="175" spans="1:1" x14ac:dyDescent="0.25">
      <c r="A175" s="20">
        <f t="shared" si="14"/>
        <v>173</v>
      </c>
    </row>
    <row r="176" spans="1:1" x14ac:dyDescent="0.25">
      <c r="A176" s="20">
        <f t="shared" si="14"/>
        <v>174</v>
      </c>
    </row>
    <row r="177" spans="1:1" x14ac:dyDescent="0.25">
      <c r="A177" s="20">
        <f t="shared" si="14"/>
        <v>175</v>
      </c>
    </row>
    <row r="178" spans="1:1" x14ac:dyDescent="0.25">
      <c r="A178" s="20">
        <f t="shared" si="14"/>
        <v>176</v>
      </c>
    </row>
    <row r="179" spans="1:1" x14ac:dyDescent="0.25">
      <c r="A179" s="20">
        <f t="shared" si="14"/>
        <v>177</v>
      </c>
    </row>
    <row r="180" spans="1:1" x14ac:dyDescent="0.25">
      <c r="A180" s="20">
        <f t="shared" si="14"/>
        <v>178</v>
      </c>
    </row>
    <row r="181" spans="1:1" x14ac:dyDescent="0.25">
      <c r="A181" s="20">
        <f t="shared" si="14"/>
        <v>179</v>
      </c>
    </row>
    <row r="182" spans="1:1" x14ac:dyDescent="0.25">
      <c r="A182" s="20">
        <f t="shared" si="14"/>
        <v>180</v>
      </c>
    </row>
    <row r="183" spans="1:1" x14ac:dyDescent="0.25">
      <c r="A183" s="20">
        <f t="shared" si="14"/>
        <v>181</v>
      </c>
    </row>
    <row r="184" spans="1:1" x14ac:dyDescent="0.25">
      <c r="A184" s="20">
        <f t="shared" si="14"/>
        <v>182</v>
      </c>
    </row>
    <row r="185" spans="1:1" x14ac:dyDescent="0.25">
      <c r="A185" s="20">
        <f t="shared" si="14"/>
        <v>183</v>
      </c>
    </row>
  </sheetData>
  <conditionalFormatting sqref="A3:F1053">
    <cfRule type="expression" dxfId="2" priority="3">
      <formula>$B3=$C$1</formula>
    </cfRule>
  </conditionalFormatting>
  <conditionalFormatting sqref="F3:F311">
    <cfRule type="colorScale" priority="4">
      <colorScale>
        <cfvo type="min"/>
        <cfvo type="num" val="2500"/>
        <cfvo type="num" val="3250"/>
        <color rgb="FF63BE7B"/>
        <color theme="0"/>
        <color rgb="FFF8696B"/>
      </colorScale>
    </cfRule>
  </conditionalFormatting>
  <conditionalFormatting sqref="M3:P11">
    <cfRule type="expression" dxfId="1" priority="1">
      <formula>$P3:$P11&lt;1</formula>
    </cfRule>
    <cfRule type="expression" dxfId="0" priority="2">
      <formula>$P3:$P11&gt;1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1C040-2000-462A-9A9F-A8E663EC3402}">
  <dimension ref="A1:F344"/>
  <sheetViews>
    <sheetView topLeftCell="A337" workbookViewId="0">
      <selection activeCell="F350" sqref="F350"/>
    </sheetView>
  </sheetViews>
  <sheetFormatPr defaultRowHeight="15" x14ac:dyDescent="0.25"/>
  <cols>
    <col min="1" max="1" width="10.140625" style="1" bestFit="1" customWidth="1"/>
    <col min="2" max="2" width="10.140625" style="1" customWidth="1"/>
    <col min="3" max="3" width="10.5703125" customWidth="1"/>
    <col min="4" max="4" width="9.7109375" customWidth="1"/>
    <col min="5" max="5" width="13.85546875" bestFit="1" customWidth="1"/>
    <col min="6" max="6" width="11.42578125" style="2" bestFit="1" customWidth="1"/>
  </cols>
  <sheetData>
    <row r="1" spans="1:6" x14ac:dyDescent="0.25">
      <c r="A1" s="3" t="s">
        <v>0</v>
      </c>
      <c r="B1" s="3" t="s">
        <v>210</v>
      </c>
      <c r="C1" t="s">
        <v>43</v>
      </c>
      <c r="D1" t="s">
        <v>44</v>
      </c>
      <c r="E1" t="s">
        <v>45</v>
      </c>
      <c r="F1" s="4" t="s">
        <v>46</v>
      </c>
    </row>
    <row r="2" spans="1:6" x14ac:dyDescent="0.25">
      <c r="A2" s="1">
        <v>45627</v>
      </c>
      <c r="C2" t="s">
        <v>1</v>
      </c>
      <c r="D2" t="s">
        <v>1</v>
      </c>
      <c r="E2" t="s">
        <v>16</v>
      </c>
      <c r="F2" s="2">
        <v>3505</v>
      </c>
    </row>
    <row r="3" spans="1:6" x14ac:dyDescent="0.25">
      <c r="A3" s="1">
        <v>45627</v>
      </c>
      <c r="C3" t="s">
        <v>31</v>
      </c>
      <c r="D3" t="s">
        <v>33</v>
      </c>
      <c r="E3" t="s">
        <v>34</v>
      </c>
      <c r="F3" s="2">
        <v>1505</v>
      </c>
    </row>
    <row r="4" spans="1:6" x14ac:dyDescent="0.25">
      <c r="A4" s="1">
        <v>45627</v>
      </c>
      <c r="C4" t="s">
        <v>4</v>
      </c>
      <c r="D4" t="s">
        <v>7</v>
      </c>
      <c r="E4" t="s">
        <v>17</v>
      </c>
      <c r="F4" s="2">
        <v>499.04</v>
      </c>
    </row>
    <row r="5" spans="1:6" x14ac:dyDescent="0.25">
      <c r="A5" s="1">
        <v>45627</v>
      </c>
      <c r="C5" t="s">
        <v>1</v>
      </c>
      <c r="D5" t="s">
        <v>5</v>
      </c>
      <c r="E5" t="s">
        <v>39</v>
      </c>
      <c r="F5" s="2">
        <v>230</v>
      </c>
    </row>
    <row r="6" spans="1:6" x14ac:dyDescent="0.25">
      <c r="A6" s="1">
        <v>45628</v>
      </c>
      <c r="C6" t="s">
        <v>4</v>
      </c>
      <c r="D6" t="s">
        <v>7</v>
      </c>
      <c r="E6" t="s">
        <v>17</v>
      </c>
      <c r="F6" s="2">
        <v>725.72</v>
      </c>
    </row>
    <row r="7" spans="1:6" x14ac:dyDescent="0.25">
      <c r="A7" s="1">
        <v>45628</v>
      </c>
      <c r="C7" t="s">
        <v>13</v>
      </c>
      <c r="D7" t="s">
        <v>5</v>
      </c>
      <c r="E7" t="s">
        <v>38</v>
      </c>
      <c r="F7" s="2">
        <v>350</v>
      </c>
    </row>
    <row r="8" spans="1:6" x14ac:dyDescent="0.25">
      <c r="A8" s="1">
        <v>45628</v>
      </c>
      <c r="C8" t="s">
        <v>31</v>
      </c>
      <c r="D8" t="s">
        <v>5</v>
      </c>
      <c r="E8" t="s">
        <v>38</v>
      </c>
      <c r="F8" s="2">
        <v>350</v>
      </c>
    </row>
    <row r="9" spans="1:6" x14ac:dyDescent="0.25">
      <c r="A9" s="1">
        <v>45628</v>
      </c>
      <c r="C9" t="s">
        <v>1</v>
      </c>
      <c r="D9" t="s">
        <v>10</v>
      </c>
      <c r="E9" t="s">
        <v>66</v>
      </c>
      <c r="F9" s="2">
        <v>500</v>
      </c>
    </row>
    <row r="10" spans="1:6" x14ac:dyDescent="0.25">
      <c r="A10" s="1">
        <v>45628</v>
      </c>
      <c r="C10" t="s">
        <v>4</v>
      </c>
      <c r="D10" t="s">
        <v>4</v>
      </c>
      <c r="E10" t="s">
        <v>41</v>
      </c>
      <c r="F10" s="2">
        <v>303.22000000000003</v>
      </c>
    </row>
    <row r="11" spans="1:6" x14ac:dyDescent="0.25">
      <c r="A11" s="1">
        <v>45629</v>
      </c>
      <c r="C11" t="s">
        <v>9</v>
      </c>
      <c r="D11" t="s">
        <v>10</v>
      </c>
      <c r="E11" t="s">
        <v>11</v>
      </c>
      <c r="F11" s="2">
        <v>1099.98</v>
      </c>
    </row>
    <row r="12" spans="1:6" x14ac:dyDescent="0.25">
      <c r="A12" s="1">
        <v>45629</v>
      </c>
      <c r="C12" t="s">
        <v>4</v>
      </c>
      <c r="D12" t="s">
        <v>4</v>
      </c>
      <c r="E12" t="s">
        <v>12</v>
      </c>
      <c r="F12" s="2">
        <v>629.9</v>
      </c>
    </row>
    <row r="13" spans="1:6" x14ac:dyDescent="0.25">
      <c r="A13" s="1">
        <v>45629</v>
      </c>
      <c r="C13" t="s">
        <v>13</v>
      </c>
      <c r="D13" t="s">
        <v>14</v>
      </c>
      <c r="E13" t="s">
        <v>15</v>
      </c>
      <c r="F13" s="2">
        <v>310</v>
      </c>
    </row>
    <row r="14" spans="1:6" x14ac:dyDescent="0.25">
      <c r="A14" s="1">
        <v>45629</v>
      </c>
      <c r="C14" t="s">
        <v>16</v>
      </c>
      <c r="D14" t="s">
        <v>16</v>
      </c>
      <c r="E14" t="s">
        <v>16</v>
      </c>
      <c r="F14" s="2">
        <v>160</v>
      </c>
    </row>
    <row r="15" spans="1:6" x14ac:dyDescent="0.25">
      <c r="A15" s="1">
        <v>45629</v>
      </c>
      <c r="C15" t="s">
        <v>4</v>
      </c>
      <c r="D15" t="s">
        <v>7</v>
      </c>
      <c r="E15" t="s">
        <v>26</v>
      </c>
      <c r="F15" s="2">
        <v>320</v>
      </c>
    </row>
    <row r="16" spans="1:6" x14ac:dyDescent="0.25">
      <c r="A16" s="1">
        <v>45630</v>
      </c>
      <c r="C16" t="s">
        <v>16</v>
      </c>
      <c r="D16" t="s">
        <v>16</v>
      </c>
      <c r="E16" t="s">
        <v>35</v>
      </c>
      <c r="F16" s="2">
        <f>665.71+66.57+99.86+2476.49</f>
        <v>3308.6299999999997</v>
      </c>
    </row>
    <row r="17" spans="1:6" x14ac:dyDescent="0.25">
      <c r="A17" s="1">
        <v>45630</v>
      </c>
      <c r="C17" t="s">
        <v>4</v>
      </c>
      <c r="D17" t="s">
        <v>7</v>
      </c>
      <c r="E17" t="s">
        <v>17</v>
      </c>
      <c r="F17" s="2">
        <v>658.13</v>
      </c>
    </row>
    <row r="18" spans="1:6" x14ac:dyDescent="0.25">
      <c r="A18" s="1">
        <v>45630</v>
      </c>
      <c r="C18" t="s">
        <v>4</v>
      </c>
      <c r="D18" t="s">
        <v>4</v>
      </c>
      <c r="E18" t="s">
        <v>29</v>
      </c>
      <c r="F18" s="2">
        <v>500</v>
      </c>
    </row>
    <row r="19" spans="1:6" x14ac:dyDescent="0.25">
      <c r="A19" s="1">
        <v>45631</v>
      </c>
      <c r="C19" t="s">
        <v>4</v>
      </c>
      <c r="D19" t="s">
        <v>4</v>
      </c>
      <c r="E19" t="s">
        <v>7</v>
      </c>
      <c r="F19" s="2">
        <v>25</v>
      </c>
    </row>
    <row r="20" spans="1:6" x14ac:dyDescent="0.25">
      <c r="A20" s="1">
        <v>45632</v>
      </c>
      <c r="C20" t="s">
        <v>18</v>
      </c>
      <c r="D20" t="s">
        <v>5</v>
      </c>
      <c r="E20" t="s">
        <v>19</v>
      </c>
      <c r="F20" s="2">
        <v>550</v>
      </c>
    </row>
    <row r="21" spans="1:6" x14ac:dyDescent="0.25">
      <c r="A21" s="1">
        <v>45632</v>
      </c>
      <c r="C21" t="s">
        <v>4</v>
      </c>
      <c r="D21" t="s">
        <v>10</v>
      </c>
      <c r="E21" t="s">
        <v>20</v>
      </c>
      <c r="F21" s="2">
        <v>79.989999999999995</v>
      </c>
    </row>
    <row r="22" spans="1:6" x14ac:dyDescent="0.25">
      <c r="A22" s="1">
        <v>45632</v>
      </c>
      <c r="C22" t="s">
        <v>4</v>
      </c>
      <c r="D22" t="s">
        <v>5</v>
      </c>
      <c r="E22" t="s">
        <v>6</v>
      </c>
      <c r="F22" s="2">
        <v>250</v>
      </c>
    </row>
    <row r="23" spans="1:6" x14ac:dyDescent="0.25">
      <c r="A23" s="1">
        <v>45633</v>
      </c>
      <c r="C23" t="s">
        <v>4</v>
      </c>
      <c r="D23" t="s">
        <v>7</v>
      </c>
      <c r="E23" t="s">
        <v>21</v>
      </c>
      <c r="F23" s="2">
        <v>57.5</v>
      </c>
    </row>
    <row r="24" spans="1:6" x14ac:dyDescent="0.25">
      <c r="A24" s="1">
        <v>45633</v>
      </c>
      <c r="C24" t="s">
        <v>4</v>
      </c>
      <c r="D24" t="s">
        <v>7</v>
      </c>
      <c r="E24" t="s">
        <v>37</v>
      </c>
      <c r="F24" s="2">
        <v>1942.06</v>
      </c>
    </row>
    <row r="25" spans="1:6" x14ac:dyDescent="0.25">
      <c r="A25" s="1">
        <v>45634</v>
      </c>
      <c r="C25" t="s">
        <v>4</v>
      </c>
      <c r="D25" t="s">
        <v>7</v>
      </c>
      <c r="E25" t="s">
        <v>17</v>
      </c>
      <c r="F25" s="2">
        <v>658.11</v>
      </c>
    </row>
    <row r="26" spans="1:6" x14ac:dyDescent="0.25">
      <c r="A26" s="1">
        <v>45634</v>
      </c>
      <c r="C26" t="s">
        <v>4</v>
      </c>
      <c r="D26" t="s">
        <v>4</v>
      </c>
      <c r="E26" t="s">
        <v>40</v>
      </c>
      <c r="F26" s="2">
        <v>527.36</v>
      </c>
    </row>
    <row r="27" spans="1:6" x14ac:dyDescent="0.25">
      <c r="A27" s="1">
        <v>45635</v>
      </c>
      <c r="C27" t="s">
        <v>18</v>
      </c>
      <c r="D27" t="s">
        <v>10</v>
      </c>
      <c r="E27" t="s">
        <v>22</v>
      </c>
      <c r="F27" s="2">
        <v>129</v>
      </c>
    </row>
    <row r="28" spans="1:6" x14ac:dyDescent="0.25">
      <c r="A28" s="1">
        <v>45635</v>
      </c>
      <c r="C28" t="s">
        <v>4</v>
      </c>
      <c r="D28" t="s">
        <v>7</v>
      </c>
      <c r="E28" t="s">
        <v>23</v>
      </c>
      <c r="F28" s="2">
        <v>52.5</v>
      </c>
    </row>
    <row r="29" spans="1:6" x14ac:dyDescent="0.25">
      <c r="A29" s="1">
        <v>45635</v>
      </c>
      <c r="C29" t="s">
        <v>4</v>
      </c>
      <c r="D29" t="s">
        <v>7</v>
      </c>
      <c r="E29" t="s">
        <v>8</v>
      </c>
      <c r="F29" s="2">
        <v>274.24</v>
      </c>
    </row>
    <row r="30" spans="1:6" x14ac:dyDescent="0.25">
      <c r="A30" s="1">
        <v>45636</v>
      </c>
      <c r="C30" t="s">
        <v>18</v>
      </c>
      <c r="D30" t="s">
        <v>10</v>
      </c>
      <c r="E30" t="s">
        <v>24</v>
      </c>
      <c r="F30" s="2">
        <v>700</v>
      </c>
    </row>
    <row r="31" spans="1:6" x14ac:dyDescent="0.25">
      <c r="A31" s="1">
        <v>45636</v>
      </c>
      <c r="C31" t="s">
        <v>13</v>
      </c>
      <c r="D31" t="s">
        <v>14</v>
      </c>
      <c r="E31" t="s">
        <v>36</v>
      </c>
      <c r="F31" s="2">
        <v>405</v>
      </c>
    </row>
    <row r="32" spans="1:6" x14ac:dyDescent="0.25">
      <c r="A32" s="1">
        <v>45637</v>
      </c>
      <c r="C32" t="s">
        <v>18</v>
      </c>
      <c r="D32" t="s">
        <v>16</v>
      </c>
      <c r="E32" t="s">
        <v>30</v>
      </c>
      <c r="F32" s="2">
        <v>510</v>
      </c>
    </row>
    <row r="33" spans="1:6" x14ac:dyDescent="0.25">
      <c r="A33" s="1">
        <v>45638</v>
      </c>
      <c r="C33" t="s">
        <v>1</v>
      </c>
      <c r="D33" t="s">
        <v>2</v>
      </c>
      <c r="E33" t="s">
        <v>3</v>
      </c>
      <c r="F33" s="2">
        <v>197</v>
      </c>
    </row>
    <row r="34" spans="1:6" x14ac:dyDescent="0.25">
      <c r="A34" s="1">
        <v>45638</v>
      </c>
      <c r="C34" t="s">
        <v>4</v>
      </c>
      <c r="D34" t="s">
        <v>7</v>
      </c>
      <c r="E34" t="s">
        <v>17</v>
      </c>
      <c r="F34" s="2">
        <v>303.85000000000002</v>
      </c>
    </row>
    <row r="35" spans="1:6" x14ac:dyDescent="0.25">
      <c r="A35" s="1">
        <v>45638</v>
      </c>
      <c r="C35" t="s">
        <v>4</v>
      </c>
      <c r="D35" t="s">
        <v>7</v>
      </c>
      <c r="E35" t="s">
        <v>42</v>
      </c>
      <c r="F35" s="2">
        <v>277.14999999999998</v>
      </c>
    </row>
    <row r="36" spans="1:6" x14ac:dyDescent="0.25">
      <c r="A36" s="1">
        <v>45639</v>
      </c>
      <c r="C36" t="s">
        <v>4</v>
      </c>
      <c r="D36" t="s">
        <v>7</v>
      </c>
      <c r="E36" t="s">
        <v>25</v>
      </c>
      <c r="F36" s="2">
        <v>95</v>
      </c>
    </row>
    <row r="37" spans="1:6" x14ac:dyDescent="0.25">
      <c r="A37" s="1">
        <v>45639</v>
      </c>
      <c r="C37" t="s">
        <v>4</v>
      </c>
      <c r="D37" t="s">
        <v>7</v>
      </c>
      <c r="E37" t="s">
        <v>26</v>
      </c>
      <c r="F37" s="2">
        <v>466.75</v>
      </c>
    </row>
    <row r="38" spans="1:6" x14ac:dyDescent="0.25">
      <c r="A38" s="1">
        <v>45639</v>
      </c>
      <c r="C38" t="s">
        <v>4</v>
      </c>
      <c r="D38" t="s">
        <v>7</v>
      </c>
      <c r="E38" t="s">
        <v>27</v>
      </c>
      <c r="F38" s="2">
        <v>64.25</v>
      </c>
    </row>
    <row r="39" spans="1:6" x14ac:dyDescent="0.25">
      <c r="A39" s="1">
        <v>45639</v>
      </c>
      <c r="C39" t="s">
        <v>4</v>
      </c>
      <c r="D39" t="s">
        <v>7</v>
      </c>
      <c r="E39" t="s">
        <v>17</v>
      </c>
      <c r="F39" s="2">
        <v>242.54</v>
      </c>
    </row>
    <row r="40" spans="1:6" x14ac:dyDescent="0.25">
      <c r="A40" s="1">
        <v>45640</v>
      </c>
      <c r="C40" t="s">
        <v>18</v>
      </c>
      <c r="D40" t="s">
        <v>10</v>
      </c>
      <c r="E40" t="s">
        <v>11</v>
      </c>
      <c r="F40" s="2">
        <v>200</v>
      </c>
    </row>
    <row r="41" spans="1:6" x14ac:dyDescent="0.25">
      <c r="A41" s="1">
        <v>45640</v>
      </c>
      <c r="C41" t="s">
        <v>4</v>
      </c>
      <c r="D41" t="s">
        <v>7</v>
      </c>
      <c r="E41" t="s">
        <v>28</v>
      </c>
      <c r="F41" s="2">
        <v>80</v>
      </c>
    </row>
    <row r="42" spans="1:6" x14ac:dyDescent="0.25">
      <c r="A42" s="1">
        <v>45640</v>
      </c>
      <c r="C42" t="s">
        <v>31</v>
      </c>
      <c r="D42" t="s">
        <v>33</v>
      </c>
      <c r="E42" t="s">
        <v>32</v>
      </c>
      <c r="F42" s="2">
        <v>3400</v>
      </c>
    </row>
    <row r="43" spans="1:6" x14ac:dyDescent="0.25">
      <c r="A43" s="1">
        <v>45640</v>
      </c>
      <c r="C43" t="s">
        <v>13</v>
      </c>
      <c r="D43" t="s">
        <v>33</v>
      </c>
      <c r="E43" t="s">
        <v>32</v>
      </c>
      <c r="F43" s="2">
        <v>2600</v>
      </c>
    </row>
    <row r="44" spans="1:6" x14ac:dyDescent="0.25">
      <c r="A44" s="1">
        <v>45640</v>
      </c>
      <c r="C44" t="s">
        <v>1</v>
      </c>
      <c r="D44" t="s">
        <v>1</v>
      </c>
      <c r="E44" t="s">
        <v>16</v>
      </c>
      <c r="F44" s="2">
        <v>350</v>
      </c>
    </row>
    <row r="45" spans="1:6" x14ac:dyDescent="0.25">
      <c r="A45" s="1">
        <v>45640</v>
      </c>
      <c r="C45" t="s">
        <v>1</v>
      </c>
      <c r="D45" t="s">
        <v>1</v>
      </c>
      <c r="E45" t="s">
        <v>16</v>
      </c>
      <c r="F45" s="2">
        <v>376.93</v>
      </c>
    </row>
    <row r="46" spans="1:6" x14ac:dyDescent="0.25">
      <c r="A46" s="1">
        <v>45640</v>
      </c>
      <c r="C46" t="s">
        <v>4</v>
      </c>
      <c r="D46" t="s">
        <v>7</v>
      </c>
      <c r="E46" t="s">
        <v>23</v>
      </c>
      <c r="F46" s="2">
        <v>35</v>
      </c>
    </row>
    <row r="47" spans="1:6" x14ac:dyDescent="0.25">
      <c r="A47" s="1">
        <v>45640</v>
      </c>
      <c r="C47" t="s">
        <v>4</v>
      </c>
      <c r="D47" t="s">
        <v>7</v>
      </c>
      <c r="E47" t="s">
        <v>23</v>
      </c>
      <c r="F47" s="2">
        <v>30</v>
      </c>
    </row>
    <row r="48" spans="1:6" x14ac:dyDescent="0.25">
      <c r="A48" s="1">
        <v>45640</v>
      </c>
      <c r="C48" t="s">
        <v>18</v>
      </c>
      <c r="D48" t="s">
        <v>10</v>
      </c>
      <c r="E48" t="s">
        <v>50</v>
      </c>
      <c r="F48" s="2">
        <v>1400</v>
      </c>
    </row>
    <row r="49" spans="1:6" x14ac:dyDescent="0.25">
      <c r="A49" s="1">
        <v>45640</v>
      </c>
      <c r="C49" t="s">
        <v>1</v>
      </c>
      <c r="D49" t="s">
        <v>10</v>
      </c>
      <c r="E49" t="s">
        <v>50</v>
      </c>
      <c r="F49" s="2">
        <v>300</v>
      </c>
    </row>
    <row r="50" spans="1:6" x14ac:dyDescent="0.25">
      <c r="A50" s="1">
        <v>45640</v>
      </c>
      <c r="C50" t="s">
        <v>13</v>
      </c>
      <c r="D50" t="s">
        <v>14</v>
      </c>
      <c r="E50" t="s">
        <v>51</v>
      </c>
      <c r="F50" s="2">
        <v>178</v>
      </c>
    </row>
    <row r="51" spans="1:6" x14ac:dyDescent="0.25">
      <c r="A51" s="1">
        <v>45640</v>
      </c>
      <c r="C51" t="s">
        <v>31</v>
      </c>
      <c r="D51" t="s">
        <v>14</v>
      </c>
      <c r="E51" t="s">
        <v>51</v>
      </c>
      <c r="F51" s="2">
        <v>178</v>
      </c>
    </row>
    <row r="52" spans="1:6" x14ac:dyDescent="0.25">
      <c r="A52" s="1">
        <v>45641</v>
      </c>
      <c r="C52" t="s">
        <v>16</v>
      </c>
      <c r="D52" t="s">
        <v>48</v>
      </c>
      <c r="E52" t="s">
        <v>49</v>
      </c>
      <c r="F52" s="2">
        <v>175</v>
      </c>
    </row>
    <row r="53" spans="1:6" x14ac:dyDescent="0.25">
      <c r="A53" s="1">
        <v>45641</v>
      </c>
      <c r="C53" t="s">
        <v>4</v>
      </c>
      <c r="D53" t="s">
        <v>7</v>
      </c>
      <c r="E53" t="s">
        <v>7</v>
      </c>
      <c r="F53" s="2">
        <v>743.06</v>
      </c>
    </row>
    <row r="54" spans="1:6" x14ac:dyDescent="0.25">
      <c r="A54" s="1">
        <v>45641</v>
      </c>
      <c r="C54" t="s">
        <v>4</v>
      </c>
      <c r="D54" t="s">
        <v>7</v>
      </c>
      <c r="E54" t="s">
        <v>7</v>
      </c>
      <c r="F54" s="2">
        <v>405.25</v>
      </c>
    </row>
    <row r="55" spans="1:6" x14ac:dyDescent="0.25">
      <c r="A55" s="1">
        <v>45641</v>
      </c>
      <c r="C55" t="s">
        <v>1</v>
      </c>
      <c r="D55" t="s">
        <v>5</v>
      </c>
      <c r="E55" t="s">
        <v>5</v>
      </c>
      <c r="F55" s="2">
        <v>155</v>
      </c>
    </row>
    <row r="56" spans="1:6" x14ac:dyDescent="0.25">
      <c r="A56" s="1">
        <v>45641</v>
      </c>
      <c r="C56" t="s">
        <v>1</v>
      </c>
      <c r="D56" t="s">
        <v>5</v>
      </c>
      <c r="E56" t="s">
        <v>5</v>
      </c>
      <c r="F56" s="2">
        <v>384</v>
      </c>
    </row>
    <row r="57" spans="1:6" x14ac:dyDescent="0.25">
      <c r="A57" s="1">
        <v>45642</v>
      </c>
      <c r="C57" t="s">
        <v>4</v>
      </c>
      <c r="D57" t="s">
        <v>2</v>
      </c>
      <c r="E57" t="s">
        <v>52</v>
      </c>
      <c r="F57" s="2">
        <v>875</v>
      </c>
    </row>
    <row r="58" spans="1:6" x14ac:dyDescent="0.25">
      <c r="A58" s="1">
        <v>45642</v>
      </c>
      <c r="C58" t="s">
        <v>18</v>
      </c>
      <c r="D58" t="s">
        <v>16</v>
      </c>
      <c r="E58" t="s">
        <v>53</v>
      </c>
      <c r="F58" s="2">
        <v>500</v>
      </c>
    </row>
    <row r="59" spans="1:6" x14ac:dyDescent="0.25">
      <c r="A59" s="1">
        <v>45642</v>
      </c>
      <c r="C59" t="s">
        <v>18</v>
      </c>
      <c r="D59" t="s">
        <v>2</v>
      </c>
      <c r="E59" t="s">
        <v>3</v>
      </c>
      <c r="F59" s="2">
        <v>274.75</v>
      </c>
    </row>
    <row r="60" spans="1:6" x14ac:dyDescent="0.25">
      <c r="A60" s="1">
        <v>45642</v>
      </c>
      <c r="C60" t="s">
        <v>4</v>
      </c>
      <c r="D60" t="s">
        <v>7</v>
      </c>
      <c r="E60" t="s">
        <v>6</v>
      </c>
      <c r="F60" s="2">
        <v>350</v>
      </c>
    </row>
    <row r="61" spans="1:6" x14ac:dyDescent="0.25">
      <c r="A61" s="1">
        <v>45642</v>
      </c>
      <c r="C61" t="s">
        <v>4</v>
      </c>
      <c r="D61" t="s">
        <v>7</v>
      </c>
      <c r="E61" t="s">
        <v>17</v>
      </c>
      <c r="F61" s="2">
        <v>859.4</v>
      </c>
    </row>
    <row r="62" spans="1:6" x14ac:dyDescent="0.25">
      <c r="A62" s="1">
        <v>45642</v>
      </c>
      <c r="C62" t="s">
        <v>16</v>
      </c>
      <c r="D62" t="s">
        <v>16</v>
      </c>
      <c r="E62" t="s">
        <v>54</v>
      </c>
      <c r="F62" s="2">
        <v>544.5</v>
      </c>
    </row>
    <row r="63" spans="1:6" x14ac:dyDescent="0.25">
      <c r="A63" s="1">
        <v>45642</v>
      </c>
      <c r="C63" t="s">
        <v>1</v>
      </c>
      <c r="D63" t="s">
        <v>5</v>
      </c>
      <c r="E63" t="s">
        <v>67</v>
      </c>
      <c r="F63" s="2">
        <v>310</v>
      </c>
    </row>
    <row r="64" spans="1:6" x14ac:dyDescent="0.25">
      <c r="A64" s="1">
        <v>45643</v>
      </c>
      <c r="C64" t="s">
        <v>4</v>
      </c>
      <c r="D64" t="s">
        <v>7</v>
      </c>
      <c r="E64" t="s">
        <v>55</v>
      </c>
      <c r="F64" s="2">
        <v>246</v>
      </c>
    </row>
    <row r="65" spans="1:6" x14ac:dyDescent="0.25">
      <c r="A65" s="1">
        <v>45643</v>
      </c>
      <c r="C65" t="s">
        <v>4</v>
      </c>
      <c r="D65" t="s">
        <v>7</v>
      </c>
      <c r="E65" t="s">
        <v>56</v>
      </c>
      <c r="F65" s="2">
        <v>1342.49</v>
      </c>
    </row>
    <row r="66" spans="1:6" x14ac:dyDescent="0.25">
      <c r="A66" s="1">
        <v>45643</v>
      </c>
      <c r="C66" t="s">
        <v>4</v>
      </c>
      <c r="D66" t="s">
        <v>7</v>
      </c>
      <c r="E66" t="s">
        <v>68</v>
      </c>
      <c r="F66" s="2">
        <v>82.5</v>
      </c>
    </row>
    <row r="67" spans="1:6" x14ac:dyDescent="0.25">
      <c r="A67" s="1">
        <v>45644</v>
      </c>
      <c r="C67" t="s">
        <v>4</v>
      </c>
      <c r="D67" t="s">
        <v>7</v>
      </c>
      <c r="E67" t="s">
        <v>26</v>
      </c>
      <c r="F67" s="2">
        <v>65.900000000000006</v>
      </c>
    </row>
    <row r="68" spans="1:6" x14ac:dyDescent="0.25">
      <c r="A68" s="1">
        <v>45644</v>
      </c>
      <c r="C68" t="s">
        <v>4</v>
      </c>
      <c r="D68" t="s">
        <v>16</v>
      </c>
      <c r="E68" t="s">
        <v>57</v>
      </c>
      <c r="F68" s="2">
        <v>50</v>
      </c>
    </row>
    <row r="69" spans="1:6" x14ac:dyDescent="0.25">
      <c r="A69" s="1">
        <v>45644</v>
      </c>
      <c r="C69" t="s">
        <v>4</v>
      </c>
      <c r="D69" t="s">
        <v>7</v>
      </c>
      <c r="E69" t="s">
        <v>26</v>
      </c>
      <c r="F69" s="2">
        <v>96.5</v>
      </c>
    </row>
    <row r="70" spans="1:6" x14ac:dyDescent="0.25">
      <c r="A70" s="1">
        <v>45644</v>
      </c>
      <c r="C70" t="s">
        <v>4</v>
      </c>
      <c r="D70" t="s">
        <v>7</v>
      </c>
      <c r="E70" t="s">
        <v>58</v>
      </c>
      <c r="F70" s="2">
        <v>462</v>
      </c>
    </row>
    <row r="71" spans="1:6" x14ac:dyDescent="0.25">
      <c r="A71" s="1">
        <v>45644</v>
      </c>
      <c r="C71" t="s">
        <v>4</v>
      </c>
      <c r="D71" t="s">
        <v>7</v>
      </c>
      <c r="E71" t="s">
        <v>17</v>
      </c>
      <c r="F71" s="2">
        <v>62.85</v>
      </c>
    </row>
    <row r="72" spans="1:6" x14ac:dyDescent="0.25">
      <c r="A72" s="1">
        <v>45644</v>
      </c>
      <c r="C72" t="s">
        <v>18</v>
      </c>
      <c r="D72" t="s">
        <v>16</v>
      </c>
      <c r="E72" t="s">
        <v>16</v>
      </c>
      <c r="F72" s="2">
        <v>350</v>
      </c>
    </row>
    <row r="73" spans="1:6" x14ac:dyDescent="0.25">
      <c r="A73" s="1">
        <v>45644</v>
      </c>
      <c r="C73" t="s">
        <v>4</v>
      </c>
      <c r="D73" t="s">
        <v>2</v>
      </c>
      <c r="E73" t="s">
        <v>69</v>
      </c>
      <c r="F73" s="2">
        <f>3211.53+112.4</f>
        <v>3323.9300000000003</v>
      </c>
    </row>
    <row r="74" spans="1:6" x14ac:dyDescent="0.25">
      <c r="A74" s="1">
        <v>45644</v>
      </c>
      <c r="C74" t="s">
        <v>4</v>
      </c>
      <c r="D74" t="s">
        <v>7</v>
      </c>
      <c r="E74" t="s">
        <v>58</v>
      </c>
      <c r="F74" s="2">
        <v>132.25</v>
      </c>
    </row>
    <row r="75" spans="1:6" x14ac:dyDescent="0.25">
      <c r="A75" s="1">
        <v>45645</v>
      </c>
      <c r="C75" t="s">
        <v>4</v>
      </c>
      <c r="D75" t="s">
        <v>7</v>
      </c>
      <c r="E75" t="s">
        <v>68</v>
      </c>
      <c r="F75" s="2">
        <v>57.5</v>
      </c>
    </row>
    <row r="76" spans="1:6" x14ac:dyDescent="0.25">
      <c r="A76" s="1">
        <v>45647</v>
      </c>
      <c r="C76" t="s">
        <v>4</v>
      </c>
      <c r="D76" t="s">
        <v>7</v>
      </c>
      <c r="E76" t="s">
        <v>56</v>
      </c>
      <c r="F76" s="2">
        <v>501</v>
      </c>
    </row>
    <row r="77" spans="1:6" x14ac:dyDescent="0.25">
      <c r="A77" s="1">
        <v>45647</v>
      </c>
      <c r="C77" t="s">
        <v>4</v>
      </c>
      <c r="D77" t="s">
        <v>7</v>
      </c>
      <c r="E77" t="s">
        <v>7</v>
      </c>
      <c r="F77" s="2">
        <v>811.07</v>
      </c>
    </row>
    <row r="78" spans="1:6" x14ac:dyDescent="0.25">
      <c r="A78" s="1">
        <v>45647</v>
      </c>
      <c r="C78" t="s">
        <v>4</v>
      </c>
      <c r="D78" t="s">
        <v>7</v>
      </c>
      <c r="E78" t="s">
        <v>59</v>
      </c>
      <c r="F78" s="2">
        <v>188</v>
      </c>
    </row>
    <row r="79" spans="1:6" x14ac:dyDescent="0.25">
      <c r="A79" s="1">
        <v>45647</v>
      </c>
      <c r="C79" t="s">
        <v>4</v>
      </c>
      <c r="D79" t="s">
        <v>7</v>
      </c>
      <c r="E79" t="s">
        <v>7</v>
      </c>
      <c r="F79" s="2">
        <v>201.54</v>
      </c>
    </row>
    <row r="80" spans="1:6" x14ac:dyDescent="0.25">
      <c r="A80" s="1">
        <v>45648</v>
      </c>
      <c r="C80" t="s">
        <v>18</v>
      </c>
      <c r="D80" t="s">
        <v>16</v>
      </c>
      <c r="E80" t="s">
        <v>60</v>
      </c>
      <c r="F80" s="2">
        <v>200</v>
      </c>
    </row>
    <row r="81" spans="1:6" x14ac:dyDescent="0.25">
      <c r="A81" s="1">
        <v>45648</v>
      </c>
      <c r="C81" t="s">
        <v>18</v>
      </c>
      <c r="D81" t="s">
        <v>16</v>
      </c>
      <c r="E81" t="s">
        <v>60</v>
      </c>
      <c r="F81" s="2">
        <v>311</v>
      </c>
    </row>
    <row r="82" spans="1:6" x14ac:dyDescent="0.25">
      <c r="A82" s="1">
        <v>45648</v>
      </c>
      <c r="C82" t="s">
        <v>4</v>
      </c>
      <c r="D82" t="s">
        <v>7</v>
      </c>
      <c r="E82" t="s">
        <v>26</v>
      </c>
      <c r="F82" s="2">
        <v>100</v>
      </c>
    </row>
    <row r="83" spans="1:6" x14ac:dyDescent="0.25">
      <c r="A83" s="1">
        <v>45648</v>
      </c>
      <c r="C83" t="s">
        <v>1</v>
      </c>
      <c r="D83" t="s">
        <v>5</v>
      </c>
      <c r="E83" t="s">
        <v>39</v>
      </c>
      <c r="F83" s="2">
        <v>360</v>
      </c>
    </row>
    <row r="84" spans="1:6" x14ac:dyDescent="0.25">
      <c r="A84" s="1">
        <v>45648</v>
      </c>
      <c r="C84" t="s">
        <v>4</v>
      </c>
      <c r="D84" t="s">
        <v>7</v>
      </c>
      <c r="E84" t="s">
        <v>7</v>
      </c>
      <c r="F84" s="2">
        <v>663.5</v>
      </c>
    </row>
    <row r="85" spans="1:6" x14ac:dyDescent="0.25">
      <c r="A85" s="1">
        <v>45648</v>
      </c>
      <c r="C85" t="s">
        <v>4</v>
      </c>
      <c r="D85" t="s">
        <v>7</v>
      </c>
      <c r="E85" t="s">
        <v>68</v>
      </c>
      <c r="F85" s="2">
        <v>135</v>
      </c>
    </row>
    <row r="86" spans="1:6" x14ac:dyDescent="0.25">
      <c r="A86" s="1">
        <v>45649</v>
      </c>
      <c r="C86" t="s">
        <v>31</v>
      </c>
      <c r="D86" t="s">
        <v>2</v>
      </c>
      <c r="E86" t="s">
        <v>3</v>
      </c>
      <c r="F86" s="2">
        <v>359.9</v>
      </c>
    </row>
    <row r="87" spans="1:6" x14ac:dyDescent="0.25">
      <c r="A87" s="1">
        <v>45649</v>
      </c>
      <c r="C87" t="s">
        <v>4</v>
      </c>
      <c r="D87" t="s">
        <v>7</v>
      </c>
      <c r="E87" t="s">
        <v>26</v>
      </c>
      <c r="F87" s="2">
        <v>250.76</v>
      </c>
    </row>
    <row r="88" spans="1:6" x14ac:dyDescent="0.25">
      <c r="A88" s="1">
        <v>45649</v>
      </c>
      <c r="C88" t="s">
        <v>18</v>
      </c>
      <c r="D88" t="s">
        <v>16</v>
      </c>
      <c r="E88" t="s">
        <v>61</v>
      </c>
      <c r="F88" s="2">
        <v>699.93</v>
      </c>
    </row>
    <row r="89" spans="1:6" x14ac:dyDescent="0.25">
      <c r="A89" s="1">
        <v>45649</v>
      </c>
      <c r="C89" t="s">
        <v>16</v>
      </c>
      <c r="D89" t="s">
        <v>48</v>
      </c>
      <c r="E89" t="s">
        <v>35</v>
      </c>
      <c r="F89" s="2">
        <v>16666</v>
      </c>
    </row>
    <row r="90" spans="1:6" x14ac:dyDescent="0.25">
      <c r="A90" s="1">
        <v>45650</v>
      </c>
      <c r="C90" t="s">
        <v>4</v>
      </c>
      <c r="D90" t="s">
        <v>7</v>
      </c>
      <c r="E90" t="s">
        <v>56</v>
      </c>
      <c r="F90" s="2">
        <v>1847.87</v>
      </c>
    </row>
    <row r="91" spans="1:6" x14ac:dyDescent="0.25">
      <c r="A91" s="1">
        <v>45650</v>
      </c>
      <c r="C91" t="s">
        <v>4</v>
      </c>
      <c r="D91" t="s">
        <v>7</v>
      </c>
      <c r="E91" t="s">
        <v>7</v>
      </c>
      <c r="F91" s="2">
        <v>121.71</v>
      </c>
    </row>
    <row r="92" spans="1:6" x14ac:dyDescent="0.25">
      <c r="A92" s="1">
        <v>45650</v>
      </c>
      <c r="C92" t="s">
        <v>4</v>
      </c>
      <c r="D92" t="s">
        <v>7</v>
      </c>
      <c r="E92" t="s">
        <v>7</v>
      </c>
      <c r="F92" s="2">
        <v>67.37</v>
      </c>
    </row>
    <row r="93" spans="1:6" x14ac:dyDescent="0.25">
      <c r="A93" s="1">
        <v>45650</v>
      </c>
      <c r="C93" t="s">
        <v>4</v>
      </c>
      <c r="D93" t="s">
        <v>7</v>
      </c>
      <c r="E93" t="s">
        <v>7</v>
      </c>
      <c r="F93" s="2">
        <v>176.56</v>
      </c>
    </row>
    <row r="94" spans="1:6" x14ac:dyDescent="0.25">
      <c r="A94" s="1">
        <v>45650</v>
      </c>
      <c r="C94" t="s">
        <v>4</v>
      </c>
      <c r="D94" t="s">
        <v>7</v>
      </c>
      <c r="E94" t="s">
        <v>68</v>
      </c>
      <c r="F94" s="2">
        <v>95</v>
      </c>
    </row>
    <row r="95" spans="1:6" x14ac:dyDescent="0.25">
      <c r="A95" s="1">
        <v>45650</v>
      </c>
      <c r="C95" t="s">
        <v>1</v>
      </c>
      <c r="D95" t="s">
        <v>10</v>
      </c>
      <c r="E95" t="s">
        <v>70</v>
      </c>
      <c r="F95" s="2">
        <f>221.99+239.99+299.4</f>
        <v>761.38</v>
      </c>
    </row>
    <row r="96" spans="1:6" x14ac:dyDescent="0.25">
      <c r="A96" s="1">
        <v>45650</v>
      </c>
      <c r="C96" t="s">
        <v>31</v>
      </c>
      <c r="D96" t="s">
        <v>10</v>
      </c>
      <c r="E96" t="s">
        <v>70</v>
      </c>
      <c r="F96" s="2">
        <v>479.4</v>
      </c>
    </row>
    <row r="97" spans="1:6" x14ac:dyDescent="0.25">
      <c r="A97" s="1">
        <v>45651</v>
      </c>
      <c r="C97" t="s">
        <v>18</v>
      </c>
      <c r="D97" t="s">
        <v>16</v>
      </c>
      <c r="E97" t="s">
        <v>30</v>
      </c>
      <c r="F97" s="2">
        <v>505</v>
      </c>
    </row>
    <row r="98" spans="1:6" x14ac:dyDescent="0.25">
      <c r="A98" s="1">
        <v>45651</v>
      </c>
      <c r="C98" t="s">
        <v>16</v>
      </c>
      <c r="D98" t="s">
        <v>16</v>
      </c>
      <c r="E98" t="s">
        <v>35</v>
      </c>
      <c r="F98" s="2">
        <v>3333</v>
      </c>
    </row>
    <row r="99" spans="1:6" x14ac:dyDescent="0.25">
      <c r="A99" s="1">
        <v>45651</v>
      </c>
      <c r="C99" t="s">
        <v>4</v>
      </c>
      <c r="D99" t="s">
        <v>7</v>
      </c>
      <c r="E99" t="s">
        <v>7</v>
      </c>
      <c r="F99" s="2">
        <v>431.03</v>
      </c>
    </row>
    <row r="100" spans="1:6" x14ac:dyDescent="0.25">
      <c r="A100" s="1">
        <v>45651</v>
      </c>
      <c r="C100" t="s">
        <v>13</v>
      </c>
      <c r="D100" t="s">
        <v>10</v>
      </c>
      <c r="E100" t="s">
        <v>70</v>
      </c>
      <c r="F100" s="2">
        <v>795.46</v>
      </c>
    </row>
    <row r="101" spans="1:6" x14ac:dyDescent="0.25">
      <c r="A101" s="1">
        <v>45652</v>
      </c>
      <c r="C101" t="s">
        <v>18</v>
      </c>
      <c r="D101" t="s">
        <v>16</v>
      </c>
      <c r="E101" t="s">
        <v>16</v>
      </c>
      <c r="F101" s="2">
        <v>15</v>
      </c>
    </row>
    <row r="102" spans="1:6" x14ac:dyDescent="0.25">
      <c r="A102" s="1">
        <v>45652</v>
      </c>
      <c r="C102" t="s">
        <v>18</v>
      </c>
      <c r="D102" t="s">
        <v>16</v>
      </c>
      <c r="E102" t="s">
        <v>11</v>
      </c>
      <c r="F102" s="2">
        <v>182.99</v>
      </c>
    </row>
    <row r="103" spans="1:6" x14ac:dyDescent="0.25">
      <c r="A103" s="1">
        <v>45652</v>
      </c>
      <c r="C103" t="s">
        <v>4</v>
      </c>
      <c r="D103" t="s">
        <v>7</v>
      </c>
      <c r="E103" t="s">
        <v>17</v>
      </c>
      <c r="F103" s="2">
        <v>1285.7</v>
      </c>
    </row>
    <row r="104" spans="1:6" x14ac:dyDescent="0.25">
      <c r="A104" s="1">
        <v>45653</v>
      </c>
      <c r="C104" t="s">
        <v>18</v>
      </c>
      <c r="D104" t="s">
        <v>10</v>
      </c>
      <c r="E104" t="s">
        <v>62</v>
      </c>
      <c r="F104" s="2">
        <f>599*2</f>
        <v>1198</v>
      </c>
    </row>
    <row r="105" spans="1:6" x14ac:dyDescent="0.25">
      <c r="A105" s="1">
        <v>45653</v>
      </c>
      <c r="C105" t="s">
        <v>18</v>
      </c>
      <c r="D105" t="s">
        <v>5</v>
      </c>
      <c r="E105" t="s">
        <v>63</v>
      </c>
      <c r="F105" s="2">
        <v>159.99</v>
      </c>
    </row>
    <row r="106" spans="1:6" x14ac:dyDescent="0.25">
      <c r="A106" s="1">
        <v>45653</v>
      </c>
      <c r="C106" t="s">
        <v>18</v>
      </c>
      <c r="D106" t="s">
        <v>10</v>
      </c>
      <c r="E106" t="s">
        <v>64</v>
      </c>
      <c r="F106" s="2">
        <v>499</v>
      </c>
    </row>
    <row r="107" spans="1:6" x14ac:dyDescent="0.25">
      <c r="A107" s="1">
        <v>45653</v>
      </c>
      <c r="C107" t="s">
        <v>18</v>
      </c>
      <c r="D107" t="s">
        <v>5</v>
      </c>
      <c r="E107" t="s">
        <v>65</v>
      </c>
      <c r="F107" s="2">
        <v>45</v>
      </c>
    </row>
    <row r="108" spans="1:6" x14ac:dyDescent="0.25">
      <c r="A108" s="1">
        <v>45653</v>
      </c>
      <c r="C108" t="s">
        <v>4</v>
      </c>
      <c r="D108" t="s">
        <v>16</v>
      </c>
      <c r="E108" t="s">
        <v>70</v>
      </c>
      <c r="F108" s="2">
        <v>207</v>
      </c>
    </row>
    <row r="109" spans="1:6" x14ac:dyDescent="0.25">
      <c r="A109" s="1">
        <v>45654</v>
      </c>
      <c r="C109" t="s">
        <v>4</v>
      </c>
      <c r="D109" t="s">
        <v>7</v>
      </c>
      <c r="E109" t="s">
        <v>58</v>
      </c>
      <c r="F109" s="2">
        <v>525.12</v>
      </c>
    </row>
    <row r="110" spans="1:6" x14ac:dyDescent="0.25">
      <c r="A110" s="1">
        <v>45655</v>
      </c>
      <c r="C110" t="s">
        <v>4</v>
      </c>
      <c r="D110" t="s">
        <v>7</v>
      </c>
      <c r="E110" t="s">
        <v>144</v>
      </c>
      <c r="F110" s="2">
        <v>861.77</v>
      </c>
    </row>
    <row r="111" spans="1:6" x14ac:dyDescent="0.25">
      <c r="A111" s="1">
        <v>45655</v>
      </c>
      <c r="C111" t="s">
        <v>4</v>
      </c>
      <c r="D111" t="s">
        <v>7</v>
      </c>
      <c r="E111" t="s">
        <v>7</v>
      </c>
      <c r="F111" s="2">
        <v>230.92</v>
      </c>
    </row>
    <row r="112" spans="1:6" x14ac:dyDescent="0.25">
      <c r="A112" s="1">
        <v>45655</v>
      </c>
      <c r="C112" t="s">
        <v>4</v>
      </c>
      <c r="D112" t="s">
        <v>7</v>
      </c>
      <c r="E112" t="s">
        <v>17</v>
      </c>
      <c r="F112" s="2">
        <v>331.12</v>
      </c>
    </row>
    <row r="113" spans="1:6" x14ac:dyDescent="0.25">
      <c r="A113" s="1">
        <v>45656</v>
      </c>
      <c r="C113" t="s">
        <v>31</v>
      </c>
      <c r="D113" t="s">
        <v>5</v>
      </c>
      <c r="E113" t="s">
        <v>6</v>
      </c>
      <c r="F113" s="2">
        <v>175</v>
      </c>
    </row>
    <row r="114" spans="1:6" x14ac:dyDescent="0.25">
      <c r="A114" s="1">
        <v>45656</v>
      </c>
      <c r="C114" t="s">
        <v>31</v>
      </c>
      <c r="D114" t="s">
        <v>16</v>
      </c>
      <c r="E114" t="s">
        <v>146</v>
      </c>
      <c r="F114" s="2">
        <v>65</v>
      </c>
    </row>
    <row r="115" spans="1:6" x14ac:dyDescent="0.25">
      <c r="A115" s="1">
        <v>45656</v>
      </c>
      <c r="C115" t="s">
        <v>4</v>
      </c>
      <c r="D115" t="s">
        <v>2</v>
      </c>
      <c r="E115" t="s">
        <v>147</v>
      </c>
      <c r="F115" s="2">
        <v>3030</v>
      </c>
    </row>
    <row r="116" spans="1:6" x14ac:dyDescent="0.25">
      <c r="A116" s="1">
        <v>45656</v>
      </c>
      <c r="C116" t="s">
        <v>4</v>
      </c>
      <c r="D116" t="s">
        <v>2</v>
      </c>
      <c r="E116" t="s">
        <v>148</v>
      </c>
      <c r="F116" s="2">
        <v>280.52999999999997</v>
      </c>
    </row>
    <row r="117" spans="1:6" x14ac:dyDescent="0.25">
      <c r="A117" s="1">
        <v>45656</v>
      </c>
      <c r="C117" t="s">
        <v>16</v>
      </c>
      <c r="D117" t="s">
        <v>5</v>
      </c>
      <c r="E117" t="s">
        <v>149</v>
      </c>
      <c r="F117" s="2">
        <v>1400</v>
      </c>
    </row>
    <row r="118" spans="1:6" x14ac:dyDescent="0.25">
      <c r="A118" s="1">
        <v>45656</v>
      </c>
      <c r="C118" t="s">
        <v>31</v>
      </c>
      <c r="D118" t="s">
        <v>16</v>
      </c>
      <c r="E118" t="s">
        <v>152</v>
      </c>
      <c r="F118" s="2">
        <v>90</v>
      </c>
    </row>
    <row r="119" spans="1:6" x14ac:dyDescent="0.25">
      <c r="A119" s="1">
        <v>45657</v>
      </c>
      <c r="C119" t="s">
        <v>16</v>
      </c>
      <c r="D119" t="s">
        <v>16</v>
      </c>
      <c r="E119" t="s">
        <v>150</v>
      </c>
      <c r="F119" s="2">
        <v>48.08</v>
      </c>
    </row>
    <row r="120" spans="1:6" x14ac:dyDescent="0.25">
      <c r="A120" s="1">
        <v>45657</v>
      </c>
      <c r="C120" t="s">
        <v>4</v>
      </c>
      <c r="D120" t="s">
        <v>7</v>
      </c>
      <c r="E120" t="s">
        <v>17</v>
      </c>
      <c r="F120" s="2">
        <v>524.03</v>
      </c>
    </row>
    <row r="121" spans="1:6" x14ac:dyDescent="0.25">
      <c r="A121" s="1">
        <v>45657</v>
      </c>
      <c r="C121" t="s">
        <v>4</v>
      </c>
      <c r="D121" t="s">
        <v>2</v>
      </c>
      <c r="E121" t="s">
        <v>153</v>
      </c>
      <c r="F121" s="2">
        <v>1300</v>
      </c>
    </row>
    <row r="122" spans="1:6" x14ac:dyDescent="0.25">
      <c r="A122" s="1">
        <v>45658</v>
      </c>
      <c r="C122" t="s">
        <v>4</v>
      </c>
      <c r="D122" t="s">
        <v>7</v>
      </c>
      <c r="E122" t="s">
        <v>23</v>
      </c>
      <c r="F122" s="2">
        <v>80</v>
      </c>
    </row>
    <row r="123" spans="1:6" x14ac:dyDescent="0.25">
      <c r="A123" s="1">
        <v>45658</v>
      </c>
      <c r="C123" t="s">
        <v>1</v>
      </c>
      <c r="D123" t="s">
        <v>16</v>
      </c>
      <c r="E123" t="s">
        <v>154</v>
      </c>
      <c r="F123" s="2">
        <v>400</v>
      </c>
    </row>
    <row r="124" spans="1:6" x14ac:dyDescent="0.25">
      <c r="A124" s="1">
        <v>45658</v>
      </c>
      <c r="C124" t="s">
        <v>18</v>
      </c>
      <c r="D124" t="s">
        <v>16</v>
      </c>
      <c r="E124" t="s">
        <v>154</v>
      </c>
      <c r="F124" s="2">
        <v>400</v>
      </c>
    </row>
    <row r="125" spans="1:6" x14ac:dyDescent="0.25">
      <c r="A125" s="1">
        <v>45658</v>
      </c>
      <c r="C125" t="s">
        <v>31</v>
      </c>
      <c r="D125" t="s">
        <v>16</v>
      </c>
      <c r="E125" t="s">
        <v>154</v>
      </c>
      <c r="F125" s="2">
        <v>400</v>
      </c>
    </row>
    <row r="126" spans="1:6" x14ac:dyDescent="0.25">
      <c r="A126" s="1">
        <v>45658</v>
      </c>
      <c r="C126" t="s">
        <v>13</v>
      </c>
      <c r="D126" t="s">
        <v>16</v>
      </c>
      <c r="E126" t="s">
        <v>154</v>
      </c>
      <c r="F126" s="2">
        <v>400</v>
      </c>
    </row>
    <row r="127" spans="1:6" x14ac:dyDescent="0.25">
      <c r="A127" s="1">
        <v>45658</v>
      </c>
      <c r="C127" t="s">
        <v>9</v>
      </c>
      <c r="D127" t="s">
        <v>16</v>
      </c>
      <c r="E127" t="s">
        <v>154</v>
      </c>
      <c r="F127" s="2">
        <v>400</v>
      </c>
    </row>
    <row r="128" spans="1:6" x14ac:dyDescent="0.25">
      <c r="A128" s="1">
        <v>45658</v>
      </c>
      <c r="C128" t="s">
        <v>16</v>
      </c>
      <c r="D128" t="s">
        <v>5</v>
      </c>
      <c r="E128" t="s">
        <v>158</v>
      </c>
      <c r="F128" s="2">
        <v>575</v>
      </c>
    </row>
    <row r="129" spans="1:6" x14ac:dyDescent="0.25">
      <c r="A129" s="1">
        <v>45658</v>
      </c>
      <c r="C129" t="s">
        <v>16</v>
      </c>
      <c r="D129" t="s">
        <v>5</v>
      </c>
      <c r="E129" t="s">
        <v>159</v>
      </c>
      <c r="F129" s="2">
        <v>252.68</v>
      </c>
    </row>
    <row r="130" spans="1:6" x14ac:dyDescent="0.25">
      <c r="A130" s="1">
        <v>45658</v>
      </c>
      <c r="C130" t="s">
        <v>16</v>
      </c>
      <c r="D130" t="s">
        <v>54</v>
      </c>
      <c r="E130" t="s">
        <v>160</v>
      </c>
      <c r="F130" s="2">
        <v>89.42</v>
      </c>
    </row>
    <row r="131" spans="1:6" x14ac:dyDescent="0.25">
      <c r="A131" s="1">
        <v>45658</v>
      </c>
      <c r="C131" t="s">
        <v>4</v>
      </c>
      <c r="D131" t="s">
        <v>5</v>
      </c>
      <c r="E131" t="s">
        <v>6</v>
      </c>
      <c r="F131" s="2">
        <v>269.64999999999998</v>
      </c>
    </row>
    <row r="132" spans="1:6" x14ac:dyDescent="0.25">
      <c r="A132" s="1">
        <v>45659</v>
      </c>
      <c r="C132" t="s">
        <v>16</v>
      </c>
      <c r="D132" t="s">
        <v>16</v>
      </c>
      <c r="E132" t="s">
        <v>16</v>
      </c>
      <c r="F132" s="2">
        <v>368</v>
      </c>
    </row>
    <row r="133" spans="1:6" x14ac:dyDescent="0.25">
      <c r="A133" s="1">
        <v>45659</v>
      </c>
      <c r="C133" t="s">
        <v>4</v>
      </c>
      <c r="D133" t="s">
        <v>7</v>
      </c>
      <c r="E133" t="s">
        <v>17</v>
      </c>
      <c r="F133" s="2">
        <v>631.11</v>
      </c>
    </row>
    <row r="134" spans="1:6" x14ac:dyDescent="0.25">
      <c r="A134" s="1">
        <v>45659</v>
      </c>
      <c r="C134" t="s">
        <v>16</v>
      </c>
      <c r="D134" t="s">
        <v>16</v>
      </c>
      <c r="E134" t="s">
        <v>150</v>
      </c>
      <c r="F134" s="2">
        <f>283.9+42.59+42.59-100</f>
        <v>269.08000000000004</v>
      </c>
    </row>
    <row r="135" spans="1:6" x14ac:dyDescent="0.25">
      <c r="A135" s="1">
        <v>45659</v>
      </c>
      <c r="C135" t="s">
        <v>16</v>
      </c>
      <c r="D135" t="s">
        <v>16</v>
      </c>
      <c r="E135" t="s">
        <v>155</v>
      </c>
      <c r="F135" s="2">
        <v>39</v>
      </c>
    </row>
    <row r="136" spans="1:6" x14ac:dyDescent="0.25">
      <c r="A136" s="1">
        <v>45660</v>
      </c>
      <c r="C136" t="s">
        <v>18</v>
      </c>
      <c r="D136" t="s">
        <v>16</v>
      </c>
      <c r="E136" t="s">
        <v>151</v>
      </c>
      <c r="F136" s="2">
        <v>2500</v>
      </c>
    </row>
    <row r="137" spans="1:6" x14ac:dyDescent="0.25">
      <c r="A137" s="1">
        <v>45660</v>
      </c>
      <c r="C137" t="s">
        <v>31</v>
      </c>
      <c r="D137" t="s">
        <v>10</v>
      </c>
      <c r="E137" t="s">
        <v>156</v>
      </c>
      <c r="F137" s="2">
        <v>469.85</v>
      </c>
    </row>
    <row r="138" spans="1:6" x14ac:dyDescent="0.25">
      <c r="A138" s="1">
        <v>45661</v>
      </c>
      <c r="C138" t="s">
        <v>4</v>
      </c>
      <c r="D138" t="s">
        <v>7</v>
      </c>
      <c r="E138" t="s">
        <v>17</v>
      </c>
      <c r="F138" s="2">
        <v>744</v>
      </c>
    </row>
    <row r="139" spans="1:6" x14ac:dyDescent="0.25">
      <c r="A139" s="1">
        <v>45662</v>
      </c>
      <c r="C139" t="s">
        <v>4</v>
      </c>
      <c r="D139" t="s">
        <v>7</v>
      </c>
      <c r="E139" t="s">
        <v>58</v>
      </c>
      <c r="F139" s="2">
        <v>30</v>
      </c>
    </row>
    <row r="140" spans="1:6" x14ac:dyDescent="0.25">
      <c r="A140" s="1">
        <v>45662</v>
      </c>
      <c r="C140" t="s">
        <v>4</v>
      </c>
      <c r="D140" t="s">
        <v>7</v>
      </c>
      <c r="E140" t="s">
        <v>162</v>
      </c>
      <c r="F140" s="2">
        <v>131.44</v>
      </c>
    </row>
    <row r="141" spans="1:6" x14ac:dyDescent="0.25">
      <c r="A141" s="1">
        <v>45662</v>
      </c>
      <c r="C141" t="s">
        <v>13</v>
      </c>
      <c r="D141" t="s">
        <v>10</v>
      </c>
      <c r="E141" t="s">
        <v>163</v>
      </c>
      <c r="F141" s="2">
        <v>322.94</v>
      </c>
    </row>
    <row r="142" spans="1:6" x14ac:dyDescent="0.25">
      <c r="A142" s="1">
        <v>45662</v>
      </c>
      <c r="C142" t="s">
        <v>31</v>
      </c>
      <c r="D142" t="s">
        <v>10</v>
      </c>
      <c r="E142" t="s">
        <v>163</v>
      </c>
      <c r="F142" s="2">
        <v>200</v>
      </c>
    </row>
    <row r="143" spans="1:6" x14ac:dyDescent="0.25">
      <c r="A143" s="1">
        <v>45662</v>
      </c>
      <c r="C143" t="s">
        <v>9</v>
      </c>
      <c r="D143" t="s">
        <v>10</v>
      </c>
      <c r="E143" t="s">
        <v>163</v>
      </c>
      <c r="F143" s="2">
        <v>800</v>
      </c>
    </row>
    <row r="144" spans="1:6" x14ac:dyDescent="0.25">
      <c r="A144" s="1">
        <v>45662</v>
      </c>
      <c r="C144" t="s">
        <v>1</v>
      </c>
      <c r="D144" t="s">
        <v>5</v>
      </c>
      <c r="E144" t="s">
        <v>165</v>
      </c>
      <c r="F144" s="2">
        <v>520</v>
      </c>
    </row>
    <row r="145" spans="1:6" x14ac:dyDescent="0.25">
      <c r="A145" s="1">
        <v>45662</v>
      </c>
      <c r="C145" t="s">
        <v>4</v>
      </c>
      <c r="D145" t="s">
        <v>7</v>
      </c>
      <c r="E145" t="s">
        <v>7</v>
      </c>
      <c r="F145" s="2">
        <v>672.85</v>
      </c>
    </row>
    <row r="146" spans="1:6" x14ac:dyDescent="0.25">
      <c r="A146" s="1">
        <v>45663</v>
      </c>
      <c r="C146" t="s">
        <v>4</v>
      </c>
      <c r="D146" t="s">
        <v>7</v>
      </c>
      <c r="E146" t="s">
        <v>17</v>
      </c>
      <c r="F146" s="2">
        <v>250.98</v>
      </c>
    </row>
    <row r="147" spans="1:6" x14ac:dyDescent="0.25">
      <c r="A147" s="1">
        <v>45663</v>
      </c>
      <c r="C147" t="s">
        <v>16</v>
      </c>
      <c r="D147" t="s">
        <v>16</v>
      </c>
      <c r="E147" t="s">
        <v>164</v>
      </c>
      <c r="F147" s="2">
        <v>99.99</v>
      </c>
    </row>
    <row r="148" spans="1:6" x14ac:dyDescent="0.25">
      <c r="A148" s="1">
        <v>45663</v>
      </c>
      <c r="C148" t="s">
        <v>16</v>
      </c>
      <c r="D148" t="s">
        <v>16</v>
      </c>
      <c r="E148" t="s">
        <v>164</v>
      </c>
      <c r="F148" s="2">
        <v>79.989999999999995</v>
      </c>
    </row>
    <row r="149" spans="1:6" x14ac:dyDescent="0.25">
      <c r="A149" s="1">
        <v>45663</v>
      </c>
      <c r="C149" t="s">
        <v>18</v>
      </c>
      <c r="D149" t="s">
        <v>16</v>
      </c>
      <c r="E149" t="s">
        <v>168</v>
      </c>
      <c r="F149" s="2">
        <v>250</v>
      </c>
    </row>
    <row r="150" spans="1:6" x14ac:dyDescent="0.25">
      <c r="A150" s="1">
        <v>45663</v>
      </c>
      <c r="C150" t="s">
        <v>18</v>
      </c>
      <c r="D150" t="s">
        <v>16</v>
      </c>
      <c r="E150" t="s">
        <v>169</v>
      </c>
      <c r="F150" s="2">
        <v>1800</v>
      </c>
    </row>
    <row r="151" spans="1:6" x14ac:dyDescent="0.25">
      <c r="A151" s="1">
        <v>45665</v>
      </c>
      <c r="C151" t="s">
        <v>18</v>
      </c>
      <c r="D151" t="s">
        <v>16</v>
      </c>
      <c r="E151" t="s">
        <v>154</v>
      </c>
      <c r="F151" s="2">
        <v>600</v>
      </c>
    </row>
    <row r="152" spans="1:6" x14ac:dyDescent="0.25">
      <c r="A152" s="1">
        <v>45665</v>
      </c>
      <c r="C152" t="s">
        <v>4</v>
      </c>
      <c r="D152" t="s">
        <v>7</v>
      </c>
      <c r="E152" t="s">
        <v>42</v>
      </c>
      <c r="F152" s="2">
        <v>358.87</v>
      </c>
    </row>
    <row r="153" spans="1:6" x14ac:dyDescent="0.25">
      <c r="A153" s="1">
        <v>45665</v>
      </c>
      <c r="C153" t="s">
        <v>4</v>
      </c>
      <c r="D153" t="s">
        <v>7</v>
      </c>
      <c r="E153" t="s">
        <v>42</v>
      </c>
      <c r="F153" s="2">
        <v>43.96</v>
      </c>
    </row>
    <row r="154" spans="1:6" x14ac:dyDescent="0.25">
      <c r="A154" s="1">
        <v>45665</v>
      </c>
      <c r="C154" t="s">
        <v>4</v>
      </c>
      <c r="D154" t="s">
        <v>7</v>
      </c>
      <c r="E154" t="s">
        <v>68</v>
      </c>
      <c r="F154" s="2">
        <v>85</v>
      </c>
    </row>
    <row r="155" spans="1:6" x14ac:dyDescent="0.25">
      <c r="A155" s="1">
        <v>45666</v>
      </c>
      <c r="C155" t="s">
        <v>18</v>
      </c>
      <c r="D155" t="s">
        <v>16</v>
      </c>
      <c r="E155" t="s">
        <v>154</v>
      </c>
      <c r="F155" s="2">
        <v>500</v>
      </c>
    </row>
    <row r="156" spans="1:6" x14ac:dyDescent="0.25">
      <c r="A156" s="1">
        <v>45666</v>
      </c>
      <c r="C156" t="s">
        <v>13</v>
      </c>
      <c r="D156" t="s">
        <v>16</v>
      </c>
      <c r="E156" t="s">
        <v>166</v>
      </c>
      <c r="F156" s="2">
        <v>200</v>
      </c>
    </row>
    <row r="157" spans="1:6" x14ac:dyDescent="0.25">
      <c r="A157" s="1">
        <v>45666</v>
      </c>
      <c r="C157" t="s">
        <v>31</v>
      </c>
      <c r="D157" t="s">
        <v>16</v>
      </c>
      <c r="E157" t="s">
        <v>166</v>
      </c>
      <c r="F157" s="2">
        <v>200</v>
      </c>
    </row>
    <row r="158" spans="1:6" x14ac:dyDescent="0.25">
      <c r="A158" s="1">
        <v>45666</v>
      </c>
      <c r="C158" t="s">
        <v>9</v>
      </c>
      <c r="D158" t="s">
        <v>16</v>
      </c>
      <c r="E158" t="s">
        <v>166</v>
      </c>
      <c r="F158" s="2">
        <v>199</v>
      </c>
    </row>
    <row r="159" spans="1:6" x14ac:dyDescent="0.25">
      <c r="A159" s="1">
        <v>45666</v>
      </c>
      <c r="C159" t="s">
        <v>16</v>
      </c>
      <c r="D159" t="s">
        <v>16</v>
      </c>
      <c r="E159" t="s">
        <v>160</v>
      </c>
      <c r="F159" s="2">
        <v>44.43</v>
      </c>
    </row>
    <row r="160" spans="1:6" x14ac:dyDescent="0.25">
      <c r="A160" s="1">
        <v>45666</v>
      </c>
      <c r="C160" t="s">
        <v>4</v>
      </c>
      <c r="D160" t="s">
        <v>7</v>
      </c>
      <c r="E160" t="s">
        <v>7</v>
      </c>
      <c r="F160" s="2">
        <v>646.63</v>
      </c>
    </row>
    <row r="161" spans="1:6" x14ac:dyDescent="0.25">
      <c r="A161" s="1">
        <v>45666</v>
      </c>
      <c r="C161" t="s">
        <v>4</v>
      </c>
      <c r="D161" t="s">
        <v>7</v>
      </c>
      <c r="E161" t="s">
        <v>59</v>
      </c>
      <c r="F161" s="2">
        <v>37.5</v>
      </c>
    </row>
    <row r="162" spans="1:6" x14ac:dyDescent="0.25">
      <c r="A162" s="1">
        <v>45666</v>
      </c>
      <c r="C162" s="22" t="s">
        <v>16</v>
      </c>
      <c r="D162" t="s">
        <v>16</v>
      </c>
      <c r="E162" t="s">
        <v>160</v>
      </c>
      <c r="F162" s="2">
        <v>83.01</v>
      </c>
    </row>
    <row r="163" spans="1:6" x14ac:dyDescent="0.25">
      <c r="A163" s="1">
        <v>45666</v>
      </c>
      <c r="C163" t="s">
        <v>1</v>
      </c>
      <c r="D163" t="s">
        <v>7</v>
      </c>
      <c r="E163" t="s">
        <v>167</v>
      </c>
      <c r="F163" s="2">
        <v>83.9</v>
      </c>
    </row>
    <row r="164" spans="1:6" x14ac:dyDescent="0.25">
      <c r="A164" s="1">
        <v>45666</v>
      </c>
      <c r="C164" t="s">
        <v>4</v>
      </c>
      <c r="D164" t="s">
        <v>16</v>
      </c>
      <c r="E164" t="s">
        <v>170</v>
      </c>
      <c r="F164" s="2">
        <v>91.69</v>
      </c>
    </row>
    <row r="165" spans="1:6" x14ac:dyDescent="0.25">
      <c r="A165" s="1">
        <v>45667</v>
      </c>
      <c r="C165" t="s">
        <v>4</v>
      </c>
      <c r="D165" t="s">
        <v>7</v>
      </c>
      <c r="E165" t="s">
        <v>58</v>
      </c>
      <c r="F165" s="2">
        <v>32.5</v>
      </c>
    </row>
    <row r="166" spans="1:6" x14ac:dyDescent="0.25">
      <c r="A166" s="1">
        <v>45667</v>
      </c>
      <c r="C166" t="s">
        <v>4</v>
      </c>
      <c r="D166" t="s">
        <v>7</v>
      </c>
      <c r="E166" t="s">
        <v>58</v>
      </c>
      <c r="F166" s="2">
        <v>34.5</v>
      </c>
    </row>
    <row r="167" spans="1:6" x14ac:dyDescent="0.25">
      <c r="A167" s="1">
        <v>45667</v>
      </c>
      <c r="C167" t="s">
        <v>4</v>
      </c>
      <c r="D167" t="s">
        <v>7</v>
      </c>
      <c r="E167" t="s">
        <v>8</v>
      </c>
      <c r="F167" s="2">
        <v>359.16</v>
      </c>
    </row>
    <row r="168" spans="1:6" x14ac:dyDescent="0.25">
      <c r="A168" s="1">
        <v>45667</v>
      </c>
      <c r="C168" t="s">
        <v>9</v>
      </c>
      <c r="D168" t="s">
        <v>10</v>
      </c>
      <c r="E168" t="s">
        <v>62</v>
      </c>
      <c r="F168" s="2">
        <f>249.09*2</f>
        <v>498.18</v>
      </c>
    </row>
    <row r="169" spans="1:6" x14ac:dyDescent="0.25">
      <c r="A169" s="1">
        <v>45667</v>
      </c>
      <c r="C169" t="s">
        <v>4</v>
      </c>
      <c r="D169" t="s">
        <v>7</v>
      </c>
      <c r="E169" t="s">
        <v>171</v>
      </c>
      <c r="F169" s="2">
        <v>254.01</v>
      </c>
    </row>
    <row r="170" spans="1:6" x14ac:dyDescent="0.25">
      <c r="A170" s="1">
        <v>45668</v>
      </c>
      <c r="C170" t="s">
        <v>31</v>
      </c>
      <c r="D170" t="s">
        <v>10</v>
      </c>
      <c r="E170" t="s">
        <v>50</v>
      </c>
      <c r="F170" s="2">
        <v>1125.47</v>
      </c>
    </row>
    <row r="171" spans="1:6" x14ac:dyDescent="0.25">
      <c r="A171" s="1">
        <v>45668</v>
      </c>
      <c r="C171" t="s">
        <v>4</v>
      </c>
      <c r="D171" t="s">
        <v>7</v>
      </c>
      <c r="E171" t="s">
        <v>17</v>
      </c>
      <c r="F171" s="2">
        <v>211.81</v>
      </c>
    </row>
    <row r="172" spans="1:6" x14ac:dyDescent="0.25">
      <c r="A172" s="1">
        <v>45669</v>
      </c>
      <c r="C172" t="s">
        <v>4</v>
      </c>
      <c r="D172" t="s">
        <v>7</v>
      </c>
      <c r="E172" t="s">
        <v>17</v>
      </c>
      <c r="F172" s="2">
        <v>451.34</v>
      </c>
    </row>
    <row r="173" spans="1:6" x14ac:dyDescent="0.25">
      <c r="A173" s="1">
        <v>45669</v>
      </c>
      <c r="C173" t="s">
        <v>4</v>
      </c>
      <c r="D173" t="s">
        <v>7</v>
      </c>
      <c r="E173" t="s">
        <v>17</v>
      </c>
      <c r="F173" s="2">
        <v>353.5</v>
      </c>
    </row>
    <row r="174" spans="1:6" x14ac:dyDescent="0.25">
      <c r="A174" s="1">
        <v>45669</v>
      </c>
      <c r="C174" t="s">
        <v>4</v>
      </c>
      <c r="D174" t="s">
        <v>7</v>
      </c>
      <c r="E174" t="s">
        <v>7</v>
      </c>
      <c r="F174" s="2">
        <v>320.55</v>
      </c>
    </row>
    <row r="175" spans="1:6" x14ac:dyDescent="0.25">
      <c r="A175" s="1">
        <v>45669</v>
      </c>
      <c r="C175" t="s">
        <v>1</v>
      </c>
      <c r="D175" t="s">
        <v>16</v>
      </c>
      <c r="E175" t="s">
        <v>39</v>
      </c>
      <c r="F175" s="2">
        <v>220</v>
      </c>
    </row>
    <row r="176" spans="1:6" x14ac:dyDescent="0.25">
      <c r="A176" s="1">
        <v>45670</v>
      </c>
      <c r="C176" t="s">
        <v>1</v>
      </c>
      <c r="D176" t="s">
        <v>2</v>
      </c>
      <c r="E176" t="s">
        <v>3</v>
      </c>
      <c r="F176" s="2">
        <v>201</v>
      </c>
    </row>
    <row r="177" spans="1:6" x14ac:dyDescent="0.25">
      <c r="A177" s="1">
        <v>45670</v>
      </c>
      <c r="C177" t="s">
        <v>4</v>
      </c>
      <c r="D177" t="s">
        <v>7</v>
      </c>
      <c r="E177" t="s">
        <v>17</v>
      </c>
      <c r="F177" s="2">
        <v>347.15</v>
      </c>
    </row>
    <row r="178" spans="1:6" x14ac:dyDescent="0.25">
      <c r="A178" s="1">
        <v>45670</v>
      </c>
      <c r="C178" t="s">
        <v>4</v>
      </c>
      <c r="D178" t="s">
        <v>5</v>
      </c>
      <c r="E178" t="s">
        <v>6</v>
      </c>
      <c r="F178" s="2">
        <v>297</v>
      </c>
    </row>
    <row r="179" spans="1:6" x14ac:dyDescent="0.25">
      <c r="A179" s="1">
        <v>45670</v>
      </c>
      <c r="C179" t="s">
        <v>4</v>
      </c>
      <c r="D179" t="s">
        <v>16</v>
      </c>
      <c r="E179" t="s">
        <v>16</v>
      </c>
      <c r="F179" s="2">
        <v>160</v>
      </c>
    </row>
    <row r="180" spans="1:6" x14ac:dyDescent="0.25">
      <c r="A180" s="1">
        <v>45670</v>
      </c>
      <c r="C180" t="s">
        <v>13</v>
      </c>
      <c r="D180" t="s">
        <v>16</v>
      </c>
      <c r="E180" t="s">
        <v>179</v>
      </c>
      <c r="F180" s="2">
        <v>85</v>
      </c>
    </row>
    <row r="181" spans="1:6" x14ac:dyDescent="0.25">
      <c r="A181" s="1">
        <v>45671</v>
      </c>
      <c r="C181" t="s">
        <v>4</v>
      </c>
      <c r="D181" t="s">
        <v>7</v>
      </c>
      <c r="E181" t="s">
        <v>172</v>
      </c>
      <c r="F181" s="2">
        <v>125</v>
      </c>
    </row>
    <row r="182" spans="1:6" x14ac:dyDescent="0.25">
      <c r="A182" s="1">
        <v>45671</v>
      </c>
      <c r="C182" t="s">
        <v>31</v>
      </c>
      <c r="D182" t="s">
        <v>33</v>
      </c>
      <c r="E182" t="s">
        <v>32</v>
      </c>
      <c r="F182" s="2">
        <v>3400</v>
      </c>
    </row>
    <row r="183" spans="1:6" x14ac:dyDescent="0.25">
      <c r="A183" s="1">
        <v>45671</v>
      </c>
      <c r="C183" t="s">
        <v>13</v>
      </c>
      <c r="D183" t="s">
        <v>33</v>
      </c>
      <c r="E183" t="s">
        <v>32</v>
      </c>
      <c r="F183" s="2">
        <v>2600</v>
      </c>
    </row>
    <row r="184" spans="1:6" x14ac:dyDescent="0.25">
      <c r="A184" s="1">
        <v>45671</v>
      </c>
      <c r="C184" t="s">
        <v>18</v>
      </c>
      <c r="D184" t="s">
        <v>16</v>
      </c>
      <c r="E184" t="s">
        <v>177</v>
      </c>
      <c r="F184" s="2">
        <v>1000</v>
      </c>
    </row>
    <row r="185" spans="1:6" x14ac:dyDescent="0.25">
      <c r="A185" s="1">
        <v>45672</v>
      </c>
      <c r="C185" t="s">
        <v>16</v>
      </c>
      <c r="D185" t="s">
        <v>16</v>
      </c>
      <c r="E185" t="s">
        <v>49</v>
      </c>
      <c r="F185" s="2">
        <v>175</v>
      </c>
    </row>
    <row r="186" spans="1:6" x14ac:dyDescent="0.25">
      <c r="A186" s="1">
        <v>45672</v>
      </c>
      <c r="C186" t="s">
        <v>4</v>
      </c>
      <c r="D186" t="s">
        <v>7</v>
      </c>
      <c r="E186" t="s">
        <v>25</v>
      </c>
      <c r="F186" s="2">
        <v>130</v>
      </c>
    </row>
    <row r="187" spans="1:6" x14ac:dyDescent="0.25">
      <c r="A187" s="1">
        <v>45672</v>
      </c>
      <c r="C187" t="s">
        <v>18</v>
      </c>
      <c r="D187" t="s">
        <v>2</v>
      </c>
      <c r="E187" t="s">
        <v>3</v>
      </c>
      <c r="F187" s="2">
        <v>275</v>
      </c>
    </row>
    <row r="188" spans="1:6" x14ac:dyDescent="0.25">
      <c r="A188" s="1">
        <v>45673</v>
      </c>
      <c r="C188" t="s">
        <v>4</v>
      </c>
      <c r="D188" t="s">
        <v>7</v>
      </c>
      <c r="E188" t="s">
        <v>162</v>
      </c>
      <c r="F188" s="2">
        <v>1016.72</v>
      </c>
    </row>
    <row r="189" spans="1:6" x14ac:dyDescent="0.25">
      <c r="A189" s="1">
        <v>45673</v>
      </c>
      <c r="C189" t="s">
        <v>1</v>
      </c>
      <c r="D189" t="s">
        <v>16</v>
      </c>
      <c r="E189" t="s">
        <v>178</v>
      </c>
      <c r="F189" s="2">
        <v>150</v>
      </c>
    </row>
    <row r="190" spans="1:6" x14ac:dyDescent="0.25">
      <c r="A190" s="1">
        <v>45674</v>
      </c>
      <c r="C190" t="s">
        <v>16</v>
      </c>
      <c r="D190" t="s">
        <v>16</v>
      </c>
      <c r="E190" t="s">
        <v>160</v>
      </c>
      <c r="F190" s="2">
        <v>350.01</v>
      </c>
    </row>
    <row r="191" spans="1:6" x14ac:dyDescent="0.25">
      <c r="A191" s="1">
        <v>45674</v>
      </c>
      <c r="C191" t="s">
        <v>4</v>
      </c>
      <c r="D191" t="s">
        <v>2</v>
      </c>
      <c r="E191" t="s">
        <v>52</v>
      </c>
      <c r="F191" s="2">
        <v>1475</v>
      </c>
    </row>
    <row r="192" spans="1:6" x14ac:dyDescent="0.25">
      <c r="A192" s="1">
        <v>45674</v>
      </c>
      <c r="C192" t="s">
        <v>1</v>
      </c>
      <c r="D192" t="s">
        <v>10</v>
      </c>
      <c r="E192" t="s">
        <v>70</v>
      </c>
      <c r="F192" s="2">
        <f>2764.93-1900</f>
        <v>864.92999999999984</v>
      </c>
    </row>
    <row r="193" spans="1:6" x14ac:dyDescent="0.25">
      <c r="A193" s="1">
        <v>45676</v>
      </c>
      <c r="C193" t="s">
        <v>9</v>
      </c>
      <c r="D193" t="s">
        <v>10</v>
      </c>
      <c r="E193" t="s">
        <v>173</v>
      </c>
      <c r="F193" s="2">
        <f>289.99*2</f>
        <v>579.98</v>
      </c>
    </row>
    <row r="194" spans="1:6" x14ac:dyDescent="0.25">
      <c r="A194" s="1">
        <v>45676</v>
      </c>
      <c r="C194" t="s">
        <v>9</v>
      </c>
      <c r="D194" t="s">
        <v>10</v>
      </c>
      <c r="E194" t="s">
        <v>173</v>
      </c>
      <c r="F194" s="2">
        <f>252*2</f>
        <v>504</v>
      </c>
    </row>
    <row r="195" spans="1:6" x14ac:dyDescent="0.25">
      <c r="A195" s="1">
        <v>45676</v>
      </c>
      <c r="C195" t="s">
        <v>4</v>
      </c>
      <c r="D195" t="s">
        <v>7</v>
      </c>
      <c r="E195" t="s">
        <v>58</v>
      </c>
      <c r="F195" s="2">
        <v>9</v>
      </c>
    </row>
    <row r="196" spans="1:6" x14ac:dyDescent="0.25">
      <c r="A196" s="1">
        <v>45676</v>
      </c>
      <c r="C196" t="s">
        <v>4</v>
      </c>
      <c r="D196" t="s">
        <v>7</v>
      </c>
      <c r="E196" t="s">
        <v>144</v>
      </c>
      <c r="F196" s="2">
        <v>735.95</v>
      </c>
    </row>
    <row r="197" spans="1:6" x14ac:dyDescent="0.25">
      <c r="A197" s="1">
        <v>45676</v>
      </c>
      <c r="C197" t="s">
        <v>4</v>
      </c>
      <c r="D197" t="s">
        <v>7</v>
      </c>
      <c r="E197" t="s">
        <v>174</v>
      </c>
      <c r="F197" s="2">
        <v>164.87</v>
      </c>
    </row>
    <row r="198" spans="1:6" x14ac:dyDescent="0.25">
      <c r="A198" s="1">
        <v>45676</v>
      </c>
      <c r="C198" t="s">
        <v>4</v>
      </c>
      <c r="D198" t="s">
        <v>7</v>
      </c>
      <c r="E198" t="s">
        <v>175</v>
      </c>
      <c r="F198" s="2">
        <v>89.31</v>
      </c>
    </row>
    <row r="199" spans="1:6" x14ac:dyDescent="0.25">
      <c r="A199" s="1">
        <v>45676</v>
      </c>
      <c r="C199" t="s">
        <v>4</v>
      </c>
      <c r="D199" t="s">
        <v>7</v>
      </c>
      <c r="E199" t="s">
        <v>26</v>
      </c>
      <c r="F199" s="2">
        <v>366.47</v>
      </c>
    </row>
    <row r="200" spans="1:6" x14ac:dyDescent="0.25">
      <c r="A200" s="1">
        <v>45676</v>
      </c>
      <c r="C200" t="s">
        <v>31</v>
      </c>
      <c r="D200" t="s">
        <v>16</v>
      </c>
      <c r="E200" t="s">
        <v>36</v>
      </c>
      <c r="F200" s="2">
        <v>800</v>
      </c>
    </row>
    <row r="201" spans="1:6" x14ac:dyDescent="0.25">
      <c r="A201" s="1">
        <v>45676</v>
      </c>
      <c r="C201" t="s">
        <v>1</v>
      </c>
      <c r="D201" t="s">
        <v>16</v>
      </c>
      <c r="E201" t="s">
        <v>39</v>
      </c>
      <c r="F201" s="2">
        <v>225</v>
      </c>
    </row>
    <row r="202" spans="1:6" x14ac:dyDescent="0.25">
      <c r="A202" s="1">
        <v>45676</v>
      </c>
      <c r="C202" t="s">
        <v>4</v>
      </c>
      <c r="D202" t="s">
        <v>7</v>
      </c>
      <c r="E202" t="s">
        <v>180</v>
      </c>
      <c r="F202" s="2">
        <v>150</v>
      </c>
    </row>
    <row r="203" spans="1:6" x14ac:dyDescent="0.25">
      <c r="A203" s="1">
        <v>45677</v>
      </c>
      <c r="C203" t="s">
        <v>4</v>
      </c>
      <c r="D203" t="s">
        <v>7</v>
      </c>
      <c r="E203" t="s">
        <v>155</v>
      </c>
      <c r="F203" s="2">
        <v>297.41000000000003</v>
      </c>
    </row>
    <row r="204" spans="1:6" x14ac:dyDescent="0.25">
      <c r="A204" s="1">
        <v>45677</v>
      </c>
      <c r="C204" t="s">
        <v>4</v>
      </c>
      <c r="D204" t="s">
        <v>7</v>
      </c>
      <c r="E204" t="s">
        <v>175</v>
      </c>
      <c r="F204" s="2">
        <v>154.30000000000001</v>
      </c>
    </row>
    <row r="205" spans="1:6" x14ac:dyDescent="0.25">
      <c r="A205" s="1">
        <v>45677</v>
      </c>
      <c r="C205" t="s">
        <v>4</v>
      </c>
      <c r="D205" t="s">
        <v>7</v>
      </c>
      <c r="E205" t="s">
        <v>167</v>
      </c>
      <c r="F205" s="2">
        <v>83.5</v>
      </c>
    </row>
    <row r="206" spans="1:6" x14ac:dyDescent="0.25">
      <c r="A206" s="1">
        <v>45677</v>
      </c>
      <c r="C206" t="s">
        <v>4</v>
      </c>
      <c r="D206" t="s">
        <v>16</v>
      </c>
      <c r="E206" t="s">
        <v>181</v>
      </c>
      <c r="F206" s="2">
        <v>4760</v>
      </c>
    </row>
    <row r="207" spans="1:6" x14ac:dyDescent="0.25">
      <c r="A207" s="1">
        <v>45677</v>
      </c>
      <c r="C207" t="s">
        <v>18</v>
      </c>
      <c r="D207" t="s">
        <v>54</v>
      </c>
      <c r="E207" t="s">
        <v>188</v>
      </c>
      <c r="F207" s="2">
        <v>599</v>
      </c>
    </row>
    <row r="208" spans="1:6" x14ac:dyDescent="0.25">
      <c r="A208" s="1">
        <v>45678</v>
      </c>
      <c r="C208" t="s">
        <v>1</v>
      </c>
      <c r="D208" t="s">
        <v>5</v>
      </c>
      <c r="E208" t="s">
        <v>183</v>
      </c>
      <c r="F208" s="2">
        <v>250</v>
      </c>
    </row>
    <row r="209" spans="1:6" x14ac:dyDescent="0.25">
      <c r="A209" s="1">
        <v>45678</v>
      </c>
      <c r="C209" t="s">
        <v>31</v>
      </c>
      <c r="D209" t="s">
        <v>2</v>
      </c>
      <c r="E209" t="s">
        <v>3</v>
      </c>
      <c r="F209" s="2">
        <v>44.56</v>
      </c>
    </row>
    <row r="210" spans="1:6" x14ac:dyDescent="0.25">
      <c r="A210" s="1">
        <v>45679</v>
      </c>
      <c r="C210" t="s">
        <v>4</v>
      </c>
      <c r="D210" t="s">
        <v>7</v>
      </c>
      <c r="E210" t="s">
        <v>27</v>
      </c>
      <c r="F210" s="2">
        <v>445.38</v>
      </c>
    </row>
    <row r="211" spans="1:6" x14ac:dyDescent="0.25">
      <c r="A211" s="1">
        <v>45679</v>
      </c>
      <c r="C211" t="s">
        <v>4</v>
      </c>
      <c r="D211" t="s">
        <v>7</v>
      </c>
      <c r="E211" t="s">
        <v>144</v>
      </c>
      <c r="F211" s="2">
        <v>262.49</v>
      </c>
    </row>
    <row r="212" spans="1:6" x14ac:dyDescent="0.25">
      <c r="A212" s="1">
        <v>45679</v>
      </c>
      <c r="C212" t="s">
        <v>16</v>
      </c>
      <c r="D212" t="s">
        <v>54</v>
      </c>
      <c r="E212" t="s">
        <v>160</v>
      </c>
      <c r="F212" s="2">
        <v>188.35</v>
      </c>
    </row>
    <row r="213" spans="1:6" x14ac:dyDescent="0.25">
      <c r="A213" s="1">
        <v>45680</v>
      </c>
      <c r="C213" t="s">
        <v>4</v>
      </c>
      <c r="D213" t="s">
        <v>5</v>
      </c>
      <c r="E213" t="s">
        <v>6</v>
      </c>
      <c r="F213" s="2">
        <v>313</v>
      </c>
    </row>
    <row r="214" spans="1:6" x14ac:dyDescent="0.25">
      <c r="A214" s="1">
        <v>45681</v>
      </c>
      <c r="C214" t="s">
        <v>4</v>
      </c>
      <c r="D214" t="s">
        <v>7</v>
      </c>
      <c r="E214" t="s">
        <v>144</v>
      </c>
      <c r="F214" s="2">
        <v>254.94</v>
      </c>
    </row>
    <row r="215" spans="1:6" x14ac:dyDescent="0.25">
      <c r="A215" s="1">
        <v>45682</v>
      </c>
      <c r="C215" t="s">
        <v>18</v>
      </c>
      <c r="D215" t="s">
        <v>16</v>
      </c>
      <c r="E215" t="s">
        <v>154</v>
      </c>
      <c r="F215" s="2">
        <v>400</v>
      </c>
    </row>
    <row r="216" spans="1:6" x14ac:dyDescent="0.25">
      <c r="A216" s="1">
        <v>45682</v>
      </c>
      <c r="C216" t="s">
        <v>18</v>
      </c>
      <c r="D216" t="s">
        <v>10</v>
      </c>
      <c r="E216" t="s">
        <v>182</v>
      </c>
      <c r="F216" s="2">
        <f>899.68*3</f>
        <v>2699.04</v>
      </c>
    </row>
    <row r="217" spans="1:6" x14ac:dyDescent="0.25">
      <c r="A217" s="1">
        <v>45682</v>
      </c>
      <c r="C217" t="s">
        <v>4</v>
      </c>
      <c r="D217" t="s">
        <v>7</v>
      </c>
      <c r="E217" t="s">
        <v>167</v>
      </c>
      <c r="F217" s="2">
        <v>86.2</v>
      </c>
    </row>
    <row r="218" spans="1:6" x14ac:dyDescent="0.25">
      <c r="A218" s="1">
        <v>45682</v>
      </c>
      <c r="C218" t="s">
        <v>31</v>
      </c>
      <c r="D218" t="s">
        <v>2</v>
      </c>
      <c r="E218" t="s">
        <v>3</v>
      </c>
      <c r="F218" s="2">
        <v>142</v>
      </c>
    </row>
    <row r="219" spans="1:6" x14ac:dyDescent="0.25">
      <c r="A219" s="1">
        <v>45682</v>
      </c>
      <c r="C219" t="s">
        <v>4</v>
      </c>
      <c r="D219" t="s">
        <v>5</v>
      </c>
      <c r="E219" t="s">
        <v>184</v>
      </c>
      <c r="F219" s="2">
        <v>16</v>
      </c>
    </row>
    <row r="220" spans="1:6" x14ac:dyDescent="0.25">
      <c r="A220" s="1">
        <v>45682</v>
      </c>
      <c r="C220" t="s">
        <v>4</v>
      </c>
      <c r="D220" t="s">
        <v>5</v>
      </c>
      <c r="E220" t="s">
        <v>184</v>
      </c>
      <c r="F220" s="2">
        <v>110</v>
      </c>
    </row>
    <row r="221" spans="1:6" x14ac:dyDescent="0.25">
      <c r="A221" s="1">
        <v>45682</v>
      </c>
      <c r="C221" t="s">
        <v>4</v>
      </c>
      <c r="D221" t="s">
        <v>5</v>
      </c>
      <c r="E221" t="s">
        <v>184</v>
      </c>
      <c r="F221" s="2">
        <v>640</v>
      </c>
    </row>
    <row r="222" spans="1:6" x14ac:dyDescent="0.25">
      <c r="A222" s="1">
        <v>45682</v>
      </c>
      <c r="C222" t="s">
        <v>4</v>
      </c>
      <c r="D222" t="s">
        <v>7</v>
      </c>
      <c r="E222" t="s">
        <v>144</v>
      </c>
      <c r="F222" s="2">
        <v>629.41999999999996</v>
      </c>
    </row>
    <row r="223" spans="1:6" x14ac:dyDescent="0.25">
      <c r="A223" s="1">
        <v>45682</v>
      </c>
      <c r="C223" t="s">
        <v>4</v>
      </c>
      <c r="D223" t="s">
        <v>16</v>
      </c>
      <c r="E223" t="s">
        <v>185</v>
      </c>
      <c r="F223" s="2">
        <v>700</v>
      </c>
    </row>
    <row r="224" spans="1:6" x14ac:dyDescent="0.25">
      <c r="A224" s="1">
        <v>45682</v>
      </c>
      <c r="C224" t="s">
        <v>16</v>
      </c>
      <c r="D224" t="s">
        <v>16</v>
      </c>
      <c r="E224" t="s">
        <v>186</v>
      </c>
      <c r="F224" s="2">
        <v>3320</v>
      </c>
    </row>
    <row r="225" spans="1:6" x14ac:dyDescent="0.25">
      <c r="A225" s="1">
        <v>45682</v>
      </c>
      <c r="C225" t="s">
        <v>1</v>
      </c>
      <c r="D225" t="s">
        <v>16</v>
      </c>
      <c r="E225" t="s">
        <v>16</v>
      </c>
      <c r="F225" s="2">
        <f>9124.75*4</f>
        <v>36499</v>
      </c>
    </row>
    <row r="226" spans="1:6" x14ac:dyDescent="0.25">
      <c r="A226" s="1">
        <v>45682</v>
      </c>
      <c r="C226" t="s">
        <v>18</v>
      </c>
      <c r="D226" t="s">
        <v>16</v>
      </c>
      <c r="E226" t="s">
        <v>154</v>
      </c>
      <c r="F226" s="2">
        <v>400</v>
      </c>
    </row>
    <row r="227" spans="1:6" x14ac:dyDescent="0.25">
      <c r="A227" s="1">
        <v>45683</v>
      </c>
      <c r="C227" t="s">
        <v>1</v>
      </c>
      <c r="D227" t="s">
        <v>5</v>
      </c>
      <c r="E227" t="s">
        <v>39</v>
      </c>
      <c r="F227" s="2">
        <v>270</v>
      </c>
    </row>
    <row r="228" spans="1:6" x14ac:dyDescent="0.25">
      <c r="A228" s="1">
        <v>45683</v>
      </c>
      <c r="C228" t="s">
        <v>1</v>
      </c>
      <c r="D228" t="s">
        <v>16</v>
      </c>
      <c r="E228" t="s">
        <v>16</v>
      </c>
      <c r="F228" s="2">
        <v>59</v>
      </c>
    </row>
    <row r="229" spans="1:6" x14ac:dyDescent="0.25">
      <c r="A229" s="1">
        <v>45683</v>
      </c>
      <c r="C229" t="s">
        <v>4</v>
      </c>
      <c r="D229" t="s">
        <v>5</v>
      </c>
      <c r="E229" t="s">
        <v>6</v>
      </c>
      <c r="F229" s="2">
        <v>450</v>
      </c>
    </row>
    <row r="230" spans="1:6" x14ac:dyDescent="0.25">
      <c r="A230" s="1">
        <v>45683</v>
      </c>
      <c r="C230" t="s">
        <v>4</v>
      </c>
      <c r="D230" t="s">
        <v>7</v>
      </c>
      <c r="E230" t="s">
        <v>175</v>
      </c>
      <c r="F230" s="2">
        <v>121.85</v>
      </c>
    </row>
    <row r="231" spans="1:6" x14ac:dyDescent="0.25">
      <c r="A231" s="1">
        <v>45683</v>
      </c>
      <c r="C231" t="s">
        <v>4</v>
      </c>
      <c r="D231" t="s">
        <v>7</v>
      </c>
      <c r="E231" t="s">
        <v>167</v>
      </c>
      <c r="F231" s="2">
        <v>198</v>
      </c>
    </row>
    <row r="232" spans="1:6" x14ac:dyDescent="0.25">
      <c r="A232" s="1">
        <v>45684</v>
      </c>
      <c r="C232" t="s">
        <v>4</v>
      </c>
      <c r="D232" t="s">
        <v>2</v>
      </c>
      <c r="E232" t="s">
        <v>147</v>
      </c>
      <c r="F232" s="2">
        <v>3543</v>
      </c>
    </row>
    <row r="233" spans="1:6" x14ac:dyDescent="0.25">
      <c r="A233" s="1">
        <v>45684</v>
      </c>
      <c r="C233" t="s">
        <v>9</v>
      </c>
      <c r="D233" t="s">
        <v>10</v>
      </c>
      <c r="E233" t="s">
        <v>164</v>
      </c>
      <c r="F233" s="2">
        <v>499.97</v>
      </c>
    </row>
    <row r="234" spans="1:6" x14ac:dyDescent="0.25">
      <c r="A234" s="1">
        <v>45684</v>
      </c>
      <c r="C234" t="s">
        <v>4</v>
      </c>
      <c r="D234" t="s">
        <v>5</v>
      </c>
      <c r="E234" t="s">
        <v>191</v>
      </c>
      <c r="F234" s="2">
        <v>371</v>
      </c>
    </row>
    <row r="235" spans="1:6" x14ac:dyDescent="0.25">
      <c r="A235" s="1">
        <v>45684</v>
      </c>
      <c r="C235" t="s">
        <v>4</v>
      </c>
      <c r="D235" t="s">
        <v>7</v>
      </c>
      <c r="E235" t="s">
        <v>144</v>
      </c>
      <c r="F235" s="2">
        <v>167.5</v>
      </c>
    </row>
    <row r="236" spans="1:6" x14ac:dyDescent="0.25">
      <c r="A236" s="1">
        <v>45684</v>
      </c>
      <c r="C236" t="s">
        <v>1</v>
      </c>
      <c r="D236" t="s">
        <v>5</v>
      </c>
      <c r="E236" t="s">
        <v>75</v>
      </c>
      <c r="F236" s="2">
        <v>680</v>
      </c>
    </row>
    <row r="237" spans="1:6" x14ac:dyDescent="0.25">
      <c r="A237" s="1">
        <v>45684</v>
      </c>
      <c r="C237" t="s">
        <v>4</v>
      </c>
      <c r="D237" t="s">
        <v>2</v>
      </c>
      <c r="E237" t="s">
        <v>69</v>
      </c>
      <c r="F237" s="2">
        <v>372.47</v>
      </c>
    </row>
    <row r="238" spans="1:6" x14ac:dyDescent="0.25">
      <c r="A238" s="1">
        <v>45685</v>
      </c>
      <c r="C238" t="s">
        <v>4</v>
      </c>
      <c r="D238" t="s">
        <v>7</v>
      </c>
      <c r="E238" t="s">
        <v>27</v>
      </c>
      <c r="F238" s="2">
        <v>64.5</v>
      </c>
    </row>
    <row r="239" spans="1:6" x14ac:dyDescent="0.25">
      <c r="A239" s="1">
        <v>45685</v>
      </c>
      <c r="C239" t="s">
        <v>4</v>
      </c>
      <c r="D239" t="s">
        <v>7</v>
      </c>
      <c r="E239" t="s">
        <v>58</v>
      </c>
      <c r="F239" s="2">
        <v>37</v>
      </c>
    </row>
    <row r="240" spans="1:6" x14ac:dyDescent="0.25">
      <c r="A240" s="1">
        <v>45685</v>
      </c>
      <c r="C240" t="s">
        <v>1</v>
      </c>
      <c r="D240" t="s">
        <v>16</v>
      </c>
      <c r="E240" t="s">
        <v>178</v>
      </c>
      <c r="F240" s="2">
        <v>450</v>
      </c>
    </row>
    <row r="241" spans="1:6" x14ac:dyDescent="0.25">
      <c r="A241" s="1">
        <v>45685</v>
      </c>
      <c r="C241" t="s">
        <v>4</v>
      </c>
      <c r="D241" t="s">
        <v>7</v>
      </c>
      <c r="E241" t="s">
        <v>167</v>
      </c>
      <c r="F241" s="2">
        <v>94.45</v>
      </c>
    </row>
    <row r="242" spans="1:6" x14ac:dyDescent="0.25">
      <c r="A242" s="1">
        <v>45685</v>
      </c>
      <c r="C242" t="s">
        <v>4</v>
      </c>
      <c r="D242" t="s">
        <v>7</v>
      </c>
      <c r="E242" t="s">
        <v>27</v>
      </c>
      <c r="F242" s="2">
        <v>73</v>
      </c>
    </row>
    <row r="243" spans="1:6" x14ac:dyDescent="0.25">
      <c r="A243" s="1">
        <v>45685</v>
      </c>
      <c r="C243" t="s">
        <v>4</v>
      </c>
      <c r="D243" t="s">
        <v>54</v>
      </c>
      <c r="E243" t="s">
        <v>160</v>
      </c>
      <c r="F243" s="2">
        <v>50</v>
      </c>
    </row>
    <row r="244" spans="1:6" x14ac:dyDescent="0.25">
      <c r="A244" s="1">
        <v>45685</v>
      </c>
      <c r="C244" t="s">
        <v>4</v>
      </c>
      <c r="D244" t="s">
        <v>7</v>
      </c>
      <c r="E244" t="s">
        <v>167</v>
      </c>
      <c r="F244" s="2">
        <v>432</v>
      </c>
    </row>
    <row r="245" spans="1:6" x14ac:dyDescent="0.25">
      <c r="A245" s="1">
        <v>45685</v>
      </c>
      <c r="C245" t="s">
        <v>4</v>
      </c>
      <c r="D245" t="s">
        <v>54</v>
      </c>
      <c r="E245" t="s">
        <v>70</v>
      </c>
      <c r="F245" s="2">
        <v>356.52</v>
      </c>
    </row>
    <row r="246" spans="1:6" x14ac:dyDescent="0.25">
      <c r="A246" s="1">
        <v>45686</v>
      </c>
      <c r="C246" t="s">
        <v>4</v>
      </c>
      <c r="D246" t="s">
        <v>7</v>
      </c>
      <c r="E246" t="s">
        <v>167</v>
      </c>
      <c r="F246" s="2">
        <v>133.75</v>
      </c>
    </row>
    <row r="247" spans="1:6" x14ac:dyDescent="0.25">
      <c r="A247" s="1">
        <v>45686</v>
      </c>
      <c r="C247" t="s">
        <v>4</v>
      </c>
      <c r="D247" t="s">
        <v>16</v>
      </c>
      <c r="E247" t="s">
        <v>154</v>
      </c>
      <c r="F247" s="2">
        <v>700</v>
      </c>
    </row>
    <row r="248" spans="1:6" x14ac:dyDescent="0.25">
      <c r="A248" s="1">
        <v>45686</v>
      </c>
      <c r="C248" t="s">
        <v>4</v>
      </c>
      <c r="D248" t="s">
        <v>7</v>
      </c>
      <c r="E248" t="s">
        <v>17</v>
      </c>
      <c r="F248" s="2">
        <v>126.25</v>
      </c>
    </row>
    <row r="249" spans="1:6" x14ac:dyDescent="0.25">
      <c r="A249" s="1">
        <v>45686</v>
      </c>
      <c r="C249" t="s">
        <v>4</v>
      </c>
      <c r="D249" t="s">
        <v>5</v>
      </c>
      <c r="E249" t="s">
        <v>193</v>
      </c>
      <c r="F249" s="2">
        <v>360</v>
      </c>
    </row>
    <row r="250" spans="1:6" x14ac:dyDescent="0.25">
      <c r="A250" s="1">
        <v>45688</v>
      </c>
      <c r="C250" t="s">
        <v>4</v>
      </c>
      <c r="D250" t="s">
        <v>7</v>
      </c>
      <c r="E250" t="s">
        <v>7</v>
      </c>
      <c r="F250" s="2">
        <v>40.5</v>
      </c>
    </row>
    <row r="251" spans="1:6" x14ac:dyDescent="0.25">
      <c r="A251" s="1">
        <v>45688</v>
      </c>
      <c r="C251" t="s">
        <v>31</v>
      </c>
      <c r="D251" t="s">
        <v>10</v>
      </c>
      <c r="E251" t="s">
        <v>11</v>
      </c>
      <c r="F251" s="2">
        <v>392.96</v>
      </c>
    </row>
    <row r="252" spans="1:6" x14ac:dyDescent="0.25">
      <c r="A252" s="1">
        <v>45688</v>
      </c>
      <c r="C252" t="s">
        <v>9</v>
      </c>
      <c r="D252" t="s">
        <v>10</v>
      </c>
      <c r="E252" t="s">
        <v>11</v>
      </c>
      <c r="F252" s="2">
        <v>500</v>
      </c>
    </row>
    <row r="253" spans="1:6" x14ac:dyDescent="0.25">
      <c r="A253" s="1">
        <v>45688</v>
      </c>
      <c r="C253" t="s">
        <v>13</v>
      </c>
      <c r="D253" t="s">
        <v>10</v>
      </c>
      <c r="E253" t="s">
        <v>11</v>
      </c>
      <c r="F253" s="2">
        <v>500</v>
      </c>
    </row>
    <row r="254" spans="1:6" x14ac:dyDescent="0.25">
      <c r="A254" s="1">
        <v>45688</v>
      </c>
      <c r="C254" t="s">
        <v>4</v>
      </c>
      <c r="D254" t="s">
        <v>5</v>
      </c>
      <c r="E254" t="s">
        <v>6</v>
      </c>
      <c r="F254" s="2">
        <v>150</v>
      </c>
    </row>
    <row r="255" spans="1:6" x14ac:dyDescent="0.25">
      <c r="A255" s="1">
        <v>45688</v>
      </c>
      <c r="C255" t="s">
        <v>1</v>
      </c>
      <c r="D255" t="s">
        <v>5</v>
      </c>
      <c r="E255" t="s">
        <v>5</v>
      </c>
      <c r="F255" s="2">
        <v>1400</v>
      </c>
    </row>
    <row r="256" spans="1:6" x14ac:dyDescent="0.25">
      <c r="A256" s="1">
        <v>45688</v>
      </c>
      <c r="C256" t="s">
        <v>4</v>
      </c>
      <c r="D256" t="s">
        <v>7</v>
      </c>
      <c r="E256" t="s">
        <v>70</v>
      </c>
      <c r="F256" s="2">
        <v>565.36</v>
      </c>
    </row>
    <row r="257" spans="1:6" x14ac:dyDescent="0.25">
      <c r="A257" s="1">
        <v>45689</v>
      </c>
      <c r="C257" t="s">
        <v>18</v>
      </c>
      <c r="D257" t="s">
        <v>10</v>
      </c>
      <c r="E257" t="s">
        <v>189</v>
      </c>
      <c r="F257" s="2">
        <v>999.95</v>
      </c>
    </row>
    <row r="258" spans="1:6" x14ac:dyDescent="0.25">
      <c r="A258" s="1">
        <v>45689</v>
      </c>
      <c r="C258" t="s">
        <v>4</v>
      </c>
      <c r="D258" t="s">
        <v>7</v>
      </c>
      <c r="E258" t="s">
        <v>144</v>
      </c>
      <c r="F258" s="2">
        <v>174.5</v>
      </c>
    </row>
    <row r="259" spans="1:6" x14ac:dyDescent="0.25">
      <c r="A259" s="1">
        <v>45689</v>
      </c>
      <c r="C259" t="s">
        <v>4</v>
      </c>
      <c r="D259" t="s">
        <v>7</v>
      </c>
      <c r="E259" t="s">
        <v>144</v>
      </c>
      <c r="F259" s="2">
        <v>280.75</v>
      </c>
    </row>
    <row r="260" spans="1:6" x14ac:dyDescent="0.25">
      <c r="A260" s="1">
        <v>45689</v>
      </c>
      <c r="C260" t="s">
        <v>4</v>
      </c>
      <c r="D260" t="s">
        <v>7</v>
      </c>
      <c r="E260" t="s">
        <v>144</v>
      </c>
      <c r="F260" s="2">
        <v>245.02</v>
      </c>
    </row>
    <row r="261" spans="1:6" x14ac:dyDescent="0.25">
      <c r="A261" s="1">
        <v>45689</v>
      </c>
      <c r="C261" t="s">
        <v>4</v>
      </c>
      <c r="D261" t="s">
        <v>5</v>
      </c>
      <c r="E261" t="s">
        <v>190</v>
      </c>
      <c r="F261" s="2">
        <v>400</v>
      </c>
    </row>
    <row r="262" spans="1:6" x14ac:dyDescent="0.25">
      <c r="A262" s="1">
        <v>45689</v>
      </c>
      <c r="C262" t="s">
        <v>31</v>
      </c>
      <c r="D262" t="s">
        <v>10</v>
      </c>
      <c r="E262" t="s">
        <v>192</v>
      </c>
      <c r="F262" s="2">
        <v>603.5</v>
      </c>
    </row>
    <row r="263" spans="1:6" x14ac:dyDescent="0.25">
      <c r="A263" s="1">
        <v>45689</v>
      </c>
      <c r="C263" t="s">
        <v>13</v>
      </c>
      <c r="D263" t="s">
        <v>10</v>
      </c>
      <c r="E263" t="s">
        <v>194</v>
      </c>
      <c r="F263" s="2">
        <v>340.73</v>
      </c>
    </row>
    <row r="264" spans="1:6" x14ac:dyDescent="0.25">
      <c r="A264" s="1">
        <v>45689</v>
      </c>
      <c r="C264" t="s">
        <v>31</v>
      </c>
      <c r="D264" t="s">
        <v>10</v>
      </c>
      <c r="E264" t="s">
        <v>194</v>
      </c>
      <c r="F264" s="2">
        <v>350</v>
      </c>
    </row>
    <row r="265" spans="1:6" x14ac:dyDescent="0.25">
      <c r="A265" s="1">
        <v>45689</v>
      </c>
      <c r="C265" t="s">
        <v>4</v>
      </c>
      <c r="D265" t="s">
        <v>7</v>
      </c>
      <c r="E265" t="s">
        <v>7</v>
      </c>
      <c r="F265" s="2">
        <v>69.8</v>
      </c>
    </row>
    <row r="266" spans="1:6" x14ac:dyDescent="0.25">
      <c r="A266" s="1">
        <v>45689</v>
      </c>
      <c r="C266" t="s">
        <v>4</v>
      </c>
      <c r="D266" t="s">
        <v>7</v>
      </c>
      <c r="E266" t="s">
        <v>195</v>
      </c>
      <c r="F266" s="2">
        <v>269.64999999999998</v>
      </c>
    </row>
    <row r="267" spans="1:6" x14ac:dyDescent="0.25">
      <c r="A267" s="1">
        <v>45690</v>
      </c>
      <c r="C267" t="s">
        <v>4</v>
      </c>
      <c r="D267" t="s">
        <v>16</v>
      </c>
      <c r="E267" t="s">
        <v>155</v>
      </c>
      <c r="F267" s="2">
        <v>39</v>
      </c>
    </row>
    <row r="268" spans="1:6" x14ac:dyDescent="0.25">
      <c r="A268" s="1">
        <v>45690</v>
      </c>
      <c r="C268" t="s">
        <v>4</v>
      </c>
      <c r="D268" t="s">
        <v>7</v>
      </c>
      <c r="E268" t="s">
        <v>162</v>
      </c>
      <c r="F268" s="2">
        <v>596.25</v>
      </c>
    </row>
    <row r="269" spans="1:6" x14ac:dyDescent="0.25">
      <c r="A269" s="1">
        <v>45690</v>
      </c>
      <c r="C269" t="s">
        <v>31</v>
      </c>
      <c r="D269" t="s">
        <v>10</v>
      </c>
      <c r="E269" t="s">
        <v>16</v>
      </c>
      <c r="F269" s="2">
        <v>879.95</v>
      </c>
    </row>
    <row r="270" spans="1:6" x14ac:dyDescent="0.25">
      <c r="A270" s="1">
        <v>45690</v>
      </c>
      <c r="C270" t="s">
        <v>18</v>
      </c>
      <c r="D270" t="s">
        <v>16</v>
      </c>
      <c r="E270" t="s">
        <v>198</v>
      </c>
      <c r="F270" s="2">
        <v>189.5</v>
      </c>
    </row>
    <row r="271" spans="1:6" x14ac:dyDescent="0.25">
      <c r="A271" s="1">
        <v>45690</v>
      </c>
      <c r="C271" t="s">
        <v>1</v>
      </c>
      <c r="D271" t="s">
        <v>16</v>
      </c>
      <c r="E271" t="s">
        <v>39</v>
      </c>
      <c r="F271" s="2">
        <v>150</v>
      </c>
    </row>
    <row r="272" spans="1:6" x14ac:dyDescent="0.25">
      <c r="A272" s="1">
        <v>45691</v>
      </c>
      <c r="C272" t="s">
        <v>9</v>
      </c>
      <c r="D272" t="s">
        <v>16</v>
      </c>
      <c r="E272" t="s">
        <v>36</v>
      </c>
      <c r="F272" s="2">
        <v>155</v>
      </c>
    </row>
    <row r="273" spans="1:6" x14ac:dyDescent="0.25">
      <c r="A273" s="1">
        <v>45691</v>
      </c>
      <c r="C273" t="s">
        <v>4</v>
      </c>
      <c r="D273" t="s">
        <v>7</v>
      </c>
      <c r="E273" t="s">
        <v>7</v>
      </c>
      <c r="F273" s="2">
        <v>22.28</v>
      </c>
    </row>
    <row r="274" spans="1:6" x14ac:dyDescent="0.25">
      <c r="A274" s="1">
        <v>45691</v>
      </c>
      <c r="C274" t="s">
        <v>4</v>
      </c>
      <c r="D274" t="s">
        <v>7</v>
      </c>
      <c r="E274" t="s">
        <v>7</v>
      </c>
      <c r="F274" s="2">
        <v>17.399999999999999</v>
      </c>
    </row>
    <row r="275" spans="1:6" x14ac:dyDescent="0.25">
      <c r="A275" s="1">
        <v>45692</v>
      </c>
      <c r="C275" t="s">
        <v>18</v>
      </c>
      <c r="D275" t="s">
        <v>16</v>
      </c>
      <c r="E275" t="s">
        <v>154</v>
      </c>
      <c r="F275" s="2">
        <v>100</v>
      </c>
    </row>
    <row r="276" spans="1:6" x14ac:dyDescent="0.25">
      <c r="A276" s="1">
        <v>45692</v>
      </c>
      <c r="C276" t="s">
        <v>9</v>
      </c>
      <c r="D276" t="s">
        <v>10</v>
      </c>
      <c r="E276" t="s">
        <v>62</v>
      </c>
      <c r="F276" s="2">
        <v>402.99</v>
      </c>
    </row>
    <row r="277" spans="1:6" x14ac:dyDescent="0.25">
      <c r="A277" s="1">
        <v>45692</v>
      </c>
      <c r="C277" t="s">
        <v>18</v>
      </c>
      <c r="D277" t="s">
        <v>16</v>
      </c>
      <c r="E277" t="s">
        <v>5</v>
      </c>
      <c r="F277" s="2">
        <v>310</v>
      </c>
    </row>
    <row r="278" spans="1:6" x14ac:dyDescent="0.25">
      <c r="A278" s="1">
        <v>45692</v>
      </c>
      <c r="C278" t="s">
        <v>4</v>
      </c>
      <c r="D278" t="s">
        <v>7</v>
      </c>
      <c r="E278" t="s">
        <v>7</v>
      </c>
      <c r="F278" s="2">
        <v>86.5</v>
      </c>
    </row>
    <row r="279" spans="1:6" x14ac:dyDescent="0.25">
      <c r="A279" s="1">
        <v>45692</v>
      </c>
      <c r="C279" t="s">
        <v>4</v>
      </c>
      <c r="D279" t="s">
        <v>7</v>
      </c>
      <c r="E279" t="s">
        <v>195</v>
      </c>
      <c r="F279" s="2">
        <v>194.89</v>
      </c>
    </row>
    <row r="280" spans="1:6" x14ac:dyDescent="0.25">
      <c r="A280" s="1">
        <v>45693</v>
      </c>
      <c r="C280" t="s">
        <v>16</v>
      </c>
      <c r="D280" t="s">
        <v>16</v>
      </c>
      <c r="E280" t="s">
        <v>196</v>
      </c>
      <c r="F280" s="2">
        <v>5316.58</v>
      </c>
    </row>
    <row r="281" spans="1:6" x14ac:dyDescent="0.25">
      <c r="A281" s="1">
        <v>45693</v>
      </c>
      <c r="C281" t="s">
        <v>18</v>
      </c>
      <c r="D281" t="s">
        <v>16</v>
      </c>
      <c r="E281" t="s">
        <v>30</v>
      </c>
      <c r="F281" s="2">
        <v>2540</v>
      </c>
    </row>
    <row r="282" spans="1:6" x14ac:dyDescent="0.25">
      <c r="A282" s="1">
        <v>45693</v>
      </c>
      <c r="C282" t="s">
        <v>1</v>
      </c>
      <c r="D282" t="s">
        <v>16</v>
      </c>
      <c r="E282" t="s">
        <v>16</v>
      </c>
      <c r="F282" s="2">
        <v>20</v>
      </c>
    </row>
    <row r="283" spans="1:6" x14ac:dyDescent="0.25">
      <c r="A283" s="1">
        <v>45693</v>
      </c>
      <c r="C283" t="s">
        <v>1</v>
      </c>
      <c r="D283" t="s">
        <v>16</v>
      </c>
      <c r="E283" t="s">
        <v>75</v>
      </c>
      <c r="F283" s="2">
        <v>840</v>
      </c>
    </row>
    <row r="284" spans="1:6" x14ac:dyDescent="0.25">
      <c r="A284" s="1">
        <v>45693</v>
      </c>
      <c r="C284" t="s">
        <v>1</v>
      </c>
      <c r="D284" t="s">
        <v>16</v>
      </c>
      <c r="E284" t="s">
        <v>16</v>
      </c>
      <c r="F284" s="2">
        <v>199.9</v>
      </c>
    </row>
    <row r="285" spans="1:6" x14ac:dyDescent="0.25">
      <c r="A285" s="1">
        <v>45694</v>
      </c>
      <c r="C285" t="s">
        <v>16</v>
      </c>
      <c r="D285" t="s">
        <v>16</v>
      </c>
      <c r="E285" t="s">
        <v>54</v>
      </c>
      <c r="F285" s="2">
        <v>50.5</v>
      </c>
    </row>
    <row r="286" spans="1:6" x14ac:dyDescent="0.25">
      <c r="A286" s="1">
        <v>45694</v>
      </c>
      <c r="C286" t="s">
        <v>4</v>
      </c>
      <c r="D286" t="s">
        <v>7</v>
      </c>
      <c r="E286" t="s">
        <v>197</v>
      </c>
      <c r="F286" s="2">
        <v>500</v>
      </c>
    </row>
    <row r="287" spans="1:6" x14ac:dyDescent="0.25">
      <c r="A287" s="1">
        <v>45694</v>
      </c>
      <c r="C287" t="s">
        <v>4</v>
      </c>
      <c r="D287" t="s">
        <v>7</v>
      </c>
      <c r="E287" t="s">
        <v>144</v>
      </c>
      <c r="F287" s="2">
        <v>169.8</v>
      </c>
    </row>
    <row r="288" spans="1:6" x14ac:dyDescent="0.25">
      <c r="A288" s="1">
        <v>45694</v>
      </c>
      <c r="C288" t="s">
        <v>4</v>
      </c>
      <c r="D288" t="s">
        <v>7</v>
      </c>
      <c r="E288" t="s">
        <v>175</v>
      </c>
      <c r="F288" s="2">
        <v>97.6</v>
      </c>
    </row>
    <row r="289" spans="1:6" x14ac:dyDescent="0.25">
      <c r="A289" s="1">
        <v>45695</v>
      </c>
      <c r="C289" t="s">
        <v>18</v>
      </c>
      <c r="D289" t="s">
        <v>16</v>
      </c>
      <c r="E289" t="s">
        <v>154</v>
      </c>
      <c r="F289" s="2">
        <v>500</v>
      </c>
    </row>
    <row r="290" spans="1:6" x14ac:dyDescent="0.25">
      <c r="A290" s="1">
        <v>45695</v>
      </c>
      <c r="C290" t="s">
        <v>16</v>
      </c>
      <c r="D290" t="s">
        <v>16</v>
      </c>
      <c r="E290" t="s">
        <v>49</v>
      </c>
      <c r="F290" s="2">
        <v>390</v>
      </c>
    </row>
    <row r="291" spans="1:6" x14ac:dyDescent="0.25">
      <c r="A291" s="1">
        <v>45695</v>
      </c>
      <c r="C291" t="s">
        <v>31</v>
      </c>
      <c r="D291" t="s">
        <v>10</v>
      </c>
      <c r="E291" t="s">
        <v>62</v>
      </c>
      <c r="F291" s="2">
        <v>418.99</v>
      </c>
    </row>
    <row r="292" spans="1:6" x14ac:dyDescent="0.25">
      <c r="A292" s="1">
        <v>45695</v>
      </c>
      <c r="C292" t="s">
        <v>9</v>
      </c>
      <c r="D292" t="s">
        <v>10</v>
      </c>
      <c r="E292" t="s">
        <v>62</v>
      </c>
      <c r="F292" s="2">
        <v>418.99</v>
      </c>
    </row>
    <row r="293" spans="1:6" x14ac:dyDescent="0.25">
      <c r="A293" s="1">
        <v>45695</v>
      </c>
      <c r="C293" t="s">
        <v>18</v>
      </c>
      <c r="D293" t="s">
        <v>10</v>
      </c>
      <c r="E293" t="s">
        <v>62</v>
      </c>
      <c r="F293" s="2">
        <v>800</v>
      </c>
    </row>
    <row r="294" spans="1:6" x14ac:dyDescent="0.25">
      <c r="A294" s="1">
        <v>45695</v>
      </c>
      <c r="C294" t="s">
        <v>9</v>
      </c>
      <c r="D294" t="s">
        <v>16</v>
      </c>
      <c r="E294" t="s">
        <v>62</v>
      </c>
      <c r="F294" s="2">
        <v>259.99</v>
      </c>
    </row>
    <row r="295" spans="1:6" x14ac:dyDescent="0.25">
      <c r="A295" s="1">
        <v>45695</v>
      </c>
      <c r="C295" t="s">
        <v>4</v>
      </c>
      <c r="D295" t="s">
        <v>7</v>
      </c>
      <c r="E295" t="s">
        <v>162</v>
      </c>
      <c r="F295" s="2">
        <v>40.75</v>
      </c>
    </row>
    <row r="296" spans="1:6" x14ac:dyDescent="0.25">
      <c r="A296" s="1">
        <v>45695</v>
      </c>
      <c r="C296" t="s">
        <v>4</v>
      </c>
      <c r="D296" t="s">
        <v>7</v>
      </c>
      <c r="E296" t="s">
        <v>175</v>
      </c>
      <c r="F296" s="2">
        <v>17.559999999999999</v>
      </c>
    </row>
    <row r="297" spans="1:6" x14ac:dyDescent="0.25">
      <c r="A297" s="1">
        <v>45696</v>
      </c>
      <c r="C297" t="s">
        <v>4</v>
      </c>
      <c r="D297" t="s">
        <v>7</v>
      </c>
      <c r="E297" t="s">
        <v>26</v>
      </c>
      <c r="F297" s="2">
        <v>603.32000000000005</v>
      </c>
    </row>
    <row r="298" spans="1:6" x14ac:dyDescent="0.25">
      <c r="A298" s="1">
        <v>45696</v>
      </c>
      <c r="C298" t="s">
        <v>4</v>
      </c>
      <c r="D298" t="s">
        <v>7</v>
      </c>
      <c r="E298" t="s">
        <v>58</v>
      </c>
      <c r="F298" s="2">
        <v>160</v>
      </c>
    </row>
    <row r="299" spans="1:6" x14ac:dyDescent="0.25">
      <c r="A299" s="1">
        <v>45696</v>
      </c>
      <c r="C299" t="s">
        <v>4</v>
      </c>
      <c r="D299" t="s">
        <v>7</v>
      </c>
      <c r="E299" t="s">
        <v>26</v>
      </c>
      <c r="F299" s="2">
        <v>117.45</v>
      </c>
    </row>
    <row r="300" spans="1:6" x14ac:dyDescent="0.25">
      <c r="A300" s="1">
        <v>45696</v>
      </c>
      <c r="C300" t="s">
        <v>4</v>
      </c>
      <c r="D300" t="s">
        <v>7</v>
      </c>
      <c r="E300" t="s">
        <v>175</v>
      </c>
      <c r="F300" s="2">
        <v>276.56</v>
      </c>
    </row>
    <row r="301" spans="1:6" x14ac:dyDescent="0.25">
      <c r="A301" s="1">
        <v>45699</v>
      </c>
      <c r="C301" t="s">
        <v>18</v>
      </c>
      <c r="D301" t="s">
        <v>16</v>
      </c>
      <c r="E301" t="s">
        <v>154</v>
      </c>
      <c r="F301" s="2">
        <v>200</v>
      </c>
    </row>
    <row r="302" spans="1:6" x14ac:dyDescent="0.25">
      <c r="A302" s="1">
        <v>45700</v>
      </c>
      <c r="C302" t="s">
        <v>1</v>
      </c>
      <c r="D302" t="s">
        <v>2</v>
      </c>
      <c r="E302" t="s">
        <v>3</v>
      </c>
      <c r="F302" s="2">
        <v>286</v>
      </c>
    </row>
    <row r="303" spans="1:6" x14ac:dyDescent="0.25">
      <c r="A303" s="1">
        <v>45699</v>
      </c>
      <c r="C303" t="s">
        <v>4</v>
      </c>
      <c r="D303" t="s">
        <v>7</v>
      </c>
      <c r="E303" t="s">
        <v>167</v>
      </c>
      <c r="F303" s="2">
        <v>15.47</v>
      </c>
    </row>
    <row r="304" spans="1:6" x14ac:dyDescent="0.25">
      <c r="A304" s="1">
        <v>45699</v>
      </c>
      <c r="C304" t="s">
        <v>4</v>
      </c>
      <c r="D304" t="s">
        <v>7</v>
      </c>
      <c r="E304" t="s">
        <v>167</v>
      </c>
      <c r="F304" s="2">
        <v>39.5</v>
      </c>
    </row>
    <row r="305" spans="1:6" x14ac:dyDescent="0.25">
      <c r="A305" s="1">
        <v>45699</v>
      </c>
      <c r="C305" t="s">
        <v>4</v>
      </c>
      <c r="D305" t="s">
        <v>7</v>
      </c>
      <c r="E305" t="s">
        <v>144</v>
      </c>
      <c r="F305" s="2">
        <v>504.96</v>
      </c>
    </row>
    <row r="306" spans="1:6" x14ac:dyDescent="0.25">
      <c r="A306" s="1">
        <v>45700</v>
      </c>
      <c r="C306" t="s">
        <v>4</v>
      </c>
      <c r="D306" t="s">
        <v>7</v>
      </c>
      <c r="E306" t="s">
        <v>199</v>
      </c>
      <c r="F306" s="2">
        <v>517</v>
      </c>
    </row>
    <row r="307" spans="1:6" x14ac:dyDescent="0.25">
      <c r="A307" s="1">
        <v>45700</v>
      </c>
      <c r="C307" t="s">
        <v>4</v>
      </c>
      <c r="D307" t="s">
        <v>7</v>
      </c>
      <c r="E307" t="s">
        <v>7</v>
      </c>
      <c r="F307" s="2">
        <v>480</v>
      </c>
    </row>
    <row r="308" spans="1:6" x14ac:dyDescent="0.25">
      <c r="A308" s="1">
        <v>45700</v>
      </c>
      <c r="C308" t="s">
        <v>4</v>
      </c>
      <c r="D308" t="s">
        <v>7</v>
      </c>
      <c r="E308" t="s">
        <v>144</v>
      </c>
      <c r="F308" s="2">
        <v>1061.58</v>
      </c>
    </row>
    <row r="309" spans="1:6" x14ac:dyDescent="0.25">
      <c r="A309" s="1">
        <v>45700</v>
      </c>
      <c r="C309" t="s">
        <v>4</v>
      </c>
      <c r="D309" t="s">
        <v>16</v>
      </c>
      <c r="E309" t="s">
        <v>200</v>
      </c>
      <c r="F309" s="2">
        <f>14444.48*9</f>
        <v>130000.31999999999</v>
      </c>
    </row>
    <row r="310" spans="1:6" x14ac:dyDescent="0.25">
      <c r="A310" s="1">
        <v>45700</v>
      </c>
      <c r="C310" t="s">
        <v>4</v>
      </c>
      <c r="D310" t="s">
        <v>7</v>
      </c>
      <c r="E310" t="s">
        <v>201</v>
      </c>
      <c r="F310" s="2">
        <v>350</v>
      </c>
    </row>
    <row r="311" spans="1:6" x14ac:dyDescent="0.25">
      <c r="A311" s="1">
        <v>45705</v>
      </c>
      <c r="C311" t="s">
        <v>18</v>
      </c>
      <c r="D311" t="s">
        <v>10</v>
      </c>
      <c r="E311" t="s">
        <v>173</v>
      </c>
      <c r="F311" s="2">
        <v>2000</v>
      </c>
    </row>
    <row r="312" spans="1:6" x14ac:dyDescent="0.25">
      <c r="A312" s="1">
        <v>45698</v>
      </c>
      <c r="C312" t="s">
        <v>4</v>
      </c>
      <c r="D312" t="s">
        <v>7</v>
      </c>
      <c r="E312" t="s">
        <v>56</v>
      </c>
      <c r="F312" s="2">
        <v>569.78</v>
      </c>
    </row>
    <row r="313" spans="1:6" x14ac:dyDescent="0.25">
      <c r="A313" s="1">
        <v>45698</v>
      </c>
      <c r="C313" t="s">
        <v>4</v>
      </c>
      <c r="D313" t="s">
        <v>7</v>
      </c>
      <c r="E313" t="s">
        <v>7</v>
      </c>
      <c r="F313" s="2">
        <v>263.01</v>
      </c>
    </row>
    <row r="314" spans="1:6" x14ac:dyDescent="0.25">
      <c r="A314" s="1">
        <v>45700</v>
      </c>
      <c r="C314" t="s">
        <v>31</v>
      </c>
      <c r="D314" t="s">
        <v>2</v>
      </c>
      <c r="E314" t="s">
        <v>3</v>
      </c>
      <c r="F314" s="2">
        <v>303.25</v>
      </c>
    </row>
    <row r="315" spans="1:6" x14ac:dyDescent="0.25">
      <c r="A315" s="1">
        <v>45702</v>
      </c>
      <c r="C315" t="s">
        <v>1</v>
      </c>
      <c r="D315" t="s">
        <v>16</v>
      </c>
      <c r="E315" t="s">
        <v>16</v>
      </c>
      <c r="F315" s="2">
        <v>299.99</v>
      </c>
    </row>
    <row r="316" spans="1:6" x14ac:dyDescent="0.25">
      <c r="A316" s="1">
        <v>45702</v>
      </c>
      <c r="C316" t="s">
        <v>4</v>
      </c>
      <c r="D316" t="s">
        <v>7</v>
      </c>
      <c r="E316" t="s">
        <v>54</v>
      </c>
      <c r="F316" s="2">
        <v>94</v>
      </c>
    </row>
    <row r="317" spans="1:6" x14ac:dyDescent="0.25">
      <c r="A317" s="1">
        <v>45702</v>
      </c>
      <c r="C317" t="s">
        <v>4</v>
      </c>
      <c r="D317" t="s">
        <v>7</v>
      </c>
      <c r="E317" t="s">
        <v>7</v>
      </c>
      <c r="F317" s="2">
        <v>49.25</v>
      </c>
    </row>
    <row r="318" spans="1:6" x14ac:dyDescent="0.25">
      <c r="A318" s="1">
        <v>45702</v>
      </c>
      <c r="C318" t="s">
        <v>4</v>
      </c>
      <c r="D318" t="s">
        <v>7</v>
      </c>
      <c r="E318" t="s">
        <v>7</v>
      </c>
      <c r="F318" s="2">
        <v>37.5</v>
      </c>
    </row>
    <row r="319" spans="1:6" x14ac:dyDescent="0.25">
      <c r="A319" s="1">
        <v>45703</v>
      </c>
      <c r="C319" t="s">
        <v>4</v>
      </c>
      <c r="D319" t="s">
        <v>7</v>
      </c>
      <c r="E319" t="s">
        <v>144</v>
      </c>
      <c r="F319" s="2">
        <v>761.45</v>
      </c>
    </row>
    <row r="320" spans="1:6" x14ac:dyDescent="0.25">
      <c r="A320" s="1">
        <v>45703</v>
      </c>
      <c r="C320" t="s">
        <v>4</v>
      </c>
      <c r="D320" t="s">
        <v>7</v>
      </c>
      <c r="E320" t="s">
        <v>199</v>
      </c>
      <c r="F320" s="2">
        <v>305</v>
      </c>
    </row>
    <row r="321" spans="1:6" x14ac:dyDescent="0.25">
      <c r="A321" s="1">
        <v>45703</v>
      </c>
      <c r="C321" t="s">
        <v>4</v>
      </c>
      <c r="D321" t="s">
        <v>7</v>
      </c>
      <c r="E321" t="s">
        <v>70</v>
      </c>
      <c r="F321" s="2">
        <f>119.33+49.9</f>
        <v>169.23</v>
      </c>
    </row>
    <row r="322" spans="1:6" x14ac:dyDescent="0.25">
      <c r="A322" s="1">
        <v>45704</v>
      </c>
      <c r="C322" t="s">
        <v>4</v>
      </c>
      <c r="D322" t="s">
        <v>7</v>
      </c>
      <c r="E322" t="s">
        <v>167</v>
      </c>
      <c r="F322" s="2">
        <v>118.45</v>
      </c>
    </row>
    <row r="323" spans="1:6" x14ac:dyDescent="0.25">
      <c r="A323" s="1">
        <v>45704</v>
      </c>
      <c r="C323" t="s">
        <v>4</v>
      </c>
      <c r="D323" t="s">
        <v>7</v>
      </c>
      <c r="E323" t="s">
        <v>37</v>
      </c>
      <c r="F323" s="2">
        <v>569.20000000000005</v>
      </c>
    </row>
    <row r="324" spans="1:6" x14ac:dyDescent="0.25">
      <c r="A324" s="1">
        <v>45705</v>
      </c>
      <c r="C324" t="s">
        <v>18</v>
      </c>
      <c r="D324" t="s">
        <v>10</v>
      </c>
      <c r="E324" t="s">
        <v>173</v>
      </c>
      <c r="F324" s="2">
        <v>2000</v>
      </c>
    </row>
    <row r="325" spans="1:6" x14ac:dyDescent="0.25">
      <c r="A325" s="1">
        <v>45705</v>
      </c>
      <c r="C325" t="s">
        <v>18</v>
      </c>
      <c r="D325" t="s">
        <v>2</v>
      </c>
      <c r="E325" t="s">
        <v>3</v>
      </c>
      <c r="F325" s="2">
        <v>383.25</v>
      </c>
    </row>
    <row r="326" spans="1:6" x14ac:dyDescent="0.25">
      <c r="A326" s="1">
        <v>45707</v>
      </c>
      <c r="C326" t="s">
        <v>13</v>
      </c>
      <c r="D326" t="s">
        <v>33</v>
      </c>
      <c r="E326" t="s">
        <v>203</v>
      </c>
      <c r="F326" s="2">
        <v>2000</v>
      </c>
    </row>
    <row r="327" spans="1:6" x14ac:dyDescent="0.25">
      <c r="A327" s="1">
        <v>45708</v>
      </c>
      <c r="C327" t="s">
        <v>18</v>
      </c>
      <c r="D327" t="s">
        <v>16</v>
      </c>
      <c r="E327" t="s">
        <v>204</v>
      </c>
      <c r="F327" s="2">
        <f>578*2</f>
        <v>1156</v>
      </c>
    </row>
    <row r="328" spans="1:6" x14ac:dyDescent="0.25">
      <c r="A328" s="1">
        <v>45705</v>
      </c>
      <c r="C328" t="s">
        <v>4</v>
      </c>
      <c r="D328" t="s">
        <v>2</v>
      </c>
      <c r="E328" t="s">
        <v>52</v>
      </c>
      <c r="F328" s="2">
        <v>1015</v>
      </c>
    </row>
    <row r="329" spans="1:6" x14ac:dyDescent="0.25">
      <c r="A329" s="1">
        <v>45706</v>
      </c>
      <c r="C329" t="s">
        <v>4</v>
      </c>
      <c r="D329" t="s">
        <v>7</v>
      </c>
      <c r="E329" t="s">
        <v>144</v>
      </c>
      <c r="F329" s="2">
        <v>457</v>
      </c>
    </row>
    <row r="330" spans="1:6" x14ac:dyDescent="0.25">
      <c r="A330" s="1">
        <v>45706</v>
      </c>
      <c r="C330" t="s">
        <v>4</v>
      </c>
      <c r="D330" t="s">
        <v>7</v>
      </c>
      <c r="E330" t="s">
        <v>205</v>
      </c>
      <c r="F330" s="2">
        <v>330</v>
      </c>
    </row>
    <row r="331" spans="1:6" x14ac:dyDescent="0.25">
      <c r="A331" s="1">
        <v>45707</v>
      </c>
      <c r="C331" t="s">
        <v>9</v>
      </c>
      <c r="D331" t="s">
        <v>10</v>
      </c>
      <c r="E331" t="s">
        <v>62</v>
      </c>
      <c r="F331" s="2">
        <v>525</v>
      </c>
    </row>
    <row r="332" spans="1:6" x14ac:dyDescent="0.25">
      <c r="A332" s="1">
        <v>45707</v>
      </c>
      <c r="C332" t="s">
        <v>13</v>
      </c>
      <c r="D332" t="s">
        <v>10</v>
      </c>
      <c r="E332" t="s">
        <v>62</v>
      </c>
      <c r="F332" s="2">
        <v>525</v>
      </c>
    </row>
    <row r="333" spans="1:6" x14ac:dyDescent="0.25">
      <c r="A333" s="1">
        <v>45707</v>
      </c>
      <c r="C333" t="s">
        <v>18</v>
      </c>
      <c r="D333" t="s">
        <v>10</v>
      </c>
      <c r="E333" t="s">
        <v>206</v>
      </c>
      <c r="F333" s="2">
        <v>705</v>
      </c>
    </row>
    <row r="334" spans="1:6" x14ac:dyDescent="0.25">
      <c r="A334" s="1">
        <v>45707</v>
      </c>
      <c r="C334" t="s">
        <v>18</v>
      </c>
      <c r="D334" t="s">
        <v>5</v>
      </c>
      <c r="E334" t="s">
        <v>207</v>
      </c>
      <c r="F334" s="2">
        <v>513</v>
      </c>
    </row>
    <row r="335" spans="1:6" x14ac:dyDescent="0.25">
      <c r="A335" s="1">
        <v>45707</v>
      </c>
      <c r="C335" t="s">
        <v>4</v>
      </c>
      <c r="D335" t="s">
        <v>7</v>
      </c>
      <c r="E335" t="s">
        <v>7</v>
      </c>
      <c r="F335" s="2">
        <v>85.25</v>
      </c>
    </row>
    <row r="336" spans="1:6" x14ac:dyDescent="0.25">
      <c r="A336" s="1">
        <v>45697</v>
      </c>
      <c r="C336" t="s">
        <v>1</v>
      </c>
      <c r="D336" t="s">
        <v>7</v>
      </c>
      <c r="E336" t="s">
        <v>167</v>
      </c>
      <c r="F336" s="2">
        <v>120.5</v>
      </c>
    </row>
    <row r="337" spans="1:6" x14ac:dyDescent="0.25">
      <c r="A337" s="1">
        <v>45697</v>
      </c>
      <c r="C337" t="s">
        <v>4</v>
      </c>
      <c r="D337" t="s">
        <v>7</v>
      </c>
      <c r="E337" t="s">
        <v>167</v>
      </c>
      <c r="F337" s="2">
        <v>792.26</v>
      </c>
    </row>
    <row r="338" spans="1:6" x14ac:dyDescent="0.25">
      <c r="A338" s="1">
        <v>45705</v>
      </c>
      <c r="C338" t="s">
        <v>16</v>
      </c>
      <c r="D338" t="s">
        <v>16</v>
      </c>
      <c r="E338" t="s">
        <v>208</v>
      </c>
      <c r="F338" s="2">
        <f>5250*2</f>
        <v>10500</v>
      </c>
    </row>
    <row r="339" spans="1:6" x14ac:dyDescent="0.25">
      <c r="A339" s="1">
        <v>45705</v>
      </c>
      <c r="C339" t="s">
        <v>16</v>
      </c>
      <c r="D339" t="s">
        <v>16</v>
      </c>
      <c r="E339" t="s">
        <v>209</v>
      </c>
      <c r="F339" s="2">
        <f>7398*3</f>
        <v>22194</v>
      </c>
    </row>
    <row r="340" spans="1:6" x14ac:dyDescent="0.25">
      <c r="A340" s="1">
        <v>45705</v>
      </c>
      <c r="C340" t="s">
        <v>4</v>
      </c>
      <c r="D340" t="s">
        <v>7</v>
      </c>
      <c r="E340" t="s">
        <v>70</v>
      </c>
      <c r="F340" s="2">
        <v>793.16</v>
      </c>
    </row>
    <row r="341" spans="1:6" x14ac:dyDescent="0.25">
      <c r="A341" s="1">
        <v>45706</v>
      </c>
      <c r="C341" t="s">
        <v>1</v>
      </c>
      <c r="D341" t="s">
        <v>5</v>
      </c>
      <c r="E341" t="s">
        <v>75</v>
      </c>
      <c r="F341" s="2">
        <v>600</v>
      </c>
    </row>
    <row r="342" spans="1:6" x14ac:dyDescent="0.25">
      <c r="A342" s="1">
        <v>45707</v>
      </c>
      <c r="C342" t="s">
        <v>4</v>
      </c>
      <c r="D342" t="s">
        <v>7</v>
      </c>
      <c r="E342" t="s">
        <v>37</v>
      </c>
      <c r="F342" s="2">
        <v>594.64</v>
      </c>
    </row>
    <row r="343" spans="1:6" x14ac:dyDescent="0.25">
      <c r="A343" s="1">
        <v>45707</v>
      </c>
      <c r="C343" t="s">
        <v>4</v>
      </c>
      <c r="D343" t="s">
        <v>7</v>
      </c>
      <c r="E343" t="s">
        <v>202</v>
      </c>
      <c r="F343" s="2">
        <v>37.5</v>
      </c>
    </row>
    <row r="344" spans="1:6" x14ac:dyDescent="0.25">
      <c r="A344" s="1">
        <v>45710</v>
      </c>
      <c r="B344" s="1" t="s">
        <v>211</v>
      </c>
      <c r="C344" t="s">
        <v>1</v>
      </c>
      <c r="D344" t="s">
        <v>5</v>
      </c>
      <c r="E344" t="s">
        <v>5</v>
      </c>
      <c r="F344" s="2">
        <v>600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D8274-438D-4E64-8028-631ECB0A8020}">
  <dimension ref="C1:R133"/>
  <sheetViews>
    <sheetView tabSelected="1" topLeftCell="A5" workbookViewId="0">
      <selection activeCell="L35" sqref="L35"/>
    </sheetView>
  </sheetViews>
  <sheetFormatPr defaultRowHeight="15" x14ac:dyDescent="0.25"/>
  <cols>
    <col min="3" max="3" width="9.28515625" bestFit="1" customWidth="1"/>
    <col min="5" max="5" width="12.42578125" bestFit="1" customWidth="1"/>
    <col min="6" max="6" width="14.85546875" style="12" customWidth="1"/>
    <col min="9" max="9" width="15.5703125" bestFit="1" customWidth="1"/>
    <col min="10" max="11" width="15.5703125" style="11" customWidth="1"/>
  </cols>
  <sheetData>
    <row r="1" spans="3:18" x14ac:dyDescent="0.25">
      <c r="J1" s="13"/>
      <c r="K1" s="13"/>
    </row>
    <row r="2" spans="3:18" x14ac:dyDescent="0.25">
      <c r="F2" s="18">
        <f>SUM(F3:F914)</f>
        <v>1762386.6900000002</v>
      </c>
      <c r="J2" s="13"/>
      <c r="K2" s="13"/>
      <c r="Q2">
        <f>+Q4-SUM(Q5:Q22)</f>
        <v>27400</v>
      </c>
    </row>
    <row r="3" spans="3:18" x14ac:dyDescent="0.25">
      <c r="I3" s="14"/>
      <c r="J3" s="17" t="s">
        <v>140</v>
      </c>
      <c r="K3" s="17" t="s">
        <v>139</v>
      </c>
      <c r="L3" s="14"/>
      <c r="Q3" t="s">
        <v>138</v>
      </c>
    </row>
    <row r="4" spans="3:18" x14ac:dyDescent="0.25">
      <c r="D4" t="s">
        <v>127</v>
      </c>
      <c r="E4" t="s">
        <v>127</v>
      </c>
      <c r="F4" s="12">
        <v>101000</v>
      </c>
      <c r="I4" s="14" t="s">
        <v>73</v>
      </c>
      <c r="J4" s="13">
        <v>400000</v>
      </c>
      <c r="K4" s="13">
        <f t="shared" ref="K4:K13" si="0">SUMIFS($F$4:$F$250,$D$4:$D$250,I4)</f>
        <v>461060</v>
      </c>
      <c r="L4" s="15">
        <f t="shared" ref="L4:L13" si="1">K4/J4</f>
        <v>1.15265</v>
      </c>
      <c r="Q4">
        <v>30000</v>
      </c>
    </row>
    <row r="5" spans="3:18" x14ac:dyDescent="0.25">
      <c r="D5" t="s">
        <v>89</v>
      </c>
      <c r="E5" t="s">
        <v>137</v>
      </c>
      <c r="F5" s="12">
        <v>27000</v>
      </c>
      <c r="I5" s="14" t="s">
        <v>77</v>
      </c>
      <c r="J5" s="13">
        <v>400000</v>
      </c>
      <c r="K5" s="13">
        <f t="shared" si="0"/>
        <v>647009.52</v>
      </c>
      <c r="L5" s="15">
        <f t="shared" si="1"/>
        <v>1.6175238000000001</v>
      </c>
      <c r="Q5">
        <v>2600</v>
      </c>
    </row>
    <row r="6" spans="3:18" x14ac:dyDescent="0.25">
      <c r="D6" t="s">
        <v>77</v>
      </c>
      <c r="E6" t="s">
        <v>136</v>
      </c>
      <c r="F6" s="12">
        <v>96000</v>
      </c>
      <c r="I6" s="14" t="s">
        <v>135</v>
      </c>
      <c r="J6" s="13">
        <v>150000</v>
      </c>
      <c r="K6" s="13">
        <f t="shared" si="0"/>
        <v>104500</v>
      </c>
      <c r="L6" s="15">
        <f t="shared" si="1"/>
        <v>0.69666666666666666</v>
      </c>
      <c r="Q6" s="16"/>
    </row>
    <row r="7" spans="3:18" x14ac:dyDescent="0.25">
      <c r="D7" t="s">
        <v>77</v>
      </c>
      <c r="E7" t="s">
        <v>134</v>
      </c>
      <c r="F7" s="12">
        <v>150000</v>
      </c>
      <c r="I7" s="14" t="s">
        <v>104</v>
      </c>
      <c r="J7" s="13">
        <v>50000</v>
      </c>
      <c r="K7" s="13">
        <f t="shared" si="0"/>
        <v>24333</v>
      </c>
      <c r="L7" s="15">
        <f t="shared" si="1"/>
        <v>0.48665999999999998</v>
      </c>
    </row>
    <row r="8" spans="3:18" x14ac:dyDescent="0.25">
      <c r="D8" t="s">
        <v>16</v>
      </c>
      <c r="E8" t="s">
        <v>133</v>
      </c>
      <c r="F8" s="12">
        <v>2265</v>
      </c>
      <c r="I8" s="14" t="s">
        <v>132</v>
      </c>
      <c r="J8" s="13">
        <v>50000</v>
      </c>
      <c r="K8" s="13">
        <f t="shared" si="0"/>
        <v>0</v>
      </c>
      <c r="L8" s="15">
        <f t="shared" si="1"/>
        <v>0</v>
      </c>
    </row>
    <row r="9" spans="3:18" x14ac:dyDescent="0.25">
      <c r="D9" t="s">
        <v>77</v>
      </c>
      <c r="E9" t="s">
        <v>131</v>
      </c>
      <c r="F9" s="12">
        <v>31900</v>
      </c>
      <c r="I9" s="14" t="s">
        <v>52</v>
      </c>
      <c r="J9" s="13">
        <v>200000</v>
      </c>
      <c r="K9" s="13">
        <f t="shared" si="0"/>
        <v>206117</v>
      </c>
      <c r="L9" s="15">
        <f t="shared" si="1"/>
        <v>1.0305850000000001</v>
      </c>
    </row>
    <row r="10" spans="3:18" x14ac:dyDescent="0.25">
      <c r="C10" t="s">
        <v>130</v>
      </c>
      <c r="D10" t="s">
        <v>77</v>
      </c>
      <c r="E10" t="s">
        <v>129</v>
      </c>
      <c r="F10" s="12">
        <v>8000</v>
      </c>
      <c r="I10" s="14" t="s">
        <v>88</v>
      </c>
      <c r="J10" s="13">
        <v>85000</v>
      </c>
      <c r="K10" s="13">
        <f t="shared" si="0"/>
        <v>89476</v>
      </c>
      <c r="L10" s="15">
        <f t="shared" si="1"/>
        <v>1.0526588235294119</v>
      </c>
    </row>
    <row r="11" spans="3:18" x14ac:dyDescent="0.25">
      <c r="D11" t="s">
        <v>77</v>
      </c>
      <c r="E11" t="s">
        <v>128</v>
      </c>
      <c r="F11" s="12">
        <v>95000</v>
      </c>
      <c r="I11" s="14" t="s">
        <v>89</v>
      </c>
      <c r="J11" s="13">
        <v>50000</v>
      </c>
      <c r="K11" s="13">
        <f t="shared" si="0"/>
        <v>37638.119999999995</v>
      </c>
      <c r="L11" s="15">
        <f t="shared" si="1"/>
        <v>0.75276239999999994</v>
      </c>
    </row>
    <row r="12" spans="3:18" x14ac:dyDescent="0.25">
      <c r="D12" t="s">
        <v>77</v>
      </c>
      <c r="E12" t="s">
        <v>128</v>
      </c>
      <c r="F12" s="12">
        <v>25000</v>
      </c>
      <c r="I12" s="14" t="s">
        <v>16</v>
      </c>
      <c r="J12" s="13">
        <v>50000</v>
      </c>
      <c r="K12" s="13">
        <f t="shared" si="0"/>
        <v>91253.05</v>
      </c>
      <c r="L12" s="15">
        <f t="shared" si="1"/>
        <v>1.825061</v>
      </c>
    </row>
    <row r="13" spans="3:18" x14ac:dyDescent="0.25">
      <c r="D13" t="s">
        <v>89</v>
      </c>
      <c r="E13" t="s">
        <v>122</v>
      </c>
      <c r="F13" s="12">
        <v>482.2</v>
      </c>
      <c r="I13" s="14" t="s">
        <v>127</v>
      </c>
      <c r="J13" s="13">
        <v>101000</v>
      </c>
      <c r="K13" s="13">
        <f t="shared" si="0"/>
        <v>101000</v>
      </c>
      <c r="L13" s="15">
        <f t="shared" si="1"/>
        <v>1</v>
      </c>
    </row>
    <row r="14" spans="3:18" x14ac:dyDescent="0.25">
      <c r="D14" t="s">
        <v>89</v>
      </c>
      <c r="E14" t="s">
        <v>113</v>
      </c>
      <c r="F14" s="12">
        <v>316.62</v>
      </c>
      <c r="J14" s="13"/>
      <c r="K14" s="13"/>
      <c r="R14" t="s">
        <v>126</v>
      </c>
    </row>
    <row r="15" spans="3:18" x14ac:dyDescent="0.25">
      <c r="D15" t="s">
        <v>77</v>
      </c>
      <c r="E15" t="s">
        <v>125</v>
      </c>
      <c r="F15" s="12">
        <v>50000</v>
      </c>
      <c r="I15" s="14"/>
      <c r="J15" s="13">
        <f>SUM(J4:J13)</f>
        <v>1536000</v>
      </c>
      <c r="K15" s="13">
        <f>SUM(K4:K13)</f>
        <v>1762386.6900000002</v>
      </c>
      <c r="L15" s="14"/>
    </row>
    <row r="16" spans="3:18" x14ac:dyDescent="0.25">
      <c r="D16" t="s">
        <v>77</v>
      </c>
      <c r="E16" t="s">
        <v>124</v>
      </c>
      <c r="F16" s="12">
        <v>2000</v>
      </c>
      <c r="J16" s="13"/>
      <c r="K16" s="13"/>
    </row>
    <row r="17" spans="4:14" x14ac:dyDescent="0.25">
      <c r="D17" t="s">
        <v>52</v>
      </c>
      <c r="E17" t="s">
        <v>52</v>
      </c>
      <c r="F17" s="12">
        <v>4200</v>
      </c>
      <c r="J17" s="13"/>
      <c r="K17" s="13"/>
    </row>
    <row r="18" spans="4:14" x14ac:dyDescent="0.25">
      <c r="D18" t="s">
        <v>77</v>
      </c>
      <c r="E18" t="s">
        <v>123</v>
      </c>
      <c r="F18" s="12">
        <v>975</v>
      </c>
    </row>
    <row r="19" spans="4:14" x14ac:dyDescent="0.25">
      <c r="D19" t="s">
        <v>77</v>
      </c>
      <c r="E19" t="s">
        <v>123</v>
      </c>
      <c r="F19" s="12">
        <v>10000</v>
      </c>
      <c r="N19">
        <f>11150*33.1</f>
        <v>369065</v>
      </c>
    </row>
    <row r="20" spans="4:14" x14ac:dyDescent="0.25">
      <c r="D20" t="s">
        <v>89</v>
      </c>
      <c r="E20" t="s">
        <v>93</v>
      </c>
      <c r="F20" s="12">
        <v>1480</v>
      </c>
    </row>
    <row r="21" spans="4:14" x14ac:dyDescent="0.25">
      <c r="D21" t="s">
        <v>89</v>
      </c>
      <c r="E21" t="s">
        <v>122</v>
      </c>
      <c r="F21" s="12">
        <v>308.3</v>
      </c>
      <c r="I21" t="s">
        <v>121</v>
      </c>
      <c r="J21" s="11">
        <v>971854.84</v>
      </c>
    </row>
    <row r="22" spans="4:14" x14ac:dyDescent="0.25">
      <c r="D22" t="s">
        <v>77</v>
      </c>
      <c r="E22" t="s">
        <v>120</v>
      </c>
      <c r="F22" s="12">
        <v>11600</v>
      </c>
      <c r="I22" t="s">
        <v>119</v>
      </c>
      <c r="J22" s="11">
        <v>1013273.2</v>
      </c>
    </row>
    <row r="23" spans="4:14" x14ac:dyDescent="0.25">
      <c r="D23" t="s">
        <v>77</v>
      </c>
      <c r="E23" t="s">
        <v>77</v>
      </c>
      <c r="F23" s="12">
        <f>560+90+90</f>
        <v>740</v>
      </c>
      <c r="I23" t="s">
        <v>187</v>
      </c>
      <c r="J23" s="11">
        <v>60479.99</v>
      </c>
    </row>
    <row r="24" spans="4:14" x14ac:dyDescent="0.25">
      <c r="D24" t="s">
        <v>73</v>
      </c>
      <c r="E24" t="s">
        <v>101</v>
      </c>
      <c r="F24" s="12">
        <v>50000</v>
      </c>
    </row>
    <row r="25" spans="4:14" x14ac:dyDescent="0.25">
      <c r="D25" t="s">
        <v>95</v>
      </c>
      <c r="E25" t="s">
        <v>117</v>
      </c>
      <c r="F25" s="12">
        <v>30000</v>
      </c>
      <c r="I25" t="s">
        <v>118</v>
      </c>
      <c r="J25" s="11">
        <f>+K15</f>
        <v>1762386.6900000002</v>
      </c>
    </row>
    <row r="26" spans="4:14" x14ac:dyDescent="0.25">
      <c r="D26" t="s">
        <v>52</v>
      </c>
      <c r="E26" t="s">
        <v>52</v>
      </c>
      <c r="F26" s="12">
        <v>65952</v>
      </c>
    </row>
    <row r="27" spans="4:14" x14ac:dyDescent="0.25">
      <c r="D27" t="s">
        <v>52</v>
      </c>
      <c r="E27" t="s">
        <v>52</v>
      </c>
      <c r="F27" s="12">
        <f>70850+4960</f>
        <v>75810</v>
      </c>
      <c r="I27" t="s">
        <v>116</v>
      </c>
      <c r="J27" s="11">
        <f>+J21+J22+J23-J25</f>
        <v>283221.33999999985</v>
      </c>
    </row>
    <row r="28" spans="4:14" x14ac:dyDescent="0.25">
      <c r="D28" t="s">
        <v>77</v>
      </c>
      <c r="E28" t="s">
        <v>77</v>
      </c>
      <c r="F28" s="12">
        <v>22700</v>
      </c>
    </row>
    <row r="29" spans="4:14" x14ac:dyDescent="0.25">
      <c r="D29" t="s">
        <v>52</v>
      </c>
      <c r="E29" t="s">
        <v>114</v>
      </c>
      <c r="F29" s="12">
        <v>13555</v>
      </c>
      <c r="I29" t="s">
        <v>115</v>
      </c>
      <c r="J29" s="11">
        <f>Burak!H4</f>
        <v>344203.72</v>
      </c>
    </row>
    <row r="30" spans="4:14" x14ac:dyDescent="0.25">
      <c r="D30" t="s">
        <v>73</v>
      </c>
      <c r="E30" t="s">
        <v>90</v>
      </c>
      <c r="F30" s="12">
        <v>100000</v>
      </c>
      <c r="I30" t="s">
        <v>1</v>
      </c>
      <c r="J30" s="11">
        <f>+J27-J29</f>
        <v>-60982.380000000121</v>
      </c>
    </row>
    <row r="31" spans="4:14" x14ac:dyDescent="0.25">
      <c r="D31" t="s">
        <v>89</v>
      </c>
      <c r="E31" t="s">
        <v>113</v>
      </c>
      <c r="F31" s="12">
        <v>314</v>
      </c>
    </row>
    <row r="32" spans="4:14" x14ac:dyDescent="0.25">
      <c r="D32" t="s">
        <v>77</v>
      </c>
      <c r="E32" t="s">
        <v>110</v>
      </c>
      <c r="F32" s="12">
        <v>165</v>
      </c>
    </row>
    <row r="33" spans="4:18" x14ac:dyDescent="0.25">
      <c r="D33" t="s">
        <v>77</v>
      </c>
      <c r="E33" t="s">
        <v>110</v>
      </c>
      <c r="F33" s="12">
        <v>1350</v>
      </c>
      <c r="I33" t="s">
        <v>112</v>
      </c>
      <c r="Q33">
        <v>1138280.6399999999</v>
      </c>
      <c r="R33">
        <v>1079319.04</v>
      </c>
    </row>
    <row r="34" spans="4:18" x14ac:dyDescent="0.25">
      <c r="D34" t="s">
        <v>77</v>
      </c>
      <c r="E34" t="s">
        <v>110</v>
      </c>
      <c r="F34" s="12">
        <v>750</v>
      </c>
      <c r="I34" t="s">
        <v>111</v>
      </c>
      <c r="J34" s="11">
        <v>101000</v>
      </c>
      <c r="Q34">
        <v>8992.42</v>
      </c>
      <c r="R34">
        <v>8526.6200000000008</v>
      </c>
    </row>
    <row r="35" spans="4:18" x14ac:dyDescent="0.25">
      <c r="D35" t="s">
        <v>16</v>
      </c>
      <c r="E35" t="s">
        <v>94</v>
      </c>
      <c r="F35" s="12">
        <v>2150</v>
      </c>
      <c r="I35" t="s">
        <v>109</v>
      </c>
      <c r="J35" s="11">
        <v>10079.98</v>
      </c>
      <c r="K35" s="41"/>
      <c r="Q35">
        <v>75885.38</v>
      </c>
      <c r="R35">
        <v>71954.600000000006</v>
      </c>
    </row>
    <row r="36" spans="4:18" x14ac:dyDescent="0.25">
      <c r="D36" t="s">
        <v>104</v>
      </c>
      <c r="E36" t="s">
        <v>108</v>
      </c>
      <c r="F36" s="12">
        <v>18333</v>
      </c>
      <c r="Q36">
        <v>11672.62</v>
      </c>
    </row>
    <row r="37" spans="4:18" x14ac:dyDescent="0.25">
      <c r="D37" t="s">
        <v>52</v>
      </c>
      <c r="E37" t="s">
        <v>107</v>
      </c>
      <c r="F37" s="12">
        <v>1000</v>
      </c>
      <c r="Q37">
        <v>28457.02</v>
      </c>
      <c r="R37">
        <v>26982.98</v>
      </c>
    </row>
    <row r="38" spans="4:18" x14ac:dyDescent="0.25">
      <c r="D38" t="s">
        <v>77</v>
      </c>
      <c r="E38" t="s">
        <v>77</v>
      </c>
      <c r="F38" s="12">
        <v>1930</v>
      </c>
      <c r="Q38">
        <f>+Q33-Q35-Q36-Q37-Q34</f>
        <v>1013273.1999999996</v>
      </c>
      <c r="R38">
        <f>+R33-R35-R36-R37-R34</f>
        <v>971854.84000000008</v>
      </c>
    </row>
    <row r="39" spans="4:18" x14ac:dyDescent="0.25">
      <c r="D39" t="s">
        <v>88</v>
      </c>
      <c r="E39" t="s">
        <v>105</v>
      </c>
      <c r="F39" s="12">
        <v>52000</v>
      </c>
      <c r="I39" t="s">
        <v>106</v>
      </c>
      <c r="J39" s="11">
        <f>J36+J35+J34+J30+J29</f>
        <v>394301.31999999983</v>
      </c>
    </row>
    <row r="40" spans="4:18" x14ac:dyDescent="0.25">
      <c r="D40" t="s">
        <v>77</v>
      </c>
      <c r="E40" t="s">
        <v>77</v>
      </c>
      <c r="F40" s="12">
        <v>420</v>
      </c>
    </row>
    <row r="41" spans="4:18" x14ac:dyDescent="0.25">
      <c r="D41" t="s">
        <v>77</v>
      </c>
      <c r="E41" t="s">
        <v>77</v>
      </c>
      <c r="F41" s="12">
        <v>150</v>
      </c>
    </row>
    <row r="42" spans="4:18" x14ac:dyDescent="0.25">
      <c r="D42" t="s">
        <v>77</v>
      </c>
      <c r="E42" t="s">
        <v>77</v>
      </c>
      <c r="F42" s="12">
        <v>50</v>
      </c>
    </row>
    <row r="43" spans="4:18" x14ac:dyDescent="0.25">
      <c r="D43" t="s">
        <v>77</v>
      </c>
      <c r="E43" t="s">
        <v>77</v>
      </c>
      <c r="F43" s="12">
        <v>2485</v>
      </c>
    </row>
    <row r="44" spans="4:18" x14ac:dyDescent="0.25">
      <c r="D44" t="s">
        <v>77</v>
      </c>
      <c r="E44" t="s">
        <v>77</v>
      </c>
      <c r="F44" s="12">
        <v>1500</v>
      </c>
    </row>
    <row r="45" spans="4:18" x14ac:dyDescent="0.25">
      <c r="D45" t="s">
        <v>77</v>
      </c>
      <c r="E45" t="s">
        <v>77</v>
      </c>
      <c r="F45" s="12">
        <v>215</v>
      </c>
    </row>
    <row r="46" spans="4:18" x14ac:dyDescent="0.25">
      <c r="D46" t="s">
        <v>16</v>
      </c>
      <c r="E46" t="s">
        <v>75</v>
      </c>
      <c r="F46" s="12">
        <v>300</v>
      </c>
    </row>
    <row r="47" spans="4:18" x14ac:dyDescent="0.25">
      <c r="D47" t="s">
        <v>77</v>
      </c>
      <c r="E47" t="s">
        <v>76</v>
      </c>
      <c r="F47" s="12">
        <v>750</v>
      </c>
    </row>
    <row r="48" spans="4:18" x14ac:dyDescent="0.25">
      <c r="D48" t="s">
        <v>77</v>
      </c>
      <c r="E48" t="s">
        <v>76</v>
      </c>
      <c r="F48" s="12">
        <v>300</v>
      </c>
    </row>
    <row r="49" spans="4:6" x14ac:dyDescent="0.25">
      <c r="D49" t="s">
        <v>77</v>
      </c>
      <c r="E49" t="s">
        <v>76</v>
      </c>
      <c r="F49" s="12">
        <v>415</v>
      </c>
    </row>
    <row r="50" spans="4:6" x14ac:dyDescent="0.25">
      <c r="D50" t="s">
        <v>16</v>
      </c>
      <c r="E50" t="s">
        <v>75</v>
      </c>
      <c r="F50" s="12">
        <v>310</v>
      </c>
    </row>
    <row r="51" spans="4:6" x14ac:dyDescent="0.25">
      <c r="D51" t="s">
        <v>77</v>
      </c>
      <c r="E51" t="s">
        <v>76</v>
      </c>
      <c r="F51" s="12">
        <v>550</v>
      </c>
    </row>
    <row r="52" spans="4:6" x14ac:dyDescent="0.25">
      <c r="D52" t="s">
        <v>77</v>
      </c>
      <c r="E52" t="s">
        <v>76</v>
      </c>
      <c r="F52" s="12">
        <v>4500</v>
      </c>
    </row>
    <row r="53" spans="4:6" x14ac:dyDescent="0.25">
      <c r="D53" t="s">
        <v>16</v>
      </c>
      <c r="E53" t="s">
        <v>102</v>
      </c>
      <c r="F53" s="12">
        <v>10000</v>
      </c>
    </row>
    <row r="54" spans="4:6" x14ac:dyDescent="0.25">
      <c r="D54" t="s">
        <v>104</v>
      </c>
      <c r="E54" t="s">
        <v>90</v>
      </c>
      <c r="F54" s="12">
        <v>6000</v>
      </c>
    </row>
    <row r="55" spans="4:6" x14ac:dyDescent="0.25">
      <c r="D55" t="s">
        <v>95</v>
      </c>
      <c r="E55" t="s">
        <v>103</v>
      </c>
      <c r="F55" s="12">
        <v>4500</v>
      </c>
    </row>
    <row r="56" spans="4:6" x14ac:dyDescent="0.25">
      <c r="D56" t="s">
        <v>52</v>
      </c>
      <c r="E56" t="s">
        <v>76</v>
      </c>
      <c r="F56" s="12">
        <v>2600</v>
      </c>
    </row>
    <row r="57" spans="4:6" x14ac:dyDescent="0.25">
      <c r="D57" t="s">
        <v>77</v>
      </c>
      <c r="E57" t="s">
        <v>76</v>
      </c>
      <c r="F57" s="12">
        <v>600</v>
      </c>
    </row>
    <row r="58" spans="4:6" x14ac:dyDescent="0.25">
      <c r="D58" t="s">
        <v>77</v>
      </c>
      <c r="E58" t="s">
        <v>76</v>
      </c>
      <c r="F58" s="12">
        <v>550</v>
      </c>
    </row>
    <row r="59" spans="4:6" x14ac:dyDescent="0.25">
      <c r="D59" t="s">
        <v>77</v>
      </c>
      <c r="E59" t="s">
        <v>76</v>
      </c>
      <c r="F59" s="12">
        <v>1900</v>
      </c>
    </row>
    <row r="60" spans="4:6" x14ac:dyDescent="0.25">
      <c r="D60" t="s">
        <v>89</v>
      </c>
      <c r="E60" t="s">
        <v>89</v>
      </c>
      <c r="F60" s="12">
        <v>315</v>
      </c>
    </row>
    <row r="61" spans="4:6" x14ac:dyDescent="0.25">
      <c r="D61" t="s">
        <v>89</v>
      </c>
      <c r="E61" t="s">
        <v>89</v>
      </c>
      <c r="F61" s="12">
        <v>1336</v>
      </c>
    </row>
    <row r="62" spans="4:6" x14ac:dyDescent="0.25">
      <c r="D62" t="s">
        <v>89</v>
      </c>
      <c r="E62" t="s">
        <v>89</v>
      </c>
      <c r="F62" s="12">
        <v>503</v>
      </c>
    </row>
    <row r="63" spans="4:6" x14ac:dyDescent="0.25">
      <c r="D63" t="s">
        <v>16</v>
      </c>
      <c r="E63" t="s">
        <v>102</v>
      </c>
      <c r="F63" s="12">
        <v>15000</v>
      </c>
    </row>
    <row r="64" spans="4:6" x14ac:dyDescent="0.25">
      <c r="D64" t="s">
        <v>73</v>
      </c>
      <c r="E64" t="s">
        <v>101</v>
      </c>
      <c r="F64" s="12">
        <v>70000</v>
      </c>
    </row>
    <row r="65" spans="4:6" x14ac:dyDescent="0.25">
      <c r="D65" t="s">
        <v>16</v>
      </c>
      <c r="E65" t="s">
        <v>100</v>
      </c>
      <c r="F65" s="12">
        <v>188.71</v>
      </c>
    </row>
    <row r="66" spans="4:6" x14ac:dyDescent="0.25">
      <c r="D66" t="s">
        <v>77</v>
      </c>
      <c r="E66" t="s">
        <v>76</v>
      </c>
      <c r="F66" s="12">
        <v>300</v>
      </c>
    </row>
    <row r="67" spans="4:6" x14ac:dyDescent="0.25">
      <c r="D67" t="s">
        <v>16</v>
      </c>
      <c r="E67" t="s">
        <v>99</v>
      </c>
      <c r="F67" s="12">
        <v>400</v>
      </c>
    </row>
    <row r="68" spans="4:6" x14ac:dyDescent="0.25">
      <c r="D68" t="s">
        <v>16</v>
      </c>
      <c r="E68" t="s">
        <v>98</v>
      </c>
      <c r="F68" s="12">
        <v>80</v>
      </c>
    </row>
    <row r="69" spans="4:6" x14ac:dyDescent="0.25">
      <c r="D69" t="s">
        <v>16</v>
      </c>
      <c r="E69" t="s">
        <v>97</v>
      </c>
      <c r="F69" s="12">
        <v>170</v>
      </c>
    </row>
    <row r="70" spans="4:6" x14ac:dyDescent="0.25">
      <c r="D70" t="s">
        <v>77</v>
      </c>
      <c r="E70" t="s">
        <v>76</v>
      </c>
      <c r="F70" s="12">
        <v>350</v>
      </c>
    </row>
    <row r="71" spans="4:6" x14ac:dyDescent="0.25">
      <c r="D71" t="s">
        <v>16</v>
      </c>
      <c r="E71" t="s">
        <v>7</v>
      </c>
      <c r="F71" s="12">
        <v>158</v>
      </c>
    </row>
    <row r="72" spans="4:6" x14ac:dyDescent="0.25">
      <c r="D72" t="s">
        <v>77</v>
      </c>
      <c r="E72" t="s">
        <v>76</v>
      </c>
      <c r="F72" s="12">
        <v>160</v>
      </c>
    </row>
    <row r="73" spans="4:6" x14ac:dyDescent="0.25">
      <c r="D73" t="s">
        <v>16</v>
      </c>
      <c r="E73" t="s">
        <v>96</v>
      </c>
      <c r="F73" s="12">
        <v>491.34</v>
      </c>
    </row>
    <row r="74" spans="4:6" x14ac:dyDescent="0.25">
      <c r="D74" t="s">
        <v>77</v>
      </c>
      <c r="E74" t="s">
        <v>76</v>
      </c>
      <c r="F74" s="12">
        <v>400</v>
      </c>
    </row>
    <row r="75" spans="4:6" x14ac:dyDescent="0.25">
      <c r="D75" t="s">
        <v>77</v>
      </c>
      <c r="E75" t="s">
        <v>76</v>
      </c>
      <c r="F75" s="12">
        <v>200</v>
      </c>
    </row>
    <row r="76" spans="4:6" x14ac:dyDescent="0.25">
      <c r="D76" t="s">
        <v>77</v>
      </c>
      <c r="E76" t="s">
        <v>76</v>
      </c>
      <c r="F76" s="12">
        <v>125</v>
      </c>
    </row>
    <row r="77" spans="4:6" x14ac:dyDescent="0.25">
      <c r="D77" t="s">
        <v>77</v>
      </c>
      <c r="E77" t="s">
        <v>76</v>
      </c>
      <c r="F77" s="12">
        <v>550</v>
      </c>
    </row>
    <row r="78" spans="4:6" x14ac:dyDescent="0.25">
      <c r="D78" t="s">
        <v>77</v>
      </c>
      <c r="E78" t="s">
        <v>76</v>
      </c>
      <c r="F78" s="12">
        <v>45</v>
      </c>
    </row>
    <row r="79" spans="4:6" x14ac:dyDescent="0.25">
      <c r="D79" t="s">
        <v>77</v>
      </c>
      <c r="E79" t="s">
        <v>76</v>
      </c>
      <c r="F79" s="12">
        <v>80</v>
      </c>
    </row>
    <row r="80" spans="4:6" x14ac:dyDescent="0.25">
      <c r="D80" t="s">
        <v>77</v>
      </c>
      <c r="E80" t="s">
        <v>76</v>
      </c>
      <c r="F80" s="12">
        <v>210</v>
      </c>
    </row>
    <row r="81" spans="4:6" x14ac:dyDescent="0.25">
      <c r="D81" t="s">
        <v>77</v>
      </c>
      <c r="E81" t="s">
        <v>76</v>
      </c>
      <c r="F81" s="12">
        <v>1900</v>
      </c>
    </row>
    <row r="82" spans="4:6" x14ac:dyDescent="0.25">
      <c r="D82" t="s">
        <v>95</v>
      </c>
      <c r="E82" t="s">
        <v>95</v>
      </c>
      <c r="F82" s="12">
        <v>70000</v>
      </c>
    </row>
    <row r="83" spans="4:6" x14ac:dyDescent="0.25">
      <c r="D83" t="s">
        <v>16</v>
      </c>
      <c r="E83" t="s">
        <v>94</v>
      </c>
      <c r="F83" s="12">
        <v>3700</v>
      </c>
    </row>
    <row r="84" spans="4:6" x14ac:dyDescent="0.25">
      <c r="D84" t="s">
        <v>52</v>
      </c>
      <c r="E84" t="s">
        <v>90</v>
      </c>
      <c r="F84" s="12">
        <v>43000</v>
      </c>
    </row>
    <row r="85" spans="4:6" x14ac:dyDescent="0.25">
      <c r="D85" t="s">
        <v>73</v>
      </c>
      <c r="E85" t="s">
        <v>90</v>
      </c>
      <c r="F85" s="12">
        <v>1000</v>
      </c>
    </row>
    <row r="86" spans="4:6" x14ac:dyDescent="0.25">
      <c r="D86" t="s">
        <v>77</v>
      </c>
      <c r="E86" t="s">
        <v>76</v>
      </c>
      <c r="F86" s="12">
        <v>310</v>
      </c>
    </row>
    <row r="87" spans="4:6" x14ac:dyDescent="0.25">
      <c r="D87" t="s">
        <v>77</v>
      </c>
      <c r="E87" t="s">
        <v>76</v>
      </c>
      <c r="F87" s="12">
        <v>120</v>
      </c>
    </row>
    <row r="88" spans="4:6" x14ac:dyDescent="0.25">
      <c r="D88" t="s">
        <v>16</v>
      </c>
      <c r="E88" t="s">
        <v>91</v>
      </c>
      <c r="F88" s="12">
        <v>500</v>
      </c>
    </row>
    <row r="89" spans="4:6" x14ac:dyDescent="0.25">
      <c r="D89" t="s">
        <v>16</v>
      </c>
      <c r="E89" t="s">
        <v>75</v>
      </c>
      <c r="F89" s="12">
        <v>1100</v>
      </c>
    </row>
    <row r="90" spans="4:6" x14ac:dyDescent="0.25">
      <c r="D90" t="s">
        <v>77</v>
      </c>
      <c r="E90" t="s">
        <v>76</v>
      </c>
      <c r="F90" s="12">
        <v>5422</v>
      </c>
    </row>
    <row r="91" spans="4:6" x14ac:dyDescent="0.25">
      <c r="D91" t="s">
        <v>77</v>
      </c>
      <c r="E91" t="s">
        <v>76</v>
      </c>
      <c r="F91" s="12">
        <v>75</v>
      </c>
    </row>
    <row r="92" spans="4:6" x14ac:dyDescent="0.25">
      <c r="D92" t="s">
        <v>77</v>
      </c>
      <c r="E92" t="s">
        <v>76</v>
      </c>
      <c r="F92" s="12">
        <v>65</v>
      </c>
    </row>
    <row r="93" spans="4:6" x14ac:dyDescent="0.25">
      <c r="D93" t="s">
        <v>77</v>
      </c>
      <c r="E93" t="s">
        <v>76</v>
      </c>
      <c r="F93" s="12">
        <v>3850</v>
      </c>
    </row>
    <row r="94" spans="4:6" x14ac:dyDescent="0.25">
      <c r="D94" t="s">
        <v>16</v>
      </c>
      <c r="E94" t="s">
        <v>91</v>
      </c>
      <c r="F94" s="12">
        <v>500</v>
      </c>
    </row>
    <row r="95" spans="4:6" x14ac:dyDescent="0.25">
      <c r="D95" t="s">
        <v>16</v>
      </c>
      <c r="E95" t="s">
        <v>93</v>
      </c>
      <c r="F95" s="12">
        <v>7000</v>
      </c>
    </row>
    <row r="96" spans="4:6" x14ac:dyDescent="0.25">
      <c r="D96" t="s">
        <v>16</v>
      </c>
      <c r="E96" t="s">
        <v>92</v>
      </c>
      <c r="F96" s="12">
        <v>10000</v>
      </c>
    </row>
    <row r="97" spans="4:6" x14ac:dyDescent="0.25">
      <c r="D97" t="s">
        <v>73</v>
      </c>
      <c r="E97" t="s">
        <v>90</v>
      </c>
      <c r="F97" s="12">
        <v>2000</v>
      </c>
    </row>
    <row r="98" spans="4:6" x14ac:dyDescent="0.25">
      <c r="D98" t="s">
        <v>77</v>
      </c>
      <c r="E98" t="s">
        <v>76</v>
      </c>
      <c r="F98" s="12">
        <v>13500</v>
      </c>
    </row>
    <row r="99" spans="4:6" x14ac:dyDescent="0.25">
      <c r="D99" t="s">
        <v>77</v>
      </c>
      <c r="E99" t="s">
        <v>76</v>
      </c>
      <c r="F99" s="12">
        <v>6757</v>
      </c>
    </row>
    <row r="100" spans="4:6" x14ac:dyDescent="0.25">
      <c r="D100" t="s">
        <v>16</v>
      </c>
      <c r="E100" t="s">
        <v>75</v>
      </c>
      <c r="F100" s="12">
        <v>450</v>
      </c>
    </row>
    <row r="101" spans="4:6" x14ac:dyDescent="0.25">
      <c r="D101" t="s">
        <v>77</v>
      </c>
      <c r="E101" t="s">
        <v>76</v>
      </c>
      <c r="F101" s="12">
        <v>115</v>
      </c>
    </row>
    <row r="102" spans="4:6" x14ac:dyDescent="0.25">
      <c r="D102" t="s">
        <v>16</v>
      </c>
      <c r="E102" t="s">
        <v>91</v>
      </c>
      <c r="F102" s="12">
        <v>300</v>
      </c>
    </row>
    <row r="103" spans="4:6" x14ac:dyDescent="0.25">
      <c r="D103" t="s">
        <v>73</v>
      </c>
      <c r="E103" t="s">
        <v>90</v>
      </c>
      <c r="F103" s="12">
        <v>194060</v>
      </c>
    </row>
    <row r="104" spans="4:6" x14ac:dyDescent="0.25">
      <c r="D104" t="s">
        <v>77</v>
      </c>
      <c r="E104" t="s">
        <v>76</v>
      </c>
      <c r="F104" s="12">
        <v>23015.52</v>
      </c>
    </row>
    <row r="105" spans="4:6" x14ac:dyDescent="0.25">
      <c r="D105" t="s">
        <v>88</v>
      </c>
      <c r="E105" t="s">
        <v>87</v>
      </c>
      <c r="F105" s="12">
        <v>27476</v>
      </c>
    </row>
    <row r="106" spans="4:6" x14ac:dyDescent="0.25">
      <c r="D106" t="s">
        <v>73</v>
      </c>
      <c r="E106" t="s">
        <v>90</v>
      </c>
      <c r="F106" s="12">
        <v>3000</v>
      </c>
    </row>
    <row r="107" spans="4:6" x14ac:dyDescent="0.25">
      <c r="D107" t="s">
        <v>77</v>
      </c>
      <c r="E107" t="s">
        <v>76</v>
      </c>
      <c r="F107" s="12">
        <v>635</v>
      </c>
    </row>
    <row r="108" spans="4:6" x14ac:dyDescent="0.25">
      <c r="D108" t="s">
        <v>77</v>
      </c>
      <c r="E108" t="s">
        <v>76</v>
      </c>
      <c r="F108" s="12">
        <v>520</v>
      </c>
    </row>
    <row r="109" spans="4:6" x14ac:dyDescent="0.25">
      <c r="D109" t="s">
        <v>77</v>
      </c>
      <c r="E109" t="s">
        <v>76</v>
      </c>
      <c r="F109" s="12">
        <v>70</v>
      </c>
    </row>
    <row r="110" spans="4:6" x14ac:dyDescent="0.25">
      <c r="D110" t="s">
        <v>73</v>
      </c>
      <c r="E110" t="s">
        <v>90</v>
      </c>
      <c r="F110" s="12">
        <v>15000</v>
      </c>
    </row>
    <row r="111" spans="4:6" x14ac:dyDescent="0.25">
      <c r="D111" t="s">
        <v>89</v>
      </c>
      <c r="E111" t="s">
        <v>89</v>
      </c>
      <c r="F111" s="12">
        <v>4759</v>
      </c>
    </row>
    <row r="112" spans="4:6" x14ac:dyDescent="0.25">
      <c r="D112" t="s">
        <v>88</v>
      </c>
      <c r="E112" t="s">
        <v>87</v>
      </c>
      <c r="F112" s="12">
        <v>10000</v>
      </c>
    </row>
    <row r="113" spans="4:6" x14ac:dyDescent="0.25">
      <c r="D113" t="s">
        <v>77</v>
      </c>
      <c r="E113" t="s">
        <v>77</v>
      </c>
      <c r="F113" s="12">
        <v>450</v>
      </c>
    </row>
    <row r="114" spans="4:6" x14ac:dyDescent="0.25">
      <c r="D114" t="s">
        <v>77</v>
      </c>
      <c r="E114" t="s">
        <v>86</v>
      </c>
      <c r="F114" s="12">
        <v>5000</v>
      </c>
    </row>
    <row r="115" spans="4:6" x14ac:dyDescent="0.25">
      <c r="D115" t="s">
        <v>77</v>
      </c>
      <c r="E115" t="s">
        <v>85</v>
      </c>
      <c r="F115" s="12">
        <v>1500</v>
      </c>
    </row>
    <row r="116" spans="4:6" x14ac:dyDescent="0.25">
      <c r="D116" t="s">
        <v>16</v>
      </c>
      <c r="E116" t="s">
        <v>84</v>
      </c>
      <c r="F116" s="12">
        <v>3000</v>
      </c>
    </row>
    <row r="117" spans="4:6" x14ac:dyDescent="0.25">
      <c r="D117" t="s">
        <v>73</v>
      </c>
      <c r="E117" t="s">
        <v>83</v>
      </c>
      <c r="F117" s="12">
        <v>3000</v>
      </c>
    </row>
    <row r="118" spans="4:6" x14ac:dyDescent="0.25">
      <c r="D118" t="s">
        <v>77</v>
      </c>
      <c r="E118" t="s">
        <v>82</v>
      </c>
      <c r="F118" s="12">
        <v>2000</v>
      </c>
    </row>
    <row r="119" spans="4:6" x14ac:dyDescent="0.25">
      <c r="D119" t="s">
        <v>73</v>
      </c>
      <c r="E119" t="s">
        <v>81</v>
      </c>
      <c r="F119" s="12">
        <v>2000</v>
      </c>
    </row>
    <row r="120" spans="4:6" x14ac:dyDescent="0.25">
      <c r="D120" t="s">
        <v>16</v>
      </c>
      <c r="E120" t="s">
        <v>80</v>
      </c>
      <c r="F120" s="12">
        <v>20000</v>
      </c>
    </row>
    <row r="121" spans="4:6" x14ac:dyDescent="0.25">
      <c r="D121" t="s">
        <v>77</v>
      </c>
      <c r="E121" t="s">
        <v>79</v>
      </c>
      <c r="F121" s="12">
        <v>10140</v>
      </c>
    </row>
    <row r="122" spans="4:6" x14ac:dyDescent="0.25">
      <c r="D122" t="s">
        <v>16</v>
      </c>
      <c r="E122" t="s">
        <v>75</v>
      </c>
      <c r="F122" s="12">
        <v>225</v>
      </c>
    </row>
    <row r="123" spans="4:6" x14ac:dyDescent="0.25">
      <c r="D123" t="s">
        <v>16</v>
      </c>
      <c r="E123" t="s">
        <v>78</v>
      </c>
      <c r="F123" s="12">
        <v>75</v>
      </c>
    </row>
    <row r="124" spans="4:6" x14ac:dyDescent="0.25">
      <c r="D124" t="s">
        <v>77</v>
      </c>
      <c r="E124" t="s">
        <v>76</v>
      </c>
      <c r="F124" s="12">
        <v>2650</v>
      </c>
    </row>
    <row r="125" spans="4:6" x14ac:dyDescent="0.25">
      <c r="D125" t="s">
        <v>16</v>
      </c>
      <c r="E125" t="s">
        <v>75</v>
      </c>
      <c r="F125" s="12">
        <v>200</v>
      </c>
    </row>
    <row r="126" spans="4:6" x14ac:dyDescent="0.25">
      <c r="D126" t="s">
        <v>16</v>
      </c>
      <c r="E126" t="s">
        <v>75</v>
      </c>
      <c r="F126" s="12">
        <v>690</v>
      </c>
    </row>
    <row r="127" spans="4:6" x14ac:dyDescent="0.25">
      <c r="D127" t="s">
        <v>16</v>
      </c>
      <c r="E127" t="s">
        <v>74</v>
      </c>
      <c r="F127" s="12">
        <v>2500</v>
      </c>
    </row>
    <row r="128" spans="4:6" x14ac:dyDescent="0.25">
      <c r="D128" t="s">
        <v>73</v>
      </c>
      <c r="E128" t="s">
        <v>52</v>
      </c>
      <c r="F128" s="12">
        <v>6000</v>
      </c>
    </row>
    <row r="129" spans="4:6" x14ac:dyDescent="0.25">
      <c r="D129" t="s">
        <v>73</v>
      </c>
      <c r="E129" t="s">
        <v>72</v>
      </c>
      <c r="F129" s="12">
        <v>15000</v>
      </c>
    </row>
    <row r="130" spans="4:6" x14ac:dyDescent="0.25">
      <c r="D130" t="s">
        <v>16</v>
      </c>
      <c r="E130" t="s">
        <v>71</v>
      </c>
      <c r="F130" s="12">
        <v>9500</v>
      </c>
    </row>
    <row r="131" spans="4:6" x14ac:dyDescent="0.25">
      <c r="D131" t="s">
        <v>89</v>
      </c>
      <c r="E131" t="s">
        <v>89</v>
      </c>
      <c r="F131" s="12">
        <v>317</v>
      </c>
    </row>
    <row r="132" spans="4:6" x14ac:dyDescent="0.25">
      <c r="D132" t="s">
        <v>89</v>
      </c>
      <c r="E132" t="s">
        <v>122</v>
      </c>
      <c r="F132" s="12">
        <v>507</v>
      </c>
    </row>
    <row r="133" spans="4:6" x14ac:dyDescent="0.25">
      <c r="D133" t="s">
        <v>77</v>
      </c>
      <c r="E133" t="s">
        <v>102</v>
      </c>
      <c r="F133" s="12">
        <v>44000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93163-277D-42D2-8C61-9F25745D58AA}">
  <dimension ref="B4:H19"/>
  <sheetViews>
    <sheetView workbookViewId="0">
      <selection activeCell="B4" sqref="B4:D19"/>
    </sheetView>
  </sheetViews>
  <sheetFormatPr defaultRowHeight="15" x14ac:dyDescent="0.25"/>
  <cols>
    <col min="2" max="2" width="12.42578125" style="20" customWidth="1"/>
    <col min="3" max="3" width="19.28515625" customWidth="1"/>
    <col min="4" max="4" width="12.5703125" style="42" bestFit="1" customWidth="1"/>
  </cols>
  <sheetData>
    <row r="4" spans="2:8" x14ac:dyDescent="0.25">
      <c r="B4" s="3">
        <v>45650</v>
      </c>
      <c r="C4" t="s">
        <v>212</v>
      </c>
      <c r="D4" s="42">
        <v>150000</v>
      </c>
      <c r="H4">
        <f>SUM(D4:D4423)</f>
        <v>344203.72</v>
      </c>
    </row>
    <row r="5" spans="2:8" x14ac:dyDescent="0.25">
      <c r="B5" s="3">
        <v>45650</v>
      </c>
      <c r="C5" t="s">
        <v>212</v>
      </c>
      <c r="D5" s="42">
        <v>205000</v>
      </c>
    </row>
    <row r="6" spans="2:8" x14ac:dyDescent="0.25">
      <c r="B6" s="3">
        <v>45650</v>
      </c>
      <c r="C6" t="s">
        <v>213</v>
      </c>
      <c r="D6" s="42">
        <v>-44000</v>
      </c>
    </row>
    <row r="7" spans="2:8" x14ac:dyDescent="0.25">
      <c r="B7" s="3">
        <v>45650</v>
      </c>
      <c r="C7" t="s">
        <v>141</v>
      </c>
      <c r="D7" s="42">
        <f>172.5*4</f>
        <v>690</v>
      </c>
    </row>
    <row r="8" spans="2:8" x14ac:dyDescent="0.25">
      <c r="B8" s="3">
        <v>45652</v>
      </c>
      <c r="C8" t="s">
        <v>141</v>
      </c>
      <c r="D8" s="42">
        <v>210</v>
      </c>
    </row>
    <row r="9" spans="2:8" x14ac:dyDescent="0.25">
      <c r="B9" s="3">
        <v>45653</v>
      </c>
      <c r="C9" t="s">
        <v>142</v>
      </c>
      <c r="D9" s="42">
        <v>325</v>
      </c>
    </row>
    <row r="10" spans="2:8" x14ac:dyDescent="0.25">
      <c r="B10" s="3">
        <v>45653</v>
      </c>
      <c r="C10" t="s">
        <v>26</v>
      </c>
      <c r="D10" s="42">
        <v>118</v>
      </c>
    </row>
    <row r="11" spans="2:8" x14ac:dyDescent="0.25">
      <c r="B11" s="3">
        <v>45654</v>
      </c>
      <c r="C11" t="s">
        <v>143</v>
      </c>
      <c r="D11" s="42">
        <v>45</v>
      </c>
    </row>
    <row r="12" spans="2:8" x14ac:dyDescent="0.25">
      <c r="B12" s="3">
        <v>45656</v>
      </c>
      <c r="C12" t="s">
        <v>145</v>
      </c>
      <c r="D12" s="42">
        <v>980</v>
      </c>
    </row>
    <row r="13" spans="2:8" x14ac:dyDescent="0.25">
      <c r="B13" s="3">
        <v>45659</v>
      </c>
      <c r="C13" t="s">
        <v>141</v>
      </c>
      <c r="D13" s="42">
        <v>300</v>
      </c>
    </row>
    <row r="14" spans="2:8" x14ac:dyDescent="0.25">
      <c r="B14" s="3">
        <v>45656</v>
      </c>
      <c r="C14" t="s">
        <v>157</v>
      </c>
      <c r="D14" s="42">
        <v>500</v>
      </c>
    </row>
    <row r="15" spans="2:8" x14ac:dyDescent="0.25">
      <c r="B15" s="21">
        <v>45662</v>
      </c>
      <c r="C15" t="s">
        <v>161</v>
      </c>
      <c r="D15" s="42">
        <v>225</v>
      </c>
    </row>
    <row r="16" spans="2:8" x14ac:dyDescent="0.25">
      <c r="B16" s="21">
        <v>45671</v>
      </c>
      <c r="C16" t="s">
        <v>176</v>
      </c>
      <c r="D16" s="42">
        <v>4950</v>
      </c>
    </row>
    <row r="17" spans="2:4" x14ac:dyDescent="0.25">
      <c r="B17" s="21">
        <v>45702</v>
      </c>
      <c r="C17" t="s">
        <v>202</v>
      </c>
      <c r="D17" s="42">
        <f>1483.35*6</f>
        <v>8900.0999999999985</v>
      </c>
    </row>
    <row r="18" spans="2:4" x14ac:dyDescent="0.25">
      <c r="B18" s="21">
        <v>45713</v>
      </c>
      <c r="C18" t="s">
        <v>176</v>
      </c>
      <c r="D18" s="42">
        <v>960.62</v>
      </c>
    </row>
    <row r="19" spans="2:4" x14ac:dyDescent="0.25">
      <c r="B19" s="21">
        <v>45723</v>
      </c>
      <c r="C19" t="s">
        <v>212</v>
      </c>
      <c r="D19" s="42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Sayfa2</vt:lpstr>
      <vt:lpstr>Sayfa1</vt:lpstr>
      <vt:lpstr>Artvin</vt:lpstr>
      <vt:lpstr>Burak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KF68796</dc:creator>
  <cp:lastModifiedBy>KF68796</cp:lastModifiedBy>
  <dcterms:created xsi:type="dcterms:W3CDTF">2024-12-14T19:00:24Z</dcterms:created>
  <dcterms:modified xsi:type="dcterms:W3CDTF">2025-03-07T10:22:22Z</dcterms:modified>
</cp:coreProperties>
</file>