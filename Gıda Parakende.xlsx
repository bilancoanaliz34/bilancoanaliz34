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codeName="ThisWorkbook"/>
  <mc:AlternateContent xmlns:mc="http://schemas.openxmlformats.org/markup-compatibility/2006">
    <mc:Choice Requires="x15">
      <x15ac:absPath xmlns:x15ac="http://schemas.microsoft.com/office/spreadsheetml/2010/11/ac" url="G:\Drive'ım\Diğer\Borsa Analiz\"/>
    </mc:Choice>
  </mc:AlternateContent>
  <xr:revisionPtr revIDLastSave="0" documentId="13_ncr:1_{DFF52E9F-F2A9-4CB0-92A9-9BEFFBB0D723}" xr6:coauthVersionLast="47" xr6:coauthVersionMax="47" xr10:uidLastSave="{00000000-0000-0000-0000-000000000000}"/>
  <bookViews>
    <workbookView xWindow="-28920" yWindow="2325" windowWidth="29040" windowHeight="15840" xr2:uid="{00000000-000D-0000-FFFF-FFFF00000000}"/>
  </bookViews>
  <sheets>
    <sheet name="data" sheetId="1" r:id="rId1"/>
    <sheet name="Sayfa1" sheetId="2" r:id="rId2"/>
  </sheets>
  <externalReferences>
    <externalReference r:id="rId3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6" i="2" l="1"/>
  <c r="V9" i="2"/>
  <c r="V8" i="2"/>
  <c r="V7" i="2"/>
  <c r="V6" i="2"/>
  <c r="V4" i="2"/>
  <c r="V3" i="2"/>
  <c r="V5" i="2"/>
  <c r="D3" i="2" l="1"/>
  <c r="D4" i="2"/>
  <c r="D5" i="2"/>
  <c r="D6" i="2"/>
  <c r="D7" i="2"/>
  <c r="D8" i="2"/>
  <c r="D9" i="2"/>
  <c r="R33" i="1"/>
  <c r="T33" i="1" s="1"/>
  <c r="R32" i="1"/>
  <c r="T32" i="1" s="1"/>
  <c r="R31" i="1"/>
  <c r="T31" i="1" s="1"/>
  <c r="R30" i="1"/>
  <c r="T30" i="1" s="1"/>
  <c r="R29" i="1"/>
  <c r="T29" i="1" s="1"/>
  <c r="R28" i="1"/>
  <c r="T28" i="1" s="1"/>
  <c r="R27" i="1"/>
  <c r="T27" i="1" s="1"/>
  <c r="R26" i="1"/>
  <c r="T26" i="1" s="1"/>
  <c r="R25" i="1"/>
  <c r="T25" i="1" s="1"/>
  <c r="R24" i="1"/>
  <c r="T24" i="1" s="1"/>
  <c r="R23" i="1"/>
  <c r="T23" i="1" s="1"/>
  <c r="R22" i="1"/>
  <c r="T22" i="1" s="1"/>
  <c r="R21" i="1"/>
  <c r="T21" i="1" s="1"/>
  <c r="R3" i="1" l="1"/>
  <c r="T3" i="1" s="1"/>
  <c r="R4" i="1"/>
  <c r="T4" i="1" s="1"/>
  <c r="R5" i="1"/>
  <c r="T5" i="1" s="1"/>
  <c r="R6" i="1"/>
  <c r="T6" i="1" s="1"/>
  <c r="R7" i="1"/>
  <c r="T7" i="1" s="1"/>
  <c r="R8" i="1"/>
  <c r="T8" i="1" s="1"/>
  <c r="R9" i="1"/>
  <c r="T9" i="1" s="1"/>
  <c r="R10" i="1"/>
  <c r="T10" i="1" s="1"/>
  <c r="R11" i="1"/>
  <c r="T11" i="1" s="1"/>
  <c r="R12" i="1"/>
  <c r="T12" i="1" s="1"/>
  <c r="R13" i="1"/>
  <c r="T13" i="1" s="1"/>
  <c r="R14" i="1"/>
  <c r="T14" i="1" s="1"/>
  <c r="R15" i="1"/>
  <c r="T15" i="1" s="1"/>
  <c r="R16" i="1"/>
  <c r="T16" i="1" s="1"/>
  <c r="R17" i="1"/>
  <c r="T17" i="1" s="1"/>
  <c r="R18" i="1"/>
  <c r="T18" i="1" s="1"/>
  <c r="R19" i="1"/>
  <c r="T19" i="1" s="1"/>
  <c r="R20" i="1"/>
  <c r="T20" i="1" s="1"/>
  <c r="R2" i="1"/>
  <c r="T2" i="1" s="1"/>
  <c r="L9" i="2"/>
  <c r="K9" i="2"/>
  <c r="J9" i="2"/>
  <c r="I9" i="2"/>
  <c r="H9" i="2"/>
  <c r="G9" i="2"/>
  <c r="F9" i="2"/>
  <c r="E9" i="2"/>
  <c r="C9" i="2"/>
  <c r="B9" i="2"/>
  <c r="AF9" i="2" s="1"/>
  <c r="V2" i="1" l="1"/>
  <c r="N9" i="2"/>
  <c r="L8" i="2"/>
  <c r="K8" i="2"/>
  <c r="J8" i="2"/>
  <c r="I8" i="2"/>
  <c r="H8" i="2"/>
  <c r="G8" i="2"/>
  <c r="F8" i="2"/>
  <c r="E8" i="2"/>
  <c r="C8" i="2"/>
  <c r="B8" i="2"/>
  <c r="AF8" i="2" s="1"/>
  <c r="L7" i="2"/>
  <c r="K7" i="2"/>
  <c r="J7" i="2"/>
  <c r="I7" i="2"/>
  <c r="H7" i="2"/>
  <c r="G7" i="2"/>
  <c r="F7" i="2"/>
  <c r="E7" i="2"/>
  <c r="C7" i="2"/>
  <c r="B7" i="2"/>
  <c r="AF7" i="2" s="1"/>
  <c r="L6" i="2"/>
  <c r="K6" i="2"/>
  <c r="J6" i="2"/>
  <c r="I6" i="2"/>
  <c r="H6" i="2"/>
  <c r="G6" i="2"/>
  <c r="F6" i="2"/>
  <c r="E6" i="2"/>
  <c r="C6" i="2"/>
  <c r="B6" i="2"/>
  <c r="AF6" i="2" s="1"/>
  <c r="L5" i="2"/>
  <c r="K5" i="2"/>
  <c r="J5" i="2"/>
  <c r="I5" i="2"/>
  <c r="H5" i="2"/>
  <c r="G5" i="2"/>
  <c r="F5" i="2"/>
  <c r="E5" i="2"/>
  <c r="C5" i="2"/>
  <c r="B5" i="2"/>
  <c r="AF5" i="2" s="1"/>
  <c r="J3" i="2"/>
  <c r="J4" i="2"/>
  <c r="N6" i="2" l="1"/>
  <c r="N5" i="2"/>
  <c r="N8" i="2"/>
  <c r="N7" i="2"/>
  <c r="AB3" i="2"/>
  <c r="AB4" i="2"/>
  <c r="AB7" i="2"/>
  <c r="AB6" i="2"/>
  <c r="AB9" i="2"/>
  <c r="AB5" i="2"/>
  <c r="AB8" i="2"/>
  <c r="R5" i="2"/>
  <c r="L3" i="2"/>
  <c r="L4" i="2"/>
  <c r="K3" i="2"/>
  <c r="K4" i="2"/>
  <c r="I3" i="2"/>
  <c r="I4" i="2"/>
  <c r="H3" i="2"/>
  <c r="H4" i="2"/>
  <c r="G3" i="2"/>
  <c r="G4" i="2"/>
  <c r="F3" i="2"/>
  <c r="F4" i="2"/>
  <c r="E3" i="2"/>
  <c r="E4" i="2"/>
  <c r="C4" i="2"/>
  <c r="C3" i="2"/>
  <c r="B3" i="2"/>
  <c r="AF3" i="2" s="1"/>
  <c r="B4" i="2"/>
  <c r="AF4" i="2" s="1"/>
  <c r="AC4" i="2" l="1"/>
  <c r="N4" i="2"/>
  <c r="U7" i="2"/>
  <c r="U6" i="2"/>
  <c r="U3" i="2"/>
  <c r="U9" i="2"/>
  <c r="U5" i="2"/>
  <c r="U4" i="2"/>
  <c r="U8" i="2"/>
  <c r="AC9" i="2"/>
  <c r="AC8" i="2"/>
  <c r="AA3" i="2"/>
  <c r="AD3" i="2"/>
  <c r="N3" i="2"/>
  <c r="Z5" i="2"/>
  <c r="Z9" i="2"/>
  <c r="Z6" i="2"/>
  <c r="Z7" i="2"/>
  <c r="Z4" i="2"/>
  <c r="Z8" i="2"/>
  <c r="Z3" i="2"/>
  <c r="AC3" i="2"/>
  <c r="AA8" i="2"/>
  <c r="AA9" i="2"/>
  <c r="AA4" i="2"/>
  <c r="AD4" i="2"/>
  <c r="AA7" i="2"/>
  <c r="AD7" i="2"/>
  <c r="AD8" i="2"/>
  <c r="AD9" i="2"/>
  <c r="Y4" i="2"/>
  <c r="Y8" i="2"/>
  <c r="Y3" i="2"/>
  <c r="Y5" i="2"/>
  <c r="Y9" i="2"/>
  <c r="Y6" i="2"/>
  <c r="Y7" i="2"/>
  <c r="AD6" i="2"/>
  <c r="AC6" i="2"/>
  <c r="AC7" i="2"/>
  <c r="AA6" i="2"/>
  <c r="AC5" i="2"/>
  <c r="AA5" i="2"/>
  <c r="AD5" i="2"/>
  <c r="W7" i="2"/>
  <c r="W5" i="2"/>
  <c r="W4" i="2"/>
  <c r="W8" i="2"/>
  <c r="W3" i="2"/>
  <c r="W9" i="2"/>
  <c r="W6" i="2"/>
  <c r="X4" i="2"/>
  <c r="X8" i="2"/>
  <c r="X3" i="2"/>
  <c r="X6" i="2"/>
  <c r="X5" i="2"/>
  <c r="X9" i="2"/>
  <c r="X7" i="2"/>
  <c r="R11" i="2"/>
  <c r="R10" i="2"/>
  <c r="R8" i="2"/>
  <c r="R9" i="2"/>
  <c r="R4" i="2"/>
  <c r="R7" i="2"/>
  <c r="R3" i="2"/>
  <c r="R12" i="2" l="1"/>
  <c r="T9" i="2"/>
  <c r="T4" i="2"/>
  <c r="T7" i="2"/>
  <c r="T5" i="2"/>
  <c r="T3" i="2"/>
  <c r="T6" i="2"/>
  <c r="T8" i="2"/>
  <c r="T2" i="2" l="1"/>
</calcChain>
</file>

<file path=xl/sharedStrings.xml><?xml version="1.0" encoding="utf-8"?>
<sst xmlns="http://schemas.openxmlformats.org/spreadsheetml/2006/main" count="86" uniqueCount="24">
  <si>
    <t>Şirket</t>
  </si>
  <si>
    <t>Özkaynak Karlılığı</t>
  </si>
  <si>
    <t>PD/DD</t>
  </si>
  <si>
    <t>F/K</t>
  </si>
  <si>
    <t>FD/FAVÖK</t>
  </si>
  <si>
    <t>FD/Satış</t>
  </si>
  <si>
    <t>PEG</t>
  </si>
  <si>
    <t>ROIC</t>
  </si>
  <si>
    <t>Yıllık Net Kar Değişimi</t>
  </si>
  <si>
    <t>Yıllık FAVÖK Değişimi</t>
  </si>
  <si>
    <t>Yıllık Satışlar Değişimi</t>
  </si>
  <si>
    <t xml:space="preserve">Yıllık İşletme Faaliyetleri Nakit Akış Değişimi </t>
  </si>
  <si>
    <t>2023/9</t>
  </si>
  <si>
    <t>Kapanış Fiyatı</t>
  </si>
  <si>
    <t>Bilanço Sonrası Hisse Fiyatı</t>
  </si>
  <si>
    <t>#</t>
  </si>
  <si>
    <t>BIMAS</t>
  </si>
  <si>
    <t>BIZIM</t>
  </si>
  <si>
    <t>CRFSA</t>
  </si>
  <si>
    <t>GMTAS</t>
  </si>
  <si>
    <t>KIMMR</t>
  </si>
  <si>
    <t>MGROS</t>
  </si>
  <si>
    <t>SOKM</t>
  </si>
  <si>
    <t xml:space="preserve">#BIMAS #BIZIM #CRFSA #GMTAS #KIMMR #MGROS #SOKM # # # # # # # # # # # # # # # # # # # # #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</si>
</sst>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charset val="162"/>
      <scheme val="minor"/>
    </font>
    <font>
      <b/>
      <sz val="12"/>
      <color theme="0"/>
      <name val="Calibri"/>
      <family val="2"/>
      <charset val="162"/>
      <scheme val="minor"/>
    </font>
    <font>
      <b/>
      <sz val="14"/>
      <color rgb="FF687FF4"/>
      <name val="Calibri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/>
        <bgColor indexed="64"/>
      </patternFill>
    </fill>
  </fills>
  <borders count="10">
    <border>
      <left/>
      <right/>
      <top/>
      <bottom/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/>
      <right style="thick">
        <color theme="0"/>
      </right>
      <top/>
      <bottom style="thick">
        <color theme="0"/>
      </bottom>
      <diagonal/>
    </border>
    <border>
      <left style="thick">
        <color theme="0"/>
      </left>
      <right/>
      <top/>
      <bottom style="thick">
        <color theme="0"/>
      </bottom>
      <diagonal/>
    </border>
    <border>
      <left/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/>
      <top style="thick">
        <color theme="0"/>
      </top>
      <bottom style="thick">
        <color theme="0"/>
      </bottom>
      <diagonal/>
    </border>
    <border>
      <left/>
      <right style="thick">
        <color theme="0"/>
      </right>
      <top style="thick">
        <color theme="0"/>
      </top>
      <bottom/>
      <diagonal/>
    </border>
    <border>
      <left style="thick">
        <color theme="0"/>
      </left>
      <right/>
      <top style="thick">
        <color theme="0"/>
      </top>
      <bottom/>
      <diagonal/>
    </border>
    <border>
      <left/>
      <right/>
      <top style="thick">
        <color theme="0"/>
      </top>
      <bottom/>
      <diagonal/>
    </border>
    <border>
      <left/>
      <right/>
      <top style="thick">
        <color theme="0"/>
      </top>
      <bottom style="thick">
        <color theme="0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1" applyFont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164" fontId="0" fillId="0" borderId="5" xfId="0" applyNumberFormat="1" applyBorder="1" applyAlignment="1">
      <alignment horizontal="center" vertical="center"/>
    </xf>
    <xf numFmtId="164" fontId="0" fillId="0" borderId="7" xfId="0" applyNumberFormat="1" applyBorder="1" applyAlignment="1">
      <alignment horizontal="center" vertical="center"/>
    </xf>
    <xf numFmtId="0" fontId="0" fillId="0" borderId="0" xfId="0" applyAlignment="1">
      <alignment horizontal="right" vertical="center"/>
    </xf>
    <xf numFmtId="2" fontId="0" fillId="0" borderId="5" xfId="0" applyNumberFormat="1" applyBorder="1" applyAlignment="1">
      <alignment horizontal="center" vertical="center"/>
    </xf>
    <xf numFmtId="2" fontId="0" fillId="0" borderId="7" xfId="0" applyNumberFormat="1" applyBorder="1" applyAlignment="1">
      <alignment horizontal="center" vertical="center"/>
    </xf>
    <xf numFmtId="164" fontId="0" fillId="0" borderId="0" xfId="0" applyNumberFormat="1" applyAlignment="1">
      <alignment vertical="center"/>
    </xf>
    <xf numFmtId="2" fontId="0" fillId="0" borderId="0" xfId="0" applyNumberFormat="1" applyAlignment="1">
      <alignment horizontal="center" vertical="center"/>
    </xf>
    <xf numFmtId="164" fontId="0" fillId="0" borderId="3" xfId="1" applyNumberFormat="1" applyFont="1" applyBorder="1" applyAlignment="1">
      <alignment horizontal="center" vertical="center"/>
    </xf>
    <xf numFmtId="2" fontId="0" fillId="0" borderId="3" xfId="1" applyNumberFormat="1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4" fillId="0" borderId="2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10" fontId="0" fillId="0" borderId="0" xfId="1" applyNumberFormat="1" applyFont="1" applyAlignment="1">
      <alignment vertical="center"/>
    </xf>
    <xf numFmtId="164" fontId="2" fillId="0" borderId="0" xfId="1" applyNumberFormat="1" applyFont="1" applyAlignment="1">
      <alignment horizontal="right" vertical="center"/>
    </xf>
    <xf numFmtId="0" fontId="0" fillId="0" borderId="1" xfId="0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9" fontId="3" fillId="2" borderId="1" xfId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164" fontId="0" fillId="0" borderId="5" xfId="1" applyNumberFormat="1" applyFont="1" applyBorder="1" applyAlignment="1">
      <alignment horizontal="center" vertical="center"/>
    </xf>
    <xf numFmtId="164" fontId="0" fillId="0" borderId="9" xfId="1" applyNumberFormat="1" applyFont="1" applyBorder="1" applyAlignment="1">
      <alignment horizontal="center" vertical="center"/>
    </xf>
    <xf numFmtId="0" fontId="4" fillId="0" borderId="6" xfId="0" applyFont="1" applyBorder="1" applyAlignment="1">
      <alignment vertical="center"/>
    </xf>
    <xf numFmtId="164" fontId="0" fillId="0" borderId="7" xfId="1" applyNumberFormat="1" applyFont="1" applyBorder="1" applyAlignment="1">
      <alignment horizontal="center" vertical="center"/>
    </xf>
    <xf numFmtId="164" fontId="0" fillId="0" borderId="8" xfId="1" applyNumberFormat="1" applyFont="1" applyBorder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1" fontId="2" fillId="0" borderId="0" xfId="0" applyNumberFormat="1" applyFont="1" applyAlignment="1">
      <alignment horizontal="center" vertical="center" wrapText="1"/>
    </xf>
    <xf numFmtId="1" fontId="0" fillId="0" borderId="1" xfId="1" applyNumberFormat="1" applyFon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</cellXfs>
  <cellStyles count="2">
    <cellStyle name="Normal" xfId="0" builtinId="0"/>
    <cellStyle name="Yüzde" xfId="1" builtinId="5"/>
  </cellStyles>
  <dxfs count="16">
    <dxf>
      <numFmt numFmtId="164" formatCode="0.0%"/>
      <alignment horizontal="center" vertical="center" textRotation="0" wrapText="0" indent="0" justifyLastLine="0" shrinkToFit="0" readingOrder="0"/>
      <border diagonalUp="0" diagonalDown="0">
        <left style="thick">
          <color theme="0"/>
        </left>
        <right/>
        <top style="thick">
          <color theme="0"/>
        </top>
        <bottom style="thick">
          <color theme="0"/>
        </bottom>
        <vertical style="thick">
          <color theme="0"/>
        </vertical>
        <horizontal style="thick">
          <color theme="0"/>
        </horizontal>
      </border>
    </dxf>
    <dxf>
      <numFmt numFmtId="164" formatCode="0.0%"/>
      <alignment horizontal="center" vertical="center" textRotation="0" wrapText="0" indent="0" justifyLastLine="0" shrinkToFit="0" readingOrder="0"/>
      <border diagonalUp="0" diagonalDown="0">
        <left style="thick">
          <color theme="0"/>
        </left>
        <right/>
        <top style="thick">
          <color theme="0"/>
        </top>
        <bottom style="thick">
          <color theme="0"/>
        </bottom>
        <vertical/>
        <horizontal/>
      </border>
    </dxf>
    <dxf>
      <numFmt numFmtId="164" formatCode="0.0%"/>
      <alignment horizontal="center" vertical="center" textRotation="0" wrapText="0" indent="0" justifyLastLine="0" shrinkToFit="0" readingOrder="0"/>
      <border diagonalUp="0" diagonalDown="0">
        <left style="thick">
          <color theme="0"/>
        </left>
        <right/>
        <top style="thick">
          <color theme="0"/>
        </top>
        <bottom style="thick">
          <color theme="0"/>
        </bottom>
        <vertical/>
        <horizontal/>
      </border>
    </dxf>
    <dxf>
      <numFmt numFmtId="164" formatCode="0.0%"/>
      <alignment horizontal="center" vertical="center" textRotation="0" wrapText="0" indent="0" justifyLastLine="0" shrinkToFit="0" readingOrder="0"/>
      <border diagonalUp="0" diagonalDown="0" outline="0">
        <left/>
        <right/>
        <top style="thick">
          <color theme="0"/>
        </top>
        <bottom style="thick">
          <color theme="0"/>
        </bottom>
      </border>
    </dxf>
    <dxf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thick">
          <color theme="0"/>
        </left>
        <right/>
        <top style="thick">
          <color theme="0"/>
        </top>
        <bottom style="thick">
          <color theme="0"/>
        </bottom>
      </border>
    </dxf>
    <dxf>
      <numFmt numFmtId="2" formatCode="0.00"/>
      <alignment horizontal="center" vertical="center" textRotation="0" wrapText="0" indent="0" justifyLastLine="0" shrinkToFit="0" readingOrder="0"/>
      <border diagonalUp="0" diagonalDown="0">
        <left style="thick">
          <color theme="0"/>
        </left>
        <right/>
        <top style="thick">
          <color theme="0"/>
        </top>
        <bottom style="thick">
          <color theme="0"/>
        </bottom>
        <vertical/>
        <horizontal/>
      </border>
    </dxf>
    <dxf>
      <numFmt numFmtId="2" formatCode="0.00"/>
      <alignment horizontal="center" vertical="center" textRotation="0" wrapText="0" indent="0" justifyLastLine="0" shrinkToFit="0" readingOrder="0"/>
      <border diagonalUp="0" diagonalDown="0">
        <left style="thick">
          <color theme="0"/>
        </left>
        <right/>
        <top style="thick">
          <color theme="0"/>
        </top>
        <bottom style="thick">
          <color theme="0"/>
        </bottom>
        <vertical/>
        <horizontal/>
      </border>
    </dxf>
    <dxf>
      <numFmt numFmtId="2" formatCode="0.00"/>
      <alignment horizontal="center" vertical="center" textRotation="0" wrapText="0" indent="0" justifyLastLine="0" shrinkToFit="0" readingOrder="0"/>
      <border diagonalUp="0" diagonalDown="0">
        <left style="thick">
          <color theme="0"/>
        </left>
        <right/>
        <top style="thick">
          <color theme="0"/>
        </top>
        <bottom style="thick">
          <color theme="0"/>
        </bottom>
        <vertical/>
        <horizontal/>
      </border>
    </dxf>
    <dxf>
      <numFmt numFmtId="2" formatCode="0.00"/>
      <alignment horizontal="center" vertical="center" textRotation="0" wrapText="0" indent="0" justifyLastLine="0" shrinkToFit="0" readingOrder="0"/>
      <border diagonalUp="0" diagonalDown="0">
        <left style="thick">
          <color theme="0"/>
        </left>
        <right/>
        <top style="thick">
          <color theme="0"/>
        </top>
        <bottom style="thick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0.0%"/>
      <alignment horizontal="center" vertical="center" textRotation="0" wrapText="0" indent="0" justifyLastLine="0" shrinkToFit="0" readingOrder="0"/>
      <border diagonalUp="0" diagonalDown="0" outline="0">
        <left style="thick">
          <color theme="0"/>
        </left>
        <right/>
        <top style="thick">
          <color theme="0"/>
        </top>
        <bottom style="thick">
          <color theme="0"/>
        </bottom>
      </border>
    </dxf>
    <dxf>
      <font>
        <b/>
        <strike val="0"/>
        <outline val="0"/>
        <shadow val="0"/>
        <u val="none"/>
        <vertAlign val="baseline"/>
        <sz val="14"/>
        <color rgb="FF687FF4"/>
        <name val="Calibri"/>
        <family val="2"/>
        <charset val="162"/>
        <scheme val="minor"/>
      </font>
      <alignment vertical="center" textRotation="0" indent="0" justifyLastLine="0" shrinkToFit="0" readingOrder="0"/>
      <border diagonalUp="0" diagonalDown="0" outline="0">
        <left/>
        <right style="thick">
          <color theme="0"/>
        </right>
        <top style="thick">
          <color theme="0"/>
        </top>
        <bottom style="thick">
          <color theme="0"/>
        </bottom>
      </border>
    </dxf>
    <dxf>
      <border>
        <top style="thick">
          <color theme="0"/>
        </top>
      </border>
    </dxf>
    <dxf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</dxf>
    <dxf>
      <alignment horizontal="center" vertical="center" textRotation="0" wrapText="0" indent="0" justifyLastLine="0" shrinkToFit="0" readingOrder="0"/>
    </dxf>
    <dxf>
      <border>
        <bottom style="thick">
          <color theme="0"/>
        </bottom>
      </border>
    </dxf>
    <dxf>
      <font>
        <b/>
        <strike val="0"/>
        <outline val="0"/>
        <shadow val="0"/>
        <u val="none"/>
        <vertAlign val="baseline"/>
        <sz val="12"/>
        <color theme="0"/>
        <name val="Calibri"/>
        <family val="2"/>
        <charset val="162"/>
        <scheme val="minor"/>
      </font>
      <fill>
        <patternFill patternType="solid">
          <fgColor indexed="64"/>
          <bgColor theme="8"/>
        </patternFill>
      </fill>
      <alignment horizontal="center" vertical="center" textRotation="0" wrapText="1" indent="0" justifyLastLine="0" shrinkToFit="0" readingOrder="0"/>
      <border diagonalUp="0" diagonalDown="0" outline="0">
        <left style="thick">
          <color theme="0"/>
        </left>
        <right style="thick">
          <color theme="0"/>
        </right>
        <top/>
        <bottom/>
      </border>
    </dxf>
  </dxfs>
  <tableStyles count="0" defaultTableStyle="TableStyleMedium9" defaultPivotStyle="PivotStyleMedium4"/>
  <colors>
    <mruColors>
      <color rgb="FF687FF4"/>
      <color rgb="FFFC60C4"/>
      <color rgb="FF047E67"/>
      <color rgb="FFEB700B"/>
      <color rgb="FFFE6666"/>
      <color rgb="FF5DD9A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Drive'&#305;m\Di&#287;er\Borsa%20Analiz\1-Borsa%20&#199;al&#305;&#351;ma.xlsx" TargetMode="External"/><Relationship Id="rId1" Type="http://schemas.openxmlformats.org/officeDocument/2006/relationships/externalLinkPath" Target="1-Borsa%20&#199;al&#305;&#351;m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ayfa1"/>
      <sheetName val="Sayfa2"/>
      <sheetName val="Sayfa3"/>
      <sheetName val="data"/>
      <sheetName val="Sayfa4"/>
      <sheetName val="Sayfa5"/>
      <sheetName val="GYO"/>
      <sheetName val="DEA"/>
      <sheetName val="ANA M"/>
      <sheetName val="AMB"/>
      <sheetName val="ARK"/>
      <sheetName val="B.Y."/>
      <sheetName val="CSP"/>
      <sheetName val="ENT"/>
      <sheetName val="En.Ü."/>
      <sheetName val="G.P."/>
      <sheetName val="Gı-Iç"/>
      <sheetName val="HAB"/>
      <sheetName val="HOLD"/>
      <sheetName val="ILAC"/>
      <sheetName val="KAMA"/>
      <sheetName val="Sayfa6"/>
      <sheetName val="1-Borsa Çalışm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6DCC89F-5199-48A4-A1B6-1973822B08D0}" name="Tablo1" displayName="Tablo1" ref="B2:L9" totalsRowShown="0" headerRowDxfId="15" dataDxfId="13" headerRowBorderDxfId="14" tableBorderDxfId="12" totalsRowBorderDxfId="11">
  <autoFilter ref="B2:L9" xr:uid="{06DCC89F-5199-48A4-A1B6-1973822B08D0}"/>
  <tableColumns count="11">
    <tableColumn id="1" xr3:uid="{DB058AAE-8836-4A67-A8AF-3B1E4D508ED2}" name="Şirket" dataDxfId="10">
      <calculatedColumnFormula>+data!A2</calculatedColumnFormula>
    </tableColumn>
    <tableColumn id="2" xr3:uid="{C9FD7B0C-3B22-4ACB-951C-F227F46047AB}" name="Özkaynak Karlılığı" dataDxfId="9" dataCellStyle="Yüzde">
      <calculatedColumnFormula>+data!B2/100</calculatedColumnFormula>
    </tableColumn>
    <tableColumn id="3" xr3:uid="{791EDFA7-3B7D-4D77-9960-0C214D8D5419}" name="PD/DD" dataDxfId="8">
      <calculatedColumnFormula>IF(data!C2&lt;0,"",data!C2)</calculatedColumnFormula>
    </tableColumn>
    <tableColumn id="4" xr3:uid="{EDCBB533-5839-4BD8-BA97-362B0CD0980A}" name="F/K" dataDxfId="7">
      <calculatedColumnFormula>IF(data!D2="","",data!D2)</calculatedColumnFormula>
    </tableColumn>
    <tableColumn id="5" xr3:uid="{2A745841-F480-4922-AC33-B08CCE7EE14E}" name="FD/FAVÖK" dataDxfId="6">
      <calculatedColumnFormula>IF(data!E2="","",data!E2)</calculatedColumnFormula>
    </tableColumn>
    <tableColumn id="6" xr3:uid="{8D0D068C-C623-4343-B44D-CEF1E60F0181}" name="FD/Satış" dataDxfId="5">
      <calculatedColumnFormula>IF(data!F2="","",data!F2)</calculatedColumnFormula>
    </tableColumn>
    <tableColumn id="7" xr3:uid="{25E03C56-2BA5-4B55-845D-E10692E36E1A}" name="PEG" dataDxfId="4">
      <calculatedColumnFormula>IF(data!G2="","",data!G2)</calculatedColumnFormula>
    </tableColumn>
    <tableColumn id="8" xr3:uid="{2757D01D-F636-4214-8413-25343C5851D9}" name="ROIC" dataDxfId="3" dataCellStyle="Yüzde">
      <calculatedColumnFormula>IF(data!H2/100="","",data!H2/100)</calculatedColumnFormula>
    </tableColumn>
    <tableColumn id="9" xr3:uid="{3D650952-779D-4594-97C7-E595D93E9C54}" name="Yıllık Net Kar Değişimi" dataDxfId="2">
      <calculatedColumnFormula>IF(data!I2/100=0,"",data!I2/100)</calculatedColumnFormula>
    </tableColumn>
    <tableColumn id="10" xr3:uid="{735BA8B3-1DCE-4D3B-99F6-EE20448B5649}" name="Yıllık FAVÖK Değişimi" dataDxfId="1">
      <calculatedColumnFormula>IF(data!J2/100="","",data!J2/100)</calculatedColumnFormula>
    </tableColumn>
    <tableColumn id="11" xr3:uid="{FE94096D-4CDF-464A-87F5-80E490A86FC9}" name="Yıllık Satışlar Değişimi" dataDxfId="0">
      <calculatedColumnFormula>IF(data!K2/100="","",data!K2/100)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3"/>
  <sheetViews>
    <sheetView tabSelected="1" workbookViewId="0">
      <selection activeCell="U14" sqref="U14"/>
    </sheetView>
  </sheetViews>
  <sheetFormatPr defaultRowHeight="15.75" x14ac:dyDescent="0.25"/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13</v>
      </c>
    </row>
    <row r="2" spans="1:22" x14ac:dyDescent="0.25">
      <c r="A2" t="s">
        <v>16</v>
      </c>
      <c r="B2">
        <v>56.52</v>
      </c>
      <c r="C2">
        <v>6.26</v>
      </c>
      <c r="D2">
        <v>16.350000000000001</v>
      </c>
      <c r="E2">
        <v>10.83</v>
      </c>
      <c r="F2">
        <v>0.85</v>
      </c>
      <c r="G2">
        <v>0.15</v>
      </c>
      <c r="H2">
        <v>84.28</v>
      </c>
      <c r="I2">
        <v>67.92</v>
      </c>
      <c r="J2">
        <v>78.11</v>
      </c>
      <c r="K2">
        <v>79.45</v>
      </c>
      <c r="L2">
        <v>160.05000000000001</v>
      </c>
      <c r="M2">
        <v>307.25</v>
      </c>
      <c r="Q2" t="s">
        <v>15</v>
      </c>
      <c r="R2" t="str">
        <f>CONCATENATE(Q2,A2)</f>
        <v>#BIMAS</v>
      </c>
      <c r="T2" t="str">
        <f>CONCATENATE(R2," ")</f>
        <v xml:space="preserve">#BIMAS </v>
      </c>
      <c r="V2" t="str">
        <f>CONCATENATE(T2,T3,T4,T5,T6,T7,T8,T9,T10,T11,T12,T13,T14,T15,T16,T17,T18,T19,T20,T21,T22,T23,T24,T25,T26,T27,T28,T29)</f>
        <v xml:space="preserve">#BIMAS #BIZIM #CRFSA #GMTAS #KIMMR #MGROS #SOKM # # # # # # # # # # # # # # # # # # # # # </v>
      </c>
    </row>
    <row r="3" spans="1:22" x14ac:dyDescent="0.25">
      <c r="A3" t="s">
        <v>17</v>
      </c>
      <c r="B3">
        <v>65.41</v>
      </c>
      <c r="C3">
        <v>4.9800000000000004</v>
      </c>
      <c r="D3">
        <v>9.1</v>
      </c>
      <c r="E3">
        <v>2.3199999999999998</v>
      </c>
      <c r="F3">
        <v>0.11</v>
      </c>
      <c r="G3">
        <v>0.14000000000000001</v>
      </c>
      <c r="H3">
        <v>-220.04</v>
      </c>
      <c r="I3">
        <v>-27.64</v>
      </c>
      <c r="J3">
        <v>33.549999999999997</v>
      </c>
      <c r="K3">
        <v>68.19</v>
      </c>
      <c r="L3">
        <v>245.07</v>
      </c>
      <c r="M3">
        <v>38.36</v>
      </c>
      <c r="Q3" t="s">
        <v>15</v>
      </c>
      <c r="R3" t="str">
        <f t="shared" ref="R3:R20" si="0">CONCATENATE(Q3,A3)</f>
        <v>#BIZIM</v>
      </c>
      <c r="T3" t="str">
        <f t="shared" ref="T3:T20" si="1">CONCATENATE(R3," ")</f>
        <v xml:space="preserve">#BIZIM </v>
      </c>
    </row>
    <row r="4" spans="1:22" x14ac:dyDescent="0.25">
      <c r="A4" t="s">
        <v>18</v>
      </c>
      <c r="B4">
        <v>33.14</v>
      </c>
      <c r="C4">
        <v>-11.98</v>
      </c>
      <c r="E4">
        <v>7.85</v>
      </c>
      <c r="F4">
        <v>0.55000000000000004</v>
      </c>
      <c r="H4">
        <v>-47.95</v>
      </c>
      <c r="J4">
        <v>72.02</v>
      </c>
      <c r="K4">
        <v>92.94</v>
      </c>
      <c r="L4">
        <v>102.09</v>
      </c>
      <c r="M4">
        <v>120.6</v>
      </c>
      <c r="Q4" t="s">
        <v>15</v>
      </c>
      <c r="R4" t="str">
        <f t="shared" si="0"/>
        <v>#CRFSA</v>
      </c>
      <c r="T4" t="str">
        <f t="shared" si="1"/>
        <v xml:space="preserve">#CRFSA </v>
      </c>
    </row>
    <row r="5" spans="1:22" x14ac:dyDescent="0.25">
      <c r="A5" t="s">
        <v>19</v>
      </c>
      <c r="B5">
        <v>27.16</v>
      </c>
      <c r="C5">
        <v>1.25</v>
      </c>
      <c r="D5">
        <v>6.34</v>
      </c>
      <c r="E5">
        <v>8.5500000000000007</v>
      </c>
      <c r="F5">
        <v>0.92</v>
      </c>
      <c r="G5">
        <v>0.06</v>
      </c>
      <c r="H5">
        <v>13.21</v>
      </c>
      <c r="I5">
        <v>7.27</v>
      </c>
      <c r="J5">
        <v>61.02</v>
      </c>
      <c r="K5">
        <v>124.04</v>
      </c>
      <c r="L5">
        <v>421.09</v>
      </c>
      <c r="M5">
        <v>8.18</v>
      </c>
      <c r="Q5" t="s">
        <v>15</v>
      </c>
      <c r="R5" t="str">
        <f t="shared" si="0"/>
        <v>#GMTAS</v>
      </c>
      <c r="T5" t="str">
        <f t="shared" si="1"/>
        <v xml:space="preserve">#GMTAS </v>
      </c>
    </row>
    <row r="6" spans="1:22" x14ac:dyDescent="0.25">
      <c r="A6" t="s">
        <v>20</v>
      </c>
      <c r="B6">
        <v>19.66</v>
      </c>
      <c r="C6">
        <v>2.14</v>
      </c>
      <c r="D6">
        <v>13.36</v>
      </c>
      <c r="E6">
        <v>5.22</v>
      </c>
      <c r="F6">
        <v>0.42</v>
      </c>
      <c r="G6">
        <v>0.05</v>
      </c>
      <c r="H6">
        <v>170.89</v>
      </c>
      <c r="I6">
        <v>330.56</v>
      </c>
      <c r="J6">
        <v>154.38</v>
      </c>
      <c r="K6">
        <v>107.71</v>
      </c>
      <c r="L6">
        <v>300.14</v>
      </c>
      <c r="M6">
        <v>6.4</v>
      </c>
      <c r="Q6" t="s">
        <v>15</v>
      </c>
      <c r="R6" t="str">
        <f t="shared" si="0"/>
        <v>#KIMMR</v>
      </c>
      <c r="T6" t="str">
        <f t="shared" si="1"/>
        <v xml:space="preserve">#KIMMR </v>
      </c>
      <c r="V6" t="s">
        <v>23</v>
      </c>
    </row>
    <row r="7" spans="1:22" x14ac:dyDescent="0.25">
      <c r="A7" t="s">
        <v>21</v>
      </c>
      <c r="B7">
        <v>107.9</v>
      </c>
      <c r="C7">
        <v>7.78</v>
      </c>
      <c r="D7">
        <v>11.56</v>
      </c>
      <c r="E7">
        <v>6.71</v>
      </c>
      <c r="F7">
        <v>0.45</v>
      </c>
      <c r="G7">
        <v>0.04</v>
      </c>
      <c r="H7">
        <v>-85.76</v>
      </c>
      <c r="I7">
        <v>201.14</v>
      </c>
      <c r="J7">
        <v>58.37</v>
      </c>
      <c r="K7">
        <v>103.49</v>
      </c>
      <c r="L7">
        <v>91.78</v>
      </c>
      <c r="M7">
        <v>344.75</v>
      </c>
      <c r="Q7" t="s">
        <v>15</v>
      </c>
      <c r="R7" t="str">
        <f t="shared" si="0"/>
        <v>#MGROS</v>
      </c>
      <c r="T7" t="str">
        <f t="shared" si="1"/>
        <v xml:space="preserve">#MGROS </v>
      </c>
    </row>
    <row r="8" spans="1:22" x14ac:dyDescent="0.25">
      <c r="A8" t="s">
        <v>22</v>
      </c>
      <c r="B8">
        <v>88.69</v>
      </c>
      <c r="C8">
        <v>6.37</v>
      </c>
      <c r="D8">
        <v>9.84</v>
      </c>
      <c r="E8">
        <v>5.09</v>
      </c>
      <c r="F8">
        <v>0.36</v>
      </c>
      <c r="G8">
        <v>0.12</v>
      </c>
      <c r="H8">
        <v>-472.66</v>
      </c>
      <c r="I8">
        <v>47.85</v>
      </c>
      <c r="J8">
        <v>56.38</v>
      </c>
      <c r="K8">
        <v>84.65</v>
      </c>
      <c r="L8">
        <v>245.62</v>
      </c>
      <c r="M8">
        <v>53.8</v>
      </c>
      <c r="Q8" t="s">
        <v>15</v>
      </c>
      <c r="R8" t="str">
        <f t="shared" si="0"/>
        <v>#SOKM</v>
      </c>
      <c r="T8" t="str">
        <f t="shared" si="1"/>
        <v xml:space="preserve">#SOKM </v>
      </c>
    </row>
    <row r="9" spans="1:22" x14ac:dyDescent="0.25">
      <c r="Q9" t="s">
        <v>15</v>
      </c>
      <c r="R9" t="str">
        <f t="shared" si="0"/>
        <v>#</v>
      </c>
      <c r="T9" t="str">
        <f t="shared" si="1"/>
        <v xml:space="preserve"># </v>
      </c>
    </row>
    <row r="10" spans="1:22" x14ac:dyDescent="0.25">
      <c r="Q10" t="s">
        <v>15</v>
      </c>
      <c r="R10" t="str">
        <f t="shared" si="0"/>
        <v>#</v>
      </c>
      <c r="T10" t="str">
        <f t="shared" si="1"/>
        <v xml:space="preserve"># </v>
      </c>
    </row>
    <row r="11" spans="1:22" x14ac:dyDescent="0.25">
      <c r="Q11" t="s">
        <v>15</v>
      </c>
      <c r="R11" t="str">
        <f t="shared" si="0"/>
        <v>#</v>
      </c>
      <c r="T11" t="str">
        <f t="shared" si="1"/>
        <v xml:space="preserve"># </v>
      </c>
    </row>
    <row r="12" spans="1:22" x14ac:dyDescent="0.25">
      <c r="Q12" t="s">
        <v>15</v>
      </c>
      <c r="R12" t="str">
        <f t="shared" si="0"/>
        <v>#</v>
      </c>
      <c r="T12" t="str">
        <f t="shared" si="1"/>
        <v xml:space="preserve"># </v>
      </c>
    </row>
    <row r="13" spans="1:22" x14ac:dyDescent="0.25">
      <c r="Q13" t="s">
        <v>15</v>
      </c>
      <c r="R13" t="str">
        <f t="shared" si="0"/>
        <v>#</v>
      </c>
      <c r="T13" t="str">
        <f t="shared" si="1"/>
        <v xml:space="preserve"># </v>
      </c>
    </row>
    <row r="14" spans="1:22" x14ac:dyDescent="0.25">
      <c r="Q14" t="s">
        <v>15</v>
      </c>
      <c r="R14" t="str">
        <f t="shared" si="0"/>
        <v>#</v>
      </c>
      <c r="T14" t="str">
        <f t="shared" si="1"/>
        <v xml:space="preserve"># </v>
      </c>
    </row>
    <row r="15" spans="1:22" x14ac:dyDescent="0.25">
      <c r="Q15" t="s">
        <v>15</v>
      </c>
      <c r="R15" t="str">
        <f t="shared" si="0"/>
        <v>#</v>
      </c>
      <c r="T15" t="str">
        <f t="shared" si="1"/>
        <v xml:space="preserve"># </v>
      </c>
    </row>
    <row r="16" spans="1:22" x14ac:dyDescent="0.25">
      <c r="Q16" t="s">
        <v>15</v>
      </c>
      <c r="R16" t="str">
        <f t="shared" si="0"/>
        <v>#</v>
      </c>
      <c r="T16" t="str">
        <f t="shared" si="1"/>
        <v xml:space="preserve"># </v>
      </c>
    </row>
    <row r="17" spans="17:20" x14ac:dyDescent="0.25">
      <c r="Q17" t="s">
        <v>15</v>
      </c>
      <c r="R17" t="str">
        <f t="shared" si="0"/>
        <v>#</v>
      </c>
      <c r="T17" t="str">
        <f t="shared" si="1"/>
        <v xml:space="preserve"># </v>
      </c>
    </row>
    <row r="18" spans="17:20" x14ac:dyDescent="0.25">
      <c r="Q18" t="s">
        <v>15</v>
      </c>
      <c r="R18" t="str">
        <f t="shared" si="0"/>
        <v>#</v>
      </c>
      <c r="T18" t="str">
        <f t="shared" si="1"/>
        <v xml:space="preserve"># </v>
      </c>
    </row>
    <row r="19" spans="17:20" x14ac:dyDescent="0.25">
      <c r="Q19" t="s">
        <v>15</v>
      </c>
      <c r="R19" t="str">
        <f t="shared" si="0"/>
        <v>#</v>
      </c>
      <c r="T19" t="str">
        <f t="shared" si="1"/>
        <v xml:space="preserve"># </v>
      </c>
    </row>
    <row r="20" spans="17:20" x14ac:dyDescent="0.25">
      <c r="Q20" t="s">
        <v>15</v>
      </c>
      <c r="R20" t="str">
        <f t="shared" si="0"/>
        <v>#</v>
      </c>
      <c r="T20" t="str">
        <f t="shared" si="1"/>
        <v xml:space="preserve"># </v>
      </c>
    </row>
    <row r="21" spans="17:20" x14ac:dyDescent="0.25">
      <c r="Q21" t="s">
        <v>15</v>
      </c>
      <c r="R21" t="str">
        <f t="shared" ref="R21:R33" si="2">CONCATENATE(Q21,A21)</f>
        <v>#</v>
      </c>
      <c r="T21" t="str">
        <f t="shared" ref="T21:T33" si="3">CONCATENATE(R21," ")</f>
        <v xml:space="preserve"># </v>
      </c>
    </row>
    <row r="22" spans="17:20" x14ac:dyDescent="0.25">
      <c r="Q22" t="s">
        <v>15</v>
      </c>
      <c r="R22" t="str">
        <f t="shared" si="2"/>
        <v>#</v>
      </c>
      <c r="T22" t="str">
        <f t="shared" si="3"/>
        <v xml:space="preserve"># </v>
      </c>
    </row>
    <row r="23" spans="17:20" x14ac:dyDescent="0.25">
      <c r="Q23" t="s">
        <v>15</v>
      </c>
      <c r="R23" t="str">
        <f t="shared" si="2"/>
        <v>#</v>
      </c>
      <c r="T23" t="str">
        <f t="shared" si="3"/>
        <v xml:space="preserve"># </v>
      </c>
    </row>
    <row r="24" spans="17:20" x14ac:dyDescent="0.25">
      <c r="Q24" t="s">
        <v>15</v>
      </c>
      <c r="R24" t="str">
        <f t="shared" si="2"/>
        <v>#</v>
      </c>
      <c r="T24" t="str">
        <f t="shared" si="3"/>
        <v xml:space="preserve"># </v>
      </c>
    </row>
    <row r="25" spans="17:20" x14ac:dyDescent="0.25">
      <c r="Q25" t="s">
        <v>15</v>
      </c>
      <c r="R25" t="str">
        <f t="shared" si="2"/>
        <v>#</v>
      </c>
      <c r="T25" t="str">
        <f t="shared" si="3"/>
        <v xml:space="preserve"># </v>
      </c>
    </row>
    <row r="26" spans="17:20" x14ac:dyDescent="0.25">
      <c r="Q26" t="s">
        <v>15</v>
      </c>
      <c r="R26" t="str">
        <f t="shared" si="2"/>
        <v>#</v>
      </c>
      <c r="T26" t="str">
        <f t="shared" si="3"/>
        <v xml:space="preserve"># </v>
      </c>
    </row>
    <row r="27" spans="17:20" x14ac:dyDescent="0.25">
      <c r="Q27" t="s">
        <v>15</v>
      </c>
      <c r="R27" t="str">
        <f t="shared" si="2"/>
        <v>#</v>
      </c>
      <c r="T27" t="str">
        <f t="shared" si="3"/>
        <v xml:space="preserve"># </v>
      </c>
    </row>
    <row r="28" spans="17:20" x14ac:dyDescent="0.25">
      <c r="Q28" t="s">
        <v>15</v>
      </c>
      <c r="R28" t="str">
        <f t="shared" si="2"/>
        <v>#</v>
      </c>
      <c r="T28" t="str">
        <f t="shared" si="3"/>
        <v xml:space="preserve"># </v>
      </c>
    </row>
    <row r="29" spans="17:20" x14ac:dyDescent="0.25">
      <c r="Q29" t="s">
        <v>15</v>
      </c>
      <c r="R29" t="str">
        <f t="shared" si="2"/>
        <v>#</v>
      </c>
      <c r="T29" t="str">
        <f t="shared" si="3"/>
        <v xml:space="preserve"># </v>
      </c>
    </row>
    <row r="30" spans="17:20" x14ac:dyDescent="0.25">
      <c r="Q30" t="s">
        <v>15</v>
      </c>
      <c r="R30" t="str">
        <f t="shared" si="2"/>
        <v>#</v>
      </c>
      <c r="T30" t="str">
        <f t="shared" si="3"/>
        <v xml:space="preserve"># </v>
      </c>
    </row>
    <row r="31" spans="17:20" x14ac:dyDescent="0.25">
      <c r="Q31" t="s">
        <v>15</v>
      </c>
      <c r="R31" t="str">
        <f t="shared" si="2"/>
        <v>#</v>
      </c>
      <c r="T31" t="str">
        <f t="shared" si="3"/>
        <v xml:space="preserve"># </v>
      </c>
    </row>
    <row r="32" spans="17:20" x14ac:dyDescent="0.25">
      <c r="Q32" t="s">
        <v>15</v>
      </c>
      <c r="R32" t="str">
        <f t="shared" si="2"/>
        <v>#</v>
      </c>
      <c r="T32" t="str">
        <f t="shared" si="3"/>
        <v xml:space="preserve"># </v>
      </c>
    </row>
    <row r="33" spans="17:20" x14ac:dyDescent="0.25">
      <c r="Q33" t="s">
        <v>15</v>
      </c>
      <c r="R33" t="str">
        <f t="shared" si="2"/>
        <v>#</v>
      </c>
      <c r="T33" t="str">
        <f t="shared" si="3"/>
        <v xml:space="preserve"># </v>
      </c>
    </row>
  </sheetData>
  <pageMargins left="0.7" right="0.7" top="0.75" bottom="0.75" header="0.3" footer="0.3"/>
  <ignoredErrors>
    <ignoredError sqref="A1:L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4F16D0-6FCA-438D-A857-20DA5A6B22F9}">
  <sheetPr>
    <pageSetUpPr fitToPage="1"/>
  </sheetPr>
  <dimension ref="B1:AF130"/>
  <sheetViews>
    <sheetView showGridLines="0" topLeftCell="B1" zoomScale="85" zoomScaleNormal="85" workbookViewId="0">
      <selection activeCell="N13" sqref="N13"/>
    </sheetView>
  </sheetViews>
  <sheetFormatPr defaultColWidth="9" defaultRowHeight="21" customHeight="1" x14ac:dyDescent="0.25"/>
  <cols>
    <col min="1" max="1" width="2.5" style="5" customWidth="1"/>
    <col min="2" max="2" width="9" style="15"/>
    <col min="3" max="3" width="12.75" style="3" customWidth="1"/>
    <col min="4" max="8" width="12.75" style="2" customWidth="1"/>
    <col min="9" max="9" width="12.75" style="3" customWidth="1"/>
    <col min="10" max="12" width="12.75" style="2" customWidth="1"/>
    <col min="13" max="13" width="1.75" style="5" customWidth="1"/>
    <col min="14" max="14" width="12.125" style="18" customWidth="1"/>
    <col min="15" max="15" width="6.375" style="5" customWidth="1"/>
    <col min="16" max="18" width="9" style="5" customWidth="1"/>
    <col min="19" max="19" width="2.875" style="5" customWidth="1"/>
    <col min="20" max="20" width="9" style="29"/>
    <col min="21" max="21" width="7" style="2" customWidth="1"/>
    <col min="22" max="22" width="8.625" style="2" customWidth="1"/>
    <col min="23" max="23" width="6.625" style="2" customWidth="1"/>
    <col min="24" max="30" width="6.625" style="12" customWidth="1"/>
    <col min="31" max="31" width="1.625" style="5" customWidth="1"/>
    <col min="32" max="16384" width="9" style="5"/>
  </cols>
  <sheetData>
    <row r="1" spans="2:32" ht="21" customHeight="1" thickBot="1" x14ac:dyDescent="0.3"/>
    <row r="2" spans="2:32" s="4" customFormat="1" ht="47.25" customHeight="1" thickTop="1" thickBot="1" x14ac:dyDescent="0.3">
      <c r="B2" s="21" t="s">
        <v>0</v>
      </c>
      <c r="C2" s="22" t="s">
        <v>1</v>
      </c>
      <c r="D2" s="23" t="s">
        <v>2</v>
      </c>
      <c r="E2" s="23" t="s">
        <v>3</v>
      </c>
      <c r="F2" s="23" t="s">
        <v>4</v>
      </c>
      <c r="G2" s="23" t="s">
        <v>5</v>
      </c>
      <c r="H2" s="23" t="s">
        <v>6</v>
      </c>
      <c r="I2" s="22" t="s">
        <v>7</v>
      </c>
      <c r="J2" s="23" t="s">
        <v>8</v>
      </c>
      <c r="K2" s="23" t="s">
        <v>9</v>
      </c>
      <c r="L2" s="23" t="s">
        <v>10</v>
      </c>
      <c r="M2" s="20"/>
      <c r="N2" s="23" t="s">
        <v>14</v>
      </c>
      <c r="R2" s="4" t="s">
        <v>12</v>
      </c>
      <c r="T2" s="30">
        <f>AVERAGE(T3:T115)</f>
        <v>36.921637506065522</v>
      </c>
      <c r="U2" s="1" t="s">
        <v>1</v>
      </c>
      <c r="V2" s="1" t="s">
        <v>2</v>
      </c>
      <c r="W2" s="1" t="s">
        <v>3</v>
      </c>
      <c r="X2" s="12" t="s">
        <v>4</v>
      </c>
      <c r="Y2" s="12" t="s">
        <v>5</v>
      </c>
      <c r="Z2" s="12" t="s">
        <v>6</v>
      </c>
      <c r="AA2" s="12" t="s">
        <v>7</v>
      </c>
      <c r="AB2" s="12" t="s">
        <v>8</v>
      </c>
      <c r="AC2" s="12" t="s">
        <v>9</v>
      </c>
      <c r="AD2" s="12" t="s">
        <v>10</v>
      </c>
    </row>
    <row r="3" spans="2:32" ht="21.95" customHeight="1" thickTop="1" thickBot="1" x14ac:dyDescent="0.3">
      <c r="B3" s="16" t="str">
        <f>+data!A2</f>
        <v>BIMAS</v>
      </c>
      <c r="C3" s="13">
        <f>+data!B2/100</f>
        <v>0.56520000000000004</v>
      </c>
      <c r="D3" s="14">
        <f>IF(data!C2&lt;0,"",data!C2)</f>
        <v>6.26</v>
      </c>
      <c r="E3" s="14">
        <f>IF(data!D2="","",data!D2)</f>
        <v>16.350000000000001</v>
      </c>
      <c r="F3" s="14">
        <f>IF(data!E2="","",data!E2)</f>
        <v>10.83</v>
      </c>
      <c r="G3" s="14">
        <f>IF(data!F2="","",data!F2)</f>
        <v>0.85</v>
      </c>
      <c r="H3" s="14">
        <f>IF(data!G2="","",data!G2)</f>
        <v>0.15</v>
      </c>
      <c r="I3" s="13">
        <f>IF(data!H2/100="","",data!H2/100)</f>
        <v>0.84279999999999999</v>
      </c>
      <c r="J3" s="13">
        <f>IF(data!I2/100=0,"",data!I2/100)</f>
        <v>0.67920000000000003</v>
      </c>
      <c r="K3" s="13">
        <f>IF(data!J2/100="","",data!J2/100)</f>
        <v>0.78110000000000002</v>
      </c>
      <c r="L3" s="13">
        <f>IF(data!K2/100="","",data!K2/100)</f>
        <v>0.79449999999999998</v>
      </c>
      <c r="N3" s="19">
        <f>(AF3-data!M2)/AF3</f>
        <v>-3.7130801687763712E-2</v>
      </c>
      <c r="Q3" s="8" t="s">
        <v>10</v>
      </c>
      <c r="R3" s="5">
        <f>AVERAGE(Tablo1[Yıllık Satışlar Değişimi])</f>
        <v>0.94352857142857149</v>
      </c>
      <c r="T3" s="31">
        <f>SUM(U3:AD3)</f>
        <v>35.666954008467528</v>
      </c>
      <c r="U3" s="12">
        <f>IF(Tablo1[[#This Row],[Özkaynak Karlılığı]]&lt;0,0,(Tablo1[[#This Row],[Özkaynak Karlılığı]]/MAX(Tablo1[Özkaynak Karlılığı]))*10)</f>
        <v>5.2381835032437447</v>
      </c>
      <c r="V3" s="12">
        <f>IFERROR((MIN(Tablo1[PD/DD])/Tablo1[[#This Row],[PD/DD]])*10,"")</f>
        <v>1.9968051118210863</v>
      </c>
      <c r="W3" s="12">
        <f>IFERROR((MIN(Tablo1[F/K])/Tablo1[[#This Row],[F/K]])*10,"")</f>
        <v>3.8776758409785925</v>
      </c>
      <c r="X3" s="12">
        <f>IFERROR((MIN(Tablo1[FD/FAVÖK])/Tablo1[[#This Row],[FD/FAVÖK]])*10,"")</f>
        <v>2.1421975992613111</v>
      </c>
      <c r="Y3" s="12">
        <f>IFERROR((MIN(Tablo1[FD/Satış])/Tablo1[[#This Row],[FD/Satış]])*10,"")</f>
        <v>1.2941176470588236</v>
      </c>
      <c r="Z3" s="12">
        <f>IFERROR((MIN(Tablo1[PEG])/Tablo1[[#This Row],[PEG]])*10,"")</f>
        <v>2.6666666666666665</v>
      </c>
      <c r="AA3" s="12">
        <f>(Tablo1[[#This Row],[ROIC]]/MAX(Tablo1[ROIC]))*10</f>
        <v>4.9318274913687175</v>
      </c>
      <c r="AB3" s="12">
        <f>IFERROR(IF(Tablo1[[#This Row],[Yıllık Net Kar Değişimi]]&lt;0,0,(Tablo1[[#This Row],[Yıllık Net Kar Değişimi]]/MAX(Tablo1[Yıllık Net Kar Değişimi]))*10),"")</f>
        <v>2.0546950629235234</v>
      </c>
      <c r="AC3" s="12">
        <f>IFERROR(IF(Tablo1[[#This Row],[Yıllık FAVÖK Değişimi]]&lt;0,0,(Tablo1[[#This Row],[Yıllık FAVÖK Değişimi]]/MAX(Tablo1[Yıllık FAVÖK Değişimi]))*10),"")</f>
        <v>5.0595932115559004</v>
      </c>
      <c r="AD3" s="12">
        <f>IFERROR(IF(Tablo1[[#This Row],[Yıllık Satışlar Değişimi]]&lt;0,0,(Tablo1[[#This Row],[Yıllık Satışlar Değişimi]]/MAX(Tablo1[Yıllık Satışlar Değişimi]))*10),"")</f>
        <v>6.4051918735891631</v>
      </c>
      <c r="AF3" s="5">
        <f>SUMIFS([1]!Tablo1[Hisse Fiyatı],[1]!Tablo1[Hisse],Tablo1[[#This Row],[Şirket]],[1]!Tablo1[Dönem],$R$2)</f>
        <v>296.25</v>
      </c>
    </row>
    <row r="4" spans="2:32" ht="21.95" customHeight="1" thickTop="1" thickBot="1" x14ac:dyDescent="0.3">
      <c r="B4" s="17" t="str">
        <f>+data!A3</f>
        <v>BIZIM</v>
      </c>
      <c r="C4" s="6">
        <f>+data!B3/100</f>
        <v>0.65410000000000001</v>
      </c>
      <c r="D4" s="9">
        <f>IF(data!C3&lt;0,"",data!C3)</f>
        <v>4.9800000000000004</v>
      </c>
      <c r="E4" s="9">
        <f>IF(data!D3="","",data!D3)</f>
        <v>9.1</v>
      </c>
      <c r="F4" s="9">
        <f>IF(data!E3="","",data!E3)</f>
        <v>2.3199999999999998</v>
      </c>
      <c r="G4" s="9">
        <f>IF(data!F3="","",data!F3)</f>
        <v>0.11</v>
      </c>
      <c r="H4" s="9">
        <f>IF(data!G3="","",data!G3)</f>
        <v>0.14000000000000001</v>
      </c>
      <c r="I4" s="6">
        <f>IF(data!H3/100="","",data!H3/100)</f>
        <v>-2.2004000000000001</v>
      </c>
      <c r="J4" s="6">
        <f>IF(data!I3/100=0,"",data!I3/100)</f>
        <v>-0.27639999999999998</v>
      </c>
      <c r="K4" s="6">
        <f>IF(data!J3/100="","",data!J3/100)</f>
        <v>0.33549999999999996</v>
      </c>
      <c r="L4" s="6">
        <f>IF(data!K3/100="","",data!K3/100)</f>
        <v>0.68189999999999995</v>
      </c>
      <c r="N4" s="19">
        <f>(AF4-data!M3)/AF4</f>
        <v>0.1707738867271941</v>
      </c>
      <c r="Q4" s="8" t="s">
        <v>9</v>
      </c>
      <c r="R4" s="5">
        <f>AVERAGE(Tablo1[Yıllık FAVÖK Değişimi])</f>
        <v>0.73404285714285733</v>
      </c>
      <c r="T4" s="32">
        <f t="shared" ref="T4:T9" si="0">SUM(U4:AD4)</f>
        <v>33.190820527752827</v>
      </c>
      <c r="U4" s="12">
        <f>IF(Tablo1[[#This Row],[Özkaynak Karlılığı]]&lt;0,0,(Tablo1[[#This Row],[Özkaynak Karlılığı]]/MAX(Tablo1[Özkaynak Karlılığı]))*10)</f>
        <v>6.0620945319740507</v>
      </c>
      <c r="V4" s="12">
        <f>IFERROR((MIN(Tablo1[PD/DD])/Tablo1[[#This Row],[PD/DD]])*10,"")</f>
        <v>2.51004016064257</v>
      </c>
      <c r="W4" s="12">
        <f>IFERROR((MIN(Tablo1[F/K])/Tablo1[[#This Row],[F/K]])*10,"")</f>
        <v>6.9670329670329672</v>
      </c>
      <c r="X4" s="12">
        <f>IFERROR((MIN(Tablo1[FD/FAVÖK])/Tablo1[[#This Row],[FD/FAVÖK]])*10,"")</f>
        <v>10</v>
      </c>
      <c r="Y4" s="12">
        <f>IFERROR((MIN(Tablo1[FD/Satış])/Tablo1[[#This Row],[FD/Satış]])*10,"")</f>
        <v>10</v>
      </c>
      <c r="Z4" s="12">
        <f>IFERROR((MIN(Tablo1[PEG])/Tablo1[[#This Row],[PEG]])*10,"")</f>
        <v>2.8571428571428568</v>
      </c>
      <c r="AA4" s="12">
        <f>(Tablo1[[#This Row],[ROIC]]/MAX(Tablo1[ROIC]))*10</f>
        <v>-12.876119140967877</v>
      </c>
      <c r="AB4" s="12">
        <f>IFERROR(IF(Tablo1[[#This Row],[Yıllık Net Kar Değişimi]]&lt;0,0,(Tablo1[[#This Row],[Yıllık Net Kar Değişimi]]/MAX(Tablo1[Yıllık Net Kar Değişimi]))*10),"")</f>
        <v>0</v>
      </c>
      <c r="AC4" s="12">
        <f>IFERROR(IF(Tablo1[[#This Row],[Yıllık FAVÖK Değişimi]]&lt;0,0,(Tablo1[[#This Row],[Yıllık FAVÖK Değişimi]]/MAX(Tablo1[Yıllık FAVÖK Değişimi]))*10),"")</f>
        <v>2.1732089648918249</v>
      </c>
      <c r="AD4" s="12">
        <f>IFERROR(IF(Tablo1[[#This Row],[Yıllık Satışlar Değişimi]]&lt;0,0,(Tablo1[[#This Row],[Yıllık Satışlar Değişimi]]/MAX(Tablo1[Yıllık Satışlar Değişimi]))*10),"")</f>
        <v>5.4974201870364396</v>
      </c>
      <c r="AF4" s="5">
        <f>SUMIFS([1]!Tablo1[Hisse Fiyatı],[1]!Tablo1[Hisse],Tablo1[[#This Row],[Şirket]],[1]!Tablo1[Dönem],$R$2)</f>
        <v>46.26</v>
      </c>
    </row>
    <row r="5" spans="2:32" ht="21.95" customHeight="1" thickTop="1" thickBot="1" x14ac:dyDescent="0.3">
      <c r="B5" s="17" t="str">
        <f>+data!A4</f>
        <v>CRFSA</v>
      </c>
      <c r="C5" s="6">
        <f>+data!B4/100</f>
        <v>0.33140000000000003</v>
      </c>
      <c r="D5" s="9" t="str">
        <f>IF(data!C4&lt;0,"",data!C4)</f>
        <v/>
      </c>
      <c r="E5" s="9" t="str">
        <f>IF(data!D4="","",data!D4)</f>
        <v/>
      </c>
      <c r="F5" s="9">
        <f>IF(data!E4="","",data!E4)</f>
        <v>7.85</v>
      </c>
      <c r="G5" s="9">
        <f>IF(data!F4="","",data!F4)</f>
        <v>0.55000000000000004</v>
      </c>
      <c r="H5" s="9" t="str">
        <f>IF(data!G4="","",data!G4)</f>
        <v/>
      </c>
      <c r="I5" s="6">
        <f>IF(data!H4/100="","",data!H4/100)</f>
        <v>-0.47950000000000004</v>
      </c>
      <c r="J5" s="6" t="str">
        <f>IF(data!I4/100=0,"",data!I4/100)</f>
        <v/>
      </c>
      <c r="K5" s="6">
        <f>IF(data!J4/100="","",data!J4/100)</f>
        <v>0.72019999999999995</v>
      </c>
      <c r="L5" s="6">
        <f>IF(data!K4/100="","",data!K4/100)</f>
        <v>0.9294</v>
      </c>
      <c r="N5" s="19">
        <f>(AF5-data!M4)/AF5</f>
        <v>1.3900245298446468E-2</v>
      </c>
      <c r="Q5" s="8" t="s">
        <v>8</v>
      </c>
      <c r="R5" s="5">
        <f>AVERAGE(Tablo1[Yıllık Net Kar Değişimi])</f>
        <v>1.0451666666666668</v>
      </c>
      <c r="T5" s="32">
        <f t="shared" si="0"/>
        <v>17.378734191274933</v>
      </c>
      <c r="U5" s="12">
        <f>IF(Tablo1[[#This Row],[Özkaynak Karlılığı]]&lt;0,0,(Tablo1[[#This Row],[Özkaynak Karlılığı]]/MAX(Tablo1[Özkaynak Karlılığı]))*10)</f>
        <v>3.0713623725671924</v>
      </c>
      <c r="V5" s="12" t="str">
        <f>IFERROR((MIN(Tablo1[PD/DD])/Tablo1[[#This Row],[PD/DD]])*10,"")</f>
        <v/>
      </c>
      <c r="W5" s="12" t="str">
        <f>IFERROR((MIN(Tablo1[F/K])/Tablo1[[#This Row],[F/K]])*10,"")</f>
        <v/>
      </c>
      <c r="X5" s="12">
        <f>IFERROR((MIN(Tablo1[FD/FAVÖK])/Tablo1[[#This Row],[FD/FAVÖK]])*10,"")</f>
        <v>2.9554140127388533</v>
      </c>
      <c r="Y5" s="12">
        <f>IFERROR((MIN(Tablo1[FD/Satış])/Tablo1[[#This Row],[FD/Satış]])*10,"")</f>
        <v>1.9999999999999998</v>
      </c>
      <c r="Z5" s="12" t="str">
        <f>IFERROR((MIN(Tablo1[PEG])/Tablo1[[#This Row],[PEG]])*10,"")</f>
        <v/>
      </c>
      <c r="AA5" s="12">
        <f>(Tablo1[[#This Row],[ROIC]]/MAX(Tablo1[ROIC]))*10</f>
        <v>-2.8058985312189133</v>
      </c>
      <c r="AB5" s="12" t="str">
        <f>IFERROR(IF(Tablo1[[#This Row],[Yıllık Net Kar Değişimi]]&lt;0,0,(Tablo1[[#This Row],[Yıllık Net Kar Değişimi]]/MAX(Tablo1[Yıllık Net Kar Değişimi]))*10),"")</f>
        <v/>
      </c>
      <c r="AC5" s="12">
        <f>IFERROR(IF(Tablo1[[#This Row],[Yıllık FAVÖK Değişimi]]&lt;0,0,(Tablo1[[#This Row],[Yıllık FAVÖK Değişimi]]/MAX(Tablo1[Yıllık FAVÖK Değişimi]))*10),"")</f>
        <v>4.6651120611478163</v>
      </c>
      <c r="AD5" s="12">
        <f>IFERROR(IF(Tablo1[[#This Row],[Yıllık Satışlar Değişimi]]&lt;0,0,(Tablo1[[#This Row],[Yıllık Satışlar Değişimi]]/MAX(Tablo1[Yıllık Satışlar Değişimi]))*10),"")</f>
        <v>7.4927442760399865</v>
      </c>
      <c r="AF5" s="5">
        <f>SUMIFS([1]!Tablo1[Hisse Fiyatı],[1]!Tablo1[Hisse],Tablo1[[#This Row],[Şirket]],[1]!Tablo1[Dönem],$R$2)</f>
        <v>122.3</v>
      </c>
    </row>
    <row r="6" spans="2:32" ht="21.95" customHeight="1" thickTop="1" thickBot="1" x14ac:dyDescent="0.3">
      <c r="B6" s="17" t="str">
        <f>+data!A5</f>
        <v>GMTAS</v>
      </c>
      <c r="C6" s="6">
        <f>+data!B5/100</f>
        <v>0.27160000000000001</v>
      </c>
      <c r="D6" s="9">
        <f>IF(data!C5&lt;0,"",data!C5)</f>
        <v>1.25</v>
      </c>
      <c r="E6" s="9">
        <f>IF(data!D5="","",data!D5)</f>
        <v>6.34</v>
      </c>
      <c r="F6" s="9">
        <f>IF(data!E5="","",data!E5)</f>
        <v>8.5500000000000007</v>
      </c>
      <c r="G6" s="9">
        <f>IF(data!F5="","",data!F5)</f>
        <v>0.92</v>
      </c>
      <c r="H6" s="9">
        <f>IF(data!G5="","",data!G5)</f>
        <v>0.06</v>
      </c>
      <c r="I6" s="6">
        <f>IF(data!H5/100="","",data!H5/100)</f>
        <v>0.1321</v>
      </c>
      <c r="J6" s="6">
        <f>IF(data!I5/100=0,"",data!I5/100)</f>
        <v>7.2700000000000001E-2</v>
      </c>
      <c r="K6" s="6">
        <f>IF(data!J5/100="","",data!J5/100)</f>
        <v>0.61020000000000008</v>
      </c>
      <c r="L6" s="6">
        <f>IF(data!K5/100="","",data!K5/100)</f>
        <v>1.2404000000000002</v>
      </c>
      <c r="N6" s="19">
        <f>(AF6-data!M5)/AF6</f>
        <v>4.8837209302325574E-2</v>
      </c>
      <c r="Q6" s="8" t="s">
        <v>7</v>
      </c>
      <c r="R6" s="5">
        <f>IF(AVERAGE(Tablo1[ROIC])&lt;0,0,AVERAGE(Tablo1[ROIC]))</f>
        <v>0</v>
      </c>
      <c r="T6" s="32">
        <f t="shared" si="0"/>
        <v>48.038440864805949</v>
      </c>
      <c r="U6" s="12">
        <f>IF(Tablo1[[#This Row],[Özkaynak Karlılığı]]&lt;0,0,(Tablo1[[#This Row],[Özkaynak Karlılığı]]/MAX(Tablo1[Özkaynak Karlılığı]))*10)</f>
        <v>2.5171455050973126</v>
      </c>
      <c r="V6" s="12">
        <f>IFERROR((MIN(Tablo1[PD/DD])/Tablo1[[#This Row],[PD/DD]])*10,"")</f>
        <v>10</v>
      </c>
      <c r="W6" s="12">
        <f>IFERROR((MIN(Tablo1[F/K])/Tablo1[[#This Row],[F/K]])*10,"")</f>
        <v>10</v>
      </c>
      <c r="X6" s="12">
        <f>IFERROR((MIN(Tablo1[FD/FAVÖK])/Tablo1[[#This Row],[FD/FAVÖK]])*10,"")</f>
        <v>2.7134502923976607</v>
      </c>
      <c r="Y6" s="12">
        <f>IFERROR((MIN(Tablo1[FD/Satış])/Tablo1[[#This Row],[FD/Satış]])*10,"")</f>
        <v>1.1956521739130435</v>
      </c>
      <c r="Z6" s="12">
        <f>IFERROR((MIN(Tablo1[PEG])/Tablo1[[#This Row],[PEG]])*10,"")</f>
        <v>6.6666666666666679</v>
      </c>
      <c r="AA6" s="12">
        <f>(Tablo1[[#This Row],[ROIC]]/MAX(Tablo1[ROIC]))*10</f>
        <v>0.7730118789864826</v>
      </c>
      <c r="AB6" s="12">
        <f>IFERROR(IF(Tablo1[[#This Row],[Yıllık Net Kar Değişimi]]&lt;0,0,(Tablo1[[#This Row],[Yıllık Net Kar Değişimi]]/MAX(Tablo1[Yıllık Net Kar Değişimi]))*10),"")</f>
        <v>0.21992981606969991</v>
      </c>
      <c r="AC6" s="12">
        <f>IFERROR(IF(Tablo1[[#This Row],[Yıllık FAVÖK Değişimi]]&lt;0,0,(Tablo1[[#This Row],[Yıllık FAVÖK Değişimi]]/MAX(Tablo1[Yıllık FAVÖK Değişimi]))*10),"")</f>
        <v>3.9525845316750878</v>
      </c>
      <c r="AD6" s="12">
        <f>IFERROR(IF(Tablo1[[#This Row],[Yıllık Satışlar Değişimi]]&lt;0,0,(Tablo1[[#This Row],[Yıllık Satışlar Değişimi]]/MAX(Tablo1[Yıllık Satışlar Değişimi]))*10),"")</f>
        <v>10</v>
      </c>
      <c r="AF6" s="5">
        <f>SUMIFS([1]!Tablo1[Hisse Fiyatı],[1]!Tablo1[Hisse],Tablo1[[#This Row],[Şirket]],[1]!Tablo1[Dönem],$R$2)</f>
        <v>8.6</v>
      </c>
    </row>
    <row r="7" spans="2:32" ht="21.95" customHeight="1" thickTop="1" thickBot="1" x14ac:dyDescent="0.3">
      <c r="B7" s="17" t="str">
        <f>+data!A6</f>
        <v>KIMMR</v>
      </c>
      <c r="C7" s="6">
        <f>+data!B6/100</f>
        <v>0.1966</v>
      </c>
      <c r="D7" s="9">
        <f>IF(data!C6&lt;0,"",data!C6)</f>
        <v>2.14</v>
      </c>
      <c r="E7" s="9">
        <f>IF(data!D6="","",data!D6)</f>
        <v>13.36</v>
      </c>
      <c r="F7" s="9">
        <f>IF(data!E6="","",data!E6)</f>
        <v>5.22</v>
      </c>
      <c r="G7" s="9">
        <f>IF(data!F6="","",data!F6)</f>
        <v>0.42</v>
      </c>
      <c r="H7" s="9">
        <f>IF(data!G6="","",data!G6)</f>
        <v>0.05</v>
      </c>
      <c r="I7" s="6">
        <f>IF(data!H6/100="","",data!H6/100)</f>
        <v>1.7088999999999999</v>
      </c>
      <c r="J7" s="6">
        <f>IF(data!I6/100=0,"",data!I6/100)</f>
        <v>3.3056000000000001</v>
      </c>
      <c r="K7" s="6">
        <f>IF(data!J6/100="","",data!J6/100)</f>
        <v>1.5438000000000001</v>
      </c>
      <c r="L7" s="6">
        <f>IF(data!K6/100="","",data!K6/100)</f>
        <v>1.0770999999999999</v>
      </c>
      <c r="N7" s="19">
        <f>(AF7-data!M6)/AF7</f>
        <v>0.13978494623655913</v>
      </c>
      <c r="Q7" s="8" t="s">
        <v>5</v>
      </c>
      <c r="R7" s="5">
        <f>AVERAGE(Tablo1[FD/Satış])</f>
        <v>0.52285714285714291</v>
      </c>
      <c r="T7" s="32">
        <f t="shared" si="0"/>
        <v>66.155669198499993</v>
      </c>
      <c r="U7" s="12">
        <f>IF(Tablo1[[#This Row],[Özkaynak Karlılığı]]&lt;0,0,(Tablo1[[#This Row],[Özkaynak Karlılığı]]/MAX(Tablo1[Özkaynak Karlılığı]))*10)</f>
        <v>1.8220574606116773</v>
      </c>
      <c r="V7" s="12">
        <f>IFERROR((MIN(Tablo1[PD/DD])/Tablo1[[#This Row],[PD/DD]])*10,"")</f>
        <v>5.8411214953271031</v>
      </c>
      <c r="W7" s="12">
        <f>IFERROR((MIN(Tablo1[F/K])/Tablo1[[#This Row],[F/K]])*10,"")</f>
        <v>4.7455089820359282</v>
      </c>
      <c r="X7" s="12">
        <f>IFERROR((MIN(Tablo1[FD/FAVÖK])/Tablo1[[#This Row],[FD/FAVÖK]])*10,"")</f>
        <v>4.4444444444444446</v>
      </c>
      <c r="Y7" s="12">
        <f>IFERROR((MIN(Tablo1[FD/Satış])/Tablo1[[#This Row],[FD/Satış]])*10,"")</f>
        <v>2.6190476190476191</v>
      </c>
      <c r="Z7" s="12">
        <f>IFERROR((MIN(Tablo1[PEG])/Tablo1[[#This Row],[PEG]])*10,"")</f>
        <v>7.9999999999999991</v>
      </c>
      <c r="AA7" s="12">
        <f>(Tablo1[[#This Row],[ROIC]]/MAX(Tablo1[ROIC]))*10</f>
        <v>10</v>
      </c>
      <c r="AB7" s="12">
        <f>IFERROR(IF(Tablo1[[#This Row],[Yıllık Net Kar Değişimi]]&lt;0,0,(Tablo1[[#This Row],[Yıllık Net Kar Değişimi]]/MAX(Tablo1[Yıllık Net Kar Değişimi]))*10),"")</f>
        <v>10</v>
      </c>
      <c r="AC7" s="12">
        <f>IFERROR(IF(Tablo1[[#This Row],[Yıllık FAVÖK Değişimi]]&lt;0,0,(Tablo1[[#This Row],[Yıllık FAVÖK Değişimi]]/MAX(Tablo1[Yıllık FAVÖK Değişimi]))*10),"")</f>
        <v>10</v>
      </c>
      <c r="AD7" s="12">
        <f>IFERROR(IF(Tablo1[[#This Row],[Yıllık Satışlar Değişimi]]&lt;0,0,(Tablo1[[#This Row],[Yıllık Satışlar Değişimi]]/MAX(Tablo1[Yıllık Satışlar Değişimi]))*10),"")</f>
        <v>8.6834891970332144</v>
      </c>
      <c r="AF7" s="5">
        <f>SUMIFS([1]!Tablo1[Hisse Fiyatı],[1]!Tablo1[Hisse],Tablo1[[#This Row],[Şirket]],[1]!Tablo1[Dönem],$R$2)</f>
        <v>7.44</v>
      </c>
    </row>
    <row r="8" spans="2:32" ht="21.95" customHeight="1" thickTop="1" thickBot="1" x14ac:dyDescent="0.3">
      <c r="B8" s="17" t="str">
        <f>+data!A7</f>
        <v>MGROS</v>
      </c>
      <c r="C8" s="6">
        <f>+data!B7/100</f>
        <v>1.079</v>
      </c>
      <c r="D8" s="9">
        <f>IF(data!C7&lt;0,"",data!C7)</f>
        <v>7.78</v>
      </c>
      <c r="E8" s="9">
        <f>IF(data!D7="","",data!D7)</f>
        <v>11.56</v>
      </c>
      <c r="F8" s="9">
        <f>IF(data!E7="","",data!E7)</f>
        <v>6.71</v>
      </c>
      <c r="G8" s="9">
        <f>IF(data!F7="","",data!F7)</f>
        <v>0.45</v>
      </c>
      <c r="H8" s="9">
        <f>IF(data!G7="","",data!G7)</f>
        <v>0.04</v>
      </c>
      <c r="I8" s="6">
        <f>IF(data!H7/100="","",data!H7/100)</f>
        <v>-0.85760000000000003</v>
      </c>
      <c r="J8" s="6">
        <f>IF(data!I7/100=0,"",data!I7/100)</f>
        <v>2.0114000000000001</v>
      </c>
      <c r="K8" s="6">
        <f>IF(data!J7/100="","",data!J7/100)</f>
        <v>0.5837</v>
      </c>
      <c r="L8" s="6">
        <f>IF(data!K7/100="","",data!K7/100)</f>
        <v>1.0348999999999999</v>
      </c>
      <c r="N8" s="19">
        <f>(AF8-data!M7)/AF8</f>
        <v>1.2177650429799427E-2</v>
      </c>
      <c r="Q8" s="8" t="s">
        <v>4</v>
      </c>
      <c r="R8" s="5">
        <f>AVERAGE(Tablo1[FD/FAVÖK])</f>
        <v>6.6528571428571439</v>
      </c>
      <c r="T8" s="32">
        <f t="shared" si="0"/>
        <v>46.183682770241269</v>
      </c>
      <c r="U8" s="12">
        <f>IF(Tablo1[[#This Row],[Özkaynak Karlılığı]]&lt;0,0,(Tablo1[[#This Row],[Özkaynak Karlılığı]]/MAX(Tablo1[Özkaynak Karlılığı]))*10)</f>
        <v>10</v>
      </c>
      <c r="V8" s="12">
        <f>IFERROR((MIN(Tablo1[PD/DD])/Tablo1[[#This Row],[PD/DD]])*10,"")</f>
        <v>1.6066838046272494</v>
      </c>
      <c r="W8" s="12">
        <f>IFERROR((MIN(Tablo1[F/K])/Tablo1[[#This Row],[F/K]])*10,"")</f>
        <v>5.4844290657439441</v>
      </c>
      <c r="X8" s="12">
        <f>IFERROR((MIN(Tablo1[FD/FAVÖK])/Tablo1[[#This Row],[FD/FAVÖK]])*10,"")</f>
        <v>3.4575260804768999</v>
      </c>
      <c r="Y8" s="12">
        <f>IFERROR((MIN(Tablo1[FD/Satış])/Tablo1[[#This Row],[FD/Satış]])*10,"")</f>
        <v>2.4444444444444442</v>
      </c>
      <c r="Z8" s="12">
        <f>IFERROR((MIN(Tablo1[PEG])/Tablo1[[#This Row],[PEG]])*10,"")</f>
        <v>10</v>
      </c>
      <c r="AA8" s="12">
        <f>(Tablo1[[#This Row],[ROIC]]/MAX(Tablo1[ROIC]))*10</f>
        <v>-5.0184329100591025</v>
      </c>
      <c r="AB8" s="12">
        <f>IFERROR(IF(Tablo1[[#This Row],[Yıllık Net Kar Değişimi]]&lt;0,0,(Tablo1[[#This Row],[Yıllık Net Kar Değişimi]]/MAX(Tablo1[Yıllık Net Kar Değişimi]))*10),"")</f>
        <v>6.0848257502420129</v>
      </c>
      <c r="AC8" s="12">
        <f>IFERROR(IF(Tablo1[[#This Row],[Yıllık FAVÖK Değişimi]]&lt;0,0,(Tablo1[[#This Row],[Yıllık FAVÖK Değişimi]]/MAX(Tablo1[Yıllık FAVÖK Değişimi]))*10),"")</f>
        <v>3.7809301723021118</v>
      </c>
      <c r="AD8" s="12">
        <f>IFERROR(IF(Tablo1[[#This Row],[Yıllık Satışlar Değişimi]]&lt;0,0,(Tablo1[[#This Row],[Yıllık Satışlar Değişimi]]/MAX(Tablo1[Yıllık Satışlar Değişimi]))*10),"")</f>
        <v>8.343276362463719</v>
      </c>
      <c r="AF8" s="5">
        <f>SUMIFS([1]!Tablo1[Hisse Fiyatı],[1]!Tablo1[Hisse],Tablo1[[#This Row],[Şirket]],[1]!Tablo1[Dönem],$R$2)</f>
        <v>349</v>
      </c>
    </row>
    <row r="9" spans="2:32" ht="21.95" customHeight="1" thickTop="1" thickBot="1" x14ac:dyDescent="0.3">
      <c r="B9" s="17" t="str">
        <f>+data!A8</f>
        <v>SOKM</v>
      </c>
      <c r="C9" s="6">
        <f>+data!B8/100</f>
        <v>0.88690000000000002</v>
      </c>
      <c r="D9" s="9">
        <f>IF(data!C8&lt;0,"",data!C8)</f>
        <v>6.37</v>
      </c>
      <c r="E9" s="9">
        <f>IF(data!D8="","",data!D8)</f>
        <v>9.84</v>
      </c>
      <c r="F9" s="9">
        <f>IF(data!E8="","",data!E8)</f>
        <v>5.09</v>
      </c>
      <c r="G9" s="9">
        <f>IF(data!F8="","",data!F8)</f>
        <v>0.36</v>
      </c>
      <c r="H9" s="9">
        <f>IF(data!G8="","",data!G8)</f>
        <v>0.12</v>
      </c>
      <c r="I9" s="6">
        <f>IF(data!H8/100="","",data!H8/100)</f>
        <v>-4.7266000000000004</v>
      </c>
      <c r="J9" s="6">
        <f>IF(data!I8/100=0,"",data!I8/100)</f>
        <v>0.47850000000000004</v>
      </c>
      <c r="K9" s="6">
        <f>IF(data!J8/100="","",data!J8/100)</f>
        <v>0.56380000000000008</v>
      </c>
      <c r="L9" s="6">
        <f>IF(data!K8/100="","",data!K8/100)</f>
        <v>0.84650000000000003</v>
      </c>
      <c r="N9" s="19">
        <f>(AF9-data!M8)/AF9</f>
        <v>0.18975903614457842</v>
      </c>
      <c r="Q9" s="8" t="s">
        <v>3</v>
      </c>
      <c r="R9" s="5">
        <f>+AVERAGE(Tablo1[F/K])</f>
        <v>11.091666666666669</v>
      </c>
      <c r="T9" s="32">
        <f t="shared" si="0"/>
        <v>11.837160981416179</v>
      </c>
      <c r="U9" s="12">
        <f>IF(Tablo1[[#This Row],[Özkaynak Karlılığı]]&lt;0,0,(Tablo1[[#This Row],[Özkaynak Karlılığı]]/MAX(Tablo1[Özkaynak Karlılığı]))*10)</f>
        <v>8.2196478220574605</v>
      </c>
      <c r="V9" s="12">
        <f>IFERROR((MIN(Tablo1[PD/DD])/Tablo1[[#This Row],[PD/DD]])*10,"")</f>
        <v>1.9623233908948197</v>
      </c>
      <c r="W9" s="12">
        <f>IFERROR((MIN(Tablo1[F/K])/Tablo1[[#This Row],[F/K]])*10,"")</f>
        <v>6.4430894308943092</v>
      </c>
      <c r="X9" s="12">
        <f>IFERROR((MIN(Tablo1[FD/FAVÖK])/Tablo1[[#This Row],[FD/FAVÖK]])*10,"")</f>
        <v>4.5579567779960701</v>
      </c>
      <c r="Y9" s="12">
        <f>IFERROR((MIN(Tablo1[FD/Satış])/Tablo1[[#This Row],[FD/Satış]])*10,"")</f>
        <v>3.0555555555555558</v>
      </c>
      <c r="Z9" s="12">
        <f>IFERROR((MIN(Tablo1[PEG])/Tablo1[[#This Row],[PEG]])*10,"")</f>
        <v>3.3333333333333339</v>
      </c>
      <c r="AA9" s="12">
        <f>(Tablo1[[#This Row],[ROIC]]/MAX(Tablo1[ROIC]))*10</f>
        <v>-27.658727836620052</v>
      </c>
      <c r="AB9" s="12">
        <f>IFERROR(IF(Tablo1[[#This Row],[Yıllık Net Kar Değişimi]]&lt;0,0,(Tablo1[[#This Row],[Yıllık Net Kar Değişimi]]/MAX(Tablo1[Yıllık Net Kar Değişimi]))*10),"")</f>
        <v>1.4475435624394968</v>
      </c>
      <c r="AC9" s="12">
        <f>IFERROR(IF(Tablo1[[#This Row],[Yıllık FAVÖK Değişimi]]&lt;0,0,(Tablo1[[#This Row],[Yıllık FAVÖK Değişimi]]/MAX(Tablo1[Yıllık FAVÖK Değişimi]))*10),"")</f>
        <v>3.6520274646974999</v>
      </c>
      <c r="AD9" s="12">
        <f>IFERROR(IF(Tablo1[[#This Row],[Yıllık Satışlar Değişimi]]&lt;0,0,(Tablo1[[#This Row],[Yıllık Satışlar Değişimi]]/MAX(Tablo1[Yıllık Satışlar Değişimi]))*10),"")</f>
        <v>6.8244114801676865</v>
      </c>
      <c r="AF9" s="5">
        <f>SUMIFS([1]!Tablo1[Hisse Fiyatı],[1]!Tablo1[Hisse],Tablo1[[#This Row],[Şirket]],[1]!Tablo1[Dönem],$R$2)</f>
        <v>66.400000000000006</v>
      </c>
    </row>
    <row r="10" spans="2:32" ht="21.95" customHeight="1" thickTop="1" thickBot="1" x14ac:dyDescent="0.3">
      <c r="B10" s="17"/>
      <c r="C10" s="6"/>
      <c r="D10" s="9"/>
      <c r="E10" s="9"/>
      <c r="F10" s="9"/>
      <c r="G10" s="9"/>
      <c r="H10" s="9"/>
      <c r="I10" s="6"/>
      <c r="J10" s="6"/>
      <c r="K10" s="6"/>
      <c r="L10" s="6"/>
      <c r="N10" s="19"/>
      <c r="Q10" s="8" t="s">
        <v>2</v>
      </c>
      <c r="R10" s="5">
        <f>AVERAGE(Tablo1[PD/DD])</f>
        <v>4.7966666666666669</v>
      </c>
      <c r="T10" s="32"/>
      <c r="U10" s="12"/>
      <c r="V10" s="12"/>
      <c r="W10" s="12"/>
    </row>
    <row r="11" spans="2:32" ht="21.95" customHeight="1" thickTop="1" thickBot="1" x14ac:dyDescent="0.3">
      <c r="B11" s="17"/>
      <c r="C11" s="24"/>
      <c r="D11" s="9"/>
      <c r="E11" s="9"/>
      <c r="F11" s="9"/>
      <c r="G11" s="9"/>
      <c r="H11" s="9"/>
      <c r="I11" s="25"/>
      <c r="J11" s="6"/>
      <c r="K11" s="6"/>
      <c r="L11" s="6"/>
      <c r="N11" s="19"/>
      <c r="Q11" s="8" t="s">
        <v>1</v>
      </c>
      <c r="R11" s="5">
        <f>AVERAGE(Tablo1[Özkaynak Karlılığı])</f>
        <v>0.56925714285714279</v>
      </c>
      <c r="T11" s="32"/>
      <c r="U11" s="12"/>
      <c r="V11" s="12"/>
      <c r="W11" s="12"/>
    </row>
    <row r="12" spans="2:32" ht="21.95" customHeight="1" thickTop="1" thickBot="1" x14ac:dyDescent="0.3">
      <c r="B12" s="17"/>
      <c r="C12" s="24"/>
      <c r="D12" s="9"/>
      <c r="E12" s="9"/>
      <c r="F12" s="9"/>
      <c r="G12" s="9"/>
      <c r="H12" s="9"/>
      <c r="I12" s="25"/>
      <c r="J12" s="6"/>
      <c r="K12" s="6"/>
      <c r="L12" s="6"/>
      <c r="N12" s="19"/>
      <c r="Q12" s="8" t="s">
        <v>14</v>
      </c>
      <c r="R12" s="11">
        <f>+AVERAGE(N3:N12)</f>
        <v>7.687173892159134E-2</v>
      </c>
      <c r="T12" s="32"/>
      <c r="U12" s="12"/>
      <c r="V12" s="12"/>
      <c r="W12" s="12"/>
    </row>
    <row r="13" spans="2:32" ht="21.95" customHeight="1" thickTop="1" thickBot="1" x14ac:dyDescent="0.3">
      <c r="B13" s="17"/>
      <c r="C13" s="24"/>
      <c r="D13" s="9"/>
      <c r="E13" s="9"/>
      <c r="F13" s="9"/>
      <c r="G13" s="9"/>
      <c r="H13" s="9"/>
      <c r="I13" s="25"/>
      <c r="J13" s="6"/>
      <c r="K13" s="6"/>
      <c r="L13" s="6"/>
      <c r="U13" s="12"/>
      <c r="V13" s="12"/>
      <c r="W13" s="12"/>
    </row>
    <row r="14" spans="2:32" ht="21.95" customHeight="1" thickTop="1" x14ac:dyDescent="0.25">
      <c r="B14" s="26"/>
      <c r="C14" s="27"/>
      <c r="D14" s="10"/>
      <c r="E14" s="10"/>
      <c r="F14" s="10"/>
      <c r="G14" s="10"/>
      <c r="H14" s="10"/>
      <c r="I14" s="28"/>
      <c r="J14" s="7"/>
      <c r="K14" s="7"/>
      <c r="L14" s="7"/>
    </row>
    <row r="15" spans="2:32" ht="21.95" customHeight="1" x14ac:dyDescent="0.25"/>
    <row r="16" spans="2:32" ht="21.95" customHeight="1" x14ac:dyDescent="0.25"/>
    <row r="17" ht="21.95" customHeight="1" x14ac:dyDescent="0.25"/>
    <row r="18" ht="21.95" customHeight="1" x14ac:dyDescent="0.25"/>
    <row r="19" ht="21.95" customHeight="1" x14ac:dyDescent="0.25"/>
    <row r="20" ht="21.95" customHeight="1" x14ac:dyDescent="0.25"/>
    <row r="21" ht="21.95" customHeight="1" x14ac:dyDescent="0.25"/>
    <row r="22" ht="21.95" customHeight="1" x14ac:dyDescent="0.25"/>
    <row r="23" ht="21.95" customHeight="1" x14ac:dyDescent="0.25"/>
    <row r="24" ht="21.95" customHeight="1" x14ac:dyDescent="0.25"/>
    <row r="25" ht="21.95" customHeight="1" x14ac:dyDescent="0.25"/>
    <row r="26" ht="21.95" customHeight="1" x14ac:dyDescent="0.25"/>
    <row r="27" ht="21.95" customHeight="1" x14ac:dyDescent="0.25"/>
    <row r="28" ht="21.95" customHeight="1" x14ac:dyDescent="0.25"/>
    <row r="29" ht="21.95" customHeight="1" x14ac:dyDescent="0.25"/>
    <row r="30" ht="21.95" customHeight="1" x14ac:dyDescent="0.25"/>
    <row r="31" ht="21.95" customHeight="1" x14ac:dyDescent="0.25"/>
    <row r="32" ht="21.95" customHeight="1" x14ac:dyDescent="0.25"/>
    <row r="33" ht="21.95" customHeight="1" x14ac:dyDescent="0.25"/>
    <row r="34" ht="21.95" customHeight="1" x14ac:dyDescent="0.25"/>
    <row r="35" ht="21.95" customHeight="1" x14ac:dyDescent="0.25"/>
    <row r="36" ht="21.95" customHeight="1" x14ac:dyDescent="0.25"/>
    <row r="37" ht="21.95" customHeight="1" x14ac:dyDescent="0.25"/>
    <row r="38" ht="21.95" customHeight="1" x14ac:dyDescent="0.25"/>
    <row r="39" ht="21.95" customHeight="1" x14ac:dyDescent="0.25"/>
    <row r="40" ht="21.95" customHeight="1" x14ac:dyDescent="0.25"/>
    <row r="41" ht="21.95" customHeight="1" x14ac:dyDescent="0.25"/>
    <row r="42" ht="21.95" customHeight="1" x14ac:dyDescent="0.25"/>
    <row r="43" ht="21.95" customHeight="1" x14ac:dyDescent="0.25"/>
    <row r="44" ht="21.95" customHeight="1" x14ac:dyDescent="0.25"/>
    <row r="45" ht="21.95" customHeight="1" x14ac:dyDescent="0.25"/>
    <row r="46" ht="21.95" customHeight="1" x14ac:dyDescent="0.25"/>
    <row r="47" ht="21.95" customHeight="1" x14ac:dyDescent="0.25"/>
    <row r="48" ht="21.95" customHeight="1" x14ac:dyDescent="0.25"/>
    <row r="49" ht="21.95" customHeight="1" x14ac:dyDescent="0.25"/>
    <row r="50" ht="21.95" customHeight="1" x14ac:dyDescent="0.25"/>
    <row r="51" ht="21.95" customHeight="1" x14ac:dyDescent="0.25"/>
    <row r="52" ht="21.95" customHeight="1" x14ac:dyDescent="0.25"/>
    <row r="53" ht="21.95" customHeight="1" x14ac:dyDescent="0.25"/>
    <row r="54" ht="21.95" customHeight="1" x14ac:dyDescent="0.25"/>
    <row r="55" ht="21.95" customHeight="1" x14ac:dyDescent="0.25"/>
    <row r="56" ht="21.95" customHeight="1" x14ac:dyDescent="0.25"/>
    <row r="57" ht="21.95" customHeight="1" x14ac:dyDescent="0.25"/>
    <row r="58" ht="21.95" customHeight="1" x14ac:dyDescent="0.25"/>
    <row r="59" ht="21.95" customHeight="1" x14ac:dyDescent="0.25"/>
    <row r="60" ht="21.95" customHeight="1" x14ac:dyDescent="0.25"/>
    <row r="61" ht="21.95" customHeight="1" x14ac:dyDescent="0.25"/>
    <row r="62" ht="21.95" customHeight="1" x14ac:dyDescent="0.25"/>
    <row r="63" ht="21.95" customHeight="1" x14ac:dyDescent="0.25"/>
    <row r="64" ht="21.95" customHeight="1" x14ac:dyDescent="0.25"/>
    <row r="65" ht="21.95" customHeight="1" x14ac:dyDescent="0.25"/>
    <row r="66" ht="21.95" customHeight="1" x14ac:dyDescent="0.25"/>
    <row r="67" ht="21.95" customHeight="1" x14ac:dyDescent="0.25"/>
    <row r="68" ht="21.95" customHeight="1" x14ac:dyDescent="0.25"/>
    <row r="69" ht="21.95" customHeight="1" x14ac:dyDescent="0.25"/>
    <row r="70" ht="21.95" customHeight="1" x14ac:dyDescent="0.25"/>
    <row r="71" ht="21.95" customHeight="1" x14ac:dyDescent="0.25"/>
    <row r="72" ht="21.95" customHeight="1" x14ac:dyDescent="0.25"/>
    <row r="73" ht="21.95" customHeight="1" x14ac:dyDescent="0.25"/>
    <row r="74" ht="21.95" customHeight="1" x14ac:dyDescent="0.25"/>
    <row r="75" ht="21.95" customHeight="1" x14ac:dyDescent="0.25"/>
    <row r="76" ht="21.95" customHeight="1" x14ac:dyDescent="0.25"/>
    <row r="77" ht="21.95" customHeight="1" x14ac:dyDescent="0.25"/>
    <row r="78" ht="21.95" customHeight="1" x14ac:dyDescent="0.25"/>
    <row r="79" ht="21.95" customHeight="1" x14ac:dyDescent="0.25"/>
    <row r="80" ht="21.95" customHeight="1" x14ac:dyDescent="0.25"/>
    <row r="81" ht="21.95" customHeight="1" x14ac:dyDescent="0.25"/>
    <row r="82" ht="21.95" customHeight="1" x14ac:dyDescent="0.25"/>
    <row r="83" ht="21.95" customHeight="1" x14ac:dyDescent="0.25"/>
    <row r="84" ht="21.95" customHeight="1" x14ac:dyDescent="0.25"/>
    <row r="85" ht="21.95" customHeight="1" x14ac:dyDescent="0.25"/>
    <row r="86" ht="21.95" customHeight="1" x14ac:dyDescent="0.25"/>
    <row r="87" ht="21.95" customHeight="1" x14ac:dyDescent="0.25"/>
    <row r="88" ht="21.95" customHeight="1" x14ac:dyDescent="0.25"/>
    <row r="89" ht="21.95" customHeight="1" x14ac:dyDescent="0.25"/>
    <row r="90" ht="21.95" customHeight="1" x14ac:dyDescent="0.25"/>
    <row r="91" ht="21.95" customHeight="1" x14ac:dyDescent="0.25"/>
    <row r="92" ht="21.95" customHeight="1" x14ac:dyDescent="0.25"/>
    <row r="93" ht="21.95" customHeight="1" x14ac:dyDescent="0.25"/>
    <row r="94" ht="21.95" customHeight="1" x14ac:dyDescent="0.25"/>
    <row r="95" ht="21.95" customHeight="1" x14ac:dyDescent="0.25"/>
    <row r="96" ht="21.95" customHeight="1" x14ac:dyDescent="0.25"/>
    <row r="97" ht="21.95" customHeight="1" x14ac:dyDescent="0.25"/>
    <row r="98" ht="21.95" customHeight="1" x14ac:dyDescent="0.25"/>
    <row r="99" ht="21.95" customHeight="1" x14ac:dyDescent="0.25"/>
    <row r="100" ht="21.95" customHeight="1" x14ac:dyDescent="0.25"/>
    <row r="101" ht="21.95" customHeight="1" x14ac:dyDescent="0.25"/>
    <row r="102" ht="21.95" customHeight="1" x14ac:dyDescent="0.25"/>
    <row r="103" ht="21.95" customHeight="1" x14ac:dyDescent="0.25"/>
    <row r="104" ht="21.95" customHeight="1" x14ac:dyDescent="0.25"/>
    <row r="105" ht="21.95" customHeight="1" x14ac:dyDescent="0.25"/>
    <row r="106" ht="21.95" customHeight="1" x14ac:dyDescent="0.25"/>
    <row r="107" ht="21.95" customHeight="1" x14ac:dyDescent="0.25"/>
    <row r="108" ht="21.95" customHeight="1" x14ac:dyDescent="0.25"/>
    <row r="109" ht="21.95" customHeight="1" x14ac:dyDescent="0.25"/>
    <row r="110" ht="21.95" customHeight="1" x14ac:dyDescent="0.25"/>
    <row r="111" ht="21.95" customHeight="1" x14ac:dyDescent="0.25"/>
    <row r="112" ht="21.95" customHeight="1" x14ac:dyDescent="0.25"/>
    <row r="113" ht="21.95" customHeight="1" x14ac:dyDescent="0.25"/>
    <row r="114" ht="21.95" customHeight="1" x14ac:dyDescent="0.25"/>
    <row r="115" ht="21.95" customHeight="1" x14ac:dyDescent="0.25"/>
    <row r="116" ht="21.95" customHeight="1" x14ac:dyDescent="0.25"/>
    <row r="117" ht="21.95" customHeight="1" x14ac:dyDescent="0.25"/>
    <row r="118" ht="21.95" customHeight="1" x14ac:dyDescent="0.25"/>
    <row r="119" ht="21.95" customHeight="1" x14ac:dyDescent="0.25"/>
    <row r="120" ht="21.95" customHeight="1" x14ac:dyDescent="0.25"/>
    <row r="121" ht="21.95" customHeight="1" x14ac:dyDescent="0.25"/>
    <row r="122" ht="21.95" customHeight="1" x14ac:dyDescent="0.25"/>
    <row r="123" ht="21.95" customHeight="1" x14ac:dyDescent="0.25"/>
    <row r="124" ht="21.95" customHeight="1" x14ac:dyDescent="0.25"/>
    <row r="125" ht="21.95" customHeight="1" x14ac:dyDescent="0.25"/>
    <row r="126" ht="21.95" customHeight="1" x14ac:dyDescent="0.25"/>
    <row r="127" ht="21.95" customHeight="1" x14ac:dyDescent="0.25"/>
    <row r="128" ht="21.95" customHeight="1" x14ac:dyDescent="0.25"/>
    <row r="129" ht="21.95" customHeight="1" x14ac:dyDescent="0.25"/>
    <row r="130" ht="21.95" customHeight="1" x14ac:dyDescent="0.25"/>
  </sheetData>
  <conditionalFormatting sqref="C3:C9">
    <cfRule type="colorScale" priority="55">
      <colorScale>
        <cfvo type="min"/>
        <cfvo type="num" val="0"/>
        <cfvo type="num" val="$R$11"/>
        <color rgb="FFFE6666"/>
        <color theme="0"/>
        <color rgb="FF5DD9A1"/>
      </colorScale>
    </cfRule>
  </conditionalFormatting>
  <conditionalFormatting sqref="D3:D9">
    <cfRule type="colorScale" priority="56">
      <colorScale>
        <cfvo type="min"/>
        <cfvo type="num" val="$R$10"/>
        <cfvo type="max"/>
        <color rgb="FF5DD9A1"/>
        <color theme="0"/>
        <color rgb="FFFE6666"/>
      </colorScale>
    </cfRule>
  </conditionalFormatting>
  <conditionalFormatting sqref="E3:E9">
    <cfRule type="colorScale" priority="57">
      <colorScale>
        <cfvo type="min"/>
        <cfvo type="num" val="$R$9"/>
        <cfvo type="max"/>
        <color rgb="FF5DD9A1"/>
        <color theme="0"/>
        <color rgb="FFFE6666"/>
      </colorScale>
    </cfRule>
  </conditionalFormatting>
  <conditionalFormatting sqref="F3:F9">
    <cfRule type="colorScale" priority="58">
      <colorScale>
        <cfvo type="min"/>
        <cfvo type="num" val="$R$8"/>
        <cfvo type="max"/>
        <color rgb="FF5DD9A1"/>
        <color theme="0"/>
        <color rgb="FFFE6666"/>
      </colorScale>
    </cfRule>
  </conditionalFormatting>
  <conditionalFormatting sqref="G3:G9">
    <cfRule type="colorScale" priority="59">
      <colorScale>
        <cfvo type="min"/>
        <cfvo type="num" val="$R$7"/>
        <cfvo type="max"/>
        <color rgb="FF5DD9A1"/>
        <color theme="0"/>
        <color rgb="FFFE6666"/>
      </colorScale>
    </cfRule>
  </conditionalFormatting>
  <conditionalFormatting sqref="H3:H9">
    <cfRule type="colorScale" priority="60">
      <colorScale>
        <cfvo type="min"/>
        <cfvo type="num" val="1"/>
        <cfvo type="max"/>
        <color rgb="FF5DD9A1"/>
        <color theme="0"/>
        <color rgb="FFFE6666"/>
      </colorScale>
    </cfRule>
  </conditionalFormatting>
  <conditionalFormatting sqref="I3:I9">
    <cfRule type="colorScale" priority="61">
      <colorScale>
        <cfvo type="min"/>
        <cfvo type="num" val="0"/>
        <cfvo type="num" val="$R$6"/>
        <color rgb="FFFE6666"/>
        <color theme="0"/>
        <color rgb="FF5DD9A1"/>
      </colorScale>
    </cfRule>
  </conditionalFormatting>
  <conditionalFormatting sqref="J3:J9">
    <cfRule type="colorScale" priority="62">
      <colorScale>
        <cfvo type="min"/>
        <cfvo type="num" val="0"/>
        <cfvo type="num" val="$R$5"/>
        <color rgb="FFFE6666"/>
        <color theme="0"/>
        <color rgb="FF5DD9A1"/>
      </colorScale>
    </cfRule>
  </conditionalFormatting>
  <conditionalFormatting sqref="K3:K9">
    <cfRule type="colorScale" priority="63">
      <colorScale>
        <cfvo type="min"/>
        <cfvo type="num" val="0"/>
        <cfvo type="num" val="$R$4"/>
        <color rgb="FFFE6666"/>
        <color theme="0"/>
        <color rgb="FF5DD9A1"/>
      </colorScale>
    </cfRule>
  </conditionalFormatting>
  <conditionalFormatting sqref="L3:L9">
    <cfRule type="colorScale" priority="64">
      <colorScale>
        <cfvo type="min"/>
        <cfvo type="num" val="0"/>
        <cfvo type="num" val="$R$3"/>
        <color rgb="FFFE6666"/>
        <color theme="0"/>
        <color rgb="FF5DD9A1"/>
      </colorScale>
    </cfRule>
  </conditionalFormatting>
  <conditionalFormatting sqref="N3:N12">
    <cfRule type="iconSet" priority="66">
      <iconSet>
        <cfvo type="percent" val="0"/>
        <cfvo type="num" val="0"/>
        <cfvo type="num" val="0.1"/>
      </iconSet>
    </cfRule>
  </conditionalFormatting>
  <conditionalFormatting sqref="T3:T12">
    <cfRule type="colorScale" priority="67">
      <colorScale>
        <cfvo type="min"/>
        <cfvo type="num" val="$T$2"/>
        <cfvo type="max"/>
        <color rgb="FFFE6666"/>
        <color theme="0"/>
        <color rgb="FF5DD9A1"/>
      </colorScale>
    </cfRule>
  </conditionalFormatting>
  <printOptions horizontalCentered="1"/>
  <pageMargins left="0.11811023622047245" right="0.11811023622047245" top="0.15748031496062992" bottom="0.15748031496062992" header="0.31496062992125984" footer="0.31496062992125984"/>
  <pageSetup paperSize="9" scale="48"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data</vt:lpstr>
      <vt:lpstr>Sayfa1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TeknikOfis</dc:creator>
  <cp:lastModifiedBy>KF68796</cp:lastModifiedBy>
  <cp:lastPrinted>2024-01-06T09:44:26Z</cp:lastPrinted>
  <dcterms:created xsi:type="dcterms:W3CDTF">2024-01-02T13:44:01Z</dcterms:created>
  <dcterms:modified xsi:type="dcterms:W3CDTF">2024-01-06T09:50:23Z</dcterms:modified>
</cp:coreProperties>
</file>